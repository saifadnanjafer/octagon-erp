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السلفة" sheetId="2" r:id="rId6"/>
    <sheet state="visible" name="الحركات" sheetId="3" r:id="rId7"/>
    <sheet state="hidden" name="سيف" sheetId="4" r:id="rId8"/>
    <sheet state="visible" name="الديون" sheetId="5" r:id="rId9"/>
    <sheet state="visible" name="السجل" sheetId="6" r:id="rId10"/>
    <sheet state="visible" name="عرض الحركة المالية" sheetId="7" r:id="rId11"/>
    <sheet state="visible" name="Attendance" sheetId="8" r:id="rId12"/>
    <sheet state="visible" name="الجمعة + الغياب" sheetId="9" r:id="rId13"/>
    <sheet state="visible" name="Calculations" sheetId="10" r:id="rId14"/>
    <sheet state="hidden" name="Employees" sheetId="11" r:id="rId15"/>
    <sheet state="hidden" name="Payslip" sheetId="12" r:id="rId16"/>
    <sheet state="visible" name="Data" sheetId="13" r:id="rId17"/>
  </sheets>
  <definedNames>
    <definedName hidden="1" localSheetId="7" name="_xlnm._FilterDatabase">Attendance!$A$1:$M$957</definedName>
    <definedName name="MY_FUNCTION1">LAMBDA(SUMIFS(Calculations!$B:$B, Attendance!$B:$B, Dashboard!$T$3, Attendance!$A:$A, "&gt;="&amp;Dashboard!$W$8, Attendance!$A:$A, "&lt;="&amp;EOMONTH(Dashboard!$W$8,0)))</definedName>
  </definedNames>
  <calcPr/>
</workbook>
</file>

<file path=xl/sharedStrings.xml><?xml version="1.0" encoding="utf-8"?>
<sst xmlns="http://schemas.openxmlformats.org/spreadsheetml/2006/main" count="2403" uniqueCount="286">
  <si>
    <t>الاسم</t>
  </si>
  <si>
    <t>حسين سالم</t>
  </si>
  <si>
    <t>سعر الساعة</t>
  </si>
  <si>
    <t>الراتب الاسمي</t>
  </si>
  <si>
    <t>الراتب الصافي</t>
  </si>
  <si>
    <t>الراتب الإجمالي</t>
  </si>
  <si>
    <t>مبلغ ايام الجمعة</t>
  </si>
  <si>
    <t>مجموع مبلغ الإضافي</t>
  </si>
  <si>
    <t>مجموع النقل والطعام</t>
  </si>
  <si>
    <t>الشهر الحالي</t>
  </si>
  <si>
    <t>عدد ايام الشهر عدا الجمعة</t>
  </si>
  <si>
    <t>عدد ايام الجمعة لهذا الشهر</t>
  </si>
  <si>
    <t>الغرامات</t>
  </si>
  <si>
    <t>الديون</t>
  </si>
  <si>
    <t>مجموع مبلغ التأخير</t>
  </si>
  <si>
    <t xml:space="preserve">مجموع السلف </t>
  </si>
  <si>
    <t>الطلب السابق</t>
  </si>
  <si>
    <t>المستلم</t>
  </si>
  <si>
    <t>عدد الجمع التي حققت 6 ايام</t>
  </si>
  <si>
    <t>عدد ساعات الجمعة</t>
  </si>
  <si>
    <t>عدد أيام الدوام</t>
  </si>
  <si>
    <t>ساعات اضافي سنوي</t>
  </si>
  <si>
    <t>مجموع ايام سنوي</t>
  </si>
  <si>
    <t>مجموع ساعات السنوي</t>
  </si>
  <si>
    <t>مجموع جمعة سنوي</t>
  </si>
  <si>
    <t>عدد ساعات ايام الدوام</t>
  </si>
  <si>
    <t>عدد ايام حضور الجمعة</t>
  </si>
  <si>
    <t>سلفة سنوي</t>
  </si>
  <si>
    <t>اضافي سنوي</t>
  </si>
  <si>
    <t>راتب اجمالي سنوي</t>
  </si>
  <si>
    <t>راتب صافي سنوي</t>
  </si>
  <si>
    <t>نقل و طعام سنوي</t>
  </si>
  <si>
    <t>تأخير سنوي</t>
  </si>
  <si>
    <t>ايام الغياب</t>
  </si>
  <si>
    <t>عدد ساعات الاضافي</t>
  </si>
  <si>
    <t>راتب كلي سنوي</t>
  </si>
  <si>
    <t>مجاميع كل الموضفين سنة 2026</t>
  </si>
  <si>
    <t>راتب</t>
  </si>
  <si>
    <t>سلفة</t>
  </si>
  <si>
    <t>ساعات</t>
  </si>
  <si>
    <t>حضور</t>
  </si>
  <si>
    <t>غياب</t>
  </si>
  <si>
    <t>جمعة</t>
  </si>
  <si>
    <t>التاريخ</t>
  </si>
  <si>
    <t>المبلغ</t>
  </si>
  <si>
    <t>المستحق</t>
  </si>
  <si>
    <t>مجموع السلفة</t>
  </si>
  <si>
    <t>المتبقي</t>
  </si>
  <si>
    <t>نوع العملية</t>
  </si>
  <si>
    <t>البيان</t>
  </si>
  <si>
    <t>المبلغ بالدينار</t>
  </si>
  <si>
    <t>الصارف</t>
  </si>
  <si>
    <t>دفع</t>
  </si>
  <si>
    <t>الحركة اليومية للقاصة</t>
  </si>
  <si>
    <t>رقم المستند</t>
  </si>
  <si>
    <t>سند صرف</t>
  </si>
  <si>
    <t>سمنت مقاوم 100 . حصو + رمل 110 . جاي 5</t>
  </si>
  <si>
    <t>JOZYF</t>
  </si>
  <si>
    <t>علي الباكستاني</t>
  </si>
  <si>
    <t>سند دفع</t>
  </si>
  <si>
    <t>مبلغ تسديد الابرار</t>
  </si>
  <si>
    <t>SIFE</t>
  </si>
  <si>
    <t>حيدر المحاسب</t>
  </si>
  <si>
    <t>تسديد حساب فاتورة</t>
  </si>
  <si>
    <t>حيدر يافوز</t>
  </si>
  <si>
    <t>تسديد نعيم</t>
  </si>
  <si>
    <t>HUSSEN</t>
  </si>
  <si>
    <t>سند قبض</t>
  </si>
  <si>
    <t>من سيف</t>
  </si>
  <si>
    <t>تسديد يوسف</t>
  </si>
  <si>
    <t>تصليح ماييكرو</t>
  </si>
  <si>
    <t>بانزين</t>
  </si>
  <si>
    <t>تصليح مواد</t>
  </si>
  <si>
    <t>اجرة</t>
  </si>
  <si>
    <t>براغي</t>
  </si>
  <si>
    <t>حيدر محمد</t>
  </si>
  <si>
    <t>متبقي حساب الميز الفاشل الرصاصي</t>
  </si>
  <si>
    <t>طعام</t>
  </si>
  <si>
    <t>عربانة</t>
  </si>
  <si>
    <t>كيلون باب</t>
  </si>
  <si>
    <t>نضارات لحيم</t>
  </si>
  <si>
    <t>خضر عبد الخالق</t>
  </si>
  <si>
    <t>كهرباء</t>
  </si>
  <si>
    <t>المنار للقرطاسية</t>
  </si>
  <si>
    <t>رصيد</t>
  </si>
  <si>
    <t>غراض</t>
  </si>
  <si>
    <t>انشائية</t>
  </si>
  <si>
    <t>ماء مقطر</t>
  </si>
  <si>
    <t>مسواك</t>
  </si>
  <si>
    <t>غراض مكينه</t>
  </si>
  <si>
    <t>جاي و شكر</t>
  </si>
  <si>
    <t>مقطر</t>
  </si>
  <si>
    <t>اوكسجين</t>
  </si>
  <si>
    <t>عمال</t>
  </si>
  <si>
    <t>زيت حبر</t>
  </si>
  <si>
    <t>سجاد</t>
  </si>
  <si>
    <t>تسديد الابرار</t>
  </si>
  <si>
    <t>صرف ورشه</t>
  </si>
  <si>
    <t>اجرة الابرار</t>
  </si>
  <si>
    <t>معجون</t>
  </si>
  <si>
    <t>اجرة حروف</t>
  </si>
  <si>
    <t>شركة</t>
  </si>
  <si>
    <t>براين</t>
  </si>
  <si>
    <t>عم يز</t>
  </si>
  <si>
    <t>جاه</t>
  </si>
  <si>
    <t>سجاد رعد</t>
  </si>
  <si>
    <t>عبدالله هاشم</t>
  </si>
  <si>
    <t>يوسف احمد</t>
  </si>
  <si>
    <t>اجرة نعيم</t>
  </si>
  <si>
    <t xml:space="preserve">مصطفى عبد الخالق </t>
  </si>
  <si>
    <t>جاكوج</t>
  </si>
  <si>
    <t>حجر</t>
  </si>
  <si>
    <t>احمد</t>
  </si>
  <si>
    <t>شراء مفروشات</t>
  </si>
  <si>
    <t>صوندة</t>
  </si>
  <si>
    <t>سجاد حديد</t>
  </si>
  <si>
    <t>علي يوسف</t>
  </si>
  <si>
    <t>محمد حسين الحداد</t>
  </si>
  <si>
    <t>مشتريات</t>
  </si>
  <si>
    <t>واير لحيم</t>
  </si>
  <si>
    <t>اميري</t>
  </si>
  <si>
    <t>احمد امين</t>
  </si>
  <si>
    <t>محجون</t>
  </si>
  <si>
    <t>صبغ</t>
  </si>
  <si>
    <t>غداء</t>
  </si>
  <si>
    <t>X</t>
  </si>
  <si>
    <t>اغراض</t>
  </si>
  <si>
    <t>شراء</t>
  </si>
  <si>
    <t>حديد</t>
  </si>
  <si>
    <t>جينكو</t>
  </si>
  <si>
    <t>تيب</t>
  </si>
  <si>
    <t>سفرة</t>
  </si>
  <si>
    <t>فرجة</t>
  </si>
  <si>
    <t>جفوف</t>
  </si>
  <si>
    <t>واير لحم</t>
  </si>
  <si>
    <t>قفل</t>
  </si>
  <si>
    <t>برينة</t>
  </si>
  <si>
    <t>عبدللة عامر 2</t>
  </si>
  <si>
    <t>علي رجاء 2</t>
  </si>
  <si>
    <t>عشة</t>
  </si>
  <si>
    <t>بروش</t>
  </si>
  <si>
    <t>اجؤة</t>
  </si>
  <si>
    <t>هياب</t>
  </si>
  <si>
    <t>تسديد يوسف من سيف</t>
  </si>
  <si>
    <t>ثنر</t>
  </si>
  <si>
    <t>قفال هوائي</t>
  </si>
  <si>
    <t>قناع لحيم</t>
  </si>
  <si>
    <t>الى يوسف</t>
  </si>
  <si>
    <t>مسدس صبغ</t>
  </si>
  <si>
    <t>مصلب سمنت</t>
  </si>
  <si>
    <t>صبغ رش</t>
  </si>
  <si>
    <t>قفايص</t>
  </si>
  <si>
    <t>صوندة كهرباء</t>
  </si>
  <si>
    <t>علي عارف</t>
  </si>
  <si>
    <t>تمن و لبن</t>
  </si>
  <si>
    <t>نقل</t>
  </si>
  <si>
    <t>بوكس كهرباء</t>
  </si>
  <si>
    <t>حساب محمد</t>
  </si>
  <si>
    <t>صرف ورشة</t>
  </si>
  <si>
    <t>محمد فؤاد سالم</t>
  </si>
  <si>
    <t>مصطفى حسين</t>
  </si>
  <si>
    <t>فطور</t>
  </si>
  <si>
    <t>صولدر</t>
  </si>
  <si>
    <t>جاي شكر</t>
  </si>
  <si>
    <t>يوسف يعقوب</t>
  </si>
  <si>
    <t>علي سعد</t>
  </si>
  <si>
    <t>ماء</t>
  </si>
  <si>
    <t>نت</t>
  </si>
  <si>
    <t>من سيف الى حسين صرف ورشة</t>
  </si>
  <si>
    <t>الفردان اجرة مع طلب سابق</t>
  </si>
  <si>
    <t>اكل</t>
  </si>
  <si>
    <t>كلبسات</t>
  </si>
  <si>
    <t>تايت</t>
  </si>
  <si>
    <t>الكهرباء</t>
  </si>
  <si>
    <t>رمل</t>
  </si>
  <si>
    <t>اجرة للفاو</t>
  </si>
  <si>
    <t>حسين سيارة</t>
  </si>
  <si>
    <t>جعفر المعماري</t>
  </si>
  <si>
    <t>اجرة نقل سندويج</t>
  </si>
  <si>
    <t>اجرة حديد</t>
  </si>
  <si>
    <t>حجر *4</t>
  </si>
  <si>
    <t>صرف ورشه من سيف</t>
  </si>
  <si>
    <t>تسديد  صفاء خشب</t>
  </si>
  <si>
    <t>اجرة فوم</t>
  </si>
  <si>
    <t>خضر صرف وشة</t>
  </si>
  <si>
    <t>حيدر يافوز بغداد</t>
  </si>
  <si>
    <t>نقليات</t>
  </si>
  <si>
    <t>مواد احتياطية تحويل ماستر</t>
  </si>
  <si>
    <t>من سيف الى حسين صرف ورشة وارد من اكاديمية ياس التعليمية</t>
  </si>
  <si>
    <t>الابرار</t>
  </si>
  <si>
    <t>نعيم</t>
  </si>
  <si>
    <t>مدري شنو الزبير</t>
  </si>
  <si>
    <t>هياب الزبير</t>
  </si>
  <si>
    <t>فرق قاصة 5</t>
  </si>
  <si>
    <t>عبدالرحمن</t>
  </si>
  <si>
    <t>دهن سيارة</t>
  </si>
  <si>
    <t>سبالت</t>
  </si>
  <si>
    <t>بانزبن</t>
  </si>
  <si>
    <t>انشائي</t>
  </si>
  <si>
    <t>مصاريف</t>
  </si>
  <si>
    <t>خرز</t>
  </si>
  <si>
    <t xml:space="preserve">كروة من البصرة </t>
  </si>
  <si>
    <t xml:space="preserve">فندق </t>
  </si>
  <si>
    <t xml:space="preserve">كروة تكسي من العيادة للفندق </t>
  </si>
  <si>
    <t>بغداد</t>
  </si>
  <si>
    <t xml:space="preserve">تكسي </t>
  </si>
  <si>
    <t>فندق</t>
  </si>
  <si>
    <t>تكسي</t>
  </si>
  <si>
    <t>حيدر يافوز من سيف</t>
  </si>
  <si>
    <t>غسل ملابس</t>
  </si>
  <si>
    <t>اسواق</t>
  </si>
  <si>
    <t>مراية</t>
  </si>
  <si>
    <t>تاريخ</t>
  </si>
  <si>
    <t>بيان</t>
  </si>
  <si>
    <t>نوع الدين</t>
  </si>
  <si>
    <t>المسدد</t>
  </si>
  <si>
    <t>علينا</t>
  </si>
  <si>
    <t>لنا</t>
  </si>
  <si>
    <t>نعيم حديد</t>
  </si>
  <si>
    <t>حنان</t>
  </si>
  <si>
    <t>اشرف</t>
  </si>
  <si>
    <t>الماجد لتجارة الاخشاب</t>
  </si>
  <si>
    <t>الفردان التجارية</t>
  </si>
  <si>
    <t>نعيم السراي للاضائة الحديثة</t>
  </si>
  <si>
    <t>الخورة</t>
  </si>
  <si>
    <t>عبود</t>
  </si>
  <si>
    <t>التأريخ</t>
  </si>
  <si>
    <t>العمود 1</t>
  </si>
  <si>
    <t>العمود 2</t>
  </si>
  <si>
    <t>العمود 3</t>
  </si>
  <si>
    <t>العمود 4</t>
  </si>
  <si>
    <t>العمود 5</t>
  </si>
  <si>
    <t>اعلان مون لاين</t>
  </si>
  <si>
    <t>WORKSHOP AUTO SERVICE CENTERACCOUNTING DASHBOARD</t>
  </si>
  <si>
    <t>تسديد خارجي</t>
  </si>
  <si>
    <t>الرواتب</t>
  </si>
  <si>
    <t>قبض</t>
  </si>
  <si>
    <t>صرف</t>
  </si>
  <si>
    <t>دفع الى الورشه</t>
  </si>
  <si>
    <t>ديون علينا</t>
  </si>
  <si>
    <t xml:space="preserve">دفع سيف اجمالي </t>
  </si>
  <si>
    <t>السلفة</t>
  </si>
  <si>
    <t>ديون لنا</t>
  </si>
  <si>
    <t>Date</t>
  </si>
  <si>
    <t>Name</t>
  </si>
  <si>
    <t>Check-in</t>
  </si>
  <si>
    <t>Check-out</t>
  </si>
  <si>
    <t>Day</t>
  </si>
  <si>
    <t>month</t>
  </si>
  <si>
    <t>الساعات</t>
  </si>
  <si>
    <t>نوع اليوم</t>
  </si>
  <si>
    <t xml:space="preserve">الاسم </t>
  </si>
  <si>
    <t xml:space="preserve">الشهر </t>
  </si>
  <si>
    <t xml:space="preserve">الإجازات </t>
  </si>
  <si>
    <t xml:space="preserve">الغيابات </t>
  </si>
  <si>
    <t>أيام الدوام</t>
  </si>
  <si>
    <t xml:space="preserve">الجمعات المستحقة </t>
  </si>
  <si>
    <t xml:space="preserve">جمعات الحضور </t>
  </si>
  <si>
    <t xml:space="preserve">جمعات الاستراحة </t>
  </si>
  <si>
    <t xml:space="preserve">أجر الجمعات النهائي </t>
  </si>
  <si>
    <t>سعر ساعة الموظف</t>
  </si>
  <si>
    <t>سعر يومية النقل والطعام</t>
  </si>
  <si>
    <t>مبلغ التأخير</t>
  </si>
  <si>
    <t>مبلغ الإضافي</t>
  </si>
  <si>
    <t>مبلغ النقل والطعام اليومي</t>
  </si>
  <si>
    <t>Calculations</t>
  </si>
  <si>
    <t>Salary</t>
  </si>
  <si>
    <t>Advance</t>
  </si>
  <si>
    <t>سجاد الحداد</t>
  </si>
  <si>
    <t>عبدالله الاسمر</t>
  </si>
  <si>
    <t>عبدالله عامر</t>
  </si>
  <si>
    <t>علي رجاء</t>
  </si>
  <si>
    <t>علي عدنان</t>
  </si>
  <si>
    <t>مصطفى عبد الخالق</t>
  </si>
  <si>
    <t>🧾 Salary Slip</t>
  </si>
  <si>
    <t>Employee</t>
  </si>
  <si>
    <t>Delay</t>
  </si>
  <si>
    <t>Overtime</t>
  </si>
  <si>
    <t>Transport &amp; Food</t>
  </si>
  <si>
    <t>Net Salary</t>
  </si>
  <si>
    <t>الـتأريخ</t>
  </si>
  <si>
    <t>الاضافي</t>
  </si>
  <si>
    <t>النقل و الطعام</t>
  </si>
  <si>
    <t>الراتب الكلي</t>
  </si>
  <si>
    <t>صافي الراتب</t>
  </si>
  <si>
    <t>راتب الشهر السابق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</si>
</sst>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[$ IQD   ]#,##0"/>
    <numFmt numFmtId="165" formatCode="yyyy/MM/dd"/>
    <numFmt numFmtId="166" formatCode="0.0"/>
    <numFmt numFmtId="167" formatCode="#,##0.0"/>
    <numFmt numFmtId="168" formatCode="[$IQD]#,##0"/>
    <numFmt numFmtId="169" formatCode="yyyy/m/d"/>
    <numFmt numFmtId="170" formatCode="[$$]#,##0"/>
    <numFmt numFmtId="171" formatCode="#,##0[$ IQD   ]"/>
    <numFmt numFmtId="172" formatCode="&quot; &quot;mmm"/>
    <numFmt numFmtId="173" formatCode="h:mm:ss am/pm"/>
  </numFmts>
  <fonts count="63">
    <font>
      <sz val="11.0"/>
      <color theme="1"/>
      <name val="Calibri"/>
      <scheme val="minor"/>
    </font>
    <font>
      <sz val="11.0"/>
      <color rgb="FFFFFFFF"/>
      <name val="Calibri"/>
    </font>
    <font>
      <b/>
      <sz val="11.0"/>
      <color rgb="FFFFFFFF"/>
      <name val="Calibri"/>
    </font>
    <font>
      <sz val="18.0"/>
      <color rgb="FFFFFFFF"/>
      <name val="Calibri"/>
    </font>
    <font>
      <color rgb="FFFFFFFF"/>
      <name val="Calibri"/>
    </font>
    <font>
      <b/>
      <sz val="11.0"/>
      <color rgb="FFFFFF00"/>
      <name val="Calibri"/>
    </font>
    <font>
      <sz val="11.0"/>
      <color rgb="FFFFFFFF"/>
      <name val="Calibri"/>
      <scheme val="minor"/>
    </font>
    <font>
      <color rgb="FFFFFFFF"/>
      <name val="Calibri"/>
      <scheme val="minor"/>
    </font>
    <font>
      <i/>
      <sz val="32.0"/>
      <color rgb="FFFFFFFF"/>
      <name val="Calibri"/>
    </font>
    <font>
      <b/>
      <i/>
      <sz val="17.0"/>
      <color rgb="FFFFFFFF"/>
      <name val="Calibri"/>
    </font>
    <font>
      <sz val="11.0"/>
      <color rgb="FFFFFF00"/>
      <name val="Calibri"/>
    </font>
    <font>
      <sz val="11.0"/>
      <color rgb="FFFFFF00"/>
      <name val="Google Sans"/>
    </font>
    <font>
      <b/>
      <sz val="16.0"/>
      <color rgb="FFFFFFFF"/>
      <name val="Calibri"/>
    </font>
    <font>
      <sz val="14.0"/>
      <color rgb="FFFFFFFF"/>
      <name val="Calibri"/>
    </font>
    <font>
      <b/>
      <i/>
      <sz val="16.0"/>
      <color rgb="FFFFFFFF"/>
      <name val="Calibri"/>
    </font>
    <font>
      <sz val="12.0"/>
      <color rgb="FFFFFFFF"/>
      <name val="Calibri"/>
    </font>
    <font/>
    <font>
      <sz val="16.0"/>
      <color rgb="FFFFFFFF"/>
      <name val="Calibri"/>
    </font>
    <font>
      <b/>
      <sz val="17.0"/>
      <color rgb="FFFFFFFF"/>
      <name val="Calibri"/>
    </font>
    <font>
      <sz val="15.0"/>
      <color rgb="FFFFFFFF"/>
      <name val="Calibri"/>
    </font>
    <font>
      <b/>
      <sz val="12.0"/>
      <color rgb="FF000000"/>
      <name val="Google Sans"/>
    </font>
    <font>
      <b/>
      <sz val="12.0"/>
      <color rgb="FF000000"/>
      <name val="Calibri"/>
    </font>
    <font>
      <b/>
      <sz val="13.0"/>
      <color rgb="FF000000"/>
      <name val="Calibri"/>
      <scheme val="minor"/>
    </font>
    <font>
      <b/>
      <sz val="13.0"/>
      <color rgb="FF000000"/>
      <name val="Calibri"/>
    </font>
    <font>
      <b/>
      <sz val="13.0"/>
      <color rgb="FF000000"/>
      <name val="Google Sans"/>
    </font>
    <font>
      <b/>
      <sz val="12.0"/>
      <color rgb="FFFFFFFF"/>
      <name val="Google Sans"/>
    </font>
    <font>
      <b/>
      <sz val="12.0"/>
      <color rgb="FFFFFFFF"/>
      <name val="Calibri"/>
    </font>
    <font>
      <b/>
      <sz val="13.0"/>
      <color theme="1"/>
      <name val="Calibri"/>
      <scheme val="minor"/>
    </font>
    <font>
      <b/>
      <sz val="13.0"/>
      <color rgb="FFFFFFFF"/>
      <name val="Calibri"/>
    </font>
    <font>
      <b/>
      <sz val="13.0"/>
      <color theme="1"/>
      <name val="Google Sans"/>
    </font>
    <font>
      <sz val="12.0"/>
      <color rgb="FF000000"/>
      <name val="Google Sans"/>
    </font>
    <font>
      <sz val="12.0"/>
      <color rgb="FF000000"/>
      <name val="Calibri"/>
    </font>
    <font>
      <sz val="11.0"/>
      <color rgb="FF000000"/>
      <name val="Calibri"/>
    </font>
    <font>
      <color theme="1"/>
      <name val="Google Sans"/>
    </font>
    <font>
      <sz val="11.0"/>
      <color rgb="FF000000"/>
      <name val="Google Sans"/>
    </font>
    <font>
      <sz val="11.0"/>
      <color theme="1"/>
      <name val="Calibri"/>
    </font>
    <font>
      <sz val="12.0"/>
      <color theme="1"/>
      <name val="Google Sans"/>
    </font>
    <font>
      <b/>
      <sz val="13.0"/>
      <color rgb="FFFFFF00"/>
      <name val="Calibri"/>
    </font>
    <font>
      <sz val="12.0"/>
      <color rgb="FFFFFF00"/>
      <name val="Calibri"/>
    </font>
    <font>
      <b/>
      <sz val="11.0"/>
      <color rgb="FFFF0000"/>
      <name val="Calibri"/>
    </font>
    <font>
      <b/>
      <sz val="11.0"/>
      <color theme="1"/>
      <name val="Calibri"/>
    </font>
    <font>
      <color theme="1"/>
      <name val="Calibri"/>
      <scheme val="minor"/>
    </font>
    <font>
      <color rgb="FF000000"/>
      <name val="Calibri"/>
      <scheme val="minor"/>
    </font>
    <font>
      <b/>
      <sz val="12.0"/>
      <color theme="1"/>
      <name val="Calibri"/>
    </font>
    <font>
      <b/>
      <sz val="12.0"/>
      <color theme="1"/>
      <name val="Google Sans"/>
    </font>
    <font>
      <sz val="11.0"/>
      <color theme="1"/>
      <name val="Google Sans"/>
    </font>
    <font>
      <sz val="16.0"/>
      <color rgb="FFFFFF00"/>
      <name val="Calibri"/>
    </font>
    <font>
      <sz val="15.0"/>
      <color rgb="FFFFFF00"/>
      <name val="Calibri"/>
    </font>
    <font>
      <b/>
      <sz val="15.0"/>
      <color rgb="FFFFFF00"/>
      <name val="Calibri"/>
    </font>
    <font>
      <sz val="12.0"/>
      <color theme="1"/>
      <name val="Calibri"/>
    </font>
    <font>
      <color theme="1"/>
      <name val="Calibri"/>
    </font>
    <font>
      <b/>
      <sz val="11.0"/>
      <color theme="1"/>
      <name val="Google Sans"/>
    </font>
    <font>
      <b/>
      <color theme="1"/>
      <name val="Google Sans"/>
    </font>
    <font>
      <b/>
      <color theme="1"/>
      <name val="Calibri"/>
    </font>
    <font>
      <b/>
      <sz val="36.0"/>
      <color rgb="FFFFFF00"/>
      <name val="Calibri"/>
    </font>
    <font>
      <b/>
      <sz val="14.0"/>
      <color rgb="FFFFFFFF"/>
      <name val="Calibri"/>
    </font>
    <font>
      <b/>
      <sz val="34.0"/>
      <color rgb="FF00FF00"/>
      <name val="Calibri"/>
    </font>
    <font>
      <b/>
      <color rgb="FFFFFFFF"/>
      <name val="Calibri"/>
    </font>
    <font>
      <b/>
      <color rgb="FFFFFFFF"/>
      <name val="Calibri"/>
      <scheme val="minor"/>
    </font>
    <font>
      <color rgb="FF1F1F1F"/>
      <name val="Calibri"/>
    </font>
    <font>
      <b/>
      <sz val="16.0"/>
      <color theme="1"/>
      <name val="Calibri"/>
      <scheme val="minor"/>
    </font>
    <font>
      <sz val="8.0"/>
      <color rgb="FF1F1F1F"/>
      <name val="&quot;Google Sans&quot;"/>
    </font>
    <font>
      <b/>
      <sz val="14.0"/>
      <color rgb="FF0000FF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323232"/>
        <bgColor rgb="FF323232"/>
      </patternFill>
    </fill>
    <fill>
      <patternFill patternType="solid">
        <fgColor rgb="FF1E1E1E"/>
        <bgColor rgb="FF1E1E1E"/>
      </patternFill>
    </fill>
    <fill>
      <patternFill patternType="solid">
        <fgColor rgb="FF434343"/>
        <bgColor rgb="FF434343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6F8F9"/>
        <bgColor rgb="FFF6F8F9"/>
      </patternFill>
    </fill>
    <fill>
      <patternFill patternType="solid">
        <fgColor rgb="FF121212"/>
        <bgColor rgb="FF121212"/>
      </patternFill>
    </fill>
    <fill>
      <patternFill patternType="solid">
        <fgColor rgb="FFFFE599"/>
        <bgColor rgb="FFFFE599"/>
      </patternFill>
    </fill>
  </fills>
  <borders count="52">
    <border/>
    <border>
      <left style="thin">
        <color rgb="FF323232"/>
      </left>
      <right style="thin">
        <color rgb="FF323232"/>
      </right>
      <top style="thin">
        <color rgb="FF323232"/>
      </top>
      <bottom style="thin">
        <color rgb="FF323232"/>
      </bottom>
    </border>
    <border>
      <left style="thin">
        <color rgb="FF323232"/>
      </left>
      <right style="thin">
        <color rgb="FF323232"/>
      </right>
      <top style="thin">
        <color rgb="FF323232"/>
      </top>
    </border>
    <border>
      <right style="thin">
        <color rgb="FF1F1F1F"/>
      </right>
      <top style="thin">
        <color rgb="FF1F1F1F"/>
      </top>
      <bottom style="thin">
        <color rgb="FF1F1F1F"/>
      </bottom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</border>
    <border>
      <left style="thin">
        <color rgb="FF323232"/>
      </left>
      <top style="thin">
        <color rgb="FF323232"/>
      </top>
      <bottom style="thin">
        <color rgb="FF323232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323232"/>
      </right>
      <top style="thin">
        <color rgb="FF323232"/>
      </top>
      <bottom style="thin">
        <color rgb="FF323232"/>
      </bottom>
    </border>
    <border>
      <left style="thin">
        <color rgb="FF323232"/>
      </left>
      <right style="thin">
        <color rgb="FF323232"/>
      </right>
      <bottom style="thin">
        <color rgb="FF323232"/>
      </bottom>
    </border>
    <border>
      <left style="thin">
        <color rgb="FF323232"/>
      </left>
      <right style="thin">
        <color rgb="FF323232"/>
      </right>
    </border>
    <border>
      <left style="thin">
        <color rgb="FF323232"/>
      </left>
      <bottom style="thin">
        <color rgb="FF323232"/>
      </bottom>
    </border>
    <border>
      <left style="thin">
        <color rgb="FF000000"/>
      </left>
      <bottom style="thick">
        <color rgb="FF000000"/>
      </bottom>
    </border>
    <border>
      <right style="thin">
        <color rgb="FF323232"/>
      </right>
      <bottom style="thin">
        <color rgb="FF323232"/>
      </bottom>
    </border>
    <border>
      <left style="thin">
        <color rgb="FF323232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323232"/>
      </right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bottom style="thin">
        <color rgb="FF323232"/>
      </bottom>
    </border>
    <border>
      <left style="thin">
        <color rgb="FF323232"/>
      </left>
      <top style="thin">
        <color rgb="FF323232"/>
      </top>
    </border>
    <border>
      <right style="thin">
        <color rgb="FF323232"/>
      </right>
      <top style="thin">
        <color rgb="FF323232"/>
      </top>
    </border>
    <border>
      <top style="thin">
        <color rgb="FF323232"/>
      </top>
    </border>
    <border>
      <top style="thin">
        <color rgb="FF323232"/>
      </top>
      <bottom style="thin">
        <color rgb="FF323232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n">
        <color rgb="FF1F1F1F"/>
      </left>
      <right style="thin">
        <color rgb="FF1F1F1F"/>
      </right>
      <bottom style="thin">
        <color rgb="FF1F1F1F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</border>
    <border>
      <left style="thin">
        <color rgb="FFBF0000"/>
      </left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F0000"/>
      </left>
      <right style="thin">
        <color rgb="FFD9D9D9"/>
      </right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/>
      <top/>
    </border>
    <border>
      <top/>
    </border>
    <border>
      <right/>
      <top/>
    </border>
    <border>
      <left/>
    </border>
    <border>
      <right/>
    </border>
    <border>
      <bottom/>
    </border>
    <border>
      <right/>
      <bottom/>
    </border>
    <border>
      <left/>
      <right/>
      <top/>
      <bottom/>
    </border>
    <border>
      <left/>
      <right/>
      <top/>
    </border>
    <border>
      <left/>
      <right/>
    </border>
    <border>
      <left/>
      <right/>
      <bottom/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/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/>
      <bottom style="thick">
        <color rgb="FF000000"/>
      </bottom>
    </border>
    <border>
      <left style="thin">
        <color rgb="FFC4C7C5"/>
      </left>
    </border>
  </borders>
  <cellStyleXfs count="1">
    <xf borderId="0" fillId="0" fontId="0" numFmtId="0" applyAlignment="1" applyFont="1"/>
  </cellStyleXfs>
  <cellXfs count="44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0" fillId="2" fontId="2" numFmtId="0" xfId="0" applyAlignment="1" applyFont="1">
      <alignment horizontal="center" readingOrder="0" shrinkToFit="0" vertical="center" wrapText="1"/>
    </xf>
    <xf borderId="0" fillId="2" fontId="3" numFmtId="0" xfId="0" applyAlignment="1" applyFont="1">
      <alignment horizontal="center" shrinkToFit="0" wrapText="1"/>
    </xf>
    <xf borderId="0" fillId="3" fontId="3" numFmtId="0" xfId="0" applyAlignment="1" applyFill="1" applyFont="1">
      <alignment horizontal="center" shrinkToFit="0" wrapText="1"/>
    </xf>
    <xf borderId="0" fillId="3" fontId="4" numFmtId="0" xfId="0" applyAlignment="1" applyFont="1">
      <alignment horizontal="center" shrinkToFit="0" wrapText="1"/>
    </xf>
    <xf borderId="1" fillId="2" fontId="1" numFmtId="0" xfId="0" applyAlignment="1" applyBorder="1" applyFont="1">
      <alignment horizontal="center" shrinkToFit="0" wrapText="1"/>
    </xf>
    <xf borderId="2" fillId="2" fontId="2" numFmtId="0" xfId="0" applyAlignment="1" applyBorder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shrinkToFit="0" wrapText="1"/>
    </xf>
    <xf borderId="1" fillId="2" fontId="3" numFmtId="0" xfId="0" applyAlignment="1" applyBorder="1" applyFont="1">
      <alignment horizontal="center" shrinkToFit="0" wrapText="1"/>
    </xf>
    <xf borderId="3" fillId="3" fontId="3" numFmtId="0" xfId="0" applyAlignment="1" applyBorder="1" applyFont="1">
      <alignment horizontal="center" shrinkToFit="0" wrapText="1"/>
    </xf>
    <xf borderId="4" fillId="3" fontId="3" numFmtId="0" xfId="0" applyAlignment="1" applyBorder="1" applyFont="1">
      <alignment horizontal="center" shrinkToFit="0" wrapText="1"/>
    </xf>
    <xf borderId="4" fillId="3" fontId="4" numFmtId="0" xfId="0" applyAlignment="1" applyBorder="1" applyFont="1">
      <alignment horizontal="center" shrinkToFit="0" wrapText="1"/>
    </xf>
    <xf borderId="1" fillId="2" fontId="1" numFmtId="0" xfId="0" applyAlignment="1" applyBorder="1" applyFont="1">
      <alignment shrinkToFit="0" wrapText="1"/>
    </xf>
    <xf borderId="5" fillId="2" fontId="1" numFmtId="0" xfId="0" applyAlignment="1" applyBorder="1" applyFont="1">
      <alignment shrinkToFit="0" wrapText="1"/>
    </xf>
    <xf borderId="6" fillId="4" fontId="5" numFmtId="0" xfId="0" applyAlignment="1" applyBorder="1" applyFill="1" applyFont="1">
      <alignment horizontal="center" readingOrder="0" shrinkToFit="0" vertical="center" wrapText="1"/>
    </xf>
    <xf borderId="6" fillId="5" fontId="1" numFmtId="0" xfId="0" applyAlignment="1" applyBorder="1" applyFill="1" applyFont="1">
      <alignment shrinkToFit="0" wrapText="1"/>
    </xf>
    <xf borderId="7" fillId="2" fontId="1" numFmtId="0" xfId="0" applyAlignment="1" applyBorder="1" applyFont="1">
      <alignment shrinkToFit="0" wrapText="1"/>
    </xf>
    <xf borderId="1" fillId="2" fontId="6" numFmtId="0" xfId="0" applyBorder="1" applyFont="1"/>
    <xf borderId="1" fillId="2" fontId="4" numFmtId="0" xfId="0" applyAlignment="1" applyBorder="1" applyFont="1">
      <alignment shrinkToFit="0" wrapText="1"/>
    </xf>
    <xf borderId="3" fillId="3" fontId="4" numFmtId="0" xfId="0" applyAlignment="1" applyBorder="1" applyFont="1">
      <alignment shrinkToFit="0" wrapText="1"/>
    </xf>
    <xf borderId="4" fillId="3" fontId="7" numFmtId="0" xfId="0" applyBorder="1" applyFont="1"/>
    <xf borderId="4" fillId="3" fontId="8" numFmtId="0" xfId="0" applyAlignment="1" applyBorder="1" applyFont="1">
      <alignment horizontal="center" readingOrder="0" shrinkToFit="0" vertical="center" wrapText="1"/>
    </xf>
    <xf borderId="4" fillId="3" fontId="9" numFmtId="0" xfId="0" applyAlignment="1" applyBorder="1" applyFont="1">
      <alignment horizontal="center" readingOrder="0" shrinkToFit="0" vertical="center" wrapText="1"/>
    </xf>
    <xf borderId="8" fillId="2" fontId="1" numFmtId="0" xfId="0" applyAlignment="1" applyBorder="1" applyFont="1">
      <alignment shrinkToFit="0" wrapText="1"/>
    </xf>
    <xf borderId="9" fillId="2" fontId="1" numFmtId="0" xfId="0" applyAlignment="1" applyBorder="1" applyFont="1">
      <alignment shrinkToFit="0" wrapText="1"/>
    </xf>
    <xf borderId="8" fillId="2" fontId="1" numFmtId="0" xfId="0" applyAlignment="1" applyBorder="1" applyFont="1">
      <alignment horizontal="center" readingOrder="0" shrinkToFit="0" vertical="center" wrapText="1"/>
    </xf>
    <xf borderId="8" fillId="2" fontId="1" numFmtId="0" xfId="0" applyAlignment="1" applyBorder="1" applyFont="1">
      <alignment horizontal="center" shrinkToFit="0" vertical="center" wrapText="1"/>
    </xf>
    <xf borderId="10" fillId="2" fontId="1" numFmtId="0" xfId="0" applyAlignment="1" applyBorder="1" applyFont="1">
      <alignment horizontal="center" shrinkToFit="0" vertical="center" wrapText="1"/>
    </xf>
    <xf borderId="10" fillId="2" fontId="1" numFmtId="0" xfId="0" applyAlignment="1" applyBorder="1" applyFont="1">
      <alignment shrinkToFit="0" wrapText="1"/>
    </xf>
    <xf borderId="11" fillId="5" fontId="1" numFmtId="0" xfId="0" applyAlignment="1" applyBorder="1" applyFont="1">
      <alignment shrinkToFit="0" wrapText="1"/>
    </xf>
    <xf borderId="12" fillId="2" fontId="1" numFmtId="0" xfId="0" applyAlignment="1" applyBorder="1" applyFont="1">
      <alignment shrinkToFit="0" wrapText="1"/>
    </xf>
    <xf borderId="8" fillId="2" fontId="6" numFmtId="0" xfId="0" applyBorder="1" applyFont="1"/>
    <xf borderId="8" fillId="2" fontId="4" numFmtId="0" xfId="0" applyAlignment="1" applyBorder="1" applyFont="1">
      <alignment shrinkToFit="0" wrapText="1"/>
    </xf>
    <xf borderId="9" fillId="2" fontId="1" numFmtId="0" xfId="0" applyAlignment="1" applyBorder="1" applyFont="1">
      <alignment horizontal="center" readingOrder="0" shrinkToFit="0" vertical="center" wrapText="1"/>
    </xf>
    <xf borderId="9" fillId="2" fontId="1" numFmtId="0" xfId="0" applyAlignment="1" applyBorder="1" applyFont="1">
      <alignment horizontal="center" shrinkToFit="0" vertical="center" wrapText="1"/>
    </xf>
    <xf borderId="13" fillId="2" fontId="1" numFmtId="0" xfId="0" applyAlignment="1" applyBorder="1" applyFont="1">
      <alignment horizontal="center" shrinkToFit="0" vertical="center" wrapText="1"/>
    </xf>
    <xf borderId="14" fillId="4" fontId="10" numFmtId="164" xfId="0" applyAlignment="1" applyBorder="1" applyFont="1" applyNumberFormat="1">
      <alignment horizontal="center" readingOrder="0" shrinkToFit="0" vertical="center" wrapText="1"/>
    </xf>
    <xf borderId="15" fillId="2" fontId="1" numFmtId="0" xfId="0" applyAlignment="1" applyBorder="1" applyFont="1">
      <alignment shrinkToFit="0" wrapText="1"/>
    </xf>
    <xf borderId="13" fillId="2" fontId="1" numFmtId="0" xfId="0" applyAlignment="1" applyBorder="1" applyFont="1">
      <alignment shrinkToFit="0" wrapText="1"/>
    </xf>
    <xf borderId="0" fillId="2" fontId="1" numFmtId="0" xfId="0" applyAlignment="1" applyFont="1">
      <alignment shrinkToFit="0" wrapText="1"/>
    </xf>
    <xf borderId="6" fillId="4" fontId="11" numFmtId="164" xfId="0" applyAlignment="1" applyBorder="1" applyFont="1" applyNumberFormat="1">
      <alignment horizontal="center" shrinkToFit="0" vertical="center" wrapText="1"/>
    </xf>
    <xf borderId="16" fillId="5" fontId="1" numFmtId="164" xfId="0" applyAlignment="1" applyBorder="1" applyFont="1" applyNumberFormat="1">
      <alignment horizontal="center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2" fontId="1" numFmtId="0" xfId="0" applyAlignment="1" applyFont="1">
      <alignment horizontal="center" shrinkToFit="0" vertical="center" wrapText="1"/>
    </xf>
    <xf borderId="8" fillId="2" fontId="2" numFmtId="0" xfId="0" applyAlignment="1" applyBorder="1" applyFont="1">
      <alignment horizontal="center" readingOrder="0" shrinkToFit="0" vertical="center" wrapText="1"/>
    </xf>
    <xf borderId="9" fillId="2" fontId="4" numFmtId="0" xfId="0" applyAlignment="1" applyBorder="1" applyFont="1">
      <alignment shrinkToFit="0" wrapText="1"/>
    </xf>
    <xf borderId="4" fillId="3" fontId="12" numFmtId="0" xfId="0" applyAlignment="1" applyBorder="1" applyFont="1">
      <alignment horizontal="center" readingOrder="0" shrinkToFit="0" vertical="center" wrapText="1"/>
    </xf>
    <xf borderId="4" fillId="3" fontId="13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17" fillId="5" fontId="1" numFmtId="0" xfId="0" applyAlignment="1" applyBorder="1" applyFont="1">
      <alignment horizontal="center" shrinkToFit="0" wrapText="1"/>
    </xf>
    <xf borderId="6" fillId="5" fontId="1" numFmtId="0" xfId="0" applyAlignment="1" applyBorder="1" applyFont="1">
      <alignment horizontal="center" shrinkToFit="0" wrapText="1"/>
    </xf>
    <xf borderId="9" fillId="2" fontId="6" numFmtId="0" xfId="0" applyBorder="1" applyFont="1"/>
    <xf borderId="18" fillId="4" fontId="10" numFmtId="165" xfId="0" applyAlignment="1" applyBorder="1" applyFont="1" applyNumberFormat="1">
      <alignment horizontal="center" readingOrder="0" shrinkToFit="0" vertical="center" wrapText="1"/>
    </xf>
    <xf borderId="4" fillId="3" fontId="14" numFmtId="0" xfId="0" applyAlignment="1" applyBorder="1" applyFont="1">
      <alignment horizontal="center" readingOrder="0" shrinkToFit="0" vertical="center" wrapText="1"/>
    </xf>
    <xf borderId="19" fillId="2" fontId="1" numFmtId="0" xfId="0" applyAlignment="1" applyBorder="1" applyFont="1">
      <alignment shrinkToFit="0" wrapText="1"/>
    </xf>
    <xf borderId="20" fillId="2" fontId="6" numFmtId="0" xfId="0" applyBorder="1" applyFont="1"/>
    <xf borderId="18" fillId="4" fontId="11" numFmtId="165" xfId="0" applyAlignment="1" applyBorder="1" applyFont="1" applyNumberFormat="1">
      <alignment horizontal="center" readingOrder="0" shrinkToFit="0" vertical="center" wrapText="1"/>
    </xf>
    <xf borderId="2" fillId="2" fontId="15" numFmtId="0" xfId="0" applyAlignment="1" applyBorder="1" applyFont="1">
      <alignment horizontal="left" readingOrder="0" shrinkToFit="0" vertical="center" wrapText="1"/>
    </xf>
    <xf borderId="2" fillId="2" fontId="4" numFmtId="0" xfId="0" applyAlignment="1" applyBorder="1" applyFont="1">
      <alignment horizontal="left" shrinkToFit="0" wrapText="1"/>
    </xf>
    <xf borderId="20" fillId="2" fontId="1" numFmtId="0" xfId="0" applyAlignment="1" applyBorder="1" applyFont="1">
      <alignment horizontal="center" readingOrder="0" shrinkToFit="0" vertical="center" wrapText="1"/>
    </xf>
    <xf borderId="15" fillId="2" fontId="1" numFmtId="0" xfId="0" applyAlignment="1" applyBorder="1" applyFont="1">
      <alignment horizontal="center" readingOrder="0" shrinkToFit="0" vertical="center" wrapText="1"/>
    </xf>
    <xf borderId="2" fillId="2" fontId="1" numFmtId="0" xfId="0" applyAlignment="1" applyBorder="1" applyFont="1">
      <alignment shrinkToFit="0" wrapText="1"/>
    </xf>
    <xf borderId="21" fillId="2" fontId="1" numFmtId="0" xfId="0" applyAlignment="1" applyBorder="1" applyFont="1">
      <alignment horizontal="center" readingOrder="0" shrinkToFit="0" vertical="center" wrapText="1"/>
    </xf>
    <xf borderId="20" fillId="2" fontId="1" numFmtId="0" xfId="0" applyAlignment="1" applyBorder="1" applyFont="1">
      <alignment horizontal="center" shrinkToFit="0" wrapText="1"/>
    </xf>
    <xf borderId="22" fillId="4" fontId="11" numFmtId="0" xfId="0" applyAlignment="1" applyBorder="1" applyFont="1">
      <alignment horizontal="center" shrinkToFit="0" vertical="center" wrapText="1"/>
    </xf>
    <xf borderId="19" fillId="2" fontId="15" numFmtId="0" xfId="0" applyAlignment="1" applyBorder="1" applyFont="1">
      <alignment horizontal="left" readingOrder="0" shrinkToFit="0" vertical="center" wrapText="1"/>
    </xf>
    <xf borderId="20" fillId="0" fontId="16" numFmtId="0" xfId="0" applyBorder="1" applyFont="1"/>
    <xf borderId="4" fillId="3" fontId="13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wrapText="1"/>
    </xf>
    <xf borderId="22" fillId="4" fontId="10" numFmtId="0" xfId="0" applyAlignment="1" applyBorder="1" applyFont="1">
      <alignment horizontal="center" shrinkToFit="0" vertical="center" wrapText="1"/>
    </xf>
    <xf borderId="2" fillId="2" fontId="15" numFmtId="0" xfId="0" applyAlignment="1" applyBorder="1" applyFont="1">
      <alignment horizontal="left" shrinkToFit="0" vertical="center" wrapText="1"/>
    </xf>
    <xf borderId="4" fillId="3" fontId="4" numFmtId="0" xfId="0" applyAlignment="1" applyBorder="1" applyFont="1">
      <alignment horizontal="center" shrinkToFit="0" vertical="center" wrapText="1"/>
    </xf>
    <xf borderId="4" fillId="3" fontId="12" numFmtId="0" xfId="0" applyAlignment="1" applyBorder="1" applyFont="1">
      <alignment horizontal="center" shrinkToFit="0" vertical="center" wrapText="1"/>
    </xf>
    <xf borderId="4" fillId="3" fontId="4" numFmtId="0" xfId="0" applyAlignment="1" applyBorder="1" applyFont="1">
      <alignment shrinkToFit="0" wrapText="1"/>
    </xf>
    <xf borderId="9" fillId="2" fontId="1" numFmtId="0" xfId="0" applyAlignment="1" applyBorder="1" applyFont="1">
      <alignment horizontal="center" shrinkToFit="0" wrapText="1"/>
    </xf>
    <xf borderId="2" fillId="2" fontId="1" numFmtId="0" xfId="0" applyAlignment="1" applyBorder="1" applyFont="1">
      <alignment horizontal="center" readingOrder="0" shrinkToFit="0" vertical="center" wrapText="1"/>
    </xf>
    <xf borderId="19" fillId="2" fontId="15" numFmtId="0" xfId="0" applyAlignment="1" applyBorder="1" applyFont="1">
      <alignment horizontal="left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3" fontId="4" numFmtId="0" xfId="0" applyAlignment="1" applyBorder="1" applyFont="1">
      <alignment horizontal="center" shrinkToFit="0" vertical="center" wrapText="1"/>
    </xf>
    <xf borderId="4" fillId="3" fontId="7" numFmtId="0" xfId="0" applyAlignment="1" applyBorder="1" applyFont="1">
      <alignment horizontal="center" vertical="center"/>
    </xf>
    <xf borderId="4" fillId="3" fontId="13" numFmtId="0" xfId="0" applyAlignment="1" applyBorder="1" applyFont="1">
      <alignment horizontal="center" shrinkToFit="0" vertical="center" wrapText="1"/>
    </xf>
    <xf borderId="4" fillId="3" fontId="7" numFmtId="0" xfId="0" applyAlignment="1" applyBorder="1" applyFont="1">
      <alignment horizontal="center" shrinkToFit="0" vertical="center" wrapText="1"/>
    </xf>
    <xf borderId="16" fillId="5" fontId="1" numFmtId="0" xfId="0" applyAlignment="1" applyBorder="1" applyFont="1">
      <alignment horizontal="center" shrinkToFit="0" vertical="center" wrapText="1"/>
    </xf>
    <xf borderId="0" fillId="2" fontId="1" numFmtId="164" xfId="0" applyAlignment="1" applyFont="1" applyNumberFormat="1">
      <alignment horizontal="center" shrinkToFit="0" vertical="center" wrapText="1"/>
    </xf>
    <xf borderId="0" fillId="2" fontId="1" numFmtId="164" xfId="0" applyAlignment="1" applyFont="1" applyNumberFormat="1">
      <alignment horizontal="center" readingOrder="0" shrinkToFit="0" vertical="center" wrapText="1"/>
    </xf>
    <xf borderId="6" fillId="4" fontId="11" numFmtId="164" xfId="0" applyAlignment="1" applyBorder="1" applyFont="1" applyNumberFormat="1">
      <alignment horizontal="center" readingOrder="0" shrinkToFit="0" vertical="center" wrapText="1"/>
    </xf>
    <xf borderId="2" fillId="2" fontId="6" numFmtId="0" xfId="0" applyBorder="1" applyFont="1"/>
    <xf borderId="22" fillId="4" fontId="11" numFmtId="166" xfId="0" applyAlignment="1" applyBorder="1" applyFont="1" applyNumberFormat="1">
      <alignment horizontal="center" shrinkToFit="0" vertical="center" wrapText="1"/>
    </xf>
    <xf borderId="2" fillId="2" fontId="13" numFmtId="0" xfId="0" applyAlignment="1" applyBorder="1" applyFont="1">
      <alignment horizontal="left" shrinkToFit="0" wrapText="1"/>
    </xf>
    <xf borderId="3" fillId="3" fontId="13" numFmtId="0" xfId="0" applyAlignment="1" applyBorder="1" applyFont="1">
      <alignment shrinkToFit="0" wrapText="1"/>
    </xf>
    <xf borderId="4" fillId="3" fontId="13" numFmtId="0" xfId="0" applyAlignment="1" applyBorder="1" applyFont="1">
      <alignment horizontal="center" shrinkToFit="0" vertical="center" wrapText="1"/>
    </xf>
    <xf borderId="17" fillId="5" fontId="1" numFmtId="0" xfId="0" applyAlignment="1" applyBorder="1" applyFont="1">
      <alignment shrinkToFit="0" wrapText="1"/>
    </xf>
    <xf borderId="0" fillId="2" fontId="6" numFmtId="0" xfId="0" applyFont="1"/>
    <xf borderId="0" fillId="2" fontId="7" numFmtId="0" xfId="0" applyFont="1"/>
    <xf borderId="4" fillId="3" fontId="17" numFmtId="0" xfId="0" applyAlignment="1" applyBorder="1" applyFont="1">
      <alignment horizontal="center" readingOrder="0" shrinkToFit="0" vertical="center" wrapText="1"/>
    </xf>
    <xf borderId="4" fillId="3" fontId="13" numFmtId="164" xfId="0" applyAlignment="1" applyBorder="1" applyFont="1" applyNumberFormat="1">
      <alignment horizontal="center" shrinkToFit="0" vertical="center" wrapText="1"/>
    </xf>
    <xf borderId="9" fillId="2" fontId="7" numFmtId="0" xfId="0" applyBorder="1" applyFont="1"/>
    <xf borderId="2" fillId="2" fontId="7" numFmtId="0" xfId="0" applyBorder="1" applyFont="1"/>
    <xf borderId="8" fillId="2" fontId="1" numFmtId="0" xfId="0" applyAlignment="1" applyBorder="1" applyFont="1">
      <alignment horizontal="center" shrinkToFit="0" wrapText="1"/>
    </xf>
    <xf borderId="1" fillId="2" fontId="1" numFmtId="0" xfId="0" applyAlignment="1" applyBorder="1" applyFont="1">
      <alignment horizontal="center" shrinkToFit="0" wrapText="1"/>
    </xf>
    <xf borderId="5" fillId="2" fontId="1" numFmtId="0" xfId="0" applyAlignment="1" applyBorder="1" applyFont="1">
      <alignment horizontal="center" shrinkToFit="0" wrapText="1"/>
    </xf>
    <xf borderId="6" fillId="4" fontId="11" numFmtId="167" xfId="0" applyAlignment="1" applyBorder="1" applyFont="1" applyNumberFormat="1">
      <alignment horizontal="center" shrinkToFit="0" vertical="center" wrapText="1"/>
    </xf>
    <xf borderId="0" fillId="2" fontId="6" numFmtId="3" xfId="0" applyAlignment="1" applyFont="1" applyNumberFormat="1">
      <alignment horizontal="center" shrinkToFit="0" vertical="center" wrapText="1"/>
    </xf>
    <xf borderId="0" fillId="2" fontId="1" numFmtId="167" xfId="0" applyAlignment="1" applyFont="1" applyNumberFormat="1">
      <alignment horizontal="center" readingOrder="0" shrinkToFit="0" vertical="center" wrapText="1"/>
    </xf>
    <xf borderId="3" fillId="3" fontId="13" numFmtId="0" xfId="0" applyAlignment="1" applyBorder="1" applyFont="1">
      <alignment horizontal="center" shrinkToFit="0" wrapText="1"/>
    </xf>
    <xf borderId="4" fillId="3" fontId="13" numFmtId="164" xfId="0" applyAlignment="1" applyBorder="1" applyFont="1" applyNumberFormat="1">
      <alignment horizontal="center" shrinkToFit="0" vertical="center" wrapText="1"/>
    </xf>
    <xf borderId="4" fillId="3" fontId="18" numFmtId="0" xfId="0" applyAlignment="1" applyBorder="1" applyFont="1">
      <alignment horizontal="center" readingOrder="0" shrinkToFit="0" vertical="center" wrapText="1"/>
    </xf>
    <xf borderId="21" fillId="4" fontId="10" numFmtId="0" xfId="0" applyAlignment="1" applyBorder="1" applyFont="1">
      <alignment horizontal="center" shrinkToFit="0" vertical="center" wrapText="1"/>
    </xf>
    <xf borderId="4" fillId="3" fontId="13" numFmtId="0" xfId="0" applyAlignment="1" applyBorder="1" applyFont="1">
      <alignment horizontal="center" readingOrder="0" shrinkToFit="0" vertical="center" wrapText="1"/>
    </xf>
    <xf borderId="21" fillId="4" fontId="11" numFmtId="0" xfId="0" applyAlignment="1" applyBorder="1" applyFont="1">
      <alignment horizontal="center" shrinkToFit="0" vertical="center" wrapText="1"/>
    </xf>
    <xf borderId="1" fillId="2" fontId="15" numFmtId="0" xfId="0" applyAlignment="1" applyBorder="1" applyFont="1">
      <alignment horizontal="left" readingOrder="0" shrinkToFit="0" vertical="center" wrapText="1"/>
    </xf>
    <xf borderId="1" fillId="2" fontId="13" numFmtId="0" xfId="0" applyAlignment="1" applyBorder="1" applyFont="1">
      <alignment horizontal="left" shrinkToFit="0" wrapText="1"/>
    </xf>
    <xf borderId="0" fillId="2" fontId="6" numFmtId="168" xfId="0" applyAlignment="1" applyFont="1" applyNumberFormat="1">
      <alignment horizontal="center" shrinkToFit="0" vertical="center" wrapText="1"/>
    </xf>
    <xf borderId="18" fillId="2" fontId="1" numFmtId="0" xfId="0" applyAlignment="1" applyBorder="1" applyFont="1">
      <alignment horizontal="center" readingOrder="0" shrinkToFit="0" vertical="center" wrapText="1"/>
    </xf>
    <xf borderId="10" fillId="2" fontId="1" numFmtId="0" xfId="0" applyAlignment="1" applyBorder="1" applyFont="1">
      <alignment horizontal="center" shrinkToFit="0" wrapText="1"/>
    </xf>
    <xf borderId="21" fillId="4" fontId="11" numFmtId="2" xfId="0" applyAlignment="1" applyBorder="1" applyFont="1" applyNumberFormat="1">
      <alignment horizontal="center" shrinkToFit="0" vertical="center" wrapText="1"/>
    </xf>
    <xf borderId="8" fillId="2" fontId="15" numFmtId="0" xfId="0" applyAlignment="1" applyBorder="1" applyFont="1">
      <alignment horizontal="left" readingOrder="0" shrinkToFit="0" wrapText="1"/>
    </xf>
    <xf borderId="8" fillId="2" fontId="13" numFmtId="0" xfId="0" applyAlignment="1" applyBorder="1" applyFont="1">
      <alignment horizontal="left" shrinkToFit="0" wrapText="1"/>
    </xf>
    <xf borderId="4" fillId="3" fontId="13" numFmtId="164" xfId="0" applyAlignment="1" applyBorder="1" applyFont="1" applyNumberFormat="1">
      <alignment horizontal="center" readingOrder="0" shrinkToFit="0" vertical="center" wrapText="1"/>
    </xf>
    <xf borderId="4" fillId="3" fontId="17" numFmtId="0" xfId="0" applyAlignment="1" applyBorder="1" applyFont="1">
      <alignment horizontal="center" shrinkToFit="0" vertical="center" wrapText="1"/>
    </xf>
    <xf borderId="0" fillId="2" fontId="7" numFmtId="0" xfId="0" applyAlignment="1" applyFont="1">
      <alignment horizontal="center" readingOrder="0" vertical="center"/>
    </xf>
    <xf borderId="12" fillId="2" fontId="7" numFmtId="0" xfId="0" applyBorder="1" applyFont="1"/>
    <xf borderId="21" fillId="4" fontId="10" numFmtId="2" xfId="0" applyAlignment="1" applyBorder="1" applyFont="1" applyNumberFormat="1">
      <alignment horizontal="center" shrinkToFit="0" vertical="center" wrapText="1"/>
    </xf>
    <xf borderId="8" fillId="2" fontId="13" numFmtId="0" xfId="0" applyAlignment="1" applyBorder="1" applyFont="1">
      <alignment horizontal="center" shrinkToFit="0" wrapText="1"/>
    </xf>
    <xf borderId="8" fillId="2" fontId="7" numFmtId="0" xfId="0" applyBorder="1" applyFont="1"/>
    <xf borderId="13" fillId="2" fontId="7" numFmtId="0" xfId="0" applyAlignment="1" applyBorder="1" applyFont="1">
      <alignment horizontal="center" readingOrder="0" vertical="center"/>
    </xf>
    <xf borderId="15" fillId="0" fontId="16" numFmtId="0" xfId="0" applyBorder="1" applyFont="1"/>
    <xf borderId="1" fillId="2" fontId="7" numFmtId="0" xfId="0" applyBorder="1" applyFont="1"/>
    <xf borderId="5" fillId="2" fontId="7" numFmtId="0" xfId="0" applyBorder="1" applyFont="1"/>
    <xf borderId="23" fillId="4" fontId="11" numFmtId="168" xfId="0" applyAlignment="1" applyBorder="1" applyFont="1" applyNumberFormat="1">
      <alignment horizontal="center" shrinkToFit="0" vertical="center" wrapText="1"/>
    </xf>
    <xf borderId="24" fillId="0" fontId="16" numFmtId="0" xfId="0" applyBorder="1" applyFont="1"/>
    <xf borderId="16" fillId="0" fontId="16" numFmtId="0" xfId="0" applyBorder="1" applyFont="1"/>
    <xf borderId="16" fillId="5" fontId="7" numFmtId="0" xfId="0" applyBorder="1" applyFont="1"/>
    <xf borderId="7" fillId="2" fontId="7" numFmtId="0" xfId="0" applyBorder="1" applyFont="1"/>
    <xf borderId="1" fillId="2" fontId="13" numFmtId="0" xfId="0" applyAlignment="1" applyBorder="1" applyFont="1">
      <alignment horizontal="center" readingOrder="0" shrinkToFit="0" vertical="center" wrapText="1"/>
    </xf>
    <xf borderId="1" fillId="2" fontId="13" numFmtId="0" xfId="0" applyAlignment="1" applyBorder="1" applyFont="1">
      <alignment horizontal="center" shrinkToFit="0" wrapText="1"/>
    </xf>
    <xf borderId="4" fillId="3" fontId="18" numFmtId="0" xfId="0" applyAlignment="1" applyBorder="1" applyFont="1">
      <alignment horizontal="center" shrinkToFit="0" vertical="center" wrapText="1"/>
    </xf>
    <xf borderId="10" fillId="2" fontId="7" numFmtId="0" xfId="0" applyBorder="1" applyFont="1"/>
    <xf borderId="25" fillId="5" fontId="7" numFmtId="0" xfId="0" applyBorder="1" applyFont="1"/>
    <xf borderId="6" fillId="5" fontId="7" numFmtId="0" xfId="0" applyBorder="1" applyFont="1"/>
    <xf borderId="1" fillId="2" fontId="19" numFmtId="0" xfId="0" applyAlignment="1" applyBorder="1" applyFont="1">
      <alignment horizontal="center" readingOrder="0" shrinkToFit="0" vertical="center" wrapText="1"/>
    </xf>
    <xf borderId="4" fillId="3" fontId="7" numFmtId="0" xfId="0" applyAlignment="1" applyBorder="1" applyFont="1">
      <alignment horizontal="center" readingOrder="0" shrinkToFit="0" vertical="center" wrapText="1"/>
    </xf>
    <xf borderId="1" fillId="2" fontId="4" numFmtId="0" xfId="0" applyAlignment="1" applyBorder="1" applyFont="1">
      <alignment horizontal="center" shrinkToFit="0" wrapText="1"/>
    </xf>
    <xf borderId="3" fillId="3" fontId="4" numFmtId="0" xfId="0" applyAlignment="1" applyBorder="1" applyFont="1">
      <alignment horizontal="center" shrinkToFit="0" wrapText="1"/>
    </xf>
    <xf borderId="26" fillId="3" fontId="1" numFmtId="0" xfId="0" applyAlignment="1" applyBorder="1" applyFont="1">
      <alignment horizontal="center" shrinkToFit="0" wrapText="1"/>
    </xf>
    <xf borderId="26" fillId="3" fontId="4" numFmtId="0" xfId="0" applyAlignment="1" applyBorder="1" applyFont="1">
      <alignment horizontal="center" shrinkToFit="0" wrapText="1"/>
    </xf>
    <xf borderId="4" fillId="3" fontId="1" numFmtId="0" xfId="0" applyAlignment="1" applyBorder="1" applyFont="1">
      <alignment horizontal="center" shrinkToFit="0" wrapText="1"/>
    </xf>
    <xf borderId="0" fillId="6" fontId="20" numFmtId="0" xfId="0" applyAlignment="1" applyFill="1" applyFont="1">
      <alignment horizontal="center" readingOrder="0" vertical="center"/>
    </xf>
    <xf borderId="0" fillId="6" fontId="21" numFmtId="0" xfId="0" applyAlignment="1" applyFont="1">
      <alignment horizontal="center" readingOrder="0" vertical="center"/>
    </xf>
    <xf borderId="0" fillId="6" fontId="20" numFmtId="168" xfId="0" applyAlignment="1" applyFont="1" applyNumberFormat="1">
      <alignment horizontal="center" readingOrder="0" vertical="center"/>
    </xf>
    <xf borderId="0" fillId="6" fontId="22" numFmtId="0" xfId="0" applyAlignment="1" applyFont="1">
      <alignment vertical="center"/>
    </xf>
    <xf borderId="0" fillId="6" fontId="23" numFmtId="168" xfId="0" applyAlignment="1" applyFont="1" applyNumberFormat="1">
      <alignment horizontal="center" readingOrder="0" vertical="center"/>
    </xf>
    <xf borderId="0" fillId="6" fontId="24" numFmtId="168" xfId="0" applyAlignment="1" applyFont="1" applyNumberFormat="1">
      <alignment horizontal="center" vertical="center"/>
    </xf>
    <xf borderId="27" fillId="5" fontId="25" numFmtId="0" xfId="0" applyAlignment="1" applyBorder="1" applyFont="1">
      <alignment horizontal="center" readingOrder="0" vertical="center"/>
    </xf>
    <xf borderId="27" fillId="5" fontId="26" numFmtId="0" xfId="0" applyAlignment="1" applyBorder="1" applyFont="1">
      <alignment horizontal="center" readingOrder="0" vertical="center"/>
    </xf>
    <xf borderId="27" fillId="5" fontId="25" numFmtId="168" xfId="0" applyAlignment="1" applyBorder="1" applyFont="1" applyNumberFormat="1">
      <alignment horizontal="center" readingOrder="0" vertical="center"/>
    </xf>
    <xf borderId="0" fillId="0" fontId="27" numFmtId="0" xfId="0" applyAlignment="1" applyFont="1">
      <alignment vertical="center"/>
    </xf>
    <xf borderId="27" fillId="5" fontId="28" numFmtId="0" xfId="0" applyAlignment="1" applyBorder="1" applyFont="1">
      <alignment horizontal="center" readingOrder="0" vertical="center"/>
    </xf>
    <xf borderId="0" fillId="0" fontId="29" numFmtId="168" xfId="0" applyAlignment="1" applyFont="1" applyNumberFormat="1">
      <alignment horizontal="center" vertical="center"/>
    </xf>
    <xf borderId="27" fillId="5" fontId="26" numFmtId="168" xfId="0" applyAlignment="1" applyBorder="1" applyFont="1" applyNumberFormat="1">
      <alignment horizontal="center" readingOrder="0" vertical="center"/>
    </xf>
    <xf borderId="27" fillId="7" fontId="30" numFmtId="165" xfId="0" applyAlignment="1" applyBorder="1" applyFill="1" applyFont="1" applyNumberFormat="1">
      <alignment horizontal="center" vertical="center"/>
    </xf>
    <xf borderId="27" fillId="7" fontId="31" numFmtId="0" xfId="0" applyAlignment="1" applyBorder="1" applyFont="1">
      <alignment horizontal="center" vertical="center"/>
    </xf>
    <xf borderId="27" fillId="7" fontId="30" numFmtId="168" xfId="0" applyAlignment="1" applyBorder="1" applyFont="1" applyNumberFormat="1">
      <alignment horizontal="center" vertical="center"/>
    </xf>
    <xf borderId="27" fillId="7" fontId="32" numFmtId="165" xfId="0" applyAlignment="1" applyBorder="1" applyFont="1" applyNumberFormat="1">
      <alignment horizontal="center" vertical="center"/>
    </xf>
    <xf borderId="0" fillId="0" fontId="33" numFmtId="168" xfId="0" applyAlignment="1" applyFont="1" applyNumberFormat="1">
      <alignment horizontal="center" vertical="center"/>
    </xf>
    <xf borderId="27" fillId="7" fontId="30" numFmtId="168" xfId="0" applyAlignment="1" applyBorder="1" applyFont="1" applyNumberFormat="1">
      <alignment horizontal="center" readingOrder="0" vertical="center"/>
    </xf>
    <xf borderId="27" fillId="7" fontId="34" numFmtId="168" xfId="0" applyAlignment="1" applyBorder="1" applyFont="1" applyNumberFormat="1">
      <alignment horizontal="center" vertical="center"/>
    </xf>
    <xf borderId="27" fillId="7" fontId="31" numFmtId="168" xfId="0" applyAlignment="1" applyBorder="1" applyFont="1" applyNumberFormat="1">
      <alignment horizontal="center" vertical="center"/>
    </xf>
    <xf borderId="27" fillId="7" fontId="30" numFmtId="169" xfId="0" applyAlignment="1" applyBorder="1" applyFont="1" applyNumberFormat="1">
      <alignment horizontal="center" vertical="center"/>
    </xf>
    <xf borderId="27" fillId="7" fontId="34" numFmtId="168" xfId="0" applyAlignment="1" applyBorder="1" applyFont="1" applyNumberFormat="1">
      <alignment horizontal="center" readingOrder="0" vertical="center"/>
    </xf>
    <xf borderId="27" fillId="7" fontId="31" numFmtId="49" xfId="0" applyAlignment="1" applyBorder="1" applyFont="1" applyNumberFormat="1">
      <alignment horizontal="center" vertical="center"/>
    </xf>
    <xf borderId="0" fillId="0" fontId="35" numFmtId="0" xfId="0" applyAlignment="1" applyFont="1">
      <alignment horizontal="center" vertical="center"/>
    </xf>
    <xf borderId="0" fillId="0" fontId="36" numFmtId="168" xfId="0" applyAlignment="1" applyFont="1" applyNumberFormat="1">
      <alignment horizontal="center" vertical="center"/>
    </xf>
    <xf borderId="0" fillId="0" fontId="36" numFmtId="0" xfId="0" applyAlignment="1" applyFont="1">
      <alignment horizontal="center"/>
    </xf>
    <xf borderId="0" fillId="0" fontId="36" numFmtId="0" xfId="0" applyAlignment="1" applyFont="1">
      <alignment horizontal="center" vertical="center"/>
    </xf>
    <xf borderId="27" fillId="7" fontId="30" numFmtId="14" xfId="0" applyAlignment="1" applyBorder="1" applyFont="1" applyNumberFormat="1">
      <alignment horizontal="center" vertical="center"/>
    </xf>
    <xf borderId="27" fillId="7" fontId="30" numFmtId="0" xfId="0" applyAlignment="1" applyBorder="1" applyFont="1">
      <alignment horizontal="center" vertical="center"/>
    </xf>
    <xf borderId="0" fillId="5" fontId="37" numFmtId="165" xfId="0" applyAlignment="1" applyFont="1" applyNumberFormat="1">
      <alignment horizontal="center" vertical="center"/>
    </xf>
    <xf borderId="0" fillId="5" fontId="37" numFmtId="164" xfId="0" applyAlignment="1" applyFont="1" applyNumberFormat="1">
      <alignment horizontal="center" vertical="center"/>
    </xf>
    <xf borderId="0" fillId="5" fontId="37" numFmtId="164" xfId="0" applyAlignment="1" applyFont="1" applyNumberFormat="1">
      <alignment horizontal="center" readingOrder="0" vertical="center"/>
    </xf>
    <xf borderId="0" fillId="5" fontId="38" numFmtId="168" xfId="0" applyAlignment="1" applyFont="1" applyNumberFormat="1">
      <alignment horizontal="center" vertical="center"/>
    </xf>
    <xf borderId="0" fillId="5" fontId="37" numFmtId="170" xfId="0" applyAlignment="1" applyFont="1" applyNumberFormat="1">
      <alignment horizontal="center" vertical="center"/>
    </xf>
    <xf borderId="0" fillId="5" fontId="37" numFmtId="168" xfId="0" applyAlignment="1" applyFont="1" applyNumberFormat="1">
      <alignment horizontal="center" vertical="center"/>
    </xf>
    <xf borderId="0" fillId="5" fontId="37" numFmtId="0" xfId="0" applyAlignment="1" applyFont="1">
      <alignment horizontal="center" readingOrder="0" vertical="center"/>
    </xf>
    <xf borderId="0" fillId="5" fontId="37" numFmtId="3" xfId="0" applyAlignment="1" applyFont="1" applyNumberFormat="1">
      <alignment horizontal="center" vertical="center"/>
    </xf>
    <xf borderId="0" fillId="6" fontId="35" numFmtId="165" xfId="0" applyAlignment="1" applyFont="1" applyNumberFormat="1">
      <alignment horizontal="center" shrinkToFit="0" vertical="center" wrapText="1"/>
    </xf>
    <xf borderId="0" fillId="6" fontId="39" numFmtId="0" xfId="0" applyAlignment="1" applyFont="1">
      <alignment horizontal="center" readingOrder="0" vertical="center"/>
    </xf>
    <xf borderId="0" fillId="6" fontId="35" numFmtId="0" xfId="0" applyAlignment="1" applyFont="1">
      <alignment horizontal="center" shrinkToFit="0" vertical="center" wrapText="1"/>
    </xf>
    <xf borderId="0" fillId="6" fontId="35" numFmtId="168" xfId="0" applyAlignment="1" applyFont="1" applyNumberFormat="1">
      <alignment horizontal="center" vertical="center"/>
    </xf>
    <xf borderId="0" fillId="0" fontId="35" numFmtId="164" xfId="0" applyAlignment="1" applyFont="1" applyNumberFormat="1">
      <alignment horizontal="center" shrinkToFit="0" vertical="center" wrapText="1"/>
    </xf>
    <xf borderId="0" fillId="6" fontId="32" numFmtId="168" xfId="0" applyAlignment="1" applyFont="1" applyNumberFormat="1">
      <alignment horizontal="center" readingOrder="0" shrinkToFit="0" vertical="center" wrapText="1"/>
    </xf>
    <xf borderId="0" fillId="6" fontId="32" numFmtId="168" xfId="0" applyAlignment="1" applyFont="1" applyNumberFormat="1">
      <alignment horizontal="center" shrinkToFit="0" vertical="center" wrapText="1"/>
    </xf>
    <xf borderId="0" fillId="6" fontId="32" numFmtId="0" xfId="0" applyAlignment="1" applyFont="1">
      <alignment horizontal="center" vertical="center"/>
    </xf>
    <xf borderId="0" fillId="6" fontId="32" numFmtId="3" xfId="0" applyAlignment="1" applyFont="1" applyNumberFormat="1">
      <alignment horizontal="center" shrinkToFit="0" vertical="center" wrapText="1"/>
    </xf>
    <xf borderId="0" fillId="6" fontId="40" numFmtId="0" xfId="0" applyAlignment="1" applyFont="1">
      <alignment horizontal="center" vertical="center"/>
    </xf>
    <xf borderId="0" fillId="6" fontId="35" numFmtId="0" xfId="0" applyAlignment="1" applyFont="1">
      <alignment horizontal="center" vertical="center"/>
    </xf>
    <xf borderId="0" fillId="6" fontId="32" numFmtId="3" xfId="0" applyAlignment="1" applyFont="1" applyNumberFormat="1">
      <alignment horizontal="center" vertical="center"/>
    </xf>
    <xf borderId="0" fillId="6" fontId="39" numFmtId="0" xfId="0" applyAlignment="1" applyFont="1">
      <alignment horizontal="center" vertical="center"/>
    </xf>
    <xf borderId="0" fillId="6" fontId="35" numFmtId="168" xfId="0" applyAlignment="1" applyFont="1" applyNumberFormat="1">
      <alignment horizontal="center" shrinkToFit="0" vertical="center" wrapText="1"/>
    </xf>
    <xf borderId="0" fillId="6" fontId="39" numFmtId="0" xfId="0" applyAlignment="1" applyFont="1">
      <alignment horizontal="center" vertical="center"/>
    </xf>
    <xf borderId="0" fillId="6" fontId="35" numFmtId="0" xfId="0" applyAlignment="1" applyFont="1">
      <alignment horizontal="center" vertical="center"/>
    </xf>
    <xf borderId="0" fillId="6" fontId="35" numFmtId="168" xfId="0" applyAlignment="1" applyFont="1" applyNumberFormat="1">
      <alignment horizontal="center" vertical="center"/>
    </xf>
    <xf borderId="0" fillId="0" fontId="35" numFmtId="164" xfId="0" applyAlignment="1" applyFont="1" applyNumberFormat="1">
      <alignment horizontal="center" shrinkToFit="0" vertical="center" wrapText="1"/>
    </xf>
    <xf borderId="0" fillId="6" fontId="40" numFmtId="0" xfId="0" applyAlignment="1" applyFont="1">
      <alignment horizontal="center" vertical="center"/>
    </xf>
    <xf borderId="0" fillId="6" fontId="35" numFmtId="168" xfId="0" applyAlignment="1" applyFont="1" applyNumberFormat="1">
      <alignment horizontal="center" shrinkToFit="0" vertical="center" wrapText="1"/>
    </xf>
    <xf borderId="0" fillId="0" fontId="41" numFmtId="169" xfId="0" applyAlignment="1" applyFont="1" applyNumberFormat="1">
      <alignment horizontal="center" readingOrder="0" vertical="center"/>
    </xf>
    <xf borderId="0" fillId="6" fontId="40" numFmtId="0" xfId="0" applyAlignment="1" applyFont="1">
      <alignment horizontal="center" readingOrder="0" vertical="center"/>
    </xf>
    <xf borderId="0" fillId="0" fontId="41" numFmtId="0" xfId="0" applyAlignment="1" applyFont="1">
      <alignment horizontal="center" readingOrder="0" vertical="center"/>
    </xf>
    <xf borderId="0" fillId="0" fontId="41" numFmtId="168" xfId="0" applyAlignment="1" applyFont="1" applyNumberFormat="1">
      <alignment horizontal="center" readingOrder="0" vertical="center"/>
    </xf>
    <xf borderId="0" fillId="0" fontId="35" numFmtId="0" xfId="0" applyAlignment="1" applyFont="1">
      <alignment horizontal="center" readingOrder="0" vertical="center"/>
    </xf>
    <xf borderId="0" fillId="6" fontId="42" numFmtId="168" xfId="0" applyAlignment="1" applyFont="1" applyNumberFormat="1">
      <alignment horizontal="center" readingOrder="0" vertical="center"/>
    </xf>
    <xf borderId="0" fillId="6" fontId="42" numFmtId="0" xfId="0" applyAlignment="1" applyFont="1">
      <alignment horizontal="center" vertical="center"/>
    </xf>
    <xf borderId="0" fillId="6" fontId="40" numFmtId="0" xfId="0" applyAlignment="1" applyFont="1">
      <alignment horizontal="center" readingOrder="0" vertical="center"/>
    </xf>
    <xf borderId="0" fillId="6" fontId="35" numFmtId="0" xfId="0" applyAlignment="1" applyFont="1">
      <alignment horizontal="center" readingOrder="0" vertical="center"/>
    </xf>
    <xf borderId="0" fillId="0" fontId="35" numFmtId="164" xfId="0" applyAlignment="1" applyFont="1" applyNumberFormat="1">
      <alignment horizontal="center" readingOrder="0" shrinkToFit="0" vertical="center" wrapText="1"/>
    </xf>
    <xf borderId="0" fillId="6" fontId="32" numFmtId="168" xfId="0" applyAlignment="1" applyFont="1" applyNumberFormat="1">
      <alignment horizontal="center" readingOrder="0" vertical="center"/>
    </xf>
    <xf borderId="0" fillId="6" fontId="40" numFmtId="168" xfId="0" applyAlignment="1" applyFont="1" applyNumberFormat="1">
      <alignment horizontal="center" shrinkToFit="0" vertical="center" wrapText="1"/>
    </xf>
    <xf borderId="0" fillId="6" fontId="35" numFmtId="168" xfId="0" applyAlignment="1" applyFont="1" applyNumberFormat="1">
      <alignment horizontal="center" readingOrder="0" shrinkToFit="0" vertical="center" wrapText="1"/>
    </xf>
    <xf borderId="0" fillId="6" fontId="35" numFmtId="49" xfId="0" applyAlignment="1" applyFont="1" applyNumberFormat="1">
      <alignment horizontal="center" vertical="center"/>
    </xf>
    <xf borderId="0" fillId="6" fontId="40" numFmtId="168" xfId="0" applyAlignment="1" applyFont="1" applyNumberFormat="1">
      <alignment horizontal="center" shrinkToFit="0" vertical="center" wrapText="1"/>
    </xf>
    <xf borderId="0" fillId="6" fontId="39" numFmtId="168" xfId="0" applyAlignment="1" applyFont="1" applyNumberFormat="1">
      <alignment horizontal="center" shrinkToFit="0" vertical="center" wrapText="1"/>
    </xf>
    <xf borderId="0" fillId="6" fontId="35" numFmtId="168" xfId="0" applyAlignment="1" applyFont="1" applyNumberFormat="1">
      <alignment horizontal="center" readingOrder="0" shrinkToFit="0" vertical="center" wrapText="1"/>
    </xf>
    <xf borderId="0" fillId="0" fontId="35" numFmtId="164" xfId="0" applyAlignment="1" applyFont="1" applyNumberFormat="1">
      <alignment horizontal="center" readingOrder="0" shrinkToFit="0" vertical="center" wrapText="1"/>
    </xf>
    <xf borderId="0" fillId="6" fontId="40" numFmtId="168" xfId="0" applyAlignment="1" applyFont="1" applyNumberFormat="1">
      <alignment horizontal="center" readingOrder="0" shrinkToFit="0" vertical="center" wrapText="1"/>
    </xf>
    <xf borderId="0" fillId="6" fontId="35" numFmtId="164" xfId="0" applyAlignment="1" applyFont="1" applyNumberFormat="1">
      <alignment horizontal="center" vertical="center"/>
    </xf>
    <xf borderId="0" fillId="6" fontId="35" numFmtId="168" xfId="0" applyAlignment="1" applyFont="1" applyNumberFormat="1">
      <alignment horizontal="center" readingOrder="0" shrinkToFit="0" vertical="center" wrapText="1"/>
    </xf>
    <xf borderId="0" fillId="0" fontId="35" numFmtId="164" xfId="0" applyAlignment="1" applyFont="1" applyNumberFormat="1">
      <alignment horizontal="center" vertical="center"/>
    </xf>
    <xf borderId="0" fillId="6" fontId="35" numFmtId="165" xfId="0" applyAlignment="1" applyFont="1" applyNumberFormat="1">
      <alignment horizontal="center" vertical="center"/>
    </xf>
    <xf borderId="0" fillId="6" fontId="40" numFmtId="168" xfId="0" applyAlignment="1" applyFont="1" applyNumberFormat="1">
      <alignment horizontal="center" vertical="center"/>
    </xf>
    <xf borderId="0" fillId="6" fontId="35" numFmtId="14" xfId="0" applyAlignment="1" applyFont="1" applyNumberFormat="1">
      <alignment horizontal="center" vertical="center"/>
    </xf>
    <xf borderId="0" fillId="6" fontId="32" numFmtId="168" xfId="0" applyAlignment="1" applyFont="1" applyNumberFormat="1">
      <alignment horizontal="center" vertical="center"/>
    </xf>
    <xf borderId="0" fillId="6" fontId="35" numFmtId="0" xfId="0" applyAlignment="1" applyFont="1">
      <alignment horizontal="center" readingOrder="0" vertical="center"/>
    </xf>
    <xf borderId="0" fillId="6" fontId="35" numFmtId="168" xfId="0" applyAlignment="1" applyFont="1" applyNumberFormat="1">
      <alignment horizontal="center" readingOrder="0" vertical="center"/>
    </xf>
    <xf borderId="0" fillId="6" fontId="32" numFmtId="0" xfId="0" applyAlignment="1" applyFont="1">
      <alignment horizontal="center" readingOrder="0" vertical="center"/>
    </xf>
    <xf borderId="0" fillId="6" fontId="32" numFmtId="0" xfId="0" applyAlignment="1" applyFont="1">
      <alignment horizontal="center" readingOrder="0" vertical="center"/>
    </xf>
    <xf borderId="0" fillId="6" fontId="35" numFmtId="14" xfId="0" applyAlignment="1" applyFont="1" applyNumberFormat="1">
      <alignment horizontal="center" readingOrder="0" vertical="center"/>
    </xf>
    <xf borderId="0" fillId="0" fontId="35" numFmtId="0" xfId="0" applyAlignment="1" applyFont="1">
      <alignment horizontal="center"/>
    </xf>
    <xf borderId="0" fillId="6" fontId="35" numFmtId="0" xfId="0" applyAlignment="1" applyFont="1">
      <alignment horizontal="center"/>
    </xf>
    <xf borderId="0" fillId="6" fontId="42" numFmtId="0" xfId="0" applyAlignment="1" applyFont="1">
      <alignment horizontal="center" readingOrder="0" vertical="center"/>
    </xf>
    <xf borderId="0" fillId="0" fontId="41" numFmtId="165" xfId="0" applyAlignment="1" applyFont="1" applyNumberFormat="1">
      <alignment horizontal="center" readingOrder="0" vertical="center"/>
    </xf>
    <xf borderId="0" fillId="6" fontId="42" numFmtId="0" xfId="0" applyAlignment="1" applyFont="1">
      <alignment horizontal="center" readingOrder="0" vertical="center"/>
    </xf>
    <xf borderId="0" fillId="0" fontId="41" numFmtId="14" xfId="0" applyAlignment="1" applyFont="1" applyNumberFormat="1">
      <alignment horizontal="center" readingOrder="0" vertical="center"/>
    </xf>
    <xf borderId="0" fillId="6" fontId="42" numFmtId="169" xfId="0" applyAlignment="1" applyFont="1" applyNumberFormat="1">
      <alignment horizontal="center" readingOrder="0" vertical="center"/>
    </xf>
    <xf borderId="0" fillId="0" fontId="41" numFmtId="168" xfId="0" applyAlignment="1" applyFont="1" applyNumberFormat="1">
      <alignment horizontal="center" readingOrder="0" vertical="center"/>
    </xf>
    <xf borderId="0" fillId="0" fontId="41" numFmtId="0" xfId="0" applyAlignment="1" applyFont="1">
      <alignment horizontal="center" vertical="center"/>
    </xf>
    <xf borderId="0" fillId="0" fontId="41" numFmtId="168" xfId="0" applyAlignment="1" applyFont="1" applyNumberFormat="1">
      <alignment horizontal="center" vertical="center"/>
    </xf>
    <xf borderId="0" fillId="6" fontId="42" numFmtId="168" xfId="0" applyAlignment="1" applyFont="1" applyNumberFormat="1">
      <alignment horizontal="center" vertical="center"/>
    </xf>
    <xf borderId="0" fillId="0" fontId="43" numFmtId="0" xfId="0" applyAlignment="1" applyFont="1">
      <alignment horizontal="center" readingOrder="0" vertical="center"/>
    </xf>
    <xf borderId="0" fillId="0" fontId="43" numFmtId="0" xfId="0" applyAlignment="1" applyFont="1">
      <alignment horizontal="center" vertical="center"/>
    </xf>
    <xf borderId="0" fillId="0" fontId="44" numFmtId="0" xfId="0" applyAlignment="1" applyFont="1">
      <alignment horizontal="center" vertical="center"/>
    </xf>
    <xf borderId="0" fillId="6" fontId="45" numFmtId="168" xfId="0" applyAlignment="1" applyFont="1" applyNumberFormat="1">
      <alignment horizontal="center" readingOrder="0" shrinkToFit="0" vertical="center" wrapText="1"/>
    </xf>
    <xf borderId="0" fillId="6" fontId="45" numFmtId="168" xfId="0" applyAlignment="1" applyFont="1" applyNumberFormat="1">
      <alignment horizontal="center" readingOrder="0" vertical="center"/>
    </xf>
    <xf borderId="0" fillId="0" fontId="33" numFmtId="168" xfId="0" applyAlignment="1" applyFont="1" applyNumberFormat="1">
      <alignment horizontal="center" readingOrder="0" vertical="center"/>
    </xf>
    <xf borderId="28" fillId="8" fontId="35" numFmtId="165" xfId="0" applyAlignment="1" applyBorder="1" applyFill="1" applyFont="1" applyNumberFormat="1">
      <alignment horizontal="center" shrinkToFit="0" wrapText="1"/>
    </xf>
    <xf borderId="29" fillId="8" fontId="35" numFmtId="168" xfId="0" applyAlignment="1" applyBorder="1" applyFont="1" applyNumberFormat="1">
      <alignment horizontal="center" shrinkToFit="0" wrapText="1"/>
    </xf>
    <xf borderId="0" fillId="0" fontId="41" numFmtId="165" xfId="0" applyFont="1" applyNumberFormat="1"/>
    <xf borderId="0" fillId="0" fontId="33" numFmtId="0" xfId="0" applyFont="1"/>
    <xf borderId="0" fillId="0" fontId="41" numFmtId="0" xfId="0" applyFont="1"/>
    <xf borderId="30" fillId="6" fontId="35" numFmtId="165" xfId="0" applyAlignment="1" applyBorder="1" applyFont="1" applyNumberFormat="1">
      <alignment horizontal="center" shrinkToFit="0" wrapText="1"/>
    </xf>
    <xf borderId="31" fillId="6" fontId="35" numFmtId="168" xfId="0" applyAlignment="1" applyBorder="1" applyFont="1" applyNumberFormat="1">
      <alignment horizontal="center" shrinkToFit="0" wrapText="1"/>
    </xf>
    <xf borderId="30" fillId="8" fontId="35" numFmtId="165" xfId="0" applyAlignment="1" applyBorder="1" applyFont="1" applyNumberFormat="1">
      <alignment horizontal="center" shrinkToFit="0" wrapText="1"/>
    </xf>
    <xf borderId="31" fillId="8" fontId="35" numFmtId="168" xfId="0" applyAlignment="1" applyBorder="1" applyFont="1" applyNumberFormat="1">
      <alignment horizontal="center" shrinkToFit="0" wrapText="1"/>
    </xf>
    <xf borderId="0" fillId="0" fontId="41" numFmtId="168" xfId="0" applyFont="1" applyNumberFormat="1"/>
    <xf borderId="0" fillId="0" fontId="41" numFmtId="168" xfId="0" applyAlignment="1" applyFont="1" applyNumberFormat="1">
      <alignment readingOrder="0"/>
    </xf>
    <xf borderId="0" fillId="5" fontId="10" numFmtId="0" xfId="0" applyAlignment="1" applyFont="1">
      <alignment horizontal="center" shrinkToFit="0" wrapText="1"/>
    </xf>
    <xf borderId="0" fillId="5" fontId="46" numFmtId="0" xfId="0" applyAlignment="1" applyFont="1">
      <alignment horizontal="center" shrinkToFit="0" wrapText="1"/>
    </xf>
    <xf borderId="0" fillId="5" fontId="46" numFmtId="171" xfId="0" applyAlignment="1" applyFont="1" applyNumberFormat="1">
      <alignment horizontal="center" shrinkToFit="0" wrapText="1"/>
    </xf>
    <xf borderId="0" fillId="5" fontId="46" numFmtId="164" xfId="0" applyAlignment="1" applyFont="1" applyNumberFormat="1">
      <alignment horizontal="center" shrinkToFit="0" wrapText="1"/>
    </xf>
    <xf borderId="0" fillId="5" fontId="47" numFmtId="0" xfId="0" applyAlignment="1" applyFont="1">
      <alignment horizontal="center"/>
    </xf>
    <xf borderId="0" fillId="5" fontId="47" numFmtId="164" xfId="0" applyAlignment="1" applyFont="1" applyNumberFormat="1">
      <alignment horizontal="center" shrinkToFit="0" wrapText="1"/>
    </xf>
    <xf borderId="0" fillId="5" fontId="35" numFmtId="0" xfId="0" applyAlignment="1" applyFont="1">
      <alignment horizontal="center"/>
    </xf>
    <xf borderId="0" fillId="5" fontId="35" numFmtId="171" xfId="0" applyAlignment="1" applyFont="1" applyNumberFormat="1">
      <alignment horizontal="center"/>
    </xf>
    <xf borderId="0" fillId="5" fontId="35" numFmtId="164" xfId="0" applyAlignment="1" applyFont="1" applyNumberFormat="1">
      <alignment horizontal="center"/>
    </xf>
    <xf borderId="0" fillId="4" fontId="48" numFmtId="164" xfId="0" applyAlignment="1" applyFont="1" applyNumberFormat="1">
      <alignment horizontal="center"/>
    </xf>
    <xf borderId="0" fillId="6" fontId="49" numFmtId="0" xfId="0" applyAlignment="1" applyFont="1">
      <alignment horizontal="center" shrinkToFit="0" wrapText="1"/>
    </xf>
    <xf borderId="0" fillId="6" fontId="49" numFmtId="171" xfId="0" applyAlignment="1" applyFont="1" applyNumberFormat="1">
      <alignment horizontal="center" shrinkToFit="0" wrapText="1"/>
    </xf>
    <xf borderId="0" fillId="0" fontId="49" numFmtId="164" xfId="0" applyAlignment="1" applyFont="1" applyNumberFormat="1">
      <alignment horizontal="center" shrinkToFit="0" wrapText="1"/>
    </xf>
    <xf borderId="0" fillId="0" fontId="35" numFmtId="0" xfId="0" applyFont="1"/>
    <xf borderId="0" fillId="6" fontId="50" numFmtId="49" xfId="0" applyAlignment="1" applyFont="1" applyNumberFormat="1">
      <alignment horizontal="center" readingOrder="0"/>
    </xf>
    <xf borderId="0" fillId="6" fontId="49" numFmtId="0" xfId="0" applyAlignment="1" applyFont="1">
      <alignment horizontal="center"/>
    </xf>
    <xf borderId="0" fillId="0" fontId="35" numFmtId="0" xfId="0" applyAlignment="1" applyFont="1">
      <alignment vertical="bottom"/>
    </xf>
    <xf borderId="0" fillId="0" fontId="35" numFmtId="164" xfId="0" applyFont="1" applyNumberFormat="1"/>
    <xf borderId="0" fillId="0" fontId="35" numFmtId="0" xfId="0" applyAlignment="1" applyFont="1">
      <alignment horizontal="center" vertical="bottom"/>
    </xf>
    <xf borderId="0" fillId="0" fontId="41" numFmtId="0" xfId="0" applyAlignment="1" applyFont="1">
      <alignment horizontal="center"/>
    </xf>
    <xf borderId="0" fillId="0" fontId="40" numFmtId="165" xfId="0" applyAlignment="1" applyFont="1" applyNumberFormat="1">
      <alignment horizontal="center" shrinkToFit="0" vertical="center" wrapText="1"/>
    </xf>
    <xf borderId="0" fillId="0" fontId="40" numFmtId="0" xfId="0" applyAlignment="1" applyFont="1">
      <alignment horizontal="center" shrinkToFit="0" vertical="center" wrapText="1"/>
    </xf>
    <xf borderId="0" fillId="0" fontId="40" numFmtId="168" xfId="0" applyAlignment="1" applyFont="1" applyNumberFormat="1">
      <alignment horizontal="center" shrinkToFit="0" vertical="center" wrapText="1"/>
    </xf>
    <xf borderId="0" fillId="0" fontId="35" numFmtId="0" xfId="0" applyAlignment="1" applyFont="1">
      <alignment horizontal="center" shrinkToFit="0" wrapText="1"/>
    </xf>
    <xf borderId="0" fillId="0" fontId="51" numFmtId="165" xfId="0" applyAlignment="1" applyFont="1" applyNumberFormat="1">
      <alignment horizontal="center" vertical="center"/>
    </xf>
    <xf borderId="0" fillId="0" fontId="51" numFmtId="168" xfId="0" applyAlignment="1" applyFont="1" applyNumberFormat="1">
      <alignment horizontal="center" shrinkToFit="0" vertical="center" wrapText="1"/>
    </xf>
    <xf borderId="0" fillId="0" fontId="51" numFmtId="168" xfId="0" applyAlignment="1" applyFont="1" applyNumberFormat="1">
      <alignment horizontal="center" vertical="center"/>
    </xf>
    <xf borderId="0" fillId="0" fontId="51" numFmtId="165" xfId="0" applyAlignment="1" applyFont="1" applyNumberFormat="1">
      <alignment horizontal="center" shrinkToFit="0" vertical="center" wrapText="1"/>
    </xf>
    <xf borderId="0" fillId="0" fontId="40" numFmtId="164" xfId="0" applyAlignment="1" applyFont="1" applyNumberFormat="1">
      <alignment horizontal="center" shrinkToFit="0" vertical="center" wrapText="1"/>
    </xf>
    <xf borderId="32" fillId="8" fontId="35" numFmtId="168" xfId="0" applyAlignment="1" applyBorder="1" applyFont="1" applyNumberFormat="1">
      <alignment horizontal="center" shrinkToFit="0" wrapText="1"/>
    </xf>
    <xf borderId="33" fillId="6" fontId="35" numFmtId="168" xfId="0" applyAlignment="1" applyBorder="1" applyFont="1" applyNumberFormat="1">
      <alignment horizontal="center" shrinkToFit="0" wrapText="1"/>
    </xf>
    <xf borderId="33" fillId="8" fontId="35" numFmtId="168" xfId="0" applyBorder="1" applyFont="1" applyNumberFormat="1"/>
    <xf borderId="33" fillId="6" fontId="35" numFmtId="168" xfId="0" applyBorder="1" applyFont="1" applyNumberFormat="1"/>
    <xf borderId="0" fillId="0" fontId="51" numFmtId="0" xfId="0" applyAlignment="1" applyFont="1">
      <alignment horizontal="center" vertical="center"/>
    </xf>
    <xf borderId="0" fillId="0" fontId="52" numFmtId="0" xfId="0" applyAlignment="1" applyFont="1">
      <alignment horizontal="center" vertical="center"/>
    </xf>
    <xf borderId="0" fillId="0" fontId="53" numFmtId="0" xfId="0" applyAlignment="1" applyFont="1">
      <alignment horizontal="center" readingOrder="0" vertical="center"/>
    </xf>
    <xf borderId="0" fillId="0" fontId="52" numFmtId="168" xfId="0" applyAlignment="1" applyFont="1" applyNumberFormat="1">
      <alignment horizontal="center" readingOrder="0" vertical="center"/>
    </xf>
    <xf borderId="0" fillId="0" fontId="52" numFmtId="168" xfId="0" applyAlignment="1" applyFont="1" applyNumberFormat="1">
      <alignment horizontal="center" vertical="center"/>
    </xf>
    <xf borderId="0" fillId="0" fontId="51" numFmtId="14" xfId="0" applyAlignment="1" applyFont="1" applyNumberFormat="1">
      <alignment horizontal="center" readingOrder="0" shrinkToFit="0" vertical="center" wrapText="1"/>
    </xf>
    <xf borderId="0" fillId="0" fontId="51" numFmtId="168" xfId="0" applyAlignment="1" applyFont="1" applyNumberFormat="1">
      <alignment horizontal="center" readingOrder="0" shrinkToFit="0" vertical="center" wrapText="1"/>
    </xf>
    <xf borderId="0" fillId="0" fontId="51" numFmtId="14" xfId="0" applyAlignment="1" applyFont="1" applyNumberFormat="1">
      <alignment horizontal="center" readingOrder="0" vertical="center"/>
    </xf>
    <xf borderId="0" fillId="0" fontId="51" numFmtId="168" xfId="0" applyAlignment="1" applyFont="1" applyNumberFormat="1">
      <alignment horizontal="center" readingOrder="0" vertical="center"/>
    </xf>
    <xf borderId="33" fillId="8" fontId="35" numFmtId="168" xfId="0" applyAlignment="1" applyBorder="1" applyFont="1" applyNumberFormat="1">
      <alignment horizontal="center" shrinkToFit="0" wrapText="1"/>
    </xf>
    <xf borderId="0" fillId="8" fontId="51" numFmtId="168" xfId="0" applyAlignment="1" applyFont="1" applyNumberFormat="1">
      <alignment horizontal="center" shrinkToFit="0" vertical="center" wrapText="1"/>
    </xf>
    <xf borderId="0" fillId="6" fontId="51" numFmtId="168" xfId="0" applyAlignment="1" applyFont="1" applyNumberFormat="1">
      <alignment horizontal="center" shrinkToFit="0" vertical="center" wrapText="1"/>
    </xf>
    <xf borderId="0" fillId="0" fontId="53" numFmtId="0" xfId="0" applyAlignment="1" applyFont="1">
      <alignment horizontal="center" vertical="center"/>
    </xf>
    <xf borderId="0" fillId="3" fontId="35" numFmtId="3" xfId="0" applyFont="1" applyNumberFormat="1"/>
    <xf borderId="0" fillId="3" fontId="35" numFmtId="0" xfId="0" applyFont="1"/>
    <xf borderId="34" fillId="3" fontId="54" numFmtId="164" xfId="0" applyAlignment="1" applyBorder="1" applyFont="1" applyNumberFormat="1">
      <alignment horizontal="center" shrinkToFit="0" wrapText="1"/>
    </xf>
    <xf borderId="35" fillId="0" fontId="16" numFmtId="0" xfId="0" applyBorder="1" applyFont="1"/>
    <xf borderId="36" fillId="0" fontId="16" numFmtId="0" xfId="0" applyBorder="1" applyFont="1"/>
    <xf borderId="37" fillId="0" fontId="16" numFmtId="0" xfId="0" applyBorder="1" applyFont="1"/>
    <xf borderId="38" fillId="0" fontId="16" numFmtId="0" xfId="0" applyBorder="1" applyFont="1"/>
    <xf borderId="0" fillId="5" fontId="35" numFmtId="3" xfId="0" applyAlignment="1" applyFont="1" applyNumberFormat="1">
      <alignment vertical="bottom"/>
    </xf>
    <xf borderId="0" fillId="5" fontId="35" numFmtId="0" xfId="0" applyAlignment="1" applyFont="1">
      <alignment vertical="bottom"/>
    </xf>
    <xf borderId="39" fillId="5" fontId="35" numFmtId="164" xfId="0" applyAlignment="1" applyBorder="1" applyFont="1" applyNumberFormat="1">
      <alignment vertical="bottom"/>
    </xf>
    <xf borderId="39" fillId="5" fontId="35" numFmtId="0" xfId="0" applyAlignment="1" applyBorder="1" applyFont="1">
      <alignment vertical="bottom"/>
    </xf>
    <xf borderId="40" fillId="5" fontId="35" numFmtId="172" xfId="0" applyAlignment="1" applyBorder="1" applyFont="1" applyNumberFormat="1">
      <alignment vertical="bottom"/>
    </xf>
    <xf borderId="0" fillId="9" fontId="35" numFmtId="3" xfId="0" applyAlignment="1" applyFill="1" applyFont="1" applyNumberFormat="1">
      <alignment vertical="bottom"/>
    </xf>
    <xf borderId="0" fillId="9" fontId="35" numFmtId="0" xfId="0" applyAlignment="1" applyFont="1">
      <alignment vertical="bottom"/>
    </xf>
    <xf borderId="41" fillId="9" fontId="35" numFmtId="164" xfId="0" applyAlignment="1" applyBorder="1" applyFont="1" applyNumberFormat="1">
      <alignment vertical="bottom"/>
    </xf>
    <xf borderId="42" fillId="9" fontId="35" numFmtId="164" xfId="0" applyAlignment="1" applyBorder="1" applyFont="1" applyNumberFormat="1">
      <alignment vertical="bottom"/>
    </xf>
    <xf borderId="42" fillId="9" fontId="35" numFmtId="0" xfId="0" applyAlignment="1" applyBorder="1" applyFont="1">
      <alignment vertical="bottom"/>
    </xf>
    <xf borderId="41" fillId="9" fontId="35" numFmtId="172" xfId="0" applyAlignment="1" applyBorder="1" applyFont="1" applyNumberFormat="1">
      <alignment vertical="bottom"/>
    </xf>
    <xf borderId="6" fillId="3" fontId="48" numFmtId="164" xfId="0" applyAlignment="1" applyBorder="1" applyFont="1" applyNumberFormat="1">
      <alignment horizontal="center" vertical="bottom"/>
    </xf>
    <xf borderId="6" fillId="3" fontId="48" numFmtId="164" xfId="0" applyAlignment="1" applyBorder="1" applyFont="1" applyNumberFormat="1">
      <alignment horizontal="center" shrinkToFit="0" vertical="bottom" wrapText="1"/>
    </xf>
    <xf borderId="6" fillId="3" fontId="48" numFmtId="0" xfId="0" applyAlignment="1" applyBorder="1" applyFont="1">
      <alignment horizontal="center" vertical="bottom"/>
    </xf>
    <xf borderId="6" fillId="3" fontId="55" numFmtId="164" xfId="0" applyAlignment="1" applyBorder="1" applyFont="1" applyNumberFormat="1">
      <alignment horizontal="center" vertical="bottom"/>
    </xf>
    <xf borderId="6" fillId="3" fontId="55" numFmtId="164" xfId="0" applyAlignment="1" applyBorder="1" applyFont="1" applyNumberFormat="1">
      <alignment horizontal="center" shrinkToFit="0" vertical="bottom" wrapText="1"/>
    </xf>
    <xf borderId="43" fillId="9" fontId="35" numFmtId="164" xfId="0" applyAlignment="1" applyBorder="1" applyFont="1" applyNumberFormat="1">
      <alignment vertical="bottom"/>
    </xf>
    <xf borderId="43" fillId="9" fontId="35" numFmtId="0" xfId="0" applyAlignment="1" applyBorder="1" applyFont="1">
      <alignment vertical="bottom"/>
    </xf>
    <xf borderId="44" fillId="9" fontId="35" numFmtId="164" xfId="0" applyAlignment="1" applyBorder="1" applyFont="1" applyNumberFormat="1">
      <alignment vertical="bottom"/>
    </xf>
    <xf borderId="41" fillId="9" fontId="35" numFmtId="0" xfId="0" applyAlignment="1" applyBorder="1" applyFont="1">
      <alignment vertical="bottom"/>
    </xf>
    <xf borderId="45" fillId="3" fontId="56" numFmtId="164" xfId="0" applyAlignment="1" applyBorder="1" applyFont="1" applyNumberFormat="1">
      <alignment horizontal="center"/>
    </xf>
    <xf borderId="46" fillId="0" fontId="16" numFmtId="0" xfId="0" applyBorder="1" applyFont="1"/>
    <xf borderId="47" fillId="0" fontId="16" numFmtId="0" xfId="0" applyBorder="1" applyFont="1"/>
    <xf borderId="6" fillId="3" fontId="55" numFmtId="164" xfId="0" applyAlignment="1" applyBorder="1" applyFont="1" applyNumberFormat="1">
      <alignment horizontal="center"/>
    </xf>
    <xf borderId="48" fillId="0" fontId="16" numFmtId="0" xfId="0" applyBorder="1" applyFont="1"/>
    <xf borderId="49" fillId="0" fontId="16" numFmtId="0" xfId="0" applyBorder="1" applyFont="1"/>
    <xf borderId="50" fillId="0" fontId="16" numFmtId="0" xfId="0" applyBorder="1" applyFont="1"/>
    <xf borderId="0" fillId="9" fontId="35" numFmtId="164" xfId="0" applyAlignment="1" applyFont="1" applyNumberFormat="1">
      <alignment vertical="bottom"/>
    </xf>
    <xf borderId="0" fillId="9" fontId="35" numFmtId="164" xfId="0" applyAlignment="1" applyFont="1" applyNumberFormat="1">
      <alignment horizontal="right" vertical="bottom"/>
    </xf>
    <xf borderId="0" fillId="9" fontId="35" numFmtId="164" xfId="0" applyAlignment="1" applyFont="1" applyNumberFormat="1">
      <alignment horizontal="right" vertical="bottom"/>
    </xf>
    <xf borderId="0" fillId="9" fontId="35" numFmtId="172" xfId="0" applyAlignment="1" applyFont="1" applyNumberFormat="1">
      <alignment horizontal="right" vertical="bottom"/>
    </xf>
    <xf borderId="0" fillId="9" fontId="35" numFmtId="172" xfId="0" applyAlignment="1" applyFont="1" applyNumberFormat="1">
      <alignment vertical="bottom"/>
    </xf>
    <xf borderId="0" fillId="3" fontId="57" numFmtId="165" xfId="0" applyAlignment="1" applyFont="1" applyNumberFormat="1">
      <alignment horizontal="center"/>
    </xf>
    <xf borderId="0" fillId="3" fontId="57" numFmtId="49" xfId="0" applyAlignment="1" applyFont="1" applyNumberFormat="1">
      <alignment horizontal="center"/>
    </xf>
    <xf borderId="0" fillId="3" fontId="57" numFmtId="173" xfId="0" applyAlignment="1" applyFont="1" applyNumberFormat="1">
      <alignment horizontal="center" vertical="center"/>
    </xf>
    <xf borderId="36" fillId="3" fontId="58" numFmtId="0" xfId="0" applyAlignment="1" applyBorder="1" applyFont="1">
      <alignment horizontal="center" readingOrder="0"/>
    </xf>
    <xf borderId="0" fillId="3" fontId="58" numFmtId="4" xfId="0" applyAlignment="1" applyFont="1" applyNumberFormat="1">
      <alignment horizontal="center" readingOrder="0"/>
    </xf>
    <xf borderId="0" fillId="3" fontId="58" numFmtId="164" xfId="0" applyAlignment="1" applyFont="1" applyNumberFormat="1">
      <alignment horizontal="center" readingOrder="0"/>
    </xf>
    <xf borderId="0" fillId="3" fontId="57" numFmtId="4" xfId="0" applyAlignment="1" applyFont="1" applyNumberFormat="1">
      <alignment horizontal="center" readingOrder="0"/>
    </xf>
    <xf borderId="0" fillId="6" fontId="58" numFmtId="4" xfId="0" applyAlignment="1" applyFont="1" applyNumberFormat="1">
      <alignment horizontal="center" readingOrder="0"/>
    </xf>
    <xf borderId="0" fillId="6" fontId="49" numFmtId="165" xfId="0" applyAlignment="1" applyFont="1" applyNumberFormat="1">
      <alignment horizontal="center" vertical="bottom"/>
    </xf>
    <xf borderId="0" fillId="6" fontId="35" numFmtId="49" xfId="0" applyAlignment="1" applyFont="1" applyNumberFormat="1">
      <alignment horizontal="center" shrinkToFit="0" wrapText="1"/>
    </xf>
    <xf borderId="0" fillId="6" fontId="49" numFmtId="173" xfId="0" applyAlignment="1" applyFont="1" applyNumberFormat="1">
      <alignment horizontal="center" readingOrder="0" vertical="center"/>
    </xf>
    <xf borderId="0" fillId="6" fontId="50" numFmtId="0" xfId="0" applyAlignment="1" applyFont="1">
      <alignment horizontal="center"/>
    </xf>
    <xf borderId="0" fillId="6" fontId="41" numFmtId="0" xfId="0" applyAlignment="1" applyFont="1">
      <alignment horizontal="center"/>
    </xf>
    <xf borderId="0" fillId="6" fontId="35" numFmtId="4" xfId="0" applyAlignment="1" applyFont="1" applyNumberFormat="1">
      <alignment horizontal="center" shrinkToFit="0" wrapText="1"/>
    </xf>
    <xf borderId="0" fillId="6" fontId="35" numFmtId="164" xfId="0" applyAlignment="1" applyFont="1" applyNumberFormat="1">
      <alignment horizontal="center" shrinkToFit="0" wrapText="1"/>
    </xf>
    <xf borderId="0" fillId="6" fontId="41" numFmtId="164" xfId="0" applyFont="1" applyNumberFormat="1"/>
    <xf borderId="0" fillId="6" fontId="50" numFmtId="4" xfId="0" applyAlignment="1" applyFont="1" applyNumberFormat="1">
      <alignment horizontal="center"/>
    </xf>
    <xf borderId="0" fillId="6" fontId="41" numFmtId="4" xfId="0" applyAlignment="1" applyFont="1" applyNumberFormat="1">
      <alignment horizontal="center"/>
    </xf>
    <xf borderId="0" fillId="0" fontId="41" numFmtId="4" xfId="0" applyAlignment="1" applyFont="1" applyNumberFormat="1">
      <alignment horizontal="center"/>
    </xf>
    <xf borderId="0" fillId="0" fontId="49" numFmtId="173" xfId="0" applyAlignment="1" applyFont="1" applyNumberFormat="1">
      <alignment horizontal="center" vertical="center"/>
    </xf>
    <xf borderId="0" fillId="0" fontId="49" numFmtId="165" xfId="0" applyAlignment="1" applyFont="1" applyNumberFormat="1">
      <alignment horizontal="right" vertical="bottom"/>
    </xf>
    <xf borderId="0" fillId="0" fontId="49" numFmtId="173" xfId="0" applyAlignment="1" applyFont="1" applyNumberFormat="1">
      <alignment horizontal="center" readingOrder="0" vertical="center"/>
    </xf>
    <xf borderId="0" fillId="6" fontId="50" numFmtId="165" xfId="0" applyAlignment="1" applyFont="1" applyNumberFormat="1">
      <alignment horizontal="center" readingOrder="0"/>
    </xf>
    <xf borderId="0" fillId="6" fontId="50" numFmtId="173" xfId="0" applyAlignment="1" applyFont="1" applyNumberFormat="1">
      <alignment horizontal="center" readingOrder="0" vertical="center"/>
    </xf>
    <xf borderId="0" fillId="6" fontId="49" numFmtId="173" xfId="0" applyAlignment="1" applyFont="1" applyNumberFormat="1">
      <alignment horizontal="center" vertical="center"/>
    </xf>
    <xf borderId="0" fillId="8" fontId="41" numFmtId="4" xfId="0" applyAlignment="1" applyFont="1" applyNumberFormat="1">
      <alignment horizontal="center"/>
    </xf>
    <xf borderId="0" fillId="8" fontId="41" numFmtId="4" xfId="0" applyAlignment="1" applyFont="1" applyNumberFormat="1">
      <alignment horizontal="center" readingOrder="0"/>
    </xf>
    <xf borderId="0" fillId="0" fontId="49" numFmtId="165" xfId="0" applyAlignment="1" applyFont="1" applyNumberFormat="1">
      <alignment vertical="bottom"/>
    </xf>
    <xf borderId="0" fillId="6" fontId="49" numFmtId="165" xfId="0" applyAlignment="1" applyFont="1" applyNumberFormat="1">
      <alignment horizontal="center" readingOrder="0" vertical="bottom"/>
    </xf>
    <xf borderId="0" fillId="6" fontId="35" numFmtId="173" xfId="0" applyAlignment="1" applyFont="1" applyNumberFormat="1">
      <alignment horizontal="center" shrinkToFit="0" vertical="center" wrapText="1"/>
    </xf>
    <xf borderId="0" fillId="6" fontId="41" numFmtId="4" xfId="0" applyAlignment="1" applyFont="1" applyNumberFormat="1">
      <alignment horizontal="center" readingOrder="0"/>
    </xf>
    <xf borderId="0" fillId="0" fontId="49" numFmtId="165" xfId="0" applyAlignment="1" applyFont="1" applyNumberFormat="1">
      <alignment horizontal="center" readingOrder="0" vertical="bottom"/>
    </xf>
    <xf borderId="0" fillId="6" fontId="35" numFmtId="49" xfId="0" applyAlignment="1" applyFont="1" applyNumberFormat="1">
      <alignment horizontal="center" shrinkToFit="0" vertical="bottom" wrapText="1"/>
    </xf>
    <xf borderId="0" fillId="0" fontId="49" numFmtId="173" xfId="0" applyAlignment="1" applyFont="1" applyNumberFormat="1">
      <alignment horizontal="center" vertical="bottom"/>
    </xf>
    <xf borderId="0" fillId="0" fontId="49" numFmtId="49" xfId="0" applyAlignment="1" applyFont="1" applyNumberFormat="1">
      <alignment horizontal="center" vertical="bottom"/>
    </xf>
    <xf borderId="0" fillId="0" fontId="49" numFmtId="165" xfId="0" applyAlignment="1" applyFont="1" applyNumberFormat="1">
      <alignment horizontal="center" vertical="bottom"/>
    </xf>
    <xf borderId="0" fillId="6" fontId="35" numFmtId="49" xfId="0" applyAlignment="1" applyFont="1" applyNumberFormat="1">
      <alignment horizontal="center" vertical="bottom"/>
    </xf>
    <xf borderId="0" fillId="0" fontId="49" numFmtId="173" xfId="0" applyAlignment="1" applyFont="1" applyNumberFormat="1">
      <alignment horizontal="center" readingOrder="0" vertical="bottom"/>
    </xf>
    <xf borderId="0" fillId="0" fontId="49" numFmtId="173" xfId="0" applyAlignment="1" applyFont="1" applyNumberFormat="1">
      <alignment horizontal="right" readingOrder="0" vertical="bottom"/>
    </xf>
    <xf borderId="0" fillId="0" fontId="49" numFmtId="173" xfId="0" applyAlignment="1" applyFont="1" applyNumberFormat="1">
      <alignment horizontal="right" vertical="bottom"/>
    </xf>
    <xf borderId="0" fillId="0" fontId="49" numFmtId="165" xfId="0" applyAlignment="1" applyFont="1" applyNumberFormat="1">
      <alignment horizontal="right" readingOrder="0" vertical="bottom"/>
    </xf>
    <xf borderId="0" fillId="0" fontId="49" numFmtId="173" xfId="0" applyAlignment="1" applyFont="1" applyNumberFormat="1">
      <alignment readingOrder="0" vertical="bottom"/>
    </xf>
    <xf borderId="0" fillId="6" fontId="50" numFmtId="165" xfId="0" applyAlignment="1" applyFont="1" applyNumberFormat="1">
      <alignment horizontal="center"/>
    </xf>
    <xf borderId="0" fillId="6" fontId="50" numFmtId="49" xfId="0" applyAlignment="1" applyFont="1" applyNumberFormat="1">
      <alignment horizontal="center"/>
    </xf>
    <xf borderId="0" fillId="6" fontId="50" numFmtId="173" xfId="0" applyAlignment="1" applyFont="1" applyNumberFormat="1">
      <alignment horizontal="center" vertical="center"/>
    </xf>
    <xf borderId="0" fillId="0" fontId="43" numFmtId="0" xfId="0" applyAlignment="1" applyFont="1">
      <alignment horizontal="center" readingOrder="0" shrinkToFit="0" vertical="center" wrapText="0"/>
    </xf>
    <xf borderId="0" fillId="0" fontId="43" numFmtId="0" xfId="0" applyAlignment="1" applyFont="1">
      <alignment horizontal="center" readingOrder="0" shrinkToFit="0" vertical="center" wrapText="1"/>
    </xf>
    <xf borderId="0" fillId="6" fontId="53" numFmtId="0" xfId="0" applyAlignment="1" applyFont="1">
      <alignment horizontal="center" shrinkToFit="0" vertical="center" wrapText="0"/>
    </xf>
    <xf borderId="51" fillId="6" fontId="59" numFmtId="0" xfId="0" applyAlignment="1" applyBorder="1" applyFont="1">
      <alignment horizontal="center" readingOrder="0" shrinkToFit="0" vertical="center" wrapText="0"/>
    </xf>
    <xf borderId="51" fillId="6" fontId="59" numFmtId="0" xfId="0" applyAlignment="1" applyBorder="1" applyFont="1">
      <alignment horizontal="center" readingOrder="0" shrinkToFit="0" vertical="center" wrapText="0"/>
    </xf>
    <xf borderId="51" fillId="6" fontId="59" numFmtId="4" xfId="0" applyAlignment="1" applyBorder="1" applyFont="1" applyNumberFormat="1">
      <alignment readingOrder="0" shrinkToFit="0" vertical="center" wrapText="0"/>
    </xf>
    <xf borderId="0" fillId="6" fontId="53" numFmtId="0" xfId="0" applyAlignment="1" applyFont="1">
      <alignment horizontal="center" shrinkToFit="0" vertical="center" wrapText="1"/>
    </xf>
    <xf borderId="0" fillId="6" fontId="53" numFmtId="0" xfId="0" applyAlignment="1" applyFont="1">
      <alignment horizontal="center" readingOrder="0" shrinkToFit="0" vertical="center" wrapText="0"/>
    </xf>
    <xf borderId="0" fillId="6" fontId="50" numFmtId="0" xfId="0" applyAlignment="1" applyFont="1">
      <alignment horizontal="center" shrinkToFit="0" vertical="center" wrapText="0"/>
    </xf>
    <xf borderId="0" fillId="6" fontId="50" numFmtId="4" xfId="0" applyAlignment="1" applyFont="1" applyNumberFormat="1">
      <alignment shrinkToFit="0" vertical="center" wrapText="0"/>
    </xf>
    <xf borderId="0" fillId="6" fontId="50" numFmtId="0" xfId="0" applyAlignment="1" applyFont="1">
      <alignment horizontal="center" readingOrder="0" shrinkToFit="0" vertical="center" wrapText="0"/>
    </xf>
    <xf borderId="0" fillId="6" fontId="50" numFmtId="4" xfId="0" applyAlignment="1" applyFont="1" applyNumberFormat="1">
      <alignment readingOrder="0" shrinkToFit="0" vertical="center" wrapText="0"/>
    </xf>
    <xf borderId="0" fillId="6" fontId="53" numFmtId="49" xfId="0" applyAlignment="1" applyFont="1" applyNumberFormat="1">
      <alignment horizontal="center" readingOrder="0" shrinkToFit="0" vertical="center" wrapText="0"/>
    </xf>
    <xf borderId="0" fillId="6" fontId="53" numFmtId="0" xfId="0" applyAlignment="1" applyFont="1">
      <alignment horizontal="center" shrinkToFit="0" vertical="center" wrapText="0"/>
    </xf>
    <xf borderId="0" fillId="6" fontId="50" numFmtId="0" xfId="0" applyAlignment="1" applyFont="1">
      <alignment horizontal="center" readingOrder="0" shrinkToFit="0" vertical="center" wrapText="0"/>
    </xf>
    <xf borderId="41" fillId="6" fontId="30" numFmtId="0" xfId="0" applyAlignment="1" applyBorder="1" applyFont="1">
      <alignment horizontal="center" vertical="center"/>
    </xf>
    <xf borderId="41" fillId="6" fontId="30" numFmtId="168" xfId="0" applyAlignment="1" applyBorder="1" applyFont="1" applyNumberFormat="1">
      <alignment horizontal="center" vertical="center"/>
    </xf>
    <xf borderId="0" fillId="6" fontId="31" numFmtId="0" xfId="0" applyAlignment="1" applyFont="1">
      <alignment horizontal="center" readingOrder="0"/>
    </xf>
    <xf borderId="0" fillId="6" fontId="30" numFmtId="165" xfId="0" applyAlignment="1" applyFont="1" applyNumberFormat="1">
      <alignment horizontal="center"/>
    </xf>
    <xf borderId="0" fillId="6" fontId="31" numFmtId="0" xfId="0" applyAlignment="1" applyFont="1">
      <alignment horizontal="center"/>
    </xf>
    <xf borderId="0" fillId="6" fontId="30" numFmtId="164" xfId="0" applyAlignment="1" applyFont="1" applyNumberFormat="1">
      <alignment horizontal="center"/>
    </xf>
    <xf borderId="0" fillId="6" fontId="30" numFmtId="164" xfId="0" applyAlignment="1" applyFont="1" applyNumberFormat="1">
      <alignment horizontal="center" vertical="center"/>
    </xf>
    <xf borderId="0" fillId="6" fontId="30" numFmtId="168" xfId="0" applyAlignment="1" applyFont="1" applyNumberFormat="1">
      <alignment horizontal="center"/>
    </xf>
    <xf borderId="0" fillId="6" fontId="31" numFmtId="164" xfId="0" applyAlignment="1" applyFont="1" applyNumberFormat="1">
      <alignment horizontal="center"/>
    </xf>
    <xf borderId="41" fillId="3" fontId="58" numFmtId="0" xfId="0" applyAlignment="1" applyBorder="1" applyFont="1">
      <alignment horizontal="center"/>
    </xf>
    <xf borderId="41" fillId="3" fontId="58" numFmtId="164" xfId="0" applyAlignment="1" applyBorder="1" applyFont="1" applyNumberFormat="1">
      <alignment horizontal="center"/>
    </xf>
    <xf borderId="41" fillId="3" fontId="58" numFmtId="164" xfId="0" applyAlignment="1" applyBorder="1" applyFont="1" applyNumberFormat="1">
      <alignment horizontal="center" readingOrder="0"/>
    </xf>
    <xf borderId="0" fillId="0" fontId="41" numFmtId="0" xfId="0" applyAlignment="1" applyFont="1">
      <alignment horizontal="center" readingOrder="0"/>
    </xf>
    <xf borderId="0" fillId="0" fontId="41" numFmtId="164" xfId="0" applyAlignment="1" applyFont="1" applyNumberFormat="1">
      <alignment horizontal="center" readingOrder="0"/>
    </xf>
    <xf borderId="0" fillId="0" fontId="41" numFmtId="164" xfId="0" applyFont="1" applyNumberFormat="1"/>
    <xf borderId="0" fillId="0" fontId="41" numFmtId="164" xfId="0" applyAlignment="1" applyFont="1" applyNumberFormat="1">
      <alignment horizontal="center" readingOrder="0"/>
    </xf>
    <xf borderId="0" fillId="0" fontId="41" numFmtId="0" xfId="0" applyAlignment="1" applyFont="1">
      <alignment horizontal="center" readingOrder="0"/>
    </xf>
    <xf borderId="0" fillId="8" fontId="35" numFmtId="49" xfId="0" applyAlignment="1" applyFont="1" applyNumberFormat="1">
      <alignment horizontal="center" shrinkToFit="0" wrapText="1"/>
    </xf>
    <xf borderId="0" fillId="6" fontId="35" numFmtId="49" xfId="0" applyAlignment="1" applyFont="1" applyNumberFormat="1">
      <alignment horizontal="center" shrinkToFit="0" wrapText="1"/>
    </xf>
    <xf borderId="0" fillId="0" fontId="41" numFmtId="164" xfId="0" applyAlignment="1" applyFont="1" applyNumberFormat="1">
      <alignment horizontal="center"/>
    </xf>
    <xf borderId="0" fillId="0" fontId="60" numFmtId="0" xfId="0" applyFont="1"/>
    <xf borderId="0" fillId="0" fontId="35" numFmtId="0" xfId="0" applyFont="1"/>
    <xf borderId="0" fillId="0" fontId="41" numFmtId="0" xfId="0" applyAlignment="1" applyFont="1">
      <alignment readingOrder="0"/>
    </xf>
    <xf borderId="0" fillId="6" fontId="50" numFmtId="168" xfId="0" applyAlignment="1" applyFont="1" applyNumberFormat="1">
      <alignment horizontal="center"/>
    </xf>
    <xf borderId="0" fillId="6" fontId="61" numFmtId="0" xfId="0" applyFont="1"/>
    <xf borderId="0" fillId="10" fontId="62" numFmtId="49" xfId="0" applyAlignment="1" applyFill="1" applyFont="1" applyNumberFormat="1">
      <alignment horizontal="center" readingOrder="0" vertical="center"/>
    </xf>
    <xf borderId="0" fillId="10" fontId="62" numFmtId="165" xfId="0" applyAlignment="1" applyFont="1" applyNumberFormat="1">
      <alignment horizontal="center" readingOrder="0" vertical="center"/>
    </xf>
    <xf borderId="0" fillId="10" fontId="62" numFmtId="168" xfId="0" applyAlignment="1" applyFont="1" applyNumberFormat="1">
      <alignment horizontal="center" readingOrder="0" vertical="center"/>
    </xf>
    <xf borderId="0" fillId="10" fontId="62" numFmtId="168" xfId="0" applyAlignment="1" applyFont="1" applyNumberFormat="1">
      <alignment horizontal="center" vertical="center"/>
    </xf>
    <xf borderId="0" fillId="0" fontId="49" numFmtId="0" xfId="0" applyAlignment="1" applyFont="1">
      <alignment horizontal="center" readingOrder="0" vertical="bottom"/>
    </xf>
    <xf borderId="0" fillId="0" fontId="49" numFmtId="14" xfId="0" applyAlignment="1" applyFont="1" applyNumberFormat="1">
      <alignment horizontal="center" readingOrder="0" vertical="bottom"/>
    </xf>
    <xf borderId="0" fillId="0" fontId="49" numFmtId="168" xfId="0" applyAlignment="1" applyFont="1" applyNumberFormat="1">
      <alignment horizontal="center" readingOrder="0" vertical="bottom"/>
    </xf>
    <xf borderId="0" fillId="0" fontId="49" numFmtId="168" xfId="0" applyAlignment="1" applyFont="1" applyNumberFormat="1">
      <alignment horizontal="center" readingOrder="0" shrinkToFit="0" vertical="bottom" wrapText="0"/>
    </xf>
    <xf borderId="0" fillId="0" fontId="41" numFmtId="168" xfId="0" applyAlignment="1" applyFont="1" applyNumberFormat="1">
      <alignment horizontal="center" readingOrder="0"/>
    </xf>
    <xf borderId="0" fillId="0" fontId="41" numFmtId="168" xfId="0" applyAlignment="1" applyFont="1" applyNumberFormat="1">
      <alignment horizontal="center"/>
    </xf>
  </cellXfs>
  <cellStyles count="1">
    <cellStyle xfId="0" name="Normal" builtinId="0"/>
  </cellStyles>
  <dxfs count="8">
    <dxf>
      <font>
        <color rgb="FFFFF2CC"/>
      </font>
      <fill>
        <patternFill patternType="solid">
          <fgColor rgb="FF434343"/>
          <bgColor rgb="FF434343"/>
        </patternFill>
      </fill>
      <border/>
    </dxf>
    <dxf>
      <font>
        <color rgb="FFFF0000"/>
      </font>
      <fill>
        <patternFill patternType="solid">
          <fgColor rgb="FFD9D9D9"/>
          <bgColor rgb="FFD9D9D9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>
        <color rgb="FFFFFFFF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2" pivot="0" name="الحركات-style">
      <tableStyleElement dxfId="3" type="firstRowStripe"/>
      <tableStyleElement dxfId="4" type="secondRowStripe"/>
    </tableStyle>
    <tableStyle count="2" pivot="0" name="سيف-style">
      <tableStyleElement dxfId="3" type="firstRowStripe"/>
      <tableStyleElement dxfId="4" type="secondRowStripe"/>
    </tableStyle>
    <tableStyle count="2" pivot="0" name="سيف-style 2">
      <tableStyleElement dxfId="3" type="firstRowStripe"/>
      <tableStyleElement dxfId="4" type="secondRowStripe"/>
    </tableStyle>
    <tableStyle count="4" pivot="0" name="الجمعة + الغياب-style">
      <tableStyleElement dxfId="6" type="headerRow"/>
      <tableStyleElement dxfId="3" type="firstRowStripe"/>
      <tableStyleElement dxfId="4" type="secondRowStripe"/>
      <tableStyleElement dxfId="7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23</xdr:col>
      <xdr:colOff>476250</xdr:colOff>
      <xdr:row>0</xdr:row>
      <xdr:rowOff>190500</xdr:rowOff>
    </xdr:from>
    <xdr:ext cx="1095375" cy="647700"/>
    <xdr:sp>
      <xdr:nvSpPr>
        <xdr:cNvPr id="3" name="Shape 3"/>
        <xdr:cNvSpPr/>
      </xdr:nvSpPr>
      <xdr:spPr>
        <a:xfrm>
          <a:off x="5383575" y="1333450"/>
          <a:ext cx="696600" cy="398100"/>
        </a:xfrm>
        <a:prstGeom prst="curvedRightArrow">
          <a:avLst>
            <a:gd fmla="val 25000" name="adj1"/>
            <a:gd fmla="val 50000" name="adj2"/>
            <a:gd fmla="val 25000" name="adj3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6:E31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الحركات-style" showColumnStripes="0" showFirstColumn="1" showLastColumn="1" showRowStripes="1"/>
</table>
</file>

<file path=xl/tables/table2.xml><?xml version="1.0" encoding="utf-8"?>
<table xmlns="http://schemas.openxmlformats.org/spreadsheetml/2006/main" headerRowCount="0" ref="B4:D4" displayName="Table_2" name="Table_2" id="2">
  <tableColumns count="3">
    <tableColumn name="Column1" id="1"/>
    <tableColumn name="Column2" id="2"/>
    <tableColumn name="Column3" id="3"/>
  </tableColumns>
  <tableStyleInfo name="سيف-style" showColumnStripes="0" showFirstColumn="1" showLastColumn="1" showRowStripes="1"/>
</table>
</file>

<file path=xl/tables/table3.xml><?xml version="1.0" encoding="utf-8"?>
<table xmlns="http://schemas.openxmlformats.org/spreadsheetml/2006/main" headerRowCount="0" ref="B12:D16" displayName="Table_3" name="Table_3" id="3">
  <tableColumns count="3">
    <tableColumn name="Column1" id="1"/>
    <tableColumn name="Column2" id="2"/>
    <tableColumn name="Column3" id="3"/>
  </tableColumns>
  <tableStyleInfo name="سيف-style 2" showColumnStripes="0" showFirstColumn="1" showLastColumn="1" showRowStripes="1"/>
</table>
</file>

<file path=xl/tables/table4.xml><?xml version="1.0" encoding="utf-8"?>
<table xmlns="http://schemas.openxmlformats.org/spreadsheetml/2006/main" ref="A1:I12" displayName="جدول_1" name="جدول_1" id="4">
  <tableColumns count="9">
    <tableColumn name="الاسم " id="1"/>
    <tableColumn name="الشهر " id="2"/>
    <tableColumn name="الإجازات " id="3"/>
    <tableColumn name="الغيابات " id="4"/>
    <tableColumn name="أيام الدوام" id="5"/>
    <tableColumn name="الجمعات المستحقة " id="6"/>
    <tableColumn name="جمعات الحضور " id="7"/>
    <tableColumn name="جمعات الاستراحة " id="8"/>
    <tableColumn name="أجر الجمعات النهائي " id="9"/>
  </tableColumns>
  <tableStyleInfo name="الجمعة + الغياب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4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19.71"/>
    <col customWidth="1" min="3" max="4" width="1.57"/>
    <col customWidth="1" min="5" max="5" width="18.29"/>
    <col customWidth="1" min="6" max="7" width="1.57"/>
    <col customWidth="1" min="8" max="8" width="18.43"/>
    <col customWidth="1" min="9" max="10" width="1.57"/>
    <col customWidth="1" min="11" max="11" width="18.14"/>
    <col customWidth="1" min="12" max="13" width="1.57"/>
    <col customWidth="1" min="14" max="14" width="19.86"/>
    <col customWidth="1" min="15" max="16" width="1.57"/>
    <col customWidth="1" min="17" max="17" width="18.14"/>
    <col customWidth="1" min="18" max="18" width="1.57"/>
    <col customWidth="1" min="19" max="19" width="8.71"/>
    <col customWidth="1" min="20" max="20" width="23.43"/>
    <col customWidth="1" min="21" max="21" width="1.57"/>
    <col customWidth="1" min="22" max="22" width="2.71"/>
    <col customWidth="1" min="23" max="24" width="17.57"/>
    <col customWidth="1" min="25" max="26" width="10.14"/>
    <col customWidth="1" min="27" max="27" width="31.71"/>
    <col customWidth="1" min="28" max="28" width="6.86"/>
    <col customWidth="1" min="29" max="29" width="25.86"/>
    <col customWidth="1" min="30" max="30" width="5.0"/>
    <col customWidth="1" min="31" max="31" width="25.86"/>
    <col customWidth="1" min="32" max="32" width="7.43"/>
    <col customWidth="1" min="33" max="33" width="25.86"/>
    <col customWidth="1" min="34" max="34" width="7.57"/>
    <col customWidth="1" min="35" max="35" width="25.86"/>
    <col customWidth="1" min="36" max="36" width="6.57"/>
    <col customWidth="1" min="37" max="37" width="25.86"/>
    <col customWidth="1" min="38" max="38" width="4.86"/>
    <col customWidth="1" min="39" max="39" width="21.57"/>
    <col customWidth="1" min="40" max="40" width="33.71"/>
    <col customWidth="1" min="41" max="41" width="19.86"/>
  </cols>
  <sheetData>
    <row r="1" ht="22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"/>
      <c r="U1" s="1"/>
      <c r="V1" s="1"/>
      <c r="W1" s="1"/>
      <c r="X1" s="1"/>
      <c r="Y1" s="3"/>
      <c r="Z1" s="4"/>
      <c r="AA1" s="4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</row>
    <row r="2" ht="22.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 t="s">
        <v>0</v>
      </c>
      <c r="U2" s="8"/>
      <c r="V2" s="6"/>
      <c r="W2" s="6"/>
      <c r="X2" s="6"/>
      <c r="Y2" s="9"/>
      <c r="Z2" s="10"/>
      <c r="AA2" s="11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</row>
    <row r="3" ht="30.0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4"/>
      <c r="T3" s="15" t="s">
        <v>1</v>
      </c>
      <c r="U3" s="16"/>
      <c r="V3" s="17"/>
      <c r="W3" s="18"/>
      <c r="X3" s="13"/>
      <c r="Y3" s="19"/>
      <c r="Z3" s="20"/>
      <c r="AA3" s="21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3" t="b">
        <v>0</v>
      </c>
    </row>
    <row r="4" ht="7.5" customHeight="1">
      <c r="A4" s="24"/>
      <c r="B4" s="24"/>
      <c r="C4" s="24"/>
      <c r="D4" s="24"/>
      <c r="E4" s="24"/>
      <c r="F4" s="24"/>
      <c r="G4" s="24"/>
      <c r="H4" s="24"/>
      <c r="I4" s="24"/>
      <c r="J4" s="25"/>
      <c r="K4" s="26"/>
      <c r="L4" s="26"/>
      <c r="M4" s="26"/>
      <c r="N4" s="26"/>
      <c r="O4" s="26"/>
      <c r="P4" s="26"/>
      <c r="Q4" s="27"/>
      <c r="R4" s="28"/>
      <c r="S4" s="29"/>
      <c r="T4" s="30"/>
      <c r="U4" s="16"/>
      <c r="V4" s="31"/>
      <c r="W4" s="32"/>
      <c r="X4" s="24"/>
      <c r="Y4" s="33"/>
      <c r="Z4" s="20"/>
      <c r="AA4" s="21"/>
      <c r="AB4" s="22"/>
      <c r="AC4" s="21"/>
      <c r="AD4" s="22"/>
      <c r="AE4" s="21"/>
      <c r="AF4" s="22"/>
      <c r="AG4" s="22"/>
      <c r="AH4" s="22"/>
      <c r="AI4" s="21"/>
      <c r="AJ4" s="22"/>
      <c r="AK4" s="22"/>
      <c r="AL4" s="22"/>
      <c r="AM4" s="22"/>
      <c r="AN4" s="22"/>
      <c r="AO4" s="22"/>
    </row>
    <row r="5" ht="22.5" customHeight="1">
      <c r="A5" s="24"/>
      <c r="B5" s="25"/>
      <c r="C5" s="24"/>
      <c r="D5" s="24"/>
      <c r="E5" s="24"/>
      <c r="F5" s="24"/>
      <c r="G5" s="24"/>
      <c r="H5" s="24"/>
      <c r="I5" s="24"/>
      <c r="J5" s="25"/>
      <c r="K5" s="34" t="s">
        <v>2</v>
      </c>
      <c r="L5" s="34"/>
      <c r="M5" s="34"/>
      <c r="N5" s="34" t="s">
        <v>3</v>
      </c>
      <c r="O5" s="34"/>
      <c r="P5" s="34"/>
      <c r="Q5" s="35" t="s">
        <v>4</v>
      </c>
      <c r="R5" s="36"/>
      <c r="S5" s="29"/>
      <c r="T5" s="31"/>
      <c r="U5" s="31"/>
      <c r="V5" s="24"/>
      <c r="W5" s="32"/>
      <c r="X5" s="24"/>
      <c r="Y5" s="33"/>
      <c r="Z5" s="20"/>
      <c r="AA5" s="21"/>
      <c r="AB5" s="22"/>
      <c r="AC5" s="21"/>
      <c r="AD5" s="22"/>
      <c r="AE5" s="21"/>
      <c r="AF5" s="22"/>
      <c r="AG5" s="22"/>
      <c r="AH5" s="22"/>
      <c r="AI5" s="21"/>
      <c r="AJ5" s="22"/>
      <c r="AK5" s="22"/>
      <c r="AL5" s="22"/>
      <c r="AM5" s="22"/>
      <c r="AN5" s="22"/>
      <c r="AO5" s="22"/>
    </row>
    <row r="6" ht="30.0" customHeight="1">
      <c r="A6" s="14"/>
      <c r="B6" s="37" t="b">
        <v>0</v>
      </c>
      <c r="C6" s="38"/>
      <c r="D6" s="25"/>
      <c r="E6" s="25"/>
      <c r="F6" s="25"/>
      <c r="G6" s="25"/>
      <c r="H6" s="25"/>
      <c r="I6" s="39"/>
      <c r="J6" s="40"/>
      <c r="K6" s="41">
        <f>(VLOOKUP(T3, Employees!A:B, 2, 0) / DAY(EOMONTH(W8, 0))) /9</f>
        <v>2777.777778</v>
      </c>
      <c r="L6" s="42"/>
      <c r="M6" s="43"/>
      <c r="N6" s="41">
        <f>VLOOKUP(T3, Employees!A:B, 2, 0)</f>
        <v>750000</v>
      </c>
      <c r="O6" s="42"/>
      <c r="P6" s="44"/>
      <c r="Q6" s="41">
        <f> (T8) - (B14 + K14+N14+Q14+E14)</f>
        <v>-1234509.259</v>
      </c>
      <c r="R6" s="42"/>
      <c r="S6" s="31"/>
      <c r="T6" s="45" t="s">
        <v>5</v>
      </c>
      <c r="U6" s="24"/>
      <c r="V6" s="24"/>
      <c r="W6" s="32"/>
      <c r="X6" s="25"/>
      <c r="Y6" s="46"/>
      <c r="Z6" s="20"/>
      <c r="AA6" s="21"/>
      <c r="AB6" s="22"/>
      <c r="AC6" s="21"/>
      <c r="AD6" s="22"/>
      <c r="AE6" s="21"/>
      <c r="AF6" s="22"/>
      <c r="AG6" s="21"/>
      <c r="AH6" s="47"/>
      <c r="AI6" s="21"/>
      <c r="AJ6" s="48"/>
      <c r="AK6" s="22"/>
      <c r="AL6" s="22"/>
      <c r="AM6" s="21"/>
      <c r="AN6" s="21"/>
      <c r="AO6" s="22"/>
    </row>
    <row r="7" ht="7.5" customHeight="1">
      <c r="A7" s="13"/>
      <c r="B7" s="26"/>
      <c r="C7" s="49"/>
      <c r="D7" s="49"/>
      <c r="E7" s="49"/>
      <c r="F7" s="49"/>
      <c r="G7" s="49"/>
      <c r="H7" s="49"/>
      <c r="I7" s="49"/>
      <c r="J7" s="50"/>
      <c r="K7" s="51"/>
      <c r="L7" s="52"/>
      <c r="M7" s="40"/>
      <c r="N7" s="51"/>
      <c r="O7" s="52"/>
      <c r="P7" s="40"/>
      <c r="Q7" s="51"/>
      <c r="R7" s="52"/>
      <c r="S7" s="40"/>
      <c r="T7" s="40"/>
      <c r="U7" s="38"/>
      <c r="V7" s="53"/>
      <c r="W7" s="54"/>
      <c r="X7" s="34"/>
      <c r="Y7" s="46"/>
      <c r="Z7" s="20"/>
      <c r="AA7" s="22"/>
      <c r="AB7" s="22"/>
      <c r="AC7" s="21"/>
      <c r="AD7" s="22"/>
      <c r="AE7" s="21"/>
      <c r="AF7" s="22"/>
      <c r="AG7" s="55"/>
      <c r="AH7" s="55"/>
      <c r="AI7" s="55"/>
      <c r="AJ7" s="22"/>
      <c r="AK7" s="22"/>
      <c r="AL7" s="22"/>
      <c r="AM7" s="21"/>
      <c r="AN7" s="21"/>
      <c r="AO7" s="22"/>
    </row>
    <row r="8" ht="30.0" customHeight="1">
      <c r="A8" s="13"/>
      <c r="B8" s="49" t="s">
        <v>6</v>
      </c>
      <c r="C8" s="49"/>
      <c r="D8" s="49"/>
      <c r="E8" s="49" t="s">
        <v>7</v>
      </c>
      <c r="F8" s="49"/>
      <c r="G8" s="49"/>
      <c r="H8" s="49" t="s">
        <v>8</v>
      </c>
      <c r="I8" s="49"/>
      <c r="J8" s="34"/>
      <c r="K8" s="25"/>
      <c r="L8" s="25"/>
      <c r="M8" s="25"/>
      <c r="N8" s="25"/>
      <c r="O8" s="25"/>
      <c r="P8" s="25"/>
      <c r="Q8" s="25"/>
      <c r="R8" s="39"/>
      <c r="S8" s="56"/>
      <c r="T8" s="41">
        <f>((W17-W21)*K6)+((W13*9)*(K6))+H10+E10+B10-H14</f>
        <v>1286990.741</v>
      </c>
      <c r="U8" s="42"/>
      <c r="V8" s="57"/>
      <c r="W8" s="58">
        <v>46113.0</v>
      </c>
      <c r="X8" s="59" t="s">
        <v>9</v>
      </c>
      <c r="Y8" s="60"/>
      <c r="Z8" s="20"/>
      <c r="AA8" s="22"/>
      <c r="AB8" s="22"/>
      <c r="AC8" s="21"/>
      <c r="AD8" s="22"/>
      <c r="AE8" s="21"/>
      <c r="AF8" s="22"/>
      <c r="AG8" s="55"/>
      <c r="AH8" s="55"/>
      <c r="AI8" s="55"/>
      <c r="AJ8" s="22"/>
      <c r="AK8" s="22"/>
      <c r="AL8" s="22"/>
      <c r="AM8" s="21"/>
      <c r="AN8" s="21"/>
      <c r="AO8" s="22"/>
    </row>
    <row r="9" ht="7.5" customHeight="1">
      <c r="A9" s="13"/>
      <c r="B9" s="50"/>
      <c r="C9" s="50"/>
      <c r="D9" s="61"/>
      <c r="E9" s="50"/>
      <c r="F9" s="50"/>
      <c r="G9" s="61"/>
      <c r="H9" s="50"/>
      <c r="I9" s="50"/>
      <c r="J9" s="62"/>
      <c r="K9" s="63"/>
      <c r="L9" s="63"/>
      <c r="M9" s="63"/>
      <c r="N9" s="63"/>
      <c r="O9" s="63"/>
      <c r="P9" s="63"/>
      <c r="Q9" s="63"/>
      <c r="R9" s="63"/>
      <c r="S9" s="56"/>
      <c r="T9" s="51"/>
      <c r="U9" s="52"/>
      <c r="V9" s="57"/>
      <c r="W9" s="54"/>
      <c r="X9" s="59"/>
      <c r="Y9" s="60"/>
      <c r="Z9" s="20"/>
      <c r="AA9" s="22"/>
      <c r="AB9" s="22"/>
      <c r="AC9" s="21"/>
      <c r="AD9" s="22"/>
      <c r="AE9" s="21"/>
      <c r="AF9" s="22"/>
      <c r="AG9" s="55"/>
      <c r="AH9" s="55"/>
      <c r="AI9" s="55"/>
      <c r="AJ9" s="22"/>
      <c r="AK9" s="22"/>
      <c r="AL9" s="22"/>
      <c r="AM9" s="21"/>
      <c r="AN9" s="21"/>
      <c r="AO9" s="22"/>
    </row>
    <row r="10" ht="30.0" customHeight="1">
      <c r="A10" s="14"/>
      <c r="B10" s="41">
        <f>(W14*K6)*2</f>
        <v>190648.1481</v>
      </c>
      <c r="C10" s="42"/>
      <c r="D10" s="64"/>
      <c r="E10" s="41">
        <f>SUMIFS(Calculations!D:D, Attendance!B:B, T3, Attendance!A:A, "&gt;="&amp;W8, Attendance!A:A, "&lt;="&amp;EOMONTH(W8,0))</f>
        <v>58611.11111</v>
      </c>
      <c r="F10" s="42"/>
      <c r="G10" s="64"/>
      <c r="H10" s="41">
        <f>(100000 / W10) * W16</f>
        <v>100000</v>
      </c>
      <c r="I10" s="42"/>
      <c r="J10" s="65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6">
        <f>_xlfn.NETWORKDAYS.INTL(W8, EOMONTH(W8,0), 16)</f>
        <v>26</v>
      </c>
      <c r="X10" s="67" t="s">
        <v>10</v>
      </c>
      <c r="Y10" s="68"/>
      <c r="Z10" s="20"/>
      <c r="AA10" s="21"/>
      <c r="AB10" s="22"/>
      <c r="AC10" s="21"/>
      <c r="AD10" s="22"/>
      <c r="AE10" s="21"/>
      <c r="AF10" s="22"/>
      <c r="AG10" s="21"/>
      <c r="AH10" s="47"/>
      <c r="AI10" s="21"/>
      <c r="AJ10" s="69"/>
      <c r="AK10" s="22"/>
      <c r="AL10" s="22"/>
      <c r="AM10" s="21"/>
      <c r="AN10" s="21"/>
      <c r="AO10" s="22"/>
    </row>
    <row r="11" ht="7.5" customHeight="1">
      <c r="A11" s="13"/>
      <c r="B11" s="51"/>
      <c r="C11" s="52"/>
      <c r="D11" s="64"/>
      <c r="E11" s="51"/>
      <c r="F11" s="52"/>
      <c r="G11" s="64"/>
      <c r="H11" s="51"/>
      <c r="I11" s="52"/>
      <c r="J11" s="65"/>
      <c r="K11" s="70"/>
      <c r="L11" s="70"/>
      <c r="M11" s="70"/>
      <c r="N11" s="63"/>
      <c r="O11" s="63"/>
      <c r="P11" s="63"/>
      <c r="Q11" s="63"/>
      <c r="R11" s="63"/>
      <c r="S11" s="63"/>
      <c r="T11" s="63"/>
      <c r="U11" s="63"/>
      <c r="V11" s="63"/>
      <c r="W11" s="71"/>
      <c r="X11" s="72"/>
      <c r="Y11" s="60"/>
      <c r="Z11" s="20"/>
      <c r="AA11" s="73"/>
      <c r="AB11" s="22"/>
      <c r="AC11" s="21"/>
      <c r="AD11" s="22"/>
      <c r="AE11" s="21"/>
      <c r="AF11" s="22"/>
      <c r="AG11" s="21"/>
      <c r="AH11" s="74"/>
      <c r="AI11" s="74"/>
      <c r="AJ11" s="73"/>
      <c r="AK11" s="22"/>
      <c r="AL11" s="73"/>
      <c r="AM11" s="21"/>
      <c r="AN11" s="21"/>
      <c r="AO11" s="75"/>
    </row>
    <row r="12" ht="30.0" customHeight="1">
      <c r="A12" s="13"/>
      <c r="B12" s="76"/>
      <c r="C12" s="76"/>
      <c r="D12" s="76"/>
      <c r="E12" s="76"/>
      <c r="F12" s="76"/>
      <c r="G12" s="77"/>
      <c r="H12" s="76"/>
      <c r="I12" s="76"/>
      <c r="J12" s="70"/>
      <c r="K12" s="70"/>
      <c r="L12" s="70"/>
      <c r="M12" s="70"/>
      <c r="N12" s="63"/>
      <c r="O12" s="63"/>
      <c r="P12" s="63"/>
      <c r="Q12" s="63"/>
      <c r="R12" s="63"/>
      <c r="S12" s="63"/>
      <c r="T12" s="63"/>
      <c r="U12" s="63"/>
      <c r="V12" s="63"/>
      <c r="W12" s="66">
        <f>DAY(EOMONTH(W8,0))-W10</f>
        <v>4</v>
      </c>
      <c r="X12" s="78" t="s">
        <v>11</v>
      </c>
      <c r="Y12" s="68"/>
      <c r="Z12" s="20"/>
      <c r="AA12" s="73"/>
      <c r="AB12" s="22"/>
      <c r="AC12" s="21"/>
      <c r="AD12" s="22"/>
      <c r="AE12" s="21"/>
      <c r="AF12" s="22"/>
      <c r="AG12" s="21"/>
      <c r="AH12" s="74"/>
      <c r="AI12" s="74"/>
      <c r="AJ12" s="73"/>
      <c r="AK12" s="22"/>
      <c r="AL12" s="73"/>
      <c r="AM12" s="21"/>
      <c r="AN12" s="21"/>
      <c r="AO12" s="75"/>
    </row>
    <row r="13" ht="30.0" customHeight="1">
      <c r="A13" s="79"/>
      <c r="B13" s="77" t="s">
        <v>12</v>
      </c>
      <c r="C13" s="49"/>
      <c r="D13" s="77"/>
      <c r="E13" s="80" t="s">
        <v>13</v>
      </c>
      <c r="F13" s="79"/>
      <c r="G13" s="80"/>
      <c r="H13" s="77" t="s">
        <v>14</v>
      </c>
      <c r="I13" s="49"/>
      <c r="J13" s="77"/>
      <c r="K13" s="77" t="s">
        <v>15</v>
      </c>
      <c r="L13" s="77"/>
      <c r="M13" s="77"/>
      <c r="N13" s="77" t="s">
        <v>16</v>
      </c>
      <c r="O13" s="80"/>
      <c r="P13" s="80"/>
      <c r="Q13" s="77" t="s">
        <v>17</v>
      </c>
      <c r="R13" s="77"/>
      <c r="S13" s="63"/>
      <c r="T13" s="63"/>
      <c r="U13" s="63"/>
      <c r="V13" s="63"/>
      <c r="W13" s="66">
        <f>SUMIFS('الجمعة + الغياب'!$F$2:$F44, 'الجمعة + الغياب'!$A$2:$A44, T3, 'الجمعة + الغياب'!$B$2:$B44, MONTH(W8))</f>
        <v>4</v>
      </c>
      <c r="X13" s="67" t="s">
        <v>18</v>
      </c>
      <c r="Y13" s="68"/>
      <c r="Z13" s="81"/>
      <c r="AA13" s="82"/>
      <c r="AB13" s="22"/>
      <c r="AC13" s="82"/>
      <c r="AD13" s="22"/>
      <c r="AE13" s="82"/>
      <c r="AF13" s="22"/>
      <c r="AG13" s="82"/>
      <c r="AH13" s="47"/>
      <c r="AI13" s="82"/>
      <c r="AJ13" s="83"/>
      <c r="AK13" s="22"/>
      <c r="AL13" s="84"/>
      <c r="AM13" s="82"/>
      <c r="AN13" s="82"/>
      <c r="AO13" s="73"/>
    </row>
    <row r="14" ht="30.0" customHeight="1">
      <c r="A14" s="14"/>
      <c r="B14" s="41">
        <f>SUMIFS(Attendance!H:H, Attendance!B:B, T3, Attendance!A:A, "&gt;="&amp;W8, Attendance!A:A, "&lt;="&amp;EOMONTH(W8,0))</f>
        <v>0</v>
      </c>
      <c r="C14" s="85"/>
      <c r="D14" s="86"/>
      <c r="E14" s="41">
        <f t="array" ref="E14">XLOOKUP(T3, 'الديون'!A:A, 'الديون'!E:E, 0)</f>
        <v>2261000</v>
      </c>
      <c r="F14" s="42"/>
      <c r="G14" s="87"/>
      <c r="H14" s="41">
        <f>SUMIFS(Calculations!C:C, Attendance!B:B, T3, Attendance!A:A, "&gt;="&amp;W8, Attendance!A:A, "&lt;="&amp;EOMONTH(W8,0))</f>
        <v>2037.037037</v>
      </c>
      <c r="I14" s="42"/>
      <c r="J14" s="86"/>
      <c r="K14" s="41">
        <f>SUMPRODUCT(('السلفة'!$E$3:$E$22=TRIM(T3))*(TEXT('السلفة'!$F2:$I2,"yyyy-mm")=TEXT(W8,"yyyy-mm"))*('السلفة'!$F$3:$I$22))</f>
        <v>260500</v>
      </c>
      <c r="L14" s="42"/>
      <c r="M14" s="86"/>
      <c r="N14" s="88">
        <v>0.0</v>
      </c>
      <c r="O14" s="42"/>
      <c r="P14" s="86"/>
      <c r="Q14" s="88">
        <v>0.0</v>
      </c>
      <c r="R14" s="42"/>
      <c r="S14" s="87"/>
      <c r="T14" s="80"/>
      <c r="U14" s="63"/>
      <c r="V14" s="89"/>
      <c r="W14" s="90">
        <f>SUMIFS(Attendance!$G$29:$G44, Attendance!$B$29:$B44, $T$3, Attendance!$F$29:$F44, MONTH($W$8), Attendance!$E$29:$E44, "الجمعة")</f>
        <v>34.31666667</v>
      </c>
      <c r="X14" s="59" t="s">
        <v>19</v>
      </c>
      <c r="Y14" s="91"/>
      <c r="Z14" s="92"/>
      <c r="AA14" s="93"/>
      <c r="AB14" s="22"/>
      <c r="AC14" s="21"/>
      <c r="AD14" s="48"/>
      <c r="AE14" s="48"/>
      <c r="AF14" s="48"/>
      <c r="AG14" s="21"/>
      <c r="AH14" s="48"/>
      <c r="AI14" s="48"/>
      <c r="AJ14" s="48"/>
      <c r="AK14" s="48"/>
      <c r="AL14" s="48"/>
      <c r="AM14" s="21"/>
      <c r="AN14" s="21"/>
      <c r="AO14" s="48"/>
    </row>
    <row r="15" ht="7.5" customHeight="1">
      <c r="A15" s="13"/>
      <c r="B15" s="94"/>
      <c r="C15" s="16"/>
      <c r="D15" s="95"/>
      <c r="E15" s="51"/>
      <c r="F15" s="52"/>
      <c r="G15" s="96"/>
      <c r="H15" s="51"/>
      <c r="I15" s="52"/>
      <c r="J15" s="96"/>
      <c r="K15" s="51"/>
      <c r="L15" s="52"/>
      <c r="M15" s="96"/>
      <c r="N15" s="51"/>
      <c r="O15" s="52"/>
      <c r="P15" s="40"/>
      <c r="Q15" s="51"/>
      <c r="R15" s="52"/>
      <c r="S15" s="95"/>
      <c r="T15" s="63"/>
      <c r="U15" s="63"/>
      <c r="V15" s="89"/>
      <c r="W15" s="71"/>
      <c r="X15" s="59"/>
      <c r="Y15" s="91"/>
      <c r="Z15" s="92"/>
      <c r="AA15" s="97"/>
      <c r="AB15" s="98"/>
      <c r="AC15" s="21"/>
      <c r="AD15" s="84"/>
      <c r="AE15" s="84"/>
      <c r="AF15" s="84"/>
      <c r="AG15" s="48"/>
      <c r="AH15" s="48"/>
      <c r="AI15" s="48"/>
      <c r="AJ15" s="48"/>
      <c r="AK15" s="48"/>
      <c r="AL15" s="48"/>
      <c r="AM15" s="21"/>
      <c r="AN15" s="21"/>
      <c r="AO15" s="48"/>
    </row>
    <row r="16" ht="30.0" customHeight="1">
      <c r="A16" s="13"/>
      <c r="B16" s="53"/>
      <c r="C16" s="89"/>
      <c r="D16" s="53"/>
      <c r="E16" s="99"/>
      <c r="F16" s="100"/>
      <c r="G16" s="99"/>
      <c r="H16" s="99"/>
      <c r="I16" s="100"/>
      <c r="J16" s="99"/>
      <c r="K16" s="99"/>
      <c r="L16" s="100"/>
      <c r="M16" s="99"/>
      <c r="N16" s="101"/>
      <c r="O16" s="63"/>
      <c r="P16" s="25"/>
      <c r="Q16" s="53"/>
      <c r="R16" s="53"/>
      <c r="S16" s="89"/>
      <c r="T16" s="63"/>
      <c r="U16" s="63"/>
      <c r="V16" s="89"/>
      <c r="W16" s="66">
        <f>IFERROR(__xludf.DUMMYFUNCTION("COUNTUNIQUEIFS(Attendance!$A$29:$A44, Attendance!$B$29:$B44, $T$3, Attendance!$F$29:$F44, MONTH($W$8))-W18"),26.0)</f>
        <v>26</v>
      </c>
      <c r="X16" s="59" t="s">
        <v>20</v>
      </c>
      <c r="Y16" s="91"/>
      <c r="Z16" s="92"/>
      <c r="AA16" s="97"/>
      <c r="AB16" s="98"/>
      <c r="AC16" s="21"/>
      <c r="AD16" s="84"/>
      <c r="AE16" s="84"/>
      <c r="AF16" s="84"/>
      <c r="AG16" s="48"/>
      <c r="AH16" s="48"/>
      <c r="AI16" s="48"/>
      <c r="AJ16" s="48"/>
      <c r="AK16" s="48"/>
      <c r="AL16" s="48"/>
      <c r="AM16" s="21"/>
      <c r="AN16" s="21"/>
      <c r="AO16" s="48"/>
    </row>
    <row r="17" ht="30.0" customHeight="1">
      <c r="A17" s="13"/>
      <c r="B17" s="77" t="s">
        <v>21</v>
      </c>
      <c r="C17" s="49"/>
      <c r="D17" s="77"/>
      <c r="E17" s="77" t="s">
        <v>22</v>
      </c>
      <c r="F17" s="49"/>
      <c r="G17" s="77"/>
      <c r="H17" s="77" t="s">
        <v>23</v>
      </c>
      <c r="I17" s="49"/>
      <c r="J17" s="77"/>
      <c r="K17" s="77" t="s">
        <v>24</v>
      </c>
      <c r="L17" s="77"/>
      <c r="M17" s="77"/>
      <c r="N17" s="102"/>
      <c r="O17" s="102"/>
      <c r="P17" s="102"/>
      <c r="Q17" s="102"/>
      <c r="R17" s="102"/>
      <c r="S17" s="102"/>
      <c r="T17" s="102"/>
      <c r="U17" s="63"/>
      <c r="V17" s="63"/>
      <c r="W17" s="90">
        <f>SUMIFS(Attendance!$G$29:$G44, Attendance!$B$29:$B44, $T$3, Attendance!$F$29:$F44, MONTH($W$8), Attendance!$E$29:$E44, "&lt;&gt;الجمعة")</f>
        <v>327.7333333</v>
      </c>
      <c r="X17" s="67" t="s">
        <v>25</v>
      </c>
      <c r="Y17" s="68"/>
      <c r="Z17" s="92"/>
      <c r="AA17" s="84"/>
      <c r="AB17" s="84"/>
      <c r="AC17" s="21"/>
      <c r="AD17" s="98"/>
      <c r="AE17" s="84"/>
      <c r="AF17" s="84"/>
      <c r="AG17" s="48"/>
      <c r="AH17" s="48"/>
      <c r="AI17" s="48"/>
      <c r="AJ17" s="48"/>
      <c r="AK17" s="48"/>
      <c r="AL17" s="48"/>
      <c r="AM17" s="48"/>
      <c r="AN17" s="48"/>
      <c r="AO17" s="48"/>
    </row>
    <row r="18" ht="30.0" customHeight="1">
      <c r="A18" s="103"/>
      <c r="B18" s="104">
        <f>SUMIF(Attendance!$B$29:$B44, $T$3, Attendance!$M$29:$M44)</f>
        <v>135.4166667</v>
      </c>
      <c r="C18" s="42"/>
      <c r="D18" s="105"/>
      <c r="E18" s="104">
        <f>COUNTIF(Attendance!$B$29:$B44, $T$3)</f>
        <v>30</v>
      </c>
      <c r="F18" s="42"/>
      <c r="G18" s="50"/>
      <c r="H18" s="104">
        <f>SUMIF(Attendance!$B$29:$B44, $T$3, Attendance!$G$29:$G44)</f>
        <v>362.05</v>
      </c>
      <c r="I18" s="42"/>
      <c r="J18" s="106"/>
      <c r="K18" s="104">
        <f>COUNTIFS(Attendance!$B$29:$B44, $T$3, Attendance!$K$29:$K44, "جمعة")</f>
        <v>3</v>
      </c>
      <c r="L18" s="42"/>
      <c r="M18" s="61"/>
      <c r="N18" s="101"/>
      <c r="O18" s="101"/>
      <c r="P18" s="101"/>
      <c r="Q18" s="101"/>
      <c r="R18" s="101"/>
      <c r="S18" s="101"/>
      <c r="T18" s="101"/>
      <c r="U18" s="70"/>
      <c r="V18" s="70"/>
      <c r="W18" s="66">
        <f>IFERROR(__xludf.DUMMYFUNCTION("COUNTUNIQUEIFS(Attendance!$A$29:$A44, Attendance!$B$29:$B44, $T$3, Attendance!$F$29:$F44, MONTH($W$8), Attendance!$E$29:$E44, ""الجمعة"")"),3.0)</f>
        <v>3</v>
      </c>
      <c r="X18" s="67" t="s">
        <v>26</v>
      </c>
      <c r="Y18" s="68"/>
      <c r="Z18" s="107"/>
      <c r="AA18" s="21"/>
      <c r="AB18" s="108"/>
      <c r="AC18" s="21"/>
      <c r="AD18" s="84"/>
      <c r="AE18" s="84"/>
      <c r="AF18" s="84"/>
      <c r="AG18" s="21"/>
      <c r="AH18" s="109"/>
      <c r="AI18" s="109"/>
      <c r="AJ18" s="48"/>
      <c r="AK18" s="48"/>
      <c r="AL18" s="48"/>
      <c r="AM18" s="21"/>
      <c r="AN18" s="21"/>
      <c r="AO18" s="48"/>
    </row>
    <row r="19" ht="7.5" customHeight="1">
      <c r="A19" s="102"/>
      <c r="B19" s="51"/>
      <c r="C19" s="52"/>
      <c r="D19" s="50"/>
      <c r="E19" s="51"/>
      <c r="F19" s="52"/>
      <c r="G19" s="50"/>
      <c r="H19" s="51"/>
      <c r="I19" s="52"/>
      <c r="J19" s="50"/>
      <c r="K19" s="51"/>
      <c r="L19" s="52"/>
      <c r="M19" s="61"/>
      <c r="N19" s="101"/>
      <c r="O19" s="101"/>
      <c r="P19" s="101"/>
      <c r="Q19" s="101"/>
      <c r="R19" s="101"/>
      <c r="S19" s="101"/>
      <c r="T19" s="101"/>
      <c r="U19" s="70"/>
      <c r="V19" s="70"/>
      <c r="W19" s="110"/>
      <c r="X19" s="59"/>
      <c r="Y19" s="91"/>
      <c r="Z19" s="107"/>
      <c r="AA19" s="84"/>
      <c r="AB19" s="84"/>
      <c r="AC19" s="21"/>
      <c r="AD19" s="108"/>
      <c r="AE19" s="84"/>
      <c r="AF19" s="84"/>
      <c r="AG19" s="21"/>
      <c r="AH19" s="109"/>
      <c r="AI19" s="109"/>
      <c r="AJ19" s="48"/>
      <c r="AK19" s="48"/>
      <c r="AL19" s="48"/>
      <c r="AM19" s="48"/>
      <c r="AN19" s="111"/>
      <c r="AO19" s="48"/>
    </row>
    <row r="20" ht="30.0" customHeight="1">
      <c r="A20" s="102"/>
      <c r="B20" s="34" t="s">
        <v>27</v>
      </c>
      <c r="C20" s="49"/>
      <c r="D20" s="34"/>
      <c r="E20" s="34" t="s">
        <v>28</v>
      </c>
      <c r="F20" s="49"/>
      <c r="G20" s="34"/>
      <c r="H20" s="34" t="s">
        <v>29</v>
      </c>
      <c r="I20" s="49"/>
      <c r="J20" s="34"/>
      <c r="K20" s="34" t="s">
        <v>30</v>
      </c>
      <c r="L20" s="49"/>
      <c r="M20" s="49"/>
      <c r="N20" s="34" t="s">
        <v>31</v>
      </c>
      <c r="O20" s="27"/>
      <c r="P20" s="27"/>
      <c r="Q20" s="34" t="s">
        <v>32</v>
      </c>
      <c r="R20" s="101"/>
      <c r="S20" s="101"/>
      <c r="T20" s="101"/>
      <c r="U20" s="102"/>
      <c r="V20" s="102"/>
      <c r="W20" s="112">
        <f>IFERROR(__xludf.DUMMYFUNCTION("NETWORKDAYS.INTL(W8, MIN(TODAY(), EOMONTH(W8, 0)), ""0000100"") - COUNTUNIQUEIFS(Attendance!$A$29:$A44, Attendance!$B$29:$B44, $T$3, Attendance!$A$29:$A44, ""&gt;=""&amp;$W$8, Attendance!$A$29:$A44, ""&lt;=""&amp;MIN(TODAY(), EOMONTH(W8, 0)), Attendance!$E$29:$E44, ""&lt;"&amp;"&gt;الجمعة"")"),0.0)</f>
        <v>0</v>
      </c>
      <c r="X20" s="113" t="s">
        <v>33</v>
      </c>
      <c r="Y20" s="114"/>
      <c r="Z20" s="107"/>
      <c r="AA20" s="84"/>
      <c r="AB20" s="84"/>
      <c r="AC20" s="21"/>
      <c r="AD20" s="108"/>
      <c r="AE20" s="84"/>
      <c r="AF20" s="84"/>
      <c r="AG20" s="21"/>
      <c r="AH20" s="109"/>
      <c r="AI20" s="109"/>
      <c r="AJ20" s="48"/>
      <c r="AK20" s="48"/>
      <c r="AL20" s="48"/>
      <c r="AM20" s="48"/>
      <c r="AN20" s="111"/>
      <c r="AO20" s="48"/>
    </row>
    <row r="21" ht="30.0" customHeight="1">
      <c r="A21" s="103"/>
      <c r="B21" s="41">
        <f t="array" ref="B21">SUM(XLOOKUP(TRIM(T3), 'السلفة'!$E$2:$E$22, 'السلفة'!$F$2:$I$22))</f>
        <v>3370250</v>
      </c>
      <c r="C21" s="85"/>
      <c r="D21" s="115"/>
      <c r="E21" s="41" t="str">
        <f>SUMPRODUCT((TRIM(Data!$A$2:$A$)=TRIM($T$3))*(Data!$F$2:$F$)) + $E$10</f>
        <v>#ERROR!</v>
      </c>
      <c r="F21" s="42"/>
      <c r="G21" s="50"/>
      <c r="H21" s="41" t="str">
        <f>SUMPRODUCT((TRIM(Data!$A$3:$A$491)=TRIM($T$3))*(Data!$K$3:$K$491)) + $T$8</f>
        <v>#VALUE!</v>
      </c>
      <c r="I21" s="42"/>
      <c r="J21" s="50"/>
      <c r="K21" s="41" t="str">
        <f>H21+E21+N21-B21-Q21-Q14-N14</f>
        <v>#VALUE!</v>
      </c>
      <c r="L21" s="42"/>
      <c r="M21" s="116"/>
      <c r="N21" s="41" t="str">
        <f>SUMPRODUCT((TRIM(Data!$A$3:$A$491)=TRIM($T$3))*(Data!$H$3:$H$491)) + $H$10</f>
        <v>#VALUE!</v>
      </c>
      <c r="O21" s="42"/>
      <c r="P21" s="117"/>
      <c r="Q21" s="41" t="str">
        <f>SUMPRODUCT((TRIM(Data!$A$3:$A$491)=TRIM($T$3))*(Data!$J$3:$J$491)) + $H$14</f>
        <v>#VALUE!</v>
      </c>
      <c r="R21" s="42"/>
      <c r="S21" s="101"/>
      <c r="T21" s="101"/>
      <c r="U21" s="101"/>
      <c r="V21" s="101"/>
      <c r="W21" s="118">
        <f t="array" ref="W21">SUM(IF((Attendance!$B$29:$B44=$T$3)*(Attendance!$F$29:$F44=MONTH($W$8)), IF(Attendance!$D$29:$D44&gt;TIME(18,0,0), (Attendance!$D$29:$D44-TIME(18,0,0))*24, 0), 0))</f>
        <v>25.41666667</v>
      </c>
      <c r="X21" s="119" t="s">
        <v>34</v>
      </c>
      <c r="Y21" s="120"/>
      <c r="Z21" s="107"/>
      <c r="AA21" s="21"/>
      <c r="AB21" s="121"/>
      <c r="AC21" s="21"/>
      <c r="AD21" s="84"/>
      <c r="AE21" s="84"/>
      <c r="AF21" s="84"/>
      <c r="AG21" s="21"/>
      <c r="AH21" s="122"/>
      <c r="AI21" s="122"/>
      <c r="AJ21" s="48"/>
      <c r="AK21" s="48"/>
      <c r="AL21" s="48"/>
      <c r="AM21" s="21"/>
      <c r="AN21" s="21"/>
      <c r="AO21" s="48"/>
    </row>
    <row r="22" ht="7.5" customHeight="1">
      <c r="A22" s="102"/>
      <c r="B22" s="94"/>
      <c r="C22" s="16"/>
      <c r="D22" s="96"/>
      <c r="E22" s="51"/>
      <c r="F22" s="52"/>
      <c r="G22" s="123"/>
      <c r="H22" s="51"/>
      <c r="I22" s="52"/>
      <c r="J22" s="96"/>
      <c r="K22" s="51"/>
      <c r="L22" s="52"/>
      <c r="M22" s="124"/>
      <c r="N22" s="51"/>
      <c r="O22" s="52"/>
      <c r="P22" s="101"/>
      <c r="Q22" s="51"/>
      <c r="R22" s="52"/>
      <c r="S22" s="101"/>
      <c r="T22" s="101"/>
      <c r="U22" s="101"/>
      <c r="V22" s="101"/>
      <c r="W22" s="125"/>
      <c r="X22" s="101"/>
      <c r="Y22" s="126"/>
      <c r="Z22" s="107"/>
      <c r="AA22" s="84"/>
      <c r="AB22" s="84"/>
      <c r="AC22" s="84"/>
      <c r="AD22" s="121"/>
      <c r="AE22" s="84"/>
      <c r="AF22" s="84"/>
      <c r="AG22" s="21"/>
      <c r="AH22" s="122"/>
      <c r="AI22" s="122"/>
      <c r="AJ22" s="48"/>
      <c r="AK22" s="48"/>
      <c r="AL22" s="48"/>
      <c r="AM22" s="48"/>
      <c r="AN22" s="48"/>
      <c r="AO22" s="48"/>
    </row>
    <row r="23" ht="30.0" customHeight="1">
      <c r="A23" s="102"/>
      <c r="B23" s="127"/>
      <c r="C23" s="127"/>
      <c r="D23" s="99"/>
      <c r="E23" s="128" t="s">
        <v>35</v>
      </c>
      <c r="H23" s="129"/>
      <c r="I23" s="99"/>
      <c r="J23" s="127"/>
      <c r="K23" s="127"/>
      <c r="L23" s="127"/>
      <c r="M23" s="127"/>
      <c r="N23" s="101"/>
      <c r="O23" s="101"/>
      <c r="P23" s="101"/>
      <c r="Q23" s="101"/>
      <c r="R23" s="101"/>
      <c r="S23" s="101"/>
      <c r="T23" s="101"/>
      <c r="U23" s="101"/>
      <c r="V23" s="101"/>
      <c r="W23" s="118">
        <f>W17-W21</f>
        <v>302.3166667</v>
      </c>
      <c r="X23" s="101"/>
      <c r="Y23" s="126"/>
      <c r="Z23" s="107"/>
      <c r="AA23" s="84"/>
      <c r="AB23" s="84"/>
      <c r="AC23" s="84"/>
      <c r="AD23" s="121"/>
      <c r="AE23" s="84"/>
      <c r="AF23" s="84"/>
      <c r="AG23" s="21"/>
      <c r="AH23" s="122"/>
      <c r="AI23" s="122"/>
      <c r="AJ23" s="48"/>
      <c r="AK23" s="48"/>
      <c r="AL23" s="48"/>
      <c r="AM23" s="48"/>
      <c r="AN23" s="48"/>
      <c r="AO23" s="48"/>
    </row>
    <row r="24" ht="30.0" customHeight="1">
      <c r="A24" s="102"/>
      <c r="B24" s="130"/>
      <c r="C24" s="131"/>
      <c r="D24" s="96"/>
      <c r="E24" s="132">
        <f>SUM(Data!$K$3:$K$990)</f>
        <v>0</v>
      </c>
      <c r="F24" s="133"/>
      <c r="G24" s="133"/>
      <c r="H24" s="134"/>
      <c r="I24" s="135"/>
      <c r="J24" s="136"/>
      <c r="K24" s="130"/>
      <c r="L24" s="130"/>
      <c r="M24" s="130"/>
      <c r="N24" s="18"/>
      <c r="O24" s="18"/>
      <c r="P24" s="18"/>
      <c r="Q24" s="130"/>
      <c r="R24" s="130"/>
      <c r="S24" s="130"/>
      <c r="T24" s="137"/>
      <c r="U24" s="130"/>
      <c r="V24" s="102"/>
      <c r="W24" s="102"/>
      <c r="X24" s="102"/>
      <c r="Y24" s="138"/>
      <c r="Z24" s="107"/>
      <c r="AA24" s="84"/>
      <c r="AB24" s="84"/>
      <c r="AC24" s="84"/>
      <c r="AD24" s="84"/>
      <c r="AE24" s="84"/>
      <c r="AF24" s="84"/>
      <c r="AG24" s="21"/>
      <c r="AH24" s="139"/>
      <c r="AI24" s="139"/>
      <c r="AJ24" s="48"/>
      <c r="AK24" s="48"/>
      <c r="AL24" s="48"/>
      <c r="AM24" s="48"/>
      <c r="AN24" s="48"/>
      <c r="AO24" s="48"/>
    </row>
    <row r="25" ht="9.75" customHeight="1">
      <c r="A25" s="102"/>
      <c r="B25" s="130"/>
      <c r="C25" s="130"/>
      <c r="D25" s="140"/>
      <c r="E25" s="141"/>
      <c r="F25" s="141"/>
      <c r="G25" s="141"/>
      <c r="H25" s="141"/>
      <c r="I25" s="142"/>
      <c r="J25" s="136"/>
      <c r="K25" s="130"/>
      <c r="L25" s="130"/>
      <c r="M25" s="130"/>
      <c r="N25" s="18"/>
      <c r="O25" s="18"/>
      <c r="P25" s="18"/>
      <c r="Q25" s="130"/>
      <c r="R25" s="130"/>
      <c r="S25" s="130"/>
      <c r="T25" s="143"/>
      <c r="U25" s="130"/>
      <c r="V25" s="102"/>
      <c r="W25" s="102"/>
      <c r="X25" s="102"/>
      <c r="Y25" s="138"/>
      <c r="Z25" s="107"/>
      <c r="AA25" s="84"/>
      <c r="AB25" s="84"/>
      <c r="AC25" s="144"/>
      <c r="AD25" s="84"/>
      <c r="AE25" s="144"/>
      <c r="AF25" s="84"/>
      <c r="AG25" s="21"/>
      <c r="AH25" s="122"/>
      <c r="AI25" s="122"/>
      <c r="AJ25" s="48"/>
      <c r="AK25" s="48"/>
      <c r="AL25" s="48"/>
      <c r="AM25" s="48"/>
      <c r="AN25" s="48"/>
      <c r="AO25" s="48"/>
    </row>
    <row r="26" ht="30.0" customHeight="1">
      <c r="A26" s="102"/>
      <c r="B26" s="130"/>
      <c r="C26" s="130"/>
      <c r="D26" s="130"/>
      <c r="E26" s="127"/>
      <c r="F26" s="127"/>
      <c r="G26" s="127"/>
      <c r="H26" s="127"/>
      <c r="I26" s="127"/>
      <c r="J26" s="130"/>
      <c r="K26" s="130"/>
      <c r="L26" s="130"/>
      <c r="M26" s="130"/>
      <c r="N26" s="18"/>
      <c r="O26" s="18"/>
      <c r="P26" s="18"/>
      <c r="Q26" s="130"/>
      <c r="R26" s="130"/>
      <c r="S26" s="130"/>
      <c r="T26" s="143"/>
      <c r="U26" s="130"/>
      <c r="V26" s="102"/>
      <c r="W26" s="102"/>
      <c r="X26" s="102"/>
      <c r="Y26" s="138"/>
      <c r="Z26" s="107"/>
      <c r="AA26" s="84"/>
      <c r="AB26" s="84"/>
      <c r="AC26" s="84"/>
      <c r="AD26" s="84"/>
      <c r="AE26" s="84"/>
      <c r="AF26" s="84"/>
      <c r="AG26" s="48"/>
      <c r="AH26" s="48"/>
      <c r="AI26" s="48"/>
      <c r="AJ26" s="48"/>
      <c r="AK26" s="48"/>
      <c r="AL26" s="48"/>
      <c r="AM26" s="48"/>
      <c r="AN26" s="48"/>
      <c r="AO26" s="48"/>
    </row>
    <row r="27" ht="30.0" customHeight="1">
      <c r="A27" s="102"/>
      <c r="B27" s="130"/>
      <c r="C27" s="130"/>
      <c r="D27" s="130"/>
      <c r="E27" s="130"/>
      <c r="F27" s="130"/>
      <c r="G27" s="130"/>
      <c r="H27" s="130"/>
      <c r="I27" s="130"/>
      <c r="J27" s="130"/>
      <c r="K27" s="130"/>
      <c r="L27" s="130"/>
      <c r="M27" s="130"/>
      <c r="N27" s="18"/>
      <c r="O27" s="18"/>
      <c r="P27" s="18"/>
      <c r="Q27" s="130"/>
      <c r="R27" s="130"/>
      <c r="S27" s="130"/>
      <c r="T27" s="143"/>
      <c r="U27" s="130"/>
      <c r="V27" s="102"/>
      <c r="W27" s="102"/>
      <c r="X27" s="102"/>
      <c r="Y27" s="138"/>
      <c r="Z27" s="107"/>
      <c r="AA27" s="84"/>
      <c r="AB27" s="48"/>
      <c r="AC27" s="48"/>
      <c r="AD27" s="48"/>
      <c r="AE27" s="21"/>
      <c r="AF27" s="48"/>
      <c r="AG27" s="21"/>
      <c r="AH27" s="21"/>
      <c r="AI27" s="21"/>
      <c r="AJ27" s="21"/>
      <c r="AK27" s="21"/>
      <c r="AL27" s="48"/>
      <c r="AM27" s="48"/>
      <c r="AN27" s="48" t="s">
        <v>36</v>
      </c>
      <c r="AO27" s="48"/>
    </row>
    <row r="28" ht="22.5" customHeight="1">
      <c r="A28" s="102"/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45"/>
      <c r="Z28" s="146"/>
      <c r="AA28" s="84"/>
      <c r="AB28" s="84"/>
      <c r="AC28" s="84"/>
      <c r="AD28" s="84"/>
      <c r="AE28" s="21"/>
      <c r="AF28" s="84"/>
      <c r="AG28" s="21"/>
      <c r="AH28" s="48"/>
      <c r="AI28" s="21"/>
      <c r="AJ28" s="48"/>
      <c r="AK28" s="21"/>
      <c r="AL28" s="48"/>
      <c r="AM28" s="48"/>
      <c r="AN28" s="48"/>
      <c r="AO28" s="48"/>
    </row>
    <row r="29" ht="30.0" customHeight="1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45"/>
      <c r="Z29" s="146"/>
      <c r="AA29" s="84"/>
      <c r="AB29" s="108"/>
      <c r="AC29" s="108"/>
      <c r="AD29" s="108"/>
      <c r="AE29" s="21"/>
      <c r="AF29" s="108"/>
      <c r="AG29" s="21"/>
      <c r="AH29" s="108"/>
      <c r="AI29" s="21"/>
      <c r="AJ29" s="108"/>
      <c r="AK29" s="21"/>
      <c r="AL29" s="48"/>
      <c r="AM29" s="48"/>
      <c r="AN29" s="48"/>
      <c r="AO29" s="48" t="s">
        <v>37</v>
      </c>
    </row>
    <row r="30" ht="22.5" customHeight="1">
      <c r="A30" s="102"/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45"/>
      <c r="Z30" s="146"/>
      <c r="AA30" s="84"/>
      <c r="AB30" s="84"/>
      <c r="AC30" s="84"/>
      <c r="AD30" s="84"/>
      <c r="AE30" s="84"/>
      <c r="AF30" s="84"/>
      <c r="AG30" s="48"/>
      <c r="AH30" s="48"/>
      <c r="AI30" s="48"/>
      <c r="AJ30" s="48"/>
      <c r="AK30" s="48"/>
      <c r="AL30" s="48"/>
      <c r="AM30" s="48"/>
      <c r="AN30" s="48"/>
      <c r="AO30" s="48"/>
    </row>
    <row r="31" ht="22.5" customHeight="1">
      <c r="A31" s="102"/>
      <c r="B31" s="102"/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45"/>
      <c r="Z31" s="146"/>
      <c r="AA31" s="84"/>
      <c r="AB31" s="84"/>
      <c r="AC31" s="84"/>
      <c r="AD31" s="84"/>
      <c r="AE31" s="84"/>
      <c r="AF31" s="84"/>
      <c r="AG31" s="48"/>
      <c r="AH31" s="48"/>
      <c r="AI31" s="48"/>
      <c r="AJ31" s="48"/>
      <c r="AK31" s="48"/>
      <c r="AL31" s="48"/>
      <c r="AM31" s="48"/>
      <c r="AN31" s="48"/>
      <c r="AO31" s="48" t="s">
        <v>38</v>
      </c>
    </row>
    <row r="32" ht="22.5" customHeight="1">
      <c r="A32" s="102"/>
      <c r="B32" s="102"/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45"/>
      <c r="Z32" s="146"/>
      <c r="AA32" s="84"/>
      <c r="AB32" s="84"/>
      <c r="AC32" s="84"/>
      <c r="AD32" s="84"/>
      <c r="AE32" s="84"/>
      <c r="AF32" s="84"/>
      <c r="AG32" s="48"/>
      <c r="AH32" s="48"/>
      <c r="AI32" s="48"/>
      <c r="AJ32" s="48"/>
      <c r="AK32" s="48"/>
      <c r="AL32" s="48"/>
      <c r="AM32" s="48"/>
      <c r="AN32" s="48"/>
      <c r="AO32" s="48"/>
    </row>
    <row r="33" ht="30.0" customHeight="1">
      <c r="A33" s="102"/>
      <c r="B33" s="102"/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45"/>
      <c r="Z33" s="146"/>
      <c r="AA33" s="84"/>
      <c r="AB33" s="84"/>
      <c r="AC33" s="84"/>
      <c r="AD33" s="84"/>
      <c r="AE33" s="21"/>
      <c r="AF33" s="21"/>
      <c r="AG33" s="21"/>
      <c r="AH33" s="21"/>
      <c r="AI33" s="21"/>
      <c r="AJ33" s="21"/>
      <c r="AK33" s="21"/>
      <c r="AL33" s="48"/>
      <c r="AM33" s="48"/>
      <c r="AN33" s="48"/>
      <c r="AO33" s="48" t="s">
        <v>39</v>
      </c>
    </row>
    <row r="34" ht="22.5" customHeight="1">
      <c r="A34" s="147"/>
      <c r="B34" s="147"/>
      <c r="C34" s="147"/>
      <c r="D34" s="147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8"/>
      <c r="Z34" s="12"/>
      <c r="AA34" s="84"/>
      <c r="AB34" s="84"/>
      <c r="AC34" s="84"/>
      <c r="AD34" s="84"/>
      <c r="AE34" s="21"/>
      <c r="AF34" s="21"/>
      <c r="AG34" s="21"/>
      <c r="AH34" s="21"/>
      <c r="AI34" s="21"/>
      <c r="AJ34" s="21"/>
      <c r="AK34" s="21"/>
      <c r="AL34" s="48"/>
      <c r="AM34" s="48"/>
      <c r="AN34" s="48"/>
      <c r="AO34" s="48"/>
    </row>
    <row r="35" ht="30.0" customHeight="1">
      <c r="A35" s="149"/>
      <c r="B35" s="149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2"/>
      <c r="Z35" s="12"/>
      <c r="AA35" s="84"/>
      <c r="AB35" s="84"/>
      <c r="AC35" s="84"/>
      <c r="AD35" s="84"/>
      <c r="AE35" s="21"/>
      <c r="AF35" s="21"/>
      <c r="AG35" s="21"/>
      <c r="AH35" s="21"/>
      <c r="AI35" s="21"/>
      <c r="AJ35" s="21"/>
      <c r="AK35" s="21"/>
      <c r="AL35" s="48"/>
      <c r="AM35" s="48"/>
      <c r="AN35" s="48"/>
      <c r="AO35" s="48" t="s">
        <v>40</v>
      </c>
    </row>
    <row r="36" ht="22.5" customHeight="1">
      <c r="A36" s="149"/>
      <c r="B36" s="149"/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2"/>
      <c r="Z36" s="12"/>
      <c r="AA36" s="84"/>
      <c r="AB36" s="84"/>
      <c r="AC36" s="84"/>
      <c r="AD36" s="84"/>
      <c r="AE36" s="21"/>
      <c r="AF36" s="21"/>
      <c r="AG36" s="21"/>
      <c r="AH36" s="21"/>
      <c r="AI36" s="21"/>
      <c r="AJ36" s="21"/>
      <c r="AK36" s="21"/>
      <c r="AL36" s="48"/>
      <c r="AM36" s="48"/>
      <c r="AN36" s="48"/>
      <c r="AO36" s="48"/>
    </row>
    <row r="37" ht="30.0" customHeight="1">
      <c r="A37" s="149"/>
      <c r="B37" s="149"/>
      <c r="C37" s="149"/>
      <c r="D37" s="149"/>
      <c r="E37" s="149"/>
      <c r="F37" s="149"/>
      <c r="G37" s="149"/>
      <c r="H37" s="149"/>
      <c r="I37" s="149"/>
      <c r="J37" s="149"/>
      <c r="K37" s="149"/>
      <c r="L37" s="149"/>
      <c r="M37" s="149"/>
      <c r="N37" s="149"/>
      <c r="O37" s="149"/>
      <c r="P37" s="149"/>
      <c r="Q37" s="149"/>
      <c r="R37" s="149"/>
      <c r="S37" s="149"/>
      <c r="T37" s="149"/>
      <c r="U37" s="149"/>
      <c r="V37" s="149"/>
      <c r="W37" s="149"/>
      <c r="X37" s="149"/>
      <c r="Y37" s="12"/>
      <c r="Z37" s="12"/>
      <c r="AA37" s="84"/>
      <c r="AB37" s="84"/>
      <c r="AC37" s="84"/>
      <c r="AD37" s="84"/>
      <c r="AE37" s="21"/>
      <c r="AF37" s="21"/>
      <c r="AG37" s="21"/>
      <c r="AH37" s="21"/>
      <c r="AI37" s="21"/>
      <c r="AJ37" s="21"/>
      <c r="AK37" s="21"/>
      <c r="AL37" s="48"/>
      <c r="AM37" s="48"/>
      <c r="AN37" s="48"/>
      <c r="AO37" s="48" t="s">
        <v>41</v>
      </c>
    </row>
    <row r="38" ht="22.5" customHeight="1">
      <c r="A38" s="149"/>
      <c r="B38" s="149"/>
      <c r="C38" s="149"/>
      <c r="D38" s="149"/>
      <c r="E38" s="149"/>
      <c r="F38" s="149"/>
      <c r="G38" s="149"/>
      <c r="H38" s="149"/>
      <c r="I38" s="149"/>
      <c r="J38" s="149"/>
      <c r="K38" s="149"/>
      <c r="L38" s="149"/>
      <c r="M38" s="149"/>
      <c r="N38" s="149"/>
      <c r="O38" s="149"/>
      <c r="P38" s="149"/>
      <c r="Q38" s="149"/>
      <c r="R38" s="149"/>
      <c r="S38" s="149"/>
      <c r="T38" s="149"/>
      <c r="U38" s="149"/>
      <c r="V38" s="149"/>
      <c r="W38" s="149"/>
      <c r="X38" s="149"/>
      <c r="Y38" s="12"/>
      <c r="Z38" s="12"/>
      <c r="AA38" s="84"/>
      <c r="AB38" s="84"/>
      <c r="AC38" s="84"/>
      <c r="AD38" s="84"/>
      <c r="AE38" s="21"/>
      <c r="AF38" s="21"/>
      <c r="AG38" s="21"/>
      <c r="AH38" s="21"/>
      <c r="AI38" s="21"/>
      <c r="AJ38" s="21"/>
      <c r="AK38" s="21"/>
      <c r="AL38" s="48"/>
      <c r="AM38" s="48"/>
      <c r="AN38" s="48"/>
      <c r="AO38" s="48"/>
    </row>
    <row r="39" ht="30.0" customHeight="1">
      <c r="A39" s="149"/>
      <c r="B39" s="149"/>
      <c r="C39" s="149"/>
      <c r="D39" s="149"/>
      <c r="E39" s="149"/>
      <c r="F39" s="149"/>
      <c r="G39" s="149"/>
      <c r="H39" s="149"/>
      <c r="I39" s="149"/>
      <c r="J39" s="149"/>
      <c r="K39" s="149"/>
      <c r="L39" s="149"/>
      <c r="M39" s="149"/>
      <c r="N39" s="149"/>
      <c r="O39" s="149"/>
      <c r="P39" s="149"/>
      <c r="Q39" s="149"/>
      <c r="R39" s="149"/>
      <c r="S39" s="149"/>
      <c r="T39" s="149"/>
      <c r="U39" s="149"/>
      <c r="V39" s="149"/>
      <c r="W39" s="149"/>
      <c r="X39" s="149"/>
      <c r="Y39" s="12"/>
      <c r="Z39" s="12"/>
      <c r="AA39" s="84"/>
      <c r="AB39" s="84"/>
      <c r="AC39" s="84"/>
      <c r="AD39" s="84"/>
      <c r="AE39" s="21"/>
      <c r="AF39" s="21"/>
      <c r="AG39" s="21"/>
      <c r="AH39" s="21"/>
      <c r="AI39" s="21"/>
      <c r="AJ39" s="21"/>
      <c r="AK39" s="21"/>
      <c r="AL39" s="48"/>
      <c r="AM39" s="48"/>
      <c r="AN39" s="48"/>
      <c r="AO39" s="48" t="s">
        <v>42</v>
      </c>
    </row>
    <row r="40" ht="22.5" customHeight="1">
      <c r="A40" s="149"/>
      <c r="B40" s="149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2"/>
      <c r="Z40" s="12"/>
      <c r="AA40" s="84"/>
      <c r="AB40" s="84"/>
      <c r="AC40" s="84"/>
      <c r="AD40" s="84"/>
      <c r="AE40" s="84"/>
      <c r="AF40" s="84"/>
      <c r="AG40" s="48"/>
      <c r="AH40" s="48"/>
      <c r="AI40" s="48"/>
      <c r="AJ40" s="48"/>
      <c r="AK40" s="48"/>
      <c r="AL40" s="48"/>
      <c r="AM40" s="48"/>
      <c r="AN40" s="48"/>
      <c r="AO40" s="48"/>
    </row>
    <row r="41" ht="22.5" customHeight="1">
      <c r="A41" s="149"/>
      <c r="B41" s="149"/>
      <c r="C41" s="149"/>
      <c r="D41" s="149"/>
      <c r="E41" s="149"/>
      <c r="F41" s="149"/>
      <c r="G41" s="149"/>
      <c r="H41" s="149"/>
      <c r="I41" s="149"/>
      <c r="J41" s="149"/>
      <c r="K41" s="149"/>
      <c r="L41" s="149"/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W41" s="149"/>
      <c r="X41" s="149"/>
      <c r="Y41" s="12"/>
      <c r="Z41" s="12"/>
      <c r="AA41" s="84"/>
      <c r="AB41" s="84"/>
      <c r="AC41" s="84"/>
      <c r="AD41" s="84"/>
      <c r="AE41" s="84"/>
      <c r="AF41" s="84"/>
      <c r="AG41" s="48"/>
      <c r="AH41" s="48"/>
      <c r="AI41" s="48"/>
      <c r="AJ41" s="48"/>
      <c r="AK41" s="48"/>
      <c r="AL41" s="48"/>
      <c r="AM41" s="48"/>
      <c r="AN41" s="48"/>
      <c r="AO41" s="48"/>
    </row>
    <row r="42" ht="22.5" customHeight="1">
      <c r="A42" s="149"/>
      <c r="B42" s="149"/>
      <c r="C42" s="149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2"/>
      <c r="Z42" s="12"/>
      <c r="AA42" s="84"/>
      <c r="AB42" s="84"/>
      <c r="AC42" s="84"/>
      <c r="AD42" s="84"/>
      <c r="AE42" s="84"/>
      <c r="AF42" s="84"/>
      <c r="AG42" s="48"/>
      <c r="AH42" s="48"/>
      <c r="AI42" s="48"/>
      <c r="AJ42" s="48"/>
      <c r="AK42" s="48"/>
      <c r="AL42" s="48"/>
      <c r="AM42" s="48"/>
      <c r="AN42" s="48"/>
      <c r="AO42" s="48"/>
    </row>
    <row r="43" ht="22.5" customHeight="1">
      <c r="A43" s="149"/>
      <c r="B43" s="149"/>
      <c r="C43" s="149"/>
      <c r="D43" s="149"/>
      <c r="E43" s="149"/>
      <c r="F43" s="149"/>
      <c r="G43" s="149"/>
      <c r="H43" s="149"/>
      <c r="I43" s="149"/>
      <c r="J43" s="149"/>
      <c r="K43" s="149"/>
      <c r="L43" s="149"/>
      <c r="M43" s="149"/>
      <c r="N43" s="149"/>
      <c r="O43" s="149"/>
      <c r="P43" s="149"/>
      <c r="Q43" s="149"/>
      <c r="R43" s="149"/>
      <c r="S43" s="149"/>
      <c r="T43" s="149"/>
      <c r="U43" s="149"/>
      <c r="V43" s="149"/>
      <c r="W43" s="149"/>
      <c r="X43" s="149"/>
      <c r="Y43" s="12"/>
      <c r="Z43" s="12"/>
      <c r="AA43" s="84"/>
      <c r="AB43" s="84"/>
      <c r="AC43" s="84"/>
      <c r="AD43" s="84"/>
      <c r="AE43" s="84"/>
      <c r="AF43" s="84"/>
      <c r="AG43" s="48"/>
      <c r="AH43" s="48"/>
      <c r="AI43" s="48"/>
      <c r="AJ43" s="48"/>
      <c r="AK43" s="48"/>
      <c r="AL43" s="48"/>
      <c r="AM43" s="48"/>
      <c r="AN43" s="48"/>
      <c r="AO43" s="48"/>
    </row>
    <row r="44" ht="22.5" customHeight="1">
      <c r="A44" s="149"/>
      <c r="B44" s="149"/>
      <c r="C44" s="149"/>
      <c r="D44" s="149"/>
      <c r="E44" s="149"/>
      <c r="F44" s="149"/>
      <c r="G44" s="149"/>
      <c r="H44" s="149"/>
      <c r="I44" s="149"/>
      <c r="J44" s="149"/>
      <c r="K44" s="149"/>
      <c r="L44" s="149"/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W44" s="149"/>
      <c r="X44" s="149"/>
      <c r="Y44" s="12"/>
      <c r="Z44" s="12"/>
      <c r="AA44" s="84"/>
      <c r="AB44" s="84"/>
      <c r="AC44" s="84"/>
      <c r="AD44" s="84"/>
      <c r="AE44" s="84"/>
      <c r="AF44" s="84"/>
      <c r="AG44" s="48"/>
      <c r="AH44" s="48"/>
      <c r="AI44" s="48"/>
      <c r="AJ44" s="48"/>
      <c r="AK44" s="48"/>
      <c r="AL44" s="48"/>
      <c r="AM44" s="48"/>
      <c r="AN44" s="48"/>
      <c r="AO44" s="48"/>
    </row>
  </sheetData>
  <mergeCells count="7">
    <mergeCell ref="X10:Y10"/>
    <mergeCell ref="X12:Y12"/>
    <mergeCell ref="X13:Y13"/>
    <mergeCell ref="X17:Y17"/>
    <mergeCell ref="X18:Y18"/>
    <mergeCell ref="E23:H23"/>
    <mergeCell ref="E24:H24"/>
  </mergeCells>
  <conditionalFormatting sqref="A1:AO44">
    <cfRule type="expression" dxfId="0" priority="1">
      <formula>$AO$3=TRUE</formula>
    </cfRule>
  </conditionalFormatting>
  <dataValidations>
    <dataValidation type="list" allowBlank="1" showDropDown="1" showErrorMessage="1" sqref="T3">
      <formula1>Attendance!$B$29:$B44</formula1>
    </dataValidation>
    <dataValidation type="list" allowBlank="1" showDropDown="1" showErrorMessage="1" sqref="AJ6">
      <formula1>"حسين سالم ,حيدر يافوز,خضر عبد الخالق,حيدر محمد,عبدالله هاشم,علي الباكستاني,حيدر المحاسب,يوسف احمد,محمد فؤاد سالم,احمد امين"</formula1>
    </dataValidation>
    <dataValidation type="list" allowBlank="1" showDropDown="1" showErrorMessage="1" sqref="W7:W9">
      <formula1>"2026/01/01,2026/02/01,2026/03/01,2026/04/01,2026/05/01,2026/06/01,2026/07/01,2026/08/01,2026/09/01,2026/10/01,2026/11/01,2026/12/01"</formula1>
    </dataValidation>
  </dataValidations>
  <printOptions horizontalCentered="1"/>
  <pageMargins bottom="0.75" footer="0.0" header="0.0" left="0.7" right="0.7" top="0.75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hidden="1" min="1" max="3" width="20.57"/>
    <col hidden="1" min="4" max="4" width="14.43"/>
    <col customWidth="1" min="5" max="5" width="17.57"/>
    <col customWidth="1" min="6" max="9" width="17.14"/>
    <col customWidth="1" min="10" max="10" width="18.0"/>
    <col customWidth="1" min="12" max="15" width="19.71"/>
  </cols>
  <sheetData>
    <row r="1" ht="26.25" customHeight="1">
      <c r="A1" s="150"/>
      <c r="B1" s="151"/>
      <c r="C1" s="152"/>
      <c r="D1" s="153"/>
      <c r="E1" s="154">
        <f>SUM(F1:M1)</f>
        <v>9880750</v>
      </c>
      <c r="F1" s="152">
        <f t="shared" ref="F1:J1" si="1">SUM(F3:F22)</f>
        <v>3777000</v>
      </c>
      <c r="G1" s="152">
        <f t="shared" si="1"/>
        <v>2358000</v>
      </c>
      <c r="H1" s="152">
        <f t="shared" si="1"/>
        <v>2284750</v>
      </c>
      <c r="I1" s="152">
        <f t="shared" si="1"/>
        <v>1461000</v>
      </c>
      <c r="J1" s="152">
        <f t="shared" si="1"/>
        <v>0</v>
      </c>
      <c r="K1" s="155"/>
      <c r="L1" s="155"/>
      <c r="M1" s="155"/>
      <c r="N1" s="155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</row>
    <row r="2" ht="26.25" customHeight="1">
      <c r="A2" s="156" t="s">
        <v>43</v>
      </c>
      <c r="B2" s="157" t="s">
        <v>0</v>
      </c>
      <c r="C2" s="158" t="s">
        <v>44</v>
      </c>
      <c r="D2" s="159"/>
      <c r="E2" s="160" t="str">
        <f>IFERROR(__xludf.DUMMYFUNCTION("QUERY(ARRAYFORMULA({TEXT('الحركات'!A2:A1001, ""YYYY-MM""), 'الحركات'!C2:C1001, IFERROR(VALUE(REGEXREPLACE('الحركات'!D2:D1001 &amp; """", ""[^\d]"", """")), 0) + IFERROR(VALUE(REGEXREPLACE('الحركات'!F2:F1001 &amp; """", ""[^\d]"", """")), 0), 'الحركات'!B2:B1001}),"&amp;" ""select Col2, sum(Col3) where Col4 = 'سلفة' and Col2 is not null group by Col2 pivot Col1 label Col2 'اسم الموظف'"")"),"اسم الموظف")</f>
        <v>اسم الموظف</v>
      </c>
      <c r="F2" s="156" t="str">
        <f>IFERROR(__xludf.DUMMYFUNCTION("""COMPUTED_VALUE"""),"2026-01")</f>
        <v>2026-01</v>
      </c>
      <c r="G2" s="158" t="str">
        <f>IFERROR(__xludf.DUMMYFUNCTION("""COMPUTED_VALUE"""),"2026-02")</f>
        <v>2026-02</v>
      </c>
      <c r="H2" s="156" t="str">
        <f>IFERROR(__xludf.DUMMYFUNCTION("""COMPUTED_VALUE"""),"2026-03")</f>
        <v>2026-03</v>
      </c>
      <c r="I2" s="156" t="str">
        <f>IFERROR(__xludf.DUMMYFUNCTION("""COMPUTED_VALUE"""),"2026-04")</f>
        <v>2026-04</v>
      </c>
      <c r="J2" s="158"/>
      <c r="K2" s="161"/>
      <c r="L2" s="162" t="s">
        <v>45</v>
      </c>
      <c r="M2" s="160" t="s">
        <v>46</v>
      </c>
      <c r="N2" s="157" t="s">
        <v>17</v>
      </c>
      <c r="O2" s="157" t="s">
        <v>47</v>
      </c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</row>
    <row r="3" ht="26.25" customHeight="1">
      <c r="A3" s="163">
        <f>IFERROR(__xludf.DUMMYFUNCTION("FILTER({'الحركات'!A2:A1001, 'الحركات'!C2:C1001, IFERROR(VALUE(REGEXREPLACE('الحركات'!D2:D1001 &amp; """", ""[^\d]"", """")), 0) + IFERROR(VALUE(REGEXREPLACE('الحركات'!F2:F1001 &amp; """", ""[^\d]"", """")), 0)}, 'الحركات'!B2:B1001=""سلفة"")"),46037.0)</f>
        <v>46037</v>
      </c>
      <c r="B3" s="164" t="str">
        <f>IFERROR(__xludf.DUMMYFUNCTION("""COMPUTED_VALUE"""),"علي الباكستاني")</f>
        <v>علي الباكستاني</v>
      </c>
      <c r="C3" s="165">
        <f>IFERROR(__xludf.DUMMYFUNCTION("""COMPUTED_VALUE"""),10000.0)</f>
        <v>10000</v>
      </c>
      <c r="E3" s="166" t="str">
        <f>IFERROR(__xludf.DUMMYFUNCTION("""COMPUTED_VALUE"""),"احمد")</f>
        <v>احمد</v>
      </c>
      <c r="F3" s="165"/>
      <c r="G3" s="165">
        <f>IFERROR(__xludf.DUMMYFUNCTION("""COMPUTED_VALUE"""),5000.0)</f>
        <v>5000</v>
      </c>
      <c r="H3" s="165"/>
      <c r="I3" s="165"/>
      <c r="J3" s="165"/>
      <c r="K3" s="167"/>
      <c r="L3" s="168">
        <v>5000.0</v>
      </c>
      <c r="M3" s="169">
        <f t="shared" ref="M3:M6" si="2">SUM(F3:J3)</f>
        <v>5000</v>
      </c>
      <c r="N3" s="165">
        <v>0.0</v>
      </c>
      <c r="O3" s="165">
        <f t="shared" ref="O3:O4" si="3">M3+N3-L3</f>
        <v>0</v>
      </c>
    </row>
    <row r="4" ht="26.25" customHeight="1">
      <c r="A4" s="163">
        <f>IFERROR(__xludf.DUMMYFUNCTION("""COMPUTED_VALUE"""),46039.0)</f>
        <v>46039</v>
      </c>
      <c r="B4" s="170" t="str">
        <f>IFERROR(__xludf.DUMMYFUNCTION("""COMPUTED_VALUE"""),"حيدر المحاسب")</f>
        <v>حيدر المحاسب</v>
      </c>
      <c r="C4" s="165">
        <f>IFERROR(__xludf.DUMMYFUNCTION("""COMPUTED_VALUE"""),50000.0)</f>
        <v>50000</v>
      </c>
      <c r="E4" s="166" t="str">
        <f>IFERROR(__xludf.DUMMYFUNCTION("""COMPUTED_VALUE"""),"احمد امين")</f>
        <v>احمد امين</v>
      </c>
      <c r="F4" s="165"/>
      <c r="G4" s="165">
        <f>IFERROR(__xludf.DUMMYFUNCTION("""COMPUTED_VALUE"""),50000.0)</f>
        <v>50000</v>
      </c>
      <c r="H4" s="165"/>
      <c r="I4" s="165"/>
      <c r="J4" s="165"/>
      <c r="K4" s="167"/>
      <c r="L4" s="168">
        <v>50000.0</v>
      </c>
      <c r="M4" s="169">
        <f t="shared" si="2"/>
        <v>50000</v>
      </c>
      <c r="N4" s="165">
        <v>0.0</v>
      </c>
      <c r="O4" s="165">
        <f t="shared" si="3"/>
        <v>0</v>
      </c>
    </row>
    <row r="5" ht="26.25" customHeight="1">
      <c r="A5" s="171">
        <f>IFERROR(__xludf.DUMMYFUNCTION("""COMPUTED_VALUE"""),46039.0)</f>
        <v>46039</v>
      </c>
      <c r="B5" s="164" t="str">
        <f>IFERROR(__xludf.DUMMYFUNCTION("""COMPUTED_VALUE"""),"حيدر يافوز")</f>
        <v>حيدر يافوز</v>
      </c>
      <c r="C5" s="165">
        <f>IFERROR(__xludf.DUMMYFUNCTION("""COMPUTED_VALUE"""),288000.0)</f>
        <v>288000</v>
      </c>
      <c r="E5" s="166" t="str">
        <f>IFERROR(__xludf.DUMMYFUNCTION("""COMPUTED_VALUE"""),"حسين سالم")</f>
        <v>حسين سالم</v>
      </c>
      <c r="F5" s="165">
        <f>IFERROR(__xludf.DUMMYFUNCTION("""COMPUTED_VALUE"""),2436000.0)</f>
        <v>2436000</v>
      </c>
      <c r="G5" s="165">
        <f>IFERROR(__xludf.DUMMYFUNCTION("""COMPUTED_VALUE"""),425000.0)</f>
        <v>425000</v>
      </c>
      <c r="H5" s="165">
        <f>IFERROR(__xludf.DUMMYFUNCTION("""COMPUTED_VALUE"""),248750.0)</f>
        <v>248750</v>
      </c>
      <c r="I5" s="165">
        <f>IFERROR(__xludf.DUMMYFUNCTION("""COMPUTED_VALUE"""),260500.0)</f>
        <v>260500</v>
      </c>
      <c r="J5" s="165"/>
      <c r="K5" s="167"/>
      <c r="L5" s="165">
        <f>861000+1342000+886000</f>
        <v>3089000</v>
      </c>
      <c r="M5" s="169">
        <f t="shared" si="2"/>
        <v>3370250</v>
      </c>
      <c r="N5" s="165">
        <f>750000+800000+700000+500000</f>
        <v>2750000</v>
      </c>
      <c r="O5" s="165">
        <f t="shared" ref="O5:O22" si="4">L5-M5-N5</f>
        <v>-3031250</v>
      </c>
    </row>
    <row r="6" ht="26.25" customHeight="1">
      <c r="A6" s="163">
        <f>IFERROR(__xludf.DUMMYFUNCTION("""COMPUTED_VALUE"""),46040.0)</f>
        <v>46040</v>
      </c>
      <c r="B6" s="164" t="str">
        <f>IFERROR(__xludf.DUMMYFUNCTION("""COMPUTED_VALUE"""),"حسين سالم")</f>
        <v>حسين سالم</v>
      </c>
      <c r="C6" s="165">
        <f>IFERROR(__xludf.DUMMYFUNCTION("""COMPUTED_VALUE"""),2226000.0)</f>
        <v>2226000</v>
      </c>
      <c r="E6" s="166" t="str">
        <f>IFERROR(__xludf.DUMMYFUNCTION("""COMPUTED_VALUE"""),"حيدر المحاسب")</f>
        <v>حيدر المحاسب</v>
      </c>
      <c r="F6" s="165">
        <f>IFERROR(__xludf.DUMMYFUNCTION("""COMPUTED_VALUE"""),233000.0)</f>
        <v>233000</v>
      </c>
      <c r="G6" s="165">
        <f>IFERROR(__xludf.DUMMYFUNCTION("""COMPUTED_VALUE"""),50000.0)</f>
        <v>50000</v>
      </c>
      <c r="H6" s="165">
        <f>IFERROR(__xludf.DUMMYFUNCTION("""COMPUTED_VALUE"""),418000.0)</f>
        <v>418000</v>
      </c>
      <c r="I6" s="165"/>
      <c r="J6" s="165"/>
      <c r="K6" s="167"/>
      <c r="L6" s="168">
        <v>1400000.0</v>
      </c>
      <c r="M6" s="169">
        <f t="shared" si="2"/>
        <v>701000</v>
      </c>
      <c r="N6" s="168">
        <v>349000.0</v>
      </c>
      <c r="O6" s="165">
        <f t="shared" si="4"/>
        <v>350000</v>
      </c>
    </row>
    <row r="7" ht="26.25" customHeight="1">
      <c r="A7" s="163">
        <f>IFERROR(__xludf.DUMMYFUNCTION("""COMPUTED_VALUE"""),46041.0)</f>
        <v>46041</v>
      </c>
      <c r="B7" s="164" t="str">
        <f>IFERROR(__xludf.DUMMYFUNCTION("""COMPUTED_VALUE"""),"حسين سالم")</f>
        <v>حسين سالم</v>
      </c>
      <c r="C7" s="165">
        <f>IFERROR(__xludf.DUMMYFUNCTION("""COMPUTED_VALUE"""),5000.0)</f>
        <v>5000</v>
      </c>
      <c r="E7" s="166" t="str">
        <f>IFERROR(__xludf.DUMMYFUNCTION("""COMPUTED_VALUE"""),"حيدر محمد")</f>
        <v>حيدر محمد</v>
      </c>
      <c r="F7" s="165">
        <f>IFERROR(__xludf.DUMMYFUNCTION("""COMPUTED_VALUE"""),70000.0)</f>
        <v>70000</v>
      </c>
      <c r="G7" s="165">
        <f>IFERROR(__xludf.DUMMYFUNCTION("""COMPUTED_VALUE"""),298000.0)</f>
        <v>298000</v>
      </c>
      <c r="H7" s="165">
        <f>IFERROR(__xludf.DUMMYFUNCTION("""COMPUTED_VALUE"""),410000.0)</f>
        <v>410000</v>
      </c>
      <c r="I7" s="165">
        <f>IFERROR(__xludf.DUMMYFUNCTION("""COMPUTED_VALUE"""),232750.0)</f>
        <v>232750</v>
      </c>
      <c r="J7" s="165"/>
      <c r="K7" s="167"/>
      <c r="L7" s="168">
        <v>923000.0</v>
      </c>
      <c r="M7" s="169">
        <f>I7</f>
        <v>232750</v>
      </c>
      <c r="N7" s="165"/>
      <c r="O7" s="165">
        <f t="shared" si="4"/>
        <v>690250</v>
      </c>
    </row>
    <row r="8" ht="26.25" customHeight="1">
      <c r="A8" s="163">
        <f>IFERROR(__xludf.DUMMYFUNCTION("""COMPUTED_VALUE"""),46041.0)</f>
        <v>46041</v>
      </c>
      <c r="B8" s="164" t="str">
        <f>IFERROR(__xludf.DUMMYFUNCTION("""COMPUTED_VALUE"""),"حسين سالم")</f>
        <v>حسين سالم</v>
      </c>
      <c r="C8" s="165">
        <f>IFERROR(__xludf.DUMMYFUNCTION("""COMPUTED_VALUE"""),25000.0)</f>
        <v>25000</v>
      </c>
      <c r="E8" s="166" t="str">
        <f>IFERROR(__xludf.DUMMYFUNCTION("""COMPUTED_VALUE"""),"حيدر يافوز")</f>
        <v>حيدر يافوز</v>
      </c>
      <c r="F8" s="165">
        <f>IFERROR(__xludf.DUMMYFUNCTION("""COMPUTED_VALUE"""),353000.0)</f>
        <v>353000</v>
      </c>
      <c r="G8" s="165">
        <f>IFERROR(__xludf.DUMMYFUNCTION("""COMPUTED_VALUE"""),415000.0)</f>
        <v>415000</v>
      </c>
      <c r="H8" s="165">
        <f>IFERROR(__xludf.DUMMYFUNCTION("""COMPUTED_VALUE"""),418500.0)</f>
        <v>418500</v>
      </c>
      <c r="I8" s="165">
        <f>IFERROR(__xludf.DUMMYFUNCTION("""COMPUTED_VALUE"""),461250.0)</f>
        <v>461250</v>
      </c>
      <c r="J8" s="165"/>
      <c r="K8" s="167"/>
      <c r="L8" s="168">
        <f>1563000</f>
        <v>1563000</v>
      </c>
      <c r="M8" s="169">
        <f>SUM(F8:I8)</f>
        <v>1647750</v>
      </c>
      <c r="N8" s="168">
        <v>600000.0</v>
      </c>
      <c r="O8" s="165">
        <f t="shared" si="4"/>
        <v>-684750</v>
      </c>
    </row>
    <row r="9" ht="26.25" customHeight="1">
      <c r="A9" s="163">
        <f>IFERROR(__xludf.DUMMYFUNCTION("""COMPUTED_VALUE"""),46041.0)</f>
        <v>46041</v>
      </c>
      <c r="B9" s="170" t="str">
        <f>IFERROR(__xludf.DUMMYFUNCTION("""COMPUTED_VALUE"""),"حيدر المحاسب")</f>
        <v>حيدر المحاسب</v>
      </c>
      <c r="C9" s="165">
        <f>IFERROR(__xludf.DUMMYFUNCTION("""COMPUTED_VALUE"""),183000.0)</f>
        <v>183000</v>
      </c>
      <c r="E9" s="166" t="str">
        <f>IFERROR(__xludf.DUMMYFUNCTION("""COMPUTED_VALUE"""),"حيدر يافوز بغداد")</f>
        <v>حيدر يافوز بغداد</v>
      </c>
      <c r="F9" s="165"/>
      <c r="G9" s="165"/>
      <c r="H9" s="165">
        <f>IFERROR(__xludf.DUMMYFUNCTION("""COMPUTED_VALUE"""),500000.0)</f>
        <v>500000</v>
      </c>
      <c r="I9" s="165"/>
      <c r="J9" s="165"/>
      <c r="K9" s="167"/>
      <c r="L9" s="168">
        <v>500000.0</v>
      </c>
      <c r="M9" s="169">
        <f>SUM(F9:J9)</f>
        <v>500000</v>
      </c>
      <c r="N9" s="165"/>
      <c r="O9" s="165">
        <f t="shared" si="4"/>
        <v>0</v>
      </c>
    </row>
    <row r="10" ht="26.25" customHeight="1">
      <c r="A10" s="163">
        <f>IFERROR(__xludf.DUMMYFUNCTION("""COMPUTED_VALUE"""),46041.0)</f>
        <v>46041</v>
      </c>
      <c r="B10" s="164" t="str">
        <f>IFERROR(__xludf.DUMMYFUNCTION("""COMPUTED_VALUE"""),"حيدر محمد")</f>
        <v>حيدر محمد</v>
      </c>
      <c r="C10" s="165">
        <f>IFERROR(__xludf.DUMMYFUNCTION("""COMPUTED_VALUE"""),10000.0)</f>
        <v>10000</v>
      </c>
      <c r="E10" s="166" t="str">
        <f>IFERROR(__xludf.DUMMYFUNCTION("""COMPUTED_VALUE"""),"خضر عبد الخالق")</f>
        <v>خضر عبد الخالق</v>
      </c>
      <c r="F10" s="165">
        <f>IFERROR(__xludf.DUMMYFUNCTION("""COMPUTED_VALUE"""),605000.0)</f>
        <v>605000</v>
      </c>
      <c r="G10" s="165">
        <f>IFERROR(__xludf.DUMMYFUNCTION("""COMPUTED_VALUE"""),48000.0)</f>
        <v>48000</v>
      </c>
      <c r="H10" s="165">
        <f>IFERROR(__xludf.DUMMYFUNCTION("""COMPUTED_VALUE"""),68500.0)</f>
        <v>68500</v>
      </c>
      <c r="I10" s="165"/>
      <c r="J10" s="165"/>
      <c r="K10" s="167"/>
      <c r="L10" s="168">
        <v>1579000.0</v>
      </c>
      <c r="M10" s="172">
        <v>1066000.0</v>
      </c>
      <c r="N10" s="168">
        <v>1000000.0</v>
      </c>
      <c r="O10" s="165">
        <f t="shared" si="4"/>
        <v>-487000</v>
      </c>
    </row>
    <row r="11" ht="26.25" customHeight="1">
      <c r="A11" s="163">
        <f>IFERROR(__xludf.DUMMYFUNCTION("""COMPUTED_VALUE"""),46041.0)</f>
        <v>46041</v>
      </c>
      <c r="B11" s="170" t="str">
        <f>IFERROR(__xludf.DUMMYFUNCTION("""COMPUTED_VALUE"""),"حيدر محمد")</f>
        <v>حيدر محمد</v>
      </c>
      <c r="C11" s="165">
        <f>IFERROR(__xludf.DUMMYFUNCTION("""COMPUTED_VALUE"""),10000.0)</f>
        <v>10000</v>
      </c>
      <c r="E11" s="166" t="str">
        <f>IFERROR(__xludf.DUMMYFUNCTION("""COMPUTED_VALUE"""),"سجاد")</f>
        <v>سجاد</v>
      </c>
      <c r="F11" s="165">
        <f>IFERROR(__xludf.DUMMYFUNCTION("""COMPUTED_VALUE"""),25000.0)</f>
        <v>25000</v>
      </c>
      <c r="G11" s="165">
        <f>IFERROR(__xludf.DUMMYFUNCTION("""COMPUTED_VALUE"""),42000.0)</f>
        <v>42000</v>
      </c>
      <c r="H11" s="165"/>
      <c r="I11" s="165"/>
      <c r="J11" s="165"/>
      <c r="K11" s="167"/>
      <c r="L11" s="165">
        <v>67000.0</v>
      </c>
      <c r="M11" s="169">
        <f t="shared" ref="M11:M22" si="5">SUM(F11:J11)</f>
        <v>67000</v>
      </c>
      <c r="N11" s="165"/>
      <c r="O11" s="165">
        <f t="shared" si="4"/>
        <v>0</v>
      </c>
    </row>
    <row r="12" ht="26.25" customHeight="1">
      <c r="A12" s="163">
        <f>IFERROR(__xludf.DUMMYFUNCTION("""COMPUTED_VALUE"""),46041.0)</f>
        <v>46041</v>
      </c>
      <c r="B12" s="164" t="str">
        <f>IFERROR(__xludf.DUMMYFUNCTION("""COMPUTED_VALUE"""),"حيدر يافوز")</f>
        <v>حيدر يافوز</v>
      </c>
      <c r="C12" s="165">
        <f>IFERROR(__xludf.DUMMYFUNCTION("""COMPUTED_VALUE"""),5000.0)</f>
        <v>5000</v>
      </c>
      <c r="E12" s="166" t="str">
        <f>IFERROR(__xludf.DUMMYFUNCTION("""COMPUTED_VALUE"""),"سجاد حديد")</f>
        <v>سجاد حديد</v>
      </c>
      <c r="F12" s="165"/>
      <c r="G12" s="165">
        <f>IFERROR(__xludf.DUMMYFUNCTION("""COMPUTED_VALUE"""),30000.0)</f>
        <v>30000</v>
      </c>
      <c r="H12" s="165"/>
      <c r="I12" s="165"/>
      <c r="J12" s="165"/>
      <c r="K12" s="167"/>
      <c r="L12" s="165">
        <v>30000.0</v>
      </c>
      <c r="M12" s="169">
        <f t="shared" si="5"/>
        <v>30000</v>
      </c>
      <c r="N12" s="165"/>
      <c r="O12" s="165">
        <f t="shared" si="4"/>
        <v>0</v>
      </c>
    </row>
    <row r="13" ht="26.25" customHeight="1">
      <c r="A13" s="163">
        <f>IFERROR(__xludf.DUMMYFUNCTION("""COMPUTED_VALUE"""),46041.0)</f>
        <v>46041</v>
      </c>
      <c r="B13" s="164" t="str">
        <f>IFERROR(__xludf.DUMMYFUNCTION("""COMPUTED_VALUE"""),"حيدر يافوز")</f>
        <v>حيدر يافوز</v>
      </c>
      <c r="C13" s="165">
        <f>IFERROR(__xludf.DUMMYFUNCTION("""COMPUTED_VALUE"""),5000.0)</f>
        <v>5000</v>
      </c>
      <c r="E13" s="166" t="str">
        <f>IFERROR(__xludf.DUMMYFUNCTION("""COMPUTED_VALUE"""),"سجاد رعد")</f>
        <v>سجاد رعد</v>
      </c>
      <c r="F13" s="165"/>
      <c r="G13" s="165">
        <f>IFERROR(__xludf.DUMMYFUNCTION("""COMPUTED_VALUE"""),15000.0)</f>
        <v>15000</v>
      </c>
      <c r="H13" s="165"/>
      <c r="I13" s="165"/>
      <c r="J13" s="165"/>
      <c r="K13" s="167"/>
      <c r="L13" s="165">
        <v>15000.0</v>
      </c>
      <c r="M13" s="169">
        <f t="shared" si="5"/>
        <v>15000</v>
      </c>
      <c r="N13" s="165"/>
      <c r="O13" s="165">
        <f t="shared" si="4"/>
        <v>0</v>
      </c>
    </row>
    <row r="14" ht="26.25" customHeight="1">
      <c r="A14" s="163">
        <f>IFERROR(__xludf.DUMMYFUNCTION("""COMPUTED_VALUE"""),46041.0)</f>
        <v>46041</v>
      </c>
      <c r="B14" s="164" t="str">
        <f>IFERROR(__xludf.DUMMYFUNCTION("""COMPUTED_VALUE"""),"علي الباكستاني")</f>
        <v>علي الباكستاني</v>
      </c>
      <c r="C14" s="165">
        <f>IFERROR(__xludf.DUMMYFUNCTION("""COMPUTED_VALUE"""),5000.0)</f>
        <v>5000</v>
      </c>
      <c r="E14" s="166" t="str">
        <f>IFERROR(__xludf.DUMMYFUNCTION("""COMPUTED_VALUE"""),"طعام")</f>
        <v>طعام</v>
      </c>
      <c r="F14" s="165">
        <f>IFERROR(__xludf.DUMMYFUNCTION("""COMPUTED_VALUE"""),30000.0)</f>
        <v>30000</v>
      </c>
      <c r="G14" s="165">
        <f>IFERROR(__xludf.DUMMYFUNCTION("""COMPUTED_VALUE"""),420000.0)</f>
        <v>420000</v>
      </c>
      <c r="H14" s="165">
        <f>IFERROR(__xludf.DUMMYFUNCTION("""COMPUTED_VALUE"""),78000.0)</f>
        <v>78000</v>
      </c>
      <c r="I14" s="165">
        <f>IFERROR(__xludf.DUMMYFUNCTION("""COMPUTED_VALUE"""),36000.0)</f>
        <v>36000</v>
      </c>
      <c r="J14" s="165"/>
      <c r="K14" s="167"/>
      <c r="L14" s="165">
        <v>604000.0</v>
      </c>
      <c r="M14" s="169">
        <f t="shared" si="5"/>
        <v>564000</v>
      </c>
      <c r="N14" s="165"/>
      <c r="O14" s="165">
        <f t="shared" si="4"/>
        <v>40000</v>
      </c>
    </row>
    <row r="15" ht="26.25" customHeight="1">
      <c r="A15" s="163">
        <f>IFERROR(__xludf.DUMMYFUNCTION("""COMPUTED_VALUE"""),46041.0)</f>
        <v>46041</v>
      </c>
      <c r="B15" s="164" t="str">
        <f>IFERROR(__xludf.DUMMYFUNCTION("""COMPUTED_VALUE"""),"علي الباكستاني")</f>
        <v>علي الباكستاني</v>
      </c>
      <c r="C15" s="165">
        <f>IFERROR(__xludf.DUMMYFUNCTION("""COMPUTED_VALUE"""),5000.0)</f>
        <v>5000</v>
      </c>
      <c r="E15" s="166" t="str">
        <f>IFERROR(__xludf.DUMMYFUNCTION("""COMPUTED_VALUE"""),"عبدالرحمن")</f>
        <v>عبدالرحمن</v>
      </c>
      <c r="F15" s="165"/>
      <c r="G15" s="165"/>
      <c r="H15" s="165"/>
      <c r="I15" s="165">
        <f>IFERROR(__xludf.DUMMYFUNCTION("""COMPUTED_VALUE"""),32000.0)</f>
        <v>32000</v>
      </c>
      <c r="J15" s="165"/>
      <c r="K15" s="167"/>
      <c r="L15" s="165">
        <v>349000.0</v>
      </c>
      <c r="M15" s="169">
        <f t="shared" si="5"/>
        <v>32000</v>
      </c>
      <c r="N15" s="165"/>
      <c r="O15" s="165">
        <f t="shared" si="4"/>
        <v>317000</v>
      </c>
    </row>
    <row r="16" ht="26.25" customHeight="1">
      <c r="A16" s="163">
        <f>IFERROR(__xludf.DUMMYFUNCTION("""COMPUTED_VALUE"""),46042.0)</f>
        <v>46042</v>
      </c>
      <c r="B16" s="170" t="str">
        <f>IFERROR(__xludf.DUMMYFUNCTION("""COMPUTED_VALUE"""),"طعام")</f>
        <v>طعام</v>
      </c>
      <c r="C16" s="165">
        <f>IFERROR(__xludf.DUMMYFUNCTION("""COMPUTED_VALUE"""),25000.0)</f>
        <v>25000</v>
      </c>
      <c r="E16" s="166" t="str">
        <f>IFERROR(__xludf.DUMMYFUNCTION("""COMPUTED_VALUE"""),"عبدالله هاشم")</f>
        <v>عبدالله هاشم</v>
      </c>
      <c r="F16" s="165"/>
      <c r="G16" s="165">
        <f>IFERROR(__xludf.DUMMYFUNCTION("""COMPUTED_VALUE"""),183000.0)</f>
        <v>183000</v>
      </c>
      <c r="H16" s="165">
        <f>IFERROR(__xludf.DUMMYFUNCTION("""COMPUTED_VALUE"""),103000.0)</f>
        <v>103000</v>
      </c>
      <c r="I16" s="165">
        <f>IFERROR(__xludf.DUMMYFUNCTION("""COMPUTED_VALUE"""),303250.0)</f>
        <v>303250</v>
      </c>
      <c r="J16" s="165"/>
      <c r="K16" s="167"/>
      <c r="L16" s="165">
        <v>160000.0</v>
      </c>
      <c r="M16" s="169">
        <f t="shared" si="5"/>
        <v>589250</v>
      </c>
      <c r="N16" s="165"/>
      <c r="O16" s="165">
        <f t="shared" si="4"/>
        <v>-429250</v>
      </c>
    </row>
    <row r="17" ht="26.25" customHeight="1">
      <c r="A17" s="163">
        <f>IFERROR(__xludf.DUMMYFUNCTION("""COMPUTED_VALUE"""),46043.0)</f>
        <v>46043</v>
      </c>
      <c r="B17" s="164" t="str">
        <f>IFERROR(__xludf.DUMMYFUNCTION("""COMPUTED_VALUE"""),"حسين سالم")</f>
        <v>حسين سالم</v>
      </c>
      <c r="C17" s="165">
        <f>IFERROR(__xludf.DUMMYFUNCTION("""COMPUTED_VALUE"""),125000.0)</f>
        <v>125000</v>
      </c>
      <c r="E17" s="166" t="str">
        <f>IFERROR(__xludf.DUMMYFUNCTION("""COMPUTED_VALUE"""),"علي الباكستاني")</f>
        <v>علي الباكستاني</v>
      </c>
      <c r="F17" s="165">
        <f>IFERROR(__xludf.DUMMYFUNCTION("""COMPUTED_VALUE"""),25000.0)</f>
        <v>25000</v>
      </c>
      <c r="G17" s="165">
        <f>IFERROR(__xludf.DUMMYFUNCTION("""COMPUTED_VALUE"""),15000.0)</f>
        <v>15000</v>
      </c>
      <c r="H17" s="165">
        <f>IFERROR(__xludf.DUMMYFUNCTION("""COMPUTED_VALUE"""),40000.0)</f>
        <v>40000</v>
      </c>
      <c r="I17" s="165">
        <f>IFERROR(__xludf.DUMMYFUNCTION("""COMPUTED_VALUE"""),135250.0)</f>
        <v>135250</v>
      </c>
      <c r="J17" s="165"/>
      <c r="K17" s="167"/>
      <c r="L17" s="165">
        <v>50000.0</v>
      </c>
      <c r="M17" s="169">
        <f t="shared" si="5"/>
        <v>215250</v>
      </c>
      <c r="N17" s="165"/>
      <c r="O17" s="165">
        <f t="shared" si="4"/>
        <v>-165250</v>
      </c>
    </row>
    <row r="18" ht="26.25" customHeight="1">
      <c r="A18" s="163">
        <f>IFERROR(__xludf.DUMMYFUNCTION("""COMPUTED_VALUE"""),46043.0)</f>
        <v>46043</v>
      </c>
      <c r="B18" s="170" t="str">
        <f>IFERROR(__xludf.DUMMYFUNCTION("""COMPUTED_VALUE"""),"طعام")</f>
        <v>طعام</v>
      </c>
      <c r="C18" s="165">
        <f>IFERROR(__xludf.DUMMYFUNCTION("""COMPUTED_VALUE"""),5000.0)</f>
        <v>5000</v>
      </c>
      <c r="E18" s="166" t="str">
        <f>IFERROR(__xludf.DUMMYFUNCTION("""COMPUTED_VALUE"""),"علي عارف")</f>
        <v>علي عارف</v>
      </c>
      <c r="F18" s="165"/>
      <c r="G18" s="165">
        <f>IFERROR(__xludf.DUMMYFUNCTION("""COMPUTED_VALUE"""),50000.0)</f>
        <v>50000</v>
      </c>
      <c r="H18" s="165"/>
      <c r="I18" s="165"/>
      <c r="J18" s="165"/>
      <c r="K18" s="167"/>
      <c r="L18" s="165">
        <v>25000.0</v>
      </c>
      <c r="M18" s="169">
        <f t="shared" si="5"/>
        <v>50000</v>
      </c>
      <c r="N18" s="165"/>
      <c r="O18" s="165">
        <f t="shared" si="4"/>
        <v>-25000</v>
      </c>
    </row>
    <row r="19" ht="26.25" customHeight="1">
      <c r="A19" s="163">
        <f>IFERROR(__xludf.DUMMYFUNCTION("""COMPUTED_VALUE"""),46043.0)</f>
        <v>46043</v>
      </c>
      <c r="B19" s="164" t="str">
        <f>IFERROR(__xludf.DUMMYFUNCTION("""COMPUTED_VALUE"""),"حيدر يافوز")</f>
        <v>حيدر يافوز</v>
      </c>
      <c r="C19" s="165">
        <f>IFERROR(__xludf.DUMMYFUNCTION("""COMPUTED_VALUE"""),25000.0)</f>
        <v>25000</v>
      </c>
      <c r="E19" s="166" t="str">
        <f>IFERROR(__xludf.DUMMYFUNCTION("""COMPUTED_VALUE"""),"علي يوسف")</f>
        <v>علي يوسف</v>
      </c>
      <c r="F19" s="165"/>
      <c r="G19" s="165">
        <f>IFERROR(__xludf.DUMMYFUNCTION("""COMPUTED_VALUE"""),25000.0)</f>
        <v>25000</v>
      </c>
      <c r="H19" s="165"/>
      <c r="I19" s="165"/>
      <c r="J19" s="165"/>
      <c r="K19" s="167"/>
      <c r="L19" s="165">
        <v>85000.0</v>
      </c>
      <c r="M19" s="169">
        <f t="shared" si="5"/>
        <v>25000</v>
      </c>
      <c r="N19" s="165"/>
      <c r="O19" s="165">
        <f t="shared" si="4"/>
        <v>60000</v>
      </c>
    </row>
    <row r="20" ht="26.25" customHeight="1">
      <c r="A20" s="163">
        <f>IFERROR(__xludf.DUMMYFUNCTION("""COMPUTED_VALUE"""),46043.0)</f>
        <v>46043</v>
      </c>
      <c r="B20" s="173" t="str">
        <f>IFERROR(__xludf.DUMMYFUNCTION("""COMPUTED_VALUE"""),"خضر عبد الخالق")</f>
        <v>خضر عبد الخالق</v>
      </c>
      <c r="C20" s="165">
        <f>IFERROR(__xludf.DUMMYFUNCTION("""COMPUTED_VALUE"""),500000.0)</f>
        <v>500000</v>
      </c>
      <c r="E20" s="166" t="str">
        <f>IFERROR(__xludf.DUMMYFUNCTION("""COMPUTED_VALUE"""),"محمد حسين الحداد")</f>
        <v>محمد حسين الحداد</v>
      </c>
      <c r="F20" s="165"/>
      <c r="G20" s="165">
        <f>IFERROR(__xludf.DUMMYFUNCTION("""COMPUTED_VALUE"""),85000.0)</f>
        <v>85000</v>
      </c>
      <c r="H20" s="165"/>
      <c r="I20" s="165"/>
      <c r="J20" s="165"/>
      <c r="K20" s="167"/>
      <c r="L20" s="165">
        <v>120000.0</v>
      </c>
      <c r="M20" s="169">
        <f t="shared" si="5"/>
        <v>85000</v>
      </c>
      <c r="N20" s="165"/>
      <c r="O20" s="165">
        <f t="shared" si="4"/>
        <v>35000</v>
      </c>
    </row>
    <row r="21" ht="26.25" customHeight="1">
      <c r="A21" s="163">
        <f>IFERROR(__xludf.DUMMYFUNCTION("""COMPUTED_VALUE"""),46047.0)</f>
        <v>46047</v>
      </c>
      <c r="B21" s="164" t="str">
        <f>IFERROR(__xludf.DUMMYFUNCTION("""COMPUTED_VALUE"""),"حسين سالم")</f>
        <v>حسين سالم</v>
      </c>
      <c r="C21" s="165">
        <f>IFERROR(__xludf.DUMMYFUNCTION("""COMPUTED_VALUE"""),5000.0)</f>
        <v>5000</v>
      </c>
      <c r="E21" s="166" t="str">
        <f>IFERROR(__xludf.DUMMYFUNCTION("""COMPUTED_VALUE"""),"مصطفى عبد الخالق ")</f>
        <v>مصطفى عبد الخالق </v>
      </c>
      <c r="F21" s="165"/>
      <c r="G21" s="165">
        <f>IFERROR(__xludf.DUMMYFUNCTION("""COMPUTED_VALUE"""),120000.0)</f>
        <v>120000</v>
      </c>
      <c r="H21" s="165"/>
      <c r="I21" s="165"/>
      <c r="J21" s="165"/>
      <c r="K21" s="167"/>
      <c r="L21" s="165">
        <v>82000.0</v>
      </c>
      <c r="M21" s="169">
        <f t="shared" si="5"/>
        <v>120000</v>
      </c>
      <c r="N21" s="165"/>
      <c r="O21" s="165">
        <f t="shared" si="4"/>
        <v>-38000</v>
      </c>
    </row>
    <row r="22" ht="26.25" customHeight="1">
      <c r="A22" s="163">
        <f>IFERROR(__xludf.DUMMYFUNCTION("""COMPUTED_VALUE"""),46047.0)</f>
        <v>46047</v>
      </c>
      <c r="B22" s="164" t="str">
        <f>IFERROR(__xludf.DUMMYFUNCTION("""COMPUTED_VALUE"""),"حيدر يافوز")</f>
        <v>حيدر يافوز</v>
      </c>
      <c r="C22" s="165">
        <f>IFERROR(__xludf.DUMMYFUNCTION("""COMPUTED_VALUE"""),5000.0)</f>
        <v>5000</v>
      </c>
      <c r="E22" s="166" t="str">
        <f>IFERROR(__xludf.DUMMYFUNCTION("""COMPUTED_VALUE"""),"يوسف احمد")</f>
        <v>يوسف احمد</v>
      </c>
      <c r="F22" s="165"/>
      <c r="G22" s="165">
        <f>IFERROR(__xludf.DUMMYFUNCTION("""COMPUTED_VALUE"""),82000.0)</f>
        <v>82000</v>
      </c>
      <c r="H22" s="165"/>
      <c r="I22" s="165"/>
      <c r="J22" s="165"/>
      <c r="K22" s="167"/>
      <c r="L22" s="165"/>
      <c r="M22" s="169">
        <f t="shared" si="5"/>
        <v>82000</v>
      </c>
      <c r="N22" s="165"/>
      <c r="O22" s="165">
        <f t="shared" si="4"/>
        <v>-82000</v>
      </c>
    </row>
    <row r="23" ht="26.25" customHeight="1">
      <c r="A23" s="163">
        <f>IFERROR(__xludf.DUMMYFUNCTION("""COMPUTED_VALUE"""),46047.0)</f>
        <v>46047</v>
      </c>
      <c r="B23" s="173" t="str">
        <f>IFERROR(__xludf.DUMMYFUNCTION("""COMPUTED_VALUE"""),"خضر عبد الخالق")</f>
        <v>خضر عبد الخالق</v>
      </c>
      <c r="C23" s="165">
        <f>IFERROR(__xludf.DUMMYFUNCTION("""COMPUTED_VALUE"""),5000.0)</f>
        <v>5000</v>
      </c>
      <c r="E23" s="166" t="str">
        <f>IFERROR(__xludf.DUMMYFUNCTION("""COMPUTED_VALUE"""),"يوسف يعقوب")</f>
        <v>يوسف يعقوب</v>
      </c>
      <c r="F23" s="165"/>
      <c r="G23" s="165"/>
      <c r="H23" s="165">
        <f>IFERROR(__xludf.DUMMYFUNCTION("""COMPUTED_VALUE"""),0.0)</f>
        <v>0</v>
      </c>
      <c r="I23" s="165"/>
      <c r="J23" s="165"/>
      <c r="K23" s="167"/>
      <c r="L23" s="167"/>
      <c r="M23" s="167"/>
      <c r="N23" s="167"/>
    </row>
    <row r="24" ht="26.25" customHeight="1">
      <c r="A24" s="163">
        <f>IFERROR(__xludf.DUMMYFUNCTION("""COMPUTED_VALUE"""),46047.0)</f>
        <v>46047</v>
      </c>
      <c r="B24" s="173" t="str">
        <f>IFERROR(__xludf.DUMMYFUNCTION("""COMPUTED_VALUE"""),"خضر عبد الخالق")</f>
        <v>خضر عبد الخالق</v>
      </c>
      <c r="C24" s="165">
        <f>IFERROR(__xludf.DUMMYFUNCTION("""COMPUTED_VALUE"""),50000.0)</f>
        <v>50000</v>
      </c>
      <c r="E24" s="166"/>
      <c r="F24" s="165"/>
      <c r="G24" s="165"/>
      <c r="H24" s="165"/>
      <c r="I24" s="165"/>
      <c r="J24" s="165"/>
      <c r="K24" s="167"/>
      <c r="L24" s="167"/>
      <c r="M24" s="167"/>
      <c r="N24" s="167"/>
    </row>
    <row r="25" ht="26.25" customHeight="1">
      <c r="A25" s="163">
        <f>IFERROR(__xludf.DUMMYFUNCTION("""COMPUTED_VALUE"""),46047.0)</f>
        <v>46047</v>
      </c>
      <c r="B25" s="164" t="str">
        <f>IFERROR(__xludf.DUMMYFUNCTION("""COMPUTED_VALUE"""),"علي الباكستاني")</f>
        <v>علي الباكستاني</v>
      </c>
      <c r="C25" s="165">
        <f>IFERROR(__xludf.DUMMYFUNCTION("""COMPUTED_VALUE"""),5000.0)</f>
        <v>5000</v>
      </c>
      <c r="E25" s="166"/>
      <c r="F25" s="165"/>
      <c r="G25" s="165"/>
      <c r="H25" s="165"/>
      <c r="I25" s="165"/>
      <c r="J25" s="165"/>
      <c r="K25" s="167"/>
      <c r="L25" s="167"/>
      <c r="M25" s="167"/>
      <c r="N25" s="167"/>
    </row>
    <row r="26" ht="26.25" customHeight="1">
      <c r="A26" s="163">
        <f>IFERROR(__xludf.DUMMYFUNCTION("""COMPUTED_VALUE"""),46050.0)</f>
        <v>46050</v>
      </c>
      <c r="B26" s="164" t="str">
        <f>IFERROR(__xludf.DUMMYFUNCTION("""COMPUTED_VALUE"""),"حسين سالم")</f>
        <v>حسين سالم</v>
      </c>
      <c r="C26" s="165">
        <f>IFERROR(__xludf.DUMMYFUNCTION("""COMPUTED_VALUE"""),50000.0)</f>
        <v>50000</v>
      </c>
      <c r="E26" s="166"/>
      <c r="F26" s="165"/>
      <c r="G26" s="165"/>
      <c r="H26" s="165"/>
      <c r="I26" s="165"/>
      <c r="J26" s="165"/>
      <c r="K26" s="167"/>
      <c r="L26" s="167"/>
      <c r="M26" s="167"/>
      <c r="N26" s="167"/>
    </row>
    <row r="27" ht="26.25" customHeight="1">
      <c r="A27" s="163">
        <f>IFERROR(__xludf.DUMMYFUNCTION("""COMPUTED_VALUE"""),46050.0)</f>
        <v>46050</v>
      </c>
      <c r="B27" s="164" t="str">
        <f>IFERROR(__xludf.DUMMYFUNCTION("""COMPUTED_VALUE"""),"سجاد")</f>
        <v>سجاد</v>
      </c>
      <c r="C27" s="165">
        <f>IFERROR(__xludf.DUMMYFUNCTION("""COMPUTED_VALUE"""),25000.0)</f>
        <v>25000</v>
      </c>
      <c r="E27" s="166"/>
      <c r="F27" s="165"/>
      <c r="G27" s="165"/>
      <c r="H27" s="165"/>
      <c r="I27" s="165"/>
      <c r="J27" s="165"/>
      <c r="K27" s="167"/>
      <c r="L27" s="167"/>
      <c r="M27" s="167"/>
      <c r="N27" s="167"/>
    </row>
    <row r="28" ht="26.25" customHeight="1">
      <c r="A28" s="163">
        <f>IFERROR(__xludf.DUMMYFUNCTION("""COMPUTED_VALUE"""),46050.0)</f>
        <v>46050</v>
      </c>
      <c r="B28" s="170" t="str">
        <f>IFERROR(__xludf.DUMMYFUNCTION("""COMPUTED_VALUE"""),"حيدر محمد")</f>
        <v>حيدر محمد</v>
      </c>
      <c r="C28" s="165">
        <f>IFERROR(__xludf.DUMMYFUNCTION("""COMPUTED_VALUE"""),50000.0)</f>
        <v>50000</v>
      </c>
      <c r="E28" s="166"/>
      <c r="F28" s="165"/>
      <c r="G28" s="165"/>
      <c r="H28" s="165"/>
      <c r="I28" s="165"/>
      <c r="J28" s="165"/>
      <c r="K28" s="167"/>
      <c r="L28" s="167"/>
      <c r="M28" s="167"/>
      <c r="N28" s="167"/>
    </row>
    <row r="29" ht="26.25" customHeight="1">
      <c r="A29" s="163">
        <f>IFERROR(__xludf.DUMMYFUNCTION("""COMPUTED_VALUE"""),46050.0)</f>
        <v>46050</v>
      </c>
      <c r="B29" s="164" t="str">
        <f>IFERROR(__xludf.DUMMYFUNCTION("""COMPUTED_VALUE"""),"حيدر يافوز")</f>
        <v>حيدر يافوز</v>
      </c>
      <c r="C29" s="165">
        <f>IFERROR(__xludf.DUMMYFUNCTION("""COMPUTED_VALUE"""),25000.0)</f>
        <v>25000</v>
      </c>
      <c r="E29" s="166"/>
      <c r="F29" s="165"/>
      <c r="G29" s="165"/>
      <c r="H29" s="165"/>
      <c r="I29" s="165"/>
      <c r="J29" s="165"/>
      <c r="K29" s="167"/>
      <c r="L29" s="167"/>
      <c r="M29" s="167"/>
      <c r="N29" s="167"/>
    </row>
    <row r="30" ht="26.25" customHeight="1">
      <c r="A30" s="163">
        <f>IFERROR(__xludf.DUMMYFUNCTION("""COMPUTED_VALUE"""),46050.0)</f>
        <v>46050</v>
      </c>
      <c r="B30" s="173" t="str">
        <f>IFERROR(__xludf.DUMMYFUNCTION("""COMPUTED_VALUE"""),"خضر عبد الخالق")</f>
        <v>خضر عبد الخالق</v>
      </c>
      <c r="C30" s="165">
        <f>IFERROR(__xludf.DUMMYFUNCTION("""COMPUTED_VALUE"""),25000.0)</f>
        <v>25000</v>
      </c>
      <c r="E30" s="166"/>
      <c r="F30" s="165"/>
      <c r="G30" s="165"/>
      <c r="H30" s="165"/>
      <c r="I30" s="165"/>
      <c r="J30" s="165"/>
      <c r="K30" s="167"/>
      <c r="L30" s="167"/>
      <c r="M30" s="167"/>
      <c r="N30" s="167"/>
    </row>
    <row r="31" ht="26.25" customHeight="1">
      <c r="A31" s="163">
        <f>IFERROR(__xludf.DUMMYFUNCTION("""COMPUTED_VALUE"""),46050.0)</f>
        <v>46050</v>
      </c>
      <c r="B31" s="173" t="str">
        <f>IFERROR(__xludf.DUMMYFUNCTION("""COMPUTED_VALUE"""),"خضر عبد الخالق")</f>
        <v>خضر عبد الخالق</v>
      </c>
      <c r="C31" s="165">
        <f>IFERROR(__xludf.DUMMYFUNCTION("""COMPUTED_VALUE"""),25000.0)</f>
        <v>25000</v>
      </c>
      <c r="E31" s="166"/>
      <c r="F31" s="165"/>
      <c r="G31" s="165"/>
      <c r="H31" s="165"/>
      <c r="I31" s="165"/>
      <c r="J31" s="165"/>
      <c r="K31" s="167"/>
      <c r="L31" s="167"/>
      <c r="M31" s="167"/>
      <c r="N31" s="167"/>
    </row>
    <row r="32" ht="26.25" customHeight="1">
      <c r="A32" s="163">
        <f>IFERROR(__xludf.DUMMYFUNCTION("""COMPUTED_VALUE"""),46055.0)</f>
        <v>46055</v>
      </c>
      <c r="B32" s="164" t="str">
        <f>IFERROR(__xludf.DUMMYFUNCTION("""COMPUTED_VALUE"""),"حسين سالم")</f>
        <v>حسين سالم</v>
      </c>
      <c r="C32" s="165">
        <f>IFERROR(__xludf.DUMMYFUNCTION("""COMPUTED_VALUE"""),5000.0)</f>
        <v>5000</v>
      </c>
      <c r="E32" s="166"/>
      <c r="F32" s="165"/>
      <c r="G32" s="165"/>
      <c r="H32" s="165"/>
      <c r="I32" s="165"/>
      <c r="J32" s="165"/>
      <c r="K32" s="167"/>
      <c r="L32" s="167"/>
      <c r="M32" s="167"/>
      <c r="N32" s="167"/>
    </row>
    <row r="33" ht="26.25" customHeight="1">
      <c r="A33" s="163">
        <f>IFERROR(__xludf.DUMMYFUNCTION("""COMPUTED_VALUE"""),46055.0)</f>
        <v>46055</v>
      </c>
      <c r="B33" s="164" t="str">
        <f>IFERROR(__xludf.DUMMYFUNCTION("""COMPUTED_VALUE"""),"حسين سالم")</f>
        <v>حسين سالم</v>
      </c>
      <c r="C33" s="165">
        <f>IFERROR(__xludf.DUMMYFUNCTION("""COMPUTED_VALUE"""),10000.0)</f>
        <v>10000</v>
      </c>
      <c r="E33" s="166"/>
      <c r="F33" s="165"/>
      <c r="G33" s="165"/>
      <c r="H33" s="165"/>
      <c r="I33" s="165"/>
      <c r="J33" s="165"/>
      <c r="K33" s="167"/>
      <c r="L33" s="167"/>
      <c r="M33" s="167"/>
      <c r="N33" s="167"/>
    </row>
    <row r="34" ht="26.25" customHeight="1">
      <c r="A34" s="163">
        <f>IFERROR(__xludf.DUMMYFUNCTION("""COMPUTED_VALUE"""),46055.0)</f>
        <v>46055</v>
      </c>
      <c r="B34" s="164" t="str">
        <f>IFERROR(__xludf.DUMMYFUNCTION("""COMPUTED_VALUE"""),"سجاد")</f>
        <v>سجاد</v>
      </c>
      <c r="C34" s="165">
        <f>IFERROR(__xludf.DUMMYFUNCTION("""COMPUTED_VALUE"""),5000.0)</f>
        <v>5000</v>
      </c>
      <c r="E34" s="174"/>
      <c r="F34" s="175"/>
      <c r="G34" s="175"/>
      <c r="H34" s="175"/>
      <c r="I34" s="175"/>
      <c r="J34" s="176"/>
      <c r="K34" s="167"/>
      <c r="L34" s="167"/>
      <c r="M34" s="167"/>
      <c r="N34" s="167"/>
    </row>
    <row r="35" ht="26.25" customHeight="1">
      <c r="A35" s="163">
        <f>IFERROR(__xludf.DUMMYFUNCTION("""COMPUTED_VALUE"""),46055.0)</f>
        <v>46055</v>
      </c>
      <c r="B35" s="164" t="str">
        <f>IFERROR(__xludf.DUMMYFUNCTION("""COMPUTED_VALUE"""),"حيدر محمد")</f>
        <v>حيدر محمد</v>
      </c>
      <c r="C35" s="165">
        <f>IFERROR(__xludf.DUMMYFUNCTION("""COMPUTED_VALUE"""),5000.0)</f>
        <v>5000</v>
      </c>
      <c r="E35" s="174"/>
      <c r="F35" s="175"/>
      <c r="G35" s="177"/>
      <c r="H35" s="175"/>
      <c r="I35" s="175"/>
      <c r="J35" s="176"/>
      <c r="K35" s="167"/>
      <c r="L35" s="167"/>
      <c r="M35" s="167"/>
      <c r="N35" s="167"/>
    </row>
    <row r="36" ht="26.25" customHeight="1">
      <c r="A36" s="163">
        <f>IFERROR(__xludf.DUMMYFUNCTION("""COMPUTED_VALUE"""),46055.0)</f>
        <v>46055</v>
      </c>
      <c r="B36" s="164" t="str">
        <f>IFERROR(__xludf.DUMMYFUNCTION("""COMPUTED_VALUE"""),"حيدر محمد")</f>
        <v>حيدر محمد</v>
      </c>
      <c r="C36" s="165">
        <f>IFERROR(__xludf.DUMMYFUNCTION("""COMPUTED_VALUE"""),10000.0)</f>
        <v>10000</v>
      </c>
      <c r="E36" s="174"/>
      <c r="F36" s="175"/>
      <c r="G36" s="177"/>
      <c r="H36" s="175"/>
      <c r="I36" s="175"/>
      <c r="J36" s="176"/>
      <c r="K36" s="167"/>
      <c r="L36" s="167"/>
      <c r="M36" s="167"/>
      <c r="N36" s="167"/>
    </row>
    <row r="37" ht="26.25" customHeight="1">
      <c r="A37" s="163">
        <f>IFERROR(__xludf.DUMMYFUNCTION("""COMPUTED_VALUE"""),46055.0)</f>
        <v>46055</v>
      </c>
      <c r="B37" s="164" t="str">
        <f>IFERROR(__xludf.DUMMYFUNCTION("""COMPUTED_VALUE"""),"حيدر محمد")</f>
        <v>حيدر محمد</v>
      </c>
      <c r="C37" s="165">
        <f>IFERROR(__xludf.DUMMYFUNCTION("""COMPUTED_VALUE"""),5000.0)</f>
        <v>5000</v>
      </c>
      <c r="E37" s="174"/>
      <c r="F37" s="175"/>
      <c r="G37" s="177"/>
      <c r="H37" s="175"/>
      <c r="I37" s="175"/>
      <c r="J37" s="176"/>
      <c r="K37" s="167"/>
      <c r="L37" s="167"/>
      <c r="M37" s="167"/>
      <c r="N37" s="167"/>
    </row>
    <row r="38" ht="26.25" customHeight="1">
      <c r="A38" s="163">
        <f>IFERROR(__xludf.DUMMYFUNCTION("""COMPUTED_VALUE"""),46055.0)</f>
        <v>46055</v>
      </c>
      <c r="B38" s="164" t="str">
        <f>IFERROR(__xludf.DUMMYFUNCTION("""COMPUTED_VALUE"""),"حيدر محمد")</f>
        <v>حيدر محمد</v>
      </c>
      <c r="C38" s="165">
        <f>IFERROR(__xludf.DUMMYFUNCTION("""COMPUTED_VALUE"""),10000.0)</f>
        <v>10000</v>
      </c>
      <c r="E38" s="174"/>
      <c r="F38" s="175"/>
      <c r="G38" s="177"/>
      <c r="H38" s="175"/>
      <c r="I38" s="175"/>
      <c r="J38" s="176"/>
      <c r="K38" s="167"/>
      <c r="L38" s="167"/>
      <c r="M38" s="167"/>
      <c r="N38" s="167"/>
    </row>
    <row r="39" ht="26.25" customHeight="1">
      <c r="A39" s="163">
        <f>IFERROR(__xludf.DUMMYFUNCTION("""COMPUTED_VALUE"""),46055.0)</f>
        <v>46055</v>
      </c>
      <c r="B39" s="173" t="str">
        <f>IFERROR(__xludf.DUMMYFUNCTION("""COMPUTED_VALUE"""),"خضر عبد الخالق")</f>
        <v>خضر عبد الخالق</v>
      </c>
      <c r="C39" s="165">
        <f>IFERROR(__xludf.DUMMYFUNCTION("""COMPUTED_VALUE"""),5000.0)</f>
        <v>5000</v>
      </c>
      <c r="E39" s="174"/>
      <c r="F39" s="175"/>
      <c r="G39" s="177"/>
      <c r="H39" s="175"/>
      <c r="I39" s="175"/>
      <c r="J39" s="176"/>
      <c r="K39" s="167"/>
      <c r="L39" s="167"/>
      <c r="M39" s="167"/>
      <c r="N39" s="167"/>
    </row>
    <row r="40" ht="26.25" customHeight="1">
      <c r="A40" s="163">
        <f>IFERROR(__xludf.DUMMYFUNCTION("""COMPUTED_VALUE"""),46055.0)</f>
        <v>46055</v>
      </c>
      <c r="B40" s="164" t="str">
        <f>IFERROR(__xludf.DUMMYFUNCTION("""COMPUTED_VALUE"""),"علي الباكستاني")</f>
        <v>علي الباكستاني</v>
      </c>
      <c r="C40" s="165">
        <f>IFERROR(__xludf.DUMMYFUNCTION("""COMPUTED_VALUE"""),5000.0)</f>
        <v>5000</v>
      </c>
      <c r="E40" s="174"/>
      <c r="F40" s="175"/>
      <c r="G40" s="177"/>
      <c r="H40" s="175"/>
      <c r="I40" s="175"/>
      <c r="J40" s="176"/>
      <c r="K40" s="167"/>
      <c r="L40" s="167"/>
      <c r="M40" s="167"/>
      <c r="N40" s="167"/>
    </row>
    <row r="41" ht="26.25" customHeight="1">
      <c r="A41" s="163">
        <f>IFERROR(__xludf.DUMMYFUNCTION("""COMPUTED_VALUE"""),46056.0)</f>
        <v>46056</v>
      </c>
      <c r="B41" s="170" t="str">
        <f>IFERROR(__xludf.DUMMYFUNCTION("""COMPUTED_VALUE"""),"حيدر يافوز")</f>
        <v>حيدر يافوز</v>
      </c>
      <c r="C41" s="165">
        <f>IFERROR(__xludf.DUMMYFUNCTION("""COMPUTED_VALUE"""),259000.0)</f>
        <v>259000</v>
      </c>
      <c r="E41" s="174"/>
      <c r="F41" s="175"/>
      <c r="G41" s="177"/>
      <c r="H41" s="175"/>
      <c r="I41" s="175"/>
      <c r="J41" s="176"/>
      <c r="K41" s="167"/>
      <c r="L41" s="167"/>
      <c r="M41" s="167"/>
      <c r="N41" s="167"/>
    </row>
    <row r="42" ht="26.25" customHeight="1">
      <c r="A42" s="163">
        <f>IFERROR(__xludf.DUMMYFUNCTION("""COMPUTED_VALUE"""),46056.0)</f>
        <v>46056</v>
      </c>
      <c r="B42" s="164" t="str">
        <f>IFERROR(__xludf.DUMMYFUNCTION("""COMPUTED_VALUE"""),"حسين سالم")</f>
        <v>حسين سالم</v>
      </c>
      <c r="C42" s="165">
        <f>IFERROR(__xludf.DUMMYFUNCTION("""COMPUTED_VALUE"""),5000.0)</f>
        <v>5000</v>
      </c>
      <c r="E42" s="174"/>
      <c r="F42" s="175"/>
      <c r="G42" s="177"/>
      <c r="H42" s="175"/>
      <c r="I42" s="175"/>
      <c r="J42" s="176"/>
      <c r="K42" s="167"/>
      <c r="L42" s="167"/>
      <c r="M42" s="167"/>
      <c r="N42" s="167"/>
    </row>
    <row r="43" ht="26.25" customHeight="1">
      <c r="A43" s="163">
        <f>IFERROR(__xludf.DUMMYFUNCTION("""COMPUTED_VALUE"""),46056.0)</f>
        <v>46056</v>
      </c>
      <c r="B43" s="164" t="str">
        <f>IFERROR(__xludf.DUMMYFUNCTION("""COMPUTED_VALUE"""),"سجاد رعد")</f>
        <v>سجاد رعد</v>
      </c>
      <c r="C43" s="165">
        <f>IFERROR(__xludf.DUMMYFUNCTION("""COMPUTED_VALUE"""),15000.0)</f>
        <v>15000</v>
      </c>
      <c r="E43" s="174"/>
      <c r="F43" s="175"/>
      <c r="G43" s="177"/>
      <c r="H43" s="175"/>
      <c r="I43" s="175"/>
      <c r="J43" s="176"/>
      <c r="K43" s="167"/>
      <c r="L43" s="167"/>
      <c r="M43" s="167"/>
      <c r="N43" s="167"/>
    </row>
    <row r="44" ht="26.25" customHeight="1">
      <c r="A44" s="163">
        <f>IFERROR(__xludf.DUMMYFUNCTION("""COMPUTED_VALUE"""),46056.0)</f>
        <v>46056</v>
      </c>
      <c r="B44" s="170" t="str">
        <f>IFERROR(__xludf.DUMMYFUNCTION("""COMPUTED_VALUE"""),"عبدالله هاشم")</f>
        <v>عبدالله هاشم</v>
      </c>
      <c r="C44" s="165">
        <f>IFERROR(__xludf.DUMMYFUNCTION("""COMPUTED_VALUE"""),5000.0)</f>
        <v>5000</v>
      </c>
      <c r="E44" s="174"/>
      <c r="F44" s="175"/>
      <c r="G44" s="177"/>
      <c r="H44" s="175"/>
      <c r="I44" s="175"/>
      <c r="J44" s="176"/>
      <c r="K44" s="167"/>
      <c r="L44" s="167"/>
      <c r="M44" s="167"/>
      <c r="N44" s="167"/>
    </row>
    <row r="45" ht="26.25" customHeight="1">
      <c r="A45" s="163">
        <f>IFERROR(__xludf.DUMMYFUNCTION("""COMPUTED_VALUE"""),46056.0)</f>
        <v>46056</v>
      </c>
      <c r="B45" s="170" t="str">
        <f>IFERROR(__xludf.DUMMYFUNCTION("""COMPUTED_VALUE"""),"يوسف احمد")</f>
        <v>يوسف احمد</v>
      </c>
      <c r="C45" s="165">
        <f>IFERROR(__xludf.DUMMYFUNCTION("""COMPUTED_VALUE"""),5000.0)</f>
        <v>5000</v>
      </c>
      <c r="E45" s="174"/>
      <c r="F45" s="175"/>
      <c r="G45" s="177"/>
      <c r="H45" s="175"/>
      <c r="I45" s="175"/>
      <c r="J45" s="176"/>
      <c r="K45" s="167"/>
      <c r="L45" s="167"/>
      <c r="M45" s="167"/>
      <c r="N45" s="167"/>
    </row>
    <row r="46" ht="26.25" customHeight="1">
      <c r="A46" s="163">
        <f>IFERROR(__xludf.DUMMYFUNCTION("""COMPUTED_VALUE"""),46056.0)</f>
        <v>46056</v>
      </c>
      <c r="B46" s="170" t="str">
        <f>IFERROR(__xludf.DUMMYFUNCTION("""COMPUTED_VALUE"""),"حيدر محمد")</f>
        <v>حيدر محمد</v>
      </c>
      <c r="C46" s="165">
        <f>IFERROR(__xludf.DUMMYFUNCTION("""COMPUTED_VALUE"""),5000.0)</f>
        <v>5000</v>
      </c>
      <c r="E46" s="174"/>
      <c r="F46" s="175"/>
      <c r="G46" s="177"/>
      <c r="H46" s="175"/>
      <c r="I46" s="175"/>
      <c r="J46" s="176"/>
      <c r="K46" s="167"/>
      <c r="L46" s="167"/>
      <c r="M46" s="167"/>
      <c r="N46" s="167"/>
    </row>
    <row r="47" ht="26.25" customHeight="1">
      <c r="A47" s="163">
        <f>IFERROR(__xludf.DUMMYFUNCTION("""COMPUTED_VALUE"""),46057.0)</f>
        <v>46057</v>
      </c>
      <c r="B47" s="170" t="str">
        <f>IFERROR(__xludf.DUMMYFUNCTION("""COMPUTED_VALUE"""),"عبدالله هاشم")</f>
        <v>عبدالله هاشم</v>
      </c>
      <c r="C47" s="165">
        <f>IFERROR(__xludf.DUMMYFUNCTION("""COMPUTED_VALUE"""),25000.0)</f>
        <v>25000</v>
      </c>
      <c r="E47" s="174"/>
      <c r="F47" s="175"/>
      <c r="G47" s="177"/>
      <c r="H47" s="175"/>
      <c r="I47" s="175"/>
      <c r="J47" s="176"/>
      <c r="K47" s="167"/>
      <c r="L47" s="167"/>
      <c r="M47" s="167"/>
      <c r="N47" s="167"/>
    </row>
    <row r="48" ht="26.25" customHeight="1">
      <c r="A48" s="163">
        <f>IFERROR(__xludf.DUMMYFUNCTION("""COMPUTED_VALUE"""),46057.0)</f>
        <v>46057</v>
      </c>
      <c r="B48" s="164" t="str">
        <f>IFERROR(__xludf.DUMMYFUNCTION("""COMPUTED_VALUE"""),"مصطفى عبد الخالق ")</f>
        <v>مصطفى عبد الخالق </v>
      </c>
      <c r="C48" s="165">
        <f>IFERROR(__xludf.DUMMYFUNCTION("""COMPUTED_VALUE"""),25000.0)</f>
        <v>25000</v>
      </c>
      <c r="E48" s="174"/>
      <c r="F48" s="175"/>
      <c r="G48" s="177"/>
      <c r="H48" s="175"/>
      <c r="I48" s="175"/>
      <c r="J48" s="176"/>
      <c r="K48" s="167"/>
      <c r="L48" s="167"/>
      <c r="M48" s="167"/>
      <c r="N48" s="167"/>
    </row>
    <row r="49" ht="26.25" customHeight="1">
      <c r="A49" s="163">
        <f>IFERROR(__xludf.DUMMYFUNCTION("""COMPUTED_VALUE"""),46057.0)</f>
        <v>46057</v>
      </c>
      <c r="B49" s="170" t="str">
        <f>IFERROR(__xludf.DUMMYFUNCTION("""COMPUTED_VALUE"""),"يوسف احمد")</f>
        <v>يوسف احمد</v>
      </c>
      <c r="C49" s="165">
        <f>IFERROR(__xludf.DUMMYFUNCTION("""COMPUTED_VALUE"""),10000.0)</f>
        <v>10000</v>
      </c>
      <c r="E49" s="174"/>
      <c r="F49" s="175"/>
      <c r="G49" s="177"/>
      <c r="H49" s="175"/>
      <c r="I49" s="175"/>
      <c r="J49" s="176"/>
      <c r="K49" s="167"/>
      <c r="L49" s="167"/>
      <c r="M49" s="167"/>
      <c r="N49" s="167"/>
    </row>
    <row r="50" ht="26.25" customHeight="1">
      <c r="A50" s="163">
        <f>IFERROR(__xludf.DUMMYFUNCTION("""COMPUTED_VALUE"""),46057.0)</f>
        <v>46057</v>
      </c>
      <c r="B50" s="170" t="str">
        <f>IFERROR(__xludf.DUMMYFUNCTION("""COMPUTED_VALUE"""),"يوسف احمد")</f>
        <v>يوسف احمد</v>
      </c>
      <c r="C50" s="165">
        <f>IFERROR(__xludf.DUMMYFUNCTION("""COMPUTED_VALUE"""),5000.0)</f>
        <v>5000</v>
      </c>
      <c r="E50" s="174"/>
      <c r="F50" s="175"/>
      <c r="G50" s="177"/>
      <c r="H50" s="175"/>
      <c r="I50" s="175"/>
      <c r="J50" s="176"/>
      <c r="K50" s="167"/>
      <c r="L50" s="167"/>
      <c r="M50" s="167"/>
      <c r="N50" s="167"/>
    </row>
    <row r="51" ht="26.25" customHeight="1">
      <c r="A51" s="163">
        <f>IFERROR(__xludf.DUMMYFUNCTION("""COMPUTED_VALUE"""),46057.0)</f>
        <v>46057</v>
      </c>
      <c r="B51" s="164" t="str">
        <f>IFERROR(__xludf.DUMMYFUNCTION("""COMPUTED_VALUE"""),"حيدر يافوز")</f>
        <v>حيدر يافوز</v>
      </c>
      <c r="C51" s="165">
        <f>IFERROR(__xludf.DUMMYFUNCTION("""COMPUTED_VALUE"""),50000.0)</f>
        <v>50000</v>
      </c>
      <c r="E51" s="174"/>
      <c r="F51" s="175"/>
      <c r="G51" s="177"/>
      <c r="H51" s="175"/>
      <c r="I51" s="175"/>
      <c r="J51" s="176"/>
      <c r="K51" s="167"/>
      <c r="L51" s="167"/>
      <c r="M51" s="167"/>
      <c r="N51" s="167"/>
    </row>
    <row r="52" ht="26.25" customHeight="1">
      <c r="A52" s="163">
        <f>IFERROR(__xludf.DUMMYFUNCTION("""COMPUTED_VALUE"""),46057.0)</f>
        <v>46057</v>
      </c>
      <c r="B52" s="173" t="str">
        <f>IFERROR(__xludf.DUMMYFUNCTION("""COMPUTED_VALUE"""),"خضر عبد الخالق")</f>
        <v>خضر عبد الخالق</v>
      </c>
      <c r="C52" s="165">
        <f>IFERROR(__xludf.DUMMYFUNCTION("""COMPUTED_VALUE"""),10000.0)</f>
        <v>10000</v>
      </c>
      <c r="E52" s="174"/>
      <c r="F52" s="175"/>
      <c r="G52" s="177"/>
      <c r="H52" s="175"/>
      <c r="I52" s="175"/>
      <c r="J52" s="176"/>
      <c r="K52" s="167"/>
      <c r="L52" s="167"/>
      <c r="M52" s="167"/>
      <c r="N52" s="167"/>
    </row>
    <row r="53" ht="26.25" customHeight="1">
      <c r="A53" s="163">
        <f>IFERROR(__xludf.DUMMYFUNCTION("""COMPUTED_VALUE"""),46058.0)</f>
        <v>46058</v>
      </c>
      <c r="B53" s="164" t="str">
        <f>IFERROR(__xludf.DUMMYFUNCTION("""COMPUTED_VALUE"""),"حسين سالم")</f>
        <v>حسين سالم</v>
      </c>
      <c r="C53" s="165">
        <f>IFERROR(__xludf.DUMMYFUNCTION("""COMPUTED_VALUE"""),8000.0)</f>
        <v>8000</v>
      </c>
      <c r="E53" s="174"/>
      <c r="F53" s="175"/>
      <c r="G53" s="177"/>
      <c r="H53" s="175"/>
      <c r="I53" s="175"/>
      <c r="J53" s="176"/>
      <c r="K53" s="167"/>
      <c r="L53" s="167"/>
      <c r="M53" s="167"/>
      <c r="N53" s="167"/>
    </row>
    <row r="54" ht="26.25" customHeight="1">
      <c r="A54" s="163">
        <f>IFERROR(__xludf.DUMMYFUNCTION("""COMPUTED_VALUE"""),46058.0)</f>
        <v>46058</v>
      </c>
      <c r="B54" s="170" t="str">
        <f>IFERROR(__xludf.DUMMYFUNCTION("""COMPUTED_VALUE"""),"طعام")</f>
        <v>طعام</v>
      </c>
      <c r="C54" s="165">
        <f>IFERROR(__xludf.DUMMYFUNCTION("""COMPUTED_VALUE"""),5000.0)</f>
        <v>5000</v>
      </c>
      <c r="E54" s="174"/>
      <c r="F54" s="175"/>
      <c r="G54" s="177"/>
      <c r="H54" s="175"/>
      <c r="I54" s="175"/>
      <c r="J54" s="176"/>
      <c r="K54" s="167"/>
      <c r="L54" s="167"/>
      <c r="M54" s="167"/>
      <c r="N54" s="167"/>
    </row>
    <row r="55" ht="26.25" customHeight="1">
      <c r="A55" s="163">
        <f>IFERROR(__xludf.DUMMYFUNCTION("""COMPUTED_VALUE"""),46058.0)</f>
        <v>46058</v>
      </c>
      <c r="B55" s="170" t="str">
        <f>IFERROR(__xludf.DUMMYFUNCTION("""COMPUTED_VALUE"""),"حيدر محمد")</f>
        <v>حيدر محمد</v>
      </c>
      <c r="C55" s="165">
        <f>IFERROR(__xludf.DUMMYFUNCTION("""COMPUTED_VALUE"""),8000.0)</f>
        <v>8000</v>
      </c>
      <c r="E55" s="174"/>
      <c r="F55" s="175"/>
      <c r="G55" s="177"/>
      <c r="H55" s="175"/>
      <c r="I55" s="175"/>
      <c r="J55" s="176"/>
      <c r="K55" s="167"/>
      <c r="L55" s="167"/>
      <c r="M55" s="167"/>
      <c r="N55" s="167"/>
    </row>
    <row r="56" ht="26.25" customHeight="1">
      <c r="A56" s="163">
        <f>IFERROR(__xludf.DUMMYFUNCTION("""COMPUTED_VALUE"""),46058.0)</f>
        <v>46058</v>
      </c>
      <c r="B56" s="170" t="str">
        <f>IFERROR(__xludf.DUMMYFUNCTION("""COMPUTED_VALUE"""),"عبدالله هاشم")</f>
        <v>عبدالله هاشم</v>
      </c>
      <c r="C56" s="165">
        <f>IFERROR(__xludf.DUMMYFUNCTION("""COMPUTED_VALUE"""),8000.0)</f>
        <v>8000</v>
      </c>
      <c r="E56" s="174"/>
      <c r="F56" s="175"/>
      <c r="G56" s="177"/>
      <c r="H56" s="175"/>
      <c r="I56" s="175"/>
      <c r="J56" s="176"/>
      <c r="K56" s="167"/>
      <c r="L56" s="167"/>
      <c r="M56" s="167"/>
      <c r="N56" s="167"/>
    </row>
    <row r="57" ht="26.25" customHeight="1">
      <c r="A57" s="163">
        <f>IFERROR(__xludf.DUMMYFUNCTION("""COMPUTED_VALUE"""),46058.0)</f>
        <v>46058</v>
      </c>
      <c r="B57" s="170" t="str">
        <f>IFERROR(__xludf.DUMMYFUNCTION("""COMPUTED_VALUE"""),"يوسف احمد")</f>
        <v>يوسف احمد</v>
      </c>
      <c r="C57" s="165">
        <f>IFERROR(__xludf.DUMMYFUNCTION("""COMPUTED_VALUE"""),5000.0)</f>
        <v>5000</v>
      </c>
      <c r="E57" s="174"/>
      <c r="F57" s="175"/>
      <c r="G57" s="177"/>
      <c r="H57" s="175"/>
      <c r="I57" s="175"/>
      <c r="J57" s="176"/>
      <c r="K57" s="167"/>
      <c r="L57" s="167"/>
      <c r="M57" s="167"/>
      <c r="N57" s="167"/>
    </row>
    <row r="58" ht="26.25" customHeight="1">
      <c r="A58" s="163">
        <f>IFERROR(__xludf.DUMMYFUNCTION("""COMPUTED_VALUE"""),46058.0)</f>
        <v>46058</v>
      </c>
      <c r="B58" s="173" t="str">
        <f>IFERROR(__xludf.DUMMYFUNCTION("""COMPUTED_VALUE"""),"خضر عبد الخالق")</f>
        <v>خضر عبد الخالق</v>
      </c>
      <c r="C58" s="165">
        <f>IFERROR(__xludf.DUMMYFUNCTION("""COMPUTED_VALUE"""),10000.0)</f>
        <v>10000</v>
      </c>
      <c r="E58" s="174"/>
      <c r="F58" s="175"/>
      <c r="G58" s="177"/>
      <c r="H58" s="175"/>
      <c r="I58" s="175"/>
      <c r="J58" s="176"/>
      <c r="K58" s="167"/>
      <c r="L58" s="167"/>
      <c r="M58" s="167"/>
      <c r="N58" s="167"/>
    </row>
    <row r="59" ht="26.25" customHeight="1">
      <c r="A59" s="163">
        <f>IFERROR(__xludf.DUMMYFUNCTION("""COMPUTED_VALUE"""),46059.0)</f>
        <v>46059</v>
      </c>
      <c r="B59" s="164" t="str">
        <f>IFERROR(__xludf.DUMMYFUNCTION("""COMPUTED_VALUE"""),"حسين سالم")</f>
        <v>حسين سالم</v>
      </c>
      <c r="C59" s="165">
        <f>IFERROR(__xludf.DUMMYFUNCTION("""COMPUTED_VALUE"""),5000.0)</f>
        <v>5000</v>
      </c>
      <c r="E59" s="174"/>
      <c r="F59" s="175"/>
      <c r="G59" s="177"/>
      <c r="H59" s="175"/>
      <c r="I59" s="175"/>
      <c r="J59" s="176"/>
      <c r="K59" s="167"/>
      <c r="L59" s="167"/>
      <c r="M59" s="167"/>
      <c r="N59" s="167"/>
    </row>
    <row r="60" ht="26.25" customHeight="1">
      <c r="A60" s="163">
        <f>IFERROR(__xludf.DUMMYFUNCTION("""COMPUTED_VALUE"""),46059.0)</f>
        <v>46059</v>
      </c>
      <c r="B60" s="170" t="str">
        <f>IFERROR(__xludf.DUMMYFUNCTION("""COMPUTED_VALUE"""),"حيدر محمد")</f>
        <v>حيدر محمد</v>
      </c>
      <c r="C60" s="165">
        <f>IFERROR(__xludf.DUMMYFUNCTION("""COMPUTED_VALUE"""),150000.0)</f>
        <v>150000</v>
      </c>
      <c r="E60" s="174"/>
      <c r="F60" s="175"/>
      <c r="G60" s="177"/>
      <c r="H60" s="175"/>
      <c r="I60" s="175"/>
      <c r="J60" s="176"/>
      <c r="K60" s="167"/>
      <c r="L60" s="167"/>
      <c r="M60" s="167"/>
      <c r="N60" s="167"/>
    </row>
    <row r="61" ht="26.25" customHeight="1">
      <c r="A61" s="163">
        <f>IFERROR(__xludf.DUMMYFUNCTION("""COMPUTED_VALUE"""),46059.0)</f>
        <v>46059</v>
      </c>
      <c r="B61" s="170" t="str">
        <f>IFERROR(__xludf.DUMMYFUNCTION("""COMPUTED_VALUE"""),"حيدر محمد")</f>
        <v>حيدر محمد</v>
      </c>
      <c r="C61" s="165">
        <f>IFERROR(__xludf.DUMMYFUNCTION("""COMPUTED_VALUE"""),5000.0)</f>
        <v>5000</v>
      </c>
      <c r="E61" s="174"/>
      <c r="F61" s="175"/>
      <c r="G61" s="177"/>
      <c r="H61" s="175"/>
      <c r="I61" s="175"/>
      <c r="J61" s="176"/>
      <c r="K61" s="167"/>
      <c r="L61" s="167"/>
      <c r="M61" s="167"/>
      <c r="N61" s="167"/>
    </row>
    <row r="62" ht="26.25" customHeight="1">
      <c r="A62" s="163">
        <f>IFERROR(__xludf.DUMMYFUNCTION("""COMPUTED_VALUE"""),46059.0)</f>
        <v>46059</v>
      </c>
      <c r="B62" s="170" t="str">
        <f>IFERROR(__xludf.DUMMYFUNCTION("""COMPUTED_VALUE"""),"احمد")</f>
        <v>احمد</v>
      </c>
      <c r="C62" s="165">
        <f>IFERROR(__xludf.DUMMYFUNCTION("""COMPUTED_VALUE"""),5000.0)</f>
        <v>5000</v>
      </c>
      <c r="E62" s="174"/>
      <c r="F62" s="175"/>
      <c r="G62" s="177"/>
      <c r="H62" s="175"/>
      <c r="I62" s="175"/>
      <c r="J62" s="176"/>
      <c r="K62" s="167"/>
      <c r="L62" s="167"/>
      <c r="M62" s="167"/>
      <c r="N62" s="167"/>
    </row>
    <row r="63" ht="26.25" customHeight="1">
      <c r="A63" s="163">
        <f>IFERROR(__xludf.DUMMYFUNCTION("""COMPUTED_VALUE"""),46059.0)</f>
        <v>46059</v>
      </c>
      <c r="B63" s="170" t="str">
        <f>IFERROR(__xludf.DUMMYFUNCTION("""COMPUTED_VALUE"""),"سجاد")</f>
        <v>سجاد</v>
      </c>
      <c r="C63" s="165">
        <f>IFERROR(__xludf.DUMMYFUNCTION("""COMPUTED_VALUE"""),5000.0)</f>
        <v>5000</v>
      </c>
      <c r="E63" s="174"/>
      <c r="F63" s="175"/>
      <c r="G63" s="177"/>
      <c r="H63" s="175"/>
      <c r="I63" s="175"/>
      <c r="J63" s="176"/>
      <c r="K63" s="167"/>
      <c r="L63" s="167"/>
      <c r="M63" s="167"/>
      <c r="N63" s="167"/>
    </row>
    <row r="64" ht="26.25" customHeight="1">
      <c r="A64" s="163">
        <f>IFERROR(__xludf.DUMMYFUNCTION("""COMPUTED_VALUE"""),46059.0)</f>
        <v>46059</v>
      </c>
      <c r="B64" s="170" t="str">
        <f>IFERROR(__xludf.DUMMYFUNCTION("""COMPUTED_VALUE"""),"سجاد حديد")</f>
        <v>سجاد حديد</v>
      </c>
      <c r="C64" s="165">
        <f>IFERROR(__xludf.DUMMYFUNCTION("""COMPUTED_VALUE"""),5000.0)</f>
        <v>5000</v>
      </c>
      <c r="E64" s="174"/>
      <c r="F64" s="175"/>
      <c r="G64" s="177"/>
      <c r="H64" s="175"/>
      <c r="I64" s="175"/>
      <c r="J64" s="176"/>
      <c r="K64" s="167"/>
      <c r="L64" s="167"/>
      <c r="M64" s="167"/>
      <c r="N64" s="167"/>
    </row>
    <row r="65" ht="26.25" customHeight="1">
      <c r="A65" s="163">
        <f>IFERROR(__xludf.DUMMYFUNCTION("""COMPUTED_VALUE"""),46059.0)</f>
        <v>46059</v>
      </c>
      <c r="B65" s="170" t="str">
        <f>IFERROR(__xludf.DUMMYFUNCTION("""COMPUTED_VALUE"""),"عبدالله هاشم")</f>
        <v>عبدالله هاشم</v>
      </c>
      <c r="C65" s="165">
        <f>IFERROR(__xludf.DUMMYFUNCTION("""COMPUTED_VALUE"""),5000.0)</f>
        <v>5000</v>
      </c>
      <c r="E65" s="174"/>
      <c r="F65" s="175"/>
      <c r="G65" s="177"/>
      <c r="H65" s="175"/>
      <c r="I65" s="175"/>
      <c r="J65" s="176"/>
      <c r="K65" s="167"/>
      <c r="L65" s="167"/>
      <c r="M65" s="167"/>
      <c r="N65" s="167"/>
    </row>
    <row r="66" ht="26.25" customHeight="1">
      <c r="A66" s="163">
        <f>IFERROR(__xludf.DUMMYFUNCTION("""COMPUTED_VALUE"""),46059.0)</f>
        <v>46059</v>
      </c>
      <c r="B66" s="170" t="str">
        <f>IFERROR(__xludf.DUMMYFUNCTION("""COMPUTED_VALUE"""),"عبدالله هاشم")</f>
        <v>عبدالله هاشم</v>
      </c>
      <c r="C66" s="165">
        <f>IFERROR(__xludf.DUMMYFUNCTION("""COMPUTED_VALUE"""),5000.0)</f>
        <v>5000</v>
      </c>
      <c r="E66" s="174"/>
      <c r="F66" s="175"/>
      <c r="G66" s="177"/>
      <c r="H66" s="175"/>
      <c r="I66" s="175"/>
      <c r="J66" s="176"/>
      <c r="K66" s="167"/>
      <c r="L66" s="167"/>
      <c r="M66" s="167"/>
      <c r="N66" s="167"/>
    </row>
    <row r="67" ht="26.25" customHeight="1">
      <c r="A67" s="163">
        <f>IFERROR(__xludf.DUMMYFUNCTION("""COMPUTED_VALUE"""),46059.0)</f>
        <v>46059</v>
      </c>
      <c r="B67" s="170" t="str">
        <f>IFERROR(__xludf.DUMMYFUNCTION("""COMPUTED_VALUE"""),"علي يوسف")</f>
        <v>علي يوسف</v>
      </c>
      <c r="C67" s="165">
        <f>IFERROR(__xludf.DUMMYFUNCTION("""COMPUTED_VALUE"""),25000.0)</f>
        <v>25000</v>
      </c>
      <c r="E67" s="174"/>
      <c r="F67" s="175"/>
      <c r="G67" s="177"/>
      <c r="H67" s="175"/>
      <c r="I67" s="175"/>
      <c r="J67" s="176"/>
      <c r="K67" s="167"/>
      <c r="L67" s="167"/>
      <c r="M67" s="167"/>
      <c r="N67" s="167"/>
    </row>
    <row r="68" ht="26.25" customHeight="1">
      <c r="A68" s="163">
        <f>IFERROR(__xludf.DUMMYFUNCTION("""COMPUTED_VALUE"""),46059.0)</f>
        <v>46059</v>
      </c>
      <c r="B68" s="170" t="str">
        <f>IFERROR(__xludf.DUMMYFUNCTION("""COMPUTED_VALUE"""),"محمد حسين الحداد")</f>
        <v>محمد حسين الحداد</v>
      </c>
      <c r="C68" s="165">
        <f>IFERROR(__xludf.DUMMYFUNCTION("""COMPUTED_VALUE"""),5000.0)</f>
        <v>5000</v>
      </c>
      <c r="E68" s="174"/>
      <c r="F68" s="175"/>
      <c r="G68" s="177"/>
      <c r="H68" s="175"/>
      <c r="I68" s="175"/>
      <c r="J68" s="176"/>
      <c r="K68" s="167"/>
      <c r="L68" s="167"/>
      <c r="M68" s="167"/>
      <c r="N68" s="167"/>
    </row>
    <row r="69" ht="26.25" customHeight="1">
      <c r="A69" s="163">
        <f>IFERROR(__xludf.DUMMYFUNCTION("""COMPUTED_VALUE"""),46059.0)</f>
        <v>46059</v>
      </c>
      <c r="B69" s="164" t="str">
        <f>IFERROR(__xludf.DUMMYFUNCTION("""COMPUTED_VALUE"""),"مصطفى عبد الخالق ")</f>
        <v>مصطفى عبد الخالق </v>
      </c>
      <c r="C69" s="165">
        <f>IFERROR(__xludf.DUMMYFUNCTION("""COMPUTED_VALUE"""),5000.0)</f>
        <v>5000</v>
      </c>
      <c r="E69" s="174"/>
      <c r="F69" s="175"/>
      <c r="G69" s="177"/>
      <c r="H69" s="175"/>
      <c r="I69" s="175"/>
      <c r="J69" s="176"/>
      <c r="K69" s="167"/>
      <c r="L69" s="167"/>
      <c r="M69" s="167"/>
      <c r="N69" s="167"/>
    </row>
    <row r="70" ht="26.25" customHeight="1">
      <c r="A70" s="163">
        <f>IFERROR(__xludf.DUMMYFUNCTION("""COMPUTED_VALUE"""),46059.0)</f>
        <v>46059</v>
      </c>
      <c r="B70" s="170" t="str">
        <f>IFERROR(__xludf.DUMMYFUNCTION("""COMPUTED_VALUE"""),"يوسف احمد")</f>
        <v>يوسف احمد</v>
      </c>
      <c r="C70" s="165">
        <f>IFERROR(__xludf.DUMMYFUNCTION("""COMPUTED_VALUE"""),5000.0)</f>
        <v>5000</v>
      </c>
      <c r="E70" s="174"/>
      <c r="F70" s="175"/>
      <c r="G70" s="177"/>
      <c r="H70" s="175"/>
      <c r="I70" s="175"/>
      <c r="J70" s="176"/>
      <c r="K70" s="167"/>
      <c r="L70" s="167"/>
      <c r="M70" s="167"/>
      <c r="N70" s="167"/>
    </row>
    <row r="71" ht="26.25" customHeight="1">
      <c r="A71" s="163">
        <f>IFERROR(__xludf.DUMMYFUNCTION("""COMPUTED_VALUE"""),46059.0)</f>
        <v>46059</v>
      </c>
      <c r="B71" s="170" t="str">
        <f>IFERROR(__xludf.DUMMYFUNCTION("""COMPUTED_VALUE"""),"يوسف احمد")</f>
        <v>يوسف احمد</v>
      </c>
      <c r="C71" s="165">
        <f>IFERROR(__xludf.DUMMYFUNCTION("""COMPUTED_VALUE"""),15000.0)</f>
        <v>15000</v>
      </c>
      <c r="E71" s="174"/>
      <c r="F71" s="175"/>
      <c r="G71" s="177"/>
      <c r="H71" s="175"/>
      <c r="I71" s="175"/>
      <c r="J71" s="176"/>
      <c r="K71" s="167"/>
      <c r="L71" s="167"/>
      <c r="M71" s="167"/>
      <c r="N71" s="167"/>
    </row>
    <row r="72" ht="26.25" customHeight="1">
      <c r="A72" s="163">
        <f>IFERROR(__xludf.DUMMYFUNCTION("""COMPUTED_VALUE"""),46059.0)</f>
        <v>46059</v>
      </c>
      <c r="B72" s="164" t="str">
        <f>IFERROR(__xludf.DUMMYFUNCTION("""COMPUTED_VALUE"""),"حيدر يافوز")</f>
        <v>حيدر يافوز</v>
      </c>
      <c r="C72" s="165">
        <f>IFERROR(__xludf.DUMMYFUNCTION("""COMPUTED_VALUE"""),5000.0)</f>
        <v>5000</v>
      </c>
      <c r="E72" s="174"/>
      <c r="F72" s="175"/>
      <c r="G72" s="177"/>
      <c r="H72" s="175"/>
      <c r="I72" s="175"/>
      <c r="J72" s="176"/>
      <c r="K72" s="167"/>
      <c r="L72" s="167"/>
      <c r="M72" s="167"/>
      <c r="N72" s="167"/>
    </row>
    <row r="73" ht="26.25" customHeight="1">
      <c r="A73" s="163">
        <f>IFERROR(__xludf.DUMMYFUNCTION("""COMPUTED_VALUE"""),46059.0)</f>
        <v>46059</v>
      </c>
      <c r="B73" s="173" t="str">
        <f>IFERROR(__xludf.DUMMYFUNCTION("""COMPUTED_VALUE"""),"خضر عبد الخالق")</f>
        <v>خضر عبد الخالق</v>
      </c>
      <c r="C73" s="165">
        <f>IFERROR(__xludf.DUMMYFUNCTION("""COMPUTED_VALUE"""),5000.0)</f>
        <v>5000</v>
      </c>
      <c r="E73" s="174"/>
      <c r="F73" s="175"/>
      <c r="G73" s="177"/>
      <c r="H73" s="175"/>
      <c r="I73" s="175"/>
      <c r="J73" s="176"/>
      <c r="K73" s="167"/>
      <c r="L73" s="167"/>
      <c r="M73" s="167"/>
      <c r="N73" s="167"/>
    </row>
    <row r="74" ht="26.25" customHeight="1">
      <c r="A74" s="163">
        <f>IFERROR(__xludf.DUMMYFUNCTION("""COMPUTED_VALUE"""),46059.0)</f>
        <v>46059</v>
      </c>
      <c r="B74" s="173" t="str">
        <f>IFERROR(__xludf.DUMMYFUNCTION("""COMPUTED_VALUE"""),"خضر عبد الخالق")</f>
        <v>خضر عبد الخالق</v>
      </c>
      <c r="C74" s="165">
        <f>IFERROR(__xludf.DUMMYFUNCTION("""COMPUTED_VALUE"""),5000.0)</f>
        <v>5000</v>
      </c>
      <c r="E74" s="174"/>
      <c r="F74" s="175"/>
      <c r="G74" s="177"/>
      <c r="H74" s="175"/>
      <c r="I74" s="175"/>
      <c r="J74" s="176"/>
      <c r="K74" s="167"/>
      <c r="L74" s="167"/>
      <c r="M74" s="167"/>
      <c r="N74" s="167"/>
    </row>
    <row r="75" ht="26.25" customHeight="1">
      <c r="A75" s="163">
        <f>IFERROR(__xludf.DUMMYFUNCTION("""COMPUTED_VALUE"""),46059.0)</f>
        <v>46059</v>
      </c>
      <c r="B75" s="164" t="str">
        <f>IFERROR(__xludf.DUMMYFUNCTION("""COMPUTED_VALUE"""),"علي الباكستاني")</f>
        <v>علي الباكستاني</v>
      </c>
      <c r="C75" s="165">
        <f>IFERROR(__xludf.DUMMYFUNCTION("""COMPUTED_VALUE"""),5000.0)</f>
        <v>5000</v>
      </c>
      <c r="E75" s="174"/>
      <c r="F75" s="175"/>
      <c r="G75" s="177"/>
      <c r="H75" s="175"/>
      <c r="I75" s="175"/>
      <c r="J75" s="176"/>
      <c r="K75" s="167"/>
      <c r="L75" s="167"/>
      <c r="M75" s="167"/>
      <c r="N75" s="167"/>
    </row>
    <row r="76" ht="26.25" customHeight="1">
      <c r="A76" s="163">
        <f>IFERROR(__xludf.DUMMYFUNCTION("""COMPUTED_VALUE"""),46059.0)</f>
        <v>46059</v>
      </c>
      <c r="B76" s="164" t="str">
        <f>IFERROR(__xludf.DUMMYFUNCTION("""COMPUTED_VALUE"""),"علي الباكستاني")</f>
        <v>علي الباكستاني</v>
      </c>
      <c r="C76" s="165">
        <f>IFERROR(__xludf.DUMMYFUNCTION("""COMPUTED_VALUE"""),5000.0)</f>
        <v>5000</v>
      </c>
      <c r="E76" s="174"/>
      <c r="F76" s="175"/>
      <c r="G76" s="177"/>
      <c r="H76" s="175"/>
      <c r="I76" s="175"/>
      <c r="J76" s="176"/>
      <c r="K76" s="167"/>
      <c r="L76" s="167"/>
      <c r="M76" s="167"/>
      <c r="N76" s="167"/>
    </row>
    <row r="77" ht="26.25" customHeight="1">
      <c r="A77" s="163">
        <f>IFERROR(__xludf.DUMMYFUNCTION("""COMPUTED_VALUE"""),46060.0)</f>
        <v>46060</v>
      </c>
      <c r="B77" s="170" t="str">
        <f>IFERROR(__xludf.DUMMYFUNCTION("""COMPUTED_VALUE"""),"طعام")</f>
        <v>طعام</v>
      </c>
      <c r="C77" s="165">
        <f>IFERROR(__xludf.DUMMYFUNCTION("""COMPUTED_VALUE"""),40000.0)</f>
        <v>40000</v>
      </c>
      <c r="E77" s="174"/>
      <c r="F77" s="175"/>
      <c r="G77" s="177"/>
      <c r="H77" s="175"/>
      <c r="I77" s="175"/>
      <c r="J77" s="176"/>
      <c r="K77" s="167"/>
      <c r="L77" s="167"/>
      <c r="M77" s="167"/>
      <c r="N77" s="167"/>
    </row>
    <row r="78" ht="26.25" customHeight="1">
      <c r="A78" s="163">
        <f>IFERROR(__xludf.DUMMYFUNCTION("""COMPUTED_VALUE"""),46060.0)</f>
        <v>46060</v>
      </c>
      <c r="B78" s="170" t="str">
        <f>IFERROR(__xludf.DUMMYFUNCTION("""COMPUTED_VALUE"""),"سجاد حديد")</f>
        <v>سجاد حديد</v>
      </c>
      <c r="C78" s="165">
        <f>IFERROR(__xludf.DUMMYFUNCTION("""COMPUTED_VALUE"""),5000.0)</f>
        <v>5000</v>
      </c>
      <c r="E78" s="174"/>
      <c r="F78" s="175"/>
      <c r="G78" s="177"/>
      <c r="H78" s="175"/>
      <c r="I78" s="175"/>
      <c r="J78" s="176"/>
      <c r="K78" s="167"/>
      <c r="L78" s="167"/>
      <c r="M78" s="167"/>
      <c r="N78" s="167"/>
    </row>
    <row r="79" ht="26.25" customHeight="1">
      <c r="A79" s="163">
        <f>IFERROR(__xludf.DUMMYFUNCTION("""COMPUTED_VALUE"""),46061.0)</f>
        <v>46061</v>
      </c>
      <c r="B79" s="170" t="str">
        <f>IFERROR(__xludf.DUMMYFUNCTION("""COMPUTED_VALUE"""),"طعام")</f>
        <v>طعام</v>
      </c>
      <c r="C79" s="165">
        <f>IFERROR(__xludf.DUMMYFUNCTION("""COMPUTED_VALUE"""),50000.0)</f>
        <v>50000</v>
      </c>
      <c r="E79" s="174"/>
      <c r="F79" s="175"/>
      <c r="G79" s="177"/>
      <c r="H79" s="175"/>
      <c r="I79" s="175"/>
      <c r="J79" s="176"/>
      <c r="K79" s="167"/>
      <c r="L79" s="167"/>
      <c r="M79" s="167"/>
      <c r="N79" s="167"/>
    </row>
    <row r="80" ht="26.25" customHeight="1">
      <c r="A80" s="163">
        <f>IFERROR(__xludf.DUMMYFUNCTION("""COMPUTED_VALUE"""),46061.0)</f>
        <v>46061</v>
      </c>
      <c r="B80" s="170" t="str">
        <f>IFERROR(__xludf.DUMMYFUNCTION("""COMPUTED_VALUE"""),"طعام")</f>
        <v>طعام</v>
      </c>
      <c r="C80" s="165">
        <f>IFERROR(__xludf.DUMMYFUNCTION("""COMPUTED_VALUE"""),50000.0)</f>
        <v>50000</v>
      </c>
      <c r="E80" s="174"/>
      <c r="F80" s="175"/>
      <c r="G80" s="177"/>
      <c r="H80" s="175"/>
      <c r="I80" s="175"/>
      <c r="J80" s="176"/>
      <c r="K80" s="167"/>
      <c r="L80" s="167"/>
      <c r="M80" s="167"/>
      <c r="N80" s="167"/>
    </row>
    <row r="81" ht="26.25" customHeight="1">
      <c r="A81" s="163">
        <f>IFERROR(__xludf.DUMMYFUNCTION("""COMPUTED_VALUE"""),46062.0)</f>
        <v>46062</v>
      </c>
      <c r="B81" s="164" t="str">
        <f>IFERROR(__xludf.DUMMYFUNCTION("""COMPUTED_VALUE"""),"حسين سالم")</f>
        <v>حسين سالم</v>
      </c>
      <c r="C81" s="165">
        <f>IFERROR(__xludf.DUMMYFUNCTION("""COMPUTED_VALUE"""),10000.0)</f>
        <v>10000</v>
      </c>
      <c r="E81" s="174"/>
      <c r="F81" s="175"/>
      <c r="G81" s="177"/>
      <c r="H81" s="175"/>
      <c r="I81" s="175"/>
      <c r="J81" s="176"/>
      <c r="K81" s="167"/>
      <c r="L81" s="167"/>
      <c r="M81" s="167"/>
      <c r="N81" s="167"/>
    </row>
    <row r="82" ht="26.25" customHeight="1">
      <c r="A82" s="163">
        <f>IFERROR(__xludf.DUMMYFUNCTION("""COMPUTED_VALUE"""),46062.0)</f>
        <v>46062</v>
      </c>
      <c r="B82" s="170" t="str">
        <f>IFERROR(__xludf.DUMMYFUNCTION("""COMPUTED_VALUE"""),"احمد امين")</f>
        <v>احمد امين</v>
      </c>
      <c r="C82" s="165">
        <f>IFERROR(__xludf.DUMMYFUNCTION("""COMPUTED_VALUE"""),50000.0)</f>
        <v>50000</v>
      </c>
      <c r="E82" s="174"/>
      <c r="F82" s="175"/>
      <c r="G82" s="177"/>
      <c r="H82" s="175"/>
      <c r="I82" s="175"/>
      <c r="J82" s="176"/>
      <c r="K82" s="167"/>
      <c r="L82" s="167"/>
      <c r="M82" s="167"/>
      <c r="N82" s="167"/>
    </row>
    <row r="83" ht="26.25" customHeight="1">
      <c r="A83" s="163">
        <f>IFERROR(__xludf.DUMMYFUNCTION("""COMPUTED_VALUE"""),46063.0)</f>
        <v>46063</v>
      </c>
      <c r="B83" s="170" t="str">
        <f>IFERROR(__xludf.DUMMYFUNCTION("""COMPUTED_VALUE"""),"طعام")</f>
        <v>طعام</v>
      </c>
      <c r="C83" s="165">
        <f>IFERROR(__xludf.DUMMYFUNCTION("""COMPUTED_VALUE"""),10000.0)</f>
        <v>10000</v>
      </c>
      <c r="E83" s="174"/>
      <c r="F83" s="175"/>
      <c r="G83" s="177"/>
      <c r="H83" s="175"/>
      <c r="I83" s="175"/>
      <c r="J83" s="176"/>
      <c r="K83" s="167"/>
      <c r="L83" s="167"/>
      <c r="M83" s="167"/>
      <c r="N83" s="167"/>
    </row>
    <row r="84" ht="26.25" customHeight="1">
      <c r="A84" s="163">
        <f>IFERROR(__xludf.DUMMYFUNCTION("""COMPUTED_VALUE"""),46063.0)</f>
        <v>46063</v>
      </c>
      <c r="B84" s="170" t="str">
        <f>IFERROR(__xludf.DUMMYFUNCTION("""COMPUTED_VALUE"""),"طعام")</f>
        <v>طعام</v>
      </c>
      <c r="C84" s="165">
        <f>IFERROR(__xludf.DUMMYFUNCTION("""COMPUTED_VALUE"""),10000.0)</f>
        <v>10000</v>
      </c>
      <c r="E84" s="174"/>
      <c r="F84" s="175"/>
      <c r="G84" s="177"/>
      <c r="H84" s="175"/>
      <c r="I84" s="175"/>
      <c r="J84" s="176"/>
      <c r="K84" s="167"/>
      <c r="L84" s="167"/>
      <c r="M84" s="167"/>
      <c r="N84" s="167"/>
    </row>
    <row r="85" ht="26.25" customHeight="1">
      <c r="A85" s="163">
        <f>IFERROR(__xludf.DUMMYFUNCTION("""COMPUTED_VALUE"""),46063.0)</f>
        <v>46063</v>
      </c>
      <c r="B85" s="170" t="str">
        <f>IFERROR(__xludf.DUMMYFUNCTION("""COMPUTED_VALUE"""),"سجاد حديد")</f>
        <v>سجاد حديد</v>
      </c>
      <c r="C85" s="165">
        <f>IFERROR(__xludf.DUMMYFUNCTION("""COMPUTED_VALUE"""),20000.0)</f>
        <v>20000</v>
      </c>
      <c r="E85" s="174"/>
      <c r="F85" s="175"/>
      <c r="G85" s="177"/>
      <c r="H85" s="175"/>
      <c r="I85" s="175"/>
      <c r="J85" s="176"/>
      <c r="K85" s="167"/>
      <c r="L85" s="167"/>
      <c r="M85" s="167"/>
      <c r="N85" s="167"/>
    </row>
    <row r="86" ht="26.25" customHeight="1">
      <c r="A86" s="163">
        <f>IFERROR(__xludf.DUMMYFUNCTION("""COMPUTED_VALUE"""),46063.0)</f>
        <v>46063</v>
      </c>
      <c r="B86" s="164" t="str">
        <f>IFERROR(__xludf.DUMMYFUNCTION("""COMPUTED_VALUE"""),"مصطفى عبد الخالق ")</f>
        <v>مصطفى عبد الخالق </v>
      </c>
      <c r="C86" s="165">
        <f>IFERROR(__xludf.DUMMYFUNCTION("""COMPUTED_VALUE"""),10000.0)</f>
        <v>10000</v>
      </c>
      <c r="E86" s="174"/>
      <c r="F86" s="175"/>
      <c r="G86" s="177"/>
      <c r="H86" s="175"/>
      <c r="I86" s="175"/>
      <c r="J86" s="176"/>
      <c r="K86" s="167"/>
      <c r="L86" s="167"/>
      <c r="M86" s="167"/>
      <c r="N86" s="167"/>
    </row>
    <row r="87" ht="26.25" customHeight="1">
      <c r="A87" s="163">
        <f>IFERROR(__xludf.DUMMYFUNCTION("""COMPUTED_VALUE"""),46065.0)</f>
        <v>46065</v>
      </c>
      <c r="B87" s="164" t="str">
        <f>IFERROR(__xludf.DUMMYFUNCTION("""COMPUTED_VALUE"""),"حسين سالم")</f>
        <v>حسين سالم</v>
      </c>
      <c r="C87" s="165">
        <f>IFERROR(__xludf.DUMMYFUNCTION("""COMPUTED_VALUE"""),15000.0)</f>
        <v>15000</v>
      </c>
      <c r="E87" s="174"/>
      <c r="F87" s="175"/>
      <c r="G87" s="177"/>
      <c r="H87" s="175"/>
      <c r="I87" s="175"/>
      <c r="J87" s="176"/>
      <c r="K87" s="167"/>
      <c r="L87" s="167"/>
      <c r="M87" s="167"/>
      <c r="N87" s="167"/>
    </row>
    <row r="88" ht="26.25" customHeight="1">
      <c r="A88" s="163">
        <f>IFERROR(__xludf.DUMMYFUNCTION("""COMPUTED_VALUE"""),46065.0)</f>
        <v>46065</v>
      </c>
      <c r="B88" s="170" t="str">
        <f>IFERROR(__xludf.DUMMYFUNCTION("""COMPUTED_VALUE"""),"طعام")</f>
        <v>طعام</v>
      </c>
      <c r="C88" s="165">
        <f>IFERROR(__xludf.DUMMYFUNCTION("""COMPUTED_VALUE"""),50000.0)</f>
        <v>50000</v>
      </c>
      <c r="E88" s="174"/>
      <c r="F88" s="175"/>
      <c r="G88" s="177"/>
      <c r="H88" s="175"/>
      <c r="I88" s="175"/>
      <c r="J88" s="176"/>
      <c r="K88" s="167"/>
      <c r="L88" s="167"/>
      <c r="M88" s="167"/>
      <c r="N88" s="167"/>
    </row>
    <row r="89" ht="26.25" customHeight="1">
      <c r="A89" s="163">
        <f>IFERROR(__xludf.DUMMYFUNCTION("""COMPUTED_VALUE"""),46065.0)</f>
        <v>46065</v>
      </c>
      <c r="B89" s="170" t="str">
        <f>IFERROR(__xludf.DUMMYFUNCTION("""COMPUTED_VALUE"""),"طعام")</f>
        <v>طعام</v>
      </c>
      <c r="C89" s="165">
        <f>IFERROR(__xludf.DUMMYFUNCTION("""COMPUTED_VALUE"""),30000.0)</f>
        <v>30000</v>
      </c>
      <c r="E89" s="174"/>
      <c r="F89" s="175"/>
      <c r="G89" s="177"/>
      <c r="H89" s="175"/>
      <c r="I89" s="175"/>
      <c r="J89" s="176"/>
      <c r="K89" s="167"/>
      <c r="L89" s="167"/>
      <c r="M89" s="167"/>
      <c r="N89" s="167"/>
    </row>
    <row r="90" ht="26.25" customHeight="1">
      <c r="A90" s="163">
        <f>IFERROR(__xludf.DUMMYFUNCTION("""COMPUTED_VALUE"""),46065.0)</f>
        <v>46065</v>
      </c>
      <c r="B90" s="164" t="str">
        <f>IFERROR(__xludf.DUMMYFUNCTION("""COMPUTED_VALUE"""),"مصطفى عبد الخالق ")</f>
        <v>مصطفى عبد الخالق </v>
      </c>
      <c r="C90" s="165">
        <f>IFERROR(__xludf.DUMMYFUNCTION("""COMPUTED_VALUE"""),80000.0)</f>
        <v>80000</v>
      </c>
      <c r="E90" s="174"/>
      <c r="F90" s="175"/>
      <c r="G90" s="177"/>
      <c r="H90" s="175"/>
      <c r="I90" s="175"/>
      <c r="J90" s="176"/>
      <c r="K90" s="167"/>
      <c r="L90" s="167"/>
      <c r="M90" s="167"/>
      <c r="N90" s="167"/>
    </row>
    <row r="91" ht="26.25" customHeight="1">
      <c r="A91" s="163">
        <f>IFERROR(__xludf.DUMMYFUNCTION("""COMPUTED_VALUE"""),46065.0)</f>
        <v>46065</v>
      </c>
      <c r="B91" s="170" t="str">
        <f>IFERROR(__xludf.DUMMYFUNCTION("""COMPUTED_VALUE"""),"يوسف احمد")</f>
        <v>يوسف احمد</v>
      </c>
      <c r="C91" s="165">
        <f>IFERROR(__xludf.DUMMYFUNCTION("""COMPUTED_VALUE"""),5000.0)</f>
        <v>5000</v>
      </c>
      <c r="E91" s="174"/>
      <c r="F91" s="175"/>
      <c r="G91" s="177"/>
      <c r="H91" s="175"/>
      <c r="I91" s="175"/>
      <c r="J91" s="176"/>
      <c r="K91" s="167"/>
      <c r="L91" s="167"/>
      <c r="M91" s="167"/>
      <c r="N91" s="167"/>
    </row>
    <row r="92" ht="26.25" customHeight="1">
      <c r="A92" s="163">
        <f>IFERROR(__xludf.DUMMYFUNCTION("""COMPUTED_VALUE"""),46065.0)</f>
        <v>46065</v>
      </c>
      <c r="B92" s="164" t="str">
        <f>IFERROR(__xludf.DUMMYFUNCTION("""COMPUTED_VALUE"""),"حيدر يافوز")</f>
        <v>حيدر يافوز</v>
      </c>
      <c r="C92" s="165">
        <f>IFERROR(__xludf.DUMMYFUNCTION("""COMPUTED_VALUE"""),10000.0)</f>
        <v>10000</v>
      </c>
      <c r="E92" s="174"/>
      <c r="F92" s="175"/>
      <c r="G92" s="177"/>
      <c r="H92" s="175"/>
      <c r="I92" s="175"/>
      <c r="J92" s="176"/>
      <c r="K92" s="167"/>
      <c r="L92" s="167"/>
      <c r="M92" s="167"/>
      <c r="N92" s="167"/>
    </row>
    <row r="93" ht="26.25" customHeight="1">
      <c r="A93" s="163">
        <f>IFERROR(__xludf.DUMMYFUNCTION("""COMPUTED_VALUE"""),46068.0)</f>
        <v>46068</v>
      </c>
      <c r="B93" s="164" t="str">
        <f>IFERROR(__xludf.DUMMYFUNCTION("""COMPUTED_VALUE"""),"حسين سالم")</f>
        <v>حسين سالم</v>
      </c>
      <c r="C93" s="165">
        <f>IFERROR(__xludf.DUMMYFUNCTION("""COMPUTED_VALUE"""),60000.0)</f>
        <v>60000</v>
      </c>
      <c r="E93" s="174"/>
      <c r="F93" s="175"/>
      <c r="G93" s="177"/>
      <c r="H93" s="175"/>
      <c r="I93" s="175"/>
      <c r="J93" s="176"/>
      <c r="K93" s="167"/>
      <c r="L93" s="167"/>
      <c r="M93" s="167"/>
      <c r="N93" s="167"/>
    </row>
    <row r="94" ht="26.25" customHeight="1">
      <c r="A94" s="163">
        <f>IFERROR(__xludf.DUMMYFUNCTION("""COMPUTED_VALUE"""),46068.0)</f>
        <v>46068</v>
      </c>
      <c r="B94" s="164" t="str">
        <f>IFERROR(__xludf.DUMMYFUNCTION("""COMPUTED_VALUE"""),"حسين سالم")</f>
        <v>حسين سالم</v>
      </c>
      <c r="C94" s="165">
        <f>IFERROR(__xludf.DUMMYFUNCTION("""COMPUTED_VALUE"""),7000.0)</f>
        <v>7000</v>
      </c>
      <c r="E94" s="174"/>
      <c r="F94" s="175"/>
      <c r="G94" s="177"/>
      <c r="H94" s="175"/>
      <c r="I94" s="175"/>
      <c r="J94" s="176"/>
      <c r="K94" s="167"/>
      <c r="L94" s="167"/>
      <c r="M94" s="167"/>
      <c r="N94" s="167"/>
    </row>
    <row r="95" ht="26.25" customHeight="1">
      <c r="A95" s="163">
        <f>IFERROR(__xludf.DUMMYFUNCTION("""COMPUTED_VALUE"""),46068.0)</f>
        <v>46068</v>
      </c>
      <c r="B95" s="170" t="str">
        <f>IFERROR(__xludf.DUMMYFUNCTION("""COMPUTED_VALUE"""),"حيدر محمد")</f>
        <v>حيدر محمد</v>
      </c>
      <c r="C95" s="165">
        <f>IFERROR(__xludf.DUMMYFUNCTION("""COMPUTED_VALUE"""),5000.0)</f>
        <v>5000</v>
      </c>
      <c r="E95" s="174"/>
      <c r="F95" s="175"/>
      <c r="G95" s="177"/>
      <c r="H95" s="175"/>
      <c r="I95" s="175"/>
      <c r="J95" s="176"/>
      <c r="K95" s="167"/>
      <c r="L95" s="167"/>
      <c r="M95" s="167"/>
      <c r="N95" s="167"/>
    </row>
    <row r="96" ht="26.25" customHeight="1">
      <c r="A96" s="163">
        <f>IFERROR(__xludf.DUMMYFUNCTION("""COMPUTED_VALUE"""),46068.0)</f>
        <v>46068</v>
      </c>
      <c r="B96" s="170" t="str">
        <f>IFERROR(__xludf.DUMMYFUNCTION("""COMPUTED_VALUE"""),"حيدر محمد")</f>
        <v>حيدر محمد</v>
      </c>
      <c r="C96" s="165">
        <f>IFERROR(__xludf.DUMMYFUNCTION("""COMPUTED_VALUE"""),2000.0)</f>
        <v>2000</v>
      </c>
      <c r="E96" s="174"/>
      <c r="F96" s="175"/>
      <c r="G96" s="177"/>
      <c r="H96" s="175"/>
      <c r="I96" s="175"/>
      <c r="J96" s="176"/>
      <c r="K96" s="167"/>
      <c r="L96" s="167"/>
      <c r="M96" s="167"/>
      <c r="N96" s="167"/>
    </row>
    <row r="97" ht="26.25" customHeight="1">
      <c r="A97" s="163">
        <f>IFERROR(__xludf.DUMMYFUNCTION("""COMPUTED_VALUE"""),46068.0)</f>
        <v>46068</v>
      </c>
      <c r="B97" s="170" t="str">
        <f>IFERROR(__xludf.DUMMYFUNCTION("""COMPUTED_VALUE"""),"عبدالله هاشم")</f>
        <v>عبدالله هاشم</v>
      </c>
      <c r="C97" s="165">
        <f>IFERROR(__xludf.DUMMYFUNCTION("""COMPUTED_VALUE"""),5000.0)</f>
        <v>5000</v>
      </c>
      <c r="E97" s="174"/>
      <c r="F97" s="175"/>
      <c r="G97" s="177"/>
      <c r="H97" s="175"/>
      <c r="I97" s="175"/>
      <c r="J97" s="176"/>
      <c r="K97" s="167"/>
      <c r="L97" s="167"/>
      <c r="M97" s="167"/>
      <c r="N97" s="167"/>
    </row>
    <row r="98" ht="26.25" customHeight="1">
      <c r="A98" s="163">
        <f>IFERROR(__xludf.DUMMYFUNCTION("""COMPUTED_VALUE"""),46068.0)</f>
        <v>46068</v>
      </c>
      <c r="B98" s="170" t="str">
        <f>IFERROR(__xludf.DUMMYFUNCTION("""COMPUTED_VALUE"""),"طعام")</f>
        <v>طعام</v>
      </c>
      <c r="C98" s="165">
        <f>IFERROR(__xludf.DUMMYFUNCTION("""COMPUTED_VALUE"""),20000.0)</f>
        <v>20000</v>
      </c>
      <c r="E98" s="174"/>
      <c r="F98" s="175"/>
      <c r="G98" s="177"/>
      <c r="H98" s="175"/>
      <c r="I98" s="175"/>
      <c r="J98" s="176"/>
      <c r="K98" s="167"/>
      <c r="L98" s="167"/>
      <c r="M98" s="167"/>
      <c r="N98" s="167"/>
    </row>
    <row r="99" ht="26.25" customHeight="1">
      <c r="A99" s="163">
        <f>IFERROR(__xludf.DUMMYFUNCTION("""COMPUTED_VALUE"""),46068.0)</f>
        <v>46068</v>
      </c>
      <c r="B99" s="170" t="str">
        <f>IFERROR(__xludf.DUMMYFUNCTION("""COMPUTED_VALUE"""),"طعام")</f>
        <v>طعام</v>
      </c>
      <c r="C99" s="165">
        <f>IFERROR(__xludf.DUMMYFUNCTION("""COMPUTED_VALUE"""),70000.0)</f>
        <v>70000</v>
      </c>
      <c r="E99" s="174"/>
      <c r="F99" s="175"/>
      <c r="G99" s="177"/>
      <c r="H99" s="175"/>
      <c r="I99" s="175"/>
      <c r="J99" s="176"/>
      <c r="K99" s="167"/>
      <c r="L99" s="167"/>
      <c r="M99" s="167"/>
      <c r="N99" s="167"/>
    </row>
    <row r="100" ht="26.25" customHeight="1">
      <c r="A100" s="163">
        <f>IFERROR(__xludf.DUMMYFUNCTION("""COMPUTED_VALUE"""),46068.0)</f>
        <v>46068</v>
      </c>
      <c r="B100" s="170" t="str">
        <f>IFERROR(__xludf.DUMMYFUNCTION("""COMPUTED_VALUE"""),"عبدالله هاشم")</f>
        <v>عبدالله هاشم</v>
      </c>
      <c r="C100" s="165">
        <f>IFERROR(__xludf.DUMMYFUNCTION("""COMPUTED_VALUE"""),20000.0)</f>
        <v>20000</v>
      </c>
      <c r="E100" s="174"/>
      <c r="F100" s="175"/>
      <c r="G100" s="177"/>
      <c r="H100" s="175"/>
      <c r="I100" s="175"/>
      <c r="J100" s="176"/>
      <c r="K100" s="167"/>
      <c r="L100" s="167"/>
      <c r="M100" s="167"/>
      <c r="N100" s="167"/>
    </row>
    <row r="101" ht="26.25" customHeight="1">
      <c r="A101" s="163">
        <f>IFERROR(__xludf.DUMMYFUNCTION("""COMPUTED_VALUE"""),46068.0)</f>
        <v>46068</v>
      </c>
      <c r="B101" s="170" t="str">
        <f>IFERROR(__xludf.DUMMYFUNCTION("""COMPUTED_VALUE"""),"يوسف احمد")</f>
        <v>يوسف احمد</v>
      </c>
      <c r="C101" s="165">
        <f>IFERROR(__xludf.DUMMYFUNCTION("""COMPUTED_VALUE"""),20000.0)</f>
        <v>20000</v>
      </c>
      <c r="E101" s="174"/>
      <c r="F101" s="175"/>
      <c r="G101" s="177"/>
      <c r="H101" s="175"/>
      <c r="I101" s="175"/>
      <c r="J101" s="176"/>
      <c r="K101" s="167"/>
      <c r="L101" s="167"/>
      <c r="M101" s="167"/>
      <c r="N101" s="167"/>
    </row>
    <row r="102" ht="26.25" customHeight="1">
      <c r="A102" s="163">
        <f>IFERROR(__xludf.DUMMYFUNCTION("""COMPUTED_VALUE"""),46068.0)</f>
        <v>46068</v>
      </c>
      <c r="B102" s="173" t="str">
        <f>IFERROR(__xludf.DUMMYFUNCTION("""COMPUTED_VALUE"""),"خضر عبد الخالق")</f>
        <v>خضر عبد الخالق</v>
      </c>
      <c r="C102" s="165">
        <f>IFERROR(__xludf.DUMMYFUNCTION("""COMPUTED_VALUE"""),3000.0)</f>
        <v>3000</v>
      </c>
      <c r="E102" s="174"/>
      <c r="F102" s="175"/>
      <c r="G102" s="177"/>
      <c r="H102" s="175"/>
      <c r="I102" s="175"/>
      <c r="J102" s="176"/>
      <c r="K102" s="167"/>
      <c r="L102" s="167"/>
      <c r="M102" s="167"/>
      <c r="N102" s="167"/>
    </row>
    <row r="103" ht="26.25" customHeight="1">
      <c r="A103" s="163">
        <f>IFERROR(__xludf.DUMMYFUNCTION("""COMPUTED_VALUE"""),46069.0)</f>
        <v>46069</v>
      </c>
      <c r="B103" s="164" t="str">
        <f>IFERROR(__xludf.DUMMYFUNCTION("""COMPUTED_VALUE"""),"حسين سالم")</f>
        <v>حسين سالم</v>
      </c>
      <c r="C103" s="165">
        <f>IFERROR(__xludf.DUMMYFUNCTION("""COMPUTED_VALUE"""),300000.0)</f>
        <v>300000</v>
      </c>
      <c r="E103" s="174"/>
      <c r="F103" s="175"/>
      <c r="G103" s="177"/>
      <c r="H103" s="175"/>
      <c r="I103" s="175"/>
      <c r="J103" s="176"/>
      <c r="K103" s="167"/>
      <c r="L103" s="167"/>
      <c r="M103" s="167"/>
      <c r="N103" s="167"/>
    </row>
    <row r="104" ht="26.25" customHeight="1">
      <c r="A104" s="163">
        <f>IFERROR(__xludf.DUMMYFUNCTION("""COMPUTED_VALUE"""),46069.0)</f>
        <v>46069</v>
      </c>
      <c r="B104" s="170" t="str">
        <f>IFERROR(__xludf.DUMMYFUNCTION("""COMPUTED_VALUE"""),"محمد حسين الحداد")</f>
        <v>محمد حسين الحداد</v>
      </c>
      <c r="C104" s="165">
        <f>IFERROR(__xludf.DUMMYFUNCTION("""COMPUTED_VALUE"""),5000.0)</f>
        <v>5000</v>
      </c>
      <c r="E104" s="174"/>
      <c r="F104" s="175"/>
      <c r="G104" s="177"/>
      <c r="H104" s="175"/>
      <c r="I104" s="175"/>
      <c r="J104" s="176"/>
      <c r="K104" s="167"/>
      <c r="L104" s="167"/>
      <c r="M104" s="167"/>
      <c r="N104" s="167"/>
    </row>
    <row r="105" ht="26.25" customHeight="1">
      <c r="A105" s="163">
        <f>IFERROR(__xludf.DUMMYFUNCTION("""COMPUTED_VALUE"""),46070.0)</f>
        <v>46070</v>
      </c>
      <c r="B105" s="170" t="str">
        <f>IFERROR(__xludf.DUMMYFUNCTION("""COMPUTED_VALUE"""),"حيدر محمد")</f>
        <v>حيدر محمد</v>
      </c>
      <c r="C105" s="165">
        <f>IFERROR(__xludf.DUMMYFUNCTION("""COMPUTED_VALUE"""),25000.0)</f>
        <v>25000</v>
      </c>
      <c r="E105" s="174"/>
      <c r="F105" s="175"/>
      <c r="G105" s="177"/>
      <c r="H105" s="175"/>
      <c r="I105" s="175"/>
      <c r="J105" s="176"/>
      <c r="K105" s="167"/>
      <c r="L105" s="167"/>
      <c r="M105" s="167"/>
      <c r="N105" s="167"/>
    </row>
    <row r="106" ht="26.25" customHeight="1">
      <c r="A106" s="163">
        <f>IFERROR(__xludf.DUMMYFUNCTION("""COMPUTED_VALUE"""),46070.0)</f>
        <v>46070</v>
      </c>
      <c r="B106" s="170" t="str">
        <f>IFERROR(__xludf.DUMMYFUNCTION("""COMPUTED_VALUE"""),"طعام")</f>
        <v>طعام</v>
      </c>
      <c r="C106" s="165">
        <f>IFERROR(__xludf.DUMMYFUNCTION("""COMPUTED_VALUE"""),20000.0)</f>
        <v>20000</v>
      </c>
      <c r="E106" s="174"/>
      <c r="F106" s="175"/>
      <c r="G106" s="177"/>
      <c r="H106" s="175"/>
      <c r="I106" s="175"/>
      <c r="J106" s="176"/>
      <c r="K106" s="167"/>
      <c r="L106" s="167"/>
      <c r="M106" s="167"/>
      <c r="N106" s="167"/>
    </row>
    <row r="107" ht="26.25" customHeight="1">
      <c r="A107" s="163">
        <f>IFERROR(__xludf.DUMMYFUNCTION("""COMPUTED_VALUE"""),46070.0)</f>
        <v>46070</v>
      </c>
      <c r="B107" s="170" t="str">
        <f>IFERROR(__xludf.DUMMYFUNCTION("""COMPUTED_VALUE"""),"طعام")</f>
        <v>طعام</v>
      </c>
      <c r="C107" s="165">
        <f>IFERROR(__xludf.DUMMYFUNCTION("""COMPUTED_VALUE"""),45000.0)</f>
        <v>45000</v>
      </c>
      <c r="E107" s="174"/>
      <c r="F107" s="175"/>
      <c r="G107" s="177"/>
      <c r="H107" s="175"/>
      <c r="I107" s="175"/>
      <c r="J107" s="176"/>
      <c r="K107" s="167"/>
      <c r="L107" s="167"/>
      <c r="M107" s="167"/>
      <c r="N107" s="167"/>
    </row>
    <row r="108" ht="26.25" customHeight="1">
      <c r="A108" s="163">
        <f>IFERROR(__xludf.DUMMYFUNCTION("""COMPUTED_VALUE"""),46070.0)</f>
        <v>46070</v>
      </c>
      <c r="B108" s="164" t="str">
        <f>IFERROR(__xludf.DUMMYFUNCTION("""COMPUTED_VALUE"""),"حيدر يافوز")</f>
        <v>حيدر يافوز</v>
      </c>
      <c r="C108" s="165">
        <f>IFERROR(__xludf.DUMMYFUNCTION("""COMPUTED_VALUE"""),50000.0)</f>
        <v>50000</v>
      </c>
      <c r="E108" s="174"/>
      <c r="F108" s="175"/>
      <c r="G108" s="177"/>
      <c r="H108" s="175"/>
      <c r="I108" s="175"/>
      <c r="J108" s="176"/>
      <c r="K108" s="167"/>
      <c r="L108" s="167"/>
      <c r="M108" s="167"/>
      <c r="N108" s="167"/>
    </row>
    <row r="109" ht="26.25" customHeight="1">
      <c r="A109" s="163">
        <f>IFERROR(__xludf.DUMMYFUNCTION("""COMPUTED_VALUE"""),46071.0)</f>
        <v>46071</v>
      </c>
      <c r="B109" s="170" t="str">
        <f>IFERROR(__xludf.DUMMYFUNCTION("""COMPUTED_VALUE"""),"حيدر محمد")</f>
        <v>حيدر محمد</v>
      </c>
      <c r="C109" s="165">
        <f>IFERROR(__xludf.DUMMYFUNCTION("""COMPUTED_VALUE"""),40000.0)</f>
        <v>40000</v>
      </c>
      <c r="E109" s="174"/>
      <c r="F109" s="175"/>
      <c r="G109" s="177"/>
      <c r="H109" s="175"/>
      <c r="I109" s="175"/>
      <c r="J109" s="176"/>
      <c r="K109" s="167"/>
      <c r="L109" s="167"/>
      <c r="M109" s="167"/>
      <c r="N109" s="167"/>
    </row>
    <row r="110" ht="26.25" customHeight="1">
      <c r="A110" s="163">
        <f>IFERROR(__xludf.DUMMYFUNCTION("""COMPUTED_VALUE"""),46071.0)</f>
        <v>46071</v>
      </c>
      <c r="B110" s="170" t="str">
        <f>IFERROR(__xludf.DUMMYFUNCTION("""COMPUTED_VALUE"""),"سجاد")</f>
        <v>سجاد</v>
      </c>
      <c r="C110" s="165">
        <f>IFERROR(__xludf.DUMMYFUNCTION("""COMPUTED_VALUE"""),30000.0)</f>
        <v>30000</v>
      </c>
      <c r="E110" s="174"/>
      <c r="F110" s="175"/>
      <c r="G110" s="177"/>
      <c r="H110" s="175"/>
      <c r="I110" s="175"/>
      <c r="J110" s="176"/>
      <c r="K110" s="167"/>
      <c r="L110" s="167"/>
      <c r="M110" s="167"/>
      <c r="N110" s="167"/>
    </row>
    <row r="111" ht="26.25" customHeight="1">
      <c r="A111" s="163">
        <f>IFERROR(__xludf.DUMMYFUNCTION("""COMPUTED_VALUE"""),46071.0)</f>
        <v>46071</v>
      </c>
      <c r="B111" s="170" t="str">
        <f>IFERROR(__xludf.DUMMYFUNCTION("""COMPUTED_VALUE"""),"يوسف احمد")</f>
        <v>يوسف احمد</v>
      </c>
      <c r="C111" s="165">
        <f>IFERROR(__xludf.DUMMYFUNCTION("""COMPUTED_VALUE"""),2000.0)</f>
        <v>2000</v>
      </c>
      <c r="E111" s="174"/>
      <c r="F111" s="175"/>
      <c r="G111" s="177"/>
      <c r="H111" s="175"/>
      <c r="I111" s="175"/>
      <c r="J111" s="176"/>
      <c r="K111" s="167"/>
      <c r="L111" s="167"/>
      <c r="M111" s="167"/>
      <c r="N111" s="167"/>
    </row>
    <row r="112" ht="26.25" customHeight="1">
      <c r="A112" s="163">
        <f>IFERROR(__xludf.DUMMYFUNCTION("""COMPUTED_VALUE"""),46071.0)</f>
        <v>46071</v>
      </c>
      <c r="B112" s="173" t="str">
        <f>IFERROR(__xludf.DUMMYFUNCTION("""COMPUTED_VALUE"""),"خضر عبد الخالق")</f>
        <v>خضر عبد الخالق</v>
      </c>
      <c r="C112" s="165">
        <f>IFERROR(__xludf.DUMMYFUNCTION("""COMPUTED_VALUE"""),10000.0)</f>
        <v>10000</v>
      </c>
      <c r="E112" s="174"/>
      <c r="F112" s="175"/>
      <c r="G112" s="177"/>
      <c r="H112" s="175"/>
      <c r="I112" s="175"/>
      <c r="J112" s="176"/>
      <c r="K112" s="167"/>
      <c r="L112" s="167"/>
      <c r="M112" s="167"/>
      <c r="N112" s="167"/>
    </row>
    <row r="113" ht="26.25" customHeight="1">
      <c r="A113" s="163">
        <f>IFERROR(__xludf.DUMMYFUNCTION("""COMPUTED_VALUE"""),46072.0)</f>
        <v>46072</v>
      </c>
      <c r="B113" s="170" t="str">
        <f>IFERROR(__xludf.DUMMYFUNCTION("""COMPUTED_VALUE"""),"سجاد")</f>
        <v>سجاد</v>
      </c>
      <c r="C113" s="165">
        <f>IFERROR(__xludf.DUMMYFUNCTION("""COMPUTED_VALUE"""),2000.0)</f>
        <v>2000</v>
      </c>
      <c r="E113" s="174"/>
      <c r="F113" s="175"/>
      <c r="G113" s="177"/>
      <c r="H113" s="175"/>
      <c r="I113" s="175"/>
      <c r="J113" s="176"/>
      <c r="K113" s="167"/>
      <c r="L113" s="167"/>
      <c r="M113" s="167"/>
      <c r="N113" s="167"/>
    </row>
    <row r="114" ht="26.25" customHeight="1">
      <c r="A114" s="163">
        <f>IFERROR(__xludf.DUMMYFUNCTION("""COMPUTED_VALUE"""),46072.0)</f>
        <v>46072</v>
      </c>
      <c r="B114" s="170" t="str">
        <f>IFERROR(__xludf.DUMMYFUNCTION("""COMPUTED_VALUE"""),"عبدالله هاشم")</f>
        <v>عبدالله هاشم</v>
      </c>
      <c r="C114" s="165">
        <f>IFERROR(__xludf.DUMMYFUNCTION("""COMPUTED_VALUE"""),100000.0)</f>
        <v>100000</v>
      </c>
      <c r="E114" s="174"/>
      <c r="F114" s="175"/>
      <c r="G114" s="177"/>
      <c r="H114" s="175"/>
      <c r="I114" s="175"/>
      <c r="J114" s="176"/>
      <c r="K114" s="167"/>
      <c r="L114" s="167"/>
      <c r="M114" s="167"/>
      <c r="N114" s="167"/>
    </row>
    <row r="115" ht="26.25" customHeight="1">
      <c r="A115" s="163">
        <f>IFERROR(__xludf.DUMMYFUNCTION("""COMPUTED_VALUE"""),46072.0)</f>
        <v>46072</v>
      </c>
      <c r="B115" s="170" t="str">
        <f>IFERROR(__xludf.DUMMYFUNCTION("""COMPUTED_VALUE"""),"علي عارف")</f>
        <v>علي عارف</v>
      </c>
      <c r="C115" s="165">
        <f>IFERROR(__xludf.DUMMYFUNCTION("""COMPUTED_VALUE"""),50000.0)</f>
        <v>50000</v>
      </c>
      <c r="E115" s="174"/>
      <c r="F115" s="175"/>
      <c r="G115" s="177"/>
      <c r="H115" s="175"/>
      <c r="I115" s="175"/>
      <c r="J115" s="176"/>
      <c r="K115" s="167"/>
      <c r="L115" s="167"/>
      <c r="M115" s="167"/>
      <c r="N115" s="167"/>
    </row>
    <row r="116" ht="26.25" customHeight="1">
      <c r="A116" s="163">
        <f>IFERROR(__xludf.DUMMYFUNCTION("""COMPUTED_VALUE"""),46074.0)</f>
        <v>46074</v>
      </c>
      <c r="B116" s="170" t="str">
        <f>IFERROR(__xludf.DUMMYFUNCTION("""COMPUTED_VALUE"""),"عبدالله هاشم")</f>
        <v>عبدالله هاشم</v>
      </c>
      <c r="C116" s="165">
        <f>IFERROR(__xludf.DUMMYFUNCTION("""COMPUTED_VALUE"""),10000.0)</f>
        <v>10000</v>
      </c>
      <c r="E116" s="174"/>
      <c r="F116" s="175"/>
      <c r="G116" s="177"/>
      <c r="H116" s="175"/>
      <c r="I116" s="175"/>
      <c r="J116" s="176"/>
      <c r="K116" s="167"/>
      <c r="L116" s="167"/>
      <c r="M116" s="167"/>
      <c r="N116" s="167"/>
    </row>
    <row r="117" ht="26.25" customHeight="1">
      <c r="A117" s="163">
        <f>IFERROR(__xludf.DUMMYFUNCTION("""COMPUTED_VALUE"""),46074.0)</f>
        <v>46074</v>
      </c>
      <c r="B117" s="170" t="str">
        <f>IFERROR(__xludf.DUMMYFUNCTION("""COMPUTED_VALUE"""),"محمد حسين الحداد")</f>
        <v>محمد حسين الحداد</v>
      </c>
      <c r="C117" s="165">
        <f>IFERROR(__xludf.DUMMYFUNCTION("""COMPUTED_VALUE"""),75000.0)</f>
        <v>75000</v>
      </c>
      <c r="E117" s="174"/>
      <c r="F117" s="175"/>
      <c r="G117" s="177"/>
      <c r="H117" s="175"/>
      <c r="I117" s="175"/>
      <c r="J117" s="176"/>
      <c r="K117" s="167"/>
      <c r="L117" s="167"/>
      <c r="M117" s="167"/>
      <c r="N117" s="167"/>
    </row>
    <row r="118" ht="26.25" customHeight="1">
      <c r="A118" s="163">
        <f>IFERROR(__xludf.DUMMYFUNCTION("""COMPUTED_VALUE"""),46075.0)</f>
        <v>46075</v>
      </c>
      <c r="B118" s="170" t="str">
        <f>IFERROR(__xludf.DUMMYFUNCTION("""COMPUTED_VALUE"""),"حيدر محمد")</f>
        <v>حيدر محمد</v>
      </c>
      <c r="C118" s="165">
        <f>IFERROR(__xludf.DUMMYFUNCTION("""COMPUTED_VALUE"""),10000.0)</f>
        <v>10000</v>
      </c>
      <c r="E118" s="174"/>
      <c r="F118" s="175"/>
      <c r="G118" s="177"/>
      <c r="H118" s="175"/>
      <c r="I118" s="175"/>
      <c r="J118" s="176"/>
      <c r="K118" s="167"/>
      <c r="L118" s="167"/>
      <c r="M118" s="167"/>
      <c r="N118" s="167"/>
    </row>
    <row r="119" ht="26.25" customHeight="1">
      <c r="A119" s="163">
        <f>IFERROR(__xludf.DUMMYFUNCTION("""COMPUTED_VALUE"""),46075.0)</f>
        <v>46075</v>
      </c>
      <c r="B119" s="170" t="str">
        <f>IFERROR(__xludf.DUMMYFUNCTION("""COMPUTED_VALUE"""),"حيدر محمد")</f>
        <v>حيدر محمد</v>
      </c>
      <c r="C119" s="165">
        <f>IFERROR(__xludf.DUMMYFUNCTION("""COMPUTED_VALUE"""),8000.0)</f>
        <v>8000</v>
      </c>
      <c r="E119" s="174"/>
      <c r="F119" s="175"/>
      <c r="G119" s="177"/>
      <c r="H119" s="175"/>
      <c r="I119" s="175"/>
      <c r="J119" s="176"/>
      <c r="K119" s="167"/>
      <c r="L119" s="167"/>
      <c r="M119" s="167"/>
      <c r="N119" s="167"/>
    </row>
    <row r="120" ht="26.25" customHeight="1">
      <c r="A120" s="163">
        <f>IFERROR(__xludf.DUMMYFUNCTION("""COMPUTED_VALUE"""),46075.0)</f>
        <v>46075</v>
      </c>
      <c r="B120" s="170" t="str">
        <f>IFERROR(__xludf.DUMMYFUNCTION("""COMPUTED_VALUE"""),"حيدر يافوز")</f>
        <v>حيدر يافوز</v>
      </c>
      <c r="C120" s="165">
        <f>IFERROR(__xludf.DUMMYFUNCTION("""COMPUTED_VALUE"""),11000.0)</f>
        <v>11000</v>
      </c>
      <c r="E120" s="174"/>
      <c r="F120" s="175"/>
      <c r="G120" s="177"/>
      <c r="H120" s="175"/>
      <c r="I120" s="175"/>
      <c r="J120" s="176"/>
      <c r="K120" s="167"/>
      <c r="L120" s="167"/>
      <c r="M120" s="167"/>
      <c r="N120" s="167"/>
    </row>
    <row r="121" ht="26.25" customHeight="1">
      <c r="A121" s="163">
        <f>IFERROR(__xludf.DUMMYFUNCTION("""COMPUTED_VALUE"""),46075.0)</f>
        <v>46075</v>
      </c>
      <c r="B121" s="170" t="str">
        <f>IFERROR(__xludf.DUMMYFUNCTION("""COMPUTED_VALUE"""),"يوسف احمد")</f>
        <v>يوسف احمد</v>
      </c>
      <c r="C121" s="165">
        <f>IFERROR(__xludf.DUMMYFUNCTION("""COMPUTED_VALUE"""),10000.0)</f>
        <v>10000</v>
      </c>
      <c r="E121" s="174"/>
      <c r="F121" s="175"/>
      <c r="G121" s="177"/>
      <c r="H121" s="175"/>
      <c r="I121" s="175"/>
      <c r="J121" s="176"/>
      <c r="K121" s="167"/>
      <c r="L121" s="167"/>
      <c r="M121" s="167"/>
      <c r="N121" s="167"/>
    </row>
    <row r="122" ht="26.25" customHeight="1">
      <c r="A122" s="163">
        <f>IFERROR(__xludf.DUMMYFUNCTION("""COMPUTED_VALUE"""),46076.0)</f>
        <v>46076</v>
      </c>
      <c r="B122" s="170" t="str">
        <f>IFERROR(__xludf.DUMMYFUNCTION("""COMPUTED_VALUE"""),"حيدر محمد")</f>
        <v>حيدر محمد</v>
      </c>
      <c r="C122" s="165">
        <f>IFERROR(__xludf.DUMMYFUNCTION("""COMPUTED_VALUE"""),10000.0)</f>
        <v>10000</v>
      </c>
      <c r="E122" s="174"/>
      <c r="F122" s="175"/>
      <c r="G122" s="177"/>
      <c r="H122" s="175"/>
      <c r="I122" s="175"/>
      <c r="J122" s="176"/>
      <c r="K122" s="167"/>
      <c r="L122" s="167"/>
      <c r="M122" s="167"/>
      <c r="N122" s="167"/>
    </row>
    <row r="123" ht="26.25" customHeight="1">
      <c r="A123" s="163">
        <f>IFERROR(__xludf.DUMMYFUNCTION("""COMPUTED_VALUE"""),46076.0)</f>
        <v>46076</v>
      </c>
      <c r="B123" s="170" t="str">
        <f>IFERROR(__xludf.DUMMYFUNCTION("""COMPUTED_VALUE"""),"طعام")</f>
        <v>طعام</v>
      </c>
      <c r="C123" s="165">
        <f>IFERROR(__xludf.DUMMYFUNCTION("""COMPUTED_VALUE"""),10000.0)</f>
        <v>10000</v>
      </c>
      <c r="E123" s="174"/>
      <c r="F123" s="175"/>
      <c r="G123" s="177"/>
      <c r="H123" s="175"/>
      <c r="I123" s="175"/>
      <c r="J123" s="176"/>
      <c r="K123" s="167"/>
      <c r="L123" s="167"/>
      <c r="M123" s="167"/>
      <c r="N123" s="167"/>
    </row>
    <row r="124" ht="26.25" customHeight="1">
      <c r="A124" s="163">
        <f>IFERROR(__xludf.DUMMYFUNCTION("""COMPUTED_VALUE"""),46076.0)</f>
        <v>46076</v>
      </c>
      <c r="B124" s="170" t="str">
        <f>IFERROR(__xludf.DUMMYFUNCTION("""COMPUTED_VALUE"""),"طعام")</f>
        <v>طعام</v>
      </c>
      <c r="C124" s="165">
        <f>IFERROR(__xludf.DUMMYFUNCTION("""COMPUTED_VALUE"""),10000.0)</f>
        <v>10000</v>
      </c>
      <c r="E124" s="174"/>
      <c r="F124" s="175"/>
      <c r="G124" s="177"/>
      <c r="H124" s="175"/>
      <c r="I124" s="175"/>
      <c r="J124" s="176"/>
      <c r="K124" s="167"/>
      <c r="L124" s="167"/>
      <c r="M124" s="167"/>
      <c r="N124" s="167"/>
    </row>
    <row r="125" ht="26.25" customHeight="1">
      <c r="A125" s="163">
        <f>IFERROR(__xludf.DUMMYFUNCTION("""COMPUTED_VALUE"""),46076.0)</f>
        <v>46076</v>
      </c>
      <c r="B125" s="164" t="str">
        <f>IFERROR(__xludf.DUMMYFUNCTION("""COMPUTED_VALUE"""),"حيدر يافوز")</f>
        <v>حيدر يافوز</v>
      </c>
      <c r="C125" s="165">
        <f>IFERROR(__xludf.DUMMYFUNCTION("""COMPUTED_VALUE"""),10000.0)</f>
        <v>10000</v>
      </c>
      <c r="E125" s="174"/>
      <c r="F125" s="175"/>
      <c r="G125" s="177"/>
      <c r="H125" s="175"/>
      <c r="I125" s="175"/>
      <c r="J125" s="176"/>
      <c r="K125" s="167"/>
      <c r="L125" s="167"/>
      <c r="M125" s="167"/>
      <c r="N125" s="167"/>
    </row>
    <row r="126" ht="26.25" customHeight="1">
      <c r="A126" s="163">
        <f>IFERROR(__xludf.DUMMYFUNCTION("""COMPUTED_VALUE"""),46079.0)</f>
        <v>46079</v>
      </c>
      <c r="B126" s="170" t="str">
        <f>IFERROR(__xludf.DUMMYFUNCTION("""COMPUTED_VALUE"""),"حيدر يافوز")</f>
        <v>حيدر يافوز</v>
      </c>
      <c r="C126" s="165">
        <f>IFERROR(__xludf.DUMMYFUNCTION("""COMPUTED_VALUE"""),20000.0)</f>
        <v>20000</v>
      </c>
      <c r="E126" s="174"/>
      <c r="F126" s="175"/>
      <c r="G126" s="177"/>
      <c r="H126" s="175"/>
      <c r="I126" s="175"/>
      <c r="J126" s="176"/>
      <c r="K126" s="167"/>
      <c r="L126" s="167"/>
      <c r="M126" s="167"/>
      <c r="N126" s="167"/>
    </row>
    <row r="127" ht="26.25" customHeight="1">
      <c r="A127" s="163">
        <f>IFERROR(__xludf.DUMMYFUNCTION("""COMPUTED_VALUE"""),46081.0)</f>
        <v>46081</v>
      </c>
      <c r="B127" s="170" t="str">
        <f>IFERROR(__xludf.DUMMYFUNCTION("""COMPUTED_VALUE"""),"حيدر المحاسب")</f>
        <v>حيدر المحاسب</v>
      </c>
      <c r="C127" s="165">
        <f>IFERROR(__xludf.DUMMYFUNCTION("""COMPUTED_VALUE"""),50000.0)</f>
        <v>50000</v>
      </c>
      <c r="E127" s="174"/>
      <c r="F127" s="175"/>
      <c r="G127" s="177"/>
      <c r="H127" s="175"/>
      <c r="I127" s="175"/>
      <c r="J127" s="176"/>
      <c r="K127" s="167"/>
      <c r="L127" s="167"/>
      <c r="M127" s="167"/>
      <c r="N127" s="167"/>
    </row>
    <row r="128" ht="26.25" customHeight="1">
      <c r="A128" s="163">
        <f>IFERROR(__xludf.DUMMYFUNCTION("""COMPUTED_VALUE"""),46082.0)</f>
        <v>46082</v>
      </c>
      <c r="B128" s="170" t="str">
        <f>IFERROR(__xludf.DUMMYFUNCTION("""COMPUTED_VALUE"""),"حيدر يافوز")</f>
        <v>حيدر يافوز</v>
      </c>
      <c r="C128" s="165">
        <f>IFERROR(__xludf.DUMMYFUNCTION("""COMPUTED_VALUE"""),50000.0)</f>
        <v>50000</v>
      </c>
      <c r="E128" s="174"/>
      <c r="F128" s="175"/>
      <c r="G128" s="177"/>
      <c r="H128" s="175"/>
      <c r="I128" s="175"/>
      <c r="J128" s="176"/>
      <c r="K128" s="167"/>
      <c r="L128" s="167"/>
      <c r="M128" s="167"/>
      <c r="N128" s="167"/>
    </row>
    <row r="129" ht="26.25" customHeight="1">
      <c r="A129" s="163">
        <f>IFERROR(__xludf.DUMMYFUNCTION("""COMPUTED_VALUE"""),46082.0)</f>
        <v>46082</v>
      </c>
      <c r="B129" s="170" t="str">
        <f>IFERROR(__xludf.DUMMYFUNCTION("""COMPUTED_VALUE"""),"يوسف يعقوب")</f>
        <v>يوسف يعقوب</v>
      </c>
      <c r="C129" s="165">
        <f>IFERROR(__xludf.DUMMYFUNCTION("""COMPUTED_VALUE"""),0.0)</f>
        <v>0</v>
      </c>
      <c r="E129" s="174"/>
      <c r="F129" s="175"/>
      <c r="G129" s="177"/>
      <c r="H129" s="175"/>
      <c r="I129" s="175"/>
      <c r="J129" s="176"/>
      <c r="K129" s="167"/>
      <c r="L129" s="167"/>
      <c r="M129" s="167"/>
      <c r="N129" s="167"/>
    </row>
    <row r="130" ht="26.25" customHeight="1">
      <c r="A130" s="163">
        <f>IFERROR(__xludf.DUMMYFUNCTION("""COMPUTED_VALUE"""),46083.0)</f>
        <v>46083</v>
      </c>
      <c r="B130" s="164" t="str">
        <f>IFERROR(__xludf.DUMMYFUNCTION("""COMPUTED_VALUE"""),"حسين سالم")</f>
        <v>حسين سالم</v>
      </c>
      <c r="C130" s="165">
        <f>IFERROR(__xludf.DUMMYFUNCTION("""COMPUTED_VALUE"""),3250.0)</f>
        <v>3250</v>
      </c>
      <c r="E130" s="174"/>
      <c r="F130" s="175"/>
      <c r="G130" s="177"/>
      <c r="H130" s="175"/>
      <c r="I130" s="175"/>
      <c r="J130" s="176"/>
      <c r="K130" s="167"/>
      <c r="L130" s="167"/>
      <c r="M130" s="167"/>
      <c r="N130" s="167"/>
    </row>
    <row r="131" ht="26.25" customHeight="1">
      <c r="A131" s="163">
        <f>IFERROR(__xludf.DUMMYFUNCTION("""COMPUTED_VALUE"""),46083.0)</f>
        <v>46083</v>
      </c>
      <c r="B131" s="164" t="str">
        <f>IFERROR(__xludf.DUMMYFUNCTION("""COMPUTED_VALUE"""),"حسين سالم")</f>
        <v>حسين سالم</v>
      </c>
      <c r="C131" s="165">
        <f>IFERROR(__xludf.DUMMYFUNCTION("""COMPUTED_VALUE"""),3500.0)</f>
        <v>3500</v>
      </c>
      <c r="E131" s="174"/>
      <c r="F131" s="175"/>
      <c r="G131" s="177"/>
      <c r="H131" s="175"/>
      <c r="I131" s="175"/>
      <c r="J131" s="176"/>
      <c r="K131" s="167"/>
      <c r="L131" s="167"/>
      <c r="M131" s="167"/>
      <c r="N131" s="167"/>
    </row>
    <row r="132" ht="26.25" customHeight="1">
      <c r="A132" s="163">
        <f>IFERROR(__xludf.DUMMYFUNCTION("""COMPUTED_VALUE"""),46083.0)</f>
        <v>46083</v>
      </c>
      <c r="B132" s="173" t="str">
        <f>IFERROR(__xludf.DUMMYFUNCTION("""COMPUTED_VALUE"""),"خضر عبد الخالق")</f>
        <v>خضر عبد الخالق</v>
      </c>
      <c r="C132" s="165">
        <f>IFERROR(__xludf.DUMMYFUNCTION("""COMPUTED_VALUE"""),3500.0)</f>
        <v>3500</v>
      </c>
      <c r="E132" s="174"/>
      <c r="F132" s="175"/>
      <c r="G132" s="177"/>
      <c r="H132" s="175"/>
      <c r="I132" s="175"/>
      <c r="J132" s="176"/>
      <c r="K132" s="167"/>
      <c r="L132" s="167"/>
      <c r="M132" s="167"/>
      <c r="N132" s="167"/>
    </row>
    <row r="133" ht="26.25" customHeight="1">
      <c r="A133" s="163">
        <f>IFERROR(__xludf.DUMMYFUNCTION("""COMPUTED_VALUE"""),46084.0)</f>
        <v>46084</v>
      </c>
      <c r="B133" s="164" t="str">
        <f>IFERROR(__xludf.DUMMYFUNCTION("""COMPUTED_VALUE"""),"حيدر المحاسب")</f>
        <v>حيدر المحاسب</v>
      </c>
      <c r="C133" s="165">
        <f>IFERROR(__xludf.DUMMYFUNCTION("""COMPUTED_VALUE"""),58000.0)</f>
        <v>58000</v>
      </c>
      <c r="E133" s="174"/>
      <c r="F133" s="175"/>
      <c r="G133" s="177"/>
      <c r="H133" s="175"/>
      <c r="I133" s="175"/>
      <c r="J133" s="176"/>
      <c r="K133" s="167"/>
      <c r="L133" s="167"/>
      <c r="M133" s="167"/>
      <c r="N133" s="167"/>
    </row>
    <row r="134" ht="26.25" customHeight="1">
      <c r="A134" s="163">
        <f>IFERROR(__xludf.DUMMYFUNCTION("""COMPUTED_VALUE"""),46084.0)</f>
        <v>46084</v>
      </c>
      <c r="B134" s="164" t="str">
        <f>IFERROR(__xludf.DUMMYFUNCTION("""COMPUTED_VALUE"""),"حيدر يافوز")</f>
        <v>حيدر يافوز</v>
      </c>
      <c r="C134" s="165">
        <f>IFERROR(__xludf.DUMMYFUNCTION("""COMPUTED_VALUE"""),3500.0)</f>
        <v>3500</v>
      </c>
      <c r="E134" s="174"/>
      <c r="F134" s="175"/>
      <c r="G134" s="177"/>
      <c r="H134" s="175"/>
      <c r="I134" s="175"/>
      <c r="J134" s="176"/>
      <c r="K134" s="167"/>
      <c r="L134" s="167"/>
      <c r="M134" s="167"/>
      <c r="N134" s="167"/>
    </row>
    <row r="135" ht="26.25" customHeight="1">
      <c r="A135" s="163">
        <f>IFERROR(__xludf.DUMMYFUNCTION("""COMPUTED_VALUE"""),46086.0)</f>
        <v>46086</v>
      </c>
      <c r="B135" s="173" t="str">
        <f>IFERROR(__xludf.DUMMYFUNCTION("""COMPUTED_VALUE"""),"خضر عبد الخالق")</f>
        <v>خضر عبد الخالق</v>
      </c>
      <c r="C135" s="165">
        <f>IFERROR(__xludf.DUMMYFUNCTION("""COMPUTED_VALUE"""),5000.0)</f>
        <v>5000</v>
      </c>
      <c r="E135" s="174"/>
      <c r="F135" s="175"/>
      <c r="G135" s="177"/>
      <c r="H135" s="175"/>
      <c r="I135" s="175"/>
      <c r="J135" s="176"/>
      <c r="K135" s="167"/>
      <c r="L135" s="167"/>
      <c r="M135" s="167"/>
      <c r="N135" s="167"/>
    </row>
    <row r="136" ht="26.25" customHeight="1">
      <c r="A136" s="163">
        <f>IFERROR(__xludf.DUMMYFUNCTION("""COMPUTED_VALUE"""),46090.0)</f>
        <v>46090</v>
      </c>
      <c r="B136" s="164" t="str">
        <f>IFERROR(__xludf.DUMMYFUNCTION("""COMPUTED_VALUE"""),"حسين سالم")</f>
        <v>حسين سالم</v>
      </c>
      <c r="C136" s="165">
        <f>IFERROR(__xludf.DUMMYFUNCTION("""COMPUTED_VALUE"""),5000.0)</f>
        <v>5000</v>
      </c>
      <c r="E136" s="174"/>
      <c r="F136" s="175"/>
      <c r="G136" s="177"/>
      <c r="H136" s="175"/>
      <c r="I136" s="175"/>
      <c r="J136" s="176"/>
      <c r="K136" s="167"/>
      <c r="L136" s="167"/>
      <c r="M136" s="167"/>
      <c r="N136" s="167"/>
    </row>
    <row r="137" ht="26.25" customHeight="1">
      <c r="A137" s="163">
        <f>IFERROR(__xludf.DUMMYFUNCTION("""COMPUTED_VALUE"""),46090.0)</f>
        <v>46090</v>
      </c>
      <c r="B137" s="170" t="str">
        <f>IFERROR(__xludf.DUMMYFUNCTION("""COMPUTED_VALUE"""),"طعام")</f>
        <v>طعام</v>
      </c>
      <c r="C137" s="165">
        <f>IFERROR(__xludf.DUMMYFUNCTION("""COMPUTED_VALUE"""),10000.0)</f>
        <v>10000</v>
      </c>
      <c r="E137" s="174"/>
      <c r="F137" s="175"/>
      <c r="G137" s="177"/>
      <c r="H137" s="175"/>
      <c r="I137" s="175"/>
      <c r="J137" s="176"/>
      <c r="K137" s="167"/>
      <c r="L137" s="167"/>
      <c r="M137" s="167"/>
      <c r="N137" s="167"/>
    </row>
    <row r="138" ht="26.25" customHeight="1">
      <c r="A138" s="163">
        <f>IFERROR(__xludf.DUMMYFUNCTION("""COMPUTED_VALUE"""),46091.0)</f>
        <v>46091</v>
      </c>
      <c r="B138" s="170" t="str">
        <f>IFERROR(__xludf.DUMMYFUNCTION("""COMPUTED_VALUE"""),"طعام")</f>
        <v>طعام</v>
      </c>
      <c r="C138" s="165">
        <f>IFERROR(__xludf.DUMMYFUNCTION("""COMPUTED_VALUE"""),10000.0)</f>
        <v>10000</v>
      </c>
      <c r="E138" s="174"/>
      <c r="F138" s="175"/>
      <c r="G138" s="177"/>
      <c r="H138" s="175"/>
      <c r="I138" s="175"/>
      <c r="J138" s="176"/>
      <c r="K138" s="167"/>
      <c r="L138" s="167"/>
      <c r="M138" s="167"/>
      <c r="N138" s="167"/>
    </row>
    <row r="139" ht="26.25" customHeight="1">
      <c r="A139" s="163">
        <f>IFERROR(__xludf.DUMMYFUNCTION("""COMPUTED_VALUE"""),46092.0)</f>
        <v>46092</v>
      </c>
      <c r="B139" s="164" t="str">
        <f>IFERROR(__xludf.DUMMYFUNCTION("""COMPUTED_VALUE"""),"حيدر محمد")</f>
        <v>حيدر محمد</v>
      </c>
      <c r="C139" s="165">
        <f>IFERROR(__xludf.DUMMYFUNCTION("""COMPUTED_VALUE"""),10000.0)</f>
        <v>10000</v>
      </c>
      <c r="E139" s="174"/>
      <c r="F139" s="175"/>
      <c r="G139" s="177"/>
      <c r="H139" s="175"/>
      <c r="I139" s="175"/>
      <c r="J139" s="176"/>
      <c r="K139" s="167"/>
      <c r="L139" s="167"/>
      <c r="M139" s="167"/>
      <c r="N139" s="167"/>
    </row>
    <row r="140" ht="26.25" customHeight="1">
      <c r="A140" s="163">
        <f>IFERROR(__xludf.DUMMYFUNCTION("""COMPUTED_VALUE"""),46095.0)</f>
        <v>46095</v>
      </c>
      <c r="B140" s="164" t="str">
        <f>IFERROR(__xludf.DUMMYFUNCTION("""COMPUTED_VALUE"""),"حيدر محمد")</f>
        <v>حيدر محمد</v>
      </c>
      <c r="C140" s="165">
        <f>IFERROR(__xludf.DUMMYFUNCTION("""COMPUTED_VALUE"""),80000.0)</f>
        <v>80000</v>
      </c>
      <c r="E140" s="174"/>
      <c r="F140" s="175"/>
      <c r="G140" s="177"/>
      <c r="H140" s="175"/>
      <c r="I140" s="175"/>
      <c r="J140" s="176"/>
      <c r="K140" s="167"/>
      <c r="L140" s="167"/>
      <c r="M140" s="167"/>
      <c r="N140" s="167"/>
    </row>
    <row r="141" ht="26.25" customHeight="1">
      <c r="A141" s="163">
        <f>IFERROR(__xludf.DUMMYFUNCTION("""COMPUTED_VALUE"""),46095.0)</f>
        <v>46095</v>
      </c>
      <c r="B141" s="164" t="str">
        <f>IFERROR(__xludf.DUMMYFUNCTION("""COMPUTED_VALUE"""),"حيدر يافوز")</f>
        <v>حيدر يافوز</v>
      </c>
      <c r="C141" s="165">
        <f>IFERROR(__xludf.DUMMYFUNCTION("""COMPUTED_VALUE"""),15000.0)</f>
        <v>15000</v>
      </c>
      <c r="E141" s="174"/>
      <c r="F141" s="175"/>
      <c r="G141" s="177"/>
      <c r="H141" s="175"/>
      <c r="I141" s="175"/>
      <c r="J141" s="176"/>
      <c r="K141" s="167"/>
      <c r="L141" s="167"/>
      <c r="M141" s="167"/>
      <c r="N141" s="167"/>
    </row>
    <row r="142" ht="26.25" customHeight="1">
      <c r="A142" s="178">
        <f>IFERROR(__xludf.DUMMYFUNCTION("""COMPUTED_VALUE"""),46097.0)</f>
        <v>46097</v>
      </c>
      <c r="B142" s="164" t="str">
        <f>IFERROR(__xludf.DUMMYFUNCTION("""COMPUTED_VALUE"""),"حسين سالم")</f>
        <v>حسين سالم</v>
      </c>
      <c r="C142" s="165">
        <f>IFERROR(__xludf.DUMMYFUNCTION("""COMPUTED_VALUE"""),40000.0)</f>
        <v>40000</v>
      </c>
      <c r="E142" s="174"/>
      <c r="F142" s="175"/>
      <c r="G142" s="177"/>
      <c r="H142" s="175"/>
      <c r="I142" s="175"/>
      <c r="J142" s="176"/>
      <c r="K142" s="167"/>
      <c r="L142" s="167"/>
      <c r="M142" s="167"/>
      <c r="N142" s="167"/>
    </row>
    <row r="143" ht="26.25" customHeight="1">
      <c r="A143" s="178">
        <f>IFERROR(__xludf.DUMMYFUNCTION("""COMPUTED_VALUE"""),46097.0)</f>
        <v>46097</v>
      </c>
      <c r="B143" s="164" t="str">
        <f>IFERROR(__xludf.DUMMYFUNCTION("""COMPUTED_VALUE"""),"حيدر يافوز")</f>
        <v>حيدر يافوز</v>
      </c>
      <c r="C143" s="165">
        <f>IFERROR(__xludf.DUMMYFUNCTION("""COMPUTED_VALUE"""),30000.0)</f>
        <v>30000</v>
      </c>
      <c r="E143" s="174"/>
      <c r="F143" s="175"/>
      <c r="G143" s="177"/>
      <c r="H143" s="175"/>
      <c r="I143" s="175"/>
      <c r="J143" s="176"/>
      <c r="K143" s="167"/>
      <c r="L143" s="167"/>
      <c r="M143" s="167"/>
      <c r="N143" s="167"/>
    </row>
    <row r="144" ht="26.25" customHeight="1">
      <c r="A144" s="178">
        <f>IFERROR(__xludf.DUMMYFUNCTION("""COMPUTED_VALUE"""),46098.0)</f>
        <v>46098</v>
      </c>
      <c r="B144" s="164" t="str">
        <f>IFERROR(__xludf.DUMMYFUNCTION("""COMPUTED_VALUE"""),"حسين سالم")</f>
        <v>حسين سالم</v>
      </c>
      <c r="C144" s="165">
        <f>IFERROR(__xludf.DUMMYFUNCTION("""COMPUTED_VALUE"""),55000.0)</f>
        <v>55000</v>
      </c>
      <c r="E144" s="174"/>
      <c r="F144" s="175"/>
      <c r="G144" s="177"/>
      <c r="H144" s="175"/>
      <c r="I144" s="175"/>
      <c r="J144" s="176"/>
      <c r="K144" s="167"/>
      <c r="L144" s="167"/>
      <c r="M144" s="167"/>
      <c r="N144" s="167"/>
    </row>
    <row r="145" ht="26.25" customHeight="1">
      <c r="A145" s="178">
        <f>IFERROR(__xludf.DUMMYFUNCTION("""COMPUTED_VALUE"""),46098.0)</f>
        <v>46098</v>
      </c>
      <c r="B145" s="170" t="str">
        <f>IFERROR(__xludf.DUMMYFUNCTION("""COMPUTED_VALUE"""),"طعام")</f>
        <v>طعام</v>
      </c>
      <c r="C145" s="165">
        <f>IFERROR(__xludf.DUMMYFUNCTION("""COMPUTED_VALUE"""),5000.0)</f>
        <v>5000</v>
      </c>
      <c r="E145" s="174"/>
      <c r="F145" s="175"/>
      <c r="G145" s="177"/>
      <c r="H145" s="175"/>
      <c r="I145" s="175"/>
      <c r="J145" s="176"/>
      <c r="K145" s="167"/>
      <c r="L145" s="167"/>
      <c r="M145" s="167"/>
      <c r="N145" s="167"/>
    </row>
    <row r="146" ht="26.25" customHeight="1">
      <c r="A146" s="178">
        <f>IFERROR(__xludf.DUMMYFUNCTION("""COMPUTED_VALUE"""),46100.0)</f>
        <v>46100</v>
      </c>
      <c r="B146" s="164" t="str">
        <f>IFERROR(__xludf.DUMMYFUNCTION("""COMPUTED_VALUE"""),"حسين سالم")</f>
        <v>حسين سالم</v>
      </c>
      <c r="C146" s="165">
        <f>IFERROR(__xludf.DUMMYFUNCTION("""COMPUTED_VALUE"""),100000.0)</f>
        <v>100000</v>
      </c>
      <c r="E146" s="174"/>
      <c r="F146" s="175"/>
      <c r="G146" s="177"/>
      <c r="H146" s="175"/>
      <c r="I146" s="175"/>
      <c r="J146" s="176"/>
      <c r="K146" s="167"/>
      <c r="L146" s="167"/>
      <c r="M146" s="167"/>
      <c r="N146" s="167"/>
    </row>
    <row r="147" ht="26.25" customHeight="1">
      <c r="A147" s="178">
        <f>IFERROR(__xludf.DUMMYFUNCTION("""COMPUTED_VALUE"""),46100.0)</f>
        <v>46100</v>
      </c>
      <c r="B147" s="164" t="str">
        <f>IFERROR(__xludf.DUMMYFUNCTION("""COMPUTED_VALUE"""),"حيدر محمد")</f>
        <v>حيدر محمد</v>
      </c>
      <c r="C147" s="165">
        <f>IFERROR(__xludf.DUMMYFUNCTION("""COMPUTED_VALUE"""),5000.0)</f>
        <v>5000</v>
      </c>
      <c r="E147" s="174"/>
      <c r="F147" s="175"/>
      <c r="G147" s="177"/>
      <c r="H147" s="175"/>
      <c r="I147" s="175"/>
      <c r="J147" s="176"/>
      <c r="K147" s="167"/>
      <c r="L147" s="167"/>
      <c r="M147" s="167"/>
      <c r="N147" s="167"/>
    </row>
    <row r="148" ht="26.25" customHeight="1">
      <c r="A148" s="178">
        <f>IFERROR(__xludf.DUMMYFUNCTION("""COMPUTED_VALUE"""),46100.0)</f>
        <v>46100</v>
      </c>
      <c r="B148" s="164" t="str">
        <f>IFERROR(__xludf.DUMMYFUNCTION("""COMPUTED_VALUE"""),"حيدر محمد")</f>
        <v>حيدر محمد</v>
      </c>
      <c r="C148" s="165">
        <f>IFERROR(__xludf.DUMMYFUNCTION("""COMPUTED_VALUE"""),260000.0)</f>
        <v>260000</v>
      </c>
      <c r="E148" s="174"/>
      <c r="F148" s="175"/>
      <c r="G148" s="177"/>
      <c r="H148" s="175"/>
      <c r="I148" s="175"/>
      <c r="J148" s="176"/>
      <c r="K148" s="167"/>
      <c r="L148" s="167"/>
      <c r="M148" s="167"/>
      <c r="N148" s="167"/>
    </row>
    <row r="149" ht="26.25" customHeight="1">
      <c r="A149" s="178">
        <f>IFERROR(__xludf.DUMMYFUNCTION("""COMPUTED_VALUE"""),46100.0)</f>
        <v>46100</v>
      </c>
      <c r="B149" s="164" t="str">
        <f>IFERROR(__xludf.DUMMYFUNCTION("""COMPUTED_VALUE"""),"حيدر يافوز")</f>
        <v>حيدر يافوز</v>
      </c>
      <c r="C149" s="165">
        <f>IFERROR(__xludf.DUMMYFUNCTION("""COMPUTED_VALUE"""),25000.0)</f>
        <v>25000</v>
      </c>
      <c r="E149" s="174"/>
      <c r="F149" s="175"/>
      <c r="G149" s="177"/>
      <c r="H149" s="175"/>
      <c r="I149" s="175"/>
      <c r="J149" s="176"/>
      <c r="K149" s="167"/>
      <c r="L149" s="167"/>
      <c r="M149" s="167"/>
      <c r="N149" s="167"/>
    </row>
    <row r="150" ht="26.25" customHeight="1">
      <c r="A150" s="178">
        <f>IFERROR(__xludf.DUMMYFUNCTION("""COMPUTED_VALUE"""),46100.0)</f>
        <v>46100</v>
      </c>
      <c r="B150" s="164" t="str">
        <f>IFERROR(__xludf.DUMMYFUNCTION("""COMPUTED_VALUE"""),"علي الباكستاني")</f>
        <v>علي الباكستاني</v>
      </c>
      <c r="C150" s="165">
        <f>IFERROR(__xludf.DUMMYFUNCTION("""COMPUTED_VALUE"""),10000.0)</f>
        <v>10000</v>
      </c>
      <c r="E150" s="174"/>
      <c r="F150" s="175"/>
      <c r="G150" s="177"/>
      <c r="H150" s="175"/>
      <c r="I150" s="175"/>
      <c r="J150" s="176"/>
      <c r="K150" s="167"/>
      <c r="L150" s="167"/>
      <c r="M150" s="167"/>
      <c r="N150" s="167"/>
    </row>
    <row r="151" ht="26.25" customHeight="1">
      <c r="A151" s="178">
        <f>IFERROR(__xludf.DUMMYFUNCTION("""COMPUTED_VALUE"""),46102.0)</f>
        <v>46102</v>
      </c>
      <c r="B151" s="170" t="str">
        <f>IFERROR(__xludf.DUMMYFUNCTION("""COMPUTED_VALUE"""),"طعام")</f>
        <v>طعام</v>
      </c>
      <c r="C151" s="165">
        <f>IFERROR(__xludf.DUMMYFUNCTION("""COMPUTED_VALUE"""),25000.0)</f>
        <v>25000</v>
      </c>
      <c r="E151" s="174"/>
      <c r="F151" s="175"/>
      <c r="G151" s="177"/>
      <c r="H151" s="175"/>
      <c r="I151" s="175"/>
      <c r="J151" s="176"/>
      <c r="K151" s="167"/>
      <c r="L151" s="167"/>
      <c r="M151" s="167"/>
      <c r="N151" s="167"/>
    </row>
    <row r="152" ht="26.25" customHeight="1">
      <c r="A152" s="178">
        <f>IFERROR(__xludf.DUMMYFUNCTION("""COMPUTED_VALUE"""),46102.0)</f>
        <v>46102</v>
      </c>
      <c r="B152" s="173" t="str">
        <f>IFERROR(__xludf.DUMMYFUNCTION("""COMPUTED_VALUE"""),"خضر عبد الخالق")</f>
        <v>خضر عبد الخالق</v>
      </c>
      <c r="C152" s="165">
        <f>IFERROR(__xludf.DUMMYFUNCTION("""COMPUTED_VALUE"""),40000.0)</f>
        <v>40000</v>
      </c>
      <c r="E152" s="174"/>
      <c r="F152" s="175"/>
      <c r="G152" s="177"/>
      <c r="H152" s="175"/>
      <c r="I152" s="175"/>
      <c r="J152" s="176"/>
      <c r="K152" s="167"/>
      <c r="L152" s="167"/>
      <c r="M152" s="167"/>
      <c r="N152" s="167"/>
    </row>
    <row r="153" ht="26.25" customHeight="1">
      <c r="A153" s="178">
        <f>IFERROR(__xludf.DUMMYFUNCTION("""COMPUTED_VALUE"""),46103.0)</f>
        <v>46103</v>
      </c>
      <c r="B153" s="164" t="str">
        <f>IFERROR(__xludf.DUMMYFUNCTION("""COMPUTED_VALUE"""),"حيدر يافوز")</f>
        <v>حيدر يافوز</v>
      </c>
      <c r="C153" s="165">
        <f>IFERROR(__xludf.DUMMYFUNCTION("""COMPUTED_VALUE"""),30000.0)</f>
        <v>30000</v>
      </c>
      <c r="E153" s="174"/>
      <c r="F153" s="175"/>
      <c r="G153" s="177"/>
      <c r="H153" s="175"/>
      <c r="I153" s="175"/>
      <c r="J153" s="176"/>
      <c r="K153" s="167"/>
      <c r="L153" s="167"/>
      <c r="M153" s="167"/>
      <c r="N153" s="167"/>
    </row>
    <row r="154" ht="26.25" customHeight="1">
      <c r="A154" s="178">
        <f>IFERROR(__xludf.DUMMYFUNCTION("""COMPUTED_VALUE"""),46103.0)</f>
        <v>46103</v>
      </c>
      <c r="B154" s="164" t="str">
        <f>IFERROR(__xludf.DUMMYFUNCTION("""COMPUTED_VALUE"""),"حيدر يافوز")</f>
        <v>حيدر يافوز</v>
      </c>
      <c r="C154" s="165">
        <f>IFERROR(__xludf.DUMMYFUNCTION("""COMPUTED_VALUE"""),200000.0)</f>
        <v>200000</v>
      </c>
      <c r="E154" s="174"/>
      <c r="F154" s="175"/>
      <c r="G154" s="177"/>
      <c r="H154" s="175"/>
      <c r="I154" s="175"/>
      <c r="J154" s="176"/>
      <c r="K154" s="167"/>
      <c r="L154" s="167"/>
      <c r="M154" s="167"/>
      <c r="N154" s="167"/>
    </row>
    <row r="155" ht="26.25" customHeight="1">
      <c r="A155" s="178">
        <f>IFERROR(__xludf.DUMMYFUNCTION("""COMPUTED_VALUE"""),46103.0)</f>
        <v>46103</v>
      </c>
      <c r="B155" s="164" t="str">
        <f>IFERROR(__xludf.DUMMYFUNCTION("""COMPUTED_VALUE"""),"حيدر يافوز بغداد")</f>
        <v>حيدر يافوز بغداد</v>
      </c>
      <c r="C155" s="165">
        <f>IFERROR(__xludf.DUMMYFUNCTION("""COMPUTED_VALUE"""),500000.0)</f>
        <v>500000</v>
      </c>
      <c r="E155" s="174"/>
      <c r="F155" s="175"/>
      <c r="G155" s="177"/>
      <c r="H155" s="175"/>
      <c r="I155" s="175"/>
      <c r="J155" s="176"/>
      <c r="K155" s="167"/>
      <c r="L155" s="167"/>
      <c r="M155" s="167"/>
      <c r="N155" s="167"/>
    </row>
    <row r="156" ht="26.25" customHeight="1">
      <c r="A156" s="178">
        <f>IFERROR(__xludf.DUMMYFUNCTION("""COMPUTED_VALUE"""),46103.0)</f>
        <v>46103</v>
      </c>
      <c r="B156" s="170" t="str">
        <f>IFERROR(__xludf.DUMMYFUNCTION("""COMPUTED_VALUE"""),"عبدالله هاشم")</f>
        <v>عبدالله هاشم</v>
      </c>
      <c r="C156" s="165">
        <f>IFERROR(__xludf.DUMMYFUNCTION("""COMPUTED_VALUE"""),10000.0)</f>
        <v>10000</v>
      </c>
      <c r="E156" s="174"/>
      <c r="F156" s="175"/>
      <c r="G156" s="177"/>
      <c r="H156" s="175"/>
      <c r="I156" s="175"/>
      <c r="J156" s="176"/>
      <c r="K156" s="167"/>
      <c r="L156" s="167"/>
      <c r="M156" s="167"/>
      <c r="N156" s="167"/>
    </row>
    <row r="157" ht="26.25" customHeight="1">
      <c r="A157" s="178">
        <f>IFERROR(__xludf.DUMMYFUNCTION("""COMPUTED_VALUE"""),46103.0)</f>
        <v>46103</v>
      </c>
      <c r="B157" s="170" t="str">
        <f>IFERROR(__xludf.DUMMYFUNCTION("""COMPUTED_VALUE"""),"عبدالله هاشم")</f>
        <v>عبدالله هاشم</v>
      </c>
      <c r="C157" s="165">
        <f>IFERROR(__xludf.DUMMYFUNCTION("""COMPUTED_VALUE"""),8000.0)</f>
        <v>8000</v>
      </c>
      <c r="E157" s="174"/>
      <c r="F157" s="175"/>
      <c r="G157" s="177"/>
      <c r="H157" s="175"/>
      <c r="I157" s="175"/>
      <c r="J157" s="176"/>
      <c r="K157" s="167"/>
      <c r="L157" s="167"/>
      <c r="M157" s="167"/>
      <c r="N157" s="167"/>
    </row>
    <row r="158" ht="26.25" customHeight="1">
      <c r="A158" s="178">
        <f>IFERROR(__xludf.DUMMYFUNCTION("""COMPUTED_VALUE"""),46103.0)</f>
        <v>46103</v>
      </c>
      <c r="B158" s="164" t="str">
        <f>IFERROR(__xludf.DUMMYFUNCTION("""COMPUTED_VALUE"""),"علي الباكستاني")</f>
        <v>علي الباكستاني</v>
      </c>
      <c r="C158" s="165">
        <f>IFERROR(__xludf.DUMMYFUNCTION("""COMPUTED_VALUE"""),5000.0)</f>
        <v>5000</v>
      </c>
      <c r="E158" s="174"/>
      <c r="F158" s="175"/>
      <c r="G158" s="177"/>
      <c r="H158" s="175"/>
      <c r="I158" s="175"/>
      <c r="J158" s="176"/>
      <c r="K158" s="167"/>
      <c r="L158" s="167"/>
      <c r="M158" s="167"/>
      <c r="N158" s="167"/>
    </row>
    <row r="159" ht="26.25" customHeight="1">
      <c r="A159" s="178">
        <f>IFERROR(__xludf.DUMMYFUNCTION("""COMPUTED_VALUE"""),46104.0)</f>
        <v>46104</v>
      </c>
      <c r="B159" s="164" t="str">
        <f>IFERROR(__xludf.DUMMYFUNCTION("""COMPUTED_VALUE"""),"حسين سالم")</f>
        <v>حسين سالم</v>
      </c>
      <c r="C159" s="165">
        <f>IFERROR(__xludf.DUMMYFUNCTION("""COMPUTED_VALUE"""),32000.0)</f>
        <v>32000</v>
      </c>
      <c r="E159" s="174"/>
      <c r="F159" s="175"/>
      <c r="G159" s="177"/>
      <c r="H159" s="175"/>
      <c r="I159" s="175"/>
      <c r="J159" s="176"/>
      <c r="K159" s="167"/>
      <c r="L159" s="167"/>
      <c r="M159" s="167"/>
      <c r="N159" s="167"/>
    </row>
    <row r="160" ht="26.25" customHeight="1">
      <c r="A160" s="178">
        <f>IFERROR(__xludf.DUMMYFUNCTION("""COMPUTED_VALUE"""),46104.0)</f>
        <v>46104</v>
      </c>
      <c r="B160" s="170" t="str">
        <f>IFERROR(__xludf.DUMMYFUNCTION("""COMPUTED_VALUE"""),"عبدالله هاشم")</f>
        <v>عبدالله هاشم</v>
      </c>
      <c r="C160" s="165">
        <f>IFERROR(__xludf.DUMMYFUNCTION("""COMPUTED_VALUE"""),75000.0)</f>
        <v>75000</v>
      </c>
      <c r="E160" s="174"/>
      <c r="F160" s="175"/>
      <c r="G160" s="177"/>
      <c r="H160" s="175"/>
      <c r="I160" s="175"/>
      <c r="J160" s="176"/>
      <c r="K160" s="167"/>
      <c r="L160" s="167"/>
      <c r="M160" s="167"/>
      <c r="N160" s="167"/>
    </row>
    <row r="161" ht="26.25" customHeight="1">
      <c r="A161" s="178">
        <f>IFERROR(__xludf.DUMMYFUNCTION("""COMPUTED_VALUE"""),46104.0)</f>
        <v>46104</v>
      </c>
      <c r="B161" s="170" t="str">
        <f>IFERROR(__xludf.DUMMYFUNCTION("""COMPUTED_VALUE"""),"طعام")</f>
        <v>طعام</v>
      </c>
      <c r="C161" s="165">
        <f>IFERROR(__xludf.DUMMYFUNCTION("""COMPUTED_VALUE"""),20000.0)</f>
        <v>20000</v>
      </c>
      <c r="E161" s="174"/>
      <c r="F161" s="175"/>
      <c r="G161" s="177"/>
      <c r="H161" s="175"/>
      <c r="I161" s="175"/>
      <c r="J161" s="176"/>
      <c r="K161" s="167"/>
      <c r="L161" s="167"/>
      <c r="M161" s="167"/>
      <c r="N161" s="167"/>
    </row>
    <row r="162" ht="26.25" customHeight="1">
      <c r="A162" s="178">
        <f>IFERROR(__xludf.DUMMYFUNCTION("""COMPUTED_VALUE"""),46104.0)</f>
        <v>46104</v>
      </c>
      <c r="B162" s="170" t="str">
        <f>IFERROR(__xludf.DUMMYFUNCTION("""COMPUTED_VALUE"""),"طعام")</f>
        <v>طعام</v>
      </c>
      <c r="C162" s="165">
        <f>IFERROR(__xludf.DUMMYFUNCTION("""COMPUTED_VALUE"""),3000.0)</f>
        <v>3000</v>
      </c>
      <c r="E162" s="174"/>
      <c r="F162" s="175"/>
      <c r="G162" s="177"/>
      <c r="H162" s="175"/>
      <c r="I162" s="175"/>
      <c r="J162" s="176"/>
      <c r="K162" s="167"/>
      <c r="L162" s="167"/>
      <c r="M162" s="167"/>
      <c r="N162" s="167"/>
    </row>
    <row r="163" ht="26.25" customHeight="1">
      <c r="A163" s="178">
        <f>IFERROR(__xludf.DUMMYFUNCTION("""COMPUTED_VALUE"""),46106.0)</f>
        <v>46106</v>
      </c>
      <c r="B163" s="164" t="str">
        <f>IFERROR(__xludf.DUMMYFUNCTION("""COMPUTED_VALUE"""),"حيدر محمد")</f>
        <v>حيدر محمد</v>
      </c>
      <c r="C163" s="165">
        <f>IFERROR(__xludf.DUMMYFUNCTION("""COMPUTED_VALUE"""),5000.0)</f>
        <v>5000</v>
      </c>
      <c r="E163" s="174"/>
      <c r="F163" s="175"/>
      <c r="G163" s="177"/>
      <c r="H163" s="175"/>
      <c r="I163" s="175"/>
      <c r="J163" s="176"/>
      <c r="K163" s="167"/>
      <c r="L163" s="167"/>
      <c r="M163" s="167"/>
      <c r="N163" s="167"/>
    </row>
    <row r="164" ht="26.25" customHeight="1">
      <c r="A164" s="178">
        <f>IFERROR(__xludf.DUMMYFUNCTION("""COMPUTED_VALUE"""),46106.0)</f>
        <v>46106</v>
      </c>
      <c r="B164" s="164" t="str">
        <f>IFERROR(__xludf.DUMMYFUNCTION("""COMPUTED_VALUE"""),"حيدر يافوز")</f>
        <v>حيدر يافوز</v>
      </c>
      <c r="C164" s="165">
        <f>IFERROR(__xludf.DUMMYFUNCTION("""COMPUTED_VALUE"""),50000.0)</f>
        <v>50000</v>
      </c>
      <c r="E164" s="174"/>
      <c r="F164" s="175"/>
      <c r="G164" s="177"/>
      <c r="H164" s="175"/>
      <c r="I164" s="175"/>
      <c r="J164" s="176"/>
      <c r="K164" s="167"/>
      <c r="L164" s="167"/>
      <c r="M164" s="167"/>
      <c r="N164" s="167"/>
    </row>
    <row r="165" ht="26.25" customHeight="1">
      <c r="A165" s="178">
        <f>IFERROR(__xludf.DUMMYFUNCTION("""COMPUTED_VALUE"""),46106.0)</f>
        <v>46106</v>
      </c>
      <c r="B165" s="170" t="str">
        <f>IFERROR(__xludf.DUMMYFUNCTION("""COMPUTED_VALUE"""),"عبدالله هاشم")</f>
        <v>عبدالله هاشم</v>
      </c>
      <c r="C165" s="165">
        <f>IFERROR(__xludf.DUMMYFUNCTION("""COMPUTED_VALUE"""),10000.0)</f>
        <v>10000</v>
      </c>
      <c r="E165" s="174"/>
      <c r="F165" s="175"/>
      <c r="G165" s="177"/>
      <c r="H165" s="175"/>
      <c r="I165" s="175"/>
      <c r="J165" s="176"/>
      <c r="K165" s="167"/>
      <c r="L165" s="167"/>
      <c r="M165" s="167"/>
      <c r="N165" s="167"/>
    </row>
    <row r="166" ht="26.25" customHeight="1">
      <c r="A166" s="178">
        <f>IFERROR(__xludf.DUMMYFUNCTION("""COMPUTED_VALUE"""),46106.0)</f>
        <v>46106</v>
      </c>
      <c r="B166" s="170" t="str">
        <f>IFERROR(__xludf.DUMMYFUNCTION("""COMPUTED_VALUE"""),"طعام")</f>
        <v>طعام</v>
      </c>
      <c r="C166" s="165">
        <f>IFERROR(__xludf.DUMMYFUNCTION("""COMPUTED_VALUE"""),5000.0)</f>
        <v>5000</v>
      </c>
      <c r="E166" s="174"/>
      <c r="F166" s="175"/>
      <c r="G166" s="177"/>
      <c r="H166" s="175"/>
      <c r="I166" s="175"/>
      <c r="J166" s="176"/>
      <c r="K166" s="167"/>
      <c r="L166" s="167"/>
      <c r="M166" s="167"/>
      <c r="N166" s="167"/>
    </row>
    <row r="167" ht="26.25" customHeight="1">
      <c r="A167" s="178">
        <f>IFERROR(__xludf.DUMMYFUNCTION("""COMPUTED_VALUE"""),46109.0)</f>
        <v>46109</v>
      </c>
      <c r="B167" s="164" t="str">
        <f>IFERROR(__xludf.DUMMYFUNCTION("""COMPUTED_VALUE"""),"حيدر المحاسب")</f>
        <v>حيدر المحاسب</v>
      </c>
      <c r="C167" s="165">
        <f>IFERROR(__xludf.DUMMYFUNCTION("""COMPUTED_VALUE"""),150000.0)</f>
        <v>150000</v>
      </c>
      <c r="E167" s="174"/>
      <c r="F167" s="175"/>
      <c r="G167" s="177"/>
      <c r="H167" s="175"/>
      <c r="I167" s="175"/>
      <c r="J167" s="176"/>
      <c r="K167" s="167"/>
      <c r="L167" s="167"/>
      <c r="M167" s="167"/>
      <c r="N167" s="167"/>
    </row>
    <row r="168" ht="26.25" customHeight="1">
      <c r="A168" s="178">
        <f>IFERROR(__xludf.DUMMYFUNCTION("""COMPUTED_VALUE"""),46109.0)</f>
        <v>46109</v>
      </c>
      <c r="B168" s="164" t="str">
        <f>IFERROR(__xludf.DUMMYFUNCTION("""COMPUTED_VALUE"""),"حيدر محمد")</f>
        <v>حيدر محمد</v>
      </c>
      <c r="C168" s="165">
        <f>IFERROR(__xludf.DUMMYFUNCTION("""COMPUTED_VALUE"""),50000.0)</f>
        <v>50000</v>
      </c>
      <c r="E168" s="174"/>
      <c r="F168" s="175"/>
      <c r="G168" s="177"/>
      <c r="H168" s="175"/>
      <c r="I168" s="175"/>
      <c r="J168" s="176"/>
      <c r="K168" s="167"/>
      <c r="L168" s="167"/>
      <c r="M168" s="167"/>
      <c r="N168" s="167"/>
    </row>
    <row r="169" ht="26.25" customHeight="1">
      <c r="A169" s="178">
        <f>IFERROR(__xludf.DUMMYFUNCTION("""COMPUTED_VALUE"""),46109.0)</f>
        <v>46109</v>
      </c>
      <c r="B169" s="173" t="str">
        <f>IFERROR(__xludf.DUMMYFUNCTION("""COMPUTED_VALUE"""),"خضر عبد الخالق")</f>
        <v>خضر عبد الخالق</v>
      </c>
      <c r="C169" s="165">
        <f>IFERROR(__xludf.DUMMYFUNCTION("""COMPUTED_VALUE"""),10000.0)</f>
        <v>10000</v>
      </c>
      <c r="E169" s="174"/>
      <c r="F169" s="175"/>
      <c r="G169" s="177"/>
      <c r="H169" s="175"/>
      <c r="I169" s="175"/>
      <c r="J169" s="176"/>
      <c r="K169" s="167"/>
      <c r="L169" s="167"/>
      <c r="M169" s="167"/>
      <c r="N169" s="167"/>
    </row>
    <row r="170" ht="26.25" customHeight="1">
      <c r="A170" s="178">
        <f>IFERROR(__xludf.DUMMYFUNCTION("""COMPUTED_VALUE"""),46109.0)</f>
        <v>46109</v>
      </c>
      <c r="B170" s="164" t="str">
        <f>IFERROR(__xludf.DUMMYFUNCTION("""COMPUTED_VALUE"""),"علي الباكستاني")</f>
        <v>علي الباكستاني</v>
      </c>
      <c r="C170" s="165">
        <f>IFERROR(__xludf.DUMMYFUNCTION("""COMPUTED_VALUE"""),25000.0)</f>
        <v>25000</v>
      </c>
      <c r="E170" s="174"/>
      <c r="F170" s="175"/>
      <c r="G170" s="177"/>
      <c r="H170" s="175"/>
      <c r="I170" s="175"/>
      <c r="J170" s="176"/>
      <c r="K170" s="167"/>
      <c r="L170" s="167"/>
      <c r="M170" s="167"/>
      <c r="N170" s="167"/>
    </row>
    <row r="171" ht="26.25" customHeight="1">
      <c r="A171" s="178">
        <f>IFERROR(__xludf.DUMMYFUNCTION("""COMPUTED_VALUE"""),46110.0)</f>
        <v>46110</v>
      </c>
      <c r="B171" s="164" t="str">
        <f>IFERROR(__xludf.DUMMYFUNCTION("""COMPUTED_VALUE"""),"حيدر يافوز")</f>
        <v>حيدر يافوز</v>
      </c>
      <c r="C171" s="165">
        <f>IFERROR(__xludf.DUMMYFUNCTION("""COMPUTED_VALUE"""),15000.0)</f>
        <v>15000</v>
      </c>
      <c r="E171" s="174"/>
      <c r="F171" s="175"/>
      <c r="G171" s="177"/>
      <c r="H171" s="175"/>
      <c r="I171" s="175"/>
      <c r="J171" s="176"/>
      <c r="K171" s="167"/>
      <c r="L171" s="167"/>
      <c r="M171" s="167"/>
      <c r="N171" s="167"/>
    </row>
    <row r="172" ht="26.25" customHeight="1">
      <c r="A172" s="178">
        <f>IFERROR(__xludf.DUMMYFUNCTION("""COMPUTED_VALUE"""),46110.0)</f>
        <v>46110</v>
      </c>
      <c r="B172" s="173" t="str">
        <f>IFERROR(__xludf.DUMMYFUNCTION("""COMPUTED_VALUE"""),"خضر عبد الخالق")</f>
        <v>خضر عبد الخالق</v>
      </c>
      <c r="C172" s="165">
        <f>IFERROR(__xludf.DUMMYFUNCTION("""COMPUTED_VALUE"""),10000.0)</f>
        <v>10000</v>
      </c>
      <c r="E172" s="174"/>
      <c r="F172" s="175"/>
      <c r="G172" s="177"/>
      <c r="H172" s="175"/>
      <c r="I172" s="175"/>
      <c r="J172" s="176"/>
      <c r="K172" s="167"/>
      <c r="L172" s="167"/>
      <c r="M172" s="167"/>
      <c r="N172" s="167"/>
    </row>
    <row r="173" ht="26.25" customHeight="1">
      <c r="A173" s="178">
        <f>IFERROR(__xludf.DUMMYFUNCTION("""COMPUTED_VALUE"""),46111.0)</f>
        <v>46111</v>
      </c>
      <c r="B173" s="164" t="str">
        <f>IFERROR(__xludf.DUMMYFUNCTION("""COMPUTED_VALUE"""),"حيدر المحاسب")</f>
        <v>حيدر المحاسب</v>
      </c>
      <c r="C173" s="165">
        <f>IFERROR(__xludf.DUMMYFUNCTION("""COMPUTED_VALUE"""),200000.0)</f>
        <v>200000</v>
      </c>
      <c r="E173" s="174"/>
      <c r="F173" s="175"/>
      <c r="G173" s="177"/>
      <c r="H173" s="175"/>
      <c r="I173" s="175"/>
      <c r="J173" s="176"/>
      <c r="K173" s="167"/>
      <c r="L173" s="167"/>
      <c r="M173" s="167"/>
      <c r="N173" s="167"/>
    </row>
    <row r="174" ht="26.25" customHeight="1">
      <c r="A174" s="178">
        <f>IFERROR(__xludf.DUMMYFUNCTION("""COMPUTED_VALUE"""),46112.0)</f>
        <v>46112</v>
      </c>
      <c r="B174" s="164" t="str">
        <f>IFERROR(__xludf.DUMMYFUNCTION("""COMPUTED_VALUE"""),"حسين سالم")</f>
        <v>حسين سالم</v>
      </c>
      <c r="C174" s="165">
        <f>IFERROR(__xludf.DUMMYFUNCTION("""COMPUTED_VALUE"""),10000.0)</f>
        <v>10000</v>
      </c>
      <c r="E174" s="174"/>
      <c r="F174" s="175"/>
      <c r="G174" s="177"/>
      <c r="H174" s="175"/>
      <c r="I174" s="175"/>
      <c r="J174" s="176"/>
      <c r="K174" s="167"/>
      <c r="L174" s="167"/>
      <c r="M174" s="167"/>
      <c r="N174" s="167"/>
    </row>
    <row r="175" ht="26.25" customHeight="1">
      <c r="A175" s="178">
        <f>IFERROR(__xludf.DUMMYFUNCTION("""COMPUTED_VALUE"""),46112.0)</f>
        <v>46112</v>
      </c>
      <c r="B175" s="164" t="str">
        <f>IFERROR(__xludf.DUMMYFUNCTION("""COMPUTED_VALUE"""),"حيدر المحاسب")</f>
        <v>حيدر المحاسب</v>
      </c>
      <c r="C175" s="165">
        <f>IFERROR(__xludf.DUMMYFUNCTION("""COMPUTED_VALUE"""),10000.0)</f>
        <v>10000</v>
      </c>
      <c r="E175" s="174"/>
      <c r="F175" s="175"/>
      <c r="G175" s="177"/>
      <c r="H175" s="175"/>
      <c r="I175" s="175"/>
      <c r="J175" s="176"/>
      <c r="K175" s="167"/>
      <c r="L175" s="167"/>
      <c r="M175" s="167"/>
      <c r="N175" s="167"/>
    </row>
    <row r="176" ht="26.25" customHeight="1">
      <c r="A176" s="178">
        <f>IFERROR(__xludf.DUMMYFUNCTION("""COMPUTED_VALUE"""),46114.0)</f>
        <v>46114</v>
      </c>
      <c r="B176" s="164" t="str">
        <f>IFERROR(__xludf.DUMMYFUNCTION("""COMPUTED_VALUE"""),"حسين سالم")</f>
        <v>حسين سالم</v>
      </c>
      <c r="C176" s="165">
        <f>IFERROR(__xludf.DUMMYFUNCTION("""COMPUTED_VALUE"""),10000.0)</f>
        <v>10000</v>
      </c>
      <c r="E176" s="174"/>
      <c r="F176" s="175"/>
      <c r="G176" s="177"/>
      <c r="H176" s="175"/>
      <c r="I176" s="175"/>
      <c r="J176" s="176"/>
      <c r="K176" s="167"/>
      <c r="L176" s="167"/>
      <c r="M176" s="167"/>
      <c r="N176" s="167"/>
    </row>
    <row r="177" ht="26.25" customHeight="1">
      <c r="A177" s="178">
        <f>IFERROR(__xludf.DUMMYFUNCTION("""COMPUTED_VALUE"""),46114.0)</f>
        <v>46114</v>
      </c>
      <c r="B177" s="164" t="str">
        <f>IFERROR(__xludf.DUMMYFUNCTION("""COMPUTED_VALUE"""),"علي الباكستاني")</f>
        <v>علي الباكستاني</v>
      </c>
      <c r="C177" s="165">
        <f>IFERROR(__xludf.DUMMYFUNCTION("""COMPUTED_VALUE"""),25000.0)</f>
        <v>25000</v>
      </c>
      <c r="E177" s="174"/>
      <c r="F177" s="175"/>
      <c r="G177" s="177"/>
      <c r="H177" s="175"/>
      <c r="I177" s="175"/>
      <c r="J177" s="176"/>
      <c r="K177" s="167"/>
      <c r="L177" s="167"/>
      <c r="M177" s="167"/>
      <c r="N177" s="167"/>
    </row>
    <row r="178" ht="26.25" customHeight="1">
      <c r="A178" s="178">
        <f>IFERROR(__xludf.DUMMYFUNCTION("""COMPUTED_VALUE"""),46114.0)</f>
        <v>46114</v>
      </c>
      <c r="B178" s="164" t="str">
        <f>IFERROR(__xludf.DUMMYFUNCTION("""COMPUTED_VALUE"""),"حيدر محمد")</f>
        <v>حيدر محمد</v>
      </c>
      <c r="C178" s="165">
        <f>IFERROR(__xludf.DUMMYFUNCTION("""COMPUTED_VALUE"""),25000.0)</f>
        <v>25000</v>
      </c>
      <c r="E178" s="174"/>
      <c r="F178" s="175"/>
      <c r="G178" s="177"/>
      <c r="H178" s="175"/>
      <c r="I178" s="175"/>
      <c r="J178" s="176"/>
      <c r="K178" s="167"/>
      <c r="L178" s="167"/>
      <c r="M178" s="167"/>
      <c r="N178" s="167"/>
    </row>
    <row r="179" ht="26.25" customHeight="1">
      <c r="A179" s="178">
        <f>IFERROR(__xludf.DUMMYFUNCTION("""COMPUTED_VALUE"""),46114.0)</f>
        <v>46114</v>
      </c>
      <c r="B179" s="164" t="str">
        <f>IFERROR(__xludf.DUMMYFUNCTION("""COMPUTED_VALUE"""),"عبدالله هاشم")</f>
        <v>عبدالله هاشم</v>
      </c>
      <c r="C179" s="165">
        <f>IFERROR(__xludf.DUMMYFUNCTION("""COMPUTED_VALUE"""),25000.0)</f>
        <v>25000</v>
      </c>
      <c r="E179" s="174"/>
      <c r="F179" s="175"/>
      <c r="G179" s="177"/>
      <c r="H179" s="175"/>
      <c r="I179" s="175"/>
      <c r="J179" s="176"/>
      <c r="K179" s="167"/>
      <c r="L179" s="167"/>
      <c r="M179" s="167"/>
      <c r="N179" s="167"/>
    </row>
    <row r="180" ht="30.0" customHeight="1">
      <c r="A180" s="178">
        <f>IFERROR(__xludf.DUMMYFUNCTION("""COMPUTED_VALUE"""),46114.0)</f>
        <v>46114</v>
      </c>
      <c r="B180" s="164" t="str">
        <f>IFERROR(__xludf.DUMMYFUNCTION("""COMPUTED_VALUE"""),"حيدر يافوز")</f>
        <v>حيدر يافوز</v>
      </c>
      <c r="C180" s="165">
        <f>IFERROR(__xludf.DUMMYFUNCTION("""COMPUTED_VALUE"""),10000.0)</f>
        <v>10000</v>
      </c>
      <c r="E180" s="174"/>
      <c r="F180" s="175"/>
      <c r="G180" s="177"/>
      <c r="H180" s="175"/>
      <c r="I180" s="175"/>
      <c r="J180" s="176"/>
      <c r="K180" s="167"/>
      <c r="L180" s="167"/>
      <c r="M180" s="167"/>
      <c r="N180" s="167"/>
    </row>
    <row r="181" ht="30.0" customHeight="1">
      <c r="A181" s="178">
        <f>IFERROR(__xludf.DUMMYFUNCTION("""COMPUTED_VALUE"""),46114.0)</f>
        <v>46114</v>
      </c>
      <c r="B181" s="164" t="str">
        <f>IFERROR(__xludf.DUMMYFUNCTION("""COMPUTED_VALUE"""),"حسين سالم")</f>
        <v>حسين سالم</v>
      </c>
      <c r="C181" s="165">
        <f>IFERROR(__xludf.DUMMYFUNCTION("""COMPUTED_VALUE"""),30000.0)</f>
        <v>30000</v>
      </c>
      <c r="E181" s="174"/>
      <c r="F181" s="175"/>
      <c r="G181" s="177"/>
      <c r="H181" s="175"/>
      <c r="I181" s="175"/>
      <c r="J181" s="176"/>
      <c r="K181" s="167"/>
      <c r="L181" s="167"/>
      <c r="M181" s="167"/>
      <c r="N181" s="167"/>
    </row>
    <row r="182" ht="30.0" customHeight="1">
      <c r="A182" s="178">
        <f>IFERROR(__xludf.DUMMYFUNCTION("""COMPUTED_VALUE"""),46117.0)</f>
        <v>46117</v>
      </c>
      <c r="B182" s="170" t="str">
        <f>IFERROR(__xludf.DUMMYFUNCTION("""COMPUTED_VALUE"""),"عبدالله هاشم")</f>
        <v>عبدالله هاشم</v>
      </c>
      <c r="C182" s="165">
        <f>IFERROR(__xludf.DUMMYFUNCTION("""COMPUTED_VALUE"""),30000.0)</f>
        <v>30000</v>
      </c>
      <c r="E182" s="174"/>
      <c r="F182" s="175"/>
      <c r="G182" s="177"/>
      <c r="H182" s="175"/>
      <c r="I182" s="175"/>
      <c r="J182" s="176"/>
      <c r="K182" s="167"/>
      <c r="L182" s="167"/>
      <c r="M182" s="167"/>
      <c r="N182" s="167"/>
    </row>
    <row r="183" ht="30.0" customHeight="1">
      <c r="A183" s="178">
        <f>IFERROR(__xludf.DUMMYFUNCTION("""COMPUTED_VALUE"""),46117.0)</f>
        <v>46117</v>
      </c>
      <c r="B183" s="170" t="str">
        <f>IFERROR(__xludf.DUMMYFUNCTION("""COMPUTED_VALUE"""),"طعام")</f>
        <v>طعام</v>
      </c>
      <c r="C183" s="165">
        <f>IFERROR(__xludf.DUMMYFUNCTION("""COMPUTED_VALUE"""),31000.0)</f>
        <v>31000</v>
      </c>
      <c r="E183" s="174"/>
      <c r="F183" s="175"/>
      <c r="G183" s="177"/>
      <c r="H183" s="175"/>
      <c r="I183" s="175"/>
      <c r="J183" s="176"/>
      <c r="K183" s="167"/>
      <c r="L183" s="167"/>
      <c r="M183" s="167"/>
      <c r="N183" s="167"/>
    </row>
    <row r="184" ht="30.0" customHeight="1">
      <c r="A184" s="178">
        <f>IFERROR(__xludf.DUMMYFUNCTION("""COMPUTED_VALUE"""),46117.0)</f>
        <v>46117</v>
      </c>
      <c r="B184" s="170" t="str">
        <f>IFERROR(__xludf.DUMMYFUNCTION("""COMPUTED_VALUE"""),"حسين سالم")</f>
        <v>حسين سالم</v>
      </c>
      <c r="C184" s="165">
        <f>IFERROR(__xludf.DUMMYFUNCTION("""COMPUTED_VALUE"""),4000.0)</f>
        <v>4000</v>
      </c>
      <c r="E184" s="174"/>
      <c r="F184" s="175"/>
      <c r="G184" s="177"/>
      <c r="H184" s="175"/>
      <c r="I184" s="175"/>
      <c r="J184" s="176"/>
      <c r="K184" s="167"/>
      <c r="L184" s="167"/>
      <c r="M184" s="167"/>
      <c r="N184" s="167"/>
    </row>
    <row r="185" ht="30.0" customHeight="1">
      <c r="A185" s="178">
        <f>IFERROR(__xludf.DUMMYFUNCTION("""COMPUTED_VALUE"""),46119.0)</f>
        <v>46119</v>
      </c>
      <c r="B185" s="164" t="str">
        <f>IFERROR(__xludf.DUMMYFUNCTION("""COMPUTED_VALUE"""),"حيدر محمد")</f>
        <v>حيدر محمد</v>
      </c>
      <c r="C185" s="165">
        <f>IFERROR(__xludf.DUMMYFUNCTION("""COMPUTED_VALUE"""),10000.0)</f>
        <v>10000</v>
      </c>
      <c r="E185" s="174"/>
      <c r="F185" s="175"/>
      <c r="G185" s="177"/>
      <c r="H185" s="175"/>
      <c r="I185" s="175"/>
      <c r="J185" s="176"/>
      <c r="K185" s="167"/>
      <c r="L185" s="167"/>
      <c r="M185" s="167"/>
      <c r="N185" s="167"/>
    </row>
    <row r="186" ht="30.0" customHeight="1">
      <c r="A186" s="178">
        <f>IFERROR(__xludf.DUMMYFUNCTION("""COMPUTED_VALUE"""),46120.0)</f>
        <v>46120</v>
      </c>
      <c r="B186" s="164" t="str">
        <f>IFERROR(__xludf.DUMMYFUNCTION("""COMPUTED_VALUE"""),"حيدر محمد")</f>
        <v>حيدر محمد</v>
      </c>
      <c r="C186" s="165">
        <f>IFERROR(__xludf.DUMMYFUNCTION("""COMPUTED_VALUE"""),10000.0)</f>
        <v>10000</v>
      </c>
      <c r="E186" s="174"/>
      <c r="F186" s="175"/>
      <c r="G186" s="177"/>
      <c r="H186" s="175"/>
      <c r="I186" s="175"/>
      <c r="J186" s="176"/>
      <c r="K186" s="167"/>
      <c r="L186" s="167"/>
      <c r="M186" s="167"/>
      <c r="N186" s="167"/>
    </row>
    <row r="187" ht="30.0" customHeight="1">
      <c r="A187" s="178">
        <f>IFERROR(__xludf.DUMMYFUNCTION("""COMPUTED_VALUE"""),46120.0)</f>
        <v>46120</v>
      </c>
      <c r="B187" s="164" t="str">
        <f>IFERROR(__xludf.DUMMYFUNCTION("""COMPUTED_VALUE"""),"حيدر يافوز")</f>
        <v>حيدر يافوز</v>
      </c>
      <c r="C187" s="165">
        <f>IFERROR(__xludf.DUMMYFUNCTION("""COMPUTED_VALUE"""),10000.0)</f>
        <v>10000</v>
      </c>
      <c r="E187" s="174"/>
      <c r="F187" s="175"/>
      <c r="G187" s="177"/>
      <c r="H187" s="175"/>
      <c r="I187" s="175"/>
      <c r="J187" s="176"/>
      <c r="K187" s="167"/>
      <c r="L187" s="167"/>
      <c r="M187" s="167"/>
      <c r="N187" s="167"/>
    </row>
    <row r="188" ht="30.0" customHeight="1">
      <c r="A188" s="178">
        <f>IFERROR(__xludf.DUMMYFUNCTION("""COMPUTED_VALUE"""),46120.0)</f>
        <v>46120</v>
      </c>
      <c r="B188" s="164" t="str">
        <f>IFERROR(__xludf.DUMMYFUNCTION("""COMPUTED_VALUE"""),"علي الباكستاني")</f>
        <v>علي الباكستاني</v>
      </c>
      <c r="C188" s="165">
        <f>IFERROR(__xludf.DUMMYFUNCTION("""COMPUTED_VALUE"""),10000.0)</f>
        <v>10000</v>
      </c>
      <c r="E188" s="174"/>
      <c r="F188" s="175"/>
      <c r="G188" s="177"/>
      <c r="H188" s="175"/>
      <c r="I188" s="175"/>
      <c r="J188" s="176"/>
      <c r="K188" s="167"/>
      <c r="L188" s="167"/>
      <c r="M188" s="167"/>
      <c r="N188" s="167"/>
    </row>
    <row r="189" ht="30.0" customHeight="1">
      <c r="A189" s="178">
        <f>IFERROR(__xludf.DUMMYFUNCTION("""COMPUTED_VALUE"""),46120.0)</f>
        <v>46120</v>
      </c>
      <c r="B189" s="170" t="str">
        <f>IFERROR(__xludf.DUMMYFUNCTION("""COMPUTED_VALUE"""),"عبدالله هاشم")</f>
        <v>عبدالله هاشم</v>
      </c>
      <c r="C189" s="165">
        <f>IFERROR(__xludf.DUMMYFUNCTION("""COMPUTED_VALUE"""),10000.0)</f>
        <v>10000</v>
      </c>
      <c r="E189" s="174"/>
      <c r="F189" s="175"/>
      <c r="G189" s="177"/>
      <c r="H189" s="175"/>
      <c r="I189" s="175"/>
      <c r="J189" s="176"/>
      <c r="K189" s="167"/>
      <c r="L189" s="167"/>
      <c r="M189" s="167"/>
      <c r="N189" s="167"/>
    </row>
    <row r="190" ht="30.0" customHeight="1">
      <c r="A190" s="178">
        <f>IFERROR(__xludf.DUMMYFUNCTION("""COMPUTED_VALUE"""),46120.0)</f>
        <v>46120</v>
      </c>
      <c r="B190" s="170" t="str">
        <f>IFERROR(__xludf.DUMMYFUNCTION("""COMPUTED_VALUE"""),"طعام")</f>
        <v>طعام</v>
      </c>
      <c r="C190" s="165">
        <f>IFERROR(__xludf.DUMMYFUNCTION("""COMPUTED_VALUE"""),5000.0)</f>
        <v>5000</v>
      </c>
      <c r="E190" s="174"/>
      <c r="F190" s="175"/>
      <c r="G190" s="177"/>
      <c r="H190" s="175"/>
      <c r="I190" s="175"/>
      <c r="J190" s="176"/>
      <c r="K190" s="167"/>
      <c r="L190" s="167"/>
      <c r="M190" s="167"/>
      <c r="N190" s="167"/>
    </row>
    <row r="191" ht="30.0" customHeight="1">
      <c r="A191" s="178">
        <f>IFERROR(__xludf.DUMMYFUNCTION("""COMPUTED_VALUE"""),46120.0)</f>
        <v>46120</v>
      </c>
      <c r="B191" s="164" t="str">
        <f>IFERROR(__xludf.DUMMYFUNCTION("""COMPUTED_VALUE"""),"حيدر يافوز")</f>
        <v>حيدر يافوز</v>
      </c>
      <c r="C191" s="165">
        <f>IFERROR(__xludf.DUMMYFUNCTION("""COMPUTED_VALUE"""),100000.0)</f>
        <v>100000</v>
      </c>
      <c r="E191" s="174"/>
      <c r="F191" s="175"/>
      <c r="G191" s="177"/>
      <c r="H191" s="175"/>
      <c r="I191" s="175"/>
      <c r="J191" s="176"/>
      <c r="K191" s="167"/>
      <c r="L191" s="167"/>
      <c r="M191" s="167"/>
      <c r="N191" s="167"/>
    </row>
    <row r="192" ht="30.0" customHeight="1">
      <c r="A192" s="178">
        <f>IFERROR(__xludf.DUMMYFUNCTION("""COMPUTED_VALUE"""),46124.0)</f>
        <v>46124</v>
      </c>
      <c r="B192" s="164" t="str">
        <f>IFERROR(__xludf.DUMMYFUNCTION("""COMPUTED_VALUE"""),"حيدر يافوز")</f>
        <v>حيدر يافوز</v>
      </c>
      <c r="C192" s="165">
        <f>IFERROR(__xludf.DUMMYFUNCTION("""COMPUTED_VALUE"""),7000.0)</f>
        <v>7000</v>
      </c>
      <c r="E192" s="174"/>
      <c r="F192" s="175"/>
      <c r="G192" s="177"/>
      <c r="H192" s="175"/>
      <c r="I192" s="175"/>
      <c r="J192" s="176"/>
      <c r="K192" s="167"/>
      <c r="L192" s="167"/>
      <c r="M192" s="167"/>
      <c r="N192" s="167"/>
    </row>
    <row r="193" ht="30.0" customHeight="1">
      <c r="A193" s="178">
        <f>IFERROR(__xludf.DUMMYFUNCTION("""COMPUTED_VALUE"""),46124.0)</f>
        <v>46124</v>
      </c>
      <c r="B193" s="170" t="str">
        <f>IFERROR(__xludf.DUMMYFUNCTION("""COMPUTED_VALUE"""),"عبدالله هاشم")</f>
        <v>عبدالله هاشم</v>
      </c>
      <c r="C193" s="165">
        <f>IFERROR(__xludf.DUMMYFUNCTION("""COMPUTED_VALUE"""),7000.0)</f>
        <v>7000</v>
      </c>
      <c r="E193" s="174"/>
      <c r="F193" s="175"/>
      <c r="G193" s="177"/>
      <c r="H193" s="175"/>
      <c r="I193" s="175"/>
      <c r="J193" s="176"/>
      <c r="K193" s="167"/>
      <c r="L193" s="167"/>
      <c r="M193" s="167"/>
      <c r="N193" s="167"/>
    </row>
    <row r="194" ht="30.0" customHeight="1">
      <c r="A194" s="178">
        <f>IFERROR(__xludf.DUMMYFUNCTION("""COMPUTED_VALUE"""),46124.0)</f>
        <v>46124</v>
      </c>
      <c r="B194" s="164" t="str">
        <f>IFERROR(__xludf.DUMMYFUNCTION("""COMPUTED_VALUE"""),"حيدر محمد")</f>
        <v>حيدر محمد</v>
      </c>
      <c r="C194" s="165">
        <f>IFERROR(__xludf.DUMMYFUNCTION("""COMPUTED_VALUE"""),7000.0)</f>
        <v>7000</v>
      </c>
      <c r="E194" s="174"/>
      <c r="F194" s="175"/>
      <c r="G194" s="177"/>
      <c r="H194" s="175"/>
      <c r="I194" s="175"/>
      <c r="J194" s="176"/>
      <c r="K194" s="167"/>
      <c r="L194" s="167"/>
      <c r="M194" s="167"/>
      <c r="N194" s="167"/>
    </row>
    <row r="195" ht="30.0" customHeight="1">
      <c r="A195" s="178">
        <f>IFERROR(__xludf.DUMMYFUNCTION("""COMPUTED_VALUE"""),46124.0)</f>
        <v>46124</v>
      </c>
      <c r="B195" s="164" t="str">
        <f>IFERROR(__xludf.DUMMYFUNCTION("""COMPUTED_VALUE"""),"علي الباكستاني")</f>
        <v>علي الباكستاني</v>
      </c>
      <c r="C195" s="165">
        <f>IFERROR(__xludf.DUMMYFUNCTION("""COMPUTED_VALUE"""),7000.0)</f>
        <v>7000</v>
      </c>
      <c r="E195" s="174"/>
      <c r="F195" s="175"/>
      <c r="G195" s="177"/>
      <c r="H195" s="175"/>
      <c r="I195" s="175"/>
      <c r="J195" s="176"/>
      <c r="K195" s="167"/>
      <c r="L195" s="167"/>
      <c r="M195" s="167"/>
      <c r="N195" s="167"/>
    </row>
    <row r="196" ht="30.0" customHeight="1">
      <c r="A196" s="178">
        <f>IFERROR(__xludf.DUMMYFUNCTION("""COMPUTED_VALUE"""),46124.0)</f>
        <v>46124</v>
      </c>
      <c r="B196" s="164" t="str">
        <f>IFERROR(__xludf.DUMMYFUNCTION("""COMPUTED_VALUE"""),"حسين سالم")</f>
        <v>حسين سالم</v>
      </c>
      <c r="C196" s="165">
        <f>IFERROR(__xludf.DUMMYFUNCTION("""COMPUTED_VALUE"""),7000.0)</f>
        <v>7000</v>
      </c>
      <c r="E196" s="174"/>
      <c r="F196" s="175"/>
      <c r="G196" s="177"/>
      <c r="H196" s="175"/>
      <c r="I196" s="175"/>
      <c r="J196" s="176"/>
      <c r="K196" s="167"/>
      <c r="L196" s="167"/>
      <c r="M196" s="167"/>
      <c r="N196" s="167"/>
    </row>
    <row r="197" ht="30.0" customHeight="1">
      <c r="A197" s="178">
        <f>IFERROR(__xludf.DUMMYFUNCTION("""COMPUTED_VALUE"""),46125.0)</f>
        <v>46125</v>
      </c>
      <c r="B197" s="170" t="str">
        <f>IFERROR(__xludf.DUMMYFUNCTION("""COMPUTED_VALUE"""),"عبدالله هاشم")</f>
        <v>عبدالله هاشم</v>
      </c>
      <c r="C197" s="165">
        <f>IFERROR(__xludf.DUMMYFUNCTION("""COMPUTED_VALUE"""),7500.0)</f>
        <v>7500</v>
      </c>
      <c r="E197" s="174"/>
      <c r="F197" s="175"/>
      <c r="G197" s="177"/>
      <c r="H197" s="175"/>
      <c r="I197" s="175"/>
      <c r="J197" s="176"/>
      <c r="K197" s="167"/>
      <c r="L197" s="167"/>
      <c r="M197" s="167"/>
      <c r="N197" s="167"/>
    </row>
    <row r="198" ht="30.0" customHeight="1">
      <c r="A198" s="178">
        <f>IFERROR(__xludf.DUMMYFUNCTION("""COMPUTED_VALUE"""),46125.0)</f>
        <v>46125</v>
      </c>
      <c r="B198" s="164" t="str">
        <f>IFERROR(__xludf.DUMMYFUNCTION("""COMPUTED_VALUE"""),"حيدر يافوز")</f>
        <v>حيدر يافوز</v>
      </c>
      <c r="C198" s="165">
        <f>IFERROR(__xludf.DUMMYFUNCTION("""COMPUTED_VALUE"""),7500.0)</f>
        <v>7500</v>
      </c>
      <c r="E198" s="174"/>
      <c r="F198" s="175"/>
      <c r="G198" s="177"/>
      <c r="H198" s="175"/>
      <c r="I198" s="175"/>
      <c r="J198" s="176"/>
      <c r="K198" s="167"/>
      <c r="L198" s="167"/>
      <c r="M198" s="167"/>
      <c r="N198" s="167"/>
    </row>
    <row r="199" ht="30.0" customHeight="1">
      <c r="A199" s="178">
        <f>IFERROR(__xludf.DUMMYFUNCTION("""COMPUTED_VALUE"""),46125.0)</f>
        <v>46125</v>
      </c>
      <c r="B199" s="164" t="str">
        <f>IFERROR(__xludf.DUMMYFUNCTION("""COMPUTED_VALUE"""),"حيدر محمد")</f>
        <v>حيدر محمد</v>
      </c>
      <c r="C199" s="165">
        <f>IFERROR(__xludf.DUMMYFUNCTION("""COMPUTED_VALUE"""),7500.0)</f>
        <v>7500</v>
      </c>
      <c r="E199" s="174"/>
      <c r="F199" s="175"/>
      <c r="G199" s="177"/>
      <c r="H199" s="175"/>
      <c r="I199" s="175"/>
      <c r="J199" s="176"/>
      <c r="K199" s="167"/>
      <c r="L199" s="167"/>
      <c r="M199" s="167"/>
      <c r="N199" s="167"/>
    </row>
    <row r="200" ht="30.0" customHeight="1">
      <c r="A200" s="178">
        <f>IFERROR(__xludf.DUMMYFUNCTION("""COMPUTED_VALUE"""),46125.0)</f>
        <v>46125</v>
      </c>
      <c r="B200" s="164" t="str">
        <f>IFERROR(__xludf.DUMMYFUNCTION("""COMPUTED_VALUE"""),"علي الباكستاني")</f>
        <v>علي الباكستاني</v>
      </c>
      <c r="C200" s="165">
        <f>IFERROR(__xludf.DUMMYFUNCTION("""COMPUTED_VALUE"""),7500.0)</f>
        <v>7500</v>
      </c>
      <c r="E200" s="174"/>
      <c r="F200" s="175"/>
      <c r="G200" s="177"/>
      <c r="H200" s="175"/>
      <c r="I200" s="175"/>
      <c r="J200" s="176"/>
      <c r="K200" s="167"/>
      <c r="L200" s="167"/>
      <c r="M200" s="167"/>
      <c r="N200" s="167"/>
    </row>
    <row r="201" ht="30.0" customHeight="1">
      <c r="A201" s="178">
        <f>IFERROR(__xludf.DUMMYFUNCTION("""COMPUTED_VALUE"""),46125.0)</f>
        <v>46125</v>
      </c>
      <c r="B201" s="170" t="str">
        <f>IFERROR(__xludf.DUMMYFUNCTION("""COMPUTED_VALUE"""),"عبدالله هاشم")</f>
        <v>عبدالله هاشم</v>
      </c>
      <c r="C201" s="165">
        <f>IFERROR(__xludf.DUMMYFUNCTION("""COMPUTED_VALUE"""),25000.0)</f>
        <v>25000</v>
      </c>
      <c r="E201" s="174"/>
      <c r="F201" s="175"/>
      <c r="G201" s="177"/>
      <c r="H201" s="175"/>
      <c r="I201" s="175"/>
      <c r="J201" s="176"/>
      <c r="K201" s="167"/>
      <c r="L201" s="167"/>
      <c r="M201" s="167"/>
      <c r="N201" s="167"/>
    </row>
    <row r="202" ht="30.0" customHeight="1">
      <c r="A202" s="178">
        <f>IFERROR(__xludf.DUMMYFUNCTION("""COMPUTED_VALUE"""),46125.0)</f>
        <v>46125</v>
      </c>
      <c r="B202" s="170" t="str">
        <f>IFERROR(__xludf.DUMMYFUNCTION("""COMPUTED_VALUE"""),"عبدالله هاشم")</f>
        <v>عبدالله هاشم</v>
      </c>
      <c r="C202" s="165">
        <f>IFERROR(__xludf.DUMMYFUNCTION("""COMPUTED_VALUE"""),3750.0)</f>
        <v>3750</v>
      </c>
      <c r="E202" s="174"/>
      <c r="F202" s="175"/>
      <c r="G202" s="177"/>
      <c r="H202" s="175"/>
      <c r="I202" s="175"/>
      <c r="J202" s="176"/>
      <c r="K202" s="167"/>
      <c r="L202" s="167"/>
      <c r="M202" s="167"/>
      <c r="N202" s="167"/>
    </row>
    <row r="203">
      <c r="A203" s="178">
        <f>IFERROR(__xludf.DUMMYFUNCTION("""COMPUTED_VALUE"""),46125.0)</f>
        <v>46125</v>
      </c>
      <c r="B203" s="164" t="str">
        <f>IFERROR(__xludf.DUMMYFUNCTION("""COMPUTED_VALUE"""),"حيدر يافوز")</f>
        <v>حيدر يافوز</v>
      </c>
      <c r="C203" s="165">
        <f>IFERROR(__xludf.DUMMYFUNCTION("""COMPUTED_VALUE"""),3750.0)</f>
        <v>3750</v>
      </c>
      <c r="E203" s="174"/>
      <c r="F203" s="175"/>
      <c r="G203" s="177"/>
      <c r="H203" s="175"/>
      <c r="I203" s="175"/>
      <c r="J203" s="176"/>
      <c r="K203" s="167"/>
      <c r="L203" s="167"/>
      <c r="M203" s="167"/>
      <c r="N203" s="167"/>
    </row>
    <row r="204">
      <c r="A204" s="178">
        <f>IFERROR(__xludf.DUMMYFUNCTION("""COMPUTED_VALUE"""),46125.0)</f>
        <v>46125</v>
      </c>
      <c r="B204" s="164" t="str">
        <f>IFERROR(__xludf.DUMMYFUNCTION("""COMPUTED_VALUE"""),"حيدر محمد")</f>
        <v>حيدر محمد</v>
      </c>
      <c r="C204" s="165">
        <f>IFERROR(__xludf.DUMMYFUNCTION("""COMPUTED_VALUE"""),3750.0)</f>
        <v>3750</v>
      </c>
      <c r="E204" s="174"/>
      <c r="F204" s="175"/>
      <c r="G204" s="177"/>
      <c r="H204" s="175"/>
      <c r="I204" s="175"/>
      <c r="J204" s="176"/>
      <c r="K204" s="167"/>
      <c r="L204" s="167"/>
      <c r="M204" s="167"/>
      <c r="N204" s="167"/>
    </row>
    <row r="205">
      <c r="A205" s="178">
        <f>IFERROR(__xludf.DUMMYFUNCTION("""COMPUTED_VALUE"""),46125.0)</f>
        <v>46125</v>
      </c>
      <c r="B205" s="164" t="str">
        <f>IFERROR(__xludf.DUMMYFUNCTION("""COMPUTED_VALUE"""),"علي الباكستاني")</f>
        <v>علي الباكستاني</v>
      </c>
      <c r="C205" s="165">
        <f>IFERROR(__xludf.DUMMYFUNCTION("""COMPUTED_VALUE"""),3750.0)</f>
        <v>3750</v>
      </c>
      <c r="E205" s="174"/>
      <c r="F205" s="175"/>
      <c r="G205" s="177"/>
      <c r="H205" s="175"/>
      <c r="I205" s="175"/>
      <c r="J205" s="176"/>
      <c r="K205" s="167"/>
      <c r="L205" s="167"/>
      <c r="M205" s="167"/>
      <c r="N205" s="167"/>
    </row>
    <row r="206">
      <c r="A206" s="178">
        <f>IFERROR(__xludf.DUMMYFUNCTION("""COMPUTED_VALUE"""),46128.0)</f>
        <v>46128</v>
      </c>
      <c r="B206" s="164" t="str">
        <f>IFERROR(__xludf.DUMMYFUNCTION("""COMPUTED_VALUE"""),"حيدر يافوز")</f>
        <v>حيدر يافوز</v>
      </c>
      <c r="C206" s="165">
        <f>IFERROR(__xludf.DUMMYFUNCTION("""COMPUTED_VALUE"""),150000.0)</f>
        <v>150000</v>
      </c>
      <c r="E206" s="174"/>
      <c r="F206" s="175"/>
      <c r="G206" s="177"/>
      <c r="H206" s="175"/>
      <c r="I206" s="175"/>
      <c r="J206" s="176"/>
      <c r="K206" s="167"/>
      <c r="L206" s="167"/>
      <c r="M206" s="167"/>
      <c r="N206" s="167"/>
    </row>
    <row r="207">
      <c r="A207" s="178">
        <f>IFERROR(__xludf.DUMMYFUNCTION("""COMPUTED_VALUE"""),46128.0)</f>
        <v>46128</v>
      </c>
      <c r="B207" s="170" t="str">
        <f>IFERROR(__xludf.DUMMYFUNCTION("""COMPUTED_VALUE"""),"عبدالله هاشم")</f>
        <v>عبدالله هاشم</v>
      </c>
      <c r="C207" s="165">
        <f>IFERROR(__xludf.DUMMYFUNCTION("""COMPUTED_VALUE"""),7000.0)</f>
        <v>7000</v>
      </c>
      <c r="E207" s="174"/>
      <c r="F207" s="175"/>
      <c r="G207" s="177"/>
      <c r="H207" s="175"/>
      <c r="I207" s="175"/>
      <c r="J207" s="176"/>
      <c r="K207" s="167"/>
      <c r="L207" s="167"/>
      <c r="M207" s="167"/>
      <c r="N207" s="167"/>
    </row>
    <row r="208">
      <c r="A208" s="178">
        <f>IFERROR(__xludf.DUMMYFUNCTION("""COMPUTED_VALUE"""),46128.0)</f>
        <v>46128</v>
      </c>
      <c r="B208" s="164" t="str">
        <f>IFERROR(__xludf.DUMMYFUNCTION("""COMPUTED_VALUE"""),"حيدر يافوز")</f>
        <v>حيدر يافوز</v>
      </c>
      <c r="C208" s="165">
        <f>IFERROR(__xludf.DUMMYFUNCTION("""COMPUTED_VALUE"""),7000.0)</f>
        <v>7000</v>
      </c>
      <c r="E208" s="174"/>
      <c r="F208" s="175"/>
      <c r="G208" s="177"/>
      <c r="H208" s="175"/>
      <c r="I208" s="175"/>
      <c r="J208" s="176"/>
      <c r="K208" s="167"/>
      <c r="L208" s="167"/>
      <c r="M208" s="167"/>
      <c r="N208" s="167"/>
    </row>
    <row r="209">
      <c r="A209" s="178">
        <f>IFERROR(__xludf.DUMMYFUNCTION("""COMPUTED_VALUE"""),46128.0)</f>
        <v>46128</v>
      </c>
      <c r="B209" s="164" t="str">
        <f>IFERROR(__xludf.DUMMYFUNCTION("""COMPUTED_VALUE"""),"حيدر محمد")</f>
        <v>حيدر محمد</v>
      </c>
      <c r="C209" s="165">
        <f>IFERROR(__xludf.DUMMYFUNCTION("""COMPUTED_VALUE"""),7000.0)</f>
        <v>7000</v>
      </c>
      <c r="E209" s="174"/>
      <c r="F209" s="175"/>
      <c r="G209" s="177"/>
      <c r="H209" s="175"/>
      <c r="I209" s="175"/>
      <c r="J209" s="176"/>
      <c r="K209" s="167"/>
      <c r="L209" s="167"/>
      <c r="M209" s="167"/>
      <c r="N209" s="167"/>
    </row>
    <row r="210">
      <c r="A210" s="178">
        <f>IFERROR(__xludf.DUMMYFUNCTION("""COMPUTED_VALUE"""),46128.0)</f>
        <v>46128</v>
      </c>
      <c r="B210" s="164" t="str">
        <f>IFERROR(__xludf.DUMMYFUNCTION("""COMPUTED_VALUE"""),"علي الباكستاني")</f>
        <v>علي الباكستاني</v>
      </c>
      <c r="C210" s="165">
        <f>IFERROR(__xludf.DUMMYFUNCTION("""COMPUTED_VALUE"""),7000.0)</f>
        <v>7000</v>
      </c>
      <c r="E210" s="174"/>
      <c r="F210" s="175"/>
      <c r="G210" s="177"/>
      <c r="H210" s="175"/>
      <c r="I210" s="175"/>
      <c r="J210" s="176"/>
      <c r="K210" s="167"/>
      <c r="L210" s="167"/>
      <c r="M210" s="167"/>
      <c r="N210" s="167"/>
    </row>
    <row r="211">
      <c r="A211" s="178">
        <f>IFERROR(__xludf.DUMMYFUNCTION("""COMPUTED_VALUE"""),46128.0)</f>
        <v>46128</v>
      </c>
      <c r="B211" s="164" t="str">
        <f>IFERROR(__xludf.DUMMYFUNCTION("""COMPUTED_VALUE"""),"عبدالرحمن")</f>
        <v>عبدالرحمن</v>
      </c>
      <c r="C211" s="165">
        <f>IFERROR(__xludf.DUMMYFUNCTION("""COMPUTED_VALUE"""),7000.0)</f>
        <v>7000</v>
      </c>
      <c r="E211" s="174"/>
      <c r="F211" s="175"/>
      <c r="G211" s="177"/>
      <c r="H211" s="175"/>
      <c r="I211" s="175"/>
      <c r="J211" s="176"/>
      <c r="K211" s="167"/>
      <c r="L211" s="167"/>
      <c r="M211" s="167"/>
      <c r="N211" s="167"/>
    </row>
    <row r="212">
      <c r="A212" s="178">
        <f>IFERROR(__xludf.DUMMYFUNCTION("""COMPUTED_VALUE"""),46128.0)</f>
        <v>46128</v>
      </c>
      <c r="B212" s="170" t="str">
        <f>IFERROR(__xludf.DUMMYFUNCTION("""COMPUTED_VALUE"""),"حسين سالم")</f>
        <v>حسين سالم</v>
      </c>
      <c r="C212" s="165">
        <f>IFERROR(__xludf.DUMMYFUNCTION("""COMPUTED_VALUE"""),7000.0)</f>
        <v>7000</v>
      </c>
      <c r="E212" s="174"/>
      <c r="F212" s="175"/>
      <c r="G212" s="177"/>
      <c r="H212" s="175"/>
      <c r="I212" s="175"/>
      <c r="J212" s="176"/>
      <c r="K212" s="167"/>
      <c r="L212" s="167"/>
      <c r="M212" s="167"/>
      <c r="N212" s="167"/>
    </row>
    <row r="213">
      <c r="A213" s="178">
        <f>IFERROR(__xludf.DUMMYFUNCTION("""COMPUTED_VALUE"""),46128.0)</f>
        <v>46128</v>
      </c>
      <c r="B213" s="164" t="str">
        <f>IFERROR(__xludf.DUMMYFUNCTION("""COMPUTED_VALUE"""),"حيدر محمد")</f>
        <v>حيدر محمد</v>
      </c>
      <c r="C213" s="165">
        <f>IFERROR(__xludf.DUMMYFUNCTION("""COMPUTED_VALUE"""),10000.0)</f>
        <v>10000</v>
      </c>
      <c r="E213" s="174"/>
      <c r="F213" s="175"/>
      <c r="G213" s="177"/>
      <c r="H213" s="175"/>
      <c r="I213" s="175"/>
      <c r="J213" s="176"/>
      <c r="K213" s="167"/>
      <c r="L213" s="167"/>
      <c r="M213" s="167"/>
      <c r="N213" s="167"/>
    </row>
    <row r="214">
      <c r="A214" s="178">
        <f>IFERROR(__xludf.DUMMYFUNCTION("""COMPUTED_VALUE"""),46129.0)</f>
        <v>46129</v>
      </c>
      <c r="B214" s="164" t="str">
        <f>IFERROR(__xludf.DUMMYFUNCTION("""COMPUTED_VALUE"""),"عبدالرحمن")</f>
        <v>عبدالرحمن</v>
      </c>
      <c r="C214" s="165">
        <f>IFERROR(__xludf.DUMMYFUNCTION("""COMPUTED_VALUE"""),25000.0)</f>
        <v>25000</v>
      </c>
      <c r="E214" s="174"/>
      <c r="F214" s="175"/>
      <c r="G214" s="177"/>
      <c r="H214" s="175"/>
      <c r="I214" s="175"/>
      <c r="J214" s="176"/>
      <c r="K214" s="167"/>
      <c r="L214" s="167"/>
      <c r="M214" s="167"/>
      <c r="N214" s="167"/>
    </row>
    <row r="215">
      <c r="A215" s="178">
        <f>IFERROR(__xludf.DUMMYFUNCTION("""COMPUTED_VALUE"""),46129.0)</f>
        <v>46129</v>
      </c>
      <c r="B215" s="170" t="str">
        <f>IFERROR(__xludf.DUMMYFUNCTION("""COMPUTED_VALUE"""),"حسين سالم")</f>
        <v>حسين سالم</v>
      </c>
      <c r="C215" s="165">
        <f>IFERROR(__xludf.DUMMYFUNCTION("""COMPUTED_VALUE"""),60000.0)</f>
        <v>60000</v>
      </c>
      <c r="E215" s="174"/>
      <c r="F215" s="175"/>
      <c r="G215" s="177"/>
      <c r="H215" s="175"/>
      <c r="I215" s="175"/>
      <c r="J215" s="176"/>
      <c r="K215" s="167"/>
      <c r="L215" s="167"/>
      <c r="M215" s="167"/>
      <c r="N215" s="167"/>
    </row>
    <row r="216">
      <c r="A216" s="178">
        <f>IFERROR(__xludf.DUMMYFUNCTION("""COMPUTED_VALUE"""),46131.0)</f>
        <v>46131</v>
      </c>
      <c r="B216" s="164" t="str">
        <f>IFERROR(__xludf.DUMMYFUNCTION("""COMPUTED_VALUE"""),"حسين سالم")</f>
        <v>حسين سالم</v>
      </c>
      <c r="C216" s="165">
        <f>IFERROR(__xludf.DUMMYFUNCTION("""COMPUTED_VALUE"""),10000.0)</f>
        <v>10000</v>
      </c>
      <c r="E216" s="174"/>
      <c r="F216" s="175"/>
      <c r="G216" s="177"/>
      <c r="H216" s="175"/>
      <c r="I216" s="175"/>
      <c r="J216" s="176"/>
      <c r="K216" s="167"/>
      <c r="L216" s="167"/>
      <c r="M216" s="167"/>
      <c r="N216" s="167"/>
    </row>
    <row r="217">
      <c r="A217" s="178">
        <f>IFERROR(__xludf.DUMMYFUNCTION("""COMPUTED_VALUE"""),46131.0)</f>
        <v>46131</v>
      </c>
      <c r="B217" s="164" t="str">
        <f>IFERROR(__xludf.DUMMYFUNCTION("""COMPUTED_VALUE"""),"حيدر محمد")</f>
        <v>حيدر محمد</v>
      </c>
      <c r="C217" s="165">
        <f>IFERROR(__xludf.DUMMYFUNCTION("""COMPUTED_VALUE"""),10000.0)</f>
        <v>10000</v>
      </c>
      <c r="E217" s="174"/>
      <c r="F217" s="175"/>
      <c r="G217" s="177"/>
      <c r="H217" s="175"/>
      <c r="I217" s="175"/>
      <c r="J217" s="176"/>
      <c r="K217" s="167"/>
      <c r="L217" s="167"/>
      <c r="M217" s="167"/>
      <c r="N217" s="167"/>
    </row>
    <row r="218">
      <c r="A218" s="178">
        <f>IFERROR(__xludf.DUMMYFUNCTION("""COMPUTED_VALUE"""),46133.0)</f>
        <v>46133</v>
      </c>
      <c r="B218" s="164" t="str">
        <f>IFERROR(__xludf.DUMMYFUNCTION("""COMPUTED_VALUE"""),"حسين سالم")</f>
        <v>حسين سالم</v>
      </c>
      <c r="C218" s="165">
        <f>IFERROR(__xludf.DUMMYFUNCTION("""COMPUTED_VALUE"""),10000.0)</f>
        <v>10000</v>
      </c>
      <c r="E218" s="174"/>
      <c r="F218" s="175"/>
      <c r="G218" s="177"/>
      <c r="H218" s="175"/>
      <c r="I218" s="175"/>
      <c r="J218" s="176"/>
      <c r="K218" s="167"/>
      <c r="L218" s="167"/>
      <c r="M218" s="167"/>
      <c r="N218" s="167"/>
    </row>
    <row r="219">
      <c r="A219" s="178">
        <f>IFERROR(__xludf.DUMMYFUNCTION("""COMPUTED_VALUE"""),46133.0)</f>
        <v>46133</v>
      </c>
      <c r="B219" s="164" t="str">
        <f>IFERROR(__xludf.DUMMYFUNCTION("""COMPUTED_VALUE"""),"حيدر محمد")</f>
        <v>حيدر محمد</v>
      </c>
      <c r="C219" s="165">
        <f>IFERROR(__xludf.DUMMYFUNCTION("""COMPUTED_VALUE"""),10000.0)</f>
        <v>10000</v>
      </c>
      <c r="E219" s="174"/>
      <c r="F219" s="175"/>
      <c r="G219" s="177"/>
      <c r="H219" s="175"/>
      <c r="I219" s="175"/>
      <c r="J219" s="176"/>
      <c r="K219" s="167"/>
      <c r="L219" s="167"/>
      <c r="M219" s="167"/>
      <c r="N219" s="167"/>
    </row>
    <row r="220">
      <c r="A220" s="171">
        <f>IFERROR(__xludf.DUMMYFUNCTION("""COMPUTED_VALUE"""),46134.0)</f>
        <v>46134</v>
      </c>
      <c r="B220" s="164" t="str">
        <f>IFERROR(__xludf.DUMMYFUNCTION("""COMPUTED_VALUE"""),"حسين سالم")</f>
        <v>حسين سالم</v>
      </c>
      <c r="C220" s="165">
        <f>IFERROR(__xludf.DUMMYFUNCTION("""COMPUTED_VALUE"""),40000.0)</f>
        <v>40000</v>
      </c>
      <c r="E220" s="174"/>
      <c r="F220" s="175"/>
      <c r="G220" s="177"/>
      <c r="H220" s="175"/>
      <c r="I220" s="175"/>
      <c r="J220" s="176"/>
      <c r="K220" s="167"/>
      <c r="L220" s="167"/>
      <c r="M220" s="167"/>
      <c r="N220" s="167"/>
    </row>
    <row r="221">
      <c r="A221" s="171">
        <f>IFERROR(__xludf.DUMMYFUNCTION("""COMPUTED_VALUE"""),46134.0)</f>
        <v>46134</v>
      </c>
      <c r="B221" s="164" t="str">
        <f>IFERROR(__xludf.DUMMYFUNCTION("""COMPUTED_VALUE"""),"حيدر محمد")</f>
        <v>حيدر محمد</v>
      </c>
      <c r="C221" s="165">
        <f>IFERROR(__xludf.DUMMYFUNCTION("""COMPUTED_VALUE"""),40000.0)</f>
        <v>40000</v>
      </c>
      <c r="E221" s="174"/>
      <c r="F221" s="175"/>
      <c r="G221" s="177"/>
      <c r="H221" s="175"/>
      <c r="I221" s="175"/>
      <c r="J221" s="176"/>
      <c r="K221" s="167"/>
      <c r="L221" s="167"/>
      <c r="M221" s="167"/>
      <c r="N221" s="167"/>
    </row>
    <row r="222">
      <c r="A222" s="171">
        <f>IFERROR(__xludf.DUMMYFUNCTION("""COMPUTED_VALUE"""),46134.0)</f>
        <v>46134</v>
      </c>
      <c r="B222" s="164" t="str">
        <f>IFERROR(__xludf.DUMMYFUNCTION("""COMPUTED_VALUE"""),"علي الباكستاني")</f>
        <v>علي الباكستاني</v>
      </c>
      <c r="C222" s="165">
        <f>IFERROR(__xludf.DUMMYFUNCTION("""COMPUTED_VALUE"""),5000.0)</f>
        <v>5000</v>
      </c>
      <c r="E222" s="174"/>
      <c r="F222" s="175"/>
      <c r="G222" s="177"/>
      <c r="H222" s="175"/>
      <c r="I222" s="175"/>
      <c r="J222" s="176"/>
      <c r="K222" s="167"/>
      <c r="L222" s="167"/>
      <c r="M222" s="167"/>
      <c r="N222" s="167"/>
    </row>
    <row r="223">
      <c r="A223" s="171">
        <f>IFERROR(__xludf.DUMMYFUNCTION("""COMPUTED_VALUE"""),46134.0)</f>
        <v>46134</v>
      </c>
      <c r="B223" s="164" t="str">
        <f>IFERROR(__xludf.DUMMYFUNCTION("""COMPUTED_VALUE"""),"عبدالله هاشم")</f>
        <v>عبدالله هاشم</v>
      </c>
      <c r="C223" s="165">
        <f>IFERROR(__xludf.DUMMYFUNCTION("""COMPUTED_VALUE"""),6000.0)</f>
        <v>6000</v>
      </c>
      <c r="E223" s="174"/>
      <c r="F223" s="175"/>
      <c r="G223" s="177"/>
      <c r="H223" s="175"/>
      <c r="I223" s="175"/>
      <c r="J223" s="176"/>
      <c r="K223" s="167"/>
      <c r="L223" s="167"/>
      <c r="M223" s="167"/>
      <c r="N223" s="167"/>
    </row>
    <row r="224">
      <c r="A224" s="171">
        <f>IFERROR(__xludf.DUMMYFUNCTION("""COMPUTED_VALUE"""),46134.0)</f>
        <v>46134</v>
      </c>
      <c r="B224" s="164" t="str">
        <f>IFERROR(__xludf.DUMMYFUNCTION("""COMPUTED_VALUE"""),"حيدر يافوز")</f>
        <v>حيدر يافوز</v>
      </c>
      <c r="C224" s="165">
        <f>IFERROR(__xludf.DUMMYFUNCTION("""COMPUTED_VALUE"""),15000.0)</f>
        <v>15000</v>
      </c>
      <c r="E224" s="174"/>
      <c r="F224" s="175"/>
      <c r="G224" s="177"/>
      <c r="H224" s="175"/>
      <c r="I224" s="175"/>
      <c r="J224" s="176"/>
      <c r="K224" s="167"/>
      <c r="L224" s="167"/>
      <c r="M224" s="167"/>
      <c r="N224" s="167"/>
    </row>
    <row r="225">
      <c r="A225" s="171">
        <f>IFERROR(__xludf.DUMMYFUNCTION("""COMPUTED_VALUE"""),46134.0)</f>
        <v>46134</v>
      </c>
      <c r="B225" s="164" t="str">
        <f>IFERROR(__xludf.DUMMYFUNCTION("""COMPUTED_VALUE"""),"حيدر يافوز")</f>
        <v>حيدر يافوز</v>
      </c>
      <c r="C225" s="165">
        <f>IFERROR(__xludf.DUMMYFUNCTION("""COMPUTED_VALUE"""),18000.0)</f>
        <v>18000</v>
      </c>
      <c r="E225" s="174"/>
      <c r="F225" s="175"/>
      <c r="G225" s="177"/>
      <c r="H225" s="175"/>
      <c r="I225" s="175"/>
      <c r="J225" s="176"/>
      <c r="K225" s="167"/>
      <c r="L225" s="167"/>
      <c r="M225" s="167"/>
      <c r="N225" s="167"/>
    </row>
    <row r="226">
      <c r="A226" s="171">
        <f>IFERROR(__xludf.DUMMYFUNCTION("""COMPUTED_VALUE"""),46134.0)</f>
        <v>46134</v>
      </c>
      <c r="B226" s="164" t="str">
        <f>IFERROR(__xludf.DUMMYFUNCTION("""COMPUTED_VALUE"""),"عبدالله هاشم")</f>
        <v>عبدالله هاشم</v>
      </c>
      <c r="C226" s="165">
        <f>IFERROR(__xludf.DUMMYFUNCTION("""COMPUTED_VALUE"""),1000.0)</f>
        <v>1000</v>
      </c>
      <c r="E226" s="174"/>
      <c r="F226" s="175"/>
      <c r="G226" s="177"/>
      <c r="H226" s="175"/>
      <c r="I226" s="175"/>
      <c r="J226" s="176"/>
      <c r="K226" s="167"/>
      <c r="L226" s="167"/>
      <c r="M226" s="167"/>
      <c r="N226" s="167"/>
    </row>
    <row r="227">
      <c r="A227" s="171">
        <f>IFERROR(__xludf.DUMMYFUNCTION("""COMPUTED_VALUE"""),46135.0)</f>
        <v>46135</v>
      </c>
      <c r="B227" s="164" t="str">
        <f>IFERROR(__xludf.DUMMYFUNCTION("""COMPUTED_VALUE"""),"حيدر يافوز")</f>
        <v>حيدر يافوز</v>
      </c>
      <c r="C227" s="165">
        <f>IFERROR(__xludf.DUMMYFUNCTION("""COMPUTED_VALUE"""),18000.0)</f>
        <v>18000</v>
      </c>
      <c r="E227" s="174"/>
      <c r="F227" s="175"/>
      <c r="G227" s="177"/>
      <c r="H227" s="175"/>
      <c r="I227" s="175"/>
      <c r="J227" s="176"/>
      <c r="K227" s="167"/>
      <c r="L227" s="167"/>
      <c r="M227" s="167"/>
      <c r="N227" s="167"/>
    </row>
    <row r="228">
      <c r="A228" s="171">
        <f>IFERROR(__xludf.DUMMYFUNCTION("""COMPUTED_VALUE"""),46135.0)</f>
        <v>46135</v>
      </c>
      <c r="B228" s="164" t="str">
        <f>IFERROR(__xludf.DUMMYFUNCTION("""COMPUTED_VALUE"""),"عبدالله هاشم")</f>
        <v>عبدالله هاشم</v>
      </c>
      <c r="C228" s="165">
        <f>IFERROR(__xludf.DUMMYFUNCTION("""COMPUTED_VALUE"""),1000.0)</f>
        <v>1000</v>
      </c>
      <c r="E228" s="174"/>
      <c r="F228" s="175"/>
      <c r="G228" s="177"/>
      <c r="H228" s="175"/>
      <c r="I228" s="175"/>
      <c r="J228" s="176"/>
      <c r="K228" s="167"/>
      <c r="L228" s="167"/>
      <c r="M228" s="167"/>
      <c r="N228" s="167"/>
    </row>
    <row r="229">
      <c r="A229" s="171">
        <f>IFERROR(__xludf.DUMMYFUNCTION("""COMPUTED_VALUE"""),46135.0)</f>
        <v>46135</v>
      </c>
      <c r="B229" s="164" t="str">
        <f>IFERROR(__xludf.DUMMYFUNCTION("""COMPUTED_VALUE"""),"علي الباكستاني")</f>
        <v>علي الباكستاني</v>
      </c>
      <c r="C229" s="165">
        <f>IFERROR(__xludf.DUMMYFUNCTION("""COMPUTED_VALUE"""),25000.0)</f>
        <v>25000</v>
      </c>
      <c r="E229" s="174"/>
      <c r="F229" s="175"/>
      <c r="G229" s="177"/>
      <c r="H229" s="175"/>
      <c r="I229" s="175"/>
      <c r="J229" s="176"/>
      <c r="K229" s="167"/>
      <c r="L229" s="167"/>
      <c r="M229" s="167"/>
      <c r="N229" s="167"/>
    </row>
    <row r="230">
      <c r="A230" s="171">
        <f>IFERROR(__xludf.DUMMYFUNCTION("""COMPUTED_VALUE"""),46135.0)</f>
        <v>46135</v>
      </c>
      <c r="B230" s="164" t="str">
        <f>IFERROR(__xludf.DUMMYFUNCTION("""COMPUTED_VALUE"""),"حسين سالم")</f>
        <v>حسين سالم</v>
      </c>
      <c r="C230" s="165">
        <f>IFERROR(__xludf.DUMMYFUNCTION("""COMPUTED_VALUE"""),10000.0)</f>
        <v>10000</v>
      </c>
      <c r="E230" s="174"/>
      <c r="F230" s="175"/>
      <c r="G230" s="177"/>
      <c r="H230" s="175"/>
      <c r="I230" s="175"/>
      <c r="J230" s="176"/>
      <c r="K230" s="167"/>
      <c r="L230" s="167"/>
      <c r="M230" s="167"/>
      <c r="N230" s="167"/>
    </row>
    <row r="231">
      <c r="A231" s="171">
        <f>IFERROR(__xludf.DUMMYFUNCTION("""COMPUTED_VALUE"""),46135.0)</f>
        <v>46135</v>
      </c>
      <c r="B231" s="164" t="str">
        <f>IFERROR(__xludf.DUMMYFUNCTION("""COMPUTED_VALUE"""),"حيدر محمد")</f>
        <v>حيدر محمد</v>
      </c>
      <c r="C231" s="165">
        <f>IFERROR(__xludf.DUMMYFUNCTION("""COMPUTED_VALUE"""),10000.0)</f>
        <v>10000</v>
      </c>
      <c r="E231" s="174"/>
      <c r="F231" s="175"/>
      <c r="G231" s="177"/>
      <c r="H231" s="175"/>
      <c r="I231" s="175"/>
      <c r="J231" s="176"/>
      <c r="K231" s="167"/>
      <c r="L231" s="167"/>
      <c r="M231" s="167"/>
      <c r="N231" s="167"/>
    </row>
    <row r="232">
      <c r="A232" s="171">
        <f>IFERROR(__xludf.DUMMYFUNCTION("""COMPUTED_VALUE"""),46135.0)</f>
        <v>46135</v>
      </c>
      <c r="B232" s="164" t="str">
        <f>IFERROR(__xludf.DUMMYFUNCTION("""COMPUTED_VALUE"""),"علي الباكستاني")</f>
        <v>علي الباكستاني</v>
      </c>
      <c r="C232" s="165">
        <f>IFERROR(__xludf.DUMMYFUNCTION("""COMPUTED_VALUE"""),25000.0)</f>
        <v>25000</v>
      </c>
      <c r="E232" s="174"/>
      <c r="F232" s="175"/>
      <c r="G232" s="177"/>
      <c r="H232" s="175"/>
      <c r="I232" s="175"/>
      <c r="J232" s="176"/>
      <c r="K232" s="167"/>
      <c r="L232" s="167"/>
      <c r="M232" s="167"/>
      <c r="N232" s="167"/>
    </row>
    <row r="233">
      <c r="A233" s="171">
        <f>IFERROR(__xludf.DUMMYFUNCTION("""COMPUTED_VALUE"""),46136.0)</f>
        <v>46136</v>
      </c>
      <c r="B233" s="164" t="str">
        <f>IFERROR(__xludf.DUMMYFUNCTION("""COMPUTED_VALUE"""),"حسين سالم")</f>
        <v>حسين سالم</v>
      </c>
      <c r="C233" s="165">
        <f>IFERROR(__xludf.DUMMYFUNCTION("""COMPUTED_VALUE"""),12500.0)</f>
        <v>12500</v>
      </c>
      <c r="E233" s="174"/>
      <c r="F233" s="175"/>
      <c r="G233" s="177"/>
      <c r="H233" s="175"/>
      <c r="I233" s="175"/>
      <c r="J233" s="176"/>
      <c r="K233" s="167"/>
      <c r="L233" s="167"/>
      <c r="M233" s="167"/>
      <c r="N233" s="167"/>
    </row>
    <row r="234">
      <c r="A234" s="171">
        <f>IFERROR(__xludf.DUMMYFUNCTION("""COMPUTED_VALUE"""),46136.0)</f>
        <v>46136</v>
      </c>
      <c r="B234" s="164" t="str">
        <f>IFERROR(__xludf.DUMMYFUNCTION("""COMPUTED_VALUE"""),"حيدر محمد")</f>
        <v>حيدر محمد</v>
      </c>
      <c r="C234" s="165">
        <f>IFERROR(__xludf.DUMMYFUNCTION("""COMPUTED_VALUE"""),12500.0)</f>
        <v>12500</v>
      </c>
      <c r="E234" s="174"/>
      <c r="F234" s="175"/>
      <c r="G234" s="177"/>
      <c r="H234" s="175"/>
      <c r="I234" s="175"/>
      <c r="J234" s="176"/>
      <c r="K234" s="167"/>
      <c r="L234" s="167"/>
      <c r="M234" s="167"/>
      <c r="N234" s="167"/>
    </row>
    <row r="235">
      <c r="A235" s="171">
        <f>IFERROR(__xludf.DUMMYFUNCTION("""COMPUTED_VALUE"""),46137.0)</f>
        <v>46137</v>
      </c>
      <c r="B235" s="164" t="str">
        <f>IFERROR(__xludf.DUMMYFUNCTION("""COMPUTED_VALUE"""),"حيدر محمد")</f>
        <v>حيدر محمد</v>
      </c>
      <c r="C235" s="165">
        <f>IFERROR(__xludf.DUMMYFUNCTION("""COMPUTED_VALUE"""),6000.0)</f>
        <v>6000</v>
      </c>
      <c r="E235" s="174"/>
      <c r="F235" s="175"/>
      <c r="G235" s="177"/>
      <c r="H235" s="175"/>
      <c r="I235" s="175"/>
      <c r="J235" s="176"/>
      <c r="K235" s="167"/>
      <c r="L235" s="167"/>
      <c r="M235" s="167"/>
      <c r="N235" s="167"/>
    </row>
    <row r="236">
      <c r="A236" s="171">
        <f>IFERROR(__xludf.DUMMYFUNCTION("""COMPUTED_VALUE"""),46137.0)</f>
        <v>46137</v>
      </c>
      <c r="B236" s="164" t="str">
        <f>IFERROR(__xludf.DUMMYFUNCTION("""COMPUTED_VALUE"""),"حسين سالم")</f>
        <v>حسين سالم</v>
      </c>
      <c r="C236" s="165">
        <f>IFERROR(__xludf.DUMMYFUNCTION("""COMPUTED_VALUE"""),6000.0)</f>
        <v>6000</v>
      </c>
      <c r="E236" s="174"/>
      <c r="F236" s="175"/>
      <c r="G236" s="177"/>
      <c r="H236" s="175"/>
      <c r="I236" s="175"/>
      <c r="J236" s="176"/>
      <c r="K236" s="167"/>
      <c r="L236" s="167"/>
      <c r="M236" s="167"/>
      <c r="N236" s="167"/>
    </row>
    <row r="237">
      <c r="A237" s="171">
        <f>IFERROR(__xludf.DUMMYFUNCTION("""COMPUTED_VALUE"""),46137.0)</f>
        <v>46137</v>
      </c>
      <c r="B237" s="164" t="str">
        <f>IFERROR(__xludf.DUMMYFUNCTION("""COMPUTED_VALUE"""),"حسين سالم")</f>
        <v>حسين سالم</v>
      </c>
      <c r="C237" s="165">
        <f>IFERROR(__xludf.DUMMYFUNCTION("""COMPUTED_VALUE"""),4000.0)</f>
        <v>4000</v>
      </c>
      <c r="E237" s="174"/>
      <c r="F237" s="175"/>
      <c r="G237" s="177"/>
      <c r="H237" s="175"/>
      <c r="I237" s="175"/>
      <c r="J237" s="176"/>
      <c r="K237" s="167"/>
      <c r="L237" s="167"/>
      <c r="M237" s="167"/>
      <c r="N237" s="167"/>
    </row>
    <row r="238">
      <c r="A238" s="171">
        <f>IFERROR(__xludf.DUMMYFUNCTION("""COMPUTED_VALUE"""),46137.0)</f>
        <v>46137</v>
      </c>
      <c r="B238" s="164" t="str">
        <f>IFERROR(__xludf.DUMMYFUNCTION("""COMPUTED_VALUE"""),"حيدر محمد")</f>
        <v>حيدر محمد</v>
      </c>
      <c r="C238" s="165">
        <f>IFERROR(__xludf.DUMMYFUNCTION("""COMPUTED_VALUE"""),4000.0)</f>
        <v>4000</v>
      </c>
      <c r="E238" s="174"/>
      <c r="F238" s="175"/>
      <c r="G238" s="177"/>
      <c r="H238" s="175"/>
      <c r="I238" s="175"/>
      <c r="J238" s="176"/>
      <c r="K238" s="167"/>
      <c r="L238" s="167"/>
      <c r="M238" s="167"/>
      <c r="N238" s="167"/>
    </row>
    <row r="239">
      <c r="A239" s="171">
        <f>IFERROR(__xludf.DUMMYFUNCTION("""COMPUTED_VALUE"""),46138.0)</f>
        <v>46138</v>
      </c>
      <c r="B239" s="164" t="str">
        <f>IFERROR(__xludf.DUMMYFUNCTION("""COMPUTED_VALUE"""),"حسين سالم")</f>
        <v>حسين سالم</v>
      </c>
      <c r="C239" s="165">
        <f>IFERROR(__xludf.DUMMYFUNCTION("""COMPUTED_VALUE"""),30000.0)</f>
        <v>30000</v>
      </c>
      <c r="E239" s="174"/>
      <c r="F239" s="175"/>
      <c r="G239" s="177"/>
      <c r="H239" s="175"/>
      <c r="I239" s="175"/>
      <c r="J239" s="176"/>
      <c r="K239" s="167"/>
      <c r="L239" s="167"/>
      <c r="M239" s="167"/>
      <c r="N239" s="167"/>
    </row>
    <row r="240">
      <c r="A240" s="171">
        <f>IFERROR(__xludf.DUMMYFUNCTION("""COMPUTED_VALUE"""),46138.0)</f>
        <v>46138</v>
      </c>
      <c r="B240" s="164" t="str">
        <f>IFERROR(__xludf.DUMMYFUNCTION("""COMPUTED_VALUE"""),"حيدر محمد")</f>
        <v>حيدر محمد</v>
      </c>
      <c r="C240" s="165">
        <f>IFERROR(__xludf.DUMMYFUNCTION("""COMPUTED_VALUE"""),50000.0)</f>
        <v>50000</v>
      </c>
      <c r="E240" s="174"/>
      <c r="F240" s="175"/>
      <c r="G240" s="177"/>
      <c r="H240" s="175"/>
      <c r="I240" s="175"/>
      <c r="J240" s="176"/>
      <c r="K240" s="167"/>
      <c r="L240" s="167"/>
      <c r="M240" s="167"/>
      <c r="N240" s="167"/>
    </row>
    <row r="241">
      <c r="A241" s="171">
        <f>IFERROR(__xludf.DUMMYFUNCTION("""COMPUTED_VALUE"""),46141.0)</f>
        <v>46141</v>
      </c>
      <c r="B241" s="164" t="str">
        <f>IFERROR(__xludf.DUMMYFUNCTION("""COMPUTED_VALUE"""),"حيدر يافوز")</f>
        <v>حيدر يافوز</v>
      </c>
      <c r="C241" s="165">
        <f>IFERROR(__xludf.DUMMYFUNCTION("""COMPUTED_VALUE"""),5000.0)</f>
        <v>5000</v>
      </c>
      <c r="E241" s="174"/>
      <c r="F241" s="175"/>
      <c r="G241" s="177"/>
      <c r="H241" s="175"/>
      <c r="I241" s="175"/>
      <c r="J241" s="176"/>
      <c r="K241" s="167"/>
      <c r="L241" s="167"/>
      <c r="M241" s="167"/>
      <c r="N241" s="167"/>
    </row>
    <row r="242">
      <c r="A242" s="171">
        <f>IFERROR(__xludf.DUMMYFUNCTION("""COMPUTED_VALUE"""),46141.0)</f>
        <v>46141</v>
      </c>
      <c r="B242" s="164" t="str">
        <f>IFERROR(__xludf.DUMMYFUNCTION("""COMPUTED_VALUE"""),"حيدر محمد")</f>
        <v>حيدر محمد</v>
      </c>
      <c r="C242" s="165">
        <f>IFERROR(__xludf.DUMMYFUNCTION("""COMPUTED_VALUE"""),5000.0)</f>
        <v>5000</v>
      </c>
      <c r="E242" s="174"/>
      <c r="F242" s="175"/>
      <c r="G242" s="177"/>
      <c r="H242" s="175"/>
      <c r="I242" s="175"/>
      <c r="J242" s="176"/>
      <c r="K242" s="167"/>
      <c r="L242" s="167"/>
      <c r="M242" s="167"/>
      <c r="N242" s="167"/>
    </row>
    <row r="243">
      <c r="A243" s="171">
        <f>IFERROR(__xludf.DUMMYFUNCTION("""COMPUTED_VALUE"""),46142.0)</f>
        <v>46142</v>
      </c>
      <c r="B243" s="164" t="str">
        <f>IFERROR(__xludf.DUMMYFUNCTION("""COMPUTED_VALUE"""),"حسين سالم")</f>
        <v>حسين سالم</v>
      </c>
      <c r="C243" s="165">
        <f>IFERROR(__xludf.DUMMYFUNCTION("""COMPUTED_VALUE"""),20000.0)</f>
        <v>20000</v>
      </c>
      <c r="E243" s="174"/>
      <c r="F243" s="175"/>
      <c r="G243" s="177"/>
      <c r="H243" s="175"/>
      <c r="I243" s="175"/>
      <c r="J243" s="176"/>
      <c r="K243" s="167"/>
      <c r="L243" s="167"/>
      <c r="M243" s="167"/>
      <c r="N243" s="167"/>
    </row>
    <row r="244">
      <c r="A244" s="171">
        <f>IFERROR(__xludf.DUMMYFUNCTION("""COMPUTED_VALUE"""),46142.0)</f>
        <v>46142</v>
      </c>
      <c r="B244" s="164" t="str">
        <f>IFERROR(__xludf.DUMMYFUNCTION("""COMPUTED_VALUE"""),"حيدر يافوز")</f>
        <v>حيدر يافوز</v>
      </c>
      <c r="C244" s="165">
        <f>IFERROR(__xludf.DUMMYFUNCTION("""COMPUTED_VALUE"""),25000.0)</f>
        <v>25000</v>
      </c>
      <c r="E244" s="174"/>
      <c r="F244" s="175"/>
      <c r="G244" s="177"/>
      <c r="H244" s="175"/>
      <c r="I244" s="175"/>
      <c r="J244" s="176"/>
      <c r="K244" s="167"/>
      <c r="L244" s="167"/>
      <c r="M244" s="167"/>
      <c r="N244" s="167"/>
    </row>
    <row r="245">
      <c r="A245" s="171">
        <f>IFERROR(__xludf.DUMMYFUNCTION("""COMPUTED_VALUE"""),46142.0)</f>
        <v>46142</v>
      </c>
      <c r="B245" s="164" t="str">
        <f>IFERROR(__xludf.DUMMYFUNCTION("""COMPUTED_VALUE"""),"علي الباكستاني")</f>
        <v>علي الباكستاني</v>
      </c>
      <c r="C245" s="165">
        <f>IFERROR(__xludf.DUMMYFUNCTION("""COMPUTED_VALUE"""),20000.0)</f>
        <v>20000</v>
      </c>
      <c r="E245" s="174"/>
      <c r="F245" s="175"/>
      <c r="G245" s="177"/>
      <c r="H245" s="175"/>
      <c r="I245" s="175"/>
      <c r="J245" s="176"/>
      <c r="K245" s="167"/>
      <c r="L245" s="167"/>
      <c r="M245" s="167"/>
      <c r="N245" s="167"/>
    </row>
    <row r="246">
      <c r="A246" s="171">
        <f>IFERROR(__xludf.DUMMYFUNCTION("""COMPUTED_VALUE"""),46142.0)</f>
        <v>46142</v>
      </c>
      <c r="B246" s="164" t="str">
        <f>IFERROR(__xludf.DUMMYFUNCTION("""COMPUTED_VALUE"""),"حيدر يافوز")</f>
        <v>حيدر يافوز</v>
      </c>
      <c r="C246" s="165">
        <f>IFERROR(__xludf.DUMMYFUNCTION("""COMPUTED_VALUE"""),30000.0)</f>
        <v>30000</v>
      </c>
      <c r="E246" s="174"/>
      <c r="F246" s="175"/>
      <c r="G246" s="177"/>
      <c r="H246" s="175"/>
      <c r="I246" s="175"/>
      <c r="J246" s="176"/>
      <c r="K246" s="167"/>
      <c r="L246" s="167"/>
      <c r="M246" s="167"/>
      <c r="N246" s="167"/>
    </row>
    <row r="247">
      <c r="A247" s="171">
        <f>IFERROR(__xludf.DUMMYFUNCTION("""COMPUTED_VALUE"""),46142.0)</f>
        <v>46142</v>
      </c>
      <c r="B247" s="164" t="str">
        <f>IFERROR(__xludf.DUMMYFUNCTION("""COMPUTED_VALUE"""),"حيدر محمد")</f>
        <v>حيدر محمد</v>
      </c>
      <c r="C247" s="165">
        <f>IFERROR(__xludf.DUMMYFUNCTION("""COMPUTED_VALUE"""),5000.0)</f>
        <v>5000</v>
      </c>
      <c r="E247" s="174"/>
      <c r="F247" s="175"/>
      <c r="G247" s="177"/>
      <c r="H247" s="175"/>
      <c r="I247" s="175"/>
      <c r="J247" s="176"/>
      <c r="K247" s="167"/>
      <c r="L247" s="167"/>
      <c r="M247" s="167"/>
      <c r="N247" s="167"/>
    </row>
    <row r="248">
      <c r="A248" s="171">
        <f>IFERROR(__xludf.DUMMYFUNCTION("""COMPUTED_VALUE"""),46142.0)</f>
        <v>46142</v>
      </c>
      <c r="B248" s="164" t="str">
        <f>IFERROR(__xludf.DUMMYFUNCTION("""COMPUTED_VALUE"""),"عبدالله هاشم")</f>
        <v>عبدالله هاشم</v>
      </c>
      <c r="C248" s="165">
        <f>IFERROR(__xludf.DUMMYFUNCTION("""COMPUTED_VALUE"""),5000.0)</f>
        <v>5000</v>
      </c>
      <c r="E248" s="174"/>
      <c r="F248" s="175"/>
      <c r="G248" s="177"/>
      <c r="H248" s="175"/>
      <c r="I248" s="175"/>
      <c r="J248" s="176"/>
      <c r="K248" s="167"/>
      <c r="L248" s="167"/>
      <c r="M248" s="167"/>
      <c r="N248" s="167"/>
    </row>
    <row r="249">
      <c r="A249" s="171">
        <f>IFERROR(__xludf.DUMMYFUNCTION("""COMPUTED_VALUE"""),46118.0)</f>
        <v>46118</v>
      </c>
      <c r="B249" s="164" t="str">
        <f>IFERROR(__xludf.DUMMYFUNCTION("""COMPUTED_VALUE"""),"حيدر يافوز")</f>
        <v>حيدر يافوز</v>
      </c>
      <c r="C249" s="165">
        <f>IFERROR(__xludf.DUMMYFUNCTION("""COMPUTED_VALUE"""),30000.0)</f>
        <v>30000</v>
      </c>
      <c r="E249" s="174"/>
      <c r="F249" s="175"/>
      <c r="G249" s="177"/>
      <c r="H249" s="175"/>
      <c r="I249" s="175"/>
      <c r="J249" s="176"/>
      <c r="K249" s="167"/>
      <c r="L249" s="167"/>
      <c r="M249" s="167"/>
      <c r="N249" s="167"/>
    </row>
    <row r="250">
      <c r="A250" s="171">
        <f>IFERROR(__xludf.DUMMYFUNCTION("""COMPUTED_VALUE"""),46118.0)</f>
        <v>46118</v>
      </c>
      <c r="B250" s="164" t="str">
        <f>IFERROR(__xludf.DUMMYFUNCTION("""COMPUTED_VALUE"""),"عبدالله هاشم")</f>
        <v>عبدالله هاشم</v>
      </c>
      <c r="C250" s="165">
        <f>IFERROR(__xludf.DUMMYFUNCTION("""COMPUTED_VALUE"""),125000.0)</f>
        <v>125000</v>
      </c>
      <c r="E250" s="174"/>
      <c r="F250" s="175"/>
      <c r="G250" s="177"/>
      <c r="H250" s="175"/>
      <c r="I250" s="175"/>
      <c r="J250" s="176"/>
      <c r="K250" s="167"/>
      <c r="L250" s="167"/>
      <c r="M250" s="167"/>
      <c r="N250" s="167"/>
    </row>
    <row r="251">
      <c r="A251" s="171">
        <f>IFERROR(__xludf.DUMMYFUNCTION("""COMPUTED_VALUE"""),46122.0)</f>
        <v>46122</v>
      </c>
      <c r="B251" s="164" t="str">
        <f>IFERROR(__xludf.DUMMYFUNCTION("""COMPUTED_VALUE"""),"حيدر يافوز")</f>
        <v>حيدر يافوز</v>
      </c>
      <c r="C251" s="165">
        <f>IFERROR(__xludf.DUMMYFUNCTION("""COMPUTED_VALUE"""),25000.0)</f>
        <v>25000</v>
      </c>
      <c r="E251" s="174"/>
      <c r="F251" s="175"/>
      <c r="G251" s="177"/>
      <c r="H251" s="175"/>
      <c r="I251" s="175"/>
      <c r="J251" s="176"/>
      <c r="K251" s="167"/>
      <c r="L251" s="167"/>
      <c r="M251" s="167"/>
      <c r="N251" s="167"/>
    </row>
    <row r="252">
      <c r="A252" s="171">
        <f>IFERROR(__xludf.DUMMYFUNCTION("""COMPUTED_VALUE"""),46122.0)</f>
        <v>46122</v>
      </c>
      <c r="B252" s="164" t="str">
        <f>IFERROR(__xludf.DUMMYFUNCTION("""COMPUTED_VALUE"""),"عبدالله هاشم")</f>
        <v>عبدالله هاشم</v>
      </c>
      <c r="C252" s="165">
        <f>IFERROR(__xludf.DUMMYFUNCTION("""COMPUTED_VALUE"""),50000.0)</f>
        <v>50000</v>
      </c>
      <c r="E252" s="174"/>
      <c r="F252" s="175"/>
      <c r="G252" s="177"/>
      <c r="H252" s="175"/>
      <c r="I252" s="175"/>
      <c r="J252" s="176"/>
      <c r="K252" s="167"/>
      <c r="L252" s="167"/>
      <c r="M252" s="167"/>
      <c r="N252" s="167"/>
    </row>
    <row r="253">
      <c r="A253" s="179"/>
      <c r="B253" s="164"/>
      <c r="C253" s="165"/>
      <c r="E253" s="174"/>
      <c r="F253" s="175"/>
      <c r="G253" s="177"/>
      <c r="H253" s="175"/>
      <c r="I253" s="175"/>
      <c r="J253" s="176"/>
      <c r="K253" s="167"/>
      <c r="L253" s="167"/>
      <c r="M253" s="167"/>
      <c r="N253" s="167"/>
    </row>
    <row r="254">
      <c r="A254" s="179"/>
      <c r="B254" s="164"/>
      <c r="C254" s="165"/>
      <c r="E254" s="174"/>
      <c r="F254" s="175"/>
      <c r="G254" s="177"/>
      <c r="H254" s="175"/>
      <c r="I254" s="175"/>
      <c r="J254" s="176"/>
      <c r="K254" s="167"/>
      <c r="L254" s="167"/>
      <c r="M254" s="167"/>
      <c r="N254" s="167"/>
    </row>
    <row r="255">
      <c r="A255" s="179"/>
      <c r="B255" s="164"/>
      <c r="C255" s="165"/>
      <c r="E255" s="174"/>
      <c r="F255" s="175"/>
      <c r="G255" s="177"/>
      <c r="H255" s="175"/>
      <c r="I255" s="175"/>
      <c r="J255" s="176"/>
      <c r="K255" s="167"/>
      <c r="L255" s="167"/>
      <c r="M255" s="167"/>
      <c r="N255" s="167"/>
    </row>
    <row r="256">
      <c r="A256" s="179"/>
      <c r="B256" s="164"/>
      <c r="C256" s="165"/>
      <c r="E256" s="174"/>
      <c r="F256" s="175"/>
      <c r="G256" s="177"/>
      <c r="H256" s="175"/>
      <c r="I256" s="175"/>
      <c r="J256" s="176"/>
      <c r="K256" s="167"/>
      <c r="L256" s="167"/>
      <c r="M256" s="167"/>
      <c r="N256" s="167"/>
    </row>
    <row r="257">
      <c r="A257" s="179"/>
      <c r="B257" s="164"/>
      <c r="C257" s="165"/>
      <c r="E257" s="174"/>
      <c r="F257" s="175"/>
      <c r="G257" s="177"/>
      <c r="H257" s="175"/>
      <c r="I257" s="175"/>
      <c r="J257" s="176"/>
      <c r="K257" s="167"/>
      <c r="L257" s="167"/>
      <c r="M257" s="167"/>
      <c r="N257" s="167"/>
    </row>
    <row r="258">
      <c r="A258" s="179"/>
      <c r="B258" s="164"/>
      <c r="C258" s="165"/>
      <c r="E258" s="174"/>
      <c r="F258" s="175"/>
      <c r="G258" s="177"/>
      <c r="H258" s="175"/>
      <c r="I258" s="175"/>
      <c r="J258" s="176"/>
      <c r="K258" s="167"/>
      <c r="L258" s="167"/>
      <c r="M258" s="167"/>
      <c r="N258" s="167"/>
    </row>
    <row r="259">
      <c r="A259" s="179"/>
      <c r="B259" s="164"/>
      <c r="C259" s="165"/>
      <c r="E259" s="174"/>
      <c r="F259" s="175"/>
      <c r="G259" s="177"/>
      <c r="H259" s="175"/>
      <c r="I259" s="175"/>
      <c r="J259" s="176"/>
      <c r="K259" s="167"/>
      <c r="L259" s="167"/>
      <c r="M259" s="167"/>
      <c r="N259" s="167"/>
    </row>
    <row r="260">
      <c r="A260" s="179"/>
      <c r="B260" s="164"/>
      <c r="C260" s="165"/>
      <c r="E260" s="174"/>
      <c r="F260" s="175"/>
      <c r="G260" s="177"/>
      <c r="H260" s="175"/>
      <c r="I260" s="175"/>
      <c r="J260" s="176"/>
      <c r="K260" s="167"/>
      <c r="L260" s="167"/>
      <c r="M260" s="167"/>
      <c r="N260" s="167"/>
    </row>
    <row r="261">
      <c r="A261" s="179"/>
      <c r="B261" s="164"/>
      <c r="C261" s="165"/>
      <c r="E261" s="174"/>
      <c r="F261" s="175"/>
      <c r="G261" s="177"/>
      <c r="H261" s="175"/>
      <c r="I261" s="175"/>
      <c r="J261" s="176"/>
      <c r="K261" s="167"/>
      <c r="L261" s="167"/>
      <c r="M261" s="167"/>
      <c r="N261" s="167"/>
    </row>
    <row r="262">
      <c r="A262" s="179"/>
      <c r="B262" s="164"/>
      <c r="C262" s="165"/>
      <c r="E262" s="174"/>
      <c r="F262" s="175"/>
      <c r="G262" s="177"/>
      <c r="H262" s="175"/>
      <c r="I262" s="175"/>
      <c r="J262" s="176"/>
      <c r="K262" s="167"/>
      <c r="L262" s="167"/>
      <c r="M262" s="167"/>
      <c r="N262" s="167"/>
    </row>
    <row r="263">
      <c r="A263" s="179"/>
      <c r="B263" s="164"/>
      <c r="C263" s="165"/>
      <c r="E263" s="174"/>
      <c r="F263" s="175"/>
      <c r="G263" s="177"/>
      <c r="H263" s="175"/>
      <c r="I263" s="175"/>
      <c r="J263" s="176"/>
      <c r="K263" s="167"/>
      <c r="L263" s="167"/>
      <c r="M263" s="167"/>
      <c r="N263" s="167"/>
    </row>
    <row r="264">
      <c r="A264" s="179"/>
      <c r="B264" s="164"/>
      <c r="C264" s="165"/>
      <c r="E264" s="174"/>
      <c r="F264" s="175"/>
      <c r="G264" s="177"/>
      <c r="H264" s="175"/>
      <c r="I264" s="175"/>
      <c r="J264" s="176"/>
      <c r="K264" s="167"/>
      <c r="L264" s="167"/>
      <c r="M264" s="167"/>
      <c r="N264" s="167"/>
    </row>
    <row r="265">
      <c r="A265" s="179"/>
      <c r="B265" s="164"/>
      <c r="C265" s="165"/>
      <c r="E265" s="174"/>
      <c r="F265" s="175"/>
      <c r="G265" s="177"/>
      <c r="H265" s="175"/>
      <c r="I265" s="175"/>
      <c r="J265" s="176"/>
      <c r="K265" s="167"/>
      <c r="L265" s="167"/>
      <c r="M265" s="167"/>
      <c r="N265" s="167"/>
    </row>
    <row r="266">
      <c r="A266" s="179"/>
      <c r="B266" s="164"/>
      <c r="C266" s="165"/>
      <c r="E266" s="174"/>
      <c r="F266" s="175"/>
      <c r="G266" s="177"/>
      <c r="H266" s="175"/>
      <c r="I266" s="175"/>
      <c r="J266" s="176"/>
      <c r="K266" s="167"/>
      <c r="L266" s="167"/>
      <c r="M266" s="167"/>
      <c r="N266" s="167"/>
    </row>
    <row r="267">
      <c r="A267" s="179"/>
      <c r="B267" s="164"/>
      <c r="C267" s="165"/>
      <c r="E267" s="174"/>
      <c r="F267" s="175"/>
      <c r="G267" s="177"/>
      <c r="H267" s="175"/>
      <c r="I267" s="175"/>
      <c r="J267" s="176"/>
      <c r="K267" s="167"/>
      <c r="L267" s="167"/>
      <c r="M267" s="167"/>
      <c r="N267" s="167"/>
    </row>
    <row r="268">
      <c r="A268" s="179"/>
      <c r="B268" s="164"/>
      <c r="C268" s="165"/>
      <c r="E268" s="174"/>
      <c r="F268" s="175"/>
      <c r="G268" s="177"/>
      <c r="H268" s="175"/>
      <c r="I268" s="175"/>
      <c r="J268" s="176"/>
      <c r="K268" s="167"/>
      <c r="L268" s="167"/>
      <c r="M268" s="167"/>
      <c r="N268" s="167"/>
    </row>
    <row r="269">
      <c r="A269" s="179"/>
      <c r="B269" s="164"/>
      <c r="C269" s="165"/>
      <c r="E269" s="174"/>
      <c r="F269" s="175"/>
      <c r="G269" s="177"/>
      <c r="H269" s="175"/>
      <c r="I269" s="175"/>
      <c r="J269" s="176"/>
      <c r="K269" s="167"/>
      <c r="L269" s="167"/>
      <c r="M269" s="167"/>
      <c r="N269" s="167"/>
    </row>
    <row r="270">
      <c r="A270" s="179"/>
      <c r="B270" s="164"/>
      <c r="C270" s="165"/>
      <c r="E270" s="174"/>
      <c r="F270" s="175"/>
      <c r="G270" s="177"/>
      <c r="H270" s="175"/>
      <c r="I270" s="175"/>
      <c r="J270" s="176"/>
      <c r="K270" s="167"/>
      <c r="L270" s="167"/>
      <c r="M270" s="167"/>
      <c r="N270" s="167"/>
    </row>
    <row r="271">
      <c r="A271" s="179"/>
      <c r="B271" s="164"/>
      <c r="C271" s="165"/>
      <c r="E271" s="174"/>
      <c r="F271" s="175"/>
      <c r="G271" s="177"/>
      <c r="H271" s="175"/>
      <c r="I271" s="175"/>
      <c r="J271" s="176"/>
      <c r="K271" s="167"/>
      <c r="L271" s="167"/>
      <c r="M271" s="167"/>
      <c r="N271" s="167"/>
    </row>
    <row r="272">
      <c r="A272" s="179"/>
      <c r="B272" s="164"/>
      <c r="C272" s="165"/>
      <c r="E272" s="174"/>
      <c r="F272" s="175"/>
      <c r="G272" s="177"/>
      <c r="H272" s="175"/>
      <c r="I272" s="175"/>
      <c r="J272" s="176"/>
      <c r="K272" s="167"/>
      <c r="L272" s="167"/>
      <c r="M272" s="167"/>
      <c r="N272" s="167"/>
    </row>
    <row r="273">
      <c r="A273" s="179"/>
      <c r="B273" s="164"/>
      <c r="C273" s="165"/>
      <c r="E273" s="174"/>
      <c r="F273" s="175"/>
      <c r="G273" s="177"/>
      <c r="H273" s="175"/>
      <c r="I273" s="175"/>
      <c r="J273" s="176"/>
      <c r="K273" s="167"/>
      <c r="L273" s="167"/>
      <c r="M273" s="167"/>
      <c r="N273" s="167"/>
    </row>
    <row r="274">
      <c r="A274" s="179"/>
      <c r="B274" s="164"/>
      <c r="C274" s="165"/>
      <c r="E274" s="174"/>
      <c r="F274" s="175"/>
      <c r="G274" s="177"/>
      <c r="H274" s="175"/>
      <c r="I274" s="175"/>
      <c r="J274" s="176"/>
      <c r="K274" s="167"/>
      <c r="L274" s="167"/>
      <c r="M274" s="167"/>
      <c r="N274" s="167"/>
    </row>
    <row r="275">
      <c r="A275" s="179"/>
      <c r="B275" s="164"/>
      <c r="C275" s="165"/>
      <c r="E275" s="174"/>
      <c r="F275" s="175"/>
      <c r="G275" s="177"/>
      <c r="H275" s="175"/>
      <c r="I275" s="175"/>
      <c r="J275" s="176"/>
      <c r="K275" s="167"/>
      <c r="L275" s="167"/>
      <c r="M275" s="167"/>
      <c r="N275" s="167"/>
    </row>
    <row r="276">
      <c r="A276" s="179"/>
      <c r="B276" s="164"/>
      <c r="C276" s="165"/>
      <c r="E276" s="174"/>
      <c r="F276" s="175"/>
      <c r="G276" s="177"/>
      <c r="H276" s="175"/>
      <c r="I276" s="175"/>
      <c r="J276" s="176"/>
      <c r="K276" s="167"/>
      <c r="L276" s="167"/>
      <c r="M276" s="167"/>
      <c r="N276" s="167"/>
    </row>
    <row r="277">
      <c r="A277" s="179"/>
      <c r="B277" s="164"/>
      <c r="C277" s="165"/>
      <c r="E277" s="174"/>
      <c r="F277" s="175"/>
      <c r="G277" s="177"/>
      <c r="H277" s="175"/>
      <c r="I277" s="175"/>
      <c r="J277" s="176"/>
      <c r="K277" s="167"/>
      <c r="L277" s="167"/>
      <c r="M277" s="167"/>
      <c r="N277" s="167"/>
    </row>
    <row r="278">
      <c r="A278" s="179"/>
      <c r="B278" s="164"/>
      <c r="C278" s="165"/>
      <c r="E278" s="174"/>
      <c r="F278" s="175"/>
      <c r="G278" s="177"/>
      <c r="H278" s="175"/>
      <c r="I278" s="175"/>
      <c r="J278" s="176"/>
      <c r="K278" s="167"/>
      <c r="L278" s="167"/>
      <c r="M278" s="167"/>
      <c r="N278" s="167"/>
    </row>
    <row r="279">
      <c r="A279" s="179"/>
      <c r="B279" s="164"/>
      <c r="C279" s="165"/>
      <c r="E279" s="174"/>
      <c r="F279" s="175"/>
      <c r="G279" s="177"/>
      <c r="H279" s="175"/>
      <c r="I279" s="175"/>
      <c r="J279" s="176"/>
      <c r="K279" s="167"/>
      <c r="L279" s="167"/>
      <c r="M279" s="167"/>
      <c r="N279" s="167"/>
    </row>
    <row r="280">
      <c r="A280" s="179"/>
      <c r="B280" s="164"/>
      <c r="C280" s="165"/>
      <c r="E280" s="174"/>
      <c r="F280" s="175"/>
      <c r="G280" s="177"/>
      <c r="H280" s="175"/>
      <c r="I280" s="175"/>
      <c r="J280" s="176"/>
      <c r="K280" s="167"/>
      <c r="L280" s="167"/>
      <c r="M280" s="167"/>
      <c r="N280" s="167"/>
    </row>
    <row r="281">
      <c r="A281" s="179"/>
      <c r="B281" s="164"/>
      <c r="C281" s="165"/>
      <c r="E281" s="174"/>
      <c r="F281" s="175"/>
      <c r="G281" s="177"/>
      <c r="H281" s="175"/>
      <c r="I281" s="175"/>
      <c r="J281" s="176"/>
      <c r="K281" s="167"/>
      <c r="L281" s="167"/>
      <c r="M281" s="167"/>
      <c r="N281" s="167"/>
    </row>
    <row r="282">
      <c r="A282" s="179"/>
      <c r="B282" s="164"/>
      <c r="C282" s="165"/>
      <c r="E282" s="174"/>
      <c r="F282" s="175"/>
      <c r="G282" s="177"/>
      <c r="H282" s="175"/>
      <c r="I282" s="175"/>
      <c r="J282" s="176"/>
      <c r="K282" s="167"/>
      <c r="L282" s="167"/>
      <c r="M282" s="167"/>
      <c r="N282" s="167"/>
    </row>
    <row r="283">
      <c r="A283" s="179"/>
      <c r="B283" s="164"/>
      <c r="C283" s="165"/>
      <c r="E283" s="174"/>
      <c r="F283" s="175"/>
      <c r="G283" s="177"/>
      <c r="H283" s="175"/>
      <c r="I283" s="175"/>
      <c r="J283" s="176"/>
      <c r="K283" s="167"/>
      <c r="L283" s="167"/>
      <c r="M283" s="167"/>
      <c r="N283" s="167"/>
    </row>
    <row r="284">
      <c r="A284" s="179"/>
      <c r="B284" s="164"/>
      <c r="C284" s="165"/>
      <c r="E284" s="174"/>
      <c r="F284" s="175"/>
      <c r="G284" s="177"/>
      <c r="H284" s="175"/>
      <c r="I284" s="175"/>
      <c r="J284" s="176"/>
      <c r="K284" s="167"/>
      <c r="L284" s="167"/>
      <c r="M284" s="167"/>
      <c r="N284" s="167"/>
    </row>
    <row r="285">
      <c r="A285" s="179"/>
      <c r="B285" s="164"/>
      <c r="C285" s="165"/>
      <c r="E285" s="174"/>
      <c r="F285" s="175"/>
      <c r="G285" s="177"/>
      <c r="H285" s="175"/>
      <c r="I285" s="175"/>
      <c r="J285" s="176"/>
      <c r="K285" s="167"/>
      <c r="L285" s="167"/>
      <c r="M285" s="167"/>
      <c r="N285" s="167"/>
    </row>
    <row r="286">
      <c r="A286" s="179"/>
      <c r="B286" s="164"/>
      <c r="C286" s="165"/>
      <c r="E286" s="174"/>
      <c r="F286" s="175"/>
      <c r="G286" s="177"/>
      <c r="H286" s="175"/>
      <c r="I286" s="175"/>
      <c r="J286" s="176"/>
      <c r="K286" s="167"/>
      <c r="L286" s="167"/>
      <c r="M286" s="167"/>
      <c r="N286" s="167"/>
    </row>
    <row r="287">
      <c r="A287" s="179"/>
      <c r="B287" s="164"/>
      <c r="C287" s="165"/>
      <c r="E287" s="174"/>
      <c r="F287" s="175"/>
      <c r="G287" s="177"/>
      <c r="H287" s="175"/>
      <c r="I287" s="175"/>
      <c r="J287" s="176"/>
      <c r="K287" s="167"/>
      <c r="L287" s="167"/>
      <c r="M287" s="167"/>
      <c r="N287" s="167"/>
    </row>
    <row r="288">
      <c r="A288" s="179"/>
      <c r="B288" s="164"/>
      <c r="C288" s="165"/>
      <c r="E288" s="174"/>
      <c r="F288" s="175"/>
      <c r="G288" s="177"/>
      <c r="H288" s="175"/>
      <c r="I288" s="175"/>
      <c r="J288" s="176"/>
      <c r="K288" s="167"/>
      <c r="L288" s="167"/>
      <c r="M288" s="167"/>
      <c r="N288" s="167"/>
    </row>
    <row r="289">
      <c r="A289" s="179"/>
      <c r="B289" s="164"/>
      <c r="C289" s="165"/>
      <c r="E289" s="174"/>
      <c r="F289" s="175"/>
      <c r="G289" s="177"/>
      <c r="H289" s="175"/>
      <c r="I289" s="175"/>
      <c r="J289" s="176"/>
      <c r="K289" s="167"/>
      <c r="L289" s="167"/>
      <c r="M289" s="167"/>
      <c r="N289" s="167"/>
    </row>
    <row r="290">
      <c r="A290" s="179"/>
      <c r="B290" s="164"/>
      <c r="C290" s="165"/>
      <c r="E290" s="174"/>
      <c r="F290" s="175"/>
      <c r="G290" s="177"/>
      <c r="H290" s="175"/>
      <c r="I290" s="175"/>
      <c r="J290" s="176"/>
      <c r="K290" s="167"/>
      <c r="L290" s="167"/>
      <c r="M290" s="167"/>
      <c r="N290" s="167"/>
    </row>
    <row r="291">
      <c r="A291" s="179"/>
      <c r="B291" s="164"/>
      <c r="C291" s="165"/>
      <c r="E291" s="174"/>
      <c r="F291" s="175"/>
      <c r="G291" s="177"/>
      <c r="H291" s="175"/>
      <c r="I291" s="175"/>
      <c r="J291" s="176"/>
      <c r="K291" s="167"/>
      <c r="L291" s="167"/>
      <c r="M291" s="167"/>
      <c r="N291" s="167"/>
    </row>
    <row r="292">
      <c r="A292" s="179"/>
      <c r="B292" s="164"/>
      <c r="C292" s="165"/>
      <c r="E292" s="174"/>
      <c r="F292" s="175"/>
      <c r="G292" s="177"/>
      <c r="H292" s="175"/>
      <c r="I292" s="175"/>
      <c r="J292" s="176"/>
      <c r="K292" s="167"/>
      <c r="L292" s="167"/>
      <c r="M292" s="167"/>
      <c r="N292" s="167"/>
    </row>
    <row r="293">
      <c r="A293" s="179"/>
      <c r="B293" s="164"/>
      <c r="C293" s="165"/>
      <c r="E293" s="174"/>
      <c r="F293" s="175"/>
      <c r="G293" s="177"/>
      <c r="H293" s="175"/>
      <c r="I293" s="175"/>
      <c r="J293" s="176"/>
      <c r="K293" s="167"/>
      <c r="L293" s="167"/>
      <c r="M293" s="167"/>
      <c r="N293" s="167"/>
    </row>
    <row r="294">
      <c r="A294" s="179"/>
      <c r="B294" s="164"/>
      <c r="C294" s="165"/>
      <c r="E294" s="174"/>
      <c r="F294" s="175"/>
      <c r="G294" s="177"/>
      <c r="H294" s="175"/>
      <c r="I294" s="175"/>
      <c r="J294" s="176"/>
      <c r="K294" s="167"/>
      <c r="L294" s="167"/>
      <c r="M294" s="167"/>
      <c r="N294" s="167"/>
    </row>
    <row r="295">
      <c r="A295" s="179"/>
      <c r="B295" s="164"/>
      <c r="C295" s="165"/>
      <c r="E295" s="174"/>
      <c r="F295" s="175"/>
      <c r="G295" s="177"/>
      <c r="H295" s="175"/>
      <c r="I295" s="175"/>
      <c r="J295" s="176"/>
      <c r="K295" s="167"/>
      <c r="L295" s="167"/>
      <c r="M295" s="167"/>
      <c r="N295" s="167"/>
    </row>
    <row r="296">
      <c r="A296" s="179"/>
      <c r="B296" s="164"/>
      <c r="C296" s="165"/>
      <c r="E296" s="174"/>
      <c r="F296" s="175"/>
      <c r="G296" s="177"/>
      <c r="H296" s="175"/>
      <c r="I296" s="175"/>
      <c r="J296" s="176"/>
      <c r="K296" s="167"/>
      <c r="L296" s="167"/>
      <c r="M296" s="167"/>
      <c r="N296" s="167"/>
    </row>
    <row r="297">
      <c r="A297" s="179"/>
      <c r="B297" s="164"/>
      <c r="C297" s="165"/>
      <c r="E297" s="174"/>
      <c r="F297" s="175"/>
      <c r="G297" s="177"/>
      <c r="H297" s="175"/>
      <c r="I297" s="175"/>
      <c r="J297" s="176"/>
      <c r="K297" s="167"/>
      <c r="L297" s="167"/>
      <c r="M297" s="167"/>
      <c r="N297" s="167"/>
    </row>
    <row r="298">
      <c r="A298" s="179"/>
      <c r="B298" s="164"/>
      <c r="C298" s="165"/>
      <c r="E298" s="174"/>
      <c r="F298" s="175"/>
      <c r="G298" s="177"/>
      <c r="H298" s="175"/>
      <c r="I298" s="175"/>
      <c r="J298" s="176"/>
      <c r="K298" s="167"/>
      <c r="L298" s="167"/>
      <c r="M298" s="167"/>
      <c r="N298" s="167"/>
    </row>
    <row r="299">
      <c r="A299" s="179"/>
      <c r="B299" s="164"/>
      <c r="C299" s="165"/>
      <c r="E299" s="174"/>
      <c r="F299" s="175"/>
      <c r="G299" s="177"/>
      <c r="H299" s="175"/>
      <c r="I299" s="175"/>
      <c r="J299" s="176"/>
      <c r="K299" s="167"/>
      <c r="L299" s="167"/>
      <c r="M299" s="167"/>
      <c r="N299" s="167"/>
    </row>
    <row r="300">
      <c r="A300" s="179"/>
      <c r="B300" s="164"/>
      <c r="C300" s="165"/>
      <c r="E300" s="174"/>
      <c r="F300" s="175"/>
      <c r="G300" s="177"/>
      <c r="H300" s="175"/>
      <c r="I300" s="175"/>
      <c r="J300" s="176"/>
      <c r="K300" s="167"/>
      <c r="L300" s="167"/>
      <c r="M300" s="167"/>
      <c r="N300" s="167"/>
    </row>
    <row r="301">
      <c r="A301" s="179"/>
      <c r="B301" s="164"/>
      <c r="C301" s="165"/>
      <c r="E301" s="174"/>
      <c r="F301" s="175"/>
      <c r="G301" s="177"/>
      <c r="H301" s="175"/>
      <c r="I301" s="175"/>
      <c r="J301" s="176"/>
      <c r="K301" s="167"/>
      <c r="L301" s="167"/>
      <c r="M301" s="167"/>
      <c r="N301" s="167"/>
    </row>
    <row r="302">
      <c r="A302" s="179"/>
      <c r="B302" s="164"/>
      <c r="C302" s="165"/>
      <c r="E302" s="174"/>
      <c r="F302" s="175"/>
      <c r="G302" s="177"/>
      <c r="H302" s="175"/>
      <c r="I302" s="175"/>
      <c r="J302" s="176"/>
      <c r="K302" s="167"/>
      <c r="L302" s="167"/>
      <c r="M302" s="167"/>
      <c r="N302" s="167"/>
    </row>
    <row r="303">
      <c r="A303" s="179"/>
      <c r="B303" s="164"/>
      <c r="C303" s="165"/>
      <c r="E303" s="174"/>
      <c r="F303" s="175"/>
      <c r="G303" s="177"/>
      <c r="H303" s="175"/>
      <c r="I303" s="175"/>
      <c r="J303" s="176"/>
      <c r="K303" s="167"/>
      <c r="L303" s="167"/>
      <c r="M303" s="167"/>
      <c r="N303" s="167"/>
    </row>
    <row r="304">
      <c r="A304" s="179"/>
      <c r="B304" s="164"/>
      <c r="C304" s="165"/>
      <c r="E304" s="174"/>
      <c r="F304" s="175"/>
      <c r="G304" s="177"/>
      <c r="H304" s="175"/>
      <c r="I304" s="175"/>
      <c r="J304" s="176"/>
      <c r="K304" s="167"/>
      <c r="L304" s="167"/>
      <c r="M304" s="167"/>
      <c r="N304" s="167"/>
    </row>
    <row r="305">
      <c r="A305" s="179"/>
      <c r="B305" s="164"/>
      <c r="C305" s="165"/>
      <c r="E305" s="174"/>
      <c r="F305" s="175"/>
      <c r="G305" s="177"/>
      <c r="H305" s="175"/>
      <c r="I305" s="175"/>
      <c r="J305" s="176"/>
      <c r="K305" s="167"/>
      <c r="L305" s="167"/>
      <c r="M305" s="167"/>
      <c r="N305" s="167"/>
    </row>
    <row r="306">
      <c r="A306" s="179"/>
      <c r="B306" s="164"/>
      <c r="C306" s="165"/>
      <c r="E306" s="174"/>
      <c r="F306" s="175"/>
      <c r="G306" s="177"/>
      <c r="H306" s="175"/>
      <c r="I306" s="175"/>
      <c r="J306" s="176"/>
      <c r="K306" s="167"/>
      <c r="L306" s="167"/>
      <c r="M306" s="167"/>
      <c r="N306" s="167"/>
    </row>
    <row r="307">
      <c r="A307" s="179"/>
      <c r="B307" s="164"/>
      <c r="C307" s="165"/>
      <c r="E307" s="174"/>
      <c r="F307" s="175"/>
      <c r="G307" s="177"/>
      <c r="H307" s="175"/>
      <c r="I307" s="175"/>
      <c r="J307" s="176"/>
      <c r="K307" s="167"/>
      <c r="L307" s="167"/>
      <c r="M307" s="167"/>
      <c r="N307" s="167"/>
    </row>
    <row r="308">
      <c r="A308" s="179"/>
      <c r="B308" s="164"/>
      <c r="C308" s="165"/>
      <c r="E308" s="174"/>
      <c r="F308" s="175"/>
      <c r="G308" s="177"/>
      <c r="H308" s="175"/>
      <c r="I308" s="175"/>
      <c r="J308" s="176"/>
      <c r="K308" s="167"/>
      <c r="L308" s="167"/>
      <c r="M308" s="167"/>
      <c r="N308" s="167"/>
    </row>
    <row r="309">
      <c r="A309" s="179"/>
      <c r="B309" s="164"/>
      <c r="C309" s="165"/>
      <c r="E309" s="174"/>
      <c r="F309" s="175"/>
      <c r="G309" s="177"/>
      <c r="H309" s="175"/>
      <c r="I309" s="175"/>
      <c r="J309" s="176"/>
      <c r="K309" s="167"/>
      <c r="L309" s="167"/>
      <c r="M309" s="167"/>
      <c r="N309" s="167"/>
    </row>
    <row r="310">
      <c r="A310" s="179"/>
      <c r="B310" s="164"/>
      <c r="C310" s="165"/>
      <c r="E310" s="174"/>
      <c r="F310" s="175"/>
      <c r="G310" s="177"/>
      <c r="H310" s="175"/>
      <c r="I310" s="175"/>
      <c r="J310" s="176"/>
      <c r="K310" s="167"/>
      <c r="L310" s="167"/>
      <c r="M310" s="167"/>
      <c r="N310" s="167"/>
    </row>
    <row r="311">
      <c r="A311" s="179"/>
      <c r="B311" s="164"/>
      <c r="C311" s="165"/>
      <c r="E311" s="174"/>
      <c r="F311" s="175"/>
      <c r="G311" s="177"/>
      <c r="H311" s="175"/>
      <c r="I311" s="175"/>
      <c r="J311" s="176"/>
      <c r="K311" s="167"/>
      <c r="L311" s="167"/>
      <c r="M311" s="167"/>
      <c r="N311" s="167"/>
    </row>
    <row r="312">
      <c r="A312" s="179"/>
      <c r="B312" s="164"/>
      <c r="C312" s="165"/>
      <c r="E312" s="174"/>
      <c r="F312" s="175"/>
      <c r="G312" s="177"/>
      <c r="H312" s="175"/>
      <c r="I312" s="175"/>
      <c r="J312" s="176"/>
      <c r="K312" s="167"/>
      <c r="L312" s="167"/>
      <c r="M312" s="167"/>
      <c r="N312" s="167"/>
    </row>
    <row r="313">
      <c r="A313" s="179"/>
      <c r="B313" s="164"/>
      <c r="C313" s="165"/>
      <c r="E313" s="174"/>
      <c r="F313" s="175"/>
      <c r="G313" s="177"/>
      <c r="H313" s="175"/>
      <c r="I313" s="175"/>
      <c r="J313" s="176"/>
      <c r="K313" s="167"/>
      <c r="L313" s="167"/>
      <c r="M313" s="167"/>
      <c r="N313" s="167"/>
    </row>
    <row r="314">
      <c r="A314" s="179"/>
      <c r="B314" s="164"/>
      <c r="C314" s="165"/>
      <c r="E314" s="174"/>
      <c r="F314" s="175"/>
      <c r="G314" s="177"/>
      <c r="H314" s="175"/>
      <c r="I314" s="175"/>
      <c r="J314" s="176"/>
      <c r="K314" s="167"/>
      <c r="L314" s="167"/>
      <c r="M314" s="167"/>
      <c r="N314" s="167"/>
    </row>
    <row r="315">
      <c r="A315" s="179"/>
      <c r="B315" s="164"/>
      <c r="C315" s="165"/>
      <c r="E315" s="174"/>
      <c r="F315" s="175"/>
      <c r="G315" s="177"/>
      <c r="H315" s="175"/>
      <c r="I315" s="175"/>
      <c r="J315" s="176"/>
      <c r="K315" s="167"/>
      <c r="L315" s="167"/>
      <c r="M315" s="167"/>
      <c r="N315" s="167"/>
    </row>
    <row r="316">
      <c r="A316" s="179"/>
      <c r="B316" s="164"/>
      <c r="C316" s="165"/>
      <c r="E316" s="174"/>
      <c r="F316" s="175"/>
      <c r="G316" s="177"/>
      <c r="H316" s="175"/>
      <c r="I316" s="175"/>
      <c r="J316" s="176"/>
      <c r="K316" s="167"/>
      <c r="L316" s="167"/>
      <c r="M316" s="167"/>
      <c r="N316" s="167"/>
    </row>
    <row r="317">
      <c r="A317" s="179"/>
      <c r="B317" s="164"/>
      <c r="C317" s="165"/>
      <c r="E317" s="174"/>
      <c r="F317" s="175"/>
      <c r="G317" s="177"/>
      <c r="H317" s="175"/>
      <c r="I317" s="175"/>
      <c r="J317" s="176"/>
      <c r="K317" s="167"/>
      <c r="L317" s="167"/>
      <c r="M317" s="167"/>
      <c r="N317" s="167"/>
    </row>
    <row r="318">
      <c r="A318" s="179"/>
      <c r="B318" s="164"/>
      <c r="C318" s="165"/>
      <c r="E318" s="174"/>
      <c r="F318" s="175"/>
      <c r="G318" s="177"/>
      <c r="H318" s="175"/>
      <c r="I318" s="175"/>
      <c r="J318" s="176"/>
      <c r="K318" s="167"/>
      <c r="L318" s="167"/>
      <c r="M318" s="167"/>
      <c r="N318" s="167"/>
    </row>
    <row r="319">
      <c r="A319" s="179"/>
      <c r="B319" s="164"/>
      <c r="C319" s="165"/>
      <c r="E319" s="174"/>
      <c r="F319" s="175"/>
      <c r="G319" s="177"/>
      <c r="H319" s="175"/>
      <c r="I319" s="175"/>
      <c r="J319" s="176"/>
      <c r="K319" s="167"/>
      <c r="L319" s="167"/>
      <c r="M319" s="167"/>
      <c r="N319" s="167"/>
    </row>
    <row r="320">
      <c r="A320" s="179"/>
      <c r="B320" s="164"/>
      <c r="C320" s="165"/>
      <c r="E320" s="174"/>
      <c r="F320" s="175"/>
      <c r="G320" s="177"/>
      <c r="H320" s="175"/>
      <c r="I320" s="175"/>
      <c r="J320" s="176"/>
      <c r="K320" s="167"/>
      <c r="L320" s="167"/>
      <c r="M320" s="167"/>
      <c r="N320" s="167"/>
    </row>
    <row r="321">
      <c r="A321" s="179"/>
      <c r="B321" s="164"/>
      <c r="C321" s="165"/>
      <c r="E321" s="174"/>
      <c r="F321" s="175"/>
      <c r="G321" s="177"/>
      <c r="H321" s="175"/>
      <c r="I321" s="175"/>
      <c r="J321" s="176"/>
      <c r="K321" s="167"/>
      <c r="L321" s="167"/>
      <c r="M321" s="167"/>
      <c r="N321" s="167"/>
    </row>
    <row r="322">
      <c r="A322" s="179"/>
      <c r="B322" s="164"/>
      <c r="C322" s="165"/>
      <c r="E322" s="174"/>
      <c r="F322" s="175"/>
      <c r="G322" s="177"/>
      <c r="H322" s="175"/>
      <c r="I322" s="175"/>
      <c r="J322" s="176"/>
      <c r="K322" s="167"/>
      <c r="L322" s="167"/>
      <c r="M322" s="167"/>
      <c r="N322" s="167"/>
    </row>
    <row r="323">
      <c r="A323" s="179"/>
      <c r="B323" s="164"/>
      <c r="C323" s="165"/>
      <c r="E323" s="174"/>
      <c r="F323" s="175"/>
      <c r="G323" s="177"/>
      <c r="H323" s="175"/>
      <c r="I323" s="175"/>
      <c r="J323" s="176"/>
      <c r="K323" s="167"/>
      <c r="L323" s="167"/>
      <c r="M323" s="167"/>
      <c r="N323" s="167"/>
    </row>
    <row r="324">
      <c r="A324" s="179"/>
      <c r="B324" s="164"/>
      <c r="C324" s="165"/>
      <c r="E324" s="174"/>
      <c r="F324" s="175"/>
      <c r="G324" s="177"/>
      <c r="H324" s="175"/>
      <c r="I324" s="175"/>
      <c r="J324" s="176"/>
      <c r="K324" s="167"/>
      <c r="L324" s="167"/>
      <c r="M324" s="167"/>
      <c r="N324" s="167"/>
    </row>
    <row r="325">
      <c r="A325" s="179"/>
      <c r="B325" s="164"/>
      <c r="C325" s="165"/>
      <c r="E325" s="174"/>
      <c r="F325" s="175"/>
      <c r="G325" s="177"/>
      <c r="H325" s="175"/>
      <c r="I325" s="175"/>
      <c r="J325" s="176"/>
      <c r="K325" s="167"/>
      <c r="L325" s="167"/>
      <c r="M325" s="167"/>
      <c r="N325" s="167"/>
    </row>
    <row r="326">
      <c r="A326" s="179"/>
      <c r="B326" s="164"/>
      <c r="C326" s="165"/>
      <c r="E326" s="174"/>
      <c r="F326" s="175"/>
      <c r="G326" s="177"/>
      <c r="H326" s="175"/>
      <c r="I326" s="175"/>
      <c r="J326" s="176"/>
      <c r="K326" s="167"/>
      <c r="L326" s="167"/>
      <c r="M326" s="167"/>
      <c r="N326" s="167"/>
    </row>
    <row r="327">
      <c r="A327" s="179"/>
      <c r="B327" s="164"/>
      <c r="C327" s="165"/>
      <c r="E327" s="174"/>
      <c r="F327" s="175"/>
      <c r="G327" s="177"/>
      <c r="H327" s="175"/>
      <c r="I327" s="175"/>
      <c r="J327" s="176"/>
      <c r="K327" s="167"/>
      <c r="L327" s="167"/>
      <c r="M327" s="167"/>
      <c r="N327" s="167"/>
    </row>
    <row r="328">
      <c r="A328" s="179"/>
      <c r="B328" s="164"/>
      <c r="C328" s="165"/>
      <c r="E328" s="174"/>
      <c r="F328" s="175"/>
      <c r="G328" s="177"/>
      <c r="H328" s="175"/>
      <c r="I328" s="175"/>
      <c r="J328" s="176"/>
      <c r="K328" s="167"/>
      <c r="L328" s="167"/>
      <c r="M328" s="167"/>
      <c r="N328" s="167"/>
    </row>
    <row r="329">
      <c r="A329" s="179"/>
      <c r="B329" s="164"/>
      <c r="C329" s="165"/>
      <c r="E329" s="174"/>
      <c r="F329" s="175"/>
      <c r="G329" s="177"/>
      <c r="H329" s="175"/>
      <c r="I329" s="175"/>
      <c r="J329" s="176"/>
      <c r="K329" s="167"/>
      <c r="L329" s="167"/>
      <c r="M329" s="167"/>
      <c r="N329" s="167"/>
    </row>
    <row r="330">
      <c r="A330" s="179"/>
      <c r="B330" s="164"/>
      <c r="C330" s="165"/>
      <c r="E330" s="174"/>
      <c r="F330" s="175"/>
      <c r="G330" s="177"/>
      <c r="H330" s="175"/>
      <c r="I330" s="175"/>
      <c r="J330" s="176"/>
      <c r="K330" s="167"/>
      <c r="L330" s="167"/>
      <c r="M330" s="167"/>
      <c r="N330" s="167"/>
    </row>
    <row r="331">
      <c r="A331" s="179"/>
      <c r="B331" s="164"/>
      <c r="C331" s="165"/>
      <c r="E331" s="174"/>
      <c r="F331" s="175"/>
      <c r="G331" s="177"/>
      <c r="H331" s="175"/>
      <c r="I331" s="175"/>
      <c r="J331" s="176"/>
      <c r="K331" s="167"/>
      <c r="L331" s="167"/>
      <c r="M331" s="167"/>
      <c r="N331" s="167"/>
    </row>
    <row r="332">
      <c r="A332" s="179"/>
      <c r="B332" s="164"/>
      <c r="C332" s="165"/>
      <c r="E332" s="174"/>
      <c r="F332" s="175"/>
      <c r="G332" s="177"/>
      <c r="H332" s="175"/>
      <c r="I332" s="175"/>
      <c r="J332" s="176"/>
      <c r="K332" s="167"/>
      <c r="L332" s="167"/>
      <c r="M332" s="167"/>
      <c r="N332" s="167"/>
    </row>
    <row r="333">
      <c r="A333" s="179"/>
      <c r="B333" s="164"/>
      <c r="C333" s="165"/>
      <c r="E333" s="174"/>
      <c r="F333" s="175"/>
      <c r="G333" s="177"/>
      <c r="H333" s="175"/>
      <c r="I333" s="175"/>
      <c r="J333" s="176"/>
      <c r="K333" s="167"/>
      <c r="L333" s="167"/>
      <c r="M333" s="167"/>
      <c r="N333" s="167"/>
    </row>
    <row r="334">
      <c r="A334" s="179"/>
      <c r="B334" s="164"/>
      <c r="C334" s="165"/>
      <c r="E334" s="174"/>
      <c r="F334" s="175"/>
      <c r="G334" s="177"/>
      <c r="H334" s="175"/>
      <c r="I334" s="175"/>
      <c r="J334" s="176"/>
      <c r="K334" s="167"/>
      <c r="L334" s="167"/>
      <c r="M334" s="167"/>
      <c r="N334" s="167"/>
    </row>
    <row r="335">
      <c r="A335" s="179"/>
      <c r="B335" s="164"/>
      <c r="C335" s="165"/>
      <c r="E335" s="174"/>
      <c r="F335" s="175"/>
      <c r="G335" s="177"/>
      <c r="H335" s="175"/>
      <c r="I335" s="175"/>
      <c r="J335" s="176"/>
      <c r="K335" s="167"/>
      <c r="L335" s="167"/>
      <c r="M335" s="167"/>
      <c r="N335" s="167"/>
    </row>
    <row r="336">
      <c r="A336" s="179"/>
      <c r="B336" s="164"/>
      <c r="C336" s="165"/>
      <c r="E336" s="174"/>
      <c r="F336" s="175"/>
      <c r="G336" s="177"/>
      <c r="H336" s="175"/>
      <c r="I336" s="175"/>
      <c r="J336" s="176"/>
      <c r="K336" s="167"/>
      <c r="L336" s="167"/>
      <c r="M336" s="167"/>
      <c r="N336" s="167"/>
    </row>
    <row r="337">
      <c r="A337" s="179"/>
      <c r="B337" s="164"/>
      <c r="C337" s="165"/>
      <c r="E337" s="174"/>
      <c r="F337" s="175"/>
      <c r="G337" s="177"/>
      <c r="H337" s="175"/>
      <c r="I337" s="175"/>
      <c r="J337" s="176"/>
      <c r="K337" s="167"/>
      <c r="L337" s="167"/>
      <c r="M337" s="167"/>
      <c r="N337" s="167"/>
    </row>
    <row r="338">
      <c r="A338" s="179"/>
      <c r="B338" s="164"/>
      <c r="C338" s="165"/>
      <c r="E338" s="174"/>
      <c r="F338" s="175"/>
      <c r="G338" s="177"/>
      <c r="H338" s="175"/>
      <c r="I338" s="175"/>
      <c r="J338" s="176"/>
      <c r="K338" s="167"/>
      <c r="L338" s="167"/>
      <c r="M338" s="167"/>
      <c r="N338" s="167"/>
    </row>
    <row r="339">
      <c r="A339" s="179"/>
      <c r="B339" s="164"/>
      <c r="C339" s="165"/>
      <c r="E339" s="174"/>
      <c r="F339" s="175"/>
      <c r="G339" s="177"/>
      <c r="H339" s="175"/>
      <c r="I339" s="175"/>
      <c r="J339" s="176"/>
      <c r="K339" s="167"/>
      <c r="L339" s="167"/>
      <c r="M339" s="167"/>
      <c r="N339" s="167"/>
    </row>
    <row r="340">
      <c r="A340" s="179"/>
      <c r="B340" s="164"/>
      <c r="C340" s="165"/>
      <c r="E340" s="174"/>
      <c r="F340" s="175"/>
      <c r="G340" s="177"/>
      <c r="H340" s="175"/>
      <c r="I340" s="175"/>
      <c r="J340" s="176"/>
      <c r="K340" s="167"/>
      <c r="L340" s="167"/>
      <c r="M340" s="167"/>
      <c r="N340" s="167"/>
    </row>
    <row r="341">
      <c r="A341" s="179"/>
      <c r="B341" s="164"/>
      <c r="C341" s="165"/>
      <c r="E341" s="174"/>
      <c r="F341" s="175"/>
      <c r="G341" s="177"/>
      <c r="H341" s="175"/>
      <c r="I341" s="175"/>
      <c r="J341" s="176"/>
      <c r="K341" s="167"/>
      <c r="L341" s="167"/>
      <c r="M341" s="167"/>
      <c r="N341" s="167"/>
    </row>
    <row r="342">
      <c r="A342" s="179"/>
      <c r="B342" s="164"/>
      <c r="C342" s="165"/>
      <c r="E342" s="174"/>
      <c r="F342" s="175"/>
      <c r="G342" s="177"/>
      <c r="H342" s="175"/>
      <c r="I342" s="175"/>
      <c r="J342" s="176"/>
      <c r="K342" s="167"/>
      <c r="L342" s="167"/>
      <c r="M342" s="167"/>
      <c r="N342" s="167"/>
    </row>
    <row r="343">
      <c r="A343" s="179"/>
      <c r="B343" s="164"/>
      <c r="C343" s="165"/>
      <c r="E343" s="174"/>
      <c r="F343" s="175"/>
      <c r="G343" s="177"/>
      <c r="H343" s="175"/>
      <c r="I343" s="175"/>
      <c r="J343" s="176"/>
      <c r="K343" s="167"/>
      <c r="L343" s="167"/>
      <c r="M343" s="167"/>
      <c r="N343" s="167"/>
    </row>
    <row r="344">
      <c r="A344" s="179"/>
      <c r="B344" s="164"/>
      <c r="C344" s="165"/>
      <c r="E344" s="174"/>
      <c r="F344" s="175"/>
      <c r="G344" s="177"/>
      <c r="H344" s="175"/>
      <c r="I344" s="175"/>
      <c r="J344" s="176"/>
      <c r="K344" s="167"/>
      <c r="L344" s="167"/>
      <c r="M344" s="167"/>
      <c r="N344" s="167"/>
    </row>
    <row r="345">
      <c r="A345" s="179"/>
      <c r="B345" s="164"/>
      <c r="C345" s="165"/>
      <c r="E345" s="174"/>
      <c r="F345" s="175"/>
      <c r="G345" s="177"/>
      <c r="H345" s="175"/>
      <c r="I345" s="175"/>
      <c r="J345" s="176"/>
      <c r="K345" s="167"/>
      <c r="L345" s="167"/>
      <c r="M345" s="167"/>
      <c r="N345" s="167"/>
    </row>
    <row r="346">
      <c r="A346" s="179"/>
      <c r="B346" s="164"/>
      <c r="C346" s="165"/>
      <c r="E346" s="174"/>
      <c r="F346" s="175"/>
      <c r="G346" s="177"/>
      <c r="H346" s="175"/>
      <c r="I346" s="175"/>
      <c r="J346" s="176"/>
      <c r="K346" s="167"/>
      <c r="L346" s="167"/>
      <c r="M346" s="167"/>
      <c r="N346" s="167"/>
    </row>
    <row r="347">
      <c r="A347" s="179"/>
      <c r="B347" s="164"/>
      <c r="C347" s="165"/>
      <c r="E347" s="174"/>
      <c r="F347" s="175"/>
      <c r="G347" s="177"/>
      <c r="H347" s="175"/>
      <c r="I347" s="175"/>
      <c r="J347" s="176"/>
      <c r="K347" s="167"/>
      <c r="L347" s="167"/>
      <c r="M347" s="167"/>
      <c r="N347" s="167"/>
    </row>
    <row r="348">
      <c r="A348" s="179"/>
      <c r="B348" s="164"/>
      <c r="C348" s="165"/>
      <c r="E348" s="174"/>
      <c r="F348" s="175"/>
      <c r="G348" s="177"/>
      <c r="H348" s="175"/>
      <c r="I348" s="175"/>
      <c r="J348" s="176"/>
      <c r="K348" s="167"/>
      <c r="L348" s="167"/>
      <c r="M348" s="167"/>
      <c r="N348" s="167"/>
    </row>
    <row r="349">
      <c r="A349" s="179"/>
      <c r="B349" s="164"/>
      <c r="C349" s="165"/>
      <c r="E349" s="174"/>
      <c r="F349" s="175"/>
      <c r="G349" s="177"/>
      <c r="H349" s="175"/>
      <c r="I349" s="175"/>
      <c r="J349" s="176"/>
      <c r="K349" s="167"/>
      <c r="L349" s="167"/>
      <c r="M349" s="167"/>
      <c r="N349" s="167"/>
    </row>
    <row r="350">
      <c r="A350" s="179"/>
      <c r="B350" s="164"/>
      <c r="C350" s="165"/>
      <c r="E350" s="174"/>
      <c r="F350" s="175"/>
      <c r="G350" s="177"/>
      <c r="H350" s="175"/>
      <c r="I350" s="175"/>
      <c r="J350" s="176"/>
      <c r="K350" s="167"/>
      <c r="L350" s="167"/>
      <c r="M350" s="167"/>
      <c r="N350" s="167"/>
    </row>
    <row r="351">
      <c r="A351" s="179"/>
      <c r="B351" s="164"/>
      <c r="C351" s="165"/>
      <c r="E351" s="174"/>
      <c r="F351" s="175"/>
      <c r="G351" s="177"/>
      <c r="H351" s="175"/>
      <c r="I351" s="175"/>
      <c r="J351" s="176"/>
      <c r="K351" s="167"/>
      <c r="L351" s="167"/>
      <c r="M351" s="167"/>
      <c r="N351" s="167"/>
    </row>
    <row r="352">
      <c r="A352" s="179"/>
      <c r="B352" s="164"/>
      <c r="C352" s="165"/>
      <c r="E352" s="174"/>
      <c r="F352" s="175"/>
      <c r="G352" s="177"/>
      <c r="H352" s="175"/>
      <c r="I352" s="175"/>
      <c r="J352" s="176"/>
      <c r="K352" s="167"/>
      <c r="L352" s="167"/>
      <c r="M352" s="167"/>
      <c r="N352" s="167"/>
    </row>
    <row r="353">
      <c r="A353" s="179"/>
      <c r="B353" s="164"/>
      <c r="C353" s="165"/>
      <c r="E353" s="174"/>
      <c r="F353" s="175"/>
      <c r="G353" s="177"/>
      <c r="H353" s="175"/>
      <c r="I353" s="175"/>
      <c r="J353" s="176"/>
      <c r="K353" s="167"/>
      <c r="L353" s="167"/>
      <c r="M353" s="167"/>
      <c r="N353" s="167"/>
    </row>
    <row r="354">
      <c r="A354" s="179"/>
      <c r="B354" s="164"/>
      <c r="C354" s="165"/>
      <c r="E354" s="174"/>
      <c r="F354" s="175"/>
      <c r="G354" s="177"/>
      <c r="H354" s="175"/>
      <c r="I354" s="175"/>
      <c r="J354" s="176"/>
      <c r="K354" s="167"/>
      <c r="L354" s="167"/>
      <c r="M354" s="167"/>
      <c r="N354" s="167"/>
    </row>
    <row r="355">
      <c r="A355" s="179"/>
      <c r="B355" s="164"/>
      <c r="C355" s="165"/>
      <c r="E355" s="174"/>
      <c r="F355" s="175"/>
      <c r="G355" s="177"/>
      <c r="H355" s="175"/>
      <c r="I355" s="175"/>
      <c r="J355" s="176"/>
      <c r="K355" s="167"/>
      <c r="L355" s="167"/>
      <c r="M355" s="167"/>
      <c r="N355" s="167"/>
    </row>
    <row r="356">
      <c r="A356" s="179"/>
      <c r="B356" s="164"/>
      <c r="C356" s="165"/>
      <c r="E356" s="174"/>
      <c r="F356" s="175"/>
      <c r="G356" s="177"/>
      <c r="H356" s="175"/>
      <c r="I356" s="175"/>
      <c r="J356" s="176"/>
      <c r="K356" s="167"/>
      <c r="L356" s="167"/>
      <c r="M356" s="167"/>
      <c r="N356" s="167"/>
    </row>
    <row r="357">
      <c r="A357" s="179"/>
      <c r="B357" s="164"/>
      <c r="C357" s="165"/>
      <c r="E357" s="174"/>
      <c r="F357" s="175"/>
      <c r="G357" s="177"/>
      <c r="H357" s="175"/>
      <c r="I357" s="175"/>
      <c r="J357" s="176"/>
      <c r="K357" s="167"/>
      <c r="L357" s="167"/>
      <c r="M357" s="167"/>
      <c r="N357" s="167"/>
    </row>
    <row r="358">
      <c r="A358" s="179"/>
      <c r="B358" s="164"/>
      <c r="C358" s="165"/>
      <c r="E358" s="174"/>
      <c r="F358" s="175"/>
      <c r="G358" s="177"/>
      <c r="H358" s="175"/>
      <c r="I358" s="175"/>
      <c r="J358" s="176"/>
      <c r="K358" s="167"/>
      <c r="L358" s="167"/>
      <c r="M358" s="167"/>
      <c r="N358" s="167"/>
    </row>
    <row r="359">
      <c r="A359" s="179"/>
      <c r="B359" s="164"/>
      <c r="C359" s="165"/>
      <c r="E359" s="174"/>
      <c r="F359" s="175"/>
      <c r="G359" s="177"/>
      <c r="H359" s="175"/>
      <c r="I359" s="175"/>
      <c r="J359" s="176"/>
      <c r="K359" s="167"/>
      <c r="L359" s="167"/>
      <c r="M359" s="167"/>
      <c r="N359" s="167"/>
    </row>
    <row r="360">
      <c r="A360" s="179"/>
      <c r="B360" s="164"/>
      <c r="C360" s="165"/>
      <c r="E360" s="174"/>
      <c r="F360" s="175"/>
      <c r="G360" s="177"/>
      <c r="H360" s="175"/>
      <c r="I360" s="175"/>
      <c r="J360" s="176"/>
      <c r="K360" s="167"/>
      <c r="L360" s="167"/>
      <c r="M360" s="167"/>
      <c r="N360" s="167"/>
    </row>
    <row r="361">
      <c r="A361" s="179"/>
      <c r="B361" s="164"/>
      <c r="C361" s="165"/>
      <c r="E361" s="174"/>
      <c r="F361" s="175"/>
      <c r="G361" s="177"/>
      <c r="H361" s="175"/>
      <c r="I361" s="175"/>
      <c r="J361" s="176"/>
      <c r="K361" s="167"/>
      <c r="L361" s="167"/>
      <c r="M361" s="167"/>
      <c r="N361" s="167"/>
    </row>
    <row r="362">
      <c r="A362" s="179"/>
      <c r="B362" s="164"/>
      <c r="C362" s="165"/>
      <c r="E362" s="174"/>
      <c r="F362" s="175"/>
      <c r="G362" s="177"/>
      <c r="H362" s="175"/>
      <c r="I362" s="175"/>
      <c r="J362" s="176"/>
      <c r="K362" s="167"/>
      <c r="L362" s="167"/>
      <c r="M362" s="167"/>
      <c r="N362" s="167"/>
    </row>
    <row r="363">
      <c r="A363" s="179"/>
      <c r="B363" s="164"/>
      <c r="C363" s="165"/>
      <c r="E363" s="174"/>
      <c r="F363" s="175"/>
      <c r="G363" s="177"/>
      <c r="H363" s="175"/>
      <c r="I363" s="175"/>
      <c r="J363" s="176"/>
      <c r="K363" s="167"/>
      <c r="L363" s="167"/>
      <c r="M363" s="167"/>
      <c r="N363" s="167"/>
    </row>
    <row r="364">
      <c r="A364" s="179"/>
      <c r="B364" s="164"/>
      <c r="C364" s="165"/>
      <c r="E364" s="174"/>
      <c r="F364" s="175"/>
      <c r="G364" s="177"/>
      <c r="H364" s="175"/>
      <c r="I364" s="175"/>
      <c r="J364" s="176"/>
      <c r="K364" s="167"/>
      <c r="L364" s="167"/>
      <c r="M364" s="167"/>
      <c r="N364" s="167"/>
    </row>
    <row r="365">
      <c r="A365" s="179"/>
      <c r="B365" s="164"/>
      <c r="C365" s="165"/>
      <c r="E365" s="174"/>
      <c r="F365" s="175"/>
      <c r="G365" s="177"/>
      <c r="H365" s="175"/>
      <c r="I365" s="175"/>
      <c r="J365" s="176"/>
      <c r="K365" s="167"/>
      <c r="L365" s="167"/>
      <c r="M365" s="167"/>
      <c r="N365" s="167"/>
    </row>
    <row r="366">
      <c r="A366" s="179"/>
      <c r="B366" s="164"/>
      <c r="C366" s="165"/>
      <c r="E366" s="174"/>
      <c r="F366" s="175"/>
      <c r="G366" s="177"/>
      <c r="H366" s="175"/>
      <c r="I366" s="175"/>
      <c r="J366" s="176"/>
      <c r="K366" s="167"/>
      <c r="L366" s="167"/>
      <c r="M366" s="167"/>
      <c r="N366" s="167"/>
    </row>
    <row r="367">
      <c r="A367" s="179"/>
      <c r="B367" s="164"/>
      <c r="C367" s="165"/>
      <c r="E367" s="174"/>
      <c r="F367" s="175"/>
      <c r="G367" s="177"/>
      <c r="H367" s="175"/>
      <c r="I367" s="175"/>
      <c r="J367" s="176"/>
      <c r="K367" s="167"/>
      <c r="L367" s="167"/>
      <c r="M367" s="167"/>
      <c r="N367" s="167"/>
    </row>
    <row r="368">
      <c r="A368" s="179"/>
      <c r="B368" s="164"/>
      <c r="C368" s="165"/>
      <c r="E368" s="174"/>
      <c r="F368" s="175"/>
      <c r="G368" s="177"/>
      <c r="H368" s="175"/>
      <c r="I368" s="175"/>
      <c r="J368" s="176"/>
      <c r="K368" s="167"/>
      <c r="L368" s="167"/>
      <c r="M368" s="167"/>
      <c r="N368" s="167"/>
    </row>
    <row r="369">
      <c r="A369" s="179"/>
      <c r="B369" s="164"/>
      <c r="C369" s="165"/>
      <c r="E369" s="174"/>
      <c r="F369" s="175"/>
      <c r="G369" s="177"/>
      <c r="H369" s="175"/>
      <c r="I369" s="175"/>
      <c r="J369" s="176"/>
      <c r="K369" s="167"/>
      <c r="L369" s="167"/>
      <c r="M369" s="167"/>
      <c r="N369" s="167"/>
    </row>
    <row r="370">
      <c r="A370" s="179"/>
      <c r="B370" s="164"/>
      <c r="C370" s="165"/>
      <c r="E370" s="174"/>
      <c r="F370" s="175"/>
      <c r="G370" s="177"/>
      <c r="H370" s="175"/>
      <c r="I370" s="175"/>
      <c r="J370" s="176"/>
      <c r="K370" s="167"/>
      <c r="L370" s="167"/>
      <c r="M370" s="167"/>
      <c r="N370" s="167"/>
    </row>
    <row r="371">
      <c r="A371" s="179"/>
      <c r="B371" s="164"/>
      <c r="C371" s="165"/>
      <c r="E371" s="174"/>
      <c r="F371" s="175"/>
      <c r="G371" s="177"/>
      <c r="H371" s="175"/>
      <c r="I371" s="175"/>
      <c r="J371" s="176"/>
      <c r="K371" s="167"/>
      <c r="L371" s="167"/>
      <c r="M371" s="167"/>
      <c r="N371" s="167"/>
    </row>
    <row r="372">
      <c r="A372" s="179"/>
      <c r="B372" s="164"/>
      <c r="C372" s="165"/>
      <c r="E372" s="174"/>
      <c r="F372" s="175"/>
      <c r="G372" s="177"/>
      <c r="H372" s="175"/>
      <c r="I372" s="175"/>
      <c r="J372" s="176"/>
      <c r="K372" s="167"/>
      <c r="L372" s="167"/>
      <c r="M372" s="167"/>
      <c r="N372" s="167"/>
    </row>
    <row r="373">
      <c r="A373" s="179"/>
      <c r="B373" s="164"/>
      <c r="C373" s="165"/>
      <c r="E373" s="174"/>
      <c r="F373" s="175"/>
      <c r="G373" s="177"/>
      <c r="H373" s="175"/>
      <c r="I373" s="175"/>
      <c r="J373" s="176"/>
      <c r="K373" s="167"/>
      <c r="L373" s="167"/>
      <c r="M373" s="167"/>
      <c r="N373" s="167"/>
    </row>
    <row r="374">
      <c r="A374" s="179"/>
      <c r="B374" s="164"/>
      <c r="C374" s="165"/>
      <c r="E374" s="174"/>
      <c r="F374" s="175"/>
      <c r="G374" s="177"/>
      <c r="H374" s="175"/>
      <c r="I374" s="175"/>
      <c r="J374" s="176"/>
      <c r="K374" s="167"/>
      <c r="L374" s="167"/>
      <c r="M374" s="167"/>
      <c r="N374" s="167"/>
    </row>
    <row r="375">
      <c r="A375" s="179"/>
      <c r="B375" s="164"/>
      <c r="C375" s="165"/>
      <c r="E375" s="174"/>
      <c r="F375" s="175"/>
      <c r="G375" s="177"/>
      <c r="H375" s="175"/>
      <c r="I375" s="175"/>
      <c r="J375" s="176"/>
      <c r="K375" s="167"/>
      <c r="L375" s="167"/>
      <c r="M375" s="167"/>
      <c r="N375" s="167"/>
    </row>
    <row r="376">
      <c r="A376" s="179"/>
      <c r="B376" s="164"/>
      <c r="C376" s="165"/>
      <c r="E376" s="174"/>
      <c r="F376" s="175"/>
      <c r="G376" s="177"/>
      <c r="H376" s="175"/>
      <c r="I376" s="175"/>
      <c r="J376" s="176"/>
      <c r="K376" s="167"/>
      <c r="L376" s="167"/>
      <c r="M376" s="167"/>
      <c r="N376" s="167"/>
    </row>
    <row r="377">
      <c r="A377" s="179"/>
      <c r="B377" s="164"/>
      <c r="C377" s="165"/>
      <c r="E377" s="174"/>
      <c r="F377" s="175"/>
      <c r="G377" s="177"/>
      <c r="H377" s="175"/>
      <c r="I377" s="175"/>
      <c r="J377" s="176"/>
      <c r="K377" s="167"/>
      <c r="L377" s="167"/>
      <c r="M377" s="167"/>
      <c r="N377" s="167"/>
    </row>
    <row r="378">
      <c r="A378" s="179"/>
      <c r="B378" s="164"/>
      <c r="C378" s="165"/>
      <c r="E378" s="174"/>
      <c r="F378" s="175"/>
      <c r="G378" s="177"/>
      <c r="H378" s="175"/>
      <c r="I378" s="175"/>
      <c r="J378" s="176"/>
      <c r="K378" s="167"/>
      <c r="L378" s="167"/>
      <c r="M378" s="167"/>
      <c r="N378" s="167"/>
    </row>
    <row r="379">
      <c r="A379" s="179"/>
      <c r="B379" s="164"/>
      <c r="C379" s="165"/>
      <c r="E379" s="174"/>
      <c r="F379" s="175"/>
      <c r="G379" s="177"/>
      <c r="H379" s="175"/>
      <c r="I379" s="175"/>
      <c r="J379" s="176"/>
      <c r="K379" s="167"/>
      <c r="L379" s="167"/>
      <c r="M379" s="167"/>
      <c r="N379" s="167"/>
    </row>
    <row r="380">
      <c r="A380" s="179"/>
      <c r="B380" s="164"/>
      <c r="C380" s="165"/>
      <c r="E380" s="174"/>
      <c r="F380" s="175"/>
      <c r="G380" s="177"/>
      <c r="H380" s="175"/>
      <c r="I380" s="175"/>
      <c r="J380" s="176"/>
      <c r="K380" s="167"/>
      <c r="L380" s="167"/>
      <c r="M380" s="167"/>
      <c r="N380" s="167"/>
    </row>
    <row r="381">
      <c r="A381" s="179"/>
      <c r="B381" s="164"/>
      <c r="C381" s="165"/>
      <c r="E381" s="174"/>
      <c r="F381" s="175"/>
      <c r="G381" s="177"/>
      <c r="H381" s="175"/>
      <c r="I381" s="175"/>
      <c r="J381" s="176"/>
      <c r="K381" s="167"/>
      <c r="L381" s="167"/>
      <c r="M381" s="167"/>
      <c r="N381" s="167"/>
    </row>
    <row r="382">
      <c r="A382" s="179"/>
      <c r="B382" s="164"/>
      <c r="C382" s="165"/>
      <c r="E382" s="174"/>
      <c r="F382" s="175"/>
      <c r="G382" s="177"/>
      <c r="H382" s="175"/>
      <c r="I382" s="175"/>
      <c r="J382" s="176"/>
      <c r="K382" s="167"/>
      <c r="L382" s="167"/>
      <c r="M382" s="167"/>
      <c r="N382" s="167"/>
    </row>
    <row r="383">
      <c r="A383" s="179"/>
      <c r="B383" s="164"/>
      <c r="C383" s="165"/>
      <c r="E383" s="174"/>
      <c r="F383" s="175"/>
      <c r="G383" s="177"/>
      <c r="H383" s="175"/>
      <c r="I383" s="175"/>
      <c r="J383" s="176"/>
      <c r="K383" s="167"/>
      <c r="L383" s="167"/>
      <c r="M383" s="167"/>
      <c r="N383" s="167"/>
    </row>
    <row r="384">
      <c r="A384" s="179"/>
      <c r="B384" s="164"/>
      <c r="C384" s="165"/>
      <c r="E384" s="174"/>
      <c r="F384" s="175"/>
      <c r="G384" s="177"/>
      <c r="H384" s="175"/>
      <c r="I384" s="175"/>
      <c r="J384" s="176"/>
      <c r="K384" s="167"/>
      <c r="L384" s="167"/>
      <c r="M384" s="167"/>
      <c r="N384" s="167"/>
    </row>
    <row r="385">
      <c r="A385" s="179"/>
      <c r="B385" s="164"/>
      <c r="C385" s="165"/>
      <c r="E385" s="174"/>
      <c r="F385" s="175"/>
      <c r="G385" s="177"/>
      <c r="H385" s="175"/>
      <c r="I385" s="175"/>
      <c r="J385" s="176"/>
      <c r="K385" s="167"/>
      <c r="L385" s="167"/>
      <c r="M385" s="167"/>
      <c r="N385" s="167"/>
    </row>
    <row r="386">
      <c r="A386" s="179"/>
      <c r="B386" s="164"/>
      <c r="C386" s="165"/>
      <c r="E386" s="174"/>
      <c r="F386" s="175"/>
      <c r="G386" s="177"/>
      <c r="H386" s="175"/>
      <c r="I386" s="175"/>
      <c r="J386" s="176"/>
      <c r="K386" s="167"/>
      <c r="L386" s="167"/>
      <c r="M386" s="167"/>
      <c r="N386" s="167"/>
    </row>
    <row r="387">
      <c r="A387" s="179"/>
      <c r="B387" s="164"/>
      <c r="C387" s="165"/>
      <c r="E387" s="174"/>
      <c r="F387" s="175"/>
      <c r="G387" s="177"/>
      <c r="H387" s="175"/>
      <c r="I387" s="175"/>
      <c r="J387" s="176"/>
      <c r="K387" s="167"/>
      <c r="L387" s="167"/>
      <c r="M387" s="167"/>
      <c r="N387" s="167"/>
    </row>
    <row r="388">
      <c r="A388" s="179"/>
      <c r="B388" s="164"/>
      <c r="C388" s="165"/>
      <c r="E388" s="174"/>
      <c r="F388" s="175"/>
      <c r="G388" s="177"/>
      <c r="H388" s="175"/>
      <c r="I388" s="175"/>
      <c r="J388" s="176"/>
      <c r="K388" s="167"/>
      <c r="L388" s="167"/>
      <c r="M388" s="167"/>
      <c r="N388" s="167"/>
    </row>
    <row r="389">
      <c r="A389" s="179"/>
      <c r="B389" s="164"/>
      <c r="C389" s="165"/>
      <c r="E389" s="174"/>
      <c r="F389" s="175"/>
      <c r="G389" s="177"/>
      <c r="H389" s="175"/>
      <c r="I389" s="175"/>
      <c r="J389" s="176"/>
      <c r="K389" s="167"/>
      <c r="L389" s="167"/>
      <c r="M389" s="167"/>
      <c r="N389" s="167"/>
    </row>
    <row r="390">
      <c r="A390" s="179"/>
      <c r="B390" s="164"/>
      <c r="C390" s="165"/>
      <c r="E390" s="174"/>
      <c r="F390" s="175"/>
      <c r="G390" s="177"/>
      <c r="H390" s="175"/>
      <c r="I390" s="175"/>
      <c r="J390" s="176"/>
      <c r="K390" s="167"/>
      <c r="L390" s="167"/>
      <c r="M390" s="167"/>
      <c r="N390" s="167"/>
    </row>
    <row r="391">
      <c r="A391" s="179"/>
      <c r="B391" s="164"/>
      <c r="C391" s="165"/>
      <c r="E391" s="174"/>
      <c r="F391" s="175"/>
      <c r="G391" s="177"/>
      <c r="H391" s="175"/>
      <c r="I391" s="175"/>
      <c r="J391" s="176"/>
      <c r="K391" s="167"/>
      <c r="L391" s="167"/>
      <c r="M391" s="167"/>
      <c r="N391" s="167"/>
    </row>
    <row r="392">
      <c r="A392" s="179"/>
      <c r="B392" s="164"/>
      <c r="C392" s="165"/>
      <c r="E392" s="174"/>
      <c r="F392" s="175"/>
      <c r="G392" s="177"/>
      <c r="H392" s="175"/>
      <c r="I392" s="175"/>
      <c r="J392" s="176"/>
      <c r="K392" s="167"/>
      <c r="L392" s="167"/>
      <c r="M392" s="167"/>
      <c r="N392" s="167"/>
    </row>
    <row r="393">
      <c r="A393" s="179"/>
      <c r="B393" s="164"/>
      <c r="C393" s="165"/>
      <c r="E393" s="174"/>
      <c r="F393" s="175"/>
      <c r="G393" s="177"/>
      <c r="H393" s="175"/>
      <c r="I393" s="175"/>
      <c r="J393" s="176"/>
      <c r="K393" s="167"/>
      <c r="L393" s="167"/>
      <c r="M393" s="167"/>
      <c r="N393" s="167"/>
    </row>
    <row r="394">
      <c r="A394" s="179"/>
      <c r="B394" s="164"/>
      <c r="C394" s="165"/>
      <c r="E394" s="174"/>
      <c r="F394" s="175"/>
      <c r="G394" s="177"/>
      <c r="H394" s="175"/>
      <c r="I394" s="175"/>
      <c r="J394" s="176"/>
      <c r="K394" s="167"/>
      <c r="L394" s="167"/>
      <c r="M394" s="167"/>
      <c r="N394" s="167"/>
    </row>
    <row r="395">
      <c r="A395" s="179"/>
      <c r="B395" s="164"/>
      <c r="C395" s="165"/>
      <c r="E395" s="174"/>
      <c r="F395" s="175"/>
      <c r="G395" s="177"/>
      <c r="H395" s="175"/>
      <c r="I395" s="175"/>
      <c r="J395" s="176"/>
      <c r="K395" s="167"/>
      <c r="L395" s="167"/>
      <c r="M395" s="167"/>
      <c r="N395" s="167"/>
    </row>
    <row r="396">
      <c r="A396" s="179"/>
      <c r="B396" s="164"/>
      <c r="C396" s="165"/>
      <c r="E396" s="174"/>
      <c r="F396" s="175"/>
      <c r="G396" s="177"/>
      <c r="H396" s="175"/>
      <c r="I396" s="175"/>
      <c r="J396" s="176"/>
      <c r="K396" s="167"/>
      <c r="L396" s="167"/>
      <c r="M396" s="167"/>
      <c r="N396" s="167"/>
    </row>
    <row r="397">
      <c r="A397" s="179"/>
      <c r="B397" s="164"/>
      <c r="C397" s="165"/>
      <c r="E397" s="174"/>
      <c r="F397" s="175"/>
      <c r="G397" s="177"/>
      <c r="H397" s="175"/>
      <c r="I397" s="175"/>
      <c r="J397" s="176"/>
      <c r="K397" s="167"/>
      <c r="L397" s="167"/>
      <c r="M397" s="167"/>
      <c r="N397" s="167"/>
    </row>
    <row r="398">
      <c r="A398" s="179"/>
      <c r="B398" s="164"/>
      <c r="C398" s="165"/>
      <c r="E398" s="174"/>
      <c r="F398" s="175"/>
      <c r="G398" s="177"/>
      <c r="H398" s="175"/>
      <c r="I398" s="175"/>
      <c r="J398" s="176"/>
      <c r="K398" s="167"/>
      <c r="L398" s="167"/>
      <c r="M398" s="167"/>
      <c r="N398" s="167"/>
    </row>
    <row r="399">
      <c r="A399" s="179"/>
      <c r="B399" s="164"/>
      <c r="C399" s="165"/>
      <c r="E399" s="174"/>
      <c r="F399" s="175"/>
      <c r="G399" s="177"/>
      <c r="H399" s="175"/>
      <c r="I399" s="175"/>
      <c r="J399" s="176"/>
      <c r="K399" s="167"/>
      <c r="L399" s="167"/>
      <c r="M399" s="167"/>
      <c r="N399" s="167"/>
    </row>
    <row r="400">
      <c r="A400" s="179"/>
      <c r="B400" s="164"/>
      <c r="C400" s="165"/>
      <c r="E400" s="174"/>
      <c r="F400" s="175"/>
      <c r="G400" s="177"/>
      <c r="H400" s="175"/>
      <c r="I400" s="175"/>
      <c r="J400" s="176"/>
      <c r="K400" s="167"/>
      <c r="L400" s="167"/>
      <c r="M400" s="167"/>
      <c r="N400" s="167"/>
    </row>
    <row r="401">
      <c r="A401" s="179"/>
      <c r="B401" s="164"/>
      <c r="C401" s="165"/>
      <c r="E401" s="174"/>
      <c r="F401" s="175"/>
      <c r="G401" s="177"/>
      <c r="H401" s="175"/>
      <c r="I401" s="175"/>
      <c r="J401" s="176"/>
      <c r="K401" s="167"/>
      <c r="L401" s="167"/>
      <c r="M401" s="167"/>
      <c r="N401" s="167"/>
    </row>
    <row r="402">
      <c r="A402" s="179"/>
      <c r="B402" s="164"/>
      <c r="C402" s="165"/>
      <c r="E402" s="174"/>
      <c r="F402" s="175"/>
      <c r="G402" s="177"/>
      <c r="H402" s="175"/>
      <c r="I402" s="175"/>
      <c r="J402" s="176"/>
      <c r="K402" s="167"/>
      <c r="L402" s="167"/>
      <c r="M402" s="167"/>
      <c r="N402" s="167"/>
    </row>
    <row r="403">
      <c r="A403" s="179"/>
      <c r="B403" s="164"/>
      <c r="C403" s="165"/>
      <c r="E403" s="174"/>
      <c r="F403" s="175"/>
      <c r="G403" s="177"/>
      <c r="H403" s="175"/>
      <c r="I403" s="175"/>
      <c r="J403" s="176"/>
      <c r="K403" s="167"/>
      <c r="L403" s="167"/>
      <c r="M403" s="167"/>
      <c r="N403" s="167"/>
    </row>
    <row r="404">
      <c r="A404" s="179"/>
      <c r="B404" s="164"/>
      <c r="C404" s="165"/>
      <c r="E404" s="174"/>
      <c r="F404" s="175"/>
      <c r="G404" s="177"/>
      <c r="H404" s="175"/>
      <c r="I404" s="175"/>
      <c r="J404" s="176"/>
      <c r="K404" s="167"/>
      <c r="L404" s="167"/>
      <c r="M404" s="167"/>
      <c r="N404" s="167"/>
    </row>
    <row r="405">
      <c r="A405" s="179"/>
      <c r="B405" s="164"/>
      <c r="C405" s="165"/>
      <c r="E405" s="174"/>
      <c r="F405" s="175"/>
      <c r="G405" s="177"/>
      <c r="H405" s="175"/>
      <c r="I405" s="175"/>
      <c r="J405" s="176"/>
      <c r="K405" s="167"/>
      <c r="L405" s="167"/>
      <c r="M405" s="167"/>
      <c r="N405" s="167"/>
    </row>
    <row r="406">
      <c r="A406" s="179"/>
      <c r="B406" s="164"/>
      <c r="C406" s="165"/>
      <c r="E406" s="174"/>
      <c r="F406" s="175"/>
      <c r="G406" s="177"/>
      <c r="H406" s="175"/>
      <c r="I406" s="175"/>
      <c r="J406" s="176"/>
      <c r="K406" s="167"/>
      <c r="L406" s="167"/>
      <c r="M406" s="167"/>
      <c r="N406" s="167"/>
    </row>
    <row r="407">
      <c r="A407" s="179"/>
      <c r="B407" s="164"/>
      <c r="C407" s="165"/>
      <c r="E407" s="174"/>
      <c r="F407" s="175"/>
      <c r="G407" s="177"/>
      <c r="H407" s="175"/>
      <c r="I407" s="175"/>
      <c r="J407" s="176"/>
      <c r="K407" s="167"/>
      <c r="L407" s="167"/>
      <c r="M407" s="167"/>
      <c r="N407" s="167"/>
    </row>
    <row r="408">
      <c r="A408" s="179"/>
      <c r="B408" s="164"/>
      <c r="C408" s="165"/>
      <c r="E408" s="174"/>
      <c r="F408" s="175"/>
      <c r="G408" s="177"/>
      <c r="H408" s="175"/>
      <c r="I408" s="175"/>
      <c r="J408" s="176"/>
      <c r="K408" s="167"/>
      <c r="L408" s="167"/>
      <c r="M408" s="167"/>
      <c r="N408" s="167"/>
    </row>
    <row r="409">
      <c r="A409" s="179"/>
      <c r="B409" s="164"/>
      <c r="C409" s="165"/>
      <c r="E409" s="174"/>
      <c r="F409" s="175"/>
      <c r="G409" s="177"/>
      <c r="H409" s="175"/>
      <c r="I409" s="175"/>
      <c r="J409" s="176"/>
      <c r="K409" s="167"/>
      <c r="L409" s="167"/>
      <c r="M409" s="167"/>
      <c r="N409" s="167"/>
    </row>
    <row r="410">
      <c r="A410" s="179"/>
      <c r="B410" s="164"/>
      <c r="C410" s="165"/>
      <c r="E410" s="174"/>
      <c r="F410" s="175"/>
      <c r="G410" s="177"/>
      <c r="H410" s="175"/>
      <c r="I410" s="175"/>
      <c r="J410" s="176"/>
      <c r="K410" s="167"/>
      <c r="L410" s="167"/>
      <c r="M410" s="167"/>
      <c r="N410" s="167"/>
    </row>
    <row r="411">
      <c r="A411" s="179"/>
      <c r="B411" s="164"/>
      <c r="C411" s="165"/>
      <c r="E411" s="174"/>
      <c r="F411" s="175"/>
      <c r="G411" s="177"/>
      <c r="H411" s="175"/>
      <c r="I411" s="175"/>
      <c r="J411" s="176"/>
      <c r="K411" s="167"/>
      <c r="L411" s="167"/>
      <c r="M411" s="167"/>
      <c r="N411" s="167"/>
    </row>
    <row r="412">
      <c r="A412" s="179"/>
      <c r="B412" s="164"/>
      <c r="C412" s="165"/>
      <c r="E412" s="174"/>
      <c r="F412" s="175"/>
      <c r="G412" s="177"/>
      <c r="H412" s="175"/>
      <c r="I412" s="175"/>
      <c r="J412" s="176"/>
      <c r="K412" s="167"/>
      <c r="L412" s="167"/>
      <c r="M412" s="167"/>
      <c r="N412" s="167"/>
    </row>
    <row r="413">
      <c r="A413" s="179"/>
      <c r="B413" s="164"/>
      <c r="C413" s="165"/>
      <c r="E413" s="174"/>
      <c r="F413" s="175"/>
      <c r="G413" s="177"/>
      <c r="H413" s="175"/>
      <c r="I413" s="175"/>
      <c r="J413" s="176"/>
      <c r="K413" s="167"/>
      <c r="L413" s="167"/>
      <c r="M413" s="167"/>
      <c r="N413" s="167"/>
    </row>
    <row r="414">
      <c r="A414" s="179"/>
      <c r="B414" s="164"/>
      <c r="C414" s="165"/>
      <c r="E414" s="174"/>
      <c r="F414" s="175"/>
      <c r="G414" s="177"/>
      <c r="H414" s="175"/>
      <c r="I414" s="175"/>
      <c r="J414" s="176"/>
      <c r="K414" s="167"/>
      <c r="L414" s="167"/>
      <c r="M414" s="167"/>
      <c r="N414" s="167"/>
    </row>
    <row r="415">
      <c r="A415" s="179"/>
      <c r="B415" s="164"/>
      <c r="C415" s="165"/>
      <c r="E415" s="174"/>
      <c r="F415" s="175"/>
      <c r="G415" s="177"/>
      <c r="H415" s="175"/>
      <c r="I415" s="175"/>
      <c r="J415" s="176"/>
      <c r="K415" s="167"/>
      <c r="L415" s="167"/>
      <c r="M415" s="167"/>
      <c r="N415" s="167"/>
    </row>
    <row r="416">
      <c r="A416" s="179"/>
      <c r="B416" s="164"/>
      <c r="C416" s="165"/>
      <c r="E416" s="174"/>
      <c r="F416" s="175"/>
      <c r="G416" s="177"/>
      <c r="H416" s="175"/>
      <c r="I416" s="175"/>
      <c r="J416" s="176"/>
      <c r="K416" s="167"/>
      <c r="L416" s="167"/>
      <c r="M416" s="167"/>
      <c r="N416" s="167"/>
    </row>
    <row r="417">
      <c r="A417" s="179"/>
      <c r="B417" s="164"/>
      <c r="C417" s="165"/>
      <c r="E417" s="174"/>
      <c r="F417" s="175"/>
      <c r="G417" s="177"/>
      <c r="H417" s="175"/>
      <c r="I417" s="175"/>
      <c r="J417" s="176"/>
      <c r="K417" s="167"/>
      <c r="L417" s="167"/>
      <c r="M417" s="167"/>
      <c r="N417" s="167"/>
    </row>
    <row r="418">
      <c r="A418" s="179"/>
      <c r="B418" s="164"/>
      <c r="C418" s="165"/>
      <c r="E418" s="174"/>
      <c r="F418" s="175"/>
      <c r="G418" s="177"/>
      <c r="H418" s="175"/>
      <c r="I418" s="175"/>
      <c r="J418" s="176"/>
      <c r="K418" s="167"/>
      <c r="L418" s="167"/>
      <c r="M418" s="167"/>
      <c r="N418" s="167"/>
    </row>
    <row r="419">
      <c r="A419" s="179"/>
      <c r="B419" s="164"/>
      <c r="C419" s="165"/>
      <c r="E419" s="174"/>
      <c r="F419" s="175"/>
      <c r="G419" s="177"/>
      <c r="H419" s="175"/>
      <c r="I419" s="175"/>
      <c r="J419" s="176"/>
      <c r="K419" s="167"/>
      <c r="L419" s="167"/>
      <c r="M419" s="167"/>
      <c r="N419" s="167"/>
    </row>
    <row r="420">
      <c r="A420" s="179"/>
      <c r="B420" s="164"/>
      <c r="C420" s="165"/>
      <c r="E420" s="174"/>
      <c r="F420" s="175"/>
      <c r="G420" s="177"/>
      <c r="H420" s="175"/>
      <c r="I420" s="175"/>
      <c r="J420" s="176"/>
      <c r="K420" s="167"/>
      <c r="L420" s="167"/>
      <c r="M420" s="167"/>
      <c r="N420" s="167"/>
    </row>
    <row r="421">
      <c r="A421" s="179"/>
      <c r="B421" s="164"/>
      <c r="C421" s="165"/>
      <c r="E421" s="174"/>
      <c r="F421" s="175"/>
      <c r="G421" s="177"/>
      <c r="H421" s="175"/>
      <c r="I421" s="175"/>
      <c r="J421" s="176"/>
      <c r="K421" s="167"/>
      <c r="L421" s="167"/>
      <c r="M421" s="167"/>
      <c r="N421" s="167"/>
    </row>
    <row r="422">
      <c r="A422" s="179"/>
      <c r="B422" s="164"/>
      <c r="C422" s="165"/>
      <c r="E422" s="174"/>
      <c r="F422" s="175"/>
      <c r="G422" s="177"/>
      <c r="H422" s="175"/>
      <c r="I422" s="175"/>
      <c r="J422" s="176"/>
      <c r="K422" s="167"/>
      <c r="L422" s="167"/>
      <c r="M422" s="167"/>
      <c r="N422" s="167"/>
    </row>
    <row r="423">
      <c r="A423" s="179"/>
      <c r="B423" s="164"/>
      <c r="C423" s="165"/>
      <c r="E423" s="174"/>
      <c r="F423" s="175"/>
      <c r="G423" s="177"/>
      <c r="H423" s="175"/>
      <c r="I423" s="175"/>
      <c r="J423" s="176"/>
      <c r="K423" s="167"/>
      <c r="L423" s="167"/>
      <c r="M423" s="167"/>
      <c r="N423" s="167"/>
    </row>
    <row r="424">
      <c r="A424" s="179"/>
      <c r="B424" s="164"/>
      <c r="C424" s="165"/>
      <c r="E424" s="174"/>
      <c r="F424" s="175"/>
      <c r="G424" s="177"/>
      <c r="H424" s="175"/>
      <c r="I424" s="175"/>
      <c r="J424" s="176"/>
      <c r="K424" s="167"/>
      <c r="L424" s="167"/>
      <c r="M424" s="167"/>
      <c r="N424" s="167"/>
    </row>
    <row r="425">
      <c r="A425" s="179"/>
      <c r="B425" s="164"/>
      <c r="C425" s="165"/>
      <c r="E425" s="174"/>
      <c r="F425" s="175"/>
      <c r="G425" s="177"/>
      <c r="H425" s="175"/>
      <c r="I425" s="175"/>
      <c r="J425" s="176"/>
      <c r="K425" s="167"/>
      <c r="L425" s="167"/>
      <c r="M425" s="167"/>
      <c r="N425" s="167"/>
    </row>
    <row r="426">
      <c r="A426" s="179"/>
      <c r="B426" s="164"/>
      <c r="C426" s="165"/>
      <c r="E426" s="174"/>
      <c r="F426" s="175"/>
      <c r="G426" s="177"/>
      <c r="H426" s="175"/>
      <c r="I426" s="175"/>
      <c r="J426" s="176"/>
      <c r="K426" s="167"/>
      <c r="L426" s="167"/>
      <c r="M426" s="167"/>
      <c r="N426" s="167"/>
    </row>
    <row r="427">
      <c r="A427" s="179"/>
      <c r="B427" s="164"/>
      <c r="C427" s="165"/>
      <c r="E427" s="174"/>
      <c r="F427" s="175"/>
      <c r="G427" s="177"/>
      <c r="H427" s="175"/>
      <c r="I427" s="175"/>
      <c r="J427" s="176"/>
      <c r="K427" s="167"/>
      <c r="L427" s="167"/>
      <c r="M427" s="167"/>
      <c r="N427" s="167"/>
    </row>
    <row r="428">
      <c r="A428" s="179"/>
      <c r="B428" s="164"/>
      <c r="C428" s="165"/>
      <c r="E428" s="174"/>
      <c r="F428" s="175"/>
      <c r="G428" s="177"/>
      <c r="H428" s="175"/>
      <c r="I428" s="175"/>
      <c r="J428" s="176"/>
      <c r="K428" s="167"/>
      <c r="L428" s="167"/>
      <c r="M428" s="167"/>
      <c r="N428" s="167"/>
    </row>
    <row r="429">
      <c r="A429" s="179"/>
      <c r="B429" s="164"/>
      <c r="C429" s="165"/>
      <c r="E429" s="174"/>
      <c r="F429" s="175"/>
      <c r="G429" s="177"/>
      <c r="H429" s="175"/>
      <c r="I429" s="175"/>
      <c r="J429" s="176"/>
      <c r="K429" s="167"/>
      <c r="L429" s="167"/>
      <c r="M429" s="167"/>
      <c r="N429" s="167"/>
    </row>
    <row r="430">
      <c r="A430" s="179"/>
      <c r="B430" s="164"/>
      <c r="C430" s="165"/>
      <c r="E430" s="174"/>
      <c r="F430" s="175"/>
      <c r="G430" s="177"/>
      <c r="H430" s="175"/>
      <c r="I430" s="175"/>
      <c r="J430" s="176"/>
      <c r="K430" s="167"/>
      <c r="L430" s="167"/>
      <c r="M430" s="167"/>
      <c r="N430" s="167"/>
    </row>
    <row r="431">
      <c r="A431" s="179"/>
      <c r="B431" s="164"/>
      <c r="C431" s="165"/>
      <c r="E431" s="174"/>
      <c r="F431" s="175"/>
      <c r="G431" s="177"/>
      <c r="H431" s="175"/>
      <c r="I431" s="175"/>
      <c r="J431" s="176"/>
      <c r="K431" s="167"/>
      <c r="L431" s="167"/>
      <c r="M431" s="167"/>
      <c r="N431" s="167"/>
    </row>
    <row r="432">
      <c r="A432" s="179"/>
      <c r="B432" s="164"/>
      <c r="C432" s="165"/>
      <c r="E432" s="174"/>
      <c r="F432" s="175"/>
      <c r="G432" s="177"/>
      <c r="H432" s="175"/>
      <c r="I432" s="175"/>
      <c r="J432" s="176"/>
      <c r="K432" s="167"/>
      <c r="L432" s="167"/>
      <c r="M432" s="167"/>
      <c r="N432" s="167"/>
    </row>
    <row r="433">
      <c r="A433" s="179"/>
      <c r="B433" s="164"/>
      <c r="C433" s="165"/>
      <c r="E433" s="174"/>
      <c r="F433" s="175"/>
      <c r="G433" s="177"/>
      <c r="H433" s="175"/>
      <c r="I433" s="175"/>
      <c r="J433" s="176"/>
      <c r="K433" s="167"/>
      <c r="L433" s="167"/>
      <c r="M433" s="167"/>
      <c r="N433" s="167"/>
    </row>
    <row r="434">
      <c r="A434" s="179"/>
      <c r="B434" s="164"/>
      <c r="C434" s="165"/>
      <c r="E434" s="174"/>
      <c r="F434" s="175"/>
      <c r="G434" s="177"/>
      <c r="H434" s="175"/>
      <c r="I434" s="175"/>
      <c r="J434" s="176"/>
      <c r="K434" s="167"/>
      <c r="L434" s="167"/>
      <c r="M434" s="167"/>
      <c r="N434" s="167"/>
    </row>
    <row r="435">
      <c r="A435" s="179"/>
      <c r="B435" s="164"/>
      <c r="C435" s="165"/>
      <c r="E435" s="174"/>
      <c r="F435" s="175"/>
      <c r="G435" s="177"/>
      <c r="H435" s="175"/>
      <c r="I435" s="175"/>
      <c r="J435" s="176"/>
      <c r="K435" s="167"/>
      <c r="L435" s="167"/>
      <c r="M435" s="167"/>
      <c r="N435" s="167"/>
    </row>
    <row r="436">
      <c r="A436" s="179"/>
      <c r="B436" s="164"/>
      <c r="C436" s="165"/>
      <c r="E436" s="174"/>
      <c r="F436" s="175"/>
      <c r="G436" s="177"/>
      <c r="H436" s="175"/>
      <c r="I436" s="175"/>
      <c r="J436" s="176"/>
      <c r="K436" s="167"/>
      <c r="L436" s="167"/>
      <c r="M436" s="167"/>
      <c r="N436" s="167"/>
    </row>
    <row r="437">
      <c r="A437" s="179"/>
      <c r="B437" s="164"/>
      <c r="C437" s="165"/>
      <c r="E437" s="174"/>
      <c r="F437" s="175"/>
      <c r="G437" s="177"/>
      <c r="H437" s="175"/>
      <c r="I437" s="175"/>
      <c r="J437" s="176"/>
      <c r="K437" s="167"/>
      <c r="L437" s="167"/>
      <c r="M437" s="167"/>
      <c r="N437" s="167"/>
    </row>
    <row r="438">
      <c r="A438" s="179"/>
      <c r="B438" s="164"/>
      <c r="C438" s="165"/>
      <c r="E438" s="174"/>
      <c r="F438" s="175"/>
      <c r="G438" s="177"/>
      <c r="H438" s="175"/>
      <c r="I438" s="175"/>
      <c r="J438" s="176"/>
      <c r="K438" s="167"/>
      <c r="L438" s="167"/>
      <c r="M438" s="167"/>
      <c r="N438" s="167"/>
    </row>
    <row r="439">
      <c r="A439" s="179"/>
      <c r="B439" s="164"/>
      <c r="C439" s="165"/>
      <c r="E439" s="174"/>
      <c r="F439" s="175"/>
      <c r="G439" s="177"/>
      <c r="H439" s="175"/>
      <c r="I439" s="175"/>
      <c r="J439" s="176"/>
      <c r="K439" s="167"/>
      <c r="L439" s="167"/>
      <c r="M439" s="167"/>
      <c r="N439" s="167"/>
    </row>
    <row r="440">
      <c r="A440" s="179"/>
      <c r="B440" s="164"/>
      <c r="C440" s="165"/>
      <c r="E440" s="174"/>
      <c r="F440" s="175"/>
      <c r="G440" s="177"/>
      <c r="H440" s="175"/>
      <c r="I440" s="175"/>
      <c r="J440" s="176"/>
      <c r="K440" s="167"/>
      <c r="L440" s="167"/>
      <c r="M440" s="167"/>
      <c r="N440" s="167"/>
    </row>
    <row r="441">
      <c r="A441" s="179"/>
      <c r="B441" s="164"/>
      <c r="C441" s="165"/>
      <c r="E441" s="174"/>
      <c r="F441" s="175"/>
      <c r="G441" s="177"/>
      <c r="H441" s="175"/>
      <c r="I441" s="175"/>
      <c r="J441" s="176"/>
      <c r="K441" s="167"/>
      <c r="L441" s="167"/>
      <c r="M441" s="167"/>
      <c r="N441" s="167"/>
    </row>
    <row r="442">
      <c r="A442" s="179"/>
      <c r="B442" s="164"/>
      <c r="C442" s="165"/>
      <c r="E442" s="174"/>
      <c r="F442" s="175"/>
      <c r="G442" s="177"/>
      <c r="H442" s="175"/>
      <c r="I442" s="175"/>
      <c r="J442" s="176"/>
      <c r="K442" s="167"/>
      <c r="L442" s="167"/>
      <c r="M442" s="167"/>
      <c r="N442" s="167"/>
    </row>
    <row r="443">
      <c r="A443" s="179"/>
      <c r="B443" s="164"/>
      <c r="C443" s="165"/>
      <c r="E443" s="174"/>
      <c r="F443" s="175"/>
      <c r="G443" s="177"/>
      <c r="H443" s="175"/>
      <c r="I443" s="175"/>
      <c r="J443" s="176"/>
      <c r="K443" s="167"/>
      <c r="L443" s="167"/>
      <c r="M443" s="167"/>
      <c r="N443" s="167"/>
    </row>
    <row r="444">
      <c r="A444" s="179"/>
      <c r="B444" s="164"/>
      <c r="C444" s="165"/>
      <c r="E444" s="174"/>
      <c r="F444" s="175"/>
      <c r="G444" s="177"/>
      <c r="H444" s="175"/>
      <c r="I444" s="175"/>
      <c r="J444" s="176"/>
      <c r="K444" s="167"/>
      <c r="L444" s="167"/>
      <c r="M444" s="167"/>
      <c r="N444" s="167"/>
    </row>
    <row r="445">
      <c r="A445" s="179"/>
      <c r="B445" s="164"/>
      <c r="C445" s="165"/>
      <c r="E445" s="174"/>
      <c r="F445" s="175"/>
      <c r="G445" s="177"/>
      <c r="H445" s="175"/>
      <c r="I445" s="175"/>
      <c r="J445" s="176"/>
      <c r="K445" s="167"/>
      <c r="L445" s="167"/>
      <c r="M445" s="167"/>
      <c r="N445" s="167"/>
    </row>
    <row r="446">
      <c r="A446" s="179"/>
      <c r="B446" s="164"/>
      <c r="C446" s="165"/>
      <c r="E446" s="174"/>
      <c r="F446" s="175"/>
      <c r="G446" s="177"/>
      <c r="H446" s="175"/>
      <c r="I446" s="175"/>
      <c r="J446" s="176"/>
      <c r="K446" s="167"/>
      <c r="L446" s="167"/>
      <c r="M446" s="167"/>
      <c r="N446" s="167"/>
    </row>
    <row r="447">
      <c r="A447" s="179"/>
      <c r="B447" s="164"/>
      <c r="C447" s="165"/>
      <c r="E447" s="174"/>
      <c r="F447" s="175"/>
      <c r="G447" s="177"/>
      <c r="H447" s="175"/>
      <c r="I447" s="175"/>
      <c r="J447" s="176"/>
      <c r="K447" s="167"/>
      <c r="L447" s="167"/>
      <c r="M447" s="167"/>
      <c r="N447" s="167"/>
    </row>
    <row r="448">
      <c r="A448" s="179"/>
      <c r="B448" s="164"/>
      <c r="C448" s="165"/>
      <c r="E448" s="174"/>
      <c r="F448" s="175"/>
      <c r="G448" s="177"/>
      <c r="H448" s="175"/>
      <c r="I448" s="175"/>
      <c r="J448" s="176"/>
      <c r="K448" s="167"/>
      <c r="L448" s="167"/>
      <c r="M448" s="167"/>
      <c r="N448" s="167"/>
    </row>
    <row r="449">
      <c r="A449" s="179"/>
      <c r="B449" s="164"/>
      <c r="C449" s="165"/>
      <c r="E449" s="174"/>
      <c r="F449" s="175"/>
      <c r="G449" s="177"/>
      <c r="H449" s="175"/>
      <c r="I449" s="175"/>
      <c r="J449" s="176"/>
      <c r="K449" s="167"/>
      <c r="L449" s="167"/>
      <c r="M449" s="167"/>
      <c r="N449" s="167"/>
    </row>
    <row r="450">
      <c r="A450" s="179"/>
      <c r="B450" s="164"/>
      <c r="C450" s="165"/>
      <c r="E450" s="174"/>
      <c r="F450" s="175"/>
      <c r="G450" s="177"/>
      <c r="H450" s="175"/>
      <c r="I450" s="175"/>
      <c r="J450" s="176"/>
      <c r="K450" s="167"/>
      <c r="L450" s="167"/>
      <c r="M450" s="167"/>
      <c r="N450" s="167"/>
    </row>
    <row r="451">
      <c r="A451" s="179"/>
      <c r="B451" s="164"/>
      <c r="C451" s="165"/>
      <c r="E451" s="174"/>
      <c r="F451" s="175"/>
      <c r="G451" s="177"/>
      <c r="H451" s="175"/>
      <c r="I451" s="175"/>
      <c r="J451" s="176"/>
      <c r="K451" s="167"/>
      <c r="L451" s="167"/>
      <c r="M451" s="167"/>
      <c r="N451" s="167"/>
    </row>
    <row r="452">
      <c r="A452" s="179"/>
      <c r="B452" s="164"/>
      <c r="C452" s="165"/>
      <c r="E452" s="174"/>
      <c r="F452" s="175"/>
      <c r="G452" s="177"/>
      <c r="H452" s="175"/>
      <c r="I452" s="175"/>
      <c r="J452" s="176"/>
      <c r="K452" s="167"/>
      <c r="L452" s="167"/>
      <c r="M452" s="167"/>
      <c r="N452" s="167"/>
    </row>
    <row r="453">
      <c r="A453" s="179"/>
      <c r="B453" s="164"/>
      <c r="C453" s="165"/>
      <c r="E453" s="174"/>
      <c r="F453" s="175"/>
      <c r="G453" s="177"/>
      <c r="H453" s="175"/>
      <c r="I453" s="175"/>
      <c r="J453" s="176"/>
      <c r="K453" s="167"/>
      <c r="L453" s="167"/>
      <c r="M453" s="167"/>
      <c r="N453" s="167"/>
    </row>
    <row r="454">
      <c r="A454" s="179"/>
      <c r="B454" s="164"/>
      <c r="C454" s="165"/>
      <c r="E454" s="174"/>
      <c r="F454" s="175"/>
      <c r="G454" s="177"/>
      <c r="H454" s="175"/>
      <c r="I454" s="175"/>
      <c r="J454" s="176"/>
      <c r="K454" s="167"/>
      <c r="L454" s="167"/>
      <c r="M454" s="167"/>
      <c r="N454" s="167"/>
    </row>
    <row r="455">
      <c r="A455" s="179"/>
      <c r="B455" s="164"/>
      <c r="C455" s="165"/>
      <c r="E455" s="174"/>
      <c r="F455" s="175"/>
      <c r="G455" s="177"/>
      <c r="H455" s="175"/>
      <c r="I455" s="175"/>
      <c r="J455" s="176"/>
      <c r="K455" s="167"/>
      <c r="L455" s="167"/>
      <c r="M455" s="167"/>
      <c r="N455" s="167"/>
    </row>
    <row r="456">
      <c r="A456" s="179"/>
      <c r="B456" s="164"/>
      <c r="C456" s="165"/>
      <c r="E456" s="174"/>
      <c r="F456" s="175"/>
      <c r="G456" s="177"/>
      <c r="H456" s="175"/>
      <c r="I456" s="175"/>
      <c r="J456" s="176"/>
      <c r="K456" s="167"/>
      <c r="L456" s="167"/>
      <c r="M456" s="167"/>
      <c r="N456" s="167"/>
    </row>
    <row r="457">
      <c r="A457" s="179"/>
      <c r="B457" s="164"/>
      <c r="C457" s="165"/>
      <c r="E457" s="174"/>
      <c r="F457" s="175"/>
      <c r="G457" s="177"/>
      <c r="H457" s="175"/>
      <c r="I457" s="175"/>
      <c r="J457" s="176"/>
      <c r="K457" s="167"/>
      <c r="L457" s="167"/>
      <c r="M457" s="167"/>
      <c r="N457" s="167"/>
    </row>
    <row r="458">
      <c r="A458" s="179"/>
      <c r="B458" s="164"/>
      <c r="C458" s="165"/>
      <c r="E458" s="174"/>
      <c r="F458" s="175"/>
      <c r="G458" s="177"/>
      <c r="H458" s="175"/>
      <c r="I458" s="175"/>
      <c r="J458" s="176"/>
      <c r="K458" s="167"/>
      <c r="L458" s="167"/>
      <c r="M458" s="167"/>
      <c r="N458" s="167"/>
    </row>
    <row r="459">
      <c r="A459" s="179"/>
      <c r="B459" s="164"/>
      <c r="C459" s="165"/>
      <c r="E459" s="174"/>
      <c r="F459" s="175"/>
      <c r="G459" s="177"/>
      <c r="H459" s="175"/>
      <c r="I459" s="175"/>
      <c r="J459" s="176"/>
      <c r="K459" s="167"/>
      <c r="L459" s="167"/>
      <c r="M459" s="167"/>
      <c r="N459" s="167"/>
    </row>
    <row r="460">
      <c r="A460" s="179"/>
      <c r="B460" s="164"/>
      <c r="C460" s="165"/>
      <c r="E460" s="174"/>
      <c r="F460" s="175"/>
      <c r="G460" s="177"/>
      <c r="H460" s="175"/>
      <c r="I460" s="175"/>
      <c r="J460" s="176"/>
      <c r="K460" s="167"/>
      <c r="L460" s="167"/>
      <c r="M460" s="167"/>
      <c r="N460" s="167"/>
    </row>
    <row r="461">
      <c r="A461" s="179"/>
      <c r="B461" s="164"/>
      <c r="C461" s="165"/>
      <c r="E461" s="174"/>
      <c r="F461" s="175"/>
      <c r="G461" s="177"/>
      <c r="H461" s="175"/>
      <c r="I461" s="175"/>
      <c r="J461" s="176"/>
      <c r="K461" s="167"/>
      <c r="L461" s="167"/>
      <c r="M461" s="167"/>
      <c r="N461" s="167"/>
    </row>
    <row r="462">
      <c r="A462" s="179"/>
      <c r="B462" s="164"/>
      <c r="C462" s="165"/>
      <c r="E462" s="174"/>
      <c r="F462" s="175"/>
      <c r="G462" s="177"/>
      <c r="H462" s="175"/>
      <c r="I462" s="175"/>
      <c r="J462" s="176"/>
      <c r="K462" s="167"/>
      <c r="L462" s="167"/>
      <c r="M462" s="167"/>
      <c r="N462" s="167"/>
    </row>
    <row r="463">
      <c r="A463" s="179"/>
      <c r="B463" s="164"/>
      <c r="C463" s="165"/>
      <c r="E463" s="174"/>
      <c r="F463" s="175"/>
      <c r="G463" s="177"/>
      <c r="H463" s="175"/>
      <c r="I463" s="175"/>
      <c r="J463" s="176"/>
      <c r="K463" s="167"/>
      <c r="L463" s="167"/>
      <c r="M463" s="167"/>
      <c r="N463" s="167"/>
    </row>
    <row r="464">
      <c r="A464" s="179"/>
      <c r="B464" s="164"/>
      <c r="C464" s="165"/>
      <c r="E464" s="174"/>
      <c r="F464" s="175"/>
      <c r="G464" s="177"/>
      <c r="H464" s="175"/>
      <c r="I464" s="175"/>
      <c r="J464" s="176"/>
      <c r="K464" s="167"/>
      <c r="L464" s="167"/>
      <c r="M464" s="167"/>
      <c r="N464" s="167"/>
    </row>
    <row r="465">
      <c r="A465" s="179"/>
      <c r="B465" s="164"/>
      <c r="C465" s="165"/>
      <c r="E465" s="174"/>
      <c r="F465" s="175"/>
      <c r="G465" s="177"/>
      <c r="H465" s="175"/>
      <c r="I465" s="175"/>
      <c r="J465" s="176"/>
      <c r="K465" s="167"/>
      <c r="L465" s="167"/>
      <c r="M465" s="167"/>
      <c r="N465" s="167"/>
    </row>
    <row r="466">
      <c r="A466" s="179"/>
      <c r="B466" s="164"/>
      <c r="C466" s="165"/>
      <c r="E466" s="174"/>
      <c r="F466" s="175"/>
      <c r="G466" s="177"/>
      <c r="H466" s="175"/>
      <c r="I466" s="175"/>
      <c r="J466" s="176"/>
      <c r="K466" s="167"/>
      <c r="L466" s="167"/>
      <c r="M466" s="167"/>
      <c r="N466" s="167"/>
    </row>
    <row r="467">
      <c r="A467" s="179"/>
      <c r="B467" s="164"/>
      <c r="C467" s="165"/>
      <c r="E467" s="174"/>
      <c r="F467" s="175"/>
      <c r="G467" s="177"/>
      <c r="H467" s="175"/>
      <c r="I467" s="175"/>
      <c r="J467" s="176"/>
      <c r="K467" s="167"/>
      <c r="L467" s="167"/>
      <c r="M467" s="167"/>
      <c r="N467" s="167"/>
    </row>
    <row r="468">
      <c r="A468" s="179"/>
      <c r="B468" s="164"/>
      <c r="C468" s="165"/>
      <c r="E468" s="174"/>
      <c r="F468" s="175"/>
      <c r="G468" s="177"/>
      <c r="H468" s="175"/>
      <c r="I468" s="175"/>
      <c r="J468" s="176"/>
      <c r="K468" s="167"/>
      <c r="L468" s="167"/>
      <c r="M468" s="167"/>
      <c r="N468" s="167"/>
    </row>
    <row r="469">
      <c r="A469" s="179"/>
      <c r="B469" s="164"/>
      <c r="C469" s="165"/>
      <c r="E469" s="174"/>
      <c r="F469" s="175"/>
      <c r="G469" s="177"/>
      <c r="H469" s="175"/>
      <c r="I469" s="175"/>
      <c r="J469" s="176"/>
      <c r="K469" s="167"/>
      <c r="L469" s="167"/>
      <c r="M469" s="167"/>
      <c r="N469" s="167"/>
    </row>
    <row r="470">
      <c r="A470" s="179"/>
      <c r="B470" s="164"/>
      <c r="C470" s="165"/>
      <c r="E470" s="174"/>
      <c r="F470" s="175"/>
      <c r="G470" s="177"/>
      <c r="H470" s="175"/>
      <c r="I470" s="175"/>
      <c r="J470" s="176"/>
      <c r="K470" s="167"/>
      <c r="L470" s="167"/>
      <c r="M470" s="167"/>
      <c r="N470" s="167"/>
    </row>
    <row r="471">
      <c r="A471" s="179"/>
      <c r="B471" s="164"/>
      <c r="C471" s="165"/>
      <c r="E471" s="174"/>
      <c r="F471" s="175"/>
      <c r="G471" s="177"/>
      <c r="H471" s="175"/>
      <c r="I471" s="175"/>
      <c r="J471" s="176"/>
      <c r="K471" s="167"/>
      <c r="L471" s="167"/>
      <c r="M471" s="167"/>
      <c r="N471" s="167"/>
    </row>
    <row r="472">
      <c r="A472" s="179"/>
      <c r="B472" s="164"/>
      <c r="C472" s="165"/>
      <c r="E472" s="174"/>
      <c r="F472" s="175"/>
      <c r="G472" s="177"/>
      <c r="H472" s="175"/>
      <c r="I472" s="175"/>
      <c r="J472" s="176"/>
      <c r="K472" s="167"/>
      <c r="L472" s="167"/>
      <c r="M472" s="167"/>
      <c r="N472" s="167"/>
    </row>
    <row r="473">
      <c r="A473" s="179"/>
      <c r="B473" s="164"/>
      <c r="C473" s="165"/>
      <c r="E473" s="174"/>
      <c r="F473" s="175"/>
      <c r="G473" s="177"/>
      <c r="H473" s="175"/>
      <c r="I473" s="175"/>
      <c r="J473" s="176"/>
      <c r="K473" s="167"/>
      <c r="L473" s="167"/>
      <c r="M473" s="167"/>
      <c r="N473" s="167"/>
    </row>
    <row r="474">
      <c r="A474" s="179"/>
      <c r="B474" s="164"/>
      <c r="C474" s="165"/>
      <c r="E474" s="174"/>
      <c r="F474" s="175"/>
      <c r="G474" s="177"/>
      <c r="H474" s="175"/>
      <c r="I474" s="175"/>
      <c r="J474" s="176"/>
      <c r="K474" s="167"/>
      <c r="L474" s="167"/>
      <c r="M474" s="167"/>
      <c r="N474" s="167"/>
    </row>
    <row r="475">
      <c r="A475" s="179"/>
      <c r="B475" s="164"/>
      <c r="C475" s="165"/>
      <c r="E475" s="174"/>
      <c r="F475" s="175"/>
      <c r="G475" s="177"/>
      <c r="H475" s="175"/>
      <c r="I475" s="175"/>
      <c r="J475" s="176"/>
      <c r="K475" s="167"/>
      <c r="L475" s="167"/>
      <c r="M475" s="167"/>
      <c r="N475" s="167"/>
    </row>
    <row r="476">
      <c r="A476" s="179"/>
      <c r="B476" s="164"/>
      <c r="C476" s="165"/>
      <c r="E476" s="174"/>
      <c r="F476" s="175"/>
      <c r="G476" s="177"/>
      <c r="H476" s="175"/>
      <c r="I476" s="175"/>
      <c r="J476" s="176"/>
      <c r="K476" s="167"/>
      <c r="L476" s="167"/>
      <c r="M476" s="167"/>
      <c r="N476" s="167"/>
    </row>
    <row r="477">
      <c r="A477" s="179"/>
      <c r="B477" s="164"/>
      <c r="C477" s="165"/>
      <c r="E477" s="174"/>
      <c r="F477" s="175"/>
      <c r="G477" s="177"/>
      <c r="H477" s="175"/>
      <c r="I477" s="175"/>
      <c r="J477" s="176"/>
      <c r="K477" s="167"/>
      <c r="L477" s="167"/>
      <c r="M477" s="167"/>
      <c r="N477" s="167"/>
    </row>
    <row r="478">
      <c r="A478" s="179"/>
      <c r="B478" s="164"/>
      <c r="C478" s="165"/>
      <c r="E478" s="174"/>
      <c r="F478" s="175"/>
      <c r="G478" s="177"/>
      <c r="H478" s="175"/>
      <c r="I478" s="175"/>
      <c r="J478" s="176"/>
      <c r="K478" s="167"/>
      <c r="L478" s="167"/>
      <c r="M478" s="167"/>
      <c r="N478" s="167"/>
    </row>
    <row r="479">
      <c r="A479" s="179"/>
      <c r="B479" s="164"/>
      <c r="C479" s="165"/>
      <c r="E479" s="174"/>
      <c r="F479" s="175"/>
      <c r="G479" s="177"/>
      <c r="H479" s="175"/>
      <c r="I479" s="175"/>
      <c r="J479" s="176"/>
      <c r="K479" s="167"/>
      <c r="L479" s="167"/>
      <c r="M479" s="167"/>
      <c r="N479" s="167"/>
    </row>
    <row r="480">
      <c r="A480" s="179"/>
      <c r="B480" s="164"/>
      <c r="C480" s="165"/>
      <c r="E480" s="174"/>
      <c r="F480" s="175"/>
      <c r="G480" s="177"/>
      <c r="H480" s="175"/>
      <c r="I480" s="175"/>
      <c r="J480" s="176"/>
      <c r="K480" s="167"/>
      <c r="L480" s="167"/>
      <c r="M480" s="167"/>
      <c r="N480" s="167"/>
    </row>
    <row r="481">
      <c r="A481" s="179"/>
      <c r="B481" s="164"/>
      <c r="C481" s="165"/>
      <c r="E481" s="174"/>
      <c r="F481" s="175"/>
      <c r="G481" s="177"/>
      <c r="H481" s="175"/>
      <c r="I481" s="175"/>
      <c r="J481" s="176"/>
      <c r="K481" s="167"/>
      <c r="L481" s="167"/>
      <c r="M481" s="167"/>
      <c r="N481" s="167"/>
    </row>
    <row r="482">
      <c r="A482" s="179"/>
      <c r="B482" s="164"/>
      <c r="C482" s="165"/>
      <c r="E482" s="174"/>
      <c r="F482" s="175"/>
      <c r="G482" s="177"/>
      <c r="H482" s="175"/>
      <c r="I482" s="175"/>
      <c r="J482" s="176"/>
      <c r="K482" s="167"/>
      <c r="L482" s="167"/>
      <c r="M482" s="167"/>
      <c r="N482" s="167"/>
    </row>
    <row r="483">
      <c r="A483" s="179"/>
      <c r="B483" s="164"/>
      <c r="C483" s="165"/>
      <c r="E483" s="174"/>
      <c r="F483" s="175"/>
      <c r="G483" s="177"/>
      <c r="H483" s="175"/>
      <c r="I483" s="175"/>
      <c r="J483" s="176"/>
      <c r="K483" s="167"/>
      <c r="L483" s="167"/>
      <c r="M483" s="167"/>
      <c r="N483" s="167"/>
    </row>
    <row r="484">
      <c r="A484" s="179"/>
      <c r="B484" s="164"/>
      <c r="C484" s="165"/>
      <c r="E484" s="174"/>
      <c r="F484" s="175"/>
      <c r="G484" s="177"/>
      <c r="H484" s="175"/>
      <c r="I484" s="175"/>
      <c r="J484" s="176"/>
      <c r="K484" s="167"/>
      <c r="L484" s="167"/>
      <c r="M484" s="167"/>
      <c r="N484" s="167"/>
    </row>
    <row r="485">
      <c r="A485" s="179"/>
      <c r="B485" s="164"/>
      <c r="C485" s="165"/>
      <c r="E485" s="174"/>
      <c r="F485" s="175"/>
      <c r="G485" s="177"/>
      <c r="H485" s="175"/>
      <c r="I485" s="175"/>
      <c r="J485" s="176"/>
      <c r="K485" s="167"/>
      <c r="L485" s="167"/>
      <c r="M485" s="167"/>
      <c r="N485" s="167"/>
    </row>
    <row r="486">
      <c r="A486" s="179"/>
      <c r="B486" s="164"/>
      <c r="C486" s="165"/>
      <c r="E486" s="174"/>
      <c r="F486" s="175"/>
      <c r="G486" s="177"/>
      <c r="H486" s="175"/>
      <c r="I486" s="175"/>
      <c r="J486" s="176"/>
      <c r="K486" s="167"/>
      <c r="L486" s="167"/>
      <c r="M486" s="167"/>
      <c r="N486" s="167"/>
    </row>
    <row r="487">
      <c r="A487" s="179"/>
      <c r="B487" s="164"/>
      <c r="C487" s="165"/>
      <c r="E487" s="174"/>
      <c r="F487" s="175"/>
      <c r="G487" s="177"/>
      <c r="H487" s="175"/>
      <c r="I487" s="175"/>
      <c r="J487" s="176"/>
      <c r="K487" s="167"/>
      <c r="L487" s="167"/>
      <c r="M487" s="167"/>
      <c r="N487" s="167"/>
    </row>
    <row r="488">
      <c r="A488" s="179"/>
      <c r="B488" s="164"/>
      <c r="C488" s="165"/>
      <c r="E488" s="174"/>
      <c r="F488" s="175"/>
      <c r="G488" s="177"/>
      <c r="H488" s="175"/>
      <c r="I488" s="175"/>
      <c r="J488" s="176"/>
      <c r="K488" s="167"/>
      <c r="L488" s="167"/>
      <c r="M488" s="167"/>
      <c r="N488" s="167"/>
    </row>
    <row r="489">
      <c r="A489" s="179"/>
      <c r="B489" s="164"/>
      <c r="C489" s="165"/>
      <c r="E489" s="174"/>
      <c r="F489" s="175"/>
      <c r="G489" s="177"/>
      <c r="H489" s="175"/>
      <c r="I489" s="175"/>
      <c r="J489" s="176"/>
      <c r="K489" s="167"/>
      <c r="L489" s="167"/>
      <c r="M489" s="167"/>
      <c r="N489" s="167"/>
    </row>
    <row r="490">
      <c r="A490" s="179"/>
      <c r="B490" s="164"/>
      <c r="C490" s="165"/>
      <c r="E490" s="174"/>
      <c r="F490" s="175"/>
      <c r="G490" s="177"/>
      <c r="H490" s="175"/>
      <c r="I490" s="175"/>
      <c r="J490" s="176"/>
      <c r="K490" s="167"/>
      <c r="L490" s="167"/>
      <c r="M490" s="167"/>
      <c r="N490" s="167"/>
    </row>
    <row r="491">
      <c r="A491" s="179"/>
      <c r="B491" s="164"/>
      <c r="C491" s="165"/>
      <c r="E491" s="174"/>
      <c r="F491" s="175"/>
      <c r="G491" s="177"/>
      <c r="H491" s="175"/>
      <c r="I491" s="175"/>
      <c r="J491" s="176"/>
      <c r="K491" s="167"/>
      <c r="L491" s="167"/>
      <c r="M491" s="167"/>
      <c r="N491" s="167"/>
    </row>
    <row r="492">
      <c r="A492" s="179"/>
      <c r="B492" s="164"/>
      <c r="C492" s="165"/>
      <c r="E492" s="174"/>
      <c r="F492" s="175"/>
      <c r="G492" s="177"/>
      <c r="H492" s="175"/>
      <c r="I492" s="175"/>
      <c r="J492" s="176"/>
      <c r="K492" s="167"/>
      <c r="L492" s="167"/>
      <c r="M492" s="167"/>
      <c r="N492" s="167"/>
    </row>
    <row r="493">
      <c r="A493" s="179"/>
      <c r="B493" s="164"/>
      <c r="C493" s="165"/>
      <c r="E493" s="174"/>
      <c r="F493" s="175"/>
      <c r="G493" s="177"/>
      <c r="H493" s="175"/>
      <c r="I493" s="175"/>
      <c r="J493" s="176"/>
      <c r="K493" s="167"/>
      <c r="L493" s="167"/>
      <c r="M493" s="167"/>
      <c r="N493" s="167"/>
    </row>
    <row r="494">
      <c r="A494" s="179"/>
      <c r="B494" s="164"/>
      <c r="C494" s="165"/>
      <c r="E494" s="174"/>
      <c r="F494" s="175"/>
      <c r="G494" s="177"/>
      <c r="H494" s="175"/>
      <c r="I494" s="175"/>
      <c r="J494" s="176"/>
      <c r="K494" s="167"/>
      <c r="L494" s="167"/>
      <c r="M494" s="167"/>
      <c r="N494" s="167"/>
    </row>
    <row r="495">
      <c r="A495" s="179"/>
      <c r="B495" s="164"/>
      <c r="C495" s="165"/>
      <c r="E495" s="174"/>
      <c r="F495" s="175"/>
      <c r="G495" s="177"/>
      <c r="H495" s="175"/>
      <c r="I495" s="175"/>
      <c r="J495" s="176"/>
      <c r="K495" s="167"/>
      <c r="L495" s="167"/>
      <c r="M495" s="167"/>
      <c r="N495" s="167"/>
    </row>
    <row r="496">
      <c r="A496" s="179"/>
      <c r="B496" s="164"/>
      <c r="C496" s="165"/>
      <c r="E496" s="174"/>
      <c r="F496" s="175"/>
      <c r="G496" s="177"/>
      <c r="H496" s="175"/>
      <c r="I496" s="175"/>
      <c r="J496" s="176"/>
      <c r="K496" s="167"/>
      <c r="L496" s="167"/>
      <c r="M496" s="167"/>
      <c r="N496" s="167"/>
    </row>
    <row r="497">
      <c r="A497" s="179"/>
      <c r="B497" s="164"/>
      <c r="C497" s="165"/>
      <c r="E497" s="174"/>
      <c r="F497" s="175"/>
      <c r="G497" s="177"/>
      <c r="H497" s="175"/>
      <c r="I497" s="175"/>
      <c r="J497" s="176"/>
      <c r="K497" s="167"/>
      <c r="L497" s="167"/>
      <c r="M497" s="167"/>
      <c r="N497" s="167"/>
    </row>
    <row r="498">
      <c r="A498" s="179"/>
      <c r="B498" s="164"/>
      <c r="C498" s="165"/>
      <c r="E498" s="174"/>
      <c r="F498" s="175"/>
      <c r="G498" s="177"/>
      <c r="H498" s="175"/>
      <c r="I498" s="175"/>
      <c r="J498" s="176"/>
      <c r="K498" s="167"/>
      <c r="L498" s="167"/>
      <c r="M498" s="167"/>
      <c r="N498" s="167"/>
    </row>
    <row r="499">
      <c r="A499" s="179"/>
      <c r="B499" s="164"/>
      <c r="C499" s="165"/>
      <c r="E499" s="174"/>
      <c r="F499" s="175"/>
      <c r="G499" s="177"/>
      <c r="H499" s="175"/>
      <c r="I499" s="175"/>
      <c r="J499" s="176"/>
      <c r="K499" s="167"/>
      <c r="L499" s="167"/>
      <c r="M499" s="167"/>
      <c r="N499" s="167"/>
    </row>
    <row r="500">
      <c r="A500" s="179"/>
      <c r="B500" s="164"/>
      <c r="C500" s="165"/>
      <c r="E500" s="174"/>
      <c r="F500" s="175"/>
      <c r="G500" s="177"/>
      <c r="H500" s="175"/>
      <c r="I500" s="175"/>
      <c r="J500" s="176"/>
      <c r="K500" s="167"/>
      <c r="L500" s="167"/>
      <c r="M500" s="167"/>
      <c r="N500" s="167"/>
    </row>
    <row r="501">
      <c r="A501" s="179"/>
      <c r="B501" s="164"/>
      <c r="C501" s="165"/>
      <c r="E501" s="174"/>
      <c r="F501" s="175"/>
      <c r="G501" s="177"/>
      <c r="H501" s="175"/>
      <c r="I501" s="175"/>
      <c r="J501" s="176"/>
      <c r="K501" s="167"/>
      <c r="L501" s="167"/>
      <c r="M501" s="167"/>
      <c r="N501" s="167"/>
    </row>
    <row r="502">
      <c r="A502" s="179"/>
      <c r="B502" s="164"/>
      <c r="C502" s="165"/>
      <c r="E502" s="174"/>
      <c r="F502" s="175"/>
      <c r="G502" s="177"/>
      <c r="H502" s="175"/>
      <c r="I502" s="175"/>
      <c r="J502" s="176"/>
      <c r="K502" s="167"/>
      <c r="L502" s="167"/>
      <c r="M502" s="167"/>
      <c r="N502" s="167"/>
    </row>
    <row r="503">
      <c r="A503" s="179"/>
      <c r="B503" s="164"/>
      <c r="C503" s="165"/>
      <c r="E503" s="174"/>
      <c r="F503" s="175"/>
      <c r="G503" s="177"/>
      <c r="H503" s="175"/>
      <c r="I503" s="175"/>
      <c r="J503" s="176"/>
      <c r="K503" s="167"/>
      <c r="L503" s="167"/>
      <c r="M503" s="167"/>
      <c r="N503" s="167"/>
    </row>
    <row r="504">
      <c r="A504" s="179"/>
      <c r="B504" s="164"/>
      <c r="C504" s="165"/>
      <c r="E504" s="174"/>
      <c r="F504" s="175"/>
      <c r="G504" s="177"/>
      <c r="H504" s="175"/>
      <c r="I504" s="175"/>
      <c r="J504" s="176"/>
      <c r="K504" s="167"/>
      <c r="L504" s="167"/>
      <c r="M504" s="167"/>
      <c r="N504" s="167"/>
    </row>
    <row r="505">
      <c r="A505" s="179"/>
      <c r="B505" s="164"/>
      <c r="C505" s="165"/>
      <c r="E505" s="174"/>
      <c r="F505" s="175"/>
      <c r="G505" s="177"/>
      <c r="H505" s="175"/>
      <c r="I505" s="175"/>
      <c r="J505" s="176"/>
      <c r="K505" s="167"/>
      <c r="L505" s="167"/>
      <c r="M505" s="167"/>
      <c r="N505" s="167"/>
    </row>
    <row r="506">
      <c r="A506" s="179"/>
      <c r="B506" s="164"/>
      <c r="C506" s="165"/>
      <c r="E506" s="174"/>
      <c r="F506" s="175"/>
      <c r="G506" s="177"/>
      <c r="H506" s="175"/>
      <c r="I506" s="175"/>
      <c r="J506" s="176"/>
      <c r="K506" s="167"/>
      <c r="L506" s="167"/>
      <c r="M506" s="167"/>
      <c r="N506" s="167"/>
    </row>
    <row r="507">
      <c r="A507" s="179"/>
      <c r="B507" s="164"/>
      <c r="C507" s="165"/>
      <c r="E507" s="174"/>
      <c r="F507" s="175"/>
      <c r="G507" s="177"/>
      <c r="H507" s="175"/>
      <c r="I507" s="175"/>
      <c r="J507" s="176"/>
      <c r="K507" s="167"/>
      <c r="L507" s="167"/>
      <c r="M507" s="167"/>
      <c r="N507" s="167"/>
    </row>
    <row r="508">
      <c r="A508" s="179"/>
      <c r="B508" s="164"/>
      <c r="C508" s="165"/>
      <c r="E508" s="174"/>
      <c r="F508" s="175"/>
      <c r="G508" s="177"/>
      <c r="H508" s="175"/>
      <c r="I508" s="175"/>
      <c r="J508" s="176"/>
      <c r="K508" s="167"/>
      <c r="L508" s="167"/>
      <c r="M508" s="167"/>
      <c r="N508" s="167"/>
    </row>
    <row r="509">
      <c r="A509" s="179"/>
      <c r="B509" s="164"/>
      <c r="C509" s="165"/>
      <c r="E509" s="174"/>
      <c r="F509" s="175"/>
      <c r="G509" s="177"/>
      <c r="H509" s="175"/>
      <c r="I509" s="175"/>
      <c r="J509" s="176"/>
      <c r="K509" s="167"/>
      <c r="L509" s="167"/>
      <c r="M509" s="167"/>
      <c r="N509" s="167"/>
    </row>
    <row r="510">
      <c r="A510" s="179"/>
      <c r="B510" s="164"/>
      <c r="C510" s="165"/>
      <c r="E510" s="174"/>
      <c r="F510" s="175"/>
      <c r="G510" s="177"/>
      <c r="H510" s="175"/>
      <c r="I510" s="175"/>
      <c r="J510" s="176"/>
      <c r="K510" s="167"/>
      <c r="L510" s="167"/>
      <c r="M510" s="167"/>
      <c r="N510" s="167"/>
    </row>
    <row r="511">
      <c r="A511" s="179"/>
      <c r="B511" s="164"/>
      <c r="C511" s="165"/>
      <c r="E511" s="174"/>
      <c r="F511" s="175"/>
      <c r="G511" s="177"/>
      <c r="H511" s="175"/>
      <c r="I511" s="175"/>
      <c r="J511" s="176"/>
      <c r="K511" s="167"/>
      <c r="L511" s="167"/>
      <c r="M511" s="167"/>
      <c r="N511" s="167"/>
    </row>
    <row r="512">
      <c r="A512" s="179"/>
      <c r="B512" s="164"/>
      <c r="C512" s="165"/>
      <c r="E512" s="174"/>
      <c r="F512" s="175"/>
      <c r="G512" s="177"/>
      <c r="H512" s="175"/>
      <c r="I512" s="175"/>
      <c r="J512" s="176"/>
      <c r="K512" s="167"/>
      <c r="L512" s="167"/>
      <c r="M512" s="167"/>
      <c r="N512" s="167"/>
    </row>
    <row r="513">
      <c r="A513" s="179"/>
      <c r="B513" s="164"/>
      <c r="C513" s="165"/>
      <c r="E513" s="174"/>
      <c r="F513" s="175"/>
      <c r="G513" s="177"/>
      <c r="H513" s="175"/>
      <c r="I513" s="175"/>
      <c r="J513" s="176"/>
      <c r="K513" s="167"/>
      <c r="L513" s="167"/>
      <c r="M513" s="167"/>
      <c r="N513" s="167"/>
    </row>
    <row r="514">
      <c r="A514" s="179"/>
      <c r="B514" s="164"/>
      <c r="C514" s="165"/>
      <c r="E514" s="174"/>
      <c r="F514" s="175"/>
      <c r="G514" s="177"/>
      <c r="H514" s="175"/>
      <c r="I514" s="175"/>
      <c r="J514" s="176"/>
      <c r="K514" s="167"/>
      <c r="L514" s="167"/>
      <c r="M514" s="167"/>
      <c r="N514" s="167"/>
    </row>
    <row r="515">
      <c r="A515" s="179"/>
      <c r="B515" s="164"/>
      <c r="C515" s="165"/>
      <c r="E515" s="174"/>
      <c r="F515" s="175"/>
      <c r="G515" s="177"/>
      <c r="H515" s="175"/>
      <c r="I515" s="175"/>
      <c r="J515" s="176"/>
      <c r="K515" s="167"/>
      <c r="L515" s="167"/>
      <c r="M515" s="167"/>
      <c r="N515" s="167"/>
    </row>
    <row r="516">
      <c r="A516" s="179"/>
      <c r="B516" s="164"/>
      <c r="C516" s="165"/>
      <c r="E516" s="174"/>
      <c r="F516" s="175"/>
      <c r="G516" s="177"/>
      <c r="H516" s="175"/>
      <c r="I516" s="175"/>
      <c r="J516" s="176"/>
      <c r="K516" s="167"/>
      <c r="L516" s="167"/>
      <c r="M516" s="167"/>
      <c r="N516" s="167"/>
    </row>
    <row r="517">
      <c r="A517" s="179"/>
      <c r="B517" s="164"/>
      <c r="C517" s="165"/>
      <c r="E517" s="174"/>
      <c r="F517" s="175"/>
      <c r="G517" s="177"/>
      <c r="H517" s="175"/>
      <c r="I517" s="175"/>
      <c r="J517" s="176"/>
      <c r="K517" s="167"/>
      <c r="L517" s="167"/>
      <c r="M517" s="167"/>
      <c r="N517" s="167"/>
    </row>
    <row r="518">
      <c r="A518" s="179"/>
      <c r="B518" s="164"/>
      <c r="C518" s="165"/>
      <c r="E518" s="174"/>
      <c r="F518" s="175"/>
      <c r="G518" s="177"/>
      <c r="H518" s="175"/>
      <c r="I518" s="175"/>
      <c r="J518" s="176"/>
      <c r="K518" s="167"/>
      <c r="L518" s="167"/>
      <c r="M518" s="167"/>
      <c r="N518" s="167"/>
    </row>
    <row r="519">
      <c r="A519" s="179"/>
      <c r="B519" s="164"/>
      <c r="C519" s="165"/>
      <c r="E519" s="174"/>
      <c r="F519" s="175"/>
      <c r="G519" s="177"/>
      <c r="H519" s="175"/>
      <c r="I519" s="175"/>
      <c r="J519" s="176"/>
      <c r="K519" s="167"/>
      <c r="L519" s="167"/>
      <c r="M519" s="167"/>
      <c r="N519" s="167"/>
    </row>
    <row r="520">
      <c r="A520" s="179"/>
      <c r="B520" s="164"/>
      <c r="C520" s="165"/>
      <c r="E520" s="174"/>
      <c r="F520" s="175"/>
      <c r="G520" s="177"/>
      <c r="H520" s="175"/>
      <c r="I520" s="175"/>
      <c r="J520" s="176"/>
      <c r="K520" s="167"/>
      <c r="L520" s="167"/>
      <c r="M520" s="167"/>
      <c r="N520" s="167"/>
    </row>
    <row r="521">
      <c r="A521" s="179"/>
      <c r="B521" s="164"/>
      <c r="C521" s="165"/>
      <c r="E521" s="174"/>
      <c r="F521" s="175"/>
      <c r="G521" s="177"/>
      <c r="H521" s="175"/>
      <c r="I521" s="175"/>
      <c r="J521" s="176"/>
      <c r="K521" s="167"/>
      <c r="L521" s="167"/>
      <c r="M521" s="167"/>
      <c r="N521" s="167"/>
    </row>
    <row r="522">
      <c r="A522" s="179"/>
      <c r="B522" s="164"/>
      <c r="C522" s="165"/>
      <c r="E522" s="174"/>
      <c r="F522" s="175"/>
      <c r="G522" s="177"/>
      <c r="H522" s="175"/>
      <c r="I522" s="175"/>
      <c r="J522" s="176"/>
      <c r="K522" s="167"/>
      <c r="L522" s="167"/>
      <c r="M522" s="167"/>
      <c r="N522" s="167"/>
    </row>
    <row r="523">
      <c r="A523" s="179"/>
      <c r="B523" s="164"/>
      <c r="C523" s="165"/>
      <c r="E523" s="174"/>
      <c r="F523" s="175"/>
      <c r="G523" s="177"/>
      <c r="H523" s="175"/>
      <c r="I523" s="175"/>
      <c r="J523" s="176"/>
      <c r="K523" s="167"/>
      <c r="L523" s="167"/>
      <c r="M523" s="167"/>
      <c r="N523" s="167"/>
    </row>
    <row r="524">
      <c r="A524" s="179"/>
      <c r="B524" s="164"/>
      <c r="C524" s="165"/>
      <c r="E524" s="174"/>
      <c r="F524" s="175"/>
      <c r="G524" s="177"/>
      <c r="H524" s="175"/>
      <c r="I524" s="175"/>
      <c r="J524" s="176"/>
      <c r="K524" s="167"/>
      <c r="L524" s="167"/>
      <c r="M524" s="167"/>
      <c r="N524" s="167"/>
    </row>
    <row r="525">
      <c r="A525" s="179"/>
      <c r="B525" s="164"/>
      <c r="C525" s="165"/>
      <c r="E525" s="174"/>
      <c r="F525" s="175"/>
      <c r="G525" s="177"/>
      <c r="H525" s="175"/>
      <c r="I525" s="175"/>
      <c r="J525" s="176"/>
      <c r="K525" s="167"/>
      <c r="L525" s="167"/>
      <c r="M525" s="167"/>
      <c r="N525" s="167"/>
    </row>
    <row r="526">
      <c r="A526" s="179"/>
      <c r="B526" s="164"/>
      <c r="C526" s="165"/>
      <c r="E526" s="174"/>
      <c r="F526" s="175"/>
      <c r="G526" s="177"/>
      <c r="H526" s="175"/>
      <c r="I526" s="175"/>
      <c r="J526" s="176"/>
      <c r="K526" s="167"/>
      <c r="L526" s="167"/>
      <c r="M526" s="167"/>
      <c r="N526" s="167"/>
    </row>
    <row r="527">
      <c r="A527" s="179"/>
      <c r="B527" s="164"/>
      <c r="C527" s="165"/>
      <c r="E527" s="174"/>
      <c r="F527" s="175"/>
      <c r="G527" s="177"/>
      <c r="H527" s="175"/>
      <c r="I527" s="175"/>
      <c r="J527" s="176"/>
      <c r="K527" s="167"/>
      <c r="L527" s="167"/>
      <c r="M527" s="167"/>
      <c r="N527" s="167"/>
    </row>
    <row r="528">
      <c r="A528" s="179"/>
      <c r="B528" s="164"/>
      <c r="C528" s="165"/>
      <c r="E528" s="174"/>
      <c r="F528" s="175"/>
      <c r="G528" s="177"/>
      <c r="H528" s="175"/>
      <c r="I528" s="175"/>
      <c r="J528" s="176"/>
      <c r="K528" s="167"/>
      <c r="L528" s="167"/>
      <c r="M528" s="167"/>
      <c r="N528" s="167"/>
    </row>
    <row r="529">
      <c r="A529" s="179"/>
      <c r="B529" s="164"/>
      <c r="C529" s="165"/>
      <c r="E529" s="174"/>
      <c r="F529" s="175"/>
      <c r="G529" s="177"/>
      <c r="H529" s="175"/>
      <c r="I529" s="175"/>
      <c r="J529" s="176"/>
      <c r="K529" s="167"/>
      <c r="L529" s="167"/>
      <c r="M529" s="167"/>
      <c r="N529" s="167"/>
    </row>
    <row r="530">
      <c r="A530" s="179"/>
      <c r="B530" s="164"/>
      <c r="C530" s="165"/>
      <c r="E530" s="174"/>
      <c r="F530" s="175"/>
      <c r="G530" s="177"/>
      <c r="H530" s="175"/>
      <c r="I530" s="175"/>
      <c r="J530" s="176"/>
      <c r="K530" s="167"/>
      <c r="L530" s="167"/>
      <c r="M530" s="167"/>
      <c r="N530" s="167"/>
    </row>
    <row r="531">
      <c r="A531" s="179"/>
      <c r="B531" s="164"/>
      <c r="C531" s="165"/>
      <c r="E531" s="174"/>
      <c r="F531" s="175"/>
      <c r="G531" s="177"/>
      <c r="H531" s="175"/>
      <c r="I531" s="175"/>
      <c r="J531" s="176"/>
      <c r="K531" s="167"/>
      <c r="L531" s="167"/>
      <c r="M531" s="167"/>
      <c r="N531" s="167"/>
    </row>
    <row r="532">
      <c r="A532" s="179"/>
      <c r="B532" s="164"/>
      <c r="C532" s="165"/>
      <c r="E532" s="174"/>
      <c r="F532" s="175"/>
      <c r="G532" s="177"/>
      <c r="H532" s="175"/>
      <c r="I532" s="175"/>
      <c r="J532" s="176"/>
      <c r="K532" s="167"/>
      <c r="L532" s="167"/>
      <c r="M532" s="167"/>
      <c r="N532" s="167"/>
    </row>
    <row r="533">
      <c r="A533" s="179"/>
      <c r="B533" s="164"/>
      <c r="C533" s="165"/>
      <c r="E533" s="174"/>
      <c r="F533" s="175"/>
      <c r="G533" s="177"/>
      <c r="H533" s="175"/>
      <c r="I533" s="175"/>
      <c r="J533" s="176"/>
      <c r="K533" s="167"/>
      <c r="L533" s="167"/>
      <c r="M533" s="167"/>
      <c r="N533" s="167"/>
    </row>
    <row r="534">
      <c r="A534" s="179"/>
      <c r="B534" s="164"/>
      <c r="C534" s="165"/>
      <c r="E534" s="174"/>
      <c r="F534" s="175"/>
      <c r="G534" s="177"/>
      <c r="H534" s="175"/>
      <c r="I534" s="175"/>
      <c r="J534" s="176"/>
      <c r="K534" s="167"/>
      <c r="L534" s="167"/>
      <c r="M534" s="167"/>
      <c r="N534" s="167"/>
    </row>
    <row r="535">
      <c r="A535" s="179"/>
      <c r="B535" s="164"/>
      <c r="C535" s="165"/>
      <c r="E535" s="174"/>
      <c r="F535" s="175"/>
      <c r="G535" s="177"/>
      <c r="H535" s="175"/>
      <c r="I535" s="175"/>
      <c r="J535" s="176"/>
      <c r="K535" s="167"/>
      <c r="L535" s="167"/>
      <c r="M535" s="167"/>
      <c r="N535" s="167"/>
    </row>
    <row r="536">
      <c r="A536" s="179"/>
      <c r="B536" s="164"/>
      <c r="C536" s="165"/>
      <c r="E536" s="174"/>
      <c r="F536" s="175"/>
      <c r="G536" s="177"/>
      <c r="H536" s="175"/>
      <c r="I536" s="175"/>
      <c r="J536" s="176"/>
      <c r="K536" s="167"/>
      <c r="L536" s="167"/>
      <c r="M536" s="167"/>
      <c r="N536" s="167"/>
    </row>
    <row r="537">
      <c r="A537" s="179"/>
      <c r="B537" s="164"/>
      <c r="C537" s="165"/>
      <c r="E537" s="174"/>
      <c r="F537" s="175"/>
      <c r="G537" s="177"/>
      <c r="H537" s="175"/>
      <c r="I537" s="175"/>
      <c r="J537" s="176"/>
      <c r="K537" s="167"/>
      <c r="L537" s="167"/>
      <c r="M537" s="167"/>
      <c r="N537" s="167"/>
    </row>
    <row r="538">
      <c r="A538" s="179"/>
      <c r="B538" s="164"/>
      <c r="C538" s="165"/>
      <c r="E538" s="174"/>
      <c r="F538" s="175"/>
      <c r="G538" s="177"/>
      <c r="H538" s="175"/>
      <c r="I538" s="175"/>
      <c r="J538" s="176"/>
      <c r="K538" s="167"/>
      <c r="L538" s="167"/>
      <c r="M538" s="167"/>
      <c r="N538" s="167"/>
    </row>
    <row r="539">
      <c r="A539" s="179"/>
      <c r="B539" s="164"/>
      <c r="C539" s="165"/>
      <c r="E539" s="174"/>
      <c r="F539" s="175"/>
      <c r="G539" s="177"/>
      <c r="H539" s="175"/>
      <c r="I539" s="175"/>
      <c r="J539" s="176"/>
      <c r="K539" s="167"/>
      <c r="L539" s="167"/>
      <c r="M539" s="167"/>
      <c r="N539" s="167"/>
    </row>
    <row r="540">
      <c r="A540" s="179"/>
      <c r="B540" s="164"/>
      <c r="C540" s="165"/>
      <c r="E540" s="174"/>
      <c r="F540" s="175"/>
      <c r="G540" s="177"/>
      <c r="H540" s="175"/>
      <c r="I540" s="175"/>
      <c r="J540" s="176"/>
      <c r="K540" s="167"/>
      <c r="L540" s="167"/>
      <c r="M540" s="167"/>
      <c r="N540" s="167"/>
    </row>
    <row r="541">
      <c r="A541" s="179"/>
      <c r="B541" s="164"/>
      <c r="C541" s="165"/>
      <c r="E541" s="174"/>
      <c r="F541" s="175"/>
      <c r="G541" s="177"/>
      <c r="H541" s="175"/>
      <c r="I541" s="175"/>
      <c r="J541" s="176"/>
      <c r="K541" s="167"/>
      <c r="L541" s="167"/>
      <c r="M541" s="167"/>
      <c r="N541" s="167"/>
    </row>
    <row r="542">
      <c r="A542" s="179"/>
      <c r="B542" s="164"/>
      <c r="C542" s="165"/>
      <c r="E542" s="174"/>
      <c r="F542" s="175"/>
      <c r="G542" s="177"/>
      <c r="H542" s="175"/>
      <c r="I542" s="175"/>
      <c r="J542" s="176"/>
      <c r="K542" s="167"/>
      <c r="L542" s="167"/>
      <c r="M542" s="167"/>
      <c r="N542" s="167"/>
    </row>
    <row r="543">
      <c r="A543" s="179"/>
      <c r="B543" s="164"/>
      <c r="C543" s="165"/>
      <c r="E543" s="174"/>
      <c r="F543" s="175"/>
      <c r="G543" s="177"/>
      <c r="H543" s="175"/>
      <c r="I543" s="175"/>
      <c r="J543" s="176"/>
      <c r="K543" s="167"/>
      <c r="L543" s="167"/>
      <c r="M543" s="167"/>
      <c r="N543" s="167"/>
    </row>
    <row r="544">
      <c r="A544" s="179"/>
      <c r="B544" s="164"/>
      <c r="C544" s="165"/>
      <c r="E544" s="174"/>
      <c r="F544" s="175"/>
      <c r="G544" s="177"/>
      <c r="H544" s="175"/>
      <c r="I544" s="175"/>
      <c r="J544" s="176"/>
      <c r="K544" s="167"/>
      <c r="L544" s="167"/>
      <c r="M544" s="167"/>
      <c r="N544" s="167"/>
    </row>
    <row r="545">
      <c r="A545" s="179"/>
      <c r="B545" s="164"/>
      <c r="C545" s="165"/>
      <c r="E545" s="174"/>
      <c r="F545" s="175"/>
      <c r="G545" s="177"/>
      <c r="H545" s="175"/>
      <c r="I545" s="175"/>
      <c r="J545" s="176"/>
      <c r="K545" s="167"/>
      <c r="L545" s="167"/>
      <c r="M545" s="167"/>
      <c r="N545" s="167"/>
    </row>
    <row r="546">
      <c r="A546" s="179"/>
      <c r="B546" s="164"/>
      <c r="C546" s="165"/>
      <c r="E546" s="174"/>
      <c r="F546" s="175"/>
      <c r="G546" s="177"/>
      <c r="H546" s="175"/>
      <c r="I546" s="175"/>
      <c r="J546" s="176"/>
      <c r="K546" s="167"/>
      <c r="L546" s="167"/>
      <c r="M546" s="167"/>
      <c r="N546" s="167"/>
    </row>
    <row r="547">
      <c r="A547" s="179"/>
      <c r="B547" s="164"/>
      <c r="C547" s="165"/>
      <c r="E547" s="174"/>
      <c r="F547" s="175"/>
      <c r="G547" s="177"/>
      <c r="H547" s="175"/>
      <c r="I547" s="175"/>
      <c r="J547" s="176"/>
      <c r="K547" s="167"/>
      <c r="L547" s="167"/>
      <c r="M547" s="167"/>
      <c r="N547" s="167"/>
    </row>
    <row r="548">
      <c r="A548" s="179"/>
      <c r="B548" s="164"/>
      <c r="C548" s="165"/>
      <c r="E548" s="174"/>
      <c r="F548" s="175"/>
      <c r="G548" s="177"/>
      <c r="H548" s="175"/>
      <c r="I548" s="175"/>
      <c r="J548" s="176"/>
      <c r="K548" s="167"/>
      <c r="L548" s="167"/>
      <c r="M548" s="167"/>
      <c r="N548" s="167"/>
    </row>
    <row r="549">
      <c r="A549" s="179"/>
      <c r="B549" s="164"/>
      <c r="C549" s="165"/>
      <c r="E549" s="174"/>
      <c r="F549" s="175"/>
      <c r="G549" s="177"/>
      <c r="H549" s="175"/>
      <c r="I549" s="175"/>
      <c r="J549" s="176"/>
      <c r="K549" s="167"/>
      <c r="L549" s="167"/>
      <c r="M549" s="167"/>
      <c r="N549" s="167"/>
    </row>
    <row r="550">
      <c r="A550" s="179"/>
      <c r="B550" s="164"/>
      <c r="C550" s="165"/>
      <c r="E550" s="174"/>
      <c r="F550" s="175"/>
      <c r="G550" s="177"/>
      <c r="H550" s="175"/>
      <c r="I550" s="175"/>
      <c r="J550" s="176"/>
      <c r="K550" s="167"/>
      <c r="L550" s="167"/>
      <c r="M550" s="167"/>
      <c r="N550" s="167"/>
    </row>
    <row r="551">
      <c r="A551" s="179"/>
      <c r="B551" s="164"/>
      <c r="C551" s="165"/>
      <c r="E551" s="174"/>
      <c r="F551" s="175"/>
      <c r="G551" s="177"/>
      <c r="H551" s="175"/>
      <c r="I551" s="175"/>
      <c r="J551" s="176"/>
      <c r="K551" s="167"/>
      <c r="L551" s="167"/>
      <c r="M551" s="167"/>
      <c r="N551" s="167"/>
    </row>
    <row r="552">
      <c r="A552" s="179"/>
      <c r="B552" s="164"/>
      <c r="C552" s="165"/>
      <c r="E552" s="174"/>
      <c r="F552" s="175"/>
      <c r="G552" s="177"/>
      <c r="H552" s="175"/>
      <c r="I552" s="175"/>
      <c r="J552" s="176"/>
      <c r="K552" s="167"/>
      <c r="L552" s="167"/>
      <c r="M552" s="167"/>
      <c r="N552" s="167"/>
    </row>
    <row r="553">
      <c r="A553" s="179"/>
      <c r="B553" s="164"/>
      <c r="C553" s="165"/>
      <c r="E553" s="174"/>
      <c r="F553" s="175"/>
      <c r="G553" s="177"/>
      <c r="H553" s="175"/>
      <c r="I553" s="175"/>
      <c r="J553" s="176"/>
      <c r="K553" s="167"/>
      <c r="L553" s="167"/>
      <c r="M553" s="167"/>
      <c r="N553" s="167"/>
    </row>
    <row r="554">
      <c r="A554" s="179"/>
      <c r="B554" s="164"/>
      <c r="C554" s="165"/>
      <c r="E554" s="174"/>
      <c r="F554" s="175"/>
      <c r="G554" s="177"/>
      <c r="H554" s="175"/>
      <c r="I554" s="175"/>
      <c r="J554" s="176"/>
      <c r="K554" s="167"/>
      <c r="L554" s="167"/>
      <c r="M554" s="167"/>
      <c r="N554" s="167"/>
    </row>
    <row r="555">
      <c r="A555" s="179"/>
      <c r="B555" s="164"/>
      <c r="C555" s="165"/>
      <c r="E555" s="174"/>
      <c r="F555" s="175"/>
      <c r="G555" s="177"/>
      <c r="H555" s="175"/>
      <c r="I555" s="175"/>
      <c r="J555" s="176"/>
      <c r="K555" s="167"/>
      <c r="L555" s="167"/>
      <c r="M555" s="167"/>
      <c r="N555" s="167"/>
    </row>
    <row r="556">
      <c r="A556" s="179"/>
      <c r="B556" s="164"/>
      <c r="C556" s="165"/>
      <c r="E556" s="174"/>
      <c r="F556" s="175"/>
      <c r="G556" s="177"/>
      <c r="H556" s="175"/>
      <c r="I556" s="175"/>
      <c r="J556" s="176"/>
      <c r="K556" s="167"/>
      <c r="L556" s="167"/>
      <c r="M556" s="167"/>
      <c r="N556" s="167"/>
    </row>
    <row r="557">
      <c r="A557" s="179"/>
      <c r="B557" s="164"/>
      <c r="C557" s="165"/>
      <c r="E557" s="174"/>
      <c r="F557" s="175"/>
      <c r="G557" s="177"/>
      <c r="H557" s="175"/>
      <c r="I557" s="175"/>
      <c r="J557" s="176"/>
      <c r="K557" s="167"/>
      <c r="L557" s="167"/>
      <c r="M557" s="167"/>
      <c r="N557" s="167"/>
    </row>
    <row r="558">
      <c r="A558" s="179"/>
      <c r="B558" s="164"/>
      <c r="C558" s="165"/>
      <c r="E558" s="174"/>
      <c r="F558" s="175"/>
      <c r="G558" s="177"/>
      <c r="H558" s="175"/>
      <c r="I558" s="175"/>
      <c r="J558" s="176"/>
      <c r="K558" s="167"/>
      <c r="L558" s="167"/>
      <c r="M558" s="167"/>
      <c r="N558" s="167"/>
    </row>
    <row r="559">
      <c r="A559" s="179"/>
      <c r="B559" s="164"/>
      <c r="C559" s="165"/>
      <c r="E559" s="174"/>
      <c r="F559" s="175"/>
      <c r="G559" s="177"/>
      <c r="H559" s="175"/>
      <c r="I559" s="175"/>
      <c r="J559" s="176"/>
      <c r="K559" s="167"/>
      <c r="L559" s="167"/>
      <c r="M559" s="167"/>
      <c r="N559" s="167"/>
    </row>
    <row r="560">
      <c r="A560" s="179"/>
      <c r="B560" s="164"/>
      <c r="C560" s="165"/>
      <c r="E560" s="174"/>
      <c r="F560" s="175"/>
      <c r="G560" s="177"/>
      <c r="H560" s="175"/>
      <c r="I560" s="175"/>
      <c r="J560" s="176"/>
      <c r="K560" s="167"/>
      <c r="L560" s="167"/>
      <c r="M560" s="167"/>
      <c r="N560" s="167"/>
    </row>
    <row r="561">
      <c r="A561" s="179"/>
      <c r="B561" s="164"/>
      <c r="C561" s="165"/>
      <c r="E561" s="174"/>
      <c r="F561" s="175"/>
      <c r="G561" s="177"/>
      <c r="H561" s="175"/>
      <c r="I561" s="175"/>
      <c r="J561" s="176"/>
      <c r="K561" s="167"/>
      <c r="L561" s="167"/>
      <c r="M561" s="167"/>
      <c r="N561" s="167"/>
    </row>
    <row r="562">
      <c r="A562" s="179"/>
      <c r="B562" s="164"/>
      <c r="C562" s="165"/>
      <c r="E562" s="174"/>
      <c r="F562" s="175"/>
      <c r="G562" s="177"/>
      <c r="H562" s="175"/>
      <c r="I562" s="175"/>
      <c r="J562" s="176"/>
      <c r="K562" s="167"/>
      <c r="L562" s="167"/>
      <c r="M562" s="167"/>
      <c r="N562" s="167"/>
    </row>
    <row r="563">
      <c r="A563" s="179"/>
      <c r="B563" s="164"/>
      <c r="C563" s="165"/>
      <c r="E563" s="174"/>
      <c r="F563" s="175"/>
      <c r="G563" s="177"/>
      <c r="H563" s="175"/>
      <c r="I563" s="175"/>
      <c r="J563" s="176"/>
      <c r="K563" s="167"/>
      <c r="L563" s="167"/>
      <c r="M563" s="167"/>
      <c r="N563" s="167"/>
    </row>
    <row r="564">
      <c r="A564" s="179"/>
      <c r="B564" s="164"/>
      <c r="C564" s="165"/>
      <c r="E564" s="174"/>
      <c r="F564" s="175"/>
      <c r="G564" s="177"/>
      <c r="H564" s="175"/>
      <c r="I564" s="175"/>
      <c r="J564" s="176"/>
      <c r="K564" s="167"/>
      <c r="L564" s="167"/>
      <c r="M564" s="167"/>
      <c r="N564" s="167"/>
    </row>
    <row r="565">
      <c r="A565" s="179"/>
      <c r="B565" s="164"/>
      <c r="C565" s="165"/>
      <c r="E565" s="174"/>
      <c r="F565" s="175"/>
      <c r="G565" s="177"/>
      <c r="H565" s="175"/>
      <c r="I565" s="175"/>
      <c r="J565" s="176"/>
      <c r="K565" s="167"/>
      <c r="L565" s="167"/>
      <c r="M565" s="167"/>
      <c r="N565" s="167"/>
    </row>
    <row r="566">
      <c r="A566" s="179"/>
      <c r="B566" s="164"/>
      <c r="C566" s="165"/>
      <c r="E566" s="174"/>
      <c r="F566" s="175"/>
      <c r="G566" s="177"/>
      <c r="H566" s="175"/>
      <c r="I566" s="175"/>
      <c r="J566" s="176"/>
      <c r="K566" s="167"/>
      <c r="L566" s="167"/>
      <c r="M566" s="167"/>
      <c r="N566" s="167"/>
    </row>
    <row r="567">
      <c r="A567" s="179"/>
      <c r="B567" s="164"/>
      <c r="C567" s="165"/>
      <c r="E567" s="174"/>
      <c r="F567" s="175"/>
      <c r="G567" s="177"/>
      <c r="H567" s="175"/>
      <c r="I567" s="175"/>
      <c r="J567" s="176"/>
      <c r="K567" s="167"/>
      <c r="L567" s="167"/>
      <c r="M567" s="167"/>
      <c r="N567" s="167"/>
    </row>
    <row r="568">
      <c r="A568" s="179"/>
      <c r="B568" s="164"/>
      <c r="C568" s="165"/>
      <c r="E568" s="174"/>
      <c r="F568" s="175"/>
      <c r="G568" s="177"/>
      <c r="H568" s="175"/>
      <c r="I568" s="175"/>
      <c r="J568" s="176"/>
      <c r="K568" s="167"/>
      <c r="L568" s="167"/>
      <c r="M568" s="167"/>
      <c r="N568" s="167"/>
    </row>
    <row r="569">
      <c r="A569" s="179"/>
      <c r="B569" s="164"/>
      <c r="C569" s="165"/>
      <c r="E569" s="174"/>
      <c r="F569" s="175"/>
      <c r="G569" s="177"/>
      <c r="H569" s="175"/>
      <c r="I569" s="175"/>
      <c r="J569" s="176"/>
      <c r="K569" s="167"/>
      <c r="L569" s="167"/>
      <c r="M569" s="167"/>
      <c r="N569" s="167"/>
    </row>
    <row r="570">
      <c r="A570" s="179"/>
      <c r="B570" s="164"/>
      <c r="C570" s="165"/>
      <c r="E570" s="174"/>
      <c r="F570" s="175"/>
      <c r="G570" s="177"/>
      <c r="H570" s="175"/>
      <c r="I570" s="175"/>
      <c r="J570" s="176"/>
      <c r="K570" s="167"/>
      <c r="L570" s="167"/>
      <c r="M570" s="167"/>
      <c r="N570" s="167"/>
    </row>
    <row r="571">
      <c r="A571" s="179"/>
      <c r="B571" s="164"/>
      <c r="C571" s="165"/>
      <c r="E571" s="174"/>
      <c r="F571" s="175"/>
      <c r="G571" s="177"/>
      <c r="H571" s="175"/>
      <c r="I571" s="175"/>
      <c r="J571" s="176"/>
      <c r="K571" s="167"/>
      <c r="L571" s="167"/>
      <c r="M571" s="167"/>
      <c r="N571" s="167"/>
    </row>
    <row r="572">
      <c r="A572" s="179"/>
      <c r="B572" s="164"/>
      <c r="C572" s="165"/>
      <c r="E572" s="174"/>
      <c r="F572" s="175"/>
      <c r="G572" s="177"/>
      <c r="H572" s="175"/>
      <c r="I572" s="175"/>
      <c r="J572" s="176"/>
      <c r="K572" s="167"/>
      <c r="L572" s="167"/>
      <c r="M572" s="167"/>
      <c r="N572" s="167"/>
    </row>
    <row r="573">
      <c r="A573" s="179"/>
      <c r="B573" s="164"/>
      <c r="C573" s="165"/>
      <c r="E573" s="174"/>
      <c r="F573" s="175"/>
      <c r="G573" s="177"/>
      <c r="H573" s="175"/>
      <c r="I573" s="175"/>
      <c r="J573" s="176"/>
      <c r="K573" s="167"/>
      <c r="L573" s="167"/>
      <c r="M573" s="167"/>
      <c r="N573" s="167"/>
    </row>
    <row r="574">
      <c r="A574" s="179"/>
      <c r="B574" s="164"/>
      <c r="C574" s="165"/>
      <c r="E574" s="174"/>
      <c r="F574" s="175"/>
      <c r="G574" s="177"/>
      <c r="H574" s="175"/>
      <c r="I574" s="175"/>
      <c r="J574" s="176"/>
      <c r="K574" s="167"/>
      <c r="L574" s="167"/>
      <c r="M574" s="167"/>
      <c r="N574" s="167"/>
    </row>
    <row r="575">
      <c r="A575" s="179"/>
      <c r="B575" s="164"/>
      <c r="C575" s="165"/>
      <c r="E575" s="174"/>
      <c r="F575" s="175"/>
      <c r="G575" s="177"/>
      <c r="H575" s="175"/>
      <c r="I575" s="175"/>
      <c r="J575" s="176"/>
      <c r="K575" s="167"/>
      <c r="L575" s="167"/>
      <c r="M575" s="167"/>
      <c r="N575" s="167"/>
    </row>
    <row r="576">
      <c r="A576" s="179"/>
      <c r="B576" s="164"/>
      <c r="C576" s="165"/>
      <c r="E576" s="174"/>
      <c r="F576" s="175"/>
      <c r="G576" s="177"/>
      <c r="H576" s="175"/>
      <c r="I576" s="175"/>
      <c r="J576" s="176"/>
      <c r="K576" s="167"/>
      <c r="L576" s="167"/>
      <c r="M576" s="167"/>
      <c r="N576" s="167"/>
    </row>
    <row r="577">
      <c r="A577" s="179"/>
      <c r="B577" s="164"/>
      <c r="C577" s="165"/>
      <c r="E577" s="174"/>
      <c r="F577" s="175"/>
      <c r="G577" s="177"/>
      <c r="H577" s="175"/>
      <c r="I577" s="175"/>
      <c r="J577" s="176"/>
      <c r="K577" s="167"/>
      <c r="L577" s="167"/>
      <c r="M577" s="167"/>
      <c r="N577" s="167"/>
    </row>
    <row r="578">
      <c r="A578" s="179"/>
      <c r="B578" s="164"/>
      <c r="C578" s="165"/>
      <c r="E578" s="174"/>
      <c r="F578" s="175"/>
      <c r="G578" s="177"/>
      <c r="H578" s="175"/>
      <c r="I578" s="175"/>
      <c r="J578" s="176"/>
      <c r="K578" s="167"/>
      <c r="L578" s="167"/>
      <c r="M578" s="167"/>
      <c r="N578" s="167"/>
    </row>
    <row r="579">
      <c r="A579" s="179"/>
      <c r="B579" s="164"/>
      <c r="C579" s="165"/>
      <c r="E579" s="174"/>
      <c r="F579" s="175"/>
      <c r="G579" s="177"/>
      <c r="H579" s="175"/>
      <c r="I579" s="175"/>
      <c r="J579" s="176"/>
      <c r="K579" s="167"/>
      <c r="L579" s="167"/>
      <c r="M579" s="167"/>
      <c r="N579" s="167"/>
    </row>
    <row r="580">
      <c r="A580" s="179"/>
      <c r="B580" s="164"/>
      <c r="C580" s="165"/>
      <c r="E580" s="174"/>
      <c r="F580" s="175"/>
      <c r="G580" s="177"/>
      <c r="H580" s="175"/>
      <c r="I580" s="175"/>
      <c r="J580" s="176"/>
      <c r="K580" s="167"/>
      <c r="L580" s="167"/>
      <c r="M580" s="167"/>
      <c r="N580" s="167"/>
    </row>
    <row r="581">
      <c r="A581" s="179"/>
      <c r="B581" s="164"/>
      <c r="C581" s="165"/>
      <c r="E581" s="174"/>
      <c r="F581" s="175"/>
      <c r="G581" s="177"/>
      <c r="H581" s="175"/>
      <c r="I581" s="175"/>
      <c r="J581" s="176"/>
      <c r="K581" s="167"/>
      <c r="L581" s="167"/>
      <c r="M581" s="167"/>
      <c r="N581" s="167"/>
    </row>
    <row r="582">
      <c r="A582" s="179"/>
      <c r="B582" s="164"/>
      <c r="C582" s="165"/>
      <c r="E582" s="174"/>
      <c r="F582" s="175"/>
      <c r="G582" s="177"/>
      <c r="H582" s="175"/>
      <c r="I582" s="175"/>
      <c r="J582" s="176"/>
      <c r="K582" s="167"/>
      <c r="L582" s="167"/>
      <c r="M582" s="167"/>
      <c r="N582" s="167"/>
    </row>
    <row r="583">
      <c r="A583" s="179"/>
      <c r="B583" s="164"/>
      <c r="C583" s="165"/>
      <c r="E583" s="174"/>
      <c r="F583" s="175"/>
      <c r="G583" s="177"/>
      <c r="H583" s="175"/>
      <c r="I583" s="175"/>
      <c r="J583" s="176"/>
      <c r="K583" s="167"/>
      <c r="L583" s="167"/>
      <c r="M583" s="167"/>
      <c r="N583" s="167"/>
    </row>
    <row r="584">
      <c r="A584" s="179"/>
      <c r="B584" s="164"/>
      <c r="C584" s="165"/>
      <c r="E584" s="174"/>
      <c r="F584" s="175"/>
      <c r="G584" s="177"/>
      <c r="H584" s="175"/>
      <c r="I584" s="175"/>
      <c r="J584" s="176"/>
      <c r="K584" s="167"/>
      <c r="L584" s="167"/>
      <c r="M584" s="167"/>
      <c r="N584" s="167"/>
    </row>
    <row r="585">
      <c r="A585" s="179"/>
      <c r="B585" s="164"/>
      <c r="C585" s="165"/>
      <c r="E585" s="174"/>
      <c r="F585" s="175"/>
      <c r="G585" s="177"/>
      <c r="H585" s="175"/>
      <c r="I585" s="175"/>
      <c r="J585" s="176"/>
      <c r="K585" s="167"/>
      <c r="L585" s="167"/>
      <c r="M585" s="167"/>
      <c r="N585" s="167"/>
    </row>
    <row r="586">
      <c r="A586" s="179"/>
      <c r="B586" s="164"/>
      <c r="C586" s="165"/>
      <c r="E586" s="174"/>
      <c r="F586" s="175"/>
      <c r="G586" s="177"/>
      <c r="H586" s="175"/>
      <c r="I586" s="175"/>
      <c r="J586" s="176"/>
      <c r="K586" s="167"/>
      <c r="L586" s="167"/>
      <c r="M586" s="167"/>
      <c r="N586" s="167"/>
    </row>
    <row r="587">
      <c r="A587" s="179"/>
      <c r="B587" s="164"/>
      <c r="C587" s="165"/>
      <c r="E587" s="174"/>
      <c r="F587" s="175"/>
      <c r="G587" s="177"/>
      <c r="H587" s="175"/>
      <c r="I587" s="175"/>
      <c r="J587" s="176"/>
      <c r="K587" s="167"/>
      <c r="L587" s="167"/>
      <c r="M587" s="167"/>
      <c r="N587" s="167"/>
    </row>
    <row r="588">
      <c r="A588" s="179"/>
      <c r="B588" s="164"/>
      <c r="C588" s="165"/>
      <c r="E588" s="174"/>
      <c r="F588" s="175"/>
      <c r="G588" s="177"/>
      <c r="H588" s="175"/>
      <c r="I588" s="175"/>
      <c r="J588" s="176"/>
      <c r="K588" s="167"/>
      <c r="L588" s="167"/>
      <c r="M588" s="167"/>
      <c r="N588" s="167"/>
    </row>
    <row r="589">
      <c r="A589" s="179"/>
      <c r="B589" s="164"/>
      <c r="C589" s="165"/>
      <c r="E589" s="174"/>
      <c r="F589" s="175"/>
      <c r="G589" s="177"/>
      <c r="H589" s="175"/>
      <c r="I589" s="175"/>
      <c r="J589" s="176"/>
      <c r="K589" s="167"/>
      <c r="L589" s="167"/>
      <c r="M589" s="167"/>
      <c r="N589" s="167"/>
    </row>
    <row r="590">
      <c r="A590" s="179"/>
      <c r="B590" s="164"/>
      <c r="C590" s="165"/>
      <c r="E590" s="174"/>
      <c r="F590" s="175"/>
      <c r="G590" s="177"/>
      <c r="H590" s="175"/>
      <c r="I590" s="175"/>
      <c r="J590" s="176"/>
      <c r="K590" s="167"/>
      <c r="L590" s="167"/>
      <c r="M590" s="167"/>
      <c r="N590" s="167"/>
    </row>
    <row r="591">
      <c r="A591" s="179"/>
      <c r="B591" s="164"/>
      <c r="C591" s="165"/>
      <c r="E591" s="174"/>
      <c r="F591" s="175"/>
      <c r="G591" s="177"/>
      <c r="H591" s="175"/>
      <c r="I591" s="175"/>
      <c r="J591" s="176"/>
      <c r="K591" s="167"/>
      <c r="L591" s="167"/>
      <c r="M591" s="167"/>
      <c r="N591" s="167"/>
    </row>
    <row r="592">
      <c r="A592" s="179"/>
      <c r="B592" s="164"/>
      <c r="C592" s="165"/>
      <c r="E592" s="174"/>
      <c r="F592" s="175"/>
      <c r="G592" s="177"/>
      <c r="H592" s="175"/>
      <c r="I592" s="175"/>
      <c r="J592" s="176"/>
      <c r="K592" s="167"/>
      <c r="L592" s="167"/>
      <c r="M592" s="167"/>
      <c r="N592" s="167"/>
    </row>
    <row r="593">
      <c r="A593" s="179"/>
      <c r="B593" s="164"/>
      <c r="C593" s="165"/>
      <c r="E593" s="174"/>
      <c r="F593" s="175"/>
      <c r="G593" s="177"/>
      <c r="H593" s="175"/>
      <c r="I593" s="175"/>
      <c r="J593" s="176"/>
      <c r="K593" s="167"/>
      <c r="L593" s="167"/>
      <c r="M593" s="167"/>
      <c r="N593" s="167"/>
    </row>
    <row r="594">
      <c r="A594" s="179"/>
      <c r="B594" s="164"/>
      <c r="C594" s="165"/>
      <c r="E594" s="174"/>
      <c r="F594" s="175"/>
      <c r="G594" s="177"/>
      <c r="H594" s="175"/>
      <c r="I594" s="175"/>
      <c r="J594" s="176"/>
      <c r="K594" s="167"/>
      <c r="L594" s="167"/>
      <c r="M594" s="167"/>
      <c r="N594" s="167"/>
    </row>
    <row r="595">
      <c r="A595" s="179"/>
      <c r="B595" s="164"/>
      <c r="C595" s="165"/>
      <c r="E595" s="174"/>
      <c r="F595" s="175"/>
      <c r="G595" s="177"/>
      <c r="H595" s="175"/>
      <c r="I595" s="175"/>
      <c r="J595" s="176"/>
      <c r="K595" s="167"/>
      <c r="L595" s="167"/>
      <c r="M595" s="167"/>
      <c r="N595" s="167"/>
    </row>
    <row r="596">
      <c r="A596" s="179"/>
      <c r="B596" s="164"/>
      <c r="C596" s="165"/>
      <c r="E596" s="174"/>
      <c r="F596" s="175"/>
      <c r="G596" s="177"/>
      <c r="H596" s="175"/>
      <c r="I596" s="175"/>
      <c r="J596" s="176"/>
      <c r="K596" s="167"/>
      <c r="L596" s="167"/>
      <c r="M596" s="167"/>
      <c r="N596" s="167"/>
    </row>
    <row r="597">
      <c r="A597" s="179"/>
      <c r="B597" s="164"/>
      <c r="C597" s="165"/>
      <c r="E597" s="174"/>
      <c r="F597" s="175"/>
      <c r="G597" s="177"/>
      <c r="H597" s="175"/>
      <c r="I597" s="175"/>
      <c r="J597" s="176"/>
      <c r="K597" s="167"/>
      <c r="L597" s="167"/>
      <c r="M597" s="167"/>
      <c r="N597" s="167"/>
    </row>
    <row r="598">
      <c r="A598" s="179"/>
      <c r="B598" s="164"/>
      <c r="C598" s="165"/>
      <c r="E598" s="174"/>
      <c r="F598" s="175"/>
      <c r="G598" s="177"/>
      <c r="H598" s="175"/>
      <c r="I598" s="175"/>
      <c r="J598" s="176"/>
      <c r="K598" s="167"/>
      <c r="L598" s="167"/>
      <c r="M598" s="167"/>
      <c r="N598" s="167"/>
    </row>
    <row r="599">
      <c r="A599" s="179"/>
      <c r="B599" s="164"/>
      <c r="C599" s="165"/>
      <c r="E599" s="174"/>
      <c r="F599" s="175"/>
      <c r="G599" s="177"/>
      <c r="H599" s="175"/>
      <c r="I599" s="175"/>
      <c r="J599" s="176"/>
      <c r="K599" s="167"/>
      <c r="L599" s="167"/>
      <c r="M599" s="167"/>
      <c r="N599" s="167"/>
    </row>
    <row r="600">
      <c r="A600" s="179"/>
      <c r="B600" s="164"/>
      <c r="C600" s="165"/>
      <c r="E600" s="174"/>
      <c r="F600" s="175"/>
      <c r="G600" s="177"/>
      <c r="H600" s="175"/>
      <c r="I600" s="175"/>
      <c r="J600" s="176"/>
      <c r="K600" s="167"/>
      <c r="L600" s="167"/>
      <c r="M600" s="167"/>
      <c r="N600" s="167"/>
    </row>
    <row r="601">
      <c r="A601" s="179"/>
      <c r="B601" s="164"/>
      <c r="C601" s="165"/>
      <c r="E601" s="174"/>
      <c r="F601" s="175"/>
      <c r="G601" s="177"/>
      <c r="H601" s="175"/>
      <c r="I601" s="175"/>
      <c r="J601" s="176"/>
      <c r="K601" s="167"/>
      <c r="L601" s="167"/>
      <c r="M601" s="167"/>
      <c r="N601" s="167"/>
    </row>
    <row r="602">
      <c r="A602" s="179"/>
      <c r="B602" s="164"/>
      <c r="C602" s="165"/>
      <c r="E602" s="174"/>
      <c r="F602" s="175"/>
      <c r="G602" s="177"/>
      <c r="H602" s="175"/>
      <c r="I602" s="175"/>
      <c r="J602" s="176"/>
      <c r="K602" s="167"/>
      <c r="L602" s="167"/>
      <c r="M602" s="167"/>
      <c r="N602" s="167"/>
    </row>
    <row r="603">
      <c r="A603" s="179"/>
      <c r="B603" s="164"/>
      <c r="C603" s="165"/>
      <c r="E603" s="174"/>
      <c r="F603" s="175"/>
      <c r="G603" s="177"/>
      <c r="H603" s="175"/>
      <c r="I603" s="175"/>
      <c r="J603" s="176"/>
      <c r="K603" s="167"/>
      <c r="L603" s="167"/>
      <c r="M603" s="167"/>
      <c r="N603" s="167"/>
    </row>
    <row r="604">
      <c r="A604" s="179"/>
      <c r="B604" s="164"/>
      <c r="C604" s="165"/>
      <c r="E604" s="174"/>
      <c r="F604" s="175"/>
      <c r="G604" s="177"/>
      <c r="H604" s="175"/>
      <c r="I604" s="175"/>
      <c r="J604" s="176"/>
      <c r="K604" s="167"/>
      <c r="L604" s="167"/>
      <c r="M604" s="167"/>
      <c r="N604" s="167"/>
    </row>
    <row r="605">
      <c r="A605" s="179"/>
      <c r="B605" s="164"/>
      <c r="C605" s="165"/>
      <c r="E605" s="174"/>
      <c r="F605" s="175"/>
      <c r="G605" s="177"/>
      <c r="H605" s="175"/>
      <c r="I605" s="175"/>
      <c r="J605" s="176"/>
      <c r="K605" s="167"/>
      <c r="L605" s="167"/>
      <c r="M605" s="167"/>
      <c r="N605" s="167"/>
    </row>
    <row r="606">
      <c r="A606" s="179"/>
      <c r="B606" s="164"/>
      <c r="C606" s="165"/>
      <c r="E606" s="174"/>
      <c r="F606" s="175"/>
      <c r="G606" s="177"/>
      <c r="H606" s="175"/>
      <c r="I606" s="175"/>
      <c r="J606" s="176"/>
      <c r="K606" s="167"/>
      <c r="L606" s="167"/>
      <c r="M606" s="167"/>
      <c r="N606" s="167"/>
    </row>
    <row r="607">
      <c r="A607" s="179"/>
      <c r="B607" s="164"/>
      <c r="C607" s="165"/>
      <c r="E607" s="174"/>
      <c r="F607" s="175"/>
      <c r="G607" s="177"/>
      <c r="H607" s="175"/>
      <c r="I607" s="175"/>
      <c r="J607" s="176"/>
      <c r="K607" s="167"/>
      <c r="L607" s="167"/>
      <c r="M607" s="167"/>
      <c r="N607" s="167"/>
    </row>
    <row r="608">
      <c r="A608" s="179"/>
      <c r="B608" s="164"/>
      <c r="C608" s="165"/>
      <c r="E608" s="174"/>
      <c r="F608" s="175"/>
      <c r="G608" s="177"/>
      <c r="H608" s="175"/>
      <c r="I608" s="175"/>
      <c r="J608" s="176"/>
      <c r="K608" s="167"/>
      <c r="L608" s="167"/>
      <c r="M608" s="167"/>
      <c r="N608" s="167"/>
    </row>
    <row r="609">
      <c r="A609" s="179"/>
      <c r="B609" s="164"/>
      <c r="C609" s="165"/>
      <c r="E609" s="174"/>
      <c r="F609" s="175"/>
      <c r="G609" s="177"/>
      <c r="H609" s="175"/>
      <c r="I609" s="175"/>
      <c r="J609" s="176"/>
      <c r="K609" s="167"/>
      <c r="L609" s="167"/>
      <c r="M609" s="167"/>
      <c r="N609" s="167"/>
    </row>
    <row r="610">
      <c r="A610" s="179"/>
      <c r="B610" s="164"/>
      <c r="C610" s="165"/>
      <c r="E610" s="174"/>
      <c r="F610" s="175"/>
      <c r="G610" s="177"/>
      <c r="H610" s="175"/>
      <c r="I610" s="175"/>
      <c r="J610" s="176"/>
      <c r="K610" s="167"/>
      <c r="L610" s="167"/>
      <c r="M610" s="167"/>
      <c r="N610" s="167"/>
    </row>
    <row r="611">
      <c r="A611" s="179"/>
      <c r="B611" s="164"/>
      <c r="C611" s="165"/>
      <c r="E611" s="174"/>
      <c r="F611" s="175"/>
      <c r="G611" s="177"/>
      <c r="H611" s="175"/>
      <c r="I611" s="175"/>
      <c r="J611" s="176"/>
      <c r="K611" s="167"/>
      <c r="L611" s="167"/>
      <c r="M611" s="167"/>
      <c r="N611" s="167"/>
    </row>
    <row r="612">
      <c r="A612" s="179"/>
      <c r="B612" s="164"/>
      <c r="C612" s="165"/>
      <c r="E612" s="174"/>
      <c r="F612" s="175"/>
      <c r="G612" s="177"/>
      <c r="H612" s="175"/>
      <c r="I612" s="175"/>
      <c r="J612" s="176"/>
      <c r="K612" s="167"/>
      <c r="L612" s="167"/>
      <c r="M612" s="167"/>
      <c r="N612" s="167"/>
    </row>
    <row r="613">
      <c r="A613" s="179"/>
      <c r="B613" s="164"/>
      <c r="C613" s="165"/>
      <c r="E613" s="174"/>
      <c r="F613" s="175"/>
      <c r="G613" s="177"/>
      <c r="H613" s="175"/>
      <c r="I613" s="175"/>
      <c r="J613" s="176"/>
      <c r="K613" s="167"/>
      <c r="L613" s="167"/>
      <c r="M613" s="167"/>
      <c r="N613" s="167"/>
    </row>
    <row r="614">
      <c r="A614" s="179"/>
      <c r="B614" s="164"/>
      <c r="C614" s="165"/>
      <c r="E614" s="174"/>
      <c r="F614" s="175"/>
      <c r="G614" s="177"/>
      <c r="H614" s="175"/>
      <c r="I614" s="175"/>
      <c r="J614" s="176"/>
      <c r="K614" s="167"/>
      <c r="L614" s="167"/>
      <c r="M614" s="167"/>
      <c r="N614" s="167"/>
    </row>
    <row r="615">
      <c r="A615" s="179"/>
      <c r="B615" s="164"/>
      <c r="C615" s="165"/>
      <c r="E615" s="174"/>
      <c r="F615" s="175"/>
      <c r="G615" s="177"/>
      <c r="H615" s="175"/>
      <c r="I615" s="175"/>
      <c r="J615" s="176"/>
      <c r="K615" s="167"/>
      <c r="L615" s="167"/>
      <c r="M615" s="167"/>
      <c r="N615" s="167"/>
    </row>
    <row r="616">
      <c r="A616" s="179"/>
      <c r="B616" s="164"/>
      <c r="C616" s="165"/>
      <c r="E616" s="174"/>
      <c r="F616" s="175"/>
      <c r="G616" s="177"/>
      <c r="H616" s="175"/>
      <c r="I616" s="175"/>
      <c r="J616" s="176"/>
      <c r="K616" s="167"/>
      <c r="L616" s="167"/>
      <c r="M616" s="167"/>
      <c r="N616" s="167"/>
    </row>
    <row r="617">
      <c r="A617" s="179"/>
      <c r="B617" s="164"/>
      <c r="C617" s="165"/>
      <c r="E617" s="174"/>
      <c r="F617" s="175"/>
      <c r="G617" s="177"/>
      <c r="H617" s="175"/>
      <c r="I617" s="175"/>
      <c r="J617" s="176"/>
      <c r="K617" s="167"/>
      <c r="L617" s="167"/>
      <c r="M617" s="167"/>
      <c r="N617" s="167"/>
    </row>
    <row r="618">
      <c r="A618" s="179"/>
      <c r="B618" s="164"/>
      <c r="C618" s="165"/>
      <c r="E618" s="174"/>
      <c r="F618" s="175"/>
      <c r="G618" s="177"/>
      <c r="H618" s="175"/>
      <c r="I618" s="175"/>
      <c r="J618" s="176"/>
      <c r="K618" s="167"/>
      <c r="L618" s="167"/>
      <c r="M618" s="167"/>
      <c r="N618" s="167"/>
    </row>
    <row r="619">
      <c r="A619" s="179"/>
      <c r="B619" s="164"/>
      <c r="C619" s="165"/>
      <c r="E619" s="174"/>
      <c r="F619" s="175"/>
      <c r="G619" s="177"/>
      <c r="H619" s="175"/>
      <c r="I619" s="175"/>
      <c r="J619" s="176"/>
      <c r="K619" s="167"/>
      <c r="L619" s="167"/>
      <c r="M619" s="167"/>
      <c r="N619" s="167"/>
    </row>
    <row r="620">
      <c r="A620" s="179"/>
      <c r="B620" s="164"/>
      <c r="C620" s="165"/>
      <c r="E620" s="174"/>
      <c r="F620" s="175"/>
      <c r="G620" s="177"/>
      <c r="H620" s="175"/>
      <c r="I620" s="175"/>
      <c r="J620" s="176"/>
      <c r="K620" s="167"/>
      <c r="L620" s="167"/>
      <c r="M620" s="167"/>
      <c r="N620" s="167"/>
    </row>
    <row r="621">
      <c r="A621" s="179"/>
      <c r="B621" s="164"/>
      <c r="C621" s="165"/>
      <c r="E621" s="174"/>
      <c r="F621" s="175"/>
      <c r="G621" s="177"/>
      <c r="H621" s="175"/>
      <c r="I621" s="175"/>
      <c r="J621" s="176"/>
      <c r="K621" s="167"/>
      <c r="L621" s="167"/>
      <c r="M621" s="167"/>
      <c r="N621" s="167"/>
    </row>
    <row r="622">
      <c r="A622" s="179"/>
      <c r="B622" s="164"/>
      <c r="C622" s="165"/>
      <c r="E622" s="174"/>
      <c r="F622" s="175"/>
      <c r="G622" s="177"/>
      <c r="H622" s="175"/>
      <c r="I622" s="175"/>
      <c r="J622" s="176"/>
      <c r="K622" s="167"/>
      <c r="L622" s="167"/>
      <c r="M622" s="167"/>
      <c r="N622" s="167"/>
    </row>
    <row r="623">
      <c r="A623" s="179"/>
      <c r="B623" s="164"/>
      <c r="C623" s="165"/>
      <c r="E623" s="174"/>
      <c r="F623" s="175"/>
      <c r="G623" s="177"/>
      <c r="H623" s="175"/>
      <c r="I623" s="175"/>
      <c r="J623" s="176"/>
      <c r="K623" s="167"/>
      <c r="L623" s="167"/>
      <c r="M623" s="167"/>
      <c r="N623" s="167"/>
    </row>
    <row r="624">
      <c r="A624" s="179"/>
      <c r="B624" s="164"/>
      <c r="C624" s="165"/>
      <c r="E624" s="174"/>
      <c r="F624" s="175"/>
      <c r="G624" s="177"/>
      <c r="H624" s="175"/>
      <c r="I624" s="175"/>
      <c r="J624" s="176"/>
      <c r="K624" s="167"/>
      <c r="L624" s="167"/>
      <c r="M624" s="167"/>
      <c r="N624" s="167"/>
    </row>
    <row r="625">
      <c r="A625" s="179"/>
      <c r="B625" s="164"/>
      <c r="C625" s="165"/>
      <c r="E625" s="174"/>
      <c r="F625" s="175"/>
      <c r="G625" s="177"/>
      <c r="H625" s="175"/>
      <c r="I625" s="175"/>
      <c r="J625" s="176"/>
      <c r="K625" s="167"/>
      <c r="L625" s="167"/>
      <c r="M625" s="167"/>
      <c r="N625" s="167"/>
    </row>
    <row r="626">
      <c r="A626" s="179"/>
      <c r="B626" s="164"/>
      <c r="C626" s="165"/>
      <c r="E626" s="174"/>
      <c r="F626" s="175"/>
      <c r="G626" s="177"/>
      <c r="H626" s="175"/>
      <c r="I626" s="175"/>
      <c r="J626" s="176"/>
      <c r="K626" s="167"/>
      <c r="L626" s="167"/>
      <c r="M626" s="167"/>
      <c r="N626" s="167"/>
    </row>
    <row r="627">
      <c r="A627" s="179"/>
      <c r="B627" s="164"/>
      <c r="C627" s="165"/>
      <c r="E627" s="174"/>
      <c r="F627" s="175"/>
      <c r="G627" s="177"/>
      <c r="H627" s="175"/>
      <c r="I627" s="175"/>
      <c r="J627" s="176"/>
      <c r="K627" s="167"/>
      <c r="L627" s="167"/>
      <c r="M627" s="167"/>
      <c r="N627" s="167"/>
    </row>
    <row r="628">
      <c r="A628" s="179"/>
      <c r="B628" s="164"/>
      <c r="C628" s="165"/>
      <c r="E628" s="174"/>
      <c r="F628" s="175"/>
      <c r="G628" s="177"/>
      <c r="H628" s="175"/>
      <c r="I628" s="175"/>
      <c r="J628" s="176"/>
      <c r="K628" s="167"/>
      <c r="L628" s="167"/>
      <c r="M628" s="167"/>
      <c r="N628" s="167"/>
    </row>
    <row r="629">
      <c r="A629" s="179"/>
      <c r="B629" s="164"/>
      <c r="C629" s="165"/>
      <c r="E629" s="174"/>
      <c r="F629" s="175"/>
      <c r="G629" s="177"/>
      <c r="H629" s="175"/>
      <c r="I629" s="175"/>
      <c r="J629" s="176"/>
      <c r="K629" s="167"/>
      <c r="L629" s="167"/>
      <c r="M629" s="167"/>
      <c r="N629" s="167"/>
    </row>
    <row r="630">
      <c r="A630" s="179"/>
      <c r="B630" s="164"/>
      <c r="C630" s="165"/>
      <c r="E630" s="174"/>
      <c r="F630" s="175"/>
      <c r="G630" s="177"/>
      <c r="H630" s="175"/>
      <c r="I630" s="175"/>
      <c r="J630" s="176"/>
      <c r="K630" s="167"/>
      <c r="L630" s="167"/>
      <c r="M630" s="167"/>
      <c r="N630" s="167"/>
    </row>
    <row r="631">
      <c r="A631" s="179"/>
      <c r="B631" s="164"/>
      <c r="C631" s="165"/>
      <c r="E631" s="174"/>
      <c r="F631" s="175"/>
      <c r="G631" s="177"/>
      <c r="H631" s="175"/>
      <c r="I631" s="175"/>
      <c r="J631" s="176"/>
      <c r="K631" s="167"/>
      <c r="L631" s="167"/>
      <c r="M631" s="167"/>
      <c r="N631" s="167"/>
    </row>
    <row r="632">
      <c r="A632" s="179"/>
      <c r="B632" s="164"/>
      <c r="C632" s="165"/>
      <c r="E632" s="174"/>
      <c r="F632" s="175"/>
      <c r="G632" s="177"/>
      <c r="H632" s="175"/>
      <c r="I632" s="175"/>
      <c r="J632" s="176"/>
      <c r="K632" s="167"/>
      <c r="L632" s="167"/>
      <c r="M632" s="167"/>
      <c r="N632" s="167"/>
    </row>
    <row r="633">
      <c r="A633" s="179"/>
      <c r="B633" s="164"/>
      <c r="C633" s="165"/>
      <c r="E633" s="174"/>
      <c r="F633" s="175"/>
      <c r="G633" s="177"/>
      <c r="H633" s="175"/>
      <c r="I633" s="175"/>
      <c r="J633" s="176"/>
      <c r="K633" s="167"/>
      <c r="L633" s="167"/>
      <c r="M633" s="167"/>
      <c r="N633" s="167"/>
    </row>
    <row r="634">
      <c r="A634" s="179"/>
      <c r="B634" s="164"/>
      <c r="C634" s="165"/>
      <c r="E634" s="174"/>
      <c r="F634" s="175"/>
      <c r="G634" s="177"/>
      <c r="H634" s="175"/>
      <c r="I634" s="175"/>
      <c r="J634" s="176"/>
      <c r="K634" s="167"/>
      <c r="L634" s="167"/>
      <c r="M634" s="167"/>
      <c r="N634" s="167"/>
    </row>
    <row r="635">
      <c r="A635" s="179"/>
      <c r="B635" s="164"/>
      <c r="C635" s="165"/>
      <c r="E635" s="174"/>
      <c r="F635" s="175"/>
      <c r="G635" s="177"/>
      <c r="H635" s="175"/>
      <c r="I635" s="175"/>
      <c r="J635" s="176"/>
      <c r="K635" s="167"/>
      <c r="L635" s="167"/>
      <c r="M635" s="167"/>
      <c r="N635" s="167"/>
    </row>
    <row r="636">
      <c r="A636" s="179"/>
      <c r="B636" s="164"/>
      <c r="C636" s="165"/>
      <c r="E636" s="174"/>
      <c r="F636" s="175"/>
      <c r="G636" s="177"/>
      <c r="H636" s="175"/>
      <c r="I636" s="175"/>
      <c r="J636" s="176"/>
      <c r="K636" s="167"/>
      <c r="L636" s="167"/>
      <c r="M636" s="167"/>
      <c r="N636" s="167"/>
    </row>
    <row r="637">
      <c r="A637" s="179"/>
      <c r="B637" s="164"/>
      <c r="C637" s="165"/>
      <c r="E637" s="174"/>
      <c r="F637" s="175"/>
      <c r="G637" s="177"/>
      <c r="H637" s="175"/>
      <c r="I637" s="175"/>
      <c r="J637" s="176"/>
      <c r="K637" s="167"/>
      <c r="L637" s="167"/>
      <c r="M637" s="167"/>
      <c r="N637" s="167"/>
    </row>
    <row r="638">
      <c r="A638" s="179"/>
      <c r="B638" s="164"/>
      <c r="C638" s="165"/>
      <c r="E638" s="174"/>
      <c r="F638" s="175"/>
      <c r="G638" s="177"/>
      <c r="H638" s="175"/>
      <c r="I638" s="175"/>
      <c r="J638" s="176"/>
      <c r="K638" s="167"/>
      <c r="L638" s="167"/>
      <c r="M638" s="167"/>
      <c r="N638" s="167"/>
    </row>
    <row r="639">
      <c r="A639" s="179"/>
      <c r="B639" s="164"/>
      <c r="C639" s="165"/>
      <c r="E639" s="174"/>
      <c r="F639" s="175"/>
      <c r="G639" s="177"/>
      <c r="H639" s="175"/>
      <c r="I639" s="175"/>
      <c r="J639" s="176"/>
      <c r="K639" s="167"/>
      <c r="L639" s="167"/>
      <c r="M639" s="167"/>
      <c r="N639" s="167"/>
    </row>
    <row r="640">
      <c r="A640" s="179"/>
      <c r="B640" s="164"/>
      <c r="C640" s="165"/>
      <c r="E640" s="174"/>
      <c r="F640" s="175"/>
      <c r="G640" s="177"/>
      <c r="H640" s="175"/>
      <c r="I640" s="175"/>
      <c r="J640" s="176"/>
      <c r="K640" s="167"/>
      <c r="L640" s="167"/>
      <c r="M640" s="167"/>
      <c r="N640" s="167"/>
    </row>
    <row r="641">
      <c r="A641" s="179"/>
      <c r="B641" s="164"/>
      <c r="C641" s="165"/>
      <c r="E641" s="174"/>
      <c r="F641" s="175"/>
      <c r="G641" s="177"/>
      <c r="H641" s="175"/>
      <c r="I641" s="175"/>
      <c r="J641" s="176"/>
      <c r="K641" s="167"/>
      <c r="L641" s="167"/>
      <c r="M641" s="167"/>
      <c r="N641" s="167"/>
    </row>
    <row r="642">
      <c r="A642" s="179"/>
      <c r="B642" s="164"/>
      <c r="C642" s="165"/>
      <c r="E642" s="174"/>
      <c r="F642" s="175"/>
      <c r="G642" s="177"/>
      <c r="H642" s="175"/>
      <c r="I642" s="175"/>
      <c r="J642" s="176"/>
      <c r="K642" s="167"/>
      <c r="L642" s="167"/>
      <c r="M642" s="167"/>
      <c r="N642" s="167"/>
    </row>
    <row r="643">
      <c r="A643" s="179"/>
      <c r="B643" s="164"/>
      <c r="C643" s="165"/>
      <c r="E643" s="174"/>
      <c r="F643" s="175"/>
      <c r="G643" s="177"/>
      <c r="H643" s="175"/>
      <c r="I643" s="175"/>
      <c r="J643" s="176"/>
      <c r="K643" s="167"/>
      <c r="L643" s="167"/>
      <c r="M643" s="167"/>
      <c r="N643" s="167"/>
    </row>
    <row r="644">
      <c r="A644" s="179"/>
      <c r="B644" s="164"/>
      <c r="C644" s="165"/>
      <c r="E644" s="174"/>
      <c r="F644" s="175"/>
      <c r="G644" s="177"/>
      <c r="H644" s="175"/>
      <c r="I644" s="175"/>
      <c r="J644" s="176"/>
      <c r="K644" s="167"/>
      <c r="L644" s="167"/>
      <c r="M644" s="167"/>
      <c r="N644" s="167"/>
    </row>
    <row r="645">
      <c r="A645" s="179"/>
      <c r="B645" s="164"/>
      <c r="C645" s="165"/>
      <c r="E645" s="174"/>
      <c r="F645" s="175"/>
      <c r="G645" s="177"/>
      <c r="H645" s="175"/>
      <c r="I645" s="175"/>
      <c r="J645" s="176"/>
      <c r="K645" s="167"/>
      <c r="L645" s="167"/>
      <c r="M645" s="167"/>
      <c r="N645" s="167"/>
    </row>
    <row r="646">
      <c r="A646" s="179"/>
      <c r="B646" s="164"/>
      <c r="C646" s="165"/>
      <c r="E646" s="174"/>
      <c r="F646" s="175"/>
      <c r="G646" s="177"/>
      <c r="H646" s="175"/>
      <c r="I646" s="175"/>
      <c r="J646" s="176"/>
      <c r="K646" s="167"/>
      <c r="L646" s="167"/>
      <c r="M646" s="167"/>
      <c r="N646" s="167"/>
    </row>
    <row r="647">
      <c r="A647" s="179"/>
      <c r="B647" s="164"/>
      <c r="C647" s="165"/>
      <c r="E647" s="174"/>
      <c r="F647" s="175"/>
      <c r="G647" s="177"/>
      <c r="H647" s="175"/>
      <c r="I647" s="175"/>
      <c r="J647" s="176"/>
      <c r="K647" s="167"/>
      <c r="L647" s="167"/>
      <c r="M647" s="167"/>
      <c r="N647" s="167"/>
    </row>
    <row r="648">
      <c r="A648" s="179"/>
      <c r="B648" s="164"/>
      <c r="C648" s="165"/>
      <c r="E648" s="174"/>
      <c r="F648" s="175"/>
      <c r="G648" s="177"/>
      <c r="H648" s="175"/>
      <c r="I648" s="175"/>
      <c r="J648" s="176"/>
      <c r="K648" s="167"/>
      <c r="L648" s="167"/>
      <c r="M648" s="167"/>
      <c r="N648" s="167"/>
    </row>
    <row r="649">
      <c r="A649" s="179"/>
      <c r="B649" s="164"/>
      <c r="C649" s="165"/>
      <c r="E649" s="174"/>
      <c r="F649" s="175"/>
      <c r="G649" s="177"/>
      <c r="H649" s="175"/>
      <c r="I649" s="175"/>
      <c r="J649" s="176"/>
      <c r="K649" s="167"/>
      <c r="L649" s="167"/>
      <c r="M649" s="167"/>
      <c r="N649" s="167"/>
    </row>
    <row r="650">
      <c r="A650" s="179"/>
      <c r="B650" s="164"/>
      <c r="C650" s="165"/>
      <c r="E650" s="174"/>
      <c r="F650" s="175"/>
      <c r="G650" s="177"/>
      <c r="H650" s="175"/>
      <c r="I650" s="175"/>
      <c r="J650" s="176"/>
      <c r="K650" s="167"/>
      <c r="L650" s="167"/>
      <c r="M650" s="167"/>
      <c r="N650" s="167"/>
    </row>
    <row r="651">
      <c r="A651" s="179"/>
      <c r="B651" s="164"/>
      <c r="C651" s="165"/>
      <c r="E651" s="174"/>
      <c r="F651" s="175"/>
      <c r="G651" s="177"/>
      <c r="H651" s="175"/>
      <c r="I651" s="175"/>
      <c r="J651" s="176"/>
      <c r="K651" s="167"/>
      <c r="L651" s="167"/>
      <c r="M651" s="167"/>
      <c r="N651" s="167"/>
    </row>
    <row r="652">
      <c r="A652" s="179"/>
      <c r="B652" s="164"/>
      <c r="C652" s="165"/>
      <c r="E652" s="174"/>
      <c r="F652" s="175"/>
      <c r="G652" s="177"/>
      <c r="H652" s="175"/>
      <c r="I652" s="175"/>
      <c r="J652" s="176"/>
      <c r="K652" s="167"/>
      <c r="L652" s="167"/>
      <c r="M652" s="167"/>
      <c r="N652" s="167"/>
    </row>
    <row r="653">
      <c r="A653" s="179"/>
      <c r="B653" s="164"/>
      <c r="C653" s="165"/>
      <c r="E653" s="174"/>
      <c r="F653" s="175"/>
      <c r="G653" s="177"/>
      <c r="H653" s="175"/>
      <c r="I653" s="175"/>
      <c r="J653" s="176"/>
      <c r="K653" s="167"/>
      <c r="L653" s="167"/>
      <c r="M653" s="167"/>
      <c r="N653" s="167"/>
    </row>
    <row r="654">
      <c r="A654" s="179"/>
      <c r="B654" s="164"/>
      <c r="C654" s="165"/>
      <c r="E654" s="174"/>
      <c r="F654" s="175"/>
      <c r="G654" s="177"/>
      <c r="H654" s="175"/>
      <c r="I654" s="175"/>
      <c r="J654" s="176"/>
      <c r="K654" s="167"/>
      <c r="L654" s="167"/>
      <c r="M654" s="167"/>
      <c r="N654" s="167"/>
    </row>
    <row r="655">
      <c r="A655" s="179"/>
      <c r="B655" s="164"/>
      <c r="C655" s="165"/>
      <c r="E655" s="174"/>
      <c r="F655" s="175"/>
      <c r="G655" s="177"/>
      <c r="H655" s="175"/>
      <c r="I655" s="175"/>
      <c r="J655" s="176"/>
      <c r="K655" s="167"/>
      <c r="L655" s="167"/>
      <c r="M655" s="167"/>
      <c r="N655" s="167"/>
    </row>
    <row r="656">
      <c r="A656" s="179"/>
      <c r="B656" s="164"/>
      <c r="C656" s="165"/>
      <c r="E656" s="174"/>
      <c r="F656" s="175"/>
      <c r="G656" s="177"/>
      <c r="H656" s="175"/>
      <c r="I656" s="175"/>
      <c r="J656" s="176"/>
      <c r="K656" s="167"/>
      <c r="L656" s="167"/>
      <c r="M656" s="167"/>
      <c r="N656" s="167"/>
    </row>
    <row r="657">
      <c r="A657" s="179"/>
      <c r="B657" s="164"/>
      <c r="C657" s="165"/>
      <c r="E657" s="174"/>
      <c r="F657" s="175"/>
      <c r="G657" s="177"/>
      <c r="H657" s="175"/>
      <c r="I657" s="175"/>
      <c r="J657" s="176"/>
      <c r="K657" s="167"/>
      <c r="L657" s="167"/>
      <c r="M657" s="167"/>
      <c r="N657" s="167"/>
    </row>
    <row r="658">
      <c r="A658" s="179"/>
      <c r="B658" s="164"/>
      <c r="C658" s="165"/>
      <c r="E658" s="174"/>
      <c r="F658" s="175"/>
      <c r="G658" s="177"/>
      <c r="H658" s="175"/>
      <c r="I658" s="175"/>
      <c r="J658" s="176"/>
      <c r="K658" s="167"/>
      <c r="L658" s="167"/>
      <c r="M658" s="167"/>
      <c r="N658" s="167"/>
    </row>
    <row r="659">
      <c r="A659" s="179"/>
      <c r="B659" s="164"/>
      <c r="C659" s="165"/>
      <c r="E659" s="174"/>
      <c r="F659" s="175"/>
      <c r="G659" s="177"/>
      <c r="H659" s="175"/>
      <c r="I659" s="175"/>
      <c r="J659" s="176"/>
      <c r="K659" s="167"/>
      <c r="L659" s="167"/>
      <c r="M659" s="167"/>
      <c r="N659" s="167"/>
    </row>
    <row r="660">
      <c r="A660" s="179"/>
      <c r="B660" s="164"/>
      <c r="C660" s="165"/>
      <c r="E660" s="174"/>
      <c r="F660" s="175"/>
      <c r="G660" s="177"/>
      <c r="H660" s="175"/>
      <c r="I660" s="175"/>
      <c r="J660" s="176"/>
      <c r="K660" s="167"/>
      <c r="L660" s="167"/>
      <c r="M660" s="167"/>
      <c r="N660" s="167"/>
    </row>
    <row r="661">
      <c r="A661" s="179"/>
      <c r="B661" s="164"/>
      <c r="C661" s="165"/>
      <c r="E661" s="174"/>
      <c r="F661" s="175"/>
      <c r="G661" s="177"/>
      <c r="H661" s="175"/>
      <c r="I661" s="175"/>
      <c r="J661" s="176"/>
      <c r="K661" s="167"/>
      <c r="L661" s="167"/>
      <c r="M661" s="167"/>
      <c r="N661" s="167"/>
    </row>
    <row r="662">
      <c r="A662" s="179"/>
      <c r="B662" s="164"/>
      <c r="C662" s="165"/>
      <c r="E662" s="174"/>
      <c r="F662" s="175"/>
      <c r="G662" s="177"/>
      <c r="H662" s="175"/>
      <c r="I662" s="175"/>
      <c r="J662" s="176"/>
      <c r="K662" s="167"/>
      <c r="L662" s="167"/>
      <c r="M662" s="167"/>
      <c r="N662" s="167"/>
    </row>
    <row r="663">
      <c r="A663" s="179"/>
      <c r="B663" s="164"/>
      <c r="C663" s="165"/>
      <c r="E663" s="174"/>
      <c r="F663" s="175"/>
      <c r="G663" s="177"/>
      <c r="H663" s="175"/>
      <c r="I663" s="175"/>
      <c r="J663" s="176"/>
      <c r="K663" s="167"/>
      <c r="L663" s="167"/>
      <c r="M663" s="167"/>
      <c r="N663" s="167"/>
    </row>
    <row r="664">
      <c r="A664" s="179"/>
      <c r="B664" s="164"/>
      <c r="C664" s="165"/>
      <c r="E664" s="174"/>
      <c r="F664" s="175"/>
      <c r="G664" s="177"/>
      <c r="H664" s="175"/>
      <c r="I664" s="175"/>
      <c r="J664" s="176"/>
      <c r="K664" s="167"/>
      <c r="L664" s="167"/>
      <c r="M664" s="167"/>
      <c r="N664" s="167"/>
    </row>
    <row r="665">
      <c r="A665" s="179"/>
      <c r="B665" s="164"/>
      <c r="C665" s="165"/>
      <c r="E665" s="174"/>
      <c r="F665" s="175"/>
      <c r="G665" s="177"/>
      <c r="H665" s="175"/>
      <c r="I665" s="175"/>
      <c r="J665" s="176"/>
      <c r="K665" s="167"/>
      <c r="L665" s="167"/>
      <c r="M665" s="167"/>
      <c r="N665" s="167"/>
    </row>
    <row r="666">
      <c r="A666" s="179"/>
      <c r="B666" s="164"/>
      <c r="C666" s="165"/>
      <c r="E666" s="174"/>
      <c r="F666" s="175"/>
      <c r="G666" s="177"/>
      <c r="H666" s="175"/>
      <c r="I666" s="175"/>
      <c r="J666" s="176"/>
      <c r="K666" s="167"/>
      <c r="L666" s="167"/>
      <c r="M666" s="167"/>
      <c r="N666" s="167"/>
    </row>
    <row r="667">
      <c r="A667" s="179"/>
      <c r="B667" s="164"/>
      <c r="C667" s="165"/>
      <c r="E667" s="174"/>
      <c r="F667" s="175"/>
      <c r="G667" s="177"/>
      <c r="H667" s="175"/>
      <c r="I667" s="175"/>
      <c r="J667" s="176"/>
      <c r="K667" s="167"/>
      <c r="L667" s="167"/>
      <c r="M667" s="167"/>
      <c r="N667" s="167"/>
    </row>
    <row r="668">
      <c r="A668" s="179"/>
      <c r="B668" s="164"/>
      <c r="C668" s="165"/>
      <c r="E668" s="174"/>
      <c r="F668" s="175"/>
      <c r="G668" s="177"/>
      <c r="H668" s="175"/>
      <c r="I668" s="175"/>
      <c r="J668" s="176"/>
      <c r="K668" s="167"/>
      <c r="L668" s="167"/>
      <c r="M668" s="167"/>
      <c r="N668" s="167"/>
    </row>
    <row r="669">
      <c r="A669" s="179"/>
      <c r="B669" s="164"/>
      <c r="C669" s="165"/>
      <c r="E669" s="174"/>
      <c r="F669" s="175"/>
      <c r="G669" s="177"/>
      <c r="H669" s="175"/>
      <c r="I669" s="175"/>
      <c r="J669" s="176"/>
      <c r="K669" s="167"/>
      <c r="L669" s="167"/>
      <c r="M669" s="167"/>
      <c r="N669" s="167"/>
    </row>
    <row r="670">
      <c r="A670" s="179"/>
      <c r="B670" s="164"/>
      <c r="C670" s="165"/>
      <c r="E670" s="174"/>
      <c r="F670" s="175"/>
      <c r="G670" s="177"/>
      <c r="H670" s="175"/>
      <c r="I670" s="175"/>
      <c r="J670" s="176"/>
      <c r="K670" s="167"/>
      <c r="L670" s="167"/>
      <c r="M670" s="167"/>
      <c r="N670" s="167"/>
    </row>
    <row r="671">
      <c r="A671" s="179"/>
      <c r="B671" s="164"/>
      <c r="C671" s="165"/>
      <c r="E671" s="174"/>
      <c r="F671" s="175"/>
      <c r="G671" s="177"/>
      <c r="H671" s="175"/>
      <c r="I671" s="175"/>
      <c r="J671" s="176"/>
      <c r="K671" s="167"/>
      <c r="L671" s="167"/>
      <c r="M671" s="167"/>
      <c r="N671" s="167"/>
    </row>
    <row r="672">
      <c r="A672" s="179"/>
      <c r="B672" s="164"/>
      <c r="C672" s="165"/>
      <c r="E672" s="174"/>
      <c r="F672" s="175"/>
      <c r="G672" s="177"/>
      <c r="H672" s="175"/>
      <c r="I672" s="175"/>
      <c r="J672" s="176"/>
      <c r="K672" s="167"/>
      <c r="L672" s="167"/>
      <c r="M672" s="167"/>
      <c r="N672" s="167"/>
    </row>
    <row r="673">
      <c r="A673" s="179"/>
      <c r="B673" s="164"/>
      <c r="C673" s="165"/>
      <c r="E673" s="174"/>
      <c r="F673" s="175"/>
      <c r="G673" s="177"/>
      <c r="H673" s="175"/>
      <c r="I673" s="175"/>
      <c r="J673" s="176"/>
      <c r="K673" s="167"/>
      <c r="L673" s="167"/>
      <c r="M673" s="167"/>
      <c r="N673" s="167"/>
    </row>
    <row r="674">
      <c r="A674" s="179"/>
      <c r="B674" s="164"/>
      <c r="C674" s="165"/>
      <c r="E674" s="174"/>
      <c r="F674" s="175"/>
      <c r="G674" s="177"/>
      <c r="H674" s="175"/>
      <c r="I674" s="175"/>
      <c r="J674" s="176"/>
      <c r="K674" s="167"/>
      <c r="L674" s="167"/>
      <c r="M674" s="167"/>
      <c r="N674" s="167"/>
    </row>
    <row r="675">
      <c r="A675" s="179"/>
      <c r="B675" s="164"/>
      <c r="C675" s="165"/>
      <c r="E675" s="174"/>
      <c r="F675" s="175"/>
      <c r="G675" s="177"/>
      <c r="H675" s="175"/>
      <c r="I675" s="175"/>
      <c r="J675" s="176"/>
      <c r="K675" s="167"/>
      <c r="L675" s="167"/>
      <c r="M675" s="167"/>
      <c r="N675" s="167"/>
    </row>
    <row r="676">
      <c r="A676" s="179"/>
      <c r="B676" s="164"/>
      <c r="C676" s="165"/>
      <c r="E676" s="174"/>
      <c r="F676" s="175"/>
      <c r="G676" s="177"/>
      <c r="H676" s="175"/>
      <c r="I676" s="175"/>
      <c r="J676" s="176"/>
      <c r="K676" s="167"/>
      <c r="L676" s="167"/>
      <c r="M676" s="167"/>
      <c r="N676" s="167"/>
    </row>
    <row r="677">
      <c r="A677" s="179"/>
      <c r="B677" s="164"/>
      <c r="C677" s="165"/>
      <c r="E677" s="174"/>
      <c r="F677" s="175"/>
      <c r="G677" s="177"/>
      <c r="H677" s="175"/>
      <c r="I677" s="175"/>
      <c r="J677" s="176"/>
      <c r="K677" s="167"/>
      <c r="L677" s="167"/>
      <c r="M677" s="167"/>
      <c r="N677" s="167"/>
    </row>
    <row r="678">
      <c r="A678" s="179"/>
      <c r="B678" s="164"/>
      <c r="C678" s="165"/>
      <c r="E678" s="174"/>
      <c r="F678" s="175"/>
      <c r="G678" s="177"/>
      <c r="H678" s="175"/>
      <c r="I678" s="175"/>
      <c r="J678" s="176"/>
      <c r="K678" s="167"/>
      <c r="L678" s="167"/>
      <c r="M678" s="167"/>
      <c r="N678" s="167"/>
    </row>
    <row r="679">
      <c r="A679" s="179"/>
      <c r="B679" s="164"/>
      <c r="C679" s="165"/>
      <c r="E679" s="174"/>
      <c r="F679" s="175"/>
      <c r="G679" s="177"/>
      <c r="H679" s="175"/>
      <c r="I679" s="175"/>
      <c r="J679" s="176"/>
      <c r="K679" s="167"/>
      <c r="L679" s="167"/>
      <c r="M679" s="167"/>
      <c r="N679" s="167"/>
    </row>
    <row r="680">
      <c r="A680" s="179"/>
      <c r="B680" s="164"/>
      <c r="C680" s="165"/>
      <c r="E680" s="174"/>
      <c r="F680" s="175"/>
      <c r="G680" s="177"/>
      <c r="H680" s="175"/>
      <c r="I680" s="175"/>
      <c r="J680" s="176"/>
      <c r="K680" s="167"/>
      <c r="L680" s="167"/>
      <c r="M680" s="167"/>
      <c r="N680" s="167"/>
    </row>
    <row r="681">
      <c r="A681" s="179"/>
      <c r="B681" s="164"/>
      <c r="C681" s="165"/>
      <c r="E681" s="174"/>
      <c r="F681" s="175"/>
      <c r="G681" s="177"/>
      <c r="H681" s="175"/>
      <c r="I681" s="175"/>
      <c r="J681" s="176"/>
      <c r="K681" s="167"/>
      <c r="L681" s="167"/>
      <c r="M681" s="167"/>
      <c r="N681" s="167"/>
    </row>
    <row r="682">
      <c r="A682" s="179"/>
      <c r="B682" s="164"/>
      <c r="C682" s="165"/>
      <c r="E682" s="174"/>
      <c r="F682" s="175"/>
      <c r="G682" s="177"/>
      <c r="H682" s="175"/>
      <c r="I682" s="175"/>
      <c r="J682" s="176"/>
      <c r="K682" s="167"/>
      <c r="L682" s="167"/>
      <c r="M682" s="167"/>
      <c r="N682" s="167"/>
    </row>
    <row r="683">
      <c r="A683" s="179"/>
      <c r="B683" s="164"/>
      <c r="C683" s="165"/>
      <c r="E683" s="174"/>
      <c r="F683" s="175"/>
      <c r="G683" s="177"/>
      <c r="H683" s="175"/>
      <c r="I683" s="175"/>
      <c r="J683" s="176"/>
      <c r="K683" s="167"/>
      <c r="L683" s="167"/>
      <c r="M683" s="167"/>
      <c r="N683" s="167"/>
    </row>
    <row r="684">
      <c r="A684" s="179"/>
      <c r="B684" s="164"/>
      <c r="C684" s="165"/>
      <c r="E684" s="174"/>
      <c r="F684" s="175"/>
      <c r="G684" s="177"/>
      <c r="H684" s="175"/>
      <c r="I684" s="175"/>
      <c r="J684" s="176"/>
      <c r="K684" s="167"/>
      <c r="L684" s="167"/>
      <c r="M684" s="167"/>
      <c r="N684" s="167"/>
    </row>
    <row r="685">
      <c r="A685" s="179"/>
      <c r="B685" s="164"/>
      <c r="C685" s="165"/>
      <c r="E685" s="174"/>
      <c r="F685" s="175"/>
      <c r="G685" s="177"/>
      <c r="H685" s="175"/>
      <c r="I685" s="175"/>
      <c r="J685" s="176"/>
      <c r="K685" s="167"/>
      <c r="L685" s="167"/>
      <c r="M685" s="167"/>
      <c r="N685" s="167"/>
    </row>
    <row r="686">
      <c r="A686" s="179"/>
      <c r="B686" s="164"/>
      <c r="C686" s="165"/>
      <c r="E686" s="174"/>
      <c r="F686" s="175"/>
      <c r="G686" s="177"/>
      <c r="H686" s="175"/>
      <c r="I686" s="175"/>
      <c r="J686" s="176"/>
      <c r="K686" s="167"/>
      <c r="L686" s="167"/>
      <c r="M686" s="167"/>
      <c r="N686" s="167"/>
    </row>
    <row r="687">
      <c r="A687" s="179"/>
      <c r="B687" s="164"/>
      <c r="C687" s="165"/>
      <c r="E687" s="174"/>
      <c r="F687" s="175"/>
      <c r="G687" s="177"/>
      <c r="H687" s="175"/>
      <c r="I687" s="175"/>
      <c r="J687" s="176"/>
      <c r="K687" s="167"/>
      <c r="L687" s="167"/>
      <c r="M687" s="167"/>
      <c r="N687" s="167"/>
    </row>
    <row r="688">
      <c r="A688" s="179"/>
      <c r="B688" s="164"/>
      <c r="C688" s="165"/>
      <c r="E688" s="174"/>
      <c r="F688" s="175"/>
      <c r="G688" s="177"/>
      <c r="H688" s="175"/>
      <c r="I688" s="175"/>
      <c r="J688" s="176"/>
      <c r="K688" s="167"/>
      <c r="L688" s="167"/>
      <c r="M688" s="167"/>
      <c r="N688" s="167"/>
    </row>
    <row r="689">
      <c r="A689" s="179"/>
      <c r="B689" s="164"/>
      <c r="C689" s="165"/>
      <c r="E689" s="174"/>
      <c r="F689" s="175"/>
      <c r="G689" s="177"/>
      <c r="H689" s="175"/>
      <c r="I689" s="175"/>
      <c r="J689" s="176"/>
      <c r="K689" s="167"/>
      <c r="L689" s="167"/>
      <c r="M689" s="167"/>
      <c r="N689" s="167"/>
    </row>
    <row r="690">
      <c r="A690" s="179"/>
      <c r="B690" s="164"/>
      <c r="C690" s="165"/>
      <c r="E690" s="174"/>
      <c r="F690" s="175"/>
      <c r="G690" s="177"/>
      <c r="H690" s="175"/>
      <c r="I690" s="175"/>
      <c r="J690" s="176"/>
      <c r="K690" s="167"/>
      <c r="L690" s="167"/>
      <c r="M690" s="167"/>
      <c r="N690" s="167"/>
    </row>
    <row r="691">
      <c r="A691" s="179"/>
      <c r="B691" s="164"/>
      <c r="C691" s="165"/>
      <c r="E691" s="174"/>
      <c r="F691" s="175"/>
      <c r="G691" s="177"/>
      <c r="H691" s="175"/>
      <c r="I691" s="175"/>
      <c r="J691" s="176"/>
      <c r="K691" s="167"/>
      <c r="L691" s="167"/>
      <c r="M691" s="167"/>
      <c r="N691" s="167"/>
    </row>
    <row r="692">
      <c r="A692" s="179"/>
      <c r="B692" s="164"/>
      <c r="C692" s="165"/>
      <c r="E692" s="174"/>
      <c r="F692" s="175"/>
      <c r="G692" s="177"/>
      <c r="H692" s="175"/>
      <c r="I692" s="175"/>
      <c r="J692" s="176"/>
      <c r="K692" s="167"/>
      <c r="L692" s="167"/>
      <c r="M692" s="167"/>
      <c r="N692" s="167"/>
    </row>
    <row r="693">
      <c r="A693" s="179"/>
      <c r="B693" s="164"/>
      <c r="C693" s="165"/>
      <c r="E693" s="174"/>
      <c r="F693" s="175"/>
      <c r="G693" s="177"/>
      <c r="H693" s="175"/>
      <c r="I693" s="175"/>
      <c r="J693" s="176"/>
      <c r="K693" s="167"/>
      <c r="L693" s="167"/>
      <c r="M693" s="167"/>
      <c r="N693" s="167"/>
    </row>
    <row r="694">
      <c r="A694" s="179"/>
      <c r="B694" s="164"/>
      <c r="C694" s="165"/>
      <c r="E694" s="174"/>
      <c r="F694" s="175"/>
      <c r="G694" s="177"/>
      <c r="H694" s="175"/>
      <c r="I694" s="175"/>
      <c r="J694" s="176"/>
      <c r="K694" s="167"/>
      <c r="L694" s="167"/>
      <c r="M694" s="167"/>
      <c r="N694" s="167"/>
    </row>
    <row r="695">
      <c r="A695" s="179"/>
      <c r="B695" s="164"/>
      <c r="C695" s="165"/>
      <c r="E695" s="174"/>
      <c r="F695" s="175"/>
      <c r="G695" s="177"/>
      <c r="H695" s="175"/>
      <c r="I695" s="175"/>
      <c r="J695" s="176"/>
      <c r="K695" s="167"/>
      <c r="L695" s="167"/>
      <c r="M695" s="167"/>
      <c r="N695" s="167"/>
    </row>
    <row r="696">
      <c r="A696" s="179"/>
      <c r="B696" s="164"/>
      <c r="C696" s="165"/>
      <c r="E696" s="174"/>
      <c r="F696" s="175"/>
      <c r="G696" s="177"/>
      <c r="H696" s="175"/>
      <c r="I696" s="175"/>
      <c r="J696" s="176"/>
      <c r="K696" s="167"/>
      <c r="L696" s="167"/>
      <c r="M696" s="167"/>
      <c r="N696" s="167"/>
    </row>
    <row r="697">
      <c r="A697" s="179"/>
      <c r="B697" s="164"/>
      <c r="C697" s="165"/>
      <c r="E697" s="174"/>
      <c r="F697" s="175"/>
      <c r="G697" s="177"/>
      <c r="H697" s="175"/>
      <c r="I697" s="175"/>
      <c r="J697" s="176"/>
      <c r="K697" s="167"/>
      <c r="L697" s="167"/>
      <c r="M697" s="167"/>
      <c r="N697" s="167"/>
    </row>
    <row r="698">
      <c r="A698" s="179"/>
      <c r="B698" s="164"/>
      <c r="C698" s="165"/>
      <c r="E698" s="174"/>
      <c r="F698" s="175"/>
      <c r="G698" s="177"/>
      <c r="H698" s="175"/>
      <c r="I698" s="175"/>
      <c r="J698" s="176"/>
      <c r="K698" s="167"/>
      <c r="L698" s="167"/>
      <c r="M698" s="167"/>
      <c r="N698" s="167"/>
    </row>
    <row r="699">
      <c r="A699" s="179"/>
      <c r="B699" s="164"/>
      <c r="C699" s="165"/>
      <c r="E699" s="174"/>
      <c r="F699" s="175"/>
      <c r="G699" s="177"/>
      <c r="H699" s="175"/>
      <c r="I699" s="175"/>
      <c r="J699" s="176"/>
      <c r="K699" s="167"/>
      <c r="L699" s="167"/>
      <c r="M699" s="167"/>
      <c r="N699" s="167"/>
    </row>
    <row r="700">
      <c r="A700" s="179"/>
      <c r="B700" s="164"/>
      <c r="C700" s="165"/>
      <c r="E700" s="174"/>
      <c r="F700" s="175"/>
      <c r="G700" s="177"/>
      <c r="H700" s="175"/>
      <c r="I700" s="175"/>
      <c r="J700" s="176"/>
      <c r="K700" s="167"/>
      <c r="L700" s="167"/>
      <c r="M700" s="167"/>
      <c r="N700" s="167"/>
    </row>
    <row r="701">
      <c r="A701" s="179"/>
      <c r="B701" s="164"/>
      <c r="C701" s="165"/>
      <c r="E701" s="174"/>
      <c r="F701" s="175"/>
      <c r="G701" s="177"/>
      <c r="H701" s="175"/>
      <c r="I701" s="175"/>
      <c r="J701" s="176"/>
      <c r="K701" s="167"/>
      <c r="L701" s="167"/>
      <c r="M701" s="167"/>
      <c r="N701" s="167"/>
    </row>
    <row r="702">
      <c r="A702" s="179"/>
      <c r="B702" s="164"/>
      <c r="C702" s="165"/>
      <c r="E702" s="174"/>
      <c r="F702" s="175"/>
      <c r="G702" s="177"/>
      <c r="H702" s="175"/>
      <c r="I702" s="175"/>
      <c r="J702" s="176"/>
      <c r="K702" s="167"/>
      <c r="L702" s="167"/>
      <c r="M702" s="167"/>
      <c r="N702" s="167"/>
    </row>
    <row r="703">
      <c r="A703" s="179"/>
      <c r="B703" s="164"/>
      <c r="C703" s="165"/>
      <c r="E703" s="174"/>
      <c r="F703" s="175"/>
      <c r="G703" s="177"/>
      <c r="H703" s="175"/>
      <c r="I703" s="175"/>
      <c r="J703" s="176"/>
      <c r="K703" s="167"/>
      <c r="L703" s="167"/>
      <c r="M703" s="167"/>
      <c r="N703" s="167"/>
    </row>
    <row r="704">
      <c r="A704" s="179"/>
      <c r="B704" s="164"/>
      <c r="C704" s="165"/>
      <c r="E704" s="174"/>
      <c r="F704" s="175"/>
      <c r="G704" s="177"/>
      <c r="H704" s="175"/>
      <c r="I704" s="175"/>
      <c r="J704" s="176"/>
      <c r="K704" s="167"/>
      <c r="L704" s="167"/>
      <c r="M704" s="167"/>
      <c r="N704" s="167"/>
    </row>
    <row r="705">
      <c r="A705" s="179"/>
      <c r="B705" s="164"/>
      <c r="C705" s="165"/>
      <c r="E705" s="174"/>
      <c r="F705" s="175"/>
      <c r="G705" s="177"/>
      <c r="H705" s="175"/>
      <c r="I705" s="175"/>
      <c r="J705" s="176"/>
      <c r="K705" s="167"/>
      <c r="L705" s="167"/>
      <c r="M705" s="167"/>
      <c r="N705" s="167"/>
    </row>
    <row r="706">
      <c r="A706" s="179"/>
      <c r="B706" s="164"/>
      <c r="C706" s="165"/>
      <c r="E706" s="174"/>
      <c r="F706" s="175"/>
      <c r="G706" s="177"/>
      <c r="H706" s="175"/>
      <c r="I706" s="175"/>
      <c r="J706" s="176"/>
      <c r="K706" s="167"/>
      <c r="L706" s="167"/>
      <c r="M706" s="167"/>
      <c r="N706" s="167"/>
    </row>
    <row r="707">
      <c r="A707" s="179"/>
      <c r="B707" s="164"/>
      <c r="C707" s="165"/>
      <c r="E707" s="174"/>
      <c r="F707" s="175"/>
      <c r="G707" s="177"/>
      <c r="H707" s="175"/>
      <c r="I707" s="175"/>
      <c r="J707" s="176"/>
      <c r="K707" s="167"/>
      <c r="L707" s="167"/>
      <c r="M707" s="167"/>
      <c r="N707" s="167"/>
    </row>
    <row r="708">
      <c r="A708" s="179"/>
      <c r="B708" s="164"/>
      <c r="C708" s="165"/>
      <c r="E708" s="174"/>
      <c r="F708" s="175"/>
      <c r="G708" s="177"/>
      <c r="H708" s="175"/>
      <c r="I708" s="175"/>
      <c r="J708" s="176"/>
      <c r="K708" s="167"/>
      <c r="L708" s="167"/>
      <c r="M708" s="167"/>
      <c r="N708" s="167"/>
    </row>
    <row r="709">
      <c r="A709" s="179"/>
      <c r="B709" s="164"/>
      <c r="C709" s="165"/>
      <c r="E709" s="174"/>
      <c r="F709" s="175"/>
      <c r="G709" s="177"/>
      <c r="H709" s="175"/>
      <c r="I709" s="175"/>
      <c r="J709" s="176"/>
      <c r="K709" s="167"/>
      <c r="L709" s="167"/>
      <c r="M709" s="167"/>
      <c r="N709" s="167"/>
    </row>
    <row r="710">
      <c r="A710" s="179"/>
      <c r="B710" s="164"/>
      <c r="C710" s="165"/>
      <c r="E710" s="174"/>
      <c r="F710" s="175"/>
      <c r="G710" s="177"/>
      <c r="H710" s="175"/>
      <c r="I710" s="175"/>
      <c r="J710" s="176"/>
      <c r="K710" s="167"/>
      <c r="L710" s="167"/>
      <c r="M710" s="167"/>
      <c r="N710" s="167"/>
    </row>
    <row r="711">
      <c r="A711" s="179"/>
      <c r="B711" s="164"/>
      <c r="C711" s="165"/>
      <c r="E711" s="174"/>
      <c r="F711" s="175"/>
      <c r="G711" s="177"/>
      <c r="H711" s="175"/>
      <c r="I711" s="175"/>
      <c r="J711" s="176"/>
      <c r="K711" s="167"/>
      <c r="L711" s="167"/>
      <c r="M711" s="167"/>
      <c r="N711" s="167"/>
    </row>
    <row r="712">
      <c r="A712" s="179"/>
      <c r="B712" s="164"/>
      <c r="C712" s="165"/>
      <c r="E712" s="174"/>
      <c r="F712" s="175"/>
      <c r="G712" s="177"/>
      <c r="H712" s="175"/>
      <c r="I712" s="175"/>
      <c r="J712" s="176"/>
      <c r="K712" s="167"/>
      <c r="L712" s="167"/>
      <c r="M712" s="167"/>
      <c r="N712" s="167"/>
    </row>
    <row r="713">
      <c r="A713" s="179"/>
      <c r="B713" s="164"/>
      <c r="C713" s="165"/>
      <c r="E713" s="174"/>
      <c r="F713" s="175"/>
      <c r="G713" s="177"/>
      <c r="H713" s="175"/>
      <c r="I713" s="175"/>
      <c r="J713" s="176"/>
      <c r="K713" s="167"/>
      <c r="L713" s="167"/>
      <c r="M713" s="167"/>
      <c r="N713" s="167"/>
    </row>
    <row r="714">
      <c r="A714" s="179"/>
      <c r="B714" s="164"/>
      <c r="C714" s="165"/>
      <c r="E714" s="174"/>
      <c r="F714" s="175"/>
      <c r="G714" s="177"/>
      <c r="H714" s="175"/>
      <c r="I714" s="175"/>
      <c r="J714" s="176"/>
      <c r="K714" s="167"/>
      <c r="L714" s="167"/>
      <c r="M714" s="167"/>
      <c r="N714" s="167"/>
    </row>
    <row r="715">
      <c r="A715" s="179"/>
      <c r="B715" s="164"/>
      <c r="C715" s="165"/>
      <c r="E715" s="174"/>
      <c r="F715" s="175"/>
      <c r="G715" s="177"/>
      <c r="H715" s="175"/>
      <c r="I715" s="175"/>
      <c r="J715" s="176"/>
      <c r="K715" s="167"/>
      <c r="L715" s="167"/>
      <c r="M715" s="167"/>
      <c r="N715" s="167"/>
    </row>
    <row r="716">
      <c r="A716" s="179"/>
      <c r="B716" s="164"/>
      <c r="C716" s="165"/>
      <c r="E716" s="174"/>
      <c r="F716" s="175"/>
      <c r="G716" s="177"/>
      <c r="H716" s="175"/>
      <c r="I716" s="175"/>
      <c r="J716" s="176"/>
      <c r="K716" s="167"/>
      <c r="L716" s="167"/>
      <c r="M716" s="167"/>
      <c r="N716" s="167"/>
    </row>
    <row r="717">
      <c r="A717" s="179"/>
      <c r="B717" s="164"/>
      <c r="C717" s="165"/>
      <c r="E717" s="174"/>
      <c r="F717" s="175"/>
      <c r="G717" s="177"/>
      <c r="H717" s="175"/>
      <c r="I717" s="175"/>
      <c r="J717" s="176"/>
      <c r="K717" s="167"/>
      <c r="L717" s="167"/>
      <c r="M717" s="167"/>
      <c r="N717" s="167"/>
    </row>
    <row r="718">
      <c r="A718" s="179"/>
      <c r="B718" s="164"/>
      <c r="C718" s="165"/>
      <c r="E718" s="174"/>
      <c r="F718" s="175"/>
      <c r="G718" s="177"/>
      <c r="H718" s="175"/>
      <c r="I718" s="175"/>
      <c r="J718" s="176"/>
      <c r="K718" s="167"/>
      <c r="L718" s="167"/>
      <c r="M718" s="167"/>
      <c r="N718" s="167"/>
    </row>
    <row r="719">
      <c r="A719" s="179"/>
      <c r="B719" s="164"/>
      <c r="C719" s="165"/>
      <c r="E719" s="174"/>
      <c r="F719" s="175"/>
      <c r="G719" s="177"/>
      <c r="H719" s="175"/>
      <c r="I719" s="175"/>
      <c r="J719" s="176"/>
      <c r="K719" s="167"/>
      <c r="L719" s="167"/>
      <c r="M719" s="167"/>
      <c r="N719" s="167"/>
    </row>
    <row r="720">
      <c r="A720" s="179"/>
      <c r="B720" s="164"/>
      <c r="C720" s="165"/>
      <c r="E720" s="174"/>
      <c r="F720" s="175"/>
      <c r="G720" s="177"/>
      <c r="H720" s="175"/>
      <c r="I720" s="175"/>
      <c r="J720" s="176"/>
      <c r="K720" s="167"/>
      <c r="L720" s="167"/>
      <c r="M720" s="167"/>
      <c r="N720" s="167"/>
    </row>
    <row r="721">
      <c r="A721" s="179"/>
      <c r="B721" s="164"/>
      <c r="C721" s="165"/>
      <c r="E721" s="174"/>
      <c r="F721" s="175"/>
      <c r="G721" s="177"/>
      <c r="H721" s="175"/>
      <c r="I721" s="175"/>
      <c r="J721" s="176"/>
      <c r="K721" s="167"/>
      <c r="L721" s="167"/>
      <c r="M721" s="167"/>
      <c r="N721" s="167"/>
    </row>
    <row r="722">
      <c r="A722" s="179"/>
      <c r="B722" s="164"/>
      <c r="C722" s="165"/>
      <c r="E722" s="174"/>
      <c r="F722" s="175"/>
      <c r="G722" s="177"/>
      <c r="H722" s="175"/>
      <c r="I722" s="175"/>
      <c r="J722" s="176"/>
      <c r="K722" s="167"/>
      <c r="L722" s="167"/>
      <c r="M722" s="167"/>
      <c r="N722" s="167"/>
    </row>
    <row r="723">
      <c r="A723" s="179"/>
      <c r="B723" s="164"/>
      <c r="C723" s="165"/>
      <c r="E723" s="174"/>
      <c r="F723" s="175"/>
      <c r="G723" s="177"/>
      <c r="H723" s="175"/>
      <c r="I723" s="175"/>
      <c r="J723" s="176"/>
      <c r="K723" s="167"/>
      <c r="L723" s="167"/>
      <c r="M723" s="167"/>
      <c r="N723" s="167"/>
    </row>
    <row r="724">
      <c r="A724" s="179"/>
      <c r="B724" s="164"/>
      <c r="C724" s="165"/>
      <c r="E724" s="174"/>
      <c r="F724" s="175"/>
      <c r="G724" s="177"/>
      <c r="H724" s="175"/>
      <c r="I724" s="175"/>
      <c r="J724" s="176"/>
      <c r="K724" s="167"/>
      <c r="L724" s="167"/>
      <c r="M724" s="167"/>
      <c r="N724" s="167"/>
    </row>
    <row r="725">
      <c r="A725" s="179"/>
      <c r="B725" s="164"/>
      <c r="C725" s="165"/>
      <c r="E725" s="174"/>
      <c r="F725" s="175"/>
      <c r="G725" s="177"/>
      <c r="H725" s="175"/>
      <c r="I725" s="175"/>
      <c r="J725" s="176"/>
      <c r="K725" s="167"/>
      <c r="L725" s="167"/>
      <c r="M725" s="167"/>
      <c r="N725" s="167"/>
    </row>
    <row r="726">
      <c r="A726" s="179"/>
      <c r="B726" s="164"/>
      <c r="C726" s="165"/>
      <c r="E726" s="174"/>
      <c r="F726" s="175"/>
      <c r="G726" s="177"/>
      <c r="H726" s="175"/>
      <c r="I726" s="175"/>
      <c r="J726" s="176"/>
      <c r="K726" s="167"/>
      <c r="L726" s="167"/>
      <c r="M726" s="167"/>
      <c r="N726" s="167"/>
    </row>
    <row r="727">
      <c r="A727" s="179"/>
      <c r="B727" s="164"/>
      <c r="C727" s="165"/>
      <c r="E727" s="174"/>
      <c r="F727" s="175"/>
      <c r="G727" s="177"/>
      <c r="H727" s="175"/>
      <c r="I727" s="175"/>
      <c r="J727" s="176"/>
      <c r="K727" s="167"/>
      <c r="L727" s="167"/>
      <c r="M727" s="167"/>
      <c r="N727" s="167"/>
    </row>
    <row r="728">
      <c r="A728" s="179"/>
      <c r="B728" s="164"/>
      <c r="C728" s="165"/>
      <c r="E728" s="174"/>
      <c r="F728" s="175"/>
      <c r="G728" s="177"/>
      <c r="H728" s="175"/>
      <c r="I728" s="175"/>
      <c r="J728" s="176"/>
      <c r="K728" s="167"/>
      <c r="L728" s="167"/>
      <c r="M728" s="167"/>
      <c r="N728" s="167"/>
    </row>
    <row r="729">
      <c r="A729" s="179"/>
      <c r="B729" s="164"/>
      <c r="C729" s="165"/>
      <c r="E729" s="174"/>
      <c r="F729" s="175"/>
      <c r="G729" s="177"/>
      <c r="H729" s="175"/>
      <c r="I729" s="175"/>
      <c r="J729" s="176"/>
      <c r="K729" s="167"/>
      <c r="L729" s="167"/>
      <c r="M729" s="167"/>
      <c r="N729" s="167"/>
    </row>
    <row r="730">
      <c r="A730" s="179"/>
      <c r="B730" s="164"/>
      <c r="C730" s="165"/>
      <c r="E730" s="174"/>
      <c r="F730" s="175"/>
      <c r="G730" s="177"/>
      <c r="H730" s="175"/>
      <c r="I730" s="175"/>
      <c r="J730" s="176"/>
      <c r="K730" s="167"/>
      <c r="L730" s="167"/>
      <c r="M730" s="167"/>
      <c r="N730" s="167"/>
    </row>
    <row r="731">
      <c r="A731" s="179"/>
      <c r="B731" s="164"/>
      <c r="C731" s="165"/>
      <c r="E731" s="174"/>
      <c r="F731" s="175"/>
      <c r="G731" s="177"/>
      <c r="H731" s="175"/>
      <c r="I731" s="175"/>
      <c r="J731" s="176"/>
      <c r="K731" s="167"/>
      <c r="L731" s="167"/>
      <c r="M731" s="167"/>
      <c r="N731" s="167"/>
    </row>
    <row r="732">
      <c r="A732" s="179"/>
      <c r="B732" s="164"/>
      <c r="C732" s="165"/>
      <c r="E732" s="174"/>
      <c r="F732" s="175"/>
      <c r="G732" s="177"/>
      <c r="H732" s="175"/>
      <c r="I732" s="175"/>
      <c r="J732" s="176"/>
      <c r="K732" s="167"/>
      <c r="L732" s="167"/>
      <c r="M732" s="167"/>
      <c r="N732" s="167"/>
    </row>
    <row r="733">
      <c r="A733" s="179"/>
      <c r="B733" s="164"/>
      <c r="C733" s="165"/>
      <c r="E733" s="174"/>
      <c r="F733" s="175"/>
      <c r="G733" s="177"/>
      <c r="H733" s="175"/>
      <c r="I733" s="175"/>
      <c r="J733" s="176"/>
      <c r="K733" s="167"/>
      <c r="L733" s="167"/>
      <c r="M733" s="167"/>
      <c r="N733" s="167"/>
    </row>
    <row r="734">
      <c r="A734" s="179"/>
      <c r="B734" s="164"/>
      <c r="C734" s="165"/>
      <c r="E734" s="174"/>
      <c r="F734" s="175"/>
      <c r="G734" s="177"/>
      <c r="H734" s="175"/>
      <c r="I734" s="175"/>
      <c r="J734" s="176"/>
      <c r="K734" s="167"/>
      <c r="L734" s="167"/>
      <c r="M734" s="167"/>
      <c r="N734" s="167"/>
    </row>
    <row r="735">
      <c r="A735" s="179"/>
      <c r="B735" s="164"/>
      <c r="C735" s="165"/>
      <c r="E735" s="174"/>
      <c r="F735" s="175"/>
      <c r="G735" s="177"/>
      <c r="H735" s="175"/>
      <c r="I735" s="175"/>
      <c r="J735" s="176"/>
      <c r="K735" s="167"/>
      <c r="L735" s="167"/>
      <c r="M735" s="167"/>
      <c r="N735" s="167"/>
    </row>
    <row r="736">
      <c r="A736" s="179"/>
      <c r="B736" s="164"/>
      <c r="C736" s="165"/>
      <c r="E736" s="174"/>
      <c r="F736" s="175"/>
      <c r="G736" s="177"/>
      <c r="H736" s="175"/>
      <c r="I736" s="175"/>
      <c r="J736" s="176"/>
      <c r="K736" s="167"/>
      <c r="L736" s="167"/>
      <c r="M736" s="167"/>
      <c r="N736" s="167"/>
    </row>
    <row r="737">
      <c r="A737" s="179"/>
      <c r="B737" s="164"/>
      <c r="C737" s="165"/>
      <c r="E737" s="174"/>
      <c r="F737" s="175"/>
      <c r="G737" s="177"/>
      <c r="H737" s="175"/>
      <c r="I737" s="175"/>
      <c r="J737" s="176"/>
      <c r="K737" s="167"/>
      <c r="L737" s="167"/>
      <c r="M737" s="167"/>
      <c r="N737" s="167"/>
    </row>
    <row r="738">
      <c r="A738" s="179"/>
      <c r="B738" s="164"/>
      <c r="C738" s="165"/>
      <c r="E738" s="174"/>
      <c r="F738" s="175"/>
      <c r="G738" s="177"/>
      <c r="H738" s="175"/>
      <c r="I738" s="175"/>
      <c r="J738" s="176"/>
      <c r="K738" s="167"/>
      <c r="L738" s="167"/>
      <c r="M738" s="167"/>
      <c r="N738" s="167"/>
    </row>
    <row r="739">
      <c r="A739" s="179"/>
      <c r="B739" s="164"/>
      <c r="C739" s="165"/>
      <c r="E739" s="174"/>
      <c r="F739" s="175"/>
      <c r="G739" s="177"/>
      <c r="H739" s="175"/>
      <c r="I739" s="175"/>
      <c r="J739" s="176"/>
      <c r="K739" s="167"/>
      <c r="L739" s="167"/>
      <c r="M739" s="167"/>
      <c r="N739" s="167"/>
    </row>
    <row r="740">
      <c r="A740" s="179"/>
      <c r="B740" s="164"/>
      <c r="C740" s="165"/>
      <c r="E740" s="174"/>
      <c r="F740" s="175"/>
      <c r="G740" s="177"/>
      <c r="H740" s="175"/>
      <c r="I740" s="175"/>
      <c r="J740" s="176"/>
      <c r="K740" s="167"/>
      <c r="L740" s="167"/>
      <c r="M740" s="167"/>
      <c r="N740" s="167"/>
    </row>
    <row r="741">
      <c r="A741" s="179"/>
      <c r="B741" s="164"/>
      <c r="C741" s="165"/>
      <c r="E741" s="174"/>
      <c r="F741" s="175"/>
      <c r="G741" s="177"/>
      <c r="H741" s="175"/>
      <c r="I741" s="175"/>
      <c r="J741" s="176"/>
      <c r="K741" s="167"/>
      <c r="L741" s="167"/>
      <c r="M741" s="167"/>
      <c r="N741" s="167"/>
    </row>
    <row r="742">
      <c r="A742" s="179"/>
      <c r="B742" s="164"/>
      <c r="C742" s="165"/>
      <c r="E742" s="174"/>
      <c r="F742" s="175"/>
      <c r="G742" s="177"/>
      <c r="H742" s="175"/>
      <c r="I742" s="175"/>
      <c r="J742" s="176"/>
      <c r="K742" s="167"/>
      <c r="L742" s="167"/>
      <c r="M742" s="167"/>
      <c r="N742" s="167"/>
    </row>
    <row r="743">
      <c r="A743" s="179"/>
      <c r="B743" s="164"/>
      <c r="C743" s="165"/>
      <c r="E743" s="174"/>
      <c r="F743" s="175"/>
      <c r="G743" s="177"/>
      <c r="H743" s="175"/>
      <c r="I743" s="175"/>
      <c r="J743" s="176"/>
      <c r="K743" s="167"/>
      <c r="L743" s="167"/>
      <c r="M743" s="167"/>
      <c r="N743" s="167"/>
    </row>
    <row r="744">
      <c r="A744" s="179"/>
      <c r="B744" s="164"/>
      <c r="C744" s="165"/>
      <c r="E744" s="174"/>
      <c r="F744" s="175"/>
      <c r="G744" s="177"/>
      <c r="H744" s="175"/>
      <c r="I744" s="175"/>
      <c r="J744" s="176"/>
      <c r="K744" s="167"/>
      <c r="L744" s="167"/>
      <c r="M744" s="167"/>
      <c r="N744" s="167"/>
    </row>
    <row r="745">
      <c r="A745" s="179"/>
      <c r="B745" s="164"/>
      <c r="C745" s="165"/>
      <c r="E745" s="174"/>
      <c r="F745" s="175"/>
      <c r="G745" s="177"/>
      <c r="H745" s="175"/>
      <c r="I745" s="175"/>
      <c r="J745" s="176"/>
      <c r="K745" s="167"/>
      <c r="L745" s="167"/>
      <c r="M745" s="167"/>
      <c r="N745" s="167"/>
    </row>
    <row r="746">
      <c r="A746" s="179"/>
      <c r="B746" s="164"/>
      <c r="C746" s="165"/>
      <c r="E746" s="174"/>
      <c r="F746" s="175"/>
      <c r="G746" s="177"/>
      <c r="H746" s="175"/>
      <c r="I746" s="175"/>
      <c r="J746" s="176"/>
      <c r="K746" s="167"/>
      <c r="L746" s="167"/>
      <c r="M746" s="167"/>
      <c r="N746" s="167"/>
    </row>
    <row r="747">
      <c r="A747" s="179"/>
      <c r="B747" s="164"/>
      <c r="C747" s="165"/>
      <c r="E747" s="174"/>
      <c r="F747" s="175"/>
      <c r="G747" s="177"/>
      <c r="H747" s="175"/>
      <c r="I747" s="175"/>
      <c r="J747" s="176"/>
      <c r="K747" s="167"/>
      <c r="L747" s="167"/>
      <c r="M747" s="167"/>
      <c r="N747" s="167"/>
    </row>
    <row r="748">
      <c r="A748" s="179"/>
      <c r="B748" s="164"/>
      <c r="C748" s="165"/>
      <c r="E748" s="174"/>
      <c r="F748" s="175"/>
      <c r="G748" s="177"/>
      <c r="H748" s="175"/>
      <c r="I748" s="175"/>
      <c r="J748" s="176"/>
      <c r="K748" s="167"/>
      <c r="L748" s="167"/>
      <c r="M748" s="167"/>
      <c r="N748" s="167"/>
    </row>
    <row r="749">
      <c r="A749" s="179"/>
      <c r="B749" s="164"/>
      <c r="C749" s="165"/>
      <c r="E749" s="174"/>
      <c r="F749" s="175"/>
      <c r="G749" s="177"/>
      <c r="H749" s="175"/>
      <c r="I749" s="175"/>
      <c r="J749" s="176"/>
      <c r="K749" s="167"/>
      <c r="L749" s="167"/>
      <c r="M749" s="167"/>
      <c r="N749" s="167"/>
    </row>
    <row r="750">
      <c r="A750" s="179"/>
      <c r="B750" s="164"/>
      <c r="C750" s="165"/>
      <c r="E750" s="174"/>
      <c r="F750" s="175"/>
      <c r="G750" s="177"/>
      <c r="H750" s="175"/>
      <c r="I750" s="175"/>
      <c r="J750" s="176"/>
      <c r="K750" s="167"/>
      <c r="L750" s="167"/>
      <c r="M750" s="167"/>
      <c r="N750" s="167"/>
    </row>
    <row r="751">
      <c r="A751" s="179"/>
      <c r="B751" s="164"/>
      <c r="C751" s="165"/>
      <c r="E751" s="174"/>
      <c r="F751" s="175"/>
      <c r="G751" s="177"/>
      <c r="H751" s="175"/>
      <c r="I751" s="175"/>
      <c r="J751" s="176"/>
      <c r="K751" s="167"/>
      <c r="L751" s="167"/>
      <c r="M751" s="167"/>
      <c r="N751" s="167"/>
    </row>
    <row r="752">
      <c r="A752" s="179"/>
      <c r="B752" s="164"/>
      <c r="C752" s="165"/>
      <c r="E752" s="174"/>
      <c r="F752" s="175"/>
      <c r="G752" s="177"/>
      <c r="H752" s="175"/>
      <c r="I752" s="175"/>
      <c r="J752" s="176"/>
      <c r="K752" s="167"/>
      <c r="L752" s="167"/>
      <c r="M752" s="167"/>
      <c r="N752" s="167"/>
    </row>
    <row r="753">
      <c r="A753" s="179"/>
      <c r="B753" s="164"/>
      <c r="C753" s="165"/>
      <c r="E753" s="174"/>
      <c r="F753" s="175"/>
      <c r="G753" s="177"/>
      <c r="H753" s="175"/>
      <c r="I753" s="175"/>
      <c r="J753" s="176"/>
      <c r="K753" s="167"/>
      <c r="L753" s="167"/>
      <c r="M753" s="167"/>
      <c r="N753" s="167"/>
    </row>
    <row r="754">
      <c r="A754" s="179"/>
      <c r="B754" s="164"/>
      <c r="C754" s="165"/>
      <c r="E754" s="174"/>
      <c r="F754" s="175"/>
      <c r="G754" s="177"/>
      <c r="H754" s="175"/>
      <c r="I754" s="175"/>
      <c r="J754" s="176"/>
      <c r="K754" s="167"/>
      <c r="L754" s="167"/>
      <c r="M754" s="167"/>
      <c r="N754" s="167"/>
    </row>
    <row r="755">
      <c r="A755" s="179"/>
      <c r="B755" s="164"/>
      <c r="C755" s="165"/>
      <c r="E755" s="174"/>
      <c r="F755" s="175"/>
      <c r="G755" s="177"/>
      <c r="H755" s="175"/>
      <c r="I755" s="175"/>
      <c r="J755" s="176"/>
      <c r="K755" s="167"/>
      <c r="L755" s="167"/>
      <c r="M755" s="167"/>
      <c r="N755" s="167"/>
    </row>
    <row r="756">
      <c r="A756" s="179"/>
      <c r="B756" s="164"/>
      <c r="C756" s="165"/>
      <c r="E756" s="174"/>
      <c r="F756" s="175"/>
      <c r="G756" s="177"/>
      <c r="H756" s="175"/>
      <c r="I756" s="175"/>
      <c r="J756" s="176"/>
      <c r="K756" s="167"/>
      <c r="L756" s="167"/>
      <c r="M756" s="167"/>
      <c r="N756" s="167"/>
    </row>
    <row r="757">
      <c r="A757" s="179"/>
      <c r="B757" s="164"/>
      <c r="C757" s="165"/>
      <c r="E757" s="174"/>
      <c r="F757" s="175"/>
      <c r="G757" s="177"/>
      <c r="H757" s="175"/>
      <c r="I757" s="175"/>
      <c r="J757" s="176"/>
      <c r="K757" s="167"/>
      <c r="L757" s="167"/>
      <c r="M757" s="167"/>
      <c r="N757" s="167"/>
    </row>
    <row r="758">
      <c r="A758" s="179"/>
      <c r="B758" s="164"/>
      <c r="C758" s="165"/>
      <c r="E758" s="174"/>
      <c r="F758" s="175"/>
      <c r="G758" s="177"/>
      <c r="H758" s="175"/>
      <c r="I758" s="175"/>
      <c r="J758" s="176"/>
      <c r="K758" s="167"/>
      <c r="L758" s="167"/>
      <c r="M758" s="167"/>
      <c r="N758" s="167"/>
    </row>
    <row r="759">
      <c r="A759" s="179"/>
      <c r="B759" s="164"/>
      <c r="C759" s="165"/>
      <c r="E759" s="174"/>
      <c r="F759" s="175"/>
      <c r="G759" s="177"/>
      <c r="H759" s="175"/>
      <c r="I759" s="175"/>
      <c r="J759" s="176"/>
      <c r="K759" s="167"/>
      <c r="L759" s="167"/>
      <c r="M759" s="167"/>
      <c r="N759" s="167"/>
    </row>
    <row r="760">
      <c r="A760" s="179"/>
      <c r="B760" s="164"/>
      <c r="C760" s="165"/>
      <c r="E760" s="174"/>
      <c r="F760" s="175"/>
      <c r="G760" s="177"/>
      <c r="H760" s="175"/>
      <c r="I760" s="175"/>
      <c r="J760" s="176"/>
      <c r="K760" s="167"/>
      <c r="L760" s="167"/>
      <c r="M760" s="167"/>
      <c r="N760" s="167"/>
    </row>
    <row r="761">
      <c r="A761" s="179"/>
      <c r="B761" s="164"/>
      <c r="C761" s="165"/>
      <c r="E761" s="174"/>
      <c r="F761" s="175"/>
      <c r="G761" s="177"/>
      <c r="H761" s="175"/>
      <c r="I761" s="175"/>
      <c r="J761" s="176"/>
      <c r="K761" s="167"/>
      <c r="L761" s="167"/>
      <c r="M761" s="167"/>
      <c r="N761" s="167"/>
    </row>
    <row r="762">
      <c r="A762" s="179"/>
      <c r="B762" s="164"/>
      <c r="C762" s="165"/>
      <c r="E762" s="174"/>
      <c r="F762" s="175"/>
      <c r="G762" s="177"/>
      <c r="H762" s="175"/>
      <c r="I762" s="175"/>
      <c r="J762" s="176"/>
      <c r="K762" s="167"/>
      <c r="L762" s="167"/>
      <c r="M762" s="167"/>
      <c r="N762" s="167"/>
    </row>
    <row r="763">
      <c r="A763" s="179"/>
      <c r="B763" s="164"/>
      <c r="C763" s="165"/>
      <c r="E763" s="174"/>
      <c r="F763" s="175"/>
      <c r="G763" s="177"/>
      <c r="H763" s="175"/>
      <c r="I763" s="175"/>
      <c r="J763" s="176"/>
      <c r="K763" s="167"/>
      <c r="L763" s="167"/>
      <c r="M763" s="167"/>
      <c r="N763" s="167"/>
    </row>
    <row r="764">
      <c r="A764" s="179"/>
      <c r="B764" s="164"/>
      <c r="C764" s="165"/>
      <c r="E764" s="174"/>
      <c r="F764" s="175"/>
      <c r="G764" s="177"/>
      <c r="H764" s="175"/>
      <c r="I764" s="175"/>
      <c r="J764" s="176"/>
      <c r="K764" s="167"/>
      <c r="L764" s="167"/>
      <c r="M764" s="167"/>
      <c r="N764" s="167"/>
    </row>
    <row r="765">
      <c r="A765" s="179"/>
      <c r="B765" s="164"/>
      <c r="C765" s="165"/>
      <c r="E765" s="174"/>
      <c r="F765" s="175"/>
      <c r="G765" s="177"/>
      <c r="H765" s="175"/>
      <c r="I765" s="175"/>
      <c r="J765" s="176"/>
      <c r="K765" s="167"/>
      <c r="L765" s="167"/>
      <c r="M765" s="167"/>
      <c r="N765" s="167"/>
    </row>
    <row r="766">
      <c r="A766" s="179"/>
      <c r="B766" s="164"/>
      <c r="C766" s="165"/>
      <c r="E766" s="174"/>
      <c r="F766" s="175"/>
      <c r="G766" s="177"/>
      <c r="H766" s="175"/>
      <c r="I766" s="175"/>
      <c r="J766" s="176"/>
      <c r="K766" s="167"/>
      <c r="L766" s="167"/>
      <c r="M766" s="167"/>
      <c r="N766" s="167"/>
    </row>
    <row r="767">
      <c r="A767" s="179"/>
      <c r="B767" s="164"/>
      <c r="C767" s="165"/>
      <c r="E767" s="174"/>
      <c r="F767" s="175"/>
      <c r="G767" s="177"/>
      <c r="H767" s="175"/>
      <c r="I767" s="175"/>
      <c r="J767" s="176"/>
      <c r="K767" s="167"/>
      <c r="L767" s="167"/>
      <c r="M767" s="167"/>
      <c r="N767" s="167"/>
    </row>
    <row r="768">
      <c r="A768" s="179"/>
      <c r="B768" s="164"/>
      <c r="C768" s="165"/>
      <c r="E768" s="174"/>
      <c r="F768" s="175"/>
      <c r="G768" s="177"/>
      <c r="H768" s="175"/>
      <c r="I768" s="175"/>
      <c r="J768" s="176"/>
      <c r="K768" s="167"/>
      <c r="L768" s="167"/>
      <c r="M768" s="167"/>
      <c r="N768" s="167"/>
    </row>
    <row r="769">
      <c r="A769" s="179"/>
      <c r="B769" s="164"/>
      <c r="C769" s="165"/>
      <c r="E769" s="174"/>
      <c r="F769" s="175"/>
      <c r="G769" s="177"/>
      <c r="H769" s="175"/>
      <c r="I769" s="175"/>
      <c r="J769" s="176"/>
      <c r="K769" s="167"/>
      <c r="L769" s="167"/>
      <c r="M769" s="167"/>
      <c r="N769" s="167"/>
    </row>
    <row r="770">
      <c r="A770" s="179"/>
      <c r="B770" s="164"/>
      <c r="C770" s="165"/>
      <c r="E770" s="174"/>
      <c r="F770" s="175"/>
      <c r="G770" s="177"/>
      <c r="H770" s="175"/>
      <c r="I770" s="175"/>
      <c r="J770" s="176"/>
      <c r="K770" s="167"/>
      <c r="L770" s="167"/>
      <c r="M770" s="167"/>
      <c r="N770" s="167"/>
    </row>
    <row r="771">
      <c r="A771" s="179"/>
      <c r="B771" s="164"/>
      <c r="C771" s="165"/>
      <c r="E771" s="174"/>
      <c r="F771" s="175"/>
      <c r="G771" s="177"/>
      <c r="H771" s="175"/>
      <c r="I771" s="175"/>
      <c r="J771" s="176"/>
      <c r="K771" s="167"/>
      <c r="L771" s="167"/>
      <c r="M771" s="167"/>
      <c r="N771" s="167"/>
    </row>
    <row r="772">
      <c r="A772" s="179"/>
      <c r="B772" s="164"/>
      <c r="C772" s="165"/>
      <c r="E772" s="174"/>
      <c r="F772" s="175"/>
      <c r="G772" s="177"/>
      <c r="H772" s="175"/>
      <c r="I772" s="175"/>
      <c r="J772" s="176"/>
      <c r="K772" s="167"/>
      <c r="L772" s="167"/>
      <c r="M772" s="167"/>
      <c r="N772" s="167"/>
    </row>
    <row r="773">
      <c r="A773" s="179"/>
      <c r="B773" s="164"/>
      <c r="C773" s="165"/>
      <c r="E773" s="174"/>
      <c r="F773" s="175"/>
      <c r="G773" s="177"/>
      <c r="H773" s="175"/>
      <c r="I773" s="175"/>
      <c r="J773" s="176"/>
      <c r="K773" s="167"/>
      <c r="L773" s="167"/>
      <c r="M773" s="167"/>
      <c r="N773" s="167"/>
    </row>
    <row r="774">
      <c r="A774" s="179"/>
      <c r="B774" s="164"/>
      <c r="C774" s="165"/>
      <c r="E774" s="174"/>
      <c r="F774" s="175"/>
      <c r="G774" s="177"/>
      <c r="H774" s="175"/>
      <c r="I774" s="175"/>
      <c r="J774" s="176"/>
      <c r="K774" s="167"/>
      <c r="L774" s="167"/>
      <c r="M774" s="167"/>
      <c r="N774" s="167"/>
    </row>
    <row r="775">
      <c r="A775" s="179"/>
      <c r="B775" s="164"/>
      <c r="C775" s="165"/>
      <c r="E775" s="174"/>
      <c r="F775" s="175"/>
      <c r="G775" s="177"/>
      <c r="H775" s="175"/>
      <c r="I775" s="175"/>
      <c r="J775" s="176"/>
      <c r="K775" s="167"/>
      <c r="L775" s="167"/>
      <c r="M775" s="167"/>
      <c r="N775" s="167"/>
    </row>
    <row r="776">
      <c r="A776" s="179"/>
      <c r="B776" s="164"/>
      <c r="C776" s="165"/>
      <c r="E776" s="174"/>
      <c r="F776" s="175"/>
      <c r="G776" s="177"/>
      <c r="H776" s="175"/>
      <c r="I776" s="175"/>
      <c r="J776" s="176"/>
      <c r="K776" s="167"/>
      <c r="L776" s="167"/>
      <c r="M776" s="167"/>
      <c r="N776" s="167"/>
    </row>
    <row r="777">
      <c r="A777" s="179"/>
      <c r="B777" s="164"/>
      <c r="C777" s="165"/>
      <c r="E777" s="174"/>
      <c r="F777" s="175"/>
      <c r="G777" s="177"/>
      <c r="H777" s="175"/>
      <c r="I777" s="175"/>
      <c r="J777" s="176"/>
      <c r="K777" s="167"/>
      <c r="L777" s="167"/>
      <c r="M777" s="167"/>
      <c r="N777" s="167"/>
    </row>
    <row r="778">
      <c r="A778" s="179"/>
      <c r="B778" s="164"/>
      <c r="C778" s="165"/>
      <c r="E778" s="174"/>
      <c r="F778" s="175"/>
      <c r="G778" s="177"/>
      <c r="H778" s="175"/>
      <c r="I778" s="175"/>
      <c r="J778" s="176"/>
      <c r="K778" s="167"/>
      <c r="L778" s="167"/>
      <c r="M778" s="167"/>
      <c r="N778" s="167"/>
    </row>
    <row r="779">
      <c r="A779" s="179"/>
      <c r="B779" s="164"/>
      <c r="C779" s="165"/>
      <c r="E779" s="174"/>
      <c r="F779" s="175"/>
      <c r="G779" s="177"/>
      <c r="H779" s="175"/>
      <c r="I779" s="175"/>
      <c r="J779" s="176"/>
      <c r="K779" s="167"/>
      <c r="L779" s="167"/>
      <c r="M779" s="167"/>
      <c r="N779" s="167"/>
    </row>
    <row r="780">
      <c r="A780" s="179"/>
      <c r="B780" s="164"/>
      <c r="C780" s="165"/>
      <c r="E780" s="174"/>
      <c r="F780" s="175"/>
      <c r="G780" s="177"/>
      <c r="H780" s="175"/>
      <c r="I780" s="175"/>
      <c r="J780" s="176"/>
      <c r="K780" s="167"/>
      <c r="L780" s="167"/>
      <c r="M780" s="167"/>
      <c r="N780" s="167"/>
    </row>
    <row r="781">
      <c r="A781" s="179"/>
      <c r="B781" s="164"/>
      <c r="C781" s="165"/>
      <c r="E781" s="174"/>
      <c r="F781" s="175"/>
      <c r="G781" s="177"/>
      <c r="H781" s="175"/>
      <c r="I781" s="175"/>
      <c r="J781" s="176"/>
      <c r="K781" s="167"/>
      <c r="L781" s="167"/>
      <c r="M781" s="167"/>
      <c r="N781" s="167"/>
    </row>
    <row r="782">
      <c r="A782" s="179"/>
      <c r="B782" s="164"/>
      <c r="C782" s="165"/>
      <c r="E782" s="174"/>
      <c r="F782" s="175"/>
      <c r="G782" s="177"/>
      <c r="H782" s="175"/>
      <c r="I782" s="175"/>
      <c r="J782" s="176"/>
      <c r="K782" s="167"/>
      <c r="L782" s="167"/>
      <c r="M782" s="167"/>
      <c r="N782" s="167"/>
    </row>
    <row r="783">
      <c r="A783" s="179"/>
      <c r="B783" s="164"/>
      <c r="C783" s="165"/>
      <c r="E783" s="174"/>
      <c r="F783" s="175"/>
      <c r="G783" s="177"/>
      <c r="H783" s="175"/>
      <c r="I783" s="175"/>
      <c r="J783" s="176"/>
      <c r="K783" s="167"/>
      <c r="L783" s="167"/>
      <c r="M783" s="167"/>
      <c r="N783" s="167"/>
    </row>
    <row r="784">
      <c r="A784" s="179"/>
      <c r="B784" s="164"/>
      <c r="C784" s="165"/>
      <c r="E784" s="174"/>
      <c r="F784" s="175"/>
      <c r="G784" s="177"/>
      <c r="H784" s="175"/>
      <c r="I784" s="175"/>
      <c r="J784" s="176"/>
      <c r="K784" s="167"/>
      <c r="L784" s="167"/>
      <c r="M784" s="167"/>
      <c r="N784" s="167"/>
    </row>
    <row r="785">
      <c r="A785" s="179"/>
      <c r="B785" s="164"/>
      <c r="C785" s="165"/>
      <c r="E785" s="174"/>
      <c r="F785" s="175"/>
      <c r="G785" s="177"/>
      <c r="H785" s="175"/>
      <c r="I785" s="175"/>
      <c r="J785" s="176"/>
      <c r="K785" s="167"/>
      <c r="L785" s="167"/>
      <c r="M785" s="167"/>
      <c r="N785" s="167"/>
    </row>
    <row r="786">
      <c r="A786" s="179"/>
      <c r="B786" s="164"/>
      <c r="C786" s="165"/>
      <c r="E786" s="174"/>
      <c r="F786" s="175"/>
      <c r="G786" s="177"/>
      <c r="H786" s="175"/>
      <c r="I786" s="175"/>
      <c r="J786" s="176"/>
      <c r="K786" s="167"/>
      <c r="L786" s="167"/>
      <c r="M786" s="167"/>
      <c r="N786" s="167"/>
    </row>
    <row r="787">
      <c r="A787" s="179"/>
      <c r="B787" s="164"/>
      <c r="C787" s="165"/>
      <c r="E787" s="174"/>
      <c r="F787" s="175"/>
      <c r="G787" s="177"/>
      <c r="H787" s="175"/>
      <c r="I787" s="175"/>
      <c r="J787" s="176"/>
      <c r="K787" s="167"/>
      <c r="L787" s="167"/>
      <c r="M787" s="167"/>
      <c r="N787" s="167"/>
    </row>
    <row r="788">
      <c r="A788" s="179"/>
      <c r="B788" s="164"/>
      <c r="C788" s="165"/>
      <c r="E788" s="174"/>
      <c r="F788" s="175"/>
      <c r="G788" s="177"/>
      <c r="H788" s="175"/>
      <c r="I788" s="175"/>
      <c r="J788" s="176"/>
      <c r="K788" s="167"/>
      <c r="L788" s="167"/>
      <c r="M788" s="167"/>
      <c r="N788" s="167"/>
    </row>
    <row r="789">
      <c r="A789" s="179"/>
      <c r="B789" s="164"/>
      <c r="C789" s="165"/>
      <c r="E789" s="174"/>
      <c r="F789" s="175"/>
      <c r="G789" s="177"/>
      <c r="H789" s="175"/>
      <c r="I789" s="175"/>
      <c r="J789" s="176"/>
      <c r="K789" s="167"/>
      <c r="L789" s="167"/>
      <c r="M789" s="167"/>
      <c r="N789" s="167"/>
    </row>
    <row r="790">
      <c r="A790" s="179"/>
      <c r="B790" s="164"/>
      <c r="C790" s="165"/>
      <c r="E790" s="174"/>
      <c r="F790" s="175"/>
      <c r="G790" s="177"/>
      <c r="H790" s="175"/>
      <c r="I790" s="175"/>
      <c r="J790" s="176"/>
      <c r="K790" s="167"/>
      <c r="L790" s="167"/>
      <c r="M790" s="167"/>
      <c r="N790" s="167"/>
    </row>
    <row r="791">
      <c r="A791" s="179"/>
      <c r="B791" s="164"/>
      <c r="C791" s="165"/>
      <c r="E791" s="174"/>
      <c r="F791" s="175"/>
      <c r="G791" s="177"/>
      <c r="H791" s="175"/>
      <c r="I791" s="175"/>
      <c r="J791" s="176"/>
      <c r="K791" s="167"/>
      <c r="L791" s="167"/>
      <c r="M791" s="167"/>
      <c r="N791" s="167"/>
    </row>
    <row r="792">
      <c r="A792" s="179"/>
      <c r="B792" s="164"/>
      <c r="C792" s="165"/>
      <c r="E792" s="174"/>
      <c r="F792" s="175"/>
      <c r="G792" s="177"/>
      <c r="H792" s="175"/>
      <c r="I792" s="175"/>
      <c r="J792" s="176"/>
      <c r="K792" s="167"/>
      <c r="L792" s="167"/>
      <c r="M792" s="167"/>
      <c r="N792" s="167"/>
    </row>
    <row r="793">
      <c r="A793" s="179"/>
      <c r="B793" s="164"/>
      <c r="C793" s="165"/>
      <c r="E793" s="174"/>
      <c r="F793" s="175"/>
      <c r="G793" s="177"/>
      <c r="H793" s="175"/>
      <c r="I793" s="175"/>
      <c r="J793" s="176"/>
      <c r="K793" s="167"/>
      <c r="L793" s="167"/>
      <c r="M793" s="167"/>
      <c r="N793" s="167"/>
    </row>
    <row r="794">
      <c r="A794" s="179"/>
      <c r="B794" s="164"/>
      <c r="C794" s="165"/>
      <c r="E794" s="174"/>
      <c r="F794" s="175"/>
      <c r="G794" s="177"/>
      <c r="H794" s="175"/>
      <c r="I794" s="175"/>
      <c r="J794" s="176"/>
      <c r="K794" s="167"/>
      <c r="L794" s="167"/>
      <c r="M794" s="167"/>
      <c r="N794" s="167"/>
    </row>
    <row r="795">
      <c r="A795" s="179"/>
      <c r="B795" s="164"/>
      <c r="C795" s="165"/>
      <c r="E795" s="174"/>
      <c r="F795" s="175"/>
      <c r="G795" s="177"/>
      <c r="H795" s="175"/>
      <c r="I795" s="175"/>
      <c r="J795" s="176"/>
      <c r="K795" s="167"/>
      <c r="L795" s="167"/>
      <c r="M795" s="167"/>
      <c r="N795" s="167"/>
    </row>
    <row r="796">
      <c r="A796" s="179"/>
      <c r="B796" s="164"/>
      <c r="C796" s="165"/>
      <c r="E796" s="174"/>
      <c r="F796" s="175"/>
      <c r="G796" s="177"/>
      <c r="H796" s="175"/>
      <c r="I796" s="175"/>
      <c r="J796" s="176"/>
      <c r="K796" s="167"/>
      <c r="L796" s="167"/>
      <c r="M796" s="167"/>
      <c r="N796" s="167"/>
    </row>
    <row r="797">
      <c r="A797" s="179"/>
      <c r="B797" s="164"/>
      <c r="C797" s="165"/>
      <c r="E797" s="174"/>
      <c r="F797" s="175"/>
      <c r="G797" s="177"/>
      <c r="H797" s="175"/>
      <c r="I797" s="175"/>
      <c r="J797" s="176"/>
      <c r="K797" s="167"/>
      <c r="L797" s="167"/>
      <c r="M797" s="167"/>
      <c r="N797" s="167"/>
    </row>
    <row r="798">
      <c r="A798" s="179"/>
      <c r="B798" s="164"/>
      <c r="C798" s="165"/>
      <c r="E798" s="174"/>
      <c r="F798" s="175"/>
      <c r="G798" s="177"/>
      <c r="H798" s="175"/>
      <c r="I798" s="175"/>
      <c r="J798" s="176"/>
      <c r="K798" s="167"/>
      <c r="L798" s="167"/>
      <c r="M798" s="167"/>
      <c r="N798" s="167"/>
    </row>
    <row r="799">
      <c r="A799" s="179"/>
      <c r="B799" s="164"/>
      <c r="C799" s="165"/>
      <c r="E799" s="174"/>
      <c r="F799" s="175"/>
      <c r="G799" s="177"/>
      <c r="H799" s="175"/>
      <c r="I799" s="175"/>
      <c r="J799" s="176"/>
      <c r="K799" s="167"/>
      <c r="L799" s="167"/>
      <c r="M799" s="167"/>
      <c r="N799" s="167"/>
    </row>
    <row r="800">
      <c r="A800" s="179"/>
      <c r="B800" s="164"/>
      <c r="C800" s="165"/>
      <c r="E800" s="174"/>
      <c r="F800" s="175"/>
      <c r="G800" s="177"/>
      <c r="H800" s="175"/>
      <c r="I800" s="175"/>
      <c r="J800" s="176"/>
      <c r="K800" s="167"/>
      <c r="L800" s="167"/>
      <c r="M800" s="167"/>
      <c r="N800" s="167"/>
    </row>
    <row r="801">
      <c r="A801" s="179"/>
      <c r="B801" s="164"/>
      <c r="C801" s="165"/>
      <c r="E801" s="174"/>
      <c r="F801" s="175"/>
      <c r="G801" s="177"/>
      <c r="H801" s="175"/>
      <c r="I801" s="175"/>
      <c r="J801" s="176"/>
      <c r="K801" s="167"/>
      <c r="L801" s="167"/>
      <c r="M801" s="167"/>
      <c r="N801" s="167"/>
    </row>
    <row r="802">
      <c r="A802" s="179"/>
      <c r="B802" s="164"/>
      <c r="C802" s="165"/>
      <c r="E802" s="174"/>
      <c r="F802" s="175"/>
      <c r="G802" s="177"/>
      <c r="H802" s="175"/>
      <c r="I802" s="175"/>
      <c r="J802" s="176"/>
      <c r="K802" s="167"/>
      <c r="L802" s="167"/>
      <c r="M802" s="167"/>
      <c r="N802" s="167"/>
    </row>
    <row r="803">
      <c r="A803" s="179"/>
      <c r="B803" s="164"/>
      <c r="C803" s="165"/>
      <c r="E803" s="174"/>
      <c r="F803" s="175"/>
      <c r="G803" s="177"/>
      <c r="H803" s="175"/>
      <c r="I803" s="175"/>
      <c r="J803" s="176"/>
      <c r="K803" s="167"/>
      <c r="L803" s="167"/>
      <c r="M803" s="167"/>
      <c r="N803" s="167"/>
    </row>
    <row r="804">
      <c r="A804" s="179"/>
      <c r="B804" s="164"/>
      <c r="C804" s="165"/>
      <c r="E804" s="174"/>
      <c r="F804" s="175"/>
      <c r="G804" s="177"/>
      <c r="H804" s="175"/>
      <c r="I804" s="175"/>
      <c r="J804" s="176"/>
      <c r="K804" s="167"/>
      <c r="L804" s="167"/>
      <c r="M804" s="167"/>
      <c r="N804" s="167"/>
    </row>
    <row r="805">
      <c r="A805" s="179"/>
      <c r="B805" s="164"/>
      <c r="C805" s="165"/>
      <c r="E805" s="174"/>
      <c r="F805" s="175"/>
      <c r="G805" s="177"/>
      <c r="H805" s="175"/>
      <c r="I805" s="175"/>
      <c r="J805" s="176"/>
      <c r="K805" s="167"/>
      <c r="L805" s="167"/>
      <c r="M805" s="167"/>
      <c r="N805" s="167"/>
    </row>
    <row r="806">
      <c r="A806" s="179"/>
      <c r="B806" s="164"/>
      <c r="C806" s="165"/>
      <c r="E806" s="174"/>
      <c r="F806" s="175"/>
      <c r="G806" s="177"/>
      <c r="H806" s="175"/>
      <c r="I806" s="175"/>
      <c r="J806" s="176"/>
      <c r="K806" s="167"/>
      <c r="L806" s="167"/>
      <c r="M806" s="167"/>
      <c r="N806" s="167"/>
    </row>
    <row r="807">
      <c r="A807" s="179"/>
      <c r="B807" s="164"/>
      <c r="C807" s="165"/>
      <c r="E807" s="174"/>
      <c r="F807" s="175"/>
      <c r="G807" s="177"/>
      <c r="H807" s="175"/>
      <c r="I807" s="175"/>
      <c r="J807" s="176"/>
      <c r="K807" s="167"/>
      <c r="L807" s="167"/>
      <c r="M807" s="167"/>
      <c r="N807" s="167"/>
    </row>
    <row r="808">
      <c r="A808" s="179"/>
      <c r="B808" s="164"/>
      <c r="C808" s="165"/>
      <c r="E808" s="174"/>
      <c r="F808" s="175"/>
      <c r="G808" s="177"/>
      <c r="H808" s="175"/>
      <c r="I808" s="175"/>
      <c r="J808" s="176"/>
      <c r="K808" s="167"/>
      <c r="L808" s="167"/>
      <c r="M808" s="167"/>
      <c r="N808" s="167"/>
    </row>
    <row r="809">
      <c r="A809" s="179"/>
      <c r="B809" s="164"/>
      <c r="C809" s="165"/>
      <c r="E809" s="174"/>
      <c r="F809" s="175"/>
      <c r="G809" s="177"/>
      <c r="H809" s="175"/>
      <c r="I809" s="175"/>
      <c r="J809" s="176"/>
      <c r="K809" s="167"/>
      <c r="L809" s="167"/>
      <c r="M809" s="167"/>
      <c r="N809" s="167"/>
    </row>
    <row r="810">
      <c r="A810" s="179"/>
      <c r="B810" s="164"/>
      <c r="C810" s="165"/>
      <c r="E810" s="174"/>
      <c r="F810" s="175"/>
      <c r="G810" s="177"/>
      <c r="H810" s="175"/>
      <c r="I810" s="175"/>
      <c r="J810" s="176"/>
      <c r="K810" s="167"/>
      <c r="L810" s="167"/>
      <c r="M810" s="167"/>
      <c r="N810" s="167"/>
    </row>
    <row r="811">
      <c r="A811" s="179"/>
      <c r="B811" s="164"/>
      <c r="C811" s="165"/>
      <c r="E811" s="174"/>
      <c r="F811" s="175"/>
      <c r="G811" s="177"/>
      <c r="H811" s="175"/>
      <c r="I811" s="175"/>
      <c r="J811" s="176"/>
      <c r="K811" s="167"/>
      <c r="L811" s="167"/>
      <c r="M811" s="167"/>
      <c r="N811" s="167"/>
    </row>
    <row r="812">
      <c r="A812" s="179"/>
      <c r="B812" s="164"/>
      <c r="C812" s="165"/>
      <c r="E812" s="174"/>
      <c r="F812" s="175"/>
      <c r="G812" s="177"/>
      <c r="H812" s="175"/>
      <c r="I812" s="175"/>
      <c r="J812" s="176"/>
      <c r="K812" s="167"/>
      <c r="L812" s="167"/>
      <c r="M812" s="167"/>
      <c r="N812" s="167"/>
    </row>
    <row r="813">
      <c r="A813" s="179"/>
      <c r="B813" s="164"/>
      <c r="C813" s="165"/>
      <c r="E813" s="174"/>
      <c r="F813" s="175"/>
      <c r="G813" s="177"/>
      <c r="H813" s="175"/>
      <c r="I813" s="175"/>
      <c r="J813" s="176"/>
      <c r="K813" s="167"/>
      <c r="L813" s="167"/>
      <c r="M813" s="167"/>
      <c r="N813" s="167"/>
    </row>
    <row r="814">
      <c r="A814" s="179"/>
      <c r="B814" s="164"/>
      <c r="C814" s="165"/>
      <c r="E814" s="174"/>
      <c r="F814" s="175"/>
      <c r="G814" s="177"/>
      <c r="H814" s="175"/>
      <c r="I814" s="175"/>
      <c r="J814" s="176"/>
      <c r="K814" s="167"/>
      <c r="L814" s="167"/>
      <c r="M814" s="167"/>
      <c r="N814" s="167"/>
    </row>
    <row r="815">
      <c r="A815" s="179"/>
      <c r="B815" s="164"/>
      <c r="C815" s="165"/>
      <c r="E815" s="174"/>
      <c r="F815" s="175"/>
      <c r="G815" s="177"/>
      <c r="H815" s="175"/>
      <c r="I815" s="175"/>
      <c r="J815" s="176"/>
      <c r="K815" s="167"/>
      <c r="L815" s="167"/>
      <c r="M815" s="167"/>
      <c r="N815" s="167"/>
    </row>
    <row r="816">
      <c r="A816" s="179"/>
      <c r="B816" s="164"/>
      <c r="C816" s="165"/>
      <c r="E816" s="174"/>
      <c r="F816" s="175"/>
      <c r="G816" s="177"/>
      <c r="H816" s="175"/>
      <c r="I816" s="175"/>
      <c r="J816" s="176"/>
      <c r="K816" s="167"/>
      <c r="L816" s="167"/>
      <c r="M816" s="167"/>
      <c r="N816" s="167"/>
    </row>
    <row r="817">
      <c r="A817" s="179"/>
      <c r="B817" s="164"/>
      <c r="C817" s="165"/>
      <c r="E817" s="174"/>
      <c r="F817" s="175"/>
      <c r="G817" s="177"/>
      <c r="H817" s="175"/>
      <c r="I817" s="175"/>
      <c r="J817" s="176"/>
      <c r="K817" s="167"/>
      <c r="L817" s="167"/>
      <c r="M817" s="167"/>
      <c r="N817" s="167"/>
    </row>
    <row r="818">
      <c r="A818" s="179"/>
      <c r="B818" s="164"/>
      <c r="C818" s="165"/>
      <c r="E818" s="174"/>
      <c r="F818" s="175"/>
      <c r="G818" s="177"/>
      <c r="H818" s="175"/>
      <c r="I818" s="175"/>
      <c r="J818" s="176"/>
      <c r="K818" s="167"/>
      <c r="L818" s="167"/>
      <c r="M818" s="167"/>
      <c r="N818" s="167"/>
    </row>
    <row r="819">
      <c r="A819" s="179"/>
      <c r="B819" s="164"/>
      <c r="C819" s="165"/>
      <c r="E819" s="174"/>
      <c r="F819" s="175"/>
      <c r="G819" s="177"/>
      <c r="H819" s="175"/>
      <c r="I819" s="175"/>
      <c r="J819" s="176"/>
      <c r="K819" s="167"/>
      <c r="L819" s="167"/>
      <c r="M819" s="167"/>
      <c r="N819" s="167"/>
    </row>
    <row r="820">
      <c r="A820" s="179"/>
      <c r="B820" s="164"/>
      <c r="C820" s="165"/>
      <c r="E820" s="174"/>
      <c r="F820" s="175"/>
      <c r="G820" s="177"/>
      <c r="H820" s="175"/>
      <c r="I820" s="175"/>
      <c r="J820" s="176"/>
      <c r="K820" s="167"/>
      <c r="L820" s="167"/>
      <c r="M820" s="167"/>
      <c r="N820" s="167"/>
    </row>
    <row r="821">
      <c r="A821" s="179"/>
      <c r="B821" s="164"/>
      <c r="C821" s="165"/>
      <c r="E821" s="174"/>
      <c r="F821" s="175"/>
      <c r="G821" s="177"/>
      <c r="H821" s="175"/>
      <c r="I821" s="175"/>
      <c r="J821" s="176"/>
      <c r="K821" s="167"/>
      <c r="L821" s="167"/>
      <c r="M821" s="167"/>
      <c r="N821" s="167"/>
    </row>
    <row r="822">
      <c r="A822" s="179"/>
      <c r="B822" s="164"/>
      <c r="C822" s="165"/>
      <c r="E822" s="174"/>
      <c r="F822" s="175"/>
      <c r="G822" s="177"/>
      <c r="H822" s="175"/>
      <c r="I822" s="175"/>
      <c r="J822" s="176"/>
      <c r="K822" s="167"/>
      <c r="L822" s="167"/>
      <c r="M822" s="167"/>
      <c r="N822" s="167"/>
    </row>
    <row r="823">
      <c r="A823" s="179"/>
      <c r="B823" s="164"/>
      <c r="C823" s="165"/>
      <c r="E823" s="174"/>
      <c r="F823" s="175"/>
      <c r="G823" s="177"/>
      <c r="H823" s="175"/>
      <c r="I823" s="175"/>
      <c r="J823" s="176"/>
      <c r="K823" s="167"/>
      <c r="L823" s="167"/>
      <c r="M823" s="167"/>
      <c r="N823" s="167"/>
    </row>
    <row r="824">
      <c r="A824" s="179"/>
      <c r="B824" s="164"/>
      <c r="C824" s="165"/>
      <c r="E824" s="174"/>
      <c r="F824" s="175"/>
      <c r="G824" s="177"/>
      <c r="H824" s="175"/>
      <c r="I824" s="175"/>
      <c r="J824" s="176"/>
      <c r="K824" s="167"/>
      <c r="L824" s="167"/>
      <c r="M824" s="167"/>
      <c r="N824" s="167"/>
    </row>
    <row r="825">
      <c r="A825" s="179"/>
      <c r="B825" s="164"/>
      <c r="C825" s="165"/>
      <c r="E825" s="174"/>
      <c r="F825" s="175"/>
      <c r="G825" s="177"/>
      <c r="H825" s="175"/>
      <c r="I825" s="175"/>
      <c r="J825" s="176"/>
      <c r="K825" s="167"/>
      <c r="L825" s="167"/>
      <c r="M825" s="167"/>
      <c r="N825" s="167"/>
    </row>
    <row r="826">
      <c r="A826" s="179"/>
      <c r="B826" s="164"/>
      <c r="C826" s="165"/>
      <c r="E826" s="174"/>
      <c r="F826" s="175"/>
      <c r="G826" s="177"/>
      <c r="H826" s="175"/>
      <c r="I826" s="175"/>
      <c r="J826" s="176"/>
      <c r="K826" s="167"/>
      <c r="L826" s="167"/>
      <c r="M826" s="167"/>
      <c r="N826" s="167"/>
    </row>
    <row r="827">
      <c r="A827" s="179"/>
      <c r="B827" s="164"/>
      <c r="C827" s="165"/>
      <c r="E827" s="174"/>
      <c r="F827" s="175"/>
      <c r="G827" s="177"/>
      <c r="H827" s="175"/>
      <c r="I827" s="175"/>
      <c r="J827" s="176"/>
      <c r="K827" s="167"/>
      <c r="L827" s="167"/>
      <c r="M827" s="167"/>
      <c r="N827" s="167"/>
    </row>
    <row r="828">
      <c r="A828" s="179"/>
      <c r="B828" s="164"/>
      <c r="C828" s="165"/>
      <c r="E828" s="174"/>
      <c r="F828" s="175"/>
      <c r="G828" s="177"/>
      <c r="H828" s="175"/>
      <c r="I828" s="175"/>
      <c r="J828" s="176"/>
      <c r="K828" s="167"/>
      <c r="L828" s="167"/>
      <c r="M828" s="167"/>
      <c r="N828" s="167"/>
    </row>
    <row r="829">
      <c r="A829" s="179"/>
      <c r="B829" s="164"/>
      <c r="C829" s="165"/>
      <c r="E829" s="174"/>
      <c r="F829" s="175"/>
      <c r="G829" s="177"/>
      <c r="H829" s="175"/>
      <c r="I829" s="175"/>
      <c r="J829" s="176"/>
      <c r="K829" s="167"/>
      <c r="L829" s="167"/>
      <c r="M829" s="167"/>
      <c r="N829" s="167"/>
    </row>
    <row r="830">
      <c r="A830" s="179"/>
      <c r="B830" s="164"/>
      <c r="C830" s="165"/>
      <c r="E830" s="174"/>
      <c r="F830" s="175"/>
      <c r="G830" s="177"/>
      <c r="H830" s="175"/>
      <c r="I830" s="175"/>
      <c r="J830" s="176"/>
      <c r="K830" s="167"/>
      <c r="L830" s="167"/>
      <c r="M830" s="167"/>
      <c r="N830" s="167"/>
    </row>
    <row r="831">
      <c r="A831" s="179"/>
      <c r="B831" s="164"/>
      <c r="C831" s="165"/>
      <c r="E831" s="174"/>
      <c r="F831" s="175"/>
      <c r="G831" s="177"/>
      <c r="H831" s="175"/>
      <c r="I831" s="175"/>
      <c r="J831" s="176"/>
      <c r="K831" s="167"/>
      <c r="L831" s="167"/>
      <c r="M831" s="167"/>
      <c r="N831" s="167"/>
    </row>
    <row r="832">
      <c r="A832" s="179"/>
      <c r="B832" s="164"/>
      <c r="C832" s="165"/>
      <c r="E832" s="174"/>
      <c r="F832" s="175"/>
      <c r="G832" s="177"/>
      <c r="H832" s="175"/>
      <c r="I832" s="175"/>
      <c r="J832" s="176"/>
      <c r="K832" s="167"/>
      <c r="L832" s="167"/>
      <c r="M832" s="167"/>
      <c r="N832" s="167"/>
    </row>
    <row r="833">
      <c r="A833" s="179"/>
      <c r="B833" s="164"/>
      <c r="C833" s="165"/>
      <c r="E833" s="174"/>
      <c r="F833" s="175"/>
      <c r="G833" s="177"/>
      <c r="H833" s="175"/>
      <c r="I833" s="175"/>
      <c r="J833" s="176"/>
      <c r="K833" s="167"/>
      <c r="L833" s="167"/>
      <c r="M833" s="167"/>
      <c r="N833" s="167"/>
    </row>
    <row r="834">
      <c r="A834" s="179"/>
      <c r="B834" s="164"/>
      <c r="C834" s="165"/>
      <c r="E834" s="174"/>
      <c r="F834" s="175"/>
      <c r="G834" s="177"/>
      <c r="H834" s="175"/>
      <c r="I834" s="175"/>
      <c r="J834" s="176"/>
      <c r="K834" s="167"/>
      <c r="L834" s="167"/>
      <c r="M834" s="167"/>
      <c r="N834" s="167"/>
    </row>
    <row r="835">
      <c r="A835" s="179"/>
      <c r="B835" s="164"/>
      <c r="C835" s="165"/>
      <c r="E835" s="174"/>
      <c r="F835" s="175"/>
      <c r="G835" s="177"/>
      <c r="H835" s="175"/>
      <c r="I835" s="175"/>
      <c r="J835" s="176"/>
      <c r="K835" s="167"/>
      <c r="L835" s="167"/>
      <c r="M835" s="167"/>
      <c r="N835" s="167"/>
    </row>
    <row r="836">
      <c r="A836" s="179"/>
      <c r="B836" s="164"/>
      <c r="C836" s="165"/>
      <c r="E836" s="174"/>
      <c r="F836" s="175"/>
      <c r="G836" s="177"/>
      <c r="H836" s="175"/>
      <c r="I836" s="175"/>
      <c r="J836" s="176"/>
      <c r="K836" s="167"/>
      <c r="L836" s="167"/>
      <c r="M836" s="167"/>
      <c r="N836" s="167"/>
    </row>
    <row r="837">
      <c r="A837" s="179"/>
      <c r="B837" s="164"/>
      <c r="C837" s="165"/>
      <c r="E837" s="174"/>
      <c r="F837" s="175"/>
      <c r="G837" s="177"/>
      <c r="H837" s="175"/>
      <c r="I837" s="175"/>
      <c r="J837" s="176"/>
      <c r="K837" s="167"/>
      <c r="L837" s="167"/>
      <c r="M837" s="167"/>
      <c r="N837" s="167"/>
    </row>
    <row r="838">
      <c r="A838" s="179"/>
      <c r="B838" s="164"/>
      <c r="C838" s="165"/>
      <c r="E838" s="174"/>
      <c r="F838" s="175"/>
      <c r="G838" s="177"/>
      <c r="H838" s="175"/>
      <c r="I838" s="175"/>
      <c r="J838" s="176"/>
      <c r="K838" s="167"/>
      <c r="L838" s="167"/>
      <c r="M838" s="167"/>
      <c r="N838" s="167"/>
    </row>
    <row r="839">
      <c r="A839" s="179"/>
      <c r="B839" s="164"/>
      <c r="C839" s="165"/>
      <c r="E839" s="174"/>
      <c r="F839" s="175"/>
      <c r="G839" s="177"/>
      <c r="H839" s="175"/>
      <c r="I839" s="175"/>
      <c r="J839" s="176"/>
      <c r="K839" s="167"/>
      <c r="L839" s="167"/>
      <c r="M839" s="167"/>
      <c r="N839" s="167"/>
    </row>
    <row r="840">
      <c r="A840" s="179"/>
      <c r="B840" s="164"/>
      <c r="C840" s="165"/>
      <c r="E840" s="174"/>
      <c r="F840" s="175"/>
      <c r="G840" s="177"/>
      <c r="H840" s="175"/>
      <c r="I840" s="175"/>
      <c r="J840" s="176"/>
      <c r="K840" s="167"/>
      <c r="L840" s="167"/>
      <c r="M840" s="167"/>
      <c r="N840" s="167"/>
    </row>
    <row r="841">
      <c r="A841" s="179"/>
      <c r="B841" s="164"/>
      <c r="C841" s="165"/>
      <c r="E841" s="174"/>
      <c r="F841" s="175"/>
      <c r="G841" s="177"/>
      <c r="H841" s="175"/>
      <c r="I841" s="175"/>
      <c r="J841" s="176"/>
      <c r="K841" s="167"/>
      <c r="L841" s="167"/>
      <c r="M841" s="167"/>
      <c r="N841" s="167"/>
    </row>
    <row r="842">
      <c r="A842" s="179"/>
      <c r="B842" s="164"/>
      <c r="C842" s="165"/>
      <c r="E842" s="174"/>
      <c r="F842" s="175"/>
      <c r="G842" s="177"/>
      <c r="H842" s="175"/>
      <c r="I842" s="175"/>
      <c r="J842" s="176"/>
      <c r="K842" s="167"/>
      <c r="L842" s="167"/>
      <c r="M842" s="167"/>
      <c r="N842" s="167"/>
    </row>
    <row r="843">
      <c r="A843" s="179"/>
      <c r="B843" s="164"/>
      <c r="C843" s="165"/>
      <c r="E843" s="174"/>
      <c r="F843" s="175"/>
      <c r="G843" s="177"/>
      <c r="H843" s="175"/>
      <c r="I843" s="175"/>
      <c r="J843" s="176"/>
      <c r="K843" s="167"/>
      <c r="L843" s="167"/>
      <c r="M843" s="167"/>
      <c r="N843" s="167"/>
    </row>
    <row r="844">
      <c r="A844" s="179"/>
      <c r="B844" s="164"/>
      <c r="C844" s="165"/>
      <c r="E844" s="174"/>
      <c r="F844" s="175"/>
      <c r="G844" s="177"/>
      <c r="H844" s="175"/>
      <c r="I844" s="175"/>
      <c r="J844" s="176"/>
      <c r="K844" s="167"/>
      <c r="L844" s="167"/>
      <c r="M844" s="167"/>
      <c r="N844" s="167"/>
    </row>
    <row r="845">
      <c r="A845" s="179"/>
      <c r="B845" s="164"/>
      <c r="C845" s="165"/>
      <c r="E845" s="174"/>
      <c r="F845" s="175"/>
      <c r="G845" s="177"/>
      <c r="H845" s="175"/>
      <c r="I845" s="175"/>
      <c r="J845" s="176"/>
      <c r="K845" s="167"/>
      <c r="L845" s="167"/>
      <c r="M845" s="167"/>
      <c r="N845" s="167"/>
    </row>
    <row r="846">
      <c r="A846" s="179"/>
      <c r="B846" s="164"/>
      <c r="C846" s="165"/>
      <c r="E846" s="174"/>
      <c r="F846" s="175"/>
      <c r="G846" s="177"/>
      <c r="H846" s="175"/>
      <c r="I846" s="175"/>
      <c r="J846" s="176"/>
      <c r="K846" s="167"/>
      <c r="L846" s="167"/>
      <c r="M846" s="167"/>
      <c r="N846" s="167"/>
    </row>
    <row r="847">
      <c r="A847" s="179"/>
      <c r="B847" s="164"/>
      <c r="C847" s="165"/>
      <c r="E847" s="174"/>
      <c r="F847" s="175"/>
      <c r="G847" s="177"/>
      <c r="H847" s="175"/>
      <c r="I847" s="175"/>
      <c r="J847" s="176"/>
      <c r="K847" s="167"/>
      <c r="L847" s="167"/>
      <c r="M847" s="167"/>
      <c r="N847" s="167"/>
    </row>
    <row r="848">
      <c r="A848" s="179"/>
      <c r="B848" s="164"/>
      <c r="C848" s="165"/>
      <c r="E848" s="174"/>
      <c r="F848" s="175"/>
      <c r="G848" s="177"/>
      <c r="H848" s="175"/>
      <c r="I848" s="175"/>
      <c r="J848" s="176"/>
      <c r="K848" s="167"/>
      <c r="L848" s="167"/>
      <c r="M848" s="167"/>
      <c r="N848" s="167"/>
    </row>
    <row r="849">
      <c r="A849" s="179"/>
      <c r="B849" s="164"/>
      <c r="C849" s="165"/>
      <c r="E849" s="174"/>
      <c r="F849" s="175"/>
      <c r="G849" s="177"/>
      <c r="H849" s="175"/>
      <c r="I849" s="175"/>
      <c r="J849" s="176"/>
      <c r="K849" s="167"/>
      <c r="L849" s="167"/>
      <c r="M849" s="167"/>
      <c r="N849" s="167"/>
    </row>
    <row r="850">
      <c r="A850" s="179"/>
      <c r="B850" s="164"/>
      <c r="C850" s="165"/>
      <c r="E850" s="174"/>
      <c r="F850" s="175"/>
      <c r="G850" s="177"/>
      <c r="H850" s="175"/>
      <c r="I850" s="175"/>
      <c r="J850" s="176"/>
      <c r="K850" s="167"/>
      <c r="L850" s="167"/>
      <c r="M850" s="167"/>
      <c r="N850" s="167"/>
    </row>
    <row r="851">
      <c r="A851" s="179"/>
      <c r="B851" s="164"/>
      <c r="C851" s="165"/>
      <c r="E851" s="174"/>
      <c r="F851" s="175"/>
      <c r="G851" s="177"/>
      <c r="H851" s="175"/>
      <c r="I851" s="175"/>
      <c r="J851" s="176"/>
      <c r="K851" s="167"/>
      <c r="L851" s="167"/>
      <c r="M851" s="167"/>
      <c r="N851" s="167"/>
    </row>
    <row r="852">
      <c r="A852" s="179"/>
      <c r="B852" s="164"/>
      <c r="C852" s="165"/>
      <c r="E852" s="174"/>
      <c r="F852" s="175"/>
      <c r="G852" s="177"/>
      <c r="H852" s="175"/>
      <c r="I852" s="175"/>
      <c r="J852" s="176"/>
      <c r="K852" s="167"/>
      <c r="L852" s="167"/>
      <c r="M852" s="167"/>
      <c r="N852" s="167"/>
    </row>
    <row r="853">
      <c r="A853" s="179"/>
      <c r="B853" s="164"/>
      <c r="C853" s="165"/>
      <c r="E853" s="174"/>
      <c r="F853" s="175"/>
      <c r="G853" s="177"/>
      <c r="H853" s="175"/>
      <c r="I853" s="175"/>
      <c r="J853" s="176"/>
      <c r="K853" s="167"/>
      <c r="L853" s="167"/>
      <c r="M853" s="167"/>
      <c r="N853" s="167"/>
    </row>
    <row r="854">
      <c r="A854" s="179"/>
      <c r="B854" s="164"/>
      <c r="C854" s="165"/>
      <c r="E854" s="174"/>
      <c r="F854" s="175"/>
      <c r="G854" s="177"/>
      <c r="H854" s="175"/>
      <c r="I854" s="175"/>
      <c r="J854" s="176"/>
      <c r="K854" s="167"/>
      <c r="L854" s="167"/>
      <c r="M854" s="167"/>
      <c r="N854" s="167"/>
    </row>
    <row r="855">
      <c r="A855" s="179"/>
      <c r="B855" s="164"/>
      <c r="C855" s="165"/>
      <c r="E855" s="174"/>
      <c r="F855" s="175"/>
      <c r="G855" s="177"/>
      <c r="H855" s="175"/>
      <c r="I855" s="175"/>
      <c r="J855" s="176"/>
      <c r="K855" s="167"/>
      <c r="L855" s="167"/>
      <c r="M855" s="167"/>
      <c r="N855" s="167"/>
    </row>
    <row r="856">
      <c r="A856" s="179"/>
      <c r="B856" s="164"/>
      <c r="C856" s="165"/>
      <c r="E856" s="174"/>
      <c r="F856" s="175"/>
      <c r="G856" s="177"/>
      <c r="H856" s="175"/>
      <c r="I856" s="175"/>
      <c r="J856" s="176"/>
      <c r="K856" s="167"/>
      <c r="L856" s="167"/>
      <c r="M856" s="167"/>
      <c r="N856" s="167"/>
    </row>
    <row r="857">
      <c r="A857" s="179"/>
      <c r="B857" s="164"/>
      <c r="C857" s="165"/>
      <c r="E857" s="174"/>
      <c r="F857" s="175"/>
      <c r="G857" s="177"/>
      <c r="H857" s="175"/>
      <c r="I857" s="175"/>
      <c r="J857" s="176"/>
      <c r="K857" s="167"/>
      <c r="L857" s="167"/>
      <c r="M857" s="167"/>
      <c r="N857" s="167"/>
    </row>
    <row r="858">
      <c r="A858" s="179"/>
      <c r="B858" s="164"/>
      <c r="C858" s="165"/>
      <c r="E858" s="174"/>
      <c r="F858" s="175"/>
      <c r="G858" s="177"/>
      <c r="H858" s="175"/>
      <c r="I858" s="175"/>
      <c r="J858" s="176"/>
      <c r="K858" s="167"/>
      <c r="L858" s="167"/>
      <c r="M858" s="167"/>
      <c r="N858" s="167"/>
    </row>
    <row r="859">
      <c r="A859" s="179"/>
      <c r="B859" s="164"/>
      <c r="C859" s="165"/>
      <c r="E859" s="174"/>
      <c r="F859" s="175"/>
      <c r="G859" s="177"/>
      <c r="H859" s="175"/>
      <c r="I859" s="175"/>
      <c r="J859" s="176"/>
      <c r="K859" s="167"/>
      <c r="L859" s="167"/>
      <c r="M859" s="167"/>
      <c r="N859" s="167"/>
    </row>
    <row r="860">
      <c r="A860" s="179"/>
      <c r="B860" s="164"/>
      <c r="C860" s="165"/>
      <c r="E860" s="174"/>
      <c r="F860" s="175"/>
      <c r="G860" s="177"/>
      <c r="H860" s="175"/>
      <c r="I860" s="175"/>
      <c r="J860" s="176"/>
      <c r="K860" s="167"/>
      <c r="L860" s="167"/>
      <c r="M860" s="167"/>
      <c r="N860" s="167"/>
    </row>
    <row r="861">
      <c r="A861" s="179"/>
      <c r="B861" s="164"/>
      <c r="C861" s="165"/>
      <c r="E861" s="174"/>
      <c r="F861" s="175"/>
      <c r="G861" s="177"/>
      <c r="H861" s="175"/>
      <c r="I861" s="175"/>
      <c r="J861" s="176"/>
      <c r="K861" s="167"/>
      <c r="L861" s="167"/>
      <c r="M861" s="167"/>
      <c r="N861" s="167"/>
    </row>
    <row r="862">
      <c r="A862" s="179"/>
      <c r="B862" s="164"/>
      <c r="C862" s="165"/>
      <c r="E862" s="174"/>
      <c r="F862" s="175"/>
      <c r="G862" s="177"/>
      <c r="H862" s="175"/>
      <c r="I862" s="175"/>
      <c r="J862" s="176"/>
      <c r="K862" s="167"/>
      <c r="L862" s="167"/>
      <c r="M862" s="167"/>
      <c r="N862" s="167"/>
    </row>
    <row r="863">
      <c r="A863" s="179"/>
      <c r="B863" s="164"/>
      <c r="C863" s="165"/>
      <c r="E863" s="174"/>
      <c r="F863" s="175"/>
      <c r="G863" s="177"/>
      <c r="H863" s="175"/>
      <c r="I863" s="175"/>
      <c r="J863" s="176"/>
      <c r="K863" s="167"/>
      <c r="L863" s="167"/>
      <c r="M863" s="167"/>
      <c r="N863" s="167"/>
    </row>
    <row r="864">
      <c r="A864" s="179"/>
      <c r="B864" s="164"/>
      <c r="C864" s="165"/>
      <c r="E864" s="174"/>
      <c r="F864" s="175"/>
      <c r="G864" s="177"/>
      <c r="H864" s="175"/>
      <c r="I864" s="175"/>
      <c r="J864" s="176"/>
      <c r="K864" s="167"/>
      <c r="L864" s="167"/>
      <c r="M864" s="167"/>
      <c r="N864" s="167"/>
    </row>
    <row r="865">
      <c r="A865" s="179"/>
      <c r="B865" s="164"/>
      <c r="C865" s="165"/>
      <c r="E865" s="174"/>
      <c r="F865" s="175"/>
      <c r="G865" s="177"/>
      <c r="H865" s="175"/>
      <c r="I865" s="175"/>
      <c r="J865" s="176"/>
      <c r="K865" s="167"/>
      <c r="L865" s="167"/>
      <c r="M865" s="167"/>
      <c r="N865" s="167"/>
    </row>
    <row r="866">
      <c r="A866" s="179"/>
      <c r="B866" s="164"/>
      <c r="C866" s="165"/>
      <c r="E866" s="174"/>
      <c r="F866" s="175"/>
      <c r="G866" s="177"/>
      <c r="H866" s="175"/>
      <c r="I866" s="175"/>
      <c r="J866" s="176"/>
      <c r="K866" s="167"/>
      <c r="L866" s="167"/>
      <c r="M866" s="167"/>
      <c r="N866" s="167"/>
    </row>
    <row r="867">
      <c r="A867" s="179"/>
      <c r="B867" s="164"/>
      <c r="C867" s="165"/>
      <c r="E867" s="174"/>
      <c r="F867" s="175"/>
      <c r="G867" s="177"/>
      <c r="H867" s="175"/>
      <c r="I867" s="175"/>
      <c r="J867" s="176"/>
      <c r="K867" s="167"/>
      <c r="L867" s="167"/>
      <c r="M867" s="167"/>
      <c r="N867" s="167"/>
    </row>
    <row r="868">
      <c r="A868" s="179"/>
      <c r="B868" s="164"/>
      <c r="C868" s="165"/>
      <c r="E868" s="174"/>
      <c r="F868" s="175"/>
      <c r="G868" s="177"/>
      <c r="H868" s="175"/>
      <c r="I868" s="175"/>
      <c r="J868" s="176"/>
      <c r="K868" s="167"/>
      <c r="L868" s="167"/>
      <c r="M868" s="167"/>
      <c r="N868" s="167"/>
    </row>
    <row r="869">
      <c r="A869" s="179"/>
      <c r="B869" s="164"/>
      <c r="C869" s="165"/>
      <c r="E869" s="174"/>
      <c r="F869" s="175"/>
      <c r="G869" s="177"/>
      <c r="H869" s="175"/>
      <c r="I869" s="175"/>
      <c r="J869" s="176"/>
      <c r="K869" s="167"/>
      <c r="L869" s="167"/>
      <c r="M869" s="167"/>
      <c r="N869" s="167"/>
    </row>
    <row r="870">
      <c r="A870" s="179"/>
      <c r="B870" s="164"/>
      <c r="C870" s="165"/>
      <c r="E870" s="174"/>
      <c r="F870" s="175"/>
      <c r="G870" s="177"/>
      <c r="H870" s="175"/>
      <c r="I870" s="175"/>
      <c r="J870" s="176"/>
      <c r="K870" s="167"/>
      <c r="L870" s="167"/>
      <c r="M870" s="167"/>
      <c r="N870" s="167"/>
    </row>
    <row r="871">
      <c r="A871" s="179"/>
      <c r="B871" s="164"/>
      <c r="C871" s="165"/>
      <c r="E871" s="174"/>
      <c r="F871" s="175"/>
      <c r="G871" s="177"/>
      <c r="H871" s="175"/>
      <c r="I871" s="175"/>
      <c r="J871" s="176"/>
      <c r="K871" s="167"/>
      <c r="L871" s="167"/>
      <c r="M871" s="167"/>
      <c r="N871" s="167"/>
    </row>
    <row r="872">
      <c r="A872" s="179"/>
      <c r="B872" s="164"/>
      <c r="C872" s="165"/>
      <c r="E872" s="174"/>
      <c r="F872" s="175"/>
      <c r="G872" s="177"/>
      <c r="H872" s="175"/>
      <c r="I872" s="175"/>
      <c r="J872" s="176"/>
      <c r="K872" s="167"/>
      <c r="L872" s="167"/>
      <c r="M872" s="167"/>
      <c r="N872" s="167"/>
    </row>
    <row r="873">
      <c r="A873" s="179"/>
      <c r="B873" s="164"/>
      <c r="C873" s="165"/>
      <c r="E873" s="174"/>
      <c r="F873" s="175"/>
      <c r="G873" s="177"/>
      <c r="H873" s="175"/>
      <c r="I873" s="175"/>
      <c r="J873" s="176"/>
      <c r="K873" s="167"/>
      <c r="L873" s="167"/>
      <c r="M873" s="167"/>
      <c r="N873" s="167"/>
    </row>
    <row r="874">
      <c r="A874" s="179"/>
      <c r="B874" s="164"/>
      <c r="C874" s="165"/>
      <c r="E874" s="174"/>
      <c r="F874" s="175"/>
      <c r="G874" s="177"/>
      <c r="H874" s="175"/>
      <c r="I874" s="175"/>
      <c r="J874" s="176"/>
      <c r="K874" s="167"/>
      <c r="L874" s="167"/>
      <c r="M874" s="167"/>
      <c r="N874" s="167"/>
    </row>
    <row r="875">
      <c r="A875" s="179"/>
      <c r="B875" s="164"/>
      <c r="C875" s="165"/>
      <c r="E875" s="174"/>
      <c r="F875" s="175"/>
      <c r="G875" s="177"/>
      <c r="H875" s="175"/>
      <c r="I875" s="175"/>
      <c r="J875" s="176"/>
      <c r="K875" s="167"/>
      <c r="L875" s="167"/>
      <c r="M875" s="167"/>
      <c r="N875" s="167"/>
    </row>
    <row r="876">
      <c r="A876" s="179"/>
      <c r="B876" s="164"/>
      <c r="C876" s="165"/>
      <c r="E876" s="174"/>
      <c r="F876" s="175"/>
      <c r="G876" s="177"/>
      <c r="H876" s="175"/>
      <c r="I876" s="175"/>
      <c r="J876" s="176"/>
      <c r="K876" s="167"/>
      <c r="L876" s="167"/>
      <c r="M876" s="167"/>
      <c r="N876" s="167"/>
    </row>
    <row r="877">
      <c r="A877" s="179"/>
      <c r="B877" s="164"/>
      <c r="C877" s="165"/>
      <c r="E877" s="174"/>
      <c r="F877" s="175"/>
      <c r="G877" s="177"/>
      <c r="H877" s="175"/>
      <c r="I877" s="175"/>
      <c r="J877" s="176"/>
      <c r="K877" s="167"/>
      <c r="L877" s="167"/>
      <c r="M877" s="167"/>
      <c r="N877" s="167"/>
    </row>
    <row r="878">
      <c r="A878" s="179"/>
      <c r="B878" s="164"/>
      <c r="C878" s="165"/>
      <c r="E878" s="174"/>
      <c r="F878" s="175"/>
      <c r="G878" s="177"/>
      <c r="H878" s="175"/>
      <c r="I878" s="175"/>
      <c r="J878" s="176"/>
      <c r="K878" s="167"/>
      <c r="L878" s="167"/>
      <c r="M878" s="167"/>
      <c r="N878" s="167"/>
    </row>
    <row r="879">
      <c r="A879" s="179"/>
      <c r="B879" s="164"/>
      <c r="C879" s="165"/>
      <c r="E879" s="174"/>
      <c r="F879" s="175"/>
      <c r="G879" s="177"/>
      <c r="H879" s="175"/>
      <c r="I879" s="175"/>
      <c r="J879" s="176"/>
      <c r="K879" s="167"/>
      <c r="L879" s="167"/>
      <c r="M879" s="167"/>
      <c r="N879" s="167"/>
    </row>
    <row r="880">
      <c r="A880" s="179"/>
      <c r="B880" s="164"/>
      <c r="C880" s="165"/>
      <c r="E880" s="174"/>
      <c r="F880" s="175"/>
      <c r="G880" s="177"/>
      <c r="H880" s="175"/>
      <c r="I880" s="175"/>
      <c r="J880" s="176"/>
      <c r="K880" s="167"/>
      <c r="L880" s="167"/>
      <c r="M880" s="167"/>
      <c r="N880" s="167"/>
    </row>
    <row r="881">
      <c r="A881" s="179"/>
      <c r="B881" s="164"/>
      <c r="C881" s="165"/>
      <c r="E881" s="174"/>
      <c r="F881" s="175"/>
      <c r="G881" s="177"/>
      <c r="H881" s="175"/>
      <c r="I881" s="175"/>
      <c r="J881" s="176"/>
      <c r="K881" s="167"/>
      <c r="L881" s="167"/>
      <c r="M881" s="167"/>
      <c r="N881" s="167"/>
    </row>
    <row r="882">
      <c r="A882" s="179"/>
      <c r="B882" s="164"/>
      <c r="C882" s="165"/>
      <c r="E882" s="174"/>
      <c r="F882" s="175"/>
      <c r="G882" s="177"/>
      <c r="H882" s="175"/>
      <c r="I882" s="175"/>
      <c r="J882" s="176"/>
      <c r="K882" s="167"/>
      <c r="L882" s="167"/>
      <c r="M882" s="167"/>
      <c r="N882" s="167"/>
    </row>
    <row r="883">
      <c r="A883" s="179"/>
      <c r="B883" s="164"/>
      <c r="C883" s="165"/>
      <c r="E883" s="174"/>
      <c r="F883" s="175"/>
      <c r="G883" s="177"/>
      <c r="H883" s="175"/>
      <c r="I883" s="175"/>
      <c r="J883" s="176"/>
      <c r="K883" s="167"/>
      <c r="L883" s="167"/>
      <c r="M883" s="167"/>
      <c r="N883" s="167"/>
    </row>
    <row r="884">
      <c r="A884" s="179"/>
      <c r="B884" s="164"/>
      <c r="C884" s="165"/>
      <c r="E884" s="174"/>
      <c r="F884" s="175"/>
      <c r="G884" s="177"/>
      <c r="H884" s="175"/>
      <c r="I884" s="175"/>
      <c r="J884" s="176"/>
      <c r="K884" s="167"/>
      <c r="L884" s="167"/>
      <c r="M884" s="167"/>
      <c r="N884" s="167"/>
    </row>
    <row r="885">
      <c r="A885" s="179"/>
      <c r="B885" s="164"/>
      <c r="C885" s="165"/>
      <c r="E885" s="174"/>
      <c r="F885" s="175"/>
      <c r="G885" s="177"/>
      <c r="H885" s="175"/>
      <c r="I885" s="175"/>
      <c r="J885" s="176"/>
      <c r="K885" s="167"/>
      <c r="L885" s="167"/>
      <c r="M885" s="167"/>
      <c r="N885" s="167"/>
    </row>
    <row r="886">
      <c r="A886" s="179"/>
      <c r="B886" s="164"/>
      <c r="C886" s="165"/>
      <c r="E886" s="174"/>
      <c r="F886" s="175"/>
      <c r="G886" s="177"/>
      <c r="H886" s="175"/>
      <c r="I886" s="175"/>
      <c r="J886" s="176"/>
      <c r="K886" s="167"/>
      <c r="L886" s="167"/>
      <c r="M886" s="167"/>
      <c r="N886" s="167"/>
    </row>
    <row r="887">
      <c r="A887" s="179"/>
      <c r="B887" s="164"/>
      <c r="C887" s="165"/>
      <c r="E887" s="174"/>
      <c r="F887" s="175"/>
      <c r="G887" s="177"/>
      <c r="H887" s="175"/>
      <c r="I887" s="175"/>
      <c r="J887" s="176"/>
      <c r="K887" s="167"/>
      <c r="L887" s="167"/>
      <c r="M887" s="167"/>
      <c r="N887" s="167"/>
    </row>
    <row r="888">
      <c r="A888" s="179"/>
      <c r="B888" s="164"/>
      <c r="C888" s="165"/>
      <c r="E888" s="174"/>
      <c r="F888" s="175"/>
      <c r="G888" s="177"/>
      <c r="H888" s="175"/>
      <c r="I888" s="175"/>
      <c r="J888" s="176"/>
      <c r="K888" s="167"/>
      <c r="L888" s="167"/>
      <c r="M888" s="167"/>
      <c r="N888" s="167"/>
    </row>
    <row r="889">
      <c r="A889" s="179"/>
      <c r="B889" s="164"/>
      <c r="C889" s="165"/>
      <c r="E889" s="174"/>
      <c r="F889" s="175"/>
      <c r="G889" s="177"/>
      <c r="H889" s="175"/>
      <c r="I889" s="175"/>
      <c r="J889" s="176"/>
      <c r="K889" s="167"/>
      <c r="L889" s="167"/>
      <c r="M889" s="167"/>
      <c r="N889" s="167"/>
    </row>
    <row r="890">
      <c r="A890" s="179"/>
      <c r="B890" s="164"/>
      <c r="C890" s="165"/>
      <c r="E890" s="174"/>
      <c r="F890" s="175"/>
      <c r="G890" s="177"/>
      <c r="H890" s="175"/>
      <c r="I890" s="175"/>
      <c r="J890" s="176"/>
      <c r="K890" s="167"/>
      <c r="L890" s="167"/>
      <c r="M890" s="167"/>
      <c r="N890" s="167"/>
    </row>
    <row r="891">
      <c r="A891" s="179"/>
      <c r="B891" s="164"/>
      <c r="C891" s="165"/>
      <c r="E891" s="174"/>
      <c r="F891" s="175"/>
      <c r="G891" s="177"/>
      <c r="H891" s="175"/>
      <c r="I891" s="175"/>
      <c r="J891" s="176"/>
      <c r="K891" s="167"/>
      <c r="L891" s="167"/>
      <c r="M891" s="167"/>
      <c r="N891" s="167"/>
    </row>
    <row r="892">
      <c r="A892" s="179"/>
      <c r="B892" s="164"/>
      <c r="C892" s="165"/>
      <c r="E892" s="174"/>
      <c r="F892" s="175"/>
      <c r="G892" s="177"/>
      <c r="H892" s="175"/>
      <c r="I892" s="175"/>
      <c r="J892" s="176"/>
      <c r="K892" s="167"/>
      <c r="L892" s="167"/>
      <c r="M892" s="167"/>
      <c r="N892" s="167"/>
    </row>
    <row r="893">
      <c r="A893" s="179"/>
      <c r="B893" s="164"/>
      <c r="C893" s="165"/>
      <c r="E893" s="174"/>
      <c r="F893" s="175"/>
      <c r="G893" s="177"/>
      <c r="H893" s="175"/>
      <c r="I893" s="175"/>
      <c r="J893" s="176"/>
      <c r="K893" s="167"/>
      <c r="L893" s="167"/>
      <c r="M893" s="167"/>
      <c r="N893" s="167"/>
    </row>
    <row r="894">
      <c r="A894" s="179"/>
      <c r="B894" s="164"/>
      <c r="C894" s="165"/>
      <c r="E894" s="174"/>
      <c r="F894" s="175"/>
      <c r="G894" s="177"/>
      <c r="H894" s="175"/>
      <c r="I894" s="175"/>
      <c r="J894" s="176"/>
      <c r="K894" s="167"/>
      <c r="L894" s="167"/>
      <c r="M894" s="167"/>
      <c r="N894" s="167"/>
    </row>
    <row r="895">
      <c r="A895" s="179"/>
      <c r="B895" s="164"/>
      <c r="C895" s="165"/>
      <c r="E895" s="174"/>
      <c r="F895" s="175"/>
      <c r="G895" s="177"/>
      <c r="H895" s="175"/>
      <c r="I895" s="175"/>
      <c r="J895" s="176"/>
      <c r="K895" s="167"/>
      <c r="L895" s="167"/>
      <c r="M895" s="167"/>
      <c r="N895" s="167"/>
    </row>
    <row r="896">
      <c r="A896" s="179"/>
      <c r="B896" s="164"/>
      <c r="C896" s="165"/>
      <c r="E896" s="174"/>
      <c r="F896" s="175"/>
      <c r="G896" s="177"/>
      <c r="H896" s="175"/>
      <c r="I896" s="175"/>
      <c r="J896" s="176"/>
      <c r="K896" s="167"/>
      <c r="L896" s="167"/>
      <c r="M896" s="167"/>
      <c r="N896" s="167"/>
    </row>
    <row r="897">
      <c r="A897" s="179"/>
      <c r="B897" s="164"/>
      <c r="C897" s="165"/>
      <c r="E897" s="174"/>
      <c r="F897" s="175"/>
      <c r="G897" s="177"/>
      <c r="H897" s="175"/>
      <c r="I897" s="175"/>
      <c r="J897" s="176"/>
      <c r="K897" s="167"/>
      <c r="L897" s="167"/>
      <c r="M897" s="167"/>
      <c r="N897" s="167"/>
    </row>
    <row r="898">
      <c r="A898" s="179"/>
      <c r="B898" s="164"/>
      <c r="C898" s="165"/>
      <c r="E898" s="174"/>
      <c r="F898" s="175"/>
      <c r="G898" s="177"/>
      <c r="H898" s="175"/>
      <c r="I898" s="175"/>
      <c r="J898" s="176"/>
      <c r="K898" s="167"/>
      <c r="L898" s="167"/>
      <c r="M898" s="167"/>
      <c r="N898" s="167"/>
    </row>
    <row r="899">
      <c r="A899" s="179"/>
      <c r="B899" s="164"/>
      <c r="C899" s="165"/>
      <c r="E899" s="174"/>
      <c r="F899" s="175"/>
      <c r="G899" s="177"/>
      <c r="H899" s="175"/>
      <c r="I899" s="175"/>
      <c r="J899" s="176"/>
      <c r="K899" s="167"/>
      <c r="L899" s="167"/>
      <c r="M899" s="167"/>
      <c r="N899" s="167"/>
    </row>
    <row r="900">
      <c r="A900" s="179"/>
      <c r="B900" s="164"/>
      <c r="C900" s="165"/>
      <c r="E900" s="174"/>
      <c r="F900" s="175"/>
      <c r="G900" s="177"/>
      <c r="H900" s="175"/>
      <c r="I900" s="175"/>
      <c r="J900" s="176"/>
      <c r="K900" s="167"/>
      <c r="L900" s="167"/>
      <c r="M900" s="167"/>
      <c r="N900" s="167"/>
    </row>
    <row r="901">
      <c r="A901" s="179"/>
      <c r="B901" s="164"/>
      <c r="C901" s="165"/>
      <c r="E901" s="174"/>
      <c r="F901" s="175"/>
      <c r="G901" s="177"/>
      <c r="H901" s="175"/>
      <c r="I901" s="175"/>
      <c r="J901" s="176"/>
      <c r="K901" s="167"/>
      <c r="L901" s="167"/>
      <c r="M901" s="167"/>
      <c r="N901" s="167"/>
    </row>
    <row r="902">
      <c r="A902" s="179"/>
      <c r="B902" s="164"/>
      <c r="C902" s="165"/>
      <c r="E902" s="174"/>
      <c r="F902" s="175"/>
      <c r="G902" s="177"/>
      <c r="H902" s="175"/>
      <c r="I902" s="175"/>
      <c r="J902" s="176"/>
      <c r="K902" s="167"/>
      <c r="L902" s="167"/>
      <c r="M902" s="167"/>
      <c r="N902" s="167"/>
    </row>
    <row r="903">
      <c r="A903" s="179"/>
      <c r="B903" s="164"/>
      <c r="C903" s="165"/>
      <c r="E903" s="174"/>
      <c r="F903" s="175"/>
      <c r="G903" s="177"/>
      <c r="H903" s="175"/>
      <c r="I903" s="175"/>
      <c r="J903" s="176"/>
      <c r="K903" s="167"/>
      <c r="L903" s="167"/>
      <c r="M903" s="167"/>
      <c r="N903" s="167"/>
    </row>
    <row r="904">
      <c r="A904" s="179"/>
      <c r="B904" s="164"/>
      <c r="C904" s="165"/>
      <c r="E904" s="174"/>
      <c r="F904" s="175"/>
      <c r="G904" s="177"/>
      <c r="H904" s="175"/>
      <c r="I904" s="175"/>
      <c r="J904" s="176"/>
      <c r="K904" s="167"/>
      <c r="L904" s="167"/>
      <c r="M904" s="167"/>
      <c r="N904" s="167"/>
    </row>
    <row r="905">
      <c r="A905" s="179"/>
      <c r="B905" s="164"/>
      <c r="C905" s="165"/>
      <c r="E905" s="174"/>
      <c r="F905" s="175"/>
      <c r="G905" s="177"/>
      <c r="H905" s="175"/>
      <c r="I905" s="175"/>
      <c r="J905" s="176"/>
      <c r="K905" s="167"/>
      <c r="L905" s="167"/>
      <c r="M905" s="167"/>
      <c r="N905" s="167"/>
    </row>
    <row r="906">
      <c r="A906" s="179"/>
      <c r="B906" s="164"/>
      <c r="C906" s="165"/>
      <c r="E906" s="174"/>
      <c r="F906" s="175"/>
      <c r="G906" s="177"/>
      <c r="H906" s="175"/>
      <c r="I906" s="175"/>
      <c r="J906" s="176"/>
      <c r="K906" s="167"/>
      <c r="L906" s="167"/>
      <c r="M906" s="167"/>
      <c r="N906" s="167"/>
    </row>
    <row r="907">
      <c r="A907" s="179"/>
      <c r="B907" s="164"/>
      <c r="C907" s="165"/>
      <c r="E907" s="174"/>
      <c r="F907" s="175"/>
      <c r="G907" s="177"/>
      <c r="H907" s="175"/>
      <c r="I907" s="175"/>
      <c r="J907" s="176"/>
      <c r="K907" s="167"/>
      <c r="L907" s="167"/>
      <c r="M907" s="167"/>
      <c r="N907" s="167"/>
    </row>
    <row r="908">
      <c r="A908" s="179"/>
      <c r="B908" s="164"/>
      <c r="C908" s="165"/>
      <c r="E908" s="174"/>
      <c r="F908" s="175"/>
      <c r="G908" s="177"/>
      <c r="H908" s="175"/>
      <c r="I908" s="175"/>
      <c r="J908" s="176"/>
      <c r="K908" s="167"/>
      <c r="L908" s="167"/>
      <c r="M908" s="167"/>
      <c r="N908" s="167"/>
    </row>
    <row r="909">
      <c r="A909" s="179"/>
      <c r="B909" s="164"/>
      <c r="C909" s="165"/>
      <c r="E909" s="174"/>
      <c r="F909" s="175"/>
      <c r="G909" s="177"/>
      <c r="H909" s="175"/>
      <c r="I909" s="175"/>
      <c r="J909" s="176"/>
      <c r="K909" s="167"/>
      <c r="L909" s="167"/>
      <c r="M909" s="167"/>
      <c r="N909" s="167"/>
    </row>
    <row r="910">
      <c r="A910" s="179"/>
      <c r="B910" s="164"/>
      <c r="C910" s="165"/>
      <c r="E910" s="174"/>
      <c r="F910" s="175"/>
      <c r="G910" s="177"/>
      <c r="H910" s="175"/>
      <c r="I910" s="175"/>
      <c r="J910" s="176"/>
      <c r="K910" s="167"/>
      <c r="L910" s="167"/>
      <c r="M910" s="167"/>
      <c r="N910" s="167"/>
    </row>
    <row r="911">
      <c r="A911" s="179"/>
      <c r="B911" s="164"/>
      <c r="C911" s="165"/>
      <c r="E911" s="174"/>
      <c r="F911" s="175"/>
      <c r="G911" s="177"/>
      <c r="H911" s="175"/>
      <c r="I911" s="175"/>
      <c r="J911" s="176"/>
      <c r="K911" s="167"/>
      <c r="L911" s="167"/>
      <c r="M911" s="167"/>
      <c r="N911" s="167"/>
    </row>
    <row r="912">
      <c r="A912" s="179"/>
      <c r="B912" s="164"/>
      <c r="C912" s="165"/>
      <c r="E912" s="174"/>
      <c r="F912" s="175"/>
      <c r="G912" s="177"/>
      <c r="H912" s="175"/>
      <c r="I912" s="175"/>
      <c r="J912" s="176"/>
      <c r="K912" s="167"/>
      <c r="L912" s="167"/>
      <c r="M912" s="167"/>
      <c r="N912" s="167"/>
    </row>
    <row r="913">
      <c r="A913" s="179"/>
      <c r="B913" s="164"/>
      <c r="C913" s="165"/>
      <c r="E913" s="174"/>
      <c r="F913" s="175"/>
      <c r="G913" s="177"/>
      <c r="H913" s="175"/>
      <c r="I913" s="175"/>
      <c r="J913" s="176"/>
      <c r="K913" s="167"/>
      <c r="L913" s="167"/>
      <c r="M913" s="167"/>
      <c r="N913" s="167"/>
    </row>
    <row r="914">
      <c r="A914" s="179"/>
      <c r="B914" s="164"/>
      <c r="C914" s="165"/>
      <c r="E914" s="174"/>
      <c r="F914" s="175"/>
      <c r="G914" s="177"/>
      <c r="H914" s="175"/>
      <c r="I914" s="175"/>
      <c r="J914" s="176"/>
      <c r="K914" s="167"/>
      <c r="L914" s="167"/>
      <c r="M914" s="167"/>
      <c r="N914" s="167"/>
    </row>
    <row r="915">
      <c r="A915" s="179"/>
      <c r="B915" s="164"/>
      <c r="C915" s="165"/>
      <c r="E915" s="174"/>
      <c r="F915" s="175"/>
      <c r="G915" s="177"/>
      <c r="H915" s="175"/>
      <c r="I915" s="175"/>
      <c r="J915" s="176"/>
      <c r="K915" s="167"/>
      <c r="L915" s="167"/>
      <c r="M915" s="167"/>
      <c r="N915" s="167"/>
    </row>
    <row r="916">
      <c r="A916" s="179"/>
      <c r="B916" s="164"/>
      <c r="C916" s="165"/>
      <c r="E916" s="174"/>
      <c r="F916" s="175"/>
      <c r="G916" s="177"/>
      <c r="H916" s="175"/>
      <c r="I916" s="175"/>
      <c r="J916" s="176"/>
      <c r="K916" s="167"/>
      <c r="L916" s="167"/>
      <c r="M916" s="167"/>
      <c r="N916" s="167"/>
    </row>
    <row r="917">
      <c r="A917" s="179"/>
      <c r="B917" s="164"/>
      <c r="C917" s="165"/>
      <c r="E917" s="174"/>
      <c r="F917" s="175"/>
      <c r="G917" s="177"/>
      <c r="H917" s="175"/>
      <c r="I917" s="175"/>
      <c r="J917" s="176"/>
      <c r="K917" s="167"/>
      <c r="L917" s="167"/>
      <c r="M917" s="167"/>
      <c r="N917" s="167"/>
    </row>
    <row r="918">
      <c r="A918" s="179"/>
      <c r="B918" s="164"/>
      <c r="C918" s="165"/>
      <c r="E918" s="174"/>
      <c r="F918" s="175"/>
      <c r="G918" s="177"/>
      <c r="H918" s="175"/>
      <c r="I918" s="175"/>
      <c r="J918" s="176"/>
      <c r="K918" s="167"/>
      <c r="L918" s="167"/>
      <c r="M918" s="167"/>
      <c r="N918" s="167"/>
    </row>
    <row r="919">
      <c r="A919" s="179"/>
      <c r="B919" s="164"/>
      <c r="C919" s="165"/>
      <c r="E919" s="174"/>
      <c r="F919" s="175"/>
      <c r="G919" s="177"/>
      <c r="H919" s="175"/>
      <c r="I919" s="175"/>
      <c r="J919" s="176"/>
      <c r="K919" s="167"/>
      <c r="L919" s="167"/>
      <c r="M919" s="167"/>
      <c r="N919" s="167"/>
    </row>
    <row r="920">
      <c r="A920" s="179"/>
      <c r="B920" s="164"/>
      <c r="C920" s="165"/>
      <c r="E920" s="174"/>
      <c r="F920" s="175"/>
      <c r="G920" s="177"/>
      <c r="H920" s="175"/>
      <c r="I920" s="175"/>
      <c r="J920" s="176"/>
      <c r="K920" s="167"/>
      <c r="L920" s="167"/>
      <c r="M920" s="167"/>
      <c r="N920" s="167"/>
    </row>
    <row r="921">
      <c r="A921" s="179"/>
      <c r="B921" s="164"/>
      <c r="C921" s="165"/>
      <c r="E921" s="174"/>
      <c r="F921" s="175"/>
      <c r="G921" s="177"/>
      <c r="H921" s="175"/>
      <c r="I921" s="175"/>
      <c r="J921" s="176"/>
      <c r="K921" s="167"/>
      <c r="L921" s="167"/>
      <c r="M921" s="167"/>
      <c r="N921" s="167"/>
    </row>
    <row r="922">
      <c r="A922" s="179"/>
      <c r="B922" s="164"/>
      <c r="C922" s="165"/>
      <c r="E922" s="174"/>
      <c r="F922" s="175"/>
      <c r="G922" s="177"/>
      <c r="H922" s="175"/>
      <c r="I922" s="175"/>
      <c r="J922" s="176"/>
      <c r="K922" s="167"/>
      <c r="L922" s="167"/>
      <c r="M922" s="167"/>
      <c r="N922" s="167"/>
    </row>
    <row r="923">
      <c r="A923" s="179"/>
      <c r="B923" s="164"/>
      <c r="C923" s="165"/>
      <c r="E923" s="174"/>
      <c r="F923" s="175"/>
      <c r="G923" s="177"/>
      <c r="H923" s="175"/>
      <c r="I923" s="175"/>
      <c r="J923" s="176"/>
      <c r="K923" s="167"/>
      <c r="L923" s="167"/>
      <c r="M923" s="167"/>
      <c r="N923" s="167"/>
    </row>
    <row r="924">
      <c r="A924" s="179"/>
      <c r="B924" s="164"/>
      <c r="C924" s="165"/>
      <c r="E924" s="174"/>
      <c r="F924" s="175"/>
      <c r="G924" s="177"/>
      <c r="H924" s="175"/>
      <c r="I924" s="175"/>
      <c r="J924" s="176"/>
      <c r="K924" s="167"/>
      <c r="L924" s="167"/>
      <c r="M924" s="167"/>
      <c r="N924" s="167"/>
    </row>
    <row r="925">
      <c r="A925" s="179"/>
      <c r="B925" s="164"/>
      <c r="C925" s="165"/>
      <c r="E925" s="174"/>
      <c r="F925" s="175"/>
      <c r="G925" s="177"/>
      <c r="H925" s="175"/>
      <c r="I925" s="175"/>
      <c r="J925" s="176"/>
      <c r="K925" s="167"/>
      <c r="L925" s="167"/>
      <c r="M925" s="167"/>
      <c r="N925" s="167"/>
    </row>
    <row r="926">
      <c r="A926" s="179"/>
      <c r="B926" s="164"/>
      <c r="C926" s="165"/>
      <c r="E926" s="174"/>
      <c r="F926" s="175"/>
      <c r="G926" s="177"/>
      <c r="H926" s="175"/>
      <c r="I926" s="175"/>
      <c r="J926" s="176"/>
      <c r="K926" s="167"/>
      <c r="L926" s="167"/>
      <c r="M926" s="167"/>
      <c r="N926" s="167"/>
    </row>
    <row r="927">
      <c r="A927" s="179"/>
      <c r="B927" s="164"/>
      <c r="C927" s="165"/>
      <c r="E927" s="174"/>
      <c r="F927" s="175"/>
      <c r="G927" s="177"/>
      <c r="H927" s="175"/>
      <c r="I927" s="175"/>
      <c r="J927" s="176"/>
      <c r="K927" s="167"/>
      <c r="L927" s="167"/>
      <c r="M927" s="167"/>
      <c r="N927" s="167"/>
    </row>
    <row r="928">
      <c r="A928" s="179"/>
      <c r="B928" s="164"/>
      <c r="C928" s="165"/>
      <c r="E928" s="174"/>
      <c r="F928" s="175"/>
      <c r="G928" s="177"/>
      <c r="H928" s="175"/>
      <c r="I928" s="175"/>
      <c r="J928" s="176"/>
      <c r="K928" s="167"/>
      <c r="L928" s="167"/>
      <c r="M928" s="167"/>
      <c r="N928" s="167"/>
    </row>
    <row r="929">
      <c r="A929" s="179"/>
      <c r="B929" s="164"/>
      <c r="C929" s="165"/>
      <c r="E929" s="174"/>
      <c r="F929" s="175"/>
      <c r="G929" s="177"/>
      <c r="H929" s="175"/>
      <c r="I929" s="175"/>
      <c r="J929" s="176"/>
      <c r="K929" s="167"/>
      <c r="L929" s="167"/>
      <c r="M929" s="167"/>
      <c r="N929" s="167"/>
    </row>
    <row r="930">
      <c r="A930" s="179"/>
      <c r="B930" s="164"/>
      <c r="C930" s="165"/>
      <c r="E930" s="174"/>
      <c r="F930" s="175"/>
      <c r="G930" s="177"/>
      <c r="H930" s="175"/>
      <c r="I930" s="175"/>
      <c r="J930" s="176"/>
      <c r="K930" s="167"/>
      <c r="L930" s="167"/>
      <c r="M930" s="167"/>
      <c r="N930" s="167"/>
    </row>
    <row r="931">
      <c r="A931" s="179"/>
      <c r="B931" s="164"/>
      <c r="C931" s="165"/>
      <c r="E931" s="174"/>
      <c r="F931" s="175"/>
      <c r="G931" s="177"/>
      <c r="H931" s="175"/>
      <c r="I931" s="175"/>
      <c r="J931" s="176"/>
      <c r="K931" s="167"/>
      <c r="L931" s="167"/>
      <c r="M931" s="167"/>
      <c r="N931" s="167"/>
    </row>
    <row r="932">
      <c r="A932" s="179"/>
      <c r="B932" s="164"/>
      <c r="C932" s="165"/>
      <c r="E932" s="174"/>
      <c r="F932" s="175"/>
      <c r="G932" s="177"/>
      <c r="H932" s="175"/>
      <c r="I932" s="175"/>
      <c r="J932" s="176"/>
      <c r="K932" s="167"/>
      <c r="L932" s="167"/>
      <c r="M932" s="167"/>
      <c r="N932" s="167"/>
    </row>
    <row r="933">
      <c r="A933" s="179"/>
      <c r="B933" s="164"/>
      <c r="C933" s="165"/>
      <c r="E933" s="174"/>
      <c r="F933" s="175"/>
      <c r="G933" s="177"/>
      <c r="H933" s="175"/>
      <c r="I933" s="175"/>
      <c r="J933" s="176"/>
      <c r="K933" s="167"/>
      <c r="L933" s="167"/>
      <c r="M933" s="167"/>
      <c r="N933" s="167"/>
    </row>
    <row r="934">
      <c r="A934" s="179"/>
      <c r="B934" s="164"/>
      <c r="C934" s="165"/>
      <c r="E934" s="174"/>
      <c r="F934" s="175"/>
      <c r="G934" s="177"/>
      <c r="H934" s="175"/>
      <c r="I934" s="175"/>
      <c r="J934" s="176"/>
      <c r="K934" s="167"/>
      <c r="L934" s="167"/>
      <c r="M934" s="167"/>
      <c r="N934" s="167"/>
    </row>
    <row r="935">
      <c r="A935" s="179"/>
      <c r="B935" s="164"/>
      <c r="C935" s="165"/>
      <c r="E935" s="174"/>
      <c r="F935" s="175"/>
      <c r="G935" s="177"/>
      <c r="H935" s="175"/>
      <c r="I935" s="175"/>
      <c r="J935" s="176"/>
      <c r="K935" s="167"/>
      <c r="L935" s="167"/>
      <c r="M935" s="167"/>
      <c r="N935" s="167"/>
    </row>
    <row r="936">
      <c r="A936" s="179"/>
      <c r="B936" s="164"/>
      <c r="C936" s="165"/>
      <c r="E936" s="174"/>
      <c r="F936" s="175"/>
      <c r="G936" s="177"/>
      <c r="H936" s="175"/>
      <c r="I936" s="175"/>
      <c r="J936" s="176"/>
      <c r="K936" s="167"/>
      <c r="L936" s="167"/>
      <c r="M936" s="167"/>
      <c r="N936" s="167"/>
    </row>
    <row r="937">
      <c r="A937" s="179"/>
      <c r="B937" s="164"/>
      <c r="C937" s="165"/>
      <c r="E937" s="174"/>
      <c r="F937" s="175"/>
      <c r="G937" s="177"/>
      <c r="H937" s="175"/>
      <c r="I937" s="175"/>
      <c r="J937" s="176"/>
      <c r="K937" s="167"/>
      <c r="L937" s="167"/>
      <c r="M937" s="167"/>
      <c r="N937" s="167"/>
    </row>
    <row r="938">
      <c r="A938" s="179"/>
      <c r="B938" s="164"/>
      <c r="C938" s="165"/>
      <c r="E938" s="174"/>
      <c r="F938" s="175"/>
      <c r="G938" s="177"/>
      <c r="H938" s="175"/>
      <c r="I938" s="175"/>
      <c r="J938" s="176"/>
      <c r="K938" s="167"/>
      <c r="L938" s="167"/>
      <c r="M938" s="167"/>
      <c r="N938" s="167"/>
    </row>
    <row r="939">
      <c r="A939" s="179"/>
      <c r="B939" s="164"/>
      <c r="C939" s="165"/>
      <c r="E939" s="174"/>
      <c r="F939" s="175"/>
      <c r="G939" s="177"/>
      <c r="H939" s="175"/>
      <c r="I939" s="175"/>
      <c r="J939" s="176"/>
      <c r="K939" s="167"/>
      <c r="L939" s="167"/>
      <c r="M939" s="167"/>
      <c r="N939" s="167"/>
    </row>
    <row r="940">
      <c r="A940" s="179"/>
      <c r="B940" s="164"/>
      <c r="C940" s="165"/>
      <c r="E940" s="174"/>
      <c r="F940" s="175"/>
      <c r="G940" s="177"/>
      <c r="H940" s="175"/>
      <c r="I940" s="175"/>
      <c r="J940" s="176"/>
      <c r="K940" s="167"/>
      <c r="L940" s="167"/>
      <c r="M940" s="167"/>
      <c r="N940" s="167"/>
    </row>
    <row r="941">
      <c r="A941" s="179"/>
      <c r="B941" s="164"/>
      <c r="C941" s="165"/>
      <c r="E941" s="174"/>
      <c r="F941" s="175"/>
      <c r="G941" s="177"/>
      <c r="H941" s="175"/>
      <c r="I941" s="175"/>
      <c r="J941" s="176"/>
      <c r="K941" s="167"/>
      <c r="L941" s="167"/>
      <c r="M941" s="167"/>
      <c r="N941" s="167"/>
    </row>
    <row r="942">
      <c r="A942" s="179"/>
      <c r="B942" s="164"/>
      <c r="C942" s="165"/>
      <c r="E942" s="174"/>
      <c r="F942" s="175"/>
      <c r="G942" s="177"/>
      <c r="H942" s="175"/>
      <c r="I942" s="175"/>
      <c r="J942" s="176"/>
      <c r="K942" s="167"/>
      <c r="L942" s="167"/>
      <c r="M942" s="167"/>
      <c r="N942" s="167"/>
    </row>
    <row r="943">
      <c r="A943" s="179"/>
      <c r="B943" s="164"/>
      <c r="C943" s="165"/>
      <c r="E943" s="174"/>
      <c r="F943" s="175"/>
      <c r="G943" s="177"/>
      <c r="H943" s="175"/>
      <c r="I943" s="175"/>
      <c r="J943" s="176"/>
      <c r="K943" s="167"/>
      <c r="L943" s="167"/>
      <c r="M943" s="167"/>
      <c r="N943" s="167"/>
    </row>
    <row r="944">
      <c r="A944" s="179"/>
      <c r="B944" s="164"/>
      <c r="C944" s="165"/>
      <c r="E944" s="174"/>
      <c r="F944" s="175"/>
      <c r="G944" s="177"/>
      <c r="H944" s="175"/>
      <c r="I944" s="175"/>
      <c r="J944" s="176"/>
      <c r="K944" s="167"/>
      <c r="L944" s="167"/>
      <c r="M944" s="167"/>
      <c r="N944" s="167"/>
    </row>
    <row r="945">
      <c r="A945" s="179"/>
      <c r="B945" s="164"/>
      <c r="C945" s="165"/>
      <c r="E945" s="174"/>
      <c r="F945" s="175"/>
      <c r="G945" s="177"/>
      <c r="H945" s="175"/>
      <c r="I945" s="175"/>
      <c r="J945" s="176"/>
      <c r="K945" s="167"/>
      <c r="L945" s="167"/>
      <c r="M945" s="167"/>
      <c r="N945" s="167"/>
    </row>
    <row r="946">
      <c r="A946" s="179"/>
      <c r="B946" s="164"/>
      <c r="C946" s="165"/>
      <c r="E946" s="174"/>
      <c r="F946" s="175"/>
      <c r="G946" s="177"/>
      <c r="H946" s="175"/>
      <c r="I946" s="175"/>
      <c r="J946" s="176"/>
      <c r="K946" s="167"/>
      <c r="L946" s="167"/>
      <c r="M946" s="167"/>
      <c r="N946" s="167"/>
    </row>
    <row r="947">
      <c r="A947" s="179"/>
      <c r="B947" s="164"/>
      <c r="C947" s="165"/>
      <c r="E947" s="174"/>
      <c r="F947" s="175"/>
      <c r="G947" s="177"/>
      <c r="H947" s="175"/>
      <c r="I947" s="175"/>
      <c r="J947" s="176"/>
      <c r="K947" s="167"/>
      <c r="L947" s="167"/>
      <c r="M947" s="167"/>
      <c r="N947" s="167"/>
    </row>
    <row r="948">
      <c r="A948" s="179"/>
      <c r="B948" s="164"/>
      <c r="C948" s="165"/>
      <c r="E948" s="174"/>
      <c r="F948" s="175"/>
      <c r="G948" s="177"/>
      <c r="H948" s="175"/>
      <c r="I948" s="175"/>
      <c r="J948" s="176"/>
      <c r="K948" s="167"/>
      <c r="L948" s="167"/>
      <c r="M948" s="167"/>
      <c r="N948" s="167"/>
    </row>
    <row r="949">
      <c r="A949" s="179"/>
      <c r="B949" s="164"/>
      <c r="C949" s="165"/>
      <c r="E949" s="174"/>
      <c r="F949" s="175"/>
      <c r="G949" s="177"/>
      <c r="H949" s="175"/>
      <c r="I949" s="175"/>
      <c r="J949" s="176"/>
      <c r="K949" s="167"/>
      <c r="L949" s="167"/>
      <c r="M949" s="167"/>
      <c r="N949" s="167"/>
    </row>
    <row r="950">
      <c r="A950" s="179"/>
      <c r="B950" s="164"/>
      <c r="C950" s="165"/>
      <c r="E950" s="174"/>
      <c r="F950" s="175"/>
      <c r="G950" s="177"/>
      <c r="H950" s="175"/>
      <c r="I950" s="175"/>
      <c r="J950" s="176"/>
      <c r="K950" s="167"/>
      <c r="L950" s="167"/>
      <c r="M950" s="167"/>
      <c r="N950" s="167"/>
    </row>
    <row r="951">
      <c r="A951" s="179"/>
      <c r="B951" s="164"/>
      <c r="C951" s="165"/>
      <c r="E951" s="174"/>
      <c r="F951" s="175"/>
      <c r="G951" s="177"/>
      <c r="H951" s="175"/>
      <c r="I951" s="175"/>
      <c r="J951" s="176"/>
      <c r="K951" s="167"/>
      <c r="L951" s="167"/>
      <c r="M951" s="167"/>
      <c r="N951" s="167"/>
    </row>
    <row r="952">
      <c r="A952" s="179"/>
      <c r="B952" s="164"/>
      <c r="C952" s="165"/>
      <c r="E952" s="174"/>
      <c r="F952" s="175"/>
      <c r="G952" s="177"/>
      <c r="H952" s="175"/>
      <c r="I952" s="175"/>
      <c r="J952" s="176"/>
      <c r="K952" s="167"/>
      <c r="L952" s="167"/>
      <c r="M952" s="167"/>
      <c r="N952" s="167"/>
    </row>
    <row r="953">
      <c r="A953" s="179"/>
      <c r="B953" s="164"/>
      <c r="C953" s="165"/>
      <c r="E953" s="174"/>
      <c r="F953" s="175"/>
      <c r="G953" s="177"/>
      <c r="H953" s="175"/>
      <c r="I953" s="175"/>
      <c r="J953" s="176"/>
      <c r="K953" s="167"/>
      <c r="L953" s="167"/>
      <c r="M953" s="167"/>
      <c r="N953" s="167"/>
    </row>
    <row r="954">
      <c r="A954" s="179"/>
      <c r="B954" s="164"/>
      <c r="C954" s="165"/>
      <c r="E954" s="174"/>
      <c r="F954" s="175"/>
      <c r="G954" s="177"/>
      <c r="H954" s="175"/>
      <c r="I954" s="175"/>
      <c r="J954" s="176"/>
      <c r="K954" s="167"/>
      <c r="L954" s="167"/>
      <c r="M954" s="167"/>
      <c r="N954" s="167"/>
    </row>
    <row r="955">
      <c r="A955" s="179"/>
      <c r="B955" s="164"/>
      <c r="C955" s="165"/>
      <c r="E955" s="174"/>
      <c r="F955" s="175"/>
      <c r="G955" s="177"/>
      <c r="H955" s="175"/>
      <c r="I955" s="175"/>
      <c r="J955" s="176"/>
      <c r="K955" s="167"/>
      <c r="L955" s="167"/>
      <c r="M955" s="167"/>
      <c r="N955" s="167"/>
    </row>
    <row r="956">
      <c r="A956" s="179"/>
      <c r="B956" s="164"/>
      <c r="C956" s="165"/>
      <c r="E956" s="174"/>
      <c r="F956" s="175"/>
      <c r="G956" s="177"/>
      <c r="H956" s="175"/>
      <c r="I956" s="175"/>
      <c r="J956" s="176"/>
      <c r="K956" s="167"/>
      <c r="L956" s="167"/>
      <c r="M956" s="167"/>
      <c r="N956" s="167"/>
    </row>
    <row r="957">
      <c r="A957" s="179"/>
      <c r="B957" s="164"/>
      <c r="C957" s="165"/>
      <c r="E957" s="174"/>
      <c r="F957" s="175"/>
      <c r="G957" s="177"/>
      <c r="H957" s="175"/>
      <c r="I957" s="175"/>
      <c r="J957" s="176"/>
      <c r="K957" s="167"/>
      <c r="L957" s="167"/>
      <c r="M957" s="167"/>
      <c r="N957" s="167"/>
    </row>
    <row r="958">
      <c r="A958" s="179"/>
      <c r="B958" s="164"/>
      <c r="C958" s="165"/>
      <c r="E958" s="174"/>
      <c r="F958" s="175"/>
      <c r="G958" s="177"/>
      <c r="H958" s="175"/>
      <c r="I958" s="175"/>
      <c r="J958" s="176"/>
      <c r="K958" s="167"/>
      <c r="L958" s="167"/>
      <c r="M958" s="167"/>
      <c r="N958" s="167"/>
    </row>
    <row r="959">
      <c r="A959" s="179"/>
      <c r="B959" s="164"/>
      <c r="C959" s="165"/>
      <c r="E959" s="174"/>
      <c r="F959" s="175"/>
      <c r="G959" s="177"/>
      <c r="H959" s="175"/>
      <c r="I959" s="175"/>
      <c r="J959" s="176"/>
      <c r="K959" s="167"/>
      <c r="L959" s="167"/>
      <c r="M959" s="167"/>
      <c r="N959" s="167"/>
    </row>
    <row r="960">
      <c r="A960" s="179"/>
      <c r="B960" s="164"/>
      <c r="C960" s="165"/>
      <c r="E960" s="174"/>
      <c r="F960" s="175"/>
      <c r="G960" s="177"/>
      <c r="H960" s="175"/>
      <c r="I960" s="175"/>
      <c r="J960" s="176"/>
      <c r="K960" s="167"/>
      <c r="L960" s="167"/>
      <c r="M960" s="167"/>
      <c r="N960" s="167"/>
    </row>
    <row r="961">
      <c r="A961" s="179"/>
      <c r="B961" s="164"/>
      <c r="C961" s="165"/>
      <c r="E961" s="174"/>
      <c r="F961" s="175"/>
      <c r="G961" s="177"/>
      <c r="H961" s="175"/>
      <c r="I961" s="175"/>
      <c r="J961" s="176"/>
      <c r="K961" s="167"/>
      <c r="L961" s="167"/>
      <c r="M961" s="167"/>
      <c r="N961" s="167"/>
    </row>
    <row r="962">
      <c r="A962" s="179"/>
      <c r="B962" s="164"/>
      <c r="C962" s="165"/>
      <c r="E962" s="174"/>
      <c r="F962" s="175"/>
      <c r="G962" s="177"/>
      <c r="H962" s="175"/>
      <c r="I962" s="175"/>
      <c r="J962" s="176"/>
      <c r="K962" s="167"/>
      <c r="L962" s="167"/>
      <c r="M962" s="167"/>
      <c r="N962" s="167"/>
    </row>
    <row r="963">
      <c r="A963" s="179"/>
      <c r="B963" s="164"/>
      <c r="C963" s="165"/>
      <c r="E963" s="174"/>
      <c r="F963" s="175"/>
      <c r="G963" s="177"/>
      <c r="H963" s="175"/>
      <c r="I963" s="175"/>
      <c r="J963" s="176"/>
      <c r="K963" s="167"/>
      <c r="L963" s="167"/>
      <c r="M963" s="167"/>
      <c r="N963" s="167"/>
    </row>
    <row r="964">
      <c r="A964" s="179"/>
      <c r="B964" s="164"/>
      <c r="C964" s="165"/>
      <c r="E964" s="174"/>
      <c r="F964" s="175"/>
      <c r="G964" s="177"/>
      <c r="H964" s="175"/>
      <c r="I964" s="175"/>
      <c r="J964" s="176"/>
      <c r="K964" s="167"/>
      <c r="L964" s="167"/>
      <c r="M964" s="167"/>
      <c r="N964" s="167"/>
    </row>
    <row r="965">
      <c r="A965" s="179"/>
      <c r="B965" s="164"/>
      <c r="C965" s="165"/>
      <c r="E965" s="174"/>
      <c r="F965" s="175"/>
      <c r="G965" s="177"/>
      <c r="H965" s="175"/>
      <c r="I965" s="175"/>
      <c r="J965" s="176"/>
      <c r="K965" s="167"/>
      <c r="L965" s="167"/>
      <c r="M965" s="167"/>
      <c r="N965" s="167"/>
    </row>
    <row r="966">
      <c r="A966" s="179"/>
      <c r="B966" s="164"/>
      <c r="C966" s="165"/>
      <c r="E966" s="174"/>
      <c r="F966" s="175"/>
      <c r="G966" s="177"/>
      <c r="H966" s="175"/>
      <c r="I966" s="175"/>
      <c r="J966" s="176"/>
      <c r="K966" s="167"/>
      <c r="L966" s="167"/>
      <c r="M966" s="167"/>
      <c r="N966" s="167"/>
    </row>
    <row r="967">
      <c r="A967" s="179"/>
      <c r="B967" s="164"/>
      <c r="C967" s="165"/>
      <c r="E967" s="174"/>
      <c r="F967" s="175"/>
      <c r="G967" s="177"/>
      <c r="H967" s="175"/>
      <c r="I967" s="175"/>
      <c r="J967" s="176"/>
      <c r="K967" s="167"/>
      <c r="L967" s="167"/>
      <c r="M967" s="167"/>
      <c r="N967" s="167"/>
    </row>
    <row r="968">
      <c r="A968" s="179"/>
      <c r="B968" s="164"/>
      <c r="C968" s="165"/>
      <c r="E968" s="174"/>
      <c r="F968" s="175"/>
      <c r="G968" s="177"/>
      <c r="H968" s="175"/>
      <c r="I968" s="175"/>
      <c r="J968" s="176"/>
      <c r="K968" s="167"/>
      <c r="L968" s="167"/>
      <c r="M968" s="167"/>
      <c r="N968" s="167"/>
    </row>
    <row r="969">
      <c r="A969" s="179"/>
      <c r="B969" s="164"/>
      <c r="C969" s="165"/>
      <c r="E969" s="174"/>
      <c r="F969" s="175"/>
      <c r="G969" s="177"/>
      <c r="H969" s="175"/>
      <c r="I969" s="175"/>
      <c r="J969" s="176"/>
      <c r="K969" s="167"/>
      <c r="L969" s="167"/>
      <c r="M969" s="167"/>
      <c r="N969" s="167"/>
    </row>
    <row r="970">
      <c r="A970" s="179"/>
      <c r="B970" s="164"/>
      <c r="C970" s="165"/>
      <c r="E970" s="174"/>
      <c r="F970" s="175"/>
      <c r="G970" s="177"/>
      <c r="H970" s="175"/>
      <c r="I970" s="175"/>
      <c r="J970" s="176"/>
      <c r="K970" s="167"/>
      <c r="L970" s="167"/>
      <c r="M970" s="167"/>
      <c r="N970" s="167"/>
    </row>
    <row r="971">
      <c r="A971" s="179"/>
      <c r="B971" s="164"/>
      <c r="C971" s="165"/>
      <c r="E971" s="174"/>
      <c r="F971" s="175"/>
      <c r="G971" s="177"/>
      <c r="H971" s="175"/>
      <c r="I971" s="175"/>
      <c r="J971" s="176"/>
      <c r="K971" s="167"/>
      <c r="L971" s="167"/>
      <c r="M971" s="167"/>
      <c r="N971" s="167"/>
    </row>
    <row r="972">
      <c r="A972" s="179"/>
      <c r="B972" s="164"/>
      <c r="C972" s="165"/>
      <c r="E972" s="174"/>
      <c r="F972" s="175"/>
      <c r="G972" s="177"/>
      <c r="H972" s="175"/>
      <c r="I972" s="175"/>
      <c r="J972" s="176"/>
      <c r="K972" s="167"/>
      <c r="L972" s="167"/>
      <c r="M972" s="167"/>
      <c r="N972" s="167"/>
    </row>
    <row r="973">
      <c r="A973" s="179"/>
      <c r="B973" s="164"/>
      <c r="C973" s="165"/>
      <c r="E973" s="174"/>
      <c r="F973" s="175"/>
      <c r="G973" s="177"/>
      <c r="H973" s="175"/>
      <c r="I973" s="175"/>
      <c r="J973" s="176"/>
      <c r="K973" s="167"/>
      <c r="L973" s="167"/>
      <c r="M973" s="167"/>
      <c r="N973" s="167"/>
    </row>
    <row r="974">
      <c r="A974" s="179"/>
      <c r="B974" s="164"/>
      <c r="C974" s="165"/>
      <c r="E974" s="174"/>
      <c r="F974" s="175"/>
      <c r="G974" s="177"/>
      <c r="H974" s="175"/>
      <c r="I974" s="175"/>
      <c r="J974" s="176"/>
      <c r="K974" s="167"/>
      <c r="L974" s="167"/>
      <c r="M974" s="167"/>
      <c r="N974" s="167"/>
    </row>
    <row r="975">
      <c r="A975" s="179"/>
      <c r="B975" s="164"/>
      <c r="C975" s="165"/>
      <c r="E975" s="174"/>
      <c r="F975" s="175"/>
      <c r="G975" s="177"/>
      <c r="H975" s="175"/>
      <c r="I975" s="175"/>
      <c r="J975" s="176"/>
      <c r="K975" s="167"/>
      <c r="L975" s="167"/>
      <c r="M975" s="167"/>
      <c r="N975" s="167"/>
    </row>
    <row r="976">
      <c r="A976" s="179"/>
      <c r="B976" s="164"/>
      <c r="C976" s="165"/>
      <c r="E976" s="174"/>
      <c r="F976" s="175"/>
      <c r="G976" s="177"/>
      <c r="H976" s="175"/>
      <c r="I976" s="175"/>
      <c r="J976" s="176"/>
      <c r="K976" s="167"/>
      <c r="L976" s="167"/>
      <c r="M976" s="167"/>
      <c r="N976" s="167"/>
    </row>
    <row r="977">
      <c r="A977" s="179"/>
      <c r="B977" s="164"/>
      <c r="C977" s="165"/>
      <c r="E977" s="174"/>
      <c r="F977" s="175"/>
      <c r="G977" s="177"/>
      <c r="H977" s="175"/>
      <c r="I977" s="175"/>
      <c r="J977" s="176"/>
      <c r="K977" s="167"/>
      <c r="L977" s="167"/>
      <c r="M977" s="167"/>
      <c r="N977" s="167"/>
    </row>
    <row r="978">
      <c r="A978" s="179"/>
      <c r="B978" s="164"/>
      <c r="C978" s="165"/>
      <c r="E978" s="174"/>
      <c r="F978" s="175"/>
      <c r="G978" s="177"/>
      <c r="H978" s="175"/>
      <c r="I978" s="175"/>
      <c r="J978" s="176"/>
      <c r="K978" s="167"/>
      <c r="L978" s="167"/>
      <c r="M978" s="167"/>
      <c r="N978" s="167"/>
    </row>
    <row r="979">
      <c r="A979" s="179"/>
      <c r="B979" s="164"/>
      <c r="C979" s="165"/>
      <c r="E979" s="174"/>
      <c r="F979" s="175"/>
      <c r="G979" s="177"/>
      <c r="H979" s="175"/>
      <c r="I979" s="175"/>
      <c r="J979" s="176"/>
      <c r="K979" s="167"/>
      <c r="L979" s="167"/>
      <c r="M979" s="167"/>
      <c r="N979" s="167"/>
    </row>
    <row r="980">
      <c r="A980" s="179"/>
      <c r="B980" s="164"/>
      <c r="C980" s="165"/>
      <c r="E980" s="174"/>
      <c r="F980" s="175"/>
      <c r="G980" s="177"/>
      <c r="H980" s="175"/>
      <c r="I980" s="175"/>
      <c r="J980" s="176"/>
      <c r="K980" s="167"/>
      <c r="L980" s="167"/>
      <c r="M980" s="167"/>
      <c r="N980" s="167"/>
    </row>
    <row r="981">
      <c r="A981" s="179"/>
      <c r="B981" s="164"/>
      <c r="C981" s="165"/>
      <c r="E981" s="174"/>
      <c r="F981" s="175"/>
      <c r="G981" s="177"/>
      <c r="H981" s="175"/>
      <c r="I981" s="175"/>
      <c r="J981" s="176"/>
      <c r="K981" s="167"/>
      <c r="L981" s="167"/>
      <c r="M981" s="167"/>
      <c r="N981" s="167"/>
    </row>
    <row r="982">
      <c r="A982" s="179"/>
      <c r="B982" s="164"/>
      <c r="C982" s="165"/>
      <c r="E982" s="174"/>
      <c r="F982" s="175"/>
      <c r="G982" s="177"/>
      <c r="H982" s="175"/>
      <c r="I982" s="175"/>
      <c r="J982" s="176"/>
      <c r="K982" s="167"/>
      <c r="L982" s="167"/>
      <c r="M982" s="167"/>
      <c r="N982" s="167"/>
    </row>
    <row r="983">
      <c r="A983" s="179"/>
      <c r="B983" s="164"/>
      <c r="C983" s="165"/>
      <c r="E983" s="174"/>
      <c r="F983" s="175"/>
      <c r="G983" s="177"/>
      <c r="H983" s="175"/>
      <c r="I983" s="175"/>
      <c r="J983" s="176"/>
      <c r="K983" s="167"/>
      <c r="L983" s="167"/>
      <c r="M983" s="167"/>
      <c r="N983" s="167"/>
    </row>
    <row r="984">
      <c r="A984" s="179"/>
      <c r="B984" s="164"/>
      <c r="C984" s="165"/>
      <c r="E984" s="174"/>
      <c r="F984" s="175"/>
      <c r="G984" s="177"/>
      <c r="H984" s="175"/>
      <c r="I984" s="175"/>
      <c r="J984" s="176"/>
      <c r="K984" s="167"/>
      <c r="L984" s="167"/>
      <c r="M984" s="167"/>
      <c r="N984" s="167"/>
    </row>
    <row r="985">
      <c r="A985" s="179"/>
      <c r="B985" s="164"/>
      <c r="C985" s="165"/>
      <c r="E985" s="174"/>
      <c r="F985" s="175"/>
      <c r="G985" s="177"/>
      <c r="H985" s="175"/>
      <c r="I985" s="175"/>
      <c r="J985" s="176"/>
      <c r="K985" s="167"/>
      <c r="L985" s="167"/>
      <c r="M985" s="167"/>
      <c r="N985" s="167"/>
    </row>
    <row r="986">
      <c r="A986" s="179"/>
      <c r="B986" s="164"/>
      <c r="C986" s="165"/>
      <c r="E986" s="174"/>
      <c r="F986" s="175"/>
      <c r="G986" s="177"/>
      <c r="H986" s="175"/>
      <c r="I986" s="175"/>
      <c r="J986" s="176"/>
      <c r="K986" s="167"/>
      <c r="L986" s="167"/>
      <c r="M986" s="167"/>
      <c r="N986" s="167"/>
    </row>
    <row r="987">
      <c r="A987" s="179"/>
      <c r="B987" s="164"/>
      <c r="C987" s="165"/>
      <c r="E987" s="174"/>
      <c r="F987" s="175"/>
      <c r="G987" s="177"/>
      <c r="H987" s="175"/>
      <c r="I987" s="175"/>
      <c r="J987" s="176"/>
      <c r="K987" s="167"/>
      <c r="L987" s="167"/>
      <c r="M987" s="167"/>
      <c r="N987" s="167"/>
    </row>
    <row r="988">
      <c r="A988" s="179"/>
      <c r="B988" s="164"/>
      <c r="C988" s="165"/>
      <c r="E988" s="174"/>
      <c r="F988" s="175"/>
      <c r="G988" s="177"/>
      <c r="H988" s="175"/>
      <c r="I988" s="175"/>
      <c r="J988" s="176"/>
      <c r="K988" s="167"/>
      <c r="L988" s="167"/>
      <c r="M988" s="167"/>
      <c r="N988" s="167"/>
    </row>
    <row r="989">
      <c r="A989" s="179"/>
      <c r="B989" s="164"/>
      <c r="C989" s="165"/>
      <c r="E989" s="174"/>
      <c r="F989" s="175"/>
      <c r="G989" s="177"/>
      <c r="H989" s="175"/>
      <c r="I989" s="175"/>
      <c r="J989" s="176"/>
      <c r="K989" s="167"/>
      <c r="L989" s="167"/>
      <c r="M989" s="167"/>
      <c r="N989" s="167"/>
    </row>
    <row r="990">
      <c r="A990" s="179"/>
      <c r="B990" s="164"/>
      <c r="C990" s="165"/>
      <c r="E990" s="174"/>
      <c r="F990" s="175"/>
      <c r="G990" s="177"/>
      <c r="H990" s="175"/>
      <c r="I990" s="175"/>
      <c r="J990" s="176"/>
      <c r="K990" s="167"/>
      <c r="L990" s="167"/>
      <c r="M990" s="167"/>
      <c r="N990" s="167"/>
    </row>
    <row r="991">
      <c r="A991" s="179"/>
      <c r="B991" s="164"/>
      <c r="C991" s="165"/>
      <c r="E991" s="174"/>
      <c r="F991" s="175"/>
      <c r="G991" s="177"/>
      <c r="H991" s="175"/>
      <c r="I991" s="175"/>
      <c r="J991" s="176"/>
      <c r="K991" s="167"/>
      <c r="L991" s="167"/>
      <c r="M991" s="167"/>
      <c r="N991" s="167"/>
    </row>
    <row r="992">
      <c r="A992" s="179"/>
      <c r="B992" s="164"/>
      <c r="C992" s="165"/>
      <c r="E992" s="174"/>
      <c r="F992" s="175"/>
      <c r="G992" s="177"/>
      <c r="H992" s="175"/>
      <c r="I992" s="175"/>
      <c r="J992" s="176"/>
      <c r="K992" s="167"/>
      <c r="L992" s="167"/>
      <c r="M992" s="167"/>
      <c r="N992" s="167"/>
    </row>
    <row r="993">
      <c r="A993" s="179"/>
      <c r="B993" s="164"/>
      <c r="C993" s="165"/>
      <c r="E993" s="174"/>
      <c r="F993" s="175"/>
      <c r="G993" s="177"/>
      <c r="H993" s="175"/>
      <c r="I993" s="175"/>
      <c r="J993" s="176"/>
      <c r="K993" s="167"/>
      <c r="L993" s="167"/>
      <c r="M993" s="167"/>
      <c r="N993" s="167"/>
    </row>
    <row r="994">
      <c r="A994" s="179"/>
      <c r="B994" s="164"/>
      <c r="C994" s="165"/>
      <c r="E994" s="174"/>
      <c r="F994" s="175"/>
      <c r="G994" s="177"/>
      <c r="H994" s="175"/>
      <c r="I994" s="175"/>
      <c r="J994" s="176"/>
      <c r="K994" s="167"/>
      <c r="L994" s="167"/>
      <c r="M994" s="167"/>
      <c r="N994" s="167"/>
    </row>
    <row r="995">
      <c r="A995" s="179"/>
      <c r="B995" s="164"/>
      <c r="C995" s="165"/>
      <c r="E995" s="174"/>
      <c r="F995" s="175"/>
      <c r="G995" s="177"/>
      <c r="H995" s="175"/>
      <c r="I995" s="175"/>
      <c r="J995" s="176"/>
      <c r="K995" s="167"/>
      <c r="L995" s="167"/>
      <c r="M995" s="167"/>
      <c r="N995" s="167"/>
    </row>
    <row r="996">
      <c r="A996" s="179"/>
      <c r="B996" s="164"/>
      <c r="C996" s="165"/>
      <c r="E996" s="174"/>
      <c r="F996" s="175"/>
      <c r="G996" s="177"/>
      <c r="H996" s="175"/>
      <c r="I996" s="175"/>
      <c r="J996" s="176"/>
      <c r="K996" s="167"/>
      <c r="L996" s="167"/>
      <c r="M996" s="167"/>
      <c r="N996" s="167"/>
    </row>
    <row r="997">
      <c r="A997" s="179"/>
      <c r="B997" s="164"/>
      <c r="C997" s="165"/>
      <c r="E997" s="174"/>
      <c r="F997" s="175"/>
      <c r="G997" s="177"/>
      <c r="H997" s="175"/>
      <c r="I997" s="175"/>
      <c r="J997" s="176"/>
      <c r="K997" s="167"/>
      <c r="L997" s="167"/>
      <c r="M997" s="167"/>
      <c r="N997" s="167"/>
    </row>
    <row r="998">
      <c r="A998" s="179"/>
      <c r="B998" s="164"/>
      <c r="C998" s="165"/>
      <c r="E998" s="174"/>
      <c r="F998" s="175"/>
      <c r="G998" s="177"/>
      <c r="H998" s="175"/>
      <c r="I998" s="175"/>
      <c r="J998" s="176"/>
      <c r="K998" s="167"/>
      <c r="L998" s="167"/>
      <c r="M998" s="167"/>
      <c r="N998" s="167"/>
    </row>
    <row r="999">
      <c r="A999" s="179"/>
      <c r="B999" s="164"/>
      <c r="C999" s="165"/>
      <c r="E999" s="174"/>
      <c r="F999" s="175"/>
      <c r="G999" s="177"/>
      <c r="H999" s="175"/>
      <c r="I999" s="175"/>
      <c r="J999" s="176"/>
      <c r="K999" s="167"/>
      <c r="L999" s="167"/>
      <c r="M999" s="167"/>
      <c r="N999" s="167"/>
    </row>
    <row r="1000">
      <c r="A1000" s="179"/>
      <c r="B1000" s="164"/>
      <c r="C1000" s="165"/>
      <c r="E1000" s="174"/>
      <c r="F1000" s="175"/>
      <c r="G1000" s="177"/>
      <c r="H1000" s="175"/>
      <c r="I1000" s="175"/>
      <c r="J1000" s="176"/>
      <c r="K1000" s="167"/>
      <c r="L1000" s="167"/>
      <c r="M1000" s="167"/>
      <c r="N1000" s="167"/>
    </row>
    <row r="1001">
      <c r="A1001" s="179"/>
      <c r="B1001" s="164"/>
      <c r="C1001" s="165"/>
      <c r="E1001" s="174"/>
      <c r="F1001" s="175"/>
      <c r="G1001" s="177"/>
      <c r="H1001" s="175"/>
      <c r="I1001" s="175"/>
      <c r="J1001" s="176"/>
      <c r="K1001" s="167"/>
      <c r="L1001" s="167"/>
      <c r="M1001" s="167"/>
      <c r="N1001" s="167"/>
    </row>
  </sheetData>
  <conditionalFormatting sqref="O1:O1001">
    <cfRule type="cellIs" dxfId="1" priority="1" operator="lessThan">
      <formula>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8.14"/>
    <col customWidth="1" min="3" max="3" width="29.86"/>
    <col customWidth="1" min="4" max="7" width="18.14"/>
    <col customWidth="1" min="8" max="8" width="19.14"/>
    <col customWidth="1" min="9" max="9" width="18.14"/>
  </cols>
  <sheetData>
    <row r="1" ht="29.25" customHeight="1">
      <c r="A1" s="180" t="s">
        <v>43</v>
      </c>
      <c r="B1" s="181" t="s">
        <v>48</v>
      </c>
      <c r="C1" s="182" t="s">
        <v>49</v>
      </c>
      <c r="D1" s="183" t="s">
        <v>50</v>
      </c>
      <c r="E1" s="184" t="s">
        <v>51</v>
      </c>
      <c r="F1" s="185" t="s">
        <v>52</v>
      </c>
      <c r="G1" s="185" t="s">
        <v>53</v>
      </c>
      <c r="H1" s="186" t="b">
        <v>0</v>
      </c>
      <c r="I1" s="187" t="s">
        <v>54</v>
      </c>
    </row>
    <row r="2" ht="30.0" customHeight="1">
      <c r="A2" s="188">
        <v>46037.0</v>
      </c>
      <c r="B2" s="189" t="s">
        <v>55</v>
      </c>
      <c r="C2" s="190" t="s">
        <v>56</v>
      </c>
      <c r="D2" s="191">
        <v>0.0</v>
      </c>
      <c r="E2" s="192" t="s">
        <v>57</v>
      </c>
      <c r="F2" s="193">
        <v>212000.0</v>
      </c>
      <c r="G2" s="194">
        <v>0.0</v>
      </c>
      <c r="H2" s="195"/>
      <c r="I2" s="196">
        <v>1.0</v>
      </c>
    </row>
    <row r="3" ht="30.0" customHeight="1">
      <c r="A3" s="188">
        <v>46037.0</v>
      </c>
      <c r="B3" s="197" t="s">
        <v>38</v>
      </c>
      <c r="C3" s="198" t="s">
        <v>58</v>
      </c>
      <c r="D3" s="191">
        <v>0.0</v>
      </c>
      <c r="E3" s="192" t="s">
        <v>57</v>
      </c>
      <c r="F3" s="193">
        <v>10000.0</v>
      </c>
      <c r="G3" s="194">
        <f t="shared" ref="G3:G8" si="1">G2+D3</f>
        <v>0</v>
      </c>
      <c r="H3" s="195"/>
      <c r="I3" s="199"/>
    </row>
    <row r="4" ht="30.0" customHeight="1">
      <c r="A4" s="188">
        <v>46038.0</v>
      </c>
      <c r="B4" s="200" t="s">
        <v>59</v>
      </c>
      <c r="C4" s="201" t="s">
        <v>60</v>
      </c>
      <c r="D4" s="201">
        <v>0.0</v>
      </c>
      <c r="E4" s="192" t="s">
        <v>61</v>
      </c>
      <c r="F4" s="193">
        <v>2000000.0</v>
      </c>
      <c r="G4" s="194">
        <f t="shared" si="1"/>
        <v>0</v>
      </c>
      <c r="H4" s="195"/>
      <c r="I4" s="196">
        <v>2.0</v>
      </c>
    </row>
    <row r="5" ht="30.0" customHeight="1">
      <c r="A5" s="188">
        <v>46039.0</v>
      </c>
      <c r="B5" s="197" t="s">
        <v>38</v>
      </c>
      <c r="C5" s="201" t="s">
        <v>62</v>
      </c>
      <c r="D5" s="201">
        <v>0.0</v>
      </c>
      <c r="E5" s="192" t="s">
        <v>61</v>
      </c>
      <c r="F5" s="193">
        <v>50000.0</v>
      </c>
      <c r="G5" s="194">
        <f t="shared" si="1"/>
        <v>0</v>
      </c>
      <c r="H5" s="195"/>
      <c r="I5" s="199"/>
    </row>
    <row r="6" ht="30.0" customHeight="1">
      <c r="A6" s="188">
        <v>46039.0</v>
      </c>
      <c r="B6" s="202" t="s">
        <v>59</v>
      </c>
      <c r="C6" s="203" t="s">
        <v>63</v>
      </c>
      <c r="D6" s="204">
        <v>0.0</v>
      </c>
      <c r="E6" s="205" t="s">
        <v>61</v>
      </c>
      <c r="F6" s="193">
        <v>176000.0</v>
      </c>
      <c r="G6" s="194">
        <f t="shared" si="1"/>
        <v>0</v>
      </c>
      <c r="H6" s="195"/>
      <c r="I6" s="196">
        <v>3.0</v>
      </c>
    </row>
    <row r="7" ht="30.0" customHeight="1">
      <c r="A7" s="188">
        <v>46039.0</v>
      </c>
      <c r="B7" s="206" t="s">
        <v>37</v>
      </c>
      <c r="C7" s="203" t="s">
        <v>1</v>
      </c>
      <c r="D7" s="207">
        <v>0.0</v>
      </c>
      <c r="E7" s="205" t="s">
        <v>57</v>
      </c>
      <c r="F7" s="193">
        <v>1300000.0</v>
      </c>
      <c r="G7" s="194">
        <f t="shared" si="1"/>
        <v>0</v>
      </c>
      <c r="H7" s="195"/>
      <c r="I7" s="199"/>
    </row>
    <row r="8" ht="30.0" customHeight="1">
      <c r="A8" s="208">
        <v>46039.0</v>
      </c>
      <c r="B8" s="209" t="s">
        <v>38</v>
      </c>
      <c r="C8" s="210" t="s">
        <v>64</v>
      </c>
      <c r="D8" s="211">
        <v>0.0</v>
      </c>
      <c r="E8" s="212" t="s">
        <v>61</v>
      </c>
      <c r="F8" s="213">
        <v>288000.0</v>
      </c>
      <c r="G8" s="194">
        <f t="shared" si="1"/>
        <v>0</v>
      </c>
      <c r="H8" s="214"/>
      <c r="I8" s="214"/>
    </row>
    <row r="9" ht="30.0" customHeight="1">
      <c r="A9" s="188">
        <v>46040.0</v>
      </c>
      <c r="B9" s="215" t="s">
        <v>38</v>
      </c>
      <c r="C9" s="216" t="s">
        <v>1</v>
      </c>
      <c r="D9" s="207">
        <v>0.0</v>
      </c>
      <c r="E9" s="217" t="s">
        <v>61</v>
      </c>
      <c r="F9" s="193">
        <v>2226000.0</v>
      </c>
      <c r="G9" s="193">
        <v>0.0</v>
      </c>
      <c r="H9" s="195"/>
      <c r="I9" s="199"/>
    </row>
    <row r="10" ht="30.0" customHeight="1">
      <c r="A10" s="188">
        <v>46040.0</v>
      </c>
      <c r="B10" s="202" t="s">
        <v>59</v>
      </c>
      <c r="C10" s="203" t="s">
        <v>65</v>
      </c>
      <c r="D10" s="204">
        <v>0.0</v>
      </c>
      <c r="E10" s="205" t="s">
        <v>61</v>
      </c>
      <c r="F10" s="193">
        <v>1000000.0</v>
      </c>
      <c r="G10" s="194">
        <f>G8+D10</f>
        <v>0</v>
      </c>
      <c r="H10" s="195"/>
      <c r="I10" s="196">
        <v>4.0</v>
      </c>
    </row>
    <row r="11" ht="30.0" customHeight="1">
      <c r="A11" s="188">
        <v>46041.0</v>
      </c>
      <c r="B11" s="206" t="s">
        <v>38</v>
      </c>
      <c r="C11" s="203" t="s">
        <v>1</v>
      </c>
      <c r="D11" s="207">
        <v>-5000.0</v>
      </c>
      <c r="E11" s="205" t="s">
        <v>66</v>
      </c>
      <c r="F11" s="218">
        <v>0.0</v>
      </c>
      <c r="G11" s="194">
        <f t="shared" ref="G11:G1042" si="2">G10+D11</f>
        <v>-5000</v>
      </c>
      <c r="H11" s="195"/>
      <c r="I11" s="196">
        <v>51.0</v>
      </c>
    </row>
    <row r="12" ht="30.0" customHeight="1">
      <c r="A12" s="188">
        <v>46041.0</v>
      </c>
      <c r="B12" s="206" t="s">
        <v>38</v>
      </c>
      <c r="C12" s="203" t="s">
        <v>1</v>
      </c>
      <c r="D12" s="207">
        <v>-25000.0</v>
      </c>
      <c r="E12" s="205" t="s">
        <v>66</v>
      </c>
      <c r="F12" s="218">
        <v>0.0</v>
      </c>
      <c r="G12" s="194">
        <f t="shared" si="2"/>
        <v>-30000</v>
      </c>
      <c r="H12" s="195"/>
      <c r="I12" s="196">
        <v>53.0</v>
      </c>
    </row>
    <row r="13" ht="30.0" customHeight="1">
      <c r="A13" s="188">
        <v>46041.0</v>
      </c>
      <c r="B13" s="219" t="s">
        <v>67</v>
      </c>
      <c r="C13" s="207" t="s">
        <v>68</v>
      </c>
      <c r="D13" s="207">
        <f>2710000+183000+183000</f>
        <v>3076000</v>
      </c>
      <c r="E13" s="205" t="s">
        <v>61</v>
      </c>
      <c r="F13" s="218">
        <v>3076000.0</v>
      </c>
      <c r="G13" s="194">
        <f t="shared" si="2"/>
        <v>3046000</v>
      </c>
      <c r="H13" s="195"/>
      <c r="I13" s="199"/>
    </row>
    <row r="14" ht="30.0" customHeight="1">
      <c r="A14" s="188">
        <v>46041.0</v>
      </c>
      <c r="B14" s="219" t="s">
        <v>38</v>
      </c>
      <c r="C14" s="207" t="s">
        <v>62</v>
      </c>
      <c r="D14" s="207">
        <v>-183000.0</v>
      </c>
      <c r="E14" s="205" t="s">
        <v>66</v>
      </c>
      <c r="F14" s="218">
        <v>0.0</v>
      </c>
      <c r="G14" s="194">
        <f t="shared" si="2"/>
        <v>2863000</v>
      </c>
      <c r="H14" s="195"/>
      <c r="I14" s="199"/>
    </row>
    <row r="15" ht="30.0" customHeight="1">
      <c r="A15" s="188">
        <v>46041.0</v>
      </c>
      <c r="B15" s="202" t="s">
        <v>59</v>
      </c>
      <c r="C15" s="203" t="s">
        <v>69</v>
      </c>
      <c r="D15" s="204">
        <v>0.0</v>
      </c>
      <c r="E15" s="205" t="s">
        <v>61</v>
      </c>
      <c r="F15" s="193">
        <v>776000.0</v>
      </c>
      <c r="G15" s="194">
        <f t="shared" si="2"/>
        <v>2863000</v>
      </c>
      <c r="H15" s="195"/>
      <c r="I15" s="196">
        <v>5.0</v>
      </c>
    </row>
    <row r="16" ht="30.0" customHeight="1">
      <c r="A16" s="188">
        <v>46041.0</v>
      </c>
      <c r="B16" s="206" t="s">
        <v>55</v>
      </c>
      <c r="C16" s="207" t="s">
        <v>70</v>
      </c>
      <c r="D16" s="207">
        <v>-30000.0</v>
      </c>
      <c r="E16" s="205" t="s">
        <v>66</v>
      </c>
      <c r="F16" s="218">
        <v>0.0</v>
      </c>
      <c r="G16" s="194">
        <f t="shared" si="2"/>
        <v>2833000</v>
      </c>
      <c r="H16" s="195"/>
      <c r="I16" s="196">
        <v>22.0</v>
      </c>
    </row>
    <row r="17" ht="30.0" customHeight="1">
      <c r="A17" s="188">
        <v>46041.0</v>
      </c>
      <c r="B17" s="206" t="s">
        <v>55</v>
      </c>
      <c r="C17" s="203"/>
      <c r="D17" s="204">
        <v>-2000.0</v>
      </c>
      <c r="E17" s="205" t="s">
        <v>66</v>
      </c>
      <c r="F17" s="218">
        <v>0.0</v>
      </c>
      <c r="G17" s="194">
        <f t="shared" si="2"/>
        <v>2831000</v>
      </c>
      <c r="H17" s="195"/>
      <c r="I17" s="196">
        <v>23.0</v>
      </c>
    </row>
    <row r="18" ht="30.0" customHeight="1">
      <c r="A18" s="188">
        <v>46041.0</v>
      </c>
      <c r="B18" s="206" t="s">
        <v>55</v>
      </c>
      <c r="C18" s="207" t="s">
        <v>71</v>
      </c>
      <c r="D18" s="207">
        <v>-10000.0</v>
      </c>
      <c r="E18" s="205" t="s">
        <v>66</v>
      </c>
      <c r="F18" s="218">
        <v>0.0</v>
      </c>
      <c r="G18" s="194">
        <f t="shared" si="2"/>
        <v>2821000</v>
      </c>
      <c r="H18" s="195"/>
      <c r="I18" s="196">
        <v>24.0</v>
      </c>
    </row>
    <row r="19" ht="30.0" customHeight="1">
      <c r="A19" s="188">
        <v>46041.0</v>
      </c>
      <c r="B19" s="206" t="s">
        <v>55</v>
      </c>
      <c r="C19" s="203" t="s">
        <v>72</v>
      </c>
      <c r="D19" s="204">
        <v>-60000.0</v>
      </c>
      <c r="E19" s="205" t="s">
        <v>66</v>
      </c>
      <c r="F19" s="218">
        <v>0.0</v>
      </c>
      <c r="G19" s="194">
        <f t="shared" si="2"/>
        <v>2761000</v>
      </c>
      <c r="H19" s="195"/>
      <c r="I19" s="196">
        <v>25.0</v>
      </c>
    </row>
    <row r="20" ht="30.0" customHeight="1">
      <c r="A20" s="188">
        <v>46041.0</v>
      </c>
      <c r="B20" s="206" t="s">
        <v>55</v>
      </c>
      <c r="C20" s="203" t="s">
        <v>73</v>
      </c>
      <c r="D20" s="204">
        <v>-15000.0</v>
      </c>
      <c r="E20" s="205" t="s">
        <v>66</v>
      </c>
      <c r="F20" s="218">
        <v>0.0</v>
      </c>
      <c r="G20" s="194">
        <f t="shared" si="2"/>
        <v>2746000</v>
      </c>
      <c r="H20" s="195"/>
      <c r="I20" s="196">
        <v>26.0</v>
      </c>
    </row>
    <row r="21" ht="30.0" customHeight="1">
      <c r="A21" s="188">
        <v>46041.0</v>
      </c>
      <c r="B21" s="206" t="s">
        <v>55</v>
      </c>
      <c r="C21" s="207" t="s">
        <v>73</v>
      </c>
      <c r="D21" s="207">
        <v>-7000.0</v>
      </c>
      <c r="E21" s="205" t="s">
        <v>66</v>
      </c>
      <c r="F21" s="218">
        <v>0.0</v>
      </c>
      <c r="G21" s="194">
        <f t="shared" si="2"/>
        <v>2739000</v>
      </c>
      <c r="H21" s="195"/>
      <c r="I21" s="196">
        <v>27.0</v>
      </c>
    </row>
    <row r="22" ht="30.0" customHeight="1">
      <c r="A22" s="188">
        <v>46041.0</v>
      </c>
      <c r="B22" s="206" t="s">
        <v>55</v>
      </c>
      <c r="C22" s="203" t="s">
        <v>74</v>
      </c>
      <c r="D22" s="204">
        <v>-5000.0</v>
      </c>
      <c r="E22" s="205" t="s">
        <v>66</v>
      </c>
      <c r="F22" s="218">
        <v>0.0</v>
      </c>
      <c r="G22" s="194">
        <f t="shared" si="2"/>
        <v>2734000</v>
      </c>
      <c r="H22" s="195"/>
      <c r="I22" s="196">
        <v>31.0</v>
      </c>
    </row>
    <row r="23" ht="30.0" customHeight="1">
      <c r="A23" s="188">
        <v>46041.0</v>
      </c>
      <c r="B23" s="206" t="s">
        <v>55</v>
      </c>
      <c r="C23" s="203" t="s">
        <v>72</v>
      </c>
      <c r="D23" s="204">
        <v>-60000.0</v>
      </c>
      <c r="E23" s="205" t="s">
        <v>66</v>
      </c>
      <c r="F23" s="218">
        <v>0.0</v>
      </c>
      <c r="G23" s="194">
        <f t="shared" si="2"/>
        <v>2674000</v>
      </c>
      <c r="H23" s="195"/>
      <c r="I23" s="196">
        <v>52.0</v>
      </c>
    </row>
    <row r="24" ht="30.0" customHeight="1">
      <c r="A24" s="188">
        <v>46041.0</v>
      </c>
      <c r="B24" s="206" t="s">
        <v>38</v>
      </c>
      <c r="C24" s="203" t="s">
        <v>75</v>
      </c>
      <c r="D24" s="204">
        <v>-10000.0</v>
      </c>
      <c r="E24" s="205" t="s">
        <v>66</v>
      </c>
      <c r="F24" s="218">
        <v>0.0</v>
      </c>
      <c r="G24" s="194">
        <f t="shared" si="2"/>
        <v>2664000</v>
      </c>
      <c r="H24" s="195"/>
      <c r="I24" s="196">
        <v>55.0</v>
      </c>
    </row>
    <row r="25" ht="30.0" customHeight="1">
      <c r="A25" s="188">
        <v>46041.0</v>
      </c>
      <c r="B25" s="206" t="s">
        <v>38</v>
      </c>
      <c r="C25" s="207" t="s">
        <v>75</v>
      </c>
      <c r="D25" s="207">
        <v>-10000.0</v>
      </c>
      <c r="E25" s="205" t="s">
        <v>66</v>
      </c>
      <c r="F25" s="218">
        <v>0.0</v>
      </c>
      <c r="G25" s="194">
        <f t="shared" si="2"/>
        <v>2654000</v>
      </c>
      <c r="H25" s="195"/>
      <c r="I25" s="196">
        <v>29.0</v>
      </c>
    </row>
    <row r="26" ht="30.0" customHeight="1">
      <c r="A26" s="188">
        <v>46041.0</v>
      </c>
      <c r="B26" s="206" t="s">
        <v>38</v>
      </c>
      <c r="C26" s="203" t="s">
        <v>64</v>
      </c>
      <c r="D26" s="204">
        <v>-5000.0</v>
      </c>
      <c r="E26" s="205" t="s">
        <v>66</v>
      </c>
      <c r="F26" s="218">
        <v>0.0</v>
      </c>
      <c r="G26" s="194">
        <f t="shared" si="2"/>
        <v>2649000</v>
      </c>
      <c r="H26" s="195"/>
      <c r="I26" s="196">
        <v>30.0</v>
      </c>
    </row>
    <row r="27" ht="30.0" customHeight="1">
      <c r="A27" s="188">
        <v>46041.0</v>
      </c>
      <c r="B27" s="206" t="s">
        <v>38</v>
      </c>
      <c r="C27" s="203" t="s">
        <v>64</v>
      </c>
      <c r="D27" s="207">
        <v>-5000.0</v>
      </c>
      <c r="E27" s="205" t="s">
        <v>66</v>
      </c>
      <c r="F27" s="218">
        <v>0.0</v>
      </c>
      <c r="G27" s="194">
        <f t="shared" si="2"/>
        <v>2644000</v>
      </c>
      <c r="H27" s="195"/>
      <c r="I27" s="196">
        <v>56.0</v>
      </c>
    </row>
    <row r="28" ht="30.0" customHeight="1">
      <c r="A28" s="188">
        <v>46041.0</v>
      </c>
      <c r="B28" s="206" t="s">
        <v>38</v>
      </c>
      <c r="C28" s="203" t="s">
        <v>58</v>
      </c>
      <c r="D28" s="204">
        <v>-5000.0</v>
      </c>
      <c r="E28" s="205" t="s">
        <v>66</v>
      </c>
      <c r="F28" s="218">
        <v>0.0</v>
      </c>
      <c r="G28" s="194">
        <f t="shared" si="2"/>
        <v>2639000</v>
      </c>
      <c r="H28" s="195"/>
      <c r="I28" s="196">
        <v>28.0</v>
      </c>
    </row>
    <row r="29" ht="30.0" customHeight="1">
      <c r="A29" s="188">
        <v>46041.0</v>
      </c>
      <c r="B29" s="206" t="s">
        <v>38</v>
      </c>
      <c r="C29" s="203" t="s">
        <v>58</v>
      </c>
      <c r="D29" s="204">
        <v>-5000.0</v>
      </c>
      <c r="E29" s="205" t="s">
        <v>66</v>
      </c>
      <c r="F29" s="218">
        <v>0.0</v>
      </c>
      <c r="G29" s="194">
        <f t="shared" si="2"/>
        <v>2634000</v>
      </c>
      <c r="H29" s="195"/>
      <c r="I29" s="196">
        <v>54.0</v>
      </c>
    </row>
    <row r="30" ht="30.0" customHeight="1">
      <c r="A30" s="188">
        <v>46042.0</v>
      </c>
      <c r="B30" s="206" t="s">
        <v>67</v>
      </c>
      <c r="C30" s="203" t="s">
        <v>76</v>
      </c>
      <c r="D30" s="204">
        <v>500000.0</v>
      </c>
      <c r="E30" s="205" t="s">
        <v>66</v>
      </c>
      <c r="F30" s="218">
        <v>500000.0</v>
      </c>
      <c r="G30" s="194">
        <f t="shared" si="2"/>
        <v>3134000</v>
      </c>
      <c r="H30" s="195"/>
      <c r="I30" s="196">
        <v>6.0</v>
      </c>
    </row>
    <row r="31" ht="30.0" customHeight="1">
      <c r="A31" s="188">
        <v>46042.0</v>
      </c>
      <c r="B31" s="206" t="s">
        <v>38</v>
      </c>
      <c r="C31" s="220" t="s">
        <v>77</v>
      </c>
      <c r="D31" s="207">
        <v>-25000.0</v>
      </c>
      <c r="E31" s="205" t="s">
        <v>66</v>
      </c>
      <c r="F31" s="218">
        <v>0.0</v>
      </c>
      <c r="G31" s="194">
        <f t="shared" si="2"/>
        <v>3109000</v>
      </c>
      <c r="H31" s="195"/>
      <c r="I31" s="196">
        <v>57.0</v>
      </c>
    </row>
    <row r="32" ht="30.0" customHeight="1">
      <c r="A32" s="188">
        <v>46043.0</v>
      </c>
      <c r="B32" s="206" t="s">
        <v>38</v>
      </c>
      <c r="C32" s="203" t="s">
        <v>1</v>
      </c>
      <c r="D32" s="204">
        <v>-125000.0</v>
      </c>
      <c r="E32" s="205" t="s">
        <v>66</v>
      </c>
      <c r="F32" s="218">
        <v>0.0</v>
      </c>
      <c r="G32" s="194">
        <f t="shared" si="2"/>
        <v>2984000</v>
      </c>
      <c r="H32" s="195"/>
      <c r="I32" s="196">
        <v>60.0</v>
      </c>
    </row>
    <row r="33" ht="30.0" customHeight="1">
      <c r="A33" s="188">
        <v>46043.0</v>
      </c>
      <c r="B33" s="197" t="s">
        <v>55</v>
      </c>
      <c r="C33" s="198" t="s">
        <v>78</v>
      </c>
      <c r="D33" s="191">
        <v>-35000.0</v>
      </c>
      <c r="E33" s="192" t="s">
        <v>66</v>
      </c>
      <c r="F33" s="218">
        <v>0.0</v>
      </c>
      <c r="G33" s="194">
        <f t="shared" si="2"/>
        <v>2949000</v>
      </c>
      <c r="H33" s="195"/>
      <c r="I33" s="196">
        <v>58.0</v>
      </c>
    </row>
    <row r="34" ht="30.0" customHeight="1">
      <c r="A34" s="188">
        <v>46043.0</v>
      </c>
      <c r="B34" s="197" t="s">
        <v>55</v>
      </c>
      <c r="C34" s="201" t="s">
        <v>74</v>
      </c>
      <c r="D34" s="201">
        <v>-5000.0</v>
      </c>
      <c r="E34" s="192" t="s">
        <v>66</v>
      </c>
      <c r="F34" s="218">
        <v>0.0</v>
      </c>
      <c r="G34" s="194">
        <f t="shared" si="2"/>
        <v>2944000</v>
      </c>
      <c r="H34" s="195"/>
      <c r="I34" s="196">
        <v>59.0</v>
      </c>
    </row>
    <row r="35" ht="30.0" customHeight="1">
      <c r="A35" s="188">
        <v>46043.0</v>
      </c>
      <c r="B35" s="197" t="s">
        <v>55</v>
      </c>
      <c r="C35" s="198" t="s">
        <v>73</v>
      </c>
      <c r="D35" s="191">
        <v>-10000.0</v>
      </c>
      <c r="E35" s="192" t="s">
        <v>66</v>
      </c>
      <c r="F35" s="218">
        <v>0.0</v>
      </c>
      <c r="G35" s="194">
        <f t="shared" si="2"/>
        <v>2934000</v>
      </c>
      <c r="H35" s="195"/>
      <c r="I35" s="196">
        <v>62.0</v>
      </c>
    </row>
    <row r="36" ht="30.0" customHeight="1">
      <c r="A36" s="188">
        <v>46043.0</v>
      </c>
      <c r="B36" s="197" t="s">
        <v>55</v>
      </c>
      <c r="C36" s="198" t="s">
        <v>79</v>
      </c>
      <c r="D36" s="191">
        <v>-8000.0</v>
      </c>
      <c r="E36" s="192" t="s">
        <v>66</v>
      </c>
      <c r="F36" s="218">
        <v>0.0</v>
      </c>
      <c r="G36" s="194">
        <f t="shared" si="2"/>
        <v>2926000</v>
      </c>
      <c r="H36" s="195"/>
      <c r="I36" s="196">
        <v>63.0</v>
      </c>
    </row>
    <row r="37" ht="30.0" customHeight="1">
      <c r="A37" s="188">
        <v>46043.0</v>
      </c>
      <c r="B37" s="197" t="s">
        <v>55</v>
      </c>
      <c r="C37" s="198" t="s">
        <v>80</v>
      </c>
      <c r="D37" s="191">
        <v>-7000.0</v>
      </c>
      <c r="E37" s="192" t="s">
        <v>66</v>
      </c>
      <c r="F37" s="218">
        <v>0.0</v>
      </c>
      <c r="G37" s="194">
        <f t="shared" si="2"/>
        <v>2919000</v>
      </c>
      <c r="H37" s="195"/>
      <c r="I37" s="196">
        <v>64.0</v>
      </c>
    </row>
    <row r="38" ht="30.0" customHeight="1">
      <c r="A38" s="188">
        <v>46043.0</v>
      </c>
      <c r="B38" s="197" t="s">
        <v>38</v>
      </c>
      <c r="C38" s="220" t="s">
        <v>77</v>
      </c>
      <c r="D38" s="191">
        <v>-5000.0</v>
      </c>
      <c r="E38" s="192" t="s">
        <v>66</v>
      </c>
      <c r="F38" s="218">
        <v>0.0</v>
      </c>
      <c r="G38" s="194">
        <f t="shared" si="2"/>
        <v>2914000</v>
      </c>
      <c r="H38" s="195"/>
      <c r="I38" s="196">
        <v>65.0</v>
      </c>
    </row>
    <row r="39" ht="30.0" customHeight="1">
      <c r="A39" s="188">
        <v>46043.0</v>
      </c>
      <c r="B39" s="197" t="s">
        <v>38</v>
      </c>
      <c r="C39" s="198" t="s">
        <v>64</v>
      </c>
      <c r="D39" s="201">
        <v>-25000.0</v>
      </c>
      <c r="E39" s="192" t="s">
        <v>66</v>
      </c>
      <c r="F39" s="218">
        <v>0.0</v>
      </c>
      <c r="G39" s="194">
        <f t="shared" si="2"/>
        <v>2889000</v>
      </c>
      <c r="H39" s="195"/>
      <c r="I39" s="196">
        <v>61.0</v>
      </c>
    </row>
    <row r="40" ht="30.0" customHeight="1">
      <c r="A40" s="188">
        <v>46043.0</v>
      </c>
      <c r="B40" s="209" t="s">
        <v>38</v>
      </c>
      <c r="C40" s="221" t="s">
        <v>81</v>
      </c>
      <c r="D40" s="191">
        <v>-500000.0</v>
      </c>
      <c r="E40" s="192" t="s">
        <v>66</v>
      </c>
      <c r="F40" s="218">
        <v>0.0</v>
      </c>
      <c r="G40" s="194">
        <f t="shared" si="2"/>
        <v>2389000</v>
      </c>
      <c r="H40" s="195"/>
      <c r="I40" s="196">
        <v>7.0</v>
      </c>
    </row>
    <row r="41" ht="30.0" customHeight="1">
      <c r="A41" s="188">
        <v>46044.0</v>
      </c>
      <c r="B41" s="197" t="s">
        <v>55</v>
      </c>
      <c r="C41" s="190" t="s">
        <v>82</v>
      </c>
      <c r="D41" s="201">
        <v>-180000.0</v>
      </c>
      <c r="E41" s="192" t="s">
        <v>66</v>
      </c>
      <c r="F41" s="218">
        <v>0.0</v>
      </c>
      <c r="G41" s="194">
        <f t="shared" si="2"/>
        <v>2209000</v>
      </c>
      <c r="H41" s="195"/>
      <c r="I41" s="196">
        <v>8.0</v>
      </c>
    </row>
    <row r="42" ht="30.0" customHeight="1">
      <c r="A42" s="188">
        <v>46045.0</v>
      </c>
      <c r="B42" s="197" t="s">
        <v>55</v>
      </c>
      <c r="C42" s="190" t="s">
        <v>83</v>
      </c>
      <c r="D42" s="201">
        <v>-43500.0</v>
      </c>
      <c r="E42" s="192" t="s">
        <v>66</v>
      </c>
      <c r="F42" s="218">
        <v>0.0</v>
      </c>
      <c r="G42" s="194">
        <f t="shared" si="2"/>
        <v>2165500</v>
      </c>
      <c r="H42" s="195"/>
      <c r="I42" s="196">
        <v>9.0</v>
      </c>
    </row>
    <row r="43" ht="30.0" customHeight="1">
      <c r="A43" s="188">
        <v>46046.0</v>
      </c>
      <c r="B43" s="197" t="s">
        <v>55</v>
      </c>
      <c r="C43" s="190" t="s">
        <v>83</v>
      </c>
      <c r="D43" s="201">
        <v>-84000.0</v>
      </c>
      <c r="E43" s="192" t="s">
        <v>66</v>
      </c>
      <c r="F43" s="218">
        <v>0.0</v>
      </c>
      <c r="G43" s="194">
        <f t="shared" si="2"/>
        <v>2081500</v>
      </c>
      <c r="H43" s="195"/>
      <c r="I43" s="196">
        <v>10.0</v>
      </c>
    </row>
    <row r="44" ht="30.0" customHeight="1">
      <c r="A44" s="188">
        <v>46047.0</v>
      </c>
      <c r="B44" s="197" t="s">
        <v>38</v>
      </c>
      <c r="C44" s="198" t="s">
        <v>1</v>
      </c>
      <c r="D44" s="191">
        <v>-5000.0</v>
      </c>
      <c r="E44" s="192" t="s">
        <v>66</v>
      </c>
      <c r="F44" s="218">
        <v>0.0</v>
      </c>
      <c r="G44" s="194">
        <f t="shared" si="2"/>
        <v>2076500</v>
      </c>
      <c r="H44" s="195"/>
      <c r="I44" s="196">
        <v>69.0</v>
      </c>
    </row>
    <row r="45" ht="30.0" customHeight="1">
      <c r="A45" s="188">
        <v>46047.0</v>
      </c>
      <c r="B45" s="197" t="s">
        <v>55</v>
      </c>
      <c r="C45" s="198" t="s">
        <v>73</v>
      </c>
      <c r="D45" s="191">
        <v>-10000.0</v>
      </c>
      <c r="E45" s="192" t="s">
        <v>66</v>
      </c>
      <c r="F45" s="218">
        <v>0.0</v>
      </c>
      <c r="G45" s="194">
        <f t="shared" si="2"/>
        <v>2066500</v>
      </c>
      <c r="H45" s="195"/>
      <c r="I45" s="196">
        <v>70.0</v>
      </c>
    </row>
    <row r="46" ht="30.0" customHeight="1">
      <c r="A46" s="188">
        <v>46047.0</v>
      </c>
      <c r="B46" s="197" t="s">
        <v>55</v>
      </c>
      <c r="C46" s="198" t="s">
        <v>84</v>
      </c>
      <c r="D46" s="191">
        <v>-11000.0</v>
      </c>
      <c r="E46" s="192" t="s">
        <v>66</v>
      </c>
      <c r="F46" s="218">
        <v>0.0</v>
      </c>
      <c r="G46" s="194">
        <f t="shared" si="2"/>
        <v>2055500</v>
      </c>
      <c r="H46" s="195"/>
      <c r="I46" s="196">
        <v>72.0</v>
      </c>
    </row>
    <row r="47" ht="30.0" customHeight="1">
      <c r="A47" s="188">
        <v>46047.0</v>
      </c>
      <c r="B47" s="197" t="s">
        <v>55</v>
      </c>
      <c r="C47" s="207" t="s">
        <v>71</v>
      </c>
      <c r="D47" s="191">
        <v>-10000.0</v>
      </c>
      <c r="E47" s="192" t="s">
        <v>66</v>
      </c>
      <c r="F47" s="218">
        <v>0.0</v>
      </c>
      <c r="G47" s="194">
        <f t="shared" si="2"/>
        <v>2045500</v>
      </c>
      <c r="H47" s="195"/>
      <c r="I47" s="196">
        <v>73.0</v>
      </c>
    </row>
    <row r="48" ht="30.0" customHeight="1">
      <c r="A48" s="188">
        <v>46047.0</v>
      </c>
      <c r="B48" s="197" t="s">
        <v>55</v>
      </c>
      <c r="C48" s="198" t="s">
        <v>85</v>
      </c>
      <c r="D48" s="191">
        <v>-4000.0</v>
      </c>
      <c r="E48" s="192" t="s">
        <v>66</v>
      </c>
      <c r="F48" s="218">
        <v>0.0</v>
      </c>
      <c r="G48" s="194">
        <f t="shared" si="2"/>
        <v>2041500</v>
      </c>
      <c r="H48" s="195"/>
      <c r="I48" s="196">
        <v>74.0</v>
      </c>
    </row>
    <row r="49" ht="30.0" customHeight="1">
      <c r="A49" s="188">
        <v>46047.0</v>
      </c>
      <c r="B49" s="197" t="s">
        <v>55</v>
      </c>
      <c r="C49" s="198" t="s">
        <v>86</v>
      </c>
      <c r="D49" s="191">
        <v>-25000.0</v>
      </c>
      <c r="E49" s="192" t="s">
        <v>66</v>
      </c>
      <c r="F49" s="218">
        <v>0.0</v>
      </c>
      <c r="G49" s="194">
        <f t="shared" si="2"/>
        <v>2016500</v>
      </c>
      <c r="H49" s="195"/>
      <c r="I49" s="196">
        <v>75.0</v>
      </c>
    </row>
    <row r="50" ht="30.0" customHeight="1">
      <c r="A50" s="188">
        <v>46047.0</v>
      </c>
      <c r="B50" s="197" t="s">
        <v>38</v>
      </c>
      <c r="C50" s="198" t="s">
        <v>64</v>
      </c>
      <c r="D50" s="191">
        <v>-5000.0</v>
      </c>
      <c r="E50" s="192" t="s">
        <v>66</v>
      </c>
      <c r="F50" s="218">
        <v>0.0</v>
      </c>
      <c r="G50" s="194">
        <f t="shared" si="2"/>
        <v>2011500</v>
      </c>
      <c r="H50" s="195"/>
      <c r="I50" s="196">
        <v>67.0</v>
      </c>
    </row>
    <row r="51" ht="30.0" customHeight="1">
      <c r="A51" s="188">
        <v>46047.0</v>
      </c>
      <c r="B51" s="197" t="s">
        <v>38</v>
      </c>
      <c r="C51" s="221" t="s">
        <v>81</v>
      </c>
      <c r="D51" s="191">
        <v>-5000.0</v>
      </c>
      <c r="E51" s="192" t="s">
        <v>66</v>
      </c>
      <c r="F51" s="218">
        <v>0.0</v>
      </c>
      <c r="G51" s="194">
        <f t="shared" si="2"/>
        <v>2006500</v>
      </c>
      <c r="H51" s="195"/>
      <c r="I51" s="196">
        <v>66.0</v>
      </c>
    </row>
    <row r="52" ht="30.0" customHeight="1">
      <c r="A52" s="188">
        <v>46047.0</v>
      </c>
      <c r="B52" s="197" t="s">
        <v>38</v>
      </c>
      <c r="C52" s="221" t="s">
        <v>81</v>
      </c>
      <c r="D52" s="191">
        <v>-50000.0</v>
      </c>
      <c r="E52" s="192" t="s">
        <v>66</v>
      </c>
      <c r="F52" s="218">
        <v>0.0</v>
      </c>
      <c r="G52" s="194">
        <f t="shared" si="2"/>
        <v>1956500</v>
      </c>
      <c r="H52" s="195"/>
      <c r="I52" s="196">
        <v>71.0</v>
      </c>
    </row>
    <row r="53" ht="30.0" customHeight="1">
      <c r="A53" s="188">
        <v>46047.0</v>
      </c>
      <c r="B53" s="197" t="s">
        <v>38</v>
      </c>
      <c r="C53" s="198" t="s">
        <v>58</v>
      </c>
      <c r="D53" s="191">
        <v>-5000.0</v>
      </c>
      <c r="E53" s="192" t="s">
        <v>66</v>
      </c>
      <c r="F53" s="218">
        <v>0.0</v>
      </c>
      <c r="G53" s="194">
        <f t="shared" si="2"/>
        <v>1951500</v>
      </c>
      <c r="H53" s="195"/>
      <c r="I53" s="196">
        <v>68.0</v>
      </c>
    </row>
    <row r="54" ht="30.0" customHeight="1">
      <c r="A54" s="188">
        <v>46050.0</v>
      </c>
      <c r="B54" s="197" t="s">
        <v>38</v>
      </c>
      <c r="C54" s="198" t="s">
        <v>1</v>
      </c>
      <c r="D54" s="191">
        <v>-50000.0</v>
      </c>
      <c r="E54" s="192" t="s">
        <v>66</v>
      </c>
      <c r="F54" s="218">
        <v>0.0</v>
      </c>
      <c r="G54" s="194">
        <f t="shared" si="2"/>
        <v>1901500</v>
      </c>
      <c r="H54" s="195"/>
      <c r="I54" s="196">
        <v>106.0</v>
      </c>
    </row>
    <row r="55" ht="30.0" customHeight="1">
      <c r="A55" s="188">
        <v>46050.0</v>
      </c>
      <c r="B55" s="197" t="s">
        <v>55</v>
      </c>
      <c r="C55" s="198" t="s">
        <v>73</v>
      </c>
      <c r="D55" s="191">
        <v>-10000.0</v>
      </c>
      <c r="E55" s="192" t="s">
        <v>66</v>
      </c>
      <c r="F55" s="218">
        <v>0.0</v>
      </c>
      <c r="G55" s="194">
        <f t="shared" si="2"/>
        <v>1891500</v>
      </c>
      <c r="H55" s="195"/>
      <c r="I55" s="196">
        <v>94.0</v>
      </c>
    </row>
    <row r="56" ht="30.0" customHeight="1">
      <c r="A56" s="188">
        <v>46050.0</v>
      </c>
      <c r="B56" s="197" t="s">
        <v>55</v>
      </c>
      <c r="C56" s="198" t="s">
        <v>87</v>
      </c>
      <c r="D56" s="191">
        <v>-5000.0</v>
      </c>
      <c r="E56" s="192" t="s">
        <v>66</v>
      </c>
      <c r="F56" s="218">
        <v>0.0</v>
      </c>
      <c r="G56" s="194">
        <f t="shared" si="2"/>
        <v>1886500</v>
      </c>
      <c r="H56" s="195"/>
      <c r="I56" s="196">
        <v>95.0</v>
      </c>
    </row>
    <row r="57" ht="30.0" customHeight="1">
      <c r="A57" s="188">
        <v>46050.0</v>
      </c>
      <c r="B57" s="197" t="s">
        <v>55</v>
      </c>
      <c r="C57" s="198" t="s">
        <v>88</v>
      </c>
      <c r="D57" s="191">
        <v>-25000.0</v>
      </c>
      <c r="E57" s="192" t="s">
        <v>66</v>
      </c>
      <c r="F57" s="218">
        <v>0.0</v>
      </c>
      <c r="G57" s="194">
        <f t="shared" si="2"/>
        <v>1861500</v>
      </c>
      <c r="H57" s="195"/>
      <c r="I57" s="196">
        <v>96.0</v>
      </c>
    </row>
    <row r="58" ht="30.0" customHeight="1">
      <c r="A58" s="188">
        <v>46050.0</v>
      </c>
      <c r="B58" s="197" t="s">
        <v>55</v>
      </c>
      <c r="C58" s="198" t="s">
        <v>89</v>
      </c>
      <c r="D58" s="191">
        <v>-10000.0</v>
      </c>
      <c r="E58" s="192" t="s">
        <v>66</v>
      </c>
      <c r="F58" s="218">
        <v>0.0</v>
      </c>
      <c r="G58" s="194">
        <f t="shared" si="2"/>
        <v>1851500</v>
      </c>
      <c r="H58" s="195"/>
      <c r="I58" s="196">
        <v>97.0</v>
      </c>
    </row>
    <row r="59" ht="30.0" customHeight="1">
      <c r="A59" s="188">
        <v>46050.0</v>
      </c>
      <c r="B59" s="197" t="s">
        <v>55</v>
      </c>
      <c r="C59" s="198" t="s">
        <v>86</v>
      </c>
      <c r="D59" s="191">
        <v>-18000.0</v>
      </c>
      <c r="E59" s="192" t="s">
        <v>66</v>
      </c>
      <c r="F59" s="218">
        <v>0.0</v>
      </c>
      <c r="G59" s="194">
        <f t="shared" si="2"/>
        <v>1833500</v>
      </c>
      <c r="H59" s="195"/>
      <c r="I59" s="196">
        <v>98.0</v>
      </c>
    </row>
    <row r="60" ht="30.0" customHeight="1">
      <c r="A60" s="188">
        <v>46050.0</v>
      </c>
      <c r="B60" s="197" t="s">
        <v>55</v>
      </c>
      <c r="C60" s="198" t="s">
        <v>73</v>
      </c>
      <c r="D60" s="191">
        <v>-10000.0</v>
      </c>
      <c r="E60" s="192" t="s">
        <v>66</v>
      </c>
      <c r="F60" s="218">
        <v>0.0</v>
      </c>
      <c r="G60" s="194">
        <f t="shared" si="2"/>
        <v>1823500</v>
      </c>
      <c r="H60" s="195"/>
      <c r="I60" s="196">
        <v>102.0</v>
      </c>
    </row>
    <row r="61" ht="30.0" customHeight="1">
      <c r="A61" s="188">
        <v>46050.0</v>
      </c>
      <c r="B61" s="197" t="s">
        <v>55</v>
      </c>
      <c r="C61" s="198" t="s">
        <v>73</v>
      </c>
      <c r="D61" s="191">
        <v>-8000.0</v>
      </c>
      <c r="E61" s="192" t="s">
        <v>66</v>
      </c>
      <c r="F61" s="218">
        <v>0.0</v>
      </c>
      <c r="G61" s="194">
        <f t="shared" si="2"/>
        <v>1815500</v>
      </c>
      <c r="H61" s="195"/>
      <c r="I61" s="196">
        <v>103.0</v>
      </c>
    </row>
    <row r="62" ht="30.0" customHeight="1">
      <c r="A62" s="188">
        <v>46050.0</v>
      </c>
      <c r="B62" s="197" t="s">
        <v>55</v>
      </c>
      <c r="C62" s="198" t="s">
        <v>90</v>
      </c>
      <c r="D62" s="191">
        <v>-2000.0</v>
      </c>
      <c r="E62" s="192" t="s">
        <v>66</v>
      </c>
      <c r="F62" s="218">
        <v>0.0</v>
      </c>
      <c r="G62" s="194">
        <f t="shared" si="2"/>
        <v>1813500</v>
      </c>
      <c r="H62" s="195"/>
      <c r="I62" s="196">
        <v>104.0</v>
      </c>
    </row>
    <row r="63" ht="30.0" customHeight="1">
      <c r="A63" s="188">
        <v>46050.0</v>
      </c>
      <c r="B63" s="222" t="s">
        <v>55</v>
      </c>
      <c r="C63" s="201" t="s">
        <v>91</v>
      </c>
      <c r="D63" s="201">
        <v>-30000.0</v>
      </c>
      <c r="E63" s="192" t="s">
        <v>66</v>
      </c>
      <c r="F63" s="218">
        <v>0.0</v>
      </c>
      <c r="G63" s="194">
        <f t="shared" si="2"/>
        <v>1783500</v>
      </c>
      <c r="H63" s="195"/>
      <c r="I63" s="196">
        <v>108.0</v>
      </c>
    </row>
    <row r="64" ht="30.0" customHeight="1">
      <c r="A64" s="188">
        <v>46050.0</v>
      </c>
      <c r="B64" s="222" t="s">
        <v>55</v>
      </c>
      <c r="C64" s="201" t="s">
        <v>73</v>
      </c>
      <c r="D64" s="201">
        <v>-15000.0</v>
      </c>
      <c r="E64" s="192" t="s">
        <v>66</v>
      </c>
      <c r="F64" s="218">
        <v>0.0</v>
      </c>
      <c r="G64" s="194">
        <f t="shared" si="2"/>
        <v>1768500</v>
      </c>
      <c r="H64" s="195"/>
      <c r="I64" s="196">
        <v>109.0</v>
      </c>
    </row>
    <row r="65" ht="30.0" customHeight="1">
      <c r="A65" s="188">
        <v>46050.0</v>
      </c>
      <c r="B65" s="222" t="s">
        <v>55</v>
      </c>
      <c r="C65" s="201" t="s">
        <v>92</v>
      </c>
      <c r="D65" s="201">
        <v>-10000.0</v>
      </c>
      <c r="E65" s="192" t="s">
        <v>66</v>
      </c>
      <c r="F65" s="218">
        <v>0.0</v>
      </c>
      <c r="G65" s="194">
        <f t="shared" si="2"/>
        <v>1758500</v>
      </c>
      <c r="H65" s="195"/>
      <c r="I65" s="196">
        <v>110.0</v>
      </c>
    </row>
    <row r="66" ht="30.0" customHeight="1">
      <c r="A66" s="188">
        <v>46050.0</v>
      </c>
      <c r="B66" s="222" t="s">
        <v>55</v>
      </c>
      <c r="C66" s="201" t="s">
        <v>93</v>
      </c>
      <c r="D66" s="201">
        <v>-10000.0</v>
      </c>
      <c r="E66" s="192" t="s">
        <v>66</v>
      </c>
      <c r="F66" s="218">
        <v>0.0</v>
      </c>
      <c r="G66" s="194">
        <f t="shared" si="2"/>
        <v>1748500</v>
      </c>
      <c r="H66" s="195"/>
      <c r="I66" s="196">
        <v>111.0</v>
      </c>
    </row>
    <row r="67" ht="30.0" customHeight="1">
      <c r="A67" s="188">
        <v>46050.0</v>
      </c>
      <c r="B67" s="222" t="s">
        <v>55</v>
      </c>
      <c r="C67" s="201" t="s">
        <v>94</v>
      </c>
      <c r="D67" s="201">
        <v>-5000.0</v>
      </c>
      <c r="E67" s="192" t="s">
        <v>66</v>
      </c>
      <c r="F67" s="218">
        <v>0.0</v>
      </c>
      <c r="G67" s="194">
        <f t="shared" si="2"/>
        <v>1743500</v>
      </c>
      <c r="H67" s="195"/>
      <c r="I67" s="196">
        <v>112.0</v>
      </c>
    </row>
    <row r="68" ht="30.0" customHeight="1">
      <c r="A68" s="188">
        <v>46050.0</v>
      </c>
      <c r="B68" s="197" t="s">
        <v>38</v>
      </c>
      <c r="C68" s="198" t="s">
        <v>95</v>
      </c>
      <c r="D68" s="191">
        <v>-25000.0</v>
      </c>
      <c r="E68" s="192" t="s">
        <v>66</v>
      </c>
      <c r="F68" s="218">
        <v>0.0</v>
      </c>
      <c r="G68" s="194">
        <f t="shared" si="2"/>
        <v>1718500</v>
      </c>
      <c r="H68" s="195"/>
      <c r="I68" s="196">
        <v>101.0</v>
      </c>
    </row>
    <row r="69" ht="30.0" customHeight="1">
      <c r="A69" s="188">
        <v>46050.0</v>
      </c>
      <c r="B69" s="222" t="s">
        <v>38</v>
      </c>
      <c r="C69" s="201" t="s">
        <v>75</v>
      </c>
      <c r="D69" s="201">
        <v>-50000.0</v>
      </c>
      <c r="E69" s="192" t="s">
        <v>66</v>
      </c>
      <c r="F69" s="218">
        <v>0.0</v>
      </c>
      <c r="G69" s="194">
        <f t="shared" si="2"/>
        <v>1668500</v>
      </c>
      <c r="H69" s="195"/>
      <c r="I69" s="196">
        <v>107.0</v>
      </c>
    </row>
    <row r="70" ht="30.0" customHeight="1">
      <c r="A70" s="188">
        <v>46050.0</v>
      </c>
      <c r="B70" s="197" t="s">
        <v>38</v>
      </c>
      <c r="C70" s="198" t="s">
        <v>64</v>
      </c>
      <c r="D70" s="191">
        <v>-25000.0</v>
      </c>
      <c r="E70" s="192" t="s">
        <v>66</v>
      </c>
      <c r="F70" s="218">
        <v>0.0</v>
      </c>
      <c r="G70" s="194">
        <f t="shared" si="2"/>
        <v>1643500</v>
      </c>
      <c r="H70" s="195"/>
      <c r="I70" s="196">
        <v>99.0</v>
      </c>
    </row>
    <row r="71" ht="30.0" customHeight="1">
      <c r="A71" s="188">
        <v>46050.0</v>
      </c>
      <c r="B71" s="197" t="s">
        <v>38</v>
      </c>
      <c r="C71" s="221" t="s">
        <v>81</v>
      </c>
      <c r="D71" s="191">
        <v>-25000.0</v>
      </c>
      <c r="E71" s="192" t="s">
        <v>66</v>
      </c>
      <c r="F71" s="218">
        <v>0.0</v>
      </c>
      <c r="G71" s="194">
        <f t="shared" si="2"/>
        <v>1618500</v>
      </c>
      <c r="H71" s="195"/>
      <c r="I71" s="196">
        <v>100.0</v>
      </c>
    </row>
    <row r="72" ht="30.0" customHeight="1">
      <c r="A72" s="188">
        <v>46050.0</v>
      </c>
      <c r="B72" s="197" t="s">
        <v>38</v>
      </c>
      <c r="C72" s="221" t="s">
        <v>81</v>
      </c>
      <c r="D72" s="191">
        <v>-25000.0</v>
      </c>
      <c r="E72" s="192" t="s">
        <v>66</v>
      </c>
      <c r="F72" s="218">
        <v>0.0</v>
      </c>
      <c r="G72" s="194">
        <f t="shared" si="2"/>
        <v>1593500</v>
      </c>
      <c r="H72" s="195"/>
      <c r="I72" s="196">
        <v>105.0</v>
      </c>
    </row>
    <row r="73" ht="30.0" customHeight="1">
      <c r="A73" s="188">
        <v>46051.0</v>
      </c>
      <c r="B73" s="197" t="s">
        <v>55</v>
      </c>
      <c r="C73" s="201" t="s">
        <v>82</v>
      </c>
      <c r="D73" s="201">
        <v>-175000.0</v>
      </c>
      <c r="E73" s="192" t="s">
        <v>66</v>
      </c>
      <c r="F73" s="218">
        <v>0.0</v>
      </c>
      <c r="G73" s="194">
        <f t="shared" si="2"/>
        <v>1418500</v>
      </c>
      <c r="H73" s="195"/>
      <c r="I73" s="196">
        <v>14.0</v>
      </c>
    </row>
    <row r="74" ht="30.0" customHeight="1">
      <c r="A74" s="188">
        <v>46053.0</v>
      </c>
      <c r="B74" s="197" t="s">
        <v>37</v>
      </c>
      <c r="C74" s="191" t="s">
        <v>62</v>
      </c>
      <c r="D74" s="191">
        <v>-167000.0</v>
      </c>
      <c r="E74" s="192" t="s">
        <v>66</v>
      </c>
      <c r="F74" s="218">
        <v>0.0</v>
      </c>
      <c r="G74" s="194">
        <f t="shared" si="2"/>
        <v>1251500</v>
      </c>
      <c r="H74" s="195"/>
      <c r="I74" s="196">
        <v>33.0</v>
      </c>
    </row>
    <row r="75" ht="30.0" customHeight="1">
      <c r="A75" s="188">
        <v>46053.0</v>
      </c>
      <c r="B75" s="197" t="s">
        <v>37</v>
      </c>
      <c r="C75" s="191" t="s">
        <v>64</v>
      </c>
      <c r="D75" s="191">
        <v>-300000.0</v>
      </c>
      <c r="E75" s="192" t="s">
        <v>66</v>
      </c>
      <c r="F75" s="218">
        <v>0.0</v>
      </c>
      <c r="G75" s="194">
        <f t="shared" si="2"/>
        <v>951500</v>
      </c>
      <c r="H75" s="195"/>
      <c r="I75" s="196">
        <v>35.0</v>
      </c>
    </row>
    <row r="76" ht="30.0" customHeight="1">
      <c r="A76" s="188">
        <v>46053.0</v>
      </c>
      <c r="B76" s="197" t="s">
        <v>37</v>
      </c>
      <c r="C76" s="198" t="s">
        <v>58</v>
      </c>
      <c r="D76" s="191">
        <v>-480000.0</v>
      </c>
      <c r="E76" s="192" t="s">
        <v>66</v>
      </c>
      <c r="F76" s="218">
        <v>0.0</v>
      </c>
      <c r="G76" s="194">
        <f t="shared" si="2"/>
        <v>471500</v>
      </c>
      <c r="H76" s="195"/>
      <c r="I76" s="196">
        <v>36.0</v>
      </c>
    </row>
    <row r="77" ht="30.0" customHeight="1">
      <c r="A77" s="188">
        <v>46054.0</v>
      </c>
      <c r="B77" s="200" t="s">
        <v>59</v>
      </c>
      <c r="C77" s="201" t="s">
        <v>96</v>
      </c>
      <c r="D77" s="201">
        <v>0.0</v>
      </c>
      <c r="E77" s="192" t="s">
        <v>61</v>
      </c>
      <c r="F77" s="193">
        <v>1000000.0</v>
      </c>
      <c r="G77" s="194">
        <f t="shared" si="2"/>
        <v>471500</v>
      </c>
      <c r="H77" s="195"/>
      <c r="I77" s="196">
        <v>15.0</v>
      </c>
    </row>
    <row r="78" ht="30.0" customHeight="1">
      <c r="A78" s="188">
        <v>46054.0</v>
      </c>
      <c r="B78" s="223" t="s">
        <v>59</v>
      </c>
      <c r="C78" s="201" t="s">
        <v>96</v>
      </c>
      <c r="D78" s="201">
        <v>0.0</v>
      </c>
      <c r="E78" s="192" t="s">
        <v>61</v>
      </c>
      <c r="F78" s="193">
        <v>1000000.0</v>
      </c>
      <c r="G78" s="194">
        <f t="shared" si="2"/>
        <v>471500</v>
      </c>
      <c r="H78" s="195"/>
      <c r="I78" s="199"/>
    </row>
    <row r="79" ht="30.0" customHeight="1">
      <c r="A79" s="188">
        <v>46055.0</v>
      </c>
      <c r="B79" s="197" t="s">
        <v>38</v>
      </c>
      <c r="C79" s="198" t="s">
        <v>1</v>
      </c>
      <c r="D79" s="191">
        <v>-5000.0</v>
      </c>
      <c r="E79" s="192" t="s">
        <v>66</v>
      </c>
      <c r="F79" s="218">
        <v>0.0</v>
      </c>
      <c r="G79" s="194">
        <f t="shared" si="2"/>
        <v>466500</v>
      </c>
      <c r="H79" s="195"/>
      <c r="I79" s="196">
        <v>89.0</v>
      </c>
    </row>
    <row r="80" ht="30.0" customHeight="1">
      <c r="A80" s="188">
        <v>46055.0</v>
      </c>
      <c r="B80" s="197" t="s">
        <v>38</v>
      </c>
      <c r="C80" s="198" t="s">
        <v>1</v>
      </c>
      <c r="D80" s="191">
        <v>-10000.0</v>
      </c>
      <c r="E80" s="192" t="s">
        <v>66</v>
      </c>
      <c r="F80" s="218">
        <v>0.0</v>
      </c>
      <c r="G80" s="194">
        <f t="shared" si="2"/>
        <v>456500</v>
      </c>
      <c r="H80" s="195"/>
      <c r="I80" s="196">
        <v>92.0</v>
      </c>
    </row>
    <row r="81" ht="30.0" customHeight="1">
      <c r="A81" s="188">
        <v>46055.0</v>
      </c>
      <c r="B81" s="197" t="s">
        <v>37</v>
      </c>
      <c r="C81" s="198" t="s">
        <v>1</v>
      </c>
      <c r="D81" s="191">
        <v>-750000.0</v>
      </c>
      <c r="E81" s="192" t="s">
        <v>66</v>
      </c>
      <c r="F81" s="218">
        <v>0.0</v>
      </c>
      <c r="G81" s="194">
        <f t="shared" si="2"/>
        <v>-293500</v>
      </c>
      <c r="H81" s="195"/>
      <c r="I81" s="196">
        <v>80.0</v>
      </c>
    </row>
    <row r="82" ht="30.0" customHeight="1">
      <c r="A82" s="188">
        <v>46055.0</v>
      </c>
      <c r="B82" s="197" t="s">
        <v>67</v>
      </c>
      <c r="C82" s="201" t="s">
        <v>97</v>
      </c>
      <c r="D82" s="191">
        <v>1000000.0</v>
      </c>
      <c r="E82" s="192" t="s">
        <v>61</v>
      </c>
      <c r="F82" s="218">
        <v>1000000.0</v>
      </c>
      <c r="G82" s="194">
        <f t="shared" si="2"/>
        <v>706500</v>
      </c>
      <c r="H82" s="195"/>
      <c r="I82" s="196">
        <v>48.0</v>
      </c>
    </row>
    <row r="83" ht="30.0" customHeight="1">
      <c r="A83" s="188">
        <v>46055.0</v>
      </c>
      <c r="B83" s="197" t="s">
        <v>55</v>
      </c>
      <c r="C83" s="201" t="s">
        <v>98</v>
      </c>
      <c r="D83" s="201">
        <v>-10000.0</v>
      </c>
      <c r="E83" s="192" t="s">
        <v>66</v>
      </c>
      <c r="F83" s="218">
        <v>0.0</v>
      </c>
      <c r="G83" s="194">
        <f t="shared" si="2"/>
        <v>696500</v>
      </c>
      <c r="H83" s="195"/>
      <c r="I83" s="196">
        <v>16.0</v>
      </c>
    </row>
    <row r="84" ht="30.0" customHeight="1">
      <c r="A84" s="188">
        <v>46055.0</v>
      </c>
      <c r="B84" s="197" t="s">
        <v>55</v>
      </c>
      <c r="C84" s="198" t="s">
        <v>73</v>
      </c>
      <c r="D84" s="191">
        <v>-10000.0</v>
      </c>
      <c r="E84" s="192" t="s">
        <v>66</v>
      </c>
      <c r="F84" s="218">
        <v>0.0</v>
      </c>
      <c r="G84" s="194">
        <f t="shared" si="2"/>
        <v>686500</v>
      </c>
      <c r="H84" s="195"/>
      <c r="I84" s="196">
        <v>76.0</v>
      </c>
    </row>
    <row r="85" ht="30.0" customHeight="1">
      <c r="A85" s="188">
        <v>46055.0</v>
      </c>
      <c r="B85" s="197" t="s">
        <v>55</v>
      </c>
      <c r="C85" s="198" t="s">
        <v>73</v>
      </c>
      <c r="D85" s="191">
        <v>-7000.0</v>
      </c>
      <c r="E85" s="192" t="s">
        <v>66</v>
      </c>
      <c r="F85" s="218">
        <v>0.0</v>
      </c>
      <c r="G85" s="194">
        <f t="shared" si="2"/>
        <v>679500</v>
      </c>
      <c r="H85" s="195"/>
      <c r="I85" s="196">
        <v>77.0</v>
      </c>
    </row>
    <row r="86" ht="30.0" customHeight="1">
      <c r="A86" s="188">
        <v>46055.0</v>
      </c>
      <c r="B86" s="197" t="s">
        <v>55</v>
      </c>
      <c r="C86" s="198" t="s">
        <v>90</v>
      </c>
      <c r="D86" s="191">
        <v>-5000.0</v>
      </c>
      <c r="E86" s="192" t="s">
        <v>66</v>
      </c>
      <c r="F86" s="218">
        <v>0.0</v>
      </c>
      <c r="G86" s="194">
        <f t="shared" si="2"/>
        <v>674500</v>
      </c>
      <c r="H86" s="195"/>
      <c r="I86" s="196">
        <v>78.0</v>
      </c>
    </row>
    <row r="87" ht="30.0" customHeight="1">
      <c r="A87" s="188">
        <v>46055.0</v>
      </c>
      <c r="B87" s="197" t="s">
        <v>55</v>
      </c>
      <c r="C87" s="198" t="s">
        <v>99</v>
      </c>
      <c r="D87" s="191">
        <v>-6000.0</v>
      </c>
      <c r="E87" s="192" t="s">
        <v>66</v>
      </c>
      <c r="F87" s="218">
        <v>0.0</v>
      </c>
      <c r="G87" s="194">
        <f t="shared" si="2"/>
        <v>668500</v>
      </c>
      <c r="H87" s="195"/>
      <c r="I87" s="196">
        <v>79.0</v>
      </c>
    </row>
    <row r="88" ht="30.0" customHeight="1">
      <c r="A88" s="188">
        <v>46055.0</v>
      </c>
      <c r="B88" s="197" t="s">
        <v>55</v>
      </c>
      <c r="C88" s="198" t="s">
        <v>100</v>
      </c>
      <c r="D88" s="191">
        <v>-40000.0</v>
      </c>
      <c r="E88" s="192" t="s">
        <v>66</v>
      </c>
      <c r="F88" s="218">
        <v>0.0</v>
      </c>
      <c r="G88" s="194">
        <f t="shared" si="2"/>
        <v>628500</v>
      </c>
      <c r="H88" s="195"/>
      <c r="I88" s="196">
        <v>83.0</v>
      </c>
    </row>
    <row r="89" ht="30.0" customHeight="1">
      <c r="A89" s="188">
        <v>46055.0</v>
      </c>
      <c r="B89" s="197" t="s">
        <v>55</v>
      </c>
      <c r="C89" s="198" t="s">
        <v>101</v>
      </c>
      <c r="D89" s="191">
        <v>-10000.0</v>
      </c>
      <c r="E89" s="192" t="s">
        <v>66</v>
      </c>
      <c r="F89" s="218">
        <v>0.0</v>
      </c>
      <c r="G89" s="194">
        <f t="shared" si="2"/>
        <v>618500</v>
      </c>
      <c r="H89" s="195"/>
      <c r="I89" s="196">
        <v>90.0</v>
      </c>
    </row>
    <row r="90" ht="30.0" customHeight="1">
      <c r="A90" s="188">
        <v>46055.0</v>
      </c>
      <c r="B90" s="197" t="s">
        <v>55</v>
      </c>
      <c r="C90" s="207" t="s">
        <v>71</v>
      </c>
      <c r="D90" s="191">
        <v>-10000.0</v>
      </c>
      <c r="E90" s="192" t="s">
        <v>66</v>
      </c>
      <c r="F90" s="218">
        <v>0.0</v>
      </c>
      <c r="G90" s="194">
        <f t="shared" si="2"/>
        <v>608500</v>
      </c>
      <c r="H90" s="195"/>
      <c r="I90" s="196">
        <v>91.0</v>
      </c>
    </row>
    <row r="91" ht="30.0" customHeight="1">
      <c r="A91" s="188">
        <v>46055.0</v>
      </c>
      <c r="B91" s="197" t="s">
        <v>38</v>
      </c>
      <c r="C91" s="198" t="s">
        <v>95</v>
      </c>
      <c r="D91" s="191">
        <v>-5000.0</v>
      </c>
      <c r="E91" s="192" t="s">
        <v>66</v>
      </c>
      <c r="F91" s="218">
        <v>0.0</v>
      </c>
      <c r="G91" s="194">
        <f t="shared" si="2"/>
        <v>603500</v>
      </c>
      <c r="H91" s="195"/>
      <c r="I91" s="196">
        <v>88.0</v>
      </c>
    </row>
    <row r="92" ht="30.0" customHeight="1">
      <c r="A92" s="188">
        <v>46055.0</v>
      </c>
      <c r="B92" s="197" t="s">
        <v>38</v>
      </c>
      <c r="C92" s="198" t="s">
        <v>75</v>
      </c>
      <c r="D92" s="191">
        <v>-5000.0</v>
      </c>
      <c r="E92" s="192" t="s">
        <v>66</v>
      </c>
      <c r="F92" s="218">
        <v>0.0</v>
      </c>
      <c r="G92" s="194">
        <f t="shared" si="2"/>
        <v>598500</v>
      </c>
      <c r="H92" s="195"/>
      <c r="I92" s="196">
        <v>87.0</v>
      </c>
    </row>
    <row r="93" ht="30.0" customHeight="1">
      <c r="A93" s="188">
        <v>46055.0</v>
      </c>
      <c r="B93" s="197" t="s">
        <v>38</v>
      </c>
      <c r="C93" s="198" t="s">
        <v>75</v>
      </c>
      <c r="D93" s="191">
        <v>-10000.0</v>
      </c>
      <c r="E93" s="192" t="s">
        <v>66</v>
      </c>
      <c r="F93" s="218">
        <v>0.0</v>
      </c>
      <c r="G93" s="194">
        <f t="shared" si="2"/>
        <v>588500</v>
      </c>
      <c r="H93" s="195"/>
      <c r="I93" s="196">
        <v>81.0</v>
      </c>
    </row>
    <row r="94" ht="30.0" customHeight="1">
      <c r="A94" s="188">
        <v>46055.0</v>
      </c>
      <c r="B94" s="197" t="s">
        <v>38</v>
      </c>
      <c r="C94" s="198" t="s">
        <v>75</v>
      </c>
      <c r="D94" s="191">
        <v>-5000.0</v>
      </c>
      <c r="E94" s="192" t="s">
        <v>66</v>
      </c>
      <c r="F94" s="218">
        <v>0.0</v>
      </c>
      <c r="G94" s="194">
        <f t="shared" si="2"/>
        <v>583500</v>
      </c>
      <c r="H94" s="195"/>
      <c r="I94" s="196">
        <v>86.0</v>
      </c>
    </row>
    <row r="95" ht="30.0" customHeight="1">
      <c r="A95" s="188">
        <v>46055.0</v>
      </c>
      <c r="B95" s="197" t="s">
        <v>38</v>
      </c>
      <c r="C95" s="198" t="s">
        <v>75</v>
      </c>
      <c r="D95" s="191">
        <v>-10000.0</v>
      </c>
      <c r="E95" s="192" t="s">
        <v>66</v>
      </c>
      <c r="F95" s="218">
        <v>0.0</v>
      </c>
      <c r="G95" s="194">
        <f t="shared" si="2"/>
        <v>573500</v>
      </c>
      <c r="H95" s="195"/>
      <c r="I95" s="196">
        <v>93.0</v>
      </c>
    </row>
    <row r="96" ht="30.0" customHeight="1">
      <c r="A96" s="188">
        <v>46055.0</v>
      </c>
      <c r="B96" s="197" t="s">
        <v>38</v>
      </c>
      <c r="C96" s="221" t="s">
        <v>81</v>
      </c>
      <c r="D96" s="191">
        <v>-5000.0</v>
      </c>
      <c r="E96" s="192" t="s">
        <v>66</v>
      </c>
      <c r="F96" s="218">
        <v>0.0</v>
      </c>
      <c r="G96" s="194">
        <f t="shared" si="2"/>
        <v>568500</v>
      </c>
      <c r="H96" s="195"/>
      <c r="I96" s="196">
        <v>84.0</v>
      </c>
    </row>
    <row r="97" ht="30.0" customHeight="1">
      <c r="A97" s="188">
        <v>46055.0</v>
      </c>
      <c r="B97" s="197" t="s">
        <v>38</v>
      </c>
      <c r="C97" s="198" t="s">
        <v>58</v>
      </c>
      <c r="D97" s="191">
        <v>-5000.0</v>
      </c>
      <c r="E97" s="192" t="s">
        <v>66</v>
      </c>
      <c r="F97" s="218">
        <v>0.0</v>
      </c>
      <c r="G97" s="194">
        <f t="shared" si="2"/>
        <v>563500</v>
      </c>
      <c r="H97" s="195"/>
      <c r="I97" s="196">
        <v>85.0</v>
      </c>
    </row>
    <row r="98" ht="30.0" customHeight="1">
      <c r="A98" s="188">
        <v>46056.0</v>
      </c>
      <c r="B98" s="209" t="s">
        <v>38</v>
      </c>
      <c r="C98" s="191" t="s">
        <v>64</v>
      </c>
      <c r="D98" s="224">
        <v>0.0</v>
      </c>
      <c r="E98" s="225" t="s">
        <v>61</v>
      </c>
      <c r="F98" s="218">
        <v>259000.0</v>
      </c>
      <c r="G98" s="194">
        <f t="shared" si="2"/>
        <v>563500</v>
      </c>
      <c r="H98" s="195"/>
      <c r="I98" s="196"/>
    </row>
    <row r="99" ht="30.0" customHeight="1">
      <c r="A99" s="188">
        <v>46056.0</v>
      </c>
      <c r="B99" s="222" t="s">
        <v>38</v>
      </c>
      <c r="C99" s="198" t="s">
        <v>1</v>
      </c>
      <c r="D99" s="201">
        <v>-5000.0</v>
      </c>
      <c r="E99" s="192" t="s">
        <v>66</v>
      </c>
      <c r="F99" s="218">
        <v>0.0</v>
      </c>
      <c r="G99" s="194">
        <f t="shared" si="2"/>
        <v>558500</v>
      </c>
      <c r="H99" s="195"/>
      <c r="I99" s="196">
        <v>121.0</v>
      </c>
    </row>
    <row r="100" ht="30.0" customHeight="1">
      <c r="A100" s="188">
        <v>46056.0</v>
      </c>
      <c r="B100" s="200" t="s">
        <v>59</v>
      </c>
      <c r="C100" s="201" t="s">
        <v>65</v>
      </c>
      <c r="D100" s="201">
        <v>0.0</v>
      </c>
      <c r="E100" s="192" t="s">
        <v>61</v>
      </c>
      <c r="F100" s="193">
        <v>1000000.0</v>
      </c>
      <c r="G100" s="194">
        <f t="shared" si="2"/>
        <v>558500</v>
      </c>
      <c r="H100" s="195"/>
      <c r="I100" s="196">
        <v>17.0</v>
      </c>
    </row>
    <row r="101" ht="30.0" customHeight="1">
      <c r="A101" s="188">
        <v>46056.0</v>
      </c>
      <c r="B101" s="222" t="s">
        <v>55</v>
      </c>
      <c r="C101" s="201" t="s">
        <v>102</v>
      </c>
      <c r="D101" s="201">
        <v>-5000.0</v>
      </c>
      <c r="E101" s="192" t="s">
        <v>66</v>
      </c>
      <c r="F101" s="218">
        <v>0.0</v>
      </c>
      <c r="G101" s="194">
        <f t="shared" si="2"/>
        <v>553500</v>
      </c>
      <c r="H101" s="195"/>
      <c r="I101" s="196">
        <v>113.0</v>
      </c>
    </row>
    <row r="102" ht="30.0" customHeight="1">
      <c r="A102" s="188">
        <v>46056.0</v>
      </c>
      <c r="B102" s="222" t="s">
        <v>55</v>
      </c>
      <c r="C102" s="201" t="s">
        <v>99</v>
      </c>
      <c r="D102" s="201">
        <v>-6000.0</v>
      </c>
      <c r="E102" s="192" t="s">
        <v>66</v>
      </c>
      <c r="F102" s="218">
        <v>0.0</v>
      </c>
      <c r="G102" s="194">
        <f t="shared" si="2"/>
        <v>547500</v>
      </c>
      <c r="H102" s="195"/>
      <c r="I102" s="196">
        <v>116.0</v>
      </c>
    </row>
    <row r="103" ht="30.0" customHeight="1">
      <c r="A103" s="188">
        <v>46056.0</v>
      </c>
      <c r="B103" s="222" t="s">
        <v>55</v>
      </c>
      <c r="C103" s="201" t="s">
        <v>103</v>
      </c>
      <c r="D103" s="201">
        <v>-3000.0</v>
      </c>
      <c r="E103" s="192" t="s">
        <v>66</v>
      </c>
      <c r="F103" s="218">
        <v>0.0</v>
      </c>
      <c r="G103" s="194">
        <f t="shared" si="2"/>
        <v>544500</v>
      </c>
      <c r="H103" s="195"/>
      <c r="I103" s="196">
        <v>117.0</v>
      </c>
    </row>
    <row r="104" ht="30.0" customHeight="1">
      <c r="A104" s="188">
        <v>46056.0</v>
      </c>
      <c r="B104" s="222" t="s">
        <v>55</v>
      </c>
      <c r="C104" s="201" t="s">
        <v>73</v>
      </c>
      <c r="D104" s="201">
        <v>-8000.0</v>
      </c>
      <c r="E104" s="192" t="s">
        <v>66</v>
      </c>
      <c r="F104" s="218">
        <v>0.0</v>
      </c>
      <c r="G104" s="194">
        <f t="shared" si="2"/>
        <v>536500</v>
      </c>
      <c r="H104" s="195"/>
      <c r="I104" s="196">
        <v>118.0</v>
      </c>
    </row>
    <row r="105" ht="30.0" customHeight="1">
      <c r="A105" s="188">
        <v>46056.0</v>
      </c>
      <c r="B105" s="222" t="s">
        <v>55</v>
      </c>
      <c r="C105" s="201" t="s">
        <v>104</v>
      </c>
      <c r="D105" s="201">
        <v>-5000.0</v>
      </c>
      <c r="E105" s="192" t="s">
        <v>66</v>
      </c>
      <c r="F105" s="218">
        <v>0.0</v>
      </c>
      <c r="G105" s="194">
        <f t="shared" si="2"/>
        <v>531500</v>
      </c>
      <c r="H105" s="195"/>
      <c r="I105" s="196">
        <v>119.0</v>
      </c>
    </row>
    <row r="106" ht="30.0" customHeight="1">
      <c r="A106" s="188">
        <v>46056.0</v>
      </c>
      <c r="B106" s="197" t="s">
        <v>38</v>
      </c>
      <c r="C106" s="198" t="s">
        <v>105</v>
      </c>
      <c r="D106" s="191">
        <v>-15000.0</v>
      </c>
      <c r="E106" s="192" t="s">
        <v>66</v>
      </c>
      <c r="F106" s="218">
        <v>0.0</v>
      </c>
      <c r="G106" s="194">
        <f t="shared" si="2"/>
        <v>516500</v>
      </c>
      <c r="H106" s="195"/>
      <c r="I106" s="196">
        <v>82.0</v>
      </c>
    </row>
    <row r="107" ht="30.0" customHeight="1">
      <c r="A107" s="188">
        <v>46056.0</v>
      </c>
      <c r="B107" s="222" t="s">
        <v>38</v>
      </c>
      <c r="C107" s="191" t="s">
        <v>106</v>
      </c>
      <c r="D107" s="201">
        <v>-5000.0</v>
      </c>
      <c r="E107" s="192" t="s">
        <v>66</v>
      </c>
      <c r="F107" s="218">
        <v>0.0</v>
      </c>
      <c r="G107" s="194">
        <f t="shared" si="2"/>
        <v>511500</v>
      </c>
      <c r="H107" s="195"/>
      <c r="I107" s="196">
        <v>114.0</v>
      </c>
    </row>
    <row r="108" ht="30.0" customHeight="1">
      <c r="A108" s="188">
        <v>46056.0</v>
      </c>
      <c r="B108" s="222" t="s">
        <v>38</v>
      </c>
      <c r="C108" s="201" t="s">
        <v>107</v>
      </c>
      <c r="D108" s="201">
        <v>-5000.0</v>
      </c>
      <c r="E108" s="192" t="s">
        <v>66</v>
      </c>
      <c r="F108" s="218">
        <v>0.0</v>
      </c>
      <c r="G108" s="194">
        <f t="shared" si="2"/>
        <v>506500</v>
      </c>
      <c r="H108" s="195"/>
      <c r="I108" s="196">
        <v>120.0</v>
      </c>
    </row>
    <row r="109" ht="30.0" customHeight="1">
      <c r="A109" s="188">
        <v>46056.0</v>
      </c>
      <c r="B109" s="222" t="s">
        <v>38</v>
      </c>
      <c r="C109" s="201" t="s">
        <v>75</v>
      </c>
      <c r="D109" s="201">
        <v>-5000.0</v>
      </c>
      <c r="E109" s="192" t="s">
        <v>66</v>
      </c>
      <c r="F109" s="218">
        <v>0.0</v>
      </c>
      <c r="G109" s="194">
        <f t="shared" si="2"/>
        <v>501500</v>
      </c>
      <c r="H109" s="195"/>
      <c r="I109" s="196">
        <v>115.0</v>
      </c>
    </row>
    <row r="110" ht="30.0" customHeight="1">
      <c r="A110" s="188">
        <v>46057.0</v>
      </c>
      <c r="B110" s="197" t="s">
        <v>67</v>
      </c>
      <c r="C110" s="201" t="s">
        <v>97</v>
      </c>
      <c r="D110" s="191">
        <v>300000.0</v>
      </c>
      <c r="E110" s="192" t="s">
        <v>61</v>
      </c>
      <c r="F110" s="218">
        <v>300000.0</v>
      </c>
      <c r="G110" s="194">
        <f t="shared" si="2"/>
        <v>801500</v>
      </c>
      <c r="H110" s="195"/>
      <c r="I110" s="196">
        <v>49.0</v>
      </c>
    </row>
    <row r="111" ht="30.0" customHeight="1">
      <c r="A111" s="188">
        <v>46057.0</v>
      </c>
      <c r="B111" s="226" t="s">
        <v>55</v>
      </c>
      <c r="C111" s="207" t="s">
        <v>71</v>
      </c>
      <c r="D111" s="201">
        <v>-5000.0</v>
      </c>
      <c r="E111" s="192" t="s">
        <v>66</v>
      </c>
      <c r="F111" s="218">
        <v>0.0</v>
      </c>
      <c r="G111" s="194">
        <f t="shared" si="2"/>
        <v>796500</v>
      </c>
      <c r="H111" s="195"/>
      <c r="I111" s="196">
        <v>123.0</v>
      </c>
    </row>
    <row r="112" ht="30.0" customHeight="1">
      <c r="A112" s="188">
        <v>46057.0</v>
      </c>
      <c r="B112" s="197" t="s">
        <v>55</v>
      </c>
      <c r="C112" s="201" t="s">
        <v>108</v>
      </c>
      <c r="D112" s="201">
        <v>-10000.0</v>
      </c>
      <c r="E112" s="192" t="s">
        <v>66</v>
      </c>
      <c r="F112" s="218">
        <v>0.0</v>
      </c>
      <c r="G112" s="194">
        <f t="shared" si="2"/>
        <v>786500</v>
      </c>
      <c r="H112" s="195"/>
      <c r="I112" s="196">
        <v>18.0</v>
      </c>
    </row>
    <row r="113" ht="30.0" customHeight="1">
      <c r="A113" s="188">
        <v>46057.0</v>
      </c>
      <c r="B113" s="222" t="s">
        <v>37</v>
      </c>
      <c r="C113" s="201" t="s">
        <v>95</v>
      </c>
      <c r="D113" s="201">
        <v>-110000.0</v>
      </c>
      <c r="E113" s="192" t="s">
        <v>66</v>
      </c>
      <c r="F113" s="218">
        <v>0.0</v>
      </c>
      <c r="G113" s="194">
        <f t="shared" si="2"/>
        <v>676500</v>
      </c>
      <c r="H113" s="195"/>
      <c r="I113" s="196">
        <v>129.0</v>
      </c>
    </row>
    <row r="114" ht="30.0" customHeight="1">
      <c r="A114" s="188">
        <v>46057.0</v>
      </c>
      <c r="B114" s="222" t="s">
        <v>38</v>
      </c>
      <c r="C114" s="191" t="s">
        <v>106</v>
      </c>
      <c r="D114" s="201">
        <v>-25000.0</v>
      </c>
      <c r="E114" s="192" t="s">
        <v>66</v>
      </c>
      <c r="F114" s="218">
        <v>0.0</v>
      </c>
      <c r="G114" s="194">
        <f t="shared" si="2"/>
        <v>651500</v>
      </c>
      <c r="H114" s="195"/>
      <c r="I114" s="196">
        <v>124.0</v>
      </c>
    </row>
    <row r="115" ht="30.0" customHeight="1">
      <c r="A115" s="188">
        <v>46057.0</v>
      </c>
      <c r="B115" s="222" t="s">
        <v>38</v>
      </c>
      <c r="C115" s="198" t="s">
        <v>109</v>
      </c>
      <c r="D115" s="201">
        <v>-25000.0</v>
      </c>
      <c r="E115" s="192" t="s">
        <v>66</v>
      </c>
      <c r="F115" s="218">
        <v>0.0</v>
      </c>
      <c r="G115" s="194">
        <f t="shared" si="2"/>
        <v>626500</v>
      </c>
      <c r="H115" s="195"/>
      <c r="I115" s="196">
        <v>127.0</v>
      </c>
    </row>
    <row r="116" ht="30.0" customHeight="1">
      <c r="A116" s="188">
        <v>46057.0</v>
      </c>
      <c r="B116" s="222" t="s">
        <v>38</v>
      </c>
      <c r="C116" s="201" t="s">
        <v>107</v>
      </c>
      <c r="D116" s="201">
        <v>-10000.0</v>
      </c>
      <c r="E116" s="192" t="s">
        <v>66</v>
      </c>
      <c r="F116" s="218">
        <v>0.0</v>
      </c>
      <c r="G116" s="194">
        <f t="shared" si="2"/>
        <v>616500</v>
      </c>
      <c r="H116" s="195"/>
      <c r="I116" s="196">
        <v>126.0</v>
      </c>
    </row>
    <row r="117" ht="30.0" customHeight="1">
      <c r="A117" s="188">
        <v>46057.0</v>
      </c>
      <c r="B117" s="222" t="s">
        <v>38</v>
      </c>
      <c r="C117" s="201" t="s">
        <v>107</v>
      </c>
      <c r="D117" s="201">
        <v>-5000.0</v>
      </c>
      <c r="E117" s="192" t="s">
        <v>66</v>
      </c>
      <c r="F117" s="218">
        <v>0.0</v>
      </c>
      <c r="G117" s="194">
        <f t="shared" si="2"/>
        <v>611500</v>
      </c>
      <c r="H117" s="195"/>
      <c r="I117" s="196">
        <v>128.0</v>
      </c>
    </row>
    <row r="118" ht="30.0" customHeight="1">
      <c r="A118" s="188">
        <v>46057.0</v>
      </c>
      <c r="B118" s="222" t="s">
        <v>38</v>
      </c>
      <c r="C118" s="198" t="s">
        <v>64</v>
      </c>
      <c r="D118" s="201">
        <v>-50000.0</v>
      </c>
      <c r="E118" s="192" t="s">
        <v>66</v>
      </c>
      <c r="F118" s="218">
        <v>0.0</v>
      </c>
      <c r="G118" s="194">
        <f t="shared" si="2"/>
        <v>561500</v>
      </c>
      <c r="H118" s="195"/>
      <c r="I118" s="196">
        <v>125.0</v>
      </c>
    </row>
    <row r="119" ht="30.0" customHeight="1">
      <c r="A119" s="188">
        <v>46057.0</v>
      </c>
      <c r="B119" s="222" t="s">
        <v>38</v>
      </c>
      <c r="C119" s="221" t="s">
        <v>81</v>
      </c>
      <c r="D119" s="201">
        <v>-10000.0</v>
      </c>
      <c r="E119" s="192" t="s">
        <v>66</v>
      </c>
      <c r="F119" s="218">
        <v>0.0</v>
      </c>
      <c r="G119" s="194">
        <f t="shared" si="2"/>
        <v>551500</v>
      </c>
      <c r="H119" s="195"/>
      <c r="I119" s="196">
        <v>122.0</v>
      </c>
    </row>
    <row r="120" ht="30.0" customHeight="1">
      <c r="A120" s="188">
        <v>46058.0</v>
      </c>
      <c r="B120" s="222" t="s">
        <v>38</v>
      </c>
      <c r="C120" s="198" t="s">
        <v>1</v>
      </c>
      <c r="D120" s="201">
        <v>-8000.0</v>
      </c>
      <c r="E120" s="192" t="s">
        <v>66</v>
      </c>
      <c r="F120" s="218">
        <v>0.0</v>
      </c>
      <c r="G120" s="194">
        <f t="shared" si="2"/>
        <v>543500</v>
      </c>
      <c r="H120" s="195"/>
      <c r="I120" s="196">
        <v>135.0</v>
      </c>
    </row>
    <row r="121" ht="30.0" customHeight="1">
      <c r="A121" s="188">
        <v>46058.0</v>
      </c>
      <c r="B121" s="222" t="s">
        <v>55</v>
      </c>
      <c r="C121" s="201" t="s">
        <v>110</v>
      </c>
      <c r="D121" s="201">
        <v>-5000.0</v>
      </c>
      <c r="E121" s="192" t="s">
        <v>66</v>
      </c>
      <c r="F121" s="218">
        <v>0.0</v>
      </c>
      <c r="G121" s="194">
        <f t="shared" si="2"/>
        <v>538500</v>
      </c>
      <c r="H121" s="195"/>
      <c r="I121" s="196">
        <v>131.0</v>
      </c>
    </row>
    <row r="122" ht="30.0" customHeight="1">
      <c r="A122" s="188">
        <v>46058.0</v>
      </c>
      <c r="B122" s="222" t="s">
        <v>55</v>
      </c>
      <c r="C122" s="201" t="s">
        <v>111</v>
      </c>
      <c r="D122" s="201">
        <v>-5000.0</v>
      </c>
      <c r="E122" s="192" t="s">
        <v>66</v>
      </c>
      <c r="F122" s="218">
        <v>0.0</v>
      </c>
      <c r="G122" s="194">
        <f t="shared" si="2"/>
        <v>533500</v>
      </c>
      <c r="H122" s="195"/>
      <c r="I122" s="196">
        <v>132.0</v>
      </c>
    </row>
    <row r="123" ht="30.0" customHeight="1">
      <c r="A123" s="188">
        <v>46058.0</v>
      </c>
      <c r="B123" s="222" t="s">
        <v>55</v>
      </c>
      <c r="C123" s="201" t="s">
        <v>73</v>
      </c>
      <c r="D123" s="201">
        <v>-20000.0</v>
      </c>
      <c r="E123" s="192" t="s">
        <v>66</v>
      </c>
      <c r="F123" s="218">
        <v>0.0</v>
      </c>
      <c r="G123" s="194">
        <f t="shared" si="2"/>
        <v>513500</v>
      </c>
      <c r="H123" s="195"/>
      <c r="I123" s="196">
        <v>138.0</v>
      </c>
    </row>
    <row r="124" ht="30.0" customHeight="1">
      <c r="A124" s="188">
        <v>46058.0</v>
      </c>
      <c r="B124" s="222" t="s">
        <v>55</v>
      </c>
      <c r="C124" s="201" t="s">
        <v>85</v>
      </c>
      <c r="D124" s="201">
        <v>-10000.0</v>
      </c>
      <c r="E124" s="192" t="s">
        <v>66</v>
      </c>
      <c r="F124" s="218">
        <v>0.0</v>
      </c>
      <c r="G124" s="194">
        <f t="shared" si="2"/>
        <v>503500</v>
      </c>
      <c r="H124" s="195"/>
      <c r="I124" s="196">
        <v>139.0</v>
      </c>
    </row>
    <row r="125" ht="30.0" customHeight="1">
      <c r="A125" s="188">
        <v>46058.0</v>
      </c>
      <c r="B125" s="222" t="s">
        <v>55</v>
      </c>
      <c r="C125" s="207" t="s">
        <v>71</v>
      </c>
      <c r="D125" s="201">
        <v>-10000.0</v>
      </c>
      <c r="E125" s="192" t="s">
        <v>66</v>
      </c>
      <c r="F125" s="218">
        <v>0.0</v>
      </c>
      <c r="G125" s="194">
        <f t="shared" si="2"/>
        <v>493500</v>
      </c>
      <c r="H125" s="195"/>
      <c r="I125" s="196">
        <v>140.0</v>
      </c>
    </row>
    <row r="126" ht="30.0" customHeight="1">
      <c r="A126" s="188">
        <v>46058.0</v>
      </c>
      <c r="B126" s="222" t="s">
        <v>38</v>
      </c>
      <c r="C126" s="220" t="s">
        <v>77</v>
      </c>
      <c r="D126" s="201">
        <v>-5000.0</v>
      </c>
      <c r="E126" s="192" t="s">
        <v>66</v>
      </c>
      <c r="F126" s="218">
        <v>0.0</v>
      </c>
      <c r="G126" s="194">
        <f t="shared" si="2"/>
        <v>488500</v>
      </c>
      <c r="H126" s="195"/>
      <c r="I126" s="196">
        <v>130.0</v>
      </c>
    </row>
    <row r="127" ht="30.0" customHeight="1">
      <c r="A127" s="188">
        <v>46058.0</v>
      </c>
      <c r="B127" s="222" t="s">
        <v>38</v>
      </c>
      <c r="C127" s="201" t="s">
        <v>75</v>
      </c>
      <c r="D127" s="201">
        <v>-8000.0</v>
      </c>
      <c r="E127" s="192" t="s">
        <v>66</v>
      </c>
      <c r="F127" s="218">
        <v>0.0</v>
      </c>
      <c r="G127" s="194">
        <f t="shared" si="2"/>
        <v>480500</v>
      </c>
      <c r="H127" s="195"/>
      <c r="I127" s="196">
        <v>137.0</v>
      </c>
    </row>
    <row r="128" ht="30.0" customHeight="1">
      <c r="A128" s="188">
        <v>46058.0</v>
      </c>
      <c r="B128" s="222" t="s">
        <v>38</v>
      </c>
      <c r="C128" s="191" t="s">
        <v>106</v>
      </c>
      <c r="D128" s="201">
        <v>-8000.0</v>
      </c>
      <c r="E128" s="192" t="s">
        <v>66</v>
      </c>
      <c r="F128" s="218">
        <v>0.0</v>
      </c>
      <c r="G128" s="194">
        <f t="shared" si="2"/>
        <v>472500</v>
      </c>
      <c r="H128" s="195"/>
      <c r="I128" s="196">
        <v>134.0</v>
      </c>
    </row>
    <row r="129" ht="30.0" customHeight="1">
      <c r="A129" s="188">
        <v>46058.0</v>
      </c>
      <c r="B129" s="222" t="s">
        <v>38</v>
      </c>
      <c r="C129" s="201" t="s">
        <v>107</v>
      </c>
      <c r="D129" s="201">
        <v>-5000.0</v>
      </c>
      <c r="E129" s="192" t="s">
        <v>66</v>
      </c>
      <c r="F129" s="218">
        <v>0.0</v>
      </c>
      <c r="G129" s="194">
        <f t="shared" si="2"/>
        <v>467500</v>
      </c>
      <c r="H129" s="195"/>
      <c r="I129" s="196">
        <v>136.0</v>
      </c>
    </row>
    <row r="130" ht="30.0" customHeight="1">
      <c r="A130" s="188">
        <v>46058.0</v>
      </c>
      <c r="B130" s="197" t="s">
        <v>37</v>
      </c>
      <c r="C130" s="221" t="s">
        <v>81</v>
      </c>
      <c r="D130" s="201">
        <v>-300000.0</v>
      </c>
      <c r="E130" s="192" t="s">
        <v>66</v>
      </c>
      <c r="F130" s="218">
        <v>0.0</v>
      </c>
      <c r="G130" s="194">
        <f t="shared" si="2"/>
        <v>167500</v>
      </c>
      <c r="H130" s="195"/>
      <c r="I130" s="196">
        <v>19.0</v>
      </c>
    </row>
    <row r="131" ht="30.0" customHeight="1">
      <c r="A131" s="188">
        <v>46058.0</v>
      </c>
      <c r="B131" s="222" t="s">
        <v>38</v>
      </c>
      <c r="C131" s="221" t="s">
        <v>81</v>
      </c>
      <c r="D131" s="201">
        <v>-10000.0</v>
      </c>
      <c r="E131" s="192" t="s">
        <v>66</v>
      </c>
      <c r="F131" s="218">
        <v>0.0</v>
      </c>
      <c r="G131" s="194">
        <f t="shared" si="2"/>
        <v>157500</v>
      </c>
      <c r="H131" s="195"/>
      <c r="I131" s="196">
        <v>133.0</v>
      </c>
    </row>
    <row r="132" ht="30.0" customHeight="1">
      <c r="A132" s="188">
        <v>46059.0</v>
      </c>
      <c r="B132" s="222" t="s">
        <v>38</v>
      </c>
      <c r="C132" s="198" t="s">
        <v>1</v>
      </c>
      <c r="D132" s="201">
        <v>-5000.0</v>
      </c>
      <c r="E132" s="192" t="s">
        <v>66</v>
      </c>
      <c r="F132" s="218">
        <v>0.0</v>
      </c>
      <c r="G132" s="194">
        <f t="shared" si="2"/>
        <v>152500</v>
      </c>
      <c r="H132" s="195"/>
      <c r="I132" s="196">
        <v>148.0</v>
      </c>
    </row>
    <row r="133" ht="30.0" customHeight="1">
      <c r="A133" s="188">
        <v>46059.0</v>
      </c>
      <c r="B133" s="222" t="s">
        <v>38</v>
      </c>
      <c r="C133" s="201" t="s">
        <v>75</v>
      </c>
      <c r="D133" s="201">
        <v>-150000.0</v>
      </c>
      <c r="E133" s="192" t="s">
        <v>66</v>
      </c>
      <c r="F133" s="218">
        <v>0.0</v>
      </c>
      <c r="G133" s="194">
        <f t="shared" si="2"/>
        <v>2500</v>
      </c>
      <c r="H133" s="195"/>
      <c r="I133" s="196">
        <v>141.0</v>
      </c>
    </row>
    <row r="134" ht="30.0" customHeight="1">
      <c r="A134" s="188">
        <v>46059.0</v>
      </c>
      <c r="B134" s="222" t="s">
        <v>38</v>
      </c>
      <c r="C134" s="201" t="s">
        <v>75</v>
      </c>
      <c r="D134" s="201">
        <v>-5000.0</v>
      </c>
      <c r="E134" s="192" t="s">
        <v>66</v>
      </c>
      <c r="F134" s="218">
        <v>0.0</v>
      </c>
      <c r="G134" s="194">
        <f t="shared" si="2"/>
        <v>-2500</v>
      </c>
      <c r="H134" s="195"/>
      <c r="I134" s="196">
        <v>155.0</v>
      </c>
    </row>
    <row r="135" ht="30.0" customHeight="1">
      <c r="A135" s="188">
        <v>46059.0</v>
      </c>
      <c r="B135" s="222" t="s">
        <v>38</v>
      </c>
      <c r="C135" s="201" t="s">
        <v>112</v>
      </c>
      <c r="D135" s="201">
        <v>-5000.0</v>
      </c>
      <c r="E135" s="192" t="s">
        <v>66</v>
      </c>
      <c r="F135" s="218">
        <v>0.0</v>
      </c>
      <c r="G135" s="194">
        <f t="shared" si="2"/>
        <v>-7500</v>
      </c>
      <c r="H135" s="195"/>
      <c r="I135" s="196">
        <v>153.0</v>
      </c>
    </row>
    <row r="136" ht="30.0" customHeight="1">
      <c r="A136" s="188">
        <v>46059.0</v>
      </c>
      <c r="B136" s="189" t="s">
        <v>55</v>
      </c>
      <c r="C136" s="201" t="s">
        <v>113</v>
      </c>
      <c r="D136" s="201">
        <v>0.0</v>
      </c>
      <c r="E136" s="192" t="s">
        <v>57</v>
      </c>
      <c r="F136" s="193">
        <v>207000.0</v>
      </c>
      <c r="G136" s="194">
        <f t="shared" si="2"/>
        <v>-7500</v>
      </c>
      <c r="H136" s="195"/>
      <c r="I136" s="196">
        <v>20.0</v>
      </c>
    </row>
    <row r="137" ht="30.0" customHeight="1">
      <c r="A137" s="188">
        <v>46059.0</v>
      </c>
      <c r="B137" s="222" t="s">
        <v>55</v>
      </c>
      <c r="C137" s="201" t="s">
        <v>114</v>
      </c>
      <c r="D137" s="201">
        <v>-5000.0</v>
      </c>
      <c r="E137" s="192" t="s">
        <v>66</v>
      </c>
      <c r="F137" s="218">
        <v>0.0</v>
      </c>
      <c r="G137" s="194">
        <f t="shared" si="2"/>
        <v>-12500</v>
      </c>
      <c r="H137" s="195"/>
      <c r="I137" s="196">
        <v>156.0</v>
      </c>
    </row>
    <row r="138" ht="30.0" customHeight="1">
      <c r="A138" s="188">
        <v>46059.0</v>
      </c>
      <c r="B138" s="222" t="s">
        <v>38</v>
      </c>
      <c r="C138" s="201" t="s">
        <v>95</v>
      </c>
      <c r="D138" s="201">
        <v>-5000.0</v>
      </c>
      <c r="E138" s="192" t="s">
        <v>66</v>
      </c>
      <c r="F138" s="218">
        <v>0.0</v>
      </c>
      <c r="G138" s="194">
        <f t="shared" si="2"/>
        <v>-17500</v>
      </c>
      <c r="H138" s="195"/>
      <c r="I138" s="196">
        <v>150.0</v>
      </c>
    </row>
    <row r="139" ht="30.0" customHeight="1">
      <c r="A139" s="188">
        <v>46059.0</v>
      </c>
      <c r="B139" s="222" t="s">
        <v>38</v>
      </c>
      <c r="C139" s="201" t="s">
        <v>115</v>
      </c>
      <c r="D139" s="201">
        <v>-5000.0</v>
      </c>
      <c r="E139" s="192" t="s">
        <v>66</v>
      </c>
      <c r="F139" s="218">
        <v>0.0</v>
      </c>
      <c r="G139" s="194">
        <f t="shared" si="2"/>
        <v>-22500</v>
      </c>
      <c r="H139" s="195"/>
      <c r="I139" s="196">
        <v>152.0</v>
      </c>
    </row>
    <row r="140" ht="30.0" customHeight="1">
      <c r="A140" s="188">
        <v>46059.0</v>
      </c>
      <c r="B140" s="222" t="s">
        <v>38</v>
      </c>
      <c r="C140" s="191" t="s">
        <v>106</v>
      </c>
      <c r="D140" s="201">
        <v>-5000.0</v>
      </c>
      <c r="E140" s="192" t="s">
        <v>66</v>
      </c>
      <c r="F140" s="218">
        <v>0.0</v>
      </c>
      <c r="G140" s="194">
        <f t="shared" si="2"/>
        <v>-27500</v>
      </c>
      <c r="H140" s="195"/>
      <c r="I140" s="196">
        <v>145.0</v>
      </c>
    </row>
    <row r="141" ht="30.0" customHeight="1">
      <c r="A141" s="188">
        <v>46059.0</v>
      </c>
      <c r="B141" s="222" t="s">
        <v>38</v>
      </c>
      <c r="C141" s="191" t="s">
        <v>106</v>
      </c>
      <c r="D141" s="201">
        <v>-5000.0</v>
      </c>
      <c r="E141" s="192" t="s">
        <v>66</v>
      </c>
      <c r="F141" s="218">
        <v>0.0</v>
      </c>
      <c r="G141" s="194">
        <f t="shared" si="2"/>
        <v>-32500</v>
      </c>
      <c r="H141" s="195"/>
      <c r="I141" s="196">
        <v>147.0</v>
      </c>
    </row>
    <row r="142" ht="30.0" customHeight="1">
      <c r="A142" s="188">
        <v>46059.0</v>
      </c>
      <c r="B142" s="222" t="s">
        <v>38</v>
      </c>
      <c r="C142" s="201" t="s">
        <v>116</v>
      </c>
      <c r="D142" s="201">
        <v>-25000.0</v>
      </c>
      <c r="E142" s="192" t="s">
        <v>66</v>
      </c>
      <c r="F142" s="218">
        <v>0.0</v>
      </c>
      <c r="G142" s="194">
        <f t="shared" si="2"/>
        <v>-57500</v>
      </c>
      <c r="H142" s="195"/>
      <c r="I142" s="196">
        <v>159.0</v>
      </c>
    </row>
    <row r="143" ht="30.0" customHeight="1">
      <c r="A143" s="188">
        <v>46059.0</v>
      </c>
      <c r="B143" s="222" t="s">
        <v>38</v>
      </c>
      <c r="C143" s="201" t="s">
        <v>117</v>
      </c>
      <c r="D143" s="201">
        <v>-5000.0</v>
      </c>
      <c r="E143" s="192" t="s">
        <v>66</v>
      </c>
      <c r="F143" s="218">
        <v>0.0</v>
      </c>
      <c r="G143" s="194">
        <f t="shared" si="2"/>
        <v>-62500</v>
      </c>
      <c r="H143" s="195"/>
      <c r="I143" s="196">
        <v>149.0</v>
      </c>
    </row>
    <row r="144" ht="30.0" customHeight="1">
      <c r="A144" s="188">
        <v>46059.0</v>
      </c>
      <c r="B144" s="222" t="s">
        <v>38</v>
      </c>
      <c r="C144" s="198" t="s">
        <v>109</v>
      </c>
      <c r="D144" s="201">
        <v>-5000.0</v>
      </c>
      <c r="E144" s="192" t="s">
        <v>66</v>
      </c>
      <c r="F144" s="218">
        <v>0.0</v>
      </c>
      <c r="G144" s="194">
        <f t="shared" si="2"/>
        <v>-67500</v>
      </c>
      <c r="H144" s="195"/>
      <c r="I144" s="196">
        <v>146.0</v>
      </c>
    </row>
    <row r="145" ht="30.0" customHeight="1">
      <c r="A145" s="188">
        <v>46059.0</v>
      </c>
      <c r="B145" s="222" t="s">
        <v>38</v>
      </c>
      <c r="C145" s="201" t="s">
        <v>107</v>
      </c>
      <c r="D145" s="201">
        <v>-5000.0</v>
      </c>
      <c r="E145" s="192" t="s">
        <v>66</v>
      </c>
      <c r="F145" s="218">
        <v>0.0</v>
      </c>
      <c r="G145" s="194">
        <f t="shared" si="2"/>
        <v>-72500</v>
      </c>
      <c r="H145" s="195"/>
      <c r="I145" s="196">
        <v>144.0</v>
      </c>
    </row>
    <row r="146" ht="30.0" customHeight="1">
      <c r="A146" s="188">
        <v>46059.0</v>
      </c>
      <c r="B146" s="222" t="s">
        <v>38</v>
      </c>
      <c r="C146" s="201" t="s">
        <v>107</v>
      </c>
      <c r="D146" s="201">
        <v>-15000.0</v>
      </c>
      <c r="E146" s="192" t="s">
        <v>66</v>
      </c>
      <c r="F146" s="218">
        <v>0.0</v>
      </c>
      <c r="G146" s="194">
        <f t="shared" si="2"/>
        <v>-87500</v>
      </c>
      <c r="H146" s="195"/>
      <c r="I146" s="196">
        <v>158.0</v>
      </c>
    </row>
    <row r="147" ht="30.0" customHeight="1">
      <c r="A147" s="188">
        <v>46059.0</v>
      </c>
      <c r="B147" s="222" t="s">
        <v>38</v>
      </c>
      <c r="C147" s="198" t="s">
        <v>64</v>
      </c>
      <c r="D147" s="201">
        <v>-5000.0</v>
      </c>
      <c r="E147" s="192" t="s">
        <v>66</v>
      </c>
      <c r="F147" s="218">
        <v>0.0</v>
      </c>
      <c r="G147" s="194">
        <f t="shared" si="2"/>
        <v>-92500</v>
      </c>
      <c r="H147" s="195"/>
      <c r="I147" s="196">
        <v>142.0</v>
      </c>
    </row>
    <row r="148" ht="30.0" customHeight="1">
      <c r="A148" s="188">
        <v>46059.0</v>
      </c>
      <c r="B148" s="222" t="s">
        <v>38</v>
      </c>
      <c r="C148" s="221" t="s">
        <v>81</v>
      </c>
      <c r="D148" s="201">
        <v>-5000.0</v>
      </c>
      <c r="E148" s="192" t="s">
        <v>66</v>
      </c>
      <c r="F148" s="218">
        <v>0.0</v>
      </c>
      <c r="G148" s="194">
        <f t="shared" si="2"/>
        <v>-97500</v>
      </c>
      <c r="H148" s="195"/>
      <c r="I148" s="196">
        <v>143.0</v>
      </c>
    </row>
    <row r="149" ht="30.0" customHeight="1">
      <c r="A149" s="188">
        <v>46059.0</v>
      </c>
      <c r="B149" s="222" t="s">
        <v>38</v>
      </c>
      <c r="C149" s="221" t="s">
        <v>81</v>
      </c>
      <c r="D149" s="201">
        <v>-5000.0</v>
      </c>
      <c r="E149" s="192" t="s">
        <v>66</v>
      </c>
      <c r="F149" s="218">
        <v>0.0</v>
      </c>
      <c r="G149" s="194">
        <f t="shared" si="2"/>
        <v>-102500</v>
      </c>
      <c r="H149" s="195"/>
      <c r="I149" s="196">
        <v>157.0</v>
      </c>
    </row>
    <row r="150" ht="30.0" customHeight="1">
      <c r="A150" s="188">
        <v>46059.0</v>
      </c>
      <c r="B150" s="222" t="s">
        <v>38</v>
      </c>
      <c r="C150" s="198" t="s">
        <v>58</v>
      </c>
      <c r="D150" s="201">
        <v>-5000.0</v>
      </c>
      <c r="E150" s="192" t="s">
        <v>66</v>
      </c>
      <c r="F150" s="218">
        <v>0.0</v>
      </c>
      <c r="G150" s="194">
        <f t="shared" si="2"/>
        <v>-107500</v>
      </c>
      <c r="H150" s="195"/>
      <c r="I150" s="196">
        <v>151.0</v>
      </c>
    </row>
    <row r="151" ht="30.0" customHeight="1">
      <c r="A151" s="188">
        <v>46059.0</v>
      </c>
      <c r="B151" s="222" t="s">
        <v>38</v>
      </c>
      <c r="C151" s="198" t="s">
        <v>58</v>
      </c>
      <c r="D151" s="201">
        <v>-5000.0</v>
      </c>
      <c r="E151" s="192" t="s">
        <v>66</v>
      </c>
      <c r="F151" s="218">
        <v>0.0</v>
      </c>
      <c r="G151" s="194">
        <f t="shared" si="2"/>
        <v>-112500</v>
      </c>
      <c r="H151" s="195"/>
      <c r="I151" s="196">
        <v>154.0</v>
      </c>
    </row>
    <row r="152" ht="30.0" customHeight="1">
      <c r="A152" s="188">
        <v>46060.0</v>
      </c>
      <c r="B152" s="197" t="s">
        <v>55</v>
      </c>
      <c r="C152" s="201" t="s">
        <v>118</v>
      </c>
      <c r="D152" s="201">
        <v>0.0</v>
      </c>
      <c r="E152" s="192" t="s">
        <v>57</v>
      </c>
      <c r="F152" s="193">
        <v>51500.0</v>
      </c>
      <c r="G152" s="194">
        <f t="shared" si="2"/>
        <v>-112500</v>
      </c>
      <c r="H152" s="195"/>
      <c r="I152" s="196">
        <v>21.0</v>
      </c>
    </row>
    <row r="153" ht="30.0" customHeight="1">
      <c r="A153" s="188">
        <v>46060.0</v>
      </c>
      <c r="B153" s="222" t="s">
        <v>55</v>
      </c>
      <c r="C153" s="201" t="s">
        <v>119</v>
      </c>
      <c r="D153" s="201">
        <v>-5000.0</v>
      </c>
      <c r="E153" s="192" t="s">
        <v>66</v>
      </c>
      <c r="F153" s="218">
        <v>0.0</v>
      </c>
      <c r="G153" s="194">
        <f t="shared" si="2"/>
        <v>-117500</v>
      </c>
      <c r="H153" s="195"/>
      <c r="I153" s="196">
        <v>160.0</v>
      </c>
    </row>
    <row r="154" ht="30.0" customHeight="1">
      <c r="A154" s="188">
        <v>46060.0</v>
      </c>
      <c r="B154" s="222" t="s">
        <v>38</v>
      </c>
      <c r="C154" s="220" t="s">
        <v>77</v>
      </c>
      <c r="D154" s="201">
        <v>-40000.0</v>
      </c>
      <c r="E154" s="192" t="s">
        <v>66</v>
      </c>
      <c r="F154" s="218">
        <v>0.0</v>
      </c>
      <c r="G154" s="194">
        <f t="shared" si="2"/>
        <v>-157500</v>
      </c>
      <c r="H154" s="195"/>
      <c r="I154" s="196">
        <v>161.0</v>
      </c>
    </row>
    <row r="155" ht="30.0" customHeight="1">
      <c r="A155" s="188">
        <v>46060.0</v>
      </c>
      <c r="B155" s="222" t="s">
        <v>38</v>
      </c>
      <c r="C155" s="201" t="s">
        <v>115</v>
      </c>
      <c r="D155" s="201">
        <v>-5000.0</v>
      </c>
      <c r="E155" s="192" t="s">
        <v>66</v>
      </c>
      <c r="F155" s="218">
        <v>0.0</v>
      </c>
      <c r="G155" s="194">
        <f t="shared" si="2"/>
        <v>-162500</v>
      </c>
      <c r="H155" s="195"/>
      <c r="I155" s="196">
        <v>162.0</v>
      </c>
    </row>
    <row r="156" ht="30.0" customHeight="1">
      <c r="A156" s="188">
        <v>46061.0</v>
      </c>
      <c r="B156" s="197" t="s">
        <v>55</v>
      </c>
      <c r="C156" s="198" t="s">
        <v>111</v>
      </c>
      <c r="D156" s="191">
        <v>-5000.0</v>
      </c>
      <c r="E156" s="192" t="s">
        <v>66</v>
      </c>
      <c r="F156" s="218">
        <v>0.0</v>
      </c>
      <c r="G156" s="194">
        <f t="shared" si="2"/>
        <v>-167500</v>
      </c>
      <c r="H156" s="195"/>
      <c r="I156" s="196">
        <v>37.0</v>
      </c>
    </row>
    <row r="157" ht="30.0" customHeight="1">
      <c r="A157" s="188">
        <v>46061.0</v>
      </c>
      <c r="B157" s="197" t="s">
        <v>67</v>
      </c>
      <c r="C157" s="201" t="s">
        <v>97</v>
      </c>
      <c r="D157" s="191">
        <v>555000.0</v>
      </c>
      <c r="E157" s="192" t="s">
        <v>61</v>
      </c>
      <c r="F157" s="218">
        <v>555000.0</v>
      </c>
      <c r="G157" s="194">
        <f t="shared" si="2"/>
        <v>387500</v>
      </c>
      <c r="H157" s="195"/>
      <c r="I157" s="196">
        <v>50.0</v>
      </c>
    </row>
    <row r="158" ht="30.0" customHeight="1">
      <c r="A158" s="188">
        <v>46061.0</v>
      </c>
      <c r="B158" s="222" t="s">
        <v>55</v>
      </c>
      <c r="C158" s="201" t="s">
        <v>111</v>
      </c>
      <c r="D158" s="201">
        <v>-5000.0</v>
      </c>
      <c r="E158" s="192" t="s">
        <v>66</v>
      </c>
      <c r="F158" s="218">
        <v>0.0</v>
      </c>
      <c r="G158" s="194">
        <f t="shared" si="2"/>
        <v>382500</v>
      </c>
      <c r="H158" s="195"/>
      <c r="I158" s="196">
        <v>164.0</v>
      </c>
    </row>
    <row r="159" ht="30.0" customHeight="1">
      <c r="A159" s="188">
        <v>46061.0</v>
      </c>
      <c r="B159" s="222" t="s">
        <v>55</v>
      </c>
      <c r="C159" s="201" t="s">
        <v>120</v>
      </c>
      <c r="D159" s="201">
        <v>-80000.0</v>
      </c>
      <c r="E159" s="192" t="s">
        <v>66</v>
      </c>
      <c r="F159" s="218">
        <v>0.0</v>
      </c>
      <c r="G159" s="194">
        <f t="shared" si="2"/>
        <v>302500</v>
      </c>
      <c r="H159" s="195"/>
      <c r="I159" s="196">
        <v>165.0</v>
      </c>
    </row>
    <row r="160" ht="30.0" customHeight="1">
      <c r="A160" s="188">
        <v>46061.0</v>
      </c>
      <c r="B160" s="197" t="s">
        <v>38</v>
      </c>
      <c r="C160" s="220" t="s">
        <v>77</v>
      </c>
      <c r="D160" s="201">
        <v>-50000.0</v>
      </c>
      <c r="E160" s="192" t="s">
        <v>66</v>
      </c>
      <c r="F160" s="218">
        <v>0.0</v>
      </c>
      <c r="G160" s="194">
        <f t="shared" si="2"/>
        <v>252500</v>
      </c>
      <c r="H160" s="195"/>
      <c r="I160" s="196">
        <v>32.0</v>
      </c>
    </row>
    <row r="161" ht="30.0" customHeight="1">
      <c r="A161" s="188">
        <v>46061.0</v>
      </c>
      <c r="B161" s="222" t="s">
        <v>38</v>
      </c>
      <c r="C161" s="220" t="s">
        <v>77</v>
      </c>
      <c r="D161" s="201">
        <v>-50000.0</v>
      </c>
      <c r="E161" s="192" t="s">
        <v>66</v>
      </c>
      <c r="F161" s="218">
        <v>0.0</v>
      </c>
      <c r="G161" s="194">
        <f t="shared" si="2"/>
        <v>202500</v>
      </c>
      <c r="H161" s="195"/>
      <c r="I161" s="196">
        <v>163.0</v>
      </c>
    </row>
    <row r="162" ht="30.0" customHeight="1">
      <c r="A162" s="188">
        <v>46062.0</v>
      </c>
      <c r="B162" s="222" t="s">
        <v>38</v>
      </c>
      <c r="C162" s="198" t="s">
        <v>1</v>
      </c>
      <c r="D162" s="201">
        <v>-10000.0</v>
      </c>
      <c r="E162" s="192" t="s">
        <v>66</v>
      </c>
      <c r="F162" s="218">
        <v>0.0</v>
      </c>
      <c r="G162" s="194">
        <f t="shared" si="2"/>
        <v>192500</v>
      </c>
      <c r="H162" s="195"/>
      <c r="I162" s="196">
        <v>171.0</v>
      </c>
    </row>
    <row r="163" ht="30.0" customHeight="1">
      <c r="A163" s="188">
        <v>46062.0</v>
      </c>
      <c r="B163" s="222" t="s">
        <v>38</v>
      </c>
      <c r="C163" s="201" t="s">
        <v>121</v>
      </c>
      <c r="D163" s="201">
        <v>-50000.0</v>
      </c>
      <c r="E163" s="192" t="s">
        <v>66</v>
      </c>
      <c r="F163" s="218">
        <v>0.0</v>
      </c>
      <c r="G163" s="194">
        <f t="shared" si="2"/>
        <v>142500</v>
      </c>
      <c r="H163" s="195"/>
      <c r="I163" s="196">
        <v>167.0</v>
      </c>
    </row>
    <row r="164" ht="30.0" customHeight="1">
      <c r="A164" s="188">
        <v>46062.0</v>
      </c>
      <c r="B164" s="222" t="s">
        <v>55</v>
      </c>
      <c r="C164" s="201" t="s">
        <v>122</v>
      </c>
      <c r="D164" s="201">
        <v>-12000.0</v>
      </c>
      <c r="E164" s="192" t="s">
        <v>66</v>
      </c>
      <c r="F164" s="218">
        <v>0.0</v>
      </c>
      <c r="G164" s="194">
        <f t="shared" si="2"/>
        <v>130500</v>
      </c>
      <c r="H164" s="195"/>
      <c r="I164" s="196">
        <v>166.0</v>
      </c>
    </row>
    <row r="165" ht="30.0" customHeight="1">
      <c r="A165" s="188">
        <v>46062.0</v>
      </c>
      <c r="B165" s="222" t="s">
        <v>55</v>
      </c>
      <c r="C165" s="201" t="s">
        <v>74</v>
      </c>
      <c r="D165" s="201">
        <v>-5000.0</v>
      </c>
      <c r="E165" s="192" t="s">
        <v>66</v>
      </c>
      <c r="F165" s="218">
        <v>0.0</v>
      </c>
      <c r="G165" s="194">
        <f t="shared" si="2"/>
        <v>125500</v>
      </c>
      <c r="H165" s="195"/>
      <c r="I165" s="196">
        <v>168.0</v>
      </c>
    </row>
    <row r="166" ht="30.0" customHeight="1">
      <c r="A166" s="188">
        <v>46062.0</v>
      </c>
      <c r="B166" s="222" t="s">
        <v>55</v>
      </c>
      <c r="C166" s="201" t="s">
        <v>123</v>
      </c>
      <c r="D166" s="201">
        <v>-5000.0</v>
      </c>
      <c r="E166" s="192" t="s">
        <v>66</v>
      </c>
      <c r="F166" s="218">
        <v>0.0</v>
      </c>
      <c r="G166" s="194">
        <f t="shared" si="2"/>
        <v>120500</v>
      </c>
      <c r="H166" s="195"/>
      <c r="I166" s="196">
        <v>169.0</v>
      </c>
    </row>
    <row r="167" ht="30.0" customHeight="1">
      <c r="A167" s="188">
        <v>46062.0</v>
      </c>
      <c r="B167" s="222" t="s">
        <v>55</v>
      </c>
      <c r="C167" s="201" t="s">
        <v>124</v>
      </c>
      <c r="D167" s="201">
        <v>-60000.0</v>
      </c>
      <c r="E167" s="192" t="s">
        <v>66</v>
      </c>
      <c r="F167" s="218">
        <v>0.0</v>
      </c>
      <c r="G167" s="194">
        <f t="shared" si="2"/>
        <v>60500</v>
      </c>
      <c r="H167" s="195"/>
      <c r="I167" s="196">
        <v>170.0</v>
      </c>
    </row>
    <row r="168" ht="30.0" customHeight="1">
      <c r="A168" s="188">
        <v>46063.0</v>
      </c>
      <c r="B168" s="222" t="s">
        <v>38</v>
      </c>
      <c r="C168" s="220" t="s">
        <v>77</v>
      </c>
      <c r="D168" s="201">
        <v>-10000.0</v>
      </c>
      <c r="E168" s="192" t="s">
        <v>66</v>
      </c>
      <c r="F168" s="218">
        <v>0.0</v>
      </c>
      <c r="G168" s="194">
        <f t="shared" si="2"/>
        <v>50500</v>
      </c>
      <c r="H168" s="195"/>
      <c r="I168" s="196">
        <v>173.0</v>
      </c>
    </row>
    <row r="169" ht="30.0" customHeight="1">
      <c r="A169" s="188">
        <v>46063.0</v>
      </c>
      <c r="B169" s="222" t="s">
        <v>55</v>
      </c>
      <c r="C169" s="201" t="s">
        <v>73</v>
      </c>
      <c r="D169" s="201">
        <v>-95000.0</v>
      </c>
      <c r="E169" s="192" t="s">
        <v>66</v>
      </c>
      <c r="F169" s="218">
        <v>0.0</v>
      </c>
      <c r="G169" s="194">
        <f t="shared" si="2"/>
        <v>-44500</v>
      </c>
      <c r="H169" s="195"/>
      <c r="I169" s="196">
        <v>172.0</v>
      </c>
    </row>
    <row r="170" ht="30.0" customHeight="1">
      <c r="A170" s="188">
        <v>46063.0</v>
      </c>
      <c r="B170" s="222" t="s">
        <v>38</v>
      </c>
      <c r="C170" s="220" t="s">
        <v>77</v>
      </c>
      <c r="D170" s="201">
        <v>-10000.0</v>
      </c>
      <c r="E170" s="192" t="s">
        <v>66</v>
      </c>
      <c r="F170" s="218">
        <v>0.0</v>
      </c>
      <c r="G170" s="194">
        <f t="shared" si="2"/>
        <v>-54500</v>
      </c>
      <c r="H170" s="195"/>
      <c r="I170" s="196">
        <v>175.0</v>
      </c>
    </row>
    <row r="171" ht="30.0" customHeight="1">
      <c r="A171" s="188">
        <v>46063.0</v>
      </c>
      <c r="B171" s="223" t="s">
        <v>59</v>
      </c>
      <c r="C171" s="201" t="s">
        <v>96</v>
      </c>
      <c r="D171" s="201">
        <v>0.0</v>
      </c>
      <c r="E171" s="192" t="s">
        <v>61</v>
      </c>
      <c r="F171" s="193">
        <v>2000000.0</v>
      </c>
      <c r="G171" s="194">
        <f t="shared" si="2"/>
        <v>-54500</v>
      </c>
      <c r="H171" s="195"/>
      <c r="I171" s="199"/>
    </row>
    <row r="172" ht="30.0" customHeight="1">
      <c r="A172" s="188">
        <v>46063.0</v>
      </c>
      <c r="B172" s="222" t="s">
        <v>38</v>
      </c>
      <c r="C172" s="201" t="s">
        <v>115</v>
      </c>
      <c r="D172" s="201">
        <v>-20000.0</v>
      </c>
      <c r="E172" s="192" t="s">
        <v>66</v>
      </c>
      <c r="F172" s="218">
        <v>0.0</v>
      </c>
      <c r="G172" s="194">
        <f t="shared" si="2"/>
        <v>-74500</v>
      </c>
      <c r="H172" s="195"/>
      <c r="I172" s="196">
        <v>174.0</v>
      </c>
    </row>
    <row r="173" ht="30.0" customHeight="1">
      <c r="A173" s="188">
        <v>46063.0</v>
      </c>
      <c r="B173" s="222" t="s">
        <v>38</v>
      </c>
      <c r="C173" s="198" t="s">
        <v>109</v>
      </c>
      <c r="D173" s="201">
        <v>-10000.0</v>
      </c>
      <c r="E173" s="192" t="s">
        <v>66</v>
      </c>
      <c r="F173" s="218">
        <v>0.0</v>
      </c>
      <c r="G173" s="194">
        <f t="shared" si="2"/>
        <v>-84500</v>
      </c>
      <c r="H173" s="195"/>
      <c r="I173" s="196">
        <v>176.0</v>
      </c>
    </row>
    <row r="174" ht="30.0" customHeight="1">
      <c r="A174" s="188">
        <v>46064.0</v>
      </c>
      <c r="B174" s="222" t="s">
        <v>55</v>
      </c>
      <c r="C174" s="201" t="s">
        <v>82</v>
      </c>
      <c r="D174" s="201">
        <v>-175000.0</v>
      </c>
      <c r="E174" s="192" t="s">
        <v>66</v>
      </c>
      <c r="F174" s="218">
        <v>0.0</v>
      </c>
      <c r="G174" s="194">
        <f t="shared" si="2"/>
        <v>-259500</v>
      </c>
      <c r="H174" s="195"/>
      <c r="I174" s="196">
        <v>177.0</v>
      </c>
    </row>
    <row r="175" ht="30.0" customHeight="1">
      <c r="A175" s="188">
        <v>46064.0</v>
      </c>
      <c r="B175" s="222" t="s">
        <v>55</v>
      </c>
      <c r="C175" s="201" t="s">
        <v>74</v>
      </c>
      <c r="D175" s="201">
        <v>-5000.0</v>
      </c>
      <c r="E175" s="192" t="s">
        <v>66</v>
      </c>
      <c r="F175" s="218">
        <v>0.0</v>
      </c>
      <c r="G175" s="194">
        <f t="shared" si="2"/>
        <v>-264500</v>
      </c>
      <c r="H175" s="195"/>
      <c r="I175" s="196">
        <v>178.0</v>
      </c>
    </row>
    <row r="176" ht="30.0" customHeight="1">
      <c r="A176" s="188">
        <v>46064.0</v>
      </c>
      <c r="B176" s="222" t="s">
        <v>55</v>
      </c>
      <c r="C176" s="201" t="s">
        <v>125</v>
      </c>
      <c r="D176" s="201">
        <v>-70000.0</v>
      </c>
      <c r="E176" s="192" t="s">
        <v>66</v>
      </c>
      <c r="F176" s="218">
        <v>0.0</v>
      </c>
      <c r="G176" s="194">
        <f t="shared" si="2"/>
        <v>-334500</v>
      </c>
      <c r="H176" s="195"/>
      <c r="I176" s="196">
        <v>179.0</v>
      </c>
    </row>
    <row r="177" ht="30.0" customHeight="1">
      <c r="A177" s="188">
        <v>46064.0</v>
      </c>
      <c r="B177" s="222" t="s">
        <v>55</v>
      </c>
      <c r="C177" s="201" t="s">
        <v>111</v>
      </c>
      <c r="D177" s="201">
        <v>-5000.0</v>
      </c>
      <c r="E177" s="192" t="s">
        <v>66</v>
      </c>
      <c r="F177" s="218">
        <v>0.0</v>
      </c>
      <c r="G177" s="194">
        <f t="shared" si="2"/>
        <v>-339500</v>
      </c>
      <c r="H177" s="195"/>
      <c r="I177" s="196">
        <v>180.0</v>
      </c>
    </row>
    <row r="178" ht="30.0" customHeight="1">
      <c r="A178" s="188">
        <v>46065.0</v>
      </c>
      <c r="B178" s="222" t="s">
        <v>38</v>
      </c>
      <c r="C178" s="198" t="s">
        <v>1</v>
      </c>
      <c r="D178" s="201">
        <v>-15000.0</v>
      </c>
      <c r="E178" s="192" t="s">
        <v>66</v>
      </c>
      <c r="F178" s="218">
        <v>0.0</v>
      </c>
      <c r="G178" s="194">
        <f t="shared" si="2"/>
        <v>-354500</v>
      </c>
      <c r="H178" s="195"/>
      <c r="I178" s="196">
        <v>186.0</v>
      </c>
    </row>
    <row r="179" ht="30.0" customHeight="1">
      <c r="A179" s="188">
        <v>46065.0</v>
      </c>
      <c r="B179" s="222" t="s">
        <v>67</v>
      </c>
      <c r="C179" s="201" t="s">
        <v>97</v>
      </c>
      <c r="D179" s="201">
        <v>1000000.0</v>
      </c>
      <c r="E179" s="192" t="s">
        <v>61</v>
      </c>
      <c r="F179" s="218">
        <v>1000000.0</v>
      </c>
      <c r="G179" s="194">
        <f t="shared" si="2"/>
        <v>645500</v>
      </c>
      <c r="H179" s="195"/>
      <c r="I179" s="196">
        <v>160.0</v>
      </c>
    </row>
    <row r="180" ht="30.0" customHeight="1">
      <c r="A180" s="188">
        <v>46065.0</v>
      </c>
      <c r="B180" s="222" t="s">
        <v>55</v>
      </c>
      <c r="C180" s="201" t="s">
        <v>111</v>
      </c>
      <c r="D180" s="201">
        <v>-5000.0</v>
      </c>
      <c r="E180" s="192" t="s">
        <v>66</v>
      </c>
      <c r="F180" s="218">
        <v>0.0</v>
      </c>
      <c r="G180" s="194">
        <f t="shared" si="2"/>
        <v>640500</v>
      </c>
      <c r="H180" s="195"/>
      <c r="I180" s="196">
        <v>183.0</v>
      </c>
    </row>
    <row r="181" ht="30.0" customHeight="1">
      <c r="A181" s="188">
        <v>46065.0</v>
      </c>
      <c r="B181" s="222" t="s">
        <v>55</v>
      </c>
      <c r="C181" s="201" t="s">
        <v>85</v>
      </c>
      <c r="D181" s="201">
        <v>-5000.0</v>
      </c>
      <c r="E181" s="192" t="s">
        <v>66</v>
      </c>
      <c r="F181" s="218">
        <v>0.0</v>
      </c>
      <c r="G181" s="194">
        <f t="shared" si="2"/>
        <v>635500</v>
      </c>
      <c r="H181" s="195"/>
      <c r="I181" s="196">
        <v>184.0</v>
      </c>
    </row>
    <row r="182" ht="30.0" customHeight="1">
      <c r="A182" s="188">
        <v>46065.0</v>
      </c>
      <c r="B182" s="222" t="s">
        <v>55</v>
      </c>
      <c r="C182" s="207" t="s">
        <v>71</v>
      </c>
      <c r="D182" s="201">
        <v>-10000.0</v>
      </c>
      <c r="E182" s="192" t="s">
        <v>66</v>
      </c>
      <c r="F182" s="218">
        <v>0.0</v>
      </c>
      <c r="G182" s="194">
        <f t="shared" si="2"/>
        <v>625500</v>
      </c>
      <c r="H182" s="195"/>
      <c r="I182" s="196">
        <v>185.0</v>
      </c>
    </row>
    <row r="183" ht="30.0" customHeight="1">
      <c r="A183" s="188">
        <v>46065.0</v>
      </c>
      <c r="B183" s="222" t="s">
        <v>55</v>
      </c>
      <c r="C183" s="201" t="s">
        <v>126</v>
      </c>
      <c r="D183" s="201">
        <v>-40000.0</v>
      </c>
      <c r="E183" s="192" t="s">
        <v>66</v>
      </c>
      <c r="F183" s="218">
        <v>0.0</v>
      </c>
      <c r="G183" s="194">
        <f t="shared" si="2"/>
        <v>585500</v>
      </c>
      <c r="H183" s="195"/>
      <c r="I183" s="196">
        <v>190.0</v>
      </c>
    </row>
    <row r="184" ht="30.0" customHeight="1">
      <c r="A184" s="188">
        <v>46065.0</v>
      </c>
      <c r="B184" s="222" t="s">
        <v>38</v>
      </c>
      <c r="C184" s="220" t="s">
        <v>77</v>
      </c>
      <c r="D184" s="201">
        <v>-50000.0</v>
      </c>
      <c r="E184" s="192" t="s">
        <v>66</v>
      </c>
      <c r="F184" s="218">
        <v>0.0</v>
      </c>
      <c r="G184" s="194">
        <f t="shared" si="2"/>
        <v>535500</v>
      </c>
      <c r="H184" s="195" t="b">
        <v>0</v>
      </c>
      <c r="I184" s="196">
        <v>182.0</v>
      </c>
    </row>
    <row r="185" ht="30.0" customHeight="1">
      <c r="A185" s="188">
        <v>46065.0</v>
      </c>
      <c r="B185" s="222" t="s">
        <v>38</v>
      </c>
      <c r="C185" s="220" t="s">
        <v>77</v>
      </c>
      <c r="D185" s="201">
        <v>-30000.0</v>
      </c>
      <c r="E185" s="192" t="s">
        <v>66</v>
      </c>
      <c r="F185" s="218">
        <v>0.0</v>
      </c>
      <c r="G185" s="194">
        <f t="shared" si="2"/>
        <v>505500</v>
      </c>
      <c r="H185" s="195"/>
      <c r="I185" s="196">
        <v>188.0</v>
      </c>
    </row>
    <row r="186" ht="30.0" customHeight="1">
      <c r="A186" s="188">
        <v>46065.0</v>
      </c>
      <c r="B186" s="222" t="s">
        <v>38</v>
      </c>
      <c r="C186" s="198" t="s">
        <v>109</v>
      </c>
      <c r="D186" s="201">
        <v>-80000.0</v>
      </c>
      <c r="E186" s="192" t="s">
        <v>66</v>
      </c>
      <c r="F186" s="218">
        <v>0.0</v>
      </c>
      <c r="G186" s="194">
        <f t="shared" si="2"/>
        <v>425500</v>
      </c>
      <c r="H186" s="195"/>
      <c r="I186" s="196">
        <v>181.0</v>
      </c>
    </row>
    <row r="187" ht="30.0" customHeight="1">
      <c r="A187" s="188">
        <v>46065.0</v>
      </c>
      <c r="B187" s="222" t="s">
        <v>38</v>
      </c>
      <c r="C187" s="201" t="s">
        <v>107</v>
      </c>
      <c r="D187" s="201">
        <v>-5000.0</v>
      </c>
      <c r="E187" s="192" t="s">
        <v>66</v>
      </c>
      <c r="F187" s="218">
        <v>0.0</v>
      </c>
      <c r="G187" s="194">
        <f t="shared" si="2"/>
        <v>420500</v>
      </c>
      <c r="H187" s="195"/>
      <c r="I187" s="196">
        <v>189.0</v>
      </c>
    </row>
    <row r="188" ht="30.0" customHeight="1">
      <c r="A188" s="188">
        <v>46065.0</v>
      </c>
      <c r="B188" s="222" t="s">
        <v>38</v>
      </c>
      <c r="C188" s="198" t="s">
        <v>64</v>
      </c>
      <c r="D188" s="201">
        <v>-10000.0</v>
      </c>
      <c r="E188" s="192" t="s">
        <v>66</v>
      </c>
      <c r="F188" s="218">
        <v>0.0</v>
      </c>
      <c r="G188" s="194">
        <f t="shared" si="2"/>
        <v>410500</v>
      </c>
      <c r="H188" s="195"/>
      <c r="I188" s="196">
        <v>187.0</v>
      </c>
    </row>
    <row r="189" ht="30.0" customHeight="1">
      <c r="A189" s="188">
        <v>46068.0</v>
      </c>
      <c r="B189" s="222" t="s">
        <v>38</v>
      </c>
      <c r="C189" s="198" t="s">
        <v>1</v>
      </c>
      <c r="D189" s="201">
        <v>-60000.0</v>
      </c>
      <c r="E189" s="192" t="s">
        <v>66</v>
      </c>
      <c r="F189" s="218">
        <v>0.0</v>
      </c>
      <c r="G189" s="194">
        <f t="shared" si="2"/>
        <v>350500</v>
      </c>
      <c r="H189" s="195"/>
      <c r="I189" s="196">
        <v>194.0</v>
      </c>
    </row>
    <row r="190" ht="30.0" customHeight="1">
      <c r="A190" s="188">
        <v>46068.0</v>
      </c>
      <c r="B190" s="222" t="s">
        <v>38</v>
      </c>
      <c r="C190" s="198" t="s">
        <v>1</v>
      </c>
      <c r="D190" s="201">
        <v>-7000.0</v>
      </c>
      <c r="E190" s="192" t="s">
        <v>66</v>
      </c>
      <c r="F190" s="218">
        <v>0.0</v>
      </c>
      <c r="G190" s="194">
        <f t="shared" si="2"/>
        <v>343500</v>
      </c>
      <c r="H190" s="195"/>
      <c r="I190" s="199"/>
    </row>
    <row r="191" ht="30.0" customHeight="1">
      <c r="A191" s="188">
        <v>46068.0</v>
      </c>
      <c r="B191" s="222" t="s">
        <v>38</v>
      </c>
      <c r="C191" s="201" t="s">
        <v>75</v>
      </c>
      <c r="D191" s="201">
        <v>-5000.0</v>
      </c>
      <c r="E191" s="192" t="s">
        <v>66</v>
      </c>
      <c r="F191" s="218">
        <v>0.0</v>
      </c>
      <c r="G191" s="194">
        <f t="shared" si="2"/>
        <v>338500</v>
      </c>
      <c r="H191" s="195"/>
      <c r="I191" s="196">
        <v>192.0</v>
      </c>
    </row>
    <row r="192" ht="30.0" customHeight="1">
      <c r="A192" s="188">
        <v>46068.0</v>
      </c>
      <c r="B192" s="222" t="s">
        <v>38</v>
      </c>
      <c r="C192" s="201" t="s">
        <v>75</v>
      </c>
      <c r="D192" s="201">
        <v>-2000.0</v>
      </c>
      <c r="E192" s="192" t="s">
        <v>66</v>
      </c>
      <c r="F192" s="218">
        <v>0.0</v>
      </c>
      <c r="G192" s="194">
        <f t="shared" si="2"/>
        <v>336500</v>
      </c>
      <c r="H192" s="195"/>
      <c r="I192" s="199"/>
    </row>
    <row r="193" ht="30.0" customHeight="1">
      <c r="A193" s="188">
        <v>46068.0</v>
      </c>
      <c r="B193" s="197" t="s">
        <v>37</v>
      </c>
      <c r="C193" s="201" t="s">
        <v>121</v>
      </c>
      <c r="D193" s="191">
        <v>-99824.0</v>
      </c>
      <c r="E193" s="192" t="s">
        <v>66</v>
      </c>
      <c r="F193" s="218">
        <v>0.0</v>
      </c>
      <c r="G193" s="194">
        <f t="shared" si="2"/>
        <v>236676</v>
      </c>
      <c r="H193" s="195"/>
      <c r="I193" s="196">
        <v>42.0</v>
      </c>
    </row>
    <row r="194" ht="30.0" customHeight="1">
      <c r="A194" s="188">
        <v>46068.0</v>
      </c>
      <c r="B194" s="222" t="s">
        <v>38</v>
      </c>
      <c r="C194" s="191" t="s">
        <v>106</v>
      </c>
      <c r="D194" s="201">
        <v>-5000.0</v>
      </c>
      <c r="E194" s="192" t="s">
        <v>66</v>
      </c>
      <c r="F194" s="218">
        <v>0.0</v>
      </c>
      <c r="G194" s="194">
        <f t="shared" si="2"/>
        <v>231676</v>
      </c>
      <c r="H194" s="195"/>
      <c r="I194" s="196">
        <v>193.0</v>
      </c>
    </row>
    <row r="195" ht="30.0" customHeight="1">
      <c r="A195" s="188">
        <v>46068.0</v>
      </c>
      <c r="B195" s="197" t="s">
        <v>67</v>
      </c>
      <c r="C195" s="201" t="s">
        <v>97</v>
      </c>
      <c r="D195" s="201">
        <v>500000.0</v>
      </c>
      <c r="E195" s="192" t="s">
        <v>61</v>
      </c>
      <c r="F195" s="218">
        <v>500000.0</v>
      </c>
      <c r="G195" s="194">
        <f t="shared" si="2"/>
        <v>731676</v>
      </c>
      <c r="H195" s="195"/>
      <c r="I195" s="196">
        <v>11.0</v>
      </c>
    </row>
    <row r="196" ht="30.0" customHeight="1">
      <c r="A196" s="188">
        <v>46068.0</v>
      </c>
      <c r="B196" s="222" t="s">
        <v>38</v>
      </c>
      <c r="C196" s="220" t="s">
        <v>77</v>
      </c>
      <c r="D196" s="201">
        <v>-20000.0</v>
      </c>
      <c r="E196" s="192" t="s">
        <v>66</v>
      </c>
      <c r="F196" s="218">
        <v>0.0</v>
      </c>
      <c r="G196" s="194">
        <f t="shared" si="2"/>
        <v>711676</v>
      </c>
      <c r="H196" s="195"/>
      <c r="I196" s="199"/>
    </row>
    <row r="197" ht="30.0" customHeight="1">
      <c r="A197" s="188">
        <v>46068.0</v>
      </c>
      <c r="B197" s="197" t="s">
        <v>127</v>
      </c>
      <c r="C197" s="227" t="s">
        <v>128</v>
      </c>
      <c r="D197" s="191">
        <v>-188000.0</v>
      </c>
      <c r="E197" s="192" t="s">
        <v>66</v>
      </c>
      <c r="F197" s="218">
        <v>0.0</v>
      </c>
      <c r="G197" s="194">
        <f t="shared" si="2"/>
        <v>523676</v>
      </c>
      <c r="H197" s="195"/>
      <c r="I197" s="196">
        <v>43.0</v>
      </c>
    </row>
    <row r="198" ht="30.0" customHeight="1">
      <c r="A198" s="188">
        <v>46068.0</v>
      </c>
      <c r="B198" s="197" t="s">
        <v>127</v>
      </c>
      <c r="C198" s="227" t="s">
        <v>129</v>
      </c>
      <c r="D198" s="191">
        <v>-360000.0</v>
      </c>
      <c r="E198" s="192" t="s">
        <v>66</v>
      </c>
      <c r="F198" s="218">
        <v>0.0</v>
      </c>
      <c r="G198" s="194">
        <f t="shared" si="2"/>
        <v>163676</v>
      </c>
      <c r="H198" s="195"/>
      <c r="I198" s="196">
        <v>44.0</v>
      </c>
    </row>
    <row r="199" ht="30.0" customHeight="1">
      <c r="A199" s="188">
        <v>46068.0</v>
      </c>
      <c r="B199" s="222" t="s">
        <v>55</v>
      </c>
      <c r="C199" s="201" t="s">
        <v>126</v>
      </c>
      <c r="D199" s="201">
        <v>-10000.0</v>
      </c>
      <c r="E199" s="192" t="s">
        <v>66</v>
      </c>
      <c r="F199" s="218">
        <v>0.0</v>
      </c>
      <c r="G199" s="194">
        <f t="shared" si="2"/>
        <v>153676</v>
      </c>
      <c r="H199" s="195"/>
      <c r="I199" s="196">
        <v>195.0</v>
      </c>
    </row>
    <row r="200" ht="30.0" customHeight="1">
      <c r="A200" s="188">
        <v>46068.0</v>
      </c>
      <c r="B200" s="222" t="s">
        <v>55</v>
      </c>
      <c r="C200" s="201" t="s">
        <v>130</v>
      </c>
      <c r="D200" s="201">
        <v>-2000.0</v>
      </c>
      <c r="E200" s="192" t="s">
        <v>66</v>
      </c>
      <c r="F200" s="218">
        <v>0.0</v>
      </c>
      <c r="G200" s="194">
        <f t="shared" si="2"/>
        <v>151676</v>
      </c>
      <c r="H200" s="195"/>
      <c r="I200" s="199"/>
    </row>
    <row r="201" ht="30.0" customHeight="1">
      <c r="A201" s="188">
        <v>46068.0</v>
      </c>
      <c r="B201" s="222" t="s">
        <v>55</v>
      </c>
      <c r="C201" s="201" t="s">
        <v>131</v>
      </c>
      <c r="D201" s="201">
        <v>-1000.0</v>
      </c>
      <c r="E201" s="192" t="s">
        <v>66</v>
      </c>
      <c r="F201" s="218">
        <v>0.0</v>
      </c>
      <c r="G201" s="194">
        <f t="shared" si="2"/>
        <v>150676</v>
      </c>
      <c r="H201" s="195"/>
      <c r="I201" s="199"/>
    </row>
    <row r="202" ht="30.0" customHeight="1">
      <c r="A202" s="188">
        <v>46068.0</v>
      </c>
      <c r="B202" s="222" t="s">
        <v>55</v>
      </c>
      <c r="C202" s="201" t="s">
        <v>132</v>
      </c>
      <c r="D202" s="201">
        <v>-2000.0</v>
      </c>
      <c r="E202" s="192" t="s">
        <v>66</v>
      </c>
      <c r="F202" s="218">
        <v>0.0</v>
      </c>
      <c r="G202" s="194">
        <f t="shared" si="2"/>
        <v>148676</v>
      </c>
      <c r="H202" s="195"/>
      <c r="I202" s="199"/>
    </row>
    <row r="203" ht="30.0" customHeight="1">
      <c r="A203" s="188">
        <v>46068.0</v>
      </c>
      <c r="B203" s="222" t="s">
        <v>55</v>
      </c>
      <c r="C203" s="201" t="s">
        <v>133</v>
      </c>
      <c r="D203" s="201">
        <v>-7000.0</v>
      </c>
      <c r="E203" s="192" t="s">
        <v>66</v>
      </c>
      <c r="F203" s="218">
        <v>0.0</v>
      </c>
      <c r="G203" s="194">
        <f t="shared" si="2"/>
        <v>141676</v>
      </c>
      <c r="H203" s="195"/>
      <c r="I203" s="199"/>
    </row>
    <row r="204" ht="30.0" customHeight="1">
      <c r="A204" s="188">
        <v>46068.0</v>
      </c>
      <c r="B204" s="222" t="s">
        <v>55</v>
      </c>
      <c r="C204" s="201" t="s">
        <v>134</v>
      </c>
      <c r="D204" s="201">
        <v>-5000.0</v>
      </c>
      <c r="E204" s="192" t="s">
        <v>66</v>
      </c>
      <c r="F204" s="218">
        <v>0.0</v>
      </c>
      <c r="G204" s="194">
        <f t="shared" si="2"/>
        <v>136676</v>
      </c>
      <c r="H204" s="195"/>
      <c r="I204" s="199"/>
    </row>
    <row r="205" ht="30.0" customHeight="1">
      <c r="A205" s="188">
        <v>46068.0</v>
      </c>
      <c r="B205" s="222" t="s">
        <v>55</v>
      </c>
      <c r="C205" s="207" t="s">
        <v>71</v>
      </c>
      <c r="D205" s="201">
        <v>-15000.0</v>
      </c>
      <c r="E205" s="192" t="s">
        <v>66</v>
      </c>
      <c r="F205" s="218">
        <v>0.0</v>
      </c>
      <c r="G205" s="194">
        <f t="shared" si="2"/>
        <v>121676</v>
      </c>
      <c r="H205" s="195"/>
      <c r="I205" s="199"/>
    </row>
    <row r="206" ht="30.0" customHeight="1">
      <c r="A206" s="188">
        <v>46068.0</v>
      </c>
      <c r="B206" s="222" t="s">
        <v>55</v>
      </c>
      <c r="C206" s="201" t="s">
        <v>73</v>
      </c>
      <c r="D206" s="201">
        <v>-20000.0</v>
      </c>
      <c r="E206" s="192" t="s">
        <v>66</v>
      </c>
      <c r="F206" s="218">
        <v>0.0</v>
      </c>
      <c r="G206" s="194">
        <f t="shared" si="2"/>
        <v>101676</v>
      </c>
      <c r="H206" s="195"/>
      <c r="I206" s="199"/>
    </row>
    <row r="207" ht="30.0" customHeight="1">
      <c r="A207" s="188">
        <v>46068.0</v>
      </c>
      <c r="B207" s="222" t="s">
        <v>55</v>
      </c>
      <c r="C207" s="201" t="s">
        <v>73</v>
      </c>
      <c r="D207" s="201">
        <v>-5000.0</v>
      </c>
      <c r="E207" s="192" t="s">
        <v>66</v>
      </c>
      <c r="F207" s="218">
        <v>0.0</v>
      </c>
      <c r="G207" s="194">
        <f t="shared" si="2"/>
        <v>96676</v>
      </c>
      <c r="H207" s="195"/>
      <c r="I207" s="199"/>
    </row>
    <row r="208" ht="30.0" customHeight="1">
      <c r="A208" s="188">
        <v>46068.0</v>
      </c>
      <c r="B208" s="222" t="s">
        <v>55</v>
      </c>
      <c r="C208" s="201" t="s">
        <v>73</v>
      </c>
      <c r="D208" s="201">
        <v>-5000.0</v>
      </c>
      <c r="E208" s="192" t="s">
        <v>66</v>
      </c>
      <c r="F208" s="218">
        <v>0.0</v>
      </c>
      <c r="G208" s="194">
        <f t="shared" si="2"/>
        <v>91676</v>
      </c>
      <c r="H208" s="195"/>
      <c r="I208" s="199"/>
    </row>
    <row r="209" ht="30.0" customHeight="1">
      <c r="A209" s="188">
        <v>46068.0</v>
      </c>
      <c r="B209" s="222" t="s">
        <v>55</v>
      </c>
      <c r="C209" s="201" t="s">
        <v>74</v>
      </c>
      <c r="D209" s="201">
        <v>-20000.0</v>
      </c>
      <c r="E209" s="192" t="s">
        <v>66</v>
      </c>
      <c r="F209" s="218">
        <v>0.0</v>
      </c>
      <c r="G209" s="194">
        <f t="shared" si="2"/>
        <v>71676</v>
      </c>
      <c r="H209" s="195"/>
      <c r="I209" s="199"/>
    </row>
    <row r="210" ht="30.0" customHeight="1">
      <c r="A210" s="188">
        <v>46068.0</v>
      </c>
      <c r="B210" s="222" t="s">
        <v>55</v>
      </c>
      <c r="C210" s="201" t="s">
        <v>135</v>
      </c>
      <c r="D210" s="201">
        <v>-5000.0</v>
      </c>
      <c r="E210" s="192" t="s">
        <v>66</v>
      </c>
      <c r="F210" s="218">
        <v>0.0</v>
      </c>
      <c r="G210" s="194">
        <f t="shared" si="2"/>
        <v>66676</v>
      </c>
      <c r="H210" s="195"/>
      <c r="I210" s="199"/>
    </row>
    <row r="211" ht="30.0" customHeight="1">
      <c r="A211" s="188">
        <v>46068.0</v>
      </c>
      <c r="B211" s="222" t="s">
        <v>55</v>
      </c>
      <c r="C211" s="201" t="s">
        <v>136</v>
      </c>
      <c r="D211" s="201">
        <v>-20000.0</v>
      </c>
      <c r="E211" s="192" t="s">
        <v>66</v>
      </c>
      <c r="F211" s="218">
        <v>0.0</v>
      </c>
      <c r="G211" s="194">
        <f t="shared" si="2"/>
        <v>46676</v>
      </c>
      <c r="H211" s="195"/>
      <c r="I211" s="199"/>
    </row>
    <row r="212" ht="30.0" customHeight="1">
      <c r="A212" s="188">
        <v>46068.0</v>
      </c>
      <c r="B212" s="222" t="s">
        <v>55</v>
      </c>
      <c r="C212" s="201" t="s">
        <v>74</v>
      </c>
      <c r="D212" s="201">
        <v>-10000.0</v>
      </c>
      <c r="E212" s="192" t="s">
        <v>66</v>
      </c>
      <c r="F212" s="218">
        <v>0.0</v>
      </c>
      <c r="G212" s="194">
        <f t="shared" si="2"/>
        <v>36676</v>
      </c>
      <c r="H212" s="195"/>
      <c r="I212" s="199"/>
    </row>
    <row r="213" ht="30.0" customHeight="1">
      <c r="A213" s="188">
        <v>46068.0</v>
      </c>
      <c r="B213" s="222" t="s">
        <v>38</v>
      </c>
      <c r="C213" s="220" t="s">
        <v>77</v>
      </c>
      <c r="D213" s="201">
        <v>-70000.0</v>
      </c>
      <c r="E213" s="192" t="s">
        <v>66</v>
      </c>
      <c r="F213" s="218">
        <v>0.0</v>
      </c>
      <c r="G213" s="194">
        <f t="shared" si="2"/>
        <v>-33324</v>
      </c>
      <c r="H213" s="195"/>
      <c r="I213" s="199"/>
    </row>
    <row r="214" ht="30.0" customHeight="1">
      <c r="A214" s="188">
        <v>46068.0</v>
      </c>
      <c r="B214" s="222" t="s">
        <v>55</v>
      </c>
      <c r="C214" s="201" t="s">
        <v>73</v>
      </c>
      <c r="D214" s="201">
        <v>-5000.0</v>
      </c>
      <c r="E214" s="192" t="s">
        <v>66</v>
      </c>
      <c r="F214" s="218">
        <v>0.0</v>
      </c>
      <c r="G214" s="194">
        <f t="shared" si="2"/>
        <v>-38324</v>
      </c>
      <c r="H214" s="195"/>
      <c r="I214" s="199"/>
    </row>
    <row r="215" ht="30.0" customHeight="1">
      <c r="A215" s="188">
        <v>46068.0</v>
      </c>
      <c r="B215" s="222" t="s">
        <v>38</v>
      </c>
      <c r="C215" s="191" t="s">
        <v>106</v>
      </c>
      <c r="D215" s="201">
        <v>-20000.0</v>
      </c>
      <c r="E215" s="192" t="s">
        <v>66</v>
      </c>
      <c r="F215" s="218">
        <v>0.0</v>
      </c>
      <c r="G215" s="194">
        <f t="shared" si="2"/>
        <v>-58324</v>
      </c>
      <c r="H215" s="195"/>
      <c r="I215" s="199"/>
    </row>
    <row r="216" ht="30.0" customHeight="1">
      <c r="A216" s="188">
        <v>46068.0</v>
      </c>
      <c r="B216" s="197" t="s">
        <v>37</v>
      </c>
      <c r="C216" s="190" t="s">
        <v>137</v>
      </c>
      <c r="D216" s="191">
        <v>-87222.0</v>
      </c>
      <c r="E216" s="192" t="s">
        <v>66</v>
      </c>
      <c r="F216" s="218">
        <v>0.0</v>
      </c>
      <c r="G216" s="194">
        <f t="shared" si="2"/>
        <v>-145546</v>
      </c>
      <c r="H216" s="195"/>
      <c r="I216" s="196">
        <v>45.0</v>
      </c>
    </row>
    <row r="217" ht="30.0" customHeight="1">
      <c r="A217" s="188">
        <v>46068.0</v>
      </c>
      <c r="B217" s="197" t="s">
        <v>37</v>
      </c>
      <c r="C217" s="198" t="s">
        <v>138</v>
      </c>
      <c r="D217" s="191">
        <v>-36111.0</v>
      </c>
      <c r="E217" s="192" t="s">
        <v>66</v>
      </c>
      <c r="F217" s="218">
        <v>0.0</v>
      </c>
      <c r="G217" s="194">
        <f t="shared" si="2"/>
        <v>-181657</v>
      </c>
      <c r="H217" s="195"/>
      <c r="I217" s="196">
        <v>39.0</v>
      </c>
    </row>
    <row r="218" ht="30.0" customHeight="1">
      <c r="A218" s="188">
        <v>46068.0</v>
      </c>
      <c r="B218" s="197" t="s">
        <v>37</v>
      </c>
      <c r="C218" s="198" t="s">
        <v>109</v>
      </c>
      <c r="D218" s="191">
        <v>-95102.0</v>
      </c>
      <c r="E218" s="192" t="s">
        <v>66</v>
      </c>
      <c r="F218" s="218">
        <v>0.0</v>
      </c>
      <c r="G218" s="194">
        <f t="shared" si="2"/>
        <v>-276759</v>
      </c>
      <c r="H218" s="195"/>
      <c r="I218" s="196">
        <v>41.0</v>
      </c>
    </row>
    <row r="219" ht="30.0" customHeight="1">
      <c r="A219" s="188">
        <v>46068.0</v>
      </c>
      <c r="B219" s="222" t="s">
        <v>38</v>
      </c>
      <c r="C219" s="201" t="s">
        <v>107</v>
      </c>
      <c r="D219" s="201">
        <v>-20000.0</v>
      </c>
      <c r="E219" s="192" t="s">
        <v>66</v>
      </c>
      <c r="F219" s="218">
        <v>0.0</v>
      </c>
      <c r="G219" s="194">
        <f t="shared" si="2"/>
        <v>-296759</v>
      </c>
      <c r="H219" s="195"/>
      <c r="I219" s="199"/>
    </row>
    <row r="220" ht="30.0" customHeight="1">
      <c r="A220" s="188">
        <v>46068.0</v>
      </c>
      <c r="B220" s="197" t="s">
        <v>37</v>
      </c>
      <c r="C220" s="201" t="s">
        <v>107</v>
      </c>
      <c r="D220" s="191">
        <v>-230000.0</v>
      </c>
      <c r="E220" s="192" t="s">
        <v>66</v>
      </c>
      <c r="F220" s="218">
        <v>0.0</v>
      </c>
      <c r="G220" s="194">
        <f t="shared" si="2"/>
        <v>-526759</v>
      </c>
      <c r="H220" s="195"/>
      <c r="I220" s="196">
        <v>40.0</v>
      </c>
    </row>
    <row r="221" ht="30.0" customHeight="1">
      <c r="A221" s="188">
        <v>46068.0</v>
      </c>
      <c r="B221" s="222" t="s">
        <v>38</v>
      </c>
      <c r="C221" s="221" t="s">
        <v>81</v>
      </c>
      <c r="D221" s="201">
        <v>-3000.0</v>
      </c>
      <c r="E221" s="192" t="s">
        <v>66</v>
      </c>
      <c r="F221" s="218">
        <v>0.0</v>
      </c>
      <c r="G221" s="194">
        <f t="shared" si="2"/>
        <v>-529759</v>
      </c>
      <c r="H221" s="195"/>
      <c r="I221" s="196">
        <v>196.0</v>
      </c>
    </row>
    <row r="222" ht="30.0" customHeight="1">
      <c r="A222" s="188">
        <v>46069.0</v>
      </c>
      <c r="B222" s="222" t="s">
        <v>38</v>
      </c>
      <c r="C222" s="198" t="s">
        <v>1</v>
      </c>
      <c r="D222" s="201">
        <v>-300000.0</v>
      </c>
      <c r="E222" s="192" t="s">
        <v>66</v>
      </c>
      <c r="F222" s="218">
        <v>0.0</v>
      </c>
      <c r="G222" s="194">
        <f t="shared" si="2"/>
        <v>-829759</v>
      </c>
      <c r="H222" s="195"/>
      <c r="I222" s="199"/>
    </row>
    <row r="223" ht="30.0" customHeight="1">
      <c r="A223" s="188">
        <v>46069.0</v>
      </c>
      <c r="B223" s="197" t="s">
        <v>67</v>
      </c>
      <c r="C223" s="201" t="s">
        <v>97</v>
      </c>
      <c r="D223" s="201">
        <v>500000.0</v>
      </c>
      <c r="E223" s="192" t="s">
        <v>61</v>
      </c>
      <c r="F223" s="218">
        <v>500000.0</v>
      </c>
      <c r="G223" s="194">
        <f t="shared" si="2"/>
        <v>-329759</v>
      </c>
      <c r="H223" s="195"/>
      <c r="I223" s="196">
        <v>12.0</v>
      </c>
    </row>
    <row r="224" ht="30.0" customHeight="1">
      <c r="A224" s="188">
        <v>46069.0</v>
      </c>
      <c r="B224" s="222" t="s">
        <v>55</v>
      </c>
      <c r="C224" s="201" t="s">
        <v>139</v>
      </c>
      <c r="D224" s="201">
        <v>-25000.0</v>
      </c>
      <c r="E224" s="192" t="s">
        <v>66</v>
      </c>
      <c r="F224" s="218">
        <v>0.0</v>
      </c>
      <c r="G224" s="194">
        <f t="shared" si="2"/>
        <v>-354759</v>
      </c>
      <c r="H224" s="195"/>
      <c r="I224" s="199"/>
    </row>
    <row r="225" ht="30.0" customHeight="1">
      <c r="A225" s="188">
        <v>46069.0</v>
      </c>
      <c r="B225" s="222" t="s">
        <v>55</v>
      </c>
      <c r="C225" s="201" t="s">
        <v>73</v>
      </c>
      <c r="D225" s="201">
        <v>-3500.0</v>
      </c>
      <c r="E225" s="192" t="s">
        <v>66</v>
      </c>
      <c r="F225" s="218">
        <v>0.0</v>
      </c>
      <c r="G225" s="194">
        <f t="shared" si="2"/>
        <v>-358259</v>
      </c>
      <c r="H225" s="195"/>
      <c r="I225" s="199"/>
    </row>
    <row r="226" ht="30.0" customHeight="1">
      <c r="A226" s="188">
        <v>46069.0</v>
      </c>
      <c r="B226" s="222" t="s">
        <v>38</v>
      </c>
      <c r="C226" s="201" t="s">
        <v>117</v>
      </c>
      <c r="D226" s="201">
        <v>-5000.0</v>
      </c>
      <c r="E226" s="192" t="s">
        <v>66</v>
      </c>
      <c r="F226" s="218">
        <v>0.0</v>
      </c>
      <c r="G226" s="194">
        <f t="shared" si="2"/>
        <v>-363259</v>
      </c>
      <c r="H226" s="195"/>
      <c r="I226" s="199"/>
    </row>
    <row r="227" ht="30.0" customHeight="1">
      <c r="A227" s="188">
        <v>46070.0</v>
      </c>
      <c r="B227" s="222" t="s">
        <v>38</v>
      </c>
      <c r="C227" s="201" t="s">
        <v>75</v>
      </c>
      <c r="D227" s="201">
        <v>-25000.0</v>
      </c>
      <c r="E227" s="192" t="s">
        <v>66</v>
      </c>
      <c r="F227" s="218">
        <v>0.0</v>
      </c>
      <c r="G227" s="194">
        <f t="shared" si="2"/>
        <v>-388259</v>
      </c>
      <c r="H227" s="195"/>
      <c r="I227" s="199"/>
    </row>
    <row r="228" ht="30.0" customHeight="1">
      <c r="A228" s="188">
        <v>46070.0</v>
      </c>
      <c r="B228" s="222" t="s">
        <v>38</v>
      </c>
      <c r="C228" s="220" t="s">
        <v>77</v>
      </c>
      <c r="D228" s="201">
        <v>-20000.0</v>
      </c>
      <c r="E228" s="192" t="s">
        <v>66</v>
      </c>
      <c r="F228" s="218">
        <v>0.0</v>
      </c>
      <c r="G228" s="194">
        <f t="shared" si="2"/>
        <v>-408259</v>
      </c>
      <c r="H228" s="195"/>
      <c r="I228" s="199"/>
    </row>
    <row r="229" ht="30.0" customHeight="1">
      <c r="A229" s="188">
        <v>46070.0</v>
      </c>
      <c r="B229" s="222" t="s">
        <v>38</v>
      </c>
      <c r="C229" s="220" t="s">
        <v>77</v>
      </c>
      <c r="D229" s="201">
        <v>-45000.0</v>
      </c>
      <c r="E229" s="192" t="s">
        <v>66</v>
      </c>
      <c r="F229" s="218">
        <v>0.0</v>
      </c>
      <c r="G229" s="194">
        <f t="shared" si="2"/>
        <v>-453259</v>
      </c>
      <c r="H229" s="195"/>
      <c r="I229" s="199"/>
    </row>
    <row r="230" ht="30.0" customHeight="1">
      <c r="A230" s="188">
        <v>46070.0</v>
      </c>
      <c r="B230" s="197" t="s">
        <v>67</v>
      </c>
      <c r="C230" s="201" t="s">
        <v>97</v>
      </c>
      <c r="D230" s="201">
        <v>200000.0</v>
      </c>
      <c r="E230" s="192" t="s">
        <v>61</v>
      </c>
      <c r="F230" s="218">
        <v>200000.0</v>
      </c>
      <c r="G230" s="194">
        <f t="shared" si="2"/>
        <v>-253259</v>
      </c>
      <c r="H230" s="195"/>
      <c r="I230" s="196">
        <v>13.0</v>
      </c>
    </row>
    <row r="231" ht="30.0" customHeight="1">
      <c r="A231" s="188">
        <v>46070.0</v>
      </c>
      <c r="B231" s="222" t="s">
        <v>55</v>
      </c>
      <c r="C231" s="201" t="s">
        <v>140</v>
      </c>
      <c r="D231" s="201">
        <v>-7000.0</v>
      </c>
      <c r="E231" s="192" t="s">
        <v>66</v>
      </c>
      <c r="F231" s="218">
        <v>0.0</v>
      </c>
      <c r="G231" s="194">
        <f t="shared" si="2"/>
        <v>-260259</v>
      </c>
      <c r="H231" s="195"/>
      <c r="I231" s="199"/>
    </row>
    <row r="232" ht="30.0" customHeight="1">
      <c r="A232" s="188">
        <v>46070.0</v>
      </c>
      <c r="B232" s="222" t="s">
        <v>55</v>
      </c>
      <c r="C232" s="201" t="s">
        <v>141</v>
      </c>
      <c r="D232" s="201">
        <v>-10000.0</v>
      </c>
      <c r="E232" s="192" t="s">
        <v>66</v>
      </c>
      <c r="F232" s="218">
        <v>0.0</v>
      </c>
      <c r="G232" s="194">
        <f t="shared" si="2"/>
        <v>-270259</v>
      </c>
      <c r="H232" s="195"/>
      <c r="I232" s="199"/>
    </row>
    <row r="233" ht="30.0" customHeight="1">
      <c r="A233" s="188">
        <v>46070.0</v>
      </c>
      <c r="B233" s="222" t="s">
        <v>55</v>
      </c>
      <c r="C233" s="201" t="s">
        <v>142</v>
      </c>
      <c r="D233" s="201">
        <v>-150000.0</v>
      </c>
      <c r="E233" s="192" t="s">
        <v>66</v>
      </c>
      <c r="F233" s="218">
        <v>0.0</v>
      </c>
      <c r="G233" s="194">
        <f t="shared" si="2"/>
        <v>-420259</v>
      </c>
      <c r="H233" s="195"/>
      <c r="I233" s="199"/>
    </row>
    <row r="234" ht="30.0" customHeight="1">
      <c r="A234" s="188">
        <v>46070.0</v>
      </c>
      <c r="B234" s="222" t="s">
        <v>55</v>
      </c>
      <c r="C234" s="207" t="s">
        <v>71</v>
      </c>
      <c r="D234" s="201">
        <v>-10000.0</v>
      </c>
      <c r="E234" s="192" t="s">
        <v>66</v>
      </c>
      <c r="F234" s="218">
        <v>0.0</v>
      </c>
      <c r="G234" s="194">
        <f t="shared" si="2"/>
        <v>-430259</v>
      </c>
      <c r="H234" s="195"/>
      <c r="I234" s="199"/>
    </row>
    <row r="235" ht="30.0" customHeight="1">
      <c r="A235" s="188">
        <v>46070.0</v>
      </c>
      <c r="B235" s="222" t="s">
        <v>55</v>
      </c>
      <c r="C235" s="201" t="s">
        <v>85</v>
      </c>
      <c r="D235" s="201">
        <v>-3000.0</v>
      </c>
      <c r="E235" s="192" t="s">
        <v>66</v>
      </c>
      <c r="F235" s="218">
        <v>0.0</v>
      </c>
      <c r="G235" s="194">
        <f t="shared" si="2"/>
        <v>-433259</v>
      </c>
      <c r="H235" s="195"/>
      <c r="I235" s="199"/>
    </row>
    <row r="236" ht="30.0" customHeight="1">
      <c r="A236" s="188">
        <v>46070.0</v>
      </c>
      <c r="B236" s="223" t="s">
        <v>59</v>
      </c>
      <c r="C236" s="201" t="s">
        <v>143</v>
      </c>
      <c r="D236" s="201">
        <v>0.0</v>
      </c>
      <c r="E236" s="192" t="s">
        <v>61</v>
      </c>
      <c r="F236" s="193">
        <v>1.0E7</v>
      </c>
      <c r="G236" s="194">
        <f t="shared" si="2"/>
        <v>-433259</v>
      </c>
      <c r="H236" s="195"/>
      <c r="I236" s="199"/>
    </row>
    <row r="237" ht="30.0" customHeight="1">
      <c r="A237" s="188">
        <v>46070.0</v>
      </c>
      <c r="B237" s="222" t="s">
        <v>38</v>
      </c>
      <c r="C237" s="198" t="s">
        <v>64</v>
      </c>
      <c r="D237" s="201">
        <v>0.0</v>
      </c>
      <c r="E237" s="192" t="s">
        <v>61</v>
      </c>
      <c r="F237" s="193">
        <v>50000.0</v>
      </c>
      <c r="G237" s="194">
        <f t="shared" si="2"/>
        <v>-433259</v>
      </c>
      <c r="H237" s="195"/>
      <c r="I237" s="199"/>
    </row>
    <row r="238" ht="30.0" customHeight="1">
      <c r="A238" s="188">
        <v>46071.0</v>
      </c>
      <c r="B238" s="222" t="s">
        <v>38</v>
      </c>
      <c r="C238" s="201" t="s">
        <v>75</v>
      </c>
      <c r="D238" s="201">
        <v>-40000.0</v>
      </c>
      <c r="E238" s="192" t="s">
        <v>66</v>
      </c>
      <c r="F238" s="218">
        <v>0.0</v>
      </c>
      <c r="G238" s="194">
        <f t="shared" si="2"/>
        <v>-473259</v>
      </c>
      <c r="H238" s="195"/>
      <c r="I238" s="199"/>
    </row>
    <row r="239" ht="30.0" customHeight="1">
      <c r="A239" s="188">
        <v>46071.0</v>
      </c>
      <c r="B239" s="222" t="s">
        <v>38</v>
      </c>
      <c r="C239" s="201" t="s">
        <v>95</v>
      </c>
      <c r="D239" s="201">
        <v>-30000.0</v>
      </c>
      <c r="E239" s="192" t="s">
        <v>66</v>
      </c>
      <c r="F239" s="218">
        <v>0.0</v>
      </c>
      <c r="G239" s="194">
        <f t="shared" si="2"/>
        <v>-503259</v>
      </c>
      <c r="H239" s="195"/>
      <c r="I239" s="199"/>
    </row>
    <row r="240" ht="30.0" customHeight="1">
      <c r="A240" s="188">
        <v>46071.0</v>
      </c>
      <c r="B240" s="197" t="s">
        <v>67</v>
      </c>
      <c r="C240" s="201" t="s">
        <v>97</v>
      </c>
      <c r="D240" s="191">
        <v>170000.0</v>
      </c>
      <c r="E240" s="192" t="s">
        <v>61</v>
      </c>
      <c r="F240" s="218">
        <v>170000.0</v>
      </c>
      <c r="G240" s="194">
        <f t="shared" si="2"/>
        <v>-333259</v>
      </c>
      <c r="H240" s="195"/>
      <c r="I240" s="196">
        <v>46.0</v>
      </c>
    </row>
    <row r="241" ht="30.0" customHeight="1">
      <c r="A241" s="188">
        <v>46071.0</v>
      </c>
      <c r="B241" s="222" t="s">
        <v>55</v>
      </c>
      <c r="C241" s="201" t="s">
        <v>99</v>
      </c>
      <c r="D241" s="201">
        <v>-8000.0</v>
      </c>
      <c r="E241" s="192" t="s">
        <v>66</v>
      </c>
      <c r="F241" s="218">
        <v>0.0</v>
      </c>
      <c r="G241" s="194">
        <f t="shared" si="2"/>
        <v>-341259</v>
      </c>
      <c r="H241" s="195"/>
      <c r="I241" s="199"/>
    </row>
    <row r="242" ht="30.0" customHeight="1">
      <c r="A242" s="188">
        <v>46071.0</v>
      </c>
      <c r="B242" s="222" t="s">
        <v>55</v>
      </c>
      <c r="C242" s="201" t="s">
        <v>111</v>
      </c>
      <c r="D242" s="201">
        <v>-2000.0</v>
      </c>
      <c r="E242" s="192" t="s">
        <v>66</v>
      </c>
      <c r="F242" s="218">
        <v>0.0</v>
      </c>
      <c r="G242" s="194">
        <f t="shared" si="2"/>
        <v>-343259</v>
      </c>
      <c r="H242" s="195"/>
      <c r="I242" s="199"/>
    </row>
    <row r="243" ht="30.0" customHeight="1">
      <c r="A243" s="188">
        <v>46071.0</v>
      </c>
      <c r="B243" s="222" t="s">
        <v>55</v>
      </c>
      <c r="C243" s="201" t="s">
        <v>144</v>
      </c>
      <c r="D243" s="201">
        <v>-38000.0</v>
      </c>
      <c r="E243" s="192" t="s">
        <v>66</v>
      </c>
      <c r="F243" s="218">
        <v>0.0</v>
      </c>
      <c r="G243" s="194">
        <f t="shared" si="2"/>
        <v>-381259</v>
      </c>
      <c r="H243" s="195"/>
      <c r="I243" s="199"/>
    </row>
    <row r="244" ht="30.0" customHeight="1">
      <c r="A244" s="188">
        <v>46071.0</v>
      </c>
      <c r="B244" s="222" t="s">
        <v>55</v>
      </c>
      <c r="C244" s="201" t="s">
        <v>119</v>
      </c>
      <c r="D244" s="201">
        <v>-5000.0</v>
      </c>
      <c r="E244" s="192" t="s">
        <v>66</v>
      </c>
      <c r="F244" s="218">
        <v>0.0</v>
      </c>
      <c r="G244" s="194">
        <f t="shared" si="2"/>
        <v>-386259</v>
      </c>
      <c r="H244" s="195"/>
      <c r="I244" s="199"/>
    </row>
    <row r="245" ht="30.0" customHeight="1">
      <c r="A245" s="188">
        <v>46071.0</v>
      </c>
      <c r="B245" s="222" t="s">
        <v>55</v>
      </c>
      <c r="C245" s="201" t="s">
        <v>111</v>
      </c>
      <c r="D245" s="201">
        <v>-10000.0</v>
      </c>
      <c r="E245" s="192" t="s">
        <v>66</v>
      </c>
      <c r="F245" s="218">
        <v>0.0</v>
      </c>
      <c r="G245" s="194">
        <f t="shared" si="2"/>
        <v>-396259</v>
      </c>
      <c r="H245" s="195"/>
      <c r="I245" s="199"/>
    </row>
    <row r="246" ht="30.0" customHeight="1">
      <c r="A246" s="188">
        <v>46071.0</v>
      </c>
      <c r="B246" s="222" t="s">
        <v>55</v>
      </c>
      <c r="C246" s="201" t="s">
        <v>130</v>
      </c>
      <c r="D246" s="201">
        <v>-5000.0</v>
      </c>
      <c r="E246" s="192" t="s">
        <v>66</v>
      </c>
      <c r="F246" s="218">
        <v>0.0</v>
      </c>
      <c r="G246" s="194">
        <f t="shared" si="2"/>
        <v>-401259</v>
      </c>
      <c r="H246" s="195"/>
      <c r="I246" s="199"/>
    </row>
    <row r="247" ht="30.0" customHeight="1">
      <c r="A247" s="188">
        <v>46071.0</v>
      </c>
      <c r="B247" s="222" t="s">
        <v>55</v>
      </c>
      <c r="C247" s="201" t="s">
        <v>111</v>
      </c>
      <c r="D247" s="201">
        <v>-5000.0</v>
      </c>
      <c r="E247" s="192" t="s">
        <v>66</v>
      </c>
      <c r="F247" s="218">
        <v>0.0</v>
      </c>
      <c r="G247" s="194">
        <f t="shared" si="2"/>
        <v>-406259</v>
      </c>
      <c r="H247" s="195"/>
      <c r="I247" s="199"/>
    </row>
    <row r="248" ht="30.0" customHeight="1">
      <c r="A248" s="188">
        <v>46071.0</v>
      </c>
      <c r="B248" s="222" t="s">
        <v>55</v>
      </c>
      <c r="C248" s="201" t="s">
        <v>145</v>
      </c>
      <c r="D248" s="201">
        <v>-5000.0</v>
      </c>
      <c r="E248" s="192" t="s">
        <v>66</v>
      </c>
      <c r="F248" s="218">
        <v>0.0</v>
      </c>
      <c r="G248" s="194">
        <f t="shared" si="2"/>
        <v>-411259</v>
      </c>
      <c r="H248" s="195"/>
      <c r="I248" s="199"/>
    </row>
    <row r="249" ht="30.0" customHeight="1">
      <c r="A249" s="188">
        <v>46071.0</v>
      </c>
      <c r="B249" s="222" t="s">
        <v>55</v>
      </c>
      <c r="C249" s="201" t="s">
        <v>146</v>
      </c>
      <c r="D249" s="201">
        <v>-5000.0</v>
      </c>
      <c r="E249" s="192" t="s">
        <v>66</v>
      </c>
      <c r="F249" s="218">
        <v>0.0</v>
      </c>
      <c r="G249" s="194">
        <f t="shared" si="2"/>
        <v>-416259</v>
      </c>
      <c r="H249" s="195"/>
      <c r="I249" s="199"/>
    </row>
    <row r="250" ht="30.0" customHeight="1">
      <c r="A250" s="188">
        <v>46071.0</v>
      </c>
      <c r="B250" s="222" t="s">
        <v>55</v>
      </c>
      <c r="C250" s="201" t="s">
        <v>139</v>
      </c>
      <c r="D250" s="201">
        <v>-25000.0</v>
      </c>
      <c r="E250" s="192" t="s">
        <v>66</v>
      </c>
      <c r="F250" s="218">
        <v>0.0</v>
      </c>
      <c r="G250" s="194">
        <f t="shared" si="2"/>
        <v>-441259</v>
      </c>
      <c r="H250" s="195"/>
      <c r="I250" s="199"/>
    </row>
    <row r="251" ht="30.0" customHeight="1">
      <c r="A251" s="188">
        <v>46071.0</v>
      </c>
      <c r="B251" s="222" t="s">
        <v>55</v>
      </c>
      <c r="C251" s="201" t="s">
        <v>73</v>
      </c>
      <c r="D251" s="201">
        <v>-25000.0</v>
      </c>
      <c r="E251" s="192" t="s">
        <v>66</v>
      </c>
      <c r="F251" s="218">
        <v>0.0</v>
      </c>
      <c r="G251" s="194">
        <f t="shared" si="2"/>
        <v>-466259</v>
      </c>
      <c r="H251" s="195"/>
      <c r="I251" s="199"/>
    </row>
    <row r="252" ht="30.0" customHeight="1">
      <c r="A252" s="188">
        <v>46071.0</v>
      </c>
      <c r="B252" s="222" t="s">
        <v>55</v>
      </c>
      <c r="C252" s="201" t="s">
        <v>73</v>
      </c>
      <c r="D252" s="201">
        <v>-15000.0</v>
      </c>
      <c r="E252" s="192" t="s">
        <v>66</v>
      </c>
      <c r="F252" s="218">
        <v>0.0</v>
      </c>
      <c r="G252" s="194">
        <f t="shared" si="2"/>
        <v>-481259</v>
      </c>
      <c r="H252" s="195"/>
      <c r="I252" s="199"/>
    </row>
    <row r="253" ht="30.0" customHeight="1">
      <c r="A253" s="188">
        <v>46071.0</v>
      </c>
      <c r="B253" s="222" t="s">
        <v>67</v>
      </c>
      <c r="C253" s="201" t="s">
        <v>147</v>
      </c>
      <c r="D253" s="201">
        <v>0.0</v>
      </c>
      <c r="E253" s="192" t="s">
        <v>61</v>
      </c>
      <c r="F253" s="193">
        <v>500000.0</v>
      </c>
      <c r="G253" s="194">
        <f t="shared" si="2"/>
        <v>-481259</v>
      </c>
      <c r="H253" s="195"/>
      <c r="I253" s="199"/>
    </row>
    <row r="254" ht="30.0" customHeight="1">
      <c r="A254" s="188">
        <v>46071.0</v>
      </c>
      <c r="B254" s="222" t="s">
        <v>38</v>
      </c>
      <c r="C254" s="201" t="s">
        <v>107</v>
      </c>
      <c r="D254" s="201">
        <v>-2000.0</v>
      </c>
      <c r="E254" s="192" t="s">
        <v>66</v>
      </c>
      <c r="F254" s="218">
        <v>0.0</v>
      </c>
      <c r="G254" s="194">
        <f t="shared" si="2"/>
        <v>-483259</v>
      </c>
      <c r="H254" s="195"/>
      <c r="I254" s="199"/>
    </row>
    <row r="255" ht="30.0" customHeight="1">
      <c r="A255" s="188">
        <v>46071.0</v>
      </c>
      <c r="B255" s="222" t="s">
        <v>38</v>
      </c>
      <c r="C255" s="221" t="s">
        <v>81</v>
      </c>
      <c r="D255" s="201">
        <v>-10000.0</v>
      </c>
      <c r="E255" s="192" t="s">
        <v>66</v>
      </c>
      <c r="F255" s="218">
        <v>0.0</v>
      </c>
      <c r="G255" s="194">
        <f t="shared" si="2"/>
        <v>-493259</v>
      </c>
      <c r="H255" s="195"/>
      <c r="I255" s="199"/>
    </row>
    <row r="256" ht="30.0" customHeight="1">
      <c r="A256" s="188">
        <v>46072.0</v>
      </c>
      <c r="B256" s="222" t="s">
        <v>38</v>
      </c>
      <c r="C256" s="201" t="s">
        <v>95</v>
      </c>
      <c r="D256" s="201">
        <v>-2000.0</v>
      </c>
      <c r="E256" s="192" t="s">
        <v>66</v>
      </c>
      <c r="F256" s="218">
        <v>0.0</v>
      </c>
      <c r="G256" s="194">
        <f t="shared" si="2"/>
        <v>-495259</v>
      </c>
      <c r="H256" s="195"/>
      <c r="I256" s="199"/>
    </row>
    <row r="257" ht="30.0" customHeight="1">
      <c r="A257" s="188">
        <v>46072.0</v>
      </c>
      <c r="B257" s="222" t="s">
        <v>38</v>
      </c>
      <c r="C257" s="191" t="s">
        <v>106</v>
      </c>
      <c r="D257" s="201">
        <v>-100000.0</v>
      </c>
      <c r="E257" s="192" t="s">
        <v>66</v>
      </c>
      <c r="F257" s="218">
        <v>0.0</v>
      </c>
      <c r="G257" s="194">
        <f t="shared" si="2"/>
        <v>-595259</v>
      </c>
      <c r="H257" s="195"/>
      <c r="I257" s="199"/>
    </row>
    <row r="258" ht="30.0" customHeight="1">
      <c r="A258" s="188">
        <v>46072.0</v>
      </c>
      <c r="B258" s="197" t="s">
        <v>67</v>
      </c>
      <c r="C258" s="201" t="s">
        <v>97</v>
      </c>
      <c r="D258" s="191">
        <v>1000000.0</v>
      </c>
      <c r="E258" s="192" t="s">
        <v>61</v>
      </c>
      <c r="F258" s="218">
        <v>1000000.0</v>
      </c>
      <c r="G258" s="194">
        <f t="shared" si="2"/>
        <v>404741</v>
      </c>
      <c r="H258" s="195"/>
      <c r="I258" s="196">
        <v>47.0</v>
      </c>
    </row>
    <row r="259" ht="30.0" customHeight="1">
      <c r="A259" s="188">
        <v>46072.0</v>
      </c>
      <c r="B259" s="222" t="s">
        <v>55</v>
      </c>
      <c r="C259" s="201" t="s">
        <v>73</v>
      </c>
      <c r="D259" s="201">
        <v>-20000.0</v>
      </c>
      <c r="E259" s="192" t="s">
        <v>66</v>
      </c>
      <c r="F259" s="218">
        <v>0.0</v>
      </c>
      <c r="G259" s="194">
        <f t="shared" si="2"/>
        <v>384741</v>
      </c>
      <c r="H259" s="195"/>
      <c r="I259" s="199"/>
    </row>
    <row r="260" ht="30.0" customHeight="1">
      <c r="A260" s="188">
        <v>46072.0</v>
      </c>
      <c r="B260" s="222" t="s">
        <v>55</v>
      </c>
      <c r="C260" s="201" t="s">
        <v>73</v>
      </c>
      <c r="D260" s="201">
        <v>-25000.0</v>
      </c>
      <c r="E260" s="192" t="s">
        <v>66</v>
      </c>
      <c r="F260" s="218">
        <v>0.0</v>
      </c>
      <c r="G260" s="194">
        <f t="shared" si="2"/>
        <v>359741</v>
      </c>
      <c r="H260" s="195"/>
      <c r="I260" s="199"/>
    </row>
    <row r="261" ht="30.0" customHeight="1">
      <c r="A261" s="188">
        <v>46072.0</v>
      </c>
      <c r="B261" s="222" t="s">
        <v>55</v>
      </c>
      <c r="C261" s="201" t="s">
        <v>73</v>
      </c>
      <c r="D261" s="201">
        <v>-6000.0</v>
      </c>
      <c r="E261" s="192" t="s">
        <v>66</v>
      </c>
      <c r="F261" s="218">
        <v>0.0</v>
      </c>
      <c r="G261" s="194">
        <f t="shared" si="2"/>
        <v>353741</v>
      </c>
      <c r="H261" s="195"/>
      <c r="I261" s="199"/>
    </row>
    <row r="262" ht="30.0" customHeight="1">
      <c r="A262" s="188">
        <v>46072.0</v>
      </c>
      <c r="B262" s="222" t="s">
        <v>55</v>
      </c>
      <c r="C262" s="201" t="s">
        <v>148</v>
      </c>
      <c r="D262" s="201">
        <v>-16000.0</v>
      </c>
      <c r="E262" s="192" t="s">
        <v>66</v>
      </c>
      <c r="F262" s="218">
        <v>0.0</v>
      </c>
      <c r="G262" s="194">
        <f t="shared" si="2"/>
        <v>337741</v>
      </c>
      <c r="H262" s="195"/>
      <c r="I262" s="199"/>
    </row>
    <row r="263" ht="30.0" customHeight="1">
      <c r="A263" s="188">
        <v>46072.0</v>
      </c>
      <c r="B263" s="222" t="s">
        <v>55</v>
      </c>
      <c r="C263" s="201" t="s">
        <v>149</v>
      </c>
      <c r="D263" s="201">
        <v>-15000.0</v>
      </c>
      <c r="E263" s="192" t="s">
        <v>66</v>
      </c>
      <c r="F263" s="218">
        <v>0.0</v>
      </c>
      <c r="G263" s="194">
        <f t="shared" si="2"/>
        <v>322741</v>
      </c>
      <c r="H263" s="195"/>
      <c r="I263" s="199"/>
    </row>
    <row r="264" ht="30.0" customHeight="1">
      <c r="A264" s="188">
        <v>46072.0</v>
      </c>
      <c r="B264" s="222" t="s">
        <v>55</v>
      </c>
      <c r="C264" s="201" t="s">
        <v>85</v>
      </c>
      <c r="D264" s="201">
        <v>-2000.0</v>
      </c>
      <c r="E264" s="192" t="s">
        <v>66</v>
      </c>
      <c r="F264" s="218">
        <v>0.0</v>
      </c>
      <c r="G264" s="194">
        <f t="shared" si="2"/>
        <v>320741</v>
      </c>
      <c r="H264" s="195"/>
      <c r="I264" s="199"/>
    </row>
    <row r="265" ht="30.0" customHeight="1">
      <c r="A265" s="188">
        <v>46072.0</v>
      </c>
      <c r="B265" s="222" t="s">
        <v>55</v>
      </c>
      <c r="C265" s="201" t="s">
        <v>150</v>
      </c>
      <c r="D265" s="201">
        <v>-2000.0</v>
      </c>
      <c r="E265" s="192" t="s">
        <v>66</v>
      </c>
      <c r="F265" s="218">
        <v>0.0</v>
      </c>
      <c r="G265" s="194">
        <f t="shared" si="2"/>
        <v>318741</v>
      </c>
      <c r="H265" s="195"/>
      <c r="I265" s="199"/>
    </row>
    <row r="266" ht="30.0" customHeight="1">
      <c r="A266" s="188">
        <v>46072.0</v>
      </c>
      <c r="B266" s="222" t="s">
        <v>55</v>
      </c>
      <c r="C266" s="201" t="s">
        <v>151</v>
      </c>
      <c r="D266" s="201">
        <v>-3000.0</v>
      </c>
      <c r="E266" s="192" t="s">
        <v>66</v>
      </c>
      <c r="F266" s="218">
        <v>0.0</v>
      </c>
      <c r="G266" s="194">
        <f t="shared" si="2"/>
        <v>315741</v>
      </c>
      <c r="H266" s="195"/>
      <c r="I266" s="199"/>
    </row>
    <row r="267" ht="30.0" customHeight="1">
      <c r="A267" s="188">
        <v>46072.0</v>
      </c>
      <c r="B267" s="222" t="s">
        <v>55</v>
      </c>
      <c r="C267" s="201" t="s">
        <v>152</v>
      </c>
      <c r="D267" s="201">
        <v>-12000.0</v>
      </c>
      <c r="E267" s="192" t="s">
        <v>66</v>
      </c>
      <c r="F267" s="218">
        <v>0.0</v>
      </c>
      <c r="G267" s="194">
        <f t="shared" si="2"/>
        <v>303741</v>
      </c>
      <c r="H267" s="195"/>
      <c r="I267" s="199"/>
    </row>
    <row r="268" ht="30.0" customHeight="1">
      <c r="A268" s="188">
        <v>46072.0</v>
      </c>
      <c r="B268" s="222" t="s">
        <v>55</v>
      </c>
      <c r="C268" s="201" t="s">
        <v>99</v>
      </c>
      <c r="D268" s="201">
        <v>-24000.0</v>
      </c>
      <c r="E268" s="192" t="s">
        <v>66</v>
      </c>
      <c r="F268" s="218">
        <v>0.0</v>
      </c>
      <c r="G268" s="194">
        <f t="shared" si="2"/>
        <v>279741</v>
      </c>
      <c r="H268" s="195"/>
      <c r="I268" s="199"/>
    </row>
    <row r="269" ht="30.0" customHeight="1">
      <c r="A269" s="188">
        <v>46072.0</v>
      </c>
      <c r="B269" s="222" t="s">
        <v>55</v>
      </c>
      <c r="C269" s="201" t="s">
        <v>119</v>
      </c>
      <c r="D269" s="201">
        <v>-5000.0</v>
      </c>
      <c r="E269" s="192" t="s">
        <v>66</v>
      </c>
      <c r="F269" s="218">
        <v>0.0</v>
      </c>
      <c r="G269" s="194">
        <f t="shared" si="2"/>
        <v>274741</v>
      </c>
      <c r="H269" s="195"/>
      <c r="I269" s="199"/>
    </row>
    <row r="270" ht="30.0" customHeight="1">
      <c r="A270" s="188">
        <v>46072.0</v>
      </c>
      <c r="B270" s="222" t="s">
        <v>55</v>
      </c>
      <c r="C270" s="201" t="s">
        <v>130</v>
      </c>
      <c r="D270" s="201">
        <v>-5000.0</v>
      </c>
      <c r="E270" s="192" t="s">
        <v>66</v>
      </c>
      <c r="F270" s="218">
        <v>0.0</v>
      </c>
      <c r="G270" s="194">
        <f t="shared" si="2"/>
        <v>269741</v>
      </c>
      <c r="H270" s="195"/>
      <c r="I270" s="199"/>
    </row>
    <row r="271" ht="30.0" customHeight="1">
      <c r="A271" s="188">
        <v>46072.0</v>
      </c>
      <c r="B271" s="222" t="s">
        <v>38</v>
      </c>
      <c r="C271" s="201" t="s">
        <v>153</v>
      </c>
      <c r="D271" s="201">
        <v>-50000.0</v>
      </c>
      <c r="E271" s="192" t="s">
        <v>66</v>
      </c>
      <c r="F271" s="218">
        <v>0.0</v>
      </c>
      <c r="G271" s="194">
        <f t="shared" si="2"/>
        <v>219741</v>
      </c>
      <c r="H271" s="195"/>
      <c r="I271" s="199"/>
    </row>
    <row r="272" ht="30.0" customHeight="1">
      <c r="A272" s="188">
        <v>46074.0</v>
      </c>
      <c r="B272" s="222" t="s">
        <v>38</v>
      </c>
      <c r="C272" s="191" t="s">
        <v>106</v>
      </c>
      <c r="D272" s="201">
        <v>-10000.0</v>
      </c>
      <c r="E272" s="192" t="s">
        <v>66</v>
      </c>
      <c r="F272" s="218">
        <v>0.0</v>
      </c>
      <c r="G272" s="194">
        <f t="shared" si="2"/>
        <v>209741</v>
      </c>
      <c r="H272" s="195"/>
      <c r="I272" s="199"/>
    </row>
    <row r="273" ht="30.0" customHeight="1">
      <c r="A273" s="188">
        <v>46074.0</v>
      </c>
      <c r="B273" s="222" t="s">
        <v>55</v>
      </c>
      <c r="C273" s="201" t="s">
        <v>93</v>
      </c>
      <c r="D273" s="201">
        <v>-40000.0</v>
      </c>
      <c r="E273" s="192" t="s">
        <v>66</v>
      </c>
      <c r="F273" s="218">
        <v>0.0</v>
      </c>
      <c r="G273" s="194">
        <f t="shared" si="2"/>
        <v>169741</v>
      </c>
      <c r="H273" s="195"/>
      <c r="I273" s="199"/>
    </row>
    <row r="274" ht="30.0" customHeight="1">
      <c r="A274" s="188">
        <v>46074.0</v>
      </c>
      <c r="B274" s="222" t="s">
        <v>55</v>
      </c>
      <c r="C274" s="201" t="s">
        <v>73</v>
      </c>
      <c r="D274" s="201">
        <v>-20000.0</v>
      </c>
      <c r="E274" s="192" t="s">
        <v>66</v>
      </c>
      <c r="F274" s="218">
        <v>0.0</v>
      </c>
      <c r="G274" s="194">
        <f t="shared" si="2"/>
        <v>149741</v>
      </c>
      <c r="H274" s="195"/>
      <c r="I274" s="199"/>
    </row>
    <row r="275" ht="30.0" customHeight="1">
      <c r="A275" s="188">
        <v>46074.0</v>
      </c>
      <c r="B275" s="222" t="s">
        <v>55</v>
      </c>
      <c r="C275" s="201" t="s">
        <v>85</v>
      </c>
      <c r="D275" s="201">
        <v>-10000.0</v>
      </c>
      <c r="E275" s="192" t="s">
        <v>66</v>
      </c>
      <c r="F275" s="218">
        <v>0.0</v>
      </c>
      <c r="G275" s="194">
        <f t="shared" si="2"/>
        <v>139741</v>
      </c>
      <c r="H275" s="195"/>
      <c r="I275" s="199"/>
    </row>
    <row r="276" ht="30.0" customHeight="1">
      <c r="A276" s="188">
        <v>46074.0</v>
      </c>
      <c r="B276" s="222" t="s">
        <v>55</v>
      </c>
      <c r="C276" s="201" t="s">
        <v>73</v>
      </c>
      <c r="D276" s="201">
        <v>-10000.0</v>
      </c>
      <c r="E276" s="192" t="s">
        <v>66</v>
      </c>
      <c r="F276" s="218">
        <v>0.0</v>
      </c>
      <c r="G276" s="194">
        <f t="shared" si="2"/>
        <v>129741</v>
      </c>
      <c r="H276" s="195"/>
      <c r="I276" s="199"/>
    </row>
    <row r="277" ht="30.0" customHeight="1">
      <c r="A277" s="188">
        <v>46074.0</v>
      </c>
      <c r="B277" s="222" t="s">
        <v>55</v>
      </c>
      <c r="C277" s="201" t="s">
        <v>73</v>
      </c>
      <c r="D277" s="201">
        <v>-5000.0</v>
      </c>
      <c r="E277" s="192" t="s">
        <v>66</v>
      </c>
      <c r="F277" s="218">
        <v>0.0</v>
      </c>
      <c r="G277" s="194">
        <f t="shared" si="2"/>
        <v>124741</v>
      </c>
      <c r="H277" s="195"/>
      <c r="I277" s="199"/>
    </row>
    <row r="278" ht="30.0" customHeight="1">
      <c r="A278" s="188">
        <v>46074.0</v>
      </c>
      <c r="B278" s="222" t="s">
        <v>55</v>
      </c>
      <c r="C278" s="201" t="s">
        <v>154</v>
      </c>
      <c r="D278" s="201">
        <v>-6000.0</v>
      </c>
      <c r="E278" s="192" t="s">
        <v>66</v>
      </c>
      <c r="F278" s="218">
        <v>0.0</v>
      </c>
      <c r="G278" s="194">
        <f t="shared" si="2"/>
        <v>118741</v>
      </c>
      <c r="H278" s="195"/>
      <c r="I278" s="199"/>
    </row>
    <row r="279" ht="30.0" customHeight="1">
      <c r="A279" s="188">
        <v>46074.0</v>
      </c>
      <c r="B279" s="222" t="s">
        <v>55</v>
      </c>
      <c r="C279" s="207" t="s">
        <v>71</v>
      </c>
      <c r="D279" s="201">
        <v>-4000.0</v>
      </c>
      <c r="E279" s="192" t="s">
        <v>66</v>
      </c>
      <c r="F279" s="218">
        <v>0.0</v>
      </c>
      <c r="G279" s="194">
        <f t="shared" si="2"/>
        <v>114741</v>
      </c>
      <c r="H279" s="195"/>
      <c r="I279" s="199"/>
    </row>
    <row r="280" ht="30.0" customHeight="1">
      <c r="A280" s="188">
        <v>46074.0</v>
      </c>
      <c r="B280" s="222" t="s">
        <v>38</v>
      </c>
      <c r="C280" s="201" t="s">
        <v>117</v>
      </c>
      <c r="D280" s="201">
        <v>-75000.0</v>
      </c>
      <c r="E280" s="192" t="s">
        <v>66</v>
      </c>
      <c r="F280" s="218">
        <v>0.0</v>
      </c>
      <c r="G280" s="194">
        <f t="shared" si="2"/>
        <v>39741</v>
      </c>
      <c r="H280" s="195"/>
      <c r="I280" s="199"/>
    </row>
    <row r="281" ht="30.0" customHeight="1">
      <c r="A281" s="188">
        <v>46075.0</v>
      </c>
      <c r="B281" s="222" t="s">
        <v>38</v>
      </c>
      <c r="C281" s="201" t="s">
        <v>75</v>
      </c>
      <c r="D281" s="201">
        <v>-10000.0</v>
      </c>
      <c r="E281" s="192" t="s">
        <v>66</v>
      </c>
      <c r="F281" s="218">
        <v>0.0</v>
      </c>
      <c r="G281" s="194">
        <f t="shared" si="2"/>
        <v>29741</v>
      </c>
      <c r="H281" s="195"/>
      <c r="I281" s="199"/>
    </row>
    <row r="282" ht="30.0" customHeight="1">
      <c r="A282" s="188">
        <v>46075.0</v>
      </c>
      <c r="B282" s="222" t="s">
        <v>38</v>
      </c>
      <c r="C282" s="201" t="s">
        <v>75</v>
      </c>
      <c r="D282" s="201">
        <v>0.0</v>
      </c>
      <c r="E282" s="192" t="s">
        <v>57</v>
      </c>
      <c r="F282" s="193">
        <v>8000.0</v>
      </c>
      <c r="G282" s="194">
        <f t="shared" si="2"/>
        <v>29741</v>
      </c>
      <c r="H282" s="195"/>
      <c r="I282" s="199"/>
    </row>
    <row r="283" ht="30.0" customHeight="1">
      <c r="A283" s="188">
        <v>46075.0</v>
      </c>
      <c r="B283" s="222" t="s">
        <v>37</v>
      </c>
      <c r="C283" s="201" t="s">
        <v>75</v>
      </c>
      <c r="D283" s="201">
        <v>-100000.0</v>
      </c>
      <c r="E283" s="192" t="s">
        <v>66</v>
      </c>
      <c r="F283" s="218">
        <v>0.0</v>
      </c>
      <c r="G283" s="194">
        <f t="shared" si="2"/>
        <v>-70259</v>
      </c>
      <c r="H283" s="195"/>
      <c r="I283" s="199"/>
    </row>
    <row r="284" ht="30.0" customHeight="1">
      <c r="A284" s="188">
        <v>46075.0</v>
      </c>
      <c r="B284" s="222" t="s">
        <v>38</v>
      </c>
      <c r="C284" s="228" t="s">
        <v>64</v>
      </c>
      <c r="D284" s="201">
        <v>0.0</v>
      </c>
      <c r="E284" s="192" t="s">
        <v>57</v>
      </c>
      <c r="F284" s="193">
        <v>11000.0</v>
      </c>
      <c r="G284" s="194">
        <f t="shared" si="2"/>
        <v>-70259</v>
      </c>
      <c r="H284" s="195"/>
      <c r="I284" s="199"/>
    </row>
    <row r="285" ht="30.0" customHeight="1">
      <c r="A285" s="188">
        <v>46075.0</v>
      </c>
      <c r="B285" s="222" t="s">
        <v>55</v>
      </c>
      <c r="C285" s="201" t="s">
        <v>111</v>
      </c>
      <c r="D285" s="201">
        <v>-7000.0</v>
      </c>
      <c r="E285" s="192" t="s">
        <v>66</v>
      </c>
      <c r="F285" s="218">
        <v>0.0</v>
      </c>
      <c r="G285" s="194">
        <f t="shared" si="2"/>
        <v>-77259</v>
      </c>
      <c r="H285" s="195"/>
      <c r="I285" s="199"/>
    </row>
    <row r="286" ht="30.0" customHeight="1">
      <c r="A286" s="188">
        <v>46075.0</v>
      </c>
      <c r="B286" s="222" t="s">
        <v>55</v>
      </c>
      <c r="C286" s="201" t="s">
        <v>73</v>
      </c>
      <c r="D286" s="201">
        <v>-20000.0</v>
      </c>
      <c r="E286" s="192" t="s">
        <v>66</v>
      </c>
      <c r="F286" s="218">
        <v>0.0</v>
      </c>
      <c r="G286" s="194">
        <f t="shared" si="2"/>
        <v>-97259</v>
      </c>
      <c r="H286" s="195"/>
      <c r="I286" s="199"/>
    </row>
    <row r="287" ht="30.0" customHeight="1">
      <c r="A287" s="188">
        <v>46075.0</v>
      </c>
      <c r="B287" s="222" t="s">
        <v>55</v>
      </c>
      <c r="C287" s="201" t="s">
        <v>73</v>
      </c>
      <c r="D287" s="201">
        <v>-5000.0</v>
      </c>
      <c r="E287" s="192" t="s">
        <v>66</v>
      </c>
      <c r="F287" s="218">
        <v>0.0</v>
      </c>
      <c r="G287" s="194">
        <f t="shared" si="2"/>
        <v>-102259</v>
      </c>
      <c r="H287" s="195"/>
      <c r="I287" s="199"/>
    </row>
    <row r="288" ht="30.0" customHeight="1">
      <c r="A288" s="188">
        <v>46075.0</v>
      </c>
      <c r="B288" s="222" t="s">
        <v>55</v>
      </c>
      <c r="C288" s="201" t="s">
        <v>130</v>
      </c>
      <c r="D288" s="201">
        <v>-1000.0</v>
      </c>
      <c r="E288" s="192" t="s">
        <v>66</v>
      </c>
      <c r="F288" s="218">
        <v>0.0</v>
      </c>
      <c r="G288" s="194">
        <f t="shared" si="2"/>
        <v>-103259</v>
      </c>
      <c r="H288" s="195"/>
      <c r="I288" s="199"/>
    </row>
    <row r="289" ht="30.0" customHeight="1">
      <c r="A289" s="188">
        <v>46075.0</v>
      </c>
      <c r="B289" s="222" t="s">
        <v>55</v>
      </c>
      <c r="C289" s="201" t="s">
        <v>90</v>
      </c>
      <c r="D289" s="201">
        <v>-5000.0</v>
      </c>
      <c r="E289" s="192" t="s">
        <v>66</v>
      </c>
      <c r="F289" s="218">
        <v>0.0</v>
      </c>
      <c r="G289" s="194">
        <f t="shared" si="2"/>
        <v>-108259</v>
      </c>
      <c r="H289" s="195"/>
      <c r="I289" s="199"/>
    </row>
    <row r="290" ht="30.0" customHeight="1">
      <c r="A290" s="188">
        <v>46075.0</v>
      </c>
      <c r="B290" s="222" t="s">
        <v>38</v>
      </c>
      <c r="C290" s="201" t="s">
        <v>107</v>
      </c>
      <c r="D290" s="201">
        <v>-10000.0</v>
      </c>
      <c r="E290" s="192" t="s">
        <v>66</v>
      </c>
      <c r="F290" s="218">
        <v>0.0</v>
      </c>
      <c r="G290" s="194">
        <f t="shared" si="2"/>
        <v>-118259</v>
      </c>
      <c r="H290" s="195"/>
      <c r="I290" s="199"/>
    </row>
    <row r="291" ht="30.0" customHeight="1">
      <c r="A291" s="188">
        <v>46076.0</v>
      </c>
      <c r="B291" s="222" t="s">
        <v>38</v>
      </c>
      <c r="C291" s="201" t="s">
        <v>75</v>
      </c>
      <c r="D291" s="201">
        <v>-10000.0</v>
      </c>
      <c r="E291" s="192" t="s">
        <v>66</v>
      </c>
      <c r="F291" s="218">
        <v>0.0</v>
      </c>
      <c r="G291" s="194">
        <f t="shared" si="2"/>
        <v>-128259</v>
      </c>
      <c r="H291" s="195"/>
      <c r="I291" s="199"/>
    </row>
    <row r="292" ht="30.0" customHeight="1">
      <c r="A292" s="188">
        <v>46076.0</v>
      </c>
      <c r="B292" s="222" t="s">
        <v>38</v>
      </c>
      <c r="C292" s="220" t="s">
        <v>77</v>
      </c>
      <c r="D292" s="201">
        <v>0.0</v>
      </c>
      <c r="E292" s="192" t="s">
        <v>57</v>
      </c>
      <c r="F292" s="193">
        <v>10000.0</v>
      </c>
      <c r="G292" s="194">
        <f t="shared" si="2"/>
        <v>-128259</v>
      </c>
      <c r="H292" s="195"/>
      <c r="I292" s="199"/>
    </row>
    <row r="293" ht="30.0" customHeight="1">
      <c r="A293" s="188">
        <v>46076.0</v>
      </c>
      <c r="B293" s="222" t="s">
        <v>38</v>
      </c>
      <c r="C293" s="220" t="s">
        <v>77</v>
      </c>
      <c r="D293" s="201">
        <v>-10000.0</v>
      </c>
      <c r="E293" s="192" t="s">
        <v>66</v>
      </c>
      <c r="F293" s="218">
        <v>0.0</v>
      </c>
      <c r="G293" s="194">
        <f t="shared" si="2"/>
        <v>-138259</v>
      </c>
      <c r="H293" s="195"/>
      <c r="I293" s="199"/>
    </row>
    <row r="294" ht="30.0" customHeight="1">
      <c r="A294" s="188">
        <v>46076.0</v>
      </c>
      <c r="B294" s="222" t="s">
        <v>55</v>
      </c>
      <c r="C294" s="201" t="s">
        <v>155</v>
      </c>
      <c r="D294" s="201">
        <v>-13000.0</v>
      </c>
      <c r="E294" s="192" t="s">
        <v>66</v>
      </c>
      <c r="F294" s="218">
        <v>0.0</v>
      </c>
      <c r="G294" s="194">
        <f t="shared" si="2"/>
        <v>-151259</v>
      </c>
      <c r="H294" s="195"/>
      <c r="I294" s="199"/>
    </row>
    <row r="295" ht="30.0" customHeight="1">
      <c r="A295" s="188">
        <v>46076.0</v>
      </c>
      <c r="B295" s="222" t="s">
        <v>55</v>
      </c>
      <c r="C295" s="201" t="s">
        <v>156</v>
      </c>
      <c r="D295" s="201">
        <v>-8000.0</v>
      </c>
      <c r="E295" s="192" t="s">
        <v>66</v>
      </c>
      <c r="F295" s="218">
        <v>0.0</v>
      </c>
      <c r="G295" s="194">
        <f t="shared" si="2"/>
        <v>-159259</v>
      </c>
      <c r="H295" s="195"/>
      <c r="I295" s="199"/>
    </row>
    <row r="296" ht="30.0" customHeight="1">
      <c r="A296" s="188">
        <v>46076.0</v>
      </c>
      <c r="B296" s="222" t="s">
        <v>55</v>
      </c>
      <c r="C296" s="201" t="s">
        <v>142</v>
      </c>
      <c r="D296" s="201">
        <v>-3000.0</v>
      </c>
      <c r="E296" s="192" t="s">
        <v>66</v>
      </c>
      <c r="F296" s="218">
        <v>0.0</v>
      </c>
      <c r="G296" s="194">
        <f t="shared" si="2"/>
        <v>-162259</v>
      </c>
      <c r="H296" s="195"/>
      <c r="I296" s="199"/>
    </row>
    <row r="297" ht="30.0" customHeight="1">
      <c r="A297" s="188">
        <v>46076.0</v>
      </c>
      <c r="B297" s="222" t="s">
        <v>55</v>
      </c>
      <c r="C297" s="201" t="s">
        <v>73</v>
      </c>
      <c r="D297" s="201">
        <v>-2000.0</v>
      </c>
      <c r="E297" s="192" t="s">
        <v>66</v>
      </c>
      <c r="F297" s="218">
        <v>0.0</v>
      </c>
      <c r="G297" s="194">
        <f t="shared" si="2"/>
        <v>-164259</v>
      </c>
      <c r="H297" s="195"/>
      <c r="I297" s="199"/>
    </row>
    <row r="298" ht="30.0" customHeight="1">
      <c r="A298" s="188">
        <v>46076.0</v>
      </c>
      <c r="B298" s="222" t="s">
        <v>55</v>
      </c>
      <c r="C298" s="201" t="s">
        <v>73</v>
      </c>
      <c r="D298" s="201">
        <v>-6000.0</v>
      </c>
      <c r="E298" s="192" t="s">
        <v>66</v>
      </c>
      <c r="F298" s="218">
        <v>0.0</v>
      </c>
      <c r="G298" s="194">
        <f t="shared" si="2"/>
        <v>-170259</v>
      </c>
      <c r="H298" s="195"/>
      <c r="I298" s="199"/>
    </row>
    <row r="299" ht="30.0" customHeight="1">
      <c r="A299" s="188">
        <v>46076.0</v>
      </c>
      <c r="B299" s="222" t="s">
        <v>38</v>
      </c>
      <c r="C299" s="198" t="s">
        <v>64</v>
      </c>
      <c r="D299" s="201">
        <v>-10000.0</v>
      </c>
      <c r="E299" s="192" t="s">
        <v>66</v>
      </c>
      <c r="F299" s="218">
        <v>0.0</v>
      </c>
      <c r="G299" s="194">
        <f t="shared" si="2"/>
        <v>-180259</v>
      </c>
      <c r="H299" s="195"/>
      <c r="I299" s="199"/>
    </row>
    <row r="300" ht="30.0" customHeight="1">
      <c r="A300" s="188">
        <v>46079.0</v>
      </c>
      <c r="B300" s="222" t="s">
        <v>38</v>
      </c>
      <c r="C300" s="201" t="s">
        <v>64</v>
      </c>
      <c r="D300" s="201">
        <v>0.0</v>
      </c>
      <c r="E300" s="192" t="s">
        <v>61</v>
      </c>
      <c r="F300" s="193">
        <v>20000.0</v>
      </c>
      <c r="G300" s="194">
        <f t="shared" si="2"/>
        <v>-180259</v>
      </c>
      <c r="H300" s="195"/>
      <c r="I300" s="199"/>
    </row>
    <row r="301" ht="30.0" customHeight="1">
      <c r="A301" s="188">
        <v>46079.0</v>
      </c>
      <c r="B301" s="223" t="s">
        <v>59</v>
      </c>
      <c r="C301" s="201" t="s">
        <v>157</v>
      </c>
      <c r="D301" s="201">
        <v>0.0</v>
      </c>
      <c r="E301" s="192" t="s">
        <v>61</v>
      </c>
      <c r="F301" s="193">
        <v>800000.0</v>
      </c>
      <c r="G301" s="194">
        <f t="shared" si="2"/>
        <v>-180259</v>
      </c>
      <c r="H301" s="195"/>
      <c r="I301" s="199"/>
    </row>
    <row r="302" ht="30.0" customHeight="1">
      <c r="A302" s="188">
        <v>46081.0</v>
      </c>
      <c r="B302" s="222" t="s">
        <v>38</v>
      </c>
      <c r="C302" s="191" t="s">
        <v>62</v>
      </c>
      <c r="D302" s="191">
        <v>-50000.0</v>
      </c>
      <c r="E302" s="229" t="s">
        <v>66</v>
      </c>
      <c r="F302" s="218">
        <v>0.0</v>
      </c>
      <c r="G302" s="194">
        <f t="shared" si="2"/>
        <v>-230259</v>
      </c>
      <c r="H302" s="195"/>
      <c r="I302" s="199"/>
    </row>
    <row r="303" ht="30.0" customHeight="1">
      <c r="A303" s="188">
        <v>46081.0</v>
      </c>
      <c r="B303" s="222" t="s">
        <v>67</v>
      </c>
      <c r="C303" s="201" t="s">
        <v>158</v>
      </c>
      <c r="D303" s="201">
        <v>1500000.0</v>
      </c>
      <c r="E303" s="192" t="s">
        <v>61</v>
      </c>
      <c r="F303" s="193">
        <v>1500000.0</v>
      </c>
      <c r="G303" s="194">
        <f t="shared" si="2"/>
        <v>1269741</v>
      </c>
      <c r="H303" s="195"/>
      <c r="I303" s="199"/>
    </row>
    <row r="304" ht="30.0" customHeight="1">
      <c r="A304" s="188">
        <v>46081.0</v>
      </c>
      <c r="B304" s="222" t="s">
        <v>67</v>
      </c>
      <c r="C304" s="201" t="s">
        <v>158</v>
      </c>
      <c r="D304" s="201">
        <v>1000000.0</v>
      </c>
      <c r="E304" s="192" t="s">
        <v>61</v>
      </c>
      <c r="F304" s="193">
        <v>1000000.0</v>
      </c>
      <c r="G304" s="194">
        <f t="shared" si="2"/>
        <v>2269741</v>
      </c>
      <c r="H304" s="195"/>
      <c r="I304" s="199"/>
    </row>
    <row r="305" ht="30.0" customHeight="1">
      <c r="A305" s="188">
        <v>46082.0</v>
      </c>
      <c r="B305" s="222" t="s">
        <v>37</v>
      </c>
      <c r="C305" s="201" t="s">
        <v>75</v>
      </c>
      <c r="D305" s="201">
        <v>-350000.0</v>
      </c>
      <c r="E305" s="192" t="s">
        <v>66</v>
      </c>
      <c r="F305" s="218">
        <v>0.0</v>
      </c>
      <c r="G305" s="194">
        <f t="shared" si="2"/>
        <v>1919741</v>
      </c>
      <c r="H305" s="195"/>
      <c r="I305" s="199"/>
    </row>
    <row r="306" ht="30.0" customHeight="1">
      <c r="A306" s="230">
        <v>46082.0</v>
      </c>
      <c r="B306" s="231" t="s">
        <v>38</v>
      </c>
      <c r="C306" s="191" t="s">
        <v>64</v>
      </c>
      <c r="D306" s="191">
        <v>-50000.0</v>
      </c>
      <c r="E306" s="229" t="s">
        <v>66</v>
      </c>
      <c r="F306" s="218">
        <v>0.0</v>
      </c>
      <c r="G306" s="194">
        <f t="shared" si="2"/>
        <v>1869741</v>
      </c>
      <c r="H306" s="195"/>
      <c r="I306" s="199"/>
    </row>
    <row r="307" ht="30.0" customHeight="1">
      <c r="A307" s="188">
        <v>46082.0</v>
      </c>
      <c r="B307" s="222" t="s">
        <v>37</v>
      </c>
      <c r="C307" s="201" t="s">
        <v>105</v>
      </c>
      <c r="D307" s="201">
        <v>-402000.0</v>
      </c>
      <c r="E307" s="192" t="s">
        <v>66</v>
      </c>
      <c r="F307" s="218">
        <v>0.0</v>
      </c>
      <c r="G307" s="194">
        <f t="shared" si="2"/>
        <v>1467741</v>
      </c>
      <c r="H307" s="195"/>
      <c r="I307" s="199"/>
    </row>
    <row r="308" ht="30.0" customHeight="1">
      <c r="A308" s="188">
        <v>46082.0</v>
      </c>
      <c r="B308" s="222" t="s">
        <v>37</v>
      </c>
      <c r="C308" s="191" t="s">
        <v>106</v>
      </c>
      <c r="D308" s="201">
        <v>-250000.0</v>
      </c>
      <c r="E308" s="229" t="s">
        <v>66</v>
      </c>
      <c r="F308" s="218">
        <v>0.0</v>
      </c>
      <c r="G308" s="194">
        <f t="shared" si="2"/>
        <v>1217741</v>
      </c>
      <c r="H308" s="195"/>
      <c r="I308" s="199"/>
    </row>
    <row r="309" ht="30.0" customHeight="1">
      <c r="A309" s="188">
        <v>46082.0</v>
      </c>
      <c r="B309" s="222" t="s">
        <v>37</v>
      </c>
      <c r="C309" s="201" t="s">
        <v>117</v>
      </c>
      <c r="D309" s="201">
        <v>-618000.0</v>
      </c>
      <c r="E309" s="192" t="s">
        <v>66</v>
      </c>
      <c r="F309" s="218">
        <v>0.0</v>
      </c>
      <c r="G309" s="194">
        <f t="shared" si="2"/>
        <v>599741</v>
      </c>
      <c r="H309" s="195"/>
      <c r="I309" s="199"/>
    </row>
    <row r="310" ht="30.0" customHeight="1">
      <c r="A310" s="188">
        <v>46082.0</v>
      </c>
      <c r="B310" s="222" t="s">
        <v>67</v>
      </c>
      <c r="C310" s="201" t="s">
        <v>158</v>
      </c>
      <c r="D310" s="201">
        <v>1000000.0</v>
      </c>
      <c r="E310" s="192" t="s">
        <v>61</v>
      </c>
      <c r="F310" s="218">
        <v>1000000.0</v>
      </c>
      <c r="G310" s="194">
        <f t="shared" si="2"/>
        <v>1599741</v>
      </c>
      <c r="H310" s="195"/>
      <c r="I310" s="199"/>
    </row>
    <row r="311" ht="30.0" customHeight="1">
      <c r="A311" s="188">
        <v>46082.0</v>
      </c>
      <c r="B311" s="222" t="s">
        <v>37</v>
      </c>
      <c r="C311" s="201" t="s">
        <v>159</v>
      </c>
      <c r="D311" s="201">
        <v>-523000.0</v>
      </c>
      <c r="E311" s="192" t="s">
        <v>66</v>
      </c>
      <c r="F311" s="218">
        <v>0.0</v>
      </c>
      <c r="G311" s="194">
        <f t="shared" si="2"/>
        <v>1076741</v>
      </c>
      <c r="H311" s="195"/>
      <c r="I311" s="199"/>
    </row>
    <row r="312" ht="30.0" customHeight="1">
      <c r="A312" s="188">
        <v>46082.0</v>
      </c>
      <c r="B312" s="222" t="s">
        <v>37</v>
      </c>
      <c r="C312" s="198" t="s">
        <v>160</v>
      </c>
      <c r="D312" s="201">
        <v>-34000.0</v>
      </c>
      <c r="E312" s="192" t="s">
        <v>66</v>
      </c>
      <c r="F312" s="218">
        <v>0.0</v>
      </c>
      <c r="G312" s="194">
        <f t="shared" si="2"/>
        <v>1042741</v>
      </c>
      <c r="H312" s="195"/>
      <c r="I312" s="199"/>
    </row>
    <row r="313" ht="30.0" customHeight="1">
      <c r="A313" s="230">
        <v>46082.0</v>
      </c>
      <c r="B313" s="197" t="s">
        <v>55</v>
      </c>
      <c r="C313" s="198" t="s">
        <v>161</v>
      </c>
      <c r="D313" s="191">
        <v>-10000.0</v>
      </c>
      <c r="E313" s="174" t="s">
        <v>66</v>
      </c>
      <c r="F313" s="218">
        <v>0.0</v>
      </c>
      <c r="G313" s="194">
        <f t="shared" si="2"/>
        <v>1032741</v>
      </c>
      <c r="H313" s="195"/>
      <c r="I313" s="195"/>
    </row>
    <row r="314" ht="30.0" customHeight="1">
      <c r="A314" s="230">
        <v>46082.0</v>
      </c>
      <c r="B314" s="197" t="s">
        <v>55</v>
      </c>
      <c r="C314" s="198" t="s">
        <v>73</v>
      </c>
      <c r="D314" s="191">
        <v>-10000.0</v>
      </c>
      <c r="E314" s="174" t="s">
        <v>66</v>
      </c>
      <c r="F314" s="218">
        <v>0.0</v>
      </c>
      <c r="G314" s="194">
        <f t="shared" si="2"/>
        <v>1022741</v>
      </c>
      <c r="H314" s="195"/>
      <c r="I314" s="195"/>
    </row>
    <row r="315" ht="30.0" customHeight="1">
      <c r="A315" s="230">
        <v>46082.0</v>
      </c>
      <c r="B315" s="197" t="s">
        <v>55</v>
      </c>
      <c r="C315" s="198" t="s">
        <v>162</v>
      </c>
      <c r="D315" s="191">
        <v>-8000.0</v>
      </c>
      <c r="E315" s="174" t="s">
        <v>66</v>
      </c>
      <c r="F315" s="218">
        <v>0.0</v>
      </c>
      <c r="G315" s="194">
        <f t="shared" si="2"/>
        <v>1014741</v>
      </c>
      <c r="H315" s="195"/>
      <c r="I315" s="195"/>
    </row>
    <row r="316" ht="30.0" customHeight="1">
      <c r="A316" s="230">
        <v>46082.0</v>
      </c>
      <c r="B316" s="197" t="s">
        <v>55</v>
      </c>
      <c r="C316" s="198" t="s">
        <v>163</v>
      </c>
      <c r="D316" s="191">
        <v>-5000.0</v>
      </c>
      <c r="E316" s="174" t="s">
        <v>66</v>
      </c>
      <c r="F316" s="218">
        <v>0.0</v>
      </c>
      <c r="G316" s="194">
        <f t="shared" si="2"/>
        <v>1009741</v>
      </c>
      <c r="H316" s="195"/>
      <c r="I316" s="195"/>
    </row>
    <row r="317" ht="30.0" customHeight="1">
      <c r="A317" s="188">
        <v>46082.0</v>
      </c>
      <c r="B317" s="222" t="s">
        <v>37</v>
      </c>
      <c r="C317" s="201" t="s">
        <v>107</v>
      </c>
      <c r="D317" s="201">
        <v>-260000.0</v>
      </c>
      <c r="E317" s="192" t="s">
        <v>66</v>
      </c>
      <c r="F317" s="218">
        <v>0.0</v>
      </c>
      <c r="G317" s="194">
        <f t="shared" si="2"/>
        <v>749741</v>
      </c>
      <c r="H317" s="195"/>
      <c r="I317" s="199"/>
    </row>
    <row r="318" ht="30.0" customHeight="1">
      <c r="A318" s="230">
        <v>46082.0</v>
      </c>
      <c r="B318" s="231" t="s">
        <v>38</v>
      </c>
      <c r="C318" s="191" t="s">
        <v>164</v>
      </c>
      <c r="D318" s="191"/>
      <c r="E318" s="229" t="s">
        <v>66</v>
      </c>
      <c r="F318" s="218">
        <v>0.0</v>
      </c>
      <c r="G318" s="194">
        <f t="shared" si="2"/>
        <v>749741</v>
      </c>
      <c r="H318" s="195"/>
      <c r="I318" s="199"/>
    </row>
    <row r="319" ht="30.0" customHeight="1">
      <c r="A319" s="188">
        <v>46082.0</v>
      </c>
      <c r="B319" s="222" t="s">
        <v>37</v>
      </c>
      <c r="C319" s="221" t="s">
        <v>81</v>
      </c>
      <c r="D319" s="201">
        <v>-500000.0</v>
      </c>
      <c r="E319" s="192" t="s">
        <v>66</v>
      </c>
      <c r="F319" s="218">
        <v>0.0</v>
      </c>
      <c r="G319" s="194">
        <f t="shared" si="2"/>
        <v>249741</v>
      </c>
      <c r="H319" s="195"/>
      <c r="I319" s="199"/>
    </row>
    <row r="320" ht="30.0" customHeight="1">
      <c r="A320" s="230">
        <v>46083.0</v>
      </c>
      <c r="B320" s="197" t="s">
        <v>38</v>
      </c>
      <c r="C320" s="198" t="s">
        <v>1</v>
      </c>
      <c r="D320" s="191">
        <v>-3250.0</v>
      </c>
      <c r="E320" s="174" t="s">
        <v>66</v>
      </c>
      <c r="F320" s="218">
        <v>0.0</v>
      </c>
      <c r="G320" s="194">
        <f t="shared" si="2"/>
        <v>246491</v>
      </c>
      <c r="H320" s="195"/>
      <c r="I320" s="195"/>
    </row>
    <row r="321" ht="30.0" customHeight="1">
      <c r="A321" s="230">
        <v>46083.0</v>
      </c>
      <c r="B321" s="197" t="s">
        <v>38</v>
      </c>
      <c r="C321" s="198" t="s">
        <v>1</v>
      </c>
      <c r="D321" s="191">
        <v>-3500.0</v>
      </c>
      <c r="E321" s="174" t="s">
        <v>66</v>
      </c>
      <c r="F321" s="218">
        <v>0.0</v>
      </c>
      <c r="G321" s="194">
        <f t="shared" si="2"/>
        <v>242991</v>
      </c>
      <c r="H321" s="195"/>
      <c r="I321" s="195"/>
    </row>
    <row r="322" ht="30.0" customHeight="1">
      <c r="A322" s="230">
        <v>46083.0</v>
      </c>
      <c r="B322" s="197" t="s">
        <v>37</v>
      </c>
      <c r="C322" s="198" t="s">
        <v>165</v>
      </c>
      <c r="D322" s="191">
        <v>-50000.0</v>
      </c>
      <c r="E322" s="174" t="s">
        <v>66</v>
      </c>
      <c r="F322" s="218">
        <v>0.0</v>
      </c>
      <c r="G322" s="194">
        <f t="shared" si="2"/>
        <v>192991</v>
      </c>
      <c r="H322" s="195"/>
      <c r="I322" s="195"/>
    </row>
    <row r="323" ht="30.0" customHeight="1">
      <c r="A323" s="230">
        <v>46083.0</v>
      </c>
      <c r="B323" s="197" t="s">
        <v>55</v>
      </c>
      <c r="C323" s="198" t="s">
        <v>166</v>
      </c>
      <c r="D323" s="191">
        <v>-90991.0</v>
      </c>
      <c r="E323" s="174" t="s">
        <v>66</v>
      </c>
      <c r="F323" s="218">
        <v>0.0</v>
      </c>
      <c r="G323" s="194">
        <f t="shared" si="2"/>
        <v>102000</v>
      </c>
      <c r="H323" s="195"/>
      <c r="I323" s="195"/>
    </row>
    <row r="324" ht="30.0" customHeight="1">
      <c r="A324" s="230">
        <v>46083.0</v>
      </c>
      <c r="B324" s="197" t="s">
        <v>55</v>
      </c>
      <c r="C324" s="198" t="s">
        <v>73</v>
      </c>
      <c r="D324" s="191">
        <v>-5000.0</v>
      </c>
      <c r="E324" s="174" t="s">
        <v>66</v>
      </c>
      <c r="F324" s="218">
        <v>0.0</v>
      </c>
      <c r="G324" s="194">
        <f t="shared" si="2"/>
        <v>97000</v>
      </c>
      <c r="H324" s="195"/>
      <c r="I324" s="195"/>
    </row>
    <row r="325" ht="30.0" customHeight="1">
      <c r="A325" s="230">
        <v>46083.0</v>
      </c>
      <c r="B325" s="197" t="s">
        <v>55</v>
      </c>
      <c r="C325" s="198" t="s">
        <v>167</v>
      </c>
      <c r="D325" s="191">
        <v>-80000.0</v>
      </c>
      <c r="E325" s="174" t="s">
        <v>66</v>
      </c>
      <c r="F325" s="218">
        <v>0.0</v>
      </c>
      <c r="G325" s="194">
        <f t="shared" si="2"/>
        <v>17000</v>
      </c>
      <c r="H325" s="195"/>
      <c r="I325" s="195"/>
    </row>
    <row r="326" ht="30.0" customHeight="1">
      <c r="A326" s="230">
        <v>46083.0</v>
      </c>
      <c r="B326" s="197" t="s">
        <v>55</v>
      </c>
      <c r="C326" s="207" t="s">
        <v>71</v>
      </c>
      <c r="D326" s="191">
        <v>-10000.0</v>
      </c>
      <c r="E326" s="174" t="s">
        <v>66</v>
      </c>
      <c r="F326" s="218">
        <v>0.0</v>
      </c>
      <c r="G326" s="194">
        <f t="shared" si="2"/>
        <v>7000</v>
      </c>
      <c r="H326" s="195"/>
      <c r="I326" s="195"/>
    </row>
    <row r="327" ht="30.0" customHeight="1">
      <c r="A327" s="230">
        <v>46083.0</v>
      </c>
      <c r="B327" s="197" t="s">
        <v>38</v>
      </c>
      <c r="C327" s="221" t="s">
        <v>81</v>
      </c>
      <c r="D327" s="191">
        <v>-3500.0</v>
      </c>
      <c r="E327" s="174" t="s">
        <v>66</v>
      </c>
      <c r="F327" s="218">
        <v>0.0</v>
      </c>
      <c r="G327" s="194">
        <f t="shared" si="2"/>
        <v>3500</v>
      </c>
      <c r="H327" s="195"/>
      <c r="I327" s="195"/>
    </row>
    <row r="328" ht="30.0" customHeight="1">
      <c r="A328" s="230">
        <v>46084.0</v>
      </c>
      <c r="B328" s="197" t="s">
        <v>37</v>
      </c>
      <c r="C328" s="198" t="s">
        <v>1</v>
      </c>
      <c r="D328" s="191">
        <v>-800000.0</v>
      </c>
      <c r="E328" s="174" t="s">
        <v>66</v>
      </c>
      <c r="F328" s="218">
        <v>0.0</v>
      </c>
      <c r="G328" s="194">
        <f t="shared" si="2"/>
        <v>-796500</v>
      </c>
      <c r="H328" s="195"/>
      <c r="I328" s="195"/>
    </row>
    <row r="329" ht="30.0" customHeight="1">
      <c r="A329" s="230">
        <v>46084.0</v>
      </c>
      <c r="B329" s="197" t="s">
        <v>37</v>
      </c>
      <c r="C329" s="198" t="s">
        <v>62</v>
      </c>
      <c r="D329" s="191">
        <v>-192000.0</v>
      </c>
      <c r="E329" s="174" t="s">
        <v>66</v>
      </c>
      <c r="F329" s="218">
        <v>0.0</v>
      </c>
      <c r="G329" s="194">
        <f t="shared" si="2"/>
        <v>-988500</v>
      </c>
      <c r="H329" s="195"/>
      <c r="I329" s="195"/>
    </row>
    <row r="330" ht="30.0" customHeight="1">
      <c r="A330" s="230">
        <v>46084.0</v>
      </c>
      <c r="B330" s="197" t="s">
        <v>38</v>
      </c>
      <c r="C330" s="198" t="s">
        <v>62</v>
      </c>
      <c r="D330" s="191">
        <v>-58000.0</v>
      </c>
      <c r="E330" s="174" t="s">
        <v>66</v>
      </c>
      <c r="F330" s="218">
        <v>0.0</v>
      </c>
      <c r="G330" s="194">
        <f t="shared" si="2"/>
        <v>-1046500</v>
      </c>
      <c r="H330" s="195"/>
      <c r="I330" s="195"/>
    </row>
    <row r="331" ht="30.0" customHeight="1">
      <c r="A331" s="230">
        <v>46084.0</v>
      </c>
      <c r="B331" s="197" t="s">
        <v>38</v>
      </c>
      <c r="C331" s="198" t="s">
        <v>64</v>
      </c>
      <c r="D331" s="191">
        <v>-3500.0</v>
      </c>
      <c r="E331" s="174" t="s">
        <v>66</v>
      </c>
      <c r="F331" s="218">
        <v>0.0</v>
      </c>
      <c r="G331" s="194">
        <f t="shared" si="2"/>
        <v>-1050000</v>
      </c>
      <c r="H331" s="195"/>
      <c r="I331" s="195"/>
    </row>
    <row r="332" ht="30.0" customHeight="1">
      <c r="A332" s="230">
        <v>46084.0</v>
      </c>
      <c r="B332" s="197" t="s">
        <v>37</v>
      </c>
      <c r="C332" s="198" t="s">
        <v>64</v>
      </c>
      <c r="D332" s="191">
        <v>-300000.0</v>
      </c>
      <c r="E332" s="174" t="s">
        <v>66</v>
      </c>
      <c r="F332" s="218">
        <v>0.0</v>
      </c>
      <c r="G332" s="194">
        <f t="shared" si="2"/>
        <v>-1350000</v>
      </c>
      <c r="H332" s="195"/>
      <c r="I332" s="195"/>
    </row>
    <row r="333" ht="30.0" customHeight="1">
      <c r="A333" s="230">
        <v>46084.0</v>
      </c>
      <c r="B333" s="197" t="s">
        <v>67</v>
      </c>
      <c r="C333" s="198" t="s">
        <v>168</v>
      </c>
      <c r="D333" s="191">
        <v>3000000.0</v>
      </c>
      <c r="E333" s="212" t="s">
        <v>61</v>
      </c>
      <c r="F333" s="218">
        <v>3000000.0</v>
      </c>
      <c r="G333" s="194">
        <f t="shared" si="2"/>
        <v>1650000</v>
      </c>
      <c r="H333" s="195"/>
      <c r="I333" s="195"/>
    </row>
    <row r="334" ht="30.0" customHeight="1">
      <c r="A334" s="230">
        <v>46084.0</v>
      </c>
      <c r="B334" s="197" t="s">
        <v>55</v>
      </c>
      <c r="C334" s="198" t="s">
        <v>84</v>
      </c>
      <c r="D334" s="191">
        <v>-30000.0</v>
      </c>
      <c r="E334" s="174" t="s">
        <v>66</v>
      </c>
      <c r="F334" s="218">
        <v>0.0</v>
      </c>
      <c r="G334" s="194">
        <f t="shared" si="2"/>
        <v>1620000</v>
      </c>
      <c r="H334" s="195"/>
      <c r="I334" s="195"/>
    </row>
    <row r="335" ht="30.0" customHeight="1">
      <c r="A335" s="230">
        <v>46084.0</v>
      </c>
      <c r="B335" s="197" t="s">
        <v>37</v>
      </c>
      <c r="C335" s="198" t="s">
        <v>58</v>
      </c>
      <c r="D335" s="191">
        <v>-500000.0</v>
      </c>
      <c r="E335" s="174" t="s">
        <v>66</v>
      </c>
      <c r="F335" s="218">
        <v>0.0</v>
      </c>
      <c r="G335" s="194">
        <f t="shared" si="2"/>
        <v>1120000</v>
      </c>
      <c r="H335" s="195"/>
      <c r="I335" s="195"/>
    </row>
    <row r="336" ht="30.0" customHeight="1">
      <c r="A336" s="230">
        <v>46085.0</v>
      </c>
      <c r="B336" s="197" t="s">
        <v>55</v>
      </c>
      <c r="C336" s="198" t="s">
        <v>169</v>
      </c>
      <c r="D336" s="191">
        <v>-53000.0</v>
      </c>
      <c r="E336" s="174" t="s">
        <v>66</v>
      </c>
      <c r="F336" s="218">
        <v>0.0</v>
      </c>
      <c r="G336" s="194">
        <f t="shared" si="2"/>
        <v>1067000</v>
      </c>
      <c r="H336" s="195"/>
      <c r="I336" s="195"/>
    </row>
    <row r="337" ht="30.0" customHeight="1">
      <c r="A337" s="230">
        <v>46086.0</v>
      </c>
      <c r="B337" s="197" t="s">
        <v>55</v>
      </c>
      <c r="C337" s="207" t="s">
        <v>71</v>
      </c>
      <c r="D337" s="191">
        <v>-10000.0</v>
      </c>
      <c r="E337" s="174" t="s">
        <v>66</v>
      </c>
      <c r="F337" s="218">
        <v>0.0</v>
      </c>
      <c r="G337" s="194">
        <f t="shared" si="2"/>
        <v>1057000</v>
      </c>
      <c r="H337" s="195"/>
      <c r="I337" s="195"/>
    </row>
    <row r="338" ht="30.0" customHeight="1">
      <c r="A338" s="230">
        <v>46086.0</v>
      </c>
      <c r="B338" s="197" t="s">
        <v>55</v>
      </c>
      <c r="C338" s="198" t="s">
        <v>170</v>
      </c>
      <c r="D338" s="191">
        <v>-5000.0</v>
      </c>
      <c r="E338" s="174" t="s">
        <v>66</v>
      </c>
      <c r="F338" s="218">
        <v>0.0</v>
      </c>
      <c r="G338" s="194">
        <f t="shared" si="2"/>
        <v>1052000</v>
      </c>
      <c r="H338" s="195"/>
      <c r="I338" s="195"/>
    </row>
    <row r="339" ht="30.0" customHeight="1">
      <c r="A339" s="230">
        <v>46086.0</v>
      </c>
      <c r="B339" s="197" t="s">
        <v>55</v>
      </c>
      <c r="C339" s="198" t="s">
        <v>73</v>
      </c>
      <c r="D339" s="191">
        <v>-7000.0</v>
      </c>
      <c r="E339" s="174" t="s">
        <v>66</v>
      </c>
      <c r="F339" s="218">
        <v>0.0</v>
      </c>
      <c r="G339" s="194">
        <f t="shared" si="2"/>
        <v>1045000</v>
      </c>
      <c r="H339" s="195"/>
      <c r="I339" s="195"/>
    </row>
    <row r="340" ht="30.0" customHeight="1">
      <c r="A340" s="230">
        <v>46086.0</v>
      </c>
      <c r="B340" s="197" t="s">
        <v>55</v>
      </c>
      <c r="C340" s="198" t="s">
        <v>171</v>
      </c>
      <c r="D340" s="191">
        <v>-3000.0</v>
      </c>
      <c r="E340" s="174" t="s">
        <v>66</v>
      </c>
      <c r="F340" s="218">
        <v>0.0</v>
      </c>
      <c r="G340" s="194">
        <f t="shared" si="2"/>
        <v>1042000</v>
      </c>
      <c r="H340" s="195"/>
      <c r="I340" s="195"/>
    </row>
    <row r="341" ht="30.0" customHeight="1">
      <c r="A341" s="230">
        <v>46086.0</v>
      </c>
      <c r="B341" s="197" t="s">
        <v>55</v>
      </c>
      <c r="C341" s="198" t="s">
        <v>172</v>
      </c>
      <c r="D341" s="191">
        <v>-5000.0</v>
      </c>
      <c r="E341" s="174" t="s">
        <v>66</v>
      </c>
      <c r="F341" s="218">
        <v>0.0</v>
      </c>
      <c r="G341" s="194">
        <f t="shared" si="2"/>
        <v>1037000</v>
      </c>
      <c r="H341" s="195"/>
      <c r="I341" s="195"/>
    </row>
    <row r="342" ht="30.0" customHeight="1">
      <c r="A342" s="230">
        <v>46086.0</v>
      </c>
      <c r="B342" s="197" t="s">
        <v>38</v>
      </c>
      <c r="C342" s="221" t="s">
        <v>81</v>
      </c>
      <c r="D342" s="191">
        <v>-5000.0</v>
      </c>
      <c r="E342" s="174" t="s">
        <v>66</v>
      </c>
      <c r="F342" s="218">
        <v>0.0</v>
      </c>
      <c r="G342" s="194">
        <f t="shared" si="2"/>
        <v>1032000</v>
      </c>
      <c r="H342" s="195"/>
      <c r="I342" s="195"/>
    </row>
    <row r="343" ht="30.0" customHeight="1">
      <c r="A343" s="230">
        <v>46088.0</v>
      </c>
      <c r="B343" s="197" t="s">
        <v>55</v>
      </c>
      <c r="C343" s="198" t="s">
        <v>73</v>
      </c>
      <c r="D343" s="191">
        <v>-5000.0</v>
      </c>
      <c r="E343" s="174" t="s">
        <v>66</v>
      </c>
      <c r="F343" s="218">
        <v>0.0</v>
      </c>
      <c r="G343" s="194">
        <f t="shared" si="2"/>
        <v>1027000</v>
      </c>
      <c r="H343" s="195"/>
      <c r="I343" s="195"/>
    </row>
    <row r="344" ht="30.0" customHeight="1">
      <c r="A344" s="230">
        <v>46089.0</v>
      </c>
      <c r="B344" s="197" t="s">
        <v>55</v>
      </c>
      <c r="C344" s="198" t="s">
        <v>73</v>
      </c>
      <c r="D344" s="191">
        <v>-10000.0</v>
      </c>
      <c r="E344" s="174" t="s">
        <v>66</v>
      </c>
      <c r="F344" s="218">
        <v>0.0</v>
      </c>
      <c r="G344" s="194">
        <f t="shared" si="2"/>
        <v>1017000</v>
      </c>
      <c r="H344" s="195"/>
      <c r="I344" s="195"/>
    </row>
    <row r="345" ht="30.0" customHeight="1">
      <c r="A345" s="230">
        <v>46089.0</v>
      </c>
      <c r="B345" s="197" t="s">
        <v>55</v>
      </c>
      <c r="C345" s="198" t="s">
        <v>73</v>
      </c>
      <c r="D345" s="191">
        <v>-5000.0</v>
      </c>
      <c r="E345" s="174" t="s">
        <v>66</v>
      </c>
      <c r="F345" s="218">
        <v>0.0</v>
      </c>
      <c r="G345" s="194">
        <f t="shared" si="2"/>
        <v>1012000</v>
      </c>
      <c r="H345" s="195"/>
      <c r="I345" s="195"/>
    </row>
    <row r="346" ht="30.0" customHeight="1">
      <c r="A346" s="230">
        <v>46090.0</v>
      </c>
      <c r="B346" s="197" t="s">
        <v>38</v>
      </c>
      <c r="C346" s="198" t="s">
        <v>1</v>
      </c>
      <c r="D346" s="191">
        <v>-5000.0</v>
      </c>
      <c r="E346" s="174" t="s">
        <v>66</v>
      </c>
      <c r="F346" s="218">
        <v>0.0</v>
      </c>
      <c r="G346" s="194">
        <f t="shared" si="2"/>
        <v>1007000</v>
      </c>
      <c r="H346" s="195"/>
      <c r="I346" s="195"/>
    </row>
    <row r="347" ht="30.0" customHeight="1">
      <c r="A347" s="230">
        <v>46090.0</v>
      </c>
      <c r="B347" s="197" t="s">
        <v>55</v>
      </c>
      <c r="C347" s="198" t="s">
        <v>173</v>
      </c>
      <c r="D347" s="191">
        <v>-180000.0</v>
      </c>
      <c r="E347" s="174" t="s">
        <v>66</v>
      </c>
      <c r="F347" s="218">
        <v>0.0</v>
      </c>
      <c r="G347" s="194">
        <f t="shared" si="2"/>
        <v>827000</v>
      </c>
      <c r="H347" s="195"/>
      <c r="I347" s="195"/>
    </row>
    <row r="348" ht="30.0" customHeight="1">
      <c r="A348" s="230">
        <v>46090.0</v>
      </c>
      <c r="B348" s="197" t="s">
        <v>38</v>
      </c>
      <c r="C348" s="220" t="s">
        <v>77</v>
      </c>
      <c r="D348" s="191">
        <v>-10000.0</v>
      </c>
      <c r="E348" s="174" t="s">
        <v>66</v>
      </c>
      <c r="F348" s="218">
        <v>0.0</v>
      </c>
      <c r="G348" s="194">
        <f t="shared" si="2"/>
        <v>817000</v>
      </c>
      <c r="H348" s="195"/>
      <c r="I348" s="195"/>
    </row>
    <row r="349" ht="30.0" customHeight="1">
      <c r="A349" s="230">
        <v>46090.0</v>
      </c>
      <c r="B349" s="197" t="s">
        <v>55</v>
      </c>
      <c r="C349" s="207" t="s">
        <v>71</v>
      </c>
      <c r="D349" s="191">
        <v>-10000.0</v>
      </c>
      <c r="E349" s="174" t="s">
        <v>66</v>
      </c>
      <c r="F349" s="218">
        <v>0.0</v>
      </c>
      <c r="G349" s="194">
        <f t="shared" si="2"/>
        <v>807000</v>
      </c>
      <c r="H349" s="195"/>
      <c r="I349" s="195"/>
    </row>
    <row r="350" ht="30.0" customHeight="1">
      <c r="A350" s="230">
        <v>46091.0</v>
      </c>
      <c r="B350" s="197" t="s">
        <v>55</v>
      </c>
      <c r="C350" s="198" t="s">
        <v>174</v>
      </c>
      <c r="D350" s="191">
        <v>-34000.0</v>
      </c>
      <c r="E350" s="174" t="s">
        <v>66</v>
      </c>
      <c r="F350" s="218">
        <v>0.0</v>
      </c>
      <c r="G350" s="194">
        <f t="shared" si="2"/>
        <v>773000</v>
      </c>
      <c r="H350" s="195"/>
      <c r="I350" s="195"/>
    </row>
    <row r="351" ht="30.0" customHeight="1">
      <c r="A351" s="230">
        <v>46091.0</v>
      </c>
      <c r="B351" s="197" t="s">
        <v>55</v>
      </c>
      <c r="C351" s="198" t="s">
        <v>175</v>
      </c>
      <c r="D351" s="191">
        <v>-75000.0</v>
      </c>
      <c r="E351" s="174" t="s">
        <v>66</v>
      </c>
      <c r="F351" s="218">
        <v>0.0</v>
      </c>
      <c r="G351" s="194">
        <f t="shared" si="2"/>
        <v>698000</v>
      </c>
      <c r="H351" s="195"/>
      <c r="I351" s="195"/>
    </row>
    <row r="352" ht="30.0" customHeight="1">
      <c r="A352" s="230">
        <v>46091.0</v>
      </c>
      <c r="B352" s="197" t="s">
        <v>55</v>
      </c>
      <c r="C352" s="207" t="s">
        <v>71</v>
      </c>
      <c r="D352" s="191">
        <v>-20000.0</v>
      </c>
      <c r="E352" s="174" t="s">
        <v>66</v>
      </c>
      <c r="F352" s="218">
        <v>0.0</v>
      </c>
      <c r="G352" s="194">
        <f t="shared" si="2"/>
        <v>678000</v>
      </c>
      <c r="H352" s="195"/>
      <c r="I352" s="195"/>
    </row>
    <row r="353" ht="30.0" customHeight="1">
      <c r="A353" s="230">
        <v>46091.0</v>
      </c>
      <c r="B353" s="197" t="s">
        <v>38</v>
      </c>
      <c r="C353" s="220" t="s">
        <v>77</v>
      </c>
      <c r="D353" s="191">
        <v>-10000.0</v>
      </c>
      <c r="E353" s="174" t="s">
        <v>66</v>
      </c>
      <c r="F353" s="218">
        <v>0.0</v>
      </c>
      <c r="G353" s="194">
        <f t="shared" si="2"/>
        <v>668000</v>
      </c>
      <c r="H353" s="195"/>
      <c r="I353" s="195"/>
    </row>
    <row r="354" ht="30.0" customHeight="1">
      <c r="A354" s="230">
        <v>46091.0</v>
      </c>
      <c r="B354" s="197" t="s">
        <v>55</v>
      </c>
      <c r="C354" s="198" t="s">
        <v>176</v>
      </c>
      <c r="D354" s="191">
        <v>-10000.0</v>
      </c>
      <c r="E354" s="174" t="s">
        <v>66</v>
      </c>
      <c r="F354" s="218">
        <v>0.0</v>
      </c>
      <c r="G354" s="194">
        <f t="shared" si="2"/>
        <v>658000</v>
      </c>
      <c r="H354" s="195"/>
      <c r="I354" s="195"/>
    </row>
    <row r="355" ht="30.0" customHeight="1">
      <c r="A355" s="230">
        <v>46092.0</v>
      </c>
      <c r="B355" s="197" t="s">
        <v>38</v>
      </c>
      <c r="C355" s="198" t="s">
        <v>75</v>
      </c>
      <c r="D355" s="191">
        <v>-10000.0</v>
      </c>
      <c r="E355" s="174" t="s">
        <v>66</v>
      </c>
      <c r="F355" s="218">
        <v>0.0</v>
      </c>
      <c r="G355" s="194">
        <f t="shared" si="2"/>
        <v>648000</v>
      </c>
      <c r="H355" s="195"/>
      <c r="I355" s="195"/>
    </row>
    <row r="356" ht="30.0" customHeight="1">
      <c r="A356" s="230">
        <v>46092.0</v>
      </c>
      <c r="B356" s="197" t="s">
        <v>55</v>
      </c>
      <c r="C356" s="198" t="s">
        <v>73</v>
      </c>
      <c r="D356" s="191">
        <v>-7000.0</v>
      </c>
      <c r="E356" s="174" t="s">
        <v>66</v>
      </c>
      <c r="F356" s="218">
        <v>0.0</v>
      </c>
      <c r="G356" s="194">
        <f t="shared" si="2"/>
        <v>641000</v>
      </c>
      <c r="H356" s="195"/>
      <c r="I356" s="195"/>
    </row>
    <row r="357" ht="30.0" customHeight="1">
      <c r="A357" s="230">
        <v>46092.0</v>
      </c>
      <c r="B357" s="197" t="s">
        <v>55</v>
      </c>
      <c r="C357" s="198" t="s">
        <v>86</v>
      </c>
      <c r="D357" s="191">
        <v>-3000.0</v>
      </c>
      <c r="E357" s="174" t="s">
        <v>66</v>
      </c>
      <c r="F357" s="218">
        <v>0.0</v>
      </c>
      <c r="G357" s="194">
        <f t="shared" si="2"/>
        <v>638000</v>
      </c>
      <c r="H357" s="195"/>
      <c r="I357" s="195"/>
    </row>
    <row r="358" ht="30.0" customHeight="1">
      <c r="A358" s="230">
        <v>46092.0</v>
      </c>
      <c r="B358" s="197" t="s">
        <v>55</v>
      </c>
      <c r="C358" s="198" t="s">
        <v>73</v>
      </c>
      <c r="D358" s="191">
        <v>-10000.0</v>
      </c>
      <c r="E358" s="174" t="s">
        <v>66</v>
      </c>
      <c r="F358" s="218">
        <v>0.0</v>
      </c>
      <c r="G358" s="194">
        <f t="shared" si="2"/>
        <v>628000</v>
      </c>
      <c r="H358" s="195"/>
      <c r="I358" s="195"/>
    </row>
    <row r="359" ht="30.0" customHeight="1">
      <c r="A359" s="230">
        <v>46093.0</v>
      </c>
      <c r="B359" s="197" t="s">
        <v>55</v>
      </c>
      <c r="C359" s="198" t="s">
        <v>98</v>
      </c>
      <c r="D359" s="191">
        <v>-7000.0</v>
      </c>
      <c r="E359" s="174" t="s">
        <v>66</v>
      </c>
      <c r="F359" s="218">
        <v>0.0</v>
      </c>
      <c r="G359" s="194">
        <f t="shared" si="2"/>
        <v>621000</v>
      </c>
      <c r="H359" s="195"/>
      <c r="I359" s="195"/>
    </row>
    <row r="360" ht="30.0" customHeight="1">
      <c r="A360" s="230">
        <v>46095.0</v>
      </c>
      <c r="B360" s="197" t="s">
        <v>38</v>
      </c>
      <c r="C360" s="198" t="s">
        <v>75</v>
      </c>
      <c r="D360" s="191">
        <v>-80000.0</v>
      </c>
      <c r="E360" s="174" t="s">
        <v>66</v>
      </c>
      <c r="F360" s="218">
        <v>0.0</v>
      </c>
      <c r="G360" s="194">
        <f t="shared" si="2"/>
        <v>541000</v>
      </c>
      <c r="H360" s="195"/>
      <c r="I360" s="195"/>
    </row>
    <row r="361" ht="30.0" customHeight="1">
      <c r="A361" s="230">
        <v>46095.0</v>
      </c>
      <c r="B361" s="197" t="s">
        <v>38</v>
      </c>
      <c r="C361" s="198" t="s">
        <v>64</v>
      </c>
      <c r="D361" s="191">
        <v>-15000.0</v>
      </c>
      <c r="E361" s="174" t="s">
        <v>66</v>
      </c>
      <c r="F361" s="218">
        <v>0.0</v>
      </c>
      <c r="G361" s="194">
        <f t="shared" si="2"/>
        <v>526000</v>
      </c>
      <c r="H361" s="195"/>
      <c r="I361" s="195"/>
    </row>
    <row r="362" ht="30.0" customHeight="1">
      <c r="A362" s="230">
        <v>46095.0</v>
      </c>
      <c r="B362" s="197" t="s">
        <v>55</v>
      </c>
      <c r="C362" s="198" t="s">
        <v>161</v>
      </c>
      <c r="D362" s="191">
        <v>-10000.0</v>
      </c>
      <c r="E362" s="174" t="s">
        <v>66</v>
      </c>
      <c r="F362" s="218">
        <v>0.0</v>
      </c>
      <c r="G362" s="194">
        <f t="shared" si="2"/>
        <v>516000</v>
      </c>
      <c r="H362" s="195"/>
      <c r="I362" s="195"/>
    </row>
    <row r="363" ht="30.0" customHeight="1">
      <c r="A363" s="230">
        <v>46095.0</v>
      </c>
      <c r="B363" s="197" t="s">
        <v>55</v>
      </c>
      <c r="C363" s="207" t="s">
        <v>71</v>
      </c>
      <c r="D363" s="191">
        <v>-10000.0</v>
      </c>
      <c r="E363" s="174" t="s">
        <v>66</v>
      </c>
      <c r="F363" s="218">
        <v>0.0</v>
      </c>
      <c r="G363" s="194">
        <f t="shared" si="2"/>
        <v>506000</v>
      </c>
      <c r="H363" s="195"/>
      <c r="I363" s="195"/>
    </row>
    <row r="364" ht="30.0" customHeight="1">
      <c r="A364" s="230">
        <v>46096.0</v>
      </c>
      <c r="B364" s="197" t="s">
        <v>37</v>
      </c>
      <c r="C364" s="198" t="s">
        <v>159</v>
      </c>
      <c r="D364" s="191">
        <v>-50000.0</v>
      </c>
      <c r="E364" s="174" t="s">
        <v>66</v>
      </c>
      <c r="F364" s="218">
        <v>0.0</v>
      </c>
      <c r="G364" s="194">
        <f t="shared" si="2"/>
        <v>456000</v>
      </c>
      <c r="H364" s="195"/>
      <c r="I364" s="195"/>
    </row>
    <row r="365" ht="30.0" customHeight="1">
      <c r="A365" s="230">
        <v>46096.0</v>
      </c>
      <c r="B365" s="197" t="s">
        <v>37</v>
      </c>
      <c r="C365" s="198" t="s">
        <v>107</v>
      </c>
      <c r="D365" s="191">
        <v>-50000.0</v>
      </c>
      <c r="E365" s="174" t="s">
        <v>66</v>
      </c>
      <c r="F365" s="218">
        <v>0.0</v>
      </c>
      <c r="G365" s="194">
        <f t="shared" si="2"/>
        <v>406000</v>
      </c>
      <c r="H365" s="195"/>
      <c r="I365" s="195"/>
    </row>
    <row r="366" ht="30.0" customHeight="1">
      <c r="A366" s="232">
        <v>46097.0</v>
      </c>
      <c r="B366" s="197" t="s">
        <v>38</v>
      </c>
      <c r="C366" s="198" t="s">
        <v>1</v>
      </c>
      <c r="D366" s="191">
        <v>-40000.0</v>
      </c>
      <c r="E366" s="174" t="s">
        <v>66</v>
      </c>
      <c r="F366" s="218">
        <v>0.0</v>
      </c>
      <c r="G366" s="194">
        <f t="shared" si="2"/>
        <v>366000</v>
      </c>
      <c r="H366" s="195"/>
      <c r="I366" s="195"/>
    </row>
    <row r="367" ht="30.0" customHeight="1">
      <c r="A367" s="232">
        <v>46097.0</v>
      </c>
      <c r="B367" s="197" t="s">
        <v>38</v>
      </c>
      <c r="C367" s="198" t="s">
        <v>64</v>
      </c>
      <c r="D367" s="191">
        <v>0.0</v>
      </c>
      <c r="E367" s="174" t="s">
        <v>61</v>
      </c>
      <c r="F367" s="218">
        <v>30000.0</v>
      </c>
      <c r="G367" s="194">
        <f t="shared" si="2"/>
        <v>366000</v>
      </c>
      <c r="H367" s="195"/>
      <c r="I367" s="195"/>
    </row>
    <row r="368" ht="30.0" customHeight="1">
      <c r="A368" s="232">
        <v>46097.0</v>
      </c>
      <c r="B368" s="200" t="s">
        <v>59</v>
      </c>
      <c r="C368" s="198" t="s">
        <v>177</v>
      </c>
      <c r="D368" s="191">
        <v>0.0</v>
      </c>
      <c r="E368" s="174" t="s">
        <v>61</v>
      </c>
      <c r="F368" s="218">
        <v>1500000.0</v>
      </c>
      <c r="G368" s="194">
        <f t="shared" si="2"/>
        <v>366000</v>
      </c>
      <c r="H368" s="195"/>
      <c r="I368" s="195"/>
    </row>
    <row r="369" ht="30.0" customHeight="1">
      <c r="A369" s="232">
        <v>46097.0</v>
      </c>
      <c r="B369" s="200" t="s">
        <v>59</v>
      </c>
      <c r="C369" s="198" t="s">
        <v>65</v>
      </c>
      <c r="D369" s="191">
        <v>0.0</v>
      </c>
      <c r="E369" s="174" t="s">
        <v>61</v>
      </c>
      <c r="F369" s="218">
        <v>1000000.0</v>
      </c>
      <c r="G369" s="194">
        <f t="shared" si="2"/>
        <v>366000</v>
      </c>
      <c r="H369" s="195"/>
      <c r="I369" s="195"/>
    </row>
    <row r="370" ht="30.0" customHeight="1">
      <c r="A370" s="232">
        <v>46098.0</v>
      </c>
      <c r="B370" s="197" t="s">
        <v>38</v>
      </c>
      <c r="C370" s="198" t="s">
        <v>1</v>
      </c>
      <c r="D370" s="191">
        <v>-55000.0</v>
      </c>
      <c r="E370" s="174" t="s">
        <v>66</v>
      </c>
      <c r="F370" s="218">
        <v>0.0</v>
      </c>
      <c r="G370" s="194">
        <f t="shared" si="2"/>
        <v>311000</v>
      </c>
      <c r="H370" s="195"/>
      <c r="I370" s="195"/>
    </row>
    <row r="371" ht="30.0" customHeight="1">
      <c r="A371" s="232">
        <v>46098.0</v>
      </c>
      <c r="B371" s="197" t="s">
        <v>55</v>
      </c>
      <c r="C371" s="198" t="s">
        <v>73</v>
      </c>
      <c r="D371" s="191">
        <v>-10000.0</v>
      </c>
      <c r="E371" s="174" t="s">
        <v>66</v>
      </c>
      <c r="F371" s="218">
        <v>0.0</v>
      </c>
      <c r="G371" s="194">
        <f t="shared" si="2"/>
        <v>301000</v>
      </c>
      <c r="H371" s="195"/>
      <c r="I371" s="195"/>
    </row>
    <row r="372" ht="30.0" customHeight="1">
      <c r="A372" s="232">
        <v>46098.0</v>
      </c>
      <c r="B372" s="197" t="s">
        <v>55</v>
      </c>
      <c r="C372" s="198" t="s">
        <v>178</v>
      </c>
      <c r="D372" s="191">
        <v>-25000.0</v>
      </c>
      <c r="E372" s="174" t="s">
        <v>66</v>
      </c>
      <c r="F372" s="218">
        <v>0.0</v>
      </c>
      <c r="G372" s="194">
        <f t="shared" si="2"/>
        <v>276000</v>
      </c>
      <c r="H372" s="195"/>
      <c r="I372" s="195"/>
    </row>
    <row r="373" ht="30.0" customHeight="1">
      <c r="A373" s="232">
        <v>46098.0</v>
      </c>
      <c r="B373" s="197" t="s">
        <v>38</v>
      </c>
      <c r="C373" s="220" t="s">
        <v>77</v>
      </c>
      <c r="D373" s="191">
        <v>-5000.0</v>
      </c>
      <c r="E373" s="174" t="s">
        <v>66</v>
      </c>
      <c r="F373" s="218">
        <v>0.0</v>
      </c>
      <c r="G373" s="194">
        <f t="shared" si="2"/>
        <v>271000</v>
      </c>
      <c r="H373" s="195"/>
      <c r="I373" s="195"/>
    </row>
    <row r="374" ht="30.0" customHeight="1">
      <c r="A374" s="232">
        <v>46098.0</v>
      </c>
      <c r="B374" s="197" t="s">
        <v>55</v>
      </c>
      <c r="C374" s="198" t="s">
        <v>179</v>
      </c>
      <c r="D374" s="191">
        <v>-10000.0</v>
      </c>
      <c r="E374" s="174" t="s">
        <v>66</v>
      </c>
      <c r="F374" s="218">
        <v>0.0</v>
      </c>
      <c r="G374" s="194">
        <f t="shared" si="2"/>
        <v>261000</v>
      </c>
      <c r="H374" s="195"/>
      <c r="I374" s="195"/>
    </row>
    <row r="375" ht="30.0" customHeight="1">
      <c r="A375" s="232">
        <v>46098.0</v>
      </c>
      <c r="B375" s="197" t="s">
        <v>55</v>
      </c>
      <c r="C375" s="198" t="s">
        <v>180</v>
      </c>
      <c r="D375" s="191">
        <v>-4000.0</v>
      </c>
      <c r="E375" s="174" t="s">
        <v>66</v>
      </c>
      <c r="F375" s="218">
        <v>0.0</v>
      </c>
      <c r="G375" s="194">
        <f t="shared" si="2"/>
        <v>257000</v>
      </c>
      <c r="H375" s="195"/>
      <c r="I375" s="195"/>
    </row>
    <row r="376" ht="30.0" customHeight="1">
      <c r="A376" s="232">
        <v>46098.0</v>
      </c>
      <c r="B376" s="197" t="s">
        <v>55</v>
      </c>
      <c r="C376" s="207" t="s">
        <v>71</v>
      </c>
      <c r="D376" s="191">
        <v>-10000.0</v>
      </c>
      <c r="E376" s="174" t="s">
        <v>66</v>
      </c>
      <c r="F376" s="218">
        <v>0.0</v>
      </c>
      <c r="G376" s="194">
        <f t="shared" si="2"/>
        <v>247000</v>
      </c>
      <c r="H376" s="195"/>
      <c r="I376" s="195"/>
    </row>
    <row r="377" ht="30.0" customHeight="1">
      <c r="A377" s="232">
        <v>46099.0</v>
      </c>
      <c r="B377" s="197" t="s">
        <v>67</v>
      </c>
      <c r="C377" s="198" t="s">
        <v>181</v>
      </c>
      <c r="D377" s="191">
        <v>2500000.0</v>
      </c>
      <c r="E377" s="212" t="s">
        <v>61</v>
      </c>
      <c r="F377" s="218">
        <v>2500000.0</v>
      </c>
      <c r="G377" s="194">
        <f t="shared" si="2"/>
        <v>2747000</v>
      </c>
      <c r="H377" s="195"/>
      <c r="I377" s="195"/>
    </row>
    <row r="378" ht="30.0" customHeight="1">
      <c r="A378" s="232">
        <v>46100.0</v>
      </c>
      <c r="B378" s="197" t="s">
        <v>38</v>
      </c>
      <c r="C378" s="198" t="s">
        <v>1</v>
      </c>
      <c r="D378" s="191">
        <v>-100000.0</v>
      </c>
      <c r="E378" s="174" t="s">
        <v>66</v>
      </c>
      <c r="F378" s="218">
        <v>0.0</v>
      </c>
      <c r="G378" s="194">
        <f t="shared" si="2"/>
        <v>2647000</v>
      </c>
      <c r="H378" s="195"/>
      <c r="I378" s="195"/>
    </row>
    <row r="379" ht="30.0" customHeight="1">
      <c r="A379" s="232">
        <v>46100.0</v>
      </c>
      <c r="B379" s="197" t="s">
        <v>38</v>
      </c>
      <c r="C379" s="198" t="s">
        <v>75</v>
      </c>
      <c r="D379" s="191">
        <v>-5000.0</v>
      </c>
      <c r="E379" s="174" t="s">
        <v>66</v>
      </c>
      <c r="F379" s="218">
        <v>0.0</v>
      </c>
      <c r="G379" s="194">
        <f t="shared" si="2"/>
        <v>2642000</v>
      </c>
      <c r="H379" s="195"/>
      <c r="I379" s="195"/>
    </row>
    <row r="380" ht="30.0" customHeight="1">
      <c r="A380" s="232">
        <v>46100.0</v>
      </c>
      <c r="B380" s="197" t="s">
        <v>38</v>
      </c>
      <c r="C380" s="198" t="s">
        <v>75</v>
      </c>
      <c r="D380" s="191">
        <v>-260000.0</v>
      </c>
      <c r="E380" s="174" t="s">
        <v>66</v>
      </c>
      <c r="F380" s="218">
        <v>0.0</v>
      </c>
      <c r="G380" s="194">
        <f t="shared" si="2"/>
        <v>2382000</v>
      </c>
      <c r="H380" s="195"/>
      <c r="I380" s="195"/>
    </row>
    <row r="381" ht="30.0" customHeight="1">
      <c r="A381" s="232">
        <v>46100.0</v>
      </c>
      <c r="B381" s="197" t="s">
        <v>38</v>
      </c>
      <c r="C381" s="198" t="s">
        <v>64</v>
      </c>
      <c r="D381" s="191">
        <v>-25000.0</v>
      </c>
      <c r="E381" s="174" t="s">
        <v>66</v>
      </c>
      <c r="F381" s="218">
        <v>0.0</v>
      </c>
      <c r="G381" s="194">
        <f t="shared" si="2"/>
        <v>2357000</v>
      </c>
      <c r="H381" s="195"/>
      <c r="I381" s="195"/>
    </row>
    <row r="382" ht="30.0" customHeight="1">
      <c r="A382" s="232">
        <v>46100.0</v>
      </c>
      <c r="B382" s="197" t="s">
        <v>55</v>
      </c>
      <c r="C382" s="198" t="s">
        <v>182</v>
      </c>
      <c r="D382" s="191">
        <v>-435000.0</v>
      </c>
      <c r="E382" s="174" t="s">
        <v>66</v>
      </c>
      <c r="F382" s="218">
        <v>0.0</v>
      </c>
      <c r="G382" s="194">
        <f t="shared" si="2"/>
        <v>1922000</v>
      </c>
      <c r="H382" s="195"/>
      <c r="I382" s="195"/>
    </row>
    <row r="383" ht="30.0" customHeight="1">
      <c r="A383" s="232">
        <v>46100.0</v>
      </c>
      <c r="B383" s="197" t="s">
        <v>55</v>
      </c>
      <c r="C383" s="198" t="s">
        <v>183</v>
      </c>
      <c r="D383" s="191">
        <v>-10000.0</v>
      </c>
      <c r="E383" s="174" t="s">
        <v>66</v>
      </c>
      <c r="F383" s="218">
        <v>0.0</v>
      </c>
      <c r="G383" s="194">
        <f t="shared" si="2"/>
        <v>1912000</v>
      </c>
      <c r="H383" s="195"/>
      <c r="I383" s="195"/>
    </row>
    <row r="384" ht="30.0" customHeight="1">
      <c r="A384" s="232">
        <v>46100.0</v>
      </c>
      <c r="B384" s="197" t="s">
        <v>38</v>
      </c>
      <c r="C384" s="198" t="s">
        <v>58</v>
      </c>
      <c r="D384" s="191">
        <v>-10000.0</v>
      </c>
      <c r="E384" s="174" t="s">
        <v>66</v>
      </c>
      <c r="F384" s="218">
        <v>0.0</v>
      </c>
      <c r="G384" s="194">
        <f t="shared" si="2"/>
        <v>1902000</v>
      </c>
      <c r="H384" s="195"/>
      <c r="I384" s="195"/>
    </row>
    <row r="385" ht="30.0" customHeight="1">
      <c r="A385" s="232">
        <v>46102.0</v>
      </c>
      <c r="B385" s="197" t="s">
        <v>38</v>
      </c>
      <c r="C385" s="220" t="s">
        <v>77</v>
      </c>
      <c r="D385" s="191">
        <v>-25000.0</v>
      </c>
      <c r="E385" s="174" t="s">
        <v>66</v>
      </c>
      <c r="F385" s="218">
        <v>0.0</v>
      </c>
      <c r="G385" s="194">
        <f t="shared" si="2"/>
        <v>1877000</v>
      </c>
      <c r="H385" s="195"/>
      <c r="I385" s="195"/>
    </row>
    <row r="386" ht="30.0" customHeight="1">
      <c r="A386" s="232">
        <v>46102.0</v>
      </c>
      <c r="B386" s="197" t="s">
        <v>55</v>
      </c>
      <c r="C386" s="220" t="s">
        <v>77</v>
      </c>
      <c r="D386" s="191">
        <v>-5000.0</v>
      </c>
      <c r="E386" s="174" t="s">
        <v>66</v>
      </c>
      <c r="F386" s="218">
        <v>0.0</v>
      </c>
      <c r="G386" s="194">
        <f t="shared" si="2"/>
        <v>1872000</v>
      </c>
      <c r="H386" s="195"/>
      <c r="I386" s="195"/>
    </row>
    <row r="387" ht="30.0" customHeight="1">
      <c r="A387" s="232">
        <v>46102.0</v>
      </c>
      <c r="B387" s="197" t="s">
        <v>38</v>
      </c>
      <c r="C387" s="221" t="s">
        <v>81</v>
      </c>
      <c r="D387" s="191">
        <v>-40000.0</v>
      </c>
      <c r="E387" s="174" t="s">
        <v>66</v>
      </c>
      <c r="F387" s="218">
        <v>0.0</v>
      </c>
      <c r="G387" s="194">
        <f t="shared" si="2"/>
        <v>1832000</v>
      </c>
      <c r="H387" s="195"/>
      <c r="I387" s="195"/>
    </row>
    <row r="388" ht="30.0" customHeight="1">
      <c r="A388" s="232">
        <v>46102.0</v>
      </c>
      <c r="B388" s="197" t="s">
        <v>55</v>
      </c>
      <c r="C388" s="198" t="s">
        <v>184</v>
      </c>
      <c r="D388" s="191">
        <v>-40000.0</v>
      </c>
      <c r="E388" s="174" t="s">
        <v>66</v>
      </c>
      <c r="F388" s="218">
        <v>0.0</v>
      </c>
      <c r="G388" s="194">
        <f t="shared" si="2"/>
        <v>1792000</v>
      </c>
      <c r="H388" s="195"/>
      <c r="I388" s="195"/>
    </row>
    <row r="389" ht="30.0" customHeight="1">
      <c r="A389" s="232">
        <v>46103.0</v>
      </c>
      <c r="B389" s="197" t="s">
        <v>38</v>
      </c>
      <c r="C389" s="198" t="s">
        <v>64</v>
      </c>
      <c r="D389" s="191">
        <v>0.0</v>
      </c>
      <c r="E389" s="174" t="s">
        <v>61</v>
      </c>
      <c r="F389" s="218">
        <v>30000.0</v>
      </c>
      <c r="G389" s="194">
        <f t="shared" si="2"/>
        <v>1792000</v>
      </c>
      <c r="H389" s="195"/>
      <c r="I389" s="195"/>
    </row>
    <row r="390" ht="30.0" customHeight="1">
      <c r="A390" s="232">
        <v>46103.0</v>
      </c>
      <c r="B390" s="197" t="s">
        <v>38</v>
      </c>
      <c r="C390" s="198" t="s">
        <v>64</v>
      </c>
      <c r="D390" s="191">
        <v>0.0</v>
      </c>
      <c r="E390" s="174" t="s">
        <v>61</v>
      </c>
      <c r="F390" s="218">
        <v>200000.0</v>
      </c>
      <c r="G390" s="194">
        <f t="shared" si="2"/>
        <v>1792000</v>
      </c>
      <c r="H390" s="195"/>
      <c r="I390" s="195"/>
    </row>
    <row r="391" ht="30.0" customHeight="1">
      <c r="A391" s="232">
        <v>46103.0</v>
      </c>
      <c r="B391" s="197" t="s">
        <v>38</v>
      </c>
      <c r="C391" s="198" t="s">
        <v>185</v>
      </c>
      <c r="D391" s="191">
        <v>-500000.0</v>
      </c>
      <c r="E391" s="174" t="s">
        <v>66</v>
      </c>
      <c r="F391" s="218">
        <v>0.0</v>
      </c>
      <c r="G391" s="194">
        <f t="shared" si="2"/>
        <v>1292000</v>
      </c>
      <c r="H391" s="195"/>
      <c r="I391" s="195"/>
    </row>
    <row r="392" ht="30.0" customHeight="1">
      <c r="A392" s="232">
        <v>46103.0</v>
      </c>
      <c r="B392" s="197" t="s">
        <v>38</v>
      </c>
      <c r="C392" s="191" t="s">
        <v>106</v>
      </c>
      <c r="D392" s="191">
        <v>-10000.0</v>
      </c>
      <c r="E392" s="174" t="s">
        <v>66</v>
      </c>
      <c r="F392" s="218">
        <v>0.0</v>
      </c>
      <c r="G392" s="194">
        <f t="shared" si="2"/>
        <v>1282000</v>
      </c>
      <c r="H392" s="195"/>
      <c r="I392" s="195"/>
    </row>
    <row r="393" ht="30.0" customHeight="1">
      <c r="A393" s="232">
        <v>46103.0</v>
      </c>
      <c r="B393" s="197" t="s">
        <v>38</v>
      </c>
      <c r="C393" s="191" t="s">
        <v>106</v>
      </c>
      <c r="D393" s="191">
        <v>-8000.0</v>
      </c>
      <c r="E393" s="174" t="s">
        <v>66</v>
      </c>
      <c r="F393" s="218">
        <v>0.0</v>
      </c>
      <c r="G393" s="194">
        <f t="shared" si="2"/>
        <v>1274000</v>
      </c>
      <c r="H393" s="195"/>
      <c r="I393" s="195"/>
    </row>
    <row r="394" ht="30.0" customHeight="1">
      <c r="A394" s="232">
        <v>46103.0</v>
      </c>
      <c r="B394" s="197" t="s">
        <v>55</v>
      </c>
      <c r="C394" s="220" t="s">
        <v>77</v>
      </c>
      <c r="D394" s="191">
        <v>-2000.0</v>
      </c>
      <c r="E394" s="174" t="s">
        <v>66</v>
      </c>
      <c r="F394" s="218">
        <v>0.0</v>
      </c>
      <c r="G394" s="194">
        <f t="shared" si="2"/>
        <v>1272000</v>
      </c>
      <c r="H394" s="195"/>
      <c r="I394" s="195"/>
    </row>
    <row r="395" ht="30.0" customHeight="1">
      <c r="A395" s="232">
        <v>46103.0</v>
      </c>
      <c r="B395" s="197" t="s">
        <v>38</v>
      </c>
      <c r="C395" s="198" t="s">
        <v>58</v>
      </c>
      <c r="D395" s="191">
        <v>-5000.0</v>
      </c>
      <c r="E395" s="174" t="s">
        <v>66</v>
      </c>
      <c r="F395" s="218">
        <v>0.0</v>
      </c>
      <c r="G395" s="194">
        <f t="shared" si="2"/>
        <v>1267000</v>
      </c>
      <c r="H395" s="195"/>
      <c r="I395" s="195"/>
    </row>
    <row r="396" ht="30.0" customHeight="1">
      <c r="A396" s="232">
        <v>46104.0</v>
      </c>
      <c r="B396" s="197" t="s">
        <v>38</v>
      </c>
      <c r="C396" s="198" t="s">
        <v>1</v>
      </c>
      <c r="D396" s="191">
        <v>-32000.0</v>
      </c>
      <c r="E396" s="174" t="s">
        <v>66</v>
      </c>
      <c r="F396" s="218">
        <v>0.0</v>
      </c>
      <c r="G396" s="194">
        <f t="shared" si="2"/>
        <v>1235000</v>
      </c>
      <c r="H396" s="195"/>
      <c r="I396" s="195"/>
    </row>
    <row r="397" ht="30.0" customHeight="1">
      <c r="A397" s="232">
        <v>46104.0</v>
      </c>
      <c r="B397" s="197" t="s">
        <v>38</v>
      </c>
      <c r="C397" s="191" t="s">
        <v>106</v>
      </c>
      <c r="D397" s="191">
        <v>-75000.0</v>
      </c>
      <c r="E397" s="174" t="s">
        <v>66</v>
      </c>
      <c r="F397" s="218">
        <v>0.0</v>
      </c>
      <c r="G397" s="194">
        <f t="shared" si="2"/>
        <v>1160000</v>
      </c>
      <c r="H397" s="195"/>
      <c r="I397" s="195"/>
    </row>
    <row r="398" ht="30.0" customHeight="1">
      <c r="A398" s="232">
        <v>46104.0</v>
      </c>
      <c r="B398" s="197" t="s">
        <v>55</v>
      </c>
      <c r="C398" s="198" t="s">
        <v>186</v>
      </c>
      <c r="D398" s="191">
        <v>-35000.0</v>
      </c>
      <c r="E398" s="174" t="s">
        <v>66</v>
      </c>
      <c r="F398" s="218">
        <v>0.0</v>
      </c>
      <c r="G398" s="194">
        <f t="shared" si="2"/>
        <v>1125000</v>
      </c>
      <c r="H398" s="195"/>
      <c r="I398" s="195"/>
    </row>
    <row r="399" ht="30.0" customHeight="1">
      <c r="A399" s="232">
        <v>46104.0</v>
      </c>
      <c r="B399" s="197" t="s">
        <v>38</v>
      </c>
      <c r="C399" s="220" t="s">
        <v>77</v>
      </c>
      <c r="D399" s="191">
        <v>-20000.0</v>
      </c>
      <c r="E399" s="174" t="s">
        <v>66</v>
      </c>
      <c r="F399" s="218">
        <v>0.0</v>
      </c>
      <c r="G399" s="194">
        <f t="shared" si="2"/>
        <v>1105000</v>
      </c>
      <c r="H399" s="195"/>
      <c r="I399" s="195"/>
    </row>
    <row r="400" ht="30.0" customHeight="1">
      <c r="A400" s="232">
        <v>46104.0</v>
      </c>
      <c r="B400" s="197" t="s">
        <v>38</v>
      </c>
      <c r="C400" s="220" t="s">
        <v>77</v>
      </c>
      <c r="D400" s="191">
        <v>-3000.0</v>
      </c>
      <c r="E400" s="174" t="s">
        <v>66</v>
      </c>
      <c r="F400" s="218">
        <v>0.0</v>
      </c>
      <c r="G400" s="194">
        <f t="shared" si="2"/>
        <v>1102000</v>
      </c>
      <c r="H400" s="195"/>
      <c r="I400" s="195"/>
    </row>
    <row r="401" ht="30.0" customHeight="1">
      <c r="A401" s="232">
        <v>46106.0</v>
      </c>
      <c r="B401" s="197" t="s">
        <v>38</v>
      </c>
      <c r="C401" s="174" t="s">
        <v>75</v>
      </c>
      <c r="D401" s="191">
        <v>-5000.0</v>
      </c>
      <c r="E401" s="174" t="s">
        <v>66</v>
      </c>
      <c r="F401" s="218">
        <v>0.0</v>
      </c>
      <c r="G401" s="194">
        <f t="shared" si="2"/>
        <v>1097000</v>
      </c>
      <c r="H401" s="233"/>
      <c r="I401" s="195"/>
    </row>
    <row r="402" ht="30.0" customHeight="1">
      <c r="A402" s="232">
        <v>46106.0</v>
      </c>
      <c r="B402" s="197" t="s">
        <v>38</v>
      </c>
      <c r="C402" s="198" t="s">
        <v>64</v>
      </c>
      <c r="D402" s="191">
        <v>-50000.0</v>
      </c>
      <c r="E402" s="174" t="s">
        <v>66</v>
      </c>
      <c r="F402" s="218">
        <v>0.0</v>
      </c>
      <c r="G402" s="194">
        <f t="shared" si="2"/>
        <v>1047000</v>
      </c>
      <c r="H402" s="233"/>
      <c r="I402" s="195"/>
    </row>
    <row r="403" ht="30.0" customHeight="1">
      <c r="A403" s="232">
        <v>46106.0</v>
      </c>
      <c r="B403" s="197" t="s">
        <v>38</v>
      </c>
      <c r="C403" s="191" t="s">
        <v>106</v>
      </c>
      <c r="D403" s="191">
        <v>-5000.0</v>
      </c>
      <c r="E403" s="174" t="s">
        <v>61</v>
      </c>
      <c r="F403" s="218">
        <v>5000.0</v>
      </c>
      <c r="G403" s="194">
        <f t="shared" si="2"/>
        <v>1042000</v>
      </c>
      <c r="H403" s="233"/>
      <c r="I403" s="195"/>
    </row>
    <row r="404" ht="30.0" customHeight="1">
      <c r="A404" s="232">
        <v>46106.0</v>
      </c>
      <c r="B404" s="197" t="s">
        <v>55</v>
      </c>
      <c r="C404" s="198" t="s">
        <v>187</v>
      </c>
      <c r="D404" s="191">
        <v>-122000.0</v>
      </c>
      <c r="E404" s="174" t="s">
        <v>66</v>
      </c>
      <c r="F404" s="218">
        <v>0.0</v>
      </c>
      <c r="G404" s="194">
        <f t="shared" si="2"/>
        <v>920000</v>
      </c>
      <c r="H404" s="195"/>
      <c r="I404" s="195"/>
    </row>
    <row r="405" ht="30.0" customHeight="1">
      <c r="A405" s="232">
        <v>46106.0</v>
      </c>
      <c r="B405" s="197" t="s">
        <v>67</v>
      </c>
      <c r="C405" s="190" t="s">
        <v>188</v>
      </c>
      <c r="D405" s="191">
        <v>4725000.0</v>
      </c>
      <c r="E405" s="174" t="s">
        <v>61</v>
      </c>
      <c r="F405" s="218">
        <v>4725000.0</v>
      </c>
      <c r="G405" s="194">
        <f t="shared" si="2"/>
        <v>5645000</v>
      </c>
      <c r="H405" s="195"/>
      <c r="I405" s="195"/>
    </row>
    <row r="406" ht="30.0" customHeight="1">
      <c r="A406" s="232">
        <v>46106.0</v>
      </c>
      <c r="B406" s="197" t="s">
        <v>55</v>
      </c>
      <c r="C406" s="174" t="s">
        <v>111</v>
      </c>
      <c r="D406" s="191">
        <v>-5000.0</v>
      </c>
      <c r="E406" s="174" t="s">
        <v>66</v>
      </c>
      <c r="F406" s="218">
        <v>0.0</v>
      </c>
      <c r="G406" s="194">
        <f t="shared" si="2"/>
        <v>5640000</v>
      </c>
      <c r="H406" s="233"/>
      <c r="I406" s="195"/>
    </row>
    <row r="407" ht="30.0" customHeight="1">
      <c r="A407" s="232">
        <v>46106.0</v>
      </c>
      <c r="B407" s="197" t="s">
        <v>55</v>
      </c>
      <c r="C407" s="174" t="s">
        <v>73</v>
      </c>
      <c r="D407" s="191">
        <v>-5000.0</v>
      </c>
      <c r="E407" s="174" t="s">
        <v>66</v>
      </c>
      <c r="F407" s="218">
        <v>0.0</v>
      </c>
      <c r="G407" s="194">
        <f t="shared" si="2"/>
        <v>5635000</v>
      </c>
      <c r="H407" s="233"/>
      <c r="I407" s="195"/>
    </row>
    <row r="408" ht="30.0" customHeight="1">
      <c r="A408" s="232">
        <v>46106.0</v>
      </c>
      <c r="B408" s="197" t="s">
        <v>55</v>
      </c>
      <c r="C408" s="174" t="s">
        <v>123</v>
      </c>
      <c r="D408" s="191">
        <v>-55000.0</v>
      </c>
      <c r="E408" s="174" t="s">
        <v>66</v>
      </c>
      <c r="F408" s="218">
        <v>0.0</v>
      </c>
      <c r="G408" s="194">
        <f t="shared" si="2"/>
        <v>5580000</v>
      </c>
      <c r="H408" s="233"/>
      <c r="I408" s="195"/>
    </row>
    <row r="409" ht="30.0" customHeight="1">
      <c r="A409" s="232">
        <v>46106.0</v>
      </c>
      <c r="B409" s="197" t="s">
        <v>38</v>
      </c>
      <c r="C409" s="220" t="s">
        <v>77</v>
      </c>
      <c r="D409" s="191">
        <v>-5000.0</v>
      </c>
      <c r="E409" s="174" t="s">
        <v>66</v>
      </c>
      <c r="F409" s="218">
        <v>0.0</v>
      </c>
      <c r="G409" s="194">
        <f t="shared" si="2"/>
        <v>5575000</v>
      </c>
      <c r="H409" s="233"/>
      <c r="I409" s="195"/>
    </row>
    <row r="410" ht="30.0" customHeight="1">
      <c r="A410" s="232">
        <v>46109.0</v>
      </c>
      <c r="B410" s="197" t="s">
        <v>38</v>
      </c>
      <c r="C410" s="174" t="s">
        <v>62</v>
      </c>
      <c r="D410" s="191">
        <v>-150000.0</v>
      </c>
      <c r="E410" s="174" t="s">
        <v>66</v>
      </c>
      <c r="F410" s="218">
        <v>0.0</v>
      </c>
      <c r="G410" s="194">
        <f t="shared" si="2"/>
        <v>5425000</v>
      </c>
      <c r="H410" s="233"/>
      <c r="I410" s="195"/>
    </row>
    <row r="411" ht="30.0" customHeight="1">
      <c r="A411" s="232">
        <v>46109.0</v>
      </c>
      <c r="B411" s="197" t="s">
        <v>38</v>
      </c>
      <c r="C411" s="174" t="s">
        <v>75</v>
      </c>
      <c r="D411" s="191">
        <v>-50000.0</v>
      </c>
      <c r="E411" s="174" t="s">
        <v>66</v>
      </c>
      <c r="F411" s="218">
        <v>0.0</v>
      </c>
      <c r="G411" s="194">
        <f t="shared" si="2"/>
        <v>5375000</v>
      </c>
      <c r="H411" s="233"/>
      <c r="I411" s="195"/>
    </row>
    <row r="412" ht="30.0" customHeight="1">
      <c r="A412" s="232">
        <v>46109.0</v>
      </c>
      <c r="B412" s="197" t="s">
        <v>38</v>
      </c>
      <c r="C412" s="221" t="s">
        <v>81</v>
      </c>
      <c r="D412" s="191">
        <v>-10000.0</v>
      </c>
      <c r="E412" s="174" t="s">
        <v>66</v>
      </c>
      <c r="F412" s="218">
        <v>0.0</v>
      </c>
      <c r="G412" s="194">
        <f t="shared" si="2"/>
        <v>5365000</v>
      </c>
      <c r="H412" s="233"/>
      <c r="I412" s="195"/>
    </row>
    <row r="413" ht="30.0" customHeight="1">
      <c r="A413" s="232">
        <v>46109.0</v>
      </c>
      <c r="B413" s="197" t="s">
        <v>55</v>
      </c>
      <c r="C413" s="207" t="s">
        <v>71</v>
      </c>
      <c r="D413" s="191">
        <v>-10000.0</v>
      </c>
      <c r="E413" s="174" t="s">
        <v>66</v>
      </c>
      <c r="F413" s="218">
        <v>0.0</v>
      </c>
      <c r="G413" s="194">
        <f t="shared" si="2"/>
        <v>5355000</v>
      </c>
      <c r="H413" s="233"/>
      <c r="I413" s="195"/>
    </row>
    <row r="414" ht="30.0" customHeight="1">
      <c r="A414" s="232">
        <v>46109.0</v>
      </c>
      <c r="B414" s="197" t="s">
        <v>38</v>
      </c>
      <c r="C414" s="174" t="s">
        <v>58</v>
      </c>
      <c r="D414" s="191">
        <v>-25000.0</v>
      </c>
      <c r="E414" s="174" t="s">
        <v>66</v>
      </c>
      <c r="F414" s="218">
        <v>0.0</v>
      </c>
      <c r="G414" s="194">
        <f t="shared" si="2"/>
        <v>5330000</v>
      </c>
      <c r="H414" s="233"/>
      <c r="I414" s="195"/>
    </row>
    <row r="415" ht="30.0" customHeight="1">
      <c r="A415" s="232">
        <v>46110.0</v>
      </c>
      <c r="B415" s="197" t="s">
        <v>38</v>
      </c>
      <c r="C415" s="198" t="s">
        <v>64</v>
      </c>
      <c r="D415" s="191">
        <v>0.0</v>
      </c>
      <c r="E415" s="174" t="s">
        <v>61</v>
      </c>
      <c r="F415" s="218">
        <v>15000.0</v>
      </c>
      <c r="G415" s="194">
        <f t="shared" si="2"/>
        <v>5330000</v>
      </c>
      <c r="H415" s="195"/>
      <c r="I415" s="195"/>
    </row>
    <row r="416" ht="30.0" customHeight="1">
      <c r="A416" s="232">
        <v>46110.0</v>
      </c>
      <c r="B416" s="197" t="s">
        <v>38</v>
      </c>
      <c r="C416" s="221" t="s">
        <v>81</v>
      </c>
      <c r="D416" s="191">
        <v>-10000.0</v>
      </c>
      <c r="E416" s="174" t="s">
        <v>66</v>
      </c>
      <c r="F416" s="218">
        <v>0.0</v>
      </c>
      <c r="G416" s="194">
        <f t="shared" si="2"/>
        <v>5320000</v>
      </c>
      <c r="H416" s="195"/>
      <c r="I416" s="195"/>
    </row>
    <row r="417" ht="30.0" customHeight="1">
      <c r="A417" s="232">
        <v>46110.0</v>
      </c>
      <c r="B417" s="200" t="s">
        <v>59</v>
      </c>
      <c r="C417" s="174" t="s">
        <v>189</v>
      </c>
      <c r="D417" s="191">
        <v>-2200000.0</v>
      </c>
      <c r="E417" s="174" t="s">
        <v>66</v>
      </c>
      <c r="F417" s="218">
        <v>0.0</v>
      </c>
      <c r="G417" s="194">
        <f t="shared" si="2"/>
        <v>3120000</v>
      </c>
      <c r="H417" s="233"/>
      <c r="I417" s="195"/>
    </row>
    <row r="418" ht="30.0" customHeight="1">
      <c r="A418" s="232">
        <v>46110.0</v>
      </c>
      <c r="B418" s="200" t="s">
        <v>59</v>
      </c>
      <c r="C418" s="174" t="s">
        <v>190</v>
      </c>
      <c r="D418" s="191">
        <v>-2345000.0</v>
      </c>
      <c r="E418" s="174" t="s">
        <v>66</v>
      </c>
      <c r="F418" s="218">
        <v>0.0</v>
      </c>
      <c r="G418" s="194">
        <f t="shared" si="2"/>
        <v>775000</v>
      </c>
      <c r="H418" s="233"/>
      <c r="I418" s="195"/>
    </row>
    <row r="419" ht="30.0" customHeight="1">
      <c r="A419" s="232">
        <v>46110.0</v>
      </c>
      <c r="B419" s="197"/>
      <c r="C419" s="234"/>
      <c r="D419" s="191">
        <v>-10000.0</v>
      </c>
      <c r="E419" s="174" t="s">
        <v>66</v>
      </c>
      <c r="F419" s="218">
        <v>0.0</v>
      </c>
      <c r="G419" s="194">
        <f t="shared" si="2"/>
        <v>765000</v>
      </c>
      <c r="H419" s="195"/>
      <c r="I419" s="195"/>
    </row>
    <row r="420" ht="30.0" customHeight="1">
      <c r="A420" s="232">
        <v>46110.0</v>
      </c>
      <c r="B420" s="197"/>
      <c r="C420" s="198"/>
      <c r="D420" s="191">
        <v>-7000.0</v>
      </c>
      <c r="E420" s="174" t="s">
        <v>66</v>
      </c>
      <c r="F420" s="218">
        <v>0.0</v>
      </c>
      <c r="G420" s="194">
        <f t="shared" si="2"/>
        <v>758000</v>
      </c>
      <c r="H420" s="195"/>
      <c r="I420" s="195"/>
    </row>
    <row r="421" ht="30.0" customHeight="1">
      <c r="A421" s="232">
        <v>46110.0</v>
      </c>
      <c r="B421" s="197"/>
      <c r="C421" s="198"/>
      <c r="D421" s="191">
        <v>-18000.0</v>
      </c>
      <c r="E421" s="174" t="s">
        <v>66</v>
      </c>
      <c r="F421" s="218">
        <v>0.0</v>
      </c>
      <c r="G421" s="194">
        <f t="shared" si="2"/>
        <v>740000</v>
      </c>
      <c r="H421" s="195"/>
      <c r="I421" s="195"/>
    </row>
    <row r="422" ht="30.0" customHeight="1">
      <c r="A422" s="232">
        <v>46111.0</v>
      </c>
      <c r="B422" s="197"/>
      <c r="C422" s="198"/>
      <c r="D422" s="191">
        <v>-10000.0</v>
      </c>
      <c r="E422" s="174" t="s">
        <v>66</v>
      </c>
      <c r="F422" s="218">
        <v>0.0</v>
      </c>
      <c r="G422" s="194">
        <f t="shared" si="2"/>
        <v>730000</v>
      </c>
      <c r="H422" s="195"/>
      <c r="I422" s="195"/>
    </row>
    <row r="423" ht="30.0" customHeight="1">
      <c r="A423" s="232">
        <v>46111.0</v>
      </c>
      <c r="B423" s="197" t="s">
        <v>38</v>
      </c>
      <c r="C423" s="198" t="s">
        <v>62</v>
      </c>
      <c r="D423" s="191">
        <v>-200000.0</v>
      </c>
      <c r="E423" s="174" t="s">
        <v>66</v>
      </c>
      <c r="F423" s="218">
        <v>0.0</v>
      </c>
      <c r="G423" s="194">
        <f t="shared" si="2"/>
        <v>530000</v>
      </c>
      <c r="H423" s="195"/>
      <c r="I423" s="195"/>
    </row>
    <row r="424" ht="30.0" customHeight="1">
      <c r="A424" s="232">
        <v>46112.0</v>
      </c>
      <c r="B424" s="197" t="s">
        <v>38</v>
      </c>
      <c r="C424" s="198" t="s">
        <v>1</v>
      </c>
      <c r="D424" s="191">
        <v>0.0</v>
      </c>
      <c r="E424" s="174" t="s">
        <v>61</v>
      </c>
      <c r="F424" s="218">
        <v>10000.0</v>
      </c>
      <c r="G424" s="194">
        <f t="shared" si="2"/>
        <v>530000</v>
      </c>
      <c r="H424" s="195"/>
      <c r="I424" s="195"/>
    </row>
    <row r="425" ht="30.0" customHeight="1">
      <c r="A425" s="232">
        <v>46112.0</v>
      </c>
      <c r="B425" s="197" t="s">
        <v>38</v>
      </c>
      <c r="C425" s="198" t="s">
        <v>62</v>
      </c>
      <c r="D425" s="191">
        <v>0.0</v>
      </c>
      <c r="E425" s="174" t="s">
        <v>61</v>
      </c>
      <c r="F425" s="218">
        <v>10000.0</v>
      </c>
      <c r="G425" s="194">
        <f t="shared" si="2"/>
        <v>530000</v>
      </c>
      <c r="H425" s="195"/>
      <c r="I425" s="195"/>
    </row>
    <row r="426" ht="30.0" customHeight="1">
      <c r="A426" s="232">
        <v>46114.0</v>
      </c>
      <c r="B426" s="197" t="s">
        <v>55</v>
      </c>
      <c r="C426" s="220" t="s">
        <v>77</v>
      </c>
      <c r="D426" s="191">
        <v>-5000.0</v>
      </c>
      <c r="E426" s="174" t="s">
        <v>66</v>
      </c>
      <c r="F426" s="218">
        <v>0.0</v>
      </c>
      <c r="G426" s="194">
        <f t="shared" si="2"/>
        <v>525000</v>
      </c>
      <c r="H426" s="195"/>
      <c r="I426" s="195"/>
    </row>
    <row r="427" ht="30.0" customHeight="1">
      <c r="A427" s="232">
        <v>46114.0</v>
      </c>
      <c r="B427" s="197" t="s">
        <v>55</v>
      </c>
      <c r="C427" s="198" t="s">
        <v>191</v>
      </c>
      <c r="D427" s="191">
        <v>-20000.0</v>
      </c>
      <c r="E427" s="174" t="s">
        <v>66</v>
      </c>
      <c r="F427" s="218">
        <v>0.0</v>
      </c>
      <c r="G427" s="194">
        <f t="shared" si="2"/>
        <v>505000</v>
      </c>
      <c r="H427" s="195"/>
      <c r="I427" s="195"/>
    </row>
    <row r="428" ht="30.0" customHeight="1">
      <c r="A428" s="232">
        <v>46114.0</v>
      </c>
      <c r="B428" s="197" t="s">
        <v>55</v>
      </c>
      <c r="C428" s="198" t="s">
        <v>192</v>
      </c>
      <c r="D428" s="191">
        <v>-50000.0</v>
      </c>
      <c r="E428" s="174" t="s">
        <v>66</v>
      </c>
      <c r="F428" s="218">
        <v>0.0</v>
      </c>
      <c r="G428" s="194">
        <f t="shared" si="2"/>
        <v>455000</v>
      </c>
      <c r="H428" s="195"/>
      <c r="I428" s="195"/>
    </row>
    <row r="429" ht="30.0" customHeight="1">
      <c r="A429" s="232">
        <v>46114.0</v>
      </c>
      <c r="B429" s="197" t="s">
        <v>55</v>
      </c>
      <c r="C429" s="220" t="s">
        <v>77</v>
      </c>
      <c r="D429" s="235">
        <v>-5000.0</v>
      </c>
      <c r="E429" s="174" t="s">
        <v>66</v>
      </c>
      <c r="F429" s="218">
        <v>0.0</v>
      </c>
      <c r="G429" s="194">
        <f t="shared" si="2"/>
        <v>450000</v>
      </c>
      <c r="H429" s="195"/>
      <c r="I429" s="195"/>
    </row>
    <row r="430" ht="30.0" customHeight="1">
      <c r="A430" s="232">
        <v>46114.0</v>
      </c>
      <c r="B430" s="197" t="s">
        <v>38</v>
      </c>
      <c r="C430" s="198" t="s">
        <v>1</v>
      </c>
      <c r="D430" s="191">
        <v>-10000.0</v>
      </c>
      <c r="E430" s="174" t="s">
        <v>66</v>
      </c>
      <c r="F430" s="218">
        <v>0.0</v>
      </c>
      <c r="G430" s="194">
        <f t="shared" si="2"/>
        <v>440000</v>
      </c>
      <c r="H430" s="195"/>
      <c r="I430" s="195"/>
    </row>
    <row r="431" ht="30.0" customHeight="1">
      <c r="A431" s="232">
        <v>46114.0</v>
      </c>
      <c r="B431" s="197" t="s">
        <v>55</v>
      </c>
      <c r="C431" s="220" t="s">
        <v>77</v>
      </c>
      <c r="D431" s="191">
        <v>-20000.0</v>
      </c>
      <c r="E431" s="174" t="s">
        <v>66</v>
      </c>
      <c r="F431" s="218">
        <v>0.0</v>
      </c>
      <c r="G431" s="194">
        <f t="shared" si="2"/>
        <v>420000</v>
      </c>
      <c r="H431" s="195"/>
      <c r="I431" s="195"/>
    </row>
    <row r="432" ht="30.0" customHeight="1">
      <c r="A432" s="232">
        <v>46114.0</v>
      </c>
      <c r="B432" s="197" t="s">
        <v>55</v>
      </c>
      <c r="C432" s="207" t="s">
        <v>71</v>
      </c>
      <c r="D432" s="191">
        <v>-5000.0</v>
      </c>
      <c r="E432" s="174" t="s">
        <v>66</v>
      </c>
      <c r="F432" s="218">
        <v>0.0</v>
      </c>
      <c r="G432" s="194">
        <f t="shared" si="2"/>
        <v>415000</v>
      </c>
      <c r="H432" s="195"/>
      <c r="I432" s="195"/>
    </row>
    <row r="433" ht="30.0" customHeight="1">
      <c r="A433" s="232">
        <v>46114.0</v>
      </c>
      <c r="B433" s="197" t="s">
        <v>55</v>
      </c>
      <c r="C433" s="207" t="s">
        <v>71</v>
      </c>
      <c r="D433" s="191">
        <v>-10000.0</v>
      </c>
      <c r="E433" s="174" t="s">
        <v>66</v>
      </c>
      <c r="F433" s="218">
        <v>0.0</v>
      </c>
      <c r="G433" s="194">
        <f t="shared" si="2"/>
        <v>405000</v>
      </c>
      <c r="H433" s="195"/>
      <c r="I433" s="195"/>
    </row>
    <row r="434" ht="30.0" customHeight="1">
      <c r="A434" s="232">
        <v>46114.0</v>
      </c>
      <c r="B434" s="197" t="s">
        <v>38</v>
      </c>
      <c r="C434" s="198" t="s">
        <v>58</v>
      </c>
      <c r="D434" s="191">
        <v>-25000.0</v>
      </c>
      <c r="E434" s="174" t="s">
        <v>66</v>
      </c>
      <c r="F434" s="218">
        <v>0.0</v>
      </c>
      <c r="G434" s="194">
        <f t="shared" si="2"/>
        <v>380000</v>
      </c>
      <c r="H434" s="195"/>
      <c r="I434" s="195"/>
    </row>
    <row r="435" ht="30.0" customHeight="1">
      <c r="A435" s="232">
        <v>46114.0</v>
      </c>
      <c r="B435" s="197" t="s">
        <v>38</v>
      </c>
      <c r="C435" s="198" t="s">
        <v>75</v>
      </c>
      <c r="D435" s="191">
        <v>-25000.0</v>
      </c>
      <c r="E435" s="174" t="s">
        <v>66</v>
      </c>
      <c r="F435" s="218">
        <v>0.0</v>
      </c>
      <c r="G435" s="194">
        <f t="shared" si="2"/>
        <v>355000</v>
      </c>
      <c r="H435" s="195"/>
      <c r="I435" s="195"/>
    </row>
    <row r="436" ht="30.0" customHeight="1">
      <c r="A436" s="232">
        <v>46114.0</v>
      </c>
      <c r="B436" s="197" t="s">
        <v>38</v>
      </c>
      <c r="C436" s="198" t="s">
        <v>106</v>
      </c>
      <c r="D436" s="191">
        <v>-25000.0</v>
      </c>
      <c r="E436" s="174" t="s">
        <v>66</v>
      </c>
      <c r="F436" s="218">
        <v>0.0</v>
      </c>
      <c r="G436" s="194">
        <f t="shared" si="2"/>
        <v>330000</v>
      </c>
      <c r="H436" s="195"/>
      <c r="I436" s="195"/>
    </row>
    <row r="437" ht="30.0" customHeight="1">
      <c r="A437" s="232">
        <v>46114.0</v>
      </c>
      <c r="B437" s="197" t="s">
        <v>38</v>
      </c>
      <c r="C437" s="198" t="s">
        <v>64</v>
      </c>
      <c r="D437" s="191">
        <v>-10000.0</v>
      </c>
      <c r="E437" s="174" t="s">
        <v>66</v>
      </c>
      <c r="F437" s="218">
        <v>0.0</v>
      </c>
      <c r="G437" s="194">
        <f t="shared" si="2"/>
        <v>320000</v>
      </c>
      <c r="H437" s="195"/>
      <c r="I437" s="195"/>
    </row>
    <row r="438" ht="30.0" customHeight="1">
      <c r="A438" s="232">
        <v>46114.0</v>
      </c>
      <c r="B438" s="197" t="s">
        <v>38</v>
      </c>
      <c r="C438" s="198" t="s">
        <v>1</v>
      </c>
      <c r="D438" s="191">
        <v>-30000.0</v>
      </c>
      <c r="E438" s="174" t="s">
        <v>66</v>
      </c>
      <c r="F438" s="218">
        <v>0.0</v>
      </c>
      <c r="G438" s="194">
        <f t="shared" si="2"/>
        <v>290000</v>
      </c>
      <c r="H438" s="236" t="s">
        <v>193</v>
      </c>
      <c r="I438" s="195"/>
    </row>
    <row r="439" ht="30.0" customHeight="1">
      <c r="A439" s="232">
        <v>46117.0</v>
      </c>
      <c r="B439" s="197" t="s">
        <v>67</v>
      </c>
      <c r="C439" s="198" t="s">
        <v>168</v>
      </c>
      <c r="D439" s="191">
        <v>1680000.0</v>
      </c>
      <c r="E439" s="174" t="s">
        <v>61</v>
      </c>
      <c r="F439" s="218">
        <v>1680000.0</v>
      </c>
      <c r="G439" s="194">
        <f t="shared" si="2"/>
        <v>1970000</v>
      </c>
      <c r="H439" s="195"/>
      <c r="I439" s="195"/>
    </row>
    <row r="440" ht="30.0" customHeight="1">
      <c r="A440" s="232">
        <v>46117.0</v>
      </c>
      <c r="B440" s="197" t="s">
        <v>37</v>
      </c>
      <c r="C440" s="198" t="s">
        <v>1</v>
      </c>
      <c r="D440" s="235">
        <v>-700000.0</v>
      </c>
      <c r="E440" s="174" t="s">
        <v>66</v>
      </c>
      <c r="F440" s="218">
        <v>0.0</v>
      </c>
      <c r="G440" s="194">
        <f t="shared" si="2"/>
        <v>1270000</v>
      </c>
      <c r="H440" s="195"/>
      <c r="I440" s="195"/>
    </row>
    <row r="441" ht="30.0" customHeight="1">
      <c r="A441" s="232">
        <v>46117.0</v>
      </c>
      <c r="B441" s="197" t="s">
        <v>37</v>
      </c>
      <c r="C441" s="221" t="s">
        <v>81</v>
      </c>
      <c r="D441" s="235">
        <v>-250000.0</v>
      </c>
      <c r="E441" s="174" t="s">
        <v>66</v>
      </c>
      <c r="F441" s="218">
        <v>0.0</v>
      </c>
      <c r="G441" s="194">
        <f t="shared" si="2"/>
        <v>1020000</v>
      </c>
      <c r="H441" s="195"/>
      <c r="I441" s="195"/>
    </row>
    <row r="442" ht="30.0" customHeight="1">
      <c r="A442" s="232">
        <v>46117.0</v>
      </c>
      <c r="B442" s="197" t="s">
        <v>37</v>
      </c>
      <c r="C442" s="198" t="s">
        <v>194</v>
      </c>
      <c r="D442" s="235">
        <v>-110000.0</v>
      </c>
      <c r="E442" s="174" t="s">
        <v>66</v>
      </c>
      <c r="F442" s="218">
        <v>0.0</v>
      </c>
      <c r="G442" s="194">
        <f t="shared" si="2"/>
        <v>910000</v>
      </c>
      <c r="H442" s="195"/>
      <c r="I442" s="195"/>
    </row>
    <row r="443" ht="30.0" customHeight="1">
      <c r="A443" s="232">
        <v>46117.0</v>
      </c>
      <c r="B443" s="197" t="s">
        <v>55</v>
      </c>
      <c r="C443" s="198" t="s">
        <v>82</v>
      </c>
      <c r="D443" s="235">
        <v>-170000.0</v>
      </c>
      <c r="E443" s="174" t="s">
        <v>66</v>
      </c>
      <c r="F443" s="218">
        <v>0.0</v>
      </c>
      <c r="G443" s="194">
        <f t="shared" si="2"/>
        <v>740000</v>
      </c>
      <c r="H443" s="195"/>
      <c r="I443" s="195"/>
    </row>
    <row r="444" ht="30.0" customHeight="1">
      <c r="A444" s="232">
        <v>46117.0</v>
      </c>
      <c r="B444" s="197" t="s">
        <v>37</v>
      </c>
      <c r="C444" s="198" t="s">
        <v>58</v>
      </c>
      <c r="D444" s="235">
        <v>-500000.0</v>
      </c>
      <c r="E444" s="174" t="s">
        <v>66</v>
      </c>
      <c r="F444" s="218">
        <v>0.0</v>
      </c>
      <c r="G444" s="194">
        <f t="shared" si="2"/>
        <v>240000</v>
      </c>
      <c r="H444" s="195"/>
      <c r="I444" s="195"/>
    </row>
    <row r="445" ht="30.0" customHeight="1">
      <c r="A445" s="232">
        <v>46117.0</v>
      </c>
      <c r="B445" s="197" t="s">
        <v>38</v>
      </c>
      <c r="C445" s="191" t="s">
        <v>106</v>
      </c>
      <c r="D445" s="235">
        <v>-30000.0</v>
      </c>
      <c r="E445" s="174" t="s">
        <v>66</v>
      </c>
      <c r="F445" s="218">
        <v>0.0</v>
      </c>
      <c r="G445" s="194">
        <f t="shared" si="2"/>
        <v>210000</v>
      </c>
      <c r="H445" s="195"/>
      <c r="I445" s="195"/>
    </row>
    <row r="446" ht="30.0" customHeight="1">
      <c r="A446" s="232">
        <v>46117.0</v>
      </c>
      <c r="B446" s="209" t="s">
        <v>38</v>
      </c>
      <c r="C446" s="220" t="s">
        <v>77</v>
      </c>
      <c r="D446" s="235">
        <v>-31000.0</v>
      </c>
      <c r="E446" s="174" t="s">
        <v>66</v>
      </c>
      <c r="F446" s="218">
        <v>0.0</v>
      </c>
      <c r="G446" s="194">
        <f t="shared" si="2"/>
        <v>179000</v>
      </c>
      <c r="H446" s="195"/>
      <c r="I446" s="195"/>
    </row>
    <row r="447" ht="30.0" customHeight="1">
      <c r="A447" s="232">
        <v>46117.0</v>
      </c>
      <c r="B447" s="209" t="s">
        <v>55</v>
      </c>
      <c r="C447" s="207" t="s">
        <v>71</v>
      </c>
      <c r="D447" s="235">
        <v>-10000.0</v>
      </c>
      <c r="E447" s="174" t="s">
        <v>66</v>
      </c>
      <c r="F447" s="218">
        <v>0.0</v>
      </c>
      <c r="G447" s="194">
        <f t="shared" si="2"/>
        <v>169000</v>
      </c>
      <c r="H447" s="195"/>
      <c r="I447" s="195"/>
    </row>
    <row r="448" ht="30.0" customHeight="1">
      <c r="A448" s="232">
        <v>46117.0</v>
      </c>
      <c r="B448" s="209" t="s">
        <v>38</v>
      </c>
      <c r="C448" s="220" t="s">
        <v>1</v>
      </c>
      <c r="D448" s="235">
        <v>-4000.0</v>
      </c>
      <c r="E448" s="174" t="s">
        <v>66</v>
      </c>
      <c r="F448" s="218">
        <v>0.0</v>
      </c>
      <c r="G448" s="194">
        <f t="shared" si="2"/>
        <v>165000</v>
      </c>
      <c r="H448" s="195"/>
      <c r="I448" s="237"/>
    </row>
    <row r="449" ht="30.0" customHeight="1">
      <c r="A449" s="232">
        <v>46117.0</v>
      </c>
      <c r="B449" s="209" t="s">
        <v>55</v>
      </c>
      <c r="C449" s="220" t="s">
        <v>195</v>
      </c>
      <c r="D449" s="235">
        <v>-5000.0</v>
      </c>
      <c r="E449" s="174" t="s">
        <v>66</v>
      </c>
      <c r="F449" s="218">
        <v>0.0</v>
      </c>
      <c r="G449" s="194">
        <f t="shared" si="2"/>
        <v>160000</v>
      </c>
      <c r="H449" s="195"/>
      <c r="I449" s="195"/>
    </row>
    <row r="450" ht="30.0" customHeight="1">
      <c r="A450" s="232">
        <v>46117.0</v>
      </c>
      <c r="B450" s="209" t="s">
        <v>55</v>
      </c>
      <c r="C450" s="220" t="s">
        <v>196</v>
      </c>
      <c r="D450" s="235">
        <v>-120000.0</v>
      </c>
      <c r="E450" s="174" t="s">
        <v>66</v>
      </c>
      <c r="F450" s="218">
        <v>0.0</v>
      </c>
      <c r="G450" s="194">
        <f t="shared" si="2"/>
        <v>40000</v>
      </c>
      <c r="H450" s="236"/>
      <c r="I450" s="195"/>
    </row>
    <row r="451" ht="30.0" customHeight="1">
      <c r="A451" s="238">
        <v>46119.0</v>
      </c>
      <c r="B451" s="209" t="s">
        <v>38</v>
      </c>
      <c r="C451" s="210" t="s">
        <v>75</v>
      </c>
      <c r="D451" s="211">
        <v>-10000.0</v>
      </c>
      <c r="E451" s="174" t="s">
        <v>66</v>
      </c>
      <c r="F451" s="218">
        <v>0.0</v>
      </c>
      <c r="G451" s="194">
        <f t="shared" si="2"/>
        <v>30000</v>
      </c>
      <c r="H451" s="214"/>
      <c r="I451" s="214"/>
    </row>
    <row r="452" ht="30.0" customHeight="1">
      <c r="A452" s="238">
        <v>46119.0</v>
      </c>
      <c r="B452" s="209" t="s">
        <v>55</v>
      </c>
      <c r="C452" s="210" t="s">
        <v>197</v>
      </c>
      <c r="D452" s="211">
        <v>-10000.0</v>
      </c>
      <c r="E452" s="174" t="s">
        <v>66</v>
      </c>
      <c r="F452" s="218">
        <v>0.0</v>
      </c>
      <c r="G452" s="194">
        <f t="shared" si="2"/>
        <v>20000</v>
      </c>
      <c r="H452" s="214"/>
      <c r="I452" s="214"/>
    </row>
    <row r="453" ht="30.0" customHeight="1">
      <c r="A453" s="238">
        <v>46119.0</v>
      </c>
      <c r="B453" s="209" t="s">
        <v>55</v>
      </c>
      <c r="C453" s="210" t="s">
        <v>198</v>
      </c>
      <c r="D453" s="211">
        <v>-5000.0</v>
      </c>
      <c r="E453" s="174" t="s">
        <v>66</v>
      </c>
      <c r="F453" s="218">
        <v>0.0</v>
      </c>
      <c r="G453" s="194">
        <f t="shared" si="2"/>
        <v>15000</v>
      </c>
      <c r="H453" s="214"/>
      <c r="I453" s="214"/>
    </row>
    <row r="454" ht="30.0" customHeight="1">
      <c r="A454" s="238">
        <v>46119.0</v>
      </c>
      <c r="B454" s="209" t="s">
        <v>55</v>
      </c>
      <c r="C454" s="210" t="s">
        <v>84</v>
      </c>
      <c r="D454" s="211">
        <v>-25000.0</v>
      </c>
      <c r="E454" s="174" t="s">
        <v>66</v>
      </c>
      <c r="F454" s="218">
        <v>0.0</v>
      </c>
      <c r="G454" s="194">
        <f t="shared" si="2"/>
        <v>-10000</v>
      </c>
      <c r="H454" s="214"/>
      <c r="I454" s="214"/>
    </row>
    <row r="455" ht="30.0" customHeight="1">
      <c r="A455" s="238">
        <v>46120.0</v>
      </c>
      <c r="B455" s="209" t="s">
        <v>67</v>
      </c>
      <c r="C455" s="234" t="s">
        <v>158</v>
      </c>
      <c r="D455" s="235">
        <v>500000.0</v>
      </c>
      <c r="E455" s="212" t="s">
        <v>61</v>
      </c>
      <c r="F455" s="218">
        <v>500000.0</v>
      </c>
      <c r="G455" s="194">
        <f t="shared" si="2"/>
        <v>490000</v>
      </c>
      <c r="H455" s="195"/>
      <c r="I455" s="195"/>
    </row>
    <row r="456" ht="30.0" customHeight="1">
      <c r="A456" s="238">
        <v>46120.0</v>
      </c>
      <c r="B456" s="209" t="s">
        <v>38</v>
      </c>
      <c r="C456" s="210" t="s">
        <v>75</v>
      </c>
      <c r="D456" s="235">
        <v>-10000.0</v>
      </c>
      <c r="E456" s="174" t="s">
        <v>66</v>
      </c>
      <c r="F456" s="218">
        <v>0.0</v>
      </c>
      <c r="G456" s="194">
        <f t="shared" si="2"/>
        <v>480000</v>
      </c>
      <c r="H456" s="195"/>
      <c r="I456" s="195"/>
    </row>
    <row r="457" ht="30.0" customHeight="1">
      <c r="A457" s="238">
        <v>46120.0</v>
      </c>
      <c r="B457" s="209" t="s">
        <v>38</v>
      </c>
      <c r="C457" s="198" t="s">
        <v>64</v>
      </c>
      <c r="D457" s="235">
        <v>-10000.0</v>
      </c>
      <c r="E457" s="174" t="s">
        <v>66</v>
      </c>
      <c r="F457" s="218">
        <v>0.0</v>
      </c>
      <c r="G457" s="194">
        <f t="shared" si="2"/>
        <v>470000</v>
      </c>
      <c r="H457" s="195"/>
      <c r="I457" s="195"/>
    </row>
    <row r="458" ht="30.0" customHeight="1">
      <c r="A458" s="238">
        <v>46120.0</v>
      </c>
      <c r="B458" s="209" t="s">
        <v>38</v>
      </c>
      <c r="C458" s="198" t="s">
        <v>58</v>
      </c>
      <c r="D458" s="235">
        <v>-10000.0</v>
      </c>
      <c r="E458" s="174" t="s">
        <v>66</v>
      </c>
      <c r="F458" s="218">
        <v>0.0</v>
      </c>
      <c r="G458" s="194">
        <f t="shared" si="2"/>
        <v>460000</v>
      </c>
      <c r="H458" s="195"/>
      <c r="I458" s="195"/>
    </row>
    <row r="459" ht="30.0" customHeight="1">
      <c r="A459" s="238">
        <v>46120.0</v>
      </c>
      <c r="B459" s="209" t="s">
        <v>38</v>
      </c>
      <c r="C459" s="191" t="s">
        <v>106</v>
      </c>
      <c r="D459" s="235">
        <v>-10000.0</v>
      </c>
      <c r="E459" s="174" t="s">
        <v>66</v>
      </c>
      <c r="F459" s="218">
        <v>0.0</v>
      </c>
      <c r="G459" s="194">
        <f t="shared" si="2"/>
        <v>450000</v>
      </c>
      <c r="H459" s="195"/>
      <c r="I459" s="195"/>
    </row>
    <row r="460" ht="30.0" customHeight="1">
      <c r="A460" s="238">
        <v>46120.0</v>
      </c>
      <c r="B460" s="209" t="s">
        <v>38</v>
      </c>
      <c r="C460" s="220" t="s">
        <v>77</v>
      </c>
      <c r="D460" s="235">
        <v>-5000.0</v>
      </c>
      <c r="E460" s="174" t="s">
        <v>66</v>
      </c>
      <c r="F460" s="218">
        <v>0.0</v>
      </c>
      <c r="G460" s="194">
        <f t="shared" si="2"/>
        <v>445000</v>
      </c>
      <c r="H460" s="195"/>
      <c r="I460" s="195"/>
    </row>
    <row r="461" ht="30.0" customHeight="1">
      <c r="A461" s="238">
        <v>46120.0</v>
      </c>
      <c r="B461" s="209" t="s">
        <v>38</v>
      </c>
      <c r="C461" s="198" t="s">
        <v>64</v>
      </c>
      <c r="D461" s="235">
        <v>-100000.0</v>
      </c>
      <c r="E461" s="174" t="s">
        <v>66</v>
      </c>
      <c r="F461" s="218">
        <v>0.0</v>
      </c>
      <c r="G461" s="194">
        <f t="shared" si="2"/>
        <v>345000</v>
      </c>
      <c r="H461" s="195"/>
      <c r="I461" s="195"/>
    </row>
    <row r="462" ht="30.0" customHeight="1">
      <c r="A462" s="238">
        <v>46124.0</v>
      </c>
      <c r="B462" s="209" t="s">
        <v>55</v>
      </c>
      <c r="C462" s="210" t="s">
        <v>86</v>
      </c>
      <c r="D462" s="235">
        <v>-5000.0</v>
      </c>
      <c r="E462" s="174" t="s">
        <v>66</v>
      </c>
      <c r="F462" s="218">
        <v>0.0</v>
      </c>
      <c r="G462" s="194">
        <f t="shared" si="2"/>
        <v>340000</v>
      </c>
      <c r="H462" s="195"/>
      <c r="I462" s="195"/>
    </row>
    <row r="463" ht="30.0" customHeight="1">
      <c r="A463" s="238">
        <v>46124.0</v>
      </c>
      <c r="B463" s="209" t="s">
        <v>38</v>
      </c>
      <c r="C463" s="198" t="s">
        <v>64</v>
      </c>
      <c r="D463" s="235">
        <v>-7000.0</v>
      </c>
      <c r="E463" s="174" t="s">
        <v>66</v>
      </c>
      <c r="F463" s="218">
        <v>0.0</v>
      </c>
      <c r="G463" s="194">
        <f t="shared" si="2"/>
        <v>333000</v>
      </c>
      <c r="H463" s="195"/>
      <c r="I463" s="195"/>
    </row>
    <row r="464" ht="30.0" customHeight="1">
      <c r="A464" s="238">
        <v>46124.0</v>
      </c>
      <c r="B464" s="209" t="s">
        <v>38</v>
      </c>
      <c r="C464" s="191" t="s">
        <v>106</v>
      </c>
      <c r="D464" s="235">
        <v>-7000.0</v>
      </c>
      <c r="E464" s="174" t="s">
        <v>66</v>
      </c>
      <c r="F464" s="218">
        <v>0.0</v>
      </c>
      <c r="G464" s="194">
        <f t="shared" si="2"/>
        <v>326000</v>
      </c>
      <c r="H464" s="195"/>
      <c r="I464" s="195"/>
    </row>
    <row r="465" ht="30.0" customHeight="1">
      <c r="A465" s="238">
        <v>46124.0</v>
      </c>
      <c r="B465" s="209" t="s">
        <v>38</v>
      </c>
      <c r="C465" s="239" t="s">
        <v>75</v>
      </c>
      <c r="D465" s="235">
        <v>-7000.0</v>
      </c>
      <c r="E465" s="174" t="s">
        <v>66</v>
      </c>
      <c r="F465" s="218">
        <v>0.0</v>
      </c>
      <c r="G465" s="194">
        <f t="shared" si="2"/>
        <v>319000</v>
      </c>
      <c r="H465" s="195"/>
      <c r="I465" s="195"/>
    </row>
    <row r="466" ht="30.0" customHeight="1">
      <c r="A466" s="238">
        <v>46124.0</v>
      </c>
      <c r="B466" s="209" t="s">
        <v>38</v>
      </c>
      <c r="C466" s="240" t="s">
        <v>58</v>
      </c>
      <c r="D466" s="235">
        <v>-7000.0</v>
      </c>
      <c r="E466" s="174" t="s">
        <v>66</v>
      </c>
      <c r="F466" s="218">
        <v>0.0</v>
      </c>
      <c r="G466" s="194">
        <f t="shared" si="2"/>
        <v>312000</v>
      </c>
      <c r="H466" s="195"/>
      <c r="I466" s="195"/>
    </row>
    <row r="467" ht="30.0" customHeight="1">
      <c r="A467" s="238">
        <v>46124.0</v>
      </c>
      <c r="B467" s="209" t="s">
        <v>38</v>
      </c>
      <c r="C467" s="210" t="s">
        <v>1</v>
      </c>
      <c r="D467" s="235">
        <v>-7000.0</v>
      </c>
      <c r="E467" s="174" t="s">
        <v>66</v>
      </c>
      <c r="F467" s="218">
        <v>0.0</v>
      </c>
      <c r="G467" s="194">
        <f t="shared" si="2"/>
        <v>305000</v>
      </c>
      <c r="H467" s="195"/>
      <c r="I467" s="195"/>
    </row>
    <row r="468" ht="30.0" customHeight="1">
      <c r="A468" s="238">
        <v>46125.0</v>
      </c>
      <c r="B468" s="209" t="s">
        <v>38</v>
      </c>
      <c r="C468" s="191" t="s">
        <v>106</v>
      </c>
      <c r="D468" s="235">
        <v>-7500.0</v>
      </c>
      <c r="E468" s="174" t="s">
        <v>66</v>
      </c>
      <c r="F468" s="218">
        <v>0.0</v>
      </c>
      <c r="G468" s="194">
        <f t="shared" si="2"/>
        <v>297500</v>
      </c>
      <c r="H468" s="195"/>
      <c r="I468" s="195"/>
    </row>
    <row r="469" ht="30.0" customHeight="1">
      <c r="A469" s="238">
        <v>46125.0</v>
      </c>
      <c r="B469" s="209" t="s">
        <v>38</v>
      </c>
      <c r="C469" s="198" t="s">
        <v>64</v>
      </c>
      <c r="D469" s="235">
        <v>-7500.0</v>
      </c>
      <c r="E469" s="174" t="s">
        <v>66</v>
      </c>
      <c r="F469" s="218">
        <v>0.0</v>
      </c>
      <c r="G469" s="194">
        <f t="shared" si="2"/>
        <v>290000</v>
      </c>
      <c r="H469" s="195"/>
      <c r="I469" s="195"/>
    </row>
    <row r="470" ht="30.0" customHeight="1">
      <c r="A470" s="238">
        <v>46125.0</v>
      </c>
      <c r="B470" s="209" t="s">
        <v>38</v>
      </c>
      <c r="C470" s="239" t="s">
        <v>75</v>
      </c>
      <c r="D470" s="235">
        <v>-7500.0</v>
      </c>
      <c r="E470" s="174" t="s">
        <v>66</v>
      </c>
      <c r="F470" s="218">
        <v>0.0</v>
      </c>
      <c r="G470" s="194">
        <f t="shared" si="2"/>
        <v>282500</v>
      </c>
      <c r="H470" s="195"/>
      <c r="I470" s="195"/>
    </row>
    <row r="471" ht="30.0" customHeight="1">
      <c r="A471" s="238">
        <v>46125.0</v>
      </c>
      <c r="B471" s="209" t="s">
        <v>38</v>
      </c>
      <c r="C471" s="240" t="s">
        <v>58</v>
      </c>
      <c r="D471" s="235">
        <v>-7500.0</v>
      </c>
      <c r="E471" s="174" t="s">
        <v>66</v>
      </c>
      <c r="F471" s="218">
        <v>0.0</v>
      </c>
      <c r="G471" s="194">
        <f t="shared" si="2"/>
        <v>275000</v>
      </c>
      <c r="H471" s="195"/>
      <c r="I471" s="195"/>
    </row>
    <row r="472" ht="30.0" customHeight="1">
      <c r="A472" s="238">
        <v>46125.0</v>
      </c>
      <c r="B472" s="209" t="s">
        <v>38</v>
      </c>
      <c r="C472" s="191" t="s">
        <v>106</v>
      </c>
      <c r="D472" s="235">
        <v>-25000.0</v>
      </c>
      <c r="E472" s="174" t="s">
        <v>66</v>
      </c>
      <c r="F472" s="218">
        <v>0.0</v>
      </c>
      <c r="G472" s="194">
        <f t="shared" si="2"/>
        <v>250000</v>
      </c>
      <c r="H472" s="195"/>
      <c r="I472" s="195"/>
    </row>
    <row r="473" ht="30.0" customHeight="1">
      <c r="A473" s="238">
        <v>46125.0</v>
      </c>
      <c r="B473" s="209" t="s">
        <v>38</v>
      </c>
      <c r="C473" s="191" t="s">
        <v>106</v>
      </c>
      <c r="D473" s="235">
        <v>-3750.0</v>
      </c>
      <c r="E473" s="174" t="s">
        <v>66</v>
      </c>
      <c r="F473" s="218">
        <v>0.0</v>
      </c>
      <c r="G473" s="194">
        <f t="shared" si="2"/>
        <v>246250</v>
      </c>
      <c r="H473" s="195"/>
      <c r="I473" s="195"/>
    </row>
    <row r="474" ht="30.0" customHeight="1">
      <c r="A474" s="238">
        <v>46125.0</v>
      </c>
      <c r="B474" s="209" t="s">
        <v>38</v>
      </c>
      <c r="C474" s="198" t="s">
        <v>64</v>
      </c>
      <c r="D474" s="235">
        <v>-3750.0</v>
      </c>
      <c r="E474" s="174" t="s">
        <v>66</v>
      </c>
      <c r="F474" s="218">
        <v>0.0</v>
      </c>
      <c r="G474" s="194">
        <f t="shared" si="2"/>
        <v>242500</v>
      </c>
      <c r="H474" s="195"/>
      <c r="I474" s="195"/>
    </row>
    <row r="475" ht="30.0" customHeight="1">
      <c r="A475" s="238">
        <v>46125.0</v>
      </c>
      <c r="B475" s="209" t="s">
        <v>38</v>
      </c>
      <c r="C475" s="239" t="s">
        <v>75</v>
      </c>
      <c r="D475" s="235">
        <v>-3750.0</v>
      </c>
      <c r="E475" s="174" t="s">
        <v>66</v>
      </c>
      <c r="F475" s="218">
        <v>0.0</v>
      </c>
      <c r="G475" s="194">
        <f t="shared" si="2"/>
        <v>238750</v>
      </c>
      <c r="H475" s="195"/>
      <c r="I475" s="195"/>
    </row>
    <row r="476" ht="30.0" customHeight="1">
      <c r="A476" s="238">
        <v>46125.0</v>
      </c>
      <c r="B476" s="209" t="s">
        <v>38</v>
      </c>
      <c r="C476" s="240" t="s">
        <v>58</v>
      </c>
      <c r="D476" s="235">
        <v>-3750.0</v>
      </c>
      <c r="E476" s="174" t="s">
        <v>66</v>
      </c>
      <c r="F476" s="218">
        <v>0.0</v>
      </c>
      <c r="G476" s="194">
        <f t="shared" si="2"/>
        <v>235000</v>
      </c>
      <c r="H476" s="195"/>
      <c r="I476" s="195"/>
    </row>
    <row r="477" ht="30.0" customHeight="1">
      <c r="A477" s="238">
        <v>46125.0</v>
      </c>
      <c r="B477" s="209" t="s">
        <v>55</v>
      </c>
      <c r="C477" s="210" t="s">
        <v>199</v>
      </c>
      <c r="D477" s="235">
        <v>-20000.0</v>
      </c>
      <c r="E477" s="174" t="s">
        <v>66</v>
      </c>
      <c r="F477" s="218">
        <v>0.0</v>
      </c>
      <c r="G477" s="194">
        <f t="shared" si="2"/>
        <v>215000</v>
      </c>
      <c r="H477" s="195"/>
      <c r="I477" s="195"/>
    </row>
    <row r="478" ht="30.0" customHeight="1">
      <c r="A478" s="238">
        <v>46128.0</v>
      </c>
      <c r="B478" s="209" t="s">
        <v>67</v>
      </c>
      <c r="C478" s="234" t="s">
        <v>158</v>
      </c>
      <c r="D478" s="235">
        <v>1000000.0</v>
      </c>
      <c r="E478" s="212" t="s">
        <v>61</v>
      </c>
      <c r="F478" s="218">
        <v>1000000.0</v>
      </c>
      <c r="G478" s="194">
        <f t="shared" si="2"/>
        <v>1215000</v>
      </c>
      <c r="H478" s="195"/>
      <c r="I478" s="195"/>
    </row>
    <row r="479" ht="30.0" customHeight="1">
      <c r="A479" s="238">
        <v>46128.0</v>
      </c>
      <c r="B479" s="209" t="s">
        <v>38</v>
      </c>
      <c r="C479" s="210" t="s">
        <v>64</v>
      </c>
      <c r="D479" s="211">
        <v>0.0</v>
      </c>
      <c r="E479" s="212" t="s">
        <v>61</v>
      </c>
      <c r="F479" s="213">
        <v>150000.0</v>
      </c>
      <c r="G479" s="194">
        <f t="shared" si="2"/>
        <v>1215000</v>
      </c>
      <c r="H479" s="214"/>
      <c r="I479" s="214"/>
    </row>
    <row r="480" ht="30.0" customHeight="1">
      <c r="A480" s="238">
        <v>46128.0</v>
      </c>
      <c r="B480" s="209" t="s">
        <v>38</v>
      </c>
      <c r="C480" s="191" t="s">
        <v>106</v>
      </c>
      <c r="D480" s="211">
        <v>-7000.0</v>
      </c>
      <c r="E480" s="212" t="s">
        <v>66</v>
      </c>
      <c r="F480" s="213">
        <v>0.0</v>
      </c>
      <c r="G480" s="194">
        <f t="shared" si="2"/>
        <v>1208000</v>
      </c>
      <c r="H480" s="214"/>
      <c r="I480" s="214"/>
    </row>
    <row r="481" ht="30.0" customHeight="1">
      <c r="A481" s="238">
        <v>46128.0</v>
      </c>
      <c r="B481" s="209" t="s">
        <v>38</v>
      </c>
      <c r="C481" s="198" t="s">
        <v>64</v>
      </c>
      <c r="D481" s="211">
        <v>-7000.0</v>
      </c>
      <c r="E481" s="212" t="s">
        <v>66</v>
      </c>
      <c r="F481" s="213">
        <v>0.0</v>
      </c>
      <c r="G481" s="194">
        <f t="shared" si="2"/>
        <v>1201000</v>
      </c>
      <c r="H481" s="214"/>
      <c r="I481" s="214"/>
    </row>
    <row r="482" ht="30.0" customHeight="1">
      <c r="A482" s="238">
        <v>46128.0</v>
      </c>
      <c r="B482" s="209" t="s">
        <v>38</v>
      </c>
      <c r="C482" s="239" t="s">
        <v>75</v>
      </c>
      <c r="D482" s="211">
        <v>-7000.0</v>
      </c>
      <c r="E482" s="212" t="s">
        <v>66</v>
      </c>
      <c r="F482" s="213">
        <v>0.0</v>
      </c>
      <c r="G482" s="194">
        <f t="shared" si="2"/>
        <v>1194000</v>
      </c>
      <c r="H482" s="214"/>
      <c r="I482" s="214"/>
    </row>
    <row r="483" ht="30.0" customHeight="1">
      <c r="A483" s="238">
        <v>46128.0</v>
      </c>
      <c r="B483" s="209" t="s">
        <v>38</v>
      </c>
      <c r="C483" s="240" t="s">
        <v>58</v>
      </c>
      <c r="D483" s="211">
        <v>-7000.0</v>
      </c>
      <c r="E483" s="212" t="s">
        <v>66</v>
      </c>
      <c r="F483" s="213">
        <v>0.0</v>
      </c>
      <c r="G483" s="194">
        <f t="shared" si="2"/>
        <v>1187000</v>
      </c>
      <c r="H483" s="214"/>
      <c r="I483" s="214"/>
    </row>
    <row r="484" ht="30.0" customHeight="1">
      <c r="A484" s="238">
        <v>46128.0</v>
      </c>
      <c r="B484" s="209" t="s">
        <v>38</v>
      </c>
      <c r="C484" s="234" t="s">
        <v>194</v>
      </c>
      <c r="D484" s="211">
        <v>-7000.0</v>
      </c>
      <c r="E484" s="212" t="s">
        <v>66</v>
      </c>
      <c r="F484" s="213">
        <v>0.0</v>
      </c>
      <c r="G484" s="194">
        <f t="shared" si="2"/>
        <v>1180000</v>
      </c>
      <c r="H484" s="214"/>
      <c r="I484" s="214"/>
    </row>
    <row r="485" ht="30.0" customHeight="1">
      <c r="A485" s="238">
        <v>46128.0</v>
      </c>
      <c r="B485" s="209" t="s">
        <v>38</v>
      </c>
      <c r="C485" s="220" t="s">
        <v>1</v>
      </c>
      <c r="D485" s="211">
        <v>-7000.0</v>
      </c>
      <c r="E485" s="212" t="s">
        <v>66</v>
      </c>
      <c r="F485" s="213">
        <v>0.0</v>
      </c>
      <c r="G485" s="194">
        <f t="shared" si="2"/>
        <v>1173000</v>
      </c>
      <c r="H485" s="214"/>
      <c r="I485" s="214"/>
    </row>
    <row r="486" ht="30.0" customHeight="1">
      <c r="A486" s="238">
        <v>46128.0</v>
      </c>
      <c r="B486" s="209" t="s">
        <v>55</v>
      </c>
      <c r="C486" s="210" t="s">
        <v>130</v>
      </c>
      <c r="D486" s="211">
        <v>-7000.0</v>
      </c>
      <c r="E486" s="212" t="s">
        <v>66</v>
      </c>
      <c r="F486" s="213">
        <v>0.0</v>
      </c>
      <c r="G486" s="194">
        <f t="shared" si="2"/>
        <v>1166000</v>
      </c>
      <c r="H486" s="214"/>
      <c r="I486" s="214"/>
    </row>
    <row r="487" ht="30.0" customHeight="1">
      <c r="A487" s="238">
        <v>46128.0</v>
      </c>
      <c r="B487" s="209" t="s">
        <v>38</v>
      </c>
      <c r="C487" s="239" t="s">
        <v>75</v>
      </c>
      <c r="D487" s="211">
        <v>-10000.0</v>
      </c>
      <c r="E487" s="212" t="s">
        <v>66</v>
      </c>
      <c r="F487" s="213">
        <v>0.0</v>
      </c>
      <c r="G487" s="194">
        <f t="shared" si="2"/>
        <v>1156000</v>
      </c>
      <c r="H487" s="214"/>
      <c r="I487" s="214"/>
    </row>
    <row r="488" ht="30.0" customHeight="1">
      <c r="A488" s="238">
        <v>46128.0</v>
      </c>
      <c r="B488" s="209" t="s">
        <v>55</v>
      </c>
      <c r="C488" s="210" t="s">
        <v>73</v>
      </c>
      <c r="D488" s="211">
        <v>-7000.0</v>
      </c>
      <c r="E488" s="212" t="s">
        <v>66</v>
      </c>
      <c r="F488" s="213">
        <v>0.0</v>
      </c>
      <c r="G488" s="194">
        <f t="shared" si="2"/>
        <v>1149000</v>
      </c>
      <c r="H488" s="214"/>
      <c r="I488" s="214"/>
    </row>
    <row r="489" ht="30.0" customHeight="1">
      <c r="A489" s="238">
        <v>46129.0</v>
      </c>
      <c r="B489" s="209" t="s">
        <v>38</v>
      </c>
      <c r="C489" s="234" t="s">
        <v>194</v>
      </c>
      <c r="D489" s="235">
        <v>-25000.0</v>
      </c>
      <c r="E489" s="174" t="s">
        <v>66</v>
      </c>
      <c r="F489" s="218">
        <v>0.0</v>
      </c>
      <c r="G489" s="194">
        <f t="shared" si="2"/>
        <v>1124000</v>
      </c>
      <c r="H489" s="195"/>
      <c r="I489" s="195"/>
    </row>
    <row r="490" ht="30.0" customHeight="1">
      <c r="A490" s="238">
        <v>46129.0</v>
      </c>
      <c r="B490" s="209" t="s">
        <v>55</v>
      </c>
      <c r="C490" s="210" t="s">
        <v>73</v>
      </c>
      <c r="D490" s="211">
        <v>-5000.0</v>
      </c>
      <c r="E490" s="212" t="s">
        <v>66</v>
      </c>
      <c r="F490" s="213">
        <v>0.0</v>
      </c>
      <c r="G490" s="194">
        <f t="shared" si="2"/>
        <v>1119000</v>
      </c>
      <c r="H490" s="214"/>
      <c r="I490" s="214"/>
    </row>
    <row r="491" ht="30.0" customHeight="1">
      <c r="A491" s="238">
        <v>46129.0</v>
      </c>
      <c r="B491" s="209" t="s">
        <v>38</v>
      </c>
      <c r="C491" s="220" t="s">
        <v>1</v>
      </c>
      <c r="D491" s="211">
        <v>-60000.0</v>
      </c>
      <c r="E491" s="212" t="s">
        <v>66</v>
      </c>
      <c r="F491" s="213">
        <v>0.0</v>
      </c>
      <c r="G491" s="194">
        <f t="shared" si="2"/>
        <v>1059000</v>
      </c>
      <c r="H491" s="214"/>
      <c r="I491" s="214"/>
    </row>
    <row r="492" ht="30.0" customHeight="1">
      <c r="A492" s="238">
        <v>46129.0</v>
      </c>
      <c r="B492" s="209" t="s">
        <v>55</v>
      </c>
      <c r="C492" s="210" t="s">
        <v>200</v>
      </c>
      <c r="D492" s="211">
        <v>-2000.0</v>
      </c>
      <c r="E492" s="212" t="s">
        <v>66</v>
      </c>
      <c r="F492" s="213">
        <v>0.0</v>
      </c>
      <c r="G492" s="194">
        <f t="shared" si="2"/>
        <v>1057000</v>
      </c>
      <c r="H492" s="214"/>
      <c r="I492" s="214"/>
    </row>
    <row r="493" ht="30.0" customHeight="1">
      <c r="A493" s="238">
        <v>46130.0</v>
      </c>
      <c r="B493" s="209" t="s">
        <v>55</v>
      </c>
      <c r="C493" s="210" t="s">
        <v>201</v>
      </c>
      <c r="D493" s="211">
        <v>-140000.0</v>
      </c>
      <c r="E493" s="212" t="s">
        <v>66</v>
      </c>
      <c r="F493" s="213">
        <v>0.0</v>
      </c>
      <c r="G493" s="194">
        <f t="shared" si="2"/>
        <v>917000</v>
      </c>
      <c r="H493" s="214"/>
      <c r="I493" s="214"/>
    </row>
    <row r="494" ht="30.0" customHeight="1">
      <c r="A494" s="238">
        <v>46130.0</v>
      </c>
      <c r="B494" s="209" t="s">
        <v>55</v>
      </c>
      <c r="C494" s="210" t="s">
        <v>202</v>
      </c>
      <c r="D494" s="211">
        <v>-60000.0</v>
      </c>
      <c r="E494" s="212" t="s">
        <v>66</v>
      </c>
      <c r="F494" s="213">
        <v>0.0</v>
      </c>
      <c r="G494" s="194">
        <f t="shared" si="2"/>
        <v>857000</v>
      </c>
      <c r="H494" s="214"/>
      <c r="I494" s="214"/>
    </row>
    <row r="495" ht="30.0" customHeight="1">
      <c r="A495" s="238">
        <v>46130.0</v>
      </c>
      <c r="B495" s="209" t="s">
        <v>55</v>
      </c>
      <c r="C495" s="210" t="s">
        <v>77</v>
      </c>
      <c r="D495" s="211">
        <v>-16000.0</v>
      </c>
      <c r="E495" s="212" t="s">
        <v>66</v>
      </c>
      <c r="F495" s="213">
        <v>0.0</v>
      </c>
      <c r="G495" s="194">
        <f t="shared" si="2"/>
        <v>841000</v>
      </c>
      <c r="H495" s="214"/>
      <c r="I495" s="214"/>
    </row>
    <row r="496" ht="30.0" customHeight="1">
      <c r="A496" s="238">
        <v>46130.0</v>
      </c>
      <c r="B496" s="209" t="s">
        <v>55</v>
      </c>
      <c r="C496" s="210" t="s">
        <v>77</v>
      </c>
      <c r="D496" s="211">
        <v>-20000.0</v>
      </c>
      <c r="E496" s="212" t="s">
        <v>66</v>
      </c>
      <c r="F496" s="213">
        <v>0.0</v>
      </c>
      <c r="G496" s="194">
        <f t="shared" si="2"/>
        <v>821000</v>
      </c>
      <c r="H496" s="214"/>
      <c r="I496" s="214"/>
    </row>
    <row r="497" ht="30.0" customHeight="1">
      <c r="A497" s="238">
        <v>46130.0</v>
      </c>
      <c r="B497" s="209" t="s">
        <v>55</v>
      </c>
      <c r="C497" s="210" t="s">
        <v>203</v>
      </c>
      <c r="D497" s="211">
        <v>-3000.0</v>
      </c>
      <c r="E497" s="212" t="s">
        <v>66</v>
      </c>
      <c r="F497" s="213">
        <v>0.0</v>
      </c>
      <c r="G497" s="194">
        <f t="shared" si="2"/>
        <v>818000</v>
      </c>
      <c r="H497" s="214"/>
      <c r="I497" s="214"/>
    </row>
    <row r="498" ht="30.0" customHeight="1">
      <c r="A498" s="238">
        <v>46130.0</v>
      </c>
      <c r="B498" s="209" t="s">
        <v>55</v>
      </c>
      <c r="C498" s="210" t="s">
        <v>77</v>
      </c>
      <c r="D498" s="211">
        <v>-5000.0</v>
      </c>
      <c r="E498" s="212" t="s">
        <v>66</v>
      </c>
      <c r="F498" s="213">
        <v>0.0</v>
      </c>
      <c r="G498" s="194">
        <f t="shared" si="2"/>
        <v>813000</v>
      </c>
      <c r="H498" s="214"/>
      <c r="I498" s="214"/>
    </row>
    <row r="499" ht="30.0" customHeight="1">
      <c r="A499" s="208">
        <v>46130.0</v>
      </c>
      <c r="B499" s="209" t="s">
        <v>55</v>
      </c>
      <c r="C499" s="210" t="s">
        <v>204</v>
      </c>
      <c r="D499" s="211">
        <v>-48750.0</v>
      </c>
      <c r="E499" s="212" t="s">
        <v>66</v>
      </c>
      <c r="F499" s="213">
        <v>0.0</v>
      </c>
      <c r="G499" s="194">
        <f t="shared" si="2"/>
        <v>764250</v>
      </c>
      <c r="H499" s="214"/>
      <c r="I499" s="214"/>
    </row>
    <row r="500" ht="30.0" customHeight="1">
      <c r="A500" s="238">
        <v>46131.0</v>
      </c>
      <c r="B500" s="209" t="s">
        <v>55</v>
      </c>
      <c r="C500" s="210" t="s">
        <v>202</v>
      </c>
      <c r="D500" s="211">
        <v>-60000.0</v>
      </c>
      <c r="E500" s="212" t="s">
        <v>66</v>
      </c>
      <c r="F500" s="213">
        <v>0.0</v>
      </c>
      <c r="G500" s="194">
        <f t="shared" si="2"/>
        <v>704250</v>
      </c>
      <c r="H500" s="214"/>
      <c r="I500" s="214"/>
    </row>
    <row r="501" ht="30.0" customHeight="1">
      <c r="A501" s="238">
        <v>46131.0</v>
      </c>
      <c r="B501" s="209" t="s">
        <v>55</v>
      </c>
      <c r="C501" s="210" t="s">
        <v>205</v>
      </c>
      <c r="D501" s="211">
        <v>-6000.0</v>
      </c>
      <c r="E501" s="212" t="s">
        <v>66</v>
      </c>
      <c r="F501" s="213">
        <v>0.0</v>
      </c>
      <c r="G501" s="194">
        <f t="shared" si="2"/>
        <v>698250</v>
      </c>
      <c r="H501" s="214"/>
      <c r="I501" s="214"/>
    </row>
    <row r="502" ht="30.0" customHeight="1">
      <c r="A502" s="238">
        <v>46131.0</v>
      </c>
      <c r="B502" s="209" t="s">
        <v>55</v>
      </c>
      <c r="C502" s="210" t="s">
        <v>77</v>
      </c>
      <c r="D502" s="211">
        <v>-4000.0</v>
      </c>
      <c r="E502" s="212" t="s">
        <v>66</v>
      </c>
      <c r="F502" s="213">
        <v>0.0</v>
      </c>
      <c r="G502" s="194">
        <f t="shared" si="2"/>
        <v>694250</v>
      </c>
      <c r="H502" s="214"/>
      <c r="I502" s="214"/>
    </row>
    <row r="503" ht="30.0" customHeight="1">
      <c r="A503" s="238">
        <v>46131.0</v>
      </c>
      <c r="B503" s="209" t="s">
        <v>55</v>
      </c>
      <c r="C503" s="210" t="s">
        <v>77</v>
      </c>
      <c r="D503" s="211">
        <v>-3500.0</v>
      </c>
      <c r="E503" s="212" t="s">
        <v>66</v>
      </c>
      <c r="F503" s="213">
        <v>0.0</v>
      </c>
      <c r="G503" s="194">
        <f t="shared" si="2"/>
        <v>690750</v>
      </c>
      <c r="H503" s="214"/>
      <c r="I503" s="214"/>
    </row>
    <row r="504" ht="30.0" customHeight="1">
      <c r="A504" s="238">
        <v>46131.0</v>
      </c>
      <c r="B504" s="209" t="s">
        <v>38</v>
      </c>
      <c r="C504" s="210" t="s">
        <v>1</v>
      </c>
      <c r="D504" s="211">
        <v>-10000.0</v>
      </c>
      <c r="E504" s="212" t="s">
        <v>66</v>
      </c>
      <c r="F504" s="213">
        <v>0.0</v>
      </c>
      <c r="G504" s="194">
        <f t="shared" si="2"/>
        <v>680750</v>
      </c>
      <c r="H504" s="214"/>
      <c r="I504" s="241"/>
    </row>
    <row r="505" ht="30.0" customHeight="1">
      <c r="A505" s="238">
        <v>46131.0</v>
      </c>
      <c r="B505" s="209" t="s">
        <v>38</v>
      </c>
      <c r="C505" s="210" t="s">
        <v>75</v>
      </c>
      <c r="D505" s="211">
        <v>-10000.0</v>
      </c>
      <c r="E505" s="212" t="s">
        <v>66</v>
      </c>
      <c r="F505" s="213">
        <v>0.0</v>
      </c>
      <c r="G505" s="194">
        <f t="shared" si="2"/>
        <v>670750</v>
      </c>
      <c r="H505" s="214"/>
      <c r="I505" s="214"/>
    </row>
    <row r="506" ht="30.0" customHeight="1">
      <c r="A506" s="242">
        <v>46132.0</v>
      </c>
      <c r="B506" s="209" t="s">
        <v>55</v>
      </c>
      <c r="C506" s="210" t="s">
        <v>206</v>
      </c>
      <c r="D506" s="211">
        <v>-60000.0</v>
      </c>
      <c r="E506" s="212" t="s">
        <v>66</v>
      </c>
      <c r="F506" s="213">
        <v>0.0</v>
      </c>
      <c r="G506" s="194">
        <f t="shared" si="2"/>
        <v>610750</v>
      </c>
      <c r="H506" s="214"/>
      <c r="I506" s="214"/>
    </row>
    <row r="507" ht="30.0" customHeight="1">
      <c r="A507" s="242">
        <v>46132.0</v>
      </c>
      <c r="B507" s="209" t="s">
        <v>55</v>
      </c>
      <c r="C507" s="210" t="s">
        <v>207</v>
      </c>
      <c r="D507" s="211">
        <v>-6000.0</v>
      </c>
      <c r="E507" s="212" t="s">
        <v>66</v>
      </c>
      <c r="F507" s="213">
        <v>0.0</v>
      </c>
      <c r="G507" s="194">
        <f t="shared" si="2"/>
        <v>604750</v>
      </c>
      <c r="H507" s="214"/>
      <c r="I507" s="214"/>
    </row>
    <row r="508" ht="30.0" customHeight="1">
      <c r="A508" s="242">
        <v>46132.0</v>
      </c>
      <c r="B508" s="209" t="s">
        <v>55</v>
      </c>
      <c r="C508" s="210" t="s">
        <v>77</v>
      </c>
      <c r="D508" s="211">
        <v>-10000.0</v>
      </c>
      <c r="E508" s="212" t="s">
        <v>66</v>
      </c>
      <c r="F508" s="213">
        <v>0.0</v>
      </c>
      <c r="G508" s="194">
        <f t="shared" si="2"/>
        <v>594750</v>
      </c>
      <c r="H508" s="214"/>
      <c r="I508" s="214"/>
    </row>
    <row r="509" ht="30.0" customHeight="1">
      <c r="A509" s="242">
        <v>46132.0</v>
      </c>
      <c r="B509" s="209" t="s">
        <v>55</v>
      </c>
      <c r="C509" s="210" t="s">
        <v>77</v>
      </c>
      <c r="D509" s="211">
        <v>-12000.0</v>
      </c>
      <c r="E509" s="212" t="s">
        <v>66</v>
      </c>
      <c r="F509" s="213">
        <v>0.0</v>
      </c>
      <c r="G509" s="194">
        <f t="shared" si="2"/>
        <v>582750</v>
      </c>
      <c r="H509" s="214"/>
      <c r="I509" s="214"/>
    </row>
    <row r="510" ht="30.0" customHeight="1">
      <c r="A510" s="242">
        <v>46132.0</v>
      </c>
      <c r="B510" s="209" t="s">
        <v>55</v>
      </c>
      <c r="C510" s="210" t="s">
        <v>77</v>
      </c>
      <c r="D510" s="211">
        <v>-14000.0</v>
      </c>
      <c r="E510" s="212" t="s">
        <v>66</v>
      </c>
      <c r="F510" s="213">
        <v>0.0</v>
      </c>
      <c r="G510" s="194">
        <f t="shared" si="2"/>
        <v>568750</v>
      </c>
      <c r="H510" s="214"/>
      <c r="I510" s="243"/>
    </row>
    <row r="511" ht="30.0" customHeight="1">
      <c r="A511" s="244">
        <v>46133.0</v>
      </c>
      <c r="B511" s="209" t="s">
        <v>55</v>
      </c>
      <c r="C511" s="210" t="s">
        <v>206</v>
      </c>
      <c r="D511" s="211">
        <v>-60000.0</v>
      </c>
      <c r="E511" s="212" t="s">
        <v>66</v>
      </c>
      <c r="F511" s="213">
        <v>0.0</v>
      </c>
      <c r="G511" s="194">
        <f t="shared" si="2"/>
        <v>508750</v>
      </c>
      <c r="H511" s="214"/>
      <c r="I511" s="243"/>
    </row>
    <row r="512" ht="30.0" customHeight="1">
      <c r="A512" s="244">
        <v>46133.0</v>
      </c>
      <c r="B512" s="209" t="s">
        <v>55</v>
      </c>
      <c r="C512" s="210" t="s">
        <v>73</v>
      </c>
      <c r="D512" s="211">
        <v>-6000.0</v>
      </c>
      <c r="E512" s="212" t="s">
        <v>66</v>
      </c>
      <c r="F512" s="213">
        <v>0.0</v>
      </c>
      <c r="G512" s="194">
        <f t="shared" si="2"/>
        <v>502750</v>
      </c>
      <c r="H512" s="214"/>
      <c r="I512" s="243"/>
    </row>
    <row r="513" ht="30.0" customHeight="1">
      <c r="A513" s="244">
        <v>46133.0</v>
      </c>
      <c r="B513" s="209" t="s">
        <v>55</v>
      </c>
      <c r="C513" s="210" t="s">
        <v>77</v>
      </c>
      <c r="D513" s="211">
        <v>-20000.0</v>
      </c>
      <c r="E513" s="212" t="s">
        <v>66</v>
      </c>
      <c r="F513" s="213">
        <v>0.0</v>
      </c>
      <c r="G513" s="194">
        <f t="shared" si="2"/>
        <v>482750</v>
      </c>
      <c r="H513" s="214"/>
      <c r="I513" s="243"/>
    </row>
    <row r="514" ht="30.0" customHeight="1">
      <c r="A514" s="244">
        <v>46133.0</v>
      </c>
      <c r="B514" s="209" t="s">
        <v>38</v>
      </c>
      <c r="C514" s="210" t="s">
        <v>1</v>
      </c>
      <c r="D514" s="211">
        <v>-10000.0</v>
      </c>
      <c r="E514" s="212" t="s">
        <v>66</v>
      </c>
      <c r="F514" s="213">
        <v>0.0</v>
      </c>
      <c r="G514" s="194">
        <f t="shared" si="2"/>
        <v>472750</v>
      </c>
      <c r="H514" s="214"/>
      <c r="I514" s="241"/>
    </row>
    <row r="515" ht="30.0" customHeight="1">
      <c r="A515" s="244">
        <v>46133.0</v>
      </c>
      <c r="B515" s="209" t="s">
        <v>38</v>
      </c>
      <c r="C515" s="210" t="s">
        <v>75</v>
      </c>
      <c r="D515" s="211">
        <v>-10000.0</v>
      </c>
      <c r="E515" s="212" t="s">
        <v>66</v>
      </c>
      <c r="F515" s="213">
        <v>0.0</v>
      </c>
      <c r="G515" s="194">
        <f t="shared" si="2"/>
        <v>462750</v>
      </c>
      <c r="H515" s="214"/>
      <c r="I515" s="245"/>
    </row>
    <row r="516" ht="30.0" customHeight="1">
      <c r="A516" s="208">
        <v>46134.0</v>
      </c>
      <c r="B516" s="209" t="s">
        <v>55</v>
      </c>
      <c r="C516" s="210" t="s">
        <v>206</v>
      </c>
      <c r="D516" s="211">
        <v>-60000.0</v>
      </c>
      <c r="E516" s="212" t="s">
        <v>66</v>
      </c>
      <c r="F516" s="213">
        <v>0.0</v>
      </c>
      <c r="G516" s="194">
        <f t="shared" si="2"/>
        <v>402750</v>
      </c>
      <c r="H516" s="214"/>
      <c r="I516" s="243"/>
    </row>
    <row r="517" ht="30.0" customHeight="1">
      <c r="A517" s="208">
        <v>46134.0</v>
      </c>
      <c r="B517" s="209" t="s">
        <v>55</v>
      </c>
      <c r="C517" s="210" t="s">
        <v>77</v>
      </c>
      <c r="D517" s="211">
        <v>-11250.0</v>
      </c>
      <c r="E517" s="212" t="s">
        <v>66</v>
      </c>
      <c r="F517" s="213">
        <v>0.0</v>
      </c>
      <c r="G517" s="194">
        <f t="shared" si="2"/>
        <v>391500</v>
      </c>
      <c r="H517" s="214"/>
      <c r="I517" s="243"/>
    </row>
    <row r="518" ht="30.0" customHeight="1">
      <c r="A518" s="208">
        <v>46134.0</v>
      </c>
      <c r="B518" s="209" t="s">
        <v>55</v>
      </c>
      <c r="C518" s="210" t="s">
        <v>77</v>
      </c>
      <c r="D518" s="211">
        <v>-11250.0</v>
      </c>
      <c r="E518" s="212" t="s">
        <v>66</v>
      </c>
      <c r="F518" s="213">
        <v>0.0</v>
      </c>
      <c r="G518" s="194">
        <f t="shared" si="2"/>
        <v>380250</v>
      </c>
      <c r="H518" s="214"/>
      <c r="I518" s="243"/>
    </row>
    <row r="519" ht="30.0" customHeight="1">
      <c r="A519" s="208">
        <v>46134.0</v>
      </c>
      <c r="B519" s="209" t="s">
        <v>38</v>
      </c>
      <c r="C519" s="210" t="s">
        <v>1</v>
      </c>
      <c r="D519" s="211">
        <v>-40000.0</v>
      </c>
      <c r="E519" s="212" t="s">
        <v>66</v>
      </c>
      <c r="F519" s="213">
        <v>0.0</v>
      </c>
      <c r="G519" s="194">
        <f t="shared" si="2"/>
        <v>340250</v>
      </c>
      <c r="H519" s="214"/>
      <c r="I519" s="218"/>
    </row>
    <row r="520" ht="30.0" customHeight="1">
      <c r="A520" s="208">
        <v>46134.0</v>
      </c>
      <c r="B520" s="209" t="s">
        <v>38</v>
      </c>
      <c r="C520" s="210" t="s">
        <v>75</v>
      </c>
      <c r="D520" s="211">
        <v>-40000.0</v>
      </c>
      <c r="E520" s="212" t="s">
        <v>66</v>
      </c>
      <c r="F520" s="213">
        <v>0.0</v>
      </c>
      <c r="G520" s="194">
        <f t="shared" si="2"/>
        <v>300250</v>
      </c>
      <c r="H520" s="214"/>
      <c r="I520" s="214"/>
    </row>
    <row r="521" ht="30.0" customHeight="1">
      <c r="A521" s="208">
        <v>46134.0</v>
      </c>
      <c r="B521" s="209" t="s">
        <v>38</v>
      </c>
      <c r="C521" s="210" t="s">
        <v>58</v>
      </c>
      <c r="D521" s="211">
        <v>0.0</v>
      </c>
      <c r="E521" s="212" t="s">
        <v>61</v>
      </c>
      <c r="F521" s="213">
        <v>5000.0</v>
      </c>
      <c r="G521" s="194">
        <f t="shared" si="2"/>
        <v>300250</v>
      </c>
      <c r="H521" s="243" t="s">
        <v>208</v>
      </c>
      <c r="I521" s="243"/>
    </row>
    <row r="522" ht="30.0" customHeight="1">
      <c r="A522" s="208">
        <v>46134.0</v>
      </c>
      <c r="B522" s="209" t="s">
        <v>38</v>
      </c>
      <c r="C522" s="210" t="s">
        <v>106</v>
      </c>
      <c r="D522" s="211">
        <v>0.0</v>
      </c>
      <c r="E522" s="212" t="s">
        <v>61</v>
      </c>
      <c r="F522" s="213">
        <v>6000.0</v>
      </c>
      <c r="G522" s="194">
        <f t="shared" si="2"/>
        <v>300250</v>
      </c>
      <c r="H522" s="243" t="s">
        <v>208</v>
      </c>
      <c r="I522" s="214"/>
    </row>
    <row r="523" ht="30.0" customHeight="1">
      <c r="A523" s="208">
        <v>46134.0</v>
      </c>
      <c r="B523" s="209" t="s">
        <v>38</v>
      </c>
      <c r="C523" s="210" t="s">
        <v>64</v>
      </c>
      <c r="D523" s="211">
        <v>0.0</v>
      </c>
      <c r="E523" s="212" t="s">
        <v>61</v>
      </c>
      <c r="F523" s="213">
        <v>15000.0</v>
      </c>
      <c r="G523" s="194">
        <f t="shared" si="2"/>
        <v>300250</v>
      </c>
      <c r="H523" s="243" t="s">
        <v>208</v>
      </c>
      <c r="I523" s="214"/>
    </row>
    <row r="524" ht="30.0" customHeight="1">
      <c r="A524" s="208">
        <v>46134.0</v>
      </c>
      <c r="B524" s="209" t="s">
        <v>55</v>
      </c>
      <c r="C524" s="210" t="s">
        <v>77</v>
      </c>
      <c r="D524" s="211">
        <v>0.0</v>
      </c>
      <c r="E524" s="212" t="s">
        <v>61</v>
      </c>
      <c r="F524" s="213">
        <v>22000.0</v>
      </c>
      <c r="G524" s="194">
        <f t="shared" si="2"/>
        <v>300250</v>
      </c>
      <c r="H524" s="243" t="s">
        <v>208</v>
      </c>
      <c r="I524" s="214"/>
    </row>
    <row r="525" ht="30.0" customHeight="1">
      <c r="A525" s="208">
        <v>46134.0</v>
      </c>
      <c r="B525" s="209" t="s">
        <v>55</v>
      </c>
      <c r="C525" s="210" t="s">
        <v>77</v>
      </c>
      <c r="D525" s="211">
        <v>0.0</v>
      </c>
      <c r="E525" s="212" t="s">
        <v>61</v>
      </c>
      <c r="F525" s="213">
        <v>2000.0</v>
      </c>
      <c r="G525" s="194">
        <f t="shared" si="2"/>
        <v>300250</v>
      </c>
      <c r="H525" s="243" t="s">
        <v>208</v>
      </c>
      <c r="I525" s="214"/>
    </row>
    <row r="526" ht="30.0" customHeight="1">
      <c r="A526" s="208">
        <v>46134.0</v>
      </c>
      <c r="B526" s="209" t="s">
        <v>55</v>
      </c>
      <c r="C526" s="210" t="s">
        <v>73</v>
      </c>
      <c r="D526" s="211">
        <v>0.0</v>
      </c>
      <c r="E526" s="212" t="s">
        <v>61</v>
      </c>
      <c r="F526" s="213">
        <v>10000.0</v>
      </c>
      <c r="G526" s="194">
        <f t="shared" si="2"/>
        <v>300250</v>
      </c>
      <c r="H526" s="243" t="s">
        <v>208</v>
      </c>
      <c r="I526" s="214"/>
    </row>
    <row r="527" ht="30.0" customHeight="1">
      <c r="A527" s="208">
        <v>46134.0</v>
      </c>
      <c r="B527" s="209" t="s">
        <v>55</v>
      </c>
      <c r="C527" s="210" t="s">
        <v>77</v>
      </c>
      <c r="D527" s="211">
        <v>0.0</v>
      </c>
      <c r="E527" s="212" t="s">
        <v>61</v>
      </c>
      <c r="F527" s="213">
        <v>10000.0</v>
      </c>
      <c r="G527" s="194">
        <f t="shared" si="2"/>
        <v>300250</v>
      </c>
      <c r="H527" s="243" t="s">
        <v>208</v>
      </c>
      <c r="I527" s="214"/>
    </row>
    <row r="528" ht="30.0" customHeight="1">
      <c r="A528" s="208">
        <v>46134.0</v>
      </c>
      <c r="B528" s="209" t="s">
        <v>38</v>
      </c>
      <c r="C528" s="210" t="s">
        <v>64</v>
      </c>
      <c r="D528" s="211">
        <v>0.0</v>
      </c>
      <c r="E528" s="212" t="s">
        <v>61</v>
      </c>
      <c r="F528" s="213">
        <v>18000.0</v>
      </c>
      <c r="G528" s="194">
        <f t="shared" si="2"/>
        <v>300250</v>
      </c>
      <c r="H528" s="243" t="s">
        <v>208</v>
      </c>
      <c r="I528" s="214"/>
    </row>
    <row r="529" ht="30.0" customHeight="1">
      <c r="A529" s="208">
        <v>46134.0</v>
      </c>
      <c r="B529" s="209" t="s">
        <v>38</v>
      </c>
      <c r="C529" s="210" t="s">
        <v>106</v>
      </c>
      <c r="D529" s="211">
        <v>0.0</v>
      </c>
      <c r="E529" s="212" t="s">
        <v>61</v>
      </c>
      <c r="F529" s="213">
        <v>1000.0</v>
      </c>
      <c r="G529" s="194">
        <f t="shared" si="2"/>
        <v>300250</v>
      </c>
      <c r="H529" s="243" t="s">
        <v>208</v>
      </c>
      <c r="I529" s="214"/>
    </row>
    <row r="530" ht="30.0" customHeight="1">
      <c r="A530" s="208">
        <v>46135.0</v>
      </c>
      <c r="B530" s="209" t="s">
        <v>55</v>
      </c>
      <c r="C530" s="210" t="s">
        <v>73</v>
      </c>
      <c r="D530" s="211">
        <v>0.0</v>
      </c>
      <c r="E530" s="212" t="s">
        <v>61</v>
      </c>
      <c r="F530" s="213">
        <v>10000.0</v>
      </c>
      <c r="G530" s="194">
        <f t="shared" si="2"/>
        <v>300250</v>
      </c>
      <c r="H530" s="243" t="s">
        <v>208</v>
      </c>
      <c r="I530" s="214"/>
    </row>
    <row r="531" ht="30.0" customHeight="1">
      <c r="A531" s="208">
        <v>46135.0</v>
      </c>
      <c r="B531" s="209" t="s">
        <v>55</v>
      </c>
      <c r="C531" s="210" t="s">
        <v>77</v>
      </c>
      <c r="D531" s="211">
        <v>0.0</v>
      </c>
      <c r="E531" s="212" t="s">
        <v>61</v>
      </c>
      <c r="F531" s="213">
        <v>10000.0</v>
      </c>
      <c r="G531" s="194">
        <f t="shared" si="2"/>
        <v>300250</v>
      </c>
      <c r="H531" s="243" t="s">
        <v>208</v>
      </c>
      <c r="I531" s="243"/>
    </row>
    <row r="532" ht="30.0" customHeight="1">
      <c r="A532" s="208">
        <v>46135.0</v>
      </c>
      <c r="B532" s="209" t="s">
        <v>38</v>
      </c>
      <c r="C532" s="210" t="s">
        <v>64</v>
      </c>
      <c r="D532" s="211">
        <v>0.0</v>
      </c>
      <c r="E532" s="212" t="s">
        <v>61</v>
      </c>
      <c r="F532" s="213">
        <v>18000.0</v>
      </c>
      <c r="G532" s="194">
        <f t="shared" si="2"/>
        <v>300250</v>
      </c>
      <c r="H532" s="243" t="s">
        <v>208</v>
      </c>
      <c r="I532" s="243"/>
    </row>
    <row r="533" ht="30.0" customHeight="1">
      <c r="A533" s="208">
        <v>46135.0</v>
      </c>
      <c r="B533" s="209" t="s">
        <v>38</v>
      </c>
      <c r="C533" s="210" t="s">
        <v>106</v>
      </c>
      <c r="D533" s="211">
        <v>0.0</v>
      </c>
      <c r="E533" s="212" t="s">
        <v>61</v>
      </c>
      <c r="F533" s="213">
        <v>1000.0</v>
      </c>
      <c r="G533" s="194">
        <f t="shared" si="2"/>
        <v>300250</v>
      </c>
      <c r="H533" s="243" t="s">
        <v>208</v>
      </c>
      <c r="I533" s="243"/>
    </row>
    <row r="534" ht="30.0" customHeight="1">
      <c r="A534" s="208">
        <v>46135.0</v>
      </c>
      <c r="B534" s="209" t="s">
        <v>38</v>
      </c>
      <c r="C534" s="210" t="s">
        <v>58</v>
      </c>
      <c r="D534" s="211">
        <v>0.0</v>
      </c>
      <c r="E534" s="212" t="s">
        <v>61</v>
      </c>
      <c r="F534" s="213">
        <v>25000.0</v>
      </c>
      <c r="G534" s="194">
        <f t="shared" si="2"/>
        <v>300250</v>
      </c>
      <c r="H534" s="243" t="s">
        <v>208</v>
      </c>
      <c r="I534" s="243"/>
    </row>
    <row r="535" ht="30.0" customHeight="1">
      <c r="A535" s="208">
        <v>46135.0</v>
      </c>
      <c r="B535" s="209" t="s">
        <v>55</v>
      </c>
      <c r="C535" s="210" t="s">
        <v>206</v>
      </c>
      <c r="D535" s="211">
        <v>-60000.0</v>
      </c>
      <c r="E535" s="212" t="s">
        <v>66</v>
      </c>
      <c r="F535" s="213">
        <v>0.0</v>
      </c>
      <c r="G535" s="194">
        <f t="shared" si="2"/>
        <v>240250</v>
      </c>
      <c r="H535" s="214"/>
      <c r="I535" s="214"/>
    </row>
    <row r="536" ht="30.0" customHeight="1">
      <c r="A536" s="208">
        <v>46135.0</v>
      </c>
      <c r="B536" s="209" t="s">
        <v>55</v>
      </c>
      <c r="C536" s="210" t="s">
        <v>77</v>
      </c>
      <c r="D536" s="211">
        <v>-11250.0</v>
      </c>
      <c r="E536" s="212" t="s">
        <v>66</v>
      </c>
      <c r="F536" s="213">
        <v>0.0</v>
      </c>
      <c r="G536" s="194">
        <f t="shared" si="2"/>
        <v>229000</v>
      </c>
      <c r="H536" s="214"/>
      <c r="I536" s="214"/>
    </row>
    <row r="537" ht="30.0" customHeight="1">
      <c r="A537" s="208">
        <v>46135.0</v>
      </c>
      <c r="B537" s="209" t="s">
        <v>55</v>
      </c>
      <c r="C537" s="210" t="s">
        <v>77</v>
      </c>
      <c r="D537" s="211">
        <v>-10000.0</v>
      </c>
      <c r="E537" s="212" t="s">
        <v>66</v>
      </c>
      <c r="F537" s="213">
        <v>0.0</v>
      </c>
      <c r="G537" s="194">
        <f t="shared" si="2"/>
        <v>219000</v>
      </c>
      <c r="H537" s="214"/>
      <c r="I537" s="214"/>
    </row>
    <row r="538" ht="30.0" customHeight="1">
      <c r="A538" s="208">
        <v>46135.0</v>
      </c>
      <c r="B538" s="209" t="s">
        <v>55</v>
      </c>
      <c r="C538" s="210" t="s">
        <v>73</v>
      </c>
      <c r="D538" s="211">
        <v>-7000.0</v>
      </c>
      <c r="E538" s="212" t="s">
        <v>66</v>
      </c>
      <c r="F538" s="213">
        <v>0.0</v>
      </c>
      <c r="G538" s="194">
        <f t="shared" si="2"/>
        <v>212000</v>
      </c>
      <c r="H538" s="214"/>
      <c r="I538" s="214"/>
    </row>
    <row r="539" ht="30.0" customHeight="1">
      <c r="A539" s="208">
        <v>46135.0</v>
      </c>
      <c r="B539" s="209" t="s">
        <v>38</v>
      </c>
      <c r="C539" s="210" t="s">
        <v>1</v>
      </c>
      <c r="D539" s="211">
        <v>-10000.0</v>
      </c>
      <c r="E539" s="212" t="s">
        <v>66</v>
      </c>
      <c r="F539" s="213">
        <v>0.0</v>
      </c>
      <c r="G539" s="194">
        <f t="shared" si="2"/>
        <v>202000</v>
      </c>
      <c r="H539" s="214"/>
      <c r="I539" s="218"/>
    </row>
    <row r="540" ht="30.0" customHeight="1">
      <c r="A540" s="208">
        <v>46135.0</v>
      </c>
      <c r="B540" s="209" t="s">
        <v>38</v>
      </c>
      <c r="C540" s="210" t="s">
        <v>75</v>
      </c>
      <c r="D540" s="211">
        <v>-10000.0</v>
      </c>
      <c r="E540" s="212" t="s">
        <v>66</v>
      </c>
      <c r="F540" s="213">
        <v>0.0</v>
      </c>
      <c r="G540" s="194">
        <f t="shared" si="2"/>
        <v>192000</v>
      </c>
      <c r="H540" s="214"/>
      <c r="I540" s="214"/>
    </row>
    <row r="541" ht="30.0" customHeight="1">
      <c r="A541" s="208">
        <v>46135.0</v>
      </c>
      <c r="B541" s="209" t="s">
        <v>38</v>
      </c>
      <c r="C541" s="210" t="s">
        <v>58</v>
      </c>
      <c r="D541" s="211">
        <v>0.0</v>
      </c>
      <c r="E541" s="212" t="s">
        <v>61</v>
      </c>
      <c r="F541" s="213">
        <v>25000.0</v>
      </c>
      <c r="G541" s="194">
        <f t="shared" si="2"/>
        <v>192000</v>
      </c>
      <c r="H541" s="214"/>
      <c r="I541" s="214"/>
    </row>
    <row r="542" ht="30.0" customHeight="1">
      <c r="A542" s="208">
        <v>46136.0</v>
      </c>
      <c r="B542" s="209" t="s">
        <v>55</v>
      </c>
      <c r="C542" s="210" t="s">
        <v>206</v>
      </c>
      <c r="D542" s="211">
        <v>-60000.0</v>
      </c>
      <c r="E542" s="212" t="s">
        <v>66</v>
      </c>
      <c r="F542" s="213">
        <v>0.0</v>
      </c>
      <c r="G542" s="194">
        <f t="shared" si="2"/>
        <v>132000</v>
      </c>
      <c r="H542" s="214"/>
      <c r="I542" s="214"/>
    </row>
    <row r="543" ht="30.0" customHeight="1">
      <c r="A543" s="208">
        <v>46136.0</v>
      </c>
      <c r="B543" s="209" t="s">
        <v>55</v>
      </c>
      <c r="C543" s="210" t="s">
        <v>77</v>
      </c>
      <c r="D543" s="211">
        <v>-11000.0</v>
      </c>
      <c r="E543" s="212" t="s">
        <v>66</v>
      </c>
      <c r="F543" s="213">
        <v>0.0</v>
      </c>
      <c r="G543" s="194">
        <f t="shared" si="2"/>
        <v>121000</v>
      </c>
      <c r="H543" s="214"/>
      <c r="I543" s="214"/>
    </row>
    <row r="544" ht="30.0" customHeight="1">
      <c r="A544" s="208">
        <v>46136.0</v>
      </c>
      <c r="B544" s="209" t="s">
        <v>55</v>
      </c>
      <c r="C544" s="210" t="s">
        <v>73</v>
      </c>
      <c r="D544" s="211">
        <v>-6500.0</v>
      </c>
      <c r="E544" s="212" t="s">
        <v>66</v>
      </c>
      <c r="F544" s="213">
        <v>0.0</v>
      </c>
      <c r="G544" s="194">
        <f t="shared" si="2"/>
        <v>114500</v>
      </c>
      <c r="H544" s="214"/>
      <c r="I544" s="214"/>
    </row>
    <row r="545" ht="30.0" customHeight="1">
      <c r="A545" s="208">
        <v>46136.0</v>
      </c>
      <c r="B545" s="209" t="s">
        <v>55</v>
      </c>
      <c r="C545" s="210" t="s">
        <v>209</v>
      </c>
      <c r="D545" s="211">
        <v>-10000.0</v>
      </c>
      <c r="E545" s="212" t="s">
        <v>66</v>
      </c>
      <c r="F545" s="213">
        <v>0.0</v>
      </c>
      <c r="G545" s="194">
        <f t="shared" si="2"/>
        <v>104500</v>
      </c>
      <c r="H545" s="214"/>
      <c r="I545" s="214"/>
    </row>
    <row r="546" ht="30.0" customHeight="1">
      <c r="A546" s="208">
        <v>46136.0</v>
      </c>
      <c r="B546" s="209" t="s">
        <v>55</v>
      </c>
      <c r="C546" s="210" t="s">
        <v>210</v>
      </c>
      <c r="D546" s="211">
        <v>-5500.0</v>
      </c>
      <c r="E546" s="212" t="s">
        <v>66</v>
      </c>
      <c r="F546" s="213">
        <v>0.0</v>
      </c>
      <c r="G546" s="194">
        <f t="shared" si="2"/>
        <v>99000</v>
      </c>
      <c r="H546" s="214"/>
      <c r="I546" s="214"/>
    </row>
    <row r="547" ht="30.0" customHeight="1">
      <c r="A547" s="208">
        <v>46136.0</v>
      </c>
      <c r="B547" s="209" t="s">
        <v>38</v>
      </c>
      <c r="C547" s="210" t="s">
        <v>1</v>
      </c>
      <c r="D547" s="211">
        <v>-12500.0</v>
      </c>
      <c r="E547" s="212" t="s">
        <v>66</v>
      </c>
      <c r="F547" s="213">
        <v>0.0</v>
      </c>
      <c r="G547" s="194">
        <f t="shared" si="2"/>
        <v>86500</v>
      </c>
      <c r="H547" s="214"/>
      <c r="I547" s="214"/>
    </row>
    <row r="548" ht="30.0" customHeight="1">
      <c r="A548" s="208">
        <v>46136.0</v>
      </c>
      <c r="B548" s="209" t="s">
        <v>38</v>
      </c>
      <c r="C548" s="210" t="s">
        <v>75</v>
      </c>
      <c r="D548" s="211">
        <v>-12500.0</v>
      </c>
      <c r="E548" s="212" t="s">
        <v>66</v>
      </c>
      <c r="F548" s="213">
        <v>0.0</v>
      </c>
      <c r="G548" s="194">
        <f t="shared" si="2"/>
        <v>74000</v>
      </c>
      <c r="H548" s="214"/>
      <c r="I548" s="214"/>
    </row>
    <row r="549" ht="30.0" customHeight="1">
      <c r="A549" s="208">
        <v>46136.0</v>
      </c>
      <c r="B549" s="209" t="s">
        <v>55</v>
      </c>
      <c r="C549" s="210" t="s">
        <v>77</v>
      </c>
      <c r="D549" s="211">
        <v>-10000.0</v>
      </c>
      <c r="E549" s="212" t="s">
        <v>66</v>
      </c>
      <c r="F549" s="213">
        <v>0.0</v>
      </c>
      <c r="G549" s="194">
        <f t="shared" si="2"/>
        <v>64000</v>
      </c>
      <c r="H549" s="214"/>
      <c r="I549" s="214"/>
    </row>
    <row r="550" ht="30.0" customHeight="1">
      <c r="A550" s="208">
        <v>46137.0</v>
      </c>
      <c r="B550" s="209" t="s">
        <v>55</v>
      </c>
      <c r="C550" s="210" t="s">
        <v>186</v>
      </c>
      <c r="D550" s="211">
        <v>-40000.0</v>
      </c>
      <c r="E550" s="212" t="s">
        <v>66</v>
      </c>
      <c r="F550" s="213">
        <v>0.0</v>
      </c>
      <c r="G550" s="194">
        <f t="shared" si="2"/>
        <v>24000</v>
      </c>
      <c r="H550" s="214"/>
      <c r="I550" s="214"/>
    </row>
    <row r="551" ht="30.0" customHeight="1">
      <c r="A551" s="208">
        <v>46137.0</v>
      </c>
      <c r="B551" s="209" t="s">
        <v>55</v>
      </c>
      <c r="C551" s="210" t="s">
        <v>186</v>
      </c>
      <c r="D551" s="211">
        <v>-65000.0</v>
      </c>
      <c r="E551" s="212" t="s">
        <v>66</v>
      </c>
      <c r="F551" s="213">
        <v>0.0</v>
      </c>
      <c r="G551" s="194">
        <f t="shared" si="2"/>
        <v>-41000</v>
      </c>
      <c r="H551" s="214"/>
      <c r="I551" s="214"/>
    </row>
    <row r="552" ht="30.0" customHeight="1">
      <c r="A552" s="208">
        <v>46137.0</v>
      </c>
      <c r="B552" s="209" t="s">
        <v>55</v>
      </c>
      <c r="C552" s="210" t="s">
        <v>77</v>
      </c>
      <c r="D552" s="246">
        <v>-13000.0</v>
      </c>
      <c r="E552" s="212" t="s">
        <v>66</v>
      </c>
      <c r="F552" s="213">
        <v>0.0</v>
      </c>
      <c r="G552" s="194">
        <f t="shared" si="2"/>
        <v>-54000</v>
      </c>
      <c r="H552" s="214"/>
      <c r="I552" s="214"/>
    </row>
    <row r="553" ht="30.0" customHeight="1">
      <c r="A553" s="208">
        <v>46137.0</v>
      </c>
      <c r="B553" s="209" t="s">
        <v>38</v>
      </c>
      <c r="C553" s="210" t="s">
        <v>75</v>
      </c>
      <c r="D553" s="211">
        <v>-6000.0</v>
      </c>
      <c r="E553" s="212" t="s">
        <v>66</v>
      </c>
      <c r="F553" s="213">
        <v>0.0</v>
      </c>
      <c r="G553" s="194">
        <f t="shared" si="2"/>
        <v>-60000</v>
      </c>
      <c r="H553" s="214"/>
      <c r="I553" s="214"/>
    </row>
    <row r="554" ht="30.0" customHeight="1">
      <c r="A554" s="208">
        <v>46137.0</v>
      </c>
      <c r="B554" s="209" t="s">
        <v>38</v>
      </c>
      <c r="C554" s="210" t="s">
        <v>1</v>
      </c>
      <c r="D554" s="211">
        <v>-6000.0</v>
      </c>
      <c r="E554" s="212" t="s">
        <v>66</v>
      </c>
      <c r="F554" s="213">
        <v>0.0</v>
      </c>
      <c r="G554" s="194">
        <f t="shared" si="2"/>
        <v>-66000</v>
      </c>
      <c r="H554" s="214"/>
      <c r="I554" s="214"/>
    </row>
    <row r="555" ht="30.0" customHeight="1">
      <c r="A555" s="208">
        <v>46137.0</v>
      </c>
      <c r="B555" s="209" t="s">
        <v>55</v>
      </c>
      <c r="C555" s="210" t="s">
        <v>206</v>
      </c>
      <c r="D555" s="211">
        <v>-60000.0</v>
      </c>
      <c r="E555" s="212" t="s">
        <v>66</v>
      </c>
      <c r="F555" s="213">
        <v>0.0</v>
      </c>
      <c r="G555" s="194">
        <f t="shared" si="2"/>
        <v>-126000</v>
      </c>
      <c r="H555" s="214"/>
      <c r="I555" s="214"/>
    </row>
    <row r="556" ht="30.0" customHeight="1">
      <c r="A556" s="208">
        <v>46137.0</v>
      </c>
      <c r="B556" s="209" t="s">
        <v>55</v>
      </c>
      <c r="C556" s="210" t="s">
        <v>77</v>
      </c>
      <c r="D556" s="211">
        <v>-12000.0</v>
      </c>
      <c r="E556" s="212" t="s">
        <v>66</v>
      </c>
      <c r="F556" s="213">
        <v>0.0</v>
      </c>
      <c r="G556" s="194">
        <f t="shared" si="2"/>
        <v>-138000</v>
      </c>
      <c r="H556" s="214"/>
      <c r="I556" s="214"/>
    </row>
    <row r="557" ht="30.0" customHeight="1">
      <c r="A557" s="208">
        <v>46137.0</v>
      </c>
      <c r="B557" s="209" t="s">
        <v>55</v>
      </c>
      <c r="C557" s="210" t="s">
        <v>73</v>
      </c>
      <c r="D557" s="211">
        <v>-6000.0</v>
      </c>
      <c r="E557" s="212" t="s">
        <v>66</v>
      </c>
      <c r="F557" s="213">
        <v>0.0</v>
      </c>
      <c r="G557" s="194">
        <f t="shared" si="2"/>
        <v>-144000</v>
      </c>
      <c r="H557" s="214"/>
      <c r="I557" s="214"/>
    </row>
    <row r="558" ht="30.0" customHeight="1">
      <c r="A558" s="208">
        <v>46137.0</v>
      </c>
      <c r="B558" s="209" t="s">
        <v>55</v>
      </c>
      <c r="C558" s="210" t="s">
        <v>77</v>
      </c>
      <c r="D558" s="211">
        <v>-7000.0</v>
      </c>
      <c r="E558" s="212" t="s">
        <v>66</v>
      </c>
      <c r="F558" s="213">
        <v>0.0</v>
      </c>
      <c r="G558" s="194">
        <f t="shared" si="2"/>
        <v>-151000</v>
      </c>
      <c r="H558" s="214"/>
      <c r="I558" s="214"/>
    </row>
    <row r="559" ht="30.0" customHeight="1">
      <c r="A559" s="208">
        <v>46137.0</v>
      </c>
      <c r="B559" s="209" t="s">
        <v>55</v>
      </c>
      <c r="C559" s="210" t="s">
        <v>77</v>
      </c>
      <c r="D559" s="211">
        <v>-10000.0</v>
      </c>
      <c r="E559" s="212" t="s">
        <v>66</v>
      </c>
      <c r="F559" s="213">
        <v>0.0</v>
      </c>
      <c r="G559" s="194">
        <f t="shared" si="2"/>
        <v>-161000</v>
      </c>
      <c r="H559" s="214"/>
      <c r="I559" s="214"/>
    </row>
    <row r="560" ht="30.0" customHeight="1">
      <c r="A560" s="208">
        <v>46137.0</v>
      </c>
      <c r="B560" s="209" t="s">
        <v>38</v>
      </c>
      <c r="C560" s="210" t="s">
        <v>1</v>
      </c>
      <c r="D560" s="211">
        <v>-4000.0</v>
      </c>
      <c r="E560" s="212" t="s">
        <v>66</v>
      </c>
      <c r="F560" s="213">
        <v>0.0</v>
      </c>
      <c r="G560" s="194">
        <f t="shared" si="2"/>
        <v>-165000</v>
      </c>
      <c r="H560" s="214"/>
      <c r="I560" s="214"/>
    </row>
    <row r="561" ht="30.0" customHeight="1">
      <c r="A561" s="208">
        <v>46137.0</v>
      </c>
      <c r="B561" s="209" t="s">
        <v>38</v>
      </c>
      <c r="C561" s="210" t="s">
        <v>75</v>
      </c>
      <c r="D561" s="211">
        <v>-4000.0</v>
      </c>
      <c r="E561" s="212" t="s">
        <v>66</v>
      </c>
      <c r="F561" s="213">
        <v>0.0</v>
      </c>
      <c r="G561" s="194">
        <f t="shared" si="2"/>
        <v>-169000</v>
      </c>
      <c r="H561" s="214"/>
      <c r="I561" s="214"/>
    </row>
    <row r="562" ht="30.0" customHeight="1">
      <c r="A562" s="208">
        <v>46138.0</v>
      </c>
      <c r="B562" s="209" t="s">
        <v>55</v>
      </c>
      <c r="C562" s="210" t="s">
        <v>206</v>
      </c>
      <c r="D562" s="211">
        <v>-60000.0</v>
      </c>
      <c r="E562" s="212" t="s">
        <v>66</v>
      </c>
      <c r="F562" s="213">
        <v>0.0</v>
      </c>
      <c r="G562" s="194">
        <f t="shared" si="2"/>
        <v>-229000</v>
      </c>
      <c r="H562" s="214"/>
      <c r="I562" s="214"/>
    </row>
    <row r="563" ht="30.0" customHeight="1">
      <c r="A563" s="208">
        <v>46138.0</v>
      </c>
      <c r="B563" s="209" t="s">
        <v>55</v>
      </c>
      <c r="C563" s="210" t="s">
        <v>77</v>
      </c>
      <c r="D563" s="211">
        <v>-12000.0</v>
      </c>
      <c r="E563" s="212" t="s">
        <v>66</v>
      </c>
      <c r="F563" s="213">
        <v>0.0</v>
      </c>
      <c r="G563" s="194">
        <f t="shared" si="2"/>
        <v>-241000</v>
      </c>
      <c r="H563" s="214"/>
      <c r="I563" s="214"/>
    </row>
    <row r="564" ht="30.0" customHeight="1">
      <c r="A564" s="208">
        <v>46138.0</v>
      </c>
      <c r="B564" s="209" t="s">
        <v>55</v>
      </c>
      <c r="C564" s="210" t="s">
        <v>73</v>
      </c>
      <c r="D564" s="211">
        <v>-6000.0</v>
      </c>
      <c r="E564" s="212" t="s">
        <v>66</v>
      </c>
      <c r="F564" s="213">
        <v>0.0</v>
      </c>
      <c r="G564" s="194">
        <f t="shared" si="2"/>
        <v>-247000</v>
      </c>
      <c r="H564" s="214"/>
      <c r="I564" s="214"/>
    </row>
    <row r="565" ht="30.0" customHeight="1">
      <c r="A565" s="208">
        <v>46138.0</v>
      </c>
      <c r="B565" s="209" t="s">
        <v>55</v>
      </c>
      <c r="C565" s="210" t="s">
        <v>211</v>
      </c>
      <c r="D565" s="211">
        <v>-20000.0</v>
      </c>
      <c r="E565" s="212" t="s">
        <v>66</v>
      </c>
      <c r="F565" s="213">
        <v>0.0</v>
      </c>
      <c r="G565" s="194">
        <f t="shared" si="2"/>
        <v>-267000</v>
      </c>
      <c r="H565" s="214"/>
      <c r="I565" s="214"/>
    </row>
    <row r="566" ht="30.0" customHeight="1">
      <c r="A566" s="208">
        <v>46138.0</v>
      </c>
      <c r="B566" s="209" t="s">
        <v>55</v>
      </c>
      <c r="C566" s="210" t="s">
        <v>77</v>
      </c>
      <c r="D566" s="211">
        <v>-12000.0</v>
      </c>
      <c r="E566" s="212" t="s">
        <v>66</v>
      </c>
      <c r="F566" s="213">
        <v>0.0</v>
      </c>
      <c r="G566" s="194">
        <f t="shared" si="2"/>
        <v>-279000</v>
      </c>
      <c r="H566" s="214"/>
      <c r="I566" s="214"/>
    </row>
    <row r="567" ht="30.0" customHeight="1">
      <c r="A567" s="208">
        <v>46138.0</v>
      </c>
      <c r="B567" s="209" t="s">
        <v>55</v>
      </c>
      <c r="C567" s="210" t="s">
        <v>86</v>
      </c>
      <c r="D567" s="211">
        <v>-15000.0</v>
      </c>
      <c r="E567" s="212" t="s">
        <v>66</v>
      </c>
      <c r="F567" s="213">
        <v>0.0</v>
      </c>
      <c r="G567" s="194">
        <f t="shared" si="2"/>
        <v>-294000</v>
      </c>
      <c r="H567" s="214"/>
      <c r="I567" s="214"/>
    </row>
    <row r="568" ht="30.0" customHeight="1">
      <c r="A568" s="208">
        <v>46138.0</v>
      </c>
      <c r="B568" s="209" t="s">
        <v>67</v>
      </c>
      <c r="C568" s="210" t="s">
        <v>158</v>
      </c>
      <c r="D568" s="211">
        <v>500000.0</v>
      </c>
      <c r="E568" s="212" t="s">
        <v>61</v>
      </c>
      <c r="F568" s="213">
        <v>500000.0</v>
      </c>
      <c r="G568" s="194">
        <f t="shared" si="2"/>
        <v>206000</v>
      </c>
      <c r="H568" s="214"/>
      <c r="I568" s="214"/>
    </row>
    <row r="569" ht="30.0" customHeight="1">
      <c r="A569" s="208">
        <v>46138.0</v>
      </c>
      <c r="B569" s="209" t="s">
        <v>55</v>
      </c>
      <c r="C569" s="210" t="s">
        <v>73</v>
      </c>
      <c r="D569" s="211">
        <v>-65000.0</v>
      </c>
      <c r="E569" s="212" t="s">
        <v>66</v>
      </c>
      <c r="F569" s="213">
        <v>0.0</v>
      </c>
      <c r="G569" s="194">
        <f t="shared" si="2"/>
        <v>141000</v>
      </c>
      <c r="H569" s="214"/>
      <c r="I569" s="214"/>
    </row>
    <row r="570" ht="30.0" customHeight="1">
      <c r="A570" s="208">
        <v>46138.0</v>
      </c>
      <c r="B570" s="209" t="s">
        <v>38</v>
      </c>
      <c r="C570" s="210" t="s">
        <v>1</v>
      </c>
      <c r="D570" s="211">
        <v>-30000.0</v>
      </c>
      <c r="E570" s="212" t="s">
        <v>66</v>
      </c>
      <c r="F570" s="213">
        <v>0.0</v>
      </c>
      <c r="G570" s="194">
        <f t="shared" si="2"/>
        <v>111000</v>
      </c>
      <c r="H570" s="214"/>
      <c r="I570" s="214"/>
    </row>
    <row r="571" ht="30.0" customHeight="1">
      <c r="A571" s="208">
        <v>46138.0</v>
      </c>
      <c r="B571" s="209" t="s">
        <v>38</v>
      </c>
      <c r="C571" s="210" t="s">
        <v>75</v>
      </c>
      <c r="D571" s="211">
        <v>-50000.0</v>
      </c>
      <c r="E571" s="212" t="s">
        <v>66</v>
      </c>
      <c r="F571" s="213">
        <v>0.0</v>
      </c>
      <c r="G571" s="194">
        <f t="shared" si="2"/>
        <v>61000</v>
      </c>
      <c r="H571" s="214"/>
      <c r="I571" s="214"/>
    </row>
    <row r="572" ht="30.0" customHeight="1">
      <c r="A572" s="208">
        <v>46138.0</v>
      </c>
      <c r="B572" s="209" t="s">
        <v>55</v>
      </c>
      <c r="C572" s="210" t="s">
        <v>77</v>
      </c>
      <c r="D572" s="211">
        <v>-10000.0</v>
      </c>
      <c r="E572" s="212" t="s">
        <v>66</v>
      </c>
      <c r="F572" s="213">
        <v>0.0</v>
      </c>
      <c r="G572" s="194">
        <f t="shared" si="2"/>
        <v>51000</v>
      </c>
      <c r="H572" s="214"/>
      <c r="I572" s="214"/>
    </row>
    <row r="573" ht="30.0" customHeight="1">
      <c r="A573" s="208">
        <v>46141.0</v>
      </c>
      <c r="B573" s="209" t="s">
        <v>55</v>
      </c>
      <c r="C573" s="210" t="s">
        <v>73</v>
      </c>
      <c r="D573" s="211">
        <v>-7000.0</v>
      </c>
      <c r="E573" s="212" t="s">
        <v>66</v>
      </c>
      <c r="F573" s="213">
        <v>0.0</v>
      </c>
      <c r="G573" s="194">
        <f t="shared" si="2"/>
        <v>44000</v>
      </c>
      <c r="H573" s="214"/>
      <c r="I573" s="214"/>
    </row>
    <row r="574" ht="30.0" customHeight="1">
      <c r="A574" s="208">
        <v>46141.0</v>
      </c>
      <c r="B574" s="209" t="s">
        <v>38</v>
      </c>
      <c r="C574" s="210" t="s">
        <v>64</v>
      </c>
      <c r="D574" s="211">
        <v>0.0</v>
      </c>
      <c r="E574" s="212" t="s">
        <v>61</v>
      </c>
      <c r="F574" s="213">
        <v>5000.0</v>
      </c>
      <c r="G574" s="194">
        <f t="shared" si="2"/>
        <v>44000</v>
      </c>
      <c r="H574" s="214"/>
      <c r="I574" s="214"/>
    </row>
    <row r="575" ht="30.0" customHeight="1">
      <c r="A575" s="208">
        <v>46141.0</v>
      </c>
      <c r="B575" s="209" t="s">
        <v>38</v>
      </c>
      <c r="C575" s="210" t="s">
        <v>75</v>
      </c>
      <c r="D575" s="211">
        <v>0.0</v>
      </c>
      <c r="E575" s="212" t="s">
        <v>61</v>
      </c>
      <c r="F575" s="213">
        <v>5000.0</v>
      </c>
      <c r="G575" s="194">
        <f t="shared" si="2"/>
        <v>44000</v>
      </c>
      <c r="H575" s="214"/>
      <c r="I575" s="214"/>
    </row>
    <row r="576" ht="30.0" customHeight="1">
      <c r="A576" s="208">
        <v>46142.0</v>
      </c>
      <c r="B576" s="209" t="s">
        <v>38</v>
      </c>
      <c r="C576" s="210" t="s">
        <v>1</v>
      </c>
      <c r="D576" s="211">
        <v>0.0</v>
      </c>
      <c r="E576" s="212" t="s">
        <v>61</v>
      </c>
      <c r="F576" s="213">
        <v>20000.0</v>
      </c>
      <c r="G576" s="194">
        <f t="shared" si="2"/>
        <v>44000</v>
      </c>
      <c r="H576" s="214"/>
      <c r="I576" s="214"/>
    </row>
    <row r="577" ht="30.0" customHeight="1">
      <c r="A577" s="208">
        <v>46142.0</v>
      </c>
      <c r="B577" s="209" t="s">
        <v>38</v>
      </c>
      <c r="C577" s="210" t="s">
        <v>64</v>
      </c>
      <c r="D577" s="211">
        <v>0.0</v>
      </c>
      <c r="E577" s="212" t="s">
        <v>61</v>
      </c>
      <c r="F577" s="213">
        <v>25000.0</v>
      </c>
      <c r="G577" s="194">
        <f t="shared" si="2"/>
        <v>44000</v>
      </c>
      <c r="H577" s="214"/>
      <c r="I577" s="214"/>
    </row>
    <row r="578" ht="30.0" customHeight="1">
      <c r="A578" s="208">
        <v>46142.0</v>
      </c>
      <c r="B578" s="209" t="s">
        <v>55</v>
      </c>
      <c r="C578" s="210" t="s">
        <v>73</v>
      </c>
      <c r="D578" s="211">
        <v>0.0</v>
      </c>
      <c r="E578" s="212" t="s">
        <v>61</v>
      </c>
      <c r="F578" s="213">
        <v>10000.0</v>
      </c>
      <c r="G578" s="194">
        <f t="shared" si="2"/>
        <v>44000</v>
      </c>
      <c r="H578" s="214"/>
      <c r="I578" s="214"/>
    </row>
    <row r="579" ht="30.0" customHeight="1">
      <c r="A579" s="208">
        <v>46142.0</v>
      </c>
      <c r="B579" s="209" t="s">
        <v>55</v>
      </c>
      <c r="C579" s="210" t="s">
        <v>73</v>
      </c>
      <c r="D579" s="211">
        <v>-3000.0</v>
      </c>
      <c r="E579" s="212" t="s">
        <v>66</v>
      </c>
      <c r="F579" s="213">
        <v>0.0</v>
      </c>
      <c r="G579" s="194">
        <f t="shared" si="2"/>
        <v>41000</v>
      </c>
      <c r="H579" s="214"/>
      <c r="I579" s="214"/>
    </row>
    <row r="580" ht="30.0" customHeight="1">
      <c r="A580" s="208">
        <v>46142.0</v>
      </c>
      <c r="B580" s="209" t="s">
        <v>38</v>
      </c>
      <c r="C580" s="210" t="s">
        <v>58</v>
      </c>
      <c r="D580" s="211">
        <v>0.0</v>
      </c>
      <c r="E580" s="212" t="s">
        <v>61</v>
      </c>
      <c r="F580" s="213">
        <v>20000.0</v>
      </c>
      <c r="G580" s="194">
        <f t="shared" si="2"/>
        <v>41000</v>
      </c>
      <c r="H580" s="214"/>
      <c r="I580" s="214"/>
    </row>
    <row r="581" ht="30.0" customHeight="1">
      <c r="A581" s="208">
        <v>46142.0</v>
      </c>
      <c r="B581" s="209" t="s">
        <v>38</v>
      </c>
      <c r="C581" s="210" t="s">
        <v>64</v>
      </c>
      <c r="D581" s="211">
        <v>0.0</v>
      </c>
      <c r="E581" s="212" t="s">
        <v>61</v>
      </c>
      <c r="F581" s="213">
        <v>30000.0</v>
      </c>
      <c r="G581" s="194">
        <f t="shared" si="2"/>
        <v>41000</v>
      </c>
      <c r="H581" s="214"/>
      <c r="I581" s="214"/>
    </row>
    <row r="582" ht="30.0" customHeight="1">
      <c r="A582" s="208">
        <v>46142.0</v>
      </c>
      <c r="B582" s="209" t="s">
        <v>55</v>
      </c>
      <c r="C582" s="210" t="s">
        <v>73</v>
      </c>
      <c r="D582" s="211">
        <v>-20000.0</v>
      </c>
      <c r="E582" s="212" t="s">
        <v>66</v>
      </c>
      <c r="F582" s="213">
        <v>0.0</v>
      </c>
      <c r="G582" s="194">
        <f t="shared" si="2"/>
        <v>21000</v>
      </c>
      <c r="H582" s="214"/>
      <c r="I582" s="214"/>
    </row>
    <row r="583" ht="30.0" customHeight="1">
      <c r="A583" s="208">
        <v>46142.0</v>
      </c>
      <c r="B583" s="209" t="s">
        <v>38</v>
      </c>
      <c r="C583" s="210" t="s">
        <v>75</v>
      </c>
      <c r="D583" s="211">
        <v>-5000.0</v>
      </c>
      <c r="E583" s="212" t="s">
        <v>66</v>
      </c>
      <c r="F583" s="213">
        <v>0.0</v>
      </c>
      <c r="G583" s="194">
        <f t="shared" si="2"/>
        <v>16000</v>
      </c>
      <c r="H583" s="214"/>
      <c r="I583" s="214"/>
    </row>
    <row r="584" ht="30.0" customHeight="1">
      <c r="A584" s="208">
        <v>46142.0</v>
      </c>
      <c r="B584" s="209" t="s">
        <v>38</v>
      </c>
      <c r="C584" s="210" t="s">
        <v>106</v>
      </c>
      <c r="D584" s="211">
        <v>-5000.0</v>
      </c>
      <c r="E584" s="212" t="s">
        <v>66</v>
      </c>
      <c r="F584" s="213">
        <v>0.0</v>
      </c>
      <c r="G584" s="194">
        <f t="shared" si="2"/>
        <v>11000</v>
      </c>
      <c r="H584" s="214"/>
      <c r="I584" s="214"/>
    </row>
    <row r="585" ht="30.0" customHeight="1">
      <c r="A585" s="208">
        <v>46142.0</v>
      </c>
      <c r="B585" s="209" t="s">
        <v>55</v>
      </c>
      <c r="C585" s="210" t="s">
        <v>210</v>
      </c>
      <c r="D585" s="211">
        <v>-8000.0</v>
      </c>
      <c r="E585" s="212" t="s">
        <v>66</v>
      </c>
      <c r="F585" s="213">
        <v>0.0</v>
      </c>
      <c r="G585" s="194">
        <f t="shared" si="2"/>
        <v>3000</v>
      </c>
      <c r="H585" s="214"/>
      <c r="I585" s="214"/>
    </row>
    <row r="586" ht="30.0" customHeight="1">
      <c r="A586" s="208">
        <v>46142.0</v>
      </c>
      <c r="B586" s="209" t="s">
        <v>55</v>
      </c>
      <c r="C586" s="210" t="s">
        <v>73</v>
      </c>
      <c r="D586" s="211">
        <v>-3000.0</v>
      </c>
      <c r="E586" s="212" t="s">
        <v>66</v>
      </c>
      <c r="F586" s="213">
        <v>0.0</v>
      </c>
      <c r="G586" s="194">
        <f t="shared" si="2"/>
        <v>0</v>
      </c>
      <c r="H586" s="214"/>
      <c r="I586" s="214"/>
    </row>
    <row r="587" ht="30.0" customHeight="1">
      <c r="A587" s="208">
        <v>46118.0</v>
      </c>
      <c r="B587" s="209" t="s">
        <v>38</v>
      </c>
      <c r="C587" s="210" t="s">
        <v>64</v>
      </c>
      <c r="D587" s="211">
        <v>0.0</v>
      </c>
      <c r="E587" s="212" t="s">
        <v>61</v>
      </c>
      <c r="F587" s="213">
        <v>30000.0</v>
      </c>
      <c r="G587" s="194">
        <f t="shared" si="2"/>
        <v>0</v>
      </c>
      <c r="H587" s="214"/>
      <c r="I587" s="214"/>
    </row>
    <row r="588" ht="30.0" customHeight="1">
      <c r="A588" s="208">
        <v>46118.0</v>
      </c>
      <c r="B588" s="209" t="s">
        <v>38</v>
      </c>
      <c r="C588" s="210" t="s">
        <v>106</v>
      </c>
      <c r="D588" s="211">
        <v>0.0</v>
      </c>
      <c r="E588" s="212" t="s">
        <v>61</v>
      </c>
      <c r="F588" s="213">
        <v>125000.0</v>
      </c>
      <c r="G588" s="194">
        <f t="shared" si="2"/>
        <v>0</v>
      </c>
      <c r="H588" s="214"/>
      <c r="I588" s="214"/>
    </row>
    <row r="589" ht="30.0" customHeight="1">
      <c r="A589" s="208">
        <v>46118.0</v>
      </c>
      <c r="B589" s="209" t="s">
        <v>55</v>
      </c>
      <c r="C589" s="210" t="s">
        <v>167</v>
      </c>
      <c r="D589" s="211">
        <v>0.0</v>
      </c>
      <c r="E589" s="212" t="s">
        <v>61</v>
      </c>
      <c r="F589" s="213">
        <v>60000.0</v>
      </c>
      <c r="G589" s="194">
        <f t="shared" si="2"/>
        <v>0</v>
      </c>
      <c r="H589" s="214"/>
      <c r="I589" s="214"/>
    </row>
    <row r="590" ht="30.0" customHeight="1">
      <c r="A590" s="208">
        <v>46122.0</v>
      </c>
      <c r="B590" s="209" t="s">
        <v>38</v>
      </c>
      <c r="C590" s="210" t="s">
        <v>64</v>
      </c>
      <c r="D590" s="211">
        <v>0.0</v>
      </c>
      <c r="E590" s="212" t="s">
        <v>61</v>
      </c>
      <c r="F590" s="213">
        <v>25000.0</v>
      </c>
      <c r="G590" s="194">
        <f t="shared" si="2"/>
        <v>0</v>
      </c>
      <c r="H590" s="214"/>
      <c r="I590" s="214"/>
    </row>
    <row r="591" ht="30.0" customHeight="1">
      <c r="A591" s="208">
        <v>46122.0</v>
      </c>
      <c r="B591" s="209" t="s">
        <v>38</v>
      </c>
      <c r="C591" s="210" t="s">
        <v>106</v>
      </c>
      <c r="D591" s="211">
        <v>0.0</v>
      </c>
      <c r="E591" s="212" t="s">
        <v>61</v>
      </c>
      <c r="F591" s="213">
        <v>50000.0</v>
      </c>
      <c r="G591" s="194">
        <f t="shared" si="2"/>
        <v>0</v>
      </c>
      <c r="H591" s="214"/>
      <c r="I591" s="214"/>
    </row>
    <row r="592" ht="30.0" customHeight="1">
      <c r="A592" s="247"/>
      <c r="B592" s="209"/>
      <c r="C592" s="247"/>
      <c r="D592" s="248"/>
      <c r="E592" s="212"/>
      <c r="F592" s="249"/>
      <c r="G592" s="194">
        <f t="shared" si="2"/>
        <v>0</v>
      </c>
      <c r="H592" s="214"/>
      <c r="I592" s="214"/>
    </row>
    <row r="593" ht="30.0" customHeight="1">
      <c r="A593" s="247"/>
      <c r="B593" s="209"/>
      <c r="C593" s="247"/>
      <c r="D593" s="248"/>
      <c r="E593" s="212"/>
      <c r="F593" s="249"/>
      <c r="G593" s="194">
        <f t="shared" si="2"/>
        <v>0</v>
      </c>
      <c r="H593" s="214"/>
      <c r="I593" s="214"/>
    </row>
    <row r="594" ht="30.0" customHeight="1">
      <c r="A594" s="247"/>
      <c r="B594" s="209"/>
      <c r="C594" s="247"/>
      <c r="D594" s="248"/>
      <c r="E594" s="212"/>
      <c r="F594" s="249"/>
      <c r="G594" s="194">
        <f t="shared" si="2"/>
        <v>0</v>
      </c>
      <c r="H594" s="214"/>
      <c r="I594" s="214"/>
    </row>
    <row r="595" ht="30.0" customHeight="1">
      <c r="A595" s="247"/>
      <c r="B595" s="209"/>
      <c r="C595" s="247"/>
      <c r="D595" s="248"/>
      <c r="E595" s="212"/>
      <c r="F595" s="249"/>
      <c r="G595" s="194">
        <f t="shared" si="2"/>
        <v>0</v>
      </c>
      <c r="H595" s="214"/>
      <c r="I595" s="214"/>
    </row>
    <row r="596" ht="30.0" customHeight="1">
      <c r="A596" s="247"/>
      <c r="B596" s="209"/>
      <c r="C596" s="247"/>
      <c r="D596" s="248"/>
      <c r="E596" s="212"/>
      <c r="F596" s="249"/>
      <c r="G596" s="194">
        <f t="shared" si="2"/>
        <v>0</v>
      </c>
      <c r="H596" s="214"/>
      <c r="I596" s="214"/>
    </row>
    <row r="597" ht="30.0" customHeight="1">
      <c r="A597" s="247"/>
      <c r="B597" s="209"/>
      <c r="C597" s="247"/>
      <c r="D597" s="248"/>
      <c r="E597" s="212"/>
      <c r="F597" s="249"/>
      <c r="G597" s="194">
        <f t="shared" si="2"/>
        <v>0</v>
      </c>
      <c r="H597" s="214"/>
      <c r="I597" s="214"/>
    </row>
    <row r="598" ht="30.0" customHeight="1">
      <c r="A598" s="247"/>
      <c r="B598" s="209"/>
      <c r="C598" s="247"/>
      <c r="D598" s="248"/>
      <c r="E598" s="212"/>
      <c r="F598" s="249"/>
      <c r="G598" s="194">
        <f t="shared" si="2"/>
        <v>0</v>
      </c>
      <c r="H598" s="214"/>
      <c r="I598" s="214"/>
    </row>
    <row r="599" ht="30.0" customHeight="1">
      <c r="A599" s="247"/>
      <c r="B599" s="209"/>
      <c r="C599" s="247"/>
      <c r="D599" s="248"/>
      <c r="E599" s="212"/>
      <c r="F599" s="249"/>
      <c r="G599" s="194">
        <f t="shared" si="2"/>
        <v>0</v>
      </c>
      <c r="H599" s="214"/>
      <c r="I599" s="214"/>
    </row>
    <row r="600" ht="30.0" customHeight="1">
      <c r="A600" s="247"/>
      <c r="B600" s="209"/>
      <c r="C600" s="247"/>
      <c r="D600" s="248"/>
      <c r="E600" s="212"/>
      <c r="F600" s="249"/>
      <c r="G600" s="194">
        <f t="shared" si="2"/>
        <v>0</v>
      </c>
      <c r="H600" s="214"/>
      <c r="I600" s="214"/>
    </row>
    <row r="601" ht="30.0" customHeight="1">
      <c r="A601" s="247"/>
      <c r="B601" s="209"/>
      <c r="C601" s="247"/>
      <c r="D601" s="248"/>
      <c r="E601" s="212"/>
      <c r="F601" s="249"/>
      <c r="G601" s="194">
        <f t="shared" si="2"/>
        <v>0</v>
      </c>
      <c r="H601" s="214"/>
      <c r="I601" s="214"/>
    </row>
    <row r="602" ht="30.0" customHeight="1">
      <c r="A602" s="247"/>
      <c r="B602" s="209"/>
      <c r="C602" s="247"/>
      <c r="D602" s="248"/>
      <c r="E602" s="212"/>
      <c r="F602" s="249"/>
      <c r="G602" s="194">
        <f t="shared" si="2"/>
        <v>0</v>
      </c>
      <c r="H602" s="214"/>
      <c r="I602" s="214"/>
    </row>
    <row r="603" ht="30.0" customHeight="1">
      <c r="A603" s="247"/>
      <c r="B603" s="209"/>
      <c r="C603" s="247"/>
      <c r="D603" s="248"/>
      <c r="E603" s="212"/>
      <c r="F603" s="249"/>
      <c r="G603" s="194">
        <f t="shared" si="2"/>
        <v>0</v>
      </c>
      <c r="H603" s="214"/>
      <c r="I603" s="214"/>
    </row>
    <row r="604" ht="30.0" customHeight="1">
      <c r="A604" s="247"/>
      <c r="B604" s="209"/>
      <c r="C604" s="247"/>
      <c r="D604" s="248"/>
      <c r="E604" s="212"/>
      <c r="F604" s="249"/>
      <c r="G604" s="194">
        <f t="shared" si="2"/>
        <v>0</v>
      </c>
      <c r="H604" s="214"/>
      <c r="I604" s="214"/>
    </row>
    <row r="605" ht="30.0" customHeight="1">
      <c r="A605" s="247"/>
      <c r="B605" s="209"/>
      <c r="C605" s="247"/>
      <c r="D605" s="248"/>
      <c r="E605" s="212"/>
      <c r="F605" s="249"/>
      <c r="G605" s="194">
        <f t="shared" si="2"/>
        <v>0</v>
      </c>
      <c r="H605" s="214"/>
      <c r="I605" s="214"/>
    </row>
    <row r="606" ht="30.0" customHeight="1">
      <c r="A606" s="247"/>
      <c r="B606" s="209"/>
      <c r="C606" s="247"/>
      <c r="D606" s="248"/>
      <c r="E606" s="212"/>
      <c r="F606" s="249"/>
      <c r="G606" s="194">
        <f t="shared" si="2"/>
        <v>0</v>
      </c>
      <c r="H606" s="214"/>
      <c r="I606" s="214"/>
    </row>
    <row r="607" ht="30.0" customHeight="1">
      <c r="A607" s="247"/>
      <c r="B607" s="209"/>
      <c r="C607" s="247"/>
      <c r="D607" s="248"/>
      <c r="E607" s="212"/>
      <c r="F607" s="249"/>
      <c r="G607" s="194">
        <f t="shared" si="2"/>
        <v>0</v>
      </c>
      <c r="H607" s="214"/>
      <c r="I607" s="214"/>
    </row>
    <row r="608" ht="30.0" customHeight="1">
      <c r="A608" s="247"/>
      <c r="B608" s="209"/>
      <c r="C608" s="247"/>
      <c r="D608" s="248"/>
      <c r="E608" s="212"/>
      <c r="F608" s="249"/>
      <c r="G608" s="194">
        <f t="shared" si="2"/>
        <v>0</v>
      </c>
      <c r="H608" s="214"/>
      <c r="I608" s="214"/>
    </row>
    <row r="609" ht="30.0" customHeight="1">
      <c r="A609" s="247"/>
      <c r="B609" s="209"/>
      <c r="C609" s="247"/>
      <c r="D609" s="248"/>
      <c r="E609" s="212"/>
      <c r="F609" s="249"/>
      <c r="G609" s="194">
        <f t="shared" si="2"/>
        <v>0</v>
      </c>
      <c r="H609" s="214"/>
      <c r="I609" s="214"/>
    </row>
    <row r="610" ht="30.0" customHeight="1">
      <c r="A610" s="247"/>
      <c r="B610" s="209"/>
      <c r="C610" s="247"/>
      <c r="D610" s="248"/>
      <c r="E610" s="212"/>
      <c r="F610" s="249"/>
      <c r="G610" s="194">
        <f t="shared" si="2"/>
        <v>0</v>
      </c>
      <c r="H610" s="214"/>
      <c r="I610" s="214"/>
    </row>
    <row r="611" ht="30.0" customHeight="1">
      <c r="A611" s="247"/>
      <c r="B611" s="209"/>
      <c r="C611" s="247"/>
      <c r="D611" s="248"/>
      <c r="E611" s="212"/>
      <c r="F611" s="249"/>
      <c r="G611" s="194">
        <f t="shared" si="2"/>
        <v>0</v>
      </c>
      <c r="H611" s="214"/>
      <c r="I611" s="214"/>
    </row>
    <row r="612" ht="30.0" customHeight="1">
      <c r="A612" s="247"/>
      <c r="B612" s="209"/>
      <c r="C612" s="247"/>
      <c r="D612" s="248"/>
      <c r="E612" s="212"/>
      <c r="F612" s="249"/>
      <c r="G612" s="194">
        <f t="shared" si="2"/>
        <v>0</v>
      </c>
      <c r="H612" s="214"/>
      <c r="I612" s="214"/>
    </row>
    <row r="613" ht="30.0" customHeight="1">
      <c r="A613" s="247"/>
      <c r="B613" s="209"/>
      <c r="C613" s="247"/>
      <c r="D613" s="248"/>
      <c r="E613" s="212"/>
      <c r="F613" s="249"/>
      <c r="G613" s="194">
        <f t="shared" si="2"/>
        <v>0</v>
      </c>
      <c r="H613" s="214"/>
      <c r="I613" s="214"/>
    </row>
    <row r="614" ht="30.0" customHeight="1">
      <c r="A614" s="247"/>
      <c r="B614" s="209"/>
      <c r="C614" s="247"/>
      <c r="D614" s="248"/>
      <c r="E614" s="212"/>
      <c r="F614" s="249"/>
      <c r="G614" s="194">
        <f t="shared" si="2"/>
        <v>0</v>
      </c>
      <c r="H614" s="214"/>
      <c r="I614" s="214"/>
    </row>
    <row r="615" ht="30.0" customHeight="1">
      <c r="A615" s="247"/>
      <c r="B615" s="209"/>
      <c r="C615" s="247"/>
      <c r="D615" s="248"/>
      <c r="E615" s="212"/>
      <c r="F615" s="249"/>
      <c r="G615" s="194">
        <f t="shared" si="2"/>
        <v>0</v>
      </c>
      <c r="H615" s="214"/>
      <c r="I615" s="214"/>
    </row>
    <row r="616" ht="30.0" customHeight="1">
      <c r="A616" s="247"/>
      <c r="B616" s="209"/>
      <c r="C616" s="247"/>
      <c r="D616" s="248"/>
      <c r="E616" s="212"/>
      <c r="F616" s="249"/>
      <c r="G616" s="194">
        <f t="shared" si="2"/>
        <v>0</v>
      </c>
      <c r="H616" s="214"/>
      <c r="I616" s="214"/>
    </row>
    <row r="617" ht="30.0" customHeight="1">
      <c r="A617" s="247"/>
      <c r="B617" s="209"/>
      <c r="C617" s="247"/>
      <c r="D617" s="248"/>
      <c r="E617" s="212"/>
      <c r="F617" s="249"/>
      <c r="G617" s="194">
        <f t="shared" si="2"/>
        <v>0</v>
      </c>
      <c r="H617" s="214"/>
      <c r="I617" s="214"/>
    </row>
    <row r="618" ht="30.0" customHeight="1">
      <c r="A618" s="247"/>
      <c r="B618" s="209"/>
      <c r="C618" s="247"/>
      <c r="D618" s="248"/>
      <c r="E618" s="212"/>
      <c r="F618" s="249"/>
      <c r="G618" s="194">
        <f t="shared" si="2"/>
        <v>0</v>
      </c>
      <c r="H618" s="214"/>
      <c r="I618" s="214"/>
    </row>
    <row r="619" ht="30.0" customHeight="1">
      <c r="A619" s="247"/>
      <c r="B619" s="209"/>
      <c r="C619" s="247"/>
      <c r="D619" s="248"/>
      <c r="E619" s="212"/>
      <c r="F619" s="249"/>
      <c r="G619" s="194">
        <f t="shared" si="2"/>
        <v>0</v>
      </c>
      <c r="H619" s="214"/>
      <c r="I619" s="214"/>
    </row>
    <row r="620" ht="30.0" customHeight="1">
      <c r="A620" s="247"/>
      <c r="B620" s="209"/>
      <c r="C620" s="247"/>
      <c r="D620" s="248"/>
      <c r="E620" s="212"/>
      <c r="F620" s="249"/>
      <c r="G620" s="194">
        <f t="shared" si="2"/>
        <v>0</v>
      </c>
      <c r="H620" s="214"/>
      <c r="I620" s="214"/>
    </row>
    <row r="621" ht="30.0" customHeight="1">
      <c r="A621" s="247"/>
      <c r="B621" s="209"/>
      <c r="C621" s="247"/>
      <c r="D621" s="248"/>
      <c r="E621" s="212"/>
      <c r="F621" s="249"/>
      <c r="G621" s="194">
        <f t="shared" si="2"/>
        <v>0</v>
      </c>
      <c r="H621" s="214"/>
      <c r="I621" s="214"/>
    </row>
    <row r="622" ht="30.0" customHeight="1">
      <c r="A622" s="247"/>
      <c r="B622" s="209"/>
      <c r="C622" s="247"/>
      <c r="D622" s="248"/>
      <c r="E622" s="212"/>
      <c r="F622" s="249"/>
      <c r="G622" s="194">
        <f t="shared" si="2"/>
        <v>0</v>
      </c>
      <c r="H622" s="214"/>
      <c r="I622" s="214"/>
    </row>
    <row r="623" ht="30.0" customHeight="1">
      <c r="A623" s="247"/>
      <c r="B623" s="209"/>
      <c r="C623" s="247"/>
      <c r="D623" s="248"/>
      <c r="E623" s="212"/>
      <c r="F623" s="249"/>
      <c r="G623" s="194">
        <f t="shared" si="2"/>
        <v>0</v>
      </c>
      <c r="H623" s="214"/>
      <c r="I623" s="214"/>
    </row>
    <row r="624" ht="30.0" customHeight="1">
      <c r="A624" s="247"/>
      <c r="B624" s="209"/>
      <c r="C624" s="247"/>
      <c r="D624" s="248"/>
      <c r="E624" s="212"/>
      <c r="F624" s="249"/>
      <c r="G624" s="194">
        <f t="shared" si="2"/>
        <v>0</v>
      </c>
      <c r="H624" s="214"/>
      <c r="I624" s="214"/>
    </row>
    <row r="625" ht="30.0" customHeight="1">
      <c r="A625" s="247"/>
      <c r="B625" s="209"/>
      <c r="C625" s="247"/>
      <c r="D625" s="248"/>
      <c r="E625" s="212"/>
      <c r="F625" s="249"/>
      <c r="G625" s="194">
        <f t="shared" si="2"/>
        <v>0</v>
      </c>
      <c r="H625" s="214"/>
      <c r="I625" s="214"/>
    </row>
    <row r="626" ht="30.0" customHeight="1">
      <c r="A626" s="247"/>
      <c r="B626" s="209"/>
      <c r="C626" s="247"/>
      <c r="D626" s="248"/>
      <c r="E626" s="212"/>
      <c r="F626" s="249"/>
      <c r="G626" s="194">
        <f t="shared" si="2"/>
        <v>0</v>
      </c>
      <c r="H626" s="214"/>
      <c r="I626" s="214"/>
    </row>
    <row r="627" ht="30.0" customHeight="1">
      <c r="A627" s="247"/>
      <c r="B627" s="209"/>
      <c r="C627" s="247"/>
      <c r="D627" s="248"/>
      <c r="E627" s="212"/>
      <c r="F627" s="249"/>
      <c r="G627" s="194">
        <f t="shared" si="2"/>
        <v>0</v>
      </c>
      <c r="H627" s="214"/>
      <c r="I627" s="214"/>
    </row>
    <row r="628" ht="30.0" customHeight="1">
      <c r="A628" s="247"/>
      <c r="B628" s="209"/>
      <c r="C628" s="247"/>
      <c r="D628" s="248"/>
      <c r="E628" s="212"/>
      <c r="F628" s="249"/>
      <c r="G628" s="194">
        <f t="shared" si="2"/>
        <v>0</v>
      </c>
      <c r="H628" s="214"/>
      <c r="I628" s="214"/>
    </row>
    <row r="629" ht="30.0" customHeight="1">
      <c r="A629" s="247"/>
      <c r="B629" s="209"/>
      <c r="C629" s="247"/>
      <c r="D629" s="248"/>
      <c r="E629" s="212"/>
      <c r="F629" s="249"/>
      <c r="G629" s="194">
        <f t="shared" si="2"/>
        <v>0</v>
      </c>
      <c r="H629" s="214"/>
      <c r="I629" s="214"/>
    </row>
    <row r="630" ht="30.0" customHeight="1">
      <c r="A630" s="247"/>
      <c r="B630" s="209"/>
      <c r="C630" s="247"/>
      <c r="D630" s="248"/>
      <c r="E630" s="212"/>
      <c r="F630" s="249"/>
      <c r="G630" s="194">
        <f t="shared" si="2"/>
        <v>0</v>
      </c>
      <c r="H630" s="214"/>
      <c r="I630" s="214"/>
    </row>
    <row r="631" ht="30.0" customHeight="1">
      <c r="A631" s="247"/>
      <c r="B631" s="209"/>
      <c r="C631" s="247"/>
      <c r="D631" s="248"/>
      <c r="E631" s="212"/>
      <c r="F631" s="249"/>
      <c r="G631" s="194">
        <f t="shared" si="2"/>
        <v>0</v>
      </c>
      <c r="H631" s="214"/>
      <c r="I631" s="214"/>
    </row>
    <row r="632" ht="30.0" customHeight="1">
      <c r="A632" s="247"/>
      <c r="B632" s="209"/>
      <c r="C632" s="247"/>
      <c r="D632" s="248"/>
      <c r="E632" s="212"/>
      <c r="F632" s="249"/>
      <c r="G632" s="194">
        <f t="shared" si="2"/>
        <v>0</v>
      </c>
      <c r="H632" s="214"/>
      <c r="I632" s="214"/>
    </row>
    <row r="633" ht="30.0" customHeight="1">
      <c r="A633" s="247"/>
      <c r="B633" s="209"/>
      <c r="C633" s="247"/>
      <c r="D633" s="248"/>
      <c r="E633" s="212"/>
      <c r="F633" s="249"/>
      <c r="G633" s="194">
        <f t="shared" si="2"/>
        <v>0</v>
      </c>
      <c r="H633" s="214"/>
      <c r="I633" s="214"/>
    </row>
    <row r="634" ht="30.0" customHeight="1">
      <c r="A634" s="247"/>
      <c r="B634" s="209"/>
      <c r="C634" s="247"/>
      <c r="D634" s="248"/>
      <c r="E634" s="212"/>
      <c r="F634" s="249"/>
      <c r="G634" s="194">
        <f t="shared" si="2"/>
        <v>0</v>
      </c>
      <c r="H634" s="214"/>
      <c r="I634" s="214"/>
    </row>
    <row r="635" ht="30.0" customHeight="1">
      <c r="A635" s="247"/>
      <c r="B635" s="209"/>
      <c r="C635" s="247"/>
      <c r="D635" s="248"/>
      <c r="E635" s="212"/>
      <c r="F635" s="249"/>
      <c r="G635" s="194">
        <f t="shared" si="2"/>
        <v>0</v>
      </c>
      <c r="H635" s="214"/>
      <c r="I635" s="214"/>
    </row>
    <row r="636" ht="30.0" customHeight="1">
      <c r="A636" s="247"/>
      <c r="B636" s="209"/>
      <c r="C636" s="247"/>
      <c r="D636" s="248"/>
      <c r="E636" s="212"/>
      <c r="F636" s="249"/>
      <c r="G636" s="194">
        <f t="shared" si="2"/>
        <v>0</v>
      </c>
      <c r="H636" s="214"/>
      <c r="I636" s="214"/>
    </row>
    <row r="637" ht="30.0" customHeight="1">
      <c r="A637" s="247"/>
      <c r="B637" s="209"/>
      <c r="C637" s="247"/>
      <c r="D637" s="248"/>
      <c r="E637" s="212"/>
      <c r="F637" s="249"/>
      <c r="G637" s="194">
        <f t="shared" si="2"/>
        <v>0</v>
      </c>
      <c r="H637" s="214"/>
      <c r="I637" s="214"/>
    </row>
    <row r="638" ht="30.0" customHeight="1">
      <c r="A638" s="247"/>
      <c r="B638" s="209"/>
      <c r="C638" s="247"/>
      <c r="D638" s="248"/>
      <c r="E638" s="212"/>
      <c r="F638" s="249"/>
      <c r="G638" s="194">
        <f t="shared" si="2"/>
        <v>0</v>
      </c>
      <c r="H638" s="214"/>
      <c r="I638" s="214"/>
    </row>
    <row r="639" ht="30.0" customHeight="1">
      <c r="A639" s="247"/>
      <c r="B639" s="209"/>
      <c r="C639" s="247"/>
      <c r="D639" s="248"/>
      <c r="E639" s="212"/>
      <c r="F639" s="249"/>
      <c r="G639" s="194">
        <f t="shared" si="2"/>
        <v>0</v>
      </c>
      <c r="H639" s="214"/>
      <c r="I639" s="214"/>
    </row>
    <row r="640" ht="30.0" customHeight="1">
      <c r="A640" s="247"/>
      <c r="B640" s="209"/>
      <c r="C640" s="247"/>
      <c r="D640" s="248"/>
      <c r="E640" s="212"/>
      <c r="F640" s="249"/>
      <c r="G640" s="194">
        <f t="shared" si="2"/>
        <v>0</v>
      </c>
      <c r="H640" s="214"/>
      <c r="I640" s="214"/>
    </row>
    <row r="641" ht="30.0" customHeight="1">
      <c r="A641" s="247"/>
      <c r="B641" s="209"/>
      <c r="C641" s="247"/>
      <c r="D641" s="248"/>
      <c r="E641" s="212"/>
      <c r="F641" s="249"/>
      <c r="G641" s="194">
        <f t="shared" si="2"/>
        <v>0</v>
      </c>
      <c r="H641" s="214"/>
      <c r="I641" s="214"/>
    </row>
    <row r="642" ht="30.0" customHeight="1">
      <c r="A642" s="247"/>
      <c r="B642" s="209"/>
      <c r="C642" s="247"/>
      <c r="D642" s="248"/>
      <c r="E642" s="212"/>
      <c r="F642" s="249"/>
      <c r="G642" s="194">
        <f t="shared" si="2"/>
        <v>0</v>
      </c>
      <c r="H642" s="214"/>
      <c r="I642" s="214"/>
    </row>
    <row r="643" ht="30.0" customHeight="1">
      <c r="A643" s="247"/>
      <c r="B643" s="209"/>
      <c r="C643" s="247"/>
      <c r="D643" s="248"/>
      <c r="E643" s="212"/>
      <c r="F643" s="249"/>
      <c r="G643" s="194">
        <f t="shared" si="2"/>
        <v>0</v>
      </c>
      <c r="H643" s="214"/>
      <c r="I643" s="214"/>
    </row>
    <row r="644" ht="30.0" customHeight="1">
      <c r="A644" s="247"/>
      <c r="B644" s="209"/>
      <c r="C644" s="247"/>
      <c r="D644" s="248"/>
      <c r="E644" s="212"/>
      <c r="F644" s="249"/>
      <c r="G644" s="194">
        <f t="shared" si="2"/>
        <v>0</v>
      </c>
      <c r="H644" s="214"/>
      <c r="I644" s="214"/>
    </row>
    <row r="645" ht="30.0" customHeight="1">
      <c r="A645" s="247"/>
      <c r="B645" s="209"/>
      <c r="C645" s="247"/>
      <c r="D645" s="248"/>
      <c r="E645" s="212"/>
      <c r="F645" s="249"/>
      <c r="G645" s="194">
        <f t="shared" si="2"/>
        <v>0</v>
      </c>
      <c r="H645" s="214"/>
      <c r="I645" s="214"/>
    </row>
    <row r="646" ht="30.0" customHeight="1">
      <c r="A646" s="247"/>
      <c r="B646" s="209"/>
      <c r="C646" s="247"/>
      <c r="D646" s="248"/>
      <c r="E646" s="212"/>
      <c r="F646" s="249"/>
      <c r="G646" s="194">
        <f t="shared" si="2"/>
        <v>0</v>
      </c>
      <c r="H646" s="214"/>
      <c r="I646" s="214"/>
    </row>
    <row r="647" ht="30.0" customHeight="1">
      <c r="A647" s="247"/>
      <c r="B647" s="209"/>
      <c r="C647" s="247"/>
      <c r="D647" s="248"/>
      <c r="E647" s="212"/>
      <c r="F647" s="249"/>
      <c r="G647" s="194">
        <f t="shared" si="2"/>
        <v>0</v>
      </c>
      <c r="H647" s="214"/>
      <c r="I647" s="214"/>
    </row>
    <row r="648" ht="30.0" customHeight="1">
      <c r="A648" s="247"/>
      <c r="B648" s="209"/>
      <c r="C648" s="247"/>
      <c r="D648" s="248"/>
      <c r="E648" s="212"/>
      <c r="F648" s="249"/>
      <c r="G648" s="194">
        <f t="shared" si="2"/>
        <v>0</v>
      </c>
      <c r="H648" s="214"/>
      <c r="I648" s="214"/>
    </row>
    <row r="649" ht="30.0" customHeight="1">
      <c r="A649" s="247"/>
      <c r="B649" s="209"/>
      <c r="C649" s="247"/>
      <c r="D649" s="248"/>
      <c r="E649" s="212"/>
      <c r="F649" s="249"/>
      <c r="G649" s="194">
        <f t="shared" si="2"/>
        <v>0</v>
      </c>
      <c r="H649" s="214"/>
      <c r="I649" s="214"/>
    </row>
    <row r="650" ht="30.0" customHeight="1">
      <c r="A650" s="247"/>
      <c r="B650" s="209"/>
      <c r="C650" s="247"/>
      <c r="D650" s="248"/>
      <c r="E650" s="212"/>
      <c r="F650" s="249"/>
      <c r="G650" s="194">
        <f t="shared" si="2"/>
        <v>0</v>
      </c>
      <c r="H650" s="214"/>
      <c r="I650" s="214"/>
    </row>
    <row r="651" ht="30.0" customHeight="1">
      <c r="A651" s="247"/>
      <c r="B651" s="209"/>
      <c r="C651" s="247"/>
      <c r="D651" s="248"/>
      <c r="E651" s="212"/>
      <c r="F651" s="249"/>
      <c r="G651" s="194">
        <f t="shared" si="2"/>
        <v>0</v>
      </c>
      <c r="H651" s="214"/>
      <c r="I651" s="214"/>
    </row>
    <row r="652" ht="30.0" customHeight="1">
      <c r="A652" s="247"/>
      <c r="B652" s="209"/>
      <c r="C652" s="247"/>
      <c r="D652" s="248"/>
      <c r="E652" s="212"/>
      <c r="F652" s="249"/>
      <c r="G652" s="194">
        <f t="shared" si="2"/>
        <v>0</v>
      </c>
      <c r="H652" s="214"/>
      <c r="I652" s="214"/>
    </row>
    <row r="653" ht="30.0" customHeight="1">
      <c r="A653" s="247"/>
      <c r="B653" s="209"/>
      <c r="C653" s="247"/>
      <c r="D653" s="248"/>
      <c r="E653" s="212"/>
      <c r="F653" s="249"/>
      <c r="G653" s="194">
        <f t="shared" si="2"/>
        <v>0</v>
      </c>
      <c r="H653" s="214"/>
      <c r="I653" s="214"/>
    </row>
    <row r="654" ht="30.0" customHeight="1">
      <c r="A654" s="247"/>
      <c r="B654" s="209"/>
      <c r="C654" s="247"/>
      <c r="D654" s="248"/>
      <c r="E654" s="212"/>
      <c r="F654" s="249"/>
      <c r="G654" s="194">
        <f t="shared" si="2"/>
        <v>0</v>
      </c>
      <c r="H654" s="214"/>
      <c r="I654" s="214"/>
    </row>
    <row r="655" ht="30.0" customHeight="1">
      <c r="A655" s="247"/>
      <c r="B655" s="209"/>
      <c r="C655" s="247"/>
      <c r="D655" s="248"/>
      <c r="E655" s="212"/>
      <c r="F655" s="249"/>
      <c r="G655" s="194">
        <f t="shared" si="2"/>
        <v>0</v>
      </c>
      <c r="H655" s="214"/>
      <c r="I655" s="214"/>
    </row>
    <row r="656" ht="30.0" customHeight="1">
      <c r="A656" s="247"/>
      <c r="B656" s="209"/>
      <c r="C656" s="247"/>
      <c r="D656" s="248"/>
      <c r="E656" s="212"/>
      <c r="F656" s="249"/>
      <c r="G656" s="194">
        <f t="shared" si="2"/>
        <v>0</v>
      </c>
      <c r="H656" s="214"/>
      <c r="I656" s="214"/>
    </row>
    <row r="657" ht="30.0" customHeight="1">
      <c r="A657" s="247"/>
      <c r="B657" s="209"/>
      <c r="C657" s="247"/>
      <c r="D657" s="248"/>
      <c r="E657" s="212"/>
      <c r="F657" s="249"/>
      <c r="G657" s="194">
        <f t="shared" si="2"/>
        <v>0</v>
      </c>
      <c r="H657" s="214"/>
      <c r="I657" s="214"/>
    </row>
    <row r="658" ht="30.0" customHeight="1">
      <c r="A658" s="247"/>
      <c r="B658" s="209"/>
      <c r="C658" s="247"/>
      <c r="D658" s="248"/>
      <c r="E658" s="212"/>
      <c r="F658" s="249"/>
      <c r="G658" s="194">
        <f t="shared" si="2"/>
        <v>0</v>
      </c>
      <c r="H658" s="214"/>
      <c r="I658" s="214"/>
    </row>
    <row r="659" ht="30.0" customHeight="1">
      <c r="A659" s="247"/>
      <c r="B659" s="209"/>
      <c r="C659" s="247"/>
      <c r="D659" s="248"/>
      <c r="E659" s="212"/>
      <c r="F659" s="249"/>
      <c r="G659" s="194">
        <f t="shared" si="2"/>
        <v>0</v>
      </c>
      <c r="H659" s="214"/>
      <c r="I659" s="214"/>
    </row>
    <row r="660" ht="30.0" customHeight="1">
      <c r="A660" s="247"/>
      <c r="B660" s="209"/>
      <c r="C660" s="247"/>
      <c r="D660" s="248"/>
      <c r="E660" s="212"/>
      <c r="F660" s="249"/>
      <c r="G660" s="194">
        <f t="shared" si="2"/>
        <v>0</v>
      </c>
      <c r="H660" s="214"/>
      <c r="I660" s="214"/>
    </row>
    <row r="661" ht="30.0" customHeight="1">
      <c r="A661" s="247"/>
      <c r="B661" s="209"/>
      <c r="C661" s="247"/>
      <c r="D661" s="248"/>
      <c r="E661" s="212"/>
      <c r="F661" s="249"/>
      <c r="G661" s="194">
        <f t="shared" si="2"/>
        <v>0</v>
      </c>
      <c r="H661" s="214"/>
      <c r="I661" s="214"/>
    </row>
    <row r="662" ht="30.0" customHeight="1">
      <c r="A662" s="247"/>
      <c r="B662" s="209"/>
      <c r="C662" s="247"/>
      <c r="D662" s="248"/>
      <c r="E662" s="212"/>
      <c r="F662" s="249"/>
      <c r="G662" s="194">
        <f t="shared" si="2"/>
        <v>0</v>
      </c>
      <c r="H662" s="214"/>
      <c r="I662" s="214"/>
    </row>
    <row r="663" ht="30.0" customHeight="1">
      <c r="A663" s="247"/>
      <c r="B663" s="209"/>
      <c r="C663" s="247"/>
      <c r="D663" s="248"/>
      <c r="E663" s="212"/>
      <c r="F663" s="249"/>
      <c r="G663" s="194">
        <f t="shared" si="2"/>
        <v>0</v>
      </c>
      <c r="H663" s="214"/>
      <c r="I663" s="214"/>
    </row>
    <row r="664" ht="30.0" customHeight="1">
      <c r="A664" s="247"/>
      <c r="B664" s="209"/>
      <c r="C664" s="247"/>
      <c r="D664" s="248"/>
      <c r="E664" s="212"/>
      <c r="F664" s="249"/>
      <c r="G664" s="194">
        <f t="shared" si="2"/>
        <v>0</v>
      </c>
      <c r="H664" s="214"/>
      <c r="I664" s="214"/>
    </row>
    <row r="665" ht="30.0" customHeight="1">
      <c r="A665" s="247"/>
      <c r="B665" s="209"/>
      <c r="C665" s="247"/>
      <c r="D665" s="248"/>
      <c r="E665" s="212"/>
      <c r="F665" s="249"/>
      <c r="G665" s="194">
        <f t="shared" si="2"/>
        <v>0</v>
      </c>
      <c r="H665" s="214"/>
      <c r="I665" s="214"/>
    </row>
    <row r="666" ht="30.0" customHeight="1">
      <c r="A666" s="247"/>
      <c r="B666" s="209"/>
      <c r="C666" s="247"/>
      <c r="D666" s="248"/>
      <c r="E666" s="212"/>
      <c r="F666" s="249"/>
      <c r="G666" s="194">
        <f t="shared" si="2"/>
        <v>0</v>
      </c>
      <c r="H666" s="214"/>
      <c r="I666" s="214"/>
    </row>
    <row r="667" ht="30.0" customHeight="1">
      <c r="A667" s="247"/>
      <c r="B667" s="209"/>
      <c r="C667" s="247"/>
      <c r="D667" s="248"/>
      <c r="E667" s="212"/>
      <c r="F667" s="249"/>
      <c r="G667" s="194">
        <f t="shared" si="2"/>
        <v>0</v>
      </c>
      <c r="H667" s="214"/>
      <c r="I667" s="214"/>
    </row>
    <row r="668" ht="30.0" customHeight="1">
      <c r="A668" s="247"/>
      <c r="B668" s="209"/>
      <c r="C668" s="247"/>
      <c r="D668" s="248"/>
      <c r="E668" s="212"/>
      <c r="F668" s="249"/>
      <c r="G668" s="194">
        <f t="shared" si="2"/>
        <v>0</v>
      </c>
      <c r="H668" s="214"/>
      <c r="I668" s="214"/>
    </row>
    <row r="669" ht="30.0" customHeight="1">
      <c r="A669" s="247"/>
      <c r="B669" s="209"/>
      <c r="C669" s="247"/>
      <c r="D669" s="248"/>
      <c r="E669" s="212"/>
      <c r="F669" s="249"/>
      <c r="G669" s="194">
        <f t="shared" si="2"/>
        <v>0</v>
      </c>
      <c r="H669" s="214"/>
      <c r="I669" s="214"/>
    </row>
    <row r="670" ht="30.0" customHeight="1">
      <c r="A670" s="247"/>
      <c r="B670" s="209"/>
      <c r="C670" s="247"/>
      <c r="D670" s="248"/>
      <c r="E670" s="212"/>
      <c r="F670" s="249"/>
      <c r="G670" s="194">
        <f t="shared" si="2"/>
        <v>0</v>
      </c>
      <c r="H670" s="214"/>
      <c r="I670" s="214"/>
    </row>
    <row r="671" ht="30.0" customHeight="1">
      <c r="A671" s="247"/>
      <c r="B671" s="209"/>
      <c r="C671" s="247"/>
      <c r="D671" s="248"/>
      <c r="E671" s="212"/>
      <c r="F671" s="249"/>
      <c r="G671" s="194">
        <f t="shared" si="2"/>
        <v>0</v>
      </c>
      <c r="H671" s="214"/>
      <c r="I671" s="214"/>
    </row>
    <row r="672" ht="30.0" customHeight="1">
      <c r="A672" s="247"/>
      <c r="B672" s="209"/>
      <c r="C672" s="247"/>
      <c r="D672" s="248"/>
      <c r="E672" s="212"/>
      <c r="F672" s="249"/>
      <c r="G672" s="194">
        <f t="shared" si="2"/>
        <v>0</v>
      </c>
      <c r="H672" s="214"/>
      <c r="I672" s="214"/>
    </row>
    <row r="673" ht="30.0" customHeight="1">
      <c r="A673" s="247"/>
      <c r="B673" s="209"/>
      <c r="C673" s="247"/>
      <c r="D673" s="248"/>
      <c r="E673" s="212"/>
      <c r="F673" s="249"/>
      <c r="G673" s="194">
        <f t="shared" si="2"/>
        <v>0</v>
      </c>
      <c r="H673" s="214"/>
      <c r="I673" s="214"/>
    </row>
    <row r="674" ht="30.0" customHeight="1">
      <c r="A674" s="247"/>
      <c r="B674" s="209"/>
      <c r="C674" s="247"/>
      <c r="D674" s="248"/>
      <c r="E674" s="212"/>
      <c r="F674" s="249"/>
      <c r="G674" s="194">
        <f t="shared" si="2"/>
        <v>0</v>
      </c>
      <c r="H674" s="214"/>
      <c r="I674" s="214"/>
    </row>
    <row r="675" ht="30.0" customHeight="1">
      <c r="A675" s="247"/>
      <c r="B675" s="209"/>
      <c r="C675" s="247"/>
      <c r="D675" s="248"/>
      <c r="E675" s="212"/>
      <c r="F675" s="249"/>
      <c r="G675" s="194">
        <f t="shared" si="2"/>
        <v>0</v>
      </c>
      <c r="H675" s="214"/>
      <c r="I675" s="214"/>
    </row>
    <row r="676" ht="30.0" customHeight="1">
      <c r="A676" s="247"/>
      <c r="B676" s="209"/>
      <c r="C676" s="247"/>
      <c r="D676" s="248"/>
      <c r="E676" s="212"/>
      <c r="F676" s="249"/>
      <c r="G676" s="194">
        <f t="shared" si="2"/>
        <v>0</v>
      </c>
      <c r="H676" s="214"/>
      <c r="I676" s="214"/>
    </row>
    <row r="677" ht="30.0" customHeight="1">
      <c r="A677" s="247"/>
      <c r="B677" s="209"/>
      <c r="C677" s="247"/>
      <c r="D677" s="248"/>
      <c r="E677" s="212"/>
      <c r="F677" s="249"/>
      <c r="G677" s="194">
        <f t="shared" si="2"/>
        <v>0</v>
      </c>
      <c r="H677" s="214"/>
      <c r="I677" s="214"/>
    </row>
    <row r="678" ht="30.0" customHeight="1">
      <c r="A678" s="247"/>
      <c r="B678" s="209"/>
      <c r="C678" s="247"/>
      <c r="D678" s="248"/>
      <c r="E678" s="212"/>
      <c r="F678" s="249"/>
      <c r="G678" s="194">
        <f t="shared" si="2"/>
        <v>0</v>
      </c>
      <c r="H678" s="214"/>
      <c r="I678" s="214"/>
    </row>
    <row r="679" ht="30.0" customHeight="1">
      <c r="A679" s="247"/>
      <c r="B679" s="209"/>
      <c r="C679" s="247"/>
      <c r="D679" s="248"/>
      <c r="E679" s="212"/>
      <c r="F679" s="249"/>
      <c r="G679" s="194">
        <f t="shared" si="2"/>
        <v>0</v>
      </c>
      <c r="H679" s="214"/>
      <c r="I679" s="214"/>
    </row>
    <row r="680" ht="30.0" customHeight="1">
      <c r="A680" s="247"/>
      <c r="B680" s="209"/>
      <c r="C680" s="247"/>
      <c r="D680" s="248"/>
      <c r="E680" s="212"/>
      <c r="F680" s="249"/>
      <c r="G680" s="194">
        <f t="shared" si="2"/>
        <v>0</v>
      </c>
      <c r="H680" s="214"/>
      <c r="I680" s="214"/>
    </row>
    <row r="681" ht="30.0" customHeight="1">
      <c r="A681" s="247"/>
      <c r="B681" s="209"/>
      <c r="C681" s="247"/>
      <c r="D681" s="248"/>
      <c r="E681" s="212"/>
      <c r="F681" s="249"/>
      <c r="G681" s="194">
        <f t="shared" si="2"/>
        <v>0</v>
      </c>
      <c r="H681" s="214"/>
      <c r="I681" s="214"/>
    </row>
    <row r="682" ht="30.0" customHeight="1">
      <c r="A682" s="247"/>
      <c r="B682" s="209"/>
      <c r="C682" s="247"/>
      <c r="D682" s="248"/>
      <c r="E682" s="212"/>
      <c r="F682" s="249"/>
      <c r="G682" s="194">
        <f t="shared" si="2"/>
        <v>0</v>
      </c>
      <c r="H682" s="214"/>
      <c r="I682" s="214"/>
    </row>
    <row r="683" ht="30.0" customHeight="1">
      <c r="A683" s="247"/>
      <c r="B683" s="209"/>
      <c r="C683" s="247"/>
      <c r="D683" s="248"/>
      <c r="E683" s="212"/>
      <c r="F683" s="249"/>
      <c r="G683" s="194">
        <f t="shared" si="2"/>
        <v>0</v>
      </c>
      <c r="H683" s="214"/>
      <c r="I683" s="214"/>
    </row>
    <row r="684" ht="30.0" customHeight="1">
      <c r="A684" s="247"/>
      <c r="B684" s="209"/>
      <c r="C684" s="247"/>
      <c r="D684" s="248"/>
      <c r="E684" s="212"/>
      <c r="F684" s="249"/>
      <c r="G684" s="194">
        <f t="shared" si="2"/>
        <v>0</v>
      </c>
      <c r="H684" s="214"/>
      <c r="I684" s="214"/>
    </row>
    <row r="685" ht="30.0" customHeight="1">
      <c r="A685" s="247"/>
      <c r="B685" s="209"/>
      <c r="C685" s="247"/>
      <c r="D685" s="248"/>
      <c r="E685" s="212"/>
      <c r="F685" s="249"/>
      <c r="G685" s="194">
        <f t="shared" si="2"/>
        <v>0</v>
      </c>
      <c r="H685" s="214"/>
      <c r="I685" s="214"/>
    </row>
    <row r="686" ht="30.0" customHeight="1">
      <c r="A686" s="247"/>
      <c r="B686" s="209"/>
      <c r="C686" s="247"/>
      <c r="D686" s="248"/>
      <c r="E686" s="212"/>
      <c r="F686" s="249"/>
      <c r="G686" s="194">
        <f t="shared" si="2"/>
        <v>0</v>
      </c>
      <c r="H686" s="214"/>
      <c r="I686" s="214"/>
    </row>
    <row r="687" ht="30.0" customHeight="1">
      <c r="A687" s="247"/>
      <c r="B687" s="209"/>
      <c r="C687" s="247"/>
      <c r="D687" s="248"/>
      <c r="E687" s="212"/>
      <c r="F687" s="249"/>
      <c r="G687" s="194">
        <f t="shared" si="2"/>
        <v>0</v>
      </c>
      <c r="H687" s="214"/>
      <c r="I687" s="214"/>
    </row>
    <row r="688" ht="30.0" customHeight="1">
      <c r="A688" s="247"/>
      <c r="B688" s="209"/>
      <c r="C688" s="247"/>
      <c r="D688" s="248"/>
      <c r="E688" s="212"/>
      <c r="F688" s="249"/>
      <c r="G688" s="194">
        <f t="shared" si="2"/>
        <v>0</v>
      </c>
      <c r="H688" s="214"/>
      <c r="I688" s="214"/>
    </row>
    <row r="689" ht="30.0" customHeight="1">
      <c r="A689" s="247"/>
      <c r="B689" s="209"/>
      <c r="C689" s="247"/>
      <c r="D689" s="248"/>
      <c r="E689" s="212"/>
      <c r="F689" s="249"/>
      <c r="G689" s="194">
        <f t="shared" si="2"/>
        <v>0</v>
      </c>
      <c r="H689" s="214"/>
      <c r="I689" s="214"/>
    </row>
    <row r="690" ht="30.0" customHeight="1">
      <c r="A690" s="247"/>
      <c r="B690" s="209"/>
      <c r="C690" s="247"/>
      <c r="D690" s="248"/>
      <c r="E690" s="212"/>
      <c r="F690" s="249"/>
      <c r="G690" s="194">
        <f t="shared" si="2"/>
        <v>0</v>
      </c>
      <c r="H690" s="214"/>
      <c r="I690" s="214"/>
    </row>
    <row r="691" ht="30.0" customHeight="1">
      <c r="A691" s="247"/>
      <c r="B691" s="209"/>
      <c r="C691" s="247"/>
      <c r="D691" s="248"/>
      <c r="E691" s="212"/>
      <c r="F691" s="249"/>
      <c r="G691" s="194">
        <f t="shared" si="2"/>
        <v>0</v>
      </c>
      <c r="H691" s="214"/>
      <c r="I691" s="214"/>
    </row>
    <row r="692" ht="30.0" customHeight="1">
      <c r="A692" s="247"/>
      <c r="B692" s="209"/>
      <c r="C692" s="247"/>
      <c r="D692" s="248"/>
      <c r="E692" s="212"/>
      <c r="F692" s="249"/>
      <c r="G692" s="194">
        <f t="shared" si="2"/>
        <v>0</v>
      </c>
      <c r="H692" s="214"/>
      <c r="I692" s="214"/>
    </row>
    <row r="693" ht="30.0" customHeight="1">
      <c r="A693" s="247"/>
      <c r="B693" s="209"/>
      <c r="C693" s="247"/>
      <c r="D693" s="248"/>
      <c r="E693" s="212"/>
      <c r="F693" s="249"/>
      <c r="G693" s="194">
        <f t="shared" si="2"/>
        <v>0</v>
      </c>
      <c r="H693" s="214"/>
      <c r="I693" s="214"/>
    </row>
    <row r="694" ht="30.0" customHeight="1">
      <c r="A694" s="247"/>
      <c r="B694" s="209"/>
      <c r="C694" s="247"/>
      <c r="D694" s="248"/>
      <c r="E694" s="212"/>
      <c r="F694" s="249"/>
      <c r="G694" s="194">
        <f t="shared" si="2"/>
        <v>0</v>
      </c>
      <c r="H694" s="214"/>
      <c r="I694" s="214"/>
    </row>
    <row r="695" ht="30.0" customHeight="1">
      <c r="A695" s="247"/>
      <c r="B695" s="209"/>
      <c r="C695" s="247"/>
      <c r="D695" s="248"/>
      <c r="E695" s="212"/>
      <c r="F695" s="249"/>
      <c r="G695" s="194">
        <f t="shared" si="2"/>
        <v>0</v>
      </c>
      <c r="H695" s="214"/>
      <c r="I695" s="214"/>
    </row>
    <row r="696" ht="30.0" customHeight="1">
      <c r="A696" s="247"/>
      <c r="B696" s="209"/>
      <c r="C696" s="247"/>
      <c r="D696" s="248"/>
      <c r="E696" s="212"/>
      <c r="F696" s="249"/>
      <c r="G696" s="194">
        <f t="shared" si="2"/>
        <v>0</v>
      </c>
      <c r="H696" s="214"/>
      <c r="I696" s="214"/>
    </row>
    <row r="697" ht="30.0" customHeight="1">
      <c r="A697" s="247"/>
      <c r="B697" s="209"/>
      <c r="C697" s="247"/>
      <c r="D697" s="248"/>
      <c r="E697" s="212"/>
      <c r="F697" s="249"/>
      <c r="G697" s="194">
        <f t="shared" si="2"/>
        <v>0</v>
      </c>
      <c r="H697" s="214"/>
      <c r="I697" s="214"/>
    </row>
    <row r="698" ht="30.0" customHeight="1">
      <c r="A698" s="247"/>
      <c r="B698" s="209"/>
      <c r="C698" s="247"/>
      <c r="D698" s="248"/>
      <c r="E698" s="212"/>
      <c r="F698" s="249"/>
      <c r="G698" s="194">
        <f t="shared" si="2"/>
        <v>0</v>
      </c>
      <c r="H698" s="214"/>
      <c r="I698" s="214"/>
    </row>
    <row r="699" ht="30.0" customHeight="1">
      <c r="A699" s="247"/>
      <c r="B699" s="209"/>
      <c r="C699" s="247"/>
      <c r="D699" s="248"/>
      <c r="E699" s="212"/>
      <c r="F699" s="249"/>
      <c r="G699" s="194">
        <f t="shared" si="2"/>
        <v>0</v>
      </c>
      <c r="H699" s="214"/>
      <c r="I699" s="214"/>
    </row>
    <row r="700" ht="30.0" customHeight="1">
      <c r="A700" s="247"/>
      <c r="B700" s="209"/>
      <c r="C700" s="247"/>
      <c r="D700" s="248"/>
      <c r="E700" s="212"/>
      <c r="F700" s="249"/>
      <c r="G700" s="194">
        <f t="shared" si="2"/>
        <v>0</v>
      </c>
      <c r="H700" s="214"/>
      <c r="I700" s="214"/>
    </row>
    <row r="701" ht="30.0" customHeight="1">
      <c r="A701" s="247"/>
      <c r="B701" s="209"/>
      <c r="C701" s="247"/>
      <c r="D701" s="248"/>
      <c r="E701" s="212"/>
      <c r="F701" s="249"/>
      <c r="G701" s="194">
        <f t="shared" si="2"/>
        <v>0</v>
      </c>
      <c r="H701" s="214"/>
      <c r="I701" s="214"/>
    </row>
    <row r="702" ht="30.0" customHeight="1">
      <c r="A702" s="247"/>
      <c r="B702" s="209"/>
      <c r="C702" s="247"/>
      <c r="D702" s="248"/>
      <c r="E702" s="212"/>
      <c r="F702" s="249"/>
      <c r="G702" s="194">
        <f t="shared" si="2"/>
        <v>0</v>
      </c>
      <c r="H702" s="214"/>
      <c r="I702" s="214"/>
    </row>
    <row r="703" ht="30.0" customHeight="1">
      <c r="A703" s="247"/>
      <c r="B703" s="209"/>
      <c r="C703" s="247"/>
      <c r="D703" s="248"/>
      <c r="E703" s="212"/>
      <c r="F703" s="249"/>
      <c r="G703" s="194">
        <f t="shared" si="2"/>
        <v>0</v>
      </c>
      <c r="H703" s="214"/>
      <c r="I703" s="214"/>
    </row>
    <row r="704" ht="30.0" customHeight="1">
      <c r="A704" s="247"/>
      <c r="B704" s="209"/>
      <c r="C704" s="247"/>
      <c r="D704" s="248"/>
      <c r="E704" s="212"/>
      <c r="F704" s="249"/>
      <c r="G704" s="194">
        <f t="shared" si="2"/>
        <v>0</v>
      </c>
      <c r="H704" s="214"/>
      <c r="I704" s="214"/>
    </row>
    <row r="705" ht="30.0" customHeight="1">
      <c r="A705" s="247"/>
      <c r="B705" s="209"/>
      <c r="C705" s="247"/>
      <c r="D705" s="248"/>
      <c r="E705" s="212"/>
      <c r="F705" s="249"/>
      <c r="G705" s="194">
        <f t="shared" si="2"/>
        <v>0</v>
      </c>
      <c r="H705" s="214"/>
      <c r="I705" s="214"/>
    </row>
    <row r="706" ht="30.0" customHeight="1">
      <c r="A706" s="247"/>
      <c r="B706" s="209"/>
      <c r="C706" s="247"/>
      <c r="D706" s="248"/>
      <c r="E706" s="212"/>
      <c r="F706" s="249"/>
      <c r="G706" s="194">
        <f t="shared" si="2"/>
        <v>0</v>
      </c>
      <c r="H706" s="214"/>
      <c r="I706" s="214"/>
    </row>
    <row r="707" ht="30.0" customHeight="1">
      <c r="A707" s="247"/>
      <c r="B707" s="209"/>
      <c r="C707" s="247"/>
      <c r="D707" s="248"/>
      <c r="E707" s="212"/>
      <c r="F707" s="249"/>
      <c r="G707" s="194">
        <f t="shared" si="2"/>
        <v>0</v>
      </c>
      <c r="H707" s="214"/>
      <c r="I707" s="214"/>
    </row>
    <row r="708" ht="30.0" customHeight="1">
      <c r="A708" s="247"/>
      <c r="B708" s="209"/>
      <c r="C708" s="247"/>
      <c r="D708" s="248"/>
      <c r="E708" s="212"/>
      <c r="F708" s="249"/>
      <c r="G708" s="194">
        <f t="shared" si="2"/>
        <v>0</v>
      </c>
      <c r="H708" s="214"/>
      <c r="I708" s="214"/>
    </row>
    <row r="709" ht="30.0" customHeight="1">
      <c r="A709" s="247"/>
      <c r="B709" s="209"/>
      <c r="C709" s="247"/>
      <c r="D709" s="248"/>
      <c r="E709" s="212"/>
      <c r="F709" s="249"/>
      <c r="G709" s="194">
        <f t="shared" si="2"/>
        <v>0</v>
      </c>
      <c r="H709" s="214"/>
      <c r="I709" s="214"/>
    </row>
    <row r="710" ht="30.0" customHeight="1">
      <c r="A710" s="247"/>
      <c r="B710" s="209"/>
      <c r="C710" s="247"/>
      <c r="D710" s="248"/>
      <c r="E710" s="212"/>
      <c r="F710" s="249"/>
      <c r="G710" s="194">
        <f t="shared" si="2"/>
        <v>0</v>
      </c>
      <c r="H710" s="214"/>
      <c r="I710" s="214"/>
    </row>
    <row r="711" ht="30.0" customHeight="1">
      <c r="A711" s="247"/>
      <c r="B711" s="209"/>
      <c r="C711" s="247"/>
      <c r="D711" s="248"/>
      <c r="E711" s="212"/>
      <c r="F711" s="249"/>
      <c r="G711" s="194">
        <f t="shared" si="2"/>
        <v>0</v>
      </c>
      <c r="H711" s="214"/>
      <c r="I711" s="214"/>
    </row>
    <row r="712" ht="30.0" customHeight="1">
      <c r="A712" s="247"/>
      <c r="B712" s="209"/>
      <c r="C712" s="247"/>
      <c r="D712" s="248"/>
      <c r="E712" s="212"/>
      <c r="F712" s="249"/>
      <c r="G712" s="194">
        <f t="shared" si="2"/>
        <v>0</v>
      </c>
      <c r="H712" s="214"/>
      <c r="I712" s="214"/>
    </row>
    <row r="713" ht="30.0" customHeight="1">
      <c r="A713" s="247"/>
      <c r="B713" s="209"/>
      <c r="C713" s="247"/>
      <c r="D713" s="248"/>
      <c r="E713" s="212"/>
      <c r="F713" s="249"/>
      <c r="G713" s="194">
        <f t="shared" si="2"/>
        <v>0</v>
      </c>
      <c r="H713" s="214"/>
      <c r="I713" s="214"/>
    </row>
    <row r="714" ht="30.0" customHeight="1">
      <c r="A714" s="247"/>
      <c r="B714" s="209"/>
      <c r="C714" s="247"/>
      <c r="D714" s="248"/>
      <c r="E714" s="212"/>
      <c r="F714" s="249"/>
      <c r="G714" s="194">
        <f t="shared" si="2"/>
        <v>0</v>
      </c>
      <c r="H714" s="214"/>
      <c r="I714" s="214"/>
    </row>
    <row r="715" ht="30.0" customHeight="1">
      <c r="A715" s="247"/>
      <c r="B715" s="209"/>
      <c r="C715" s="247"/>
      <c r="D715" s="248"/>
      <c r="E715" s="212"/>
      <c r="F715" s="249"/>
      <c r="G715" s="194">
        <f t="shared" si="2"/>
        <v>0</v>
      </c>
      <c r="H715" s="214"/>
      <c r="I715" s="214"/>
    </row>
    <row r="716" ht="30.0" customHeight="1">
      <c r="A716" s="247"/>
      <c r="B716" s="209"/>
      <c r="C716" s="247"/>
      <c r="D716" s="248"/>
      <c r="E716" s="212"/>
      <c r="F716" s="249"/>
      <c r="G716" s="194">
        <f t="shared" si="2"/>
        <v>0</v>
      </c>
      <c r="H716" s="214"/>
      <c r="I716" s="214"/>
    </row>
    <row r="717" ht="30.0" customHeight="1">
      <c r="A717" s="247"/>
      <c r="B717" s="209"/>
      <c r="C717" s="247"/>
      <c r="D717" s="248"/>
      <c r="E717" s="212"/>
      <c r="F717" s="249"/>
      <c r="G717" s="194">
        <f t="shared" si="2"/>
        <v>0</v>
      </c>
      <c r="H717" s="214"/>
      <c r="I717" s="214"/>
    </row>
    <row r="718" ht="30.0" customHeight="1">
      <c r="A718" s="247"/>
      <c r="B718" s="209"/>
      <c r="C718" s="247"/>
      <c r="D718" s="248"/>
      <c r="E718" s="212"/>
      <c r="F718" s="249"/>
      <c r="G718" s="194">
        <f t="shared" si="2"/>
        <v>0</v>
      </c>
      <c r="H718" s="214"/>
      <c r="I718" s="214"/>
    </row>
    <row r="719" ht="30.0" customHeight="1">
      <c r="A719" s="247"/>
      <c r="B719" s="209"/>
      <c r="C719" s="247"/>
      <c r="D719" s="248"/>
      <c r="E719" s="212"/>
      <c r="F719" s="249"/>
      <c r="G719" s="194">
        <f t="shared" si="2"/>
        <v>0</v>
      </c>
      <c r="H719" s="214"/>
      <c r="I719" s="214"/>
    </row>
    <row r="720" ht="30.0" customHeight="1">
      <c r="A720" s="247"/>
      <c r="B720" s="209"/>
      <c r="C720" s="247"/>
      <c r="D720" s="248"/>
      <c r="E720" s="212"/>
      <c r="F720" s="249"/>
      <c r="G720" s="194">
        <f t="shared" si="2"/>
        <v>0</v>
      </c>
      <c r="H720" s="214"/>
      <c r="I720" s="214"/>
    </row>
    <row r="721" ht="30.0" customHeight="1">
      <c r="A721" s="247"/>
      <c r="B721" s="209"/>
      <c r="C721" s="247"/>
      <c r="D721" s="248"/>
      <c r="E721" s="212"/>
      <c r="F721" s="249"/>
      <c r="G721" s="194">
        <f t="shared" si="2"/>
        <v>0</v>
      </c>
      <c r="H721" s="214"/>
      <c r="I721" s="214"/>
    </row>
    <row r="722" ht="30.0" customHeight="1">
      <c r="A722" s="247"/>
      <c r="B722" s="209"/>
      <c r="C722" s="247"/>
      <c r="D722" s="248"/>
      <c r="E722" s="212"/>
      <c r="F722" s="249"/>
      <c r="G722" s="194">
        <f t="shared" si="2"/>
        <v>0</v>
      </c>
      <c r="H722" s="214"/>
      <c r="I722" s="214"/>
    </row>
    <row r="723" ht="30.0" customHeight="1">
      <c r="A723" s="247"/>
      <c r="B723" s="209"/>
      <c r="C723" s="247"/>
      <c r="D723" s="248"/>
      <c r="E723" s="212"/>
      <c r="F723" s="249"/>
      <c r="G723" s="194">
        <f t="shared" si="2"/>
        <v>0</v>
      </c>
      <c r="H723" s="214"/>
      <c r="I723" s="214"/>
    </row>
    <row r="724" ht="30.0" customHeight="1">
      <c r="A724" s="247"/>
      <c r="B724" s="209"/>
      <c r="C724" s="247"/>
      <c r="D724" s="248"/>
      <c r="E724" s="212"/>
      <c r="F724" s="249"/>
      <c r="G724" s="194">
        <f t="shared" si="2"/>
        <v>0</v>
      </c>
      <c r="H724" s="214"/>
      <c r="I724" s="214"/>
    </row>
    <row r="725" ht="30.0" customHeight="1">
      <c r="A725" s="247"/>
      <c r="B725" s="209"/>
      <c r="C725" s="247"/>
      <c r="D725" s="248"/>
      <c r="E725" s="212"/>
      <c r="F725" s="249"/>
      <c r="G725" s="194">
        <f t="shared" si="2"/>
        <v>0</v>
      </c>
      <c r="H725" s="214"/>
      <c r="I725" s="214"/>
    </row>
    <row r="726" ht="30.0" customHeight="1">
      <c r="A726" s="247"/>
      <c r="B726" s="209"/>
      <c r="C726" s="247"/>
      <c r="D726" s="248"/>
      <c r="E726" s="212"/>
      <c r="F726" s="249"/>
      <c r="G726" s="194">
        <f t="shared" si="2"/>
        <v>0</v>
      </c>
      <c r="H726" s="214"/>
      <c r="I726" s="214"/>
    </row>
    <row r="727" ht="30.0" customHeight="1">
      <c r="A727" s="247"/>
      <c r="B727" s="209"/>
      <c r="C727" s="247"/>
      <c r="D727" s="248"/>
      <c r="E727" s="212"/>
      <c r="F727" s="249"/>
      <c r="G727" s="194">
        <f t="shared" si="2"/>
        <v>0</v>
      </c>
      <c r="H727" s="214"/>
      <c r="I727" s="214"/>
    </row>
    <row r="728" ht="30.0" customHeight="1">
      <c r="A728" s="247"/>
      <c r="B728" s="209"/>
      <c r="C728" s="247"/>
      <c r="D728" s="248"/>
      <c r="E728" s="212"/>
      <c r="F728" s="249"/>
      <c r="G728" s="194">
        <f t="shared" si="2"/>
        <v>0</v>
      </c>
      <c r="H728" s="214"/>
      <c r="I728" s="214"/>
    </row>
    <row r="729" ht="30.0" customHeight="1">
      <c r="A729" s="247"/>
      <c r="B729" s="209"/>
      <c r="C729" s="247"/>
      <c r="D729" s="248"/>
      <c r="E729" s="212"/>
      <c r="F729" s="249"/>
      <c r="G729" s="194">
        <f t="shared" si="2"/>
        <v>0</v>
      </c>
      <c r="H729" s="214"/>
      <c r="I729" s="214"/>
    </row>
    <row r="730" ht="30.0" customHeight="1">
      <c r="A730" s="247"/>
      <c r="B730" s="209"/>
      <c r="C730" s="247"/>
      <c r="D730" s="248"/>
      <c r="E730" s="212"/>
      <c r="F730" s="249"/>
      <c r="G730" s="194">
        <f t="shared" si="2"/>
        <v>0</v>
      </c>
      <c r="H730" s="214"/>
      <c r="I730" s="214"/>
    </row>
    <row r="731" ht="30.0" customHeight="1">
      <c r="A731" s="247"/>
      <c r="B731" s="209"/>
      <c r="C731" s="247"/>
      <c r="D731" s="248"/>
      <c r="E731" s="212"/>
      <c r="F731" s="249"/>
      <c r="G731" s="194">
        <f t="shared" si="2"/>
        <v>0</v>
      </c>
      <c r="H731" s="214"/>
      <c r="I731" s="214"/>
    </row>
    <row r="732" ht="30.0" customHeight="1">
      <c r="A732" s="247"/>
      <c r="B732" s="209"/>
      <c r="C732" s="247"/>
      <c r="D732" s="248"/>
      <c r="E732" s="212"/>
      <c r="F732" s="249"/>
      <c r="G732" s="194">
        <f t="shared" si="2"/>
        <v>0</v>
      </c>
      <c r="H732" s="214"/>
      <c r="I732" s="214"/>
    </row>
    <row r="733" ht="30.0" customHeight="1">
      <c r="A733" s="247"/>
      <c r="B733" s="209"/>
      <c r="C733" s="247"/>
      <c r="D733" s="248"/>
      <c r="E733" s="212"/>
      <c r="F733" s="249"/>
      <c r="G733" s="194">
        <f t="shared" si="2"/>
        <v>0</v>
      </c>
      <c r="H733" s="214"/>
      <c r="I733" s="214"/>
    </row>
    <row r="734" ht="30.0" customHeight="1">
      <c r="A734" s="247"/>
      <c r="B734" s="209"/>
      <c r="C734" s="247"/>
      <c r="D734" s="248"/>
      <c r="E734" s="212"/>
      <c r="F734" s="249"/>
      <c r="G734" s="194">
        <f t="shared" si="2"/>
        <v>0</v>
      </c>
      <c r="H734" s="214"/>
      <c r="I734" s="214"/>
    </row>
    <row r="735" ht="30.0" customHeight="1">
      <c r="A735" s="247"/>
      <c r="B735" s="209"/>
      <c r="C735" s="247"/>
      <c r="D735" s="248"/>
      <c r="E735" s="212"/>
      <c r="F735" s="249"/>
      <c r="G735" s="194">
        <f t="shared" si="2"/>
        <v>0</v>
      </c>
      <c r="H735" s="214"/>
      <c r="I735" s="214"/>
    </row>
    <row r="736" ht="30.0" customHeight="1">
      <c r="A736" s="247"/>
      <c r="B736" s="209"/>
      <c r="C736" s="247"/>
      <c r="D736" s="248"/>
      <c r="E736" s="212"/>
      <c r="F736" s="249"/>
      <c r="G736" s="194">
        <f t="shared" si="2"/>
        <v>0</v>
      </c>
      <c r="H736" s="214"/>
      <c r="I736" s="214"/>
    </row>
    <row r="737" ht="30.0" customHeight="1">
      <c r="A737" s="247"/>
      <c r="B737" s="209"/>
      <c r="C737" s="247"/>
      <c r="D737" s="248"/>
      <c r="E737" s="212"/>
      <c r="F737" s="249"/>
      <c r="G737" s="194">
        <f t="shared" si="2"/>
        <v>0</v>
      </c>
      <c r="H737" s="214"/>
      <c r="I737" s="214"/>
    </row>
    <row r="738" ht="30.0" customHeight="1">
      <c r="A738" s="247"/>
      <c r="B738" s="209"/>
      <c r="C738" s="247"/>
      <c r="D738" s="248"/>
      <c r="E738" s="212"/>
      <c r="F738" s="249"/>
      <c r="G738" s="194">
        <f t="shared" si="2"/>
        <v>0</v>
      </c>
      <c r="H738" s="214"/>
      <c r="I738" s="214"/>
    </row>
    <row r="739" ht="30.0" customHeight="1">
      <c r="A739" s="247"/>
      <c r="B739" s="209"/>
      <c r="C739" s="247"/>
      <c r="D739" s="248"/>
      <c r="E739" s="212"/>
      <c r="F739" s="249"/>
      <c r="G739" s="194">
        <f t="shared" si="2"/>
        <v>0</v>
      </c>
      <c r="H739" s="214"/>
      <c r="I739" s="214"/>
    </row>
    <row r="740" ht="30.0" customHeight="1">
      <c r="A740" s="247"/>
      <c r="B740" s="209"/>
      <c r="C740" s="247"/>
      <c r="D740" s="248"/>
      <c r="E740" s="212"/>
      <c r="F740" s="249"/>
      <c r="G740" s="194">
        <f t="shared" si="2"/>
        <v>0</v>
      </c>
      <c r="H740" s="214"/>
      <c r="I740" s="214"/>
    </row>
    <row r="741" ht="30.0" customHeight="1">
      <c r="A741" s="247"/>
      <c r="B741" s="209"/>
      <c r="C741" s="247"/>
      <c r="D741" s="248"/>
      <c r="E741" s="212"/>
      <c r="F741" s="249"/>
      <c r="G741" s="194">
        <f t="shared" si="2"/>
        <v>0</v>
      </c>
      <c r="H741" s="214"/>
      <c r="I741" s="214"/>
    </row>
    <row r="742" ht="30.0" customHeight="1">
      <c r="A742" s="247"/>
      <c r="B742" s="209"/>
      <c r="C742" s="247"/>
      <c r="D742" s="248"/>
      <c r="E742" s="212"/>
      <c r="F742" s="249"/>
      <c r="G742" s="194">
        <f t="shared" si="2"/>
        <v>0</v>
      </c>
      <c r="H742" s="214"/>
      <c r="I742" s="214"/>
    </row>
    <row r="743" ht="30.0" customHeight="1">
      <c r="A743" s="247"/>
      <c r="B743" s="209"/>
      <c r="C743" s="247"/>
      <c r="D743" s="248"/>
      <c r="E743" s="212"/>
      <c r="F743" s="249"/>
      <c r="G743" s="194">
        <f t="shared" si="2"/>
        <v>0</v>
      </c>
      <c r="H743" s="214"/>
      <c r="I743" s="214"/>
    </row>
    <row r="744" ht="30.0" customHeight="1">
      <c r="A744" s="247"/>
      <c r="B744" s="209"/>
      <c r="C744" s="247"/>
      <c r="D744" s="248"/>
      <c r="E744" s="212"/>
      <c r="F744" s="249"/>
      <c r="G744" s="194">
        <f t="shared" si="2"/>
        <v>0</v>
      </c>
      <c r="H744" s="214"/>
      <c r="I744" s="214"/>
    </row>
    <row r="745" ht="30.0" customHeight="1">
      <c r="A745" s="247"/>
      <c r="B745" s="209"/>
      <c r="C745" s="247"/>
      <c r="D745" s="248"/>
      <c r="E745" s="212"/>
      <c r="F745" s="249"/>
      <c r="G745" s="194">
        <f t="shared" si="2"/>
        <v>0</v>
      </c>
      <c r="H745" s="214"/>
      <c r="I745" s="214"/>
    </row>
    <row r="746" ht="30.0" customHeight="1">
      <c r="A746" s="247"/>
      <c r="B746" s="209"/>
      <c r="C746" s="247"/>
      <c r="D746" s="248"/>
      <c r="E746" s="212"/>
      <c r="F746" s="249"/>
      <c r="G746" s="194">
        <f t="shared" si="2"/>
        <v>0</v>
      </c>
      <c r="H746" s="214"/>
      <c r="I746" s="214"/>
    </row>
    <row r="747" ht="30.0" customHeight="1">
      <c r="A747" s="247"/>
      <c r="B747" s="209"/>
      <c r="C747" s="247"/>
      <c r="D747" s="248"/>
      <c r="E747" s="212"/>
      <c r="F747" s="249"/>
      <c r="G747" s="194">
        <f t="shared" si="2"/>
        <v>0</v>
      </c>
      <c r="H747" s="214"/>
      <c r="I747" s="214"/>
    </row>
    <row r="748" ht="30.0" customHeight="1">
      <c r="A748" s="247"/>
      <c r="B748" s="209"/>
      <c r="C748" s="247"/>
      <c r="D748" s="248"/>
      <c r="E748" s="212"/>
      <c r="F748" s="249"/>
      <c r="G748" s="194">
        <f t="shared" si="2"/>
        <v>0</v>
      </c>
      <c r="H748" s="214"/>
      <c r="I748" s="214"/>
    </row>
    <row r="749" ht="30.0" customHeight="1">
      <c r="A749" s="247"/>
      <c r="B749" s="209"/>
      <c r="C749" s="247"/>
      <c r="D749" s="248"/>
      <c r="E749" s="212"/>
      <c r="F749" s="249"/>
      <c r="G749" s="194">
        <f t="shared" si="2"/>
        <v>0</v>
      </c>
      <c r="H749" s="214"/>
      <c r="I749" s="214"/>
    </row>
    <row r="750" ht="30.0" customHeight="1">
      <c r="A750" s="247"/>
      <c r="B750" s="209"/>
      <c r="C750" s="247"/>
      <c r="D750" s="248"/>
      <c r="E750" s="212"/>
      <c r="F750" s="249"/>
      <c r="G750" s="194">
        <f t="shared" si="2"/>
        <v>0</v>
      </c>
      <c r="H750" s="214"/>
      <c r="I750" s="214"/>
    </row>
    <row r="751" ht="30.0" customHeight="1">
      <c r="A751" s="247"/>
      <c r="B751" s="209"/>
      <c r="C751" s="247"/>
      <c r="D751" s="248"/>
      <c r="E751" s="212"/>
      <c r="F751" s="249"/>
      <c r="G751" s="194">
        <f t="shared" si="2"/>
        <v>0</v>
      </c>
      <c r="H751" s="214"/>
      <c r="I751" s="214"/>
    </row>
    <row r="752" ht="30.0" customHeight="1">
      <c r="A752" s="247"/>
      <c r="B752" s="209"/>
      <c r="C752" s="247"/>
      <c r="D752" s="248"/>
      <c r="E752" s="212"/>
      <c r="F752" s="249"/>
      <c r="G752" s="194">
        <f t="shared" si="2"/>
        <v>0</v>
      </c>
      <c r="H752" s="214"/>
      <c r="I752" s="214"/>
    </row>
    <row r="753" ht="30.0" customHeight="1">
      <c r="A753" s="247"/>
      <c r="B753" s="209"/>
      <c r="C753" s="247"/>
      <c r="D753" s="248"/>
      <c r="E753" s="212"/>
      <c r="F753" s="249"/>
      <c r="G753" s="194">
        <f t="shared" si="2"/>
        <v>0</v>
      </c>
      <c r="H753" s="214"/>
      <c r="I753" s="214"/>
    </row>
    <row r="754" ht="30.0" customHeight="1">
      <c r="A754" s="247"/>
      <c r="B754" s="209"/>
      <c r="C754" s="247"/>
      <c r="D754" s="248"/>
      <c r="E754" s="212"/>
      <c r="F754" s="249"/>
      <c r="G754" s="194">
        <f t="shared" si="2"/>
        <v>0</v>
      </c>
      <c r="H754" s="214"/>
      <c r="I754" s="214"/>
    </row>
    <row r="755" ht="30.0" customHeight="1">
      <c r="A755" s="247"/>
      <c r="B755" s="209"/>
      <c r="C755" s="247"/>
      <c r="D755" s="248"/>
      <c r="E755" s="212"/>
      <c r="F755" s="249"/>
      <c r="G755" s="194">
        <f t="shared" si="2"/>
        <v>0</v>
      </c>
      <c r="H755" s="214"/>
      <c r="I755" s="214"/>
    </row>
    <row r="756" ht="30.0" customHeight="1">
      <c r="A756" s="247"/>
      <c r="B756" s="209"/>
      <c r="C756" s="247"/>
      <c r="D756" s="248"/>
      <c r="E756" s="212"/>
      <c r="F756" s="249"/>
      <c r="G756" s="194">
        <f t="shared" si="2"/>
        <v>0</v>
      </c>
      <c r="H756" s="214"/>
      <c r="I756" s="214"/>
    </row>
    <row r="757" ht="30.0" customHeight="1">
      <c r="A757" s="247"/>
      <c r="B757" s="209"/>
      <c r="C757" s="247"/>
      <c r="D757" s="248"/>
      <c r="E757" s="212"/>
      <c r="F757" s="249"/>
      <c r="G757" s="194">
        <f t="shared" si="2"/>
        <v>0</v>
      </c>
      <c r="H757" s="214"/>
      <c r="I757" s="214"/>
    </row>
    <row r="758" ht="30.0" customHeight="1">
      <c r="A758" s="247"/>
      <c r="B758" s="209"/>
      <c r="C758" s="247"/>
      <c r="D758" s="248"/>
      <c r="E758" s="212"/>
      <c r="F758" s="249"/>
      <c r="G758" s="194">
        <f t="shared" si="2"/>
        <v>0</v>
      </c>
      <c r="H758" s="214"/>
      <c r="I758" s="214"/>
    </row>
    <row r="759" ht="30.0" customHeight="1">
      <c r="A759" s="247"/>
      <c r="B759" s="209"/>
      <c r="C759" s="247"/>
      <c r="D759" s="248"/>
      <c r="E759" s="212"/>
      <c r="F759" s="249"/>
      <c r="G759" s="194">
        <f t="shared" si="2"/>
        <v>0</v>
      </c>
      <c r="H759" s="214"/>
      <c r="I759" s="214"/>
    </row>
    <row r="760" ht="30.0" customHeight="1">
      <c r="A760" s="247"/>
      <c r="B760" s="209"/>
      <c r="C760" s="247"/>
      <c r="D760" s="248"/>
      <c r="E760" s="212"/>
      <c r="F760" s="249"/>
      <c r="G760" s="194">
        <f t="shared" si="2"/>
        <v>0</v>
      </c>
      <c r="H760" s="214"/>
      <c r="I760" s="214"/>
    </row>
    <row r="761" ht="30.0" customHeight="1">
      <c r="A761" s="247"/>
      <c r="B761" s="209"/>
      <c r="C761" s="247"/>
      <c r="D761" s="248"/>
      <c r="E761" s="212"/>
      <c r="F761" s="249"/>
      <c r="G761" s="194">
        <f t="shared" si="2"/>
        <v>0</v>
      </c>
      <c r="H761" s="214"/>
      <c r="I761" s="214"/>
    </row>
    <row r="762" ht="30.0" customHeight="1">
      <c r="A762" s="247"/>
      <c r="B762" s="209"/>
      <c r="C762" s="247"/>
      <c r="D762" s="248"/>
      <c r="E762" s="212"/>
      <c r="F762" s="249"/>
      <c r="G762" s="194">
        <f t="shared" si="2"/>
        <v>0</v>
      </c>
      <c r="H762" s="214"/>
      <c r="I762" s="214"/>
    </row>
    <row r="763" ht="30.0" customHeight="1">
      <c r="A763" s="247"/>
      <c r="B763" s="209"/>
      <c r="C763" s="247"/>
      <c r="D763" s="248"/>
      <c r="E763" s="212"/>
      <c r="F763" s="249"/>
      <c r="G763" s="194">
        <f t="shared" si="2"/>
        <v>0</v>
      </c>
      <c r="H763" s="214"/>
      <c r="I763" s="214"/>
    </row>
    <row r="764" ht="30.0" customHeight="1">
      <c r="A764" s="247"/>
      <c r="B764" s="209"/>
      <c r="C764" s="247"/>
      <c r="D764" s="248"/>
      <c r="E764" s="212"/>
      <c r="F764" s="249"/>
      <c r="G764" s="194">
        <f t="shared" si="2"/>
        <v>0</v>
      </c>
      <c r="H764" s="214"/>
      <c r="I764" s="214"/>
    </row>
    <row r="765" ht="30.0" customHeight="1">
      <c r="A765" s="247"/>
      <c r="B765" s="209"/>
      <c r="C765" s="247"/>
      <c r="D765" s="248"/>
      <c r="E765" s="212"/>
      <c r="F765" s="249"/>
      <c r="G765" s="194">
        <f t="shared" si="2"/>
        <v>0</v>
      </c>
      <c r="H765" s="214"/>
      <c r="I765" s="214"/>
    </row>
    <row r="766" ht="30.0" customHeight="1">
      <c r="A766" s="247"/>
      <c r="B766" s="209"/>
      <c r="C766" s="247"/>
      <c r="D766" s="248"/>
      <c r="E766" s="212"/>
      <c r="F766" s="249"/>
      <c r="G766" s="194">
        <f t="shared" si="2"/>
        <v>0</v>
      </c>
      <c r="H766" s="214"/>
      <c r="I766" s="214"/>
    </row>
    <row r="767" ht="30.0" customHeight="1">
      <c r="A767" s="247"/>
      <c r="B767" s="209"/>
      <c r="C767" s="247"/>
      <c r="D767" s="248"/>
      <c r="E767" s="212"/>
      <c r="F767" s="249"/>
      <c r="G767" s="194">
        <f t="shared" si="2"/>
        <v>0</v>
      </c>
      <c r="H767" s="214"/>
      <c r="I767" s="214"/>
    </row>
    <row r="768" ht="30.0" customHeight="1">
      <c r="A768" s="247"/>
      <c r="B768" s="209"/>
      <c r="C768" s="247"/>
      <c r="D768" s="248"/>
      <c r="E768" s="212"/>
      <c r="F768" s="249"/>
      <c r="G768" s="194">
        <f t="shared" si="2"/>
        <v>0</v>
      </c>
      <c r="H768" s="214"/>
      <c r="I768" s="214"/>
    </row>
    <row r="769" ht="30.0" customHeight="1">
      <c r="A769" s="247"/>
      <c r="B769" s="209"/>
      <c r="C769" s="247"/>
      <c r="D769" s="248"/>
      <c r="E769" s="212"/>
      <c r="F769" s="249"/>
      <c r="G769" s="194">
        <f t="shared" si="2"/>
        <v>0</v>
      </c>
      <c r="H769" s="214"/>
      <c r="I769" s="214"/>
    </row>
    <row r="770" ht="30.0" customHeight="1">
      <c r="A770" s="247"/>
      <c r="B770" s="209"/>
      <c r="C770" s="247"/>
      <c r="D770" s="248"/>
      <c r="E770" s="212"/>
      <c r="F770" s="249"/>
      <c r="G770" s="194">
        <f t="shared" si="2"/>
        <v>0</v>
      </c>
      <c r="H770" s="214"/>
      <c r="I770" s="214"/>
    </row>
    <row r="771" ht="30.0" customHeight="1">
      <c r="A771" s="247"/>
      <c r="B771" s="209"/>
      <c r="C771" s="247"/>
      <c r="D771" s="248"/>
      <c r="E771" s="212"/>
      <c r="F771" s="249"/>
      <c r="G771" s="194">
        <f t="shared" si="2"/>
        <v>0</v>
      </c>
      <c r="H771" s="214"/>
      <c r="I771" s="214"/>
    </row>
    <row r="772" ht="30.0" customHeight="1">
      <c r="A772" s="247"/>
      <c r="B772" s="209"/>
      <c r="C772" s="247"/>
      <c r="D772" s="248"/>
      <c r="E772" s="212"/>
      <c r="F772" s="249"/>
      <c r="G772" s="194">
        <f t="shared" si="2"/>
        <v>0</v>
      </c>
      <c r="H772" s="214"/>
      <c r="I772" s="214"/>
    </row>
    <row r="773" ht="30.0" customHeight="1">
      <c r="A773" s="247"/>
      <c r="B773" s="209"/>
      <c r="C773" s="247"/>
      <c r="D773" s="248"/>
      <c r="E773" s="212"/>
      <c r="F773" s="249"/>
      <c r="G773" s="194">
        <f t="shared" si="2"/>
        <v>0</v>
      </c>
      <c r="H773" s="214"/>
      <c r="I773" s="214"/>
    </row>
    <row r="774" ht="30.0" customHeight="1">
      <c r="A774" s="247"/>
      <c r="B774" s="209"/>
      <c r="C774" s="247"/>
      <c r="D774" s="248"/>
      <c r="E774" s="212"/>
      <c r="F774" s="249"/>
      <c r="G774" s="194">
        <f t="shared" si="2"/>
        <v>0</v>
      </c>
      <c r="H774" s="214"/>
      <c r="I774" s="214"/>
    </row>
    <row r="775" ht="30.0" customHeight="1">
      <c r="A775" s="247"/>
      <c r="B775" s="209"/>
      <c r="C775" s="247"/>
      <c r="D775" s="248"/>
      <c r="E775" s="212"/>
      <c r="F775" s="249"/>
      <c r="G775" s="194">
        <f t="shared" si="2"/>
        <v>0</v>
      </c>
      <c r="H775" s="214"/>
      <c r="I775" s="214"/>
    </row>
    <row r="776" ht="30.0" customHeight="1">
      <c r="A776" s="247"/>
      <c r="B776" s="209"/>
      <c r="C776" s="247"/>
      <c r="D776" s="248"/>
      <c r="E776" s="212"/>
      <c r="F776" s="249"/>
      <c r="G776" s="194">
        <f t="shared" si="2"/>
        <v>0</v>
      </c>
      <c r="H776" s="214"/>
      <c r="I776" s="214"/>
    </row>
    <row r="777" ht="30.0" customHeight="1">
      <c r="A777" s="247"/>
      <c r="B777" s="209"/>
      <c r="C777" s="247"/>
      <c r="D777" s="248"/>
      <c r="E777" s="212"/>
      <c r="F777" s="249"/>
      <c r="G777" s="194">
        <f t="shared" si="2"/>
        <v>0</v>
      </c>
      <c r="H777" s="214"/>
      <c r="I777" s="214"/>
    </row>
    <row r="778" ht="30.0" customHeight="1">
      <c r="A778" s="247"/>
      <c r="B778" s="209"/>
      <c r="C778" s="247"/>
      <c r="D778" s="248"/>
      <c r="E778" s="212"/>
      <c r="F778" s="249"/>
      <c r="G778" s="194">
        <f t="shared" si="2"/>
        <v>0</v>
      </c>
      <c r="H778" s="214"/>
      <c r="I778" s="214"/>
    </row>
    <row r="779" ht="30.0" customHeight="1">
      <c r="A779" s="247"/>
      <c r="B779" s="209"/>
      <c r="C779" s="247"/>
      <c r="D779" s="248"/>
      <c r="E779" s="212"/>
      <c r="F779" s="249"/>
      <c r="G779" s="194">
        <f t="shared" si="2"/>
        <v>0</v>
      </c>
      <c r="H779" s="214"/>
      <c r="I779" s="214"/>
    </row>
    <row r="780" ht="30.0" customHeight="1">
      <c r="A780" s="247"/>
      <c r="B780" s="209"/>
      <c r="C780" s="247"/>
      <c r="D780" s="248"/>
      <c r="E780" s="212"/>
      <c r="F780" s="249"/>
      <c r="G780" s="194">
        <f t="shared" si="2"/>
        <v>0</v>
      </c>
      <c r="H780" s="214"/>
      <c r="I780" s="214"/>
    </row>
    <row r="781" ht="30.0" customHeight="1">
      <c r="A781" s="247"/>
      <c r="B781" s="209"/>
      <c r="C781" s="247"/>
      <c r="D781" s="248"/>
      <c r="E781" s="212"/>
      <c r="F781" s="249"/>
      <c r="G781" s="194">
        <f t="shared" si="2"/>
        <v>0</v>
      </c>
      <c r="H781" s="214"/>
      <c r="I781" s="214"/>
    </row>
    <row r="782" ht="30.0" customHeight="1">
      <c r="A782" s="247"/>
      <c r="B782" s="209"/>
      <c r="C782" s="247"/>
      <c r="D782" s="248"/>
      <c r="E782" s="212"/>
      <c r="F782" s="249"/>
      <c r="G782" s="194">
        <f t="shared" si="2"/>
        <v>0</v>
      </c>
      <c r="H782" s="214"/>
      <c r="I782" s="214"/>
    </row>
    <row r="783" ht="30.0" customHeight="1">
      <c r="A783" s="247"/>
      <c r="B783" s="209"/>
      <c r="C783" s="247"/>
      <c r="D783" s="248"/>
      <c r="E783" s="212"/>
      <c r="F783" s="249"/>
      <c r="G783" s="194">
        <f t="shared" si="2"/>
        <v>0</v>
      </c>
      <c r="H783" s="214"/>
      <c r="I783" s="214"/>
    </row>
    <row r="784" ht="30.0" customHeight="1">
      <c r="A784" s="247"/>
      <c r="B784" s="209"/>
      <c r="C784" s="247"/>
      <c r="D784" s="248"/>
      <c r="E784" s="212"/>
      <c r="F784" s="249"/>
      <c r="G784" s="194">
        <f t="shared" si="2"/>
        <v>0</v>
      </c>
      <c r="H784" s="214"/>
      <c r="I784" s="214"/>
    </row>
    <row r="785" ht="30.0" customHeight="1">
      <c r="A785" s="247"/>
      <c r="B785" s="209"/>
      <c r="C785" s="247"/>
      <c r="D785" s="248"/>
      <c r="E785" s="212"/>
      <c r="F785" s="249"/>
      <c r="G785" s="194">
        <f t="shared" si="2"/>
        <v>0</v>
      </c>
      <c r="H785" s="214"/>
      <c r="I785" s="214"/>
    </row>
    <row r="786" ht="30.0" customHeight="1">
      <c r="A786" s="247"/>
      <c r="B786" s="209"/>
      <c r="C786" s="247"/>
      <c r="D786" s="248"/>
      <c r="E786" s="212"/>
      <c r="F786" s="249"/>
      <c r="G786" s="194">
        <f t="shared" si="2"/>
        <v>0</v>
      </c>
      <c r="H786" s="214"/>
      <c r="I786" s="214"/>
    </row>
    <row r="787" ht="30.0" customHeight="1">
      <c r="A787" s="247"/>
      <c r="B787" s="209"/>
      <c r="C787" s="247"/>
      <c r="D787" s="248"/>
      <c r="E787" s="212"/>
      <c r="F787" s="249"/>
      <c r="G787" s="194">
        <f t="shared" si="2"/>
        <v>0</v>
      </c>
      <c r="H787" s="214"/>
      <c r="I787" s="214"/>
    </row>
    <row r="788" ht="30.0" customHeight="1">
      <c r="A788" s="247"/>
      <c r="B788" s="209"/>
      <c r="C788" s="247"/>
      <c r="D788" s="248"/>
      <c r="E788" s="212"/>
      <c r="F788" s="249"/>
      <c r="G788" s="194">
        <f t="shared" si="2"/>
        <v>0</v>
      </c>
      <c r="H788" s="214"/>
      <c r="I788" s="214"/>
    </row>
    <row r="789" ht="30.0" customHeight="1">
      <c r="A789" s="247"/>
      <c r="B789" s="209"/>
      <c r="C789" s="247"/>
      <c r="D789" s="248"/>
      <c r="E789" s="212"/>
      <c r="F789" s="249"/>
      <c r="G789" s="194">
        <f t="shared" si="2"/>
        <v>0</v>
      </c>
      <c r="H789" s="214"/>
      <c r="I789" s="214"/>
    </row>
    <row r="790" ht="30.0" customHeight="1">
      <c r="A790" s="247"/>
      <c r="B790" s="209"/>
      <c r="C790" s="247"/>
      <c r="D790" s="248"/>
      <c r="E790" s="212"/>
      <c r="F790" s="249"/>
      <c r="G790" s="194">
        <f t="shared" si="2"/>
        <v>0</v>
      </c>
      <c r="H790" s="214"/>
      <c r="I790" s="214"/>
    </row>
    <row r="791" ht="30.0" customHeight="1">
      <c r="A791" s="247"/>
      <c r="B791" s="209"/>
      <c r="C791" s="247"/>
      <c r="D791" s="248"/>
      <c r="E791" s="212"/>
      <c r="F791" s="249"/>
      <c r="G791" s="194">
        <f t="shared" si="2"/>
        <v>0</v>
      </c>
      <c r="H791" s="214"/>
      <c r="I791" s="214"/>
    </row>
    <row r="792" ht="30.0" customHeight="1">
      <c r="A792" s="247"/>
      <c r="B792" s="209"/>
      <c r="C792" s="247"/>
      <c r="D792" s="248"/>
      <c r="E792" s="212"/>
      <c r="F792" s="249"/>
      <c r="G792" s="194">
        <f t="shared" si="2"/>
        <v>0</v>
      </c>
      <c r="H792" s="214"/>
      <c r="I792" s="214"/>
    </row>
    <row r="793" ht="30.0" customHeight="1">
      <c r="A793" s="247"/>
      <c r="B793" s="209"/>
      <c r="C793" s="247"/>
      <c r="D793" s="248"/>
      <c r="E793" s="212"/>
      <c r="F793" s="249"/>
      <c r="G793" s="194">
        <f t="shared" si="2"/>
        <v>0</v>
      </c>
      <c r="H793" s="214"/>
      <c r="I793" s="214"/>
    </row>
    <row r="794" ht="30.0" customHeight="1">
      <c r="A794" s="247"/>
      <c r="B794" s="209"/>
      <c r="C794" s="247"/>
      <c r="D794" s="248"/>
      <c r="E794" s="212"/>
      <c r="F794" s="249"/>
      <c r="G794" s="194">
        <f t="shared" si="2"/>
        <v>0</v>
      </c>
      <c r="H794" s="214"/>
      <c r="I794" s="214"/>
    </row>
    <row r="795" ht="30.0" customHeight="1">
      <c r="A795" s="247"/>
      <c r="B795" s="209"/>
      <c r="C795" s="247"/>
      <c r="D795" s="248"/>
      <c r="E795" s="212"/>
      <c r="F795" s="249"/>
      <c r="G795" s="194">
        <f t="shared" si="2"/>
        <v>0</v>
      </c>
      <c r="H795" s="214"/>
      <c r="I795" s="214"/>
    </row>
    <row r="796" ht="30.0" customHeight="1">
      <c r="A796" s="247"/>
      <c r="B796" s="209"/>
      <c r="C796" s="247"/>
      <c r="D796" s="248"/>
      <c r="E796" s="212"/>
      <c r="F796" s="249"/>
      <c r="G796" s="194">
        <f t="shared" si="2"/>
        <v>0</v>
      </c>
      <c r="H796" s="214"/>
      <c r="I796" s="214"/>
    </row>
    <row r="797" ht="30.0" customHeight="1">
      <c r="A797" s="247"/>
      <c r="B797" s="209"/>
      <c r="C797" s="247"/>
      <c r="D797" s="248"/>
      <c r="E797" s="212"/>
      <c r="F797" s="249"/>
      <c r="G797" s="194">
        <f t="shared" si="2"/>
        <v>0</v>
      </c>
      <c r="H797" s="214"/>
      <c r="I797" s="214"/>
    </row>
    <row r="798" ht="30.0" customHeight="1">
      <c r="A798" s="247"/>
      <c r="B798" s="209"/>
      <c r="C798" s="247"/>
      <c r="D798" s="248"/>
      <c r="E798" s="212"/>
      <c r="F798" s="249"/>
      <c r="G798" s="194">
        <f t="shared" si="2"/>
        <v>0</v>
      </c>
      <c r="H798" s="214"/>
      <c r="I798" s="214"/>
    </row>
    <row r="799" ht="30.0" customHeight="1">
      <c r="A799" s="247"/>
      <c r="B799" s="209"/>
      <c r="C799" s="247"/>
      <c r="D799" s="248"/>
      <c r="E799" s="212"/>
      <c r="F799" s="249"/>
      <c r="G799" s="194">
        <f t="shared" si="2"/>
        <v>0</v>
      </c>
      <c r="H799" s="214"/>
      <c r="I799" s="214"/>
    </row>
    <row r="800" ht="30.0" customHeight="1">
      <c r="A800" s="247"/>
      <c r="B800" s="209"/>
      <c r="C800" s="247"/>
      <c r="D800" s="248"/>
      <c r="E800" s="212"/>
      <c r="F800" s="249"/>
      <c r="G800" s="194">
        <f t="shared" si="2"/>
        <v>0</v>
      </c>
      <c r="H800" s="214"/>
      <c r="I800" s="214"/>
    </row>
    <row r="801" ht="30.0" customHeight="1">
      <c r="A801" s="247"/>
      <c r="B801" s="209"/>
      <c r="C801" s="247"/>
      <c r="D801" s="248"/>
      <c r="E801" s="212"/>
      <c r="F801" s="249"/>
      <c r="G801" s="194">
        <f t="shared" si="2"/>
        <v>0</v>
      </c>
      <c r="H801" s="214"/>
      <c r="I801" s="214"/>
    </row>
    <row r="802" ht="30.0" customHeight="1">
      <c r="A802" s="247"/>
      <c r="B802" s="209"/>
      <c r="C802" s="247"/>
      <c r="D802" s="248"/>
      <c r="E802" s="212"/>
      <c r="F802" s="249"/>
      <c r="G802" s="194">
        <f t="shared" si="2"/>
        <v>0</v>
      </c>
      <c r="H802" s="214"/>
      <c r="I802" s="214"/>
    </row>
    <row r="803" ht="30.0" customHeight="1">
      <c r="A803" s="247"/>
      <c r="B803" s="209"/>
      <c r="C803" s="247"/>
      <c r="D803" s="248"/>
      <c r="E803" s="212"/>
      <c r="F803" s="249"/>
      <c r="G803" s="194">
        <f t="shared" si="2"/>
        <v>0</v>
      </c>
      <c r="H803" s="214"/>
      <c r="I803" s="214"/>
    </row>
    <row r="804" ht="30.0" customHeight="1">
      <c r="A804" s="247"/>
      <c r="B804" s="209"/>
      <c r="C804" s="247"/>
      <c r="D804" s="248"/>
      <c r="E804" s="212"/>
      <c r="F804" s="249"/>
      <c r="G804" s="194">
        <f t="shared" si="2"/>
        <v>0</v>
      </c>
      <c r="H804" s="214"/>
      <c r="I804" s="214"/>
    </row>
    <row r="805" ht="30.0" customHeight="1">
      <c r="A805" s="247"/>
      <c r="B805" s="209"/>
      <c r="C805" s="247"/>
      <c r="D805" s="248"/>
      <c r="E805" s="212"/>
      <c r="F805" s="249"/>
      <c r="G805" s="194">
        <f t="shared" si="2"/>
        <v>0</v>
      </c>
      <c r="H805" s="214"/>
      <c r="I805" s="214"/>
    </row>
    <row r="806" ht="30.0" customHeight="1">
      <c r="A806" s="247"/>
      <c r="B806" s="209"/>
      <c r="C806" s="247"/>
      <c r="D806" s="248"/>
      <c r="E806" s="212"/>
      <c r="F806" s="249"/>
      <c r="G806" s="194">
        <f t="shared" si="2"/>
        <v>0</v>
      </c>
      <c r="H806" s="214"/>
      <c r="I806" s="214"/>
    </row>
    <row r="807" ht="30.0" customHeight="1">
      <c r="A807" s="247"/>
      <c r="B807" s="209"/>
      <c r="C807" s="247"/>
      <c r="D807" s="248"/>
      <c r="E807" s="212"/>
      <c r="F807" s="249"/>
      <c r="G807" s="194">
        <f t="shared" si="2"/>
        <v>0</v>
      </c>
      <c r="H807" s="214"/>
      <c r="I807" s="214"/>
    </row>
    <row r="808" ht="30.0" customHeight="1">
      <c r="A808" s="247"/>
      <c r="B808" s="209"/>
      <c r="C808" s="247"/>
      <c r="D808" s="248"/>
      <c r="E808" s="212"/>
      <c r="F808" s="249"/>
      <c r="G808" s="194">
        <f t="shared" si="2"/>
        <v>0</v>
      </c>
      <c r="H808" s="214"/>
      <c r="I808" s="214"/>
    </row>
    <row r="809" ht="30.0" customHeight="1">
      <c r="A809" s="247"/>
      <c r="B809" s="209"/>
      <c r="C809" s="247"/>
      <c r="D809" s="248"/>
      <c r="E809" s="212"/>
      <c r="F809" s="249"/>
      <c r="G809" s="194">
        <f t="shared" si="2"/>
        <v>0</v>
      </c>
      <c r="H809" s="214"/>
      <c r="I809" s="214"/>
    </row>
    <row r="810" ht="30.0" customHeight="1">
      <c r="A810" s="247"/>
      <c r="B810" s="209"/>
      <c r="C810" s="247"/>
      <c r="D810" s="248"/>
      <c r="E810" s="212"/>
      <c r="F810" s="249"/>
      <c r="G810" s="194">
        <f t="shared" si="2"/>
        <v>0</v>
      </c>
      <c r="H810" s="214"/>
      <c r="I810" s="214"/>
    </row>
    <row r="811" ht="30.0" customHeight="1">
      <c r="A811" s="247"/>
      <c r="B811" s="209"/>
      <c r="C811" s="247"/>
      <c r="D811" s="248"/>
      <c r="E811" s="212"/>
      <c r="F811" s="249"/>
      <c r="G811" s="194">
        <f t="shared" si="2"/>
        <v>0</v>
      </c>
      <c r="H811" s="214"/>
      <c r="I811" s="214"/>
    </row>
    <row r="812" ht="30.0" customHeight="1">
      <c r="A812" s="247"/>
      <c r="B812" s="209"/>
      <c r="C812" s="247"/>
      <c r="D812" s="248"/>
      <c r="E812" s="212"/>
      <c r="F812" s="249"/>
      <c r="G812" s="194">
        <f t="shared" si="2"/>
        <v>0</v>
      </c>
      <c r="H812" s="214"/>
      <c r="I812" s="214"/>
    </row>
    <row r="813" ht="30.0" customHeight="1">
      <c r="A813" s="247"/>
      <c r="B813" s="209"/>
      <c r="C813" s="247"/>
      <c r="D813" s="248"/>
      <c r="E813" s="212"/>
      <c r="F813" s="249"/>
      <c r="G813" s="194">
        <f t="shared" si="2"/>
        <v>0</v>
      </c>
      <c r="H813" s="214"/>
      <c r="I813" s="214"/>
    </row>
    <row r="814" ht="30.0" customHeight="1">
      <c r="A814" s="247"/>
      <c r="B814" s="209"/>
      <c r="C814" s="247"/>
      <c r="D814" s="248"/>
      <c r="E814" s="212"/>
      <c r="F814" s="249"/>
      <c r="G814" s="194">
        <f t="shared" si="2"/>
        <v>0</v>
      </c>
      <c r="H814" s="214"/>
      <c r="I814" s="214"/>
    </row>
    <row r="815" ht="30.0" customHeight="1">
      <c r="A815" s="247"/>
      <c r="B815" s="209"/>
      <c r="C815" s="247"/>
      <c r="D815" s="248"/>
      <c r="E815" s="212"/>
      <c r="F815" s="249"/>
      <c r="G815" s="194">
        <f t="shared" si="2"/>
        <v>0</v>
      </c>
      <c r="H815" s="214"/>
      <c r="I815" s="214"/>
    </row>
    <row r="816" ht="30.0" customHeight="1">
      <c r="A816" s="247"/>
      <c r="B816" s="209"/>
      <c r="C816" s="247"/>
      <c r="D816" s="248"/>
      <c r="E816" s="212"/>
      <c r="F816" s="249"/>
      <c r="G816" s="194">
        <f t="shared" si="2"/>
        <v>0</v>
      </c>
      <c r="H816" s="214"/>
      <c r="I816" s="214"/>
    </row>
    <row r="817" ht="30.0" customHeight="1">
      <c r="A817" s="247"/>
      <c r="B817" s="209"/>
      <c r="C817" s="247"/>
      <c r="D817" s="248"/>
      <c r="E817" s="212"/>
      <c r="F817" s="249"/>
      <c r="G817" s="194">
        <f t="shared" si="2"/>
        <v>0</v>
      </c>
      <c r="H817" s="214"/>
      <c r="I817" s="214"/>
    </row>
    <row r="818" ht="30.0" customHeight="1">
      <c r="A818" s="247"/>
      <c r="B818" s="209"/>
      <c r="C818" s="247"/>
      <c r="D818" s="248"/>
      <c r="E818" s="212"/>
      <c r="F818" s="249"/>
      <c r="G818" s="194">
        <f t="shared" si="2"/>
        <v>0</v>
      </c>
      <c r="H818" s="214"/>
      <c r="I818" s="214"/>
    </row>
    <row r="819" ht="30.0" customHeight="1">
      <c r="A819" s="247"/>
      <c r="B819" s="209"/>
      <c r="C819" s="247"/>
      <c r="D819" s="248"/>
      <c r="E819" s="212"/>
      <c r="F819" s="249"/>
      <c r="G819" s="194">
        <f t="shared" si="2"/>
        <v>0</v>
      </c>
      <c r="H819" s="214"/>
      <c r="I819" s="214"/>
    </row>
    <row r="820" ht="30.0" customHeight="1">
      <c r="A820" s="247"/>
      <c r="B820" s="209"/>
      <c r="C820" s="247"/>
      <c r="D820" s="248"/>
      <c r="E820" s="212"/>
      <c r="F820" s="249"/>
      <c r="G820" s="194">
        <f t="shared" si="2"/>
        <v>0</v>
      </c>
      <c r="H820" s="214"/>
      <c r="I820" s="214"/>
    </row>
    <row r="821" ht="30.0" customHeight="1">
      <c r="A821" s="247"/>
      <c r="B821" s="209"/>
      <c r="C821" s="247"/>
      <c r="D821" s="248"/>
      <c r="E821" s="212"/>
      <c r="F821" s="249"/>
      <c r="G821" s="194">
        <f t="shared" si="2"/>
        <v>0</v>
      </c>
      <c r="H821" s="214"/>
      <c r="I821" s="214"/>
    </row>
    <row r="822" ht="30.0" customHeight="1">
      <c r="A822" s="247"/>
      <c r="B822" s="209"/>
      <c r="C822" s="247"/>
      <c r="D822" s="248"/>
      <c r="E822" s="212"/>
      <c r="F822" s="249"/>
      <c r="G822" s="194">
        <f t="shared" si="2"/>
        <v>0</v>
      </c>
      <c r="H822" s="214"/>
      <c r="I822" s="214"/>
    </row>
    <row r="823" ht="30.0" customHeight="1">
      <c r="A823" s="247"/>
      <c r="B823" s="209"/>
      <c r="C823" s="247"/>
      <c r="D823" s="248"/>
      <c r="E823" s="212"/>
      <c r="F823" s="249"/>
      <c r="G823" s="194">
        <f t="shared" si="2"/>
        <v>0</v>
      </c>
      <c r="H823" s="214"/>
      <c r="I823" s="214"/>
    </row>
    <row r="824" ht="30.0" customHeight="1">
      <c r="A824" s="247"/>
      <c r="B824" s="209"/>
      <c r="C824" s="247"/>
      <c r="D824" s="248"/>
      <c r="E824" s="212"/>
      <c r="F824" s="249"/>
      <c r="G824" s="194">
        <f t="shared" si="2"/>
        <v>0</v>
      </c>
      <c r="H824" s="214"/>
      <c r="I824" s="214"/>
    </row>
    <row r="825" ht="30.0" customHeight="1">
      <c r="A825" s="247"/>
      <c r="B825" s="209"/>
      <c r="C825" s="247"/>
      <c r="D825" s="248"/>
      <c r="E825" s="212"/>
      <c r="F825" s="249"/>
      <c r="G825" s="194">
        <f t="shared" si="2"/>
        <v>0</v>
      </c>
      <c r="H825" s="214"/>
      <c r="I825" s="214"/>
    </row>
    <row r="826" ht="30.0" customHeight="1">
      <c r="A826" s="247"/>
      <c r="B826" s="209"/>
      <c r="C826" s="247"/>
      <c r="D826" s="248"/>
      <c r="E826" s="212"/>
      <c r="F826" s="249"/>
      <c r="G826" s="194">
        <f t="shared" si="2"/>
        <v>0</v>
      </c>
      <c r="H826" s="214"/>
      <c r="I826" s="214"/>
    </row>
    <row r="827" ht="30.0" customHeight="1">
      <c r="A827" s="247"/>
      <c r="B827" s="209"/>
      <c r="C827" s="247"/>
      <c r="D827" s="248"/>
      <c r="E827" s="212"/>
      <c r="F827" s="249"/>
      <c r="G827" s="194">
        <f t="shared" si="2"/>
        <v>0</v>
      </c>
      <c r="H827" s="214"/>
      <c r="I827" s="214"/>
    </row>
    <row r="828" ht="30.0" customHeight="1">
      <c r="A828" s="247"/>
      <c r="B828" s="209"/>
      <c r="C828" s="247"/>
      <c r="D828" s="248"/>
      <c r="E828" s="212"/>
      <c r="F828" s="249"/>
      <c r="G828" s="194">
        <f t="shared" si="2"/>
        <v>0</v>
      </c>
      <c r="H828" s="214"/>
      <c r="I828" s="214"/>
    </row>
    <row r="829" ht="30.0" customHeight="1">
      <c r="A829" s="247"/>
      <c r="B829" s="209"/>
      <c r="C829" s="247"/>
      <c r="D829" s="248"/>
      <c r="E829" s="212"/>
      <c r="F829" s="249"/>
      <c r="G829" s="194">
        <f t="shared" si="2"/>
        <v>0</v>
      </c>
      <c r="H829" s="214"/>
      <c r="I829" s="214"/>
    </row>
    <row r="830" ht="30.0" customHeight="1">
      <c r="A830" s="247"/>
      <c r="B830" s="209"/>
      <c r="C830" s="247"/>
      <c r="D830" s="248"/>
      <c r="E830" s="212"/>
      <c r="F830" s="249"/>
      <c r="G830" s="194">
        <f t="shared" si="2"/>
        <v>0</v>
      </c>
      <c r="H830" s="214"/>
      <c r="I830" s="214"/>
    </row>
    <row r="831" ht="30.0" customHeight="1">
      <c r="A831" s="247"/>
      <c r="B831" s="209"/>
      <c r="C831" s="247"/>
      <c r="D831" s="248"/>
      <c r="E831" s="212"/>
      <c r="F831" s="249"/>
      <c r="G831" s="194">
        <f t="shared" si="2"/>
        <v>0</v>
      </c>
      <c r="H831" s="214"/>
      <c r="I831" s="214"/>
    </row>
    <row r="832" ht="30.0" customHeight="1">
      <c r="A832" s="247"/>
      <c r="B832" s="209"/>
      <c r="C832" s="247"/>
      <c r="D832" s="248"/>
      <c r="E832" s="212"/>
      <c r="F832" s="249"/>
      <c r="G832" s="194">
        <f t="shared" si="2"/>
        <v>0</v>
      </c>
      <c r="H832" s="214"/>
      <c r="I832" s="214"/>
    </row>
    <row r="833" ht="30.0" customHeight="1">
      <c r="A833" s="247"/>
      <c r="B833" s="209"/>
      <c r="C833" s="247"/>
      <c r="D833" s="248"/>
      <c r="E833" s="212"/>
      <c r="F833" s="249"/>
      <c r="G833" s="194">
        <f t="shared" si="2"/>
        <v>0</v>
      </c>
      <c r="H833" s="214"/>
      <c r="I833" s="214"/>
    </row>
    <row r="834" ht="30.0" customHeight="1">
      <c r="A834" s="247"/>
      <c r="B834" s="209"/>
      <c r="C834" s="247"/>
      <c r="D834" s="248"/>
      <c r="E834" s="212"/>
      <c r="F834" s="249"/>
      <c r="G834" s="194">
        <f t="shared" si="2"/>
        <v>0</v>
      </c>
      <c r="H834" s="214"/>
      <c r="I834" s="214"/>
    </row>
    <row r="835" ht="30.0" customHeight="1">
      <c r="A835" s="247"/>
      <c r="B835" s="209"/>
      <c r="C835" s="247"/>
      <c r="D835" s="248"/>
      <c r="E835" s="212"/>
      <c r="F835" s="249"/>
      <c r="G835" s="194">
        <f t="shared" si="2"/>
        <v>0</v>
      </c>
      <c r="H835" s="214"/>
      <c r="I835" s="214"/>
    </row>
    <row r="836" ht="30.0" customHeight="1">
      <c r="A836" s="247"/>
      <c r="B836" s="209"/>
      <c r="C836" s="247"/>
      <c r="D836" s="248"/>
      <c r="E836" s="212"/>
      <c r="F836" s="249"/>
      <c r="G836" s="194">
        <f t="shared" si="2"/>
        <v>0</v>
      </c>
      <c r="H836" s="214"/>
      <c r="I836" s="214"/>
    </row>
    <row r="837" ht="30.0" customHeight="1">
      <c r="A837" s="247"/>
      <c r="B837" s="209"/>
      <c r="C837" s="247"/>
      <c r="D837" s="248"/>
      <c r="E837" s="212"/>
      <c r="F837" s="249"/>
      <c r="G837" s="194">
        <f t="shared" si="2"/>
        <v>0</v>
      </c>
      <c r="H837" s="214"/>
      <c r="I837" s="214"/>
    </row>
    <row r="838" ht="30.0" customHeight="1">
      <c r="A838" s="247"/>
      <c r="B838" s="209"/>
      <c r="C838" s="247"/>
      <c r="D838" s="248"/>
      <c r="E838" s="212"/>
      <c r="F838" s="249"/>
      <c r="G838" s="194">
        <f t="shared" si="2"/>
        <v>0</v>
      </c>
      <c r="H838" s="214"/>
      <c r="I838" s="214"/>
    </row>
    <row r="839" ht="30.0" customHeight="1">
      <c r="A839" s="247"/>
      <c r="B839" s="209"/>
      <c r="C839" s="247"/>
      <c r="D839" s="248"/>
      <c r="E839" s="212"/>
      <c r="F839" s="249"/>
      <c r="G839" s="194">
        <f t="shared" si="2"/>
        <v>0</v>
      </c>
      <c r="H839" s="214"/>
      <c r="I839" s="214"/>
    </row>
    <row r="840" ht="30.0" customHeight="1">
      <c r="A840" s="247"/>
      <c r="B840" s="209"/>
      <c r="C840" s="247"/>
      <c r="D840" s="248"/>
      <c r="E840" s="212"/>
      <c r="F840" s="249"/>
      <c r="G840" s="194">
        <f t="shared" si="2"/>
        <v>0</v>
      </c>
      <c r="H840" s="214"/>
      <c r="I840" s="214"/>
    </row>
    <row r="841" ht="30.0" customHeight="1">
      <c r="A841" s="247"/>
      <c r="B841" s="209"/>
      <c r="C841" s="247"/>
      <c r="D841" s="248"/>
      <c r="E841" s="212"/>
      <c r="F841" s="249"/>
      <c r="G841" s="194">
        <f t="shared" si="2"/>
        <v>0</v>
      </c>
      <c r="H841" s="214"/>
      <c r="I841" s="214"/>
    </row>
    <row r="842" ht="30.0" customHeight="1">
      <c r="A842" s="247"/>
      <c r="B842" s="209"/>
      <c r="C842" s="247"/>
      <c r="D842" s="248"/>
      <c r="E842" s="212"/>
      <c r="F842" s="249"/>
      <c r="G842" s="194">
        <f t="shared" si="2"/>
        <v>0</v>
      </c>
      <c r="H842" s="214"/>
      <c r="I842" s="214"/>
    </row>
    <row r="843" ht="30.0" customHeight="1">
      <c r="A843" s="247"/>
      <c r="B843" s="209"/>
      <c r="C843" s="247"/>
      <c r="D843" s="248"/>
      <c r="E843" s="212"/>
      <c r="F843" s="249"/>
      <c r="G843" s="194">
        <f t="shared" si="2"/>
        <v>0</v>
      </c>
      <c r="H843" s="214"/>
      <c r="I843" s="214"/>
    </row>
    <row r="844" ht="30.0" customHeight="1">
      <c r="A844" s="247"/>
      <c r="B844" s="209"/>
      <c r="C844" s="247"/>
      <c r="D844" s="248"/>
      <c r="E844" s="212"/>
      <c r="F844" s="249"/>
      <c r="G844" s="194">
        <f t="shared" si="2"/>
        <v>0</v>
      </c>
      <c r="H844" s="214"/>
      <c r="I844" s="214"/>
    </row>
    <row r="845" ht="30.0" customHeight="1">
      <c r="A845" s="247"/>
      <c r="B845" s="209"/>
      <c r="C845" s="247"/>
      <c r="D845" s="248"/>
      <c r="E845" s="212"/>
      <c r="F845" s="249"/>
      <c r="G845" s="194">
        <f t="shared" si="2"/>
        <v>0</v>
      </c>
      <c r="H845" s="214"/>
      <c r="I845" s="214"/>
    </row>
    <row r="846" ht="30.0" customHeight="1">
      <c r="A846" s="247"/>
      <c r="B846" s="209"/>
      <c r="C846" s="247"/>
      <c r="D846" s="248"/>
      <c r="E846" s="212"/>
      <c r="F846" s="249"/>
      <c r="G846" s="194">
        <f t="shared" si="2"/>
        <v>0</v>
      </c>
      <c r="H846" s="214"/>
      <c r="I846" s="214"/>
    </row>
    <row r="847" ht="30.0" customHeight="1">
      <c r="A847" s="247"/>
      <c r="B847" s="209"/>
      <c r="C847" s="247"/>
      <c r="D847" s="248"/>
      <c r="E847" s="212"/>
      <c r="F847" s="249"/>
      <c r="G847" s="194">
        <f t="shared" si="2"/>
        <v>0</v>
      </c>
      <c r="H847" s="214"/>
      <c r="I847" s="214"/>
    </row>
    <row r="848" ht="30.0" customHeight="1">
      <c r="A848" s="247"/>
      <c r="B848" s="209"/>
      <c r="C848" s="247"/>
      <c r="D848" s="248"/>
      <c r="E848" s="212"/>
      <c r="F848" s="249"/>
      <c r="G848" s="194">
        <f t="shared" si="2"/>
        <v>0</v>
      </c>
      <c r="H848" s="214"/>
      <c r="I848" s="214"/>
    </row>
    <row r="849" ht="30.0" customHeight="1">
      <c r="A849" s="247"/>
      <c r="B849" s="209"/>
      <c r="C849" s="247"/>
      <c r="D849" s="248"/>
      <c r="E849" s="212"/>
      <c r="F849" s="249"/>
      <c r="G849" s="194">
        <f t="shared" si="2"/>
        <v>0</v>
      </c>
      <c r="H849" s="214"/>
      <c r="I849" s="214"/>
    </row>
    <row r="850" ht="30.0" customHeight="1">
      <c r="A850" s="247"/>
      <c r="B850" s="209"/>
      <c r="C850" s="247"/>
      <c r="D850" s="248"/>
      <c r="E850" s="212"/>
      <c r="F850" s="249"/>
      <c r="G850" s="194">
        <f t="shared" si="2"/>
        <v>0</v>
      </c>
      <c r="H850" s="214"/>
      <c r="I850" s="214"/>
    </row>
    <row r="851" ht="30.0" customHeight="1">
      <c r="A851" s="247"/>
      <c r="B851" s="209"/>
      <c r="C851" s="247"/>
      <c r="D851" s="248"/>
      <c r="E851" s="212"/>
      <c r="F851" s="249"/>
      <c r="G851" s="194">
        <f t="shared" si="2"/>
        <v>0</v>
      </c>
      <c r="H851" s="214"/>
      <c r="I851" s="214"/>
    </row>
    <row r="852" ht="30.0" customHeight="1">
      <c r="A852" s="247"/>
      <c r="B852" s="209"/>
      <c r="C852" s="247"/>
      <c r="D852" s="248"/>
      <c r="E852" s="212"/>
      <c r="F852" s="249"/>
      <c r="G852" s="194">
        <f t="shared" si="2"/>
        <v>0</v>
      </c>
      <c r="H852" s="214"/>
      <c r="I852" s="214"/>
    </row>
    <row r="853" ht="30.0" customHeight="1">
      <c r="A853" s="247"/>
      <c r="B853" s="209"/>
      <c r="C853" s="247"/>
      <c r="D853" s="248"/>
      <c r="E853" s="212"/>
      <c r="F853" s="249"/>
      <c r="G853" s="194">
        <f t="shared" si="2"/>
        <v>0</v>
      </c>
      <c r="H853" s="214"/>
      <c r="I853" s="214"/>
    </row>
    <row r="854" ht="30.0" customHeight="1">
      <c r="A854" s="247"/>
      <c r="B854" s="209"/>
      <c r="C854" s="247"/>
      <c r="D854" s="248"/>
      <c r="E854" s="212"/>
      <c r="F854" s="249"/>
      <c r="G854" s="194">
        <f t="shared" si="2"/>
        <v>0</v>
      </c>
      <c r="H854" s="214"/>
      <c r="I854" s="214"/>
    </row>
    <row r="855" ht="30.0" customHeight="1">
      <c r="A855" s="247"/>
      <c r="B855" s="209"/>
      <c r="C855" s="247"/>
      <c r="D855" s="248"/>
      <c r="E855" s="212"/>
      <c r="F855" s="249"/>
      <c r="G855" s="194">
        <f t="shared" si="2"/>
        <v>0</v>
      </c>
      <c r="H855" s="214"/>
      <c r="I855" s="214"/>
    </row>
    <row r="856" ht="30.0" customHeight="1">
      <c r="A856" s="247"/>
      <c r="B856" s="209"/>
      <c r="C856" s="247"/>
      <c r="D856" s="248"/>
      <c r="E856" s="212"/>
      <c r="F856" s="249"/>
      <c r="G856" s="194">
        <f t="shared" si="2"/>
        <v>0</v>
      </c>
      <c r="H856" s="214"/>
      <c r="I856" s="214"/>
    </row>
    <row r="857" ht="30.0" customHeight="1">
      <c r="A857" s="247"/>
      <c r="B857" s="209"/>
      <c r="C857" s="247"/>
      <c r="D857" s="248"/>
      <c r="E857" s="212"/>
      <c r="F857" s="249"/>
      <c r="G857" s="194">
        <f t="shared" si="2"/>
        <v>0</v>
      </c>
      <c r="H857" s="214"/>
      <c r="I857" s="214"/>
    </row>
    <row r="858" ht="30.0" customHeight="1">
      <c r="A858" s="247"/>
      <c r="B858" s="209"/>
      <c r="C858" s="247"/>
      <c r="D858" s="248"/>
      <c r="E858" s="212"/>
      <c r="F858" s="249"/>
      <c r="G858" s="194">
        <f t="shared" si="2"/>
        <v>0</v>
      </c>
      <c r="H858" s="214"/>
      <c r="I858" s="214"/>
    </row>
    <row r="859" ht="30.0" customHeight="1">
      <c r="A859" s="247"/>
      <c r="B859" s="209"/>
      <c r="C859" s="247"/>
      <c r="D859" s="248"/>
      <c r="E859" s="212"/>
      <c r="F859" s="249"/>
      <c r="G859" s="194">
        <f t="shared" si="2"/>
        <v>0</v>
      </c>
      <c r="H859" s="214"/>
      <c r="I859" s="214"/>
    </row>
    <row r="860" ht="30.0" customHeight="1">
      <c r="A860" s="247"/>
      <c r="B860" s="209"/>
      <c r="C860" s="247"/>
      <c r="D860" s="248"/>
      <c r="E860" s="212"/>
      <c r="F860" s="249"/>
      <c r="G860" s="194">
        <f t="shared" si="2"/>
        <v>0</v>
      </c>
      <c r="H860" s="214"/>
      <c r="I860" s="214"/>
    </row>
    <row r="861" ht="30.0" customHeight="1">
      <c r="A861" s="247"/>
      <c r="B861" s="209"/>
      <c r="C861" s="247"/>
      <c r="D861" s="248"/>
      <c r="E861" s="212"/>
      <c r="F861" s="249"/>
      <c r="G861" s="194">
        <f t="shared" si="2"/>
        <v>0</v>
      </c>
      <c r="H861" s="214"/>
      <c r="I861" s="214"/>
    </row>
    <row r="862" ht="30.0" customHeight="1">
      <c r="A862" s="247"/>
      <c r="B862" s="209"/>
      <c r="C862" s="247"/>
      <c r="D862" s="248"/>
      <c r="E862" s="212"/>
      <c r="F862" s="249"/>
      <c r="G862" s="194">
        <f t="shared" si="2"/>
        <v>0</v>
      </c>
      <c r="H862" s="214"/>
      <c r="I862" s="214"/>
    </row>
    <row r="863" ht="30.0" customHeight="1">
      <c r="A863" s="247"/>
      <c r="B863" s="209"/>
      <c r="C863" s="247"/>
      <c r="D863" s="248"/>
      <c r="E863" s="212"/>
      <c r="F863" s="249"/>
      <c r="G863" s="194">
        <f t="shared" si="2"/>
        <v>0</v>
      </c>
      <c r="H863" s="214"/>
      <c r="I863" s="214"/>
    </row>
    <row r="864" ht="30.0" customHeight="1">
      <c r="A864" s="247"/>
      <c r="B864" s="209"/>
      <c r="C864" s="247"/>
      <c r="D864" s="248"/>
      <c r="E864" s="212"/>
      <c r="F864" s="249"/>
      <c r="G864" s="194">
        <f t="shared" si="2"/>
        <v>0</v>
      </c>
      <c r="H864" s="214"/>
      <c r="I864" s="214"/>
    </row>
    <row r="865" ht="30.0" customHeight="1">
      <c r="A865" s="247"/>
      <c r="B865" s="209"/>
      <c r="C865" s="247"/>
      <c r="D865" s="248"/>
      <c r="E865" s="212"/>
      <c r="F865" s="249"/>
      <c r="G865" s="194">
        <f t="shared" si="2"/>
        <v>0</v>
      </c>
      <c r="H865" s="214"/>
      <c r="I865" s="214"/>
    </row>
    <row r="866" ht="30.0" customHeight="1">
      <c r="A866" s="247"/>
      <c r="B866" s="209"/>
      <c r="C866" s="247"/>
      <c r="D866" s="248"/>
      <c r="E866" s="212"/>
      <c r="F866" s="249"/>
      <c r="G866" s="194">
        <f t="shared" si="2"/>
        <v>0</v>
      </c>
      <c r="H866" s="214"/>
      <c r="I866" s="214"/>
    </row>
    <row r="867" ht="30.0" customHeight="1">
      <c r="A867" s="247"/>
      <c r="B867" s="209"/>
      <c r="C867" s="247"/>
      <c r="D867" s="248"/>
      <c r="E867" s="212"/>
      <c r="F867" s="249"/>
      <c r="G867" s="194">
        <f t="shared" si="2"/>
        <v>0</v>
      </c>
      <c r="H867" s="214"/>
      <c r="I867" s="214"/>
    </row>
    <row r="868" ht="30.0" customHeight="1">
      <c r="A868" s="247"/>
      <c r="B868" s="209"/>
      <c r="C868" s="247"/>
      <c r="D868" s="248"/>
      <c r="E868" s="212"/>
      <c r="F868" s="249"/>
      <c r="G868" s="194">
        <f t="shared" si="2"/>
        <v>0</v>
      </c>
      <c r="H868" s="214"/>
      <c r="I868" s="214"/>
    </row>
    <row r="869" ht="30.0" customHeight="1">
      <c r="A869" s="247"/>
      <c r="B869" s="209"/>
      <c r="C869" s="247"/>
      <c r="D869" s="248"/>
      <c r="E869" s="212"/>
      <c r="F869" s="249"/>
      <c r="G869" s="194">
        <f t="shared" si="2"/>
        <v>0</v>
      </c>
      <c r="H869" s="214"/>
      <c r="I869" s="214"/>
    </row>
    <row r="870" ht="30.0" customHeight="1">
      <c r="A870" s="247"/>
      <c r="B870" s="209"/>
      <c r="C870" s="247"/>
      <c r="D870" s="248"/>
      <c r="E870" s="212"/>
      <c r="F870" s="249"/>
      <c r="G870" s="194">
        <f t="shared" si="2"/>
        <v>0</v>
      </c>
      <c r="H870" s="214"/>
      <c r="I870" s="214"/>
    </row>
    <row r="871" ht="30.0" customHeight="1">
      <c r="A871" s="247"/>
      <c r="B871" s="209"/>
      <c r="C871" s="247"/>
      <c r="D871" s="248"/>
      <c r="E871" s="212"/>
      <c r="F871" s="249"/>
      <c r="G871" s="194">
        <f t="shared" si="2"/>
        <v>0</v>
      </c>
      <c r="H871" s="214"/>
      <c r="I871" s="214"/>
    </row>
    <row r="872" ht="30.0" customHeight="1">
      <c r="A872" s="247"/>
      <c r="B872" s="209"/>
      <c r="C872" s="247"/>
      <c r="D872" s="248"/>
      <c r="E872" s="212"/>
      <c r="F872" s="249"/>
      <c r="G872" s="194">
        <f t="shared" si="2"/>
        <v>0</v>
      </c>
      <c r="H872" s="214"/>
      <c r="I872" s="214"/>
    </row>
    <row r="873" ht="30.0" customHeight="1">
      <c r="A873" s="247"/>
      <c r="B873" s="209"/>
      <c r="C873" s="247"/>
      <c r="D873" s="248"/>
      <c r="E873" s="212"/>
      <c r="F873" s="249"/>
      <c r="G873" s="194">
        <f t="shared" si="2"/>
        <v>0</v>
      </c>
      <c r="H873" s="214"/>
      <c r="I873" s="214"/>
    </row>
    <row r="874" ht="30.0" customHeight="1">
      <c r="A874" s="247"/>
      <c r="B874" s="209"/>
      <c r="C874" s="247"/>
      <c r="D874" s="248"/>
      <c r="E874" s="212"/>
      <c r="F874" s="249"/>
      <c r="G874" s="194">
        <f t="shared" si="2"/>
        <v>0</v>
      </c>
      <c r="H874" s="214"/>
      <c r="I874" s="214"/>
    </row>
    <row r="875" ht="30.0" customHeight="1">
      <c r="A875" s="247"/>
      <c r="B875" s="209"/>
      <c r="C875" s="247"/>
      <c r="D875" s="248"/>
      <c r="E875" s="212"/>
      <c r="F875" s="249"/>
      <c r="G875" s="194">
        <f t="shared" si="2"/>
        <v>0</v>
      </c>
      <c r="H875" s="214"/>
      <c r="I875" s="214"/>
    </row>
    <row r="876" ht="30.0" customHeight="1">
      <c r="A876" s="247"/>
      <c r="B876" s="209"/>
      <c r="C876" s="247"/>
      <c r="D876" s="248"/>
      <c r="E876" s="212"/>
      <c r="F876" s="249"/>
      <c r="G876" s="194">
        <f t="shared" si="2"/>
        <v>0</v>
      </c>
      <c r="H876" s="214"/>
      <c r="I876" s="214"/>
    </row>
    <row r="877" ht="30.0" customHeight="1">
      <c r="A877" s="247"/>
      <c r="B877" s="209"/>
      <c r="C877" s="247"/>
      <c r="D877" s="248"/>
      <c r="E877" s="212"/>
      <c r="F877" s="249"/>
      <c r="G877" s="194">
        <f t="shared" si="2"/>
        <v>0</v>
      </c>
      <c r="H877" s="214"/>
      <c r="I877" s="214"/>
    </row>
    <row r="878" ht="30.0" customHeight="1">
      <c r="A878" s="247"/>
      <c r="B878" s="209"/>
      <c r="C878" s="247"/>
      <c r="D878" s="248"/>
      <c r="E878" s="212"/>
      <c r="F878" s="249"/>
      <c r="G878" s="194">
        <f t="shared" si="2"/>
        <v>0</v>
      </c>
      <c r="H878" s="214"/>
      <c r="I878" s="214"/>
    </row>
    <row r="879" ht="30.0" customHeight="1">
      <c r="A879" s="247"/>
      <c r="B879" s="209"/>
      <c r="C879" s="247"/>
      <c r="D879" s="248"/>
      <c r="E879" s="212"/>
      <c r="F879" s="249"/>
      <c r="G879" s="194">
        <f t="shared" si="2"/>
        <v>0</v>
      </c>
      <c r="H879" s="214"/>
      <c r="I879" s="214"/>
    </row>
    <row r="880" ht="30.0" customHeight="1">
      <c r="A880" s="247"/>
      <c r="B880" s="209"/>
      <c r="C880" s="247"/>
      <c r="D880" s="248"/>
      <c r="E880" s="212"/>
      <c r="F880" s="249"/>
      <c r="G880" s="194">
        <f t="shared" si="2"/>
        <v>0</v>
      </c>
      <c r="H880" s="214"/>
      <c r="I880" s="214"/>
    </row>
    <row r="881" ht="30.0" customHeight="1">
      <c r="A881" s="247"/>
      <c r="B881" s="209"/>
      <c r="C881" s="247"/>
      <c r="D881" s="248"/>
      <c r="E881" s="212"/>
      <c r="F881" s="249"/>
      <c r="G881" s="194">
        <f t="shared" si="2"/>
        <v>0</v>
      </c>
      <c r="H881" s="214"/>
      <c r="I881" s="214"/>
    </row>
    <row r="882" ht="30.0" customHeight="1">
      <c r="A882" s="247"/>
      <c r="B882" s="209"/>
      <c r="C882" s="247"/>
      <c r="D882" s="248"/>
      <c r="E882" s="212"/>
      <c r="F882" s="249"/>
      <c r="G882" s="194">
        <f t="shared" si="2"/>
        <v>0</v>
      </c>
      <c r="H882" s="214"/>
      <c r="I882" s="214"/>
    </row>
    <row r="883" ht="30.0" customHeight="1">
      <c r="A883" s="247"/>
      <c r="B883" s="209"/>
      <c r="C883" s="247"/>
      <c r="D883" s="248"/>
      <c r="E883" s="212"/>
      <c r="F883" s="249"/>
      <c r="G883" s="194">
        <f t="shared" si="2"/>
        <v>0</v>
      </c>
      <c r="H883" s="214"/>
      <c r="I883" s="214"/>
    </row>
    <row r="884" ht="30.0" customHeight="1">
      <c r="A884" s="247"/>
      <c r="B884" s="209"/>
      <c r="C884" s="247"/>
      <c r="D884" s="248"/>
      <c r="E884" s="212"/>
      <c r="F884" s="249"/>
      <c r="G884" s="194">
        <f t="shared" si="2"/>
        <v>0</v>
      </c>
      <c r="H884" s="214"/>
      <c r="I884" s="214"/>
    </row>
    <row r="885" ht="30.0" customHeight="1">
      <c r="A885" s="247"/>
      <c r="B885" s="209"/>
      <c r="C885" s="247"/>
      <c r="D885" s="248"/>
      <c r="E885" s="212"/>
      <c r="F885" s="249"/>
      <c r="G885" s="194">
        <f t="shared" si="2"/>
        <v>0</v>
      </c>
      <c r="H885" s="214"/>
      <c r="I885" s="214"/>
    </row>
    <row r="886" ht="30.0" customHeight="1">
      <c r="A886" s="247"/>
      <c r="B886" s="209"/>
      <c r="C886" s="247"/>
      <c r="D886" s="248"/>
      <c r="E886" s="212"/>
      <c r="F886" s="249"/>
      <c r="G886" s="194">
        <f t="shared" si="2"/>
        <v>0</v>
      </c>
      <c r="H886" s="214"/>
      <c r="I886" s="214"/>
    </row>
    <row r="887" ht="30.0" customHeight="1">
      <c r="A887" s="247"/>
      <c r="B887" s="209"/>
      <c r="C887" s="247"/>
      <c r="D887" s="248"/>
      <c r="E887" s="212"/>
      <c r="F887" s="249"/>
      <c r="G887" s="194">
        <f t="shared" si="2"/>
        <v>0</v>
      </c>
      <c r="H887" s="214"/>
      <c r="I887" s="214"/>
    </row>
    <row r="888" ht="30.0" customHeight="1">
      <c r="A888" s="247"/>
      <c r="B888" s="209"/>
      <c r="C888" s="247"/>
      <c r="D888" s="248"/>
      <c r="E888" s="212"/>
      <c r="F888" s="249"/>
      <c r="G888" s="194">
        <f t="shared" si="2"/>
        <v>0</v>
      </c>
      <c r="H888" s="214"/>
      <c r="I888" s="214"/>
    </row>
    <row r="889" ht="30.0" customHeight="1">
      <c r="A889" s="247"/>
      <c r="B889" s="209"/>
      <c r="C889" s="247"/>
      <c r="D889" s="248"/>
      <c r="E889" s="212"/>
      <c r="F889" s="249"/>
      <c r="G889" s="194">
        <f t="shared" si="2"/>
        <v>0</v>
      </c>
      <c r="H889" s="214"/>
      <c r="I889" s="214"/>
    </row>
    <row r="890" ht="30.0" customHeight="1">
      <c r="A890" s="247"/>
      <c r="B890" s="209"/>
      <c r="C890" s="247"/>
      <c r="D890" s="248"/>
      <c r="E890" s="212"/>
      <c r="F890" s="249"/>
      <c r="G890" s="194">
        <f t="shared" si="2"/>
        <v>0</v>
      </c>
      <c r="H890" s="214"/>
      <c r="I890" s="214"/>
    </row>
    <row r="891" ht="30.0" customHeight="1">
      <c r="A891" s="247"/>
      <c r="B891" s="209"/>
      <c r="C891" s="247"/>
      <c r="D891" s="248"/>
      <c r="E891" s="212"/>
      <c r="F891" s="249"/>
      <c r="G891" s="194">
        <f t="shared" si="2"/>
        <v>0</v>
      </c>
      <c r="H891" s="214"/>
      <c r="I891" s="214"/>
    </row>
    <row r="892" ht="30.0" customHeight="1">
      <c r="A892" s="247"/>
      <c r="B892" s="209"/>
      <c r="C892" s="247"/>
      <c r="D892" s="248"/>
      <c r="E892" s="212"/>
      <c r="F892" s="249"/>
      <c r="G892" s="194">
        <f t="shared" si="2"/>
        <v>0</v>
      </c>
      <c r="H892" s="214"/>
      <c r="I892" s="214"/>
    </row>
    <row r="893" ht="30.0" customHeight="1">
      <c r="A893" s="247"/>
      <c r="B893" s="209"/>
      <c r="C893" s="247"/>
      <c r="D893" s="248"/>
      <c r="E893" s="212"/>
      <c r="F893" s="249"/>
      <c r="G893" s="194">
        <f t="shared" si="2"/>
        <v>0</v>
      </c>
      <c r="H893" s="214"/>
      <c r="I893" s="214"/>
    </row>
    <row r="894" ht="30.0" customHeight="1">
      <c r="A894" s="247"/>
      <c r="B894" s="209"/>
      <c r="C894" s="247"/>
      <c r="D894" s="248"/>
      <c r="E894" s="212"/>
      <c r="F894" s="249"/>
      <c r="G894" s="194">
        <f t="shared" si="2"/>
        <v>0</v>
      </c>
      <c r="H894" s="214"/>
      <c r="I894" s="214"/>
    </row>
    <row r="895" ht="30.0" customHeight="1">
      <c r="A895" s="247"/>
      <c r="B895" s="209"/>
      <c r="C895" s="247"/>
      <c r="D895" s="248"/>
      <c r="E895" s="212"/>
      <c r="F895" s="249"/>
      <c r="G895" s="194">
        <f t="shared" si="2"/>
        <v>0</v>
      </c>
      <c r="H895" s="214"/>
      <c r="I895" s="214"/>
    </row>
    <row r="896" ht="30.0" customHeight="1">
      <c r="A896" s="247"/>
      <c r="B896" s="209"/>
      <c r="C896" s="247"/>
      <c r="D896" s="248"/>
      <c r="E896" s="212"/>
      <c r="F896" s="249"/>
      <c r="G896" s="194">
        <f t="shared" si="2"/>
        <v>0</v>
      </c>
      <c r="H896" s="214"/>
      <c r="I896" s="214"/>
    </row>
    <row r="897" ht="30.0" customHeight="1">
      <c r="A897" s="247"/>
      <c r="B897" s="209"/>
      <c r="C897" s="247"/>
      <c r="D897" s="248"/>
      <c r="E897" s="212"/>
      <c r="F897" s="249"/>
      <c r="G897" s="194">
        <f t="shared" si="2"/>
        <v>0</v>
      </c>
      <c r="H897" s="214"/>
      <c r="I897" s="214"/>
    </row>
    <row r="898" ht="30.0" customHeight="1">
      <c r="A898" s="247"/>
      <c r="B898" s="209"/>
      <c r="C898" s="247"/>
      <c r="D898" s="248"/>
      <c r="E898" s="212"/>
      <c r="F898" s="249"/>
      <c r="G898" s="194">
        <f t="shared" si="2"/>
        <v>0</v>
      </c>
      <c r="H898" s="214"/>
      <c r="I898" s="214"/>
    </row>
    <row r="899" ht="30.0" customHeight="1">
      <c r="A899" s="247"/>
      <c r="B899" s="209"/>
      <c r="C899" s="247"/>
      <c r="D899" s="248"/>
      <c r="E899" s="212"/>
      <c r="F899" s="249"/>
      <c r="G899" s="194">
        <f t="shared" si="2"/>
        <v>0</v>
      </c>
      <c r="H899" s="214"/>
      <c r="I899" s="214"/>
    </row>
    <row r="900" ht="30.0" customHeight="1">
      <c r="A900" s="247"/>
      <c r="B900" s="209"/>
      <c r="C900" s="247"/>
      <c r="D900" s="248"/>
      <c r="E900" s="212"/>
      <c r="F900" s="249"/>
      <c r="G900" s="194">
        <f t="shared" si="2"/>
        <v>0</v>
      </c>
      <c r="H900" s="214"/>
      <c r="I900" s="214"/>
    </row>
    <row r="901" ht="30.0" customHeight="1">
      <c r="A901" s="247"/>
      <c r="B901" s="209"/>
      <c r="C901" s="247"/>
      <c r="D901" s="248"/>
      <c r="E901" s="212"/>
      <c r="F901" s="249"/>
      <c r="G901" s="194">
        <f t="shared" si="2"/>
        <v>0</v>
      </c>
      <c r="H901" s="214"/>
      <c r="I901" s="214"/>
    </row>
    <row r="902" ht="30.0" customHeight="1">
      <c r="A902" s="247"/>
      <c r="B902" s="209"/>
      <c r="C902" s="247"/>
      <c r="D902" s="248"/>
      <c r="E902" s="212"/>
      <c r="F902" s="249"/>
      <c r="G902" s="194">
        <f t="shared" si="2"/>
        <v>0</v>
      </c>
      <c r="H902" s="214"/>
      <c r="I902" s="214"/>
    </row>
    <row r="903" ht="30.0" customHeight="1">
      <c r="A903" s="247"/>
      <c r="B903" s="209"/>
      <c r="C903" s="247"/>
      <c r="D903" s="248"/>
      <c r="E903" s="212"/>
      <c r="F903" s="249"/>
      <c r="G903" s="194">
        <f t="shared" si="2"/>
        <v>0</v>
      </c>
      <c r="H903" s="214"/>
      <c r="I903" s="214"/>
    </row>
    <row r="904" ht="30.0" customHeight="1">
      <c r="A904" s="247"/>
      <c r="B904" s="209"/>
      <c r="C904" s="247"/>
      <c r="D904" s="248"/>
      <c r="E904" s="212"/>
      <c r="F904" s="249"/>
      <c r="G904" s="194">
        <f t="shared" si="2"/>
        <v>0</v>
      </c>
      <c r="H904" s="214"/>
      <c r="I904" s="214"/>
    </row>
    <row r="905" ht="30.0" customHeight="1">
      <c r="A905" s="247"/>
      <c r="B905" s="209"/>
      <c r="C905" s="247"/>
      <c r="D905" s="248"/>
      <c r="E905" s="212"/>
      <c r="F905" s="249"/>
      <c r="G905" s="194">
        <f t="shared" si="2"/>
        <v>0</v>
      </c>
      <c r="H905" s="214"/>
      <c r="I905" s="214"/>
    </row>
    <row r="906" ht="30.0" customHeight="1">
      <c r="A906" s="247"/>
      <c r="B906" s="209"/>
      <c r="C906" s="247"/>
      <c r="D906" s="248"/>
      <c r="E906" s="212"/>
      <c r="F906" s="249"/>
      <c r="G906" s="194">
        <f t="shared" si="2"/>
        <v>0</v>
      </c>
      <c r="H906" s="214"/>
      <c r="I906" s="214"/>
    </row>
    <row r="907" ht="30.0" customHeight="1">
      <c r="A907" s="247"/>
      <c r="B907" s="209"/>
      <c r="C907" s="247"/>
      <c r="D907" s="248"/>
      <c r="E907" s="212"/>
      <c r="F907" s="249"/>
      <c r="G907" s="194">
        <f t="shared" si="2"/>
        <v>0</v>
      </c>
      <c r="H907" s="214"/>
      <c r="I907" s="214"/>
    </row>
    <row r="908" ht="30.0" customHeight="1">
      <c r="A908" s="247"/>
      <c r="B908" s="209"/>
      <c r="C908" s="247"/>
      <c r="D908" s="248"/>
      <c r="E908" s="212"/>
      <c r="F908" s="249"/>
      <c r="G908" s="194">
        <f t="shared" si="2"/>
        <v>0</v>
      </c>
      <c r="H908" s="214"/>
      <c r="I908" s="214"/>
    </row>
    <row r="909" ht="30.0" customHeight="1">
      <c r="A909" s="247"/>
      <c r="B909" s="209"/>
      <c r="C909" s="247"/>
      <c r="D909" s="248"/>
      <c r="E909" s="212"/>
      <c r="F909" s="249"/>
      <c r="G909" s="194">
        <f t="shared" si="2"/>
        <v>0</v>
      </c>
      <c r="H909" s="214"/>
      <c r="I909" s="214"/>
    </row>
    <row r="910" ht="30.0" customHeight="1">
      <c r="A910" s="247"/>
      <c r="B910" s="209"/>
      <c r="C910" s="247"/>
      <c r="D910" s="248"/>
      <c r="E910" s="212"/>
      <c r="F910" s="249"/>
      <c r="G910" s="194">
        <f t="shared" si="2"/>
        <v>0</v>
      </c>
      <c r="H910" s="214"/>
      <c r="I910" s="214"/>
    </row>
    <row r="911" ht="30.0" customHeight="1">
      <c r="A911" s="247"/>
      <c r="B911" s="209"/>
      <c r="C911" s="247"/>
      <c r="D911" s="248"/>
      <c r="E911" s="212"/>
      <c r="F911" s="249"/>
      <c r="G911" s="194">
        <f t="shared" si="2"/>
        <v>0</v>
      </c>
      <c r="H911" s="214"/>
      <c r="I911" s="214"/>
    </row>
    <row r="912" ht="30.0" customHeight="1">
      <c r="A912" s="247"/>
      <c r="B912" s="209"/>
      <c r="C912" s="247"/>
      <c r="D912" s="248"/>
      <c r="E912" s="212"/>
      <c r="F912" s="249"/>
      <c r="G912" s="194">
        <f t="shared" si="2"/>
        <v>0</v>
      </c>
      <c r="H912" s="214"/>
      <c r="I912" s="214"/>
    </row>
    <row r="913" ht="30.0" customHeight="1">
      <c r="A913" s="247"/>
      <c r="B913" s="209"/>
      <c r="C913" s="247"/>
      <c r="D913" s="248"/>
      <c r="E913" s="212"/>
      <c r="F913" s="249"/>
      <c r="G913" s="194">
        <f t="shared" si="2"/>
        <v>0</v>
      </c>
      <c r="H913" s="214"/>
      <c r="I913" s="214"/>
    </row>
    <row r="914" ht="30.0" customHeight="1">
      <c r="A914" s="247"/>
      <c r="B914" s="209"/>
      <c r="C914" s="247"/>
      <c r="D914" s="248"/>
      <c r="E914" s="212"/>
      <c r="F914" s="249"/>
      <c r="G914" s="194">
        <f t="shared" si="2"/>
        <v>0</v>
      </c>
      <c r="H914" s="214"/>
      <c r="I914" s="214"/>
    </row>
    <row r="915" ht="30.0" customHeight="1">
      <c r="A915" s="247"/>
      <c r="B915" s="209"/>
      <c r="C915" s="247"/>
      <c r="D915" s="248"/>
      <c r="E915" s="212"/>
      <c r="F915" s="249"/>
      <c r="G915" s="194">
        <f t="shared" si="2"/>
        <v>0</v>
      </c>
      <c r="H915" s="214"/>
      <c r="I915" s="214"/>
    </row>
    <row r="916" ht="30.0" customHeight="1">
      <c r="A916" s="247"/>
      <c r="B916" s="209"/>
      <c r="C916" s="247"/>
      <c r="D916" s="248"/>
      <c r="E916" s="212"/>
      <c r="F916" s="249"/>
      <c r="G916" s="194">
        <f t="shared" si="2"/>
        <v>0</v>
      </c>
      <c r="H916" s="214"/>
      <c r="I916" s="214"/>
    </row>
    <row r="917" ht="30.0" customHeight="1">
      <c r="A917" s="247"/>
      <c r="B917" s="209"/>
      <c r="C917" s="247"/>
      <c r="D917" s="248"/>
      <c r="E917" s="212"/>
      <c r="F917" s="249"/>
      <c r="G917" s="194">
        <f t="shared" si="2"/>
        <v>0</v>
      </c>
      <c r="H917" s="214"/>
      <c r="I917" s="214"/>
    </row>
    <row r="918" ht="30.0" customHeight="1">
      <c r="A918" s="247"/>
      <c r="B918" s="209"/>
      <c r="C918" s="247"/>
      <c r="D918" s="248"/>
      <c r="E918" s="212"/>
      <c r="F918" s="249"/>
      <c r="G918" s="194">
        <f t="shared" si="2"/>
        <v>0</v>
      </c>
      <c r="H918" s="214"/>
      <c r="I918" s="214"/>
    </row>
    <row r="919" ht="30.0" customHeight="1">
      <c r="A919" s="247"/>
      <c r="B919" s="209"/>
      <c r="C919" s="247"/>
      <c r="D919" s="248"/>
      <c r="E919" s="212"/>
      <c r="F919" s="249"/>
      <c r="G919" s="194">
        <f t="shared" si="2"/>
        <v>0</v>
      </c>
      <c r="H919" s="214"/>
      <c r="I919" s="214"/>
    </row>
    <row r="920" ht="30.0" customHeight="1">
      <c r="A920" s="247"/>
      <c r="B920" s="209"/>
      <c r="C920" s="247"/>
      <c r="D920" s="248"/>
      <c r="E920" s="212"/>
      <c r="F920" s="249"/>
      <c r="G920" s="194">
        <f t="shared" si="2"/>
        <v>0</v>
      </c>
      <c r="H920" s="214"/>
      <c r="I920" s="214"/>
    </row>
    <row r="921" ht="30.0" customHeight="1">
      <c r="A921" s="247"/>
      <c r="B921" s="209"/>
      <c r="C921" s="247"/>
      <c r="D921" s="248"/>
      <c r="E921" s="212"/>
      <c r="F921" s="249"/>
      <c r="G921" s="194">
        <f t="shared" si="2"/>
        <v>0</v>
      </c>
      <c r="H921" s="214"/>
      <c r="I921" s="214"/>
    </row>
    <row r="922" ht="30.0" customHeight="1">
      <c r="A922" s="247"/>
      <c r="B922" s="209"/>
      <c r="C922" s="247"/>
      <c r="D922" s="248"/>
      <c r="E922" s="212"/>
      <c r="F922" s="249"/>
      <c r="G922" s="194">
        <f t="shared" si="2"/>
        <v>0</v>
      </c>
      <c r="H922" s="214"/>
      <c r="I922" s="214"/>
    </row>
    <row r="923" ht="30.0" customHeight="1">
      <c r="A923" s="247"/>
      <c r="B923" s="209"/>
      <c r="C923" s="247"/>
      <c r="D923" s="248"/>
      <c r="E923" s="212"/>
      <c r="F923" s="249"/>
      <c r="G923" s="194">
        <f t="shared" si="2"/>
        <v>0</v>
      </c>
      <c r="H923" s="214"/>
      <c r="I923" s="214"/>
    </row>
    <row r="924" ht="30.0" customHeight="1">
      <c r="A924" s="247"/>
      <c r="B924" s="209"/>
      <c r="C924" s="247"/>
      <c r="D924" s="248"/>
      <c r="E924" s="212"/>
      <c r="F924" s="249"/>
      <c r="G924" s="194">
        <f t="shared" si="2"/>
        <v>0</v>
      </c>
      <c r="H924" s="214"/>
      <c r="I924" s="214"/>
    </row>
    <row r="925" ht="30.0" customHeight="1">
      <c r="A925" s="247"/>
      <c r="B925" s="209"/>
      <c r="C925" s="247"/>
      <c r="D925" s="248"/>
      <c r="E925" s="212"/>
      <c r="F925" s="249"/>
      <c r="G925" s="194">
        <f t="shared" si="2"/>
        <v>0</v>
      </c>
      <c r="H925" s="214"/>
      <c r="I925" s="214"/>
    </row>
    <row r="926" ht="30.0" customHeight="1">
      <c r="A926" s="247"/>
      <c r="B926" s="209"/>
      <c r="C926" s="247"/>
      <c r="D926" s="248"/>
      <c r="E926" s="212"/>
      <c r="F926" s="249"/>
      <c r="G926" s="194">
        <f t="shared" si="2"/>
        <v>0</v>
      </c>
      <c r="H926" s="214"/>
      <c r="I926" s="214"/>
    </row>
    <row r="927" ht="30.0" customHeight="1">
      <c r="A927" s="247"/>
      <c r="B927" s="209"/>
      <c r="C927" s="247"/>
      <c r="D927" s="248"/>
      <c r="E927" s="212"/>
      <c r="F927" s="249"/>
      <c r="G927" s="194">
        <f t="shared" si="2"/>
        <v>0</v>
      </c>
      <c r="H927" s="214"/>
      <c r="I927" s="214"/>
    </row>
    <row r="928" ht="30.0" customHeight="1">
      <c r="A928" s="247"/>
      <c r="B928" s="209"/>
      <c r="C928" s="247"/>
      <c r="D928" s="248"/>
      <c r="E928" s="212"/>
      <c r="F928" s="249"/>
      <c r="G928" s="194">
        <f t="shared" si="2"/>
        <v>0</v>
      </c>
      <c r="H928" s="214"/>
      <c r="I928" s="214"/>
    </row>
    <row r="929" ht="30.0" customHeight="1">
      <c r="A929" s="247"/>
      <c r="B929" s="209"/>
      <c r="C929" s="247"/>
      <c r="D929" s="248"/>
      <c r="E929" s="212"/>
      <c r="F929" s="249"/>
      <c r="G929" s="194">
        <f t="shared" si="2"/>
        <v>0</v>
      </c>
      <c r="H929" s="214"/>
      <c r="I929" s="214"/>
    </row>
    <row r="930" ht="30.0" customHeight="1">
      <c r="A930" s="247"/>
      <c r="B930" s="209"/>
      <c r="C930" s="247"/>
      <c r="D930" s="248"/>
      <c r="E930" s="212"/>
      <c r="F930" s="249"/>
      <c r="G930" s="194">
        <f t="shared" si="2"/>
        <v>0</v>
      </c>
      <c r="H930" s="214"/>
      <c r="I930" s="214"/>
    </row>
    <row r="931" ht="30.0" customHeight="1">
      <c r="A931" s="247"/>
      <c r="B931" s="209"/>
      <c r="C931" s="247"/>
      <c r="D931" s="248"/>
      <c r="E931" s="212"/>
      <c r="F931" s="249"/>
      <c r="G931" s="194">
        <f t="shared" si="2"/>
        <v>0</v>
      </c>
      <c r="H931" s="214"/>
      <c r="I931" s="214"/>
    </row>
    <row r="932" ht="30.0" customHeight="1">
      <c r="A932" s="247"/>
      <c r="B932" s="209"/>
      <c r="C932" s="247"/>
      <c r="D932" s="248"/>
      <c r="E932" s="212"/>
      <c r="F932" s="249"/>
      <c r="G932" s="194">
        <f t="shared" si="2"/>
        <v>0</v>
      </c>
      <c r="H932" s="214"/>
      <c r="I932" s="214"/>
    </row>
    <row r="933" ht="30.0" customHeight="1">
      <c r="A933" s="247"/>
      <c r="B933" s="209"/>
      <c r="C933" s="247"/>
      <c r="D933" s="248"/>
      <c r="E933" s="212"/>
      <c r="F933" s="249"/>
      <c r="G933" s="194">
        <f t="shared" si="2"/>
        <v>0</v>
      </c>
      <c r="H933" s="214"/>
      <c r="I933" s="214"/>
    </row>
    <row r="934" ht="30.0" customHeight="1">
      <c r="A934" s="247"/>
      <c r="B934" s="209"/>
      <c r="C934" s="247"/>
      <c r="D934" s="248"/>
      <c r="E934" s="212"/>
      <c r="F934" s="249"/>
      <c r="G934" s="194">
        <f t="shared" si="2"/>
        <v>0</v>
      </c>
      <c r="H934" s="214"/>
      <c r="I934" s="214"/>
    </row>
    <row r="935" ht="30.0" customHeight="1">
      <c r="A935" s="247"/>
      <c r="B935" s="209"/>
      <c r="C935" s="247"/>
      <c r="D935" s="248"/>
      <c r="E935" s="212"/>
      <c r="F935" s="249"/>
      <c r="G935" s="194">
        <f t="shared" si="2"/>
        <v>0</v>
      </c>
      <c r="H935" s="214"/>
      <c r="I935" s="214"/>
    </row>
    <row r="936" ht="30.0" customHeight="1">
      <c r="A936" s="247"/>
      <c r="B936" s="209"/>
      <c r="C936" s="247"/>
      <c r="D936" s="248"/>
      <c r="E936" s="212"/>
      <c r="F936" s="249"/>
      <c r="G936" s="194">
        <f t="shared" si="2"/>
        <v>0</v>
      </c>
      <c r="H936" s="214"/>
      <c r="I936" s="214"/>
    </row>
    <row r="937" ht="30.0" customHeight="1">
      <c r="A937" s="247"/>
      <c r="B937" s="209"/>
      <c r="C937" s="247"/>
      <c r="D937" s="248"/>
      <c r="E937" s="212"/>
      <c r="F937" s="249"/>
      <c r="G937" s="194">
        <f t="shared" si="2"/>
        <v>0</v>
      </c>
      <c r="H937" s="214"/>
      <c r="I937" s="214"/>
    </row>
    <row r="938" ht="30.0" customHeight="1">
      <c r="A938" s="247"/>
      <c r="B938" s="209"/>
      <c r="C938" s="247"/>
      <c r="D938" s="248"/>
      <c r="E938" s="212"/>
      <c r="F938" s="249"/>
      <c r="G938" s="194">
        <f t="shared" si="2"/>
        <v>0</v>
      </c>
      <c r="H938" s="214"/>
      <c r="I938" s="214"/>
    </row>
    <row r="939" ht="30.0" customHeight="1">
      <c r="A939" s="247"/>
      <c r="B939" s="209"/>
      <c r="C939" s="247"/>
      <c r="D939" s="248"/>
      <c r="E939" s="212"/>
      <c r="F939" s="249"/>
      <c r="G939" s="194">
        <f t="shared" si="2"/>
        <v>0</v>
      </c>
      <c r="H939" s="214"/>
      <c r="I939" s="214"/>
    </row>
    <row r="940" ht="30.0" customHeight="1">
      <c r="A940" s="247"/>
      <c r="B940" s="209"/>
      <c r="C940" s="247"/>
      <c r="D940" s="248"/>
      <c r="E940" s="212"/>
      <c r="F940" s="249"/>
      <c r="G940" s="194">
        <f t="shared" si="2"/>
        <v>0</v>
      </c>
      <c r="H940" s="214"/>
      <c r="I940" s="214"/>
    </row>
    <row r="941" ht="30.0" customHeight="1">
      <c r="A941" s="247"/>
      <c r="B941" s="209"/>
      <c r="C941" s="247"/>
      <c r="D941" s="248"/>
      <c r="E941" s="212"/>
      <c r="F941" s="249"/>
      <c r="G941" s="194">
        <f t="shared" si="2"/>
        <v>0</v>
      </c>
      <c r="H941" s="214"/>
      <c r="I941" s="214"/>
    </row>
    <row r="942" ht="30.0" customHeight="1">
      <c r="A942" s="247"/>
      <c r="B942" s="209"/>
      <c r="C942" s="247"/>
      <c r="D942" s="248"/>
      <c r="E942" s="212"/>
      <c r="F942" s="249"/>
      <c r="G942" s="194">
        <f t="shared" si="2"/>
        <v>0</v>
      </c>
      <c r="H942" s="214"/>
      <c r="I942" s="214"/>
    </row>
    <row r="943" ht="30.0" customHeight="1">
      <c r="A943" s="247"/>
      <c r="B943" s="209"/>
      <c r="C943" s="247"/>
      <c r="D943" s="248"/>
      <c r="E943" s="212"/>
      <c r="F943" s="249"/>
      <c r="G943" s="194">
        <f t="shared" si="2"/>
        <v>0</v>
      </c>
      <c r="H943" s="214"/>
      <c r="I943" s="214"/>
    </row>
    <row r="944" ht="30.0" customHeight="1">
      <c r="A944" s="247"/>
      <c r="B944" s="209"/>
      <c r="C944" s="247"/>
      <c r="D944" s="248"/>
      <c r="E944" s="212"/>
      <c r="F944" s="249"/>
      <c r="G944" s="194">
        <f t="shared" si="2"/>
        <v>0</v>
      </c>
      <c r="H944" s="214"/>
      <c r="I944" s="214"/>
    </row>
    <row r="945" ht="30.0" customHeight="1">
      <c r="A945" s="247"/>
      <c r="B945" s="209"/>
      <c r="C945" s="247"/>
      <c r="D945" s="248"/>
      <c r="E945" s="212"/>
      <c r="F945" s="249"/>
      <c r="G945" s="194">
        <f t="shared" si="2"/>
        <v>0</v>
      </c>
      <c r="H945" s="214"/>
      <c r="I945" s="214"/>
    </row>
    <row r="946" ht="30.0" customHeight="1">
      <c r="A946" s="247"/>
      <c r="B946" s="209"/>
      <c r="C946" s="247"/>
      <c r="D946" s="248"/>
      <c r="E946" s="212"/>
      <c r="F946" s="249"/>
      <c r="G946" s="194">
        <f t="shared" si="2"/>
        <v>0</v>
      </c>
      <c r="H946" s="214"/>
      <c r="I946" s="214"/>
    </row>
    <row r="947" ht="30.0" customHeight="1">
      <c r="A947" s="247"/>
      <c r="B947" s="209"/>
      <c r="C947" s="247"/>
      <c r="D947" s="248"/>
      <c r="E947" s="212"/>
      <c r="F947" s="249"/>
      <c r="G947" s="194">
        <f t="shared" si="2"/>
        <v>0</v>
      </c>
      <c r="H947" s="214"/>
      <c r="I947" s="214"/>
    </row>
    <row r="948" ht="30.0" customHeight="1">
      <c r="A948" s="247"/>
      <c r="B948" s="209"/>
      <c r="C948" s="247"/>
      <c r="D948" s="248"/>
      <c r="E948" s="212"/>
      <c r="F948" s="249"/>
      <c r="G948" s="194">
        <f t="shared" si="2"/>
        <v>0</v>
      </c>
      <c r="H948" s="214"/>
      <c r="I948" s="214"/>
    </row>
    <row r="949" ht="30.0" customHeight="1">
      <c r="A949" s="247"/>
      <c r="B949" s="209"/>
      <c r="C949" s="247"/>
      <c r="D949" s="248"/>
      <c r="E949" s="212"/>
      <c r="F949" s="249"/>
      <c r="G949" s="194">
        <f t="shared" si="2"/>
        <v>0</v>
      </c>
      <c r="H949" s="214"/>
      <c r="I949" s="214"/>
    </row>
    <row r="950" ht="30.0" customHeight="1">
      <c r="A950" s="247"/>
      <c r="B950" s="209"/>
      <c r="C950" s="247"/>
      <c r="D950" s="248"/>
      <c r="E950" s="212"/>
      <c r="F950" s="249"/>
      <c r="G950" s="194">
        <f t="shared" si="2"/>
        <v>0</v>
      </c>
      <c r="H950" s="214"/>
      <c r="I950" s="214"/>
    </row>
    <row r="951" ht="30.0" customHeight="1">
      <c r="A951" s="247"/>
      <c r="B951" s="209"/>
      <c r="C951" s="247"/>
      <c r="D951" s="248"/>
      <c r="E951" s="212"/>
      <c r="F951" s="249"/>
      <c r="G951" s="194">
        <f t="shared" si="2"/>
        <v>0</v>
      </c>
      <c r="H951" s="214"/>
      <c r="I951" s="214"/>
    </row>
    <row r="952" ht="30.0" customHeight="1">
      <c r="A952" s="247"/>
      <c r="B952" s="209"/>
      <c r="C952" s="247"/>
      <c r="D952" s="248"/>
      <c r="E952" s="212"/>
      <c r="F952" s="249"/>
      <c r="G952" s="194">
        <f t="shared" si="2"/>
        <v>0</v>
      </c>
      <c r="H952" s="214"/>
      <c r="I952" s="214"/>
    </row>
    <row r="953" ht="30.0" customHeight="1">
      <c r="A953" s="247"/>
      <c r="B953" s="209"/>
      <c r="C953" s="247"/>
      <c r="D953" s="248"/>
      <c r="E953" s="212"/>
      <c r="F953" s="249"/>
      <c r="G953" s="194">
        <f t="shared" si="2"/>
        <v>0</v>
      </c>
      <c r="H953" s="214"/>
      <c r="I953" s="214"/>
    </row>
    <row r="954" ht="30.0" customHeight="1">
      <c r="A954" s="247"/>
      <c r="B954" s="209"/>
      <c r="C954" s="247"/>
      <c r="D954" s="248"/>
      <c r="E954" s="212"/>
      <c r="F954" s="249"/>
      <c r="G954" s="194">
        <f t="shared" si="2"/>
        <v>0</v>
      </c>
      <c r="H954" s="214"/>
      <c r="I954" s="214"/>
    </row>
    <row r="955" ht="30.0" customHeight="1">
      <c r="A955" s="247"/>
      <c r="B955" s="209"/>
      <c r="C955" s="247"/>
      <c r="D955" s="248"/>
      <c r="E955" s="212"/>
      <c r="F955" s="249"/>
      <c r="G955" s="194">
        <f t="shared" si="2"/>
        <v>0</v>
      </c>
      <c r="H955" s="214"/>
      <c r="I955" s="214"/>
    </row>
    <row r="956" ht="30.0" customHeight="1">
      <c r="A956" s="247"/>
      <c r="B956" s="209"/>
      <c r="C956" s="247"/>
      <c r="D956" s="248"/>
      <c r="E956" s="212"/>
      <c r="F956" s="249"/>
      <c r="G956" s="194">
        <f t="shared" si="2"/>
        <v>0</v>
      </c>
      <c r="H956" s="214"/>
      <c r="I956" s="214"/>
    </row>
    <row r="957" ht="30.0" customHeight="1">
      <c r="A957" s="247"/>
      <c r="B957" s="209"/>
      <c r="C957" s="247"/>
      <c r="D957" s="248"/>
      <c r="E957" s="212"/>
      <c r="F957" s="249"/>
      <c r="G957" s="194">
        <f t="shared" si="2"/>
        <v>0</v>
      </c>
      <c r="H957" s="214"/>
      <c r="I957" s="214"/>
    </row>
    <row r="958" ht="30.0" customHeight="1">
      <c r="A958" s="247"/>
      <c r="B958" s="209"/>
      <c r="C958" s="247"/>
      <c r="D958" s="248"/>
      <c r="E958" s="212"/>
      <c r="F958" s="249"/>
      <c r="G958" s="194">
        <f t="shared" si="2"/>
        <v>0</v>
      </c>
      <c r="H958" s="214"/>
      <c r="I958" s="214"/>
    </row>
    <row r="959" ht="30.0" customHeight="1">
      <c r="A959" s="247"/>
      <c r="B959" s="209"/>
      <c r="C959" s="247"/>
      <c r="D959" s="248"/>
      <c r="E959" s="212"/>
      <c r="F959" s="249"/>
      <c r="G959" s="194">
        <f t="shared" si="2"/>
        <v>0</v>
      </c>
      <c r="H959" s="214"/>
      <c r="I959" s="214"/>
    </row>
    <row r="960" ht="30.0" customHeight="1">
      <c r="A960" s="247"/>
      <c r="B960" s="209"/>
      <c r="C960" s="247"/>
      <c r="D960" s="248"/>
      <c r="E960" s="212"/>
      <c r="F960" s="249"/>
      <c r="G960" s="194">
        <f t="shared" si="2"/>
        <v>0</v>
      </c>
      <c r="H960" s="214"/>
      <c r="I960" s="214"/>
    </row>
    <row r="961" ht="30.0" customHeight="1">
      <c r="A961" s="247"/>
      <c r="B961" s="209"/>
      <c r="C961" s="247"/>
      <c r="D961" s="248"/>
      <c r="E961" s="212"/>
      <c r="F961" s="249"/>
      <c r="G961" s="194">
        <f t="shared" si="2"/>
        <v>0</v>
      </c>
      <c r="H961" s="214"/>
      <c r="I961" s="214"/>
    </row>
    <row r="962" ht="30.0" customHeight="1">
      <c r="A962" s="247"/>
      <c r="B962" s="209"/>
      <c r="C962" s="247"/>
      <c r="D962" s="248"/>
      <c r="E962" s="212"/>
      <c r="F962" s="249"/>
      <c r="G962" s="194">
        <f t="shared" si="2"/>
        <v>0</v>
      </c>
      <c r="H962" s="214"/>
      <c r="I962" s="214"/>
    </row>
    <row r="963" ht="30.0" customHeight="1">
      <c r="A963" s="247"/>
      <c r="B963" s="209"/>
      <c r="C963" s="247"/>
      <c r="D963" s="248"/>
      <c r="E963" s="212"/>
      <c r="F963" s="249"/>
      <c r="G963" s="194">
        <f t="shared" si="2"/>
        <v>0</v>
      </c>
      <c r="H963" s="214"/>
      <c r="I963" s="214"/>
    </row>
    <row r="964" ht="30.0" customHeight="1">
      <c r="A964" s="247"/>
      <c r="B964" s="209"/>
      <c r="C964" s="247"/>
      <c r="D964" s="248"/>
      <c r="E964" s="212"/>
      <c r="F964" s="249"/>
      <c r="G964" s="194">
        <f t="shared" si="2"/>
        <v>0</v>
      </c>
      <c r="H964" s="214"/>
      <c r="I964" s="214"/>
    </row>
    <row r="965" ht="30.0" customHeight="1">
      <c r="A965" s="247"/>
      <c r="B965" s="209"/>
      <c r="C965" s="247"/>
      <c r="D965" s="248"/>
      <c r="E965" s="212"/>
      <c r="F965" s="249"/>
      <c r="G965" s="194">
        <f t="shared" si="2"/>
        <v>0</v>
      </c>
      <c r="H965" s="214"/>
      <c r="I965" s="214"/>
    </row>
    <row r="966" ht="30.0" customHeight="1">
      <c r="A966" s="247"/>
      <c r="B966" s="209"/>
      <c r="C966" s="247"/>
      <c r="D966" s="248"/>
      <c r="E966" s="212"/>
      <c r="F966" s="249"/>
      <c r="G966" s="194">
        <f t="shared" si="2"/>
        <v>0</v>
      </c>
      <c r="H966" s="214"/>
      <c r="I966" s="214"/>
    </row>
    <row r="967" ht="30.0" customHeight="1">
      <c r="A967" s="247"/>
      <c r="B967" s="209"/>
      <c r="C967" s="247"/>
      <c r="D967" s="248"/>
      <c r="E967" s="212"/>
      <c r="F967" s="249"/>
      <c r="G967" s="194">
        <f t="shared" si="2"/>
        <v>0</v>
      </c>
      <c r="H967" s="214"/>
      <c r="I967" s="214"/>
    </row>
    <row r="968" ht="30.0" customHeight="1">
      <c r="A968" s="247"/>
      <c r="B968" s="209"/>
      <c r="C968" s="247"/>
      <c r="D968" s="248"/>
      <c r="E968" s="212"/>
      <c r="F968" s="249"/>
      <c r="G968" s="194">
        <f t="shared" si="2"/>
        <v>0</v>
      </c>
      <c r="H968" s="214"/>
      <c r="I968" s="214"/>
    </row>
    <row r="969" ht="30.0" customHeight="1">
      <c r="A969" s="247"/>
      <c r="B969" s="209"/>
      <c r="C969" s="247"/>
      <c r="D969" s="248"/>
      <c r="E969" s="212"/>
      <c r="F969" s="249"/>
      <c r="G969" s="194">
        <f t="shared" si="2"/>
        <v>0</v>
      </c>
      <c r="H969" s="214"/>
      <c r="I969" s="214"/>
    </row>
    <row r="970" ht="30.0" customHeight="1">
      <c r="A970" s="247"/>
      <c r="B970" s="209"/>
      <c r="C970" s="247"/>
      <c r="D970" s="248"/>
      <c r="E970" s="212"/>
      <c r="F970" s="249"/>
      <c r="G970" s="194">
        <f t="shared" si="2"/>
        <v>0</v>
      </c>
      <c r="H970" s="214"/>
      <c r="I970" s="214"/>
    </row>
    <row r="971" ht="30.0" customHeight="1">
      <c r="A971" s="247"/>
      <c r="B971" s="209"/>
      <c r="C971" s="247"/>
      <c r="D971" s="248"/>
      <c r="E971" s="212"/>
      <c r="F971" s="249"/>
      <c r="G971" s="194">
        <f t="shared" si="2"/>
        <v>0</v>
      </c>
      <c r="H971" s="214"/>
      <c r="I971" s="214"/>
    </row>
    <row r="972" ht="30.0" customHeight="1">
      <c r="A972" s="247"/>
      <c r="B972" s="209"/>
      <c r="C972" s="247"/>
      <c r="D972" s="248"/>
      <c r="E972" s="212"/>
      <c r="F972" s="249"/>
      <c r="G972" s="194">
        <f t="shared" si="2"/>
        <v>0</v>
      </c>
      <c r="H972" s="214"/>
      <c r="I972" s="214"/>
    </row>
    <row r="973" ht="30.0" customHeight="1">
      <c r="A973" s="247"/>
      <c r="B973" s="209"/>
      <c r="C973" s="247"/>
      <c r="D973" s="248"/>
      <c r="E973" s="212"/>
      <c r="F973" s="249"/>
      <c r="G973" s="194">
        <f t="shared" si="2"/>
        <v>0</v>
      </c>
      <c r="H973" s="214"/>
      <c r="I973" s="214"/>
    </row>
    <row r="974" ht="30.0" customHeight="1">
      <c r="A974" s="247"/>
      <c r="B974" s="209"/>
      <c r="C974" s="247"/>
      <c r="D974" s="248"/>
      <c r="E974" s="212"/>
      <c r="F974" s="249"/>
      <c r="G974" s="194">
        <f t="shared" si="2"/>
        <v>0</v>
      </c>
      <c r="H974" s="214"/>
      <c r="I974" s="214"/>
    </row>
    <row r="975" ht="30.0" customHeight="1">
      <c r="A975" s="247"/>
      <c r="B975" s="209"/>
      <c r="C975" s="247"/>
      <c r="D975" s="248"/>
      <c r="E975" s="212"/>
      <c r="F975" s="249"/>
      <c r="G975" s="194">
        <f t="shared" si="2"/>
        <v>0</v>
      </c>
      <c r="H975" s="214"/>
      <c r="I975" s="214"/>
    </row>
    <row r="976" ht="30.0" customHeight="1">
      <c r="A976" s="247"/>
      <c r="B976" s="209"/>
      <c r="C976" s="247"/>
      <c r="D976" s="248"/>
      <c r="E976" s="212"/>
      <c r="F976" s="249"/>
      <c r="G976" s="194">
        <f t="shared" si="2"/>
        <v>0</v>
      </c>
      <c r="H976" s="214"/>
      <c r="I976" s="214"/>
    </row>
    <row r="977" ht="30.0" customHeight="1">
      <c r="A977" s="247"/>
      <c r="B977" s="209"/>
      <c r="C977" s="247"/>
      <c r="D977" s="248"/>
      <c r="E977" s="212"/>
      <c r="F977" s="249"/>
      <c r="G977" s="194">
        <f t="shared" si="2"/>
        <v>0</v>
      </c>
      <c r="H977" s="214"/>
      <c r="I977" s="214"/>
    </row>
    <row r="978" ht="30.0" customHeight="1">
      <c r="A978" s="247"/>
      <c r="B978" s="209"/>
      <c r="C978" s="247"/>
      <c r="D978" s="248"/>
      <c r="E978" s="212"/>
      <c r="F978" s="249"/>
      <c r="G978" s="194">
        <f t="shared" si="2"/>
        <v>0</v>
      </c>
      <c r="H978" s="214"/>
      <c r="I978" s="214"/>
    </row>
    <row r="979" ht="30.0" customHeight="1">
      <c r="A979" s="247"/>
      <c r="B979" s="209"/>
      <c r="C979" s="247"/>
      <c r="D979" s="248"/>
      <c r="E979" s="212"/>
      <c r="F979" s="249"/>
      <c r="G979" s="194">
        <f t="shared" si="2"/>
        <v>0</v>
      </c>
      <c r="H979" s="214"/>
      <c r="I979" s="214"/>
    </row>
    <row r="980" ht="30.0" customHeight="1">
      <c r="A980" s="247"/>
      <c r="B980" s="209"/>
      <c r="C980" s="247"/>
      <c r="D980" s="248"/>
      <c r="E980" s="212"/>
      <c r="F980" s="249"/>
      <c r="G980" s="194">
        <f t="shared" si="2"/>
        <v>0</v>
      </c>
      <c r="H980" s="214"/>
      <c r="I980" s="214"/>
    </row>
    <row r="981" ht="30.0" customHeight="1">
      <c r="A981" s="247"/>
      <c r="B981" s="209"/>
      <c r="C981" s="247"/>
      <c r="D981" s="248"/>
      <c r="E981" s="212"/>
      <c r="F981" s="249"/>
      <c r="G981" s="194">
        <f t="shared" si="2"/>
        <v>0</v>
      </c>
      <c r="H981" s="214"/>
      <c r="I981" s="214"/>
    </row>
    <row r="982" ht="30.0" customHeight="1">
      <c r="A982" s="247"/>
      <c r="B982" s="209"/>
      <c r="C982" s="247"/>
      <c r="D982" s="248"/>
      <c r="E982" s="212"/>
      <c r="F982" s="249"/>
      <c r="G982" s="194">
        <f t="shared" si="2"/>
        <v>0</v>
      </c>
      <c r="H982" s="214"/>
      <c r="I982" s="214"/>
    </row>
    <row r="983" ht="30.0" customHeight="1">
      <c r="A983" s="247"/>
      <c r="B983" s="209"/>
      <c r="C983" s="247"/>
      <c r="D983" s="248"/>
      <c r="E983" s="212"/>
      <c r="F983" s="249"/>
      <c r="G983" s="194">
        <f t="shared" si="2"/>
        <v>0</v>
      </c>
      <c r="H983" s="214"/>
      <c r="I983" s="214"/>
    </row>
    <row r="984" ht="30.0" customHeight="1">
      <c r="A984" s="247"/>
      <c r="B984" s="209"/>
      <c r="C984" s="247"/>
      <c r="D984" s="248"/>
      <c r="E984" s="212"/>
      <c r="F984" s="249"/>
      <c r="G984" s="194">
        <f t="shared" si="2"/>
        <v>0</v>
      </c>
      <c r="H984" s="214"/>
      <c r="I984" s="214"/>
    </row>
    <row r="985" ht="30.0" customHeight="1">
      <c r="A985" s="247"/>
      <c r="B985" s="209"/>
      <c r="C985" s="247"/>
      <c r="D985" s="248"/>
      <c r="E985" s="212"/>
      <c r="F985" s="249"/>
      <c r="G985" s="194">
        <f t="shared" si="2"/>
        <v>0</v>
      </c>
      <c r="H985" s="214"/>
      <c r="I985" s="214"/>
    </row>
    <row r="986" ht="30.0" customHeight="1">
      <c r="A986" s="247"/>
      <c r="B986" s="209"/>
      <c r="C986" s="247"/>
      <c r="D986" s="248"/>
      <c r="E986" s="212"/>
      <c r="F986" s="249"/>
      <c r="G986" s="194">
        <f t="shared" si="2"/>
        <v>0</v>
      </c>
      <c r="H986" s="214"/>
      <c r="I986" s="214"/>
    </row>
    <row r="987" ht="30.0" customHeight="1">
      <c r="A987" s="247"/>
      <c r="B987" s="209"/>
      <c r="C987" s="247"/>
      <c r="D987" s="248"/>
      <c r="E987" s="212"/>
      <c r="F987" s="249"/>
      <c r="G987" s="194">
        <f t="shared" si="2"/>
        <v>0</v>
      </c>
      <c r="H987" s="214"/>
      <c r="I987" s="214"/>
    </row>
    <row r="988" ht="30.0" customHeight="1">
      <c r="A988" s="247"/>
      <c r="B988" s="209"/>
      <c r="C988" s="247"/>
      <c r="D988" s="248"/>
      <c r="E988" s="212"/>
      <c r="F988" s="249"/>
      <c r="G988" s="194">
        <f t="shared" si="2"/>
        <v>0</v>
      </c>
      <c r="H988" s="214"/>
      <c r="I988" s="214"/>
    </row>
    <row r="989" ht="30.0" customHeight="1">
      <c r="A989" s="247"/>
      <c r="B989" s="209"/>
      <c r="C989" s="247"/>
      <c r="D989" s="248"/>
      <c r="E989" s="212"/>
      <c r="F989" s="249"/>
      <c r="G989" s="194">
        <f t="shared" si="2"/>
        <v>0</v>
      </c>
      <c r="H989" s="214"/>
      <c r="I989" s="214"/>
    </row>
    <row r="990" ht="30.0" customHeight="1">
      <c r="A990" s="247"/>
      <c r="B990" s="209"/>
      <c r="C990" s="247"/>
      <c r="D990" s="248"/>
      <c r="E990" s="212"/>
      <c r="F990" s="249"/>
      <c r="G990" s="194">
        <f t="shared" si="2"/>
        <v>0</v>
      </c>
      <c r="H990" s="214"/>
      <c r="I990" s="214"/>
    </row>
    <row r="991" ht="30.0" customHeight="1">
      <c r="A991" s="247"/>
      <c r="B991" s="209"/>
      <c r="C991" s="247"/>
      <c r="D991" s="248"/>
      <c r="E991" s="212"/>
      <c r="F991" s="249"/>
      <c r="G991" s="194">
        <f t="shared" si="2"/>
        <v>0</v>
      </c>
      <c r="H991" s="214"/>
      <c r="I991" s="214"/>
    </row>
    <row r="992" ht="30.0" customHeight="1">
      <c r="A992" s="247"/>
      <c r="B992" s="209"/>
      <c r="C992" s="247"/>
      <c r="D992" s="248"/>
      <c r="E992" s="212"/>
      <c r="F992" s="249"/>
      <c r="G992" s="194">
        <f t="shared" si="2"/>
        <v>0</v>
      </c>
      <c r="H992" s="214"/>
      <c r="I992" s="214"/>
    </row>
    <row r="993" ht="30.0" customHeight="1">
      <c r="A993" s="247"/>
      <c r="B993" s="209"/>
      <c r="C993" s="247"/>
      <c r="D993" s="248"/>
      <c r="E993" s="212"/>
      <c r="F993" s="249"/>
      <c r="G993" s="194">
        <f t="shared" si="2"/>
        <v>0</v>
      </c>
      <c r="H993" s="214"/>
      <c r="I993" s="214"/>
    </row>
    <row r="994" ht="30.0" customHeight="1">
      <c r="A994" s="247"/>
      <c r="B994" s="209"/>
      <c r="C994" s="247"/>
      <c r="D994" s="248"/>
      <c r="E994" s="212"/>
      <c r="F994" s="249"/>
      <c r="G994" s="194">
        <f t="shared" si="2"/>
        <v>0</v>
      </c>
      <c r="H994" s="214"/>
      <c r="I994" s="214"/>
    </row>
    <row r="995" ht="30.0" customHeight="1">
      <c r="A995" s="247"/>
      <c r="B995" s="209"/>
      <c r="C995" s="247"/>
      <c r="D995" s="248"/>
      <c r="E995" s="212"/>
      <c r="F995" s="249"/>
      <c r="G995" s="194">
        <f t="shared" si="2"/>
        <v>0</v>
      </c>
      <c r="H995" s="214"/>
      <c r="I995" s="214"/>
    </row>
    <row r="996" ht="30.0" customHeight="1">
      <c r="A996" s="247"/>
      <c r="B996" s="209"/>
      <c r="C996" s="247"/>
      <c r="D996" s="248"/>
      <c r="E996" s="212"/>
      <c r="F996" s="249"/>
      <c r="G996" s="194">
        <f t="shared" si="2"/>
        <v>0</v>
      </c>
      <c r="H996" s="214"/>
      <c r="I996" s="214"/>
    </row>
    <row r="997" ht="30.0" customHeight="1">
      <c r="A997" s="247"/>
      <c r="B997" s="209"/>
      <c r="C997" s="247"/>
      <c r="D997" s="248"/>
      <c r="E997" s="212"/>
      <c r="F997" s="249"/>
      <c r="G997" s="194">
        <f t="shared" si="2"/>
        <v>0</v>
      </c>
      <c r="H997" s="214"/>
      <c r="I997" s="214"/>
    </row>
    <row r="998" ht="30.0" customHeight="1">
      <c r="A998" s="247"/>
      <c r="B998" s="209"/>
      <c r="C998" s="247"/>
      <c r="D998" s="248"/>
      <c r="E998" s="212"/>
      <c r="F998" s="249"/>
      <c r="G998" s="194">
        <f t="shared" si="2"/>
        <v>0</v>
      </c>
      <c r="H998" s="214"/>
      <c r="I998" s="214"/>
    </row>
    <row r="999" ht="30.0" customHeight="1">
      <c r="A999" s="247"/>
      <c r="B999" s="209"/>
      <c r="C999" s="247"/>
      <c r="D999" s="248"/>
      <c r="E999" s="212"/>
      <c r="F999" s="249"/>
      <c r="G999" s="194">
        <f t="shared" si="2"/>
        <v>0</v>
      </c>
      <c r="H999" s="214"/>
      <c r="I999" s="214"/>
    </row>
    <row r="1000" ht="30.0" customHeight="1">
      <c r="A1000" s="247"/>
      <c r="B1000" s="209"/>
      <c r="C1000" s="247"/>
      <c r="D1000" s="248"/>
      <c r="E1000" s="212"/>
      <c r="F1000" s="249"/>
      <c r="G1000" s="194">
        <f t="shared" si="2"/>
        <v>0</v>
      </c>
      <c r="H1000" s="214"/>
      <c r="I1000" s="214"/>
    </row>
    <row r="1001" ht="30.0" customHeight="1">
      <c r="A1001" s="247"/>
      <c r="B1001" s="209"/>
      <c r="C1001" s="247"/>
      <c r="D1001" s="248"/>
      <c r="E1001" s="212"/>
      <c r="F1001" s="249"/>
      <c r="G1001" s="194">
        <f t="shared" si="2"/>
        <v>0</v>
      </c>
      <c r="H1001" s="214"/>
      <c r="I1001" s="214"/>
    </row>
    <row r="1002" ht="30.0" customHeight="1">
      <c r="A1002" s="247"/>
      <c r="B1002" s="209"/>
      <c r="C1002" s="247"/>
      <c r="D1002" s="248"/>
      <c r="E1002" s="212"/>
      <c r="F1002" s="249"/>
      <c r="G1002" s="194">
        <f t="shared" si="2"/>
        <v>0</v>
      </c>
      <c r="H1002" s="214"/>
      <c r="I1002" s="214"/>
    </row>
    <row r="1003" ht="30.0" customHeight="1">
      <c r="A1003" s="247"/>
      <c r="B1003" s="209"/>
      <c r="C1003" s="247"/>
      <c r="D1003" s="248"/>
      <c r="E1003" s="212"/>
      <c r="F1003" s="249"/>
      <c r="G1003" s="194">
        <f t="shared" si="2"/>
        <v>0</v>
      </c>
      <c r="H1003" s="214"/>
      <c r="I1003" s="214"/>
    </row>
    <row r="1004" ht="30.0" customHeight="1">
      <c r="A1004" s="247"/>
      <c r="B1004" s="209"/>
      <c r="C1004" s="247"/>
      <c r="D1004" s="248"/>
      <c r="E1004" s="212"/>
      <c r="F1004" s="249"/>
      <c r="G1004" s="194">
        <f t="shared" si="2"/>
        <v>0</v>
      </c>
      <c r="H1004" s="214"/>
      <c r="I1004" s="214"/>
    </row>
    <row r="1005" ht="30.0" customHeight="1">
      <c r="A1005" s="247"/>
      <c r="B1005" s="209"/>
      <c r="C1005" s="247"/>
      <c r="D1005" s="248"/>
      <c r="E1005" s="212"/>
      <c r="F1005" s="249"/>
      <c r="G1005" s="194">
        <f t="shared" si="2"/>
        <v>0</v>
      </c>
      <c r="H1005" s="214"/>
      <c r="I1005" s="214"/>
    </row>
    <row r="1006" ht="30.0" customHeight="1">
      <c r="A1006" s="247"/>
      <c r="B1006" s="209"/>
      <c r="C1006" s="247"/>
      <c r="D1006" s="248"/>
      <c r="E1006" s="212"/>
      <c r="F1006" s="249"/>
      <c r="G1006" s="194">
        <f t="shared" si="2"/>
        <v>0</v>
      </c>
      <c r="H1006" s="214"/>
      <c r="I1006" s="214"/>
    </row>
    <row r="1007" ht="30.0" customHeight="1">
      <c r="A1007" s="247"/>
      <c r="B1007" s="209"/>
      <c r="C1007" s="247"/>
      <c r="D1007" s="248"/>
      <c r="E1007" s="212"/>
      <c r="F1007" s="249"/>
      <c r="G1007" s="194">
        <f t="shared" si="2"/>
        <v>0</v>
      </c>
      <c r="H1007" s="214"/>
      <c r="I1007" s="214"/>
    </row>
    <row r="1008" ht="30.0" customHeight="1">
      <c r="A1008" s="247"/>
      <c r="B1008" s="209"/>
      <c r="C1008" s="247"/>
      <c r="D1008" s="248"/>
      <c r="E1008" s="212"/>
      <c r="F1008" s="249"/>
      <c r="G1008" s="194">
        <f t="shared" si="2"/>
        <v>0</v>
      </c>
      <c r="H1008" s="214"/>
      <c r="I1008" s="214"/>
    </row>
    <row r="1009" ht="30.0" customHeight="1">
      <c r="A1009" s="247"/>
      <c r="B1009" s="209"/>
      <c r="C1009" s="247"/>
      <c r="D1009" s="248"/>
      <c r="E1009" s="212"/>
      <c r="F1009" s="249"/>
      <c r="G1009" s="194">
        <f t="shared" si="2"/>
        <v>0</v>
      </c>
      <c r="H1009" s="214"/>
      <c r="I1009" s="214"/>
    </row>
    <row r="1010" ht="30.0" customHeight="1">
      <c r="A1010" s="247"/>
      <c r="B1010" s="209"/>
      <c r="C1010" s="247"/>
      <c r="D1010" s="248"/>
      <c r="E1010" s="212"/>
      <c r="F1010" s="249"/>
      <c r="G1010" s="194">
        <f t="shared" si="2"/>
        <v>0</v>
      </c>
      <c r="H1010" s="214"/>
      <c r="I1010" s="214"/>
    </row>
    <row r="1011" ht="30.0" customHeight="1">
      <c r="A1011" s="247"/>
      <c r="B1011" s="209"/>
      <c r="C1011" s="247"/>
      <c r="D1011" s="248"/>
      <c r="E1011" s="212"/>
      <c r="F1011" s="249"/>
      <c r="G1011" s="194">
        <f t="shared" si="2"/>
        <v>0</v>
      </c>
      <c r="H1011" s="214"/>
      <c r="I1011" s="214"/>
    </row>
    <row r="1012" ht="30.0" customHeight="1">
      <c r="A1012" s="247"/>
      <c r="B1012" s="209"/>
      <c r="C1012" s="247"/>
      <c r="D1012" s="248"/>
      <c r="E1012" s="212"/>
      <c r="F1012" s="249"/>
      <c r="G1012" s="194">
        <f t="shared" si="2"/>
        <v>0</v>
      </c>
      <c r="H1012" s="214"/>
      <c r="I1012" s="214"/>
    </row>
    <row r="1013" ht="30.0" customHeight="1">
      <c r="A1013" s="247"/>
      <c r="B1013" s="209"/>
      <c r="C1013" s="247"/>
      <c r="D1013" s="248"/>
      <c r="E1013" s="212"/>
      <c r="F1013" s="249"/>
      <c r="G1013" s="194">
        <f t="shared" si="2"/>
        <v>0</v>
      </c>
      <c r="H1013" s="214"/>
      <c r="I1013" s="214"/>
    </row>
    <row r="1014" ht="30.0" customHeight="1">
      <c r="A1014" s="247"/>
      <c r="B1014" s="209"/>
      <c r="C1014" s="247"/>
      <c r="D1014" s="248"/>
      <c r="E1014" s="212"/>
      <c r="F1014" s="249"/>
      <c r="G1014" s="194">
        <f t="shared" si="2"/>
        <v>0</v>
      </c>
      <c r="H1014" s="214"/>
      <c r="I1014" s="214"/>
    </row>
    <row r="1015" ht="30.0" customHeight="1">
      <c r="A1015" s="247"/>
      <c r="B1015" s="209"/>
      <c r="C1015" s="247"/>
      <c r="D1015" s="248"/>
      <c r="E1015" s="212"/>
      <c r="F1015" s="249"/>
      <c r="G1015" s="194">
        <f t="shared" si="2"/>
        <v>0</v>
      </c>
      <c r="H1015" s="214"/>
      <c r="I1015" s="214"/>
    </row>
    <row r="1016" ht="30.0" customHeight="1">
      <c r="A1016" s="247"/>
      <c r="B1016" s="209"/>
      <c r="C1016" s="247"/>
      <c r="D1016" s="248"/>
      <c r="E1016" s="212"/>
      <c r="F1016" s="249"/>
      <c r="G1016" s="194">
        <f t="shared" si="2"/>
        <v>0</v>
      </c>
      <c r="H1016" s="214"/>
      <c r="I1016" s="214"/>
    </row>
    <row r="1017" ht="30.0" customHeight="1">
      <c r="A1017" s="247"/>
      <c r="B1017" s="209"/>
      <c r="C1017" s="247"/>
      <c r="D1017" s="248"/>
      <c r="E1017" s="212"/>
      <c r="F1017" s="249"/>
      <c r="G1017" s="194">
        <f t="shared" si="2"/>
        <v>0</v>
      </c>
      <c r="H1017" s="214"/>
      <c r="I1017" s="214"/>
    </row>
    <row r="1018" ht="30.0" customHeight="1">
      <c r="A1018" s="247"/>
      <c r="B1018" s="209"/>
      <c r="C1018" s="247"/>
      <c r="D1018" s="248"/>
      <c r="E1018" s="212"/>
      <c r="F1018" s="249"/>
      <c r="G1018" s="194">
        <f t="shared" si="2"/>
        <v>0</v>
      </c>
      <c r="H1018" s="214"/>
      <c r="I1018" s="214"/>
    </row>
    <row r="1019" ht="30.0" customHeight="1">
      <c r="A1019" s="247"/>
      <c r="B1019" s="209"/>
      <c r="C1019" s="247"/>
      <c r="D1019" s="248"/>
      <c r="E1019" s="212"/>
      <c r="F1019" s="249"/>
      <c r="G1019" s="194">
        <f t="shared" si="2"/>
        <v>0</v>
      </c>
      <c r="H1019" s="214"/>
      <c r="I1019" s="214"/>
    </row>
    <row r="1020" ht="30.0" customHeight="1">
      <c r="A1020" s="247"/>
      <c r="B1020" s="209"/>
      <c r="C1020" s="247"/>
      <c r="D1020" s="248"/>
      <c r="E1020" s="212"/>
      <c r="F1020" s="249"/>
      <c r="G1020" s="194">
        <f t="shared" si="2"/>
        <v>0</v>
      </c>
      <c r="H1020" s="214"/>
      <c r="I1020" s="214"/>
    </row>
    <row r="1021" ht="30.0" customHeight="1">
      <c r="A1021" s="247"/>
      <c r="B1021" s="209"/>
      <c r="C1021" s="247"/>
      <c r="D1021" s="248"/>
      <c r="E1021" s="212"/>
      <c r="F1021" s="249"/>
      <c r="G1021" s="194">
        <f t="shared" si="2"/>
        <v>0</v>
      </c>
      <c r="H1021" s="214"/>
      <c r="I1021" s="214"/>
    </row>
    <row r="1022" ht="30.0" customHeight="1">
      <c r="A1022" s="247"/>
      <c r="B1022" s="209"/>
      <c r="C1022" s="247"/>
      <c r="D1022" s="248"/>
      <c r="E1022" s="212"/>
      <c r="F1022" s="249"/>
      <c r="G1022" s="194">
        <f t="shared" si="2"/>
        <v>0</v>
      </c>
      <c r="H1022" s="214"/>
      <c r="I1022" s="214"/>
    </row>
    <row r="1023" ht="30.0" customHeight="1">
      <c r="A1023" s="247"/>
      <c r="B1023" s="209"/>
      <c r="C1023" s="247"/>
      <c r="D1023" s="248"/>
      <c r="E1023" s="212"/>
      <c r="F1023" s="249"/>
      <c r="G1023" s="194">
        <f t="shared" si="2"/>
        <v>0</v>
      </c>
      <c r="H1023" s="214"/>
      <c r="I1023" s="214"/>
    </row>
    <row r="1024" ht="30.0" customHeight="1">
      <c r="A1024" s="247"/>
      <c r="B1024" s="209"/>
      <c r="C1024" s="247"/>
      <c r="D1024" s="248"/>
      <c r="E1024" s="212"/>
      <c r="F1024" s="249"/>
      <c r="G1024" s="194">
        <f t="shared" si="2"/>
        <v>0</v>
      </c>
      <c r="H1024" s="214"/>
      <c r="I1024" s="214"/>
    </row>
    <row r="1025" ht="30.0" customHeight="1">
      <c r="A1025" s="247"/>
      <c r="B1025" s="209"/>
      <c r="C1025" s="247"/>
      <c r="D1025" s="248"/>
      <c r="E1025" s="212"/>
      <c r="F1025" s="249"/>
      <c r="G1025" s="194">
        <f t="shared" si="2"/>
        <v>0</v>
      </c>
      <c r="H1025" s="214"/>
      <c r="I1025" s="214"/>
    </row>
    <row r="1026" ht="30.0" customHeight="1">
      <c r="A1026" s="247"/>
      <c r="B1026" s="209"/>
      <c r="C1026" s="247"/>
      <c r="D1026" s="248"/>
      <c r="E1026" s="212"/>
      <c r="F1026" s="249"/>
      <c r="G1026" s="194">
        <f t="shared" si="2"/>
        <v>0</v>
      </c>
      <c r="H1026" s="214"/>
      <c r="I1026" s="214"/>
    </row>
    <row r="1027" ht="30.0" customHeight="1">
      <c r="A1027" s="247"/>
      <c r="B1027" s="209"/>
      <c r="C1027" s="247"/>
      <c r="D1027" s="248"/>
      <c r="E1027" s="212"/>
      <c r="F1027" s="249"/>
      <c r="G1027" s="194">
        <f t="shared" si="2"/>
        <v>0</v>
      </c>
      <c r="H1027" s="214"/>
      <c r="I1027" s="214"/>
    </row>
    <row r="1028" ht="30.0" customHeight="1">
      <c r="A1028" s="247"/>
      <c r="B1028" s="209"/>
      <c r="C1028" s="247"/>
      <c r="D1028" s="248"/>
      <c r="E1028" s="212"/>
      <c r="F1028" s="249"/>
      <c r="G1028" s="194">
        <f t="shared" si="2"/>
        <v>0</v>
      </c>
      <c r="H1028" s="214"/>
      <c r="I1028" s="214"/>
    </row>
    <row r="1029" ht="30.0" customHeight="1">
      <c r="A1029" s="247"/>
      <c r="B1029" s="209"/>
      <c r="C1029" s="247"/>
      <c r="D1029" s="248"/>
      <c r="E1029" s="212"/>
      <c r="F1029" s="249"/>
      <c r="G1029" s="194">
        <f t="shared" si="2"/>
        <v>0</v>
      </c>
      <c r="H1029" s="214"/>
      <c r="I1029" s="214"/>
    </row>
    <row r="1030" ht="30.0" customHeight="1">
      <c r="A1030" s="247"/>
      <c r="B1030" s="209"/>
      <c r="C1030" s="247"/>
      <c r="D1030" s="248"/>
      <c r="E1030" s="212"/>
      <c r="F1030" s="249"/>
      <c r="G1030" s="194">
        <f t="shared" si="2"/>
        <v>0</v>
      </c>
      <c r="H1030" s="214"/>
      <c r="I1030" s="214"/>
    </row>
    <row r="1031" ht="30.0" customHeight="1">
      <c r="A1031" s="247"/>
      <c r="B1031" s="209"/>
      <c r="C1031" s="247"/>
      <c r="D1031" s="248"/>
      <c r="E1031" s="212"/>
      <c r="F1031" s="249"/>
      <c r="G1031" s="194">
        <f t="shared" si="2"/>
        <v>0</v>
      </c>
      <c r="H1031" s="214"/>
      <c r="I1031" s="214"/>
    </row>
    <row r="1032" ht="30.0" customHeight="1">
      <c r="A1032" s="247"/>
      <c r="B1032" s="209"/>
      <c r="C1032" s="247"/>
      <c r="D1032" s="248"/>
      <c r="E1032" s="212"/>
      <c r="F1032" s="249"/>
      <c r="G1032" s="194">
        <f t="shared" si="2"/>
        <v>0</v>
      </c>
      <c r="H1032" s="214"/>
      <c r="I1032" s="214"/>
    </row>
    <row r="1033" ht="30.0" customHeight="1">
      <c r="A1033" s="247"/>
      <c r="B1033" s="209"/>
      <c r="C1033" s="247"/>
      <c r="D1033" s="248"/>
      <c r="E1033" s="212"/>
      <c r="F1033" s="249"/>
      <c r="G1033" s="194">
        <f t="shared" si="2"/>
        <v>0</v>
      </c>
      <c r="H1033" s="214"/>
      <c r="I1033" s="214"/>
    </row>
    <row r="1034" ht="30.0" customHeight="1">
      <c r="A1034" s="247"/>
      <c r="B1034" s="209"/>
      <c r="C1034" s="247"/>
      <c r="D1034" s="248"/>
      <c r="E1034" s="212"/>
      <c r="F1034" s="249"/>
      <c r="G1034" s="194">
        <f t="shared" si="2"/>
        <v>0</v>
      </c>
      <c r="H1034" s="214"/>
      <c r="I1034" s="214"/>
    </row>
    <row r="1035" ht="30.0" customHeight="1">
      <c r="A1035" s="247"/>
      <c r="B1035" s="209"/>
      <c r="C1035" s="247"/>
      <c r="D1035" s="248"/>
      <c r="E1035" s="212"/>
      <c r="F1035" s="249"/>
      <c r="G1035" s="194">
        <f t="shared" si="2"/>
        <v>0</v>
      </c>
      <c r="H1035" s="214"/>
      <c r="I1035" s="214"/>
    </row>
    <row r="1036" ht="30.0" customHeight="1">
      <c r="A1036" s="247"/>
      <c r="B1036" s="209"/>
      <c r="C1036" s="247"/>
      <c r="D1036" s="248"/>
      <c r="E1036" s="212"/>
      <c r="F1036" s="249"/>
      <c r="G1036" s="194">
        <f t="shared" si="2"/>
        <v>0</v>
      </c>
      <c r="H1036" s="214"/>
      <c r="I1036" s="214"/>
    </row>
    <row r="1037" ht="30.0" customHeight="1">
      <c r="A1037" s="247"/>
      <c r="B1037" s="209"/>
      <c r="C1037" s="247"/>
      <c r="D1037" s="248"/>
      <c r="E1037" s="212"/>
      <c r="F1037" s="249"/>
      <c r="G1037" s="194">
        <f t="shared" si="2"/>
        <v>0</v>
      </c>
      <c r="H1037" s="214"/>
      <c r="I1037" s="214"/>
    </row>
    <row r="1038" ht="30.0" customHeight="1">
      <c r="A1038" s="247"/>
      <c r="B1038" s="209"/>
      <c r="C1038" s="247"/>
      <c r="D1038" s="248"/>
      <c r="E1038" s="212"/>
      <c r="F1038" s="249"/>
      <c r="G1038" s="194">
        <f t="shared" si="2"/>
        <v>0</v>
      </c>
      <c r="H1038" s="214"/>
      <c r="I1038" s="214"/>
    </row>
    <row r="1039" ht="30.0" customHeight="1">
      <c r="A1039" s="247"/>
      <c r="B1039" s="209"/>
      <c r="C1039" s="247"/>
      <c r="D1039" s="248"/>
      <c r="E1039" s="212"/>
      <c r="F1039" s="249"/>
      <c r="G1039" s="194">
        <f t="shared" si="2"/>
        <v>0</v>
      </c>
      <c r="H1039" s="214"/>
      <c r="I1039" s="214"/>
    </row>
    <row r="1040" ht="30.0" customHeight="1">
      <c r="A1040" s="247"/>
      <c r="B1040" s="209"/>
      <c r="C1040" s="247"/>
      <c r="D1040" s="248"/>
      <c r="E1040" s="212"/>
      <c r="F1040" s="249"/>
      <c r="G1040" s="194">
        <f t="shared" si="2"/>
        <v>0</v>
      </c>
      <c r="H1040" s="214"/>
      <c r="I1040" s="214"/>
    </row>
    <row r="1041" ht="30.0" customHeight="1">
      <c r="A1041" s="247"/>
      <c r="B1041" s="209"/>
      <c r="C1041" s="247"/>
      <c r="D1041" s="248"/>
      <c r="E1041" s="212"/>
      <c r="F1041" s="249"/>
      <c r="G1041" s="194">
        <f t="shared" si="2"/>
        <v>0</v>
      </c>
      <c r="H1041" s="214"/>
      <c r="I1041" s="214"/>
    </row>
    <row r="1042" ht="30.0" customHeight="1">
      <c r="A1042" s="247"/>
      <c r="B1042" s="209"/>
      <c r="C1042" s="247"/>
      <c r="D1042" s="248"/>
      <c r="E1042" s="212"/>
      <c r="F1042" s="249"/>
      <c r="G1042" s="194">
        <f t="shared" si="2"/>
        <v>0</v>
      </c>
      <c r="H1042" s="214"/>
      <c r="I1042" s="214"/>
    </row>
  </sheetData>
  <conditionalFormatting sqref="F2:I1042">
    <cfRule type="expression" dxfId="5" priority="1">
      <formula>$H$1=TRUE</formula>
    </cfRule>
  </conditionalFormatting>
  <conditionalFormatting sqref="A2:D1042">
    <cfRule type="expression" dxfId="5" priority="2">
      <formula>$H$1=FULST</formula>
    </cfRule>
  </conditionalFormatting>
  <dataValidations>
    <dataValidation type="list" allowBlank="1" showDropDown="1" showErrorMessage="1" sqref="B2:B1042">
      <formula1>"راتب,سلفة,سند دفع,سند صرف,سند قبض,شراء"</formula1>
    </dataValidation>
    <dataValidation type="list" allowBlank="1" showDropDown="1" showErrorMessage="1" sqref="E2:E1042">
      <formula1>"HUSSEN,JOZYF,SIFE"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57.0"/>
    <col customWidth="1" min="3" max="4" width="23.29"/>
  </cols>
  <sheetData>
    <row r="1" ht="30.0" customHeight="1">
      <c r="A1" s="250" t="s">
        <v>212</v>
      </c>
      <c r="B1" s="250" t="s">
        <v>213</v>
      </c>
      <c r="C1" s="251"/>
      <c r="D1" s="252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1"/>
      <c r="W1" s="251"/>
      <c r="X1" s="251"/>
      <c r="Y1" s="251"/>
    </row>
    <row r="2" ht="30.0" customHeight="1">
      <c r="A2" s="188">
        <v>46037.0</v>
      </c>
      <c r="B2" s="190" t="s">
        <v>56</v>
      </c>
      <c r="C2" s="192" t="s">
        <v>57</v>
      </c>
      <c r="D2" s="253">
        <v>212000.0</v>
      </c>
    </row>
    <row r="3" ht="30.0" customHeight="1">
      <c r="A3" s="188">
        <v>46037.0</v>
      </c>
      <c r="B3" s="198" t="s">
        <v>58</v>
      </c>
      <c r="C3" s="192" t="s">
        <v>57</v>
      </c>
      <c r="D3" s="253">
        <v>10000.0</v>
      </c>
    </row>
    <row r="4" ht="30.0" customHeight="1">
      <c r="A4" s="188">
        <v>46038.0</v>
      </c>
      <c r="B4" s="201" t="s">
        <v>60</v>
      </c>
      <c r="C4" s="192" t="s">
        <v>61</v>
      </c>
      <c r="D4" s="253">
        <v>2000000.0</v>
      </c>
    </row>
    <row r="5" ht="30.0" customHeight="1">
      <c r="A5" s="188">
        <v>46039.0</v>
      </c>
      <c r="B5" s="203" t="s">
        <v>1</v>
      </c>
      <c r="C5" s="205" t="s">
        <v>57</v>
      </c>
      <c r="D5" s="253">
        <v>1300000.0</v>
      </c>
    </row>
    <row r="6" ht="30.0" customHeight="1">
      <c r="A6" s="188">
        <v>46039.0</v>
      </c>
      <c r="B6" s="201" t="s">
        <v>62</v>
      </c>
      <c r="C6" s="192" t="s">
        <v>61</v>
      </c>
      <c r="D6" s="253">
        <v>50000.0</v>
      </c>
    </row>
    <row r="7" ht="30.0" customHeight="1">
      <c r="A7" s="188">
        <v>46039.0</v>
      </c>
      <c r="B7" s="203" t="s">
        <v>63</v>
      </c>
      <c r="C7" s="205" t="s">
        <v>61</v>
      </c>
      <c r="D7" s="253">
        <v>176000.0</v>
      </c>
    </row>
    <row r="8" ht="30.0" customHeight="1">
      <c r="A8" s="188">
        <v>46040.0</v>
      </c>
      <c r="B8" s="216" t="s">
        <v>1</v>
      </c>
      <c r="C8" s="217" t="s">
        <v>61</v>
      </c>
      <c r="D8" s="253">
        <v>2100000.0</v>
      </c>
    </row>
    <row r="9" ht="30.0" customHeight="1">
      <c r="A9" s="188">
        <v>46040.0</v>
      </c>
      <c r="B9" s="203" t="s">
        <v>65</v>
      </c>
      <c r="C9" s="205" t="s">
        <v>61</v>
      </c>
      <c r="D9" s="253">
        <v>1000000.0</v>
      </c>
    </row>
    <row r="10" ht="30.0" customHeight="1">
      <c r="A10" s="188">
        <v>46041.0</v>
      </c>
      <c r="B10" s="207" t="s">
        <v>68</v>
      </c>
      <c r="C10" s="205" t="s">
        <v>61</v>
      </c>
      <c r="D10" s="254">
        <v>3076000.0</v>
      </c>
    </row>
    <row r="11" ht="30.0" customHeight="1">
      <c r="A11" s="188">
        <v>46041.0</v>
      </c>
      <c r="B11" s="203" t="s">
        <v>69</v>
      </c>
      <c r="C11" s="205" t="s">
        <v>61</v>
      </c>
      <c r="D11" s="253">
        <v>776000.0</v>
      </c>
    </row>
    <row r="12" ht="30.0" customHeight="1">
      <c r="A12" s="188">
        <v>46054.0</v>
      </c>
      <c r="B12" s="201" t="s">
        <v>96</v>
      </c>
      <c r="C12" s="192" t="s">
        <v>61</v>
      </c>
      <c r="D12" s="253">
        <v>1000000.0</v>
      </c>
    </row>
    <row r="13" ht="30.0" customHeight="1">
      <c r="A13" s="188">
        <v>46054.0</v>
      </c>
      <c r="B13" s="201" t="s">
        <v>96</v>
      </c>
      <c r="C13" s="192" t="s">
        <v>61</v>
      </c>
      <c r="D13" s="253">
        <v>1000000.0</v>
      </c>
    </row>
    <row r="14" ht="30.0" customHeight="1">
      <c r="A14" s="188">
        <v>46055.0</v>
      </c>
      <c r="B14" s="201" t="s">
        <v>97</v>
      </c>
      <c r="C14" s="192" t="s">
        <v>61</v>
      </c>
      <c r="D14" s="254">
        <v>1000000.0</v>
      </c>
    </row>
    <row r="15" ht="30.0" customHeight="1">
      <c r="A15" s="188">
        <v>46056.0</v>
      </c>
      <c r="B15" s="201" t="s">
        <v>65</v>
      </c>
      <c r="C15" s="192" t="s">
        <v>61</v>
      </c>
      <c r="D15" s="253">
        <v>1000000.0</v>
      </c>
    </row>
    <row r="16" ht="30.0" customHeight="1">
      <c r="A16" s="188">
        <v>46057.0</v>
      </c>
      <c r="B16" s="201" t="s">
        <v>97</v>
      </c>
      <c r="C16" s="192" t="s">
        <v>61</v>
      </c>
      <c r="D16" s="254">
        <v>300000.0</v>
      </c>
    </row>
    <row r="17" ht="30.0" customHeight="1">
      <c r="A17" s="188">
        <v>46059.0</v>
      </c>
      <c r="B17" s="201" t="s">
        <v>113</v>
      </c>
      <c r="C17" s="192" t="s">
        <v>57</v>
      </c>
      <c r="D17" s="253">
        <v>207000.0</v>
      </c>
    </row>
    <row r="18" ht="30.0" customHeight="1">
      <c r="A18" s="188">
        <v>46060.0</v>
      </c>
      <c r="B18" s="201" t="s">
        <v>118</v>
      </c>
      <c r="C18" s="192" t="s">
        <v>57</v>
      </c>
      <c r="D18" s="253">
        <v>51500.0</v>
      </c>
    </row>
    <row r="19" ht="30.0" customHeight="1">
      <c r="A19" s="188">
        <v>46061.0</v>
      </c>
      <c r="B19" s="201" t="s">
        <v>97</v>
      </c>
      <c r="C19" s="192" t="s">
        <v>61</v>
      </c>
      <c r="D19" s="254">
        <v>555000.0</v>
      </c>
    </row>
    <row r="20" ht="30.0" customHeight="1">
      <c r="A20" s="188">
        <v>46063.0</v>
      </c>
      <c r="B20" s="201" t="s">
        <v>96</v>
      </c>
      <c r="C20" s="192" t="s">
        <v>61</v>
      </c>
      <c r="D20" s="253">
        <v>2000000.0</v>
      </c>
    </row>
    <row r="21" ht="30.0" customHeight="1">
      <c r="A21" s="188">
        <v>46065.0</v>
      </c>
      <c r="B21" s="201" t="s">
        <v>97</v>
      </c>
      <c r="C21" s="192" t="s">
        <v>61</v>
      </c>
      <c r="D21" s="254">
        <v>1000000.0</v>
      </c>
    </row>
    <row r="22" ht="30.0" customHeight="1">
      <c r="A22" s="188">
        <v>46068.0</v>
      </c>
      <c r="B22" s="201" t="s">
        <v>97</v>
      </c>
      <c r="C22" s="192" t="s">
        <v>61</v>
      </c>
      <c r="D22" s="254">
        <v>500000.0</v>
      </c>
    </row>
    <row r="23" ht="30.0" customHeight="1">
      <c r="A23" s="188">
        <v>46069.0</v>
      </c>
      <c r="B23" s="201" t="s">
        <v>97</v>
      </c>
      <c r="C23" s="192" t="s">
        <v>61</v>
      </c>
      <c r="D23" s="254">
        <v>500000.0</v>
      </c>
    </row>
    <row r="24" ht="30.0" customHeight="1">
      <c r="A24" s="188">
        <v>46070.0</v>
      </c>
      <c r="B24" s="201" t="s">
        <v>97</v>
      </c>
      <c r="C24" s="192" t="s">
        <v>61</v>
      </c>
      <c r="D24" s="254">
        <v>200000.0</v>
      </c>
    </row>
    <row r="25" ht="30.0" customHeight="1">
      <c r="A25" s="188">
        <v>46070.0</v>
      </c>
      <c r="B25" s="201" t="s">
        <v>143</v>
      </c>
      <c r="C25" s="192" t="s">
        <v>61</v>
      </c>
      <c r="D25" s="253">
        <v>1.0E7</v>
      </c>
    </row>
    <row r="26" ht="30.0" customHeight="1">
      <c r="A26" s="188">
        <v>46070.0</v>
      </c>
      <c r="B26" s="198" t="s">
        <v>64</v>
      </c>
      <c r="C26" s="192" t="s">
        <v>61</v>
      </c>
      <c r="D26" s="253">
        <v>50000.0</v>
      </c>
    </row>
    <row r="27" ht="30.0" customHeight="1">
      <c r="A27" s="188">
        <v>46071.0</v>
      </c>
      <c r="B27" s="201" t="s">
        <v>97</v>
      </c>
      <c r="C27" s="192" t="s">
        <v>61</v>
      </c>
      <c r="D27" s="254">
        <v>170000.0</v>
      </c>
    </row>
    <row r="28" ht="30.0" customHeight="1">
      <c r="A28" s="188">
        <v>46071.0</v>
      </c>
      <c r="B28" s="201" t="s">
        <v>147</v>
      </c>
      <c r="C28" s="192" t="s">
        <v>61</v>
      </c>
      <c r="D28" s="253">
        <v>500000.0</v>
      </c>
    </row>
    <row r="29" ht="30.0" customHeight="1">
      <c r="A29" s="188">
        <v>46072.0</v>
      </c>
      <c r="B29" s="201" t="s">
        <v>97</v>
      </c>
      <c r="C29" s="192" t="s">
        <v>61</v>
      </c>
      <c r="D29" s="254">
        <v>1000000.0</v>
      </c>
    </row>
    <row r="30" ht="30.0" customHeight="1">
      <c r="A30" s="188">
        <v>46075.0</v>
      </c>
      <c r="B30" s="201" t="s">
        <v>75</v>
      </c>
      <c r="C30" s="192" t="s">
        <v>57</v>
      </c>
      <c r="D30" s="253">
        <v>8000.0</v>
      </c>
    </row>
    <row r="31" ht="30.0" customHeight="1">
      <c r="A31" s="188">
        <v>46075.0</v>
      </c>
      <c r="B31" s="228" t="s">
        <v>64</v>
      </c>
      <c r="C31" s="192" t="s">
        <v>57</v>
      </c>
      <c r="D31" s="253">
        <v>11000.0</v>
      </c>
    </row>
    <row r="32" ht="30.0" customHeight="1">
      <c r="A32" s="188">
        <v>46076.0</v>
      </c>
      <c r="B32" s="220" t="s">
        <v>77</v>
      </c>
      <c r="C32" s="192" t="s">
        <v>57</v>
      </c>
      <c r="D32" s="253">
        <v>10000.0</v>
      </c>
    </row>
    <row r="33" ht="30.0" customHeight="1">
      <c r="A33" s="188">
        <v>46079.0</v>
      </c>
      <c r="B33" s="201" t="s">
        <v>64</v>
      </c>
      <c r="C33" s="192" t="s">
        <v>61</v>
      </c>
      <c r="D33" s="253">
        <v>20000.0</v>
      </c>
    </row>
    <row r="34" ht="30.0" customHeight="1">
      <c r="A34" s="188">
        <v>46079.0</v>
      </c>
      <c r="B34" s="201" t="s">
        <v>157</v>
      </c>
      <c r="C34" s="192" t="s">
        <v>61</v>
      </c>
      <c r="D34" s="253">
        <v>800000.0</v>
      </c>
    </row>
    <row r="35" ht="30.0" customHeight="1">
      <c r="A35" s="188">
        <v>46081.0</v>
      </c>
      <c r="B35" s="201" t="s">
        <v>158</v>
      </c>
      <c r="C35" s="192" t="s">
        <v>61</v>
      </c>
      <c r="D35" s="253">
        <v>1500000.0</v>
      </c>
    </row>
    <row r="36" ht="30.0" customHeight="1">
      <c r="A36" s="188">
        <v>46081.0</v>
      </c>
      <c r="B36" s="201" t="s">
        <v>158</v>
      </c>
      <c r="C36" s="192" t="s">
        <v>61</v>
      </c>
      <c r="D36" s="253">
        <v>1000000.0</v>
      </c>
    </row>
    <row r="37" ht="30.0" customHeight="1">
      <c r="A37" s="188">
        <v>46082.0</v>
      </c>
      <c r="B37" s="201" t="s">
        <v>158</v>
      </c>
      <c r="C37" s="192" t="s">
        <v>61</v>
      </c>
      <c r="D37" s="254">
        <v>1000000.0</v>
      </c>
    </row>
    <row r="38" ht="30.0" customHeight="1">
      <c r="A38" s="232">
        <v>46097.0</v>
      </c>
      <c r="B38" s="198" t="s">
        <v>64</v>
      </c>
      <c r="C38" s="174" t="s">
        <v>61</v>
      </c>
      <c r="D38" s="254">
        <v>30000.0</v>
      </c>
    </row>
    <row r="39" ht="30.0" customHeight="1">
      <c r="A39" s="232">
        <v>46097.0</v>
      </c>
      <c r="B39" s="198" t="s">
        <v>177</v>
      </c>
      <c r="C39" s="174" t="s">
        <v>61</v>
      </c>
      <c r="D39" s="254">
        <v>1500000.0</v>
      </c>
    </row>
    <row r="40" ht="30.0" customHeight="1">
      <c r="A40" s="232">
        <v>46097.0</v>
      </c>
      <c r="B40" s="198" t="s">
        <v>65</v>
      </c>
      <c r="C40" s="174" t="s">
        <v>61</v>
      </c>
      <c r="D40" s="254">
        <v>1000000.0</v>
      </c>
    </row>
    <row r="41" ht="30.0" customHeight="1">
      <c r="A41" s="232">
        <v>46103.0</v>
      </c>
      <c r="B41" s="198" t="s">
        <v>64</v>
      </c>
      <c r="C41" s="174" t="s">
        <v>61</v>
      </c>
      <c r="D41" s="254">
        <v>30000.0</v>
      </c>
    </row>
    <row r="42" ht="30.0" customHeight="1">
      <c r="A42" s="232">
        <v>46103.0</v>
      </c>
      <c r="B42" s="198" t="s">
        <v>64</v>
      </c>
      <c r="C42" s="174" t="s">
        <v>61</v>
      </c>
      <c r="D42" s="254">
        <v>200000.0</v>
      </c>
    </row>
    <row r="43" ht="30.0" customHeight="1">
      <c r="A43" s="232">
        <v>46106.0</v>
      </c>
      <c r="B43" s="191" t="s">
        <v>106</v>
      </c>
      <c r="C43" s="174" t="s">
        <v>61</v>
      </c>
      <c r="D43" s="254">
        <v>5000.0</v>
      </c>
    </row>
    <row r="44" ht="30.0" customHeight="1">
      <c r="A44" s="232">
        <v>46106.0</v>
      </c>
      <c r="B44" s="190" t="s">
        <v>188</v>
      </c>
      <c r="C44" s="174" t="s">
        <v>61</v>
      </c>
      <c r="D44" s="254">
        <v>4725000.0</v>
      </c>
    </row>
    <row r="45" ht="30.0" customHeight="1">
      <c r="A45" s="232">
        <v>46110.0</v>
      </c>
      <c r="B45" s="198" t="s">
        <v>64</v>
      </c>
      <c r="C45" s="174" t="s">
        <v>61</v>
      </c>
      <c r="D45" s="254">
        <v>15000.0</v>
      </c>
    </row>
    <row r="46" ht="30.0" customHeight="1">
      <c r="A46" s="232">
        <v>46112.0</v>
      </c>
      <c r="B46" s="198" t="s">
        <v>1</v>
      </c>
      <c r="C46" s="174" t="s">
        <v>61</v>
      </c>
      <c r="D46" s="254">
        <v>10000.0</v>
      </c>
    </row>
    <row r="47" ht="30.0" customHeight="1">
      <c r="A47" s="232">
        <v>46112.0</v>
      </c>
      <c r="B47" s="198" t="s">
        <v>62</v>
      </c>
      <c r="C47" s="174" t="s">
        <v>61</v>
      </c>
      <c r="D47" s="254">
        <v>10000.0</v>
      </c>
    </row>
    <row r="48" ht="30.0" customHeight="1">
      <c r="A48" s="232">
        <v>46117.0</v>
      </c>
      <c r="B48" s="198" t="s">
        <v>168</v>
      </c>
      <c r="C48" s="174" t="s">
        <v>61</v>
      </c>
      <c r="D48" s="254">
        <v>1680000.0</v>
      </c>
    </row>
    <row r="49" ht="30.0" customHeight="1">
      <c r="A49" s="238">
        <v>46128.0</v>
      </c>
      <c r="B49" s="234" t="s">
        <v>194</v>
      </c>
      <c r="C49" s="212" t="s">
        <v>61</v>
      </c>
      <c r="D49" s="255">
        <v>750000.0</v>
      </c>
    </row>
    <row r="50" ht="30.0" customHeight="1">
      <c r="A50" s="238">
        <v>46128.0</v>
      </c>
      <c r="B50" s="234" t="s">
        <v>158</v>
      </c>
      <c r="C50" s="212" t="s">
        <v>61</v>
      </c>
      <c r="D50" s="254">
        <v>1000000.0</v>
      </c>
    </row>
    <row r="51" ht="30.0" customHeight="1">
      <c r="A51" s="238">
        <v>46128.0</v>
      </c>
      <c r="B51" s="210" t="s">
        <v>64</v>
      </c>
      <c r="C51" s="212" t="s">
        <v>61</v>
      </c>
      <c r="D51" s="255">
        <v>50000.0</v>
      </c>
    </row>
    <row r="52" ht="30.0" customHeight="1">
      <c r="A52" s="208">
        <v>46134.0</v>
      </c>
      <c r="B52" s="210" t="s">
        <v>58</v>
      </c>
      <c r="C52" s="212" t="s">
        <v>61</v>
      </c>
      <c r="D52" s="255">
        <v>5000.0</v>
      </c>
    </row>
    <row r="53" ht="30.0" customHeight="1">
      <c r="A53" s="208">
        <v>46134.0</v>
      </c>
      <c r="B53" s="210" t="s">
        <v>106</v>
      </c>
      <c r="C53" s="212" t="s">
        <v>61</v>
      </c>
      <c r="D53" s="255">
        <v>6000.0</v>
      </c>
    </row>
    <row r="54" ht="30.0" customHeight="1">
      <c r="A54" s="208">
        <v>46134.0</v>
      </c>
      <c r="B54" s="210" t="s">
        <v>64</v>
      </c>
      <c r="C54" s="212" t="s">
        <v>61</v>
      </c>
      <c r="D54" s="255">
        <v>15000.0</v>
      </c>
    </row>
    <row r="55" ht="30.0" customHeight="1">
      <c r="A55" s="208">
        <v>46134.0</v>
      </c>
      <c r="B55" s="210" t="s">
        <v>77</v>
      </c>
      <c r="C55" s="212" t="s">
        <v>61</v>
      </c>
      <c r="D55" s="255">
        <v>22000.0</v>
      </c>
    </row>
    <row r="56" ht="30.0" customHeight="1">
      <c r="A56" s="208">
        <v>46134.0</v>
      </c>
      <c r="B56" s="210" t="s">
        <v>77</v>
      </c>
      <c r="C56" s="212" t="s">
        <v>61</v>
      </c>
      <c r="D56" s="255">
        <v>2000.0</v>
      </c>
    </row>
    <row r="57" ht="30.0" customHeight="1">
      <c r="A57" s="208">
        <v>46135.0</v>
      </c>
      <c r="B57" s="210" t="s">
        <v>73</v>
      </c>
      <c r="C57" s="212" t="s">
        <v>61</v>
      </c>
      <c r="D57" s="255">
        <v>10000.0</v>
      </c>
    </row>
    <row r="58" ht="30.0" customHeight="1">
      <c r="A58" s="208">
        <v>46135.0</v>
      </c>
      <c r="B58" s="210" t="s">
        <v>77</v>
      </c>
      <c r="C58" s="212" t="s">
        <v>61</v>
      </c>
      <c r="D58" s="255">
        <v>10000.0</v>
      </c>
    </row>
    <row r="59" ht="30.0" customHeight="1">
      <c r="A59" s="208">
        <v>46135.0</v>
      </c>
      <c r="B59" s="210" t="s">
        <v>64</v>
      </c>
      <c r="C59" s="212" t="s">
        <v>61</v>
      </c>
      <c r="D59" s="255">
        <v>18000.0</v>
      </c>
    </row>
    <row r="60" ht="30.0" customHeight="1">
      <c r="A60" s="208">
        <v>46135.0</v>
      </c>
      <c r="B60" s="210" t="s">
        <v>106</v>
      </c>
      <c r="C60" s="212" t="s">
        <v>61</v>
      </c>
      <c r="D60" s="255">
        <v>1000.0</v>
      </c>
    </row>
    <row r="61" ht="30.0" customHeight="1">
      <c r="A61" s="208">
        <v>46135.0</v>
      </c>
      <c r="B61" s="210" t="s">
        <v>58</v>
      </c>
      <c r="C61" s="212" t="s">
        <v>61</v>
      </c>
      <c r="D61" s="255">
        <v>25000.0</v>
      </c>
    </row>
    <row r="62" ht="30.0" customHeight="1">
      <c r="A62" s="256">
        <v>46041.0</v>
      </c>
      <c r="B62" s="257">
        <v>30000.0</v>
      </c>
      <c r="C62" s="258">
        <v>46041.0</v>
      </c>
      <c r="D62" s="259" t="s">
        <v>38</v>
      </c>
      <c r="E62" s="260" t="s">
        <v>1</v>
      </c>
      <c r="F62" s="260">
        <v>-5000.0</v>
      </c>
    </row>
    <row r="63" ht="30.0" customHeight="1">
      <c r="A63" s="261">
        <v>46042.0</v>
      </c>
      <c r="B63" s="262">
        <v>81000.0</v>
      </c>
      <c r="C63" s="258">
        <v>46041.0</v>
      </c>
      <c r="D63" s="259" t="s">
        <v>38</v>
      </c>
      <c r="E63" s="260" t="s">
        <v>1</v>
      </c>
      <c r="F63" s="260">
        <v>-25000.0</v>
      </c>
    </row>
    <row r="64" ht="30.0" customHeight="1">
      <c r="A64" s="261">
        <v>46056.0</v>
      </c>
      <c r="B64" s="262">
        <v>5000.0</v>
      </c>
      <c r="C64" s="258">
        <v>46043.0</v>
      </c>
      <c r="D64" s="259" t="s">
        <v>38</v>
      </c>
      <c r="E64" s="260" t="s">
        <v>1</v>
      </c>
      <c r="F64" s="260">
        <v>-125000.0</v>
      </c>
    </row>
    <row r="65" ht="30.0" customHeight="1">
      <c r="A65" s="261">
        <v>46058.0</v>
      </c>
      <c r="B65" s="262">
        <v>8000.0</v>
      </c>
      <c r="C65" s="258">
        <v>46047.0</v>
      </c>
      <c r="D65" s="259" t="s">
        <v>38</v>
      </c>
      <c r="E65" s="260" t="s">
        <v>1</v>
      </c>
      <c r="F65" s="260">
        <v>-5000.0</v>
      </c>
    </row>
    <row r="66" ht="30.0" customHeight="1">
      <c r="A66" s="261">
        <v>46062.0</v>
      </c>
      <c r="B66" s="262">
        <v>10000.0</v>
      </c>
      <c r="C66" s="258">
        <v>46050.0</v>
      </c>
      <c r="D66" s="259" t="s">
        <v>38</v>
      </c>
      <c r="E66" s="260" t="s">
        <v>1</v>
      </c>
      <c r="F66" s="260">
        <v>-50000.0</v>
      </c>
    </row>
    <row r="67" ht="30.0" customHeight="1">
      <c r="A67" s="263">
        <v>46065.0</v>
      </c>
      <c r="B67" s="264">
        <v>15000.0</v>
      </c>
      <c r="C67" s="258">
        <v>46055.0</v>
      </c>
      <c r="D67" s="259" t="s">
        <v>38</v>
      </c>
      <c r="E67" s="260" t="s">
        <v>1</v>
      </c>
      <c r="F67" s="260">
        <v>-5000.0</v>
      </c>
    </row>
    <row r="68" ht="30.0" customHeight="1">
      <c r="A68" s="261">
        <v>46068.0</v>
      </c>
      <c r="B68" s="262">
        <v>80000.0</v>
      </c>
      <c r="C68" s="258">
        <v>46055.0</v>
      </c>
      <c r="D68" s="259" t="s">
        <v>38</v>
      </c>
      <c r="E68" s="260" t="s">
        <v>1</v>
      </c>
      <c r="F68" s="260">
        <v>-10000.0</v>
      </c>
    </row>
    <row r="69" ht="30.0" customHeight="1">
      <c r="A69" s="263">
        <v>46069.0</v>
      </c>
      <c r="B69" s="264">
        <v>300000.0</v>
      </c>
      <c r="C69" s="258">
        <v>46055.0</v>
      </c>
      <c r="D69" s="259" t="s">
        <v>37</v>
      </c>
      <c r="E69" s="260" t="s">
        <v>1</v>
      </c>
      <c r="F69" s="260">
        <v>-750000.0</v>
      </c>
    </row>
    <row r="70" ht="30.0" customHeight="1">
      <c r="A70" s="261">
        <v>46069.0</v>
      </c>
      <c r="B70" s="262">
        <v>2100000.0</v>
      </c>
      <c r="C70" s="258">
        <v>46056.0</v>
      </c>
      <c r="D70" s="259" t="s">
        <v>38</v>
      </c>
      <c r="E70" s="260" t="s">
        <v>1</v>
      </c>
      <c r="F70" s="260">
        <v>-5000.0</v>
      </c>
    </row>
    <row r="71" ht="30.0" customHeight="1">
      <c r="A71" s="261">
        <v>46073.0</v>
      </c>
      <c r="B71" s="262">
        <v>854.0</v>
      </c>
      <c r="C71" s="258">
        <v>46058.0</v>
      </c>
      <c r="D71" s="259" t="s">
        <v>38</v>
      </c>
      <c r="E71" s="260" t="s">
        <v>1</v>
      </c>
      <c r="F71" s="260">
        <v>-8000.0</v>
      </c>
    </row>
    <row r="72" ht="30.0" customHeight="1">
      <c r="A72" s="261">
        <v>46083.0</v>
      </c>
      <c r="B72" s="262">
        <v>6750.0</v>
      </c>
      <c r="C72" s="258">
        <v>46059.0</v>
      </c>
      <c r="D72" s="259" t="s">
        <v>38</v>
      </c>
      <c r="E72" s="260" t="s">
        <v>1</v>
      </c>
      <c r="F72" s="260">
        <v>-5000.0</v>
      </c>
    </row>
    <row r="73" ht="30.0" customHeight="1">
      <c r="A73" s="263">
        <v>46090.0</v>
      </c>
      <c r="B73" s="264">
        <v>5000.0</v>
      </c>
      <c r="C73" s="258">
        <v>46062.0</v>
      </c>
      <c r="D73" s="259" t="s">
        <v>38</v>
      </c>
      <c r="E73" s="260" t="s">
        <v>1</v>
      </c>
      <c r="F73" s="260">
        <v>-10000.0</v>
      </c>
    </row>
    <row r="74" ht="30.0" customHeight="1">
      <c r="A74" s="263">
        <v>46097.0</v>
      </c>
      <c r="B74" s="264">
        <v>40000.0</v>
      </c>
      <c r="C74" s="258">
        <v>46065.0</v>
      </c>
      <c r="D74" s="259" t="s">
        <v>38</v>
      </c>
      <c r="E74" s="260" t="s">
        <v>1</v>
      </c>
      <c r="F74" s="260">
        <v>-15000.0</v>
      </c>
    </row>
    <row r="75" ht="30.0" customHeight="1">
      <c r="A75" s="261">
        <v>46098.0</v>
      </c>
      <c r="B75" s="262">
        <v>55000.0</v>
      </c>
      <c r="C75" s="258">
        <v>46068.0</v>
      </c>
      <c r="D75" s="259" t="s">
        <v>38</v>
      </c>
      <c r="E75" s="260" t="s">
        <v>1</v>
      </c>
      <c r="F75" s="260">
        <v>-60000.0</v>
      </c>
    </row>
    <row r="76" ht="30.0" customHeight="1">
      <c r="A76" s="261">
        <v>46100.0</v>
      </c>
      <c r="B76" s="262">
        <v>100000.0</v>
      </c>
      <c r="C76" s="258">
        <v>46068.0</v>
      </c>
      <c r="D76" s="259" t="s">
        <v>38</v>
      </c>
      <c r="E76" s="260" t="s">
        <v>1</v>
      </c>
      <c r="F76" s="260">
        <v>-7000.0</v>
      </c>
    </row>
    <row r="77" ht="30.0" customHeight="1">
      <c r="A77" s="261">
        <v>46109.0</v>
      </c>
      <c r="B77" s="262">
        <v>32000.0</v>
      </c>
      <c r="C77" s="258">
        <v>46069.0</v>
      </c>
      <c r="D77" s="259" t="s">
        <v>38</v>
      </c>
      <c r="E77" s="260" t="s">
        <v>1</v>
      </c>
      <c r="F77" s="260">
        <v>-300000.0</v>
      </c>
    </row>
    <row r="78" ht="30.0" customHeight="1">
      <c r="C78" s="258">
        <v>46083.0</v>
      </c>
      <c r="D78" s="259" t="s">
        <v>38</v>
      </c>
      <c r="E78" s="260" t="s">
        <v>1</v>
      </c>
      <c r="F78" s="260">
        <v>-3250.0</v>
      </c>
    </row>
    <row r="79" ht="30.0" customHeight="1">
      <c r="C79" s="258">
        <v>46083.0</v>
      </c>
      <c r="D79" s="259" t="s">
        <v>38</v>
      </c>
      <c r="E79" s="260" t="s">
        <v>1</v>
      </c>
      <c r="F79" s="260">
        <v>-3500.0</v>
      </c>
      <c r="K79" s="265">
        <f>SUM(B62:B77)-L79</f>
        <v>-104396</v>
      </c>
      <c r="L79" s="266">
        <f>873000+B70</f>
        <v>2973000</v>
      </c>
    </row>
    <row r="80" ht="30.0" customHeight="1">
      <c r="C80" s="258">
        <v>46084.0</v>
      </c>
      <c r="D80" s="259" t="s">
        <v>37</v>
      </c>
      <c r="E80" s="260" t="s">
        <v>1</v>
      </c>
      <c r="F80" s="260">
        <v>-800000.0</v>
      </c>
    </row>
    <row r="81" ht="30.0" customHeight="1">
      <c r="C81" s="258">
        <v>46090.0</v>
      </c>
      <c r="D81" s="259" t="s">
        <v>38</v>
      </c>
      <c r="E81" s="260" t="s">
        <v>1</v>
      </c>
      <c r="F81" s="260">
        <v>-5000.0</v>
      </c>
    </row>
    <row r="82" ht="30.0" customHeight="1">
      <c r="C82" s="258">
        <v>46097.0</v>
      </c>
      <c r="D82" s="259" t="s">
        <v>38</v>
      </c>
      <c r="E82" s="260" t="s">
        <v>1</v>
      </c>
      <c r="F82" s="260">
        <v>-40000.0</v>
      </c>
    </row>
    <row r="83" ht="30.0" customHeight="1">
      <c r="C83" s="258">
        <v>46098.0</v>
      </c>
      <c r="D83" s="259" t="s">
        <v>38</v>
      </c>
      <c r="E83" s="260" t="s">
        <v>1</v>
      </c>
      <c r="F83" s="260">
        <v>-55000.0</v>
      </c>
    </row>
    <row r="84" ht="30.0" customHeight="1">
      <c r="C84" s="258">
        <v>46100.0</v>
      </c>
      <c r="D84" s="259" t="s">
        <v>38</v>
      </c>
      <c r="E84" s="260" t="s">
        <v>1</v>
      </c>
      <c r="F84" s="260">
        <v>-100000.0</v>
      </c>
    </row>
    <row r="85" ht="30.0" customHeight="1">
      <c r="C85" s="258">
        <v>46104.0</v>
      </c>
      <c r="D85" s="259" t="s">
        <v>38</v>
      </c>
      <c r="E85" s="260" t="s">
        <v>1</v>
      </c>
      <c r="F85" s="260">
        <v>-32000.0</v>
      </c>
    </row>
    <row r="86" ht="30.0" customHeight="1">
      <c r="C86" s="258">
        <v>46112.0</v>
      </c>
      <c r="D86" s="259" t="s">
        <v>38</v>
      </c>
      <c r="E86" s="260" t="s">
        <v>1</v>
      </c>
      <c r="F86" s="260">
        <v>0.0</v>
      </c>
    </row>
    <row r="87" ht="30.0" customHeight="1">
      <c r="C87" s="258">
        <v>46114.0</v>
      </c>
      <c r="D87" s="259" t="s">
        <v>38</v>
      </c>
      <c r="E87" s="260" t="s">
        <v>1</v>
      </c>
      <c r="F87" s="260">
        <v>-10000.0</v>
      </c>
    </row>
    <row r="88" ht="30.0" customHeight="1">
      <c r="C88" s="258">
        <v>46114.0</v>
      </c>
      <c r="D88" s="259" t="s">
        <v>38</v>
      </c>
      <c r="E88" s="260" t="s">
        <v>1</v>
      </c>
      <c r="F88" s="260">
        <v>-30000.0</v>
      </c>
    </row>
    <row r="89" ht="30.0" customHeight="1">
      <c r="C89" s="258">
        <v>46117.0</v>
      </c>
      <c r="D89" s="259" t="s">
        <v>37</v>
      </c>
      <c r="E89" s="260" t="s">
        <v>1</v>
      </c>
      <c r="F89" s="260">
        <v>-700000.0</v>
      </c>
    </row>
    <row r="90" ht="30.0" customHeight="1">
      <c r="C90" s="258">
        <v>46117.0</v>
      </c>
      <c r="D90" s="259" t="s">
        <v>38</v>
      </c>
      <c r="E90" s="260" t="s">
        <v>1</v>
      </c>
      <c r="F90" s="260">
        <v>-40000.0</v>
      </c>
    </row>
    <row r="91" ht="30.0" customHeight="1">
      <c r="C91" s="258">
        <v>46131.0</v>
      </c>
      <c r="D91" s="259" t="s">
        <v>38</v>
      </c>
      <c r="E91" s="260" t="s">
        <v>1</v>
      </c>
      <c r="F91" s="260">
        <v>-10000.0</v>
      </c>
    </row>
    <row r="92" ht="30.0" customHeight="1">
      <c r="C92" s="258">
        <v>46133.0</v>
      </c>
      <c r="D92" s="259" t="s">
        <v>38</v>
      </c>
      <c r="E92" s="260" t="s">
        <v>1</v>
      </c>
      <c r="F92" s="260">
        <v>-10000.0</v>
      </c>
    </row>
    <row r="93" ht="30.0" customHeight="1">
      <c r="C93" s="258">
        <v>46134.0</v>
      </c>
      <c r="D93" s="259" t="s">
        <v>38</v>
      </c>
      <c r="E93" s="260" t="s">
        <v>1</v>
      </c>
      <c r="F93" s="260">
        <v>-40000.0</v>
      </c>
    </row>
    <row r="94" ht="30.0" customHeight="1">
      <c r="C94" s="258">
        <v>46135.0</v>
      </c>
      <c r="D94" s="259" t="s">
        <v>38</v>
      </c>
      <c r="E94" s="260" t="s">
        <v>1</v>
      </c>
      <c r="F94" s="260">
        <v>-10000.0</v>
      </c>
    </row>
    <row r="95" ht="30.0" customHeight="1">
      <c r="C95" s="258">
        <v>46136.0</v>
      </c>
      <c r="D95" s="259" t="s">
        <v>38</v>
      </c>
      <c r="E95" s="260" t="s">
        <v>1</v>
      </c>
      <c r="F95" s="260">
        <v>-12500.0</v>
      </c>
    </row>
    <row r="96" ht="30.0" customHeight="1">
      <c r="D96" s="259"/>
    </row>
    <row r="97" ht="30.0" customHeight="1">
      <c r="D97" s="259"/>
    </row>
    <row r="98" ht="30.0" customHeight="1">
      <c r="D98" s="259"/>
    </row>
    <row r="99" ht="30.0" customHeight="1">
      <c r="D99" s="259"/>
    </row>
    <row r="100" ht="30.0" customHeight="1">
      <c r="D100" s="259"/>
    </row>
    <row r="101" ht="30.0" customHeight="1">
      <c r="D101" s="259"/>
    </row>
    <row r="102" ht="30.0" customHeight="1">
      <c r="D102" s="259"/>
    </row>
    <row r="103" ht="30.0" customHeight="1">
      <c r="D103" s="259"/>
    </row>
    <row r="104" ht="30.0" customHeight="1">
      <c r="D104" s="259"/>
    </row>
    <row r="105" ht="30.0" customHeight="1">
      <c r="D105" s="259"/>
    </row>
    <row r="106" ht="30.0" customHeight="1">
      <c r="D106" s="259"/>
    </row>
    <row r="107" ht="30.0" customHeight="1">
      <c r="D107" s="259"/>
    </row>
    <row r="108" ht="30.0" customHeight="1">
      <c r="D108" s="259"/>
    </row>
    <row r="109" ht="30.0" customHeight="1">
      <c r="D109" s="259"/>
    </row>
    <row r="110" ht="30.0" customHeight="1">
      <c r="D110" s="259"/>
    </row>
    <row r="111" ht="30.0" customHeight="1">
      <c r="D111" s="259"/>
    </row>
    <row r="112" ht="30.0" customHeight="1">
      <c r="D112" s="259"/>
    </row>
    <row r="113" ht="30.0" customHeight="1">
      <c r="D113" s="259"/>
    </row>
    <row r="114" ht="30.0" customHeight="1">
      <c r="D114" s="259"/>
    </row>
    <row r="115" ht="30.0" customHeight="1">
      <c r="D115" s="259"/>
    </row>
    <row r="116" ht="30.0" customHeight="1">
      <c r="D116" s="259"/>
    </row>
    <row r="117" ht="30.0" customHeight="1">
      <c r="D117" s="259"/>
    </row>
    <row r="118" ht="30.0" customHeight="1">
      <c r="D118" s="259"/>
    </row>
    <row r="119" ht="30.0" customHeight="1">
      <c r="D119" s="259"/>
    </row>
    <row r="120" ht="30.0" customHeight="1">
      <c r="D120" s="259"/>
    </row>
    <row r="121" ht="30.0" customHeight="1">
      <c r="D121" s="259"/>
    </row>
    <row r="122" ht="30.0" customHeight="1">
      <c r="D122" s="259"/>
    </row>
    <row r="123" ht="30.0" customHeight="1">
      <c r="D123" s="259"/>
    </row>
    <row r="124" ht="30.0" customHeight="1">
      <c r="D124" s="259"/>
    </row>
    <row r="125" ht="30.0" customHeight="1">
      <c r="D125" s="259"/>
    </row>
    <row r="126" ht="30.0" customHeight="1">
      <c r="D126" s="259"/>
    </row>
    <row r="127" ht="30.0" customHeight="1">
      <c r="D127" s="259"/>
    </row>
    <row r="128" ht="30.0" customHeight="1">
      <c r="D128" s="259"/>
    </row>
    <row r="129" ht="30.0" customHeight="1">
      <c r="D129" s="259"/>
    </row>
    <row r="130" ht="30.0" customHeight="1">
      <c r="D130" s="259"/>
    </row>
    <row r="131" ht="30.0" customHeight="1">
      <c r="D131" s="259"/>
    </row>
    <row r="132" ht="30.0" customHeight="1">
      <c r="D132" s="259"/>
    </row>
    <row r="133" ht="30.0" customHeight="1">
      <c r="D133" s="259"/>
    </row>
    <row r="134" ht="30.0" customHeight="1">
      <c r="D134" s="259"/>
    </row>
    <row r="135" ht="30.0" customHeight="1">
      <c r="D135" s="259"/>
    </row>
    <row r="136" ht="30.0" customHeight="1">
      <c r="D136" s="259"/>
    </row>
    <row r="137" ht="30.0" customHeight="1">
      <c r="D137" s="259"/>
    </row>
    <row r="138" ht="30.0" customHeight="1">
      <c r="D138" s="259"/>
    </row>
    <row r="139" ht="30.0" customHeight="1">
      <c r="D139" s="259"/>
    </row>
    <row r="140" ht="30.0" customHeight="1">
      <c r="D140" s="259"/>
    </row>
    <row r="141" ht="30.0" customHeight="1">
      <c r="D141" s="259"/>
    </row>
    <row r="142" ht="30.0" customHeight="1">
      <c r="D142" s="259"/>
    </row>
    <row r="143" ht="30.0" customHeight="1">
      <c r="D143" s="259"/>
    </row>
    <row r="144" ht="30.0" customHeight="1">
      <c r="D144" s="259"/>
    </row>
    <row r="145" ht="30.0" customHeight="1">
      <c r="D145" s="259"/>
    </row>
    <row r="146" ht="30.0" customHeight="1">
      <c r="D146" s="259"/>
    </row>
    <row r="147" ht="30.0" customHeight="1">
      <c r="D147" s="259"/>
    </row>
    <row r="148" ht="30.0" customHeight="1">
      <c r="D148" s="259"/>
    </row>
    <row r="149" ht="30.0" customHeight="1">
      <c r="D149" s="259"/>
    </row>
    <row r="150" ht="30.0" customHeight="1">
      <c r="D150" s="259"/>
    </row>
    <row r="151" ht="30.0" customHeight="1">
      <c r="D151" s="259"/>
    </row>
    <row r="152" ht="30.0" customHeight="1">
      <c r="D152" s="259"/>
    </row>
    <row r="153" ht="30.0" customHeight="1">
      <c r="D153" s="259"/>
    </row>
    <row r="154" ht="30.0" customHeight="1">
      <c r="D154" s="259"/>
    </row>
    <row r="155" ht="30.0" customHeight="1">
      <c r="D155" s="259"/>
    </row>
    <row r="156" ht="30.0" customHeight="1">
      <c r="D156" s="259"/>
    </row>
    <row r="157" ht="30.0" customHeight="1">
      <c r="D157" s="259"/>
    </row>
    <row r="158" ht="30.0" customHeight="1">
      <c r="D158" s="259"/>
    </row>
    <row r="159" ht="30.0" customHeight="1">
      <c r="D159" s="259"/>
    </row>
    <row r="160" ht="30.0" customHeight="1">
      <c r="D160" s="259"/>
    </row>
    <row r="161" ht="30.0" customHeight="1">
      <c r="D161" s="259"/>
    </row>
    <row r="162" ht="30.0" customHeight="1">
      <c r="D162" s="259"/>
    </row>
    <row r="163" ht="30.0" customHeight="1">
      <c r="D163" s="259"/>
    </row>
    <row r="164" ht="30.0" customHeight="1">
      <c r="D164" s="259"/>
    </row>
    <row r="165" ht="30.0" customHeight="1">
      <c r="D165" s="259"/>
    </row>
    <row r="166" ht="30.0" customHeight="1">
      <c r="D166" s="259"/>
    </row>
    <row r="167" ht="30.0" customHeight="1">
      <c r="D167" s="259"/>
    </row>
    <row r="168" ht="30.0" customHeight="1">
      <c r="D168" s="259"/>
    </row>
    <row r="169" ht="30.0" customHeight="1">
      <c r="D169" s="259"/>
    </row>
    <row r="170" ht="30.0" customHeight="1">
      <c r="D170" s="259"/>
    </row>
    <row r="171" ht="30.0" customHeight="1">
      <c r="D171" s="259"/>
    </row>
    <row r="172" ht="30.0" customHeight="1">
      <c r="D172" s="259"/>
    </row>
    <row r="173" ht="30.0" customHeight="1">
      <c r="D173" s="259"/>
    </row>
    <row r="174" ht="30.0" customHeight="1">
      <c r="D174" s="259"/>
    </row>
    <row r="175" ht="30.0" customHeight="1">
      <c r="D175" s="259"/>
    </row>
    <row r="176" ht="30.0" customHeight="1">
      <c r="D176" s="259"/>
    </row>
    <row r="177" ht="30.0" customHeight="1">
      <c r="D177" s="259"/>
    </row>
    <row r="178" ht="30.0" customHeight="1">
      <c r="D178" s="259"/>
    </row>
    <row r="179" ht="30.0" customHeight="1">
      <c r="D179" s="259"/>
    </row>
    <row r="180" ht="30.0" customHeight="1">
      <c r="D180" s="259"/>
    </row>
    <row r="181" ht="30.0" customHeight="1">
      <c r="D181" s="259"/>
    </row>
    <row r="182" ht="30.0" customHeight="1">
      <c r="D182" s="259"/>
    </row>
    <row r="183" ht="30.0" customHeight="1">
      <c r="D183" s="259"/>
    </row>
    <row r="184" ht="30.0" customHeight="1">
      <c r="D184" s="259"/>
    </row>
    <row r="185" ht="30.0" customHeight="1">
      <c r="D185" s="259"/>
    </row>
    <row r="186" ht="30.0" customHeight="1">
      <c r="D186" s="259"/>
    </row>
    <row r="187" ht="30.0" customHeight="1">
      <c r="D187" s="259"/>
    </row>
    <row r="188" ht="30.0" customHeight="1">
      <c r="D188" s="259"/>
    </row>
    <row r="189" ht="30.0" customHeight="1">
      <c r="D189" s="259"/>
    </row>
    <row r="190" ht="30.0" customHeight="1">
      <c r="D190" s="259"/>
    </row>
    <row r="191" ht="30.0" customHeight="1">
      <c r="D191" s="259"/>
    </row>
    <row r="192" ht="30.0" customHeight="1">
      <c r="D192" s="259"/>
    </row>
    <row r="193" ht="30.0" customHeight="1">
      <c r="D193" s="259"/>
    </row>
    <row r="194" ht="30.0" customHeight="1">
      <c r="D194" s="259"/>
    </row>
    <row r="195" ht="30.0" customHeight="1">
      <c r="D195" s="259"/>
    </row>
    <row r="196" ht="30.0" customHeight="1">
      <c r="D196" s="259"/>
    </row>
    <row r="197" ht="30.0" customHeight="1">
      <c r="D197" s="259"/>
    </row>
    <row r="198" ht="30.0" customHeight="1">
      <c r="D198" s="259"/>
    </row>
    <row r="199" ht="30.0" customHeight="1">
      <c r="D199" s="259"/>
    </row>
    <row r="200" ht="30.0" customHeight="1">
      <c r="D200" s="259"/>
    </row>
    <row r="201" ht="30.0" customHeight="1">
      <c r="D201" s="259"/>
    </row>
    <row r="202" ht="30.0" customHeight="1">
      <c r="D202" s="259"/>
    </row>
    <row r="203" ht="30.0" customHeight="1">
      <c r="D203" s="259"/>
    </row>
    <row r="204" ht="30.0" customHeight="1">
      <c r="D204" s="259"/>
    </row>
    <row r="205" ht="30.0" customHeight="1">
      <c r="D205" s="259"/>
    </row>
    <row r="206" ht="30.0" customHeight="1">
      <c r="D206" s="259"/>
    </row>
    <row r="207" ht="30.0" customHeight="1">
      <c r="D207" s="259"/>
    </row>
    <row r="208" ht="30.0" customHeight="1">
      <c r="D208" s="259"/>
    </row>
    <row r="209" ht="30.0" customHeight="1">
      <c r="D209" s="259"/>
    </row>
    <row r="210" ht="30.0" customHeight="1">
      <c r="D210" s="259"/>
    </row>
    <row r="211" ht="30.0" customHeight="1">
      <c r="D211" s="259"/>
    </row>
    <row r="212" ht="30.0" customHeight="1">
      <c r="D212" s="259"/>
    </row>
    <row r="213" ht="30.0" customHeight="1">
      <c r="D213" s="259"/>
    </row>
    <row r="214" ht="30.0" customHeight="1">
      <c r="D214" s="259"/>
    </row>
    <row r="215" ht="30.0" customHeight="1">
      <c r="D215" s="259"/>
    </row>
    <row r="216" ht="30.0" customHeight="1">
      <c r="D216" s="259"/>
    </row>
    <row r="217" ht="30.0" customHeight="1">
      <c r="D217" s="259"/>
    </row>
    <row r="218" ht="30.0" customHeight="1">
      <c r="D218" s="259"/>
    </row>
    <row r="219" ht="30.0" customHeight="1">
      <c r="D219" s="259"/>
    </row>
    <row r="220" ht="30.0" customHeight="1">
      <c r="D220" s="259"/>
    </row>
    <row r="221" ht="30.0" customHeight="1">
      <c r="D221" s="259"/>
    </row>
    <row r="222" ht="30.0" customHeight="1">
      <c r="D222" s="259"/>
    </row>
    <row r="223" ht="30.0" customHeight="1">
      <c r="D223" s="259"/>
    </row>
    <row r="224" ht="30.0" customHeight="1">
      <c r="D224" s="259"/>
    </row>
    <row r="225" ht="30.0" customHeight="1">
      <c r="D225" s="259"/>
    </row>
    <row r="226" ht="30.0" customHeight="1">
      <c r="D226" s="259"/>
    </row>
    <row r="227" ht="30.0" customHeight="1">
      <c r="D227" s="259"/>
    </row>
    <row r="228" ht="30.0" customHeight="1">
      <c r="D228" s="259"/>
    </row>
    <row r="229" ht="30.0" customHeight="1">
      <c r="D229" s="259"/>
    </row>
    <row r="230" ht="30.0" customHeight="1">
      <c r="D230" s="259"/>
    </row>
    <row r="231" ht="30.0" customHeight="1">
      <c r="D231" s="259"/>
    </row>
    <row r="232" ht="30.0" customHeight="1">
      <c r="D232" s="259"/>
    </row>
    <row r="233" ht="30.0" customHeight="1">
      <c r="D233" s="259"/>
    </row>
    <row r="234" ht="30.0" customHeight="1">
      <c r="D234" s="259"/>
    </row>
    <row r="235" ht="30.0" customHeight="1">
      <c r="D235" s="259"/>
    </row>
    <row r="236" ht="30.0" customHeight="1">
      <c r="D236" s="259"/>
    </row>
    <row r="237" ht="30.0" customHeight="1">
      <c r="D237" s="259"/>
    </row>
    <row r="238" ht="30.0" customHeight="1">
      <c r="D238" s="259"/>
    </row>
    <row r="239" ht="30.0" customHeight="1">
      <c r="D239" s="259"/>
    </row>
    <row r="240" ht="30.0" customHeight="1">
      <c r="D240" s="259"/>
    </row>
    <row r="241" ht="30.0" customHeight="1">
      <c r="D241" s="259"/>
    </row>
    <row r="242" ht="30.0" customHeight="1">
      <c r="D242" s="259"/>
    </row>
    <row r="243" ht="30.0" customHeight="1">
      <c r="D243" s="259"/>
    </row>
    <row r="244" ht="30.0" customHeight="1">
      <c r="D244" s="259"/>
    </row>
    <row r="245" ht="30.0" customHeight="1">
      <c r="D245" s="259"/>
    </row>
    <row r="246" ht="30.0" customHeight="1">
      <c r="D246" s="259"/>
    </row>
    <row r="247" ht="30.0" customHeight="1">
      <c r="D247" s="259"/>
    </row>
    <row r="248" ht="30.0" customHeight="1">
      <c r="D248" s="259"/>
    </row>
    <row r="249" ht="30.0" customHeight="1">
      <c r="D249" s="259"/>
    </row>
    <row r="250" ht="30.0" customHeight="1">
      <c r="D250" s="259"/>
    </row>
    <row r="251" ht="30.0" customHeight="1">
      <c r="D251" s="259"/>
    </row>
    <row r="252" ht="30.0" customHeight="1">
      <c r="D252" s="259"/>
    </row>
    <row r="253" ht="30.0" customHeight="1">
      <c r="D253" s="259"/>
    </row>
    <row r="254" ht="30.0" customHeight="1">
      <c r="D254" s="259"/>
    </row>
    <row r="255" ht="30.0" customHeight="1">
      <c r="D255" s="259"/>
    </row>
    <row r="256" ht="30.0" customHeight="1">
      <c r="D256" s="259"/>
    </row>
    <row r="257" ht="30.0" customHeight="1">
      <c r="D257" s="259"/>
    </row>
    <row r="258" ht="30.0" customHeight="1">
      <c r="D258" s="259"/>
    </row>
    <row r="259" ht="30.0" customHeight="1">
      <c r="D259" s="259"/>
    </row>
    <row r="260" ht="30.0" customHeight="1">
      <c r="D260" s="259"/>
    </row>
    <row r="261" ht="30.0" customHeight="1">
      <c r="D261" s="259"/>
    </row>
    <row r="262" ht="30.0" customHeight="1">
      <c r="D262" s="259"/>
    </row>
    <row r="263" ht="30.0" customHeight="1">
      <c r="D263" s="259"/>
    </row>
    <row r="264" ht="30.0" customHeight="1">
      <c r="D264" s="259"/>
    </row>
    <row r="265" ht="30.0" customHeight="1">
      <c r="D265" s="259"/>
    </row>
    <row r="266" ht="30.0" customHeight="1">
      <c r="D266" s="259"/>
    </row>
    <row r="267" ht="30.0" customHeight="1">
      <c r="D267" s="259"/>
    </row>
    <row r="268" ht="30.0" customHeight="1">
      <c r="D268" s="259"/>
    </row>
    <row r="269" ht="30.0" customHeight="1">
      <c r="D269" s="259"/>
    </row>
    <row r="270" ht="30.0" customHeight="1">
      <c r="D270" s="259"/>
    </row>
    <row r="271" ht="30.0" customHeight="1">
      <c r="D271" s="259"/>
    </row>
    <row r="272" ht="30.0" customHeight="1">
      <c r="D272" s="259"/>
    </row>
    <row r="273" ht="30.0" customHeight="1">
      <c r="D273" s="259"/>
    </row>
    <row r="274" ht="30.0" customHeight="1">
      <c r="D274" s="259"/>
    </row>
    <row r="275" ht="30.0" customHeight="1">
      <c r="D275" s="259"/>
    </row>
    <row r="276" ht="30.0" customHeight="1">
      <c r="D276" s="259"/>
    </row>
    <row r="277" ht="30.0" customHeight="1">
      <c r="D277" s="259"/>
    </row>
    <row r="278" ht="30.0" customHeight="1">
      <c r="D278" s="259"/>
    </row>
    <row r="279" ht="30.0" customHeight="1">
      <c r="D279" s="259"/>
    </row>
    <row r="280" ht="30.0" customHeight="1">
      <c r="D280" s="259"/>
    </row>
    <row r="281" ht="30.0" customHeight="1">
      <c r="D281" s="259"/>
    </row>
    <row r="282" ht="30.0" customHeight="1">
      <c r="D282" s="259"/>
    </row>
    <row r="283" ht="30.0" customHeight="1">
      <c r="D283" s="259"/>
    </row>
    <row r="284" ht="30.0" customHeight="1">
      <c r="D284" s="259"/>
    </row>
    <row r="285" ht="30.0" customHeight="1">
      <c r="D285" s="259"/>
    </row>
    <row r="286" ht="30.0" customHeight="1">
      <c r="D286" s="259"/>
    </row>
    <row r="287" ht="30.0" customHeight="1">
      <c r="D287" s="259"/>
    </row>
    <row r="288" ht="30.0" customHeight="1">
      <c r="D288" s="259"/>
    </row>
    <row r="289" ht="30.0" customHeight="1">
      <c r="D289" s="259"/>
    </row>
    <row r="290" ht="30.0" customHeight="1">
      <c r="D290" s="259"/>
    </row>
    <row r="291" ht="30.0" customHeight="1">
      <c r="D291" s="259"/>
    </row>
    <row r="292" ht="30.0" customHeight="1">
      <c r="D292" s="259"/>
    </row>
    <row r="293" ht="30.0" customHeight="1">
      <c r="D293" s="259"/>
    </row>
    <row r="294" ht="30.0" customHeight="1">
      <c r="D294" s="259"/>
    </row>
    <row r="295" ht="30.0" customHeight="1">
      <c r="D295" s="259"/>
    </row>
    <row r="296" ht="30.0" customHeight="1">
      <c r="D296" s="259"/>
    </row>
    <row r="297" ht="30.0" customHeight="1">
      <c r="D297" s="259"/>
    </row>
    <row r="298" ht="30.0" customHeight="1">
      <c r="D298" s="259"/>
    </row>
    <row r="299" ht="30.0" customHeight="1">
      <c r="D299" s="259"/>
    </row>
    <row r="300" ht="30.0" customHeight="1">
      <c r="D300" s="259"/>
    </row>
    <row r="301" ht="30.0" customHeight="1">
      <c r="D301" s="259"/>
    </row>
    <row r="302" ht="30.0" customHeight="1">
      <c r="D302" s="259"/>
    </row>
    <row r="303" ht="30.0" customHeight="1">
      <c r="D303" s="259"/>
    </row>
    <row r="304" ht="30.0" customHeight="1">
      <c r="D304" s="259"/>
    </row>
    <row r="305" ht="30.0" customHeight="1">
      <c r="D305" s="259"/>
    </row>
    <row r="306" ht="30.0" customHeight="1">
      <c r="D306" s="259"/>
    </row>
    <row r="307" ht="30.0" customHeight="1">
      <c r="D307" s="259"/>
    </row>
    <row r="308" ht="30.0" customHeight="1">
      <c r="D308" s="259"/>
    </row>
    <row r="309" ht="30.0" customHeight="1">
      <c r="D309" s="259"/>
    </row>
    <row r="310" ht="30.0" customHeight="1">
      <c r="D310" s="259"/>
    </row>
    <row r="311" ht="30.0" customHeight="1">
      <c r="D311" s="259"/>
    </row>
    <row r="312" ht="30.0" customHeight="1">
      <c r="D312" s="259"/>
    </row>
    <row r="313" ht="30.0" customHeight="1">
      <c r="D313" s="259"/>
    </row>
    <row r="314" ht="30.0" customHeight="1">
      <c r="D314" s="259"/>
    </row>
    <row r="315" ht="30.0" customHeight="1">
      <c r="D315" s="259"/>
    </row>
    <row r="316" ht="30.0" customHeight="1">
      <c r="D316" s="259"/>
    </row>
    <row r="317" ht="30.0" customHeight="1">
      <c r="D317" s="259"/>
    </row>
    <row r="318" ht="30.0" customHeight="1">
      <c r="D318" s="259"/>
    </row>
    <row r="319" ht="30.0" customHeight="1">
      <c r="D319" s="259"/>
    </row>
    <row r="320" ht="30.0" customHeight="1">
      <c r="D320" s="259"/>
    </row>
    <row r="321" ht="30.0" customHeight="1">
      <c r="D321" s="259"/>
    </row>
    <row r="322" ht="30.0" customHeight="1">
      <c r="D322" s="259"/>
    </row>
    <row r="323" ht="30.0" customHeight="1">
      <c r="D323" s="259"/>
    </row>
    <row r="324" ht="30.0" customHeight="1">
      <c r="D324" s="259"/>
    </row>
    <row r="325" ht="30.0" customHeight="1">
      <c r="D325" s="259"/>
    </row>
    <row r="326" ht="30.0" customHeight="1">
      <c r="D326" s="259"/>
    </row>
    <row r="327" ht="30.0" customHeight="1">
      <c r="D327" s="259"/>
    </row>
    <row r="328" ht="30.0" customHeight="1">
      <c r="D328" s="259"/>
    </row>
    <row r="329" ht="30.0" customHeight="1">
      <c r="D329" s="259"/>
    </row>
    <row r="330" ht="30.0" customHeight="1">
      <c r="D330" s="259"/>
    </row>
    <row r="331" ht="30.0" customHeight="1">
      <c r="D331" s="259"/>
    </row>
    <row r="332" ht="30.0" customHeight="1">
      <c r="D332" s="259"/>
    </row>
    <row r="333" ht="30.0" customHeight="1">
      <c r="D333" s="259"/>
    </row>
    <row r="334" ht="30.0" customHeight="1">
      <c r="D334" s="259"/>
    </row>
    <row r="335" ht="30.0" customHeight="1">
      <c r="D335" s="259"/>
    </row>
    <row r="336" ht="30.0" customHeight="1">
      <c r="D336" s="259"/>
    </row>
    <row r="337" ht="30.0" customHeight="1">
      <c r="D337" s="259"/>
    </row>
    <row r="338" ht="30.0" customHeight="1">
      <c r="D338" s="259"/>
    </row>
    <row r="339" ht="30.0" customHeight="1">
      <c r="D339" s="259"/>
    </row>
    <row r="340" ht="30.0" customHeight="1">
      <c r="D340" s="259"/>
    </row>
    <row r="341" ht="30.0" customHeight="1">
      <c r="D341" s="259"/>
    </row>
    <row r="342" ht="30.0" customHeight="1">
      <c r="D342" s="259"/>
    </row>
    <row r="343" ht="30.0" customHeight="1">
      <c r="D343" s="259"/>
    </row>
    <row r="344" ht="30.0" customHeight="1">
      <c r="D344" s="259"/>
    </row>
    <row r="345" ht="30.0" customHeight="1">
      <c r="D345" s="259"/>
    </row>
    <row r="346" ht="30.0" customHeight="1">
      <c r="D346" s="259"/>
    </row>
    <row r="347" ht="30.0" customHeight="1">
      <c r="D347" s="259"/>
    </row>
    <row r="348" ht="30.0" customHeight="1">
      <c r="D348" s="259"/>
    </row>
    <row r="349" ht="30.0" customHeight="1">
      <c r="D349" s="259"/>
    </row>
    <row r="350" ht="30.0" customHeight="1">
      <c r="D350" s="259"/>
    </row>
    <row r="351" ht="30.0" customHeight="1">
      <c r="D351" s="259"/>
    </row>
    <row r="352" ht="30.0" customHeight="1">
      <c r="D352" s="259"/>
    </row>
    <row r="353" ht="30.0" customHeight="1">
      <c r="D353" s="259"/>
    </row>
    <row r="354" ht="30.0" customHeight="1">
      <c r="D354" s="259"/>
    </row>
    <row r="355" ht="30.0" customHeight="1">
      <c r="D355" s="259"/>
    </row>
    <row r="356" ht="30.0" customHeight="1">
      <c r="D356" s="259"/>
    </row>
    <row r="357" ht="30.0" customHeight="1">
      <c r="D357" s="259"/>
    </row>
    <row r="358" ht="30.0" customHeight="1">
      <c r="D358" s="259"/>
    </row>
    <row r="359" ht="30.0" customHeight="1">
      <c r="D359" s="259"/>
    </row>
    <row r="360" ht="30.0" customHeight="1">
      <c r="D360" s="259"/>
    </row>
    <row r="361" ht="30.0" customHeight="1">
      <c r="D361" s="259"/>
    </row>
    <row r="362" ht="30.0" customHeight="1">
      <c r="D362" s="259"/>
    </row>
    <row r="363" ht="30.0" customHeight="1">
      <c r="D363" s="259"/>
    </row>
    <row r="364" ht="30.0" customHeight="1">
      <c r="D364" s="259"/>
    </row>
    <row r="365" ht="30.0" customHeight="1">
      <c r="D365" s="259"/>
    </row>
    <row r="366" ht="30.0" customHeight="1">
      <c r="D366" s="259"/>
    </row>
    <row r="367" ht="30.0" customHeight="1">
      <c r="D367" s="259"/>
    </row>
    <row r="368" ht="30.0" customHeight="1">
      <c r="D368" s="259"/>
    </row>
    <row r="369" ht="30.0" customHeight="1">
      <c r="D369" s="259"/>
    </row>
    <row r="370" ht="30.0" customHeight="1">
      <c r="D370" s="259"/>
    </row>
    <row r="371" ht="30.0" customHeight="1">
      <c r="D371" s="259"/>
    </row>
    <row r="372" ht="30.0" customHeight="1">
      <c r="D372" s="259"/>
    </row>
    <row r="373" ht="30.0" customHeight="1">
      <c r="D373" s="259"/>
    </row>
    <row r="374" ht="30.0" customHeight="1">
      <c r="D374" s="259"/>
    </row>
    <row r="375" ht="30.0" customHeight="1">
      <c r="D375" s="259"/>
    </row>
    <row r="376" ht="30.0" customHeight="1">
      <c r="D376" s="259"/>
    </row>
    <row r="377" ht="30.0" customHeight="1">
      <c r="D377" s="259"/>
    </row>
    <row r="378" ht="30.0" customHeight="1">
      <c r="D378" s="259"/>
    </row>
    <row r="379" ht="30.0" customHeight="1">
      <c r="D379" s="259"/>
    </row>
    <row r="380" ht="30.0" customHeight="1">
      <c r="D380" s="259"/>
    </row>
    <row r="381" ht="30.0" customHeight="1">
      <c r="D381" s="259"/>
    </row>
    <row r="382" ht="30.0" customHeight="1">
      <c r="D382" s="259"/>
    </row>
    <row r="383" ht="30.0" customHeight="1">
      <c r="D383" s="259"/>
    </row>
    <row r="384" ht="30.0" customHeight="1">
      <c r="D384" s="259"/>
    </row>
    <row r="385" ht="30.0" customHeight="1">
      <c r="D385" s="259"/>
    </row>
    <row r="386" ht="30.0" customHeight="1">
      <c r="D386" s="259"/>
    </row>
    <row r="387" ht="30.0" customHeight="1">
      <c r="D387" s="259"/>
    </row>
    <row r="388" ht="30.0" customHeight="1">
      <c r="D388" s="259"/>
    </row>
    <row r="389" ht="30.0" customHeight="1">
      <c r="D389" s="259"/>
    </row>
    <row r="390" ht="30.0" customHeight="1">
      <c r="D390" s="259"/>
    </row>
    <row r="391" ht="30.0" customHeight="1">
      <c r="D391" s="259"/>
    </row>
    <row r="392" ht="30.0" customHeight="1">
      <c r="D392" s="259"/>
    </row>
    <row r="393" ht="30.0" customHeight="1">
      <c r="D393" s="259"/>
    </row>
    <row r="394" ht="30.0" customHeight="1">
      <c r="D394" s="259"/>
    </row>
    <row r="395" ht="30.0" customHeight="1">
      <c r="D395" s="259"/>
    </row>
    <row r="396" ht="30.0" customHeight="1">
      <c r="D396" s="259"/>
    </row>
    <row r="397" ht="30.0" customHeight="1">
      <c r="D397" s="259"/>
    </row>
    <row r="398" ht="30.0" customHeight="1">
      <c r="D398" s="259"/>
    </row>
    <row r="399" ht="30.0" customHeight="1">
      <c r="D399" s="259"/>
    </row>
    <row r="400" ht="30.0" customHeight="1">
      <c r="D400" s="259"/>
    </row>
    <row r="401" ht="30.0" customHeight="1">
      <c r="D401" s="259"/>
    </row>
    <row r="402" ht="30.0" customHeight="1">
      <c r="D402" s="259"/>
    </row>
    <row r="403" ht="30.0" customHeight="1">
      <c r="D403" s="259"/>
    </row>
    <row r="404" ht="30.0" customHeight="1">
      <c r="D404" s="259"/>
    </row>
    <row r="405" ht="30.0" customHeight="1">
      <c r="D405" s="259"/>
    </row>
    <row r="406" ht="30.0" customHeight="1">
      <c r="D406" s="259"/>
    </row>
    <row r="407" ht="30.0" customHeight="1">
      <c r="D407" s="259"/>
    </row>
    <row r="408" ht="30.0" customHeight="1">
      <c r="D408" s="259"/>
    </row>
    <row r="409" ht="30.0" customHeight="1">
      <c r="D409" s="259"/>
    </row>
    <row r="410" ht="30.0" customHeight="1">
      <c r="D410" s="259"/>
    </row>
    <row r="411" ht="30.0" customHeight="1">
      <c r="D411" s="259"/>
    </row>
    <row r="412" ht="30.0" customHeight="1">
      <c r="D412" s="259"/>
    </row>
    <row r="413" ht="30.0" customHeight="1">
      <c r="D413" s="259"/>
    </row>
    <row r="414" ht="30.0" customHeight="1">
      <c r="D414" s="259"/>
    </row>
    <row r="415" ht="30.0" customHeight="1">
      <c r="D415" s="259"/>
    </row>
    <row r="416" ht="30.0" customHeight="1">
      <c r="D416" s="259"/>
    </row>
    <row r="417" ht="30.0" customHeight="1">
      <c r="D417" s="259"/>
    </row>
    <row r="418" ht="30.0" customHeight="1">
      <c r="D418" s="259"/>
    </row>
    <row r="419" ht="30.0" customHeight="1">
      <c r="D419" s="259"/>
    </row>
    <row r="420" ht="30.0" customHeight="1">
      <c r="D420" s="259"/>
    </row>
    <row r="421" ht="30.0" customHeight="1">
      <c r="D421" s="259"/>
    </row>
    <row r="422" ht="30.0" customHeight="1">
      <c r="D422" s="259"/>
    </row>
    <row r="423" ht="30.0" customHeight="1">
      <c r="D423" s="259"/>
    </row>
    <row r="424" ht="30.0" customHeight="1">
      <c r="D424" s="259"/>
    </row>
    <row r="425" ht="30.0" customHeight="1">
      <c r="D425" s="259"/>
    </row>
    <row r="426" ht="30.0" customHeight="1">
      <c r="D426" s="259"/>
    </row>
    <row r="427" ht="30.0" customHeight="1">
      <c r="D427" s="259"/>
    </row>
    <row r="428" ht="30.0" customHeight="1">
      <c r="D428" s="259"/>
    </row>
    <row r="429" ht="30.0" customHeight="1">
      <c r="D429" s="259"/>
    </row>
    <row r="430" ht="30.0" customHeight="1">
      <c r="D430" s="259"/>
    </row>
    <row r="431" ht="30.0" customHeight="1">
      <c r="D431" s="259"/>
    </row>
    <row r="432" ht="30.0" customHeight="1">
      <c r="D432" s="259"/>
    </row>
    <row r="433" ht="30.0" customHeight="1">
      <c r="D433" s="259"/>
    </row>
    <row r="434" ht="30.0" customHeight="1">
      <c r="D434" s="259"/>
    </row>
    <row r="435" ht="30.0" customHeight="1">
      <c r="D435" s="259"/>
    </row>
    <row r="436" ht="30.0" customHeight="1">
      <c r="D436" s="259"/>
    </row>
    <row r="437" ht="30.0" customHeight="1">
      <c r="D437" s="259"/>
    </row>
    <row r="438" ht="30.0" customHeight="1">
      <c r="D438" s="259"/>
    </row>
    <row r="439" ht="30.0" customHeight="1">
      <c r="D439" s="259"/>
    </row>
    <row r="440" ht="30.0" customHeight="1">
      <c r="D440" s="259"/>
    </row>
    <row r="441" ht="30.0" customHeight="1">
      <c r="D441" s="259"/>
    </row>
    <row r="442" ht="30.0" customHeight="1">
      <c r="D442" s="259"/>
    </row>
    <row r="443" ht="30.0" customHeight="1">
      <c r="D443" s="259"/>
    </row>
    <row r="444" ht="30.0" customHeight="1">
      <c r="D444" s="259"/>
    </row>
    <row r="445" ht="30.0" customHeight="1">
      <c r="D445" s="259"/>
    </row>
    <row r="446" ht="30.0" customHeight="1">
      <c r="D446" s="259"/>
    </row>
    <row r="447" ht="30.0" customHeight="1">
      <c r="D447" s="259"/>
    </row>
    <row r="448" ht="30.0" customHeight="1">
      <c r="D448" s="259"/>
    </row>
    <row r="449" ht="30.0" customHeight="1">
      <c r="D449" s="259"/>
    </row>
    <row r="450" ht="30.0" customHeight="1">
      <c r="D450" s="259"/>
    </row>
    <row r="451" ht="30.0" customHeight="1">
      <c r="D451" s="259"/>
    </row>
    <row r="452" ht="30.0" customHeight="1">
      <c r="D452" s="259"/>
    </row>
    <row r="453" ht="30.0" customHeight="1">
      <c r="D453" s="259"/>
    </row>
    <row r="454" ht="30.0" customHeight="1">
      <c r="D454" s="259"/>
    </row>
    <row r="455" ht="30.0" customHeight="1">
      <c r="D455" s="259"/>
    </row>
    <row r="456" ht="30.0" customHeight="1">
      <c r="D456" s="259"/>
    </row>
    <row r="457" ht="30.0" customHeight="1">
      <c r="D457" s="259"/>
    </row>
    <row r="458" ht="30.0" customHeight="1">
      <c r="D458" s="259"/>
    </row>
    <row r="459" ht="30.0" customHeight="1">
      <c r="D459" s="259"/>
    </row>
    <row r="460" ht="30.0" customHeight="1">
      <c r="D460" s="259"/>
    </row>
    <row r="461" ht="30.0" customHeight="1">
      <c r="D461" s="259"/>
    </row>
    <row r="462" ht="30.0" customHeight="1">
      <c r="D462" s="259"/>
    </row>
    <row r="463" ht="30.0" customHeight="1">
      <c r="D463" s="259"/>
    </row>
    <row r="464" ht="30.0" customHeight="1">
      <c r="D464" s="259"/>
    </row>
    <row r="465" ht="30.0" customHeight="1">
      <c r="D465" s="259"/>
    </row>
    <row r="466" ht="30.0" customHeight="1">
      <c r="D466" s="259"/>
    </row>
    <row r="467" ht="30.0" customHeight="1">
      <c r="D467" s="259"/>
    </row>
    <row r="468" ht="30.0" customHeight="1">
      <c r="D468" s="259"/>
    </row>
    <row r="469" ht="30.0" customHeight="1">
      <c r="D469" s="259"/>
    </row>
    <row r="470" ht="30.0" customHeight="1">
      <c r="D470" s="259"/>
    </row>
    <row r="471" ht="30.0" customHeight="1">
      <c r="D471" s="259"/>
    </row>
    <row r="472" ht="30.0" customHeight="1">
      <c r="D472" s="259"/>
    </row>
    <row r="473" ht="30.0" customHeight="1">
      <c r="D473" s="259"/>
    </row>
    <row r="474" ht="30.0" customHeight="1">
      <c r="D474" s="259"/>
    </row>
    <row r="475" ht="30.0" customHeight="1">
      <c r="D475" s="259"/>
    </row>
    <row r="476" ht="30.0" customHeight="1">
      <c r="D476" s="259"/>
    </row>
    <row r="477" ht="30.0" customHeight="1">
      <c r="D477" s="259"/>
    </row>
    <row r="478" ht="30.0" customHeight="1">
      <c r="D478" s="259"/>
    </row>
    <row r="479" ht="30.0" customHeight="1">
      <c r="D479" s="259"/>
    </row>
    <row r="480" ht="30.0" customHeight="1">
      <c r="D480" s="259"/>
    </row>
    <row r="481" ht="30.0" customHeight="1">
      <c r="D481" s="259"/>
    </row>
    <row r="482" ht="30.0" customHeight="1">
      <c r="D482" s="259"/>
    </row>
    <row r="483" ht="30.0" customHeight="1">
      <c r="D483" s="259"/>
    </row>
    <row r="484" ht="30.0" customHeight="1">
      <c r="D484" s="259"/>
    </row>
    <row r="485" ht="30.0" customHeight="1">
      <c r="D485" s="259"/>
    </row>
    <row r="486" ht="30.0" customHeight="1">
      <c r="D486" s="259"/>
    </row>
    <row r="487" ht="30.0" customHeight="1">
      <c r="D487" s="259"/>
    </row>
    <row r="488" ht="30.0" customHeight="1">
      <c r="D488" s="259"/>
    </row>
    <row r="489" ht="30.0" customHeight="1">
      <c r="D489" s="259"/>
    </row>
    <row r="490" ht="30.0" customHeight="1">
      <c r="D490" s="259"/>
    </row>
    <row r="491" ht="30.0" customHeight="1">
      <c r="D491" s="259"/>
    </row>
    <row r="492" ht="30.0" customHeight="1">
      <c r="D492" s="259"/>
    </row>
    <row r="493" ht="30.0" customHeight="1">
      <c r="D493" s="259"/>
    </row>
    <row r="494" ht="30.0" customHeight="1">
      <c r="D494" s="259"/>
    </row>
    <row r="495" ht="30.0" customHeight="1">
      <c r="D495" s="259"/>
    </row>
    <row r="496" ht="30.0" customHeight="1">
      <c r="D496" s="259"/>
    </row>
    <row r="497" ht="30.0" customHeight="1">
      <c r="D497" s="259"/>
    </row>
    <row r="498" ht="30.0" customHeight="1">
      <c r="D498" s="259"/>
    </row>
    <row r="499" ht="30.0" customHeight="1">
      <c r="D499" s="259"/>
    </row>
    <row r="500" ht="30.0" customHeight="1">
      <c r="D500" s="259"/>
    </row>
    <row r="501" ht="30.0" customHeight="1">
      <c r="D501" s="259"/>
    </row>
    <row r="502" ht="30.0" customHeight="1">
      <c r="D502" s="259"/>
    </row>
    <row r="503" ht="30.0" customHeight="1">
      <c r="D503" s="259"/>
    </row>
    <row r="504" ht="30.0" customHeight="1">
      <c r="D504" s="259"/>
    </row>
    <row r="505" ht="30.0" customHeight="1">
      <c r="D505" s="259"/>
    </row>
    <row r="506" ht="30.0" customHeight="1">
      <c r="D506" s="259"/>
    </row>
    <row r="507" ht="30.0" customHeight="1">
      <c r="D507" s="259"/>
    </row>
    <row r="508" ht="30.0" customHeight="1">
      <c r="D508" s="259"/>
    </row>
    <row r="509" ht="30.0" customHeight="1">
      <c r="D509" s="259"/>
    </row>
    <row r="510" ht="30.0" customHeight="1">
      <c r="D510" s="259"/>
    </row>
    <row r="511" ht="30.0" customHeight="1">
      <c r="D511" s="259"/>
    </row>
    <row r="512" ht="30.0" customHeight="1">
      <c r="D512" s="259"/>
    </row>
    <row r="513" ht="30.0" customHeight="1">
      <c r="D513" s="259"/>
    </row>
    <row r="514" ht="30.0" customHeight="1">
      <c r="D514" s="259"/>
    </row>
    <row r="515" ht="30.0" customHeight="1">
      <c r="D515" s="259"/>
    </row>
    <row r="516" ht="30.0" customHeight="1">
      <c r="D516" s="259"/>
    </row>
    <row r="517" ht="30.0" customHeight="1">
      <c r="D517" s="259"/>
    </row>
    <row r="518" ht="30.0" customHeight="1">
      <c r="D518" s="259"/>
    </row>
    <row r="519" ht="30.0" customHeight="1">
      <c r="D519" s="259"/>
    </row>
    <row r="520" ht="30.0" customHeight="1">
      <c r="D520" s="259"/>
    </row>
    <row r="521" ht="30.0" customHeight="1">
      <c r="D521" s="259"/>
    </row>
    <row r="522" ht="30.0" customHeight="1">
      <c r="D522" s="259"/>
    </row>
    <row r="523" ht="30.0" customHeight="1">
      <c r="D523" s="259"/>
    </row>
    <row r="524" ht="30.0" customHeight="1">
      <c r="D524" s="259"/>
    </row>
    <row r="525" ht="30.0" customHeight="1">
      <c r="D525" s="259"/>
    </row>
    <row r="526" ht="30.0" customHeight="1">
      <c r="D526" s="259"/>
    </row>
    <row r="527" ht="30.0" customHeight="1">
      <c r="D527" s="259"/>
    </row>
    <row r="528" ht="30.0" customHeight="1">
      <c r="D528" s="259"/>
    </row>
    <row r="529" ht="30.0" customHeight="1">
      <c r="D529" s="259"/>
    </row>
    <row r="530" ht="30.0" customHeight="1">
      <c r="D530" s="259"/>
    </row>
    <row r="531" ht="30.0" customHeight="1">
      <c r="D531" s="259"/>
    </row>
    <row r="532" ht="30.0" customHeight="1">
      <c r="D532" s="259"/>
    </row>
    <row r="533" ht="30.0" customHeight="1">
      <c r="D533" s="259"/>
    </row>
    <row r="534" ht="30.0" customHeight="1">
      <c r="D534" s="259"/>
    </row>
    <row r="535" ht="30.0" customHeight="1">
      <c r="D535" s="259"/>
    </row>
    <row r="536" ht="30.0" customHeight="1">
      <c r="D536" s="259"/>
    </row>
    <row r="537" ht="30.0" customHeight="1">
      <c r="D537" s="259"/>
    </row>
    <row r="538" ht="30.0" customHeight="1">
      <c r="D538" s="259"/>
    </row>
    <row r="539" ht="30.0" customHeight="1">
      <c r="D539" s="259"/>
    </row>
    <row r="540" ht="30.0" customHeight="1">
      <c r="D540" s="259"/>
    </row>
    <row r="541" ht="30.0" customHeight="1">
      <c r="D541" s="259"/>
    </row>
    <row r="542" ht="30.0" customHeight="1">
      <c r="D542" s="259"/>
    </row>
    <row r="543" ht="30.0" customHeight="1">
      <c r="D543" s="259"/>
    </row>
    <row r="544" ht="30.0" customHeight="1">
      <c r="D544" s="259"/>
    </row>
    <row r="545" ht="30.0" customHeight="1">
      <c r="D545" s="259"/>
    </row>
    <row r="546" ht="30.0" customHeight="1">
      <c r="D546" s="259"/>
    </row>
    <row r="547" ht="30.0" customHeight="1">
      <c r="D547" s="259"/>
    </row>
    <row r="548" ht="30.0" customHeight="1">
      <c r="D548" s="259"/>
    </row>
    <row r="549" ht="30.0" customHeight="1">
      <c r="D549" s="259"/>
    </row>
    <row r="550" ht="30.0" customHeight="1">
      <c r="D550" s="259"/>
    </row>
    <row r="551" ht="30.0" customHeight="1">
      <c r="D551" s="259"/>
    </row>
    <row r="552" ht="30.0" customHeight="1">
      <c r="D552" s="259"/>
    </row>
    <row r="553" ht="30.0" customHeight="1">
      <c r="D553" s="259"/>
    </row>
    <row r="554" ht="30.0" customHeight="1">
      <c r="D554" s="259"/>
    </row>
    <row r="555" ht="30.0" customHeight="1">
      <c r="D555" s="259"/>
    </row>
    <row r="556" ht="30.0" customHeight="1">
      <c r="D556" s="259"/>
    </row>
    <row r="557" ht="30.0" customHeight="1">
      <c r="D557" s="259"/>
    </row>
    <row r="558" ht="30.0" customHeight="1">
      <c r="D558" s="259"/>
    </row>
    <row r="559" ht="30.0" customHeight="1">
      <c r="D559" s="259"/>
    </row>
    <row r="560" ht="30.0" customHeight="1">
      <c r="D560" s="259"/>
    </row>
    <row r="561" ht="30.0" customHeight="1">
      <c r="D561" s="259"/>
    </row>
    <row r="562" ht="30.0" customHeight="1">
      <c r="D562" s="259"/>
    </row>
    <row r="563" ht="30.0" customHeight="1">
      <c r="D563" s="259"/>
    </row>
    <row r="564" ht="30.0" customHeight="1">
      <c r="D564" s="259"/>
    </row>
    <row r="565" ht="30.0" customHeight="1">
      <c r="D565" s="259"/>
    </row>
    <row r="566" ht="30.0" customHeight="1">
      <c r="D566" s="259"/>
    </row>
    <row r="567" ht="30.0" customHeight="1">
      <c r="D567" s="259"/>
    </row>
    <row r="568" ht="30.0" customHeight="1">
      <c r="D568" s="259"/>
    </row>
    <row r="569" ht="30.0" customHeight="1">
      <c r="D569" s="259"/>
    </row>
    <row r="570" ht="30.0" customHeight="1">
      <c r="D570" s="259"/>
    </row>
    <row r="571" ht="30.0" customHeight="1">
      <c r="D571" s="259"/>
    </row>
    <row r="572" ht="30.0" customHeight="1">
      <c r="D572" s="259"/>
    </row>
    <row r="573" ht="30.0" customHeight="1">
      <c r="D573" s="259"/>
    </row>
    <row r="574" ht="30.0" customHeight="1">
      <c r="D574" s="259"/>
    </row>
    <row r="575" ht="30.0" customHeight="1">
      <c r="D575" s="259"/>
    </row>
    <row r="576" ht="30.0" customHeight="1">
      <c r="D576" s="259"/>
    </row>
    <row r="577" ht="30.0" customHeight="1">
      <c r="D577" s="259"/>
    </row>
    <row r="578" ht="30.0" customHeight="1">
      <c r="D578" s="259"/>
    </row>
    <row r="579" ht="30.0" customHeight="1">
      <c r="D579" s="259"/>
    </row>
    <row r="580" ht="30.0" customHeight="1">
      <c r="D580" s="259"/>
    </row>
    <row r="581" ht="30.0" customHeight="1">
      <c r="D581" s="259"/>
    </row>
    <row r="582" ht="30.0" customHeight="1">
      <c r="D582" s="259"/>
    </row>
    <row r="583" ht="30.0" customHeight="1">
      <c r="D583" s="259"/>
    </row>
    <row r="584" ht="30.0" customHeight="1">
      <c r="D584" s="259"/>
    </row>
    <row r="585" ht="30.0" customHeight="1">
      <c r="D585" s="259"/>
    </row>
    <row r="586" ht="30.0" customHeight="1">
      <c r="D586" s="259"/>
    </row>
    <row r="587" ht="30.0" customHeight="1">
      <c r="D587" s="259"/>
    </row>
    <row r="588" ht="30.0" customHeight="1">
      <c r="D588" s="259"/>
    </row>
    <row r="589" ht="30.0" customHeight="1">
      <c r="D589" s="259"/>
    </row>
    <row r="590" ht="30.0" customHeight="1">
      <c r="D590" s="259"/>
    </row>
    <row r="591" ht="30.0" customHeight="1">
      <c r="D591" s="259"/>
    </row>
    <row r="592" ht="30.0" customHeight="1">
      <c r="D592" s="259"/>
    </row>
    <row r="593" ht="30.0" customHeight="1">
      <c r="D593" s="259"/>
    </row>
    <row r="594" ht="30.0" customHeight="1">
      <c r="D594" s="259"/>
    </row>
    <row r="595" ht="30.0" customHeight="1">
      <c r="D595" s="259"/>
    </row>
    <row r="596" ht="30.0" customHeight="1">
      <c r="D596" s="259"/>
    </row>
    <row r="597" ht="30.0" customHeight="1">
      <c r="D597" s="259"/>
    </row>
    <row r="598" ht="30.0" customHeight="1">
      <c r="D598" s="259"/>
    </row>
    <row r="599" ht="30.0" customHeight="1">
      <c r="D599" s="259"/>
    </row>
    <row r="600" ht="30.0" customHeight="1">
      <c r="D600" s="259"/>
    </row>
    <row r="601" ht="30.0" customHeight="1">
      <c r="D601" s="259"/>
    </row>
    <row r="602" ht="30.0" customHeight="1">
      <c r="D602" s="259"/>
    </row>
    <row r="603" ht="30.0" customHeight="1">
      <c r="D603" s="259"/>
    </row>
    <row r="604" ht="30.0" customHeight="1">
      <c r="D604" s="259"/>
    </row>
    <row r="605" ht="30.0" customHeight="1">
      <c r="D605" s="259"/>
    </row>
    <row r="606" ht="30.0" customHeight="1">
      <c r="D606" s="259"/>
    </row>
    <row r="607" ht="30.0" customHeight="1">
      <c r="D607" s="259"/>
    </row>
    <row r="608" ht="30.0" customHeight="1">
      <c r="D608" s="259"/>
    </row>
    <row r="609" ht="30.0" customHeight="1">
      <c r="D609" s="259"/>
    </row>
    <row r="610" ht="30.0" customHeight="1">
      <c r="D610" s="259"/>
    </row>
    <row r="611" ht="30.0" customHeight="1">
      <c r="D611" s="259"/>
    </row>
    <row r="612" ht="30.0" customHeight="1">
      <c r="D612" s="259"/>
    </row>
    <row r="613" ht="30.0" customHeight="1">
      <c r="D613" s="259"/>
    </row>
    <row r="614" ht="30.0" customHeight="1">
      <c r="D614" s="259"/>
    </row>
    <row r="615" ht="30.0" customHeight="1">
      <c r="D615" s="259"/>
    </row>
    <row r="616" ht="30.0" customHeight="1">
      <c r="D616" s="259"/>
    </row>
    <row r="617" ht="30.0" customHeight="1">
      <c r="D617" s="259"/>
    </row>
    <row r="618" ht="30.0" customHeight="1">
      <c r="D618" s="259"/>
    </row>
    <row r="619" ht="30.0" customHeight="1">
      <c r="D619" s="259"/>
    </row>
    <row r="620" ht="30.0" customHeight="1">
      <c r="D620" s="259"/>
    </row>
    <row r="621" ht="30.0" customHeight="1">
      <c r="D621" s="259"/>
    </row>
    <row r="622" ht="30.0" customHeight="1">
      <c r="D622" s="259"/>
    </row>
    <row r="623" ht="30.0" customHeight="1">
      <c r="D623" s="259"/>
    </row>
    <row r="624" ht="30.0" customHeight="1">
      <c r="D624" s="259"/>
    </row>
    <row r="625" ht="30.0" customHeight="1">
      <c r="D625" s="259"/>
    </row>
    <row r="626" ht="30.0" customHeight="1">
      <c r="D626" s="259"/>
    </row>
    <row r="627" ht="30.0" customHeight="1">
      <c r="D627" s="259"/>
    </row>
    <row r="628" ht="30.0" customHeight="1">
      <c r="D628" s="259"/>
    </row>
    <row r="629" ht="30.0" customHeight="1">
      <c r="D629" s="259"/>
    </row>
    <row r="630" ht="30.0" customHeight="1">
      <c r="D630" s="259"/>
    </row>
    <row r="631" ht="30.0" customHeight="1">
      <c r="D631" s="259"/>
    </row>
    <row r="632" ht="30.0" customHeight="1">
      <c r="D632" s="259"/>
    </row>
    <row r="633" ht="30.0" customHeight="1">
      <c r="D633" s="259"/>
    </row>
    <row r="634" ht="30.0" customHeight="1">
      <c r="D634" s="259"/>
    </row>
    <row r="635" ht="30.0" customHeight="1">
      <c r="D635" s="259"/>
    </row>
    <row r="636" ht="30.0" customHeight="1">
      <c r="D636" s="259"/>
    </row>
    <row r="637" ht="30.0" customHeight="1">
      <c r="D637" s="259"/>
    </row>
    <row r="638" ht="30.0" customHeight="1">
      <c r="D638" s="259"/>
    </row>
    <row r="639" ht="30.0" customHeight="1">
      <c r="D639" s="259"/>
    </row>
    <row r="640" ht="30.0" customHeight="1">
      <c r="D640" s="259"/>
    </row>
    <row r="641" ht="30.0" customHeight="1">
      <c r="D641" s="259"/>
    </row>
    <row r="642" ht="30.0" customHeight="1">
      <c r="D642" s="259"/>
    </row>
    <row r="643" ht="30.0" customHeight="1">
      <c r="D643" s="259"/>
    </row>
    <row r="644" ht="30.0" customHeight="1">
      <c r="D644" s="259"/>
    </row>
    <row r="645" ht="30.0" customHeight="1">
      <c r="D645" s="259"/>
    </row>
    <row r="646" ht="30.0" customHeight="1">
      <c r="D646" s="259"/>
    </row>
    <row r="647" ht="30.0" customHeight="1">
      <c r="D647" s="259"/>
    </row>
    <row r="648" ht="30.0" customHeight="1">
      <c r="D648" s="259"/>
    </row>
    <row r="649" ht="30.0" customHeight="1">
      <c r="D649" s="259"/>
    </row>
    <row r="650" ht="30.0" customHeight="1">
      <c r="D650" s="259"/>
    </row>
    <row r="651" ht="30.0" customHeight="1">
      <c r="D651" s="259"/>
    </row>
    <row r="652" ht="30.0" customHeight="1">
      <c r="D652" s="259"/>
    </row>
    <row r="653" ht="30.0" customHeight="1">
      <c r="D653" s="259"/>
    </row>
    <row r="654" ht="30.0" customHeight="1">
      <c r="D654" s="259"/>
    </row>
    <row r="655" ht="30.0" customHeight="1">
      <c r="D655" s="259"/>
    </row>
    <row r="656" ht="30.0" customHeight="1">
      <c r="D656" s="259"/>
    </row>
    <row r="657" ht="30.0" customHeight="1">
      <c r="D657" s="259"/>
    </row>
    <row r="658" ht="30.0" customHeight="1">
      <c r="D658" s="259"/>
    </row>
    <row r="659" ht="30.0" customHeight="1">
      <c r="D659" s="259"/>
    </row>
    <row r="660" ht="30.0" customHeight="1">
      <c r="D660" s="259"/>
    </row>
    <row r="661" ht="30.0" customHeight="1">
      <c r="D661" s="259"/>
    </row>
    <row r="662" ht="30.0" customHeight="1">
      <c r="D662" s="259"/>
    </row>
    <row r="663" ht="30.0" customHeight="1">
      <c r="D663" s="259"/>
    </row>
    <row r="664" ht="30.0" customHeight="1">
      <c r="D664" s="259"/>
    </row>
    <row r="665" ht="30.0" customHeight="1">
      <c r="D665" s="259"/>
    </row>
    <row r="666" ht="30.0" customHeight="1">
      <c r="D666" s="259"/>
    </row>
    <row r="667" ht="30.0" customHeight="1">
      <c r="D667" s="259"/>
    </row>
    <row r="668" ht="30.0" customHeight="1">
      <c r="D668" s="259"/>
    </row>
    <row r="669" ht="30.0" customHeight="1">
      <c r="D669" s="259"/>
    </row>
    <row r="670" ht="30.0" customHeight="1">
      <c r="D670" s="259"/>
    </row>
    <row r="671" ht="30.0" customHeight="1">
      <c r="D671" s="259"/>
    </row>
    <row r="672" ht="30.0" customHeight="1">
      <c r="D672" s="259"/>
    </row>
    <row r="673" ht="30.0" customHeight="1">
      <c r="D673" s="259"/>
    </row>
    <row r="674" ht="30.0" customHeight="1">
      <c r="D674" s="259"/>
    </row>
    <row r="675" ht="30.0" customHeight="1">
      <c r="D675" s="259"/>
    </row>
    <row r="676" ht="30.0" customHeight="1">
      <c r="D676" s="259"/>
    </row>
    <row r="677" ht="30.0" customHeight="1">
      <c r="D677" s="259"/>
    </row>
    <row r="678" ht="30.0" customHeight="1">
      <c r="D678" s="259"/>
    </row>
    <row r="679" ht="30.0" customHeight="1">
      <c r="D679" s="259"/>
    </row>
    <row r="680" ht="30.0" customHeight="1">
      <c r="D680" s="259"/>
    </row>
    <row r="681" ht="30.0" customHeight="1">
      <c r="D681" s="259"/>
    </row>
    <row r="682" ht="30.0" customHeight="1">
      <c r="D682" s="259"/>
    </row>
    <row r="683" ht="30.0" customHeight="1">
      <c r="D683" s="259"/>
    </row>
    <row r="684" ht="30.0" customHeight="1">
      <c r="D684" s="259"/>
    </row>
    <row r="685" ht="30.0" customHeight="1">
      <c r="D685" s="259"/>
    </row>
    <row r="686" ht="30.0" customHeight="1">
      <c r="D686" s="259"/>
    </row>
    <row r="687" ht="30.0" customHeight="1">
      <c r="D687" s="259"/>
    </row>
    <row r="688" ht="30.0" customHeight="1">
      <c r="D688" s="259"/>
    </row>
    <row r="689" ht="30.0" customHeight="1">
      <c r="D689" s="259"/>
    </row>
    <row r="690" ht="30.0" customHeight="1">
      <c r="D690" s="259"/>
    </row>
    <row r="691" ht="30.0" customHeight="1">
      <c r="D691" s="259"/>
    </row>
    <row r="692" ht="30.0" customHeight="1">
      <c r="D692" s="259"/>
    </row>
    <row r="693" ht="30.0" customHeight="1">
      <c r="D693" s="259"/>
    </row>
    <row r="694" ht="30.0" customHeight="1">
      <c r="D694" s="259"/>
    </row>
    <row r="695" ht="30.0" customHeight="1">
      <c r="D695" s="259"/>
    </row>
    <row r="696" ht="30.0" customHeight="1">
      <c r="D696" s="259"/>
    </row>
    <row r="697" ht="30.0" customHeight="1">
      <c r="D697" s="259"/>
    </row>
    <row r="698" ht="30.0" customHeight="1">
      <c r="D698" s="259"/>
    </row>
    <row r="699" ht="30.0" customHeight="1">
      <c r="D699" s="259"/>
    </row>
    <row r="700" ht="30.0" customHeight="1">
      <c r="D700" s="259"/>
    </row>
    <row r="701" ht="30.0" customHeight="1">
      <c r="D701" s="259"/>
    </row>
    <row r="702" ht="30.0" customHeight="1">
      <c r="D702" s="259"/>
    </row>
    <row r="703" ht="30.0" customHeight="1">
      <c r="D703" s="259"/>
    </row>
    <row r="704" ht="30.0" customHeight="1">
      <c r="D704" s="259"/>
    </row>
    <row r="705" ht="30.0" customHeight="1">
      <c r="D705" s="259"/>
    </row>
    <row r="706" ht="30.0" customHeight="1">
      <c r="D706" s="259"/>
    </row>
    <row r="707" ht="30.0" customHeight="1">
      <c r="D707" s="259"/>
    </row>
    <row r="708" ht="30.0" customHeight="1">
      <c r="D708" s="259"/>
    </row>
    <row r="709" ht="30.0" customHeight="1">
      <c r="D709" s="259"/>
    </row>
    <row r="710" ht="30.0" customHeight="1">
      <c r="D710" s="259"/>
    </row>
    <row r="711" ht="30.0" customHeight="1">
      <c r="D711" s="259"/>
    </row>
    <row r="712" ht="30.0" customHeight="1">
      <c r="D712" s="259"/>
    </row>
    <row r="713" ht="30.0" customHeight="1">
      <c r="D713" s="259"/>
    </row>
    <row r="714" ht="30.0" customHeight="1">
      <c r="D714" s="259"/>
    </row>
    <row r="715" ht="30.0" customHeight="1">
      <c r="D715" s="259"/>
    </row>
    <row r="716" ht="30.0" customHeight="1">
      <c r="D716" s="259"/>
    </row>
    <row r="717" ht="30.0" customHeight="1">
      <c r="D717" s="259"/>
    </row>
    <row r="718" ht="30.0" customHeight="1">
      <c r="D718" s="259"/>
    </row>
    <row r="719" ht="30.0" customHeight="1">
      <c r="D719" s="259"/>
    </row>
    <row r="720" ht="30.0" customHeight="1">
      <c r="D720" s="259"/>
    </row>
    <row r="721" ht="30.0" customHeight="1">
      <c r="D721" s="259"/>
    </row>
    <row r="722" ht="30.0" customHeight="1">
      <c r="D722" s="259"/>
    </row>
    <row r="723" ht="30.0" customHeight="1">
      <c r="D723" s="259"/>
    </row>
    <row r="724" ht="30.0" customHeight="1">
      <c r="D724" s="259"/>
    </row>
    <row r="725" ht="30.0" customHeight="1">
      <c r="D725" s="259"/>
    </row>
    <row r="726" ht="30.0" customHeight="1">
      <c r="D726" s="259"/>
    </row>
    <row r="727" ht="30.0" customHeight="1">
      <c r="D727" s="259"/>
    </row>
    <row r="728" ht="30.0" customHeight="1">
      <c r="D728" s="259"/>
    </row>
    <row r="729" ht="30.0" customHeight="1">
      <c r="D729" s="259"/>
    </row>
    <row r="730" ht="30.0" customHeight="1">
      <c r="D730" s="259"/>
    </row>
    <row r="731" ht="30.0" customHeight="1">
      <c r="D731" s="259"/>
    </row>
    <row r="732" ht="30.0" customHeight="1">
      <c r="D732" s="259"/>
    </row>
    <row r="733" ht="30.0" customHeight="1">
      <c r="D733" s="259"/>
    </row>
    <row r="734" ht="30.0" customHeight="1">
      <c r="D734" s="259"/>
    </row>
    <row r="735" ht="30.0" customHeight="1">
      <c r="D735" s="259"/>
    </row>
    <row r="736" ht="30.0" customHeight="1">
      <c r="D736" s="259"/>
    </row>
    <row r="737" ht="30.0" customHeight="1">
      <c r="D737" s="259"/>
    </row>
    <row r="738" ht="30.0" customHeight="1">
      <c r="D738" s="259"/>
    </row>
    <row r="739" ht="30.0" customHeight="1">
      <c r="D739" s="259"/>
    </row>
    <row r="740" ht="30.0" customHeight="1">
      <c r="D740" s="259"/>
    </row>
    <row r="741" ht="30.0" customHeight="1">
      <c r="D741" s="259"/>
    </row>
    <row r="742" ht="30.0" customHeight="1">
      <c r="D742" s="259"/>
    </row>
    <row r="743" ht="30.0" customHeight="1">
      <c r="D743" s="259"/>
    </row>
    <row r="744" ht="30.0" customHeight="1">
      <c r="D744" s="259"/>
    </row>
    <row r="745" ht="30.0" customHeight="1">
      <c r="D745" s="259"/>
    </row>
    <row r="746" ht="30.0" customHeight="1">
      <c r="D746" s="259"/>
    </row>
    <row r="747" ht="30.0" customHeight="1">
      <c r="D747" s="259"/>
    </row>
    <row r="748" ht="30.0" customHeight="1">
      <c r="D748" s="259"/>
    </row>
    <row r="749" ht="30.0" customHeight="1">
      <c r="D749" s="259"/>
    </row>
    <row r="750" ht="30.0" customHeight="1">
      <c r="D750" s="259"/>
    </row>
    <row r="751" ht="30.0" customHeight="1">
      <c r="D751" s="259"/>
    </row>
    <row r="752" ht="30.0" customHeight="1">
      <c r="D752" s="259"/>
    </row>
    <row r="753" ht="30.0" customHeight="1">
      <c r="D753" s="259"/>
    </row>
    <row r="754" ht="30.0" customHeight="1">
      <c r="D754" s="259"/>
    </row>
    <row r="755" ht="30.0" customHeight="1">
      <c r="D755" s="259"/>
    </row>
    <row r="756" ht="30.0" customHeight="1">
      <c r="D756" s="259"/>
    </row>
    <row r="757" ht="30.0" customHeight="1">
      <c r="D757" s="259"/>
    </row>
    <row r="758" ht="30.0" customHeight="1">
      <c r="D758" s="259"/>
    </row>
    <row r="759" ht="30.0" customHeight="1">
      <c r="D759" s="259"/>
    </row>
    <row r="760" ht="30.0" customHeight="1">
      <c r="D760" s="259"/>
    </row>
    <row r="761" ht="30.0" customHeight="1">
      <c r="D761" s="259"/>
    </row>
    <row r="762" ht="30.0" customHeight="1">
      <c r="D762" s="259"/>
    </row>
    <row r="763" ht="30.0" customHeight="1">
      <c r="D763" s="259"/>
    </row>
    <row r="764" ht="30.0" customHeight="1">
      <c r="D764" s="259"/>
    </row>
    <row r="765" ht="30.0" customHeight="1">
      <c r="D765" s="259"/>
    </row>
    <row r="766" ht="30.0" customHeight="1">
      <c r="D766" s="259"/>
    </row>
    <row r="767" ht="30.0" customHeight="1">
      <c r="D767" s="259"/>
    </row>
    <row r="768" ht="30.0" customHeight="1">
      <c r="D768" s="259"/>
    </row>
    <row r="769" ht="30.0" customHeight="1">
      <c r="D769" s="259"/>
    </row>
    <row r="770" ht="30.0" customHeight="1">
      <c r="D770" s="259"/>
    </row>
    <row r="771" ht="30.0" customHeight="1">
      <c r="D771" s="259"/>
    </row>
    <row r="772" ht="30.0" customHeight="1">
      <c r="D772" s="259"/>
    </row>
    <row r="773" ht="30.0" customHeight="1">
      <c r="D773" s="259"/>
    </row>
    <row r="774" ht="30.0" customHeight="1">
      <c r="D774" s="259"/>
    </row>
    <row r="775" ht="30.0" customHeight="1">
      <c r="D775" s="259"/>
    </row>
    <row r="776" ht="30.0" customHeight="1">
      <c r="D776" s="259"/>
    </row>
    <row r="777" ht="30.0" customHeight="1">
      <c r="D777" s="259"/>
    </row>
    <row r="778" ht="30.0" customHeight="1">
      <c r="D778" s="259"/>
    </row>
    <row r="779" ht="30.0" customHeight="1">
      <c r="D779" s="259"/>
    </row>
    <row r="780" ht="30.0" customHeight="1">
      <c r="D780" s="259"/>
    </row>
    <row r="781" ht="30.0" customHeight="1">
      <c r="D781" s="259"/>
    </row>
    <row r="782" ht="30.0" customHeight="1">
      <c r="D782" s="259"/>
    </row>
    <row r="783" ht="30.0" customHeight="1">
      <c r="D783" s="259"/>
    </row>
    <row r="784" ht="30.0" customHeight="1">
      <c r="D784" s="259"/>
    </row>
    <row r="785" ht="30.0" customHeight="1">
      <c r="D785" s="259"/>
    </row>
    <row r="786" ht="30.0" customHeight="1">
      <c r="D786" s="259"/>
    </row>
    <row r="787" ht="30.0" customHeight="1">
      <c r="D787" s="259"/>
    </row>
    <row r="788" ht="30.0" customHeight="1">
      <c r="D788" s="259"/>
    </row>
    <row r="789" ht="30.0" customHeight="1">
      <c r="D789" s="259"/>
    </row>
    <row r="790" ht="30.0" customHeight="1">
      <c r="D790" s="259"/>
    </row>
    <row r="791" ht="30.0" customHeight="1">
      <c r="D791" s="259"/>
    </row>
    <row r="792" ht="30.0" customHeight="1">
      <c r="D792" s="259"/>
    </row>
    <row r="793" ht="30.0" customHeight="1">
      <c r="D793" s="259"/>
    </row>
    <row r="794" ht="30.0" customHeight="1">
      <c r="D794" s="259"/>
    </row>
    <row r="795" ht="30.0" customHeight="1">
      <c r="D795" s="259"/>
    </row>
    <row r="796" ht="30.0" customHeight="1">
      <c r="D796" s="259"/>
    </row>
    <row r="797" ht="30.0" customHeight="1">
      <c r="D797" s="259"/>
    </row>
    <row r="798" ht="30.0" customHeight="1">
      <c r="D798" s="259"/>
    </row>
    <row r="799" ht="30.0" customHeight="1">
      <c r="D799" s="259"/>
    </row>
    <row r="800" ht="30.0" customHeight="1">
      <c r="D800" s="259"/>
    </row>
    <row r="801" ht="30.0" customHeight="1">
      <c r="D801" s="259"/>
    </row>
    <row r="802" ht="30.0" customHeight="1">
      <c r="D802" s="259"/>
    </row>
    <row r="803" ht="30.0" customHeight="1">
      <c r="D803" s="259"/>
    </row>
    <row r="804" ht="30.0" customHeight="1">
      <c r="D804" s="259"/>
    </row>
    <row r="805" ht="30.0" customHeight="1">
      <c r="D805" s="259"/>
    </row>
    <row r="806" ht="30.0" customHeight="1">
      <c r="D806" s="259"/>
    </row>
    <row r="807" ht="30.0" customHeight="1">
      <c r="D807" s="259"/>
    </row>
    <row r="808" ht="30.0" customHeight="1">
      <c r="D808" s="259"/>
    </row>
    <row r="809" ht="30.0" customHeight="1">
      <c r="D809" s="259"/>
    </row>
    <row r="810" ht="30.0" customHeight="1">
      <c r="D810" s="259"/>
    </row>
    <row r="811" ht="30.0" customHeight="1">
      <c r="D811" s="259"/>
    </row>
    <row r="812" ht="30.0" customHeight="1">
      <c r="D812" s="259"/>
    </row>
    <row r="813" ht="30.0" customHeight="1">
      <c r="D813" s="259"/>
    </row>
    <row r="814" ht="30.0" customHeight="1">
      <c r="D814" s="259"/>
    </row>
    <row r="815" ht="30.0" customHeight="1">
      <c r="D815" s="259"/>
    </row>
    <row r="816" ht="30.0" customHeight="1">
      <c r="D816" s="259"/>
    </row>
    <row r="817" ht="30.0" customHeight="1">
      <c r="D817" s="259"/>
    </row>
    <row r="818" ht="30.0" customHeight="1">
      <c r="D818" s="259"/>
    </row>
    <row r="819" ht="30.0" customHeight="1">
      <c r="D819" s="259"/>
    </row>
    <row r="820" ht="30.0" customHeight="1">
      <c r="D820" s="259"/>
    </row>
    <row r="821" ht="30.0" customHeight="1">
      <c r="D821" s="259"/>
    </row>
    <row r="822" ht="30.0" customHeight="1">
      <c r="D822" s="259"/>
    </row>
    <row r="823" ht="30.0" customHeight="1">
      <c r="D823" s="259"/>
    </row>
    <row r="824" ht="30.0" customHeight="1">
      <c r="D824" s="259"/>
    </row>
    <row r="825" ht="30.0" customHeight="1">
      <c r="D825" s="259"/>
    </row>
    <row r="826" ht="30.0" customHeight="1">
      <c r="D826" s="259"/>
    </row>
    <row r="827" ht="30.0" customHeight="1">
      <c r="D827" s="259"/>
    </row>
    <row r="828" ht="30.0" customHeight="1">
      <c r="D828" s="259"/>
    </row>
    <row r="829" ht="30.0" customHeight="1">
      <c r="D829" s="259"/>
    </row>
    <row r="830" ht="30.0" customHeight="1">
      <c r="D830" s="259"/>
    </row>
    <row r="831" ht="30.0" customHeight="1">
      <c r="D831" s="259"/>
    </row>
    <row r="832" ht="30.0" customHeight="1">
      <c r="D832" s="259"/>
    </row>
    <row r="833" ht="30.0" customHeight="1">
      <c r="D833" s="259"/>
    </row>
    <row r="834" ht="30.0" customHeight="1">
      <c r="D834" s="259"/>
    </row>
    <row r="835" ht="30.0" customHeight="1">
      <c r="D835" s="259"/>
    </row>
    <row r="836" ht="30.0" customHeight="1">
      <c r="D836" s="259"/>
    </row>
    <row r="837" ht="30.0" customHeight="1">
      <c r="D837" s="259"/>
    </row>
    <row r="838" ht="30.0" customHeight="1">
      <c r="D838" s="259"/>
    </row>
    <row r="839" ht="30.0" customHeight="1">
      <c r="D839" s="259"/>
    </row>
    <row r="840" ht="30.0" customHeight="1">
      <c r="D840" s="259"/>
    </row>
    <row r="841" ht="30.0" customHeight="1">
      <c r="D841" s="259"/>
    </row>
    <row r="842" ht="30.0" customHeight="1">
      <c r="D842" s="259"/>
    </row>
    <row r="843" ht="30.0" customHeight="1">
      <c r="D843" s="259"/>
    </row>
    <row r="844" ht="30.0" customHeight="1">
      <c r="D844" s="259"/>
    </row>
    <row r="845" ht="30.0" customHeight="1">
      <c r="D845" s="259"/>
    </row>
    <row r="846" ht="30.0" customHeight="1">
      <c r="D846" s="259"/>
    </row>
    <row r="847" ht="30.0" customHeight="1">
      <c r="D847" s="259"/>
    </row>
    <row r="848" ht="30.0" customHeight="1">
      <c r="D848" s="259"/>
    </row>
    <row r="849" ht="30.0" customHeight="1">
      <c r="D849" s="259"/>
    </row>
    <row r="850" ht="30.0" customHeight="1">
      <c r="D850" s="259"/>
    </row>
    <row r="851" ht="30.0" customHeight="1">
      <c r="D851" s="259"/>
    </row>
    <row r="852" ht="30.0" customHeight="1">
      <c r="D852" s="259"/>
    </row>
    <row r="853" ht="30.0" customHeight="1">
      <c r="D853" s="259"/>
    </row>
    <row r="854" ht="30.0" customHeight="1">
      <c r="D854" s="259"/>
    </row>
    <row r="855" ht="30.0" customHeight="1">
      <c r="D855" s="259"/>
    </row>
    <row r="856" ht="30.0" customHeight="1">
      <c r="D856" s="259"/>
    </row>
    <row r="857" ht="30.0" customHeight="1">
      <c r="D857" s="259"/>
    </row>
    <row r="858" ht="30.0" customHeight="1">
      <c r="D858" s="259"/>
    </row>
    <row r="859" ht="30.0" customHeight="1">
      <c r="D859" s="259"/>
    </row>
    <row r="860" ht="30.0" customHeight="1">
      <c r="D860" s="259"/>
    </row>
    <row r="861" ht="30.0" customHeight="1">
      <c r="D861" s="259"/>
    </row>
    <row r="862" ht="30.0" customHeight="1">
      <c r="D862" s="259"/>
    </row>
    <row r="863" ht="30.0" customHeight="1">
      <c r="D863" s="259"/>
    </row>
    <row r="864" ht="30.0" customHeight="1">
      <c r="D864" s="259"/>
    </row>
    <row r="865" ht="30.0" customHeight="1">
      <c r="D865" s="259"/>
    </row>
    <row r="866" ht="30.0" customHeight="1">
      <c r="D866" s="259"/>
    </row>
    <row r="867" ht="30.0" customHeight="1">
      <c r="D867" s="259"/>
    </row>
    <row r="868" ht="30.0" customHeight="1">
      <c r="D868" s="259"/>
    </row>
    <row r="869" ht="30.0" customHeight="1">
      <c r="D869" s="259"/>
    </row>
    <row r="870" ht="30.0" customHeight="1">
      <c r="D870" s="259"/>
    </row>
    <row r="871" ht="30.0" customHeight="1">
      <c r="D871" s="259"/>
    </row>
    <row r="872" ht="30.0" customHeight="1">
      <c r="D872" s="259"/>
    </row>
    <row r="873" ht="30.0" customHeight="1">
      <c r="D873" s="259"/>
    </row>
    <row r="874" ht="30.0" customHeight="1">
      <c r="D874" s="259"/>
    </row>
    <row r="875" ht="30.0" customHeight="1">
      <c r="D875" s="259"/>
    </row>
    <row r="876" ht="30.0" customHeight="1">
      <c r="D876" s="259"/>
    </row>
    <row r="877" ht="30.0" customHeight="1">
      <c r="D877" s="259"/>
    </row>
    <row r="878" ht="30.0" customHeight="1">
      <c r="D878" s="259"/>
    </row>
    <row r="879" ht="30.0" customHeight="1">
      <c r="D879" s="259"/>
    </row>
    <row r="880" ht="30.0" customHeight="1">
      <c r="D880" s="259"/>
    </row>
    <row r="881" ht="30.0" customHeight="1">
      <c r="D881" s="259"/>
    </row>
    <row r="882" ht="30.0" customHeight="1">
      <c r="D882" s="259"/>
    </row>
    <row r="883" ht="30.0" customHeight="1">
      <c r="D883" s="259"/>
    </row>
    <row r="884" ht="30.0" customHeight="1">
      <c r="D884" s="259"/>
    </row>
    <row r="885" ht="30.0" customHeight="1">
      <c r="D885" s="259"/>
    </row>
    <row r="886" ht="30.0" customHeight="1">
      <c r="D886" s="259"/>
    </row>
    <row r="887" ht="30.0" customHeight="1">
      <c r="D887" s="259"/>
    </row>
    <row r="888" ht="30.0" customHeight="1">
      <c r="D888" s="259"/>
    </row>
    <row r="889" ht="30.0" customHeight="1">
      <c r="D889" s="259"/>
    </row>
    <row r="890" ht="30.0" customHeight="1">
      <c r="D890" s="259"/>
    </row>
    <row r="891" ht="30.0" customHeight="1">
      <c r="D891" s="259"/>
    </row>
    <row r="892" ht="30.0" customHeight="1">
      <c r="D892" s="259"/>
    </row>
    <row r="893" ht="30.0" customHeight="1">
      <c r="D893" s="259"/>
    </row>
    <row r="894" ht="30.0" customHeight="1">
      <c r="D894" s="259"/>
    </row>
    <row r="895" ht="30.0" customHeight="1">
      <c r="D895" s="259"/>
    </row>
    <row r="896" ht="30.0" customHeight="1">
      <c r="D896" s="259"/>
    </row>
    <row r="897" ht="30.0" customHeight="1">
      <c r="D897" s="259"/>
    </row>
    <row r="898" ht="30.0" customHeight="1">
      <c r="D898" s="259"/>
    </row>
    <row r="899" ht="30.0" customHeight="1">
      <c r="D899" s="259"/>
    </row>
    <row r="900" ht="30.0" customHeight="1">
      <c r="D900" s="259"/>
    </row>
    <row r="901" ht="30.0" customHeight="1">
      <c r="D901" s="259"/>
    </row>
    <row r="902" ht="30.0" customHeight="1">
      <c r="D902" s="259"/>
    </row>
    <row r="903" ht="30.0" customHeight="1">
      <c r="D903" s="259"/>
    </row>
    <row r="904" ht="30.0" customHeight="1">
      <c r="D904" s="259"/>
    </row>
    <row r="905" ht="30.0" customHeight="1">
      <c r="D905" s="259"/>
    </row>
    <row r="906" ht="30.0" customHeight="1">
      <c r="D906" s="259"/>
    </row>
    <row r="907" ht="30.0" customHeight="1">
      <c r="D907" s="259"/>
    </row>
    <row r="908" ht="30.0" customHeight="1">
      <c r="D908" s="259"/>
    </row>
    <row r="909" ht="30.0" customHeight="1">
      <c r="D909" s="259"/>
    </row>
    <row r="910" ht="30.0" customHeight="1">
      <c r="D910" s="259"/>
    </row>
    <row r="911" ht="30.0" customHeight="1">
      <c r="D911" s="259"/>
    </row>
    <row r="912" ht="30.0" customHeight="1">
      <c r="D912" s="259"/>
    </row>
    <row r="913" ht="30.0" customHeight="1">
      <c r="D913" s="259"/>
    </row>
    <row r="914" ht="30.0" customHeight="1">
      <c r="D914" s="259"/>
    </row>
    <row r="915" ht="30.0" customHeight="1">
      <c r="D915" s="259"/>
    </row>
    <row r="916" ht="30.0" customHeight="1">
      <c r="D916" s="259"/>
    </row>
    <row r="917" ht="30.0" customHeight="1">
      <c r="D917" s="259"/>
    </row>
    <row r="918" ht="30.0" customHeight="1">
      <c r="D918" s="259"/>
    </row>
    <row r="919" ht="30.0" customHeight="1">
      <c r="D919" s="259"/>
    </row>
    <row r="920" ht="30.0" customHeight="1">
      <c r="D920" s="259"/>
    </row>
    <row r="921" ht="30.0" customHeight="1">
      <c r="D921" s="259"/>
    </row>
    <row r="922" ht="30.0" customHeight="1">
      <c r="D922" s="259"/>
    </row>
    <row r="923" ht="30.0" customHeight="1">
      <c r="D923" s="259"/>
    </row>
    <row r="924" ht="30.0" customHeight="1">
      <c r="D924" s="259"/>
    </row>
    <row r="925" ht="30.0" customHeight="1">
      <c r="D925" s="259"/>
    </row>
    <row r="926" ht="30.0" customHeight="1">
      <c r="D926" s="259"/>
    </row>
    <row r="927" ht="30.0" customHeight="1">
      <c r="D927" s="259"/>
    </row>
    <row r="928" ht="30.0" customHeight="1">
      <c r="D928" s="259"/>
    </row>
    <row r="929" ht="30.0" customHeight="1">
      <c r="D929" s="259"/>
    </row>
    <row r="930" ht="30.0" customHeight="1">
      <c r="D930" s="259"/>
    </row>
    <row r="931" ht="30.0" customHeight="1">
      <c r="D931" s="259"/>
    </row>
    <row r="932" ht="30.0" customHeight="1">
      <c r="D932" s="259"/>
    </row>
    <row r="933" ht="30.0" customHeight="1">
      <c r="D933" s="259"/>
    </row>
    <row r="934" ht="30.0" customHeight="1">
      <c r="D934" s="259"/>
    </row>
    <row r="935" ht="30.0" customHeight="1">
      <c r="D935" s="259"/>
    </row>
    <row r="936" ht="30.0" customHeight="1">
      <c r="D936" s="259"/>
    </row>
    <row r="937" ht="30.0" customHeight="1">
      <c r="D937" s="259"/>
    </row>
    <row r="938" ht="30.0" customHeight="1">
      <c r="D938" s="259"/>
    </row>
    <row r="939" ht="30.0" customHeight="1">
      <c r="D939" s="259"/>
    </row>
    <row r="940" ht="30.0" customHeight="1">
      <c r="D940" s="259"/>
    </row>
    <row r="941" ht="30.0" customHeight="1">
      <c r="D941" s="259"/>
    </row>
    <row r="942" ht="30.0" customHeight="1">
      <c r="D942" s="259"/>
    </row>
    <row r="943" ht="30.0" customHeight="1">
      <c r="D943" s="259"/>
    </row>
  </sheetData>
  <dataValidations>
    <dataValidation type="list" allowBlank="1" showDropDown="1" showErrorMessage="1" sqref="C2:C61">
      <formula1>"HUSSEN,JOZYF,SIFE"</formula1>
    </dataValidation>
  </dataValidations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9.43"/>
    <col customWidth="1" hidden="1" min="3" max="4" width="19.43"/>
    <col customWidth="1" min="5" max="5" width="19.43"/>
    <col customWidth="1" min="6" max="7" width="24.43"/>
  </cols>
  <sheetData>
    <row r="1" ht="30.0" customHeight="1">
      <c r="A1" s="267" t="s">
        <v>0</v>
      </c>
      <c r="B1" s="268" t="s">
        <v>214</v>
      </c>
      <c r="C1" s="269" t="s">
        <v>44</v>
      </c>
      <c r="D1" s="270" t="s">
        <v>215</v>
      </c>
      <c r="E1" s="270" t="s">
        <v>47</v>
      </c>
      <c r="F1" s="271" t="s">
        <v>216</v>
      </c>
      <c r="G1" s="272" t="s">
        <v>217</v>
      </c>
    </row>
    <row r="2" ht="30.0" customHeight="1">
      <c r="A2" s="273"/>
      <c r="B2" s="273"/>
      <c r="C2" s="274"/>
      <c r="D2" s="275"/>
      <c r="E2" s="275"/>
      <c r="F2" s="276">
        <f>SUMIFS(E:E,B:B,"علينا")</f>
        <v>19645500</v>
      </c>
      <c r="G2" s="276">
        <f>SUMIFS(E:E,B:B,"لنا")</f>
        <v>8701000</v>
      </c>
    </row>
    <row r="3" ht="30.0" customHeight="1">
      <c r="A3" s="240" t="s">
        <v>164</v>
      </c>
      <c r="B3" s="277" t="s">
        <v>216</v>
      </c>
      <c r="C3" s="278">
        <f>SUMIFS('السجل'!C:C,'السجل'!B:B,A3)</f>
        <v>45370000</v>
      </c>
      <c r="D3" s="278">
        <f>SUMIFS('السجل'!D:D,'السجل'!B:B,A3)</f>
        <v>27605000</v>
      </c>
      <c r="E3" s="279">
        <f t="shared" ref="E3:E17" si="1">IF(C3="","",C3-IF(D3="",0,D3))</f>
        <v>17765000</v>
      </c>
      <c r="F3" s="280"/>
      <c r="G3" s="280"/>
    </row>
    <row r="4" ht="30.0" customHeight="1">
      <c r="A4" s="240" t="s">
        <v>218</v>
      </c>
      <c r="B4" s="277" t="s">
        <v>216</v>
      </c>
      <c r="C4" s="278">
        <f>SUMIFS('السجل'!C:C,'السجل'!B:B,A4)</f>
        <v>6181000</v>
      </c>
      <c r="D4" s="278">
        <f>SUMIFS('السجل'!D:D,'السجل'!B:B,A4)</f>
        <v>6181000</v>
      </c>
      <c r="E4" s="279">
        <f t="shared" si="1"/>
        <v>0</v>
      </c>
      <c r="F4" s="280"/>
      <c r="G4" s="280"/>
    </row>
    <row r="5" ht="30.0" customHeight="1">
      <c r="A5" s="240" t="s">
        <v>189</v>
      </c>
      <c r="B5" s="277" t="s">
        <v>216</v>
      </c>
      <c r="C5" s="278">
        <f>SUMIFS('السجل'!C:C,'السجل'!B:B,A5)</f>
        <v>10986500</v>
      </c>
      <c r="D5" s="278">
        <f>SUMIFS('السجل'!D:D,'السجل'!B:B,A5)</f>
        <v>9201000</v>
      </c>
      <c r="E5" s="279">
        <f t="shared" si="1"/>
        <v>1785500</v>
      </c>
      <c r="F5" s="280"/>
      <c r="G5" s="280"/>
    </row>
    <row r="6" ht="30.0" customHeight="1">
      <c r="A6" s="281" t="s">
        <v>1</v>
      </c>
      <c r="B6" s="277" t="s">
        <v>217</v>
      </c>
      <c r="C6" s="278">
        <f>SUMIFS('السجل'!C:C,'السجل'!B:B,A6)</f>
        <v>2378000</v>
      </c>
      <c r="D6" s="278">
        <f>SUMIFS('السجل'!D:D,'السجل'!B:B,A6)</f>
        <v>117000</v>
      </c>
      <c r="E6" s="279">
        <f t="shared" si="1"/>
        <v>2261000</v>
      </c>
      <c r="F6" s="280"/>
      <c r="G6" s="280"/>
    </row>
    <row r="7" ht="30.0" customHeight="1">
      <c r="A7" s="240" t="s">
        <v>64</v>
      </c>
      <c r="B7" s="277" t="s">
        <v>217</v>
      </c>
      <c r="C7" s="278">
        <f>SUMIFS('السجل'!C:C,'السجل'!B:B,A7)</f>
        <v>542000</v>
      </c>
      <c r="D7" s="278">
        <f>SUMIFS('السجل'!D:D,'السجل'!B:B,A7)</f>
        <v>0</v>
      </c>
      <c r="E7" s="279">
        <f t="shared" si="1"/>
        <v>542000</v>
      </c>
      <c r="F7" s="280"/>
      <c r="G7" s="280"/>
    </row>
    <row r="8" ht="30.0" customHeight="1">
      <c r="A8" s="240" t="s">
        <v>81</v>
      </c>
      <c r="B8" s="277" t="s">
        <v>217</v>
      </c>
      <c r="C8" s="278">
        <f>SUMIFS('السجل'!C:C,'السجل'!B:B,A8)</f>
        <v>978000</v>
      </c>
      <c r="D8" s="278">
        <f>SUMIFS('السجل'!D:D,'السجل'!B:B,A8)</f>
        <v>345000</v>
      </c>
      <c r="E8" s="279">
        <f t="shared" si="1"/>
        <v>633000</v>
      </c>
      <c r="F8" s="280"/>
      <c r="G8" s="280"/>
    </row>
    <row r="9" ht="30.0" customHeight="1">
      <c r="A9" s="240" t="s">
        <v>219</v>
      </c>
      <c r="B9" s="277" t="s">
        <v>217</v>
      </c>
      <c r="C9" s="278">
        <f>SUMIFS('السجل'!C:C,'السجل'!B:B,A9)</f>
        <v>1500000</v>
      </c>
      <c r="D9" s="278">
        <f>SUMIFS('السجل'!D:D,'السجل'!B:B,A9)</f>
        <v>1500000</v>
      </c>
      <c r="E9" s="279">
        <f t="shared" si="1"/>
        <v>0</v>
      </c>
      <c r="F9" s="280"/>
      <c r="G9" s="280"/>
    </row>
    <row r="10" ht="30.0" customHeight="1">
      <c r="A10" s="240" t="s">
        <v>220</v>
      </c>
      <c r="B10" s="277" t="s">
        <v>217</v>
      </c>
      <c r="C10" s="278">
        <f>SUMIFS('السجل'!C:C,'السجل'!B:B,A10)</f>
        <v>6000000</v>
      </c>
      <c r="D10" s="278">
        <f>SUMIFS('السجل'!D:D,'السجل'!B:B,A10)</f>
        <v>750000</v>
      </c>
      <c r="E10" s="279">
        <f t="shared" si="1"/>
        <v>5250000</v>
      </c>
      <c r="F10" s="280"/>
      <c r="G10" s="280"/>
    </row>
    <row r="11" ht="30.0" customHeight="1">
      <c r="A11" s="240" t="s">
        <v>221</v>
      </c>
      <c r="B11" s="277" t="s">
        <v>216</v>
      </c>
      <c r="C11" s="278">
        <f>SUMIFS('السجل'!C:C,'السجل'!B:B,A11)</f>
        <v>435000</v>
      </c>
      <c r="D11" s="278">
        <f>SUMIFS('السجل'!D:D,'السجل'!B:B,A11)</f>
        <v>435000</v>
      </c>
      <c r="E11" s="279">
        <f t="shared" si="1"/>
        <v>0</v>
      </c>
      <c r="F11" s="280"/>
      <c r="G11" s="280"/>
    </row>
    <row r="12" ht="30.0" customHeight="1">
      <c r="A12" s="240" t="s">
        <v>222</v>
      </c>
      <c r="B12" s="282" t="s">
        <v>216</v>
      </c>
      <c r="C12" s="278">
        <f>SUMIFS('السجل'!C:C,'السجل'!B:B,A12)</f>
        <v>53000</v>
      </c>
      <c r="D12" s="278">
        <f>SUMIFS('السجل'!D:D,'السجل'!B:B,A12)</f>
        <v>53000</v>
      </c>
      <c r="E12" s="279">
        <f t="shared" si="1"/>
        <v>0</v>
      </c>
      <c r="F12" s="280"/>
      <c r="G12" s="280"/>
    </row>
    <row r="13" ht="30.0" customHeight="1">
      <c r="A13" s="240" t="s">
        <v>223</v>
      </c>
      <c r="B13" s="282" t="s">
        <v>216</v>
      </c>
      <c r="C13" s="278">
        <f>SUMIFS('السجل'!C:C,'السجل'!B:B,A13)</f>
        <v>45000</v>
      </c>
      <c r="D13" s="278">
        <f>SUMIFS('السجل'!D:D,'السجل'!B:B,A13)</f>
        <v>0</v>
      </c>
      <c r="E13" s="279">
        <f t="shared" si="1"/>
        <v>45000</v>
      </c>
      <c r="F13" s="280"/>
      <c r="G13" s="280"/>
    </row>
    <row r="14" ht="30.0" customHeight="1">
      <c r="A14" s="240" t="s">
        <v>224</v>
      </c>
      <c r="B14" s="282" t="s">
        <v>216</v>
      </c>
      <c r="C14" s="278">
        <f>SUMIFS('السجل'!C:C,'السجل'!B:B,A14)</f>
        <v>50000</v>
      </c>
      <c r="D14" s="278">
        <f>SUMIFS('السجل'!D:D,'السجل'!B:B,A14)</f>
        <v>0</v>
      </c>
      <c r="E14" s="279">
        <f t="shared" si="1"/>
        <v>50000</v>
      </c>
      <c r="F14" s="283"/>
      <c r="G14" s="284"/>
    </row>
    <row r="15" ht="30.0" customHeight="1">
      <c r="A15" s="239" t="s">
        <v>75</v>
      </c>
      <c r="B15" s="277" t="s">
        <v>217</v>
      </c>
      <c r="C15" s="278">
        <f>SUMIFS('السجل'!C:C,'السجل'!B:B,A15)</f>
        <v>265000</v>
      </c>
      <c r="D15" s="278">
        <f>SUMIFS('السجل'!D:D,'السجل'!B:B,A15)</f>
        <v>260000</v>
      </c>
      <c r="E15" s="279">
        <f t="shared" si="1"/>
        <v>5000</v>
      </c>
      <c r="F15" s="283"/>
      <c r="G15" s="284"/>
    </row>
    <row r="16" ht="30.0" customHeight="1">
      <c r="A16" s="239" t="s">
        <v>225</v>
      </c>
      <c r="B16" s="277" t="s">
        <v>217</v>
      </c>
      <c r="C16" s="278">
        <f>SUMIFS('السجل'!C:C,'السجل'!B:B,A16)</f>
        <v>10000</v>
      </c>
      <c r="D16" s="278">
        <f>SUMIFS('السجل'!D:D,'السجل'!B:B,A16)</f>
        <v>0</v>
      </c>
      <c r="E16" s="279">
        <f t="shared" si="1"/>
        <v>10000</v>
      </c>
      <c r="F16" s="283"/>
      <c r="G16" s="284"/>
    </row>
    <row r="17" ht="30.0" customHeight="1">
      <c r="A17" s="239"/>
      <c r="B17" s="285"/>
      <c r="C17" s="278">
        <f>SUMIFS('السجل'!C:C,'السجل'!B:B,A17)</f>
        <v>0</v>
      </c>
      <c r="D17" s="278">
        <f>SUMIFS('السجل'!D:D,'السجل'!B:B,A17)</f>
        <v>0</v>
      </c>
      <c r="E17" s="279">
        <f t="shared" si="1"/>
        <v>0</v>
      </c>
      <c r="F17" s="283"/>
      <c r="G17" s="284"/>
    </row>
    <row r="18" ht="30.0" customHeight="1">
      <c r="A18" s="286"/>
      <c r="B18" s="286"/>
      <c r="C18" s="286"/>
      <c r="D18" s="286"/>
      <c r="E18" s="286"/>
    </row>
    <row r="19" ht="30.0" customHeight="1">
      <c r="A19" s="286"/>
      <c r="B19" s="286"/>
      <c r="C19" s="286"/>
      <c r="D19" s="286"/>
      <c r="E19" s="286"/>
    </row>
    <row r="20" ht="30.0" customHeight="1">
      <c r="A20" s="286"/>
      <c r="B20" s="286"/>
      <c r="C20" s="286"/>
      <c r="D20" s="286"/>
      <c r="E20" s="286"/>
    </row>
    <row r="21" ht="30.0" customHeight="1">
      <c r="A21" s="286"/>
      <c r="B21" s="286"/>
      <c r="C21" s="286"/>
      <c r="D21" s="286"/>
      <c r="E21" s="286"/>
    </row>
    <row r="22" ht="30.0" customHeight="1">
      <c r="A22" s="286"/>
      <c r="B22" s="286"/>
      <c r="C22" s="286"/>
      <c r="D22" s="286"/>
      <c r="E22" s="286"/>
    </row>
    <row r="23" ht="30.0" customHeight="1">
      <c r="A23" s="286"/>
      <c r="B23" s="286"/>
      <c r="C23" s="286"/>
      <c r="D23" s="286"/>
      <c r="E23" s="286"/>
    </row>
    <row r="24" ht="30.0" customHeight="1">
      <c r="A24" s="286"/>
      <c r="B24" s="286"/>
      <c r="C24" s="286"/>
      <c r="D24" s="286"/>
      <c r="E24" s="286"/>
    </row>
    <row r="25" ht="30.0" customHeight="1">
      <c r="A25" s="286"/>
      <c r="B25" s="286"/>
      <c r="C25" s="286"/>
      <c r="D25" s="286"/>
      <c r="E25" s="286"/>
    </row>
    <row r="26" ht="30.0" customHeight="1">
      <c r="A26" s="286"/>
      <c r="B26" s="286"/>
      <c r="C26" s="286"/>
      <c r="D26" s="286"/>
      <c r="E26" s="286"/>
    </row>
    <row r="27" ht="30.0" customHeight="1">
      <c r="A27" s="286"/>
      <c r="B27" s="286"/>
      <c r="C27" s="286"/>
      <c r="D27" s="286"/>
      <c r="E27" s="286"/>
    </row>
    <row r="28">
      <c r="A28" s="286"/>
      <c r="B28" s="286"/>
      <c r="C28" s="286"/>
      <c r="D28" s="286"/>
      <c r="E28" s="286"/>
    </row>
    <row r="29">
      <c r="A29" s="286"/>
      <c r="B29" s="286"/>
      <c r="C29" s="286"/>
      <c r="D29" s="286"/>
      <c r="E29" s="286"/>
    </row>
    <row r="30">
      <c r="A30" s="286"/>
      <c r="B30" s="286"/>
      <c r="C30" s="286"/>
      <c r="D30" s="286"/>
      <c r="E30" s="286"/>
    </row>
    <row r="31">
      <c r="A31" s="286"/>
      <c r="B31" s="286"/>
      <c r="C31" s="286"/>
      <c r="D31" s="286"/>
      <c r="E31" s="286"/>
    </row>
    <row r="32">
      <c r="A32" s="286"/>
      <c r="B32" s="286"/>
      <c r="C32" s="286"/>
      <c r="D32" s="286"/>
      <c r="E32" s="286"/>
    </row>
    <row r="33">
      <c r="A33" s="286"/>
      <c r="B33" s="286"/>
      <c r="C33" s="286"/>
      <c r="D33" s="286"/>
      <c r="E33" s="286"/>
    </row>
    <row r="34">
      <c r="A34" s="286"/>
      <c r="B34" s="286"/>
      <c r="C34" s="286"/>
      <c r="D34" s="286"/>
      <c r="E34" s="286"/>
    </row>
    <row r="35">
      <c r="A35" s="286"/>
      <c r="B35" s="286"/>
      <c r="C35" s="286"/>
      <c r="D35" s="286"/>
      <c r="E35" s="286"/>
    </row>
    <row r="36">
      <c r="A36" s="286"/>
      <c r="B36" s="286"/>
      <c r="C36" s="286"/>
      <c r="D36" s="286"/>
      <c r="E36" s="286"/>
    </row>
    <row r="37">
      <c r="A37" s="286"/>
      <c r="B37" s="286"/>
      <c r="C37" s="286"/>
      <c r="D37" s="286"/>
      <c r="E37" s="286"/>
    </row>
    <row r="38">
      <c r="A38" s="286"/>
      <c r="B38" s="286"/>
      <c r="C38" s="286"/>
      <c r="D38" s="286"/>
      <c r="E38" s="286"/>
    </row>
    <row r="39">
      <c r="A39" s="286"/>
      <c r="B39" s="286"/>
      <c r="C39" s="286"/>
      <c r="D39" s="286"/>
      <c r="E39" s="286"/>
    </row>
    <row r="40">
      <c r="A40" s="286"/>
      <c r="B40" s="286"/>
      <c r="C40" s="286"/>
      <c r="D40" s="286"/>
      <c r="E40" s="286"/>
    </row>
    <row r="41">
      <c r="A41" s="286"/>
      <c r="B41" s="286"/>
      <c r="C41" s="286"/>
      <c r="D41" s="286"/>
      <c r="E41" s="286"/>
    </row>
    <row r="42">
      <c r="A42" s="286"/>
      <c r="B42" s="286"/>
      <c r="C42" s="286"/>
      <c r="D42" s="286"/>
      <c r="E42" s="286"/>
    </row>
    <row r="43">
      <c r="A43" s="286"/>
      <c r="B43" s="286"/>
      <c r="C43" s="286"/>
      <c r="D43" s="286"/>
      <c r="E43" s="286"/>
    </row>
    <row r="44">
      <c r="A44" s="286"/>
      <c r="B44" s="286"/>
      <c r="C44" s="286"/>
      <c r="D44" s="286"/>
      <c r="E44" s="286"/>
    </row>
    <row r="45">
      <c r="A45" s="286"/>
      <c r="B45" s="286"/>
      <c r="C45" s="286"/>
      <c r="D45" s="286"/>
      <c r="E45" s="286"/>
    </row>
    <row r="46">
      <c r="A46" s="286"/>
      <c r="B46" s="286"/>
      <c r="C46" s="286"/>
      <c r="D46" s="286"/>
      <c r="E46" s="286"/>
    </row>
    <row r="47">
      <c r="A47" s="286"/>
      <c r="B47" s="286"/>
      <c r="C47" s="286"/>
      <c r="D47" s="286"/>
      <c r="E47" s="286"/>
    </row>
    <row r="48">
      <c r="A48" s="286"/>
      <c r="B48" s="286"/>
      <c r="C48" s="286"/>
      <c r="D48" s="286"/>
      <c r="E48" s="286"/>
    </row>
    <row r="49">
      <c r="A49" s="286"/>
      <c r="B49" s="286"/>
      <c r="C49" s="286"/>
      <c r="D49" s="286"/>
      <c r="E49" s="286"/>
    </row>
    <row r="50">
      <c r="A50" s="286"/>
      <c r="B50" s="286"/>
      <c r="C50" s="286"/>
      <c r="D50" s="286"/>
      <c r="E50" s="286"/>
    </row>
    <row r="51">
      <c r="A51" s="286"/>
      <c r="B51" s="286"/>
      <c r="C51" s="286"/>
      <c r="D51" s="286"/>
      <c r="E51" s="286"/>
    </row>
    <row r="52">
      <c r="A52" s="286"/>
      <c r="B52" s="286"/>
      <c r="C52" s="286"/>
      <c r="D52" s="286"/>
      <c r="E52" s="286"/>
    </row>
    <row r="53">
      <c r="A53" s="286"/>
      <c r="B53" s="286"/>
      <c r="C53" s="286"/>
      <c r="D53" s="286"/>
      <c r="E53" s="286"/>
    </row>
    <row r="54">
      <c r="A54" s="286"/>
      <c r="B54" s="286"/>
      <c r="C54" s="286"/>
      <c r="D54" s="286"/>
      <c r="E54" s="286"/>
    </row>
    <row r="55">
      <c r="A55" s="286"/>
      <c r="B55" s="286"/>
      <c r="C55" s="286"/>
      <c r="D55" s="286"/>
      <c r="E55" s="286"/>
    </row>
    <row r="56">
      <c r="A56" s="286"/>
      <c r="B56" s="286"/>
      <c r="C56" s="286"/>
      <c r="D56" s="286"/>
      <c r="E56" s="286"/>
    </row>
    <row r="57">
      <c r="A57" s="286"/>
      <c r="B57" s="286"/>
      <c r="C57" s="286"/>
      <c r="D57" s="286"/>
      <c r="E57" s="286"/>
    </row>
    <row r="58">
      <c r="A58" s="286"/>
      <c r="B58" s="286"/>
      <c r="C58" s="286"/>
      <c r="D58" s="286"/>
      <c r="E58" s="286"/>
    </row>
    <row r="59">
      <c r="A59" s="286"/>
      <c r="B59" s="286"/>
      <c r="C59" s="286"/>
      <c r="D59" s="286"/>
      <c r="E59" s="286"/>
    </row>
    <row r="60">
      <c r="A60" s="286"/>
      <c r="B60" s="286"/>
      <c r="C60" s="286"/>
      <c r="D60" s="286"/>
      <c r="E60" s="286"/>
    </row>
    <row r="61">
      <c r="A61" s="286"/>
      <c r="B61" s="286"/>
      <c r="C61" s="286"/>
      <c r="D61" s="286"/>
      <c r="E61" s="286"/>
    </row>
    <row r="62">
      <c r="A62" s="286"/>
      <c r="B62" s="286"/>
      <c r="C62" s="286"/>
      <c r="D62" s="286"/>
      <c r="E62" s="286"/>
    </row>
    <row r="63">
      <c r="A63" s="286"/>
      <c r="B63" s="286"/>
      <c r="C63" s="286"/>
      <c r="D63" s="286"/>
      <c r="E63" s="286"/>
    </row>
    <row r="64">
      <c r="A64" s="286"/>
      <c r="B64" s="286"/>
      <c r="C64" s="286"/>
      <c r="D64" s="286"/>
      <c r="E64" s="286"/>
    </row>
    <row r="65">
      <c r="A65" s="286"/>
      <c r="B65" s="286"/>
      <c r="C65" s="286"/>
      <c r="D65" s="286"/>
      <c r="E65" s="286"/>
    </row>
    <row r="66">
      <c r="A66" s="286"/>
      <c r="B66" s="286"/>
      <c r="C66" s="286"/>
      <c r="D66" s="286"/>
      <c r="E66" s="286"/>
    </row>
    <row r="67">
      <c r="A67" s="286"/>
      <c r="B67" s="286"/>
      <c r="C67" s="286"/>
      <c r="D67" s="286"/>
      <c r="E67" s="286"/>
    </row>
    <row r="68">
      <c r="A68" s="286"/>
      <c r="B68" s="286"/>
      <c r="C68" s="286"/>
      <c r="D68" s="286"/>
      <c r="E68" s="286"/>
    </row>
    <row r="69">
      <c r="A69" s="286"/>
      <c r="B69" s="286"/>
      <c r="C69" s="286"/>
      <c r="D69" s="286"/>
      <c r="E69" s="286"/>
    </row>
    <row r="70">
      <c r="A70" s="286"/>
      <c r="B70" s="286"/>
      <c r="C70" s="286"/>
      <c r="D70" s="286"/>
      <c r="E70" s="286"/>
    </row>
    <row r="71">
      <c r="A71" s="286"/>
      <c r="B71" s="286"/>
      <c r="C71" s="286"/>
      <c r="D71" s="286"/>
      <c r="E71" s="286"/>
    </row>
    <row r="72">
      <c r="A72" s="286"/>
      <c r="B72" s="286"/>
      <c r="C72" s="286"/>
      <c r="D72" s="286"/>
      <c r="E72" s="286"/>
    </row>
    <row r="73">
      <c r="A73" s="286"/>
      <c r="B73" s="286"/>
      <c r="C73" s="286"/>
      <c r="D73" s="286"/>
      <c r="E73" s="286"/>
    </row>
    <row r="74">
      <c r="A74" s="286"/>
      <c r="B74" s="286"/>
      <c r="C74" s="286"/>
      <c r="D74" s="286"/>
      <c r="E74" s="286"/>
    </row>
    <row r="75">
      <c r="A75" s="286"/>
      <c r="B75" s="286"/>
      <c r="C75" s="286"/>
      <c r="D75" s="286"/>
      <c r="E75" s="286"/>
    </row>
    <row r="76">
      <c r="A76" s="286"/>
      <c r="B76" s="286"/>
      <c r="C76" s="286"/>
      <c r="D76" s="286"/>
      <c r="E76" s="286"/>
    </row>
    <row r="77">
      <c r="A77" s="286"/>
      <c r="B77" s="286"/>
      <c r="C77" s="286"/>
      <c r="D77" s="286"/>
      <c r="E77" s="286"/>
    </row>
    <row r="78">
      <c r="A78" s="286"/>
      <c r="B78" s="286"/>
      <c r="C78" s="286"/>
      <c r="D78" s="286"/>
      <c r="E78" s="286"/>
    </row>
    <row r="79">
      <c r="A79" s="286"/>
      <c r="B79" s="286"/>
      <c r="C79" s="286"/>
      <c r="D79" s="286"/>
      <c r="E79" s="286"/>
    </row>
    <row r="80">
      <c r="A80" s="286"/>
      <c r="B80" s="286"/>
      <c r="C80" s="286"/>
      <c r="D80" s="286"/>
      <c r="E80" s="286"/>
    </row>
    <row r="81">
      <c r="A81" s="286"/>
      <c r="B81" s="286"/>
      <c r="C81" s="286"/>
      <c r="D81" s="286"/>
      <c r="E81" s="286"/>
    </row>
    <row r="82">
      <c r="A82" s="286"/>
      <c r="B82" s="286"/>
      <c r="C82" s="286"/>
      <c r="D82" s="286"/>
      <c r="E82" s="286"/>
    </row>
    <row r="83">
      <c r="A83" s="286"/>
      <c r="B83" s="286"/>
      <c r="C83" s="286"/>
      <c r="D83" s="286"/>
      <c r="E83" s="286"/>
    </row>
    <row r="84">
      <c r="A84" s="286"/>
      <c r="B84" s="286"/>
      <c r="C84" s="286"/>
      <c r="D84" s="286"/>
      <c r="E84" s="286"/>
    </row>
    <row r="85">
      <c r="A85" s="286"/>
      <c r="B85" s="286"/>
      <c r="C85" s="286"/>
      <c r="D85" s="286"/>
      <c r="E85" s="286"/>
    </row>
    <row r="86">
      <c r="A86" s="286"/>
      <c r="B86" s="286"/>
      <c r="C86" s="286"/>
      <c r="D86" s="286"/>
      <c r="E86" s="286"/>
    </row>
    <row r="87">
      <c r="A87" s="286"/>
      <c r="B87" s="286"/>
      <c r="C87" s="286"/>
      <c r="D87" s="286"/>
      <c r="E87" s="286"/>
    </row>
    <row r="88">
      <c r="A88" s="286"/>
      <c r="B88" s="286"/>
      <c r="C88" s="286"/>
      <c r="D88" s="286"/>
      <c r="E88" s="286"/>
    </row>
    <row r="89">
      <c r="A89" s="286"/>
      <c r="B89" s="286"/>
      <c r="C89" s="286"/>
      <c r="D89" s="286"/>
      <c r="E89" s="286"/>
    </row>
    <row r="90">
      <c r="A90" s="286"/>
      <c r="B90" s="286"/>
      <c r="C90" s="286"/>
      <c r="D90" s="286"/>
      <c r="E90" s="286"/>
    </row>
    <row r="91">
      <c r="A91" s="286"/>
      <c r="B91" s="286"/>
      <c r="C91" s="286"/>
      <c r="D91" s="286"/>
      <c r="E91" s="286"/>
    </row>
    <row r="92">
      <c r="A92" s="286"/>
      <c r="B92" s="286"/>
      <c r="C92" s="286"/>
      <c r="D92" s="286"/>
      <c r="E92" s="286"/>
    </row>
    <row r="93">
      <c r="A93" s="286"/>
      <c r="B93" s="286"/>
      <c r="C93" s="286"/>
      <c r="D93" s="286"/>
      <c r="E93" s="286"/>
    </row>
    <row r="94">
      <c r="A94" s="286"/>
      <c r="B94" s="286"/>
      <c r="C94" s="286"/>
      <c r="D94" s="286"/>
      <c r="E94" s="286"/>
    </row>
    <row r="95">
      <c r="A95" s="286"/>
      <c r="B95" s="286"/>
      <c r="C95" s="286"/>
      <c r="D95" s="286"/>
      <c r="E95" s="286"/>
    </row>
    <row r="96">
      <c r="A96" s="286"/>
      <c r="B96" s="286"/>
      <c r="C96" s="286"/>
      <c r="D96" s="286"/>
      <c r="E96" s="286"/>
    </row>
    <row r="97">
      <c r="A97" s="286"/>
      <c r="B97" s="286"/>
      <c r="C97" s="286"/>
      <c r="D97" s="286"/>
      <c r="E97" s="286"/>
    </row>
    <row r="98">
      <c r="A98" s="286"/>
      <c r="B98" s="286"/>
      <c r="C98" s="286"/>
      <c r="D98" s="286"/>
      <c r="E98" s="286"/>
    </row>
    <row r="99">
      <c r="A99" s="286"/>
      <c r="B99" s="286"/>
      <c r="C99" s="286"/>
      <c r="D99" s="286"/>
      <c r="E99" s="286"/>
    </row>
    <row r="100">
      <c r="A100" s="286"/>
      <c r="B100" s="286"/>
      <c r="C100" s="286"/>
      <c r="D100" s="286"/>
      <c r="E100" s="286"/>
    </row>
    <row r="101">
      <c r="A101" s="286"/>
      <c r="B101" s="286"/>
      <c r="C101" s="286"/>
      <c r="D101" s="286"/>
      <c r="E101" s="286"/>
    </row>
    <row r="102">
      <c r="A102" s="286"/>
      <c r="B102" s="286"/>
      <c r="C102" s="286"/>
      <c r="D102" s="286"/>
      <c r="E102" s="286"/>
    </row>
    <row r="103">
      <c r="A103" s="286"/>
      <c r="B103" s="286"/>
      <c r="C103" s="286"/>
      <c r="D103" s="286"/>
      <c r="E103" s="286"/>
    </row>
    <row r="104">
      <c r="A104" s="286"/>
      <c r="B104" s="286"/>
      <c r="C104" s="286"/>
      <c r="D104" s="286"/>
      <c r="E104" s="286"/>
    </row>
    <row r="105">
      <c r="A105" s="286"/>
      <c r="B105" s="286"/>
      <c r="C105" s="286"/>
      <c r="D105" s="286"/>
      <c r="E105" s="286"/>
    </row>
    <row r="106">
      <c r="A106" s="286"/>
      <c r="B106" s="286"/>
      <c r="C106" s="286"/>
      <c r="D106" s="286"/>
      <c r="E106" s="286"/>
    </row>
    <row r="107">
      <c r="A107" s="286"/>
      <c r="B107" s="286"/>
      <c r="C107" s="286"/>
      <c r="D107" s="286"/>
      <c r="E107" s="286"/>
    </row>
    <row r="108">
      <c r="A108" s="286"/>
      <c r="B108" s="286"/>
      <c r="C108" s="286"/>
      <c r="D108" s="286"/>
      <c r="E108" s="286"/>
    </row>
    <row r="109">
      <c r="A109" s="286"/>
      <c r="B109" s="286"/>
      <c r="C109" s="286"/>
      <c r="D109" s="286"/>
      <c r="E109" s="286"/>
    </row>
    <row r="110">
      <c r="A110" s="286"/>
      <c r="B110" s="286"/>
      <c r="C110" s="286"/>
      <c r="D110" s="286"/>
      <c r="E110" s="286"/>
    </row>
    <row r="111">
      <c r="A111" s="286"/>
      <c r="B111" s="286"/>
      <c r="C111" s="286"/>
      <c r="D111" s="286"/>
      <c r="E111" s="286"/>
    </row>
    <row r="112">
      <c r="A112" s="286"/>
      <c r="B112" s="286"/>
      <c r="C112" s="286"/>
      <c r="D112" s="286"/>
      <c r="E112" s="286"/>
    </row>
    <row r="113">
      <c r="A113" s="286"/>
      <c r="B113" s="286"/>
      <c r="C113" s="286"/>
      <c r="D113" s="286"/>
      <c r="E113" s="286"/>
    </row>
    <row r="114">
      <c r="A114" s="286"/>
      <c r="B114" s="286"/>
      <c r="C114" s="286"/>
      <c r="D114" s="286"/>
      <c r="E114" s="286"/>
    </row>
    <row r="115">
      <c r="A115" s="286"/>
      <c r="B115" s="286"/>
      <c r="C115" s="286"/>
      <c r="D115" s="286"/>
      <c r="E115" s="286"/>
    </row>
    <row r="116">
      <c r="A116" s="286"/>
      <c r="B116" s="286"/>
      <c r="C116" s="286"/>
      <c r="D116" s="286"/>
      <c r="E116" s="286"/>
    </row>
    <row r="117">
      <c r="A117" s="286"/>
      <c r="B117" s="286"/>
      <c r="C117" s="286"/>
      <c r="D117" s="286"/>
      <c r="E117" s="286"/>
    </row>
    <row r="118">
      <c r="A118" s="286"/>
      <c r="B118" s="286"/>
      <c r="C118" s="286"/>
      <c r="D118" s="286"/>
      <c r="E118" s="286"/>
    </row>
    <row r="119">
      <c r="A119" s="286"/>
      <c r="B119" s="286"/>
      <c r="C119" s="286"/>
      <c r="D119" s="286"/>
      <c r="E119" s="286"/>
    </row>
    <row r="120">
      <c r="A120" s="286"/>
      <c r="B120" s="286"/>
      <c r="C120" s="286"/>
      <c r="D120" s="286"/>
      <c r="E120" s="286"/>
    </row>
    <row r="121">
      <c r="A121" s="286"/>
      <c r="B121" s="286"/>
      <c r="C121" s="286"/>
      <c r="D121" s="286"/>
      <c r="E121" s="286"/>
    </row>
    <row r="122">
      <c r="A122" s="286"/>
      <c r="B122" s="286"/>
      <c r="C122" s="286"/>
      <c r="D122" s="286"/>
      <c r="E122" s="286"/>
    </row>
    <row r="123">
      <c r="A123" s="286"/>
      <c r="B123" s="286"/>
      <c r="C123" s="286"/>
      <c r="D123" s="286"/>
      <c r="E123" s="286"/>
    </row>
    <row r="124">
      <c r="A124" s="286"/>
      <c r="B124" s="286"/>
      <c r="C124" s="286"/>
      <c r="D124" s="286"/>
      <c r="E124" s="286"/>
    </row>
    <row r="125">
      <c r="A125" s="286"/>
      <c r="B125" s="286"/>
      <c r="C125" s="286"/>
      <c r="D125" s="286"/>
      <c r="E125" s="286"/>
    </row>
    <row r="126">
      <c r="A126" s="286"/>
      <c r="B126" s="286"/>
      <c r="C126" s="286"/>
      <c r="D126" s="286"/>
      <c r="E126" s="286"/>
    </row>
    <row r="127">
      <c r="A127" s="286"/>
      <c r="B127" s="286"/>
      <c r="C127" s="286"/>
      <c r="D127" s="286"/>
      <c r="E127" s="286"/>
    </row>
    <row r="128">
      <c r="A128" s="286"/>
      <c r="B128" s="286"/>
      <c r="C128" s="286"/>
      <c r="D128" s="286"/>
      <c r="E128" s="286"/>
    </row>
    <row r="129">
      <c r="A129" s="286"/>
      <c r="B129" s="286"/>
      <c r="C129" s="286"/>
      <c r="D129" s="286"/>
      <c r="E129" s="286"/>
    </row>
    <row r="130">
      <c r="A130" s="286"/>
      <c r="B130" s="286"/>
      <c r="C130" s="286"/>
      <c r="D130" s="286"/>
      <c r="E130" s="286"/>
    </row>
    <row r="131">
      <c r="A131" s="286"/>
      <c r="B131" s="286"/>
      <c r="C131" s="286"/>
      <c r="D131" s="286"/>
      <c r="E131" s="286"/>
    </row>
    <row r="132">
      <c r="A132" s="286"/>
      <c r="B132" s="286"/>
      <c r="C132" s="286"/>
      <c r="D132" s="286"/>
      <c r="E132" s="286"/>
    </row>
    <row r="133">
      <c r="A133" s="286"/>
      <c r="B133" s="286"/>
      <c r="C133" s="286"/>
      <c r="D133" s="286"/>
      <c r="E133" s="286"/>
    </row>
    <row r="134">
      <c r="A134" s="286"/>
      <c r="B134" s="286"/>
      <c r="C134" s="286"/>
      <c r="D134" s="286"/>
      <c r="E134" s="286"/>
    </row>
    <row r="135">
      <c r="A135" s="286"/>
      <c r="B135" s="286"/>
      <c r="C135" s="286"/>
      <c r="D135" s="286"/>
      <c r="E135" s="286"/>
    </row>
    <row r="136">
      <c r="A136" s="286"/>
      <c r="B136" s="286"/>
      <c r="C136" s="286"/>
      <c r="D136" s="286"/>
      <c r="E136" s="286"/>
    </row>
    <row r="137">
      <c r="A137" s="286"/>
      <c r="B137" s="286"/>
      <c r="C137" s="286"/>
      <c r="D137" s="286"/>
      <c r="E137" s="286"/>
    </row>
    <row r="138">
      <c r="A138" s="286"/>
      <c r="B138" s="286"/>
      <c r="C138" s="286"/>
      <c r="D138" s="286"/>
      <c r="E138" s="286"/>
    </row>
    <row r="139">
      <c r="A139" s="286"/>
      <c r="B139" s="286"/>
      <c r="C139" s="286"/>
      <c r="D139" s="286"/>
      <c r="E139" s="286"/>
    </row>
    <row r="140">
      <c r="A140" s="286"/>
      <c r="B140" s="286"/>
      <c r="C140" s="286"/>
      <c r="D140" s="286"/>
      <c r="E140" s="286"/>
    </row>
    <row r="141">
      <c r="A141" s="286"/>
      <c r="B141" s="286"/>
      <c r="C141" s="286"/>
      <c r="D141" s="286"/>
      <c r="E141" s="286"/>
    </row>
    <row r="142">
      <c r="A142" s="286"/>
      <c r="B142" s="286"/>
      <c r="C142" s="286"/>
      <c r="D142" s="286"/>
      <c r="E142" s="286"/>
    </row>
    <row r="143">
      <c r="A143" s="286"/>
      <c r="B143" s="286"/>
      <c r="C143" s="286"/>
      <c r="D143" s="286"/>
      <c r="E143" s="286"/>
    </row>
    <row r="144">
      <c r="A144" s="286"/>
      <c r="B144" s="286"/>
      <c r="C144" s="286"/>
      <c r="D144" s="286"/>
      <c r="E144" s="286"/>
    </row>
    <row r="145">
      <c r="A145" s="286"/>
      <c r="B145" s="286"/>
      <c r="C145" s="286"/>
      <c r="D145" s="286"/>
      <c r="E145" s="286"/>
    </row>
    <row r="146">
      <c r="A146" s="286"/>
      <c r="B146" s="286"/>
      <c r="C146" s="286"/>
      <c r="D146" s="286"/>
      <c r="E146" s="286"/>
    </row>
    <row r="147">
      <c r="A147" s="286"/>
      <c r="B147" s="286"/>
      <c r="C147" s="286"/>
      <c r="D147" s="286"/>
      <c r="E147" s="286"/>
    </row>
    <row r="148">
      <c r="A148" s="286"/>
      <c r="B148" s="286"/>
      <c r="C148" s="286"/>
      <c r="D148" s="286"/>
      <c r="E148" s="286"/>
    </row>
    <row r="149">
      <c r="A149" s="286"/>
      <c r="B149" s="286"/>
      <c r="C149" s="286"/>
      <c r="D149" s="286"/>
      <c r="E149" s="286"/>
    </row>
    <row r="150">
      <c r="A150" s="286"/>
      <c r="B150" s="286"/>
      <c r="C150" s="286"/>
      <c r="D150" s="286"/>
      <c r="E150" s="286"/>
    </row>
    <row r="151">
      <c r="A151" s="286"/>
      <c r="B151" s="286"/>
      <c r="C151" s="286"/>
      <c r="D151" s="286"/>
      <c r="E151" s="286"/>
    </row>
    <row r="152">
      <c r="A152" s="286"/>
      <c r="B152" s="286"/>
      <c r="C152" s="286"/>
      <c r="D152" s="286"/>
      <c r="E152" s="286"/>
    </row>
    <row r="153">
      <c r="A153" s="286"/>
      <c r="B153" s="286"/>
      <c r="C153" s="286"/>
      <c r="D153" s="286"/>
      <c r="E153" s="286"/>
    </row>
    <row r="154">
      <c r="A154" s="286"/>
      <c r="B154" s="286"/>
      <c r="C154" s="286"/>
      <c r="D154" s="286"/>
      <c r="E154" s="286"/>
    </row>
    <row r="155">
      <c r="A155" s="286"/>
      <c r="B155" s="286"/>
      <c r="C155" s="286"/>
      <c r="D155" s="286"/>
      <c r="E155" s="286"/>
    </row>
    <row r="156">
      <c r="A156" s="286"/>
      <c r="B156" s="286"/>
      <c r="C156" s="286"/>
      <c r="D156" s="286"/>
      <c r="E156" s="286"/>
    </row>
    <row r="157">
      <c r="A157" s="286"/>
      <c r="B157" s="286"/>
      <c r="C157" s="286"/>
      <c r="D157" s="286"/>
      <c r="E157" s="286"/>
    </row>
    <row r="158">
      <c r="A158" s="286"/>
      <c r="B158" s="286"/>
      <c r="C158" s="286"/>
      <c r="D158" s="286"/>
      <c r="E158" s="286"/>
    </row>
    <row r="159">
      <c r="A159" s="286"/>
      <c r="B159" s="286"/>
      <c r="C159" s="286"/>
      <c r="D159" s="286"/>
      <c r="E159" s="286"/>
    </row>
    <row r="160">
      <c r="A160" s="286"/>
      <c r="B160" s="286"/>
      <c r="C160" s="286"/>
      <c r="D160" s="286"/>
      <c r="E160" s="286"/>
    </row>
    <row r="161">
      <c r="A161" s="286"/>
      <c r="B161" s="286"/>
      <c r="C161" s="286"/>
      <c r="D161" s="286"/>
      <c r="E161" s="286"/>
    </row>
    <row r="162">
      <c r="A162" s="286"/>
      <c r="B162" s="286"/>
      <c r="C162" s="286"/>
      <c r="D162" s="286"/>
      <c r="E162" s="286"/>
    </row>
    <row r="163">
      <c r="A163" s="286"/>
      <c r="B163" s="286"/>
      <c r="C163" s="286"/>
      <c r="D163" s="286"/>
      <c r="E163" s="286"/>
    </row>
    <row r="164">
      <c r="A164" s="286"/>
      <c r="B164" s="286"/>
      <c r="C164" s="286"/>
      <c r="D164" s="286"/>
      <c r="E164" s="286"/>
    </row>
    <row r="165">
      <c r="A165" s="286"/>
      <c r="B165" s="286"/>
      <c r="C165" s="286"/>
      <c r="D165" s="286"/>
      <c r="E165" s="286"/>
    </row>
    <row r="166">
      <c r="A166" s="286"/>
      <c r="B166" s="286"/>
      <c r="C166" s="286"/>
      <c r="D166" s="286"/>
      <c r="E166" s="286"/>
    </row>
    <row r="167">
      <c r="A167" s="286"/>
      <c r="B167" s="286"/>
      <c r="C167" s="286"/>
      <c r="D167" s="286"/>
      <c r="E167" s="286"/>
    </row>
    <row r="168">
      <c r="A168" s="286"/>
      <c r="B168" s="286"/>
      <c r="C168" s="286"/>
      <c r="D168" s="286"/>
      <c r="E168" s="286"/>
    </row>
    <row r="169">
      <c r="A169" s="286"/>
      <c r="B169" s="286"/>
      <c r="C169" s="286"/>
      <c r="D169" s="286"/>
      <c r="E169" s="286"/>
    </row>
    <row r="170">
      <c r="A170" s="286"/>
      <c r="B170" s="286"/>
      <c r="C170" s="286"/>
      <c r="D170" s="286"/>
      <c r="E170" s="286"/>
    </row>
    <row r="171">
      <c r="A171" s="286"/>
      <c r="B171" s="286"/>
      <c r="C171" s="286"/>
      <c r="D171" s="286"/>
      <c r="E171" s="286"/>
    </row>
    <row r="172">
      <c r="A172" s="286"/>
      <c r="B172" s="286"/>
      <c r="C172" s="286"/>
      <c r="D172" s="286"/>
      <c r="E172" s="286"/>
    </row>
    <row r="173">
      <c r="A173" s="286"/>
      <c r="B173" s="286"/>
      <c r="C173" s="286"/>
      <c r="D173" s="286"/>
      <c r="E173" s="286"/>
    </row>
    <row r="174">
      <c r="A174" s="286"/>
      <c r="B174" s="286"/>
      <c r="C174" s="286"/>
      <c r="D174" s="286"/>
      <c r="E174" s="286"/>
    </row>
    <row r="175">
      <c r="A175" s="286"/>
      <c r="B175" s="286"/>
      <c r="C175" s="286"/>
      <c r="D175" s="286"/>
      <c r="E175" s="286"/>
    </row>
    <row r="176">
      <c r="A176" s="286"/>
      <c r="B176" s="286"/>
      <c r="C176" s="286"/>
      <c r="D176" s="286"/>
      <c r="E176" s="286"/>
    </row>
    <row r="177">
      <c r="A177" s="286"/>
      <c r="B177" s="286"/>
      <c r="C177" s="286"/>
      <c r="D177" s="286"/>
      <c r="E177" s="286"/>
    </row>
    <row r="178">
      <c r="A178" s="286"/>
      <c r="B178" s="286"/>
      <c r="C178" s="286"/>
      <c r="D178" s="286"/>
      <c r="E178" s="286"/>
    </row>
    <row r="179">
      <c r="A179" s="286"/>
      <c r="B179" s="286"/>
      <c r="C179" s="286"/>
      <c r="D179" s="286"/>
      <c r="E179" s="286"/>
    </row>
    <row r="180">
      <c r="A180" s="286"/>
      <c r="B180" s="286"/>
      <c r="C180" s="286"/>
      <c r="D180" s="286"/>
      <c r="E180" s="286"/>
    </row>
    <row r="181">
      <c r="A181" s="286"/>
      <c r="B181" s="286"/>
      <c r="C181" s="286"/>
      <c r="D181" s="286"/>
      <c r="E181" s="286"/>
    </row>
    <row r="182">
      <c r="A182" s="286"/>
      <c r="B182" s="286"/>
      <c r="C182" s="286"/>
      <c r="D182" s="286"/>
      <c r="E182" s="286"/>
    </row>
    <row r="183">
      <c r="A183" s="286"/>
      <c r="B183" s="286"/>
      <c r="C183" s="286"/>
      <c r="D183" s="286"/>
      <c r="E183" s="286"/>
    </row>
    <row r="184">
      <c r="A184" s="286"/>
      <c r="B184" s="286"/>
      <c r="C184" s="286"/>
      <c r="D184" s="286"/>
      <c r="E184" s="286"/>
    </row>
    <row r="185">
      <c r="A185" s="286"/>
      <c r="B185" s="286"/>
      <c r="C185" s="286"/>
      <c r="D185" s="286"/>
      <c r="E185" s="286"/>
    </row>
    <row r="186">
      <c r="A186" s="286"/>
      <c r="B186" s="286"/>
      <c r="C186" s="286"/>
      <c r="D186" s="286"/>
      <c r="E186" s="286"/>
    </row>
    <row r="187">
      <c r="A187" s="286"/>
      <c r="B187" s="286"/>
      <c r="C187" s="286"/>
      <c r="D187" s="286"/>
      <c r="E187" s="286"/>
    </row>
    <row r="188">
      <c r="A188" s="286"/>
      <c r="B188" s="286"/>
      <c r="C188" s="286"/>
      <c r="D188" s="286"/>
      <c r="E188" s="286"/>
    </row>
    <row r="189">
      <c r="A189" s="286"/>
      <c r="B189" s="286"/>
      <c r="C189" s="286"/>
      <c r="D189" s="286"/>
      <c r="E189" s="286"/>
    </row>
    <row r="190">
      <c r="A190" s="286"/>
      <c r="B190" s="286"/>
      <c r="C190" s="286"/>
      <c r="D190" s="286"/>
      <c r="E190" s="286"/>
    </row>
    <row r="191">
      <c r="A191" s="286"/>
      <c r="B191" s="286"/>
      <c r="C191" s="286"/>
      <c r="D191" s="286"/>
      <c r="E191" s="286"/>
    </row>
    <row r="192">
      <c r="A192" s="286"/>
      <c r="B192" s="286"/>
      <c r="C192" s="286"/>
      <c r="D192" s="286"/>
      <c r="E192" s="286"/>
    </row>
    <row r="193">
      <c r="A193" s="286"/>
      <c r="B193" s="286"/>
      <c r="C193" s="286"/>
      <c r="D193" s="286"/>
      <c r="E193" s="286"/>
    </row>
    <row r="194">
      <c r="A194" s="286"/>
      <c r="B194" s="286"/>
      <c r="C194" s="286"/>
      <c r="D194" s="286"/>
      <c r="E194" s="286"/>
    </row>
    <row r="195">
      <c r="A195" s="286"/>
      <c r="B195" s="286"/>
      <c r="C195" s="286"/>
      <c r="D195" s="286"/>
      <c r="E195" s="286"/>
    </row>
    <row r="196">
      <c r="A196" s="286"/>
      <c r="B196" s="286"/>
      <c r="C196" s="286"/>
      <c r="D196" s="286"/>
      <c r="E196" s="286"/>
    </row>
    <row r="197">
      <c r="A197" s="286"/>
      <c r="B197" s="286"/>
      <c r="C197" s="286"/>
      <c r="D197" s="286"/>
      <c r="E197" s="286"/>
    </row>
    <row r="198">
      <c r="A198" s="286"/>
      <c r="B198" s="286"/>
      <c r="C198" s="286"/>
      <c r="D198" s="286"/>
      <c r="E198" s="286"/>
    </row>
    <row r="199">
      <c r="A199" s="286"/>
      <c r="B199" s="286"/>
      <c r="C199" s="286"/>
      <c r="D199" s="286"/>
      <c r="E199" s="286"/>
    </row>
    <row r="200">
      <c r="A200" s="286"/>
      <c r="B200" s="286"/>
      <c r="C200" s="286"/>
      <c r="D200" s="286"/>
      <c r="E200" s="286"/>
    </row>
    <row r="201">
      <c r="A201" s="286"/>
      <c r="B201" s="286"/>
      <c r="C201" s="286"/>
      <c r="D201" s="286"/>
      <c r="E201" s="286"/>
    </row>
    <row r="202">
      <c r="A202" s="286"/>
      <c r="B202" s="286"/>
      <c r="C202" s="286"/>
      <c r="D202" s="286"/>
      <c r="E202" s="286"/>
    </row>
    <row r="203">
      <c r="A203" s="286"/>
      <c r="B203" s="286"/>
      <c r="C203" s="286"/>
      <c r="D203" s="286"/>
      <c r="E203" s="286"/>
    </row>
    <row r="204">
      <c r="A204" s="286"/>
      <c r="B204" s="286"/>
      <c r="C204" s="286"/>
      <c r="D204" s="286"/>
      <c r="E204" s="286"/>
    </row>
    <row r="205">
      <c r="A205" s="286"/>
      <c r="B205" s="286"/>
      <c r="C205" s="286"/>
      <c r="D205" s="286"/>
      <c r="E205" s="286"/>
    </row>
    <row r="206">
      <c r="A206" s="286"/>
      <c r="B206" s="286"/>
      <c r="C206" s="286"/>
      <c r="D206" s="286"/>
      <c r="E206" s="286"/>
    </row>
    <row r="207">
      <c r="A207" s="286"/>
      <c r="B207" s="286"/>
      <c r="C207" s="286"/>
      <c r="D207" s="286"/>
      <c r="E207" s="286"/>
    </row>
    <row r="208">
      <c r="A208" s="286"/>
      <c r="B208" s="286"/>
      <c r="C208" s="286"/>
      <c r="D208" s="286"/>
      <c r="E208" s="286"/>
    </row>
    <row r="209">
      <c r="A209" s="286"/>
      <c r="B209" s="286"/>
      <c r="C209" s="286"/>
      <c r="D209" s="286"/>
      <c r="E209" s="286"/>
    </row>
    <row r="210">
      <c r="A210" s="286"/>
      <c r="B210" s="286"/>
      <c r="C210" s="286"/>
      <c r="D210" s="286"/>
      <c r="E210" s="286"/>
    </row>
    <row r="211">
      <c r="A211" s="286"/>
      <c r="B211" s="286"/>
      <c r="C211" s="286"/>
      <c r="D211" s="286"/>
      <c r="E211" s="286"/>
    </row>
    <row r="212">
      <c r="A212" s="286"/>
      <c r="B212" s="286"/>
      <c r="C212" s="286"/>
      <c r="D212" s="286"/>
      <c r="E212" s="286"/>
    </row>
    <row r="213">
      <c r="A213" s="286"/>
      <c r="B213" s="286"/>
      <c r="C213" s="286"/>
      <c r="D213" s="286"/>
      <c r="E213" s="286"/>
    </row>
    <row r="214">
      <c r="A214" s="286"/>
      <c r="B214" s="286"/>
      <c r="C214" s="286"/>
      <c r="D214" s="286"/>
      <c r="E214" s="286"/>
    </row>
    <row r="215">
      <c r="A215" s="286"/>
      <c r="B215" s="286"/>
      <c r="C215" s="286"/>
      <c r="D215" s="286"/>
      <c r="E215" s="286"/>
    </row>
    <row r="216">
      <c r="A216" s="286"/>
      <c r="B216" s="286"/>
      <c r="C216" s="286"/>
      <c r="D216" s="286"/>
      <c r="E216" s="286"/>
    </row>
    <row r="217">
      <c r="A217" s="286"/>
      <c r="B217" s="286"/>
      <c r="C217" s="286"/>
      <c r="D217" s="286"/>
      <c r="E217" s="286"/>
    </row>
    <row r="218">
      <c r="A218" s="286"/>
      <c r="B218" s="286"/>
      <c r="C218" s="286"/>
      <c r="D218" s="286"/>
      <c r="E218" s="286"/>
    </row>
    <row r="219">
      <c r="A219" s="286"/>
      <c r="B219" s="286"/>
      <c r="C219" s="286"/>
      <c r="D219" s="286"/>
      <c r="E219" s="286"/>
    </row>
    <row r="220">
      <c r="A220" s="286"/>
      <c r="B220" s="286"/>
      <c r="C220" s="286"/>
      <c r="D220" s="286"/>
      <c r="E220" s="286"/>
    </row>
    <row r="221">
      <c r="A221" s="286"/>
      <c r="B221" s="286"/>
      <c r="C221" s="286"/>
      <c r="D221" s="286"/>
      <c r="E221" s="286"/>
    </row>
    <row r="222">
      <c r="A222" s="286"/>
      <c r="B222" s="286"/>
      <c r="C222" s="286"/>
      <c r="D222" s="286"/>
      <c r="E222" s="286"/>
    </row>
    <row r="223">
      <c r="A223" s="286"/>
      <c r="B223" s="286"/>
      <c r="C223" s="286"/>
      <c r="D223" s="286"/>
      <c r="E223" s="286"/>
    </row>
    <row r="224">
      <c r="A224" s="286"/>
      <c r="B224" s="286"/>
      <c r="C224" s="286"/>
      <c r="D224" s="286"/>
      <c r="E224" s="286"/>
    </row>
    <row r="225">
      <c r="A225" s="286"/>
      <c r="B225" s="286"/>
      <c r="C225" s="286"/>
      <c r="D225" s="286"/>
      <c r="E225" s="286"/>
    </row>
    <row r="226">
      <c r="A226" s="286"/>
      <c r="B226" s="286"/>
      <c r="C226" s="286"/>
      <c r="D226" s="286"/>
      <c r="E226" s="286"/>
    </row>
    <row r="227">
      <c r="A227" s="286"/>
      <c r="B227" s="286"/>
      <c r="C227" s="286"/>
      <c r="D227" s="286"/>
      <c r="E227" s="286"/>
    </row>
    <row r="228">
      <c r="A228" s="286"/>
      <c r="B228" s="286"/>
      <c r="C228" s="286"/>
      <c r="D228" s="286"/>
      <c r="E228" s="286"/>
    </row>
    <row r="229">
      <c r="A229" s="286"/>
      <c r="B229" s="286"/>
      <c r="C229" s="286"/>
      <c r="D229" s="286"/>
      <c r="E229" s="286"/>
    </row>
    <row r="230">
      <c r="A230" s="286"/>
      <c r="B230" s="286"/>
      <c r="C230" s="286"/>
      <c r="D230" s="286"/>
      <c r="E230" s="286"/>
    </row>
    <row r="231">
      <c r="A231" s="286"/>
      <c r="B231" s="286"/>
      <c r="C231" s="286"/>
      <c r="D231" s="286"/>
      <c r="E231" s="286"/>
    </row>
    <row r="232">
      <c r="A232" s="286"/>
      <c r="B232" s="286"/>
      <c r="C232" s="286"/>
      <c r="D232" s="286"/>
      <c r="E232" s="286"/>
    </row>
    <row r="233">
      <c r="A233" s="286"/>
      <c r="B233" s="286"/>
      <c r="C233" s="286"/>
      <c r="D233" s="286"/>
      <c r="E233" s="286"/>
    </row>
    <row r="234">
      <c r="A234" s="286"/>
      <c r="B234" s="286"/>
      <c r="C234" s="286"/>
      <c r="D234" s="286"/>
      <c r="E234" s="286"/>
    </row>
    <row r="235">
      <c r="A235" s="286"/>
      <c r="B235" s="286"/>
      <c r="C235" s="286"/>
      <c r="D235" s="286"/>
      <c r="E235" s="286"/>
    </row>
    <row r="236">
      <c r="A236" s="286"/>
      <c r="B236" s="286"/>
      <c r="C236" s="286"/>
      <c r="D236" s="286"/>
      <c r="E236" s="286"/>
    </row>
    <row r="237">
      <c r="A237" s="286"/>
      <c r="B237" s="286"/>
      <c r="C237" s="286"/>
      <c r="D237" s="286"/>
      <c r="E237" s="286"/>
    </row>
    <row r="238">
      <c r="A238" s="286"/>
      <c r="B238" s="286"/>
      <c r="C238" s="286"/>
      <c r="D238" s="286"/>
      <c r="E238" s="286"/>
    </row>
    <row r="239">
      <c r="A239" s="286"/>
      <c r="B239" s="286"/>
      <c r="C239" s="286"/>
      <c r="D239" s="286"/>
      <c r="E239" s="286"/>
    </row>
    <row r="240">
      <c r="A240" s="286"/>
      <c r="B240" s="286"/>
      <c r="C240" s="286"/>
      <c r="D240" s="286"/>
      <c r="E240" s="286"/>
    </row>
    <row r="241">
      <c r="A241" s="286"/>
      <c r="B241" s="286"/>
      <c r="C241" s="286"/>
      <c r="D241" s="286"/>
      <c r="E241" s="286"/>
    </row>
    <row r="242">
      <c r="A242" s="286"/>
      <c r="B242" s="286"/>
      <c r="C242" s="286"/>
      <c r="D242" s="286"/>
      <c r="E242" s="286"/>
    </row>
    <row r="243">
      <c r="A243" s="286"/>
      <c r="B243" s="286"/>
      <c r="C243" s="286"/>
      <c r="D243" s="286"/>
      <c r="E243" s="286"/>
    </row>
    <row r="244">
      <c r="A244" s="286"/>
      <c r="B244" s="286"/>
      <c r="C244" s="286"/>
      <c r="D244" s="286"/>
      <c r="E244" s="286"/>
    </row>
    <row r="245">
      <c r="A245" s="286"/>
      <c r="B245" s="286"/>
      <c r="C245" s="286"/>
      <c r="D245" s="286"/>
      <c r="E245" s="286"/>
    </row>
    <row r="246">
      <c r="A246" s="286"/>
      <c r="B246" s="286"/>
      <c r="C246" s="286"/>
      <c r="D246" s="286"/>
      <c r="E246" s="286"/>
    </row>
    <row r="247">
      <c r="A247" s="286"/>
      <c r="B247" s="286"/>
      <c r="C247" s="286"/>
      <c r="D247" s="286"/>
      <c r="E247" s="286"/>
    </row>
    <row r="248">
      <c r="A248" s="286"/>
      <c r="B248" s="286"/>
      <c r="C248" s="286"/>
      <c r="D248" s="286"/>
      <c r="E248" s="286"/>
    </row>
    <row r="249">
      <c r="A249" s="286"/>
      <c r="B249" s="286"/>
      <c r="C249" s="286"/>
      <c r="D249" s="286"/>
      <c r="E249" s="286"/>
    </row>
    <row r="250">
      <c r="A250" s="286"/>
      <c r="B250" s="286"/>
      <c r="C250" s="286"/>
      <c r="D250" s="286"/>
      <c r="E250" s="286"/>
    </row>
    <row r="251">
      <c r="A251" s="286"/>
      <c r="B251" s="286"/>
      <c r="C251" s="286"/>
      <c r="D251" s="286"/>
      <c r="E251" s="286"/>
    </row>
    <row r="252">
      <c r="A252" s="286"/>
      <c r="B252" s="286"/>
      <c r="C252" s="286"/>
      <c r="D252" s="286"/>
      <c r="E252" s="286"/>
    </row>
    <row r="253">
      <c r="A253" s="286"/>
      <c r="B253" s="286"/>
      <c r="C253" s="286"/>
      <c r="D253" s="286"/>
      <c r="E253" s="286"/>
    </row>
    <row r="254">
      <c r="A254" s="286"/>
      <c r="B254" s="286"/>
      <c r="C254" s="286"/>
      <c r="D254" s="286"/>
      <c r="E254" s="286"/>
    </row>
    <row r="255">
      <c r="A255" s="286"/>
      <c r="B255" s="286"/>
      <c r="C255" s="286"/>
      <c r="D255" s="286"/>
      <c r="E255" s="286"/>
    </row>
    <row r="256">
      <c r="A256" s="286"/>
      <c r="B256" s="286"/>
      <c r="C256" s="286"/>
      <c r="D256" s="286"/>
      <c r="E256" s="286"/>
    </row>
    <row r="257">
      <c r="A257" s="286"/>
      <c r="B257" s="286"/>
      <c r="C257" s="286"/>
      <c r="D257" s="286"/>
      <c r="E257" s="286"/>
    </row>
    <row r="258">
      <c r="A258" s="286"/>
      <c r="B258" s="286"/>
      <c r="C258" s="286"/>
      <c r="D258" s="286"/>
      <c r="E258" s="286"/>
    </row>
    <row r="259">
      <c r="A259" s="286"/>
      <c r="B259" s="286"/>
      <c r="C259" s="286"/>
      <c r="D259" s="286"/>
      <c r="E259" s="286"/>
    </row>
    <row r="260">
      <c r="A260" s="286"/>
      <c r="B260" s="286"/>
      <c r="C260" s="286"/>
      <c r="D260" s="286"/>
      <c r="E260" s="286"/>
    </row>
    <row r="261">
      <c r="A261" s="286"/>
      <c r="B261" s="286"/>
      <c r="C261" s="286"/>
      <c r="D261" s="286"/>
      <c r="E261" s="286"/>
    </row>
    <row r="262">
      <c r="A262" s="286"/>
      <c r="B262" s="286"/>
      <c r="C262" s="286"/>
      <c r="D262" s="286"/>
      <c r="E262" s="286"/>
    </row>
    <row r="263">
      <c r="A263" s="286"/>
      <c r="B263" s="286"/>
      <c r="C263" s="286"/>
      <c r="D263" s="286"/>
      <c r="E263" s="286"/>
    </row>
    <row r="264">
      <c r="A264" s="286"/>
      <c r="B264" s="286"/>
      <c r="C264" s="286"/>
      <c r="D264" s="286"/>
      <c r="E264" s="286"/>
    </row>
    <row r="265">
      <c r="A265" s="286"/>
      <c r="B265" s="286"/>
      <c r="C265" s="286"/>
      <c r="D265" s="286"/>
      <c r="E265" s="286"/>
    </row>
    <row r="266">
      <c r="A266" s="286"/>
      <c r="B266" s="286"/>
      <c r="C266" s="286"/>
      <c r="D266" s="286"/>
      <c r="E266" s="286"/>
    </row>
    <row r="267">
      <c r="A267" s="286"/>
      <c r="B267" s="286"/>
      <c r="C267" s="286"/>
      <c r="D267" s="286"/>
      <c r="E267" s="286"/>
    </row>
    <row r="268">
      <c r="A268" s="286"/>
      <c r="B268" s="286"/>
      <c r="C268" s="286"/>
      <c r="D268" s="286"/>
      <c r="E268" s="286"/>
    </row>
    <row r="269">
      <c r="A269" s="286"/>
      <c r="B269" s="286"/>
      <c r="C269" s="286"/>
      <c r="D269" s="286"/>
      <c r="E269" s="286"/>
    </row>
    <row r="270">
      <c r="A270" s="286"/>
      <c r="B270" s="286"/>
      <c r="C270" s="286"/>
      <c r="D270" s="286"/>
      <c r="E270" s="286"/>
    </row>
    <row r="271">
      <c r="A271" s="286"/>
      <c r="B271" s="286"/>
      <c r="C271" s="286"/>
      <c r="D271" s="286"/>
      <c r="E271" s="286"/>
    </row>
    <row r="272">
      <c r="A272" s="286"/>
      <c r="B272" s="286"/>
      <c r="C272" s="286"/>
      <c r="D272" s="286"/>
      <c r="E272" s="286"/>
    </row>
    <row r="273">
      <c r="A273" s="286"/>
      <c r="B273" s="286"/>
      <c r="C273" s="286"/>
      <c r="D273" s="286"/>
      <c r="E273" s="286"/>
    </row>
    <row r="274">
      <c r="A274" s="286"/>
      <c r="B274" s="286"/>
      <c r="C274" s="286"/>
      <c r="D274" s="286"/>
      <c r="E274" s="286"/>
    </row>
    <row r="275">
      <c r="A275" s="286"/>
      <c r="B275" s="286"/>
      <c r="C275" s="286"/>
      <c r="D275" s="286"/>
      <c r="E275" s="286"/>
    </row>
    <row r="276">
      <c r="A276" s="286"/>
      <c r="B276" s="286"/>
      <c r="C276" s="286"/>
      <c r="D276" s="286"/>
      <c r="E276" s="286"/>
    </row>
    <row r="277">
      <c r="A277" s="286"/>
      <c r="B277" s="286"/>
      <c r="C277" s="286"/>
      <c r="D277" s="286"/>
      <c r="E277" s="286"/>
    </row>
    <row r="278">
      <c r="A278" s="286"/>
      <c r="B278" s="286"/>
      <c r="C278" s="286"/>
      <c r="D278" s="286"/>
      <c r="E278" s="286"/>
    </row>
    <row r="279">
      <c r="A279" s="286"/>
      <c r="B279" s="286"/>
      <c r="C279" s="286"/>
      <c r="D279" s="286"/>
      <c r="E279" s="286"/>
    </row>
    <row r="280">
      <c r="A280" s="286"/>
      <c r="B280" s="286"/>
      <c r="C280" s="286"/>
      <c r="D280" s="286"/>
      <c r="E280" s="286"/>
    </row>
    <row r="281">
      <c r="A281" s="286"/>
      <c r="B281" s="286"/>
      <c r="C281" s="286"/>
      <c r="D281" s="286"/>
      <c r="E281" s="286"/>
    </row>
    <row r="282">
      <c r="A282" s="286"/>
      <c r="B282" s="286"/>
      <c r="C282" s="286"/>
      <c r="D282" s="286"/>
      <c r="E282" s="286"/>
    </row>
    <row r="283">
      <c r="A283" s="286"/>
      <c r="B283" s="286"/>
      <c r="C283" s="286"/>
      <c r="D283" s="286"/>
      <c r="E283" s="286"/>
    </row>
    <row r="284">
      <c r="A284" s="286"/>
      <c r="B284" s="286"/>
      <c r="C284" s="286"/>
      <c r="D284" s="286"/>
      <c r="E284" s="286"/>
    </row>
    <row r="285">
      <c r="A285" s="286"/>
      <c r="B285" s="286"/>
      <c r="C285" s="286"/>
      <c r="D285" s="286"/>
      <c r="E285" s="286"/>
    </row>
    <row r="286">
      <c r="A286" s="286"/>
      <c r="B286" s="286"/>
      <c r="C286" s="286"/>
      <c r="D286" s="286"/>
      <c r="E286" s="286"/>
    </row>
    <row r="287">
      <c r="A287" s="286"/>
      <c r="B287" s="286"/>
      <c r="C287" s="286"/>
      <c r="D287" s="286"/>
      <c r="E287" s="286"/>
    </row>
    <row r="288">
      <c r="A288" s="286"/>
      <c r="B288" s="286"/>
      <c r="C288" s="286"/>
      <c r="D288" s="286"/>
      <c r="E288" s="286"/>
    </row>
    <row r="289">
      <c r="A289" s="286"/>
      <c r="B289" s="286"/>
      <c r="C289" s="286"/>
      <c r="D289" s="286"/>
      <c r="E289" s="286"/>
    </row>
    <row r="290">
      <c r="A290" s="286"/>
      <c r="B290" s="286"/>
      <c r="C290" s="286"/>
      <c r="D290" s="286"/>
      <c r="E290" s="286"/>
    </row>
    <row r="291">
      <c r="A291" s="286"/>
      <c r="B291" s="286"/>
      <c r="C291" s="286"/>
      <c r="D291" s="286"/>
      <c r="E291" s="286"/>
    </row>
    <row r="292">
      <c r="A292" s="286"/>
      <c r="B292" s="286"/>
      <c r="C292" s="286"/>
      <c r="D292" s="286"/>
      <c r="E292" s="286"/>
    </row>
    <row r="293">
      <c r="A293" s="286"/>
      <c r="B293" s="286"/>
      <c r="C293" s="286"/>
      <c r="D293" s="286"/>
      <c r="E293" s="286"/>
    </row>
    <row r="294">
      <c r="A294" s="286"/>
      <c r="B294" s="286"/>
      <c r="C294" s="286"/>
      <c r="D294" s="286"/>
      <c r="E294" s="286"/>
    </row>
    <row r="295">
      <c r="A295" s="286"/>
      <c r="B295" s="286"/>
      <c r="C295" s="286"/>
      <c r="D295" s="286"/>
      <c r="E295" s="286"/>
    </row>
    <row r="296">
      <c r="A296" s="286"/>
      <c r="B296" s="286"/>
      <c r="C296" s="286"/>
      <c r="D296" s="286"/>
      <c r="E296" s="286"/>
    </row>
    <row r="297">
      <c r="A297" s="286"/>
      <c r="B297" s="286"/>
      <c r="C297" s="286"/>
      <c r="D297" s="286"/>
      <c r="E297" s="286"/>
    </row>
    <row r="298">
      <c r="A298" s="286"/>
      <c r="B298" s="286"/>
      <c r="C298" s="286"/>
      <c r="D298" s="286"/>
      <c r="E298" s="286"/>
    </row>
    <row r="299">
      <c r="A299" s="286"/>
      <c r="B299" s="286"/>
      <c r="C299" s="286"/>
      <c r="D299" s="286"/>
      <c r="E299" s="286"/>
    </row>
    <row r="300">
      <c r="A300" s="286"/>
      <c r="B300" s="286"/>
      <c r="C300" s="286"/>
      <c r="D300" s="286"/>
      <c r="E300" s="286"/>
    </row>
    <row r="301">
      <c r="A301" s="286"/>
      <c r="B301" s="286"/>
      <c r="C301" s="286"/>
      <c r="D301" s="286"/>
      <c r="E301" s="286"/>
    </row>
    <row r="302">
      <c r="A302" s="286"/>
      <c r="B302" s="286"/>
      <c r="C302" s="286"/>
      <c r="D302" s="286"/>
      <c r="E302" s="286"/>
    </row>
    <row r="303">
      <c r="A303" s="286"/>
      <c r="B303" s="286"/>
      <c r="C303" s="286"/>
      <c r="D303" s="286"/>
      <c r="E303" s="286"/>
    </row>
    <row r="304">
      <c r="A304" s="286"/>
      <c r="B304" s="286"/>
      <c r="C304" s="286"/>
      <c r="D304" s="286"/>
      <c r="E304" s="286"/>
    </row>
    <row r="305">
      <c r="A305" s="286"/>
      <c r="B305" s="286"/>
      <c r="C305" s="286"/>
      <c r="D305" s="286"/>
      <c r="E305" s="286"/>
    </row>
    <row r="306">
      <c r="A306" s="286"/>
      <c r="B306" s="286"/>
      <c r="C306" s="286"/>
      <c r="D306" s="286"/>
      <c r="E306" s="286"/>
    </row>
    <row r="307">
      <c r="A307" s="286"/>
      <c r="B307" s="286"/>
      <c r="C307" s="286"/>
      <c r="D307" s="286"/>
      <c r="E307" s="286"/>
    </row>
    <row r="308">
      <c r="A308" s="286"/>
      <c r="B308" s="286"/>
      <c r="C308" s="286"/>
      <c r="D308" s="286"/>
      <c r="E308" s="286"/>
    </row>
    <row r="309">
      <c r="A309" s="286"/>
      <c r="B309" s="286"/>
      <c r="C309" s="286"/>
      <c r="D309" s="286"/>
      <c r="E309" s="286"/>
    </row>
    <row r="310">
      <c r="A310" s="286"/>
      <c r="B310" s="286"/>
      <c r="C310" s="286"/>
      <c r="D310" s="286"/>
      <c r="E310" s="286"/>
    </row>
    <row r="311">
      <c r="A311" s="286"/>
      <c r="B311" s="286"/>
      <c r="C311" s="286"/>
      <c r="D311" s="286"/>
      <c r="E311" s="286"/>
    </row>
    <row r="312">
      <c r="A312" s="286"/>
      <c r="B312" s="286"/>
      <c r="C312" s="286"/>
      <c r="D312" s="286"/>
      <c r="E312" s="286"/>
    </row>
    <row r="313">
      <c r="A313" s="286"/>
      <c r="B313" s="286"/>
      <c r="C313" s="286"/>
      <c r="D313" s="286"/>
      <c r="E313" s="286"/>
    </row>
    <row r="314">
      <c r="A314" s="286"/>
      <c r="B314" s="286"/>
      <c r="C314" s="286"/>
      <c r="D314" s="286"/>
      <c r="E314" s="286"/>
    </row>
    <row r="315">
      <c r="A315" s="286"/>
      <c r="B315" s="286"/>
      <c r="C315" s="286"/>
      <c r="D315" s="286"/>
      <c r="E315" s="286"/>
    </row>
    <row r="316">
      <c r="A316" s="286"/>
      <c r="B316" s="286"/>
      <c r="C316" s="286"/>
      <c r="D316" s="286"/>
      <c r="E316" s="286"/>
    </row>
    <row r="317">
      <c r="A317" s="286"/>
      <c r="B317" s="286"/>
      <c r="C317" s="286"/>
      <c r="D317" s="286"/>
      <c r="E317" s="286"/>
    </row>
    <row r="318">
      <c r="A318" s="286"/>
      <c r="B318" s="286"/>
      <c r="C318" s="286"/>
      <c r="D318" s="286"/>
      <c r="E318" s="286"/>
    </row>
    <row r="319">
      <c r="A319" s="286"/>
      <c r="B319" s="286"/>
      <c r="C319" s="286"/>
      <c r="D319" s="286"/>
      <c r="E319" s="286"/>
    </row>
    <row r="320">
      <c r="A320" s="286"/>
      <c r="B320" s="286"/>
      <c r="C320" s="286"/>
      <c r="D320" s="286"/>
      <c r="E320" s="286"/>
    </row>
    <row r="321">
      <c r="A321" s="286"/>
      <c r="B321" s="286"/>
      <c r="C321" s="286"/>
      <c r="D321" s="286"/>
      <c r="E321" s="286"/>
    </row>
    <row r="322">
      <c r="A322" s="286"/>
      <c r="B322" s="286"/>
      <c r="C322" s="286"/>
      <c r="D322" s="286"/>
      <c r="E322" s="286"/>
    </row>
    <row r="323">
      <c r="A323" s="286"/>
      <c r="B323" s="286"/>
      <c r="C323" s="286"/>
      <c r="D323" s="286"/>
      <c r="E323" s="286"/>
    </row>
    <row r="324">
      <c r="A324" s="286"/>
      <c r="B324" s="286"/>
      <c r="C324" s="286"/>
      <c r="D324" s="286"/>
      <c r="E324" s="286"/>
    </row>
    <row r="325">
      <c r="A325" s="286"/>
      <c r="B325" s="286"/>
      <c r="C325" s="286"/>
      <c r="D325" s="286"/>
      <c r="E325" s="286"/>
    </row>
    <row r="326">
      <c r="A326" s="286"/>
      <c r="B326" s="286"/>
      <c r="C326" s="286"/>
      <c r="D326" s="286"/>
      <c r="E326" s="286"/>
    </row>
    <row r="327">
      <c r="A327" s="286"/>
      <c r="B327" s="286"/>
      <c r="C327" s="286"/>
      <c r="D327" s="286"/>
      <c r="E327" s="286"/>
    </row>
    <row r="328">
      <c r="A328" s="286"/>
      <c r="B328" s="286"/>
      <c r="C328" s="286"/>
      <c r="D328" s="286"/>
      <c r="E328" s="286"/>
    </row>
    <row r="329">
      <c r="A329" s="286"/>
      <c r="B329" s="286"/>
      <c r="C329" s="286"/>
      <c r="D329" s="286"/>
      <c r="E329" s="286"/>
    </row>
    <row r="330">
      <c r="A330" s="286"/>
      <c r="B330" s="286"/>
      <c r="C330" s="286"/>
      <c r="D330" s="286"/>
      <c r="E330" s="286"/>
    </row>
    <row r="331">
      <c r="A331" s="286"/>
      <c r="B331" s="286"/>
      <c r="C331" s="286"/>
      <c r="D331" s="286"/>
      <c r="E331" s="286"/>
    </row>
    <row r="332">
      <c r="A332" s="286"/>
      <c r="B332" s="286"/>
      <c r="C332" s="286"/>
      <c r="D332" s="286"/>
      <c r="E332" s="286"/>
    </row>
    <row r="333">
      <c r="A333" s="286"/>
      <c r="B333" s="286"/>
      <c r="C333" s="286"/>
      <c r="D333" s="286"/>
      <c r="E333" s="286"/>
    </row>
    <row r="334">
      <c r="A334" s="286"/>
      <c r="B334" s="286"/>
      <c r="C334" s="286"/>
      <c r="D334" s="286"/>
      <c r="E334" s="286"/>
    </row>
    <row r="335">
      <c r="A335" s="286"/>
      <c r="B335" s="286"/>
      <c r="C335" s="286"/>
      <c r="D335" s="286"/>
      <c r="E335" s="286"/>
    </row>
    <row r="336">
      <c r="A336" s="286"/>
      <c r="B336" s="286"/>
      <c r="C336" s="286"/>
      <c r="D336" s="286"/>
      <c r="E336" s="286"/>
    </row>
    <row r="337">
      <c r="A337" s="286"/>
      <c r="B337" s="286"/>
      <c r="C337" s="286"/>
      <c r="D337" s="286"/>
      <c r="E337" s="286"/>
    </row>
    <row r="338">
      <c r="A338" s="286"/>
      <c r="B338" s="286"/>
      <c r="C338" s="286"/>
      <c r="D338" s="286"/>
      <c r="E338" s="286"/>
    </row>
    <row r="339">
      <c r="A339" s="286"/>
      <c r="B339" s="286"/>
      <c r="C339" s="286"/>
      <c r="D339" s="286"/>
      <c r="E339" s="286"/>
    </row>
    <row r="340">
      <c r="A340" s="286"/>
      <c r="B340" s="286"/>
      <c r="C340" s="286"/>
      <c r="D340" s="286"/>
      <c r="E340" s="286"/>
    </row>
    <row r="341">
      <c r="A341" s="286"/>
      <c r="B341" s="286"/>
      <c r="C341" s="286"/>
      <c r="D341" s="286"/>
      <c r="E341" s="286"/>
    </row>
    <row r="342">
      <c r="A342" s="286"/>
      <c r="B342" s="286"/>
      <c r="C342" s="286"/>
      <c r="D342" s="286"/>
      <c r="E342" s="286"/>
    </row>
    <row r="343">
      <c r="A343" s="286"/>
      <c r="B343" s="286"/>
      <c r="C343" s="286"/>
      <c r="D343" s="286"/>
      <c r="E343" s="286"/>
    </row>
    <row r="344">
      <c r="A344" s="286"/>
      <c r="B344" s="286"/>
      <c r="C344" s="286"/>
      <c r="D344" s="286"/>
      <c r="E344" s="286"/>
    </row>
    <row r="345">
      <c r="A345" s="286"/>
      <c r="B345" s="286"/>
      <c r="C345" s="286"/>
      <c r="D345" s="286"/>
      <c r="E345" s="286"/>
    </row>
    <row r="346">
      <c r="A346" s="286"/>
      <c r="B346" s="286"/>
      <c r="C346" s="286"/>
      <c r="D346" s="286"/>
      <c r="E346" s="286"/>
    </row>
    <row r="347">
      <c r="A347" s="286"/>
      <c r="B347" s="286"/>
      <c r="C347" s="286"/>
      <c r="D347" s="286"/>
      <c r="E347" s="286"/>
    </row>
    <row r="348">
      <c r="A348" s="286"/>
      <c r="B348" s="286"/>
      <c r="C348" s="286"/>
      <c r="D348" s="286"/>
      <c r="E348" s="286"/>
    </row>
    <row r="349">
      <c r="A349" s="286"/>
      <c r="B349" s="286"/>
      <c r="C349" s="286"/>
      <c r="D349" s="286"/>
      <c r="E349" s="286"/>
    </row>
    <row r="350">
      <c r="A350" s="286"/>
      <c r="B350" s="286"/>
      <c r="C350" s="286"/>
      <c r="D350" s="286"/>
      <c r="E350" s="286"/>
    </row>
    <row r="351">
      <c r="A351" s="286"/>
      <c r="B351" s="286"/>
      <c r="C351" s="286"/>
      <c r="D351" s="286"/>
      <c r="E351" s="286"/>
    </row>
    <row r="352">
      <c r="A352" s="286"/>
      <c r="B352" s="286"/>
      <c r="C352" s="286"/>
      <c r="D352" s="286"/>
      <c r="E352" s="286"/>
    </row>
    <row r="353">
      <c r="A353" s="286"/>
      <c r="B353" s="286"/>
      <c r="C353" s="286"/>
      <c r="D353" s="286"/>
      <c r="E353" s="286"/>
    </row>
    <row r="354">
      <c r="A354" s="286"/>
      <c r="B354" s="286"/>
      <c r="C354" s="286"/>
      <c r="D354" s="286"/>
      <c r="E354" s="286"/>
    </row>
    <row r="355">
      <c r="A355" s="286"/>
      <c r="B355" s="286"/>
      <c r="C355" s="286"/>
      <c r="D355" s="286"/>
      <c r="E355" s="286"/>
    </row>
    <row r="356">
      <c r="A356" s="286"/>
      <c r="B356" s="286"/>
      <c r="C356" s="286"/>
      <c r="D356" s="286"/>
      <c r="E356" s="286"/>
    </row>
    <row r="357">
      <c r="A357" s="286"/>
      <c r="B357" s="286"/>
      <c r="C357" s="286"/>
      <c r="D357" s="286"/>
      <c r="E357" s="286"/>
    </row>
    <row r="358">
      <c r="A358" s="286"/>
      <c r="B358" s="286"/>
      <c r="C358" s="286"/>
      <c r="D358" s="286"/>
      <c r="E358" s="286"/>
    </row>
    <row r="359">
      <c r="A359" s="286"/>
      <c r="B359" s="286"/>
      <c r="C359" s="286"/>
      <c r="D359" s="286"/>
      <c r="E359" s="286"/>
    </row>
    <row r="360">
      <c r="A360" s="286"/>
      <c r="B360" s="286"/>
      <c r="C360" s="286"/>
      <c r="D360" s="286"/>
      <c r="E360" s="286"/>
    </row>
    <row r="361">
      <c r="A361" s="286"/>
      <c r="B361" s="286"/>
      <c r="C361" s="286"/>
      <c r="D361" s="286"/>
      <c r="E361" s="286"/>
    </row>
    <row r="362">
      <c r="A362" s="286"/>
      <c r="B362" s="286"/>
      <c r="C362" s="286"/>
      <c r="D362" s="286"/>
      <c r="E362" s="286"/>
    </row>
    <row r="363">
      <c r="A363" s="286"/>
      <c r="B363" s="286"/>
      <c r="C363" s="286"/>
      <c r="D363" s="286"/>
      <c r="E363" s="286"/>
    </row>
    <row r="364">
      <c r="A364" s="286"/>
      <c r="B364" s="286"/>
      <c r="C364" s="286"/>
      <c r="D364" s="286"/>
      <c r="E364" s="286"/>
    </row>
    <row r="365">
      <c r="A365" s="286"/>
      <c r="B365" s="286"/>
      <c r="C365" s="286"/>
      <c r="D365" s="286"/>
      <c r="E365" s="286"/>
    </row>
    <row r="366">
      <c r="A366" s="286"/>
      <c r="B366" s="286"/>
      <c r="C366" s="286"/>
      <c r="D366" s="286"/>
      <c r="E366" s="286"/>
    </row>
    <row r="367">
      <c r="A367" s="286"/>
      <c r="B367" s="286"/>
      <c r="C367" s="286"/>
      <c r="D367" s="286"/>
      <c r="E367" s="286"/>
    </row>
    <row r="368">
      <c r="A368" s="286"/>
      <c r="B368" s="286"/>
      <c r="C368" s="286"/>
      <c r="D368" s="286"/>
      <c r="E368" s="286"/>
    </row>
    <row r="369">
      <c r="A369" s="286"/>
      <c r="B369" s="286"/>
      <c r="C369" s="286"/>
      <c r="D369" s="286"/>
      <c r="E369" s="286"/>
    </row>
    <row r="370">
      <c r="A370" s="286"/>
      <c r="B370" s="286"/>
      <c r="C370" s="286"/>
      <c r="D370" s="286"/>
      <c r="E370" s="286"/>
    </row>
    <row r="371">
      <c r="A371" s="286"/>
      <c r="B371" s="286"/>
      <c r="C371" s="286"/>
      <c r="D371" s="286"/>
      <c r="E371" s="286"/>
    </row>
    <row r="372">
      <c r="A372" s="286"/>
      <c r="B372" s="286"/>
      <c r="C372" s="286"/>
      <c r="D372" s="286"/>
      <c r="E372" s="286"/>
    </row>
    <row r="373">
      <c r="A373" s="286"/>
      <c r="B373" s="286"/>
      <c r="C373" s="286"/>
      <c r="D373" s="286"/>
      <c r="E373" s="286"/>
    </row>
    <row r="374">
      <c r="A374" s="286"/>
      <c r="B374" s="286"/>
      <c r="C374" s="286"/>
      <c r="D374" s="286"/>
      <c r="E374" s="286"/>
    </row>
    <row r="375">
      <c r="A375" s="286"/>
      <c r="B375" s="286"/>
      <c r="C375" s="286"/>
      <c r="D375" s="286"/>
      <c r="E375" s="286"/>
    </row>
    <row r="376">
      <c r="A376" s="286"/>
      <c r="B376" s="286"/>
      <c r="C376" s="286"/>
      <c r="D376" s="286"/>
      <c r="E376" s="286"/>
    </row>
    <row r="377">
      <c r="A377" s="286"/>
      <c r="B377" s="286"/>
      <c r="C377" s="286"/>
      <c r="D377" s="286"/>
      <c r="E377" s="286"/>
    </row>
    <row r="378">
      <c r="A378" s="286"/>
      <c r="B378" s="286"/>
      <c r="C378" s="286"/>
      <c r="D378" s="286"/>
      <c r="E378" s="286"/>
    </row>
    <row r="379">
      <c r="A379" s="286"/>
      <c r="B379" s="286"/>
      <c r="C379" s="286"/>
      <c r="D379" s="286"/>
      <c r="E379" s="286"/>
    </row>
    <row r="380">
      <c r="A380" s="286"/>
      <c r="B380" s="286"/>
      <c r="C380" s="286"/>
      <c r="D380" s="286"/>
      <c r="E380" s="286"/>
    </row>
    <row r="381">
      <c r="A381" s="286"/>
      <c r="B381" s="286"/>
      <c r="C381" s="286"/>
      <c r="D381" s="286"/>
      <c r="E381" s="286"/>
    </row>
    <row r="382">
      <c r="A382" s="286"/>
      <c r="B382" s="286"/>
      <c r="C382" s="286"/>
      <c r="D382" s="286"/>
      <c r="E382" s="286"/>
    </row>
    <row r="383">
      <c r="A383" s="286"/>
      <c r="B383" s="286"/>
      <c r="C383" s="286"/>
      <c r="D383" s="286"/>
      <c r="E383" s="286"/>
    </row>
    <row r="384">
      <c r="A384" s="286"/>
      <c r="B384" s="286"/>
      <c r="C384" s="286"/>
      <c r="D384" s="286"/>
      <c r="E384" s="286"/>
    </row>
    <row r="385">
      <c r="A385" s="286"/>
      <c r="B385" s="286"/>
      <c r="C385" s="286"/>
      <c r="D385" s="286"/>
      <c r="E385" s="286"/>
    </row>
    <row r="386">
      <c r="A386" s="286"/>
      <c r="B386" s="286"/>
      <c r="C386" s="286"/>
      <c r="D386" s="286"/>
      <c r="E386" s="286"/>
    </row>
    <row r="387">
      <c r="A387" s="286"/>
      <c r="B387" s="286"/>
      <c r="C387" s="286"/>
      <c r="D387" s="286"/>
      <c r="E387" s="286"/>
    </row>
    <row r="388">
      <c r="A388" s="286"/>
      <c r="B388" s="286"/>
      <c r="C388" s="286"/>
      <c r="D388" s="286"/>
      <c r="E388" s="286"/>
    </row>
    <row r="389">
      <c r="A389" s="286"/>
      <c r="B389" s="286"/>
      <c r="C389" s="286"/>
      <c r="D389" s="286"/>
      <c r="E389" s="286"/>
    </row>
    <row r="390">
      <c r="A390" s="286"/>
      <c r="B390" s="286"/>
      <c r="C390" s="286"/>
      <c r="D390" s="286"/>
      <c r="E390" s="286"/>
    </row>
    <row r="391">
      <c r="A391" s="286"/>
      <c r="B391" s="286"/>
      <c r="C391" s="286"/>
      <c r="D391" s="286"/>
      <c r="E391" s="286"/>
    </row>
    <row r="392">
      <c r="A392" s="286"/>
      <c r="B392" s="286"/>
      <c r="C392" s="286"/>
      <c r="D392" s="286"/>
      <c r="E392" s="286"/>
    </row>
    <row r="393">
      <c r="A393" s="286"/>
      <c r="B393" s="286"/>
      <c r="C393" s="286"/>
      <c r="D393" s="286"/>
      <c r="E393" s="286"/>
    </row>
    <row r="394">
      <c r="A394" s="286"/>
      <c r="B394" s="286"/>
      <c r="C394" s="286"/>
      <c r="D394" s="286"/>
      <c r="E394" s="286"/>
    </row>
    <row r="395">
      <c r="A395" s="286"/>
      <c r="B395" s="286"/>
      <c r="C395" s="286"/>
      <c r="D395" s="286"/>
      <c r="E395" s="286"/>
    </row>
    <row r="396">
      <c r="A396" s="286"/>
      <c r="B396" s="286"/>
      <c r="C396" s="286"/>
      <c r="D396" s="286"/>
      <c r="E396" s="286"/>
    </row>
    <row r="397">
      <c r="A397" s="286"/>
      <c r="B397" s="286"/>
      <c r="C397" s="286"/>
      <c r="D397" s="286"/>
      <c r="E397" s="286"/>
    </row>
    <row r="398">
      <c r="A398" s="286"/>
      <c r="B398" s="286"/>
      <c r="C398" s="286"/>
      <c r="D398" s="286"/>
      <c r="E398" s="286"/>
    </row>
    <row r="399">
      <c r="A399" s="286"/>
      <c r="B399" s="286"/>
      <c r="C399" s="286"/>
      <c r="D399" s="286"/>
      <c r="E399" s="286"/>
    </row>
    <row r="400">
      <c r="A400" s="286"/>
      <c r="B400" s="286"/>
      <c r="C400" s="286"/>
      <c r="D400" s="286"/>
      <c r="E400" s="286"/>
    </row>
    <row r="401">
      <c r="A401" s="286"/>
      <c r="B401" s="286"/>
      <c r="C401" s="286"/>
      <c r="D401" s="286"/>
      <c r="E401" s="286"/>
    </row>
    <row r="402">
      <c r="A402" s="286"/>
      <c r="B402" s="286"/>
      <c r="C402" s="286"/>
      <c r="D402" s="286"/>
      <c r="E402" s="286"/>
    </row>
    <row r="403">
      <c r="A403" s="286"/>
      <c r="B403" s="286"/>
      <c r="C403" s="286"/>
      <c r="D403" s="286"/>
      <c r="E403" s="286"/>
    </row>
    <row r="404">
      <c r="A404" s="286"/>
      <c r="B404" s="286"/>
      <c r="C404" s="286"/>
      <c r="D404" s="286"/>
      <c r="E404" s="286"/>
    </row>
    <row r="405">
      <c r="A405" s="286"/>
      <c r="B405" s="286"/>
      <c r="C405" s="286"/>
      <c r="D405" s="286"/>
      <c r="E405" s="286"/>
    </row>
    <row r="406">
      <c r="A406" s="286"/>
      <c r="B406" s="286"/>
      <c r="C406" s="286"/>
      <c r="D406" s="286"/>
      <c r="E406" s="286"/>
    </row>
    <row r="407">
      <c r="A407" s="286"/>
      <c r="B407" s="286"/>
      <c r="C407" s="286"/>
      <c r="D407" s="286"/>
      <c r="E407" s="286"/>
    </row>
    <row r="408">
      <c r="A408" s="286"/>
      <c r="B408" s="286"/>
      <c r="C408" s="286"/>
      <c r="D408" s="286"/>
      <c r="E408" s="286"/>
    </row>
    <row r="409">
      <c r="A409" s="286"/>
      <c r="B409" s="286"/>
      <c r="C409" s="286"/>
      <c r="D409" s="286"/>
      <c r="E409" s="286"/>
    </row>
    <row r="410">
      <c r="A410" s="286"/>
      <c r="B410" s="286"/>
      <c r="C410" s="286"/>
      <c r="D410" s="286"/>
      <c r="E410" s="286"/>
    </row>
    <row r="411">
      <c r="A411" s="286"/>
      <c r="B411" s="286"/>
      <c r="C411" s="286"/>
      <c r="D411" s="286"/>
      <c r="E411" s="286"/>
    </row>
    <row r="412">
      <c r="A412" s="286"/>
      <c r="B412" s="286"/>
      <c r="C412" s="286"/>
      <c r="D412" s="286"/>
      <c r="E412" s="286"/>
    </row>
    <row r="413">
      <c r="A413" s="286"/>
      <c r="B413" s="286"/>
      <c r="C413" s="286"/>
      <c r="D413" s="286"/>
      <c r="E413" s="286"/>
    </row>
    <row r="414">
      <c r="A414" s="286"/>
      <c r="B414" s="286"/>
      <c r="C414" s="286"/>
      <c r="D414" s="286"/>
      <c r="E414" s="286"/>
    </row>
    <row r="415">
      <c r="A415" s="286"/>
      <c r="B415" s="286"/>
      <c r="C415" s="286"/>
      <c r="D415" s="286"/>
      <c r="E415" s="286"/>
    </row>
    <row r="416">
      <c r="A416" s="286"/>
      <c r="B416" s="286"/>
      <c r="C416" s="286"/>
      <c r="D416" s="286"/>
      <c r="E416" s="286"/>
    </row>
    <row r="417">
      <c r="A417" s="286"/>
      <c r="B417" s="286"/>
      <c r="C417" s="286"/>
      <c r="D417" s="286"/>
      <c r="E417" s="286"/>
    </row>
    <row r="418">
      <c r="A418" s="286"/>
      <c r="B418" s="286"/>
      <c r="C418" s="286"/>
      <c r="D418" s="286"/>
      <c r="E418" s="286"/>
    </row>
    <row r="419">
      <c r="A419" s="286"/>
      <c r="B419" s="286"/>
      <c r="C419" s="286"/>
      <c r="D419" s="286"/>
      <c r="E419" s="286"/>
    </row>
    <row r="420">
      <c r="A420" s="286"/>
      <c r="B420" s="286"/>
      <c r="C420" s="286"/>
      <c r="D420" s="286"/>
      <c r="E420" s="286"/>
    </row>
    <row r="421">
      <c r="A421" s="286"/>
      <c r="B421" s="286"/>
      <c r="C421" s="286"/>
      <c r="D421" s="286"/>
      <c r="E421" s="286"/>
    </row>
    <row r="422">
      <c r="A422" s="286"/>
      <c r="B422" s="286"/>
      <c r="C422" s="286"/>
      <c r="D422" s="286"/>
      <c r="E422" s="286"/>
    </row>
    <row r="423">
      <c r="A423" s="286"/>
      <c r="B423" s="286"/>
      <c r="C423" s="286"/>
      <c r="D423" s="286"/>
      <c r="E423" s="286"/>
    </row>
    <row r="424">
      <c r="A424" s="286"/>
      <c r="B424" s="286"/>
      <c r="C424" s="286"/>
      <c r="D424" s="286"/>
      <c r="E424" s="286"/>
    </row>
    <row r="425">
      <c r="A425" s="286"/>
      <c r="B425" s="286"/>
      <c r="C425" s="286"/>
      <c r="D425" s="286"/>
      <c r="E425" s="286"/>
    </row>
    <row r="426">
      <c r="A426" s="286"/>
      <c r="B426" s="286"/>
      <c r="C426" s="286"/>
      <c r="D426" s="286"/>
      <c r="E426" s="286"/>
    </row>
    <row r="427">
      <c r="A427" s="286"/>
      <c r="B427" s="286"/>
      <c r="C427" s="286"/>
      <c r="D427" s="286"/>
      <c r="E427" s="286"/>
    </row>
    <row r="428">
      <c r="A428" s="286"/>
      <c r="B428" s="286"/>
      <c r="C428" s="286"/>
      <c r="D428" s="286"/>
      <c r="E428" s="286"/>
    </row>
    <row r="429">
      <c r="A429" s="286"/>
      <c r="B429" s="286"/>
      <c r="C429" s="286"/>
      <c r="D429" s="286"/>
      <c r="E429" s="286"/>
    </row>
    <row r="430">
      <c r="A430" s="286"/>
      <c r="B430" s="286"/>
      <c r="C430" s="286"/>
      <c r="D430" s="286"/>
      <c r="E430" s="286"/>
    </row>
    <row r="431">
      <c r="A431" s="286"/>
      <c r="B431" s="286"/>
      <c r="C431" s="286"/>
      <c r="D431" s="286"/>
      <c r="E431" s="286"/>
    </row>
    <row r="432">
      <c r="A432" s="286"/>
      <c r="B432" s="286"/>
      <c r="C432" s="286"/>
      <c r="D432" s="286"/>
      <c r="E432" s="286"/>
    </row>
    <row r="433">
      <c r="A433" s="286"/>
      <c r="B433" s="286"/>
      <c r="C433" s="286"/>
      <c r="D433" s="286"/>
      <c r="E433" s="286"/>
    </row>
    <row r="434">
      <c r="A434" s="286"/>
      <c r="B434" s="286"/>
      <c r="C434" s="286"/>
      <c r="D434" s="286"/>
      <c r="E434" s="286"/>
    </row>
    <row r="435">
      <c r="A435" s="286"/>
      <c r="B435" s="286"/>
      <c r="C435" s="286"/>
      <c r="D435" s="286"/>
      <c r="E435" s="286"/>
    </row>
    <row r="436">
      <c r="A436" s="286"/>
      <c r="B436" s="286"/>
      <c r="C436" s="286"/>
      <c r="D436" s="286"/>
      <c r="E436" s="286"/>
    </row>
    <row r="437">
      <c r="A437" s="286"/>
      <c r="B437" s="286"/>
      <c r="C437" s="286"/>
      <c r="D437" s="286"/>
      <c r="E437" s="286"/>
    </row>
    <row r="438">
      <c r="A438" s="286"/>
      <c r="B438" s="286"/>
      <c r="C438" s="286"/>
      <c r="D438" s="286"/>
      <c r="E438" s="286"/>
    </row>
    <row r="439">
      <c r="A439" s="286"/>
      <c r="B439" s="286"/>
      <c r="C439" s="286"/>
      <c r="D439" s="286"/>
      <c r="E439" s="286"/>
    </row>
    <row r="440">
      <c r="A440" s="286"/>
      <c r="B440" s="286"/>
      <c r="C440" s="286"/>
      <c r="D440" s="286"/>
      <c r="E440" s="286"/>
    </row>
    <row r="441">
      <c r="A441" s="286"/>
      <c r="B441" s="286"/>
      <c r="C441" s="286"/>
      <c r="D441" s="286"/>
      <c r="E441" s="286"/>
    </row>
    <row r="442">
      <c r="A442" s="286"/>
      <c r="B442" s="286"/>
      <c r="C442" s="286"/>
      <c r="D442" s="286"/>
      <c r="E442" s="286"/>
    </row>
    <row r="443">
      <c r="A443" s="286"/>
      <c r="B443" s="286"/>
      <c r="C443" s="286"/>
      <c r="D443" s="286"/>
      <c r="E443" s="286"/>
    </row>
    <row r="444">
      <c r="A444" s="286"/>
      <c r="B444" s="286"/>
      <c r="C444" s="286"/>
      <c r="D444" s="286"/>
      <c r="E444" s="286"/>
    </row>
    <row r="445">
      <c r="A445" s="286"/>
      <c r="B445" s="286"/>
      <c r="C445" s="286"/>
      <c r="D445" s="286"/>
      <c r="E445" s="286"/>
    </row>
    <row r="446">
      <c r="A446" s="286"/>
      <c r="B446" s="286"/>
      <c r="C446" s="286"/>
      <c r="D446" s="286"/>
      <c r="E446" s="286"/>
    </row>
    <row r="447">
      <c r="A447" s="286"/>
      <c r="B447" s="286"/>
      <c r="C447" s="286"/>
      <c r="D447" s="286"/>
      <c r="E447" s="286"/>
    </row>
    <row r="448">
      <c r="A448" s="286"/>
      <c r="B448" s="286"/>
      <c r="C448" s="286"/>
      <c r="D448" s="286"/>
      <c r="E448" s="286"/>
    </row>
    <row r="449">
      <c r="A449" s="286"/>
      <c r="B449" s="286"/>
      <c r="C449" s="286"/>
      <c r="D449" s="286"/>
      <c r="E449" s="286"/>
    </row>
    <row r="450">
      <c r="A450" s="286"/>
      <c r="B450" s="286"/>
      <c r="C450" s="286"/>
      <c r="D450" s="286"/>
      <c r="E450" s="286"/>
    </row>
    <row r="451">
      <c r="A451" s="286"/>
      <c r="B451" s="286"/>
      <c r="C451" s="286"/>
      <c r="D451" s="286"/>
      <c r="E451" s="286"/>
    </row>
    <row r="452">
      <c r="A452" s="286"/>
      <c r="B452" s="286"/>
      <c r="C452" s="286"/>
      <c r="D452" s="286"/>
      <c r="E452" s="286"/>
    </row>
    <row r="453">
      <c r="A453" s="286"/>
      <c r="B453" s="286"/>
      <c r="C453" s="286"/>
      <c r="D453" s="286"/>
      <c r="E453" s="286"/>
    </row>
    <row r="454">
      <c r="A454" s="286"/>
      <c r="B454" s="286"/>
      <c r="C454" s="286"/>
      <c r="D454" s="286"/>
      <c r="E454" s="286"/>
    </row>
    <row r="455">
      <c r="A455" s="286"/>
      <c r="B455" s="286"/>
      <c r="C455" s="286"/>
      <c r="D455" s="286"/>
      <c r="E455" s="286"/>
    </row>
    <row r="456">
      <c r="A456" s="286"/>
      <c r="B456" s="286"/>
      <c r="C456" s="286"/>
      <c r="D456" s="286"/>
      <c r="E456" s="286"/>
    </row>
    <row r="457">
      <c r="A457" s="286"/>
      <c r="B457" s="286"/>
      <c r="C457" s="286"/>
      <c r="D457" s="286"/>
      <c r="E457" s="286"/>
    </row>
    <row r="458">
      <c r="A458" s="286"/>
      <c r="B458" s="286"/>
      <c r="C458" s="286"/>
      <c r="D458" s="286"/>
      <c r="E458" s="286"/>
    </row>
    <row r="459">
      <c r="A459" s="286"/>
      <c r="B459" s="286"/>
      <c r="C459" s="286"/>
      <c r="D459" s="286"/>
      <c r="E459" s="286"/>
    </row>
    <row r="460">
      <c r="A460" s="286"/>
      <c r="B460" s="286"/>
      <c r="C460" s="286"/>
      <c r="D460" s="286"/>
      <c r="E460" s="286"/>
    </row>
    <row r="461">
      <c r="A461" s="286"/>
      <c r="B461" s="286"/>
      <c r="C461" s="286"/>
      <c r="D461" s="286"/>
      <c r="E461" s="286"/>
    </row>
    <row r="462">
      <c r="A462" s="286"/>
      <c r="B462" s="286"/>
      <c r="C462" s="286"/>
      <c r="D462" s="286"/>
      <c r="E462" s="286"/>
    </row>
    <row r="463">
      <c r="A463" s="286"/>
      <c r="B463" s="286"/>
      <c r="C463" s="286"/>
      <c r="D463" s="286"/>
      <c r="E463" s="286"/>
    </row>
    <row r="464">
      <c r="A464" s="286"/>
      <c r="B464" s="286"/>
      <c r="C464" s="286"/>
      <c r="D464" s="286"/>
      <c r="E464" s="286"/>
    </row>
    <row r="465">
      <c r="A465" s="286"/>
      <c r="B465" s="286"/>
      <c r="C465" s="286"/>
      <c r="D465" s="286"/>
      <c r="E465" s="286"/>
    </row>
    <row r="466">
      <c r="A466" s="286"/>
      <c r="B466" s="286"/>
      <c r="C466" s="286"/>
      <c r="D466" s="286"/>
      <c r="E466" s="286"/>
    </row>
    <row r="467">
      <c r="A467" s="286"/>
      <c r="B467" s="286"/>
      <c r="C467" s="286"/>
      <c r="D467" s="286"/>
      <c r="E467" s="286"/>
    </row>
    <row r="468">
      <c r="A468" s="286"/>
      <c r="B468" s="286"/>
      <c r="C468" s="286"/>
      <c r="D468" s="286"/>
      <c r="E468" s="286"/>
    </row>
    <row r="469">
      <c r="A469" s="286"/>
      <c r="B469" s="286"/>
      <c r="C469" s="286"/>
      <c r="D469" s="286"/>
      <c r="E469" s="286"/>
    </row>
    <row r="470">
      <c r="A470" s="286"/>
      <c r="B470" s="286"/>
      <c r="C470" s="286"/>
      <c r="D470" s="286"/>
      <c r="E470" s="286"/>
    </row>
    <row r="471">
      <c r="A471" s="286"/>
      <c r="B471" s="286"/>
      <c r="C471" s="286"/>
      <c r="D471" s="286"/>
      <c r="E471" s="286"/>
    </row>
    <row r="472">
      <c r="A472" s="286"/>
      <c r="B472" s="286"/>
      <c r="C472" s="286"/>
      <c r="D472" s="286"/>
      <c r="E472" s="286"/>
    </row>
    <row r="473">
      <c r="A473" s="286"/>
      <c r="B473" s="286"/>
      <c r="C473" s="286"/>
      <c r="D473" s="286"/>
      <c r="E473" s="286"/>
    </row>
    <row r="474">
      <c r="A474" s="286"/>
      <c r="B474" s="286"/>
      <c r="C474" s="286"/>
      <c r="D474" s="286"/>
      <c r="E474" s="286"/>
    </row>
    <row r="475">
      <c r="A475" s="286"/>
      <c r="B475" s="286"/>
      <c r="C475" s="286"/>
      <c r="D475" s="286"/>
      <c r="E475" s="286"/>
    </row>
    <row r="476">
      <c r="A476" s="286"/>
      <c r="B476" s="286"/>
      <c r="C476" s="286"/>
      <c r="D476" s="286"/>
      <c r="E476" s="286"/>
    </row>
    <row r="477">
      <c r="A477" s="286"/>
      <c r="B477" s="286"/>
      <c r="C477" s="286"/>
      <c r="D477" s="286"/>
      <c r="E477" s="286"/>
    </row>
    <row r="478">
      <c r="A478" s="286"/>
      <c r="B478" s="286"/>
      <c r="C478" s="286"/>
      <c r="D478" s="286"/>
      <c r="E478" s="286"/>
    </row>
    <row r="479">
      <c r="A479" s="286"/>
      <c r="B479" s="286"/>
      <c r="C479" s="286"/>
      <c r="D479" s="286"/>
      <c r="E479" s="286"/>
    </row>
    <row r="480">
      <c r="A480" s="286"/>
      <c r="B480" s="286"/>
      <c r="C480" s="286"/>
      <c r="D480" s="286"/>
      <c r="E480" s="286"/>
    </row>
    <row r="481">
      <c r="A481" s="286"/>
      <c r="B481" s="286"/>
      <c r="C481" s="286"/>
      <c r="D481" s="286"/>
      <c r="E481" s="286"/>
    </row>
    <row r="482">
      <c r="A482" s="286"/>
      <c r="B482" s="286"/>
      <c r="C482" s="286"/>
      <c r="D482" s="286"/>
      <c r="E482" s="286"/>
    </row>
    <row r="483">
      <c r="A483" s="286"/>
      <c r="B483" s="286"/>
      <c r="C483" s="286"/>
      <c r="D483" s="286"/>
      <c r="E483" s="286"/>
    </row>
    <row r="484">
      <c r="A484" s="286"/>
      <c r="B484" s="286"/>
      <c r="C484" s="286"/>
      <c r="D484" s="286"/>
      <c r="E484" s="286"/>
    </row>
    <row r="485">
      <c r="A485" s="286"/>
      <c r="B485" s="286"/>
      <c r="C485" s="286"/>
      <c r="D485" s="286"/>
      <c r="E485" s="286"/>
    </row>
    <row r="486">
      <c r="A486" s="286"/>
      <c r="B486" s="286"/>
      <c r="C486" s="286"/>
      <c r="D486" s="286"/>
      <c r="E486" s="286"/>
    </row>
    <row r="487">
      <c r="A487" s="286"/>
      <c r="B487" s="286"/>
      <c r="C487" s="286"/>
      <c r="D487" s="286"/>
      <c r="E487" s="286"/>
    </row>
    <row r="488">
      <c r="A488" s="286"/>
      <c r="B488" s="286"/>
      <c r="C488" s="286"/>
      <c r="D488" s="286"/>
      <c r="E488" s="286"/>
    </row>
    <row r="489">
      <c r="A489" s="286"/>
      <c r="B489" s="286"/>
      <c r="C489" s="286"/>
      <c r="D489" s="286"/>
      <c r="E489" s="286"/>
    </row>
    <row r="490">
      <c r="A490" s="286"/>
      <c r="B490" s="286"/>
      <c r="C490" s="286"/>
      <c r="D490" s="286"/>
      <c r="E490" s="286"/>
    </row>
    <row r="491">
      <c r="A491" s="286"/>
      <c r="B491" s="286"/>
      <c r="C491" s="286"/>
      <c r="D491" s="286"/>
      <c r="E491" s="286"/>
    </row>
    <row r="492">
      <c r="A492" s="286"/>
      <c r="B492" s="286"/>
      <c r="C492" s="286"/>
      <c r="D492" s="286"/>
      <c r="E492" s="286"/>
    </row>
    <row r="493">
      <c r="A493" s="286"/>
      <c r="B493" s="286"/>
      <c r="C493" s="286"/>
      <c r="D493" s="286"/>
      <c r="E493" s="286"/>
    </row>
    <row r="494">
      <c r="A494" s="286"/>
      <c r="B494" s="286"/>
      <c r="C494" s="286"/>
      <c r="D494" s="286"/>
      <c r="E494" s="286"/>
    </row>
    <row r="495">
      <c r="A495" s="286"/>
      <c r="B495" s="286"/>
      <c r="C495" s="286"/>
      <c r="D495" s="286"/>
      <c r="E495" s="286"/>
    </row>
    <row r="496">
      <c r="A496" s="286"/>
      <c r="B496" s="286"/>
      <c r="C496" s="286"/>
      <c r="D496" s="286"/>
      <c r="E496" s="286"/>
    </row>
    <row r="497">
      <c r="A497" s="286"/>
      <c r="B497" s="286"/>
      <c r="C497" s="286"/>
      <c r="D497" s="286"/>
      <c r="E497" s="286"/>
    </row>
    <row r="498">
      <c r="A498" s="286"/>
      <c r="B498" s="286"/>
      <c r="C498" s="286"/>
      <c r="D498" s="286"/>
      <c r="E498" s="286"/>
    </row>
    <row r="499">
      <c r="A499" s="286"/>
      <c r="B499" s="286"/>
      <c r="C499" s="286"/>
      <c r="D499" s="286"/>
      <c r="E499" s="286"/>
    </row>
    <row r="500">
      <c r="A500" s="286"/>
      <c r="B500" s="286"/>
      <c r="C500" s="286"/>
      <c r="D500" s="286"/>
      <c r="E500" s="286"/>
    </row>
    <row r="501">
      <c r="A501" s="286"/>
      <c r="B501" s="286"/>
      <c r="C501" s="286"/>
      <c r="D501" s="286"/>
      <c r="E501" s="286"/>
    </row>
    <row r="502">
      <c r="A502" s="286"/>
      <c r="B502" s="286"/>
      <c r="C502" s="286"/>
      <c r="D502" s="286"/>
      <c r="E502" s="286"/>
    </row>
    <row r="503">
      <c r="A503" s="286"/>
      <c r="B503" s="286"/>
      <c r="C503" s="286"/>
      <c r="D503" s="286"/>
      <c r="E503" s="286"/>
    </row>
    <row r="504">
      <c r="A504" s="286"/>
      <c r="B504" s="286"/>
      <c r="C504" s="286"/>
      <c r="D504" s="286"/>
      <c r="E504" s="286"/>
    </row>
    <row r="505">
      <c r="A505" s="286"/>
      <c r="B505" s="286"/>
      <c r="C505" s="286"/>
      <c r="D505" s="286"/>
      <c r="E505" s="286"/>
    </row>
    <row r="506">
      <c r="A506" s="286"/>
      <c r="B506" s="286"/>
      <c r="C506" s="286"/>
      <c r="D506" s="286"/>
      <c r="E506" s="286"/>
    </row>
    <row r="507">
      <c r="A507" s="286"/>
      <c r="B507" s="286"/>
      <c r="C507" s="286"/>
      <c r="D507" s="286"/>
      <c r="E507" s="286"/>
    </row>
    <row r="508">
      <c r="A508" s="286"/>
      <c r="B508" s="286"/>
      <c r="C508" s="286"/>
      <c r="D508" s="286"/>
      <c r="E508" s="286"/>
    </row>
    <row r="509">
      <c r="A509" s="286"/>
      <c r="B509" s="286"/>
      <c r="C509" s="286"/>
      <c r="D509" s="286"/>
      <c r="E509" s="286"/>
    </row>
    <row r="510">
      <c r="A510" s="286"/>
      <c r="B510" s="286"/>
      <c r="C510" s="286"/>
      <c r="D510" s="286"/>
      <c r="E510" s="286"/>
    </row>
    <row r="511">
      <c r="A511" s="286"/>
      <c r="B511" s="286"/>
      <c r="C511" s="286"/>
      <c r="D511" s="286"/>
      <c r="E511" s="286"/>
    </row>
    <row r="512">
      <c r="A512" s="286"/>
      <c r="B512" s="286"/>
      <c r="C512" s="286"/>
      <c r="D512" s="286"/>
      <c r="E512" s="286"/>
    </row>
    <row r="513">
      <c r="A513" s="286"/>
      <c r="B513" s="286"/>
      <c r="C513" s="286"/>
      <c r="D513" s="286"/>
      <c r="E513" s="286"/>
    </row>
    <row r="514">
      <c r="A514" s="286"/>
      <c r="B514" s="286"/>
      <c r="C514" s="286"/>
      <c r="D514" s="286"/>
      <c r="E514" s="286"/>
    </row>
    <row r="515">
      <c r="A515" s="286"/>
      <c r="B515" s="286"/>
      <c r="C515" s="286"/>
      <c r="D515" s="286"/>
      <c r="E515" s="286"/>
    </row>
    <row r="516">
      <c r="A516" s="286"/>
      <c r="B516" s="286"/>
      <c r="C516" s="286"/>
      <c r="D516" s="286"/>
      <c r="E516" s="286"/>
    </row>
    <row r="517">
      <c r="A517" s="286"/>
      <c r="B517" s="286"/>
      <c r="C517" s="286"/>
      <c r="D517" s="286"/>
      <c r="E517" s="286"/>
    </row>
    <row r="518">
      <c r="A518" s="286"/>
      <c r="B518" s="286"/>
      <c r="C518" s="286"/>
      <c r="D518" s="286"/>
      <c r="E518" s="286"/>
    </row>
    <row r="519">
      <c r="A519" s="286"/>
      <c r="B519" s="286"/>
      <c r="C519" s="286"/>
      <c r="D519" s="286"/>
      <c r="E519" s="286"/>
    </row>
    <row r="520">
      <c r="A520" s="286"/>
      <c r="B520" s="286"/>
      <c r="C520" s="286"/>
      <c r="D520" s="286"/>
      <c r="E520" s="286"/>
    </row>
    <row r="521">
      <c r="A521" s="286"/>
      <c r="B521" s="286"/>
      <c r="C521" s="286"/>
      <c r="D521" s="286"/>
      <c r="E521" s="286"/>
    </row>
    <row r="522">
      <c r="A522" s="286"/>
      <c r="B522" s="286"/>
      <c r="C522" s="286"/>
      <c r="D522" s="286"/>
      <c r="E522" s="286"/>
    </row>
    <row r="523">
      <c r="A523" s="286"/>
      <c r="B523" s="286"/>
      <c r="C523" s="286"/>
      <c r="D523" s="286"/>
      <c r="E523" s="286"/>
    </row>
    <row r="524">
      <c r="A524" s="286"/>
      <c r="B524" s="286"/>
      <c r="C524" s="286"/>
      <c r="D524" s="286"/>
      <c r="E524" s="286"/>
    </row>
    <row r="525">
      <c r="A525" s="286"/>
      <c r="B525" s="286"/>
      <c r="C525" s="286"/>
      <c r="D525" s="286"/>
      <c r="E525" s="286"/>
    </row>
    <row r="526">
      <c r="A526" s="286"/>
      <c r="B526" s="286"/>
      <c r="C526" s="286"/>
      <c r="D526" s="286"/>
      <c r="E526" s="286"/>
    </row>
    <row r="527">
      <c r="A527" s="286"/>
      <c r="B527" s="286"/>
      <c r="C527" s="286"/>
      <c r="D527" s="286"/>
      <c r="E527" s="286"/>
    </row>
    <row r="528">
      <c r="A528" s="286"/>
      <c r="B528" s="286"/>
      <c r="C528" s="286"/>
      <c r="D528" s="286"/>
      <c r="E528" s="286"/>
    </row>
    <row r="529">
      <c r="A529" s="286"/>
      <c r="B529" s="286"/>
      <c r="C529" s="286"/>
      <c r="D529" s="286"/>
      <c r="E529" s="286"/>
    </row>
    <row r="530">
      <c r="A530" s="286"/>
      <c r="B530" s="286"/>
      <c r="C530" s="286"/>
      <c r="D530" s="286"/>
      <c r="E530" s="286"/>
    </row>
    <row r="531">
      <c r="A531" s="286"/>
      <c r="B531" s="286"/>
      <c r="C531" s="286"/>
      <c r="D531" s="286"/>
      <c r="E531" s="286"/>
    </row>
    <row r="532">
      <c r="A532" s="286"/>
      <c r="B532" s="286"/>
      <c r="C532" s="286"/>
      <c r="D532" s="286"/>
      <c r="E532" s="286"/>
    </row>
    <row r="533">
      <c r="A533" s="286"/>
      <c r="B533" s="286"/>
      <c r="C533" s="286"/>
      <c r="D533" s="286"/>
      <c r="E533" s="286"/>
    </row>
    <row r="534">
      <c r="A534" s="286"/>
      <c r="B534" s="286"/>
      <c r="C534" s="286"/>
      <c r="D534" s="286"/>
      <c r="E534" s="286"/>
    </row>
    <row r="535">
      <c r="A535" s="286"/>
      <c r="B535" s="286"/>
      <c r="C535" s="286"/>
      <c r="D535" s="286"/>
      <c r="E535" s="286"/>
    </row>
    <row r="536">
      <c r="A536" s="286"/>
      <c r="B536" s="286"/>
      <c r="C536" s="286"/>
      <c r="D536" s="286"/>
      <c r="E536" s="286"/>
    </row>
    <row r="537">
      <c r="A537" s="286"/>
      <c r="B537" s="286"/>
      <c r="C537" s="286"/>
      <c r="D537" s="286"/>
      <c r="E537" s="286"/>
    </row>
    <row r="538">
      <c r="A538" s="286"/>
      <c r="B538" s="286"/>
      <c r="C538" s="286"/>
      <c r="D538" s="286"/>
      <c r="E538" s="286"/>
    </row>
    <row r="539">
      <c r="A539" s="286"/>
      <c r="B539" s="286"/>
      <c r="C539" s="286"/>
      <c r="D539" s="286"/>
      <c r="E539" s="286"/>
    </row>
    <row r="540">
      <c r="A540" s="286"/>
      <c r="B540" s="286"/>
      <c r="C540" s="286"/>
      <c r="D540" s="286"/>
      <c r="E540" s="286"/>
    </row>
    <row r="541">
      <c r="A541" s="286"/>
      <c r="B541" s="286"/>
      <c r="C541" s="286"/>
      <c r="D541" s="286"/>
      <c r="E541" s="286"/>
    </row>
    <row r="542">
      <c r="A542" s="286"/>
      <c r="B542" s="286"/>
      <c r="C542" s="286"/>
      <c r="D542" s="286"/>
      <c r="E542" s="286"/>
    </row>
    <row r="543">
      <c r="A543" s="286"/>
      <c r="B543" s="286"/>
      <c r="C543" s="286"/>
      <c r="D543" s="286"/>
      <c r="E543" s="286"/>
    </row>
    <row r="544">
      <c r="A544" s="286"/>
      <c r="B544" s="286"/>
      <c r="C544" s="286"/>
      <c r="D544" s="286"/>
      <c r="E544" s="286"/>
    </row>
    <row r="545">
      <c r="A545" s="286"/>
      <c r="B545" s="286"/>
      <c r="C545" s="286"/>
      <c r="D545" s="286"/>
      <c r="E545" s="286"/>
    </row>
    <row r="546">
      <c r="A546" s="286"/>
      <c r="B546" s="286"/>
      <c r="C546" s="286"/>
      <c r="D546" s="286"/>
      <c r="E546" s="286"/>
    </row>
    <row r="547">
      <c r="A547" s="286"/>
      <c r="B547" s="286"/>
      <c r="C547" s="286"/>
      <c r="D547" s="286"/>
      <c r="E547" s="286"/>
    </row>
    <row r="548">
      <c r="A548" s="286"/>
      <c r="B548" s="286"/>
      <c r="C548" s="286"/>
      <c r="D548" s="286"/>
      <c r="E548" s="286"/>
    </row>
    <row r="549">
      <c r="A549" s="286"/>
      <c r="B549" s="286"/>
      <c r="C549" s="286"/>
      <c r="D549" s="286"/>
      <c r="E549" s="286"/>
    </row>
    <row r="550">
      <c r="A550" s="286"/>
      <c r="B550" s="286"/>
      <c r="C550" s="286"/>
      <c r="D550" s="286"/>
      <c r="E550" s="286"/>
    </row>
    <row r="551">
      <c r="A551" s="286"/>
      <c r="B551" s="286"/>
      <c r="C551" s="286"/>
      <c r="D551" s="286"/>
      <c r="E551" s="286"/>
    </row>
    <row r="552">
      <c r="A552" s="286"/>
      <c r="B552" s="286"/>
      <c r="C552" s="286"/>
      <c r="D552" s="286"/>
      <c r="E552" s="286"/>
    </row>
    <row r="553">
      <c r="A553" s="286"/>
      <c r="B553" s="286"/>
      <c r="C553" s="286"/>
      <c r="D553" s="286"/>
      <c r="E553" s="286"/>
    </row>
    <row r="554">
      <c r="A554" s="286"/>
      <c r="B554" s="286"/>
      <c r="C554" s="286"/>
      <c r="D554" s="286"/>
      <c r="E554" s="286"/>
    </row>
    <row r="555">
      <c r="A555" s="286"/>
      <c r="B555" s="286"/>
      <c r="C555" s="286"/>
      <c r="D555" s="286"/>
      <c r="E555" s="286"/>
    </row>
    <row r="556">
      <c r="A556" s="286"/>
      <c r="B556" s="286"/>
      <c r="C556" s="286"/>
      <c r="D556" s="286"/>
      <c r="E556" s="286"/>
    </row>
    <row r="557">
      <c r="A557" s="286"/>
      <c r="B557" s="286"/>
      <c r="C557" s="286"/>
      <c r="D557" s="286"/>
      <c r="E557" s="286"/>
    </row>
    <row r="558">
      <c r="A558" s="286"/>
      <c r="B558" s="286"/>
      <c r="C558" s="286"/>
      <c r="D558" s="286"/>
      <c r="E558" s="286"/>
    </row>
    <row r="559">
      <c r="A559" s="286"/>
      <c r="B559" s="286"/>
      <c r="C559" s="286"/>
      <c r="D559" s="286"/>
      <c r="E559" s="286"/>
    </row>
    <row r="560">
      <c r="A560" s="286"/>
      <c r="B560" s="286"/>
      <c r="C560" s="286"/>
      <c r="D560" s="286"/>
      <c r="E560" s="286"/>
    </row>
    <row r="561">
      <c r="A561" s="286"/>
      <c r="B561" s="286"/>
      <c r="C561" s="286"/>
      <c r="D561" s="286"/>
      <c r="E561" s="286"/>
    </row>
    <row r="562">
      <c r="A562" s="286"/>
      <c r="B562" s="286"/>
      <c r="C562" s="286"/>
      <c r="D562" s="286"/>
      <c r="E562" s="286"/>
    </row>
    <row r="563">
      <c r="A563" s="286"/>
      <c r="B563" s="286"/>
      <c r="C563" s="286"/>
      <c r="D563" s="286"/>
      <c r="E563" s="286"/>
    </row>
    <row r="564">
      <c r="A564" s="286"/>
      <c r="B564" s="286"/>
      <c r="C564" s="286"/>
      <c r="D564" s="286"/>
      <c r="E564" s="286"/>
    </row>
    <row r="565">
      <c r="A565" s="286"/>
      <c r="B565" s="286"/>
      <c r="C565" s="286"/>
      <c r="D565" s="286"/>
      <c r="E565" s="286"/>
    </row>
    <row r="566">
      <c r="A566" s="286"/>
      <c r="B566" s="286"/>
      <c r="C566" s="286"/>
      <c r="D566" s="286"/>
      <c r="E566" s="286"/>
    </row>
    <row r="567">
      <c r="A567" s="286"/>
      <c r="B567" s="286"/>
      <c r="C567" s="286"/>
      <c r="D567" s="286"/>
      <c r="E567" s="286"/>
    </row>
    <row r="568">
      <c r="A568" s="286"/>
      <c r="B568" s="286"/>
      <c r="C568" s="286"/>
      <c r="D568" s="286"/>
      <c r="E568" s="286"/>
    </row>
    <row r="569">
      <c r="A569" s="286"/>
      <c r="B569" s="286"/>
      <c r="C569" s="286"/>
      <c r="D569" s="286"/>
      <c r="E569" s="286"/>
    </row>
    <row r="570">
      <c r="A570" s="286"/>
      <c r="B570" s="286"/>
      <c r="C570" s="286"/>
      <c r="D570" s="286"/>
      <c r="E570" s="286"/>
    </row>
    <row r="571">
      <c r="A571" s="286"/>
      <c r="B571" s="286"/>
      <c r="C571" s="286"/>
      <c r="D571" s="286"/>
      <c r="E571" s="286"/>
    </row>
    <row r="572">
      <c r="A572" s="286"/>
      <c r="B572" s="286"/>
      <c r="C572" s="286"/>
      <c r="D572" s="286"/>
      <c r="E572" s="286"/>
    </row>
    <row r="573">
      <c r="A573" s="286"/>
      <c r="B573" s="286"/>
      <c r="C573" s="286"/>
      <c r="D573" s="286"/>
      <c r="E573" s="286"/>
    </row>
    <row r="574">
      <c r="A574" s="286"/>
      <c r="B574" s="286"/>
      <c r="C574" s="286"/>
      <c r="D574" s="286"/>
      <c r="E574" s="286"/>
    </row>
    <row r="575">
      <c r="A575" s="286"/>
      <c r="B575" s="286"/>
      <c r="C575" s="286"/>
      <c r="D575" s="286"/>
      <c r="E575" s="286"/>
    </row>
    <row r="576">
      <c r="A576" s="286"/>
      <c r="B576" s="286"/>
      <c r="C576" s="286"/>
      <c r="D576" s="286"/>
      <c r="E576" s="286"/>
    </row>
    <row r="577">
      <c r="A577" s="286"/>
      <c r="B577" s="286"/>
      <c r="C577" s="286"/>
      <c r="D577" s="286"/>
      <c r="E577" s="286"/>
    </row>
    <row r="578">
      <c r="A578" s="286"/>
      <c r="B578" s="286"/>
      <c r="C578" s="286"/>
      <c r="D578" s="286"/>
      <c r="E578" s="286"/>
    </row>
    <row r="579">
      <c r="A579" s="286"/>
      <c r="B579" s="286"/>
      <c r="C579" s="286"/>
      <c r="D579" s="286"/>
      <c r="E579" s="286"/>
    </row>
    <row r="580">
      <c r="A580" s="286"/>
      <c r="B580" s="286"/>
      <c r="C580" s="286"/>
      <c r="D580" s="286"/>
      <c r="E580" s="286"/>
    </row>
    <row r="581">
      <c r="A581" s="286"/>
      <c r="B581" s="286"/>
      <c r="C581" s="286"/>
      <c r="D581" s="286"/>
      <c r="E581" s="286"/>
    </row>
    <row r="582">
      <c r="A582" s="286"/>
      <c r="B582" s="286"/>
      <c r="C582" s="286"/>
      <c r="D582" s="286"/>
      <c r="E582" s="286"/>
    </row>
    <row r="583">
      <c r="A583" s="286"/>
      <c r="B583" s="286"/>
      <c r="C583" s="286"/>
      <c r="D583" s="286"/>
      <c r="E583" s="286"/>
    </row>
    <row r="584">
      <c r="A584" s="286"/>
      <c r="B584" s="286"/>
      <c r="C584" s="286"/>
      <c r="D584" s="286"/>
      <c r="E584" s="286"/>
    </row>
    <row r="585">
      <c r="A585" s="286"/>
      <c r="B585" s="286"/>
      <c r="C585" s="286"/>
      <c r="D585" s="286"/>
      <c r="E585" s="286"/>
    </row>
    <row r="586">
      <c r="A586" s="286"/>
      <c r="B586" s="286"/>
      <c r="C586" s="286"/>
      <c r="D586" s="286"/>
      <c r="E586" s="286"/>
    </row>
    <row r="587">
      <c r="A587" s="286"/>
      <c r="B587" s="286"/>
      <c r="C587" s="286"/>
      <c r="D587" s="286"/>
      <c r="E587" s="286"/>
    </row>
    <row r="588">
      <c r="A588" s="286"/>
      <c r="B588" s="286"/>
      <c r="C588" s="286"/>
      <c r="D588" s="286"/>
      <c r="E588" s="286"/>
    </row>
    <row r="589">
      <c r="A589" s="286"/>
      <c r="B589" s="286"/>
      <c r="C589" s="286"/>
      <c r="D589" s="286"/>
      <c r="E589" s="286"/>
    </row>
    <row r="590">
      <c r="A590" s="286"/>
      <c r="B590" s="286"/>
      <c r="C590" s="286"/>
      <c r="D590" s="286"/>
      <c r="E590" s="286"/>
    </row>
    <row r="591">
      <c r="A591" s="286"/>
      <c r="B591" s="286"/>
      <c r="C591" s="286"/>
      <c r="D591" s="286"/>
      <c r="E591" s="286"/>
    </row>
    <row r="592">
      <c r="A592" s="286"/>
      <c r="B592" s="286"/>
      <c r="C592" s="286"/>
      <c r="D592" s="286"/>
      <c r="E592" s="286"/>
    </row>
    <row r="593">
      <c r="A593" s="286"/>
      <c r="B593" s="286"/>
      <c r="C593" s="286"/>
      <c r="D593" s="286"/>
      <c r="E593" s="286"/>
    </row>
    <row r="594">
      <c r="A594" s="286"/>
      <c r="B594" s="286"/>
      <c r="C594" s="286"/>
      <c r="D594" s="286"/>
      <c r="E594" s="286"/>
    </row>
    <row r="595">
      <c r="A595" s="286"/>
      <c r="B595" s="286"/>
      <c r="C595" s="286"/>
      <c r="D595" s="286"/>
      <c r="E595" s="286"/>
    </row>
    <row r="596">
      <c r="A596" s="286"/>
      <c r="B596" s="286"/>
      <c r="C596" s="286"/>
      <c r="D596" s="286"/>
      <c r="E596" s="286"/>
    </row>
    <row r="597">
      <c r="A597" s="286"/>
      <c r="B597" s="286"/>
      <c r="C597" s="286"/>
      <c r="D597" s="286"/>
      <c r="E597" s="286"/>
    </row>
    <row r="598">
      <c r="A598" s="286"/>
      <c r="B598" s="286"/>
      <c r="C598" s="286"/>
      <c r="D598" s="286"/>
      <c r="E598" s="286"/>
    </row>
    <row r="599">
      <c r="A599" s="286"/>
      <c r="B599" s="286"/>
      <c r="C599" s="286"/>
      <c r="D599" s="286"/>
      <c r="E599" s="286"/>
    </row>
    <row r="600">
      <c r="A600" s="286"/>
      <c r="B600" s="286"/>
      <c r="C600" s="286"/>
      <c r="D600" s="286"/>
      <c r="E600" s="286"/>
    </row>
    <row r="601">
      <c r="A601" s="286"/>
      <c r="B601" s="286"/>
      <c r="C601" s="286"/>
      <c r="D601" s="286"/>
      <c r="E601" s="286"/>
    </row>
    <row r="602">
      <c r="A602" s="286"/>
      <c r="B602" s="286"/>
      <c r="C602" s="286"/>
      <c r="D602" s="286"/>
      <c r="E602" s="286"/>
    </row>
    <row r="603">
      <c r="A603" s="286"/>
      <c r="B603" s="286"/>
      <c r="C603" s="286"/>
      <c r="D603" s="286"/>
      <c r="E603" s="286"/>
    </row>
    <row r="604">
      <c r="A604" s="286"/>
      <c r="B604" s="286"/>
      <c r="C604" s="286"/>
      <c r="D604" s="286"/>
      <c r="E604" s="286"/>
    </row>
    <row r="605">
      <c r="A605" s="286"/>
      <c r="B605" s="286"/>
      <c r="C605" s="286"/>
      <c r="D605" s="286"/>
      <c r="E605" s="286"/>
    </row>
    <row r="606">
      <c r="A606" s="286"/>
      <c r="B606" s="286"/>
      <c r="C606" s="286"/>
      <c r="D606" s="286"/>
      <c r="E606" s="286"/>
    </row>
    <row r="607">
      <c r="A607" s="286"/>
      <c r="B607" s="286"/>
      <c r="C607" s="286"/>
      <c r="D607" s="286"/>
      <c r="E607" s="286"/>
    </row>
    <row r="608">
      <c r="A608" s="286"/>
      <c r="B608" s="286"/>
      <c r="C608" s="286"/>
      <c r="D608" s="286"/>
      <c r="E608" s="286"/>
    </row>
    <row r="609">
      <c r="A609" s="286"/>
      <c r="B609" s="286"/>
      <c r="C609" s="286"/>
      <c r="D609" s="286"/>
      <c r="E609" s="286"/>
    </row>
    <row r="610">
      <c r="A610" s="286"/>
      <c r="B610" s="286"/>
      <c r="C610" s="286"/>
      <c r="D610" s="286"/>
      <c r="E610" s="286"/>
    </row>
    <row r="611">
      <c r="A611" s="286"/>
      <c r="B611" s="286"/>
      <c r="C611" s="286"/>
      <c r="D611" s="286"/>
      <c r="E611" s="286"/>
    </row>
    <row r="612">
      <c r="A612" s="286"/>
      <c r="B612" s="286"/>
      <c r="C612" s="286"/>
      <c r="D612" s="286"/>
      <c r="E612" s="286"/>
    </row>
    <row r="613">
      <c r="A613" s="286"/>
      <c r="B613" s="286"/>
      <c r="C613" s="286"/>
      <c r="D613" s="286"/>
      <c r="E613" s="286"/>
    </row>
    <row r="614">
      <c r="A614" s="286"/>
      <c r="B614" s="286"/>
      <c r="C614" s="286"/>
      <c r="D614" s="286"/>
      <c r="E614" s="286"/>
    </row>
    <row r="615">
      <c r="A615" s="286"/>
      <c r="B615" s="286"/>
      <c r="C615" s="286"/>
      <c r="D615" s="286"/>
      <c r="E615" s="286"/>
    </row>
    <row r="616">
      <c r="A616" s="286"/>
      <c r="B616" s="286"/>
      <c r="C616" s="286"/>
      <c r="D616" s="286"/>
      <c r="E616" s="286"/>
    </row>
    <row r="617">
      <c r="A617" s="286"/>
      <c r="B617" s="286"/>
      <c r="C617" s="286"/>
      <c r="D617" s="286"/>
      <c r="E617" s="286"/>
    </row>
    <row r="618">
      <c r="A618" s="286"/>
      <c r="B618" s="286"/>
      <c r="C618" s="286"/>
      <c r="D618" s="286"/>
      <c r="E618" s="286"/>
    </row>
    <row r="619">
      <c r="A619" s="286"/>
      <c r="B619" s="286"/>
      <c r="C619" s="286"/>
      <c r="D619" s="286"/>
      <c r="E619" s="286"/>
    </row>
    <row r="620">
      <c r="A620" s="286"/>
      <c r="B620" s="286"/>
      <c r="C620" s="286"/>
      <c r="D620" s="286"/>
      <c r="E620" s="286"/>
    </row>
    <row r="621">
      <c r="A621" s="286"/>
      <c r="B621" s="286"/>
      <c r="C621" s="286"/>
      <c r="D621" s="286"/>
      <c r="E621" s="286"/>
    </row>
    <row r="622">
      <c r="A622" s="286"/>
      <c r="B622" s="286"/>
      <c r="C622" s="286"/>
      <c r="D622" s="286"/>
      <c r="E622" s="286"/>
    </row>
    <row r="623">
      <c r="A623" s="286"/>
      <c r="B623" s="286"/>
      <c r="C623" s="286"/>
      <c r="D623" s="286"/>
      <c r="E623" s="286"/>
    </row>
    <row r="624">
      <c r="A624" s="286"/>
      <c r="B624" s="286"/>
      <c r="C624" s="286"/>
      <c r="D624" s="286"/>
      <c r="E624" s="286"/>
    </row>
    <row r="625">
      <c r="A625" s="286"/>
      <c r="B625" s="286"/>
      <c r="C625" s="286"/>
      <c r="D625" s="286"/>
      <c r="E625" s="286"/>
    </row>
    <row r="626">
      <c r="A626" s="286"/>
      <c r="B626" s="286"/>
      <c r="C626" s="286"/>
      <c r="D626" s="286"/>
      <c r="E626" s="286"/>
    </row>
    <row r="627">
      <c r="A627" s="286"/>
      <c r="B627" s="286"/>
      <c r="C627" s="286"/>
      <c r="D627" s="286"/>
      <c r="E627" s="286"/>
    </row>
    <row r="628">
      <c r="A628" s="286"/>
      <c r="B628" s="286"/>
      <c r="C628" s="286"/>
      <c r="D628" s="286"/>
      <c r="E628" s="286"/>
    </row>
    <row r="629">
      <c r="A629" s="286"/>
      <c r="B629" s="286"/>
      <c r="C629" s="286"/>
      <c r="D629" s="286"/>
      <c r="E629" s="286"/>
    </row>
    <row r="630">
      <c r="A630" s="286"/>
      <c r="B630" s="286"/>
      <c r="C630" s="286"/>
      <c r="D630" s="286"/>
      <c r="E630" s="286"/>
    </row>
    <row r="631">
      <c r="A631" s="286"/>
      <c r="B631" s="286"/>
      <c r="C631" s="286"/>
      <c r="D631" s="286"/>
      <c r="E631" s="286"/>
    </row>
    <row r="632">
      <c r="A632" s="286"/>
      <c r="B632" s="286"/>
      <c r="C632" s="286"/>
      <c r="D632" s="286"/>
      <c r="E632" s="286"/>
    </row>
    <row r="633">
      <c r="A633" s="286"/>
      <c r="B633" s="286"/>
      <c r="C633" s="286"/>
      <c r="D633" s="286"/>
      <c r="E633" s="286"/>
    </row>
    <row r="634">
      <c r="A634" s="286"/>
      <c r="B634" s="286"/>
      <c r="C634" s="286"/>
      <c r="D634" s="286"/>
      <c r="E634" s="286"/>
    </row>
    <row r="635">
      <c r="A635" s="286"/>
      <c r="B635" s="286"/>
      <c r="C635" s="286"/>
      <c r="D635" s="286"/>
      <c r="E635" s="286"/>
    </row>
    <row r="636">
      <c r="A636" s="286"/>
      <c r="B636" s="286"/>
      <c r="C636" s="286"/>
      <c r="D636" s="286"/>
      <c r="E636" s="286"/>
    </row>
    <row r="637">
      <c r="A637" s="286"/>
      <c r="B637" s="286"/>
      <c r="C637" s="286"/>
      <c r="D637" s="286"/>
      <c r="E637" s="286"/>
    </row>
    <row r="638">
      <c r="A638" s="286"/>
      <c r="B638" s="286"/>
      <c r="C638" s="286"/>
      <c r="D638" s="286"/>
      <c r="E638" s="286"/>
    </row>
    <row r="639">
      <c r="A639" s="286"/>
      <c r="B639" s="286"/>
      <c r="C639" s="286"/>
      <c r="D639" s="286"/>
      <c r="E639" s="286"/>
    </row>
    <row r="640">
      <c r="A640" s="286"/>
      <c r="B640" s="286"/>
      <c r="C640" s="286"/>
      <c r="D640" s="286"/>
      <c r="E640" s="286"/>
    </row>
    <row r="641">
      <c r="A641" s="286"/>
      <c r="B641" s="286"/>
      <c r="C641" s="286"/>
      <c r="D641" s="286"/>
      <c r="E641" s="286"/>
    </row>
    <row r="642">
      <c r="A642" s="286"/>
      <c r="B642" s="286"/>
      <c r="C642" s="286"/>
      <c r="D642" s="286"/>
      <c r="E642" s="286"/>
    </row>
    <row r="643">
      <c r="A643" s="286"/>
      <c r="B643" s="286"/>
      <c r="C643" s="286"/>
      <c r="D643" s="286"/>
      <c r="E643" s="286"/>
    </row>
    <row r="644">
      <c r="A644" s="286"/>
      <c r="B644" s="286"/>
      <c r="C644" s="286"/>
      <c r="D644" s="286"/>
      <c r="E644" s="286"/>
    </row>
    <row r="645">
      <c r="A645" s="286"/>
      <c r="B645" s="286"/>
      <c r="C645" s="286"/>
      <c r="D645" s="286"/>
      <c r="E645" s="286"/>
    </row>
    <row r="646">
      <c r="A646" s="286"/>
      <c r="B646" s="286"/>
      <c r="C646" s="286"/>
      <c r="D646" s="286"/>
      <c r="E646" s="286"/>
    </row>
    <row r="647">
      <c r="A647" s="286"/>
      <c r="B647" s="286"/>
      <c r="C647" s="286"/>
      <c r="D647" s="286"/>
      <c r="E647" s="286"/>
    </row>
    <row r="648">
      <c r="A648" s="286"/>
      <c r="B648" s="286"/>
      <c r="C648" s="286"/>
      <c r="D648" s="286"/>
      <c r="E648" s="286"/>
    </row>
    <row r="649">
      <c r="A649" s="286"/>
      <c r="B649" s="286"/>
      <c r="C649" s="286"/>
      <c r="D649" s="286"/>
      <c r="E649" s="286"/>
    </row>
    <row r="650">
      <c r="A650" s="286"/>
      <c r="B650" s="286"/>
      <c r="C650" s="286"/>
      <c r="D650" s="286"/>
      <c r="E650" s="286"/>
    </row>
    <row r="651">
      <c r="A651" s="286"/>
      <c r="B651" s="286"/>
      <c r="C651" s="286"/>
      <c r="D651" s="286"/>
      <c r="E651" s="286"/>
    </row>
    <row r="652">
      <c r="A652" s="286"/>
      <c r="B652" s="286"/>
      <c r="C652" s="286"/>
      <c r="D652" s="286"/>
      <c r="E652" s="286"/>
    </row>
    <row r="653">
      <c r="A653" s="286"/>
      <c r="B653" s="286"/>
      <c r="C653" s="286"/>
      <c r="D653" s="286"/>
      <c r="E653" s="286"/>
    </row>
    <row r="654">
      <c r="A654" s="286"/>
      <c r="B654" s="286"/>
      <c r="C654" s="286"/>
      <c r="D654" s="286"/>
      <c r="E654" s="286"/>
    </row>
    <row r="655">
      <c r="A655" s="286"/>
      <c r="B655" s="286"/>
      <c r="C655" s="286"/>
      <c r="D655" s="286"/>
      <c r="E655" s="286"/>
    </row>
    <row r="656">
      <c r="A656" s="286"/>
      <c r="B656" s="286"/>
      <c r="C656" s="286"/>
      <c r="D656" s="286"/>
      <c r="E656" s="286"/>
    </row>
    <row r="657">
      <c r="A657" s="286"/>
      <c r="B657" s="286"/>
      <c r="C657" s="286"/>
      <c r="D657" s="286"/>
      <c r="E657" s="286"/>
    </row>
    <row r="658">
      <c r="A658" s="286"/>
      <c r="B658" s="286"/>
      <c r="C658" s="286"/>
      <c r="D658" s="286"/>
      <c r="E658" s="286"/>
    </row>
    <row r="659">
      <c r="A659" s="286"/>
      <c r="B659" s="286"/>
      <c r="C659" s="286"/>
      <c r="D659" s="286"/>
      <c r="E659" s="286"/>
    </row>
    <row r="660">
      <c r="A660" s="286"/>
      <c r="B660" s="286"/>
      <c r="C660" s="286"/>
      <c r="D660" s="286"/>
      <c r="E660" s="286"/>
    </row>
    <row r="661">
      <c r="A661" s="286"/>
      <c r="B661" s="286"/>
      <c r="C661" s="286"/>
      <c r="D661" s="286"/>
      <c r="E661" s="286"/>
    </row>
    <row r="662">
      <c r="A662" s="286"/>
      <c r="B662" s="286"/>
      <c r="C662" s="286"/>
      <c r="D662" s="286"/>
      <c r="E662" s="286"/>
    </row>
    <row r="663">
      <c r="A663" s="286"/>
      <c r="B663" s="286"/>
      <c r="C663" s="286"/>
      <c r="D663" s="286"/>
      <c r="E663" s="286"/>
    </row>
    <row r="664">
      <c r="A664" s="286"/>
      <c r="B664" s="286"/>
      <c r="C664" s="286"/>
      <c r="D664" s="286"/>
      <c r="E664" s="286"/>
    </row>
    <row r="665">
      <c r="A665" s="286"/>
      <c r="B665" s="286"/>
      <c r="C665" s="286"/>
      <c r="D665" s="286"/>
      <c r="E665" s="286"/>
    </row>
    <row r="666">
      <c r="A666" s="286"/>
      <c r="B666" s="286"/>
      <c r="C666" s="286"/>
      <c r="D666" s="286"/>
      <c r="E666" s="286"/>
    </row>
    <row r="667">
      <c r="A667" s="286"/>
      <c r="B667" s="286"/>
      <c r="C667" s="286"/>
      <c r="D667" s="286"/>
      <c r="E667" s="286"/>
    </row>
    <row r="668">
      <c r="A668" s="286"/>
      <c r="B668" s="286"/>
      <c r="C668" s="286"/>
      <c r="D668" s="286"/>
      <c r="E668" s="286"/>
    </row>
    <row r="669">
      <c r="A669" s="286"/>
      <c r="B669" s="286"/>
      <c r="C669" s="286"/>
      <c r="D669" s="286"/>
      <c r="E669" s="286"/>
    </row>
    <row r="670">
      <c r="A670" s="286"/>
      <c r="B670" s="286"/>
      <c r="C670" s="286"/>
      <c r="D670" s="286"/>
      <c r="E670" s="286"/>
    </row>
    <row r="671">
      <c r="A671" s="286"/>
      <c r="B671" s="286"/>
      <c r="C671" s="286"/>
      <c r="D671" s="286"/>
      <c r="E671" s="286"/>
    </row>
    <row r="672">
      <c r="A672" s="286"/>
      <c r="B672" s="286"/>
      <c r="C672" s="286"/>
      <c r="D672" s="286"/>
      <c r="E672" s="286"/>
    </row>
    <row r="673">
      <c r="A673" s="286"/>
      <c r="B673" s="286"/>
      <c r="C673" s="286"/>
      <c r="D673" s="286"/>
      <c r="E673" s="286"/>
    </row>
    <row r="674">
      <c r="A674" s="286"/>
      <c r="B674" s="286"/>
      <c r="C674" s="286"/>
      <c r="D674" s="286"/>
      <c r="E674" s="286"/>
    </row>
    <row r="675">
      <c r="A675" s="286"/>
      <c r="B675" s="286"/>
      <c r="C675" s="286"/>
      <c r="D675" s="286"/>
      <c r="E675" s="286"/>
    </row>
    <row r="676">
      <c r="A676" s="286"/>
      <c r="B676" s="286"/>
      <c r="C676" s="286"/>
      <c r="D676" s="286"/>
      <c r="E676" s="286"/>
    </row>
    <row r="677">
      <c r="A677" s="286"/>
      <c r="B677" s="286"/>
      <c r="C677" s="286"/>
      <c r="D677" s="286"/>
      <c r="E677" s="286"/>
    </row>
    <row r="678">
      <c r="A678" s="286"/>
      <c r="B678" s="286"/>
      <c r="C678" s="286"/>
      <c r="D678" s="286"/>
      <c r="E678" s="286"/>
    </row>
    <row r="679">
      <c r="A679" s="286"/>
      <c r="B679" s="286"/>
      <c r="C679" s="286"/>
      <c r="D679" s="286"/>
      <c r="E679" s="286"/>
    </row>
    <row r="680">
      <c r="A680" s="286"/>
      <c r="B680" s="286"/>
      <c r="C680" s="286"/>
      <c r="D680" s="286"/>
      <c r="E680" s="286"/>
    </row>
    <row r="681">
      <c r="A681" s="286"/>
      <c r="B681" s="286"/>
      <c r="C681" s="286"/>
      <c r="D681" s="286"/>
      <c r="E681" s="286"/>
    </row>
    <row r="682">
      <c r="A682" s="286"/>
      <c r="B682" s="286"/>
      <c r="C682" s="286"/>
      <c r="D682" s="286"/>
      <c r="E682" s="286"/>
    </row>
    <row r="683">
      <c r="A683" s="286"/>
      <c r="B683" s="286"/>
      <c r="C683" s="286"/>
      <c r="D683" s="286"/>
      <c r="E683" s="286"/>
    </row>
    <row r="684">
      <c r="A684" s="286"/>
      <c r="B684" s="286"/>
      <c r="C684" s="286"/>
      <c r="D684" s="286"/>
      <c r="E684" s="286"/>
    </row>
    <row r="685">
      <c r="A685" s="286"/>
      <c r="B685" s="286"/>
      <c r="C685" s="286"/>
      <c r="D685" s="286"/>
      <c r="E685" s="286"/>
    </row>
    <row r="686">
      <c r="A686" s="286"/>
      <c r="B686" s="286"/>
      <c r="C686" s="286"/>
      <c r="D686" s="286"/>
      <c r="E686" s="286"/>
    </row>
    <row r="687">
      <c r="A687" s="286"/>
      <c r="B687" s="286"/>
      <c r="C687" s="286"/>
      <c r="D687" s="286"/>
      <c r="E687" s="286"/>
    </row>
    <row r="688">
      <c r="A688" s="286"/>
      <c r="B688" s="286"/>
      <c r="C688" s="286"/>
      <c r="D688" s="286"/>
      <c r="E688" s="286"/>
    </row>
    <row r="689">
      <c r="A689" s="286"/>
      <c r="B689" s="286"/>
      <c r="C689" s="286"/>
      <c r="D689" s="286"/>
      <c r="E689" s="286"/>
    </row>
    <row r="690">
      <c r="A690" s="286"/>
      <c r="B690" s="286"/>
      <c r="C690" s="286"/>
      <c r="D690" s="286"/>
      <c r="E690" s="286"/>
    </row>
    <row r="691">
      <c r="A691" s="286"/>
      <c r="B691" s="286"/>
      <c r="C691" s="286"/>
      <c r="D691" s="286"/>
      <c r="E691" s="286"/>
    </row>
    <row r="692">
      <c r="A692" s="286"/>
      <c r="B692" s="286"/>
      <c r="C692" s="286"/>
      <c r="D692" s="286"/>
      <c r="E692" s="286"/>
    </row>
    <row r="693">
      <c r="A693" s="286"/>
      <c r="B693" s="286"/>
      <c r="C693" s="286"/>
      <c r="D693" s="286"/>
      <c r="E693" s="286"/>
    </row>
    <row r="694">
      <c r="A694" s="286"/>
      <c r="B694" s="286"/>
      <c r="C694" s="286"/>
      <c r="D694" s="286"/>
      <c r="E694" s="286"/>
    </row>
    <row r="695">
      <c r="A695" s="286"/>
      <c r="B695" s="286"/>
      <c r="C695" s="286"/>
      <c r="D695" s="286"/>
      <c r="E695" s="286"/>
    </row>
    <row r="696">
      <c r="A696" s="286"/>
      <c r="B696" s="286"/>
      <c r="C696" s="286"/>
      <c r="D696" s="286"/>
      <c r="E696" s="286"/>
    </row>
    <row r="697">
      <c r="A697" s="286"/>
      <c r="B697" s="286"/>
      <c r="C697" s="286"/>
      <c r="D697" s="286"/>
      <c r="E697" s="286"/>
    </row>
    <row r="698">
      <c r="A698" s="286"/>
      <c r="B698" s="286"/>
      <c r="C698" s="286"/>
      <c r="D698" s="286"/>
      <c r="E698" s="286"/>
    </row>
    <row r="699">
      <c r="A699" s="286"/>
      <c r="B699" s="286"/>
      <c r="C699" s="286"/>
      <c r="D699" s="286"/>
      <c r="E699" s="286"/>
    </row>
    <row r="700">
      <c r="A700" s="286"/>
      <c r="B700" s="286"/>
      <c r="C700" s="286"/>
      <c r="D700" s="286"/>
      <c r="E700" s="286"/>
    </row>
    <row r="701">
      <c r="A701" s="286"/>
      <c r="B701" s="286"/>
      <c r="C701" s="286"/>
      <c r="D701" s="286"/>
      <c r="E701" s="286"/>
    </row>
    <row r="702">
      <c r="A702" s="286"/>
      <c r="B702" s="286"/>
      <c r="C702" s="286"/>
      <c r="D702" s="286"/>
      <c r="E702" s="286"/>
    </row>
    <row r="703">
      <c r="A703" s="286"/>
      <c r="B703" s="286"/>
      <c r="C703" s="286"/>
      <c r="D703" s="286"/>
      <c r="E703" s="286"/>
    </row>
    <row r="704">
      <c r="A704" s="286"/>
      <c r="B704" s="286"/>
      <c r="C704" s="286"/>
      <c r="D704" s="286"/>
      <c r="E704" s="286"/>
    </row>
    <row r="705">
      <c r="A705" s="286"/>
      <c r="B705" s="286"/>
      <c r="C705" s="286"/>
      <c r="D705" s="286"/>
      <c r="E705" s="286"/>
    </row>
    <row r="706">
      <c r="A706" s="286"/>
      <c r="B706" s="286"/>
      <c r="C706" s="286"/>
      <c r="D706" s="286"/>
      <c r="E706" s="286"/>
    </row>
    <row r="707">
      <c r="A707" s="286"/>
      <c r="B707" s="286"/>
      <c r="C707" s="286"/>
      <c r="D707" s="286"/>
      <c r="E707" s="286"/>
    </row>
    <row r="708">
      <c r="A708" s="286"/>
      <c r="B708" s="286"/>
      <c r="C708" s="286"/>
      <c r="D708" s="286"/>
      <c r="E708" s="286"/>
    </row>
    <row r="709">
      <c r="A709" s="286"/>
      <c r="B709" s="286"/>
      <c r="C709" s="286"/>
      <c r="D709" s="286"/>
      <c r="E709" s="286"/>
    </row>
    <row r="710">
      <c r="A710" s="286"/>
      <c r="B710" s="286"/>
      <c r="C710" s="286"/>
      <c r="D710" s="286"/>
      <c r="E710" s="286"/>
    </row>
    <row r="711">
      <c r="A711" s="286"/>
      <c r="B711" s="286"/>
      <c r="C711" s="286"/>
      <c r="D711" s="286"/>
      <c r="E711" s="286"/>
    </row>
    <row r="712">
      <c r="A712" s="286"/>
      <c r="B712" s="286"/>
      <c r="C712" s="286"/>
      <c r="D712" s="286"/>
      <c r="E712" s="286"/>
    </row>
    <row r="713">
      <c r="A713" s="286"/>
      <c r="B713" s="286"/>
      <c r="C713" s="286"/>
      <c r="D713" s="286"/>
      <c r="E713" s="286"/>
    </row>
    <row r="714">
      <c r="A714" s="286"/>
      <c r="B714" s="286"/>
      <c r="C714" s="286"/>
      <c r="D714" s="286"/>
      <c r="E714" s="286"/>
    </row>
    <row r="715">
      <c r="A715" s="286"/>
      <c r="B715" s="286"/>
      <c r="C715" s="286"/>
      <c r="D715" s="286"/>
      <c r="E715" s="286"/>
    </row>
    <row r="716">
      <c r="A716" s="286"/>
      <c r="B716" s="286"/>
      <c r="C716" s="286"/>
      <c r="D716" s="286"/>
      <c r="E716" s="286"/>
    </row>
    <row r="717">
      <c r="A717" s="286"/>
      <c r="B717" s="286"/>
      <c r="C717" s="286"/>
      <c r="D717" s="286"/>
      <c r="E717" s="286"/>
    </row>
    <row r="718">
      <c r="A718" s="286"/>
      <c r="B718" s="286"/>
      <c r="C718" s="286"/>
      <c r="D718" s="286"/>
      <c r="E718" s="286"/>
    </row>
    <row r="719">
      <c r="A719" s="286"/>
      <c r="B719" s="286"/>
      <c r="C719" s="286"/>
      <c r="D719" s="286"/>
      <c r="E719" s="286"/>
    </row>
    <row r="720">
      <c r="A720" s="286"/>
      <c r="B720" s="286"/>
      <c r="C720" s="286"/>
      <c r="D720" s="286"/>
      <c r="E720" s="286"/>
    </row>
    <row r="721">
      <c r="A721" s="286"/>
      <c r="B721" s="286"/>
      <c r="C721" s="286"/>
      <c r="D721" s="286"/>
      <c r="E721" s="286"/>
    </row>
    <row r="722">
      <c r="A722" s="286"/>
      <c r="B722" s="286"/>
      <c r="C722" s="286"/>
      <c r="D722" s="286"/>
      <c r="E722" s="286"/>
    </row>
    <row r="723">
      <c r="A723" s="286"/>
      <c r="B723" s="286"/>
      <c r="C723" s="286"/>
      <c r="D723" s="286"/>
      <c r="E723" s="286"/>
    </row>
    <row r="724">
      <c r="A724" s="286"/>
      <c r="B724" s="286"/>
      <c r="C724" s="286"/>
      <c r="D724" s="286"/>
      <c r="E724" s="286"/>
    </row>
    <row r="725">
      <c r="A725" s="286"/>
      <c r="B725" s="286"/>
      <c r="C725" s="286"/>
      <c r="D725" s="286"/>
      <c r="E725" s="286"/>
    </row>
    <row r="726">
      <c r="A726" s="286"/>
      <c r="B726" s="286"/>
      <c r="C726" s="286"/>
      <c r="D726" s="286"/>
      <c r="E726" s="286"/>
    </row>
    <row r="727">
      <c r="A727" s="286"/>
      <c r="B727" s="286"/>
      <c r="C727" s="286"/>
      <c r="D727" s="286"/>
      <c r="E727" s="286"/>
    </row>
    <row r="728">
      <c r="A728" s="286"/>
      <c r="B728" s="286"/>
      <c r="C728" s="286"/>
      <c r="D728" s="286"/>
      <c r="E728" s="286"/>
    </row>
    <row r="729">
      <c r="A729" s="286"/>
      <c r="B729" s="286"/>
      <c r="C729" s="286"/>
      <c r="D729" s="286"/>
      <c r="E729" s="286"/>
    </row>
    <row r="730">
      <c r="A730" s="286"/>
      <c r="B730" s="286"/>
      <c r="C730" s="286"/>
      <c r="D730" s="286"/>
      <c r="E730" s="286"/>
    </row>
    <row r="731">
      <c r="A731" s="286"/>
      <c r="B731" s="286"/>
      <c r="C731" s="286"/>
      <c r="D731" s="286"/>
      <c r="E731" s="286"/>
    </row>
    <row r="732">
      <c r="A732" s="286"/>
      <c r="B732" s="286"/>
      <c r="C732" s="286"/>
      <c r="D732" s="286"/>
      <c r="E732" s="286"/>
    </row>
    <row r="733">
      <c r="A733" s="286"/>
      <c r="B733" s="286"/>
      <c r="C733" s="286"/>
      <c r="D733" s="286"/>
      <c r="E733" s="286"/>
    </row>
    <row r="734">
      <c r="A734" s="286"/>
      <c r="B734" s="286"/>
      <c r="C734" s="286"/>
      <c r="D734" s="286"/>
      <c r="E734" s="286"/>
    </row>
    <row r="735">
      <c r="A735" s="286"/>
      <c r="B735" s="286"/>
      <c r="C735" s="286"/>
      <c r="D735" s="286"/>
      <c r="E735" s="286"/>
    </row>
    <row r="736">
      <c r="A736" s="286"/>
      <c r="B736" s="286"/>
      <c r="C736" s="286"/>
      <c r="D736" s="286"/>
      <c r="E736" s="286"/>
    </row>
    <row r="737">
      <c r="A737" s="286"/>
      <c r="B737" s="286"/>
      <c r="C737" s="286"/>
      <c r="D737" s="286"/>
      <c r="E737" s="286"/>
    </row>
    <row r="738">
      <c r="A738" s="286"/>
      <c r="B738" s="286"/>
      <c r="C738" s="286"/>
      <c r="D738" s="286"/>
      <c r="E738" s="286"/>
    </row>
    <row r="739">
      <c r="A739" s="286"/>
      <c r="B739" s="286"/>
      <c r="C739" s="286"/>
      <c r="D739" s="286"/>
      <c r="E739" s="286"/>
    </row>
    <row r="740">
      <c r="A740" s="286"/>
      <c r="B740" s="286"/>
      <c r="C740" s="286"/>
      <c r="D740" s="286"/>
      <c r="E740" s="286"/>
    </row>
    <row r="741">
      <c r="A741" s="286"/>
      <c r="B741" s="286"/>
      <c r="C741" s="286"/>
      <c r="D741" s="286"/>
      <c r="E741" s="286"/>
    </row>
    <row r="742">
      <c r="A742" s="286"/>
      <c r="B742" s="286"/>
      <c r="C742" s="286"/>
      <c r="D742" s="286"/>
      <c r="E742" s="286"/>
    </row>
    <row r="743">
      <c r="A743" s="286"/>
      <c r="B743" s="286"/>
      <c r="C743" s="286"/>
      <c r="D743" s="286"/>
      <c r="E743" s="286"/>
    </row>
    <row r="744">
      <c r="A744" s="286"/>
      <c r="B744" s="286"/>
      <c r="C744" s="286"/>
      <c r="D744" s="286"/>
      <c r="E744" s="286"/>
    </row>
    <row r="745">
      <c r="A745" s="286"/>
      <c r="B745" s="286"/>
      <c r="C745" s="286"/>
      <c r="D745" s="286"/>
      <c r="E745" s="286"/>
    </row>
    <row r="746">
      <c r="A746" s="286"/>
      <c r="B746" s="286"/>
      <c r="C746" s="286"/>
      <c r="D746" s="286"/>
      <c r="E746" s="286"/>
    </row>
    <row r="747">
      <c r="A747" s="286"/>
      <c r="B747" s="286"/>
      <c r="C747" s="286"/>
      <c r="D747" s="286"/>
      <c r="E747" s="286"/>
    </row>
    <row r="748">
      <c r="A748" s="286"/>
      <c r="B748" s="286"/>
      <c r="C748" s="286"/>
      <c r="D748" s="286"/>
      <c r="E748" s="286"/>
    </row>
    <row r="749">
      <c r="A749" s="286"/>
      <c r="B749" s="286"/>
      <c r="C749" s="286"/>
      <c r="D749" s="286"/>
      <c r="E749" s="286"/>
    </row>
    <row r="750">
      <c r="A750" s="286"/>
      <c r="B750" s="286"/>
      <c r="C750" s="286"/>
      <c r="D750" s="286"/>
      <c r="E750" s="286"/>
    </row>
    <row r="751">
      <c r="A751" s="286"/>
      <c r="B751" s="286"/>
      <c r="C751" s="286"/>
      <c r="D751" s="286"/>
      <c r="E751" s="286"/>
    </row>
    <row r="752">
      <c r="A752" s="286"/>
      <c r="B752" s="286"/>
      <c r="C752" s="286"/>
      <c r="D752" s="286"/>
      <c r="E752" s="286"/>
    </row>
    <row r="753">
      <c r="A753" s="286"/>
      <c r="B753" s="286"/>
      <c r="C753" s="286"/>
      <c r="D753" s="286"/>
      <c r="E753" s="286"/>
    </row>
    <row r="754">
      <c r="A754" s="286"/>
      <c r="B754" s="286"/>
      <c r="C754" s="286"/>
      <c r="D754" s="286"/>
      <c r="E754" s="286"/>
    </row>
    <row r="755">
      <c r="A755" s="286"/>
      <c r="B755" s="286"/>
      <c r="C755" s="286"/>
      <c r="D755" s="286"/>
      <c r="E755" s="286"/>
    </row>
    <row r="756">
      <c r="A756" s="286"/>
      <c r="B756" s="286"/>
      <c r="C756" s="286"/>
      <c r="D756" s="286"/>
      <c r="E756" s="286"/>
    </row>
    <row r="757">
      <c r="A757" s="286"/>
      <c r="B757" s="286"/>
      <c r="C757" s="286"/>
      <c r="D757" s="286"/>
      <c r="E757" s="286"/>
    </row>
    <row r="758">
      <c r="A758" s="286"/>
      <c r="B758" s="286"/>
      <c r="C758" s="286"/>
      <c r="D758" s="286"/>
      <c r="E758" s="286"/>
    </row>
    <row r="759">
      <c r="A759" s="286"/>
      <c r="B759" s="286"/>
      <c r="C759" s="286"/>
      <c r="D759" s="286"/>
      <c r="E759" s="286"/>
    </row>
    <row r="760">
      <c r="A760" s="286"/>
      <c r="B760" s="286"/>
      <c r="C760" s="286"/>
      <c r="D760" s="286"/>
      <c r="E760" s="286"/>
    </row>
    <row r="761">
      <c r="A761" s="286"/>
      <c r="B761" s="286"/>
      <c r="C761" s="286"/>
      <c r="D761" s="286"/>
      <c r="E761" s="286"/>
    </row>
    <row r="762">
      <c r="A762" s="286"/>
      <c r="B762" s="286"/>
      <c r="C762" s="286"/>
      <c r="D762" s="286"/>
      <c r="E762" s="286"/>
    </row>
    <row r="763">
      <c r="A763" s="286"/>
      <c r="B763" s="286"/>
      <c r="C763" s="286"/>
      <c r="D763" s="286"/>
      <c r="E763" s="286"/>
    </row>
    <row r="764">
      <c r="A764" s="286"/>
      <c r="B764" s="286"/>
      <c r="C764" s="286"/>
      <c r="D764" s="286"/>
      <c r="E764" s="286"/>
    </row>
    <row r="765">
      <c r="A765" s="286"/>
      <c r="B765" s="286"/>
      <c r="C765" s="286"/>
      <c r="D765" s="286"/>
      <c r="E765" s="286"/>
    </row>
    <row r="766">
      <c r="A766" s="286"/>
      <c r="B766" s="286"/>
      <c r="C766" s="286"/>
      <c r="D766" s="286"/>
      <c r="E766" s="286"/>
    </row>
    <row r="767">
      <c r="A767" s="286"/>
      <c r="B767" s="286"/>
      <c r="C767" s="286"/>
      <c r="D767" s="286"/>
      <c r="E767" s="286"/>
    </row>
    <row r="768">
      <c r="A768" s="286"/>
      <c r="B768" s="286"/>
      <c r="C768" s="286"/>
      <c r="D768" s="286"/>
      <c r="E768" s="286"/>
    </row>
    <row r="769">
      <c r="A769" s="286"/>
      <c r="B769" s="286"/>
      <c r="C769" s="286"/>
      <c r="D769" s="286"/>
      <c r="E769" s="286"/>
    </row>
    <row r="770">
      <c r="A770" s="286"/>
      <c r="B770" s="286"/>
      <c r="C770" s="286"/>
      <c r="D770" s="286"/>
      <c r="E770" s="286"/>
    </row>
    <row r="771">
      <c r="A771" s="286"/>
      <c r="B771" s="286"/>
      <c r="C771" s="286"/>
      <c r="D771" s="286"/>
      <c r="E771" s="286"/>
    </row>
    <row r="772">
      <c r="A772" s="286"/>
      <c r="B772" s="286"/>
      <c r="C772" s="286"/>
      <c r="D772" s="286"/>
      <c r="E772" s="286"/>
    </row>
    <row r="773">
      <c r="A773" s="286"/>
      <c r="B773" s="286"/>
      <c r="C773" s="286"/>
      <c r="D773" s="286"/>
      <c r="E773" s="286"/>
    </row>
    <row r="774">
      <c r="A774" s="286"/>
      <c r="B774" s="286"/>
      <c r="C774" s="286"/>
      <c r="D774" s="286"/>
      <c r="E774" s="286"/>
    </row>
    <row r="775">
      <c r="A775" s="286"/>
      <c r="B775" s="286"/>
      <c r="C775" s="286"/>
      <c r="D775" s="286"/>
      <c r="E775" s="286"/>
    </row>
    <row r="776">
      <c r="A776" s="286"/>
      <c r="B776" s="286"/>
      <c r="C776" s="286"/>
      <c r="D776" s="286"/>
      <c r="E776" s="286"/>
    </row>
    <row r="777">
      <c r="A777" s="286"/>
      <c r="B777" s="286"/>
      <c r="C777" s="286"/>
      <c r="D777" s="286"/>
      <c r="E777" s="286"/>
    </row>
    <row r="778">
      <c r="A778" s="286"/>
      <c r="B778" s="286"/>
      <c r="C778" s="286"/>
      <c r="D778" s="286"/>
      <c r="E778" s="286"/>
    </row>
    <row r="779">
      <c r="A779" s="286"/>
      <c r="B779" s="286"/>
      <c r="C779" s="286"/>
      <c r="D779" s="286"/>
      <c r="E779" s="286"/>
    </row>
    <row r="780">
      <c r="A780" s="286"/>
      <c r="B780" s="286"/>
      <c r="C780" s="286"/>
      <c r="D780" s="286"/>
      <c r="E780" s="286"/>
    </row>
    <row r="781">
      <c r="A781" s="286"/>
      <c r="B781" s="286"/>
      <c r="C781" s="286"/>
      <c r="D781" s="286"/>
      <c r="E781" s="286"/>
    </row>
    <row r="782">
      <c r="A782" s="286"/>
      <c r="B782" s="286"/>
      <c r="C782" s="286"/>
      <c r="D782" s="286"/>
      <c r="E782" s="286"/>
    </row>
    <row r="783">
      <c r="A783" s="286"/>
      <c r="B783" s="286"/>
      <c r="C783" s="286"/>
      <c r="D783" s="286"/>
      <c r="E783" s="286"/>
    </row>
    <row r="784">
      <c r="A784" s="286"/>
      <c r="B784" s="286"/>
      <c r="C784" s="286"/>
      <c r="D784" s="286"/>
      <c r="E784" s="286"/>
    </row>
    <row r="785">
      <c r="A785" s="286"/>
      <c r="B785" s="286"/>
      <c r="C785" s="286"/>
      <c r="D785" s="286"/>
      <c r="E785" s="286"/>
    </row>
    <row r="786">
      <c r="A786" s="286"/>
      <c r="B786" s="286"/>
      <c r="C786" s="286"/>
      <c r="D786" s="286"/>
      <c r="E786" s="286"/>
    </row>
    <row r="787">
      <c r="A787" s="286"/>
      <c r="B787" s="286"/>
      <c r="C787" s="286"/>
      <c r="D787" s="286"/>
      <c r="E787" s="286"/>
    </row>
    <row r="788">
      <c r="A788" s="286"/>
      <c r="B788" s="286"/>
      <c r="C788" s="286"/>
      <c r="D788" s="286"/>
      <c r="E788" s="286"/>
    </row>
    <row r="789">
      <c r="A789" s="286"/>
      <c r="B789" s="286"/>
      <c r="C789" s="286"/>
      <c r="D789" s="286"/>
      <c r="E789" s="286"/>
    </row>
    <row r="790">
      <c r="A790" s="286"/>
      <c r="B790" s="286"/>
      <c r="C790" s="286"/>
      <c r="D790" s="286"/>
      <c r="E790" s="286"/>
    </row>
    <row r="791">
      <c r="A791" s="286"/>
      <c r="B791" s="286"/>
      <c r="C791" s="286"/>
      <c r="D791" s="286"/>
      <c r="E791" s="286"/>
    </row>
    <row r="792">
      <c r="A792" s="286"/>
      <c r="B792" s="286"/>
      <c r="C792" s="286"/>
      <c r="D792" s="286"/>
      <c r="E792" s="286"/>
    </row>
    <row r="793">
      <c r="A793" s="286"/>
      <c r="B793" s="286"/>
      <c r="C793" s="286"/>
      <c r="D793" s="286"/>
      <c r="E793" s="286"/>
    </row>
    <row r="794">
      <c r="A794" s="286"/>
      <c r="B794" s="286"/>
      <c r="C794" s="286"/>
      <c r="D794" s="286"/>
      <c r="E794" s="286"/>
    </row>
    <row r="795">
      <c r="A795" s="286"/>
      <c r="B795" s="286"/>
      <c r="C795" s="286"/>
      <c r="D795" s="286"/>
      <c r="E795" s="286"/>
    </row>
    <row r="796">
      <c r="A796" s="286"/>
      <c r="B796" s="286"/>
      <c r="C796" s="286"/>
      <c r="D796" s="286"/>
      <c r="E796" s="286"/>
    </row>
    <row r="797">
      <c r="A797" s="286"/>
      <c r="B797" s="286"/>
      <c r="C797" s="286"/>
      <c r="D797" s="286"/>
      <c r="E797" s="286"/>
    </row>
    <row r="798">
      <c r="A798" s="286"/>
      <c r="B798" s="286"/>
      <c r="C798" s="286"/>
      <c r="D798" s="286"/>
      <c r="E798" s="286"/>
    </row>
    <row r="799">
      <c r="A799" s="286"/>
      <c r="B799" s="286"/>
      <c r="C799" s="286"/>
      <c r="D799" s="286"/>
      <c r="E799" s="286"/>
    </row>
    <row r="800">
      <c r="A800" s="286"/>
      <c r="B800" s="286"/>
      <c r="C800" s="286"/>
      <c r="D800" s="286"/>
      <c r="E800" s="286"/>
    </row>
    <row r="801">
      <c r="A801" s="286"/>
      <c r="B801" s="286"/>
      <c r="C801" s="286"/>
      <c r="D801" s="286"/>
      <c r="E801" s="286"/>
    </row>
    <row r="802">
      <c r="A802" s="286"/>
      <c r="B802" s="286"/>
      <c r="C802" s="286"/>
      <c r="D802" s="286"/>
      <c r="E802" s="286"/>
    </row>
    <row r="803">
      <c r="A803" s="286"/>
      <c r="B803" s="286"/>
      <c r="C803" s="286"/>
      <c r="D803" s="286"/>
      <c r="E803" s="286"/>
    </row>
    <row r="804">
      <c r="A804" s="286"/>
      <c r="B804" s="286"/>
      <c r="C804" s="286"/>
      <c r="D804" s="286"/>
      <c r="E804" s="286"/>
    </row>
    <row r="805">
      <c r="A805" s="286"/>
      <c r="B805" s="286"/>
      <c r="C805" s="286"/>
      <c r="D805" s="286"/>
      <c r="E805" s="286"/>
    </row>
    <row r="806">
      <c r="A806" s="286"/>
      <c r="B806" s="286"/>
      <c r="C806" s="286"/>
      <c r="D806" s="286"/>
      <c r="E806" s="286"/>
    </row>
    <row r="807">
      <c r="A807" s="286"/>
      <c r="B807" s="286"/>
      <c r="C807" s="286"/>
      <c r="D807" s="286"/>
      <c r="E807" s="286"/>
    </row>
    <row r="808">
      <c r="A808" s="286"/>
      <c r="B808" s="286"/>
      <c r="C808" s="286"/>
      <c r="D808" s="286"/>
      <c r="E808" s="286"/>
    </row>
    <row r="809">
      <c r="A809" s="286"/>
      <c r="B809" s="286"/>
      <c r="C809" s="286"/>
      <c r="D809" s="286"/>
      <c r="E809" s="286"/>
    </row>
    <row r="810">
      <c r="A810" s="286"/>
      <c r="B810" s="286"/>
      <c r="C810" s="286"/>
      <c r="D810" s="286"/>
      <c r="E810" s="286"/>
    </row>
    <row r="811">
      <c r="A811" s="286"/>
      <c r="B811" s="286"/>
      <c r="C811" s="286"/>
      <c r="D811" s="286"/>
      <c r="E811" s="286"/>
    </row>
    <row r="812">
      <c r="A812" s="286"/>
      <c r="B812" s="286"/>
      <c r="C812" s="286"/>
      <c r="D812" s="286"/>
      <c r="E812" s="286"/>
    </row>
    <row r="813">
      <c r="A813" s="286"/>
      <c r="B813" s="286"/>
      <c r="C813" s="286"/>
      <c r="D813" s="286"/>
      <c r="E813" s="286"/>
    </row>
    <row r="814">
      <c r="A814" s="286"/>
      <c r="B814" s="286"/>
      <c r="C814" s="286"/>
      <c r="D814" s="286"/>
      <c r="E814" s="286"/>
    </row>
    <row r="815">
      <c r="A815" s="286"/>
      <c r="B815" s="286"/>
      <c r="C815" s="286"/>
      <c r="D815" s="286"/>
      <c r="E815" s="286"/>
    </row>
    <row r="816">
      <c r="A816" s="286"/>
      <c r="B816" s="286"/>
      <c r="C816" s="286"/>
      <c r="D816" s="286"/>
      <c r="E816" s="286"/>
    </row>
    <row r="817">
      <c r="A817" s="286"/>
      <c r="B817" s="286"/>
      <c r="C817" s="286"/>
      <c r="D817" s="286"/>
      <c r="E817" s="286"/>
    </row>
    <row r="818">
      <c r="A818" s="286"/>
      <c r="B818" s="286"/>
      <c r="C818" s="286"/>
      <c r="D818" s="286"/>
      <c r="E818" s="286"/>
    </row>
    <row r="819">
      <c r="A819" s="286"/>
      <c r="B819" s="286"/>
      <c r="C819" s="286"/>
      <c r="D819" s="286"/>
      <c r="E819" s="286"/>
    </row>
    <row r="820">
      <c r="A820" s="286"/>
      <c r="B820" s="286"/>
      <c r="C820" s="286"/>
      <c r="D820" s="286"/>
      <c r="E820" s="286"/>
    </row>
    <row r="821">
      <c r="A821" s="286"/>
      <c r="B821" s="286"/>
      <c r="C821" s="286"/>
      <c r="D821" s="286"/>
      <c r="E821" s="286"/>
    </row>
    <row r="822">
      <c r="A822" s="286"/>
      <c r="B822" s="286"/>
      <c r="C822" s="286"/>
      <c r="D822" s="286"/>
      <c r="E822" s="286"/>
    </row>
    <row r="823">
      <c r="A823" s="286"/>
      <c r="B823" s="286"/>
      <c r="C823" s="286"/>
      <c r="D823" s="286"/>
      <c r="E823" s="286"/>
    </row>
    <row r="824">
      <c r="A824" s="286"/>
      <c r="B824" s="286"/>
      <c r="C824" s="286"/>
      <c r="D824" s="286"/>
      <c r="E824" s="286"/>
    </row>
    <row r="825">
      <c r="A825" s="286"/>
      <c r="B825" s="286"/>
      <c r="C825" s="286"/>
      <c r="D825" s="286"/>
      <c r="E825" s="286"/>
    </row>
    <row r="826">
      <c r="A826" s="286"/>
      <c r="B826" s="286"/>
      <c r="C826" s="286"/>
      <c r="D826" s="286"/>
      <c r="E826" s="286"/>
    </row>
    <row r="827">
      <c r="A827" s="286"/>
      <c r="B827" s="286"/>
      <c r="C827" s="286"/>
      <c r="D827" s="286"/>
      <c r="E827" s="286"/>
    </row>
    <row r="828">
      <c r="A828" s="286"/>
      <c r="B828" s="286"/>
      <c r="C828" s="286"/>
      <c r="D828" s="286"/>
      <c r="E828" s="286"/>
    </row>
    <row r="829">
      <c r="A829" s="286"/>
      <c r="B829" s="286"/>
      <c r="C829" s="286"/>
      <c r="D829" s="286"/>
      <c r="E829" s="286"/>
    </row>
    <row r="830">
      <c r="A830" s="286"/>
      <c r="B830" s="286"/>
      <c r="C830" s="286"/>
      <c r="D830" s="286"/>
      <c r="E830" s="286"/>
    </row>
    <row r="831">
      <c r="A831" s="286"/>
      <c r="B831" s="286"/>
      <c r="C831" s="286"/>
      <c r="D831" s="286"/>
      <c r="E831" s="286"/>
    </row>
    <row r="832">
      <c r="A832" s="286"/>
      <c r="B832" s="286"/>
      <c r="C832" s="286"/>
      <c r="D832" s="286"/>
      <c r="E832" s="286"/>
    </row>
    <row r="833">
      <c r="A833" s="286"/>
      <c r="B833" s="286"/>
      <c r="C833" s="286"/>
      <c r="D833" s="286"/>
      <c r="E833" s="286"/>
    </row>
    <row r="834">
      <c r="A834" s="286"/>
      <c r="B834" s="286"/>
      <c r="C834" s="286"/>
      <c r="D834" s="286"/>
      <c r="E834" s="286"/>
    </row>
    <row r="835">
      <c r="A835" s="286"/>
      <c r="B835" s="286"/>
      <c r="C835" s="286"/>
      <c r="D835" s="286"/>
      <c r="E835" s="286"/>
    </row>
    <row r="836">
      <c r="A836" s="286"/>
      <c r="B836" s="286"/>
      <c r="C836" s="286"/>
      <c r="D836" s="286"/>
      <c r="E836" s="286"/>
    </row>
    <row r="837">
      <c r="A837" s="286"/>
      <c r="B837" s="286"/>
      <c r="C837" s="286"/>
      <c r="D837" s="286"/>
      <c r="E837" s="286"/>
    </row>
    <row r="838">
      <c r="A838" s="286"/>
      <c r="B838" s="286"/>
      <c r="C838" s="286"/>
      <c r="D838" s="286"/>
      <c r="E838" s="286"/>
    </row>
    <row r="839">
      <c r="A839" s="286"/>
      <c r="B839" s="286"/>
      <c r="C839" s="286"/>
      <c r="D839" s="286"/>
      <c r="E839" s="286"/>
    </row>
    <row r="840">
      <c r="A840" s="286"/>
      <c r="B840" s="286"/>
      <c r="C840" s="286"/>
      <c r="D840" s="286"/>
      <c r="E840" s="286"/>
    </row>
    <row r="841">
      <c r="A841" s="286"/>
      <c r="B841" s="286"/>
      <c r="C841" s="286"/>
      <c r="D841" s="286"/>
      <c r="E841" s="286"/>
    </row>
    <row r="842">
      <c r="A842" s="286"/>
      <c r="B842" s="286"/>
      <c r="C842" s="286"/>
      <c r="D842" s="286"/>
      <c r="E842" s="286"/>
    </row>
    <row r="843">
      <c r="A843" s="286"/>
      <c r="B843" s="286"/>
      <c r="C843" s="286"/>
      <c r="D843" s="286"/>
      <c r="E843" s="286"/>
    </row>
    <row r="844">
      <c r="A844" s="286"/>
      <c r="B844" s="286"/>
      <c r="C844" s="286"/>
      <c r="D844" s="286"/>
      <c r="E844" s="286"/>
    </row>
    <row r="845">
      <c r="A845" s="286"/>
      <c r="B845" s="286"/>
      <c r="C845" s="286"/>
      <c r="D845" s="286"/>
      <c r="E845" s="286"/>
    </row>
    <row r="846">
      <c r="A846" s="286"/>
      <c r="B846" s="286"/>
      <c r="C846" s="286"/>
      <c r="D846" s="286"/>
      <c r="E846" s="286"/>
    </row>
    <row r="847">
      <c r="A847" s="286"/>
      <c r="B847" s="286"/>
      <c r="C847" s="286"/>
      <c r="D847" s="286"/>
      <c r="E847" s="286"/>
    </row>
    <row r="848">
      <c r="A848" s="286"/>
      <c r="B848" s="286"/>
      <c r="C848" s="286"/>
      <c r="D848" s="286"/>
      <c r="E848" s="286"/>
    </row>
    <row r="849">
      <c r="A849" s="286"/>
      <c r="B849" s="286"/>
      <c r="C849" s="286"/>
      <c r="D849" s="286"/>
      <c r="E849" s="286"/>
    </row>
    <row r="850">
      <c r="A850" s="286"/>
      <c r="B850" s="286"/>
      <c r="C850" s="286"/>
      <c r="D850" s="286"/>
      <c r="E850" s="286"/>
    </row>
    <row r="851">
      <c r="A851" s="286"/>
      <c r="B851" s="286"/>
      <c r="C851" s="286"/>
      <c r="D851" s="286"/>
      <c r="E851" s="286"/>
    </row>
    <row r="852">
      <c r="A852" s="286"/>
      <c r="B852" s="286"/>
      <c r="C852" s="286"/>
      <c r="D852" s="286"/>
      <c r="E852" s="286"/>
    </row>
    <row r="853">
      <c r="A853" s="286"/>
      <c r="B853" s="286"/>
      <c r="C853" s="286"/>
      <c r="D853" s="286"/>
      <c r="E853" s="286"/>
    </row>
    <row r="854">
      <c r="A854" s="286"/>
      <c r="B854" s="286"/>
      <c r="C854" s="286"/>
      <c r="D854" s="286"/>
      <c r="E854" s="286"/>
    </row>
    <row r="855">
      <c r="A855" s="286"/>
      <c r="B855" s="286"/>
      <c r="C855" s="286"/>
      <c r="D855" s="286"/>
      <c r="E855" s="286"/>
    </row>
    <row r="856">
      <c r="A856" s="286"/>
      <c r="B856" s="286"/>
      <c r="C856" s="286"/>
      <c r="D856" s="286"/>
      <c r="E856" s="286"/>
    </row>
    <row r="857">
      <c r="A857" s="286"/>
      <c r="B857" s="286"/>
      <c r="C857" s="286"/>
      <c r="D857" s="286"/>
      <c r="E857" s="286"/>
    </row>
    <row r="858">
      <c r="A858" s="286"/>
      <c r="B858" s="286"/>
      <c r="C858" s="286"/>
      <c r="D858" s="286"/>
      <c r="E858" s="286"/>
    </row>
    <row r="859">
      <c r="A859" s="286"/>
      <c r="B859" s="286"/>
      <c r="C859" s="286"/>
      <c r="D859" s="286"/>
      <c r="E859" s="286"/>
    </row>
    <row r="860">
      <c r="A860" s="286"/>
      <c r="B860" s="286"/>
      <c r="C860" s="286"/>
      <c r="D860" s="286"/>
      <c r="E860" s="286"/>
    </row>
    <row r="861">
      <c r="A861" s="286"/>
      <c r="B861" s="286"/>
      <c r="C861" s="286"/>
      <c r="D861" s="286"/>
      <c r="E861" s="286"/>
    </row>
    <row r="862">
      <c r="A862" s="286"/>
      <c r="B862" s="286"/>
      <c r="C862" s="286"/>
      <c r="D862" s="286"/>
      <c r="E862" s="286"/>
    </row>
    <row r="863">
      <c r="A863" s="286"/>
      <c r="B863" s="286"/>
      <c r="C863" s="286"/>
      <c r="D863" s="286"/>
      <c r="E863" s="286"/>
    </row>
    <row r="864">
      <c r="A864" s="286"/>
      <c r="B864" s="286"/>
      <c r="C864" s="286"/>
      <c r="D864" s="286"/>
      <c r="E864" s="286"/>
    </row>
    <row r="865">
      <c r="A865" s="286"/>
      <c r="B865" s="286"/>
      <c r="C865" s="286"/>
      <c r="D865" s="286"/>
      <c r="E865" s="286"/>
    </row>
    <row r="866">
      <c r="A866" s="286"/>
      <c r="B866" s="286"/>
      <c r="C866" s="286"/>
      <c r="D866" s="286"/>
      <c r="E866" s="286"/>
    </row>
    <row r="867">
      <c r="A867" s="286"/>
      <c r="B867" s="286"/>
      <c r="C867" s="286"/>
      <c r="D867" s="286"/>
      <c r="E867" s="286"/>
    </row>
    <row r="868">
      <c r="A868" s="286"/>
      <c r="B868" s="286"/>
      <c r="C868" s="286"/>
      <c r="D868" s="286"/>
      <c r="E868" s="286"/>
    </row>
    <row r="869">
      <c r="A869" s="286"/>
      <c r="B869" s="286"/>
      <c r="C869" s="286"/>
      <c r="D869" s="286"/>
      <c r="E869" s="286"/>
    </row>
    <row r="870">
      <c r="A870" s="286"/>
      <c r="B870" s="286"/>
      <c r="C870" s="286"/>
      <c r="D870" s="286"/>
      <c r="E870" s="286"/>
    </row>
    <row r="871">
      <c r="A871" s="286"/>
      <c r="B871" s="286"/>
      <c r="C871" s="286"/>
      <c r="D871" s="286"/>
      <c r="E871" s="286"/>
    </row>
    <row r="872">
      <c r="A872" s="286"/>
      <c r="B872" s="286"/>
      <c r="C872" s="286"/>
      <c r="D872" s="286"/>
      <c r="E872" s="286"/>
    </row>
    <row r="873">
      <c r="A873" s="286"/>
      <c r="B873" s="286"/>
      <c r="C873" s="286"/>
      <c r="D873" s="286"/>
      <c r="E873" s="286"/>
    </row>
    <row r="874">
      <c r="A874" s="286"/>
      <c r="B874" s="286"/>
      <c r="C874" s="286"/>
      <c r="D874" s="286"/>
      <c r="E874" s="286"/>
    </row>
    <row r="875">
      <c r="A875" s="286"/>
      <c r="B875" s="286"/>
      <c r="C875" s="286"/>
      <c r="D875" s="286"/>
      <c r="E875" s="286"/>
    </row>
    <row r="876">
      <c r="A876" s="286"/>
      <c r="B876" s="286"/>
      <c r="C876" s="286"/>
      <c r="D876" s="286"/>
      <c r="E876" s="286"/>
    </row>
    <row r="877">
      <c r="A877" s="286"/>
      <c r="B877" s="286"/>
      <c r="C877" s="286"/>
      <c r="D877" s="286"/>
      <c r="E877" s="286"/>
    </row>
    <row r="878">
      <c r="A878" s="286"/>
      <c r="B878" s="286"/>
      <c r="C878" s="286"/>
      <c r="D878" s="286"/>
      <c r="E878" s="286"/>
    </row>
    <row r="879">
      <c r="A879" s="286"/>
      <c r="B879" s="286"/>
      <c r="C879" s="286"/>
      <c r="D879" s="286"/>
      <c r="E879" s="286"/>
    </row>
    <row r="880">
      <c r="A880" s="286"/>
      <c r="B880" s="286"/>
      <c r="C880" s="286"/>
      <c r="D880" s="286"/>
      <c r="E880" s="286"/>
    </row>
    <row r="881">
      <c r="A881" s="286"/>
      <c r="B881" s="286"/>
      <c r="C881" s="286"/>
      <c r="D881" s="286"/>
      <c r="E881" s="286"/>
    </row>
    <row r="882">
      <c r="A882" s="286"/>
      <c r="B882" s="286"/>
      <c r="C882" s="286"/>
      <c r="D882" s="286"/>
      <c r="E882" s="286"/>
    </row>
    <row r="883">
      <c r="A883" s="286"/>
      <c r="B883" s="286"/>
      <c r="C883" s="286"/>
      <c r="D883" s="286"/>
      <c r="E883" s="286"/>
    </row>
    <row r="884">
      <c r="A884" s="286"/>
      <c r="B884" s="286"/>
      <c r="C884" s="286"/>
      <c r="D884" s="286"/>
      <c r="E884" s="286"/>
    </row>
    <row r="885">
      <c r="A885" s="286"/>
      <c r="B885" s="286"/>
      <c r="C885" s="286"/>
      <c r="D885" s="286"/>
      <c r="E885" s="286"/>
    </row>
    <row r="886">
      <c r="A886" s="286"/>
      <c r="B886" s="286"/>
      <c r="C886" s="286"/>
      <c r="D886" s="286"/>
      <c r="E886" s="286"/>
    </row>
    <row r="887">
      <c r="A887" s="286"/>
      <c r="B887" s="286"/>
      <c r="C887" s="286"/>
      <c r="D887" s="286"/>
      <c r="E887" s="286"/>
    </row>
    <row r="888">
      <c r="A888" s="286"/>
      <c r="B888" s="286"/>
      <c r="C888" s="286"/>
      <c r="D888" s="286"/>
      <c r="E888" s="286"/>
    </row>
    <row r="889">
      <c r="A889" s="286"/>
      <c r="B889" s="286"/>
      <c r="C889" s="286"/>
      <c r="D889" s="286"/>
      <c r="E889" s="286"/>
    </row>
    <row r="890">
      <c r="A890" s="286"/>
      <c r="B890" s="286"/>
      <c r="C890" s="286"/>
      <c r="D890" s="286"/>
      <c r="E890" s="286"/>
    </row>
    <row r="891">
      <c r="A891" s="286"/>
      <c r="B891" s="286"/>
      <c r="C891" s="286"/>
      <c r="D891" s="286"/>
      <c r="E891" s="286"/>
    </row>
    <row r="892">
      <c r="A892" s="286"/>
      <c r="B892" s="286"/>
      <c r="C892" s="286"/>
      <c r="D892" s="286"/>
      <c r="E892" s="286"/>
    </row>
    <row r="893">
      <c r="A893" s="286"/>
      <c r="B893" s="286"/>
      <c r="C893" s="286"/>
      <c r="D893" s="286"/>
      <c r="E893" s="286"/>
    </row>
    <row r="894">
      <c r="A894" s="286"/>
      <c r="B894" s="286"/>
      <c r="C894" s="286"/>
      <c r="D894" s="286"/>
      <c r="E894" s="286"/>
    </row>
    <row r="895">
      <c r="A895" s="286"/>
      <c r="B895" s="286"/>
      <c r="C895" s="286"/>
      <c r="D895" s="286"/>
      <c r="E895" s="286"/>
    </row>
    <row r="896">
      <c r="A896" s="286"/>
      <c r="B896" s="286"/>
      <c r="C896" s="286"/>
      <c r="D896" s="286"/>
      <c r="E896" s="286"/>
    </row>
    <row r="897">
      <c r="A897" s="286"/>
      <c r="B897" s="286"/>
      <c r="C897" s="286"/>
      <c r="D897" s="286"/>
      <c r="E897" s="286"/>
    </row>
    <row r="898">
      <c r="A898" s="286"/>
      <c r="B898" s="286"/>
      <c r="C898" s="286"/>
      <c r="D898" s="286"/>
      <c r="E898" s="286"/>
    </row>
    <row r="899">
      <c r="A899" s="286"/>
      <c r="B899" s="286"/>
      <c r="C899" s="286"/>
      <c r="D899" s="286"/>
      <c r="E899" s="286"/>
    </row>
    <row r="900">
      <c r="A900" s="286"/>
      <c r="B900" s="286"/>
      <c r="C900" s="286"/>
      <c r="D900" s="286"/>
      <c r="E900" s="286"/>
    </row>
    <row r="901">
      <c r="A901" s="286"/>
      <c r="B901" s="286"/>
      <c r="C901" s="286"/>
      <c r="D901" s="286"/>
      <c r="E901" s="286"/>
    </row>
    <row r="902">
      <c r="A902" s="286"/>
      <c r="B902" s="286"/>
      <c r="C902" s="286"/>
      <c r="D902" s="286"/>
      <c r="E902" s="286"/>
    </row>
    <row r="903">
      <c r="A903" s="286"/>
      <c r="B903" s="286"/>
      <c r="C903" s="286"/>
      <c r="D903" s="286"/>
      <c r="E903" s="286"/>
    </row>
    <row r="904">
      <c r="A904" s="286"/>
      <c r="B904" s="286"/>
      <c r="C904" s="286"/>
      <c r="D904" s="286"/>
      <c r="E904" s="286"/>
    </row>
    <row r="905">
      <c r="A905" s="286"/>
      <c r="B905" s="286"/>
      <c r="C905" s="286"/>
      <c r="D905" s="286"/>
      <c r="E905" s="286"/>
    </row>
    <row r="906">
      <c r="A906" s="286"/>
      <c r="B906" s="286"/>
      <c r="C906" s="286"/>
      <c r="D906" s="286"/>
      <c r="E906" s="286"/>
    </row>
    <row r="907">
      <c r="A907" s="286"/>
      <c r="B907" s="286"/>
      <c r="C907" s="286"/>
      <c r="D907" s="286"/>
      <c r="E907" s="286"/>
    </row>
    <row r="908">
      <c r="A908" s="286"/>
      <c r="B908" s="286"/>
      <c r="C908" s="286"/>
      <c r="D908" s="286"/>
      <c r="E908" s="286"/>
    </row>
    <row r="909">
      <c r="A909" s="286"/>
      <c r="B909" s="286"/>
      <c r="C909" s="286"/>
      <c r="D909" s="286"/>
      <c r="E909" s="286"/>
    </row>
    <row r="910">
      <c r="A910" s="286"/>
      <c r="B910" s="286"/>
      <c r="C910" s="286"/>
      <c r="D910" s="286"/>
      <c r="E910" s="286"/>
    </row>
    <row r="911">
      <c r="A911" s="286"/>
      <c r="B911" s="286"/>
      <c r="C911" s="286"/>
      <c r="D911" s="286"/>
      <c r="E911" s="286"/>
    </row>
    <row r="912">
      <c r="A912" s="286"/>
      <c r="B912" s="286"/>
      <c r="C912" s="286"/>
      <c r="D912" s="286"/>
      <c r="E912" s="286"/>
    </row>
    <row r="913">
      <c r="A913" s="286"/>
      <c r="B913" s="286"/>
      <c r="C913" s="286"/>
      <c r="D913" s="286"/>
      <c r="E913" s="286"/>
    </row>
    <row r="914">
      <c r="A914" s="286"/>
      <c r="B914" s="286"/>
      <c r="C914" s="286"/>
      <c r="D914" s="286"/>
      <c r="E914" s="286"/>
    </row>
    <row r="915">
      <c r="A915" s="286"/>
      <c r="B915" s="286"/>
      <c r="C915" s="286"/>
      <c r="D915" s="286"/>
      <c r="E915" s="286"/>
    </row>
    <row r="916">
      <c r="A916" s="286"/>
      <c r="B916" s="286"/>
      <c r="C916" s="286"/>
      <c r="D916" s="286"/>
      <c r="E916" s="286"/>
    </row>
    <row r="917">
      <c r="A917" s="286"/>
      <c r="B917" s="286"/>
      <c r="C917" s="286"/>
      <c r="D917" s="286"/>
      <c r="E917" s="286"/>
    </row>
    <row r="918">
      <c r="A918" s="286"/>
      <c r="B918" s="286"/>
      <c r="C918" s="286"/>
      <c r="D918" s="286"/>
      <c r="E918" s="286"/>
    </row>
    <row r="919">
      <c r="A919" s="286"/>
      <c r="B919" s="286"/>
      <c r="C919" s="286"/>
      <c r="D919" s="286"/>
      <c r="E919" s="286"/>
    </row>
    <row r="920">
      <c r="A920" s="286"/>
      <c r="B920" s="286"/>
      <c r="C920" s="286"/>
      <c r="D920" s="286"/>
      <c r="E920" s="286"/>
    </row>
    <row r="921">
      <c r="A921" s="286"/>
      <c r="B921" s="286"/>
      <c r="C921" s="286"/>
      <c r="D921" s="286"/>
      <c r="E921" s="286"/>
    </row>
    <row r="922">
      <c r="A922" s="286"/>
      <c r="B922" s="286"/>
      <c r="C922" s="286"/>
      <c r="D922" s="286"/>
      <c r="E922" s="286"/>
    </row>
    <row r="923">
      <c r="A923" s="286"/>
      <c r="B923" s="286"/>
      <c r="C923" s="286"/>
      <c r="D923" s="286"/>
      <c r="E923" s="286"/>
    </row>
    <row r="924">
      <c r="A924" s="286"/>
      <c r="B924" s="286"/>
      <c r="C924" s="286"/>
      <c r="D924" s="286"/>
      <c r="E924" s="286"/>
    </row>
    <row r="925">
      <c r="A925" s="286"/>
      <c r="B925" s="286"/>
      <c r="C925" s="286"/>
      <c r="D925" s="286"/>
      <c r="E925" s="286"/>
    </row>
    <row r="926">
      <c r="A926" s="286"/>
      <c r="B926" s="286"/>
      <c r="C926" s="286"/>
      <c r="D926" s="286"/>
      <c r="E926" s="286"/>
    </row>
    <row r="927">
      <c r="A927" s="286"/>
      <c r="B927" s="286"/>
      <c r="C927" s="286"/>
      <c r="D927" s="286"/>
      <c r="E927" s="286"/>
    </row>
    <row r="928">
      <c r="A928" s="286"/>
      <c r="B928" s="286"/>
      <c r="C928" s="286"/>
      <c r="D928" s="286"/>
      <c r="E928" s="286"/>
    </row>
    <row r="929">
      <c r="A929" s="286"/>
      <c r="B929" s="286"/>
      <c r="C929" s="286"/>
      <c r="D929" s="286"/>
      <c r="E929" s="286"/>
    </row>
    <row r="930">
      <c r="A930" s="286"/>
      <c r="B930" s="286"/>
      <c r="C930" s="286"/>
      <c r="D930" s="286"/>
      <c r="E930" s="286"/>
    </row>
    <row r="931">
      <c r="A931" s="286"/>
      <c r="B931" s="286"/>
      <c r="C931" s="286"/>
      <c r="D931" s="286"/>
      <c r="E931" s="286"/>
    </row>
    <row r="932">
      <c r="A932" s="286"/>
      <c r="B932" s="286"/>
      <c r="C932" s="286"/>
      <c r="D932" s="286"/>
      <c r="E932" s="286"/>
    </row>
    <row r="933">
      <c r="A933" s="286"/>
      <c r="B933" s="286"/>
      <c r="C933" s="286"/>
      <c r="D933" s="286"/>
      <c r="E933" s="286"/>
    </row>
    <row r="934">
      <c r="A934" s="286"/>
      <c r="B934" s="286"/>
      <c r="C934" s="286"/>
      <c r="D934" s="286"/>
      <c r="E934" s="286"/>
    </row>
    <row r="935">
      <c r="A935" s="286"/>
      <c r="B935" s="286"/>
      <c r="C935" s="286"/>
      <c r="D935" s="286"/>
      <c r="E935" s="286"/>
    </row>
    <row r="936">
      <c r="A936" s="286"/>
      <c r="B936" s="286"/>
      <c r="C936" s="286"/>
      <c r="D936" s="286"/>
      <c r="E936" s="286"/>
    </row>
    <row r="937">
      <c r="A937" s="286"/>
      <c r="B937" s="286"/>
      <c r="C937" s="286"/>
      <c r="D937" s="286"/>
      <c r="E937" s="286"/>
    </row>
    <row r="938">
      <c r="A938" s="286"/>
      <c r="B938" s="286"/>
      <c r="C938" s="286"/>
      <c r="D938" s="286"/>
      <c r="E938" s="286"/>
    </row>
    <row r="939">
      <c r="A939" s="286"/>
      <c r="B939" s="286"/>
      <c r="C939" s="286"/>
      <c r="D939" s="286"/>
      <c r="E939" s="286"/>
    </row>
    <row r="940">
      <c r="A940" s="286"/>
      <c r="B940" s="286"/>
      <c r="C940" s="286"/>
      <c r="D940" s="286"/>
      <c r="E940" s="286"/>
    </row>
    <row r="941">
      <c r="A941" s="286"/>
      <c r="B941" s="286"/>
      <c r="C941" s="286"/>
      <c r="D941" s="286"/>
      <c r="E941" s="286"/>
    </row>
    <row r="942">
      <c r="A942" s="286"/>
      <c r="B942" s="286"/>
      <c r="C942" s="286"/>
      <c r="D942" s="286"/>
      <c r="E942" s="286"/>
    </row>
    <row r="943">
      <c r="A943" s="286"/>
      <c r="B943" s="286"/>
      <c r="C943" s="286"/>
      <c r="D943" s="286"/>
      <c r="E943" s="286"/>
    </row>
    <row r="944">
      <c r="A944" s="286"/>
      <c r="B944" s="286"/>
      <c r="C944" s="286"/>
      <c r="D944" s="286"/>
      <c r="E944" s="286"/>
    </row>
    <row r="945">
      <c r="A945" s="286"/>
      <c r="B945" s="286"/>
      <c r="C945" s="286"/>
      <c r="D945" s="286"/>
      <c r="E945" s="286"/>
    </row>
    <row r="946">
      <c r="A946" s="286"/>
      <c r="B946" s="286"/>
      <c r="C946" s="286"/>
      <c r="D946" s="286"/>
      <c r="E946" s="286"/>
    </row>
    <row r="947">
      <c r="A947" s="286"/>
      <c r="B947" s="286"/>
      <c r="C947" s="286"/>
      <c r="D947" s="286"/>
      <c r="E947" s="286"/>
    </row>
    <row r="948">
      <c r="A948" s="286"/>
      <c r="B948" s="286"/>
      <c r="C948" s="286"/>
      <c r="D948" s="286"/>
      <c r="E948" s="286"/>
    </row>
    <row r="949">
      <c r="A949" s="286"/>
      <c r="B949" s="286"/>
      <c r="C949" s="286"/>
      <c r="D949" s="286"/>
      <c r="E949" s="286"/>
    </row>
    <row r="950">
      <c r="A950" s="286"/>
      <c r="B950" s="286"/>
      <c r="C950" s="286"/>
      <c r="D950" s="286"/>
      <c r="E950" s="286"/>
    </row>
    <row r="951">
      <c r="A951" s="286"/>
      <c r="B951" s="286"/>
      <c r="C951" s="286"/>
      <c r="D951" s="286"/>
      <c r="E951" s="286"/>
    </row>
    <row r="952">
      <c r="A952" s="286"/>
      <c r="B952" s="286"/>
      <c r="C952" s="286"/>
      <c r="D952" s="286"/>
      <c r="E952" s="286"/>
    </row>
    <row r="953">
      <c r="A953" s="286"/>
      <c r="B953" s="286"/>
      <c r="C953" s="286"/>
      <c r="D953" s="286"/>
      <c r="E953" s="286"/>
    </row>
    <row r="954">
      <c r="A954" s="286"/>
      <c r="B954" s="286"/>
      <c r="C954" s="286"/>
      <c r="D954" s="286"/>
      <c r="E954" s="286"/>
    </row>
    <row r="955">
      <c r="A955" s="286"/>
      <c r="B955" s="286"/>
      <c r="C955" s="286"/>
      <c r="D955" s="286"/>
      <c r="E955" s="286"/>
    </row>
    <row r="956">
      <c r="A956" s="286"/>
      <c r="B956" s="286"/>
      <c r="C956" s="286"/>
      <c r="D956" s="286"/>
      <c r="E956" s="286"/>
    </row>
    <row r="957">
      <c r="A957" s="286"/>
      <c r="B957" s="286"/>
      <c r="C957" s="286"/>
      <c r="D957" s="286"/>
      <c r="E957" s="286"/>
    </row>
    <row r="958">
      <c r="A958" s="286"/>
      <c r="B958" s="286"/>
      <c r="C958" s="286"/>
      <c r="D958" s="286"/>
      <c r="E958" s="286"/>
    </row>
    <row r="959">
      <c r="A959" s="286"/>
      <c r="B959" s="286"/>
      <c r="C959" s="286"/>
      <c r="D959" s="286"/>
      <c r="E959" s="286"/>
    </row>
    <row r="960">
      <c r="A960" s="286"/>
      <c r="B960" s="286"/>
      <c r="C960" s="286"/>
      <c r="D960" s="286"/>
      <c r="E960" s="286"/>
    </row>
    <row r="961">
      <c r="A961" s="286"/>
      <c r="B961" s="286"/>
      <c r="C961" s="286"/>
      <c r="D961" s="286"/>
      <c r="E961" s="286"/>
    </row>
    <row r="962">
      <c r="A962" s="286"/>
      <c r="B962" s="286"/>
      <c r="C962" s="286"/>
      <c r="D962" s="286"/>
      <c r="E962" s="286"/>
    </row>
    <row r="963">
      <c r="A963" s="286"/>
      <c r="B963" s="286"/>
      <c r="C963" s="286"/>
      <c r="D963" s="286"/>
      <c r="E963" s="286"/>
    </row>
    <row r="964">
      <c r="A964" s="286"/>
      <c r="B964" s="286"/>
      <c r="C964" s="286"/>
      <c r="D964" s="286"/>
      <c r="E964" s="286"/>
    </row>
    <row r="965">
      <c r="A965" s="286"/>
      <c r="B965" s="286"/>
      <c r="C965" s="286"/>
      <c r="D965" s="286"/>
      <c r="E965" s="286"/>
    </row>
    <row r="966">
      <c r="A966" s="286"/>
      <c r="B966" s="286"/>
      <c r="C966" s="286"/>
      <c r="D966" s="286"/>
      <c r="E966" s="286"/>
    </row>
    <row r="967">
      <c r="A967" s="286"/>
      <c r="B967" s="286"/>
      <c r="C967" s="286"/>
      <c r="D967" s="286"/>
      <c r="E967" s="286"/>
    </row>
    <row r="968">
      <c r="A968" s="286"/>
      <c r="B968" s="286"/>
      <c r="C968" s="286"/>
      <c r="D968" s="286"/>
      <c r="E968" s="286"/>
    </row>
    <row r="969">
      <c r="A969" s="286"/>
      <c r="B969" s="286"/>
      <c r="C969" s="286"/>
      <c r="D969" s="286"/>
      <c r="E969" s="286"/>
    </row>
    <row r="970">
      <c r="A970" s="286"/>
      <c r="B970" s="286"/>
      <c r="C970" s="286"/>
      <c r="D970" s="286"/>
      <c r="E970" s="286"/>
    </row>
    <row r="971">
      <c r="A971" s="286"/>
      <c r="B971" s="286"/>
      <c r="C971" s="286"/>
      <c r="D971" s="286"/>
      <c r="E971" s="286"/>
    </row>
    <row r="972">
      <c r="A972" s="286"/>
      <c r="B972" s="286"/>
      <c r="C972" s="286"/>
      <c r="D972" s="286"/>
      <c r="E972" s="286"/>
    </row>
    <row r="973">
      <c r="A973" s="286"/>
      <c r="B973" s="286"/>
      <c r="C973" s="286"/>
      <c r="D973" s="286"/>
      <c r="E973" s="286"/>
    </row>
    <row r="974">
      <c r="A974" s="286"/>
      <c r="B974" s="286"/>
      <c r="C974" s="286"/>
      <c r="D974" s="286"/>
      <c r="E974" s="286"/>
    </row>
    <row r="975">
      <c r="A975" s="286"/>
      <c r="B975" s="286"/>
      <c r="C975" s="286"/>
      <c r="D975" s="286"/>
      <c r="E975" s="286"/>
    </row>
    <row r="976">
      <c r="A976" s="286"/>
      <c r="B976" s="286"/>
      <c r="C976" s="286"/>
      <c r="D976" s="286"/>
      <c r="E976" s="286"/>
    </row>
    <row r="977">
      <c r="A977" s="286"/>
      <c r="B977" s="286"/>
      <c r="C977" s="286"/>
      <c r="D977" s="286"/>
      <c r="E977" s="286"/>
    </row>
    <row r="978">
      <c r="A978" s="286"/>
      <c r="B978" s="286"/>
      <c r="C978" s="286"/>
      <c r="D978" s="286"/>
      <c r="E978" s="286"/>
    </row>
    <row r="979">
      <c r="A979" s="286"/>
      <c r="B979" s="286"/>
      <c r="C979" s="286"/>
      <c r="D979" s="286"/>
      <c r="E979" s="286"/>
    </row>
    <row r="980">
      <c r="A980" s="286"/>
      <c r="B980" s="286"/>
      <c r="C980" s="286"/>
      <c r="D980" s="286"/>
      <c r="E980" s="286"/>
    </row>
    <row r="981">
      <c r="A981" s="286"/>
      <c r="B981" s="286"/>
      <c r="C981" s="286"/>
      <c r="D981" s="286"/>
      <c r="E981" s="286"/>
    </row>
    <row r="982">
      <c r="A982" s="286"/>
      <c r="B982" s="286"/>
      <c r="C982" s="286"/>
      <c r="D982" s="286"/>
      <c r="E982" s="286"/>
    </row>
    <row r="983">
      <c r="A983" s="286"/>
      <c r="B983" s="286"/>
      <c r="C983" s="286"/>
      <c r="D983" s="286"/>
      <c r="E983" s="286"/>
    </row>
    <row r="984">
      <c r="A984" s="286"/>
      <c r="B984" s="286"/>
      <c r="C984" s="286"/>
      <c r="D984" s="286"/>
      <c r="E984" s="286"/>
    </row>
    <row r="985">
      <c r="A985" s="286"/>
      <c r="B985" s="286"/>
      <c r="C985" s="286"/>
      <c r="D985" s="286"/>
      <c r="E985" s="286"/>
    </row>
    <row r="986">
      <c r="A986" s="286"/>
      <c r="B986" s="286"/>
      <c r="C986" s="286"/>
      <c r="D986" s="286"/>
      <c r="E986" s="286"/>
    </row>
    <row r="987">
      <c r="A987" s="286"/>
      <c r="B987" s="286"/>
      <c r="C987" s="286"/>
      <c r="D987" s="286"/>
      <c r="E987" s="286"/>
    </row>
    <row r="988">
      <c r="A988" s="286"/>
      <c r="B988" s="286"/>
      <c r="C988" s="286"/>
      <c r="D988" s="286"/>
      <c r="E988" s="286"/>
    </row>
    <row r="989">
      <c r="A989" s="286"/>
      <c r="B989" s="286"/>
      <c r="C989" s="286"/>
      <c r="D989" s="286"/>
      <c r="E989" s="286"/>
    </row>
    <row r="990">
      <c r="A990" s="286"/>
      <c r="B990" s="286"/>
      <c r="C990" s="286"/>
      <c r="D990" s="286"/>
      <c r="E990" s="286"/>
    </row>
    <row r="991">
      <c r="A991" s="286"/>
      <c r="B991" s="286"/>
      <c r="C991" s="286"/>
      <c r="D991" s="286"/>
      <c r="E991" s="286"/>
    </row>
    <row r="992">
      <c r="A992" s="286"/>
      <c r="B992" s="286"/>
      <c r="C992" s="286"/>
      <c r="D992" s="286"/>
      <c r="E992" s="286"/>
    </row>
    <row r="993">
      <c r="A993" s="286"/>
      <c r="B993" s="286"/>
      <c r="C993" s="286"/>
      <c r="D993" s="286"/>
      <c r="E993" s="286"/>
    </row>
    <row r="994">
      <c r="A994" s="286"/>
      <c r="B994" s="286"/>
      <c r="C994" s="286"/>
      <c r="D994" s="286"/>
      <c r="E994" s="286"/>
    </row>
    <row r="995">
      <c r="A995" s="286"/>
      <c r="B995" s="286"/>
      <c r="C995" s="286"/>
      <c r="D995" s="286"/>
      <c r="E995" s="286"/>
    </row>
    <row r="996">
      <c r="A996" s="286"/>
      <c r="B996" s="286"/>
      <c r="C996" s="286"/>
      <c r="D996" s="286"/>
      <c r="E996" s="286"/>
    </row>
    <row r="997">
      <c r="A997" s="286"/>
      <c r="B997" s="286"/>
      <c r="C997" s="286"/>
      <c r="D997" s="286"/>
      <c r="E997" s="286"/>
    </row>
    <row r="998">
      <c r="A998" s="286"/>
      <c r="B998" s="286"/>
      <c r="C998" s="286"/>
      <c r="D998" s="286"/>
      <c r="E998" s="286"/>
    </row>
    <row r="999">
      <c r="A999" s="286"/>
      <c r="B999" s="286"/>
      <c r="C999" s="286"/>
      <c r="D999" s="286"/>
      <c r="E999" s="286"/>
    </row>
    <row r="1000">
      <c r="A1000" s="286"/>
      <c r="B1000" s="286"/>
      <c r="C1000" s="286"/>
      <c r="D1000" s="286"/>
      <c r="E1000" s="286"/>
    </row>
  </sheetData>
  <dataValidations>
    <dataValidation type="list" allowBlank="1" showDropDown="1" showErrorMessage="1" sqref="A3:A5 A7:A13">
      <formula1>'السجل'!$B$2:$B1000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5" width="22.71"/>
  </cols>
  <sheetData>
    <row r="1" ht="30.0" customHeight="1">
      <c r="A1" s="287" t="s">
        <v>226</v>
      </c>
      <c r="B1" s="288" t="s">
        <v>227</v>
      </c>
      <c r="C1" s="289" t="s">
        <v>228</v>
      </c>
      <c r="D1" s="289" t="s">
        <v>229</v>
      </c>
      <c r="E1" s="289" t="s">
        <v>230</v>
      </c>
      <c r="F1" s="290" t="s">
        <v>231</v>
      </c>
    </row>
    <row r="2" ht="30.0" customHeight="1">
      <c r="A2" s="291"/>
      <c r="B2" s="288" t="s">
        <v>220</v>
      </c>
      <c r="C2" s="292">
        <v>2280750.0</v>
      </c>
      <c r="D2" s="292">
        <v>750000.0</v>
      </c>
      <c r="E2" s="292">
        <f t="shared" ref="E2:E106" si="1">IF(C2="","",C2-IF(D2="",0,D2))</f>
        <v>1530750</v>
      </c>
      <c r="F2" s="280"/>
    </row>
    <row r="3" ht="30.0" customHeight="1">
      <c r="A3" s="291"/>
      <c r="B3" s="288" t="s">
        <v>220</v>
      </c>
      <c r="C3" s="292">
        <v>3719250.0</v>
      </c>
      <c r="D3" s="293"/>
      <c r="E3" s="292">
        <f t="shared" si="1"/>
        <v>3719250</v>
      </c>
      <c r="F3" s="280"/>
    </row>
    <row r="4" ht="30.0" customHeight="1">
      <c r="A4" s="291"/>
      <c r="B4" s="288" t="s">
        <v>232</v>
      </c>
      <c r="C4" s="292">
        <v>600000.0</v>
      </c>
      <c r="D4" s="292">
        <v>450000.0</v>
      </c>
      <c r="E4" s="292">
        <f t="shared" si="1"/>
        <v>150000</v>
      </c>
      <c r="F4" s="280"/>
    </row>
    <row r="5" ht="30.0" customHeight="1">
      <c r="A5" s="294">
        <v>46054.0</v>
      </c>
      <c r="B5" s="295" t="s">
        <v>189</v>
      </c>
      <c r="C5" s="292">
        <v>2139000.0</v>
      </c>
      <c r="D5" s="292">
        <v>2000000.0</v>
      </c>
      <c r="E5" s="292">
        <f t="shared" si="1"/>
        <v>139000</v>
      </c>
      <c r="F5" s="280"/>
    </row>
    <row r="6" ht="30.0" customHeight="1">
      <c r="A6" s="294">
        <v>46055.0</v>
      </c>
      <c r="B6" s="295" t="s">
        <v>189</v>
      </c>
      <c r="C6" s="292">
        <v>666000.0</v>
      </c>
      <c r="D6" s="293"/>
      <c r="E6" s="292">
        <f t="shared" si="1"/>
        <v>666000</v>
      </c>
      <c r="F6" s="280"/>
    </row>
    <row r="7" ht="30.0" customHeight="1">
      <c r="A7" s="294">
        <v>46056.0</v>
      </c>
      <c r="B7" s="295" t="s">
        <v>189</v>
      </c>
      <c r="C7" s="292">
        <v>1557000.0</v>
      </c>
      <c r="D7" s="293"/>
      <c r="E7" s="292">
        <f t="shared" si="1"/>
        <v>1557000</v>
      </c>
      <c r="F7" s="280"/>
    </row>
    <row r="8" ht="30.0" customHeight="1">
      <c r="A8" s="294">
        <v>46058.0</v>
      </c>
      <c r="B8" s="295" t="s">
        <v>189</v>
      </c>
      <c r="C8" s="292">
        <v>967000.0</v>
      </c>
      <c r="D8" s="293"/>
      <c r="E8" s="292">
        <f t="shared" si="1"/>
        <v>967000</v>
      </c>
      <c r="F8" s="280"/>
      <c r="L8" s="296"/>
    </row>
    <row r="9" ht="30.0" customHeight="1">
      <c r="A9" s="294">
        <v>46060.0</v>
      </c>
      <c r="B9" s="295" t="s">
        <v>189</v>
      </c>
      <c r="C9" s="292">
        <v>260000.0</v>
      </c>
      <c r="D9" s="293"/>
      <c r="E9" s="292">
        <f t="shared" si="1"/>
        <v>260000</v>
      </c>
      <c r="F9" s="280"/>
      <c r="L9" s="297"/>
    </row>
    <row r="10" ht="30.0" customHeight="1">
      <c r="A10" s="294">
        <v>46069.0</v>
      </c>
      <c r="B10" s="295" t="s">
        <v>189</v>
      </c>
      <c r="C10" s="292">
        <v>287000.0</v>
      </c>
      <c r="D10" s="292">
        <v>2000000.0</v>
      </c>
      <c r="E10" s="292">
        <f t="shared" si="1"/>
        <v>-1713000</v>
      </c>
      <c r="F10" s="280"/>
      <c r="L10" s="298"/>
    </row>
    <row r="11" ht="30.0" customHeight="1">
      <c r="A11" s="294">
        <v>46072.0</v>
      </c>
      <c r="B11" s="295" t="s">
        <v>189</v>
      </c>
      <c r="C11" s="292">
        <v>814000.0</v>
      </c>
      <c r="D11" s="293"/>
      <c r="E11" s="292">
        <f t="shared" si="1"/>
        <v>814000</v>
      </c>
      <c r="F11" s="280"/>
      <c r="L11" s="299"/>
    </row>
    <row r="12" ht="30.0" customHeight="1">
      <c r="A12" s="294">
        <v>46075.0</v>
      </c>
      <c r="B12" s="295" t="s">
        <v>189</v>
      </c>
      <c r="C12" s="292">
        <v>170000.0</v>
      </c>
      <c r="D12" s="292">
        <v>1000000.0</v>
      </c>
      <c r="E12" s="292">
        <f t="shared" si="1"/>
        <v>-830000</v>
      </c>
      <c r="F12" s="280"/>
      <c r="L12" s="298"/>
    </row>
    <row r="13" ht="30.0" customHeight="1">
      <c r="A13" s="294">
        <v>46079.0</v>
      </c>
      <c r="B13" s="295" t="s">
        <v>189</v>
      </c>
      <c r="C13" s="292">
        <v>485000.0</v>
      </c>
      <c r="D13" s="293"/>
      <c r="E13" s="292">
        <f t="shared" si="1"/>
        <v>485000</v>
      </c>
      <c r="F13" s="280"/>
      <c r="L13" s="299"/>
    </row>
    <row r="14" ht="30.0" customHeight="1">
      <c r="A14" s="294">
        <v>46086.0</v>
      </c>
      <c r="B14" s="295" t="s">
        <v>189</v>
      </c>
      <c r="C14" s="292">
        <v>232000.0</v>
      </c>
      <c r="D14" s="292">
        <v>2000000.0</v>
      </c>
      <c r="E14" s="292">
        <f t="shared" si="1"/>
        <v>-1768000</v>
      </c>
      <c r="F14" s="280"/>
      <c r="L14" s="298"/>
    </row>
    <row r="15" ht="30.0" customHeight="1">
      <c r="A15" s="294">
        <v>46089.0</v>
      </c>
      <c r="B15" s="295" t="s">
        <v>189</v>
      </c>
      <c r="C15" s="292">
        <v>488000.0</v>
      </c>
      <c r="D15" s="293"/>
      <c r="E15" s="292">
        <f t="shared" si="1"/>
        <v>488000</v>
      </c>
      <c r="F15" s="280"/>
      <c r="L15" s="299"/>
    </row>
    <row r="16" ht="30.0" customHeight="1">
      <c r="A16" s="300"/>
      <c r="B16" s="288" t="s">
        <v>189</v>
      </c>
      <c r="C16" s="292">
        <v>30000.0</v>
      </c>
      <c r="D16" s="293"/>
      <c r="E16" s="292">
        <f t="shared" si="1"/>
        <v>30000</v>
      </c>
      <c r="F16" s="280"/>
      <c r="L16" s="298"/>
    </row>
    <row r="17" ht="30.0" customHeight="1">
      <c r="A17" s="294">
        <v>46093.0</v>
      </c>
      <c r="B17" s="288" t="s">
        <v>189</v>
      </c>
      <c r="C17" s="292">
        <v>374000.0</v>
      </c>
      <c r="D17" s="293"/>
      <c r="E17" s="292">
        <f t="shared" si="1"/>
        <v>374000</v>
      </c>
      <c r="F17" s="280"/>
      <c r="L17" s="299"/>
    </row>
    <row r="18" ht="30.0" customHeight="1">
      <c r="A18" s="294">
        <v>46093.0</v>
      </c>
      <c r="B18" s="288" t="s">
        <v>189</v>
      </c>
      <c r="C18" s="292">
        <v>300000.0</v>
      </c>
      <c r="D18" s="293"/>
      <c r="E18" s="292">
        <f t="shared" si="1"/>
        <v>300000</v>
      </c>
      <c r="F18" s="280"/>
      <c r="L18" s="298"/>
    </row>
    <row r="19" ht="30.0" customHeight="1">
      <c r="A19" s="294">
        <v>46100.0</v>
      </c>
      <c r="B19" s="288" t="s">
        <v>189</v>
      </c>
      <c r="C19" s="292">
        <v>385000.0</v>
      </c>
      <c r="D19" s="293"/>
      <c r="E19" s="292">
        <f t="shared" si="1"/>
        <v>385000</v>
      </c>
      <c r="F19" s="283"/>
      <c r="L19" s="299"/>
    </row>
    <row r="20" ht="30.0" customHeight="1">
      <c r="A20" s="291"/>
      <c r="B20" s="288" t="s">
        <v>189</v>
      </c>
      <c r="C20" s="292">
        <v>47000.0</v>
      </c>
      <c r="D20" s="292">
        <v>2201000.0</v>
      </c>
      <c r="E20" s="292">
        <f t="shared" si="1"/>
        <v>-2154000</v>
      </c>
      <c r="F20" s="283"/>
      <c r="L20" s="298"/>
    </row>
    <row r="21" ht="30.0" customHeight="1">
      <c r="A21" s="291"/>
      <c r="B21" s="288" t="s">
        <v>189</v>
      </c>
      <c r="C21" s="292">
        <v>492000.0</v>
      </c>
      <c r="D21" s="293"/>
      <c r="E21" s="292">
        <f t="shared" si="1"/>
        <v>492000</v>
      </c>
      <c r="F21" s="283"/>
      <c r="L21" s="299"/>
    </row>
    <row r="22" ht="30.0" customHeight="1">
      <c r="A22" s="291"/>
      <c r="B22" s="288" t="s">
        <v>189</v>
      </c>
      <c r="C22" s="292">
        <v>32000.0</v>
      </c>
      <c r="D22" s="293"/>
      <c r="E22" s="292">
        <f t="shared" si="1"/>
        <v>32000</v>
      </c>
      <c r="F22" s="283"/>
      <c r="L22" s="298"/>
    </row>
    <row r="23" ht="30.0" customHeight="1">
      <c r="A23" s="291"/>
      <c r="B23" s="288" t="s">
        <v>189</v>
      </c>
      <c r="C23" s="292">
        <v>69000.0</v>
      </c>
      <c r="D23" s="293"/>
      <c r="E23" s="292">
        <f t="shared" si="1"/>
        <v>69000</v>
      </c>
      <c r="F23" s="283"/>
      <c r="L23" s="297"/>
    </row>
    <row r="24" ht="30.0" customHeight="1">
      <c r="A24" s="301"/>
      <c r="B24" s="302" t="s">
        <v>189</v>
      </c>
      <c r="C24" s="303">
        <v>452000.0</v>
      </c>
      <c r="D24" s="304"/>
      <c r="E24" s="293">
        <f t="shared" si="1"/>
        <v>452000</v>
      </c>
      <c r="L24" s="298"/>
    </row>
    <row r="25" ht="30.0" customHeight="1">
      <c r="A25" s="301"/>
      <c r="B25" s="302" t="s">
        <v>189</v>
      </c>
      <c r="C25" s="303">
        <v>393000.0</v>
      </c>
      <c r="D25" s="304"/>
      <c r="E25" s="293">
        <f t="shared" si="1"/>
        <v>393000</v>
      </c>
      <c r="L25" s="297"/>
    </row>
    <row r="26" ht="30.0" customHeight="1">
      <c r="A26" s="301"/>
      <c r="B26" s="302" t="s">
        <v>189</v>
      </c>
      <c r="C26" s="303">
        <f>53000+294500</f>
        <v>347500</v>
      </c>
      <c r="D26" s="304"/>
      <c r="E26" s="293">
        <f t="shared" si="1"/>
        <v>347500</v>
      </c>
      <c r="L26" s="297"/>
    </row>
    <row r="27" ht="30.0" customHeight="1">
      <c r="A27" s="294">
        <v>46095.0</v>
      </c>
      <c r="B27" s="288" t="s">
        <v>224</v>
      </c>
      <c r="C27" s="292">
        <v>50000.0</v>
      </c>
      <c r="D27" s="293"/>
      <c r="E27" s="292">
        <f t="shared" si="1"/>
        <v>50000</v>
      </c>
      <c r="F27" s="280"/>
      <c r="L27" s="298"/>
    </row>
    <row r="28" ht="30.0" customHeight="1">
      <c r="A28" s="291"/>
      <c r="B28" s="288" t="s">
        <v>222</v>
      </c>
      <c r="C28" s="292">
        <f>53000</f>
        <v>53000</v>
      </c>
      <c r="D28" s="292">
        <v>53000.0</v>
      </c>
      <c r="E28" s="292">
        <f t="shared" si="1"/>
        <v>0</v>
      </c>
      <c r="F28" s="280"/>
      <c r="L28" s="299"/>
    </row>
    <row r="29" ht="30.0" customHeight="1">
      <c r="A29" s="291"/>
      <c r="B29" s="288" t="s">
        <v>221</v>
      </c>
      <c r="C29" s="292">
        <v>35000.0</v>
      </c>
      <c r="D29" s="293"/>
      <c r="E29" s="292">
        <f t="shared" si="1"/>
        <v>35000</v>
      </c>
      <c r="F29" s="280"/>
      <c r="L29" s="298"/>
    </row>
    <row r="30" ht="30.0" customHeight="1">
      <c r="A30" s="291"/>
      <c r="B30" s="288" t="s">
        <v>221</v>
      </c>
      <c r="C30" s="292">
        <v>330000.0</v>
      </c>
      <c r="D30" s="292">
        <v>435000.0</v>
      </c>
      <c r="E30" s="292">
        <f t="shared" si="1"/>
        <v>-105000</v>
      </c>
      <c r="F30" s="280"/>
      <c r="L30" s="297"/>
    </row>
    <row r="31" ht="30.0" customHeight="1">
      <c r="A31" s="291"/>
      <c r="B31" s="288" t="s">
        <v>221</v>
      </c>
      <c r="C31" s="292">
        <v>70000.0</v>
      </c>
      <c r="D31" s="293"/>
      <c r="E31" s="292">
        <f t="shared" si="1"/>
        <v>70000</v>
      </c>
      <c r="F31" s="280"/>
      <c r="L31" s="298"/>
    </row>
    <row r="32" ht="30.0" customHeight="1">
      <c r="A32" s="305">
        <v>46056.0</v>
      </c>
      <c r="B32" s="288" t="s">
        <v>1</v>
      </c>
      <c r="C32" s="306">
        <v>2325000.0</v>
      </c>
      <c r="D32" s="306"/>
      <c r="E32" s="292">
        <f t="shared" si="1"/>
        <v>2325000</v>
      </c>
      <c r="F32" s="280"/>
      <c r="L32" s="299"/>
    </row>
    <row r="33" ht="30.0" customHeight="1">
      <c r="A33" s="307">
        <v>46084.0</v>
      </c>
      <c r="B33" s="288" t="s">
        <v>1</v>
      </c>
      <c r="C33" s="306"/>
      <c r="D33" s="308">
        <v>117000.0</v>
      </c>
      <c r="E33" s="292" t="str">
        <f t="shared" si="1"/>
        <v/>
      </c>
      <c r="F33" s="283"/>
      <c r="L33" s="309"/>
    </row>
    <row r="34" ht="30.0" customHeight="1">
      <c r="A34" s="307">
        <v>46115.0</v>
      </c>
      <c r="B34" s="288" t="s">
        <v>1</v>
      </c>
      <c r="C34" s="308">
        <v>53000.0</v>
      </c>
      <c r="D34" s="308"/>
      <c r="E34" s="293">
        <f t="shared" si="1"/>
        <v>53000</v>
      </c>
      <c r="F34" s="283"/>
      <c r="L34" s="299"/>
    </row>
    <row r="35" ht="30.0" customHeight="1">
      <c r="A35" s="291"/>
      <c r="B35" s="288" t="s">
        <v>219</v>
      </c>
      <c r="C35" s="292">
        <v>500000.0</v>
      </c>
      <c r="D35" s="292">
        <v>350000.0</v>
      </c>
      <c r="E35" s="292">
        <f t="shared" si="1"/>
        <v>150000</v>
      </c>
      <c r="F35" s="280"/>
      <c r="L35" s="298"/>
    </row>
    <row r="36" ht="30.0" customHeight="1">
      <c r="A36" s="291"/>
      <c r="B36" s="288" t="s">
        <v>219</v>
      </c>
      <c r="C36" s="292">
        <v>170000.0</v>
      </c>
      <c r="D36" s="308">
        <v>1150000.0</v>
      </c>
      <c r="E36" s="292">
        <f t="shared" si="1"/>
        <v>-980000</v>
      </c>
      <c r="F36" s="280"/>
      <c r="L36" s="297"/>
    </row>
    <row r="37" ht="30.0" customHeight="1">
      <c r="A37" s="291"/>
      <c r="B37" s="288" t="s">
        <v>219</v>
      </c>
      <c r="C37" s="292">
        <v>250000.0</v>
      </c>
      <c r="D37" s="293"/>
      <c r="E37" s="292">
        <f t="shared" si="1"/>
        <v>250000</v>
      </c>
      <c r="F37" s="280"/>
      <c r="L37" s="309"/>
    </row>
    <row r="38" ht="30.0" customHeight="1">
      <c r="A38" s="291"/>
      <c r="B38" s="288" t="s">
        <v>219</v>
      </c>
      <c r="C38" s="292">
        <v>580000.0</v>
      </c>
      <c r="D38" s="293"/>
      <c r="E38" s="292">
        <f t="shared" si="1"/>
        <v>580000</v>
      </c>
      <c r="F38" s="280"/>
      <c r="L38" s="297"/>
    </row>
    <row r="39" ht="30.0" customHeight="1">
      <c r="A39" s="291"/>
      <c r="B39" s="288" t="s">
        <v>75</v>
      </c>
      <c r="C39" s="292">
        <v>5000.0</v>
      </c>
      <c r="D39" s="293"/>
      <c r="E39" s="292">
        <f t="shared" si="1"/>
        <v>5000</v>
      </c>
      <c r="F39" s="283"/>
      <c r="L39" s="298"/>
    </row>
    <row r="40" ht="30.0" customHeight="1">
      <c r="A40" s="291"/>
      <c r="B40" s="288" t="s">
        <v>75</v>
      </c>
      <c r="C40" s="292">
        <v>260000.0</v>
      </c>
      <c r="D40" s="308">
        <v>260000.0</v>
      </c>
      <c r="E40" s="292">
        <f t="shared" si="1"/>
        <v>0</v>
      </c>
      <c r="F40" s="283"/>
      <c r="L40" s="299"/>
    </row>
    <row r="41" ht="30.0" customHeight="1">
      <c r="A41" s="294">
        <v>46082.0</v>
      </c>
      <c r="B41" s="288" t="s">
        <v>64</v>
      </c>
      <c r="C41" s="306">
        <v>179000.0</v>
      </c>
      <c r="D41" s="292"/>
      <c r="E41" s="292">
        <f t="shared" si="1"/>
        <v>179000</v>
      </c>
      <c r="F41" s="280"/>
      <c r="L41" s="298"/>
    </row>
    <row r="42" ht="30.0" customHeight="1">
      <c r="A42" s="291"/>
      <c r="B42" s="288" t="s">
        <v>64</v>
      </c>
      <c r="C42" s="306">
        <v>243000.0</v>
      </c>
      <c r="D42" s="293"/>
      <c r="E42" s="292">
        <f t="shared" si="1"/>
        <v>243000</v>
      </c>
      <c r="F42" s="283"/>
      <c r="L42" s="297"/>
    </row>
    <row r="43" ht="30.0" customHeight="1">
      <c r="A43" s="301"/>
      <c r="B43" s="288" t="s">
        <v>64</v>
      </c>
      <c r="C43" s="303">
        <v>120000.0</v>
      </c>
      <c r="D43" s="304"/>
      <c r="E43" s="293">
        <f t="shared" si="1"/>
        <v>120000</v>
      </c>
      <c r="L43" s="298"/>
    </row>
    <row r="44" ht="30.0" customHeight="1">
      <c r="A44" s="301"/>
      <c r="B44" s="288" t="s">
        <v>64</v>
      </c>
      <c r="C44" s="303">
        <v>0.0</v>
      </c>
      <c r="D44" s="304"/>
      <c r="E44" s="293">
        <f t="shared" si="1"/>
        <v>0</v>
      </c>
      <c r="L44" s="298"/>
    </row>
    <row r="45" ht="30.0" customHeight="1">
      <c r="A45" s="294">
        <v>46082.0</v>
      </c>
      <c r="B45" s="288" t="s">
        <v>81</v>
      </c>
      <c r="C45" s="292">
        <v>910000.0</v>
      </c>
      <c r="D45" s="292">
        <v>345000.0</v>
      </c>
      <c r="E45" s="292">
        <f t="shared" si="1"/>
        <v>565000</v>
      </c>
      <c r="F45" s="280"/>
      <c r="L45" s="299"/>
    </row>
    <row r="46" ht="30.0" customHeight="1">
      <c r="A46" s="291"/>
      <c r="B46" s="288" t="s">
        <v>81</v>
      </c>
      <c r="C46" s="308">
        <v>68000.0</v>
      </c>
      <c r="D46" s="306"/>
      <c r="E46" s="293">
        <f t="shared" si="1"/>
        <v>68000</v>
      </c>
      <c r="F46" s="283"/>
      <c r="L46" s="298"/>
    </row>
    <row r="47" ht="30.0" customHeight="1">
      <c r="A47" s="301"/>
      <c r="B47" s="288" t="s">
        <v>81</v>
      </c>
      <c r="C47" s="303">
        <v>0.0</v>
      </c>
      <c r="D47" s="304"/>
      <c r="E47" s="293">
        <f t="shared" si="1"/>
        <v>0</v>
      </c>
      <c r="L47" s="299"/>
    </row>
    <row r="48" ht="30.0" customHeight="1">
      <c r="A48" s="291"/>
      <c r="B48" s="288" t="s">
        <v>225</v>
      </c>
      <c r="C48" s="292">
        <v>10000.0</v>
      </c>
      <c r="D48" s="293"/>
      <c r="E48" s="292">
        <f t="shared" si="1"/>
        <v>10000</v>
      </c>
      <c r="F48" s="283"/>
      <c r="L48" s="298"/>
    </row>
    <row r="49" ht="30.0" customHeight="1">
      <c r="A49" s="294">
        <v>46088.0</v>
      </c>
      <c r="B49" s="288" t="s">
        <v>223</v>
      </c>
      <c r="C49" s="292">
        <v>45000.0</v>
      </c>
      <c r="D49" s="293"/>
      <c r="E49" s="292">
        <f t="shared" si="1"/>
        <v>45000</v>
      </c>
      <c r="F49" s="280"/>
      <c r="L49" s="299"/>
    </row>
    <row r="50" ht="30.0" customHeight="1">
      <c r="A50" s="291"/>
      <c r="B50" s="288" t="s">
        <v>218</v>
      </c>
      <c r="C50" s="292">
        <v>3756000.0</v>
      </c>
      <c r="D50" s="292">
        <v>2835000.0</v>
      </c>
      <c r="E50" s="292">
        <f t="shared" si="1"/>
        <v>921000</v>
      </c>
      <c r="F50" s="280"/>
      <c r="L50" s="298"/>
    </row>
    <row r="51" ht="30.0" customHeight="1">
      <c r="A51" s="294">
        <v>46097.0</v>
      </c>
      <c r="B51" s="288" t="s">
        <v>218</v>
      </c>
      <c r="C51" s="292">
        <v>2320000.0</v>
      </c>
      <c r="D51" s="292">
        <v>1001000.0</v>
      </c>
      <c r="E51" s="292">
        <f t="shared" si="1"/>
        <v>1319000</v>
      </c>
      <c r="F51" s="280"/>
      <c r="L51" s="299"/>
    </row>
    <row r="52" ht="30.0" customHeight="1">
      <c r="A52" s="294">
        <v>46098.0</v>
      </c>
      <c r="B52" s="288" t="s">
        <v>218</v>
      </c>
      <c r="C52" s="292">
        <v>105000.0</v>
      </c>
      <c r="D52" s="292">
        <v>2345000.0</v>
      </c>
      <c r="E52" s="292">
        <f t="shared" si="1"/>
        <v>-2240000</v>
      </c>
      <c r="F52" s="283"/>
      <c r="L52" s="298"/>
    </row>
    <row r="53" ht="30.0" customHeight="1">
      <c r="A53" s="291"/>
      <c r="B53" s="288" t="s">
        <v>164</v>
      </c>
      <c r="C53" s="310">
        <v>6019000.0</v>
      </c>
      <c r="D53" s="292">
        <v>1375000.0</v>
      </c>
      <c r="E53" s="292">
        <f t="shared" si="1"/>
        <v>4644000</v>
      </c>
      <c r="F53" s="280"/>
      <c r="L53" s="299"/>
    </row>
    <row r="54" ht="30.0" customHeight="1">
      <c r="A54" s="291"/>
      <c r="B54" s="288" t="s">
        <v>164</v>
      </c>
      <c r="C54" s="311">
        <v>5000000.0</v>
      </c>
      <c r="D54" s="292">
        <v>7305000.0</v>
      </c>
      <c r="E54" s="292">
        <f t="shared" si="1"/>
        <v>-2305000</v>
      </c>
      <c r="F54" s="280"/>
      <c r="L54" s="298"/>
    </row>
    <row r="55" ht="30.0" customHeight="1">
      <c r="A55" s="291"/>
      <c r="B55" s="288" t="s">
        <v>164</v>
      </c>
      <c r="C55" s="310">
        <v>5000000.0</v>
      </c>
      <c r="D55" s="292">
        <v>2000000.0</v>
      </c>
      <c r="E55" s="292">
        <f t="shared" si="1"/>
        <v>3000000</v>
      </c>
      <c r="F55" s="280"/>
      <c r="L55" s="299"/>
    </row>
    <row r="56" ht="30.0" customHeight="1">
      <c r="A56" s="291"/>
      <c r="B56" s="288" t="s">
        <v>164</v>
      </c>
      <c r="C56" s="311">
        <v>1000000.0</v>
      </c>
      <c r="D56" s="292">
        <v>5000000.0</v>
      </c>
      <c r="E56" s="292">
        <f t="shared" si="1"/>
        <v>-4000000</v>
      </c>
      <c r="F56" s="280"/>
      <c r="L56" s="298"/>
    </row>
    <row r="57" ht="30.0" customHeight="1">
      <c r="A57" s="291"/>
      <c r="B57" s="288" t="s">
        <v>164</v>
      </c>
      <c r="C57" s="310">
        <v>1000000.0</v>
      </c>
      <c r="D57" s="292">
        <v>1.0E7</v>
      </c>
      <c r="E57" s="292">
        <f t="shared" si="1"/>
        <v>-9000000</v>
      </c>
      <c r="F57" s="280"/>
      <c r="L57" s="297"/>
    </row>
    <row r="58" ht="30.0" customHeight="1">
      <c r="A58" s="291"/>
      <c r="B58" s="288" t="s">
        <v>164</v>
      </c>
      <c r="C58" s="311">
        <v>1.2675E7</v>
      </c>
      <c r="D58" s="292">
        <v>775000.0</v>
      </c>
      <c r="E58" s="292">
        <f t="shared" si="1"/>
        <v>11900000</v>
      </c>
      <c r="F58" s="280"/>
      <c r="L58" s="298"/>
    </row>
    <row r="59" ht="30.0" customHeight="1">
      <c r="A59" s="291"/>
      <c r="B59" s="288" t="s">
        <v>164</v>
      </c>
      <c r="C59" s="310">
        <v>1090000.0</v>
      </c>
      <c r="D59" s="308">
        <v>1150000.0</v>
      </c>
      <c r="E59" s="292">
        <f t="shared" si="1"/>
        <v>-60000</v>
      </c>
      <c r="F59" s="280"/>
      <c r="L59" s="299"/>
    </row>
    <row r="60" ht="30.0" customHeight="1">
      <c r="A60" s="291"/>
      <c r="B60" s="288" t="s">
        <v>164</v>
      </c>
      <c r="C60" s="311">
        <v>325000.0</v>
      </c>
      <c r="D60" s="293"/>
      <c r="E60" s="292">
        <f t="shared" si="1"/>
        <v>325000</v>
      </c>
      <c r="F60" s="280"/>
      <c r="L60" s="298"/>
    </row>
    <row r="61" ht="30.0" customHeight="1">
      <c r="A61" s="291"/>
      <c r="B61" s="288" t="s">
        <v>164</v>
      </c>
      <c r="C61" s="310">
        <v>595000.0</v>
      </c>
      <c r="D61" s="293"/>
      <c r="E61" s="292">
        <f t="shared" si="1"/>
        <v>595000</v>
      </c>
      <c r="F61" s="280"/>
      <c r="L61" s="299"/>
    </row>
    <row r="62" ht="30.0" customHeight="1">
      <c r="A62" s="291"/>
      <c r="B62" s="288" t="s">
        <v>164</v>
      </c>
      <c r="C62" s="311">
        <v>485000.0</v>
      </c>
      <c r="D62" s="293"/>
      <c r="E62" s="292">
        <f t="shared" si="1"/>
        <v>485000</v>
      </c>
      <c r="F62" s="280"/>
      <c r="L62" s="298"/>
    </row>
    <row r="63" ht="30.0" customHeight="1">
      <c r="A63" s="291"/>
      <c r="B63" s="288" t="s">
        <v>164</v>
      </c>
      <c r="C63" s="310">
        <v>293000.0</v>
      </c>
      <c r="D63" s="293"/>
      <c r="E63" s="292">
        <f t="shared" si="1"/>
        <v>293000</v>
      </c>
      <c r="F63" s="280"/>
      <c r="L63" s="299"/>
    </row>
    <row r="64" ht="30.0" customHeight="1">
      <c r="A64" s="291"/>
      <c r="B64" s="288" t="s">
        <v>164</v>
      </c>
      <c r="C64" s="311">
        <v>148000.0</v>
      </c>
      <c r="D64" s="293"/>
      <c r="E64" s="292">
        <f t="shared" si="1"/>
        <v>148000</v>
      </c>
      <c r="F64" s="280"/>
      <c r="L64" s="309"/>
    </row>
    <row r="65" ht="30.0" customHeight="1">
      <c r="A65" s="291"/>
      <c r="B65" s="288" t="s">
        <v>164</v>
      </c>
      <c r="C65" s="310">
        <v>80000.0</v>
      </c>
      <c r="D65" s="293"/>
      <c r="E65" s="292">
        <f t="shared" si="1"/>
        <v>80000</v>
      </c>
      <c r="F65" s="280"/>
      <c r="L65" s="299"/>
    </row>
    <row r="66" ht="30.0" customHeight="1">
      <c r="A66" s="291"/>
      <c r="B66" s="288" t="s">
        <v>164</v>
      </c>
      <c r="C66" s="311">
        <v>45000.0</v>
      </c>
      <c r="D66" s="293"/>
      <c r="E66" s="292">
        <f t="shared" si="1"/>
        <v>45000</v>
      </c>
      <c r="F66" s="280"/>
      <c r="L66" s="298"/>
    </row>
    <row r="67" ht="30.0" customHeight="1">
      <c r="A67" s="291"/>
      <c r="B67" s="288" t="s">
        <v>164</v>
      </c>
      <c r="C67" s="310">
        <v>17000.0</v>
      </c>
      <c r="D67" s="293"/>
      <c r="E67" s="292">
        <f t="shared" si="1"/>
        <v>17000</v>
      </c>
      <c r="F67" s="280"/>
      <c r="L67" s="299"/>
    </row>
    <row r="68" ht="30.0" customHeight="1">
      <c r="A68" s="291"/>
      <c r="B68" s="288" t="s">
        <v>164</v>
      </c>
      <c r="C68" s="311">
        <v>85000.0</v>
      </c>
      <c r="D68" s="293"/>
      <c r="E68" s="292">
        <f t="shared" si="1"/>
        <v>85000</v>
      </c>
      <c r="F68" s="280"/>
      <c r="L68" s="298"/>
    </row>
    <row r="69" ht="30.0" customHeight="1">
      <c r="A69" s="291"/>
      <c r="B69" s="288" t="s">
        <v>164</v>
      </c>
      <c r="C69" s="310">
        <v>1375000.0</v>
      </c>
      <c r="D69" s="293"/>
      <c r="E69" s="292">
        <f t="shared" si="1"/>
        <v>1375000</v>
      </c>
      <c r="F69" s="280"/>
      <c r="L69" s="299"/>
    </row>
    <row r="70" ht="30.0" customHeight="1">
      <c r="A70" s="291"/>
      <c r="B70" s="288" t="s">
        <v>164</v>
      </c>
      <c r="C70" s="311">
        <v>50000.0</v>
      </c>
      <c r="D70" s="293"/>
      <c r="E70" s="292">
        <f t="shared" si="1"/>
        <v>50000</v>
      </c>
      <c r="F70" s="280"/>
      <c r="L70" s="309"/>
    </row>
    <row r="71" ht="30.0" customHeight="1">
      <c r="A71" s="291"/>
      <c r="B71" s="288" t="s">
        <v>164</v>
      </c>
      <c r="C71" s="310">
        <v>750000.0</v>
      </c>
      <c r="D71" s="293"/>
      <c r="E71" s="292">
        <f t="shared" si="1"/>
        <v>750000</v>
      </c>
      <c r="F71" s="280"/>
      <c r="L71" s="297"/>
    </row>
    <row r="72" ht="30.0" customHeight="1">
      <c r="A72" s="291"/>
      <c r="B72" s="288" t="s">
        <v>164</v>
      </c>
      <c r="C72" s="311">
        <v>50000.0</v>
      </c>
      <c r="D72" s="293"/>
      <c r="E72" s="292">
        <f t="shared" si="1"/>
        <v>50000</v>
      </c>
      <c r="F72" s="280"/>
      <c r="L72" s="298"/>
    </row>
    <row r="73" ht="30.0" customHeight="1">
      <c r="A73" s="291"/>
      <c r="B73" s="288" t="s">
        <v>164</v>
      </c>
      <c r="C73" s="310">
        <v>220000.0</v>
      </c>
      <c r="D73" s="293"/>
      <c r="E73" s="292">
        <f t="shared" si="1"/>
        <v>220000</v>
      </c>
      <c r="F73" s="280"/>
      <c r="L73" s="297"/>
    </row>
    <row r="74" ht="30.0" customHeight="1">
      <c r="A74" s="291"/>
      <c r="B74" s="288" t="s">
        <v>164</v>
      </c>
      <c r="C74" s="311">
        <v>2450000.0</v>
      </c>
      <c r="D74" s="293"/>
      <c r="E74" s="292">
        <f t="shared" si="1"/>
        <v>2450000</v>
      </c>
      <c r="F74" s="280"/>
      <c r="L74" s="298"/>
    </row>
    <row r="75" ht="30.0" customHeight="1">
      <c r="A75" s="291"/>
      <c r="B75" s="288" t="s">
        <v>164</v>
      </c>
      <c r="C75" s="310">
        <v>130000.0</v>
      </c>
      <c r="D75" s="293"/>
      <c r="E75" s="292">
        <f t="shared" si="1"/>
        <v>130000</v>
      </c>
      <c r="F75" s="280"/>
      <c r="L75" s="299"/>
    </row>
    <row r="76" ht="30.0" customHeight="1">
      <c r="A76" s="291"/>
      <c r="B76" s="288" t="s">
        <v>164</v>
      </c>
      <c r="C76" s="311">
        <v>100000.0</v>
      </c>
      <c r="D76" s="293"/>
      <c r="E76" s="292">
        <f t="shared" si="1"/>
        <v>100000</v>
      </c>
      <c r="F76" s="280"/>
      <c r="L76" s="298"/>
    </row>
    <row r="77" ht="30.0" customHeight="1">
      <c r="A77" s="291"/>
      <c r="B77" s="288" t="s">
        <v>164</v>
      </c>
      <c r="C77" s="310">
        <v>30000.0</v>
      </c>
      <c r="D77" s="293"/>
      <c r="E77" s="292">
        <f t="shared" si="1"/>
        <v>30000</v>
      </c>
      <c r="F77" s="280"/>
      <c r="L77" s="299"/>
    </row>
    <row r="78" ht="30.0" customHeight="1">
      <c r="A78" s="291"/>
      <c r="B78" s="288" t="s">
        <v>164</v>
      </c>
      <c r="C78" s="311">
        <v>50000.0</v>
      </c>
      <c r="D78" s="293"/>
      <c r="E78" s="292">
        <f t="shared" si="1"/>
        <v>50000</v>
      </c>
      <c r="F78" s="280"/>
      <c r="L78" s="298"/>
    </row>
    <row r="79" ht="30.0" customHeight="1">
      <c r="A79" s="291"/>
      <c r="B79" s="288" t="s">
        <v>164</v>
      </c>
      <c r="C79" s="310">
        <v>100000.0</v>
      </c>
      <c r="D79" s="293"/>
      <c r="E79" s="292">
        <f t="shared" si="1"/>
        <v>100000</v>
      </c>
      <c r="F79" s="280"/>
      <c r="L79" s="297"/>
    </row>
    <row r="80" ht="30.0" customHeight="1">
      <c r="A80" s="291"/>
      <c r="B80" s="288" t="s">
        <v>164</v>
      </c>
      <c r="C80" s="311">
        <v>1750000.0</v>
      </c>
      <c r="D80" s="293"/>
      <c r="E80" s="292">
        <f t="shared" si="1"/>
        <v>1750000</v>
      </c>
      <c r="F80" s="280"/>
      <c r="L80" s="298"/>
    </row>
    <row r="81" ht="30.0" customHeight="1">
      <c r="A81" s="291"/>
      <c r="B81" s="288" t="s">
        <v>164</v>
      </c>
      <c r="C81" s="310">
        <v>75000.0</v>
      </c>
      <c r="D81" s="293"/>
      <c r="E81" s="292">
        <f t="shared" si="1"/>
        <v>75000</v>
      </c>
      <c r="F81" s="280"/>
      <c r="L81" s="299"/>
    </row>
    <row r="82" ht="30.0" customHeight="1">
      <c r="A82" s="291"/>
      <c r="B82" s="288" t="s">
        <v>164</v>
      </c>
      <c r="C82" s="311">
        <v>550000.0</v>
      </c>
      <c r="D82" s="293"/>
      <c r="E82" s="292">
        <f t="shared" si="1"/>
        <v>550000</v>
      </c>
      <c r="F82" s="280"/>
    </row>
    <row r="83" ht="30.0" customHeight="1">
      <c r="A83" s="291"/>
      <c r="B83" s="288" t="s">
        <v>164</v>
      </c>
      <c r="C83" s="310">
        <v>160000.0</v>
      </c>
      <c r="D83" s="293"/>
      <c r="E83" s="292">
        <f t="shared" si="1"/>
        <v>160000</v>
      </c>
      <c r="F83" s="280"/>
      <c r="I83" s="265"/>
    </row>
    <row r="84" ht="30.0" customHeight="1">
      <c r="A84" s="291"/>
      <c r="B84" s="288" t="s">
        <v>164</v>
      </c>
      <c r="C84" s="311">
        <v>145000.0</v>
      </c>
      <c r="D84" s="293"/>
      <c r="E84" s="292">
        <f t="shared" si="1"/>
        <v>145000</v>
      </c>
      <c r="F84" s="280"/>
      <c r="I84" s="265"/>
    </row>
    <row r="85" ht="30.0" customHeight="1">
      <c r="A85" s="291"/>
      <c r="B85" s="288" t="s">
        <v>164</v>
      </c>
      <c r="C85" s="310">
        <v>596000.0</v>
      </c>
      <c r="D85" s="293"/>
      <c r="E85" s="292">
        <f t="shared" si="1"/>
        <v>596000</v>
      </c>
      <c r="F85" s="280"/>
    </row>
    <row r="86" ht="30.0" customHeight="1">
      <c r="A86" s="291"/>
      <c r="B86" s="288" t="s">
        <v>164</v>
      </c>
      <c r="C86" s="311">
        <v>45000.0</v>
      </c>
      <c r="D86" s="293"/>
      <c r="E86" s="292">
        <f t="shared" si="1"/>
        <v>45000</v>
      </c>
      <c r="F86" s="280"/>
    </row>
    <row r="87" ht="30.0" customHeight="1">
      <c r="A87" s="291"/>
      <c r="B87" s="288" t="s">
        <v>164</v>
      </c>
      <c r="C87" s="310">
        <v>90000.0</v>
      </c>
      <c r="D87" s="293"/>
      <c r="E87" s="292">
        <f t="shared" si="1"/>
        <v>90000</v>
      </c>
      <c r="F87" s="280"/>
    </row>
    <row r="88" ht="30.0" customHeight="1">
      <c r="A88" s="291"/>
      <c r="B88" s="288" t="s">
        <v>164</v>
      </c>
      <c r="C88" s="311">
        <v>35000.0</v>
      </c>
      <c r="D88" s="293"/>
      <c r="E88" s="292">
        <f t="shared" si="1"/>
        <v>35000</v>
      </c>
      <c r="F88" s="280"/>
    </row>
    <row r="89" ht="30.0" customHeight="1">
      <c r="A89" s="291"/>
      <c r="B89" s="288" t="s">
        <v>164</v>
      </c>
      <c r="C89" s="310">
        <v>100000.0</v>
      </c>
      <c r="D89" s="293"/>
      <c r="E89" s="292">
        <f t="shared" si="1"/>
        <v>100000</v>
      </c>
      <c r="F89" s="280"/>
      <c r="I89" s="265"/>
    </row>
    <row r="90" ht="30.0" customHeight="1">
      <c r="A90" s="291"/>
      <c r="B90" s="288" t="s">
        <v>164</v>
      </c>
      <c r="C90" s="311">
        <v>175000.0</v>
      </c>
      <c r="D90" s="293"/>
      <c r="E90" s="292">
        <f t="shared" si="1"/>
        <v>175000</v>
      </c>
      <c r="F90" s="280"/>
    </row>
    <row r="91" ht="30.0" customHeight="1">
      <c r="A91" s="291"/>
      <c r="B91" s="288" t="s">
        <v>164</v>
      </c>
      <c r="C91" s="310">
        <v>200000.0</v>
      </c>
      <c r="D91" s="293"/>
      <c r="E91" s="292">
        <f t="shared" si="1"/>
        <v>200000</v>
      </c>
      <c r="F91" s="280"/>
    </row>
    <row r="92" ht="30.0" customHeight="1">
      <c r="A92" s="291"/>
      <c r="B92" s="288" t="s">
        <v>164</v>
      </c>
      <c r="C92" s="311">
        <v>665000.0</v>
      </c>
      <c r="D92" s="293"/>
      <c r="E92" s="292">
        <f t="shared" si="1"/>
        <v>665000</v>
      </c>
      <c r="F92" s="280"/>
    </row>
    <row r="93" ht="30.0" customHeight="1">
      <c r="A93" s="291"/>
      <c r="B93" s="288" t="s">
        <v>164</v>
      </c>
      <c r="C93" s="310">
        <v>35000.0</v>
      </c>
      <c r="D93" s="293"/>
      <c r="E93" s="292">
        <f t="shared" si="1"/>
        <v>35000</v>
      </c>
      <c r="F93" s="280"/>
    </row>
    <row r="94" ht="30.0" customHeight="1">
      <c r="A94" s="291"/>
      <c r="B94" s="288" t="s">
        <v>164</v>
      </c>
      <c r="C94" s="311">
        <v>87000.0</v>
      </c>
      <c r="D94" s="293"/>
      <c r="E94" s="292">
        <f t="shared" si="1"/>
        <v>87000</v>
      </c>
      <c r="F94" s="280"/>
    </row>
    <row r="95" ht="30.0" customHeight="1">
      <c r="A95" s="291"/>
      <c r="B95" s="288" t="s">
        <v>164</v>
      </c>
      <c r="C95" s="292">
        <v>1300000.0</v>
      </c>
      <c r="D95" s="293"/>
      <c r="E95" s="292">
        <f t="shared" si="1"/>
        <v>1300000</v>
      </c>
      <c r="F95" s="280"/>
    </row>
    <row r="96" ht="30.0" customHeight="1">
      <c r="A96" s="291"/>
      <c r="B96" s="288" t="s">
        <v>164</v>
      </c>
      <c r="C96" s="292">
        <v>10000.0</v>
      </c>
      <c r="D96" s="293"/>
      <c r="E96" s="292">
        <f t="shared" si="1"/>
        <v>10000</v>
      </c>
      <c r="F96" s="280"/>
    </row>
    <row r="97" ht="30.0" customHeight="1">
      <c r="A97" s="291"/>
      <c r="B97" s="288" t="s">
        <v>164</v>
      </c>
      <c r="C97" s="292">
        <v>180000.0</v>
      </c>
      <c r="D97" s="293"/>
      <c r="E97" s="292">
        <f t="shared" si="1"/>
        <v>180000</v>
      </c>
      <c r="F97" s="280"/>
    </row>
    <row r="98" ht="30.0" customHeight="1">
      <c r="A98" s="291"/>
      <c r="B98" s="288" t="s">
        <v>164</v>
      </c>
      <c r="C98" s="292">
        <v>5000.0</v>
      </c>
      <c r="D98" s="293"/>
      <c r="E98" s="292">
        <f t="shared" si="1"/>
        <v>5000</v>
      </c>
      <c r="F98" s="280"/>
    </row>
    <row r="99" ht="30.0" customHeight="1">
      <c r="A99" s="291"/>
      <c r="B99" s="288" t="s">
        <v>164</v>
      </c>
      <c r="C99" s="292">
        <v>5000.0</v>
      </c>
      <c r="D99" s="293"/>
      <c r="E99" s="292">
        <f t="shared" si="1"/>
        <v>5000</v>
      </c>
      <c r="F99" s="280"/>
    </row>
    <row r="100" ht="30.0" customHeight="1">
      <c r="A100" s="291"/>
      <c r="B100" s="288" t="s">
        <v>164</v>
      </c>
      <c r="C100" s="293"/>
      <c r="D100" s="293"/>
      <c r="E100" s="293" t="str">
        <f t="shared" si="1"/>
        <v/>
      </c>
      <c r="F100" s="280"/>
    </row>
    <row r="101" ht="30.0" customHeight="1">
      <c r="A101" s="301"/>
      <c r="B101" s="312"/>
      <c r="C101" s="304"/>
      <c r="D101" s="304"/>
      <c r="E101" s="293" t="str">
        <f t="shared" si="1"/>
        <v/>
      </c>
    </row>
    <row r="102" ht="30.0" customHeight="1">
      <c r="A102" s="301"/>
      <c r="B102" s="312"/>
      <c r="C102" s="304"/>
      <c r="D102" s="304"/>
      <c r="E102" s="293" t="str">
        <f t="shared" si="1"/>
        <v/>
      </c>
    </row>
    <row r="103" ht="30.0" customHeight="1">
      <c r="A103" s="301"/>
      <c r="B103" s="312"/>
      <c r="C103" s="304"/>
      <c r="D103" s="304"/>
      <c r="E103" s="293" t="str">
        <f t="shared" si="1"/>
        <v/>
      </c>
    </row>
    <row r="104" ht="30.0" customHeight="1">
      <c r="A104" s="301"/>
      <c r="B104" s="312"/>
      <c r="C104" s="304"/>
      <c r="D104" s="304"/>
      <c r="E104" s="293" t="str">
        <f t="shared" si="1"/>
        <v/>
      </c>
    </row>
    <row r="105" ht="30.0" customHeight="1">
      <c r="A105" s="301"/>
      <c r="B105" s="312"/>
      <c r="C105" s="304"/>
      <c r="D105" s="304"/>
      <c r="E105" s="293" t="str">
        <f t="shared" si="1"/>
        <v/>
      </c>
    </row>
    <row r="106" ht="30.0" customHeight="1">
      <c r="A106" s="301"/>
      <c r="B106" s="312"/>
      <c r="C106" s="304"/>
      <c r="D106" s="304"/>
      <c r="E106" s="293" t="str">
        <f t="shared" si="1"/>
        <v/>
      </c>
    </row>
    <row r="107" ht="30.0" customHeight="1">
      <c r="A107" s="301"/>
      <c r="B107" s="312"/>
      <c r="C107" s="304"/>
      <c r="D107" s="304"/>
      <c r="E107" s="304"/>
    </row>
    <row r="108" ht="30.0" customHeight="1">
      <c r="A108" s="301"/>
      <c r="B108" s="312"/>
      <c r="C108" s="304"/>
      <c r="D108" s="304"/>
      <c r="E108" s="304"/>
    </row>
    <row r="109" ht="30.0" customHeight="1">
      <c r="A109" s="301"/>
      <c r="B109" s="312"/>
      <c r="C109" s="304"/>
      <c r="D109" s="304"/>
      <c r="E109" s="304"/>
    </row>
    <row r="110" ht="30.0" customHeight="1">
      <c r="A110" s="301"/>
      <c r="B110" s="312"/>
      <c r="C110" s="304"/>
      <c r="D110" s="304"/>
      <c r="E110" s="304"/>
    </row>
    <row r="111" ht="30.0" customHeight="1">
      <c r="A111" s="301"/>
      <c r="B111" s="312"/>
      <c r="C111" s="304"/>
      <c r="D111" s="304"/>
      <c r="E111" s="304"/>
    </row>
    <row r="112" ht="30.0" customHeight="1">
      <c r="A112" s="301"/>
      <c r="B112" s="312"/>
      <c r="C112" s="304"/>
      <c r="D112" s="304"/>
      <c r="E112" s="304"/>
    </row>
    <row r="113" ht="30.0" customHeight="1">
      <c r="A113" s="301"/>
      <c r="B113" s="312"/>
      <c r="C113" s="304"/>
      <c r="D113" s="304"/>
      <c r="E113" s="304"/>
    </row>
    <row r="114" ht="30.0" customHeight="1">
      <c r="A114" s="301"/>
      <c r="B114" s="312"/>
      <c r="C114" s="304"/>
      <c r="D114" s="304"/>
      <c r="E114" s="304"/>
    </row>
    <row r="115" ht="30.0" customHeight="1">
      <c r="A115" s="301"/>
      <c r="B115" s="312"/>
      <c r="C115" s="304"/>
      <c r="D115" s="304"/>
      <c r="E115" s="304"/>
    </row>
    <row r="116" ht="30.0" customHeight="1">
      <c r="A116" s="301"/>
      <c r="B116" s="312"/>
      <c r="C116" s="304"/>
      <c r="D116" s="304"/>
      <c r="E116" s="304"/>
    </row>
    <row r="117" ht="30.0" customHeight="1">
      <c r="A117" s="301"/>
      <c r="B117" s="312"/>
      <c r="C117" s="304"/>
      <c r="D117" s="304"/>
      <c r="E117" s="304"/>
    </row>
    <row r="118" ht="30.0" customHeight="1">
      <c r="A118" s="301"/>
      <c r="B118" s="312"/>
      <c r="C118" s="304"/>
      <c r="D118" s="304"/>
      <c r="E118" s="304"/>
    </row>
    <row r="119" ht="30.0" customHeight="1">
      <c r="A119" s="301"/>
      <c r="B119" s="312"/>
      <c r="C119" s="304"/>
      <c r="D119" s="304"/>
      <c r="E119" s="304"/>
    </row>
    <row r="120" ht="30.0" customHeight="1">
      <c r="A120" s="301"/>
      <c r="B120" s="312"/>
      <c r="C120" s="304"/>
      <c r="D120" s="304"/>
      <c r="E120" s="304"/>
    </row>
    <row r="121" ht="30.0" customHeight="1">
      <c r="A121" s="301"/>
      <c r="B121" s="312"/>
      <c r="C121" s="304"/>
      <c r="D121" s="304"/>
      <c r="E121" s="304"/>
    </row>
    <row r="122" ht="30.0" customHeight="1">
      <c r="A122" s="301"/>
      <c r="B122" s="312"/>
      <c r="C122" s="304"/>
      <c r="D122" s="304"/>
      <c r="E122" s="304"/>
    </row>
    <row r="123" ht="30.0" customHeight="1">
      <c r="A123" s="301"/>
      <c r="B123" s="312"/>
      <c r="C123" s="304"/>
      <c r="D123" s="304"/>
      <c r="E123" s="304"/>
    </row>
    <row r="124" ht="30.0" customHeight="1">
      <c r="A124" s="301"/>
      <c r="B124" s="312"/>
      <c r="C124" s="304"/>
      <c r="D124" s="304"/>
      <c r="E124" s="304"/>
    </row>
    <row r="125" ht="30.0" customHeight="1">
      <c r="A125" s="301"/>
      <c r="B125" s="312"/>
      <c r="C125" s="304"/>
      <c r="D125" s="304"/>
      <c r="E125" s="304"/>
    </row>
    <row r="126" ht="30.0" customHeight="1">
      <c r="A126" s="301"/>
      <c r="B126" s="312"/>
      <c r="C126" s="304"/>
      <c r="D126" s="304"/>
      <c r="E126" s="304"/>
    </row>
    <row r="127" ht="30.0" customHeight="1">
      <c r="A127" s="301"/>
      <c r="B127" s="312"/>
      <c r="C127" s="304"/>
      <c r="D127" s="304"/>
      <c r="E127" s="304"/>
    </row>
    <row r="128" ht="30.0" customHeight="1">
      <c r="A128" s="301"/>
      <c r="B128" s="312"/>
      <c r="C128" s="304"/>
      <c r="D128" s="304"/>
      <c r="E128" s="304"/>
    </row>
    <row r="129" ht="30.0" customHeight="1">
      <c r="A129" s="301"/>
      <c r="B129" s="312"/>
      <c r="C129" s="304"/>
      <c r="D129" s="304"/>
      <c r="E129" s="304"/>
    </row>
    <row r="130" ht="30.0" customHeight="1">
      <c r="A130" s="301"/>
      <c r="B130" s="312"/>
      <c r="C130" s="304"/>
      <c r="D130" s="304"/>
      <c r="E130" s="304"/>
    </row>
    <row r="131" ht="30.0" customHeight="1">
      <c r="A131" s="301"/>
      <c r="B131" s="312"/>
      <c r="C131" s="304"/>
      <c r="D131" s="304"/>
      <c r="E131" s="304"/>
    </row>
    <row r="132" ht="30.0" customHeight="1">
      <c r="A132" s="301"/>
      <c r="B132" s="312"/>
      <c r="C132" s="304"/>
      <c r="D132" s="304"/>
      <c r="E132" s="304"/>
    </row>
    <row r="133" ht="30.0" customHeight="1">
      <c r="A133" s="301"/>
      <c r="B133" s="312"/>
      <c r="C133" s="304"/>
      <c r="D133" s="304"/>
      <c r="E133" s="304"/>
    </row>
    <row r="134" ht="30.0" customHeight="1">
      <c r="A134" s="301"/>
      <c r="B134" s="312"/>
      <c r="C134" s="304"/>
      <c r="D134" s="304"/>
      <c r="E134" s="304"/>
    </row>
    <row r="135" ht="30.0" customHeight="1">
      <c r="A135" s="301"/>
      <c r="B135" s="312"/>
      <c r="C135" s="304"/>
      <c r="D135" s="304"/>
      <c r="E135" s="304"/>
    </row>
    <row r="136" ht="30.0" customHeight="1">
      <c r="A136" s="301"/>
      <c r="B136" s="312"/>
      <c r="C136" s="304"/>
      <c r="D136" s="304"/>
      <c r="E136" s="304"/>
    </row>
    <row r="137" ht="30.0" customHeight="1">
      <c r="A137" s="301"/>
      <c r="B137" s="312"/>
      <c r="C137" s="304"/>
      <c r="D137" s="304"/>
      <c r="E137" s="304"/>
    </row>
    <row r="138" ht="30.0" customHeight="1">
      <c r="A138" s="301"/>
      <c r="B138" s="312"/>
      <c r="C138" s="304"/>
      <c r="D138" s="304"/>
      <c r="E138" s="304"/>
    </row>
    <row r="139" ht="30.0" customHeight="1">
      <c r="A139" s="301"/>
      <c r="B139" s="312"/>
      <c r="C139" s="304"/>
      <c r="D139" s="304"/>
      <c r="E139" s="304"/>
    </row>
    <row r="140" ht="30.0" customHeight="1">
      <c r="A140" s="301"/>
      <c r="B140" s="312"/>
      <c r="C140" s="304"/>
      <c r="D140" s="304"/>
      <c r="E140" s="304"/>
    </row>
    <row r="141" ht="30.0" customHeight="1">
      <c r="A141" s="301"/>
      <c r="B141" s="312"/>
      <c r="C141" s="304"/>
      <c r="D141" s="304"/>
      <c r="E141" s="304"/>
    </row>
    <row r="142" ht="30.0" customHeight="1">
      <c r="A142" s="301"/>
      <c r="B142" s="312"/>
      <c r="C142" s="304"/>
      <c r="D142" s="304"/>
      <c r="E142" s="304"/>
    </row>
    <row r="143" ht="30.0" customHeight="1">
      <c r="A143" s="301"/>
      <c r="B143" s="312"/>
      <c r="C143" s="304"/>
      <c r="D143" s="304"/>
      <c r="E143" s="304"/>
    </row>
    <row r="144" ht="30.0" customHeight="1">
      <c r="A144" s="301"/>
      <c r="B144" s="312"/>
      <c r="C144" s="304"/>
      <c r="D144" s="304"/>
      <c r="E144" s="304"/>
    </row>
    <row r="145" ht="30.0" customHeight="1">
      <c r="A145" s="301"/>
      <c r="B145" s="312"/>
      <c r="C145" s="304"/>
      <c r="D145" s="304"/>
      <c r="E145" s="304"/>
    </row>
    <row r="146" ht="30.0" customHeight="1">
      <c r="A146" s="301"/>
      <c r="B146" s="312"/>
      <c r="C146" s="304"/>
      <c r="D146" s="304"/>
      <c r="E146" s="304"/>
    </row>
    <row r="147" ht="30.0" customHeight="1">
      <c r="A147" s="301"/>
      <c r="B147" s="312"/>
      <c r="C147" s="304"/>
      <c r="D147" s="304"/>
      <c r="E147" s="304"/>
    </row>
    <row r="148" ht="30.0" customHeight="1">
      <c r="A148" s="301"/>
      <c r="B148" s="312"/>
      <c r="C148" s="304"/>
      <c r="D148" s="304"/>
      <c r="E148" s="304"/>
    </row>
    <row r="149" ht="30.0" customHeight="1">
      <c r="A149" s="301"/>
      <c r="B149" s="312"/>
      <c r="C149" s="304"/>
      <c r="D149" s="304"/>
      <c r="E149" s="304"/>
    </row>
    <row r="150" ht="30.0" customHeight="1">
      <c r="A150" s="301"/>
      <c r="B150" s="312"/>
      <c r="C150" s="304"/>
      <c r="D150" s="304"/>
      <c r="E150" s="304"/>
    </row>
    <row r="151" ht="30.0" customHeight="1">
      <c r="A151" s="301"/>
      <c r="B151" s="312"/>
      <c r="C151" s="304"/>
      <c r="D151" s="304"/>
      <c r="E151" s="304"/>
    </row>
    <row r="152" ht="30.0" customHeight="1">
      <c r="A152" s="301"/>
      <c r="B152" s="312"/>
      <c r="C152" s="304"/>
      <c r="D152" s="304"/>
      <c r="E152" s="304"/>
    </row>
    <row r="153" ht="30.0" customHeight="1">
      <c r="A153" s="301"/>
      <c r="B153" s="312"/>
      <c r="C153" s="304"/>
      <c r="D153" s="304"/>
      <c r="E153" s="304"/>
    </row>
    <row r="154" ht="30.0" customHeight="1">
      <c r="A154" s="301"/>
      <c r="B154" s="312"/>
      <c r="C154" s="304"/>
      <c r="D154" s="304"/>
      <c r="E154" s="304"/>
    </row>
    <row r="155" ht="30.0" customHeight="1">
      <c r="A155" s="301"/>
      <c r="B155" s="312"/>
      <c r="C155" s="304"/>
      <c r="D155" s="304"/>
      <c r="E155" s="304"/>
    </row>
    <row r="156" ht="30.0" customHeight="1">
      <c r="A156" s="301"/>
      <c r="B156" s="312"/>
      <c r="C156" s="304"/>
      <c r="D156" s="304"/>
      <c r="E156" s="304"/>
    </row>
    <row r="157" ht="30.0" customHeight="1">
      <c r="A157" s="301"/>
      <c r="B157" s="312"/>
      <c r="C157" s="304"/>
      <c r="D157" s="304"/>
      <c r="E157" s="304"/>
    </row>
    <row r="158" ht="30.0" customHeight="1">
      <c r="A158" s="301"/>
      <c r="B158" s="312"/>
      <c r="C158" s="304"/>
      <c r="D158" s="304"/>
      <c r="E158" s="304"/>
    </row>
    <row r="159" ht="30.0" customHeight="1">
      <c r="A159" s="301"/>
      <c r="B159" s="312"/>
      <c r="C159" s="304"/>
      <c r="D159" s="304"/>
      <c r="E159" s="304"/>
    </row>
    <row r="160" ht="30.0" customHeight="1">
      <c r="A160" s="301"/>
      <c r="B160" s="312"/>
      <c r="C160" s="304"/>
      <c r="D160" s="304"/>
      <c r="E160" s="304"/>
    </row>
    <row r="161" ht="30.0" customHeight="1">
      <c r="A161" s="301"/>
      <c r="B161" s="312"/>
      <c r="C161" s="304"/>
      <c r="D161" s="304"/>
      <c r="E161" s="304"/>
    </row>
    <row r="162" ht="30.0" customHeight="1">
      <c r="A162" s="301"/>
      <c r="B162" s="312"/>
      <c r="C162" s="304"/>
      <c r="D162" s="304"/>
      <c r="E162" s="304"/>
    </row>
    <row r="163" ht="30.0" customHeight="1">
      <c r="A163" s="301"/>
      <c r="B163" s="312"/>
      <c r="C163" s="304"/>
      <c r="D163" s="304"/>
      <c r="E163" s="304"/>
    </row>
    <row r="164" ht="30.0" customHeight="1">
      <c r="A164" s="301"/>
      <c r="B164" s="312"/>
      <c r="C164" s="304"/>
      <c r="D164" s="304"/>
      <c r="E164" s="304"/>
    </row>
    <row r="165" ht="30.0" customHeight="1">
      <c r="A165" s="301"/>
      <c r="B165" s="312"/>
      <c r="C165" s="304"/>
      <c r="D165" s="304"/>
      <c r="E165" s="304"/>
    </row>
    <row r="166" ht="30.0" customHeight="1">
      <c r="A166" s="301"/>
      <c r="B166" s="312"/>
      <c r="C166" s="304"/>
      <c r="D166" s="304"/>
      <c r="E166" s="304"/>
    </row>
    <row r="167" ht="30.0" customHeight="1">
      <c r="A167" s="301"/>
      <c r="B167" s="312"/>
      <c r="C167" s="304"/>
      <c r="D167" s="304"/>
      <c r="E167" s="304"/>
    </row>
    <row r="168" ht="30.0" customHeight="1">
      <c r="A168" s="301"/>
      <c r="B168" s="312"/>
      <c r="C168" s="304"/>
      <c r="D168" s="304"/>
      <c r="E168" s="304"/>
    </row>
    <row r="169" ht="30.0" customHeight="1">
      <c r="A169" s="301"/>
      <c r="B169" s="312"/>
      <c r="C169" s="304"/>
      <c r="D169" s="304"/>
      <c r="E169" s="304"/>
    </row>
    <row r="170" ht="30.0" customHeight="1">
      <c r="A170" s="301"/>
      <c r="B170" s="312"/>
      <c r="C170" s="304"/>
      <c r="D170" s="304"/>
      <c r="E170" s="304"/>
    </row>
    <row r="171" ht="30.0" customHeight="1">
      <c r="A171" s="301"/>
      <c r="B171" s="312"/>
      <c r="C171" s="304"/>
      <c r="D171" s="304"/>
      <c r="E171" s="304"/>
    </row>
    <row r="172" ht="30.0" customHeight="1">
      <c r="A172" s="301"/>
      <c r="B172" s="312"/>
      <c r="C172" s="304"/>
      <c r="D172" s="304"/>
      <c r="E172" s="304"/>
    </row>
    <row r="173" ht="30.0" customHeight="1">
      <c r="A173" s="301"/>
      <c r="B173" s="312"/>
      <c r="C173" s="304"/>
      <c r="D173" s="304"/>
      <c r="E173" s="304"/>
    </row>
    <row r="174" ht="30.0" customHeight="1">
      <c r="A174" s="301"/>
      <c r="B174" s="312"/>
      <c r="C174" s="304"/>
      <c r="D174" s="304"/>
      <c r="E174" s="304"/>
    </row>
    <row r="175" ht="30.0" customHeight="1">
      <c r="A175" s="301"/>
      <c r="B175" s="312"/>
      <c r="C175" s="304"/>
      <c r="D175" s="304"/>
      <c r="E175" s="304"/>
    </row>
    <row r="176" ht="30.0" customHeight="1">
      <c r="A176" s="301"/>
      <c r="B176" s="312"/>
      <c r="C176" s="304"/>
      <c r="D176" s="304"/>
      <c r="E176" s="304"/>
    </row>
    <row r="177" ht="30.0" customHeight="1">
      <c r="A177" s="301"/>
      <c r="B177" s="312"/>
      <c r="C177" s="304"/>
      <c r="D177" s="304"/>
      <c r="E177" s="304"/>
    </row>
    <row r="178" ht="30.0" customHeight="1">
      <c r="A178" s="301"/>
      <c r="B178" s="312"/>
      <c r="C178" s="304"/>
      <c r="D178" s="304"/>
      <c r="E178" s="304"/>
    </row>
    <row r="179" ht="30.0" customHeight="1">
      <c r="A179" s="301"/>
      <c r="B179" s="312"/>
      <c r="C179" s="304"/>
      <c r="D179" s="304"/>
      <c r="E179" s="304"/>
    </row>
    <row r="180" ht="30.0" customHeight="1">
      <c r="A180" s="301"/>
      <c r="B180" s="312"/>
      <c r="C180" s="304"/>
      <c r="D180" s="304"/>
      <c r="E180" s="304"/>
    </row>
    <row r="181" ht="30.0" customHeight="1">
      <c r="A181" s="301"/>
      <c r="B181" s="312"/>
      <c r="C181" s="304"/>
      <c r="D181" s="304"/>
      <c r="E181" s="304"/>
    </row>
    <row r="182" ht="30.0" customHeight="1">
      <c r="A182" s="301"/>
      <c r="B182" s="312"/>
      <c r="C182" s="304"/>
      <c r="D182" s="304"/>
      <c r="E182" s="304"/>
    </row>
    <row r="183" ht="30.0" customHeight="1">
      <c r="A183" s="301"/>
      <c r="B183" s="312"/>
      <c r="C183" s="304"/>
      <c r="D183" s="304"/>
      <c r="E183" s="304"/>
    </row>
    <row r="184" ht="30.0" customHeight="1">
      <c r="A184" s="301"/>
      <c r="B184" s="312"/>
      <c r="C184" s="304"/>
      <c r="D184" s="304"/>
      <c r="E184" s="304"/>
    </row>
    <row r="185" ht="30.0" customHeight="1">
      <c r="A185" s="301"/>
      <c r="B185" s="312"/>
      <c r="C185" s="304"/>
      <c r="D185" s="304"/>
      <c r="E185" s="304"/>
    </row>
    <row r="186" ht="30.0" customHeight="1">
      <c r="A186" s="301"/>
      <c r="B186" s="312"/>
      <c r="C186" s="304"/>
      <c r="D186" s="304"/>
      <c r="E186" s="304"/>
    </row>
    <row r="187" ht="30.0" customHeight="1">
      <c r="A187" s="301"/>
      <c r="B187" s="312"/>
      <c r="C187" s="304"/>
      <c r="D187" s="304"/>
      <c r="E187" s="304"/>
    </row>
    <row r="188" ht="30.0" customHeight="1">
      <c r="A188" s="301"/>
      <c r="B188" s="312"/>
      <c r="C188" s="304"/>
      <c r="D188" s="304"/>
      <c r="E188" s="304"/>
    </row>
    <row r="189" ht="30.0" customHeight="1">
      <c r="A189" s="301"/>
      <c r="B189" s="312"/>
      <c r="C189" s="304"/>
      <c r="D189" s="304"/>
      <c r="E189" s="304"/>
    </row>
    <row r="190" ht="30.0" customHeight="1">
      <c r="A190" s="301"/>
      <c r="B190" s="312"/>
      <c r="C190" s="304"/>
      <c r="D190" s="304"/>
      <c r="E190" s="304"/>
    </row>
    <row r="191" ht="30.0" customHeight="1">
      <c r="A191" s="301"/>
      <c r="B191" s="312"/>
      <c r="C191" s="304"/>
      <c r="D191" s="304"/>
      <c r="E191" s="304"/>
    </row>
    <row r="192" ht="30.0" customHeight="1">
      <c r="A192" s="301"/>
      <c r="B192" s="312"/>
      <c r="C192" s="304"/>
      <c r="D192" s="304"/>
      <c r="E192" s="304"/>
    </row>
    <row r="193" ht="30.0" customHeight="1">
      <c r="A193" s="301"/>
      <c r="B193" s="312"/>
      <c r="C193" s="304"/>
      <c r="D193" s="304"/>
      <c r="E193" s="304"/>
    </row>
    <row r="194" ht="30.0" customHeight="1">
      <c r="A194" s="301"/>
      <c r="B194" s="312"/>
      <c r="C194" s="304"/>
      <c r="D194" s="304"/>
      <c r="E194" s="304"/>
    </row>
    <row r="195" ht="30.0" customHeight="1">
      <c r="A195" s="301"/>
      <c r="B195" s="312"/>
      <c r="C195" s="304"/>
      <c r="D195" s="304"/>
      <c r="E195" s="304"/>
    </row>
    <row r="196" ht="30.0" customHeight="1">
      <c r="A196" s="301"/>
      <c r="B196" s="312"/>
      <c r="C196" s="304"/>
      <c r="D196" s="304"/>
      <c r="E196" s="304"/>
    </row>
    <row r="197" ht="30.0" customHeight="1">
      <c r="A197" s="301"/>
      <c r="B197" s="312"/>
      <c r="C197" s="304"/>
      <c r="D197" s="304"/>
      <c r="E197" s="304"/>
    </row>
    <row r="198" ht="30.0" customHeight="1">
      <c r="A198" s="301"/>
      <c r="B198" s="312"/>
      <c r="C198" s="304"/>
      <c r="D198" s="304"/>
      <c r="E198" s="304"/>
    </row>
    <row r="199" ht="30.0" customHeight="1">
      <c r="A199" s="301"/>
      <c r="B199" s="312"/>
      <c r="C199" s="304"/>
      <c r="D199" s="304"/>
      <c r="E199" s="304"/>
    </row>
    <row r="200" ht="30.0" customHeight="1">
      <c r="A200" s="301"/>
      <c r="B200" s="312"/>
      <c r="C200" s="304"/>
      <c r="D200" s="304"/>
      <c r="E200" s="304"/>
    </row>
    <row r="201" ht="30.0" customHeight="1">
      <c r="A201" s="301"/>
      <c r="B201" s="312"/>
      <c r="C201" s="304"/>
      <c r="D201" s="304"/>
      <c r="E201" s="304"/>
    </row>
    <row r="202" ht="30.0" customHeight="1">
      <c r="A202" s="301"/>
      <c r="B202" s="312"/>
      <c r="C202" s="304"/>
      <c r="D202" s="304"/>
      <c r="E202" s="304"/>
    </row>
    <row r="203" ht="30.0" customHeight="1">
      <c r="A203" s="301"/>
      <c r="B203" s="312"/>
      <c r="C203" s="304"/>
      <c r="D203" s="304"/>
      <c r="E203" s="304"/>
    </row>
    <row r="204" ht="30.0" customHeight="1">
      <c r="A204" s="301"/>
      <c r="B204" s="312"/>
      <c r="C204" s="304"/>
      <c r="D204" s="304"/>
      <c r="E204" s="304"/>
    </row>
    <row r="205" ht="30.0" customHeight="1">
      <c r="A205" s="301"/>
      <c r="B205" s="312"/>
      <c r="C205" s="304"/>
      <c r="D205" s="304"/>
      <c r="E205" s="304"/>
    </row>
    <row r="206" ht="30.0" customHeight="1">
      <c r="A206" s="301"/>
      <c r="B206" s="312"/>
      <c r="C206" s="304"/>
      <c r="D206" s="304"/>
      <c r="E206" s="304"/>
    </row>
    <row r="207" ht="30.0" customHeight="1">
      <c r="A207" s="301"/>
      <c r="B207" s="312"/>
      <c r="C207" s="304"/>
      <c r="D207" s="304"/>
      <c r="E207" s="304"/>
    </row>
    <row r="208" ht="30.0" customHeight="1">
      <c r="A208" s="301"/>
      <c r="B208" s="312"/>
      <c r="C208" s="304"/>
      <c r="D208" s="304"/>
      <c r="E208" s="304"/>
    </row>
    <row r="209" ht="30.0" customHeight="1">
      <c r="A209" s="301"/>
      <c r="B209" s="312"/>
      <c r="C209" s="304"/>
      <c r="D209" s="304"/>
      <c r="E209" s="304"/>
    </row>
    <row r="210" ht="30.0" customHeight="1">
      <c r="A210" s="301"/>
      <c r="B210" s="312"/>
      <c r="C210" s="304"/>
      <c r="D210" s="304"/>
      <c r="E210" s="304"/>
    </row>
    <row r="211" ht="30.0" customHeight="1">
      <c r="A211" s="301"/>
      <c r="B211" s="312"/>
      <c r="C211" s="304"/>
      <c r="D211" s="304"/>
      <c r="E211" s="304"/>
    </row>
    <row r="212" ht="30.0" customHeight="1">
      <c r="A212" s="301"/>
      <c r="B212" s="312"/>
      <c r="C212" s="304"/>
      <c r="D212" s="304"/>
      <c r="E212" s="304"/>
    </row>
    <row r="213" ht="30.0" customHeight="1">
      <c r="A213" s="301"/>
      <c r="B213" s="312"/>
      <c r="C213" s="304"/>
      <c r="D213" s="304"/>
      <c r="E213" s="304"/>
    </row>
    <row r="214" ht="30.0" customHeight="1">
      <c r="A214" s="301"/>
      <c r="B214" s="312"/>
      <c r="C214" s="304"/>
      <c r="D214" s="304"/>
      <c r="E214" s="304"/>
    </row>
    <row r="215" ht="30.0" customHeight="1">
      <c r="A215" s="301"/>
      <c r="B215" s="312"/>
      <c r="C215" s="304"/>
      <c r="D215" s="304"/>
      <c r="E215" s="304"/>
    </row>
    <row r="216" ht="30.0" customHeight="1">
      <c r="A216" s="301"/>
      <c r="B216" s="312"/>
      <c r="C216" s="304"/>
      <c r="D216" s="304"/>
      <c r="E216" s="304"/>
    </row>
    <row r="217" ht="30.0" customHeight="1">
      <c r="A217" s="301"/>
      <c r="B217" s="312"/>
      <c r="C217" s="304"/>
      <c r="D217" s="304"/>
      <c r="E217" s="304"/>
    </row>
    <row r="218" ht="30.0" customHeight="1">
      <c r="A218" s="301"/>
      <c r="B218" s="312"/>
      <c r="C218" s="304"/>
      <c r="D218" s="304"/>
      <c r="E218" s="304"/>
    </row>
    <row r="219" ht="30.0" customHeight="1">
      <c r="A219" s="301"/>
      <c r="B219" s="312"/>
      <c r="C219" s="304"/>
      <c r="D219" s="304"/>
      <c r="E219" s="304"/>
    </row>
    <row r="220" ht="30.0" customHeight="1">
      <c r="A220" s="301"/>
      <c r="B220" s="312"/>
      <c r="C220" s="304"/>
      <c r="D220" s="304"/>
      <c r="E220" s="304"/>
    </row>
    <row r="221" ht="30.0" customHeight="1">
      <c r="A221" s="301"/>
      <c r="B221" s="312"/>
      <c r="C221" s="304"/>
      <c r="D221" s="304"/>
      <c r="E221" s="304"/>
    </row>
    <row r="222" ht="30.0" customHeight="1">
      <c r="A222" s="301"/>
      <c r="B222" s="312"/>
      <c r="C222" s="304"/>
      <c r="D222" s="304"/>
      <c r="E222" s="304"/>
    </row>
    <row r="223" ht="30.0" customHeight="1">
      <c r="A223" s="301"/>
      <c r="B223" s="312"/>
      <c r="C223" s="304"/>
      <c r="D223" s="304"/>
      <c r="E223" s="304"/>
    </row>
    <row r="224" ht="30.0" customHeight="1">
      <c r="A224" s="301"/>
      <c r="B224" s="312"/>
      <c r="C224" s="304"/>
      <c r="D224" s="304"/>
      <c r="E224" s="304"/>
    </row>
    <row r="225" ht="30.0" customHeight="1">
      <c r="A225" s="301"/>
      <c r="B225" s="312"/>
      <c r="C225" s="304"/>
      <c r="D225" s="304"/>
      <c r="E225" s="304"/>
    </row>
    <row r="226" ht="30.0" customHeight="1">
      <c r="A226" s="301"/>
      <c r="B226" s="312"/>
      <c r="C226" s="304"/>
      <c r="D226" s="304"/>
      <c r="E226" s="304"/>
    </row>
    <row r="227" ht="30.0" customHeight="1">
      <c r="A227" s="301"/>
      <c r="B227" s="312"/>
      <c r="C227" s="304"/>
      <c r="D227" s="304"/>
      <c r="E227" s="304"/>
    </row>
    <row r="228" ht="30.0" customHeight="1">
      <c r="A228" s="301"/>
      <c r="B228" s="312"/>
      <c r="C228" s="304"/>
      <c r="D228" s="304"/>
      <c r="E228" s="304"/>
    </row>
    <row r="229" ht="30.0" customHeight="1">
      <c r="A229" s="301"/>
      <c r="B229" s="312"/>
      <c r="C229" s="304"/>
      <c r="D229" s="304"/>
      <c r="E229" s="304"/>
    </row>
    <row r="230" ht="30.0" customHeight="1">
      <c r="A230" s="301"/>
      <c r="B230" s="312"/>
      <c r="C230" s="304"/>
      <c r="D230" s="304"/>
      <c r="E230" s="304"/>
    </row>
    <row r="231" ht="30.0" customHeight="1">
      <c r="A231" s="301"/>
      <c r="B231" s="312"/>
      <c r="C231" s="304"/>
      <c r="D231" s="304"/>
      <c r="E231" s="304"/>
    </row>
    <row r="232" ht="30.0" customHeight="1">
      <c r="A232" s="301"/>
      <c r="B232" s="312"/>
      <c r="C232" s="304"/>
      <c r="D232" s="304"/>
      <c r="E232" s="304"/>
    </row>
    <row r="233" ht="30.0" customHeight="1">
      <c r="A233" s="301"/>
      <c r="B233" s="312"/>
      <c r="C233" s="304"/>
      <c r="D233" s="304"/>
      <c r="E233" s="304"/>
    </row>
    <row r="234" ht="30.0" customHeight="1">
      <c r="A234" s="301"/>
      <c r="B234" s="312"/>
      <c r="C234" s="304"/>
      <c r="D234" s="304"/>
      <c r="E234" s="304"/>
    </row>
    <row r="235" ht="30.0" customHeight="1">
      <c r="A235" s="301"/>
      <c r="B235" s="312"/>
      <c r="C235" s="304"/>
      <c r="D235" s="304"/>
      <c r="E235" s="304"/>
    </row>
    <row r="236" ht="30.0" customHeight="1">
      <c r="A236" s="301"/>
      <c r="B236" s="312"/>
      <c r="C236" s="304"/>
      <c r="D236" s="304"/>
      <c r="E236" s="304"/>
    </row>
    <row r="237" ht="30.0" customHeight="1">
      <c r="A237" s="301"/>
      <c r="B237" s="312"/>
      <c r="C237" s="304"/>
      <c r="D237" s="304"/>
      <c r="E237" s="304"/>
    </row>
    <row r="238" ht="30.0" customHeight="1">
      <c r="A238" s="301"/>
      <c r="B238" s="312"/>
      <c r="C238" s="304"/>
      <c r="D238" s="304"/>
      <c r="E238" s="304"/>
    </row>
    <row r="239" ht="30.0" customHeight="1">
      <c r="A239" s="301"/>
      <c r="B239" s="312"/>
      <c r="C239" s="304"/>
      <c r="D239" s="304"/>
      <c r="E239" s="304"/>
    </row>
    <row r="240" ht="30.0" customHeight="1">
      <c r="A240" s="301"/>
      <c r="B240" s="312"/>
      <c r="C240" s="304"/>
      <c r="D240" s="304"/>
      <c r="E240" s="304"/>
    </row>
    <row r="241" ht="30.0" customHeight="1">
      <c r="A241" s="301"/>
      <c r="B241" s="312"/>
      <c r="C241" s="304"/>
      <c r="D241" s="304"/>
      <c r="E241" s="304"/>
    </row>
    <row r="242" ht="30.0" customHeight="1">
      <c r="A242" s="301"/>
      <c r="B242" s="312"/>
      <c r="C242" s="304"/>
      <c r="D242" s="304"/>
      <c r="E242" s="304"/>
    </row>
    <row r="243" ht="30.0" customHeight="1">
      <c r="A243" s="301"/>
      <c r="B243" s="312"/>
      <c r="C243" s="304"/>
      <c r="D243" s="304"/>
      <c r="E243" s="304"/>
    </row>
    <row r="244" ht="30.0" customHeight="1">
      <c r="A244" s="301"/>
      <c r="B244" s="312"/>
      <c r="C244" s="304"/>
      <c r="D244" s="304"/>
      <c r="E244" s="304"/>
    </row>
    <row r="245" ht="30.0" customHeight="1">
      <c r="A245" s="301"/>
      <c r="B245" s="312"/>
      <c r="C245" s="304"/>
      <c r="D245" s="304"/>
      <c r="E245" s="304"/>
    </row>
    <row r="246" ht="30.0" customHeight="1">
      <c r="A246" s="301"/>
      <c r="B246" s="312"/>
      <c r="C246" s="304"/>
      <c r="D246" s="304"/>
      <c r="E246" s="304"/>
    </row>
    <row r="247" ht="30.0" customHeight="1">
      <c r="A247" s="301"/>
      <c r="B247" s="312"/>
      <c r="C247" s="304"/>
      <c r="D247" s="304"/>
      <c r="E247" s="304"/>
    </row>
    <row r="248" ht="30.0" customHeight="1">
      <c r="A248" s="301"/>
      <c r="B248" s="312"/>
      <c r="C248" s="304"/>
      <c r="D248" s="304"/>
      <c r="E248" s="304"/>
    </row>
    <row r="249" ht="30.0" customHeight="1">
      <c r="A249" s="301"/>
      <c r="B249" s="312"/>
      <c r="C249" s="304"/>
      <c r="D249" s="304"/>
      <c r="E249" s="304"/>
    </row>
    <row r="250" ht="30.0" customHeight="1">
      <c r="A250" s="301"/>
      <c r="B250" s="312"/>
      <c r="C250" s="304"/>
      <c r="D250" s="304"/>
      <c r="E250" s="304"/>
    </row>
    <row r="251" ht="30.0" customHeight="1">
      <c r="A251" s="301"/>
      <c r="B251" s="312"/>
      <c r="C251" s="304"/>
      <c r="D251" s="304"/>
      <c r="E251" s="304"/>
    </row>
    <row r="252" ht="30.0" customHeight="1">
      <c r="A252" s="301"/>
      <c r="B252" s="312"/>
      <c r="C252" s="304"/>
      <c r="D252" s="304"/>
      <c r="E252" s="304"/>
    </row>
    <row r="253" ht="30.0" customHeight="1">
      <c r="A253" s="301"/>
      <c r="B253" s="312"/>
      <c r="C253" s="304"/>
      <c r="D253" s="304"/>
      <c r="E253" s="304"/>
    </row>
    <row r="254" ht="30.0" customHeight="1">
      <c r="A254" s="301"/>
      <c r="B254" s="312"/>
      <c r="C254" s="304"/>
      <c r="D254" s="304"/>
      <c r="E254" s="304"/>
    </row>
    <row r="255" ht="30.0" customHeight="1">
      <c r="A255" s="301"/>
      <c r="B255" s="312"/>
      <c r="C255" s="304"/>
      <c r="D255" s="304"/>
      <c r="E255" s="304"/>
    </row>
    <row r="256" ht="30.0" customHeight="1">
      <c r="A256" s="301"/>
      <c r="B256" s="312"/>
      <c r="C256" s="304"/>
      <c r="D256" s="304"/>
      <c r="E256" s="304"/>
    </row>
    <row r="257" ht="30.0" customHeight="1">
      <c r="A257" s="301"/>
      <c r="B257" s="312"/>
      <c r="C257" s="304"/>
      <c r="D257" s="304"/>
      <c r="E257" s="304"/>
    </row>
    <row r="258" ht="30.0" customHeight="1">
      <c r="A258" s="301"/>
      <c r="B258" s="312"/>
      <c r="C258" s="304"/>
      <c r="D258" s="304"/>
      <c r="E258" s="304"/>
    </row>
    <row r="259" ht="30.0" customHeight="1">
      <c r="A259" s="301"/>
      <c r="B259" s="312"/>
      <c r="C259" s="304"/>
      <c r="D259" s="304"/>
      <c r="E259" s="304"/>
    </row>
    <row r="260" ht="30.0" customHeight="1">
      <c r="A260" s="301"/>
      <c r="B260" s="312"/>
      <c r="C260" s="304"/>
      <c r="D260" s="304"/>
      <c r="E260" s="304"/>
    </row>
    <row r="261" ht="30.0" customHeight="1">
      <c r="A261" s="301"/>
      <c r="B261" s="312"/>
      <c r="C261" s="304"/>
      <c r="D261" s="304"/>
      <c r="E261" s="304"/>
    </row>
    <row r="262" ht="30.0" customHeight="1">
      <c r="A262" s="301"/>
      <c r="B262" s="312"/>
      <c r="C262" s="304"/>
      <c r="D262" s="304"/>
      <c r="E262" s="304"/>
    </row>
    <row r="263" ht="30.0" customHeight="1">
      <c r="A263" s="301"/>
      <c r="B263" s="312"/>
      <c r="C263" s="304"/>
      <c r="D263" s="304"/>
      <c r="E263" s="304"/>
    </row>
    <row r="264" ht="30.0" customHeight="1">
      <c r="A264" s="301"/>
      <c r="B264" s="312"/>
      <c r="C264" s="304"/>
      <c r="D264" s="304"/>
      <c r="E264" s="304"/>
    </row>
    <row r="265" ht="30.0" customHeight="1">
      <c r="A265" s="301"/>
      <c r="B265" s="312"/>
      <c r="C265" s="304"/>
      <c r="D265" s="304"/>
      <c r="E265" s="304"/>
    </row>
    <row r="266" ht="30.0" customHeight="1">
      <c r="A266" s="301"/>
      <c r="B266" s="312"/>
      <c r="C266" s="304"/>
      <c r="D266" s="304"/>
      <c r="E266" s="304"/>
    </row>
    <row r="267" ht="30.0" customHeight="1">
      <c r="A267" s="301"/>
      <c r="B267" s="312"/>
      <c r="C267" s="304"/>
      <c r="D267" s="304"/>
      <c r="E267" s="304"/>
    </row>
    <row r="268" ht="30.0" customHeight="1">
      <c r="A268" s="301"/>
      <c r="B268" s="312"/>
      <c r="C268" s="304"/>
      <c r="D268" s="304"/>
      <c r="E268" s="304"/>
    </row>
    <row r="269" ht="30.0" customHeight="1">
      <c r="A269" s="301"/>
      <c r="B269" s="312"/>
      <c r="C269" s="304"/>
      <c r="D269" s="304"/>
      <c r="E269" s="304"/>
    </row>
    <row r="270" ht="30.0" customHeight="1">
      <c r="A270" s="301"/>
      <c r="B270" s="312"/>
      <c r="C270" s="304"/>
      <c r="D270" s="304"/>
      <c r="E270" s="304"/>
    </row>
    <row r="271" ht="30.0" customHeight="1">
      <c r="A271" s="301"/>
      <c r="B271" s="312"/>
      <c r="C271" s="304"/>
      <c r="D271" s="304"/>
      <c r="E271" s="304"/>
    </row>
    <row r="272" ht="30.0" customHeight="1">
      <c r="A272" s="301"/>
      <c r="B272" s="312"/>
      <c r="C272" s="304"/>
      <c r="D272" s="304"/>
      <c r="E272" s="304"/>
    </row>
    <row r="273" ht="30.0" customHeight="1">
      <c r="A273" s="301"/>
      <c r="B273" s="312"/>
      <c r="C273" s="304"/>
      <c r="D273" s="304"/>
      <c r="E273" s="304"/>
    </row>
    <row r="274" ht="30.0" customHeight="1">
      <c r="A274" s="301"/>
      <c r="B274" s="312"/>
      <c r="C274" s="304"/>
      <c r="D274" s="304"/>
      <c r="E274" s="304"/>
    </row>
    <row r="275" ht="30.0" customHeight="1">
      <c r="A275" s="301"/>
      <c r="B275" s="312"/>
      <c r="C275" s="304"/>
      <c r="D275" s="304"/>
      <c r="E275" s="304"/>
    </row>
    <row r="276" ht="30.0" customHeight="1">
      <c r="A276" s="301"/>
      <c r="B276" s="312"/>
      <c r="C276" s="304"/>
      <c r="D276" s="304"/>
      <c r="E276" s="304"/>
    </row>
    <row r="277" ht="30.0" customHeight="1">
      <c r="A277" s="301"/>
      <c r="B277" s="312"/>
      <c r="C277" s="304"/>
      <c r="D277" s="304"/>
      <c r="E277" s="304"/>
    </row>
    <row r="278" ht="30.0" customHeight="1">
      <c r="A278" s="301"/>
      <c r="B278" s="312"/>
      <c r="C278" s="304"/>
      <c r="D278" s="304"/>
      <c r="E278" s="304"/>
    </row>
    <row r="279" ht="30.0" customHeight="1">
      <c r="A279" s="301"/>
      <c r="B279" s="312"/>
      <c r="C279" s="304"/>
      <c r="D279" s="304"/>
      <c r="E279" s="304"/>
    </row>
    <row r="280" ht="30.0" customHeight="1">
      <c r="A280" s="301"/>
      <c r="B280" s="312"/>
      <c r="C280" s="304"/>
      <c r="D280" s="304"/>
      <c r="E280" s="304"/>
    </row>
    <row r="281" ht="30.0" customHeight="1">
      <c r="A281" s="301"/>
      <c r="B281" s="312"/>
      <c r="C281" s="304"/>
      <c r="D281" s="304"/>
      <c r="E281" s="304"/>
    </row>
    <row r="282" ht="30.0" customHeight="1">
      <c r="A282" s="301"/>
      <c r="B282" s="312"/>
      <c r="C282" s="304"/>
      <c r="D282" s="304"/>
      <c r="E282" s="304"/>
    </row>
    <row r="283" ht="30.0" customHeight="1">
      <c r="A283" s="301"/>
      <c r="B283" s="312"/>
      <c r="C283" s="304"/>
      <c r="D283" s="304"/>
      <c r="E283" s="304"/>
    </row>
    <row r="284" ht="30.0" customHeight="1">
      <c r="A284" s="301"/>
      <c r="B284" s="312"/>
      <c r="C284" s="304"/>
      <c r="D284" s="304"/>
      <c r="E284" s="304"/>
    </row>
    <row r="285" ht="30.0" customHeight="1">
      <c r="A285" s="301"/>
      <c r="B285" s="312"/>
      <c r="C285" s="304"/>
      <c r="D285" s="304"/>
      <c r="E285" s="304"/>
    </row>
    <row r="286" ht="30.0" customHeight="1">
      <c r="A286" s="301"/>
      <c r="B286" s="312"/>
      <c r="C286" s="304"/>
      <c r="D286" s="304"/>
      <c r="E286" s="304"/>
    </row>
    <row r="287" ht="30.0" customHeight="1">
      <c r="A287" s="301"/>
      <c r="B287" s="312"/>
      <c r="C287" s="304"/>
      <c r="D287" s="304"/>
      <c r="E287" s="304"/>
    </row>
    <row r="288" ht="30.0" customHeight="1">
      <c r="A288" s="301"/>
      <c r="B288" s="312"/>
      <c r="C288" s="304"/>
      <c r="D288" s="304"/>
      <c r="E288" s="304"/>
    </row>
    <row r="289" ht="30.0" customHeight="1">
      <c r="A289" s="301"/>
      <c r="B289" s="312"/>
      <c r="C289" s="304"/>
      <c r="D289" s="304"/>
      <c r="E289" s="304"/>
    </row>
    <row r="290" ht="30.0" customHeight="1">
      <c r="A290" s="301"/>
      <c r="B290" s="312"/>
      <c r="C290" s="304"/>
      <c r="D290" s="304"/>
      <c r="E290" s="304"/>
    </row>
    <row r="291" ht="30.0" customHeight="1">
      <c r="A291" s="301"/>
      <c r="B291" s="312"/>
      <c r="C291" s="304"/>
      <c r="D291" s="304"/>
      <c r="E291" s="304"/>
    </row>
    <row r="292" ht="30.0" customHeight="1">
      <c r="A292" s="301"/>
      <c r="B292" s="312"/>
      <c r="C292" s="304"/>
      <c r="D292" s="304"/>
      <c r="E292" s="304"/>
    </row>
    <row r="293" ht="30.0" customHeight="1">
      <c r="A293" s="301"/>
      <c r="B293" s="312"/>
      <c r="C293" s="304"/>
      <c r="D293" s="304"/>
      <c r="E293" s="304"/>
    </row>
    <row r="294" ht="30.0" customHeight="1">
      <c r="A294" s="301"/>
      <c r="B294" s="312"/>
      <c r="C294" s="304"/>
      <c r="D294" s="304"/>
      <c r="E294" s="304"/>
    </row>
    <row r="295" ht="30.0" customHeight="1">
      <c r="A295" s="301"/>
      <c r="B295" s="312"/>
      <c r="C295" s="304"/>
      <c r="D295" s="304"/>
      <c r="E295" s="304"/>
    </row>
    <row r="296" ht="30.0" customHeight="1">
      <c r="A296" s="301"/>
      <c r="B296" s="312"/>
      <c r="C296" s="304"/>
      <c r="D296" s="304"/>
      <c r="E296" s="304"/>
    </row>
    <row r="297" ht="30.0" customHeight="1">
      <c r="A297" s="301"/>
      <c r="B297" s="312"/>
      <c r="C297" s="304"/>
      <c r="D297" s="304"/>
      <c r="E297" s="304"/>
    </row>
    <row r="298" ht="30.0" customHeight="1">
      <c r="A298" s="301"/>
      <c r="B298" s="312"/>
      <c r="C298" s="304"/>
      <c r="D298" s="304"/>
      <c r="E298" s="304"/>
    </row>
    <row r="299" ht="30.0" customHeight="1">
      <c r="A299" s="301"/>
      <c r="B299" s="312"/>
      <c r="C299" s="304"/>
      <c r="D299" s="304"/>
      <c r="E299" s="304"/>
    </row>
    <row r="300" ht="30.0" customHeight="1">
      <c r="A300" s="301"/>
      <c r="B300" s="312"/>
      <c r="C300" s="304"/>
      <c r="D300" s="304"/>
      <c r="E300" s="304"/>
    </row>
    <row r="301" ht="30.0" customHeight="1">
      <c r="A301" s="301"/>
      <c r="B301" s="312"/>
      <c r="C301" s="304"/>
      <c r="D301" s="304"/>
      <c r="E301" s="304"/>
    </row>
    <row r="302" ht="30.0" customHeight="1">
      <c r="A302" s="301"/>
      <c r="B302" s="312"/>
      <c r="C302" s="304"/>
      <c r="D302" s="304"/>
      <c r="E302" s="304"/>
    </row>
    <row r="303" ht="30.0" customHeight="1">
      <c r="A303" s="301"/>
      <c r="B303" s="312"/>
      <c r="C303" s="304"/>
      <c r="D303" s="304"/>
      <c r="E303" s="304"/>
    </row>
    <row r="304" ht="30.0" customHeight="1">
      <c r="A304" s="301"/>
      <c r="B304" s="312"/>
      <c r="C304" s="304"/>
      <c r="D304" s="304"/>
      <c r="E304" s="304"/>
    </row>
    <row r="305" ht="30.0" customHeight="1">
      <c r="A305" s="301"/>
      <c r="B305" s="312"/>
      <c r="C305" s="304"/>
      <c r="D305" s="304"/>
      <c r="E305" s="304"/>
    </row>
    <row r="306" ht="30.0" customHeight="1">
      <c r="A306" s="301"/>
      <c r="B306" s="312"/>
      <c r="C306" s="304"/>
      <c r="D306" s="304"/>
      <c r="E306" s="304"/>
    </row>
    <row r="307" ht="30.0" customHeight="1">
      <c r="A307" s="301"/>
      <c r="B307" s="312"/>
      <c r="C307" s="304"/>
      <c r="D307" s="304"/>
      <c r="E307" s="304"/>
    </row>
    <row r="308" ht="30.0" customHeight="1">
      <c r="A308" s="301"/>
      <c r="B308" s="312"/>
      <c r="C308" s="304"/>
      <c r="D308" s="304"/>
      <c r="E308" s="304"/>
    </row>
    <row r="309" ht="30.0" customHeight="1">
      <c r="A309" s="301"/>
      <c r="B309" s="312"/>
      <c r="C309" s="304"/>
      <c r="D309" s="304"/>
      <c r="E309" s="304"/>
    </row>
    <row r="310" ht="30.0" customHeight="1">
      <c r="A310" s="301"/>
      <c r="B310" s="312"/>
      <c r="C310" s="304"/>
      <c r="D310" s="304"/>
      <c r="E310" s="304"/>
    </row>
    <row r="311" ht="30.0" customHeight="1">
      <c r="A311" s="301"/>
      <c r="B311" s="312"/>
      <c r="C311" s="304"/>
      <c r="D311" s="304"/>
      <c r="E311" s="304"/>
    </row>
    <row r="312" ht="30.0" customHeight="1">
      <c r="A312" s="301"/>
      <c r="B312" s="312"/>
      <c r="C312" s="304"/>
      <c r="D312" s="304"/>
      <c r="E312" s="304"/>
    </row>
    <row r="313" ht="30.0" customHeight="1">
      <c r="A313" s="301"/>
      <c r="B313" s="312"/>
      <c r="C313" s="304"/>
      <c r="D313" s="304"/>
      <c r="E313" s="304"/>
    </row>
    <row r="314" ht="30.0" customHeight="1">
      <c r="A314" s="301"/>
      <c r="B314" s="312"/>
      <c r="C314" s="304"/>
      <c r="D314" s="304"/>
      <c r="E314" s="304"/>
    </row>
    <row r="315" ht="30.0" customHeight="1">
      <c r="A315" s="301"/>
      <c r="B315" s="312"/>
      <c r="C315" s="304"/>
      <c r="D315" s="304"/>
      <c r="E315" s="304"/>
    </row>
    <row r="316" ht="30.0" customHeight="1">
      <c r="A316" s="301"/>
      <c r="B316" s="312"/>
      <c r="C316" s="304"/>
      <c r="D316" s="304"/>
      <c r="E316" s="304"/>
    </row>
    <row r="317" ht="30.0" customHeight="1">
      <c r="A317" s="301"/>
      <c r="B317" s="312"/>
      <c r="C317" s="304"/>
      <c r="D317" s="304"/>
      <c r="E317" s="304"/>
    </row>
    <row r="318" ht="30.0" customHeight="1">
      <c r="A318" s="301"/>
      <c r="B318" s="312"/>
      <c r="C318" s="304"/>
      <c r="D318" s="304"/>
      <c r="E318" s="304"/>
    </row>
    <row r="319" ht="30.0" customHeight="1">
      <c r="A319" s="301"/>
      <c r="B319" s="312"/>
      <c r="C319" s="304"/>
      <c r="D319" s="304"/>
      <c r="E319" s="304"/>
    </row>
    <row r="320" ht="30.0" customHeight="1">
      <c r="A320" s="301"/>
      <c r="B320" s="312"/>
      <c r="C320" s="304"/>
      <c r="D320" s="304"/>
      <c r="E320" s="304"/>
    </row>
    <row r="321" ht="30.0" customHeight="1">
      <c r="A321" s="301"/>
      <c r="B321" s="312"/>
      <c r="C321" s="304"/>
      <c r="D321" s="304"/>
      <c r="E321" s="304"/>
    </row>
    <row r="322" ht="30.0" customHeight="1">
      <c r="A322" s="301"/>
      <c r="B322" s="312"/>
      <c r="C322" s="304"/>
      <c r="D322" s="304"/>
      <c r="E322" s="304"/>
    </row>
    <row r="323" ht="30.0" customHeight="1">
      <c r="A323" s="301"/>
      <c r="B323" s="312"/>
      <c r="C323" s="304"/>
      <c r="D323" s="304"/>
      <c r="E323" s="304"/>
    </row>
    <row r="324" ht="30.0" customHeight="1">
      <c r="A324" s="301"/>
      <c r="B324" s="312"/>
      <c r="C324" s="304"/>
      <c r="D324" s="304"/>
      <c r="E324" s="304"/>
    </row>
    <row r="325" ht="30.0" customHeight="1">
      <c r="A325" s="301"/>
      <c r="B325" s="312"/>
      <c r="C325" s="304"/>
      <c r="D325" s="304"/>
      <c r="E325" s="304"/>
    </row>
    <row r="326" ht="30.0" customHeight="1">
      <c r="A326" s="301"/>
      <c r="B326" s="312"/>
      <c r="C326" s="304"/>
      <c r="D326" s="304"/>
      <c r="E326" s="304"/>
    </row>
    <row r="327" ht="30.0" customHeight="1">
      <c r="A327" s="301"/>
      <c r="B327" s="312"/>
      <c r="C327" s="304"/>
      <c r="D327" s="304"/>
      <c r="E327" s="304"/>
    </row>
    <row r="328" ht="30.0" customHeight="1">
      <c r="A328" s="301"/>
      <c r="B328" s="312"/>
      <c r="C328" s="304"/>
      <c r="D328" s="304"/>
      <c r="E328" s="304"/>
    </row>
    <row r="329" ht="30.0" customHeight="1">
      <c r="A329" s="301"/>
      <c r="B329" s="312"/>
      <c r="C329" s="304"/>
      <c r="D329" s="304"/>
      <c r="E329" s="304"/>
    </row>
    <row r="330" ht="30.0" customHeight="1">
      <c r="A330" s="301"/>
      <c r="B330" s="312"/>
      <c r="C330" s="304"/>
      <c r="D330" s="304"/>
      <c r="E330" s="304"/>
    </row>
    <row r="331" ht="30.0" customHeight="1">
      <c r="A331" s="301"/>
      <c r="B331" s="312"/>
      <c r="C331" s="304"/>
      <c r="D331" s="304"/>
      <c r="E331" s="304"/>
    </row>
    <row r="332" ht="30.0" customHeight="1">
      <c r="A332" s="301"/>
      <c r="B332" s="312"/>
      <c r="C332" s="304"/>
      <c r="D332" s="304"/>
      <c r="E332" s="304"/>
    </row>
    <row r="333" ht="30.0" customHeight="1">
      <c r="A333" s="301"/>
      <c r="B333" s="312"/>
      <c r="C333" s="304"/>
      <c r="D333" s="304"/>
      <c r="E333" s="304"/>
    </row>
    <row r="334" ht="30.0" customHeight="1">
      <c r="A334" s="301"/>
      <c r="B334" s="312"/>
      <c r="C334" s="304"/>
      <c r="D334" s="304"/>
      <c r="E334" s="304"/>
    </row>
    <row r="335" ht="30.0" customHeight="1">
      <c r="A335" s="301"/>
      <c r="B335" s="312"/>
      <c r="C335" s="304"/>
      <c r="D335" s="304"/>
      <c r="E335" s="304"/>
    </row>
    <row r="336" ht="30.0" customHeight="1">
      <c r="A336" s="301"/>
      <c r="B336" s="312"/>
      <c r="C336" s="304"/>
      <c r="D336" s="304"/>
      <c r="E336" s="304"/>
    </row>
    <row r="337" ht="30.0" customHeight="1">
      <c r="A337" s="301"/>
      <c r="B337" s="312"/>
      <c r="C337" s="304"/>
      <c r="D337" s="304"/>
      <c r="E337" s="304"/>
    </row>
    <row r="338" ht="30.0" customHeight="1">
      <c r="A338" s="301"/>
      <c r="B338" s="312"/>
      <c r="C338" s="304"/>
      <c r="D338" s="304"/>
      <c r="E338" s="304"/>
    </row>
    <row r="339" ht="30.0" customHeight="1">
      <c r="A339" s="301"/>
      <c r="B339" s="312"/>
      <c r="C339" s="304"/>
      <c r="D339" s="304"/>
      <c r="E339" s="304"/>
    </row>
    <row r="340" ht="30.0" customHeight="1">
      <c r="A340" s="301"/>
      <c r="B340" s="312"/>
      <c r="C340" s="304"/>
      <c r="D340" s="304"/>
      <c r="E340" s="304"/>
    </row>
    <row r="341" ht="30.0" customHeight="1">
      <c r="A341" s="301"/>
      <c r="B341" s="312"/>
      <c r="C341" s="304"/>
      <c r="D341" s="304"/>
      <c r="E341" s="304"/>
    </row>
    <row r="342" ht="30.0" customHeight="1">
      <c r="A342" s="301"/>
      <c r="B342" s="312"/>
      <c r="C342" s="304"/>
      <c r="D342" s="304"/>
      <c r="E342" s="304"/>
    </row>
    <row r="343" ht="30.0" customHeight="1">
      <c r="A343" s="301"/>
      <c r="B343" s="312"/>
      <c r="C343" s="304"/>
      <c r="D343" s="304"/>
      <c r="E343" s="304"/>
    </row>
    <row r="344" ht="30.0" customHeight="1">
      <c r="A344" s="301"/>
      <c r="B344" s="312"/>
      <c r="C344" s="304"/>
      <c r="D344" s="304"/>
      <c r="E344" s="304"/>
    </row>
    <row r="345" ht="30.0" customHeight="1">
      <c r="A345" s="301"/>
      <c r="B345" s="312"/>
      <c r="C345" s="304"/>
      <c r="D345" s="304"/>
      <c r="E345" s="304"/>
    </row>
    <row r="346" ht="30.0" customHeight="1">
      <c r="A346" s="301"/>
      <c r="B346" s="312"/>
      <c r="C346" s="304"/>
      <c r="D346" s="304"/>
      <c r="E346" s="304"/>
    </row>
    <row r="347" ht="30.0" customHeight="1">
      <c r="A347" s="301"/>
      <c r="B347" s="312"/>
      <c r="C347" s="304"/>
      <c r="D347" s="304"/>
      <c r="E347" s="304"/>
    </row>
    <row r="348" ht="30.0" customHeight="1">
      <c r="A348" s="301"/>
      <c r="B348" s="312"/>
      <c r="C348" s="304"/>
      <c r="D348" s="304"/>
      <c r="E348" s="304"/>
    </row>
    <row r="349" ht="30.0" customHeight="1">
      <c r="A349" s="301"/>
      <c r="B349" s="312"/>
      <c r="C349" s="304"/>
      <c r="D349" s="304"/>
      <c r="E349" s="304"/>
    </row>
    <row r="350" ht="30.0" customHeight="1">
      <c r="A350" s="301"/>
      <c r="B350" s="312"/>
      <c r="C350" s="304"/>
      <c r="D350" s="304"/>
      <c r="E350" s="304"/>
    </row>
    <row r="351" ht="30.0" customHeight="1">
      <c r="A351" s="301"/>
      <c r="B351" s="312"/>
      <c r="C351" s="304"/>
      <c r="D351" s="304"/>
      <c r="E351" s="304"/>
    </row>
    <row r="352" ht="30.0" customHeight="1">
      <c r="A352" s="301"/>
      <c r="B352" s="312"/>
      <c r="C352" s="304"/>
      <c r="D352" s="304"/>
      <c r="E352" s="304"/>
    </row>
    <row r="353" ht="30.0" customHeight="1">
      <c r="A353" s="301"/>
      <c r="B353" s="312"/>
      <c r="C353" s="304"/>
      <c r="D353" s="304"/>
      <c r="E353" s="304"/>
    </row>
    <row r="354" ht="30.0" customHeight="1">
      <c r="A354" s="301"/>
      <c r="B354" s="312"/>
      <c r="C354" s="304"/>
      <c r="D354" s="304"/>
      <c r="E354" s="304"/>
    </row>
    <row r="355" ht="30.0" customHeight="1">
      <c r="A355" s="301"/>
      <c r="B355" s="312"/>
      <c r="C355" s="304"/>
      <c r="D355" s="304"/>
      <c r="E355" s="304"/>
    </row>
    <row r="356" ht="30.0" customHeight="1">
      <c r="A356" s="301"/>
      <c r="B356" s="312"/>
      <c r="C356" s="304"/>
      <c r="D356" s="304"/>
      <c r="E356" s="304"/>
    </row>
    <row r="357" ht="30.0" customHeight="1">
      <c r="A357" s="301"/>
      <c r="B357" s="312"/>
      <c r="C357" s="304"/>
      <c r="D357" s="304"/>
      <c r="E357" s="304"/>
    </row>
    <row r="358" ht="30.0" customHeight="1">
      <c r="A358" s="301"/>
      <c r="B358" s="312"/>
      <c r="C358" s="304"/>
      <c r="D358" s="304"/>
      <c r="E358" s="304"/>
    </row>
    <row r="359" ht="30.0" customHeight="1">
      <c r="A359" s="301"/>
      <c r="B359" s="312"/>
      <c r="C359" s="304"/>
      <c r="D359" s="304"/>
      <c r="E359" s="304"/>
    </row>
    <row r="360" ht="30.0" customHeight="1">
      <c r="A360" s="301"/>
      <c r="B360" s="312"/>
      <c r="C360" s="304"/>
      <c r="D360" s="304"/>
      <c r="E360" s="304"/>
    </row>
    <row r="361" ht="30.0" customHeight="1">
      <c r="A361" s="301"/>
      <c r="B361" s="312"/>
      <c r="C361" s="304"/>
      <c r="D361" s="304"/>
      <c r="E361" s="304"/>
    </row>
    <row r="362" ht="30.0" customHeight="1">
      <c r="A362" s="301"/>
      <c r="B362" s="312"/>
      <c r="C362" s="304"/>
      <c r="D362" s="304"/>
      <c r="E362" s="304"/>
    </row>
    <row r="363" ht="30.0" customHeight="1">
      <c r="A363" s="301"/>
      <c r="B363" s="312"/>
      <c r="C363" s="304"/>
      <c r="D363" s="304"/>
      <c r="E363" s="304"/>
    </row>
    <row r="364" ht="30.0" customHeight="1">
      <c r="A364" s="301"/>
      <c r="B364" s="312"/>
      <c r="C364" s="304"/>
      <c r="D364" s="304"/>
      <c r="E364" s="304"/>
    </row>
    <row r="365" ht="30.0" customHeight="1">
      <c r="A365" s="301"/>
      <c r="B365" s="312"/>
      <c r="C365" s="304"/>
      <c r="D365" s="304"/>
      <c r="E365" s="304"/>
    </row>
    <row r="366" ht="30.0" customHeight="1">
      <c r="A366" s="301"/>
      <c r="B366" s="312"/>
      <c r="C366" s="304"/>
      <c r="D366" s="304"/>
      <c r="E366" s="304"/>
    </row>
    <row r="367" ht="30.0" customHeight="1">
      <c r="A367" s="301"/>
      <c r="B367" s="312"/>
      <c r="C367" s="304"/>
      <c r="D367" s="304"/>
      <c r="E367" s="304"/>
    </row>
    <row r="368" ht="30.0" customHeight="1">
      <c r="A368" s="301"/>
      <c r="B368" s="312"/>
      <c r="C368" s="304"/>
      <c r="D368" s="304"/>
      <c r="E368" s="304"/>
    </row>
    <row r="369" ht="30.0" customHeight="1">
      <c r="A369" s="301"/>
      <c r="B369" s="312"/>
      <c r="C369" s="304"/>
      <c r="D369" s="304"/>
      <c r="E369" s="304"/>
    </row>
    <row r="370" ht="30.0" customHeight="1">
      <c r="A370" s="301"/>
      <c r="B370" s="312"/>
      <c r="C370" s="304"/>
      <c r="D370" s="304"/>
      <c r="E370" s="304"/>
    </row>
    <row r="371" ht="30.0" customHeight="1">
      <c r="A371" s="301"/>
      <c r="B371" s="312"/>
      <c r="C371" s="304"/>
      <c r="D371" s="304"/>
      <c r="E371" s="304"/>
    </row>
    <row r="372" ht="30.0" customHeight="1">
      <c r="A372" s="301"/>
      <c r="B372" s="312"/>
      <c r="C372" s="304"/>
      <c r="D372" s="304"/>
      <c r="E372" s="304"/>
    </row>
    <row r="373" ht="30.0" customHeight="1">
      <c r="A373" s="301"/>
      <c r="B373" s="312"/>
      <c r="C373" s="304"/>
      <c r="D373" s="304"/>
      <c r="E373" s="304"/>
    </row>
    <row r="374" ht="30.0" customHeight="1">
      <c r="A374" s="301"/>
      <c r="B374" s="312"/>
      <c r="C374" s="304"/>
      <c r="D374" s="304"/>
      <c r="E374" s="304"/>
    </row>
    <row r="375" ht="30.0" customHeight="1">
      <c r="A375" s="301"/>
      <c r="B375" s="312"/>
      <c r="C375" s="304"/>
      <c r="D375" s="304"/>
      <c r="E375" s="304"/>
    </row>
    <row r="376" ht="30.0" customHeight="1">
      <c r="A376" s="301"/>
      <c r="B376" s="312"/>
      <c r="C376" s="304"/>
      <c r="D376" s="304"/>
      <c r="E376" s="304"/>
    </row>
    <row r="377" ht="30.0" customHeight="1">
      <c r="A377" s="301"/>
      <c r="B377" s="312"/>
      <c r="C377" s="304"/>
      <c r="D377" s="304"/>
      <c r="E377" s="304"/>
    </row>
    <row r="378" ht="30.0" customHeight="1">
      <c r="A378" s="301"/>
      <c r="B378" s="312"/>
      <c r="C378" s="304"/>
      <c r="D378" s="304"/>
      <c r="E378" s="304"/>
    </row>
    <row r="379" ht="30.0" customHeight="1">
      <c r="A379" s="301"/>
      <c r="B379" s="312"/>
      <c r="C379" s="304"/>
      <c r="D379" s="304"/>
      <c r="E379" s="304"/>
    </row>
    <row r="380" ht="30.0" customHeight="1">
      <c r="A380" s="301"/>
      <c r="B380" s="312"/>
      <c r="C380" s="304"/>
      <c r="D380" s="304"/>
      <c r="E380" s="304"/>
    </row>
    <row r="381" ht="30.0" customHeight="1">
      <c r="A381" s="301"/>
      <c r="B381" s="312"/>
      <c r="C381" s="304"/>
      <c r="D381" s="304"/>
      <c r="E381" s="304"/>
    </row>
    <row r="382" ht="30.0" customHeight="1">
      <c r="A382" s="301"/>
      <c r="B382" s="312"/>
      <c r="C382" s="304"/>
      <c r="D382" s="304"/>
      <c r="E382" s="304"/>
    </row>
    <row r="383" ht="30.0" customHeight="1">
      <c r="A383" s="301"/>
      <c r="B383" s="312"/>
      <c r="C383" s="304"/>
      <c r="D383" s="304"/>
      <c r="E383" s="304"/>
    </row>
    <row r="384" ht="30.0" customHeight="1">
      <c r="A384" s="301"/>
      <c r="B384" s="312"/>
      <c r="C384" s="304"/>
      <c r="D384" s="304"/>
      <c r="E384" s="304"/>
    </row>
    <row r="385" ht="30.0" customHeight="1">
      <c r="A385" s="301"/>
      <c r="B385" s="312"/>
      <c r="C385" s="304"/>
      <c r="D385" s="304"/>
      <c r="E385" s="304"/>
    </row>
    <row r="386" ht="30.0" customHeight="1">
      <c r="A386" s="301"/>
      <c r="B386" s="312"/>
      <c r="C386" s="304"/>
      <c r="D386" s="304"/>
      <c r="E386" s="304"/>
    </row>
    <row r="387" ht="30.0" customHeight="1">
      <c r="A387" s="301"/>
      <c r="B387" s="312"/>
      <c r="C387" s="304"/>
      <c r="D387" s="304"/>
      <c r="E387" s="304"/>
    </row>
    <row r="388" ht="30.0" customHeight="1">
      <c r="A388" s="301"/>
      <c r="B388" s="312"/>
      <c r="C388" s="304"/>
      <c r="D388" s="304"/>
      <c r="E388" s="304"/>
    </row>
    <row r="389" ht="30.0" customHeight="1">
      <c r="A389" s="301"/>
      <c r="B389" s="312"/>
      <c r="C389" s="304"/>
      <c r="D389" s="304"/>
      <c r="E389" s="304"/>
    </row>
    <row r="390" ht="30.0" customHeight="1">
      <c r="A390" s="301"/>
      <c r="B390" s="312"/>
      <c r="C390" s="304"/>
      <c r="D390" s="304"/>
      <c r="E390" s="304"/>
    </row>
    <row r="391" ht="30.0" customHeight="1">
      <c r="A391" s="301"/>
      <c r="B391" s="312"/>
      <c r="C391" s="304"/>
      <c r="D391" s="304"/>
      <c r="E391" s="304"/>
    </row>
    <row r="392" ht="30.0" customHeight="1">
      <c r="A392" s="301"/>
      <c r="B392" s="312"/>
      <c r="C392" s="304"/>
      <c r="D392" s="304"/>
      <c r="E392" s="304"/>
    </row>
    <row r="393" ht="30.0" customHeight="1">
      <c r="A393" s="301"/>
      <c r="B393" s="312"/>
      <c r="C393" s="304"/>
      <c r="D393" s="304"/>
      <c r="E393" s="304"/>
    </row>
    <row r="394" ht="30.0" customHeight="1">
      <c r="A394" s="301"/>
      <c r="B394" s="312"/>
      <c r="C394" s="304"/>
      <c r="D394" s="304"/>
      <c r="E394" s="304"/>
    </row>
    <row r="395" ht="30.0" customHeight="1">
      <c r="A395" s="301"/>
      <c r="B395" s="312"/>
      <c r="C395" s="304"/>
      <c r="D395" s="304"/>
      <c r="E395" s="304"/>
    </row>
    <row r="396" ht="30.0" customHeight="1">
      <c r="A396" s="301"/>
      <c r="B396" s="312"/>
      <c r="C396" s="304"/>
      <c r="D396" s="304"/>
      <c r="E396" s="304"/>
    </row>
    <row r="397" ht="30.0" customHeight="1">
      <c r="A397" s="301"/>
      <c r="B397" s="312"/>
      <c r="C397" s="304"/>
      <c r="D397" s="304"/>
      <c r="E397" s="304"/>
    </row>
    <row r="398" ht="30.0" customHeight="1">
      <c r="A398" s="301"/>
      <c r="B398" s="312"/>
      <c r="C398" s="304"/>
      <c r="D398" s="304"/>
      <c r="E398" s="304"/>
    </row>
    <row r="399" ht="30.0" customHeight="1">
      <c r="A399" s="301"/>
      <c r="B399" s="312"/>
      <c r="C399" s="304"/>
      <c r="D399" s="304"/>
      <c r="E399" s="304"/>
    </row>
    <row r="400" ht="30.0" customHeight="1">
      <c r="A400" s="301"/>
      <c r="B400" s="312"/>
      <c r="C400" s="304"/>
      <c r="D400" s="304"/>
      <c r="E400" s="304"/>
    </row>
    <row r="401" ht="30.0" customHeight="1">
      <c r="A401" s="301"/>
      <c r="B401" s="312"/>
      <c r="C401" s="304"/>
      <c r="D401" s="304"/>
      <c r="E401" s="304"/>
    </row>
    <row r="402" ht="30.0" customHeight="1">
      <c r="A402" s="301"/>
      <c r="B402" s="312"/>
      <c r="C402" s="304"/>
      <c r="D402" s="304"/>
      <c r="E402" s="304"/>
    </row>
    <row r="403" ht="30.0" customHeight="1">
      <c r="A403" s="301"/>
      <c r="B403" s="312"/>
      <c r="C403" s="304"/>
      <c r="D403" s="304"/>
      <c r="E403" s="304"/>
    </row>
    <row r="404" ht="30.0" customHeight="1">
      <c r="A404" s="301"/>
      <c r="B404" s="312"/>
      <c r="C404" s="304"/>
      <c r="D404" s="304"/>
      <c r="E404" s="304"/>
    </row>
    <row r="405" ht="30.0" customHeight="1">
      <c r="A405" s="301"/>
      <c r="B405" s="312"/>
      <c r="C405" s="304"/>
      <c r="D405" s="304"/>
      <c r="E405" s="304"/>
    </row>
    <row r="406" ht="30.0" customHeight="1">
      <c r="A406" s="301"/>
      <c r="B406" s="312"/>
      <c r="C406" s="304"/>
      <c r="D406" s="304"/>
      <c r="E406" s="304"/>
    </row>
    <row r="407" ht="30.0" customHeight="1">
      <c r="A407" s="301"/>
      <c r="B407" s="312"/>
      <c r="C407" s="304"/>
      <c r="D407" s="304"/>
      <c r="E407" s="304"/>
    </row>
    <row r="408" ht="30.0" customHeight="1">
      <c r="A408" s="301"/>
      <c r="B408" s="312"/>
      <c r="C408" s="304"/>
      <c r="D408" s="304"/>
      <c r="E408" s="304"/>
    </row>
    <row r="409" ht="30.0" customHeight="1">
      <c r="A409" s="301"/>
      <c r="B409" s="312"/>
      <c r="C409" s="304"/>
      <c r="D409" s="304"/>
      <c r="E409" s="304"/>
    </row>
    <row r="410" ht="30.0" customHeight="1">
      <c r="A410" s="301"/>
      <c r="B410" s="312"/>
      <c r="C410" s="304"/>
      <c r="D410" s="304"/>
      <c r="E410" s="304"/>
    </row>
    <row r="411" ht="30.0" customHeight="1">
      <c r="A411" s="301"/>
      <c r="B411" s="312"/>
      <c r="C411" s="304"/>
      <c r="D411" s="304"/>
      <c r="E411" s="304"/>
    </row>
    <row r="412" ht="30.0" customHeight="1">
      <c r="A412" s="301"/>
      <c r="B412" s="312"/>
      <c r="C412" s="304"/>
      <c r="D412" s="304"/>
      <c r="E412" s="304"/>
    </row>
    <row r="413" ht="30.0" customHeight="1">
      <c r="A413" s="301"/>
      <c r="B413" s="312"/>
      <c r="C413" s="304"/>
      <c r="D413" s="304"/>
      <c r="E413" s="304"/>
    </row>
    <row r="414" ht="30.0" customHeight="1">
      <c r="A414" s="301"/>
      <c r="B414" s="312"/>
      <c r="C414" s="304"/>
      <c r="D414" s="304"/>
      <c r="E414" s="304"/>
    </row>
    <row r="415" ht="30.0" customHeight="1">
      <c r="A415" s="301"/>
      <c r="B415" s="312"/>
      <c r="C415" s="304"/>
      <c r="D415" s="304"/>
      <c r="E415" s="304"/>
    </row>
    <row r="416" ht="30.0" customHeight="1">
      <c r="A416" s="301"/>
      <c r="B416" s="312"/>
      <c r="C416" s="304"/>
      <c r="D416" s="304"/>
      <c r="E416" s="304"/>
    </row>
    <row r="417" ht="30.0" customHeight="1">
      <c r="A417" s="301"/>
      <c r="B417" s="312"/>
      <c r="C417" s="304"/>
      <c r="D417" s="304"/>
      <c r="E417" s="304"/>
    </row>
    <row r="418" ht="30.0" customHeight="1">
      <c r="A418" s="301"/>
      <c r="B418" s="312"/>
      <c r="C418" s="304"/>
      <c r="D418" s="304"/>
      <c r="E418" s="304"/>
    </row>
    <row r="419" ht="30.0" customHeight="1">
      <c r="A419" s="301"/>
      <c r="B419" s="312"/>
      <c r="C419" s="304"/>
      <c r="D419" s="304"/>
      <c r="E419" s="304"/>
    </row>
    <row r="420" ht="30.0" customHeight="1">
      <c r="A420" s="301"/>
      <c r="B420" s="312"/>
      <c r="C420" s="304"/>
      <c r="D420" s="304"/>
      <c r="E420" s="304"/>
    </row>
    <row r="421" ht="30.0" customHeight="1">
      <c r="A421" s="301"/>
      <c r="B421" s="312"/>
      <c r="C421" s="304"/>
      <c r="D421" s="304"/>
      <c r="E421" s="304"/>
    </row>
    <row r="422" ht="30.0" customHeight="1">
      <c r="A422" s="301"/>
      <c r="B422" s="312"/>
      <c r="C422" s="304"/>
      <c r="D422" s="304"/>
      <c r="E422" s="304"/>
    </row>
    <row r="423" ht="30.0" customHeight="1">
      <c r="A423" s="301"/>
      <c r="B423" s="312"/>
      <c r="C423" s="304"/>
      <c r="D423" s="304"/>
      <c r="E423" s="304"/>
    </row>
    <row r="424" ht="30.0" customHeight="1">
      <c r="A424" s="301"/>
      <c r="B424" s="312"/>
      <c r="C424" s="304"/>
      <c r="D424" s="304"/>
      <c r="E424" s="304"/>
    </row>
    <row r="425" ht="30.0" customHeight="1">
      <c r="A425" s="301"/>
      <c r="B425" s="312"/>
      <c r="C425" s="304"/>
      <c r="D425" s="304"/>
      <c r="E425" s="304"/>
    </row>
    <row r="426" ht="30.0" customHeight="1">
      <c r="A426" s="301"/>
      <c r="B426" s="312"/>
      <c r="C426" s="304"/>
      <c r="D426" s="304"/>
      <c r="E426" s="304"/>
    </row>
    <row r="427" ht="30.0" customHeight="1">
      <c r="A427" s="301"/>
      <c r="B427" s="312"/>
      <c r="C427" s="304"/>
      <c r="D427" s="304"/>
      <c r="E427" s="304"/>
    </row>
    <row r="428" ht="30.0" customHeight="1">
      <c r="A428" s="301"/>
      <c r="B428" s="312"/>
      <c r="C428" s="304"/>
      <c r="D428" s="304"/>
      <c r="E428" s="304"/>
    </row>
    <row r="429" ht="30.0" customHeight="1">
      <c r="A429" s="301"/>
      <c r="B429" s="312"/>
      <c r="C429" s="304"/>
      <c r="D429" s="304"/>
      <c r="E429" s="304"/>
    </row>
    <row r="430" ht="30.0" customHeight="1">
      <c r="A430" s="301"/>
      <c r="B430" s="312"/>
      <c r="C430" s="304"/>
      <c r="D430" s="304"/>
      <c r="E430" s="304"/>
    </row>
    <row r="431" ht="30.0" customHeight="1">
      <c r="A431" s="301"/>
      <c r="B431" s="312"/>
      <c r="C431" s="304"/>
      <c r="D431" s="304"/>
      <c r="E431" s="304"/>
    </row>
    <row r="432" ht="30.0" customHeight="1">
      <c r="A432" s="301"/>
      <c r="B432" s="312"/>
      <c r="C432" s="304"/>
      <c r="D432" s="304"/>
      <c r="E432" s="304"/>
    </row>
    <row r="433" ht="30.0" customHeight="1">
      <c r="A433" s="301"/>
      <c r="B433" s="312"/>
      <c r="C433" s="304"/>
      <c r="D433" s="304"/>
      <c r="E433" s="304"/>
    </row>
    <row r="434" ht="30.0" customHeight="1">
      <c r="A434" s="301"/>
      <c r="B434" s="312"/>
      <c r="C434" s="304"/>
      <c r="D434" s="304"/>
      <c r="E434" s="304"/>
    </row>
    <row r="435" ht="30.0" customHeight="1">
      <c r="A435" s="301"/>
      <c r="B435" s="312"/>
      <c r="C435" s="304"/>
      <c r="D435" s="304"/>
      <c r="E435" s="304"/>
    </row>
    <row r="436" ht="30.0" customHeight="1">
      <c r="A436" s="301"/>
      <c r="B436" s="312"/>
      <c r="C436" s="304"/>
      <c r="D436" s="304"/>
      <c r="E436" s="304"/>
    </row>
    <row r="437" ht="30.0" customHeight="1">
      <c r="A437" s="301"/>
      <c r="B437" s="312"/>
      <c r="C437" s="304"/>
      <c r="D437" s="304"/>
      <c r="E437" s="304"/>
    </row>
    <row r="438" ht="30.0" customHeight="1">
      <c r="A438" s="301"/>
      <c r="B438" s="312"/>
      <c r="C438" s="304"/>
      <c r="D438" s="304"/>
      <c r="E438" s="304"/>
    </row>
    <row r="439" ht="30.0" customHeight="1">
      <c r="A439" s="301"/>
      <c r="B439" s="312"/>
      <c r="C439" s="304"/>
      <c r="D439" s="304"/>
      <c r="E439" s="304"/>
    </row>
    <row r="440" ht="30.0" customHeight="1">
      <c r="A440" s="301"/>
      <c r="B440" s="312"/>
      <c r="C440" s="304"/>
      <c r="D440" s="304"/>
      <c r="E440" s="304"/>
    </row>
    <row r="441" ht="30.0" customHeight="1">
      <c r="A441" s="301"/>
      <c r="B441" s="312"/>
      <c r="C441" s="304"/>
      <c r="D441" s="304"/>
      <c r="E441" s="304"/>
    </row>
    <row r="442" ht="30.0" customHeight="1">
      <c r="A442" s="301"/>
      <c r="B442" s="312"/>
      <c r="C442" s="304"/>
      <c r="D442" s="304"/>
      <c r="E442" s="304"/>
    </row>
    <row r="443" ht="30.0" customHeight="1">
      <c r="A443" s="301"/>
      <c r="B443" s="312"/>
      <c r="C443" s="304"/>
      <c r="D443" s="304"/>
      <c r="E443" s="304"/>
    </row>
    <row r="444" ht="30.0" customHeight="1">
      <c r="A444" s="301"/>
      <c r="B444" s="312"/>
      <c r="C444" s="304"/>
      <c r="D444" s="304"/>
      <c r="E444" s="304"/>
    </row>
    <row r="445" ht="30.0" customHeight="1">
      <c r="A445" s="301"/>
      <c r="B445" s="312"/>
      <c r="C445" s="304"/>
      <c r="D445" s="304"/>
      <c r="E445" s="304"/>
    </row>
    <row r="446" ht="30.0" customHeight="1">
      <c r="A446" s="301"/>
      <c r="B446" s="312"/>
      <c r="C446" s="304"/>
      <c r="D446" s="304"/>
      <c r="E446" s="304"/>
    </row>
    <row r="447" ht="30.0" customHeight="1">
      <c r="A447" s="301"/>
      <c r="B447" s="312"/>
      <c r="C447" s="304"/>
      <c r="D447" s="304"/>
      <c r="E447" s="304"/>
    </row>
    <row r="448" ht="30.0" customHeight="1">
      <c r="A448" s="301"/>
      <c r="B448" s="312"/>
      <c r="C448" s="304"/>
      <c r="D448" s="304"/>
      <c r="E448" s="304"/>
    </row>
    <row r="449" ht="30.0" customHeight="1">
      <c r="A449" s="301"/>
      <c r="B449" s="312"/>
      <c r="C449" s="304"/>
      <c r="D449" s="304"/>
      <c r="E449" s="304"/>
    </row>
    <row r="450" ht="30.0" customHeight="1">
      <c r="A450" s="301"/>
      <c r="B450" s="312"/>
      <c r="C450" s="304"/>
      <c r="D450" s="304"/>
      <c r="E450" s="304"/>
    </row>
    <row r="451" ht="30.0" customHeight="1">
      <c r="A451" s="301"/>
      <c r="B451" s="312"/>
      <c r="C451" s="304"/>
      <c r="D451" s="304"/>
      <c r="E451" s="304"/>
    </row>
    <row r="452" ht="30.0" customHeight="1">
      <c r="A452" s="301"/>
      <c r="B452" s="312"/>
      <c r="C452" s="304"/>
      <c r="D452" s="304"/>
      <c r="E452" s="304"/>
    </row>
    <row r="453" ht="30.0" customHeight="1">
      <c r="A453" s="301"/>
      <c r="B453" s="312"/>
      <c r="C453" s="304"/>
      <c r="D453" s="304"/>
      <c r="E453" s="304"/>
    </row>
    <row r="454" ht="30.0" customHeight="1">
      <c r="A454" s="301"/>
      <c r="B454" s="312"/>
      <c r="C454" s="304"/>
      <c r="D454" s="304"/>
      <c r="E454" s="304"/>
    </row>
    <row r="455" ht="30.0" customHeight="1">
      <c r="A455" s="301"/>
      <c r="B455" s="312"/>
      <c r="C455" s="304"/>
      <c r="D455" s="304"/>
      <c r="E455" s="304"/>
    </row>
    <row r="456" ht="30.0" customHeight="1">
      <c r="A456" s="301"/>
      <c r="B456" s="312"/>
      <c r="C456" s="304"/>
      <c r="D456" s="304"/>
      <c r="E456" s="304"/>
    </row>
    <row r="457" ht="30.0" customHeight="1">
      <c r="A457" s="301"/>
      <c r="B457" s="312"/>
      <c r="C457" s="304"/>
      <c r="D457" s="304"/>
      <c r="E457" s="304"/>
    </row>
    <row r="458" ht="30.0" customHeight="1">
      <c r="A458" s="301"/>
      <c r="B458" s="312"/>
      <c r="C458" s="304"/>
      <c r="D458" s="304"/>
      <c r="E458" s="304"/>
    </row>
    <row r="459" ht="30.0" customHeight="1">
      <c r="A459" s="301"/>
      <c r="B459" s="312"/>
      <c r="C459" s="304"/>
      <c r="D459" s="304"/>
      <c r="E459" s="304"/>
    </row>
    <row r="460" ht="30.0" customHeight="1">
      <c r="A460" s="301"/>
      <c r="B460" s="312"/>
      <c r="C460" s="304"/>
      <c r="D460" s="304"/>
      <c r="E460" s="304"/>
    </row>
    <row r="461" ht="30.0" customHeight="1">
      <c r="A461" s="301"/>
      <c r="B461" s="312"/>
      <c r="C461" s="304"/>
      <c r="D461" s="304"/>
      <c r="E461" s="304"/>
    </row>
    <row r="462" ht="30.0" customHeight="1">
      <c r="A462" s="301"/>
      <c r="B462" s="312"/>
      <c r="C462" s="304"/>
      <c r="D462" s="304"/>
      <c r="E462" s="304"/>
    </row>
    <row r="463" ht="30.0" customHeight="1">
      <c r="A463" s="301"/>
      <c r="B463" s="312"/>
      <c r="C463" s="304"/>
      <c r="D463" s="304"/>
      <c r="E463" s="304"/>
    </row>
    <row r="464" ht="30.0" customHeight="1">
      <c r="A464" s="301"/>
      <c r="B464" s="312"/>
      <c r="C464" s="304"/>
      <c r="D464" s="304"/>
      <c r="E464" s="304"/>
    </row>
    <row r="465" ht="30.0" customHeight="1">
      <c r="A465" s="301"/>
      <c r="B465" s="312"/>
      <c r="C465" s="304"/>
      <c r="D465" s="304"/>
      <c r="E465" s="304"/>
    </row>
    <row r="466" ht="30.0" customHeight="1">
      <c r="A466" s="301"/>
      <c r="B466" s="312"/>
      <c r="C466" s="304"/>
      <c r="D466" s="304"/>
      <c r="E466" s="304"/>
    </row>
    <row r="467" ht="30.0" customHeight="1">
      <c r="A467" s="301"/>
      <c r="B467" s="312"/>
      <c r="C467" s="304"/>
      <c r="D467" s="304"/>
      <c r="E467" s="304"/>
    </row>
    <row r="468" ht="30.0" customHeight="1">
      <c r="A468" s="301"/>
      <c r="B468" s="312"/>
      <c r="C468" s="304"/>
      <c r="D468" s="304"/>
      <c r="E468" s="304"/>
    </row>
    <row r="469" ht="30.0" customHeight="1">
      <c r="A469" s="301"/>
      <c r="B469" s="312"/>
      <c r="C469" s="304"/>
      <c r="D469" s="304"/>
      <c r="E469" s="304"/>
    </row>
    <row r="470" ht="30.0" customHeight="1">
      <c r="A470" s="301"/>
      <c r="B470" s="312"/>
      <c r="C470" s="304"/>
      <c r="D470" s="304"/>
      <c r="E470" s="304"/>
    </row>
    <row r="471" ht="30.0" customHeight="1">
      <c r="A471" s="301"/>
      <c r="B471" s="312"/>
      <c r="C471" s="304"/>
      <c r="D471" s="304"/>
      <c r="E471" s="304"/>
    </row>
    <row r="472" ht="30.0" customHeight="1">
      <c r="A472" s="301"/>
      <c r="B472" s="312"/>
      <c r="C472" s="304"/>
      <c r="D472" s="304"/>
      <c r="E472" s="304"/>
    </row>
    <row r="473" ht="30.0" customHeight="1">
      <c r="A473" s="301"/>
      <c r="B473" s="312"/>
      <c r="C473" s="304"/>
      <c r="D473" s="304"/>
      <c r="E473" s="304"/>
    </row>
    <row r="474" ht="30.0" customHeight="1">
      <c r="A474" s="301"/>
      <c r="B474" s="312"/>
      <c r="C474" s="304"/>
      <c r="D474" s="304"/>
      <c r="E474" s="304"/>
    </row>
    <row r="475" ht="30.0" customHeight="1">
      <c r="A475" s="301"/>
      <c r="B475" s="312"/>
      <c r="C475" s="304"/>
      <c r="D475" s="304"/>
      <c r="E475" s="304"/>
    </row>
    <row r="476" ht="30.0" customHeight="1">
      <c r="A476" s="301"/>
      <c r="B476" s="312"/>
      <c r="C476" s="304"/>
      <c r="D476" s="304"/>
      <c r="E476" s="304"/>
    </row>
    <row r="477" ht="30.0" customHeight="1">
      <c r="A477" s="301"/>
      <c r="B477" s="312"/>
      <c r="C477" s="304"/>
      <c r="D477" s="304"/>
      <c r="E477" s="304"/>
    </row>
    <row r="478" ht="30.0" customHeight="1">
      <c r="A478" s="301"/>
      <c r="B478" s="312"/>
      <c r="C478" s="304"/>
      <c r="D478" s="304"/>
      <c r="E478" s="304"/>
    </row>
    <row r="479" ht="30.0" customHeight="1">
      <c r="A479" s="301"/>
      <c r="B479" s="312"/>
      <c r="C479" s="304"/>
      <c r="D479" s="304"/>
      <c r="E479" s="304"/>
    </row>
    <row r="480" ht="30.0" customHeight="1">
      <c r="A480" s="301"/>
      <c r="B480" s="312"/>
      <c r="C480" s="304"/>
      <c r="D480" s="304"/>
      <c r="E480" s="304"/>
    </row>
    <row r="481" ht="30.0" customHeight="1">
      <c r="A481" s="301"/>
      <c r="B481" s="312"/>
      <c r="C481" s="304"/>
      <c r="D481" s="304"/>
      <c r="E481" s="304"/>
    </row>
    <row r="482" ht="30.0" customHeight="1">
      <c r="A482" s="301"/>
      <c r="B482" s="312"/>
      <c r="C482" s="304"/>
      <c r="D482" s="304"/>
      <c r="E482" s="304"/>
    </row>
    <row r="483" ht="30.0" customHeight="1">
      <c r="A483" s="301"/>
      <c r="B483" s="312"/>
      <c r="C483" s="304"/>
      <c r="D483" s="304"/>
      <c r="E483" s="304"/>
    </row>
    <row r="484" ht="30.0" customHeight="1">
      <c r="A484" s="301"/>
      <c r="B484" s="312"/>
      <c r="C484" s="304"/>
      <c r="D484" s="304"/>
      <c r="E484" s="304"/>
    </row>
    <row r="485" ht="30.0" customHeight="1">
      <c r="A485" s="301"/>
      <c r="B485" s="312"/>
      <c r="C485" s="304"/>
      <c r="D485" s="304"/>
      <c r="E485" s="304"/>
    </row>
    <row r="486" ht="30.0" customHeight="1">
      <c r="A486" s="301"/>
      <c r="B486" s="312"/>
      <c r="C486" s="304"/>
      <c r="D486" s="304"/>
      <c r="E486" s="304"/>
    </row>
    <row r="487" ht="30.0" customHeight="1">
      <c r="A487" s="301"/>
      <c r="B487" s="312"/>
      <c r="C487" s="304"/>
      <c r="D487" s="304"/>
      <c r="E487" s="304"/>
    </row>
    <row r="488" ht="30.0" customHeight="1">
      <c r="A488" s="301"/>
      <c r="B488" s="312"/>
      <c r="C488" s="304"/>
      <c r="D488" s="304"/>
      <c r="E488" s="304"/>
    </row>
    <row r="489" ht="30.0" customHeight="1">
      <c r="A489" s="301"/>
      <c r="B489" s="312"/>
      <c r="C489" s="304"/>
      <c r="D489" s="304"/>
      <c r="E489" s="304"/>
    </row>
    <row r="490" ht="30.0" customHeight="1">
      <c r="A490" s="301"/>
      <c r="B490" s="312"/>
      <c r="C490" s="304"/>
      <c r="D490" s="304"/>
      <c r="E490" s="304"/>
    </row>
    <row r="491" ht="30.0" customHeight="1">
      <c r="A491" s="301"/>
      <c r="B491" s="312"/>
      <c r="C491" s="304"/>
      <c r="D491" s="304"/>
      <c r="E491" s="304"/>
    </row>
    <row r="492" ht="30.0" customHeight="1">
      <c r="A492" s="301"/>
      <c r="B492" s="312"/>
      <c r="C492" s="304"/>
      <c r="D492" s="304"/>
      <c r="E492" s="304"/>
    </row>
    <row r="493" ht="30.0" customHeight="1">
      <c r="A493" s="301"/>
      <c r="B493" s="312"/>
      <c r="C493" s="304"/>
      <c r="D493" s="304"/>
      <c r="E493" s="304"/>
    </row>
    <row r="494" ht="30.0" customHeight="1">
      <c r="A494" s="301"/>
      <c r="B494" s="312"/>
      <c r="C494" s="304"/>
      <c r="D494" s="304"/>
      <c r="E494" s="304"/>
    </row>
    <row r="495" ht="30.0" customHeight="1">
      <c r="A495" s="301"/>
      <c r="B495" s="312"/>
      <c r="C495" s="304"/>
      <c r="D495" s="304"/>
      <c r="E495" s="304"/>
    </row>
    <row r="496" ht="30.0" customHeight="1">
      <c r="A496" s="301"/>
      <c r="B496" s="312"/>
      <c r="C496" s="304"/>
      <c r="D496" s="304"/>
      <c r="E496" s="304"/>
    </row>
    <row r="497" ht="30.0" customHeight="1">
      <c r="A497" s="301"/>
      <c r="B497" s="312"/>
      <c r="C497" s="304"/>
      <c r="D497" s="304"/>
      <c r="E497" s="304"/>
    </row>
    <row r="498" ht="30.0" customHeight="1">
      <c r="A498" s="301"/>
      <c r="B498" s="312"/>
      <c r="C498" s="304"/>
      <c r="D498" s="304"/>
      <c r="E498" s="304"/>
    </row>
    <row r="499" ht="30.0" customHeight="1">
      <c r="A499" s="301"/>
      <c r="B499" s="312"/>
      <c r="C499" s="304"/>
      <c r="D499" s="304"/>
      <c r="E499" s="304"/>
    </row>
    <row r="500" ht="30.0" customHeight="1">
      <c r="A500" s="301"/>
      <c r="B500" s="312"/>
      <c r="C500" s="304"/>
      <c r="D500" s="304"/>
      <c r="E500" s="304"/>
    </row>
    <row r="501" ht="30.0" customHeight="1">
      <c r="A501" s="301"/>
      <c r="B501" s="312"/>
      <c r="C501" s="304"/>
      <c r="D501" s="304"/>
      <c r="E501" s="304"/>
    </row>
    <row r="502" ht="30.0" customHeight="1">
      <c r="A502" s="301"/>
      <c r="B502" s="312"/>
      <c r="C502" s="304"/>
      <c r="D502" s="304"/>
      <c r="E502" s="304"/>
    </row>
    <row r="503" ht="30.0" customHeight="1">
      <c r="A503" s="301"/>
      <c r="B503" s="312"/>
      <c r="C503" s="304"/>
      <c r="D503" s="304"/>
      <c r="E503" s="304"/>
    </row>
    <row r="504" ht="30.0" customHeight="1">
      <c r="A504" s="301"/>
      <c r="B504" s="312"/>
      <c r="C504" s="304"/>
      <c r="D504" s="304"/>
      <c r="E504" s="304"/>
    </row>
    <row r="505" ht="30.0" customHeight="1">
      <c r="A505" s="301"/>
      <c r="B505" s="312"/>
      <c r="C505" s="304"/>
      <c r="D505" s="304"/>
      <c r="E505" s="304"/>
    </row>
    <row r="506" ht="30.0" customHeight="1">
      <c r="A506" s="301"/>
      <c r="B506" s="312"/>
      <c r="C506" s="304"/>
      <c r="D506" s="304"/>
      <c r="E506" s="304"/>
    </row>
    <row r="507" ht="30.0" customHeight="1">
      <c r="A507" s="301"/>
      <c r="B507" s="312"/>
      <c r="C507" s="304"/>
      <c r="D507" s="304"/>
      <c r="E507" s="304"/>
    </row>
    <row r="508" ht="30.0" customHeight="1">
      <c r="A508" s="301"/>
      <c r="B508" s="312"/>
      <c r="C508" s="304"/>
      <c r="D508" s="304"/>
      <c r="E508" s="304"/>
    </row>
    <row r="509" ht="30.0" customHeight="1">
      <c r="A509" s="301"/>
      <c r="B509" s="312"/>
      <c r="C509" s="304"/>
      <c r="D509" s="304"/>
      <c r="E509" s="304"/>
    </row>
    <row r="510" ht="30.0" customHeight="1">
      <c r="A510" s="301"/>
      <c r="B510" s="312"/>
      <c r="C510" s="304"/>
      <c r="D510" s="304"/>
      <c r="E510" s="304"/>
    </row>
    <row r="511" ht="30.0" customHeight="1">
      <c r="A511" s="301"/>
      <c r="B511" s="312"/>
      <c r="C511" s="304"/>
      <c r="D511" s="304"/>
      <c r="E511" s="304"/>
    </row>
    <row r="512" ht="30.0" customHeight="1">
      <c r="A512" s="301"/>
      <c r="B512" s="312"/>
      <c r="C512" s="304"/>
      <c r="D512" s="304"/>
      <c r="E512" s="304"/>
    </row>
    <row r="513" ht="30.0" customHeight="1">
      <c r="A513" s="301"/>
      <c r="B513" s="312"/>
      <c r="C513" s="304"/>
      <c r="D513" s="304"/>
      <c r="E513" s="304"/>
    </row>
    <row r="514" ht="30.0" customHeight="1">
      <c r="A514" s="301"/>
      <c r="B514" s="312"/>
      <c r="C514" s="304"/>
      <c r="D514" s="304"/>
      <c r="E514" s="304"/>
    </row>
    <row r="515" ht="30.0" customHeight="1">
      <c r="A515" s="301"/>
      <c r="B515" s="312"/>
      <c r="C515" s="304"/>
      <c r="D515" s="304"/>
      <c r="E515" s="304"/>
    </row>
    <row r="516" ht="30.0" customHeight="1">
      <c r="A516" s="301"/>
      <c r="B516" s="312"/>
      <c r="C516" s="304"/>
      <c r="D516" s="304"/>
      <c r="E516" s="304"/>
    </row>
    <row r="517" ht="30.0" customHeight="1">
      <c r="A517" s="301"/>
      <c r="B517" s="312"/>
      <c r="C517" s="304"/>
      <c r="D517" s="304"/>
      <c r="E517" s="304"/>
    </row>
    <row r="518" ht="30.0" customHeight="1">
      <c r="A518" s="301"/>
      <c r="B518" s="312"/>
      <c r="C518" s="304"/>
      <c r="D518" s="304"/>
      <c r="E518" s="304"/>
    </row>
    <row r="519" ht="30.0" customHeight="1">
      <c r="A519" s="301"/>
      <c r="B519" s="312"/>
      <c r="C519" s="304"/>
      <c r="D519" s="304"/>
      <c r="E519" s="304"/>
    </row>
    <row r="520" ht="30.0" customHeight="1">
      <c r="A520" s="301"/>
      <c r="B520" s="312"/>
      <c r="C520" s="304"/>
      <c r="D520" s="304"/>
      <c r="E520" s="304"/>
    </row>
    <row r="521" ht="30.0" customHeight="1">
      <c r="A521" s="301"/>
      <c r="B521" s="312"/>
      <c r="C521" s="304"/>
      <c r="D521" s="304"/>
      <c r="E521" s="304"/>
    </row>
    <row r="522" ht="30.0" customHeight="1">
      <c r="A522" s="301"/>
      <c r="B522" s="312"/>
      <c r="C522" s="304"/>
      <c r="D522" s="304"/>
      <c r="E522" s="304"/>
    </row>
    <row r="523" ht="30.0" customHeight="1">
      <c r="A523" s="301"/>
      <c r="B523" s="312"/>
      <c r="C523" s="304"/>
      <c r="D523" s="304"/>
      <c r="E523" s="304"/>
    </row>
    <row r="524" ht="30.0" customHeight="1">
      <c r="A524" s="301"/>
      <c r="B524" s="312"/>
      <c r="C524" s="304"/>
      <c r="D524" s="304"/>
      <c r="E524" s="304"/>
    </row>
    <row r="525" ht="30.0" customHeight="1">
      <c r="A525" s="301"/>
      <c r="B525" s="312"/>
      <c r="C525" s="304"/>
      <c r="D525" s="304"/>
      <c r="E525" s="304"/>
    </row>
    <row r="526" ht="30.0" customHeight="1">
      <c r="A526" s="301"/>
      <c r="B526" s="312"/>
      <c r="C526" s="304"/>
      <c r="D526" s="304"/>
      <c r="E526" s="304"/>
    </row>
    <row r="527" ht="30.0" customHeight="1">
      <c r="A527" s="301"/>
      <c r="B527" s="312"/>
      <c r="C527" s="304"/>
      <c r="D527" s="304"/>
      <c r="E527" s="304"/>
    </row>
    <row r="528" ht="30.0" customHeight="1">
      <c r="A528" s="301"/>
      <c r="B528" s="312"/>
      <c r="C528" s="304"/>
      <c r="D528" s="304"/>
      <c r="E528" s="304"/>
    </row>
    <row r="529" ht="30.0" customHeight="1">
      <c r="A529" s="301"/>
      <c r="B529" s="312"/>
      <c r="C529" s="304"/>
      <c r="D529" s="304"/>
      <c r="E529" s="304"/>
    </row>
    <row r="530" ht="30.0" customHeight="1">
      <c r="A530" s="301"/>
      <c r="B530" s="312"/>
      <c r="C530" s="304"/>
      <c r="D530" s="304"/>
      <c r="E530" s="304"/>
    </row>
    <row r="531" ht="30.0" customHeight="1">
      <c r="A531" s="301"/>
      <c r="B531" s="312"/>
      <c r="C531" s="304"/>
      <c r="D531" s="304"/>
      <c r="E531" s="304"/>
    </row>
    <row r="532" ht="30.0" customHeight="1">
      <c r="A532" s="301"/>
      <c r="B532" s="312"/>
      <c r="C532" s="304"/>
      <c r="D532" s="304"/>
      <c r="E532" s="304"/>
    </row>
    <row r="533" ht="30.0" customHeight="1">
      <c r="A533" s="301"/>
      <c r="B533" s="312"/>
      <c r="C533" s="304"/>
      <c r="D533" s="304"/>
      <c r="E533" s="304"/>
    </row>
    <row r="534" ht="30.0" customHeight="1">
      <c r="A534" s="301"/>
      <c r="B534" s="312"/>
      <c r="C534" s="304"/>
      <c r="D534" s="304"/>
      <c r="E534" s="304"/>
    </row>
    <row r="535" ht="30.0" customHeight="1">
      <c r="A535" s="301"/>
      <c r="B535" s="312"/>
      <c r="C535" s="304"/>
      <c r="D535" s="304"/>
      <c r="E535" s="304"/>
    </row>
    <row r="536" ht="30.0" customHeight="1">
      <c r="A536" s="301"/>
      <c r="B536" s="312"/>
      <c r="C536" s="304"/>
      <c r="D536" s="304"/>
      <c r="E536" s="304"/>
    </row>
    <row r="537" ht="30.0" customHeight="1">
      <c r="A537" s="301"/>
      <c r="B537" s="312"/>
      <c r="C537" s="304"/>
      <c r="D537" s="304"/>
      <c r="E537" s="304"/>
    </row>
    <row r="538" ht="30.0" customHeight="1">
      <c r="A538" s="301"/>
      <c r="B538" s="312"/>
      <c r="C538" s="304"/>
      <c r="D538" s="304"/>
      <c r="E538" s="304"/>
    </row>
    <row r="539" ht="30.0" customHeight="1">
      <c r="A539" s="301"/>
      <c r="B539" s="312"/>
      <c r="C539" s="304"/>
      <c r="D539" s="304"/>
      <c r="E539" s="304"/>
    </row>
    <row r="540" ht="30.0" customHeight="1">
      <c r="A540" s="301"/>
      <c r="B540" s="312"/>
      <c r="C540" s="304"/>
      <c r="D540" s="304"/>
      <c r="E540" s="304"/>
    </row>
    <row r="541" ht="30.0" customHeight="1">
      <c r="A541" s="301"/>
      <c r="B541" s="312"/>
      <c r="C541" s="304"/>
      <c r="D541" s="304"/>
      <c r="E541" s="304"/>
    </row>
    <row r="542" ht="30.0" customHeight="1">
      <c r="A542" s="301"/>
      <c r="B542" s="312"/>
      <c r="C542" s="304"/>
      <c r="D542" s="304"/>
      <c r="E542" s="304"/>
    </row>
    <row r="543" ht="30.0" customHeight="1">
      <c r="A543" s="301"/>
      <c r="B543" s="312"/>
      <c r="C543" s="304"/>
      <c r="D543" s="304"/>
      <c r="E543" s="304"/>
    </row>
    <row r="544" ht="30.0" customHeight="1">
      <c r="A544" s="301"/>
      <c r="B544" s="312"/>
      <c r="C544" s="304"/>
      <c r="D544" s="304"/>
      <c r="E544" s="304"/>
    </row>
    <row r="545" ht="30.0" customHeight="1">
      <c r="A545" s="301"/>
      <c r="B545" s="312"/>
      <c r="C545" s="304"/>
      <c r="D545" s="304"/>
      <c r="E545" s="304"/>
    </row>
    <row r="546" ht="30.0" customHeight="1">
      <c r="A546" s="301"/>
      <c r="B546" s="312"/>
      <c r="C546" s="304"/>
      <c r="D546" s="304"/>
      <c r="E546" s="304"/>
    </row>
    <row r="547" ht="30.0" customHeight="1">
      <c r="A547" s="301"/>
      <c r="B547" s="312"/>
      <c r="C547" s="304"/>
      <c r="D547" s="304"/>
      <c r="E547" s="304"/>
    </row>
    <row r="548" ht="30.0" customHeight="1">
      <c r="A548" s="301"/>
      <c r="B548" s="312"/>
      <c r="C548" s="304"/>
      <c r="D548" s="304"/>
      <c r="E548" s="304"/>
    </row>
    <row r="549" ht="30.0" customHeight="1">
      <c r="A549" s="301"/>
      <c r="B549" s="312"/>
      <c r="C549" s="304"/>
      <c r="D549" s="304"/>
      <c r="E549" s="304"/>
    </row>
    <row r="550" ht="30.0" customHeight="1">
      <c r="A550" s="301"/>
      <c r="B550" s="312"/>
      <c r="C550" s="304"/>
      <c r="D550" s="304"/>
      <c r="E550" s="304"/>
    </row>
    <row r="551" ht="30.0" customHeight="1">
      <c r="A551" s="301"/>
      <c r="B551" s="312"/>
      <c r="C551" s="304"/>
      <c r="D551" s="304"/>
      <c r="E551" s="304"/>
    </row>
    <row r="552" ht="30.0" customHeight="1">
      <c r="A552" s="301"/>
      <c r="B552" s="312"/>
      <c r="C552" s="304"/>
      <c r="D552" s="304"/>
      <c r="E552" s="304"/>
    </row>
    <row r="553" ht="30.0" customHeight="1">
      <c r="A553" s="301"/>
      <c r="B553" s="312"/>
      <c r="C553" s="304"/>
      <c r="D553" s="304"/>
      <c r="E553" s="304"/>
    </row>
    <row r="554" ht="30.0" customHeight="1">
      <c r="A554" s="301"/>
      <c r="B554" s="312"/>
      <c r="C554" s="304"/>
      <c r="D554" s="304"/>
      <c r="E554" s="304"/>
    </row>
    <row r="555" ht="30.0" customHeight="1">
      <c r="A555" s="301"/>
      <c r="B555" s="312"/>
      <c r="C555" s="304"/>
      <c r="D555" s="304"/>
      <c r="E555" s="304"/>
    </row>
    <row r="556" ht="30.0" customHeight="1">
      <c r="A556" s="301"/>
      <c r="B556" s="312"/>
      <c r="C556" s="304"/>
      <c r="D556" s="304"/>
      <c r="E556" s="304"/>
    </row>
    <row r="557" ht="30.0" customHeight="1">
      <c r="A557" s="301"/>
      <c r="B557" s="312"/>
      <c r="C557" s="304"/>
      <c r="D557" s="304"/>
      <c r="E557" s="304"/>
    </row>
    <row r="558" ht="30.0" customHeight="1">
      <c r="A558" s="301"/>
      <c r="B558" s="312"/>
      <c r="C558" s="304"/>
      <c r="D558" s="304"/>
      <c r="E558" s="304"/>
    </row>
    <row r="559" ht="30.0" customHeight="1">
      <c r="A559" s="301"/>
      <c r="B559" s="312"/>
      <c r="C559" s="304"/>
      <c r="D559" s="304"/>
      <c r="E559" s="304"/>
    </row>
    <row r="560" ht="30.0" customHeight="1">
      <c r="A560" s="301"/>
      <c r="B560" s="312"/>
      <c r="C560" s="304"/>
      <c r="D560" s="304"/>
      <c r="E560" s="304"/>
    </row>
    <row r="561" ht="30.0" customHeight="1">
      <c r="A561" s="301"/>
      <c r="B561" s="312"/>
      <c r="C561" s="304"/>
      <c r="D561" s="304"/>
      <c r="E561" s="304"/>
    </row>
    <row r="562" ht="30.0" customHeight="1">
      <c r="A562" s="301"/>
      <c r="B562" s="312"/>
      <c r="C562" s="304"/>
      <c r="D562" s="304"/>
      <c r="E562" s="304"/>
    </row>
    <row r="563" ht="30.0" customHeight="1">
      <c r="A563" s="301"/>
      <c r="B563" s="312"/>
      <c r="C563" s="304"/>
      <c r="D563" s="304"/>
      <c r="E563" s="304"/>
    </row>
    <row r="564" ht="30.0" customHeight="1">
      <c r="A564" s="301"/>
      <c r="B564" s="312"/>
      <c r="C564" s="304"/>
      <c r="D564" s="304"/>
      <c r="E564" s="304"/>
    </row>
    <row r="565" ht="30.0" customHeight="1">
      <c r="A565" s="301"/>
      <c r="B565" s="312"/>
      <c r="C565" s="304"/>
      <c r="D565" s="304"/>
      <c r="E565" s="304"/>
    </row>
    <row r="566" ht="30.0" customHeight="1">
      <c r="A566" s="301"/>
      <c r="B566" s="312"/>
      <c r="C566" s="304"/>
      <c r="D566" s="304"/>
      <c r="E566" s="304"/>
    </row>
    <row r="567" ht="30.0" customHeight="1">
      <c r="A567" s="301"/>
      <c r="B567" s="312"/>
      <c r="C567" s="304"/>
      <c r="D567" s="304"/>
      <c r="E567" s="304"/>
    </row>
    <row r="568" ht="30.0" customHeight="1">
      <c r="A568" s="301"/>
      <c r="B568" s="312"/>
      <c r="C568" s="304"/>
      <c r="D568" s="304"/>
      <c r="E568" s="304"/>
    </row>
    <row r="569" ht="30.0" customHeight="1">
      <c r="A569" s="301"/>
      <c r="B569" s="312"/>
      <c r="C569" s="304"/>
      <c r="D569" s="304"/>
      <c r="E569" s="304"/>
    </row>
    <row r="570" ht="30.0" customHeight="1">
      <c r="A570" s="301"/>
      <c r="B570" s="312"/>
      <c r="C570" s="304"/>
      <c r="D570" s="304"/>
      <c r="E570" s="304"/>
    </row>
    <row r="571" ht="30.0" customHeight="1">
      <c r="A571" s="301"/>
      <c r="B571" s="312"/>
      <c r="C571" s="304"/>
      <c r="D571" s="304"/>
      <c r="E571" s="304"/>
    </row>
    <row r="572" ht="30.0" customHeight="1">
      <c r="A572" s="301"/>
      <c r="B572" s="312"/>
      <c r="C572" s="304"/>
      <c r="D572" s="304"/>
      <c r="E572" s="304"/>
    </row>
    <row r="573" ht="30.0" customHeight="1">
      <c r="A573" s="301"/>
      <c r="B573" s="312"/>
      <c r="C573" s="304"/>
      <c r="D573" s="304"/>
      <c r="E573" s="304"/>
    </row>
    <row r="574" ht="30.0" customHeight="1">
      <c r="A574" s="301"/>
      <c r="B574" s="312"/>
      <c r="C574" s="304"/>
      <c r="D574" s="304"/>
      <c r="E574" s="304"/>
    </row>
    <row r="575" ht="30.0" customHeight="1">
      <c r="A575" s="301"/>
      <c r="B575" s="312"/>
      <c r="C575" s="304"/>
      <c r="D575" s="304"/>
      <c r="E575" s="304"/>
    </row>
    <row r="576" ht="30.0" customHeight="1">
      <c r="A576" s="301"/>
      <c r="B576" s="312"/>
      <c r="C576" s="304"/>
      <c r="D576" s="304"/>
      <c r="E576" s="304"/>
    </row>
    <row r="577" ht="30.0" customHeight="1">
      <c r="A577" s="301"/>
      <c r="B577" s="312"/>
      <c r="C577" s="304"/>
      <c r="D577" s="304"/>
      <c r="E577" s="304"/>
    </row>
    <row r="578" ht="30.0" customHeight="1">
      <c r="A578" s="301"/>
      <c r="B578" s="312"/>
      <c r="C578" s="304"/>
      <c r="D578" s="304"/>
      <c r="E578" s="304"/>
    </row>
    <row r="579" ht="30.0" customHeight="1">
      <c r="A579" s="301"/>
      <c r="B579" s="312"/>
      <c r="C579" s="304"/>
      <c r="D579" s="304"/>
      <c r="E579" s="304"/>
    </row>
    <row r="580" ht="30.0" customHeight="1">
      <c r="A580" s="301"/>
      <c r="B580" s="312"/>
      <c r="C580" s="304"/>
      <c r="D580" s="304"/>
      <c r="E580" s="304"/>
    </row>
    <row r="581" ht="30.0" customHeight="1">
      <c r="A581" s="301"/>
      <c r="B581" s="312"/>
      <c r="C581" s="304"/>
      <c r="D581" s="304"/>
      <c r="E581" s="304"/>
    </row>
    <row r="582" ht="30.0" customHeight="1">
      <c r="A582" s="301"/>
      <c r="B582" s="312"/>
      <c r="C582" s="304"/>
      <c r="D582" s="304"/>
      <c r="E582" s="304"/>
    </row>
    <row r="583" ht="30.0" customHeight="1">
      <c r="A583" s="301"/>
      <c r="B583" s="312"/>
      <c r="C583" s="304"/>
      <c r="D583" s="304"/>
      <c r="E583" s="304"/>
    </row>
    <row r="584" ht="30.0" customHeight="1">
      <c r="A584" s="301"/>
      <c r="B584" s="312"/>
      <c r="C584" s="304"/>
      <c r="D584" s="304"/>
      <c r="E584" s="304"/>
    </row>
    <row r="585" ht="30.0" customHeight="1">
      <c r="A585" s="301"/>
      <c r="B585" s="312"/>
      <c r="C585" s="304"/>
      <c r="D585" s="304"/>
      <c r="E585" s="304"/>
    </row>
    <row r="586" ht="30.0" customHeight="1">
      <c r="A586" s="301"/>
      <c r="B586" s="312"/>
      <c r="C586" s="304"/>
      <c r="D586" s="304"/>
      <c r="E586" s="304"/>
    </row>
    <row r="587" ht="30.0" customHeight="1">
      <c r="A587" s="301"/>
      <c r="B587" s="312"/>
      <c r="C587" s="304"/>
      <c r="D587" s="304"/>
      <c r="E587" s="304"/>
    </row>
    <row r="588" ht="30.0" customHeight="1">
      <c r="A588" s="301"/>
      <c r="B588" s="312"/>
      <c r="C588" s="304"/>
      <c r="D588" s="304"/>
      <c r="E588" s="304"/>
    </row>
    <row r="589" ht="30.0" customHeight="1">
      <c r="A589" s="301"/>
      <c r="B589" s="312"/>
      <c r="C589" s="304"/>
      <c r="D589" s="304"/>
      <c r="E589" s="304"/>
    </row>
    <row r="590" ht="30.0" customHeight="1">
      <c r="A590" s="301"/>
      <c r="B590" s="312"/>
      <c r="C590" s="304"/>
      <c r="D590" s="304"/>
      <c r="E590" s="304"/>
    </row>
    <row r="591" ht="30.0" customHeight="1">
      <c r="A591" s="301"/>
      <c r="B591" s="312"/>
      <c r="C591" s="304"/>
      <c r="D591" s="304"/>
      <c r="E591" s="304"/>
    </row>
    <row r="592" ht="30.0" customHeight="1">
      <c r="A592" s="301"/>
      <c r="B592" s="312"/>
      <c r="C592" s="304"/>
      <c r="D592" s="304"/>
      <c r="E592" s="304"/>
    </row>
    <row r="593" ht="30.0" customHeight="1">
      <c r="A593" s="301"/>
      <c r="B593" s="312"/>
      <c r="C593" s="304"/>
      <c r="D593" s="304"/>
      <c r="E593" s="304"/>
    </row>
    <row r="594" ht="30.0" customHeight="1">
      <c r="A594" s="301"/>
      <c r="B594" s="312"/>
      <c r="C594" s="304"/>
      <c r="D594" s="304"/>
      <c r="E594" s="304"/>
    </row>
    <row r="595" ht="30.0" customHeight="1">
      <c r="A595" s="301"/>
      <c r="B595" s="312"/>
      <c r="C595" s="304"/>
      <c r="D595" s="304"/>
      <c r="E595" s="304"/>
    </row>
    <row r="596" ht="30.0" customHeight="1">
      <c r="A596" s="301"/>
      <c r="B596" s="312"/>
      <c r="C596" s="304"/>
      <c r="D596" s="304"/>
      <c r="E596" s="304"/>
    </row>
    <row r="597" ht="30.0" customHeight="1">
      <c r="A597" s="301"/>
      <c r="B597" s="312"/>
      <c r="C597" s="304"/>
      <c r="D597" s="304"/>
      <c r="E597" s="304"/>
    </row>
    <row r="598" ht="30.0" customHeight="1">
      <c r="A598" s="301"/>
      <c r="B598" s="312"/>
      <c r="C598" s="304"/>
      <c r="D598" s="304"/>
      <c r="E598" s="304"/>
    </row>
    <row r="599" ht="30.0" customHeight="1">
      <c r="A599" s="301"/>
      <c r="B599" s="312"/>
      <c r="C599" s="304"/>
      <c r="D599" s="304"/>
      <c r="E599" s="304"/>
    </row>
    <row r="600" ht="30.0" customHeight="1">
      <c r="A600" s="301"/>
      <c r="B600" s="312"/>
      <c r="C600" s="304"/>
      <c r="D600" s="304"/>
      <c r="E600" s="304"/>
    </row>
    <row r="601" ht="30.0" customHeight="1">
      <c r="A601" s="301"/>
      <c r="B601" s="312"/>
      <c r="C601" s="304"/>
      <c r="D601" s="304"/>
      <c r="E601" s="304"/>
    </row>
    <row r="602" ht="30.0" customHeight="1">
      <c r="A602" s="301"/>
      <c r="B602" s="312"/>
      <c r="C602" s="304"/>
      <c r="D602" s="304"/>
      <c r="E602" s="304"/>
    </row>
    <row r="603" ht="30.0" customHeight="1">
      <c r="A603" s="301"/>
      <c r="B603" s="312"/>
      <c r="C603" s="304"/>
      <c r="D603" s="304"/>
      <c r="E603" s="304"/>
    </row>
    <row r="604" ht="30.0" customHeight="1">
      <c r="A604" s="301"/>
      <c r="B604" s="312"/>
      <c r="C604" s="304"/>
      <c r="D604" s="304"/>
      <c r="E604" s="304"/>
    </row>
    <row r="605" ht="30.0" customHeight="1">
      <c r="A605" s="301"/>
      <c r="B605" s="312"/>
      <c r="C605" s="304"/>
      <c r="D605" s="304"/>
      <c r="E605" s="304"/>
    </row>
    <row r="606" ht="30.0" customHeight="1">
      <c r="A606" s="301"/>
      <c r="B606" s="312"/>
      <c r="C606" s="304"/>
      <c r="D606" s="304"/>
      <c r="E606" s="304"/>
    </row>
    <row r="607" ht="30.0" customHeight="1">
      <c r="A607" s="301"/>
      <c r="B607" s="312"/>
      <c r="C607" s="304"/>
      <c r="D607" s="304"/>
      <c r="E607" s="304"/>
    </row>
    <row r="608" ht="30.0" customHeight="1">
      <c r="A608" s="301"/>
      <c r="B608" s="312"/>
      <c r="C608" s="304"/>
      <c r="D608" s="304"/>
      <c r="E608" s="304"/>
    </row>
    <row r="609" ht="30.0" customHeight="1">
      <c r="A609" s="301"/>
      <c r="B609" s="312"/>
      <c r="C609" s="304"/>
      <c r="D609" s="304"/>
      <c r="E609" s="304"/>
    </row>
    <row r="610" ht="30.0" customHeight="1">
      <c r="A610" s="301"/>
      <c r="B610" s="312"/>
      <c r="C610" s="304"/>
      <c r="D610" s="304"/>
      <c r="E610" s="304"/>
    </row>
    <row r="611" ht="30.0" customHeight="1">
      <c r="A611" s="301"/>
      <c r="B611" s="312"/>
      <c r="C611" s="304"/>
      <c r="D611" s="304"/>
      <c r="E611" s="304"/>
    </row>
    <row r="612" ht="30.0" customHeight="1">
      <c r="A612" s="301"/>
      <c r="B612" s="312"/>
      <c r="C612" s="304"/>
      <c r="D612" s="304"/>
      <c r="E612" s="304"/>
    </row>
    <row r="613" ht="30.0" customHeight="1">
      <c r="A613" s="301"/>
      <c r="B613" s="312"/>
      <c r="C613" s="304"/>
      <c r="D613" s="304"/>
      <c r="E613" s="304"/>
    </row>
    <row r="614" ht="30.0" customHeight="1">
      <c r="A614" s="301"/>
      <c r="B614" s="312"/>
      <c r="C614" s="304"/>
      <c r="D614" s="304"/>
      <c r="E614" s="304"/>
    </row>
    <row r="615" ht="30.0" customHeight="1">
      <c r="A615" s="301"/>
      <c r="B615" s="312"/>
      <c r="C615" s="304"/>
      <c r="D615" s="304"/>
      <c r="E615" s="304"/>
    </row>
    <row r="616" ht="30.0" customHeight="1">
      <c r="A616" s="301"/>
      <c r="B616" s="312"/>
      <c r="C616" s="304"/>
      <c r="D616" s="304"/>
      <c r="E616" s="304"/>
    </row>
    <row r="617" ht="30.0" customHeight="1">
      <c r="A617" s="301"/>
      <c r="B617" s="312"/>
      <c r="C617" s="304"/>
      <c r="D617" s="304"/>
      <c r="E617" s="304"/>
    </row>
    <row r="618" ht="30.0" customHeight="1">
      <c r="A618" s="301"/>
      <c r="B618" s="312"/>
      <c r="C618" s="304"/>
      <c r="D618" s="304"/>
      <c r="E618" s="304"/>
    </row>
    <row r="619" ht="30.0" customHeight="1">
      <c r="A619" s="301"/>
      <c r="B619" s="312"/>
      <c r="C619" s="304"/>
      <c r="D619" s="304"/>
      <c r="E619" s="304"/>
    </row>
    <row r="620" ht="30.0" customHeight="1">
      <c r="A620" s="301"/>
      <c r="B620" s="312"/>
      <c r="C620" s="304"/>
      <c r="D620" s="304"/>
      <c r="E620" s="304"/>
    </row>
    <row r="621" ht="30.0" customHeight="1">
      <c r="A621" s="301"/>
      <c r="B621" s="312"/>
      <c r="C621" s="304"/>
      <c r="D621" s="304"/>
      <c r="E621" s="304"/>
    </row>
    <row r="622" ht="30.0" customHeight="1">
      <c r="A622" s="301"/>
      <c r="B622" s="312"/>
      <c r="C622" s="304"/>
      <c r="D622" s="304"/>
      <c r="E622" s="304"/>
    </row>
    <row r="623" ht="30.0" customHeight="1">
      <c r="A623" s="301"/>
      <c r="B623" s="312"/>
      <c r="C623" s="304"/>
      <c r="D623" s="304"/>
      <c r="E623" s="304"/>
    </row>
    <row r="624" ht="30.0" customHeight="1">
      <c r="A624" s="301"/>
      <c r="B624" s="312"/>
      <c r="C624" s="304"/>
      <c r="D624" s="304"/>
      <c r="E624" s="304"/>
    </row>
    <row r="625" ht="30.0" customHeight="1">
      <c r="A625" s="301"/>
      <c r="B625" s="312"/>
      <c r="C625" s="304"/>
      <c r="D625" s="304"/>
      <c r="E625" s="304"/>
    </row>
    <row r="626" ht="30.0" customHeight="1">
      <c r="A626" s="301"/>
      <c r="B626" s="312"/>
      <c r="C626" s="304"/>
      <c r="D626" s="304"/>
      <c r="E626" s="304"/>
    </row>
    <row r="627" ht="30.0" customHeight="1">
      <c r="A627" s="301"/>
      <c r="B627" s="312"/>
      <c r="C627" s="304"/>
      <c r="D627" s="304"/>
      <c r="E627" s="304"/>
    </row>
    <row r="628" ht="30.0" customHeight="1">
      <c r="A628" s="301"/>
      <c r="B628" s="312"/>
      <c r="C628" s="304"/>
      <c r="D628" s="304"/>
      <c r="E628" s="304"/>
    </row>
    <row r="629" ht="30.0" customHeight="1">
      <c r="A629" s="301"/>
      <c r="B629" s="312"/>
      <c r="C629" s="304"/>
      <c r="D629" s="304"/>
      <c r="E629" s="304"/>
    </row>
    <row r="630" ht="30.0" customHeight="1">
      <c r="A630" s="301"/>
      <c r="B630" s="312"/>
      <c r="C630" s="304"/>
      <c r="D630" s="304"/>
      <c r="E630" s="304"/>
    </row>
    <row r="631" ht="30.0" customHeight="1">
      <c r="A631" s="301"/>
      <c r="B631" s="312"/>
      <c r="C631" s="304"/>
      <c r="D631" s="304"/>
      <c r="E631" s="304"/>
    </row>
    <row r="632" ht="30.0" customHeight="1">
      <c r="A632" s="301"/>
      <c r="B632" s="312"/>
      <c r="C632" s="304"/>
      <c r="D632" s="304"/>
      <c r="E632" s="304"/>
    </row>
    <row r="633" ht="30.0" customHeight="1">
      <c r="A633" s="301"/>
      <c r="B633" s="312"/>
      <c r="C633" s="304"/>
      <c r="D633" s="304"/>
      <c r="E633" s="304"/>
    </row>
    <row r="634" ht="30.0" customHeight="1">
      <c r="A634" s="301"/>
      <c r="B634" s="312"/>
      <c r="C634" s="304"/>
      <c r="D634" s="304"/>
      <c r="E634" s="304"/>
    </row>
    <row r="635" ht="30.0" customHeight="1">
      <c r="A635" s="301"/>
      <c r="B635" s="312"/>
      <c r="C635" s="304"/>
      <c r="D635" s="304"/>
      <c r="E635" s="304"/>
    </row>
    <row r="636" ht="30.0" customHeight="1">
      <c r="A636" s="301"/>
      <c r="B636" s="312"/>
      <c r="C636" s="304"/>
      <c r="D636" s="304"/>
      <c r="E636" s="304"/>
    </row>
    <row r="637" ht="30.0" customHeight="1">
      <c r="A637" s="301"/>
      <c r="B637" s="312"/>
      <c r="C637" s="304"/>
      <c r="D637" s="304"/>
      <c r="E637" s="304"/>
    </row>
    <row r="638" ht="30.0" customHeight="1">
      <c r="A638" s="301"/>
      <c r="B638" s="312"/>
      <c r="C638" s="304"/>
      <c r="D638" s="304"/>
      <c r="E638" s="304"/>
    </row>
    <row r="639" ht="30.0" customHeight="1">
      <c r="A639" s="301"/>
      <c r="B639" s="312"/>
      <c r="C639" s="304"/>
      <c r="D639" s="304"/>
      <c r="E639" s="304"/>
    </row>
    <row r="640" ht="30.0" customHeight="1">
      <c r="A640" s="301"/>
      <c r="B640" s="312"/>
      <c r="C640" s="304"/>
      <c r="D640" s="304"/>
      <c r="E640" s="304"/>
    </row>
    <row r="641" ht="30.0" customHeight="1">
      <c r="A641" s="301"/>
      <c r="B641" s="312"/>
      <c r="C641" s="304"/>
      <c r="D641" s="304"/>
      <c r="E641" s="304"/>
    </row>
    <row r="642" ht="30.0" customHeight="1">
      <c r="A642" s="301"/>
      <c r="B642" s="312"/>
      <c r="C642" s="304"/>
      <c r="D642" s="304"/>
      <c r="E642" s="304"/>
    </row>
    <row r="643" ht="30.0" customHeight="1">
      <c r="A643" s="301"/>
      <c r="B643" s="312"/>
      <c r="C643" s="304"/>
      <c r="D643" s="304"/>
      <c r="E643" s="304"/>
    </row>
    <row r="644" ht="30.0" customHeight="1">
      <c r="A644" s="301"/>
      <c r="B644" s="312"/>
      <c r="C644" s="304"/>
      <c r="D644" s="304"/>
      <c r="E644" s="304"/>
    </row>
    <row r="645" ht="30.0" customHeight="1">
      <c r="A645" s="301"/>
      <c r="B645" s="312"/>
      <c r="C645" s="304"/>
      <c r="D645" s="304"/>
      <c r="E645" s="304"/>
    </row>
    <row r="646" ht="30.0" customHeight="1">
      <c r="A646" s="301"/>
      <c r="B646" s="312"/>
      <c r="C646" s="304"/>
      <c r="D646" s="304"/>
      <c r="E646" s="304"/>
    </row>
    <row r="647" ht="30.0" customHeight="1">
      <c r="A647" s="301"/>
      <c r="B647" s="312"/>
      <c r="C647" s="304"/>
      <c r="D647" s="304"/>
      <c r="E647" s="304"/>
    </row>
    <row r="648" ht="30.0" customHeight="1">
      <c r="A648" s="301"/>
      <c r="B648" s="312"/>
      <c r="C648" s="304"/>
      <c r="D648" s="304"/>
      <c r="E648" s="304"/>
    </row>
    <row r="649" ht="30.0" customHeight="1">
      <c r="A649" s="301"/>
      <c r="B649" s="312"/>
      <c r="C649" s="304"/>
      <c r="D649" s="304"/>
      <c r="E649" s="304"/>
    </row>
    <row r="650" ht="30.0" customHeight="1">
      <c r="A650" s="301"/>
      <c r="B650" s="312"/>
      <c r="C650" s="304"/>
      <c r="D650" s="304"/>
      <c r="E650" s="304"/>
    </row>
    <row r="651" ht="30.0" customHeight="1">
      <c r="A651" s="301"/>
      <c r="B651" s="312"/>
      <c r="C651" s="304"/>
      <c r="D651" s="304"/>
      <c r="E651" s="304"/>
    </row>
    <row r="652" ht="30.0" customHeight="1">
      <c r="A652" s="301"/>
      <c r="B652" s="312"/>
      <c r="C652" s="304"/>
      <c r="D652" s="304"/>
      <c r="E652" s="304"/>
    </row>
    <row r="653" ht="30.0" customHeight="1">
      <c r="A653" s="301"/>
      <c r="B653" s="312"/>
      <c r="C653" s="304"/>
      <c r="D653" s="304"/>
      <c r="E653" s="304"/>
    </row>
    <row r="654" ht="30.0" customHeight="1">
      <c r="A654" s="301"/>
      <c r="B654" s="312"/>
      <c r="C654" s="304"/>
      <c r="D654" s="304"/>
      <c r="E654" s="304"/>
    </row>
    <row r="655" ht="30.0" customHeight="1">
      <c r="A655" s="301"/>
      <c r="B655" s="312"/>
      <c r="C655" s="304"/>
      <c r="D655" s="304"/>
      <c r="E655" s="304"/>
    </row>
    <row r="656" ht="30.0" customHeight="1">
      <c r="A656" s="301"/>
      <c r="B656" s="312"/>
      <c r="C656" s="304"/>
      <c r="D656" s="304"/>
      <c r="E656" s="304"/>
    </row>
    <row r="657" ht="30.0" customHeight="1">
      <c r="A657" s="301"/>
      <c r="B657" s="312"/>
      <c r="C657" s="304"/>
      <c r="D657" s="304"/>
      <c r="E657" s="304"/>
    </row>
    <row r="658" ht="30.0" customHeight="1">
      <c r="A658" s="301"/>
      <c r="B658" s="312"/>
      <c r="C658" s="304"/>
      <c r="D658" s="304"/>
      <c r="E658" s="304"/>
    </row>
    <row r="659" ht="30.0" customHeight="1">
      <c r="A659" s="301"/>
      <c r="B659" s="312"/>
      <c r="C659" s="304"/>
      <c r="D659" s="304"/>
      <c r="E659" s="304"/>
    </row>
    <row r="660" ht="30.0" customHeight="1">
      <c r="A660" s="301"/>
      <c r="B660" s="312"/>
      <c r="C660" s="304"/>
      <c r="D660" s="304"/>
      <c r="E660" s="304"/>
    </row>
    <row r="661" ht="30.0" customHeight="1">
      <c r="A661" s="301"/>
      <c r="B661" s="312"/>
      <c r="C661" s="304"/>
      <c r="D661" s="304"/>
      <c r="E661" s="304"/>
    </row>
    <row r="662" ht="30.0" customHeight="1">
      <c r="A662" s="301"/>
      <c r="B662" s="312"/>
      <c r="C662" s="304"/>
      <c r="D662" s="304"/>
      <c r="E662" s="304"/>
    </row>
    <row r="663" ht="30.0" customHeight="1">
      <c r="A663" s="301"/>
      <c r="B663" s="312"/>
      <c r="C663" s="304"/>
      <c r="D663" s="304"/>
      <c r="E663" s="304"/>
    </row>
    <row r="664" ht="30.0" customHeight="1">
      <c r="A664" s="301"/>
      <c r="B664" s="312"/>
      <c r="C664" s="304"/>
      <c r="D664" s="304"/>
      <c r="E664" s="304"/>
    </row>
    <row r="665" ht="30.0" customHeight="1">
      <c r="A665" s="301"/>
      <c r="B665" s="312"/>
      <c r="C665" s="304"/>
      <c r="D665" s="304"/>
      <c r="E665" s="304"/>
    </row>
    <row r="666" ht="30.0" customHeight="1">
      <c r="A666" s="301"/>
      <c r="B666" s="312"/>
      <c r="C666" s="304"/>
      <c r="D666" s="304"/>
      <c r="E666" s="304"/>
    </row>
    <row r="667" ht="30.0" customHeight="1">
      <c r="A667" s="301"/>
      <c r="B667" s="312"/>
      <c r="C667" s="304"/>
      <c r="D667" s="304"/>
      <c r="E667" s="304"/>
    </row>
    <row r="668" ht="30.0" customHeight="1">
      <c r="A668" s="301"/>
      <c r="B668" s="312"/>
      <c r="C668" s="304"/>
      <c r="D668" s="304"/>
      <c r="E668" s="304"/>
    </row>
    <row r="669" ht="30.0" customHeight="1">
      <c r="A669" s="301"/>
      <c r="B669" s="312"/>
      <c r="C669" s="304"/>
      <c r="D669" s="304"/>
      <c r="E669" s="304"/>
    </row>
    <row r="670" ht="30.0" customHeight="1">
      <c r="A670" s="301"/>
      <c r="B670" s="312"/>
      <c r="C670" s="304"/>
      <c r="D670" s="304"/>
      <c r="E670" s="304"/>
    </row>
    <row r="671" ht="30.0" customHeight="1">
      <c r="A671" s="301"/>
      <c r="B671" s="312"/>
      <c r="C671" s="304"/>
      <c r="D671" s="304"/>
      <c r="E671" s="304"/>
    </row>
    <row r="672" ht="30.0" customHeight="1">
      <c r="A672" s="301"/>
      <c r="B672" s="312"/>
      <c r="C672" s="304"/>
      <c r="D672" s="304"/>
      <c r="E672" s="304"/>
    </row>
    <row r="673" ht="30.0" customHeight="1">
      <c r="A673" s="301"/>
      <c r="B673" s="312"/>
      <c r="C673" s="304"/>
      <c r="D673" s="304"/>
      <c r="E673" s="304"/>
    </row>
    <row r="674" ht="30.0" customHeight="1">
      <c r="A674" s="301"/>
      <c r="B674" s="312"/>
      <c r="C674" s="304"/>
      <c r="D674" s="304"/>
      <c r="E674" s="304"/>
    </row>
    <row r="675" ht="30.0" customHeight="1">
      <c r="A675" s="301"/>
      <c r="B675" s="312"/>
      <c r="C675" s="304"/>
      <c r="D675" s="304"/>
      <c r="E675" s="304"/>
    </row>
    <row r="676" ht="30.0" customHeight="1">
      <c r="A676" s="301"/>
      <c r="B676" s="312"/>
      <c r="C676" s="304"/>
      <c r="D676" s="304"/>
      <c r="E676" s="304"/>
    </row>
    <row r="677" ht="30.0" customHeight="1">
      <c r="A677" s="301"/>
      <c r="B677" s="312"/>
      <c r="C677" s="304"/>
      <c r="D677" s="304"/>
      <c r="E677" s="304"/>
    </row>
    <row r="678" ht="30.0" customHeight="1">
      <c r="A678" s="301"/>
      <c r="B678" s="312"/>
      <c r="C678" s="304"/>
      <c r="D678" s="304"/>
      <c r="E678" s="304"/>
    </row>
    <row r="679" ht="30.0" customHeight="1">
      <c r="A679" s="301"/>
      <c r="B679" s="312"/>
      <c r="C679" s="304"/>
      <c r="D679" s="304"/>
      <c r="E679" s="304"/>
    </row>
    <row r="680" ht="30.0" customHeight="1">
      <c r="A680" s="301"/>
      <c r="B680" s="312"/>
      <c r="C680" s="304"/>
      <c r="D680" s="304"/>
      <c r="E680" s="304"/>
    </row>
    <row r="681" ht="30.0" customHeight="1">
      <c r="A681" s="301"/>
      <c r="B681" s="312"/>
      <c r="C681" s="304"/>
      <c r="D681" s="304"/>
      <c r="E681" s="304"/>
    </row>
    <row r="682" ht="30.0" customHeight="1">
      <c r="A682" s="301"/>
      <c r="B682" s="312"/>
      <c r="C682" s="304"/>
      <c r="D682" s="304"/>
      <c r="E682" s="304"/>
    </row>
    <row r="683" ht="30.0" customHeight="1">
      <c r="A683" s="301"/>
      <c r="B683" s="312"/>
      <c r="C683" s="304"/>
      <c r="D683" s="304"/>
      <c r="E683" s="304"/>
    </row>
    <row r="684" ht="30.0" customHeight="1">
      <c r="A684" s="301"/>
      <c r="B684" s="312"/>
      <c r="C684" s="304"/>
      <c r="D684" s="304"/>
      <c r="E684" s="304"/>
    </row>
    <row r="685" ht="30.0" customHeight="1">
      <c r="A685" s="301"/>
      <c r="B685" s="312"/>
      <c r="C685" s="304"/>
      <c r="D685" s="304"/>
      <c r="E685" s="304"/>
    </row>
    <row r="686" ht="30.0" customHeight="1">
      <c r="A686" s="301"/>
      <c r="B686" s="312"/>
      <c r="C686" s="304"/>
      <c r="D686" s="304"/>
      <c r="E686" s="304"/>
    </row>
    <row r="687" ht="30.0" customHeight="1">
      <c r="A687" s="301"/>
      <c r="B687" s="312"/>
      <c r="C687" s="304"/>
      <c r="D687" s="304"/>
      <c r="E687" s="304"/>
    </row>
    <row r="688" ht="30.0" customHeight="1">
      <c r="A688" s="301"/>
      <c r="B688" s="312"/>
      <c r="C688" s="304"/>
      <c r="D688" s="304"/>
      <c r="E688" s="304"/>
    </row>
    <row r="689" ht="30.0" customHeight="1">
      <c r="A689" s="301"/>
      <c r="B689" s="312"/>
      <c r="C689" s="304"/>
      <c r="D689" s="304"/>
      <c r="E689" s="304"/>
    </row>
    <row r="690" ht="30.0" customHeight="1">
      <c r="A690" s="301"/>
      <c r="B690" s="312"/>
      <c r="C690" s="304"/>
      <c r="D690" s="304"/>
      <c r="E690" s="304"/>
    </row>
    <row r="691" ht="30.0" customHeight="1">
      <c r="A691" s="301"/>
      <c r="B691" s="312"/>
      <c r="C691" s="304"/>
      <c r="D691" s="304"/>
      <c r="E691" s="304"/>
    </row>
    <row r="692" ht="30.0" customHeight="1">
      <c r="A692" s="301"/>
      <c r="B692" s="312"/>
      <c r="C692" s="304"/>
      <c r="D692" s="304"/>
      <c r="E692" s="304"/>
    </row>
    <row r="693" ht="30.0" customHeight="1">
      <c r="A693" s="301"/>
      <c r="B693" s="312"/>
      <c r="C693" s="304"/>
      <c r="D693" s="304"/>
      <c r="E693" s="304"/>
    </row>
    <row r="694" ht="30.0" customHeight="1">
      <c r="A694" s="301"/>
      <c r="B694" s="312"/>
      <c r="C694" s="304"/>
      <c r="D694" s="304"/>
      <c r="E694" s="304"/>
    </row>
    <row r="695" ht="30.0" customHeight="1">
      <c r="A695" s="301"/>
      <c r="B695" s="312"/>
      <c r="C695" s="304"/>
      <c r="D695" s="304"/>
      <c r="E695" s="304"/>
    </row>
    <row r="696" ht="30.0" customHeight="1">
      <c r="A696" s="301"/>
      <c r="B696" s="312"/>
      <c r="C696" s="304"/>
      <c r="D696" s="304"/>
      <c r="E696" s="304"/>
    </row>
    <row r="697" ht="30.0" customHeight="1">
      <c r="A697" s="301"/>
      <c r="B697" s="312"/>
      <c r="C697" s="304"/>
      <c r="D697" s="304"/>
      <c r="E697" s="304"/>
    </row>
    <row r="698" ht="30.0" customHeight="1">
      <c r="A698" s="301"/>
      <c r="B698" s="312"/>
      <c r="C698" s="304"/>
      <c r="D698" s="304"/>
      <c r="E698" s="304"/>
    </row>
    <row r="699" ht="30.0" customHeight="1">
      <c r="A699" s="301"/>
      <c r="B699" s="312"/>
      <c r="C699" s="304"/>
      <c r="D699" s="304"/>
      <c r="E699" s="304"/>
    </row>
    <row r="700" ht="30.0" customHeight="1">
      <c r="A700" s="301"/>
      <c r="B700" s="312"/>
      <c r="C700" s="304"/>
      <c r="D700" s="304"/>
      <c r="E700" s="304"/>
    </row>
    <row r="701" ht="30.0" customHeight="1">
      <c r="A701" s="301"/>
      <c r="B701" s="312"/>
      <c r="C701" s="304"/>
      <c r="D701" s="304"/>
      <c r="E701" s="304"/>
    </row>
    <row r="702" ht="30.0" customHeight="1">
      <c r="A702" s="301"/>
      <c r="B702" s="312"/>
      <c r="C702" s="304"/>
      <c r="D702" s="304"/>
      <c r="E702" s="304"/>
    </row>
    <row r="703" ht="30.0" customHeight="1">
      <c r="A703" s="301"/>
      <c r="B703" s="312"/>
      <c r="C703" s="304"/>
      <c r="D703" s="304"/>
      <c r="E703" s="304"/>
    </row>
    <row r="704" ht="30.0" customHeight="1">
      <c r="A704" s="301"/>
      <c r="B704" s="312"/>
      <c r="C704" s="304"/>
      <c r="D704" s="304"/>
      <c r="E704" s="304"/>
    </row>
    <row r="705" ht="30.0" customHeight="1">
      <c r="A705" s="301"/>
      <c r="B705" s="312"/>
      <c r="C705" s="304"/>
      <c r="D705" s="304"/>
      <c r="E705" s="304"/>
    </row>
    <row r="706" ht="30.0" customHeight="1">
      <c r="A706" s="301"/>
      <c r="B706" s="312"/>
      <c r="C706" s="304"/>
      <c r="D706" s="304"/>
      <c r="E706" s="304"/>
    </row>
    <row r="707" ht="30.0" customHeight="1">
      <c r="A707" s="301"/>
      <c r="B707" s="312"/>
      <c r="C707" s="304"/>
      <c r="D707" s="304"/>
      <c r="E707" s="304"/>
    </row>
    <row r="708" ht="30.0" customHeight="1">
      <c r="A708" s="301"/>
      <c r="B708" s="312"/>
      <c r="C708" s="304"/>
      <c r="D708" s="304"/>
      <c r="E708" s="304"/>
    </row>
    <row r="709" ht="30.0" customHeight="1">
      <c r="A709" s="301"/>
      <c r="B709" s="312"/>
      <c r="C709" s="304"/>
      <c r="D709" s="304"/>
      <c r="E709" s="304"/>
    </row>
    <row r="710" ht="30.0" customHeight="1">
      <c r="A710" s="301"/>
      <c r="B710" s="312"/>
      <c r="C710" s="304"/>
      <c r="D710" s="304"/>
      <c r="E710" s="304"/>
    </row>
    <row r="711" ht="30.0" customHeight="1">
      <c r="A711" s="301"/>
      <c r="B711" s="312"/>
      <c r="C711" s="304"/>
      <c r="D711" s="304"/>
      <c r="E711" s="304"/>
    </row>
    <row r="712" ht="30.0" customHeight="1">
      <c r="A712" s="301"/>
      <c r="B712" s="312"/>
      <c r="C712" s="304"/>
      <c r="D712" s="304"/>
      <c r="E712" s="304"/>
    </row>
    <row r="713" ht="30.0" customHeight="1">
      <c r="A713" s="301"/>
      <c r="B713" s="312"/>
      <c r="C713" s="304"/>
      <c r="D713" s="304"/>
      <c r="E713" s="304"/>
    </row>
    <row r="714" ht="30.0" customHeight="1">
      <c r="A714" s="301"/>
      <c r="B714" s="312"/>
      <c r="C714" s="304"/>
      <c r="D714" s="304"/>
      <c r="E714" s="304"/>
    </row>
    <row r="715" ht="30.0" customHeight="1">
      <c r="A715" s="301"/>
      <c r="B715" s="312"/>
      <c r="C715" s="304"/>
      <c r="D715" s="304"/>
      <c r="E715" s="304"/>
    </row>
    <row r="716" ht="30.0" customHeight="1">
      <c r="A716" s="301"/>
      <c r="B716" s="312"/>
      <c r="C716" s="304"/>
      <c r="D716" s="304"/>
      <c r="E716" s="304"/>
    </row>
    <row r="717" ht="30.0" customHeight="1">
      <c r="A717" s="301"/>
      <c r="B717" s="312"/>
      <c r="C717" s="304"/>
      <c r="D717" s="304"/>
      <c r="E717" s="304"/>
    </row>
    <row r="718" ht="30.0" customHeight="1">
      <c r="A718" s="301"/>
      <c r="B718" s="312"/>
      <c r="C718" s="304"/>
      <c r="D718" s="304"/>
      <c r="E718" s="304"/>
    </row>
    <row r="719" ht="30.0" customHeight="1">
      <c r="A719" s="301"/>
      <c r="B719" s="312"/>
      <c r="C719" s="304"/>
      <c r="D719" s="304"/>
      <c r="E719" s="304"/>
    </row>
    <row r="720" ht="30.0" customHeight="1">
      <c r="A720" s="301"/>
      <c r="B720" s="312"/>
      <c r="C720" s="304"/>
      <c r="D720" s="304"/>
      <c r="E720" s="304"/>
    </row>
    <row r="721" ht="30.0" customHeight="1">
      <c r="A721" s="301"/>
      <c r="B721" s="312"/>
      <c r="C721" s="304"/>
      <c r="D721" s="304"/>
      <c r="E721" s="304"/>
    </row>
    <row r="722" ht="30.0" customHeight="1">
      <c r="A722" s="301"/>
      <c r="B722" s="312"/>
      <c r="C722" s="304"/>
      <c r="D722" s="304"/>
      <c r="E722" s="304"/>
    </row>
    <row r="723" ht="30.0" customHeight="1">
      <c r="A723" s="301"/>
      <c r="B723" s="312"/>
      <c r="C723" s="304"/>
      <c r="D723" s="304"/>
      <c r="E723" s="304"/>
    </row>
    <row r="724" ht="30.0" customHeight="1">
      <c r="A724" s="301"/>
      <c r="B724" s="312"/>
      <c r="C724" s="304"/>
      <c r="D724" s="304"/>
      <c r="E724" s="304"/>
    </row>
    <row r="725" ht="30.0" customHeight="1">
      <c r="A725" s="301"/>
      <c r="B725" s="312"/>
      <c r="C725" s="304"/>
      <c r="D725" s="304"/>
      <c r="E725" s="304"/>
    </row>
    <row r="726" ht="30.0" customHeight="1">
      <c r="A726" s="301"/>
      <c r="B726" s="312"/>
      <c r="C726" s="304"/>
      <c r="D726" s="304"/>
      <c r="E726" s="304"/>
    </row>
    <row r="727" ht="30.0" customHeight="1">
      <c r="A727" s="301"/>
      <c r="B727" s="312"/>
      <c r="C727" s="304"/>
      <c r="D727" s="304"/>
      <c r="E727" s="304"/>
    </row>
    <row r="728" ht="30.0" customHeight="1">
      <c r="A728" s="301"/>
      <c r="B728" s="312"/>
      <c r="C728" s="304"/>
      <c r="D728" s="304"/>
      <c r="E728" s="304"/>
    </row>
    <row r="729" ht="30.0" customHeight="1">
      <c r="A729" s="301"/>
      <c r="B729" s="312"/>
      <c r="C729" s="304"/>
      <c r="D729" s="304"/>
      <c r="E729" s="304"/>
    </row>
    <row r="730" ht="30.0" customHeight="1">
      <c r="A730" s="301"/>
      <c r="B730" s="312"/>
      <c r="C730" s="304"/>
      <c r="D730" s="304"/>
      <c r="E730" s="304"/>
    </row>
    <row r="731" ht="30.0" customHeight="1">
      <c r="A731" s="301"/>
      <c r="B731" s="312"/>
      <c r="C731" s="304"/>
      <c r="D731" s="304"/>
      <c r="E731" s="304"/>
    </row>
    <row r="732" ht="30.0" customHeight="1">
      <c r="A732" s="301"/>
      <c r="B732" s="312"/>
      <c r="C732" s="304"/>
      <c r="D732" s="304"/>
      <c r="E732" s="304"/>
    </row>
    <row r="733" ht="30.0" customHeight="1">
      <c r="A733" s="301"/>
      <c r="B733" s="312"/>
      <c r="C733" s="304"/>
      <c r="D733" s="304"/>
      <c r="E733" s="304"/>
    </row>
    <row r="734" ht="30.0" customHeight="1">
      <c r="A734" s="301"/>
      <c r="B734" s="312"/>
      <c r="C734" s="304"/>
      <c r="D734" s="304"/>
      <c r="E734" s="304"/>
    </row>
    <row r="735" ht="30.0" customHeight="1">
      <c r="A735" s="301"/>
      <c r="B735" s="312"/>
      <c r="C735" s="304"/>
      <c r="D735" s="304"/>
      <c r="E735" s="304"/>
    </row>
    <row r="736" ht="30.0" customHeight="1">
      <c r="A736" s="301"/>
      <c r="B736" s="312"/>
      <c r="C736" s="304"/>
      <c r="D736" s="304"/>
      <c r="E736" s="304"/>
    </row>
    <row r="737" ht="30.0" customHeight="1">
      <c r="A737" s="301"/>
      <c r="B737" s="312"/>
      <c r="C737" s="304"/>
      <c r="D737" s="304"/>
      <c r="E737" s="304"/>
    </row>
    <row r="738" ht="30.0" customHeight="1">
      <c r="A738" s="301"/>
      <c r="B738" s="312"/>
      <c r="C738" s="304"/>
      <c r="D738" s="304"/>
      <c r="E738" s="304"/>
    </row>
    <row r="739" ht="30.0" customHeight="1">
      <c r="A739" s="301"/>
      <c r="B739" s="312"/>
      <c r="C739" s="304"/>
      <c r="D739" s="304"/>
      <c r="E739" s="304"/>
    </row>
    <row r="740" ht="30.0" customHeight="1">
      <c r="A740" s="301"/>
      <c r="B740" s="312"/>
      <c r="C740" s="304"/>
      <c r="D740" s="304"/>
      <c r="E740" s="304"/>
    </row>
    <row r="741" ht="30.0" customHeight="1">
      <c r="A741" s="301"/>
      <c r="B741" s="312"/>
      <c r="C741" s="304"/>
      <c r="D741" s="304"/>
      <c r="E741" s="304"/>
    </row>
    <row r="742" ht="30.0" customHeight="1">
      <c r="A742" s="301"/>
      <c r="B742" s="312"/>
      <c r="C742" s="304"/>
      <c r="D742" s="304"/>
      <c r="E742" s="304"/>
    </row>
    <row r="743" ht="30.0" customHeight="1">
      <c r="A743" s="301"/>
      <c r="B743" s="312"/>
      <c r="C743" s="304"/>
      <c r="D743" s="304"/>
      <c r="E743" s="304"/>
    </row>
    <row r="744" ht="30.0" customHeight="1">
      <c r="A744" s="301"/>
      <c r="B744" s="312"/>
      <c r="C744" s="304"/>
      <c r="D744" s="304"/>
      <c r="E744" s="304"/>
    </row>
    <row r="745" ht="30.0" customHeight="1">
      <c r="A745" s="301"/>
      <c r="B745" s="312"/>
      <c r="C745" s="304"/>
      <c r="D745" s="304"/>
      <c r="E745" s="304"/>
    </row>
    <row r="746" ht="30.0" customHeight="1">
      <c r="A746" s="301"/>
      <c r="B746" s="312"/>
      <c r="C746" s="304"/>
      <c r="D746" s="304"/>
      <c r="E746" s="304"/>
    </row>
    <row r="747" ht="30.0" customHeight="1">
      <c r="A747" s="301"/>
      <c r="B747" s="312"/>
      <c r="C747" s="304"/>
      <c r="D747" s="304"/>
      <c r="E747" s="304"/>
    </row>
    <row r="748" ht="30.0" customHeight="1">
      <c r="A748" s="301"/>
      <c r="B748" s="312"/>
      <c r="C748" s="304"/>
      <c r="D748" s="304"/>
      <c r="E748" s="304"/>
    </row>
    <row r="749" ht="30.0" customHeight="1">
      <c r="A749" s="301"/>
      <c r="B749" s="312"/>
      <c r="C749" s="304"/>
      <c r="D749" s="304"/>
      <c r="E749" s="304"/>
    </row>
    <row r="750" ht="30.0" customHeight="1">
      <c r="A750" s="301"/>
      <c r="B750" s="312"/>
      <c r="C750" s="304"/>
      <c r="D750" s="304"/>
      <c r="E750" s="304"/>
    </row>
    <row r="751" ht="30.0" customHeight="1">
      <c r="A751" s="301"/>
      <c r="B751" s="312"/>
      <c r="C751" s="304"/>
      <c r="D751" s="304"/>
      <c r="E751" s="304"/>
    </row>
    <row r="752" ht="30.0" customHeight="1">
      <c r="A752" s="301"/>
      <c r="B752" s="312"/>
      <c r="C752" s="304"/>
      <c r="D752" s="304"/>
      <c r="E752" s="304"/>
    </row>
    <row r="753" ht="30.0" customHeight="1">
      <c r="A753" s="301"/>
      <c r="B753" s="312"/>
      <c r="C753" s="304"/>
      <c r="D753" s="304"/>
      <c r="E753" s="304"/>
    </row>
    <row r="754" ht="30.0" customHeight="1">
      <c r="A754" s="301"/>
      <c r="B754" s="312"/>
      <c r="C754" s="304"/>
      <c r="D754" s="304"/>
      <c r="E754" s="304"/>
    </row>
    <row r="755" ht="30.0" customHeight="1">
      <c r="A755" s="301"/>
      <c r="B755" s="312"/>
      <c r="C755" s="304"/>
      <c r="D755" s="304"/>
      <c r="E755" s="304"/>
    </row>
    <row r="756" ht="30.0" customHeight="1">
      <c r="A756" s="301"/>
      <c r="B756" s="312"/>
      <c r="C756" s="304"/>
      <c r="D756" s="304"/>
      <c r="E756" s="304"/>
    </row>
    <row r="757" ht="30.0" customHeight="1">
      <c r="A757" s="301"/>
      <c r="B757" s="312"/>
      <c r="C757" s="304"/>
      <c r="D757" s="304"/>
      <c r="E757" s="304"/>
    </row>
    <row r="758" ht="30.0" customHeight="1">
      <c r="A758" s="301"/>
      <c r="B758" s="312"/>
      <c r="C758" s="304"/>
      <c r="D758" s="304"/>
      <c r="E758" s="304"/>
    </row>
    <row r="759" ht="30.0" customHeight="1">
      <c r="A759" s="301"/>
      <c r="B759" s="312"/>
      <c r="C759" s="304"/>
      <c r="D759" s="304"/>
      <c r="E759" s="304"/>
    </row>
    <row r="760" ht="30.0" customHeight="1">
      <c r="A760" s="301"/>
      <c r="B760" s="312"/>
      <c r="C760" s="304"/>
      <c r="D760" s="304"/>
      <c r="E760" s="304"/>
    </row>
    <row r="761" ht="30.0" customHeight="1">
      <c r="A761" s="301"/>
      <c r="B761" s="312"/>
      <c r="C761" s="304"/>
      <c r="D761" s="304"/>
      <c r="E761" s="304"/>
    </row>
    <row r="762" ht="30.0" customHeight="1">
      <c r="A762" s="301"/>
      <c r="B762" s="312"/>
      <c r="C762" s="304"/>
      <c r="D762" s="304"/>
      <c r="E762" s="304"/>
    </row>
    <row r="763" ht="30.0" customHeight="1">
      <c r="A763" s="301"/>
      <c r="B763" s="312"/>
      <c r="C763" s="304"/>
      <c r="D763" s="304"/>
      <c r="E763" s="304"/>
    </row>
    <row r="764" ht="30.0" customHeight="1">
      <c r="A764" s="301"/>
      <c r="B764" s="312"/>
      <c r="C764" s="304"/>
      <c r="D764" s="304"/>
      <c r="E764" s="304"/>
    </row>
    <row r="765" ht="30.0" customHeight="1">
      <c r="A765" s="301"/>
      <c r="B765" s="312"/>
      <c r="C765" s="304"/>
      <c r="D765" s="304"/>
      <c r="E765" s="304"/>
    </row>
    <row r="766" ht="30.0" customHeight="1">
      <c r="A766" s="301"/>
      <c r="B766" s="312"/>
      <c r="C766" s="304"/>
      <c r="D766" s="304"/>
      <c r="E766" s="304"/>
    </row>
    <row r="767" ht="30.0" customHeight="1">
      <c r="A767" s="301"/>
      <c r="B767" s="312"/>
      <c r="C767" s="304"/>
      <c r="D767" s="304"/>
      <c r="E767" s="304"/>
    </row>
    <row r="768" ht="30.0" customHeight="1">
      <c r="A768" s="301"/>
      <c r="B768" s="312"/>
      <c r="C768" s="304"/>
      <c r="D768" s="304"/>
      <c r="E768" s="304"/>
    </row>
    <row r="769" ht="30.0" customHeight="1">
      <c r="A769" s="301"/>
      <c r="B769" s="312"/>
      <c r="C769" s="304"/>
      <c r="D769" s="304"/>
      <c r="E769" s="304"/>
    </row>
    <row r="770" ht="30.0" customHeight="1">
      <c r="A770" s="301"/>
      <c r="B770" s="312"/>
      <c r="C770" s="304"/>
      <c r="D770" s="304"/>
      <c r="E770" s="304"/>
    </row>
    <row r="771" ht="30.0" customHeight="1">
      <c r="A771" s="301"/>
      <c r="B771" s="312"/>
      <c r="C771" s="304"/>
      <c r="D771" s="304"/>
      <c r="E771" s="304"/>
    </row>
    <row r="772" ht="30.0" customHeight="1">
      <c r="A772" s="301"/>
      <c r="B772" s="312"/>
      <c r="C772" s="304"/>
      <c r="D772" s="304"/>
      <c r="E772" s="304"/>
    </row>
    <row r="773" ht="30.0" customHeight="1">
      <c r="A773" s="301"/>
      <c r="B773" s="312"/>
      <c r="C773" s="304"/>
      <c r="D773" s="304"/>
      <c r="E773" s="304"/>
    </row>
    <row r="774" ht="30.0" customHeight="1">
      <c r="A774" s="301"/>
      <c r="B774" s="312"/>
      <c r="C774" s="304"/>
      <c r="D774" s="304"/>
      <c r="E774" s="304"/>
    </row>
    <row r="775" ht="30.0" customHeight="1">
      <c r="A775" s="301"/>
      <c r="B775" s="312"/>
      <c r="C775" s="304"/>
      <c r="D775" s="304"/>
      <c r="E775" s="304"/>
    </row>
    <row r="776" ht="30.0" customHeight="1">
      <c r="A776" s="301"/>
      <c r="B776" s="312"/>
      <c r="C776" s="304"/>
      <c r="D776" s="304"/>
      <c r="E776" s="304"/>
    </row>
    <row r="777" ht="30.0" customHeight="1">
      <c r="A777" s="301"/>
      <c r="B777" s="312"/>
      <c r="C777" s="304"/>
      <c r="D777" s="304"/>
      <c r="E777" s="304"/>
    </row>
    <row r="778" ht="30.0" customHeight="1">
      <c r="A778" s="301"/>
      <c r="B778" s="312"/>
      <c r="C778" s="304"/>
      <c r="D778" s="304"/>
      <c r="E778" s="304"/>
    </row>
    <row r="779" ht="30.0" customHeight="1">
      <c r="A779" s="301"/>
      <c r="B779" s="312"/>
      <c r="C779" s="304"/>
      <c r="D779" s="304"/>
      <c r="E779" s="304"/>
    </row>
    <row r="780" ht="30.0" customHeight="1">
      <c r="A780" s="301"/>
      <c r="B780" s="312"/>
      <c r="C780" s="304"/>
      <c r="D780" s="304"/>
      <c r="E780" s="304"/>
    </row>
    <row r="781" ht="30.0" customHeight="1">
      <c r="A781" s="301"/>
      <c r="B781" s="312"/>
      <c r="C781" s="304"/>
      <c r="D781" s="304"/>
      <c r="E781" s="304"/>
    </row>
    <row r="782" ht="30.0" customHeight="1">
      <c r="A782" s="301"/>
      <c r="B782" s="312"/>
      <c r="C782" s="304"/>
      <c r="D782" s="304"/>
      <c r="E782" s="304"/>
    </row>
    <row r="783" ht="30.0" customHeight="1">
      <c r="A783" s="301"/>
      <c r="B783" s="312"/>
      <c r="C783" s="304"/>
      <c r="D783" s="304"/>
      <c r="E783" s="304"/>
    </row>
    <row r="784" ht="30.0" customHeight="1">
      <c r="A784" s="301"/>
      <c r="B784" s="312"/>
      <c r="C784" s="304"/>
      <c r="D784" s="304"/>
      <c r="E784" s="304"/>
    </row>
    <row r="785" ht="30.0" customHeight="1">
      <c r="A785" s="301"/>
      <c r="B785" s="312"/>
      <c r="C785" s="304"/>
      <c r="D785" s="304"/>
      <c r="E785" s="304"/>
    </row>
    <row r="786" ht="30.0" customHeight="1">
      <c r="A786" s="301"/>
      <c r="B786" s="312"/>
      <c r="C786" s="304"/>
      <c r="D786" s="304"/>
      <c r="E786" s="304"/>
    </row>
    <row r="787" ht="30.0" customHeight="1">
      <c r="A787" s="301"/>
      <c r="B787" s="312"/>
      <c r="C787" s="304"/>
      <c r="D787" s="304"/>
      <c r="E787" s="304"/>
    </row>
    <row r="788" ht="30.0" customHeight="1">
      <c r="A788" s="301"/>
      <c r="B788" s="312"/>
      <c r="C788" s="304"/>
      <c r="D788" s="304"/>
      <c r="E788" s="304"/>
    </row>
    <row r="789" ht="30.0" customHeight="1">
      <c r="A789" s="301"/>
      <c r="B789" s="312"/>
      <c r="C789" s="304"/>
      <c r="D789" s="304"/>
      <c r="E789" s="304"/>
    </row>
    <row r="790" ht="30.0" customHeight="1">
      <c r="A790" s="301"/>
      <c r="B790" s="312"/>
      <c r="C790" s="304"/>
      <c r="D790" s="304"/>
      <c r="E790" s="304"/>
    </row>
    <row r="791" ht="30.0" customHeight="1">
      <c r="A791" s="301"/>
      <c r="B791" s="312"/>
      <c r="C791" s="304"/>
      <c r="D791" s="304"/>
      <c r="E791" s="304"/>
    </row>
    <row r="792" ht="30.0" customHeight="1">
      <c r="A792" s="301"/>
      <c r="B792" s="312"/>
      <c r="C792" s="304"/>
      <c r="D792" s="304"/>
      <c r="E792" s="304"/>
    </row>
    <row r="793" ht="30.0" customHeight="1">
      <c r="A793" s="301"/>
      <c r="B793" s="312"/>
      <c r="C793" s="304"/>
      <c r="D793" s="304"/>
      <c r="E793" s="304"/>
    </row>
    <row r="794" ht="30.0" customHeight="1">
      <c r="A794" s="301"/>
      <c r="B794" s="312"/>
      <c r="C794" s="304"/>
      <c r="D794" s="304"/>
      <c r="E794" s="304"/>
    </row>
    <row r="795" ht="30.0" customHeight="1">
      <c r="A795" s="301"/>
      <c r="B795" s="312"/>
      <c r="C795" s="304"/>
      <c r="D795" s="304"/>
      <c r="E795" s="304"/>
    </row>
    <row r="796" ht="30.0" customHeight="1">
      <c r="A796" s="301"/>
      <c r="B796" s="312"/>
      <c r="C796" s="304"/>
      <c r="D796" s="304"/>
      <c r="E796" s="304"/>
    </row>
    <row r="797" ht="30.0" customHeight="1">
      <c r="A797" s="301"/>
      <c r="B797" s="312"/>
      <c r="C797" s="304"/>
      <c r="D797" s="304"/>
      <c r="E797" s="304"/>
    </row>
    <row r="798" ht="30.0" customHeight="1">
      <c r="A798" s="301"/>
      <c r="B798" s="312"/>
      <c r="C798" s="304"/>
      <c r="D798" s="304"/>
      <c r="E798" s="304"/>
    </row>
    <row r="799" ht="30.0" customHeight="1">
      <c r="A799" s="301"/>
      <c r="B799" s="312"/>
      <c r="C799" s="304"/>
      <c r="D799" s="304"/>
      <c r="E799" s="304"/>
    </row>
    <row r="800" ht="30.0" customHeight="1">
      <c r="A800" s="301"/>
      <c r="B800" s="312"/>
      <c r="C800" s="304"/>
      <c r="D800" s="304"/>
      <c r="E800" s="304"/>
    </row>
    <row r="801" ht="30.0" customHeight="1">
      <c r="A801" s="301"/>
      <c r="B801" s="312"/>
      <c r="C801" s="304"/>
      <c r="D801" s="304"/>
      <c r="E801" s="304"/>
    </row>
    <row r="802" ht="30.0" customHeight="1">
      <c r="A802" s="301"/>
      <c r="B802" s="312"/>
      <c r="C802" s="304"/>
      <c r="D802" s="304"/>
      <c r="E802" s="304"/>
    </row>
    <row r="803" ht="30.0" customHeight="1">
      <c r="A803" s="301"/>
      <c r="B803" s="312"/>
      <c r="C803" s="304"/>
      <c r="D803" s="304"/>
      <c r="E803" s="304"/>
    </row>
    <row r="804" ht="30.0" customHeight="1">
      <c r="A804" s="301"/>
      <c r="B804" s="312"/>
      <c r="C804" s="304"/>
      <c r="D804" s="304"/>
      <c r="E804" s="304"/>
    </row>
    <row r="805" ht="30.0" customHeight="1">
      <c r="A805" s="301"/>
      <c r="B805" s="312"/>
      <c r="C805" s="304"/>
      <c r="D805" s="304"/>
      <c r="E805" s="304"/>
    </row>
    <row r="806" ht="30.0" customHeight="1">
      <c r="A806" s="301"/>
      <c r="B806" s="312"/>
      <c r="C806" s="304"/>
      <c r="D806" s="304"/>
      <c r="E806" s="304"/>
    </row>
    <row r="807" ht="30.0" customHeight="1">
      <c r="A807" s="301"/>
      <c r="B807" s="312"/>
      <c r="C807" s="304"/>
      <c r="D807" s="304"/>
      <c r="E807" s="304"/>
    </row>
    <row r="808" ht="30.0" customHeight="1">
      <c r="A808" s="301"/>
      <c r="B808" s="312"/>
      <c r="C808" s="304"/>
      <c r="D808" s="304"/>
      <c r="E808" s="304"/>
    </row>
    <row r="809" ht="30.0" customHeight="1">
      <c r="A809" s="301"/>
      <c r="B809" s="312"/>
      <c r="C809" s="304"/>
      <c r="D809" s="304"/>
      <c r="E809" s="304"/>
    </row>
    <row r="810" ht="30.0" customHeight="1">
      <c r="A810" s="301"/>
      <c r="B810" s="312"/>
      <c r="C810" s="304"/>
      <c r="D810" s="304"/>
      <c r="E810" s="304"/>
    </row>
    <row r="811" ht="30.0" customHeight="1">
      <c r="A811" s="301"/>
      <c r="B811" s="312"/>
      <c r="C811" s="304"/>
      <c r="D811" s="304"/>
      <c r="E811" s="304"/>
    </row>
    <row r="812" ht="30.0" customHeight="1">
      <c r="A812" s="301"/>
      <c r="B812" s="312"/>
      <c r="C812" s="304"/>
      <c r="D812" s="304"/>
      <c r="E812" s="304"/>
    </row>
    <row r="813" ht="30.0" customHeight="1">
      <c r="A813" s="301"/>
      <c r="B813" s="312"/>
      <c r="C813" s="304"/>
      <c r="D813" s="304"/>
      <c r="E813" s="304"/>
    </row>
    <row r="814" ht="30.0" customHeight="1">
      <c r="A814" s="301"/>
      <c r="B814" s="312"/>
      <c r="C814" s="304"/>
      <c r="D814" s="304"/>
      <c r="E814" s="304"/>
    </row>
    <row r="815" ht="30.0" customHeight="1">
      <c r="A815" s="301"/>
      <c r="B815" s="312"/>
      <c r="C815" s="304"/>
      <c r="D815" s="304"/>
      <c r="E815" s="304"/>
    </row>
    <row r="816" ht="30.0" customHeight="1">
      <c r="A816" s="301"/>
      <c r="B816" s="312"/>
      <c r="C816" s="304"/>
      <c r="D816" s="304"/>
      <c r="E816" s="304"/>
    </row>
    <row r="817" ht="30.0" customHeight="1">
      <c r="A817" s="301"/>
      <c r="B817" s="312"/>
      <c r="C817" s="304"/>
      <c r="D817" s="304"/>
      <c r="E817" s="304"/>
    </row>
    <row r="818" ht="30.0" customHeight="1">
      <c r="A818" s="301"/>
      <c r="B818" s="312"/>
      <c r="C818" s="304"/>
      <c r="D818" s="304"/>
      <c r="E818" s="304"/>
    </row>
    <row r="819" ht="30.0" customHeight="1">
      <c r="A819" s="301"/>
      <c r="B819" s="312"/>
      <c r="C819" s="304"/>
      <c r="D819" s="304"/>
      <c r="E819" s="304"/>
    </row>
    <row r="820" ht="30.0" customHeight="1">
      <c r="A820" s="301"/>
      <c r="B820" s="312"/>
      <c r="C820" s="304"/>
      <c r="D820" s="304"/>
      <c r="E820" s="304"/>
    </row>
    <row r="821" ht="30.0" customHeight="1">
      <c r="A821" s="301"/>
      <c r="B821" s="312"/>
      <c r="C821" s="304"/>
      <c r="D821" s="304"/>
      <c r="E821" s="304"/>
    </row>
    <row r="822" ht="30.0" customHeight="1">
      <c r="A822" s="301"/>
      <c r="B822" s="312"/>
      <c r="C822" s="304"/>
      <c r="D822" s="304"/>
      <c r="E822" s="304"/>
    </row>
    <row r="823" ht="30.0" customHeight="1">
      <c r="A823" s="301"/>
      <c r="B823" s="312"/>
      <c r="C823" s="304"/>
      <c r="D823" s="304"/>
      <c r="E823" s="304"/>
    </row>
    <row r="824" ht="30.0" customHeight="1">
      <c r="A824" s="301"/>
      <c r="B824" s="312"/>
      <c r="C824" s="304"/>
      <c r="D824" s="304"/>
      <c r="E824" s="304"/>
    </row>
    <row r="825" ht="30.0" customHeight="1">
      <c r="A825" s="301"/>
      <c r="B825" s="312"/>
      <c r="C825" s="304"/>
      <c r="D825" s="304"/>
      <c r="E825" s="304"/>
    </row>
    <row r="826" ht="30.0" customHeight="1">
      <c r="A826" s="301"/>
      <c r="B826" s="312"/>
      <c r="C826" s="304"/>
      <c r="D826" s="304"/>
      <c r="E826" s="304"/>
    </row>
    <row r="827" ht="30.0" customHeight="1">
      <c r="A827" s="301"/>
      <c r="B827" s="312"/>
      <c r="C827" s="304"/>
      <c r="D827" s="304"/>
      <c r="E827" s="304"/>
    </row>
    <row r="828" ht="30.0" customHeight="1">
      <c r="A828" s="301"/>
      <c r="B828" s="312"/>
      <c r="C828" s="304"/>
      <c r="D828" s="304"/>
      <c r="E828" s="304"/>
    </row>
    <row r="829" ht="30.0" customHeight="1">
      <c r="A829" s="301"/>
      <c r="B829" s="312"/>
      <c r="C829" s="304"/>
      <c r="D829" s="304"/>
      <c r="E829" s="304"/>
    </row>
    <row r="830" ht="30.0" customHeight="1">
      <c r="A830" s="301"/>
      <c r="B830" s="312"/>
      <c r="C830" s="304"/>
      <c r="D830" s="304"/>
      <c r="E830" s="304"/>
    </row>
    <row r="831" ht="30.0" customHeight="1">
      <c r="A831" s="301"/>
      <c r="B831" s="312"/>
      <c r="C831" s="304"/>
      <c r="D831" s="304"/>
      <c r="E831" s="304"/>
    </row>
    <row r="832" ht="30.0" customHeight="1">
      <c r="A832" s="301"/>
      <c r="B832" s="312"/>
      <c r="C832" s="304"/>
      <c r="D832" s="304"/>
      <c r="E832" s="304"/>
    </row>
    <row r="833" ht="30.0" customHeight="1">
      <c r="A833" s="301"/>
      <c r="B833" s="312"/>
      <c r="C833" s="304"/>
      <c r="D833" s="304"/>
      <c r="E833" s="304"/>
    </row>
    <row r="834" ht="30.0" customHeight="1">
      <c r="A834" s="301"/>
      <c r="B834" s="312"/>
      <c r="C834" s="304"/>
      <c r="D834" s="304"/>
      <c r="E834" s="304"/>
    </row>
    <row r="835" ht="30.0" customHeight="1">
      <c r="A835" s="301"/>
      <c r="B835" s="312"/>
      <c r="C835" s="304"/>
      <c r="D835" s="304"/>
      <c r="E835" s="304"/>
    </row>
    <row r="836" ht="30.0" customHeight="1">
      <c r="A836" s="301"/>
      <c r="B836" s="312"/>
      <c r="C836" s="304"/>
      <c r="D836" s="304"/>
      <c r="E836" s="304"/>
    </row>
    <row r="837" ht="30.0" customHeight="1">
      <c r="A837" s="301"/>
      <c r="B837" s="312"/>
      <c r="C837" s="304"/>
      <c r="D837" s="304"/>
      <c r="E837" s="304"/>
    </row>
    <row r="838" ht="30.0" customHeight="1">
      <c r="A838" s="301"/>
      <c r="B838" s="312"/>
      <c r="C838" s="304"/>
      <c r="D838" s="304"/>
      <c r="E838" s="304"/>
    </row>
    <row r="839" ht="30.0" customHeight="1">
      <c r="A839" s="301"/>
      <c r="B839" s="312"/>
      <c r="C839" s="304"/>
      <c r="D839" s="304"/>
      <c r="E839" s="304"/>
    </row>
    <row r="840" ht="30.0" customHeight="1">
      <c r="A840" s="301"/>
      <c r="B840" s="312"/>
      <c r="C840" s="304"/>
      <c r="D840" s="304"/>
      <c r="E840" s="304"/>
    </row>
    <row r="841" ht="30.0" customHeight="1">
      <c r="A841" s="301"/>
      <c r="B841" s="312"/>
      <c r="C841" s="304"/>
      <c r="D841" s="304"/>
      <c r="E841" s="304"/>
    </row>
    <row r="842" ht="30.0" customHeight="1">
      <c r="A842" s="301"/>
      <c r="B842" s="312"/>
      <c r="C842" s="304"/>
      <c r="D842" s="304"/>
      <c r="E842" s="304"/>
    </row>
    <row r="843" ht="30.0" customHeight="1">
      <c r="A843" s="301"/>
      <c r="B843" s="312"/>
      <c r="C843" s="304"/>
      <c r="D843" s="304"/>
      <c r="E843" s="304"/>
    </row>
    <row r="844" ht="30.0" customHeight="1">
      <c r="A844" s="301"/>
      <c r="B844" s="312"/>
      <c r="C844" s="304"/>
      <c r="D844" s="304"/>
      <c r="E844" s="304"/>
    </row>
    <row r="845" ht="30.0" customHeight="1">
      <c r="A845" s="301"/>
      <c r="B845" s="312"/>
      <c r="C845" s="304"/>
      <c r="D845" s="304"/>
      <c r="E845" s="304"/>
    </row>
    <row r="846" ht="30.0" customHeight="1">
      <c r="A846" s="301"/>
      <c r="B846" s="312"/>
      <c r="C846" s="304"/>
      <c r="D846" s="304"/>
      <c r="E846" s="304"/>
    </row>
    <row r="847" ht="30.0" customHeight="1">
      <c r="A847" s="301"/>
      <c r="B847" s="312"/>
      <c r="C847" s="304"/>
      <c r="D847" s="304"/>
      <c r="E847" s="304"/>
    </row>
    <row r="848" ht="30.0" customHeight="1">
      <c r="A848" s="301"/>
      <c r="B848" s="312"/>
      <c r="C848" s="304"/>
      <c r="D848" s="304"/>
      <c r="E848" s="304"/>
    </row>
    <row r="849" ht="30.0" customHeight="1">
      <c r="A849" s="301"/>
      <c r="B849" s="312"/>
      <c r="C849" s="304"/>
      <c r="D849" s="304"/>
      <c r="E849" s="304"/>
    </row>
    <row r="850" ht="30.0" customHeight="1">
      <c r="A850" s="301"/>
      <c r="B850" s="312"/>
      <c r="C850" s="304"/>
      <c r="D850" s="304"/>
      <c r="E850" s="304"/>
    </row>
    <row r="851" ht="30.0" customHeight="1">
      <c r="A851" s="301"/>
      <c r="B851" s="312"/>
      <c r="C851" s="304"/>
      <c r="D851" s="304"/>
      <c r="E851" s="304"/>
    </row>
    <row r="852" ht="30.0" customHeight="1">
      <c r="A852" s="301"/>
      <c r="B852" s="312"/>
      <c r="C852" s="304"/>
      <c r="D852" s="304"/>
      <c r="E852" s="304"/>
    </row>
    <row r="853" ht="30.0" customHeight="1">
      <c r="A853" s="301"/>
      <c r="B853" s="312"/>
      <c r="C853" s="304"/>
      <c r="D853" s="304"/>
      <c r="E853" s="304"/>
    </row>
    <row r="854" ht="30.0" customHeight="1">
      <c r="A854" s="301"/>
      <c r="B854" s="312"/>
      <c r="C854" s="304"/>
      <c r="D854" s="304"/>
      <c r="E854" s="304"/>
    </row>
    <row r="855" ht="30.0" customHeight="1">
      <c r="A855" s="301"/>
      <c r="B855" s="312"/>
      <c r="C855" s="304"/>
      <c r="D855" s="304"/>
      <c r="E855" s="304"/>
    </row>
    <row r="856" ht="30.0" customHeight="1">
      <c r="A856" s="301"/>
      <c r="B856" s="312"/>
      <c r="C856" s="304"/>
      <c r="D856" s="304"/>
      <c r="E856" s="304"/>
    </row>
    <row r="857" ht="30.0" customHeight="1">
      <c r="A857" s="301"/>
      <c r="B857" s="312"/>
      <c r="C857" s="304"/>
      <c r="D857" s="304"/>
      <c r="E857" s="304"/>
    </row>
    <row r="858" ht="30.0" customHeight="1">
      <c r="A858" s="301"/>
      <c r="B858" s="312"/>
      <c r="C858" s="304"/>
      <c r="D858" s="304"/>
      <c r="E858" s="304"/>
    </row>
    <row r="859" ht="30.0" customHeight="1">
      <c r="A859" s="301"/>
      <c r="B859" s="312"/>
      <c r="C859" s="304"/>
      <c r="D859" s="304"/>
      <c r="E859" s="304"/>
    </row>
    <row r="860" ht="30.0" customHeight="1">
      <c r="A860" s="301"/>
      <c r="B860" s="312"/>
      <c r="C860" s="304"/>
      <c r="D860" s="304"/>
      <c r="E860" s="304"/>
    </row>
    <row r="861" ht="30.0" customHeight="1">
      <c r="A861" s="301"/>
      <c r="B861" s="312"/>
      <c r="C861" s="304"/>
      <c r="D861" s="304"/>
      <c r="E861" s="304"/>
    </row>
    <row r="862" ht="30.0" customHeight="1">
      <c r="A862" s="301"/>
      <c r="B862" s="312"/>
      <c r="C862" s="304"/>
      <c r="D862" s="304"/>
      <c r="E862" s="304"/>
    </row>
    <row r="863" ht="30.0" customHeight="1">
      <c r="A863" s="301"/>
      <c r="B863" s="312"/>
      <c r="C863" s="304"/>
      <c r="D863" s="304"/>
      <c r="E863" s="304"/>
    </row>
    <row r="864" ht="30.0" customHeight="1">
      <c r="A864" s="301"/>
      <c r="B864" s="312"/>
      <c r="C864" s="304"/>
      <c r="D864" s="304"/>
      <c r="E864" s="304"/>
    </row>
    <row r="865" ht="30.0" customHeight="1">
      <c r="A865" s="301"/>
      <c r="B865" s="312"/>
      <c r="C865" s="304"/>
      <c r="D865" s="304"/>
      <c r="E865" s="304"/>
    </row>
    <row r="866" ht="30.0" customHeight="1">
      <c r="A866" s="301"/>
      <c r="B866" s="312"/>
      <c r="C866" s="304"/>
      <c r="D866" s="304"/>
      <c r="E866" s="304"/>
    </row>
    <row r="867" ht="30.0" customHeight="1">
      <c r="A867" s="301"/>
      <c r="B867" s="312"/>
      <c r="C867" s="304"/>
      <c r="D867" s="304"/>
      <c r="E867" s="304"/>
    </row>
    <row r="868" ht="30.0" customHeight="1">
      <c r="A868" s="301"/>
      <c r="B868" s="312"/>
      <c r="C868" s="304"/>
      <c r="D868" s="304"/>
      <c r="E868" s="304"/>
    </row>
    <row r="869" ht="30.0" customHeight="1">
      <c r="A869" s="301"/>
      <c r="B869" s="312"/>
      <c r="C869" s="304"/>
      <c r="D869" s="304"/>
      <c r="E869" s="304"/>
    </row>
    <row r="870" ht="30.0" customHeight="1">
      <c r="A870" s="301"/>
      <c r="B870" s="312"/>
      <c r="C870" s="304"/>
      <c r="D870" s="304"/>
      <c r="E870" s="304"/>
    </row>
    <row r="871" ht="30.0" customHeight="1">
      <c r="A871" s="301"/>
      <c r="B871" s="312"/>
      <c r="C871" s="304"/>
      <c r="D871" s="304"/>
      <c r="E871" s="304"/>
    </row>
    <row r="872" ht="30.0" customHeight="1">
      <c r="A872" s="301"/>
      <c r="B872" s="312"/>
      <c r="C872" s="304"/>
      <c r="D872" s="304"/>
      <c r="E872" s="304"/>
    </row>
    <row r="873" ht="30.0" customHeight="1">
      <c r="A873" s="301"/>
      <c r="B873" s="312"/>
      <c r="C873" s="304"/>
      <c r="D873" s="304"/>
      <c r="E873" s="304"/>
    </row>
    <row r="874" ht="30.0" customHeight="1">
      <c r="A874" s="301"/>
      <c r="B874" s="312"/>
      <c r="C874" s="304"/>
      <c r="D874" s="304"/>
      <c r="E874" s="304"/>
    </row>
    <row r="875" ht="30.0" customHeight="1">
      <c r="A875" s="301"/>
      <c r="B875" s="312"/>
      <c r="C875" s="304"/>
      <c r="D875" s="304"/>
      <c r="E875" s="304"/>
    </row>
    <row r="876" ht="30.0" customHeight="1">
      <c r="A876" s="301"/>
      <c r="B876" s="312"/>
      <c r="C876" s="304"/>
      <c r="D876" s="304"/>
      <c r="E876" s="304"/>
    </row>
    <row r="877" ht="30.0" customHeight="1">
      <c r="A877" s="301"/>
      <c r="B877" s="312"/>
      <c r="C877" s="304"/>
      <c r="D877" s="304"/>
      <c r="E877" s="304"/>
    </row>
    <row r="878" ht="30.0" customHeight="1">
      <c r="A878" s="301"/>
      <c r="B878" s="312"/>
      <c r="C878" s="304"/>
      <c r="D878" s="304"/>
      <c r="E878" s="304"/>
    </row>
    <row r="879" ht="30.0" customHeight="1">
      <c r="A879" s="301"/>
      <c r="B879" s="312"/>
      <c r="C879" s="304"/>
      <c r="D879" s="304"/>
      <c r="E879" s="304"/>
    </row>
    <row r="880" ht="30.0" customHeight="1">
      <c r="A880" s="301"/>
      <c r="B880" s="312"/>
      <c r="C880" s="304"/>
      <c r="D880" s="304"/>
      <c r="E880" s="304"/>
    </row>
    <row r="881" ht="30.0" customHeight="1">
      <c r="A881" s="301"/>
      <c r="B881" s="312"/>
      <c r="C881" s="304"/>
      <c r="D881" s="304"/>
      <c r="E881" s="304"/>
    </row>
    <row r="882" ht="30.0" customHeight="1">
      <c r="A882" s="301"/>
      <c r="B882" s="312"/>
      <c r="C882" s="304"/>
      <c r="D882" s="304"/>
      <c r="E882" s="304"/>
    </row>
    <row r="883" ht="30.0" customHeight="1">
      <c r="A883" s="301"/>
      <c r="B883" s="312"/>
      <c r="C883" s="304"/>
      <c r="D883" s="304"/>
      <c r="E883" s="304"/>
    </row>
    <row r="884" ht="30.0" customHeight="1">
      <c r="A884" s="301"/>
      <c r="B884" s="312"/>
      <c r="C884" s="304"/>
      <c r="D884" s="304"/>
      <c r="E884" s="304"/>
    </row>
    <row r="885" ht="30.0" customHeight="1">
      <c r="A885" s="301"/>
      <c r="B885" s="312"/>
      <c r="C885" s="304"/>
      <c r="D885" s="304"/>
      <c r="E885" s="304"/>
    </row>
    <row r="886" ht="30.0" customHeight="1">
      <c r="A886" s="301"/>
      <c r="B886" s="312"/>
      <c r="C886" s="304"/>
      <c r="D886" s="304"/>
      <c r="E886" s="304"/>
    </row>
    <row r="887" ht="30.0" customHeight="1">
      <c r="A887" s="301"/>
      <c r="B887" s="312"/>
      <c r="C887" s="304"/>
      <c r="D887" s="304"/>
      <c r="E887" s="304"/>
    </row>
    <row r="888" ht="30.0" customHeight="1">
      <c r="A888" s="301"/>
      <c r="B888" s="312"/>
      <c r="C888" s="304"/>
      <c r="D888" s="304"/>
      <c r="E888" s="304"/>
    </row>
    <row r="889" ht="30.0" customHeight="1">
      <c r="A889" s="301"/>
      <c r="B889" s="312"/>
      <c r="C889" s="304"/>
      <c r="D889" s="304"/>
      <c r="E889" s="304"/>
    </row>
    <row r="890" ht="30.0" customHeight="1">
      <c r="A890" s="301"/>
      <c r="B890" s="312"/>
      <c r="C890" s="304"/>
      <c r="D890" s="304"/>
      <c r="E890" s="304"/>
    </row>
    <row r="891" ht="30.0" customHeight="1">
      <c r="A891" s="301"/>
      <c r="B891" s="312"/>
      <c r="C891" s="304"/>
      <c r="D891" s="304"/>
      <c r="E891" s="304"/>
    </row>
    <row r="892" ht="30.0" customHeight="1">
      <c r="A892" s="301"/>
      <c r="B892" s="312"/>
      <c r="C892" s="304"/>
      <c r="D892" s="304"/>
      <c r="E892" s="304"/>
    </row>
    <row r="893" ht="30.0" customHeight="1">
      <c r="A893" s="301"/>
      <c r="B893" s="312"/>
      <c r="C893" s="304"/>
      <c r="D893" s="304"/>
      <c r="E893" s="304"/>
    </row>
    <row r="894" ht="30.0" customHeight="1">
      <c r="A894" s="301"/>
      <c r="B894" s="312"/>
      <c r="C894" s="304"/>
      <c r="D894" s="304"/>
      <c r="E894" s="304"/>
    </row>
    <row r="895" ht="30.0" customHeight="1">
      <c r="A895" s="301"/>
      <c r="B895" s="312"/>
      <c r="C895" s="304"/>
      <c r="D895" s="304"/>
      <c r="E895" s="304"/>
    </row>
    <row r="896" ht="30.0" customHeight="1">
      <c r="A896" s="301"/>
      <c r="B896" s="312"/>
      <c r="C896" s="304"/>
      <c r="D896" s="304"/>
      <c r="E896" s="304"/>
    </row>
    <row r="897" ht="30.0" customHeight="1">
      <c r="A897" s="301"/>
      <c r="B897" s="312"/>
      <c r="C897" s="304"/>
      <c r="D897" s="304"/>
      <c r="E897" s="304"/>
    </row>
    <row r="898" ht="30.0" customHeight="1">
      <c r="A898" s="301"/>
      <c r="B898" s="312"/>
      <c r="C898" s="304"/>
      <c r="D898" s="304"/>
      <c r="E898" s="304"/>
    </row>
    <row r="899" ht="30.0" customHeight="1">
      <c r="A899" s="301"/>
      <c r="B899" s="312"/>
      <c r="C899" s="304"/>
      <c r="D899" s="304"/>
      <c r="E899" s="304"/>
    </row>
    <row r="900" ht="30.0" customHeight="1">
      <c r="A900" s="301"/>
      <c r="B900" s="312"/>
      <c r="C900" s="304"/>
      <c r="D900" s="304"/>
      <c r="E900" s="304"/>
    </row>
    <row r="901" ht="30.0" customHeight="1">
      <c r="A901" s="301"/>
      <c r="B901" s="312"/>
      <c r="C901" s="304"/>
      <c r="D901" s="304"/>
      <c r="E901" s="304"/>
    </row>
    <row r="902" ht="30.0" customHeight="1">
      <c r="A902" s="301"/>
      <c r="B902" s="312"/>
      <c r="C902" s="304"/>
      <c r="D902" s="304"/>
      <c r="E902" s="304"/>
    </row>
    <row r="903" ht="30.0" customHeight="1">
      <c r="A903" s="301"/>
      <c r="B903" s="312"/>
      <c r="C903" s="304"/>
      <c r="D903" s="304"/>
      <c r="E903" s="304"/>
    </row>
    <row r="904" ht="30.0" customHeight="1">
      <c r="A904" s="301"/>
      <c r="B904" s="312"/>
      <c r="C904" s="304"/>
      <c r="D904" s="304"/>
      <c r="E904" s="304"/>
    </row>
    <row r="905" ht="30.0" customHeight="1">
      <c r="A905" s="301"/>
      <c r="B905" s="312"/>
      <c r="C905" s="304"/>
      <c r="D905" s="304"/>
      <c r="E905" s="304"/>
    </row>
    <row r="906" ht="30.0" customHeight="1">
      <c r="A906" s="301"/>
      <c r="B906" s="312"/>
      <c r="C906" s="304"/>
      <c r="D906" s="304"/>
      <c r="E906" s="304"/>
    </row>
    <row r="907" ht="30.0" customHeight="1">
      <c r="A907" s="301"/>
      <c r="B907" s="312"/>
      <c r="C907" s="304"/>
      <c r="D907" s="304"/>
      <c r="E907" s="304"/>
    </row>
    <row r="908" ht="30.0" customHeight="1">
      <c r="A908" s="301"/>
      <c r="B908" s="312"/>
      <c r="C908" s="304"/>
      <c r="D908" s="304"/>
      <c r="E908" s="304"/>
    </row>
    <row r="909" ht="30.0" customHeight="1">
      <c r="A909" s="301"/>
      <c r="B909" s="312"/>
      <c r="C909" s="304"/>
      <c r="D909" s="304"/>
      <c r="E909" s="304"/>
    </row>
    <row r="910" ht="30.0" customHeight="1">
      <c r="A910" s="301"/>
      <c r="B910" s="312"/>
      <c r="C910" s="304"/>
      <c r="D910" s="304"/>
      <c r="E910" s="304"/>
    </row>
    <row r="911" ht="30.0" customHeight="1">
      <c r="A911" s="301"/>
      <c r="B911" s="312"/>
      <c r="C911" s="304"/>
      <c r="D911" s="304"/>
      <c r="E911" s="304"/>
    </row>
    <row r="912" ht="30.0" customHeight="1">
      <c r="A912" s="301"/>
      <c r="B912" s="312"/>
      <c r="C912" s="304"/>
      <c r="D912" s="304"/>
      <c r="E912" s="304"/>
    </row>
    <row r="913" ht="30.0" customHeight="1">
      <c r="A913" s="301"/>
      <c r="B913" s="312"/>
      <c r="C913" s="304"/>
      <c r="D913" s="304"/>
      <c r="E913" s="304"/>
    </row>
    <row r="914" ht="30.0" customHeight="1">
      <c r="A914" s="301"/>
      <c r="B914" s="312"/>
      <c r="C914" s="304"/>
      <c r="D914" s="304"/>
      <c r="E914" s="304"/>
    </row>
    <row r="915" ht="30.0" customHeight="1">
      <c r="A915" s="301"/>
      <c r="B915" s="312"/>
      <c r="C915" s="304"/>
      <c r="D915" s="304"/>
      <c r="E915" s="304"/>
    </row>
    <row r="916" ht="30.0" customHeight="1">
      <c r="A916" s="301"/>
      <c r="B916" s="312"/>
      <c r="C916" s="304"/>
      <c r="D916" s="304"/>
      <c r="E916" s="304"/>
    </row>
    <row r="917" ht="30.0" customHeight="1">
      <c r="A917" s="301"/>
      <c r="B917" s="312"/>
      <c r="C917" s="304"/>
      <c r="D917" s="304"/>
      <c r="E917" s="304"/>
    </row>
    <row r="918" ht="30.0" customHeight="1">
      <c r="A918" s="301"/>
      <c r="B918" s="312"/>
      <c r="C918" s="304"/>
      <c r="D918" s="304"/>
      <c r="E918" s="304"/>
    </row>
    <row r="919" ht="30.0" customHeight="1">
      <c r="A919" s="301"/>
      <c r="B919" s="312"/>
      <c r="C919" s="304"/>
      <c r="D919" s="304"/>
      <c r="E919" s="304"/>
    </row>
    <row r="920" ht="30.0" customHeight="1">
      <c r="A920" s="301"/>
      <c r="B920" s="312"/>
      <c r="C920" s="304"/>
      <c r="D920" s="304"/>
      <c r="E920" s="304"/>
    </row>
    <row r="921" ht="30.0" customHeight="1">
      <c r="A921" s="301"/>
      <c r="B921" s="312"/>
      <c r="C921" s="304"/>
      <c r="D921" s="304"/>
      <c r="E921" s="304"/>
    </row>
    <row r="922" ht="30.0" customHeight="1">
      <c r="A922" s="301"/>
      <c r="B922" s="312"/>
      <c r="C922" s="304"/>
      <c r="D922" s="304"/>
      <c r="E922" s="304"/>
    </row>
    <row r="923" ht="30.0" customHeight="1">
      <c r="A923" s="301"/>
      <c r="B923" s="312"/>
      <c r="C923" s="304"/>
      <c r="D923" s="304"/>
      <c r="E923" s="304"/>
    </row>
    <row r="924" ht="30.0" customHeight="1">
      <c r="A924" s="301"/>
      <c r="B924" s="312"/>
      <c r="C924" s="304"/>
      <c r="D924" s="304"/>
      <c r="E924" s="304"/>
    </row>
    <row r="925" ht="30.0" customHeight="1">
      <c r="A925" s="301"/>
      <c r="B925" s="312"/>
      <c r="C925" s="304"/>
      <c r="D925" s="304"/>
      <c r="E925" s="304"/>
    </row>
    <row r="926" ht="30.0" customHeight="1">
      <c r="A926" s="301"/>
      <c r="B926" s="312"/>
      <c r="C926" s="304"/>
      <c r="D926" s="304"/>
      <c r="E926" s="304"/>
    </row>
    <row r="927" ht="30.0" customHeight="1">
      <c r="A927" s="301"/>
      <c r="B927" s="312"/>
      <c r="C927" s="304"/>
      <c r="D927" s="304"/>
      <c r="E927" s="304"/>
    </row>
    <row r="928" ht="30.0" customHeight="1">
      <c r="A928" s="301"/>
      <c r="B928" s="312"/>
      <c r="C928" s="304"/>
      <c r="D928" s="304"/>
      <c r="E928" s="304"/>
    </row>
    <row r="929" ht="30.0" customHeight="1">
      <c r="A929" s="301"/>
      <c r="B929" s="312"/>
      <c r="C929" s="304"/>
      <c r="D929" s="304"/>
      <c r="E929" s="304"/>
    </row>
    <row r="930" ht="30.0" customHeight="1">
      <c r="A930" s="301"/>
      <c r="B930" s="312"/>
      <c r="C930" s="304"/>
      <c r="D930" s="304"/>
      <c r="E930" s="304"/>
    </row>
    <row r="931" ht="30.0" customHeight="1">
      <c r="A931" s="301"/>
      <c r="B931" s="312"/>
      <c r="C931" s="304"/>
      <c r="D931" s="304"/>
      <c r="E931" s="304"/>
    </row>
    <row r="932" ht="30.0" customHeight="1">
      <c r="A932" s="301"/>
      <c r="B932" s="312"/>
      <c r="C932" s="304"/>
      <c r="D932" s="304"/>
      <c r="E932" s="304"/>
    </row>
    <row r="933" ht="30.0" customHeight="1">
      <c r="A933" s="301"/>
      <c r="B933" s="312"/>
      <c r="C933" s="304"/>
      <c r="D933" s="304"/>
      <c r="E933" s="304"/>
    </row>
    <row r="934" ht="30.0" customHeight="1">
      <c r="A934" s="301"/>
      <c r="B934" s="312"/>
      <c r="C934" s="304"/>
      <c r="D934" s="304"/>
      <c r="E934" s="304"/>
    </row>
    <row r="935" ht="30.0" customHeight="1">
      <c r="A935" s="301"/>
      <c r="B935" s="312"/>
      <c r="C935" s="304"/>
      <c r="D935" s="304"/>
      <c r="E935" s="304"/>
    </row>
    <row r="936" ht="30.0" customHeight="1">
      <c r="A936" s="301"/>
      <c r="B936" s="312"/>
      <c r="C936" s="304"/>
      <c r="D936" s="304"/>
      <c r="E936" s="304"/>
    </row>
    <row r="937" ht="30.0" customHeight="1">
      <c r="A937" s="301"/>
      <c r="B937" s="312"/>
      <c r="C937" s="304"/>
      <c r="D937" s="304"/>
      <c r="E937" s="304"/>
    </row>
    <row r="938" ht="30.0" customHeight="1">
      <c r="A938" s="301"/>
      <c r="B938" s="312"/>
      <c r="C938" s="304"/>
      <c r="D938" s="304"/>
      <c r="E938" s="304"/>
    </row>
    <row r="939" ht="30.0" customHeight="1">
      <c r="A939" s="301"/>
      <c r="B939" s="312"/>
      <c r="C939" s="304"/>
      <c r="D939" s="304"/>
      <c r="E939" s="304"/>
    </row>
    <row r="940" ht="30.0" customHeight="1">
      <c r="A940" s="301"/>
      <c r="B940" s="312"/>
      <c r="C940" s="304"/>
      <c r="D940" s="304"/>
      <c r="E940" s="304"/>
    </row>
    <row r="941" ht="30.0" customHeight="1">
      <c r="A941" s="301"/>
      <c r="B941" s="312"/>
      <c r="C941" s="304"/>
      <c r="D941" s="304"/>
      <c r="E941" s="304"/>
    </row>
    <row r="942" ht="30.0" customHeight="1">
      <c r="A942" s="301"/>
      <c r="B942" s="312"/>
      <c r="C942" s="304"/>
      <c r="D942" s="304"/>
      <c r="E942" s="304"/>
    </row>
    <row r="943" ht="30.0" customHeight="1">
      <c r="A943" s="301"/>
      <c r="B943" s="312"/>
      <c r="C943" s="304"/>
      <c r="D943" s="304"/>
      <c r="E943" s="304"/>
    </row>
    <row r="944" ht="30.0" customHeight="1">
      <c r="A944" s="301"/>
      <c r="B944" s="312"/>
      <c r="C944" s="304"/>
      <c r="D944" s="304"/>
      <c r="E944" s="304"/>
    </row>
    <row r="945" ht="30.0" customHeight="1">
      <c r="A945" s="301"/>
      <c r="B945" s="312"/>
      <c r="C945" s="304"/>
      <c r="D945" s="304"/>
      <c r="E945" s="304"/>
    </row>
    <row r="946" ht="30.0" customHeight="1">
      <c r="A946" s="301"/>
      <c r="B946" s="312"/>
      <c r="C946" s="304"/>
      <c r="D946" s="304"/>
      <c r="E946" s="304"/>
    </row>
    <row r="947" ht="30.0" customHeight="1">
      <c r="A947" s="301"/>
      <c r="B947" s="312"/>
      <c r="C947" s="304"/>
      <c r="D947" s="304"/>
      <c r="E947" s="304"/>
    </row>
    <row r="948" ht="30.0" customHeight="1">
      <c r="A948" s="301"/>
      <c r="B948" s="312"/>
      <c r="C948" s="304"/>
      <c r="D948" s="304"/>
      <c r="E948" s="304"/>
    </row>
    <row r="949" ht="30.0" customHeight="1">
      <c r="A949" s="301"/>
      <c r="B949" s="312"/>
      <c r="C949" s="304"/>
      <c r="D949" s="304"/>
      <c r="E949" s="304"/>
    </row>
    <row r="950" ht="30.0" customHeight="1">
      <c r="A950" s="301"/>
      <c r="B950" s="312"/>
      <c r="C950" s="304"/>
      <c r="D950" s="304"/>
      <c r="E950" s="304"/>
    </row>
    <row r="951" ht="30.0" customHeight="1">
      <c r="A951" s="301"/>
      <c r="B951" s="312"/>
      <c r="C951" s="304"/>
      <c r="D951" s="304"/>
      <c r="E951" s="304"/>
    </row>
    <row r="952" ht="30.0" customHeight="1">
      <c r="A952" s="301"/>
      <c r="B952" s="312"/>
      <c r="C952" s="304"/>
      <c r="D952" s="304"/>
      <c r="E952" s="304"/>
    </row>
    <row r="953" ht="30.0" customHeight="1">
      <c r="A953" s="301"/>
      <c r="B953" s="312"/>
      <c r="C953" s="304"/>
      <c r="D953" s="304"/>
      <c r="E953" s="304"/>
    </row>
    <row r="954" ht="30.0" customHeight="1">
      <c r="A954" s="301"/>
      <c r="B954" s="312"/>
      <c r="C954" s="304"/>
      <c r="D954" s="304"/>
      <c r="E954" s="304"/>
    </row>
    <row r="955" ht="30.0" customHeight="1">
      <c r="A955" s="301"/>
      <c r="B955" s="312"/>
      <c r="C955" s="304"/>
      <c r="D955" s="304"/>
      <c r="E955" s="304"/>
    </row>
    <row r="956" ht="30.0" customHeight="1">
      <c r="A956" s="301"/>
      <c r="B956" s="312"/>
      <c r="C956" s="304"/>
      <c r="D956" s="304"/>
      <c r="E956" s="304"/>
    </row>
    <row r="957" ht="30.0" customHeight="1">
      <c r="A957" s="301"/>
      <c r="B957" s="312"/>
      <c r="C957" s="304"/>
      <c r="D957" s="304"/>
      <c r="E957" s="304"/>
    </row>
    <row r="958" ht="30.0" customHeight="1">
      <c r="A958" s="301"/>
      <c r="B958" s="312"/>
      <c r="C958" s="304"/>
      <c r="D958" s="304"/>
      <c r="E958" s="304"/>
    </row>
    <row r="959" ht="30.0" customHeight="1">
      <c r="A959" s="301"/>
      <c r="B959" s="312"/>
      <c r="C959" s="304"/>
      <c r="D959" s="304"/>
      <c r="E959" s="304"/>
    </row>
    <row r="960" ht="30.0" customHeight="1">
      <c r="A960" s="301"/>
      <c r="B960" s="312"/>
      <c r="C960" s="304"/>
      <c r="D960" s="304"/>
      <c r="E960" s="304"/>
    </row>
    <row r="961" ht="30.0" customHeight="1">
      <c r="A961" s="301"/>
      <c r="B961" s="312"/>
      <c r="C961" s="304"/>
      <c r="D961" s="304"/>
      <c r="E961" s="304"/>
    </row>
    <row r="962" ht="30.0" customHeight="1">
      <c r="A962" s="301"/>
      <c r="B962" s="312"/>
      <c r="C962" s="304"/>
      <c r="D962" s="304"/>
      <c r="E962" s="304"/>
    </row>
    <row r="963" ht="30.0" customHeight="1">
      <c r="A963" s="301"/>
      <c r="B963" s="312"/>
      <c r="C963" s="304"/>
      <c r="D963" s="304"/>
      <c r="E963" s="304"/>
    </row>
    <row r="964" ht="30.0" customHeight="1">
      <c r="A964" s="301"/>
      <c r="B964" s="312"/>
      <c r="C964" s="304"/>
      <c r="D964" s="304"/>
      <c r="E964" s="304"/>
    </row>
    <row r="965" ht="30.0" customHeight="1">
      <c r="A965" s="301"/>
      <c r="B965" s="312"/>
      <c r="C965" s="304"/>
      <c r="D965" s="304"/>
      <c r="E965" s="304"/>
    </row>
    <row r="966" ht="30.0" customHeight="1">
      <c r="A966" s="301"/>
      <c r="B966" s="312"/>
      <c r="C966" s="304"/>
      <c r="D966" s="304"/>
      <c r="E966" s="304"/>
    </row>
    <row r="967" ht="30.0" customHeight="1">
      <c r="A967" s="301"/>
      <c r="B967" s="312"/>
      <c r="C967" s="304"/>
      <c r="D967" s="304"/>
      <c r="E967" s="304"/>
    </row>
    <row r="968" ht="30.0" customHeight="1">
      <c r="A968" s="301"/>
      <c r="B968" s="312"/>
      <c r="C968" s="304"/>
      <c r="D968" s="304"/>
      <c r="E968" s="304"/>
    </row>
    <row r="969" ht="30.0" customHeight="1">
      <c r="A969" s="301"/>
      <c r="B969" s="312"/>
      <c r="C969" s="304"/>
      <c r="D969" s="304"/>
      <c r="E969" s="304"/>
    </row>
    <row r="970" ht="30.0" customHeight="1">
      <c r="A970" s="301"/>
      <c r="B970" s="312"/>
      <c r="C970" s="304"/>
      <c r="D970" s="304"/>
      <c r="E970" s="304"/>
    </row>
    <row r="971" ht="30.0" customHeight="1">
      <c r="A971" s="301"/>
      <c r="B971" s="312"/>
      <c r="C971" s="304"/>
      <c r="D971" s="304"/>
      <c r="E971" s="304"/>
    </row>
    <row r="972" ht="30.0" customHeight="1">
      <c r="A972" s="301"/>
      <c r="B972" s="312"/>
      <c r="C972" s="304"/>
      <c r="D972" s="304"/>
      <c r="E972" s="304"/>
    </row>
    <row r="973" ht="30.0" customHeight="1">
      <c r="A973" s="301"/>
      <c r="B973" s="312"/>
      <c r="C973" s="304"/>
      <c r="D973" s="304"/>
      <c r="E973" s="304"/>
    </row>
    <row r="974" ht="30.0" customHeight="1">
      <c r="A974" s="301"/>
      <c r="B974" s="312"/>
      <c r="C974" s="304"/>
      <c r="D974" s="304"/>
      <c r="E974" s="304"/>
    </row>
    <row r="975" ht="30.0" customHeight="1">
      <c r="A975" s="301"/>
      <c r="B975" s="312"/>
      <c r="C975" s="304"/>
      <c r="D975" s="304"/>
      <c r="E975" s="304"/>
    </row>
    <row r="976" ht="30.0" customHeight="1">
      <c r="A976" s="301"/>
      <c r="B976" s="312"/>
      <c r="C976" s="304"/>
      <c r="D976" s="304"/>
      <c r="E976" s="304"/>
    </row>
    <row r="977" ht="30.0" customHeight="1">
      <c r="A977" s="301"/>
      <c r="B977" s="312"/>
      <c r="C977" s="304"/>
      <c r="D977" s="304"/>
      <c r="E977" s="304"/>
    </row>
    <row r="978" ht="30.0" customHeight="1">
      <c r="A978" s="301"/>
      <c r="B978" s="312"/>
      <c r="C978" s="304"/>
      <c r="D978" s="304"/>
      <c r="E978" s="304"/>
    </row>
    <row r="979" ht="30.0" customHeight="1">
      <c r="A979" s="301"/>
      <c r="B979" s="312"/>
      <c r="C979" s="304"/>
      <c r="D979" s="304"/>
      <c r="E979" s="304"/>
    </row>
    <row r="980" ht="30.0" customHeight="1">
      <c r="A980" s="301"/>
      <c r="B980" s="312"/>
      <c r="C980" s="304"/>
      <c r="D980" s="304"/>
      <c r="E980" s="304"/>
    </row>
    <row r="981" ht="30.0" customHeight="1">
      <c r="A981" s="301"/>
      <c r="B981" s="312"/>
      <c r="C981" s="304"/>
      <c r="D981" s="304"/>
      <c r="E981" s="304"/>
    </row>
    <row r="982" ht="30.0" customHeight="1">
      <c r="A982" s="301"/>
      <c r="B982" s="312"/>
      <c r="C982" s="304"/>
      <c r="D982" s="304"/>
      <c r="E982" s="304"/>
    </row>
    <row r="983" ht="30.0" customHeight="1">
      <c r="A983" s="301"/>
      <c r="B983" s="312"/>
      <c r="C983" s="304"/>
      <c r="D983" s="304"/>
      <c r="E983" s="304"/>
    </row>
    <row r="984" ht="30.0" customHeight="1">
      <c r="A984" s="301"/>
      <c r="B984" s="312"/>
      <c r="C984" s="304"/>
      <c r="D984" s="304"/>
      <c r="E984" s="304"/>
    </row>
    <row r="985" ht="30.0" customHeight="1">
      <c r="A985" s="301"/>
      <c r="B985" s="312"/>
      <c r="C985" s="304"/>
      <c r="D985" s="304"/>
      <c r="E985" s="304"/>
    </row>
    <row r="986" ht="30.0" customHeight="1">
      <c r="A986" s="301"/>
      <c r="B986" s="312"/>
      <c r="C986" s="304"/>
      <c r="D986" s="304"/>
      <c r="E986" s="304"/>
    </row>
    <row r="987" ht="30.0" customHeight="1">
      <c r="A987" s="301"/>
      <c r="B987" s="312"/>
      <c r="C987" s="304"/>
      <c r="D987" s="304"/>
      <c r="E987" s="304"/>
    </row>
    <row r="988" ht="30.0" customHeight="1">
      <c r="A988" s="301"/>
      <c r="B988" s="312"/>
      <c r="C988" s="304"/>
      <c r="D988" s="304"/>
      <c r="E988" s="304"/>
    </row>
    <row r="989" ht="30.0" customHeight="1">
      <c r="A989" s="301"/>
      <c r="B989" s="312"/>
      <c r="C989" s="304"/>
      <c r="D989" s="304"/>
      <c r="E989" s="304"/>
    </row>
    <row r="990" ht="30.0" customHeight="1">
      <c r="A990" s="301"/>
      <c r="B990" s="312"/>
      <c r="C990" s="304"/>
      <c r="D990" s="304"/>
      <c r="E990" s="304"/>
    </row>
    <row r="991" ht="30.0" customHeight="1">
      <c r="A991" s="301"/>
      <c r="B991" s="312"/>
      <c r="C991" s="304"/>
      <c r="D991" s="304"/>
      <c r="E991" s="304"/>
    </row>
    <row r="992" ht="30.0" customHeight="1">
      <c r="A992" s="301"/>
      <c r="B992" s="312"/>
      <c r="C992" s="304"/>
      <c r="D992" s="304"/>
      <c r="E992" s="304"/>
    </row>
    <row r="993" ht="30.0" customHeight="1">
      <c r="A993" s="301"/>
      <c r="B993" s="312"/>
      <c r="C993" s="304"/>
      <c r="D993" s="304"/>
      <c r="E993" s="304"/>
    </row>
    <row r="994" ht="30.0" customHeight="1">
      <c r="A994" s="301"/>
      <c r="B994" s="312"/>
      <c r="C994" s="304"/>
      <c r="D994" s="304"/>
      <c r="E994" s="304"/>
    </row>
    <row r="995" ht="30.0" customHeight="1">
      <c r="A995" s="301"/>
      <c r="B995" s="312"/>
      <c r="C995" s="304"/>
      <c r="D995" s="304"/>
      <c r="E995" s="304"/>
    </row>
    <row r="996" ht="30.0" customHeight="1">
      <c r="A996" s="301"/>
      <c r="B996" s="312"/>
      <c r="C996" s="304"/>
      <c r="D996" s="304"/>
      <c r="E996" s="304"/>
    </row>
    <row r="997" ht="30.0" customHeight="1">
      <c r="A997" s="301"/>
      <c r="B997" s="312"/>
      <c r="C997" s="304"/>
      <c r="D997" s="304"/>
      <c r="E997" s="304"/>
    </row>
    <row r="998" ht="30.0" customHeight="1">
      <c r="A998" s="301"/>
      <c r="B998" s="312"/>
      <c r="C998" s="304"/>
      <c r="D998" s="304"/>
      <c r="E998" s="304"/>
    </row>
    <row r="999" ht="30.0" customHeight="1">
      <c r="A999" s="301"/>
      <c r="B999" s="312"/>
      <c r="C999" s="304"/>
      <c r="D999" s="304"/>
      <c r="E999" s="304"/>
    </row>
    <row r="1000" ht="30.0" customHeight="1">
      <c r="A1000" s="301"/>
      <c r="B1000" s="312"/>
      <c r="C1000" s="304"/>
      <c r="D1000" s="304"/>
      <c r="E1000" s="304"/>
    </row>
    <row r="1001" ht="30.0" customHeight="1">
      <c r="A1001" s="301"/>
      <c r="B1001" s="312"/>
      <c r="C1001" s="304"/>
      <c r="D1001" s="304"/>
      <c r="E1001" s="304"/>
    </row>
    <row r="1002" ht="30.0" customHeight="1">
      <c r="A1002" s="301"/>
      <c r="B1002" s="312"/>
      <c r="C1002" s="304"/>
      <c r="D1002" s="304"/>
      <c r="E1002" s="30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0" width="23.86"/>
  </cols>
  <sheetData>
    <row r="1" ht="45.0" customHeight="1">
      <c r="A1" s="313"/>
      <c r="B1" s="314"/>
      <c r="C1" s="315" t="s">
        <v>233</v>
      </c>
      <c r="D1" s="316"/>
      <c r="E1" s="316"/>
      <c r="F1" s="316"/>
      <c r="G1" s="316"/>
      <c r="H1" s="316"/>
      <c r="I1" s="317"/>
      <c r="J1" s="314"/>
    </row>
    <row r="2" ht="45.0" customHeight="1">
      <c r="A2" s="313"/>
      <c r="B2" s="314"/>
      <c r="C2" s="318"/>
      <c r="I2" s="319"/>
      <c r="J2" s="314"/>
    </row>
    <row r="3" ht="45.0" customHeight="1">
      <c r="A3" s="313"/>
      <c r="B3" s="314"/>
      <c r="C3" s="318"/>
      <c r="I3" s="319"/>
      <c r="J3" s="314"/>
    </row>
    <row r="4">
      <c r="A4" s="320"/>
      <c r="B4" s="321"/>
      <c r="C4" s="322"/>
      <c r="D4" s="322"/>
      <c r="E4" s="322"/>
      <c r="F4" s="323"/>
      <c r="G4" s="322"/>
      <c r="H4" s="322"/>
      <c r="I4" s="324"/>
      <c r="J4" s="321"/>
    </row>
    <row r="5" ht="26.25" customHeight="1">
      <c r="A5" s="325"/>
      <c r="B5" s="326"/>
      <c r="C5" s="327"/>
      <c r="D5" s="328"/>
      <c r="E5" s="328"/>
      <c r="F5" s="329"/>
      <c r="G5" s="328"/>
      <c r="H5" s="327"/>
      <c r="I5" s="330"/>
      <c r="J5" s="326"/>
    </row>
    <row r="6" ht="26.25" customHeight="1">
      <c r="A6" s="325"/>
      <c r="B6" s="326"/>
      <c r="C6" s="331" t="s">
        <v>234</v>
      </c>
      <c r="D6" s="331" t="s">
        <v>235</v>
      </c>
      <c r="E6" s="332" t="s">
        <v>236</v>
      </c>
      <c r="F6" s="333" t="s">
        <v>237</v>
      </c>
      <c r="G6" s="331" t="s">
        <v>238</v>
      </c>
      <c r="H6" s="333" t="s">
        <v>239</v>
      </c>
      <c r="I6" s="331" t="s">
        <v>240</v>
      </c>
      <c r="J6" s="326"/>
    </row>
    <row r="7" ht="26.25" customHeight="1">
      <c r="A7" s="325"/>
      <c r="B7" s="326"/>
      <c r="C7" s="334">
        <f>I7-G7</f>
        <v>30723000</v>
      </c>
      <c r="D7" s="334"/>
      <c r="E7" s="335">
        <f>SUMIFS('الحركات'!D:D,'الحركات'!B:B,"سند قبض")</f>
        <v>26206000</v>
      </c>
      <c r="F7" s="334">
        <f>SUMIFS('الحركات'!D:D,'الحركات'!B:B,"سند صرف")</f>
        <v>-5823991</v>
      </c>
      <c r="G7" s="334">
        <f>SUMIFS('الحركات'!D:D,'الحركات'!B:B,"سند دفع")+E7</f>
        <v>21661000</v>
      </c>
      <c r="H7" s="334">
        <f>'الديون'!F2</f>
        <v>19645500</v>
      </c>
      <c r="I7" s="334">
        <f>SUMIFS('الحركات'!F:F,'الحركات'!E:E,"sife")</f>
        <v>52384000</v>
      </c>
      <c r="J7" s="326"/>
    </row>
    <row r="8" ht="26.25" customHeight="1">
      <c r="A8" s="325"/>
      <c r="B8" s="326"/>
      <c r="C8" s="327"/>
      <c r="D8" s="327"/>
      <c r="E8" s="336"/>
      <c r="F8" s="337"/>
      <c r="G8" s="338"/>
      <c r="H8" s="339"/>
      <c r="I8" s="330"/>
      <c r="J8" s="326"/>
    </row>
    <row r="9" ht="26.25" customHeight="1">
      <c r="A9" s="325"/>
      <c r="B9" s="326"/>
      <c r="C9" s="327"/>
      <c r="D9" s="331" t="s">
        <v>241</v>
      </c>
      <c r="E9" s="340">
        <f>SUM('الحركات'!D4:D1000)</f>
        <v>0</v>
      </c>
      <c r="F9" s="341"/>
      <c r="G9" s="342"/>
      <c r="H9" s="331" t="s">
        <v>242</v>
      </c>
      <c r="I9" s="330"/>
      <c r="J9" s="326"/>
    </row>
    <row r="10" ht="26.25" customHeight="1">
      <c r="A10" s="325"/>
      <c r="B10" s="326"/>
      <c r="C10" s="327"/>
      <c r="D10" s="343">
        <f>SUM('السلفة'!C3:C1000)</f>
        <v>9880750</v>
      </c>
      <c r="E10" s="344"/>
      <c r="F10" s="345"/>
      <c r="G10" s="346"/>
      <c r="H10" s="343">
        <f>'الديون'!G2</f>
        <v>8701000</v>
      </c>
      <c r="I10" s="330"/>
      <c r="J10" s="326"/>
    </row>
    <row r="11" ht="26.25" customHeight="1">
      <c r="A11" s="325"/>
      <c r="B11" s="326"/>
      <c r="C11" s="347"/>
      <c r="D11" s="347"/>
      <c r="E11" s="347"/>
      <c r="F11" s="326"/>
      <c r="G11" s="347"/>
      <c r="H11" s="347"/>
      <c r="I11" s="330"/>
      <c r="J11" s="326"/>
    </row>
    <row r="12" ht="26.25" customHeight="1">
      <c r="A12" s="325"/>
      <c r="B12" s="326"/>
      <c r="C12" s="347"/>
      <c r="D12" s="347"/>
      <c r="E12" s="347"/>
      <c r="F12" s="326"/>
      <c r="G12" s="347"/>
      <c r="H12" s="347"/>
      <c r="I12" s="330"/>
      <c r="J12" s="326"/>
    </row>
    <row r="13" ht="26.25" customHeight="1">
      <c r="A13" s="325"/>
      <c r="B13" s="326"/>
      <c r="C13" s="347"/>
      <c r="D13" s="347"/>
      <c r="E13" s="347"/>
      <c r="F13" s="326"/>
      <c r="G13" s="347"/>
      <c r="H13" s="347"/>
      <c r="I13" s="330"/>
      <c r="J13" s="326"/>
    </row>
    <row r="14" ht="26.25" customHeight="1">
      <c r="A14" s="325"/>
      <c r="B14" s="326"/>
      <c r="C14" s="347"/>
      <c r="D14" s="347"/>
      <c r="E14" s="347"/>
      <c r="F14" s="326"/>
      <c r="G14" s="347"/>
      <c r="H14" s="347"/>
      <c r="I14" s="330"/>
      <c r="J14" s="326"/>
    </row>
    <row r="15" ht="26.25" customHeight="1">
      <c r="A15" s="325"/>
      <c r="B15" s="326"/>
      <c r="C15" s="347"/>
      <c r="D15" s="347"/>
      <c r="E15" s="347"/>
      <c r="F15" s="326"/>
      <c r="G15" s="347"/>
      <c r="H15" s="347"/>
      <c r="I15" s="330"/>
      <c r="J15" s="326"/>
    </row>
    <row r="16" ht="26.25" customHeight="1">
      <c r="A16" s="325"/>
      <c r="B16" s="326"/>
      <c r="C16" s="347"/>
      <c r="D16" s="347"/>
      <c r="E16" s="347"/>
      <c r="F16" s="326"/>
      <c r="G16" s="347"/>
      <c r="H16" s="347"/>
      <c r="I16" s="330"/>
      <c r="J16" s="326"/>
    </row>
    <row r="17" ht="26.25" customHeight="1">
      <c r="A17" s="325"/>
      <c r="B17" s="326"/>
      <c r="C17" s="347"/>
      <c r="D17" s="347"/>
      <c r="E17" s="347"/>
      <c r="F17" s="326"/>
      <c r="G17" s="347"/>
      <c r="H17" s="347"/>
      <c r="I17" s="330"/>
      <c r="J17" s="326"/>
    </row>
    <row r="18" ht="26.25" customHeight="1">
      <c r="A18" s="325"/>
      <c r="B18" s="326"/>
      <c r="C18" s="347"/>
      <c r="D18" s="347"/>
      <c r="E18" s="347"/>
      <c r="F18" s="326"/>
      <c r="G18" s="347"/>
      <c r="H18" s="347"/>
      <c r="I18" s="330"/>
      <c r="J18" s="326"/>
    </row>
    <row r="19" ht="26.25" customHeight="1">
      <c r="A19" s="325"/>
      <c r="B19" s="326"/>
      <c r="C19" s="347"/>
      <c r="D19" s="347"/>
      <c r="E19" s="347"/>
      <c r="F19" s="326"/>
      <c r="G19" s="347"/>
      <c r="H19" s="347"/>
      <c r="I19" s="330"/>
      <c r="J19" s="326"/>
    </row>
    <row r="20" ht="26.25" customHeight="1">
      <c r="A20" s="325"/>
      <c r="B20" s="326"/>
      <c r="C20" s="348"/>
      <c r="D20" s="348"/>
      <c r="E20" s="348"/>
      <c r="F20" s="349"/>
      <c r="G20" s="349"/>
      <c r="H20" s="349"/>
      <c r="I20" s="350"/>
      <c r="J20" s="326"/>
    </row>
    <row r="21" ht="26.25" customHeight="1">
      <c r="A21" s="325"/>
      <c r="B21" s="326"/>
      <c r="C21" s="347"/>
      <c r="D21" s="347"/>
      <c r="E21" s="347"/>
      <c r="F21" s="326"/>
      <c r="G21" s="326"/>
      <c r="H21" s="326"/>
      <c r="I21" s="351"/>
      <c r="J21" s="326"/>
    </row>
    <row r="22" ht="26.25" customHeight="1">
      <c r="A22" s="325"/>
      <c r="B22" s="326"/>
      <c r="C22" s="347"/>
      <c r="D22" s="347"/>
      <c r="E22" s="347"/>
      <c r="F22" s="326"/>
      <c r="G22" s="326"/>
      <c r="H22" s="326"/>
      <c r="I22" s="351"/>
      <c r="J22" s="326"/>
    </row>
    <row r="23" ht="26.25" customHeight="1">
      <c r="A23" s="325"/>
      <c r="B23" s="326"/>
      <c r="C23" s="347"/>
      <c r="D23" s="347"/>
      <c r="E23" s="347"/>
      <c r="F23" s="326"/>
      <c r="G23" s="326"/>
      <c r="H23" s="326"/>
      <c r="I23" s="351"/>
      <c r="J23" s="326"/>
    </row>
    <row r="24" ht="26.25" customHeight="1">
      <c r="A24" s="325"/>
      <c r="B24" s="326"/>
      <c r="C24" s="347"/>
      <c r="D24" s="347"/>
      <c r="E24" s="347"/>
      <c r="F24" s="326"/>
      <c r="G24" s="326"/>
      <c r="H24" s="326"/>
      <c r="I24" s="351"/>
      <c r="J24" s="326"/>
    </row>
    <row r="25" ht="26.25" customHeight="1">
      <c r="A25" s="325"/>
      <c r="B25" s="326"/>
      <c r="C25" s="347"/>
      <c r="D25" s="347"/>
      <c r="E25" s="347"/>
      <c r="F25" s="326"/>
      <c r="G25" s="326"/>
      <c r="H25" s="326"/>
      <c r="I25" s="351"/>
      <c r="J25" s="326"/>
    </row>
    <row r="26" ht="26.25" customHeight="1"/>
    <row r="27" ht="26.25" customHeight="1"/>
    <row r="28" ht="26.25" customHeight="1"/>
    <row r="29" ht="26.25" customHeight="1"/>
    <row r="30" ht="26.25" customHeight="1"/>
    <row r="31" ht="26.25" customHeight="1"/>
    <row r="32" ht="26.25" customHeight="1"/>
    <row r="33" ht="26.25" customHeight="1"/>
    <row r="34" ht="26.25" customHeight="1"/>
    <row r="35" ht="26.25" customHeight="1"/>
    <row r="36" ht="26.25" customHeight="1"/>
    <row r="37" ht="26.25" customHeight="1"/>
    <row r="38" ht="26.25" customHeight="1"/>
    <row r="39" ht="26.25" customHeight="1"/>
    <row r="40" ht="26.25" customHeight="1"/>
    <row r="41" ht="26.25" customHeight="1"/>
    <row r="42" ht="26.25" customHeight="1"/>
    <row r="43" ht="26.25" customHeight="1"/>
    <row r="44" ht="26.25" customHeight="1"/>
    <row r="45" ht="26.25" customHeight="1"/>
    <row r="46" ht="26.25" customHeight="1"/>
    <row r="47" ht="26.25" customHeight="1"/>
    <row r="48" ht="26.25" customHeight="1"/>
    <row r="49" ht="26.25" customHeight="1"/>
    <row r="50" ht="26.25" customHeight="1"/>
    <row r="51" ht="26.25" customHeight="1"/>
    <row r="52" ht="26.25" customHeight="1"/>
    <row r="53" ht="26.25" customHeight="1"/>
    <row r="54" ht="26.25" customHeight="1"/>
    <row r="55" ht="26.25" customHeight="1"/>
    <row r="56" ht="26.25" customHeight="1"/>
    <row r="57" ht="26.25" customHeight="1"/>
    <row r="58" ht="26.25" customHeight="1"/>
    <row r="59" ht="26.25" customHeight="1"/>
    <row r="60" ht="26.25" customHeight="1"/>
    <row r="61" ht="26.25" customHeight="1"/>
    <row r="62" ht="26.25" customHeight="1"/>
    <row r="63" ht="26.25" customHeight="1"/>
    <row r="64" ht="26.25" customHeight="1"/>
    <row r="65" ht="26.25" customHeight="1"/>
    <row r="66" ht="26.25" customHeight="1"/>
    <row r="67" ht="26.25" customHeight="1"/>
    <row r="68" ht="26.25" customHeight="1"/>
    <row r="69" ht="26.25" customHeight="1"/>
    <row r="70" ht="26.25" customHeight="1"/>
    <row r="71" ht="26.25" customHeight="1"/>
    <row r="72" ht="26.25" customHeight="1"/>
    <row r="73" ht="26.25" customHeight="1"/>
    <row r="74" ht="26.25" customHeight="1"/>
    <row r="75" ht="26.25" customHeight="1"/>
    <row r="76" ht="26.25" customHeight="1"/>
    <row r="77" ht="26.25" customHeight="1"/>
    <row r="78" ht="26.25" customHeight="1"/>
    <row r="79" ht="26.25" customHeight="1"/>
    <row r="80" ht="26.25" customHeight="1"/>
    <row r="81" ht="26.25" customHeight="1"/>
    <row r="82" ht="26.25" customHeight="1"/>
    <row r="83" ht="26.25" customHeight="1"/>
    <row r="84" ht="26.25" customHeight="1"/>
    <row r="85" ht="26.25" customHeight="1"/>
    <row r="86" ht="26.25" customHeight="1"/>
    <row r="87" ht="26.25" customHeight="1"/>
    <row r="88" ht="26.25" customHeight="1"/>
    <row r="89" ht="26.25" customHeight="1"/>
    <row r="90" ht="26.25" customHeight="1"/>
    <row r="91" ht="26.25" customHeight="1"/>
    <row r="92" ht="26.25" customHeight="1"/>
    <row r="93" ht="26.25" customHeight="1"/>
    <row r="94" ht="26.25" customHeight="1"/>
    <row r="95" ht="26.25" customHeight="1"/>
    <row r="96" ht="26.25" customHeight="1"/>
    <row r="97" ht="26.25" customHeight="1"/>
    <row r="98" ht="26.25" customHeight="1"/>
    <row r="99" ht="26.25" customHeight="1"/>
    <row r="100" ht="26.25" customHeight="1"/>
    <row r="101" ht="26.25" customHeight="1"/>
    <row r="102" ht="26.25" customHeight="1"/>
    <row r="103" ht="26.25" customHeight="1"/>
    <row r="104" ht="26.25" customHeight="1"/>
    <row r="105" ht="26.25" customHeight="1"/>
    <row r="106" ht="26.25" customHeight="1"/>
    <row r="107" ht="26.25" customHeight="1"/>
    <row r="108" ht="26.25" customHeight="1"/>
    <row r="109" ht="26.25" customHeight="1"/>
    <row r="110" ht="26.25" customHeight="1"/>
    <row r="111" ht="26.25" customHeight="1"/>
    <row r="112" ht="26.25" customHeight="1"/>
    <row r="113" ht="26.25" customHeight="1"/>
    <row r="114" ht="26.25" customHeight="1"/>
    <row r="115" ht="26.25" customHeight="1"/>
    <row r="116" ht="26.25" customHeight="1"/>
    <row r="117" ht="26.25" customHeight="1"/>
    <row r="118" ht="26.25" customHeight="1"/>
    <row r="119" ht="26.25" customHeight="1"/>
    <row r="120" ht="26.25" customHeight="1"/>
    <row r="121" ht="26.25" customHeight="1"/>
    <row r="122" ht="26.25" customHeight="1"/>
    <row r="123" ht="26.25" customHeight="1"/>
    <row r="124" ht="26.25" customHeight="1"/>
    <row r="125" ht="26.25" customHeight="1"/>
    <row r="126" ht="26.25" customHeight="1"/>
    <row r="127" ht="26.25" customHeight="1"/>
    <row r="128" ht="26.25" customHeight="1"/>
    <row r="129" ht="26.25" customHeight="1"/>
    <row r="130" ht="26.25" customHeight="1"/>
    <row r="131" ht="26.25" customHeight="1"/>
    <row r="132" ht="26.25" customHeight="1"/>
    <row r="133" ht="26.25" customHeight="1"/>
    <row r="134" ht="26.25" customHeight="1"/>
    <row r="135" ht="26.25" customHeight="1"/>
    <row r="136" ht="26.25" customHeight="1"/>
    <row r="137" ht="26.25" customHeight="1"/>
    <row r="138" ht="26.25" customHeight="1"/>
    <row r="139" ht="26.25" customHeight="1"/>
    <row r="140" ht="26.25" customHeight="1"/>
    <row r="141" ht="26.25" customHeight="1"/>
    <row r="142" ht="26.25" customHeight="1"/>
    <row r="143" ht="26.25" customHeight="1"/>
    <row r="144" ht="26.25" customHeight="1"/>
    <row r="145" ht="26.25" customHeight="1"/>
    <row r="146" ht="26.25" customHeight="1"/>
    <row r="147" ht="26.25" customHeight="1"/>
    <row r="148" ht="26.25" customHeight="1"/>
    <row r="149" ht="26.25" customHeight="1"/>
    <row r="150" ht="26.25" customHeight="1"/>
    <row r="151" ht="26.25" customHeight="1"/>
    <row r="152" ht="26.25" customHeight="1"/>
    <row r="153" ht="26.25" customHeight="1"/>
    <row r="154" ht="26.25" customHeight="1"/>
    <row r="155" ht="26.25" customHeight="1"/>
    <row r="156" ht="26.25" customHeight="1"/>
    <row r="157" ht="26.25" customHeight="1"/>
    <row r="158" ht="26.25" customHeight="1"/>
    <row r="159" ht="26.25" customHeight="1"/>
    <row r="160" ht="26.25" customHeight="1"/>
    <row r="161" ht="26.25" customHeight="1"/>
    <row r="162" ht="26.25" customHeight="1"/>
    <row r="163" ht="26.25" customHeight="1"/>
    <row r="164" ht="26.25" customHeight="1"/>
    <row r="165" ht="26.25" customHeight="1"/>
    <row r="166" ht="26.25" customHeight="1"/>
    <row r="167" ht="26.25" customHeight="1"/>
    <row r="168" ht="26.25" customHeight="1"/>
    <row r="169" ht="26.25" customHeight="1"/>
    <row r="170" ht="26.25" customHeight="1"/>
    <row r="171" ht="26.25" customHeight="1"/>
    <row r="172" ht="26.25" customHeight="1"/>
    <row r="173" ht="26.25" customHeight="1"/>
    <row r="174" ht="26.25" customHeight="1"/>
    <row r="175" ht="26.25" customHeight="1"/>
    <row r="176" ht="26.25" customHeight="1"/>
    <row r="177" ht="26.25" customHeight="1"/>
    <row r="178" ht="26.25" customHeight="1"/>
    <row r="179" ht="26.25" customHeight="1"/>
    <row r="180" ht="26.25" customHeight="1"/>
    <row r="181" ht="26.25" customHeight="1"/>
    <row r="182" ht="26.25" customHeight="1"/>
    <row r="183" ht="26.25" customHeight="1"/>
    <row r="184" ht="26.25" customHeight="1"/>
    <row r="185" ht="26.25" customHeight="1"/>
    <row r="186" ht="26.25" customHeight="1"/>
    <row r="187" ht="26.25" customHeight="1"/>
    <row r="188" ht="26.25" customHeight="1"/>
    <row r="189" ht="26.25" customHeight="1"/>
    <row r="190" ht="26.25" customHeight="1"/>
    <row r="191" ht="26.25" customHeight="1"/>
    <row r="192" ht="26.25" customHeight="1"/>
    <row r="193" ht="26.25" customHeight="1"/>
    <row r="194" ht="26.25" customHeight="1"/>
    <row r="195" ht="26.25" customHeight="1"/>
    <row r="196" ht="26.25" customHeight="1"/>
    <row r="197" ht="26.25" customHeight="1"/>
    <row r="198" ht="26.25" customHeight="1"/>
    <row r="199" ht="26.25" customHeight="1"/>
    <row r="200" ht="26.25" customHeight="1"/>
    <row r="201" ht="26.25" customHeight="1"/>
    <row r="202" ht="26.25" customHeight="1"/>
    <row r="203" ht="26.25" customHeight="1"/>
    <row r="204" ht="26.25" customHeight="1"/>
    <row r="205" ht="26.25" customHeight="1"/>
    <row r="206" ht="26.25" customHeight="1"/>
    <row r="207" ht="26.25" customHeight="1"/>
    <row r="208" ht="26.25" customHeight="1"/>
    <row r="209" ht="26.25" customHeight="1"/>
    <row r="210" ht="26.25" customHeight="1"/>
    <row r="211" ht="26.25" customHeight="1"/>
    <row r="212" ht="26.25" customHeight="1"/>
    <row r="213" ht="26.25" customHeight="1"/>
    <row r="214" ht="26.25" customHeight="1"/>
    <row r="215" ht="26.25" customHeight="1"/>
    <row r="216" ht="26.25" customHeight="1"/>
    <row r="217" ht="26.25" customHeight="1"/>
    <row r="218" ht="26.25" customHeight="1"/>
    <row r="219" ht="26.25" customHeight="1"/>
    <row r="220" ht="26.25" customHeight="1"/>
    <row r="221" ht="26.25" customHeight="1"/>
    <row r="222" ht="26.25" customHeight="1"/>
    <row r="223" ht="26.25" customHeight="1"/>
    <row r="224" ht="26.25" customHeight="1"/>
    <row r="225" ht="26.25" customHeight="1"/>
    <row r="226" ht="26.25" customHeight="1"/>
    <row r="227" ht="26.25" customHeight="1"/>
    <row r="228" ht="26.25" customHeight="1"/>
    <row r="229" ht="26.25" customHeight="1"/>
    <row r="230" ht="26.25" customHeight="1"/>
    <row r="231" ht="26.25" customHeight="1"/>
    <row r="232" ht="26.25" customHeight="1"/>
    <row r="233" ht="26.25" customHeight="1"/>
    <row r="234" ht="26.25" customHeight="1"/>
    <row r="235" ht="26.25" customHeight="1"/>
    <row r="236" ht="26.25" customHeight="1"/>
    <row r="237" ht="26.25" customHeight="1"/>
    <row r="238" ht="26.25" customHeight="1"/>
    <row r="239" ht="26.25" customHeight="1"/>
    <row r="240" ht="26.25" customHeight="1"/>
    <row r="241" ht="26.25" customHeight="1"/>
    <row r="242" ht="26.25" customHeight="1"/>
    <row r="243" ht="26.25" customHeight="1"/>
    <row r="244" ht="26.25" customHeight="1"/>
    <row r="245" ht="26.25" customHeight="1"/>
    <row r="246" ht="26.25" customHeight="1"/>
    <row r="247" ht="26.25" customHeight="1"/>
    <row r="248" ht="26.25" customHeight="1"/>
    <row r="249" ht="26.25" customHeight="1"/>
    <row r="250" ht="26.25" customHeight="1"/>
    <row r="251" ht="26.25" customHeight="1"/>
    <row r="252" ht="26.25" customHeight="1"/>
    <row r="253" ht="26.25" customHeight="1"/>
    <row r="254" ht="26.25" customHeight="1"/>
    <row r="255" ht="26.25" customHeight="1"/>
    <row r="256" ht="26.25" customHeight="1"/>
    <row r="257" ht="26.25" customHeight="1"/>
    <row r="258" ht="26.25" customHeight="1"/>
    <row r="259" ht="26.25" customHeight="1"/>
    <row r="260" ht="26.25" customHeight="1"/>
    <row r="261" ht="26.25" customHeight="1"/>
    <row r="262" ht="26.25" customHeight="1"/>
    <row r="263" ht="26.25" customHeight="1"/>
    <row r="264" ht="26.25" customHeight="1"/>
    <row r="265" ht="26.25" customHeight="1"/>
    <row r="266" ht="26.25" customHeight="1"/>
    <row r="267" ht="26.25" customHeight="1"/>
    <row r="268" ht="26.25" customHeight="1"/>
    <row r="269" ht="26.25" customHeight="1"/>
    <row r="270" ht="26.25" customHeight="1"/>
    <row r="271" ht="26.25" customHeight="1"/>
    <row r="272" ht="26.25" customHeight="1"/>
    <row r="273" ht="26.25" customHeight="1"/>
    <row r="274" ht="26.25" customHeight="1"/>
    <row r="275" ht="26.25" customHeight="1"/>
    <row r="276" ht="26.25" customHeight="1"/>
    <row r="277" ht="26.25" customHeight="1"/>
    <row r="278" ht="26.25" customHeight="1"/>
    <row r="279" ht="26.25" customHeight="1"/>
    <row r="280" ht="26.25" customHeight="1"/>
    <row r="281" ht="26.25" customHeight="1"/>
    <row r="282" ht="26.25" customHeight="1"/>
    <row r="283" ht="26.25" customHeight="1"/>
    <row r="284" ht="26.25" customHeight="1"/>
    <row r="285" ht="26.25" customHeight="1"/>
    <row r="286" ht="26.25" customHeight="1"/>
    <row r="287" ht="26.25" customHeight="1"/>
    <row r="288" ht="26.25" customHeight="1"/>
    <row r="289" ht="26.25" customHeight="1"/>
    <row r="290" ht="26.25" customHeight="1"/>
    <row r="291" ht="26.25" customHeight="1"/>
    <row r="292" ht="26.25" customHeight="1"/>
    <row r="293" ht="26.25" customHeight="1"/>
    <row r="294" ht="26.25" customHeight="1"/>
    <row r="295" ht="26.25" customHeight="1"/>
    <row r="296" ht="26.25" customHeight="1"/>
    <row r="297" ht="26.25" customHeight="1"/>
    <row r="298" ht="26.25" customHeight="1"/>
    <row r="299" ht="26.25" customHeight="1"/>
    <row r="300" ht="26.25" customHeight="1"/>
    <row r="301" ht="26.25" customHeight="1"/>
    <row r="302" ht="26.25" customHeight="1"/>
    <row r="303" ht="26.25" customHeight="1"/>
    <row r="304" ht="26.25" customHeight="1"/>
    <row r="305" ht="26.25" customHeight="1"/>
    <row r="306" ht="26.25" customHeight="1"/>
    <row r="307" ht="26.25" customHeight="1"/>
    <row r="308" ht="26.25" customHeight="1"/>
    <row r="309" ht="26.25" customHeight="1"/>
    <row r="310" ht="26.25" customHeight="1"/>
    <row r="311" ht="26.25" customHeight="1"/>
    <row r="312" ht="26.25" customHeight="1"/>
    <row r="313" ht="26.25" customHeight="1"/>
    <row r="314" ht="26.25" customHeight="1"/>
    <row r="315" ht="26.25" customHeight="1"/>
    <row r="316" ht="26.25" customHeight="1"/>
    <row r="317" ht="26.25" customHeight="1"/>
    <row r="318" ht="26.25" customHeight="1"/>
    <row r="319" ht="26.25" customHeight="1"/>
    <row r="320" ht="26.25" customHeight="1"/>
    <row r="321" ht="26.25" customHeight="1"/>
    <row r="322" ht="26.25" customHeight="1"/>
    <row r="323" ht="26.25" customHeight="1"/>
    <row r="324" ht="26.25" customHeight="1"/>
    <row r="325" ht="26.25" customHeight="1"/>
    <row r="326" ht="26.25" customHeight="1"/>
    <row r="327" ht="26.25" customHeight="1"/>
    <row r="328" ht="26.25" customHeight="1"/>
    <row r="329" ht="26.25" customHeight="1"/>
    <row r="330" ht="26.25" customHeight="1"/>
    <row r="331" ht="26.25" customHeight="1"/>
    <row r="332" ht="26.25" customHeight="1"/>
    <row r="333" ht="26.25" customHeight="1"/>
    <row r="334" ht="26.25" customHeight="1"/>
    <row r="335" ht="26.25" customHeight="1"/>
    <row r="336" ht="26.25" customHeight="1"/>
    <row r="337" ht="26.25" customHeight="1"/>
    <row r="338" ht="26.25" customHeight="1"/>
    <row r="339" ht="26.25" customHeight="1"/>
    <row r="340" ht="26.25" customHeight="1"/>
    <row r="341" ht="26.25" customHeight="1"/>
    <row r="342" ht="26.25" customHeight="1"/>
    <row r="343" ht="26.25" customHeight="1"/>
    <row r="344" ht="26.25" customHeight="1"/>
    <row r="345" ht="26.25" customHeight="1"/>
    <row r="346" ht="26.25" customHeight="1"/>
    <row r="347" ht="26.25" customHeight="1"/>
    <row r="348" ht="26.25" customHeight="1"/>
    <row r="349" ht="26.25" customHeight="1"/>
    <row r="350" ht="26.25" customHeight="1"/>
    <row r="351" ht="26.25" customHeight="1"/>
    <row r="352" ht="26.25" customHeight="1"/>
    <row r="353" ht="26.25" customHeight="1"/>
    <row r="354" ht="26.25" customHeight="1"/>
    <row r="355" ht="26.25" customHeight="1"/>
    <row r="356" ht="26.25" customHeight="1"/>
    <row r="357" ht="26.25" customHeight="1"/>
    <row r="358" ht="26.25" customHeight="1"/>
    <row r="359" ht="26.25" customHeight="1"/>
    <row r="360" ht="26.25" customHeight="1"/>
    <row r="361" ht="26.25" customHeight="1"/>
    <row r="362" ht="26.25" customHeight="1"/>
    <row r="363" ht="26.25" customHeight="1"/>
    <row r="364" ht="26.25" customHeight="1"/>
    <row r="365" ht="26.25" customHeight="1"/>
    <row r="366" ht="26.25" customHeight="1"/>
    <row r="367" ht="26.25" customHeight="1"/>
    <row r="368" ht="26.25" customHeight="1"/>
    <row r="369" ht="26.25" customHeight="1"/>
    <row r="370" ht="26.25" customHeight="1"/>
    <row r="371" ht="26.25" customHeight="1"/>
    <row r="372" ht="26.25" customHeight="1"/>
    <row r="373" ht="26.25" customHeight="1"/>
    <row r="374" ht="26.25" customHeight="1"/>
    <row r="375" ht="26.25" customHeight="1"/>
    <row r="376" ht="26.25" customHeight="1"/>
    <row r="377" ht="26.25" customHeight="1"/>
    <row r="378" ht="26.25" customHeight="1"/>
    <row r="379" ht="26.25" customHeight="1"/>
    <row r="380" ht="26.25" customHeight="1"/>
    <row r="381" ht="26.25" customHeight="1"/>
    <row r="382" ht="26.25" customHeight="1"/>
    <row r="383" ht="26.25" customHeight="1"/>
    <row r="384" ht="26.25" customHeight="1"/>
    <row r="385" ht="26.25" customHeight="1"/>
    <row r="386" ht="26.25" customHeight="1"/>
    <row r="387" ht="26.25" customHeight="1"/>
    <row r="388" ht="26.25" customHeight="1"/>
    <row r="389" ht="26.25" customHeight="1"/>
    <row r="390" ht="26.25" customHeight="1"/>
    <row r="391" ht="26.25" customHeight="1"/>
    <row r="392" ht="26.25" customHeight="1"/>
    <row r="393" ht="26.25" customHeight="1"/>
    <row r="394" ht="26.25" customHeight="1"/>
    <row r="395" ht="26.25" customHeight="1"/>
    <row r="396" ht="26.25" customHeight="1"/>
    <row r="397" ht="26.25" customHeight="1"/>
    <row r="398" ht="26.25" customHeight="1"/>
    <row r="399" ht="26.25" customHeight="1"/>
    <row r="400" ht="26.25" customHeight="1"/>
    <row r="401" ht="26.25" customHeight="1"/>
    <row r="402" ht="26.25" customHeight="1"/>
    <row r="403" ht="26.25" customHeight="1"/>
    <row r="404" ht="26.25" customHeight="1"/>
    <row r="405" ht="26.25" customHeight="1"/>
    <row r="406" ht="26.25" customHeight="1"/>
    <row r="407" ht="26.25" customHeight="1"/>
    <row r="408" ht="26.25" customHeight="1"/>
    <row r="409" ht="26.25" customHeight="1"/>
    <row r="410" ht="26.25" customHeight="1"/>
    <row r="411" ht="26.25" customHeight="1"/>
    <row r="412" ht="26.25" customHeight="1"/>
    <row r="413" ht="26.25" customHeight="1"/>
    <row r="414" ht="26.25" customHeight="1"/>
    <row r="415" ht="26.25" customHeight="1"/>
    <row r="416" ht="26.25" customHeight="1"/>
    <row r="417" ht="26.25" customHeight="1"/>
    <row r="418" ht="26.25" customHeight="1"/>
    <row r="419" ht="26.25" customHeight="1"/>
    <row r="420" ht="26.25" customHeight="1"/>
    <row r="421" ht="26.25" customHeight="1"/>
    <row r="422" ht="26.25" customHeight="1"/>
    <row r="423" ht="26.25" customHeight="1"/>
    <row r="424" ht="26.25" customHeight="1"/>
    <row r="425" ht="26.25" customHeight="1"/>
    <row r="426" ht="26.25" customHeight="1"/>
    <row r="427" ht="26.25" customHeight="1"/>
    <row r="428" ht="26.25" customHeight="1"/>
    <row r="429" ht="26.25" customHeight="1"/>
    <row r="430" ht="26.25" customHeight="1"/>
    <row r="431" ht="26.25" customHeight="1"/>
    <row r="432" ht="26.25" customHeight="1"/>
    <row r="433" ht="26.25" customHeight="1"/>
    <row r="434" ht="26.25" customHeight="1"/>
    <row r="435" ht="26.25" customHeight="1"/>
    <row r="436" ht="26.25" customHeight="1"/>
    <row r="437" ht="26.25" customHeight="1"/>
    <row r="438" ht="26.25" customHeight="1"/>
    <row r="439" ht="26.25" customHeight="1"/>
    <row r="440" ht="26.25" customHeight="1"/>
    <row r="441" ht="26.25" customHeight="1"/>
    <row r="442" ht="26.25" customHeight="1"/>
    <row r="443" ht="26.25" customHeight="1"/>
    <row r="444" ht="26.25" customHeight="1"/>
    <row r="445" ht="26.25" customHeight="1"/>
    <row r="446" ht="26.25" customHeight="1"/>
    <row r="447" ht="26.25" customHeight="1"/>
    <row r="448" ht="26.25" customHeight="1"/>
    <row r="449" ht="26.25" customHeight="1"/>
    <row r="450" ht="26.25" customHeight="1"/>
    <row r="451" ht="26.25" customHeight="1"/>
    <row r="452" ht="26.25" customHeight="1"/>
    <row r="453" ht="26.25" customHeight="1"/>
    <row r="454" ht="26.25" customHeight="1"/>
    <row r="455" ht="26.25" customHeight="1"/>
    <row r="456" ht="26.25" customHeight="1"/>
    <row r="457" ht="26.25" customHeight="1"/>
    <row r="458" ht="26.25" customHeight="1"/>
    <row r="459" ht="26.25" customHeight="1"/>
    <row r="460" ht="26.25" customHeight="1"/>
    <row r="461" ht="26.25" customHeight="1"/>
    <row r="462" ht="26.25" customHeight="1"/>
    <row r="463" ht="26.25" customHeight="1"/>
    <row r="464" ht="26.25" customHeight="1"/>
    <row r="465" ht="26.25" customHeight="1"/>
    <row r="466" ht="26.25" customHeight="1"/>
    <row r="467" ht="26.25" customHeight="1"/>
    <row r="468" ht="26.25" customHeight="1"/>
    <row r="469" ht="26.25" customHeight="1"/>
    <row r="470" ht="26.25" customHeight="1"/>
    <row r="471" ht="26.25" customHeight="1"/>
    <row r="472" ht="26.25" customHeight="1"/>
    <row r="473" ht="26.25" customHeight="1"/>
    <row r="474" ht="26.25" customHeight="1"/>
    <row r="475" ht="26.25" customHeight="1"/>
    <row r="476" ht="26.25" customHeight="1"/>
    <row r="477" ht="26.25" customHeight="1"/>
    <row r="478" ht="26.25" customHeight="1"/>
    <row r="479" ht="26.25" customHeight="1"/>
    <row r="480" ht="26.25" customHeight="1"/>
    <row r="481" ht="26.25" customHeight="1"/>
    <row r="482" ht="26.25" customHeight="1"/>
    <row r="483" ht="26.25" customHeight="1"/>
    <row r="484" ht="26.25" customHeight="1"/>
    <row r="485" ht="26.25" customHeight="1"/>
    <row r="486" ht="26.25" customHeight="1"/>
    <row r="487" ht="26.25" customHeight="1"/>
    <row r="488" ht="26.25" customHeight="1"/>
    <row r="489" ht="26.25" customHeight="1"/>
    <row r="490" ht="26.25" customHeight="1"/>
    <row r="491" ht="26.25" customHeight="1"/>
    <row r="492" ht="26.25" customHeight="1"/>
    <row r="493" ht="26.25" customHeight="1"/>
    <row r="494" ht="26.25" customHeight="1"/>
    <row r="495" ht="26.25" customHeight="1"/>
    <row r="496" ht="26.25" customHeight="1"/>
    <row r="497" ht="26.25" customHeight="1"/>
    <row r="498" ht="26.25" customHeight="1"/>
    <row r="499" ht="26.25" customHeight="1"/>
    <row r="500" ht="26.25" customHeight="1"/>
    <row r="501" ht="26.25" customHeight="1"/>
    <row r="502" ht="26.25" customHeight="1"/>
    <row r="503" ht="26.25" customHeight="1"/>
    <row r="504" ht="26.25" customHeight="1"/>
    <row r="505" ht="26.25" customHeight="1"/>
    <row r="506" ht="26.25" customHeight="1"/>
    <row r="507" ht="26.25" customHeight="1"/>
    <row r="508" ht="26.25" customHeight="1"/>
    <row r="509" ht="26.25" customHeight="1"/>
    <row r="510" ht="26.25" customHeight="1"/>
    <row r="511" ht="26.25" customHeight="1"/>
    <row r="512" ht="26.25" customHeight="1"/>
    <row r="513" ht="26.25" customHeight="1"/>
    <row r="514" ht="26.25" customHeight="1"/>
    <row r="515" ht="26.25" customHeight="1"/>
    <row r="516" ht="26.25" customHeight="1"/>
    <row r="517" ht="26.25" customHeight="1"/>
    <row r="518" ht="26.25" customHeight="1"/>
    <row r="519" ht="26.25" customHeight="1"/>
    <row r="520" ht="26.25" customHeight="1"/>
    <row r="521" ht="26.25" customHeight="1"/>
    <row r="522" ht="26.25" customHeight="1"/>
    <row r="523" ht="26.25" customHeight="1"/>
    <row r="524" ht="26.25" customHeight="1"/>
    <row r="525" ht="26.25" customHeight="1"/>
    <row r="526" ht="26.25" customHeight="1"/>
    <row r="527" ht="26.25" customHeight="1"/>
    <row r="528" ht="26.25" customHeight="1"/>
    <row r="529" ht="26.25" customHeight="1"/>
    <row r="530" ht="26.25" customHeight="1"/>
    <row r="531" ht="26.25" customHeight="1"/>
    <row r="532" ht="26.25" customHeight="1"/>
    <row r="533" ht="26.25" customHeight="1"/>
    <row r="534" ht="26.25" customHeight="1"/>
    <row r="535" ht="26.25" customHeight="1"/>
    <row r="536" ht="26.25" customHeight="1"/>
    <row r="537" ht="26.25" customHeight="1"/>
    <row r="538" ht="26.25" customHeight="1"/>
    <row r="539" ht="26.25" customHeight="1"/>
    <row r="540" ht="26.25" customHeight="1"/>
    <row r="541" ht="26.25" customHeight="1"/>
    <row r="542" ht="26.25" customHeight="1"/>
    <row r="543" ht="26.25" customHeight="1"/>
    <row r="544" ht="26.25" customHeight="1"/>
    <row r="545" ht="26.25" customHeight="1"/>
    <row r="546" ht="26.25" customHeight="1"/>
    <row r="547" ht="26.25" customHeight="1"/>
    <row r="548" ht="26.25" customHeight="1"/>
    <row r="549" ht="26.25" customHeight="1"/>
    <row r="550" ht="26.25" customHeight="1"/>
    <row r="551" ht="26.25" customHeight="1"/>
    <row r="552" ht="26.25" customHeight="1"/>
    <row r="553" ht="26.25" customHeight="1"/>
    <row r="554" ht="26.25" customHeight="1"/>
    <row r="555" ht="26.25" customHeight="1"/>
    <row r="556" ht="26.25" customHeight="1"/>
    <row r="557" ht="26.25" customHeight="1"/>
    <row r="558" ht="26.25" customHeight="1"/>
    <row r="559" ht="26.25" customHeight="1"/>
    <row r="560" ht="26.25" customHeight="1"/>
    <row r="561" ht="26.25" customHeight="1"/>
    <row r="562" ht="26.25" customHeight="1"/>
    <row r="563" ht="26.25" customHeight="1"/>
    <row r="564" ht="26.25" customHeight="1"/>
    <row r="565" ht="26.25" customHeight="1"/>
    <row r="566" ht="26.25" customHeight="1"/>
    <row r="567" ht="26.25" customHeight="1"/>
    <row r="568" ht="26.25" customHeight="1"/>
    <row r="569" ht="26.25" customHeight="1"/>
    <row r="570" ht="26.25" customHeight="1"/>
    <row r="571" ht="26.25" customHeight="1"/>
    <row r="572" ht="26.25" customHeight="1"/>
    <row r="573" ht="26.25" customHeight="1"/>
    <row r="574" ht="26.25" customHeight="1"/>
    <row r="575" ht="26.25" customHeight="1"/>
    <row r="576" ht="26.25" customHeight="1"/>
    <row r="577" ht="26.25" customHeight="1"/>
    <row r="578" ht="26.25" customHeight="1"/>
    <row r="579" ht="26.25" customHeight="1"/>
    <row r="580" ht="26.25" customHeight="1"/>
    <row r="581" ht="26.25" customHeight="1"/>
    <row r="582" ht="26.25" customHeight="1"/>
    <row r="583" ht="26.25" customHeight="1"/>
    <row r="584" ht="26.25" customHeight="1"/>
    <row r="585" ht="26.25" customHeight="1"/>
    <row r="586" ht="26.25" customHeight="1"/>
    <row r="587" ht="26.25" customHeight="1"/>
    <row r="588" ht="26.25" customHeight="1"/>
    <row r="589" ht="26.25" customHeight="1"/>
    <row r="590" ht="26.25" customHeight="1"/>
    <row r="591" ht="26.25" customHeight="1"/>
    <row r="592" ht="26.25" customHeight="1"/>
    <row r="593" ht="26.25" customHeight="1"/>
    <row r="594" ht="26.25" customHeight="1"/>
    <row r="595" ht="26.25" customHeight="1"/>
    <row r="596" ht="26.25" customHeight="1"/>
    <row r="597" ht="26.25" customHeight="1"/>
    <row r="598" ht="26.25" customHeight="1"/>
    <row r="599" ht="26.25" customHeight="1"/>
    <row r="600" ht="26.25" customHeight="1"/>
    <row r="601" ht="26.25" customHeight="1"/>
    <row r="602" ht="26.25" customHeight="1"/>
    <row r="603" ht="26.25" customHeight="1"/>
    <row r="604" ht="26.25" customHeight="1"/>
    <row r="605" ht="26.25" customHeight="1"/>
    <row r="606" ht="26.25" customHeight="1"/>
    <row r="607" ht="26.25" customHeight="1"/>
    <row r="608" ht="26.25" customHeight="1"/>
    <row r="609" ht="26.25" customHeight="1"/>
    <row r="610" ht="26.25" customHeight="1"/>
    <row r="611" ht="26.25" customHeight="1"/>
    <row r="612" ht="26.25" customHeight="1"/>
    <row r="613" ht="26.25" customHeight="1"/>
    <row r="614" ht="26.25" customHeight="1"/>
    <row r="615" ht="26.25" customHeight="1"/>
    <row r="616" ht="26.25" customHeight="1"/>
    <row r="617" ht="26.25" customHeight="1"/>
    <row r="618" ht="26.25" customHeight="1"/>
    <row r="619" ht="26.25" customHeight="1"/>
    <row r="620" ht="26.25" customHeight="1"/>
    <row r="621" ht="26.25" customHeight="1"/>
    <row r="622" ht="26.25" customHeight="1"/>
    <row r="623" ht="26.25" customHeight="1"/>
    <row r="624" ht="26.25" customHeight="1"/>
    <row r="625" ht="26.25" customHeight="1"/>
    <row r="626" ht="26.25" customHeight="1"/>
    <row r="627" ht="26.25" customHeight="1"/>
    <row r="628" ht="26.25" customHeight="1"/>
    <row r="629" ht="26.25" customHeight="1"/>
    <row r="630" ht="26.25" customHeight="1"/>
    <row r="631" ht="26.25" customHeight="1"/>
    <row r="632" ht="26.25" customHeight="1"/>
    <row r="633" ht="26.25" customHeight="1"/>
    <row r="634" ht="26.25" customHeight="1"/>
    <row r="635" ht="26.25" customHeight="1"/>
    <row r="636" ht="26.25" customHeight="1"/>
    <row r="637" ht="26.25" customHeight="1"/>
    <row r="638" ht="26.25" customHeight="1"/>
    <row r="639" ht="26.25" customHeight="1"/>
    <row r="640" ht="26.25" customHeight="1"/>
    <row r="641" ht="26.25" customHeight="1"/>
    <row r="642" ht="26.25" customHeight="1"/>
    <row r="643" ht="26.25" customHeight="1"/>
    <row r="644" ht="26.25" customHeight="1"/>
    <row r="645" ht="26.25" customHeight="1"/>
    <row r="646" ht="26.25" customHeight="1"/>
    <row r="647" ht="26.25" customHeight="1"/>
    <row r="648" ht="26.25" customHeight="1"/>
    <row r="649" ht="26.25" customHeight="1"/>
    <row r="650" ht="26.25" customHeight="1"/>
    <row r="651" ht="26.25" customHeight="1"/>
    <row r="652" ht="26.25" customHeight="1"/>
    <row r="653" ht="26.25" customHeight="1"/>
    <row r="654" ht="26.25" customHeight="1"/>
    <row r="655" ht="26.25" customHeight="1"/>
    <row r="656" ht="26.25" customHeight="1"/>
    <row r="657" ht="26.25" customHeight="1"/>
    <row r="658" ht="26.25" customHeight="1"/>
    <row r="659" ht="26.25" customHeight="1"/>
    <row r="660" ht="26.25" customHeight="1"/>
    <row r="661" ht="26.25" customHeight="1"/>
    <row r="662" ht="26.25" customHeight="1"/>
    <row r="663" ht="26.25" customHeight="1"/>
    <row r="664" ht="26.25" customHeight="1"/>
    <row r="665" ht="26.25" customHeight="1"/>
    <row r="666" ht="26.25" customHeight="1"/>
    <row r="667" ht="26.25" customHeight="1"/>
    <row r="668" ht="26.25" customHeight="1"/>
    <row r="669" ht="26.25" customHeight="1"/>
    <row r="670" ht="26.25" customHeight="1"/>
    <row r="671" ht="26.25" customHeight="1"/>
    <row r="672" ht="26.25" customHeight="1"/>
    <row r="673" ht="26.25" customHeight="1"/>
    <row r="674" ht="26.25" customHeight="1"/>
    <row r="675" ht="26.25" customHeight="1"/>
    <row r="676" ht="26.25" customHeight="1"/>
    <row r="677" ht="26.25" customHeight="1"/>
    <row r="678" ht="26.25" customHeight="1"/>
    <row r="679" ht="26.25" customHeight="1"/>
    <row r="680" ht="26.25" customHeight="1"/>
    <row r="681" ht="26.25" customHeight="1"/>
    <row r="682" ht="26.25" customHeight="1"/>
    <row r="683" ht="26.25" customHeight="1"/>
    <row r="684" ht="26.25" customHeight="1"/>
    <row r="685" ht="26.25" customHeight="1"/>
    <row r="686" ht="26.25" customHeight="1"/>
    <row r="687" ht="26.25" customHeight="1"/>
    <row r="688" ht="26.25" customHeight="1"/>
    <row r="689" ht="26.25" customHeight="1"/>
    <row r="690" ht="26.25" customHeight="1"/>
    <row r="691" ht="26.25" customHeight="1"/>
    <row r="692" ht="26.25" customHeight="1"/>
    <row r="693" ht="26.25" customHeight="1"/>
    <row r="694" ht="26.25" customHeight="1"/>
    <row r="695" ht="26.25" customHeight="1"/>
    <row r="696" ht="26.25" customHeight="1"/>
    <row r="697" ht="26.25" customHeight="1"/>
    <row r="698" ht="26.25" customHeight="1"/>
    <row r="699" ht="26.25" customHeight="1"/>
    <row r="700" ht="26.25" customHeight="1"/>
    <row r="701" ht="26.25" customHeight="1"/>
    <row r="702" ht="26.25" customHeight="1"/>
    <row r="703" ht="26.25" customHeight="1"/>
    <row r="704" ht="26.25" customHeight="1"/>
    <row r="705" ht="26.25" customHeight="1"/>
    <row r="706" ht="26.25" customHeight="1"/>
    <row r="707" ht="26.25" customHeight="1"/>
    <row r="708" ht="26.25" customHeight="1"/>
    <row r="709" ht="26.25" customHeight="1"/>
    <row r="710" ht="26.25" customHeight="1"/>
    <row r="711" ht="26.25" customHeight="1"/>
    <row r="712" ht="26.25" customHeight="1"/>
    <row r="713" ht="26.25" customHeight="1"/>
    <row r="714" ht="26.25" customHeight="1"/>
    <row r="715" ht="26.25" customHeight="1"/>
    <row r="716" ht="26.25" customHeight="1"/>
    <row r="717" ht="26.25" customHeight="1"/>
    <row r="718" ht="26.25" customHeight="1"/>
    <row r="719" ht="26.25" customHeight="1"/>
    <row r="720" ht="26.25" customHeight="1"/>
    <row r="721" ht="26.25" customHeight="1"/>
    <row r="722" ht="26.25" customHeight="1"/>
    <row r="723" ht="26.25" customHeight="1"/>
    <row r="724" ht="26.25" customHeight="1"/>
    <row r="725" ht="26.25" customHeight="1"/>
    <row r="726" ht="26.25" customHeight="1"/>
    <row r="727" ht="26.25" customHeight="1"/>
    <row r="728" ht="26.25" customHeight="1"/>
    <row r="729" ht="26.25" customHeight="1"/>
    <row r="730" ht="26.25" customHeight="1"/>
    <row r="731" ht="26.25" customHeight="1"/>
    <row r="732" ht="26.25" customHeight="1"/>
    <row r="733" ht="26.25" customHeight="1"/>
    <row r="734" ht="26.25" customHeight="1"/>
    <row r="735" ht="26.25" customHeight="1"/>
    <row r="736" ht="26.25" customHeight="1"/>
    <row r="737" ht="26.25" customHeight="1"/>
    <row r="738" ht="26.25" customHeight="1"/>
    <row r="739" ht="26.25" customHeight="1"/>
    <row r="740" ht="26.25" customHeight="1"/>
    <row r="741" ht="26.25" customHeight="1"/>
    <row r="742" ht="26.25" customHeight="1"/>
    <row r="743" ht="26.25" customHeight="1"/>
    <row r="744" ht="26.25" customHeight="1"/>
    <row r="745" ht="26.25" customHeight="1"/>
    <row r="746" ht="26.25" customHeight="1"/>
    <row r="747" ht="26.25" customHeight="1"/>
    <row r="748" ht="26.25" customHeight="1"/>
    <row r="749" ht="26.25" customHeight="1"/>
    <row r="750" ht="26.25" customHeight="1"/>
    <row r="751" ht="26.25" customHeight="1"/>
    <row r="752" ht="26.25" customHeight="1"/>
    <row r="753" ht="26.25" customHeight="1"/>
    <row r="754" ht="26.25" customHeight="1"/>
    <row r="755" ht="26.25" customHeight="1"/>
    <row r="756" ht="26.25" customHeight="1"/>
    <row r="757" ht="26.25" customHeight="1"/>
    <row r="758" ht="26.25" customHeight="1"/>
    <row r="759" ht="26.25" customHeight="1"/>
    <row r="760" ht="26.25" customHeight="1"/>
    <row r="761" ht="26.25" customHeight="1"/>
    <row r="762" ht="26.25" customHeight="1"/>
    <row r="763" ht="26.25" customHeight="1"/>
    <row r="764" ht="26.25" customHeight="1"/>
    <row r="765" ht="26.25" customHeight="1"/>
    <row r="766" ht="26.25" customHeight="1"/>
    <row r="767" ht="26.25" customHeight="1"/>
    <row r="768" ht="26.25" customHeight="1"/>
    <row r="769" ht="26.25" customHeight="1"/>
    <row r="770" ht="26.25" customHeight="1"/>
    <row r="771" ht="26.25" customHeight="1"/>
    <row r="772" ht="26.25" customHeight="1"/>
    <row r="773" ht="26.25" customHeight="1"/>
    <row r="774" ht="26.25" customHeight="1"/>
    <row r="775" ht="26.25" customHeight="1"/>
    <row r="776" ht="26.25" customHeight="1"/>
    <row r="777" ht="26.25" customHeight="1"/>
    <row r="778" ht="26.25" customHeight="1"/>
    <row r="779" ht="26.25" customHeight="1"/>
    <row r="780" ht="26.25" customHeight="1"/>
    <row r="781" ht="26.25" customHeight="1"/>
    <row r="782" ht="26.25" customHeight="1"/>
    <row r="783" ht="26.25" customHeight="1"/>
    <row r="784" ht="26.25" customHeight="1"/>
    <row r="785" ht="26.25" customHeight="1"/>
    <row r="786" ht="26.25" customHeight="1"/>
    <row r="787" ht="26.25" customHeight="1"/>
    <row r="788" ht="26.25" customHeight="1"/>
    <row r="789" ht="26.25" customHeight="1"/>
    <row r="790" ht="26.25" customHeight="1"/>
    <row r="791" ht="26.25" customHeight="1"/>
    <row r="792" ht="26.25" customHeight="1"/>
    <row r="793" ht="26.25" customHeight="1"/>
    <row r="794" ht="26.25" customHeight="1"/>
    <row r="795" ht="26.25" customHeight="1"/>
    <row r="796" ht="26.25" customHeight="1"/>
    <row r="797" ht="26.25" customHeight="1"/>
    <row r="798" ht="26.25" customHeight="1"/>
    <row r="799" ht="26.25" customHeight="1"/>
    <row r="800" ht="26.25" customHeight="1"/>
    <row r="801" ht="26.25" customHeight="1"/>
    <row r="802" ht="26.25" customHeight="1"/>
    <row r="803" ht="26.25" customHeight="1"/>
    <row r="804" ht="26.25" customHeight="1"/>
    <row r="805" ht="26.25" customHeight="1"/>
    <row r="806" ht="26.25" customHeight="1"/>
    <row r="807" ht="26.25" customHeight="1"/>
    <row r="808" ht="26.25" customHeight="1"/>
    <row r="809" ht="26.25" customHeight="1"/>
    <row r="810" ht="26.25" customHeight="1"/>
    <row r="811" ht="26.25" customHeight="1"/>
    <row r="812" ht="26.25" customHeight="1"/>
    <row r="813" ht="26.25" customHeight="1"/>
    <row r="814" ht="26.25" customHeight="1"/>
    <row r="815" ht="26.25" customHeight="1"/>
    <row r="816" ht="26.25" customHeight="1"/>
    <row r="817" ht="26.25" customHeight="1"/>
    <row r="818" ht="26.25" customHeight="1"/>
    <row r="819" ht="26.25" customHeight="1"/>
    <row r="820" ht="26.25" customHeight="1"/>
    <row r="821" ht="26.25" customHeight="1"/>
    <row r="822" ht="26.25" customHeight="1"/>
    <row r="823" ht="26.25" customHeight="1"/>
    <row r="824" ht="26.25" customHeight="1"/>
    <row r="825" ht="26.25" customHeight="1"/>
    <row r="826" ht="26.25" customHeight="1"/>
    <row r="827" ht="26.25" customHeight="1"/>
    <row r="828" ht="26.25" customHeight="1"/>
    <row r="829" ht="26.25" customHeight="1"/>
    <row r="830" ht="26.25" customHeight="1"/>
    <row r="831" ht="26.25" customHeight="1"/>
    <row r="832" ht="26.25" customHeight="1"/>
    <row r="833" ht="26.25" customHeight="1"/>
    <row r="834" ht="26.25" customHeight="1"/>
    <row r="835" ht="26.25" customHeight="1"/>
    <row r="836" ht="26.25" customHeight="1"/>
    <row r="837" ht="26.25" customHeight="1"/>
    <row r="838" ht="26.25" customHeight="1"/>
    <row r="839" ht="26.25" customHeight="1"/>
    <row r="840" ht="26.25" customHeight="1"/>
    <row r="841" ht="26.25" customHeight="1"/>
    <row r="842" ht="26.25" customHeight="1"/>
    <row r="843" ht="26.25" customHeight="1"/>
    <row r="844" ht="26.25" customHeight="1"/>
    <row r="845" ht="26.25" customHeight="1"/>
    <row r="846" ht="26.25" customHeight="1"/>
    <row r="847" ht="26.25" customHeight="1"/>
    <row r="848" ht="26.25" customHeight="1"/>
    <row r="849" ht="26.25" customHeight="1"/>
    <row r="850" ht="26.25" customHeight="1"/>
    <row r="851" ht="26.25" customHeight="1"/>
    <row r="852" ht="26.25" customHeight="1"/>
    <row r="853" ht="26.25" customHeight="1"/>
    <row r="854" ht="26.25" customHeight="1"/>
    <row r="855" ht="26.25" customHeight="1"/>
    <row r="856" ht="26.25" customHeight="1"/>
    <row r="857" ht="26.25" customHeight="1"/>
    <row r="858" ht="26.25" customHeight="1"/>
    <row r="859" ht="26.25" customHeight="1"/>
    <row r="860" ht="26.25" customHeight="1"/>
    <row r="861" ht="26.25" customHeight="1"/>
    <row r="862" ht="26.25" customHeight="1"/>
    <row r="863" ht="26.25" customHeight="1"/>
    <row r="864" ht="26.25" customHeight="1"/>
    <row r="865" ht="26.25" customHeight="1"/>
    <row r="866" ht="26.25" customHeight="1"/>
    <row r="867" ht="26.25" customHeight="1"/>
    <row r="868" ht="26.25" customHeight="1"/>
    <row r="869" ht="26.25" customHeight="1"/>
    <row r="870" ht="26.25" customHeight="1"/>
    <row r="871" ht="26.25" customHeight="1"/>
    <row r="872" ht="26.25" customHeight="1"/>
    <row r="873" ht="26.25" customHeight="1"/>
    <row r="874" ht="26.25" customHeight="1"/>
    <row r="875" ht="26.25" customHeight="1"/>
    <row r="876" ht="26.25" customHeight="1"/>
    <row r="877" ht="26.25" customHeight="1"/>
    <row r="878" ht="26.25" customHeight="1"/>
    <row r="879" ht="26.25" customHeight="1"/>
    <row r="880" ht="26.25" customHeight="1"/>
    <row r="881" ht="26.25" customHeight="1"/>
    <row r="882" ht="26.25" customHeight="1"/>
    <row r="883" ht="26.25" customHeight="1"/>
    <row r="884" ht="26.25" customHeight="1"/>
    <row r="885" ht="26.25" customHeight="1"/>
    <row r="886" ht="26.25" customHeight="1"/>
    <row r="887" ht="26.25" customHeight="1"/>
    <row r="888" ht="26.25" customHeight="1"/>
    <row r="889" ht="26.25" customHeight="1"/>
    <row r="890" ht="26.25" customHeight="1"/>
    <row r="891" ht="26.25" customHeight="1"/>
    <row r="892" ht="26.25" customHeight="1"/>
    <row r="893" ht="26.25" customHeight="1"/>
    <row r="894" ht="26.25" customHeight="1"/>
    <row r="895" ht="26.25" customHeight="1"/>
    <row r="896" ht="26.25" customHeight="1"/>
    <row r="897" ht="26.25" customHeight="1"/>
    <row r="898" ht="26.25" customHeight="1"/>
    <row r="899" ht="26.25" customHeight="1"/>
    <row r="900" ht="26.25" customHeight="1"/>
    <row r="901" ht="26.25" customHeight="1"/>
    <row r="902" ht="26.25" customHeight="1"/>
    <row r="903" ht="26.25" customHeight="1"/>
    <row r="904" ht="26.25" customHeight="1"/>
    <row r="905" ht="26.25" customHeight="1"/>
    <row r="906" ht="26.25" customHeight="1"/>
    <row r="907" ht="26.25" customHeight="1"/>
    <row r="908" ht="26.25" customHeight="1"/>
    <row r="909" ht="26.25" customHeight="1"/>
    <row r="910" ht="26.25" customHeight="1"/>
    <row r="911" ht="26.25" customHeight="1"/>
    <row r="912" ht="26.25" customHeight="1"/>
    <row r="913" ht="26.25" customHeight="1"/>
    <row r="914" ht="26.25" customHeight="1"/>
    <row r="915" ht="26.25" customHeight="1"/>
    <row r="916" ht="26.25" customHeight="1"/>
    <row r="917" ht="26.25" customHeight="1"/>
    <row r="918" ht="26.25" customHeight="1"/>
    <row r="919" ht="26.25" customHeight="1"/>
    <row r="920" ht="26.25" customHeight="1"/>
    <row r="921" ht="26.25" customHeight="1"/>
    <row r="922" ht="26.25" customHeight="1"/>
    <row r="923" ht="26.25" customHeight="1"/>
    <row r="924" ht="26.25" customHeight="1"/>
    <row r="925" ht="26.25" customHeight="1"/>
    <row r="926" ht="26.25" customHeight="1"/>
    <row r="927" ht="26.25" customHeight="1"/>
    <row r="928" ht="26.25" customHeight="1"/>
    <row r="929" ht="26.25" customHeight="1"/>
    <row r="930" ht="26.25" customHeight="1"/>
    <row r="931" ht="26.25" customHeight="1"/>
    <row r="932" ht="26.25" customHeight="1"/>
    <row r="933" ht="26.25" customHeight="1"/>
    <row r="934" ht="26.25" customHeight="1"/>
    <row r="935" ht="26.25" customHeight="1"/>
    <row r="936" ht="26.25" customHeight="1"/>
    <row r="937" ht="26.25" customHeight="1"/>
    <row r="938" ht="26.25" customHeight="1"/>
    <row r="939" ht="26.25" customHeight="1"/>
    <row r="940" ht="26.25" customHeight="1"/>
    <row r="941" ht="26.25" customHeight="1"/>
    <row r="942" ht="26.25" customHeight="1"/>
    <row r="943" ht="26.25" customHeight="1"/>
    <row r="944" ht="26.25" customHeight="1"/>
    <row r="945" ht="26.25" customHeight="1"/>
    <row r="946" ht="26.25" customHeight="1"/>
    <row r="947" ht="26.25" customHeight="1"/>
    <row r="948" ht="26.25" customHeight="1"/>
    <row r="949" ht="26.25" customHeight="1"/>
    <row r="950" ht="26.25" customHeight="1"/>
    <row r="951" ht="26.25" customHeight="1"/>
    <row r="952" ht="26.25" customHeight="1"/>
    <row r="953" ht="26.25" customHeight="1"/>
    <row r="954" ht="26.25" customHeight="1"/>
    <row r="955" ht="26.25" customHeight="1"/>
    <row r="956" ht="26.25" customHeight="1"/>
    <row r="957" ht="26.25" customHeight="1"/>
    <row r="958" ht="26.25" customHeight="1"/>
    <row r="959" ht="26.25" customHeight="1"/>
    <row r="960" ht="26.25" customHeight="1"/>
    <row r="961" ht="26.25" customHeight="1"/>
    <row r="962" ht="26.25" customHeight="1"/>
    <row r="963" ht="26.25" customHeight="1"/>
    <row r="964" ht="26.25" customHeight="1"/>
    <row r="965" ht="26.25" customHeight="1"/>
    <row r="966" ht="26.25" customHeight="1"/>
    <row r="967" ht="26.25" customHeight="1"/>
    <row r="968" ht="26.25" customHeight="1"/>
    <row r="969" ht="26.25" customHeight="1"/>
    <row r="970" ht="26.25" customHeight="1"/>
    <row r="971" ht="26.25" customHeight="1"/>
    <row r="972" ht="26.25" customHeight="1"/>
    <row r="973" ht="26.25" customHeight="1"/>
    <row r="974" ht="26.25" customHeight="1"/>
    <row r="975" ht="26.25" customHeight="1"/>
    <row r="976" ht="26.25" customHeight="1"/>
    <row r="977" ht="26.25" customHeight="1"/>
    <row r="978" ht="26.25" customHeight="1"/>
    <row r="979" ht="26.25" customHeight="1"/>
    <row r="980" ht="26.25" customHeight="1"/>
    <row r="981" ht="26.25" customHeight="1"/>
    <row r="982" ht="26.25" customHeight="1"/>
    <row r="983" ht="26.25" customHeight="1"/>
    <row r="984" ht="26.25" customHeight="1"/>
    <row r="985" ht="26.25" customHeight="1"/>
    <row r="986" ht="26.25" customHeight="1"/>
    <row r="987" ht="26.25" customHeight="1"/>
    <row r="988" ht="26.25" customHeight="1"/>
    <row r="989" ht="26.25" customHeight="1"/>
    <row r="990" ht="26.25" customHeight="1"/>
    <row r="991" ht="26.25" customHeight="1"/>
    <row r="992" ht="26.25" customHeight="1"/>
    <row r="993" ht="26.25" customHeight="1"/>
    <row r="994" ht="26.25" customHeight="1"/>
    <row r="995" ht="26.25" customHeight="1"/>
    <row r="996" ht="26.25" customHeight="1"/>
    <row r="997" ht="26.25" customHeight="1"/>
    <row r="998" ht="26.25" customHeight="1"/>
    <row r="999" ht="26.25" customHeight="1"/>
    <row r="1000" ht="26.25" customHeight="1"/>
  </sheetData>
  <mergeCells count="2">
    <mergeCell ref="C1:I3"/>
    <mergeCell ref="E9:G10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2.71"/>
    <col customWidth="1" min="2" max="2" width="19.14"/>
    <col customWidth="1" min="3" max="4" width="13.0"/>
    <col customWidth="1" min="5" max="5" width="8.71"/>
    <col customWidth="1" min="6" max="6" width="9.57"/>
    <col customWidth="1" min="7" max="16" width="17.43"/>
  </cols>
  <sheetData>
    <row r="1" ht="22.5" customHeight="1">
      <c r="A1" s="352" t="s">
        <v>243</v>
      </c>
      <c r="B1" s="353" t="s">
        <v>244</v>
      </c>
      <c r="C1" s="354" t="s">
        <v>245</v>
      </c>
      <c r="D1" s="354" t="s">
        <v>246</v>
      </c>
      <c r="E1" s="352" t="s">
        <v>247</v>
      </c>
      <c r="F1" s="355" t="s">
        <v>248</v>
      </c>
      <c r="G1" s="356" t="s">
        <v>249</v>
      </c>
      <c r="H1" s="357" t="s">
        <v>12</v>
      </c>
      <c r="I1" s="357" t="s">
        <v>241</v>
      </c>
      <c r="J1" s="357" t="s">
        <v>13</v>
      </c>
      <c r="K1" s="357" t="s">
        <v>250</v>
      </c>
      <c r="L1" s="358"/>
      <c r="M1" s="356"/>
      <c r="N1" s="359"/>
      <c r="O1" s="359"/>
      <c r="P1" s="359"/>
    </row>
    <row r="2" ht="22.5" customHeight="1">
      <c r="A2" s="360">
        <v>46113.0</v>
      </c>
      <c r="B2" s="361" t="s">
        <v>106</v>
      </c>
      <c r="C2" s="362">
        <v>0.3909722222222222</v>
      </c>
      <c r="D2" s="362">
        <v>0.7520833333333333</v>
      </c>
      <c r="E2" s="363" t="str">
        <f t="shared" ref="E2:E410" si="1">TEXT(A2,"dddd")</f>
        <v>الأربعاء</v>
      </c>
      <c r="F2" s="364">
        <f t="shared" ref="F2:F410" si="2">MONTH(A2)</f>
        <v>4</v>
      </c>
      <c r="G2" s="365">
        <f t="shared" ref="G2:G126" si="3">(D2-C2)*24</f>
        <v>8.666666667</v>
      </c>
      <c r="H2" s="366"/>
      <c r="I2" s="366"/>
      <c r="J2" s="366"/>
      <c r="K2" s="367" t="str">
        <f t="shared" ref="K2:K410" si="4">IF(WEEKDAY(A2)=6, "جمعة", "يوم عادي")</f>
        <v>يوم عادي</v>
      </c>
      <c r="L2" s="368">
        <f>(MIN(Attendance!D2, TIME(18, 0, 0)) - Attendance!C2) * 24</f>
        <v>8.616666667</v>
      </c>
      <c r="M2" s="369">
        <f t="shared" ref="M2:M957" si="5">G2-L2</f>
        <v>0.05</v>
      </c>
      <c r="N2" s="370"/>
      <c r="O2" s="370"/>
      <c r="P2" s="370"/>
    </row>
    <row r="3" ht="22.5" customHeight="1">
      <c r="A3" s="360">
        <v>46114.0</v>
      </c>
      <c r="B3" s="361" t="s">
        <v>106</v>
      </c>
      <c r="C3" s="362">
        <v>0.38263888888888886</v>
      </c>
      <c r="D3" s="362">
        <v>0.7548611111111111</v>
      </c>
      <c r="E3" s="363" t="str">
        <f t="shared" si="1"/>
        <v>الخميس</v>
      </c>
      <c r="F3" s="364">
        <f t="shared" si="2"/>
        <v>4</v>
      </c>
      <c r="G3" s="365">
        <f t="shared" si="3"/>
        <v>8.933333333</v>
      </c>
      <c r="H3" s="366"/>
      <c r="I3" s="366"/>
      <c r="J3" s="366"/>
      <c r="K3" s="367" t="str">
        <f t="shared" si="4"/>
        <v>يوم عادي</v>
      </c>
      <c r="L3" s="368">
        <f>(MIN(Attendance!D3, TIME(18, 0, 0)) - Attendance!C3) * 24</f>
        <v>8.816666667</v>
      </c>
      <c r="M3" s="369">
        <f t="shared" si="5"/>
        <v>0.1166666667</v>
      </c>
      <c r="N3" s="370"/>
      <c r="O3" s="370"/>
      <c r="P3" s="370"/>
    </row>
    <row r="4" ht="22.5" customHeight="1">
      <c r="A4" s="360">
        <v>46116.0</v>
      </c>
      <c r="B4" s="361" t="s">
        <v>106</v>
      </c>
      <c r="C4" s="362">
        <v>0.39652777777777776</v>
      </c>
      <c r="D4" s="362">
        <v>0.7555555555555555</v>
      </c>
      <c r="E4" s="363" t="str">
        <f t="shared" si="1"/>
        <v>السبت</v>
      </c>
      <c r="F4" s="364">
        <f t="shared" si="2"/>
        <v>4</v>
      </c>
      <c r="G4" s="365">
        <f t="shared" si="3"/>
        <v>8.616666667</v>
      </c>
      <c r="H4" s="366"/>
      <c r="I4" s="366"/>
      <c r="J4" s="366"/>
      <c r="K4" s="367" t="str">
        <f t="shared" si="4"/>
        <v>يوم عادي</v>
      </c>
      <c r="L4" s="368">
        <f>(MIN(Attendance!D4, TIME(18, 0, 0)) - Attendance!C4) * 24</f>
        <v>8.483333333</v>
      </c>
      <c r="M4" s="369">
        <f t="shared" si="5"/>
        <v>0.1333333333</v>
      </c>
      <c r="N4" s="370"/>
      <c r="O4" s="370"/>
      <c r="P4" s="370"/>
    </row>
    <row r="5" ht="22.5" customHeight="1">
      <c r="A5" s="360">
        <v>46117.0</v>
      </c>
      <c r="B5" s="361" t="s">
        <v>106</v>
      </c>
      <c r="C5" s="362">
        <v>0.38472222222222224</v>
      </c>
      <c r="D5" s="362">
        <v>0.7583333333333333</v>
      </c>
      <c r="E5" s="363" t="str">
        <f t="shared" si="1"/>
        <v>الأحد</v>
      </c>
      <c r="F5" s="364">
        <f t="shared" si="2"/>
        <v>4</v>
      </c>
      <c r="G5" s="365">
        <f t="shared" si="3"/>
        <v>8.966666667</v>
      </c>
      <c r="H5" s="366"/>
      <c r="I5" s="366"/>
      <c r="J5" s="366"/>
      <c r="K5" s="367" t="str">
        <f t="shared" si="4"/>
        <v>يوم عادي</v>
      </c>
      <c r="L5" s="368">
        <f>(MIN(Attendance!D5, TIME(18, 0, 0)) - Attendance!C5) * 24</f>
        <v>8.766666667</v>
      </c>
      <c r="M5" s="369">
        <f t="shared" si="5"/>
        <v>0.2</v>
      </c>
      <c r="N5" s="370"/>
      <c r="O5" s="370"/>
      <c r="P5" s="370"/>
    </row>
    <row r="6" ht="22.5" customHeight="1">
      <c r="A6" s="360">
        <v>46118.0</v>
      </c>
      <c r="B6" s="361" t="s">
        <v>106</v>
      </c>
      <c r="C6" s="362">
        <v>0.3854166666666667</v>
      </c>
      <c r="D6" s="362">
        <v>0.7784722222222222</v>
      </c>
      <c r="E6" s="363" t="str">
        <f t="shared" si="1"/>
        <v>الاثنين</v>
      </c>
      <c r="F6" s="364">
        <f t="shared" si="2"/>
        <v>4</v>
      </c>
      <c r="G6" s="365">
        <f t="shared" si="3"/>
        <v>9.433333333</v>
      </c>
      <c r="H6" s="366"/>
      <c r="I6" s="366"/>
      <c r="J6" s="366"/>
      <c r="K6" s="367" t="str">
        <f t="shared" si="4"/>
        <v>يوم عادي</v>
      </c>
      <c r="L6" s="368">
        <f>(MIN(Attendance!D6, TIME(18, 0, 0)) - Attendance!C6) * 24</f>
        <v>8.75</v>
      </c>
      <c r="M6" s="369">
        <f t="shared" si="5"/>
        <v>0.6833333333</v>
      </c>
      <c r="N6" s="370"/>
      <c r="O6" s="370"/>
      <c r="P6" s="370"/>
    </row>
    <row r="7" ht="22.5" customHeight="1">
      <c r="A7" s="360">
        <v>46119.0</v>
      </c>
      <c r="B7" s="361" t="s">
        <v>106</v>
      </c>
      <c r="C7" s="362">
        <v>0.3875</v>
      </c>
      <c r="D7" s="362">
        <v>0.7590277777777777</v>
      </c>
      <c r="E7" s="363" t="str">
        <f t="shared" si="1"/>
        <v>الثلاثاء</v>
      </c>
      <c r="F7" s="364">
        <f t="shared" si="2"/>
        <v>4</v>
      </c>
      <c r="G7" s="365">
        <f t="shared" si="3"/>
        <v>8.916666667</v>
      </c>
      <c r="H7" s="366"/>
      <c r="I7" s="366"/>
      <c r="J7" s="366"/>
      <c r="K7" s="367" t="str">
        <f t="shared" si="4"/>
        <v>يوم عادي</v>
      </c>
      <c r="L7" s="368">
        <f>(MIN(Attendance!D7, TIME(18, 0, 0)) - Attendance!C7) * 24</f>
        <v>8.7</v>
      </c>
      <c r="M7" s="369">
        <f t="shared" si="5"/>
        <v>0.2166666667</v>
      </c>
      <c r="N7" s="370"/>
      <c r="O7" s="370"/>
      <c r="P7" s="370"/>
    </row>
    <row r="8" ht="22.5" customHeight="1">
      <c r="A8" s="360">
        <v>46120.0</v>
      </c>
      <c r="B8" s="361" t="s">
        <v>106</v>
      </c>
      <c r="C8" s="362">
        <v>0.3909722222222222</v>
      </c>
      <c r="D8" s="362">
        <v>0.75</v>
      </c>
      <c r="E8" s="363" t="str">
        <f t="shared" si="1"/>
        <v>الأربعاء</v>
      </c>
      <c r="F8" s="364">
        <f t="shared" si="2"/>
        <v>4</v>
      </c>
      <c r="G8" s="365">
        <f t="shared" si="3"/>
        <v>8.616666667</v>
      </c>
      <c r="H8" s="366"/>
      <c r="I8" s="366"/>
      <c r="J8" s="366"/>
      <c r="K8" s="367" t="str">
        <f t="shared" si="4"/>
        <v>يوم عادي</v>
      </c>
      <c r="L8" s="368">
        <f>(MIN(Attendance!D8, TIME(18, 0, 0)) - Attendance!C8) * 24</f>
        <v>8.616666667</v>
      </c>
      <c r="M8" s="369">
        <f t="shared" si="5"/>
        <v>0</v>
      </c>
      <c r="N8" s="370"/>
      <c r="O8" s="370"/>
      <c r="P8" s="370"/>
    </row>
    <row r="9" ht="22.5" customHeight="1">
      <c r="A9" s="360">
        <v>46121.0</v>
      </c>
      <c r="B9" s="361" t="s">
        <v>106</v>
      </c>
      <c r="C9" s="362">
        <v>0.38819444444444445</v>
      </c>
      <c r="D9" s="362">
        <v>0.7631944444444444</v>
      </c>
      <c r="E9" s="363" t="str">
        <f t="shared" si="1"/>
        <v>الخميس</v>
      </c>
      <c r="F9" s="364">
        <f t="shared" si="2"/>
        <v>4</v>
      </c>
      <c r="G9" s="365">
        <f t="shared" si="3"/>
        <v>9</v>
      </c>
      <c r="H9" s="366"/>
      <c r="I9" s="366"/>
      <c r="J9" s="366"/>
      <c r="K9" s="367" t="str">
        <f t="shared" si="4"/>
        <v>يوم عادي</v>
      </c>
      <c r="L9" s="368">
        <f>(MIN(Attendance!D9, TIME(18, 0, 0)) - Attendance!C9) * 24</f>
        <v>8.683333333</v>
      </c>
      <c r="M9" s="369">
        <f t="shared" si="5"/>
        <v>0.3166666667</v>
      </c>
      <c r="N9" s="370"/>
      <c r="O9" s="370"/>
      <c r="P9" s="370"/>
    </row>
    <row r="10" ht="22.5" customHeight="1">
      <c r="A10" s="360">
        <v>46122.0</v>
      </c>
      <c r="B10" s="361" t="s">
        <v>106</v>
      </c>
      <c r="C10" s="362">
        <v>0.3541666666666667</v>
      </c>
      <c r="D10" s="362">
        <v>0.7243055555555555</v>
      </c>
      <c r="E10" s="363" t="str">
        <f t="shared" si="1"/>
        <v>الجمعة</v>
      </c>
      <c r="F10" s="364">
        <f t="shared" si="2"/>
        <v>4</v>
      </c>
      <c r="G10" s="365">
        <f t="shared" si="3"/>
        <v>8.883333333</v>
      </c>
      <c r="H10" s="366"/>
      <c r="I10" s="366"/>
      <c r="J10" s="366"/>
      <c r="K10" s="367" t="str">
        <f t="shared" si="4"/>
        <v>جمعة</v>
      </c>
      <c r="L10" s="368">
        <f>(MIN(Attendance!D10, TIME(18, 0, 0)) - Attendance!C10) * 24</f>
        <v>8.883333333</v>
      </c>
      <c r="M10" s="369">
        <f t="shared" si="5"/>
        <v>0</v>
      </c>
      <c r="N10" s="370"/>
      <c r="O10" s="370"/>
      <c r="P10" s="370"/>
    </row>
    <row r="11" ht="22.5" customHeight="1">
      <c r="A11" s="360">
        <v>46123.0</v>
      </c>
      <c r="B11" s="361" t="s">
        <v>106</v>
      </c>
      <c r="C11" s="371">
        <v>0.3993055555555556</v>
      </c>
      <c r="D11" s="371">
        <v>0.7527777777777778</v>
      </c>
      <c r="E11" s="363" t="str">
        <f t="shared" si="1"/>
        <v>السبت</v>
      </c>
      <c r="F11" s="364">
        <f t="shared" si="2"/>
        <v>4</v>
      </c>
      <c r="G11" s="365">
        <f t="shared" si="3"/>
        <v>8.483333333</v>
      </c>
      <c r="H11" s="366"/>
      <c r="I11" s="366"/>
      <c r="J11" s="366"/>
      <c r="K11" s="367" t="str">
        <f t="shared" si="4"/>
        <v>يوم عادي</v>
      </c>
      <c r="L11" s="368">
        <f>(MIN(Attendance!D11, TIME(18, 0, 0)) - Attendance!C11) * 24</f>
        <v>8.416666667</v>
      </c>
      <c r="M11" s="369">
        <f t="shared" si="5"/>
        <v>0.06666666667</v>
      </c>
      <c r="N11" s="370"/>
      <c r="O11" s="370"/>
      <c r="P11" s="370"/>
    </row>
    <row r="12" ht="22.5" customHeight="1">
      <c r="A12" s="360">
        <v>46124.0</v>
      </c>
      <c r="B12" s="361" t="s">
        <v>106</v>
      </c>
      <c r="C12" s="371">
        <v>0.40902777777777777</v>
      </c>
      <c r="D12" s="371">
        <v>0.7736111111111111</v>
      </c>
      <c r="E12" s="363" t="str">
        <f t="shared" si="1"/>
        <v>الأحد</v>
      </c>
      <c r="F12" s="364">
        <f t="shared" si="2"/>
        <v>4</v>
      </c>
      <c r="G12" s="365">
        <f t="shared" si="3"/>
        <v>8.75</v>
      </c>
      <c r="H12" s="366"/>
      <c r="I12" s="366"/>
      <c r="J12" s="366"/>
      <c r="K12" s="367" t="str">
        <f t="shared" si="4"/>
        <v>يوم عادي</v>
      </c>
      <c r="L12" s="368">
        <f>(MIN(Attendance!D12, TIME(18, 0, 0)) - Attendance!C12) * 24</f>
        <v>8.183333333</v>
      </c>
      <c r="M12" s="369">
        <f t="shared" si="5"/>
        <v>0.5666666667</v>
      </c>
      <c r="N12" s="370"/>
      <c r="O12" s="370"/>
      <c r="P12" s="370"/>
    </row>
    <row r="13" ht="22.5" customHeight="1">
      <c r="A13" s="360">
        <v>46125.0</v>
      </c>
      <c r="B13" s="361" t="s">
        <v>106</v>
      </c>
      <c r="C13" s="371">
        <v>0.39375</v>
      </c>
      <c r="D13" s="371">
        <v>0.88125</v>
      </c>
      <c r="E13" s="363" t="str">
        <f t="shared" si="1"/>
        <v>الاثنين</v>
      </c>
      <c r="F13" s="364">
        <f t="shared" si="2"/>
        <v>4</v>
      </c>
      <c r="G13" s="365">
        <f t="shared" si="3"/>
        <v>11.7</v>
      </c>
      <c r="H13" s="366"/>
      <c r="I13" s="366"/>
      <c r="J13" s="366"/>
      <c r="K13" s="367" t="str">
        <f t="shared" si="4"/>
        <v>يوم عادي</v>
      </c>
      <c r="L13" s="368">
        <f>(MIN(Attendance!D13, TIME(18, 0, 0)) - Attendance!C13) * 24</f>
        <v>8.55</v>
      </c>
      <c r="M13" s="369">
        <f t="shared" si="5"/>
        <v>3.15</v>
      </c>
      <c r="N13" s="370"/>
      <c r="O13" s="370"/>
      <c r="P13" s="370"/>
    </row>
    <row r="14" ht="22.5" customHeight="1">
      <c r="A14" s="360">
        <v>46126.0</v>
      </c>
      <c r="B14" s="361" t="s">
        <v>106</v>
      </c>
      <c r="C14" s="371">
        <v>0.3951388888888889</v>
      </c>
      <c r="D14" s="371">
        <v>0.7805555555555556</v>
      </c>
      <c r="E14" s="363" t="str">
        <f t="shared" si="1"/>
        <v>الثلاثاء</v>
      </c>
      <c r="F14" s="364">
        <f t="shared" si="2"/>
        <v>4</v>
      </c>
      <c r="G14" s="365">
        <f t="shared" si="3"/>
        <v>9.25</v>
      </c>
      <c r="H14" s="366"/>
      <c r="I14" s="366"/>
      <c r="J14" s="366"/>
      <c r="K14" s="367" t="str">
        <f t="shared" si="4"/>
        <v>يوم عادي</v>
      </c>
      <c r="L14" s="368">
        <f>(MIN(Attendance!D14, TIME(18, 0, 0)) - Attendance!C14) * 24</f>
        <v>8.516666667</v>
      </c>
      <c r="M14" s="369">
        <f t="shared" si="5"/>
        <v>0.7333333333</v>
      </c>
      <c r="N14" s="370"/>
      <c r="O14" s="370"/>
      <c r="P14" s="370"/>
    </row>
    <row r="15" ht="22.5" customHeight="1">
      <c r="A15" s="372">
        <v>46127.0</v>
      </c>
      <c r="B15" s="361" t="s">
        <v>106</v>
      </c>
      <c r="C15" s="371">
        <v>0.41388888888888886</v>
      </c>
      <c r="D15" s="371">
        <v>0.8736111111111111</v>
      </c>
      <c r="E15" s="363" t="str">
        <f t="shared" si="1"/>
        <v>الأربعاء</v>
      </c>
      <c r="F15" s="364">
        <f t="shared" si="2"/>
        <v>4</v>
      </c>
      <c r="G15" s="365">
        <f t="shared" si="3"/>
        <v>11.03333333</v>
      </c>
      <c r="H15" s="366"/>
      <c r="I15" s="366"/>
      <c r="J15" s="366"/>
      <c r="K15" s="367" t="str">
        <f t="shared" si="4"/>
        <v>يوم عادي</v>
      </c>
      <c r="L15" s="368">
        <f>(MIN(Attendance!D15, TIME(18, 0, 0)) - Attendance!C15) * 24</f>
        <v>8.066666667</v>
      </c>
      <c r="M15" s="369">
        <f t="shared" si="5"/>
        <v>2.966666667</v>
      </c>
      <c r="N15" s="370"/>
      <c r="O15" s="370"/>
      <c r="P15" s="370"/>
    </row>
    <row r="16" ht="22.5" customHeight="1">
      <c r="A16" s="372">
        <v>46128.0</v>
      </c>
      <c r="B16" s="361" t="s">
        <v>106</v>
      </c>
      <c r="C16" s="371">
        <v>0.44583333333333336</v>
      </c>
      <c r="D16" s="371">
        <v>0.9118055555555555</v>
      </c>
      <c r="E16" s="363" t="str">
        <f t="shared" si="1"/>
        <v>الخميس</v>
      </c>
      <c r="F16" s="364">
        <f t="shared" si="2"/>
        <v>4</v>
      </c>
      <c r="G16" s="365">
        <f t="shared" si="3"/>
        <v>11.18333333</v>
      </c>
      <c r="H16" s="366"/>
      <c r="I16" s="366"/>
      <c r="J16" s="366"/>
      <c r="K16" s="367" t="str">
        <f t="shared" si="4"/>
        <v>يوم عادي</v>
      </c>
      <c r="L16" s="368">
        <f>(MIN(Attendance!D16, TIME(18, 0, 0)) - Attendance!C16) * 24</f>
        <v>7.3</v>
      </c>
      <c r="M16" s="369">
        <f t="shared" si="5"/>
        <v>3.883333333</v>
      </c>
      <c r="N16" s="370"/>
      <c r="O16" s="370"/>
      <c r="P16" s="370"/>
    </row>
    <row r="17" ht="22.5" customHeight="1">
      <c r="A17" s="372">
        <v>46129.0</v>
      </c>
      <c r="B17" s="361" t="s">
        <v>106</v>
      </c>
      <c r="C17" s="371">
        <v>0.44305555555555554</v>
      </c>
      <c r="D17" s="371">
        <v>0.7645833333333333</v>
      </c>
      <c r="E17" s="363" t="str">
        <f t="shared" si="1"/>
        <v>الجمعة</v>
      </c>
      <c r="F17" s="364">
        <f t="shared" si="2"/>
        <v>4</v>
      </c>
      <c r="G17" s="365">
        <f t="shared" si="3"/>
        <v>7.716666667</v>
      </c>
      <c r="H17" s="366"/>
      <c r="I17" s="366"/>
      <c r="J17" s="366"/>
      <c r="K17" s="367" t="str">
        <f t="shared" si="4"/>
        <v>جمعة</v>
      </c>
      <c r="L17" s="368">
        <f>(MIN(Attendance!D17, TIME(18, 0, 0)) - Attendance!C17) * 24</f>
        <v>7.366666667</v>
      </c>
      <c r="M17" s="369">
        <f t="shared" si="5"/>
        <v>0.35</v>
      </c>
      <c r="N17" s="370"/>
      <c r="O17" s="370"/>
      <c r="P17" s="370"/>
    </row>
    <row r="18" ht="22.5" customHeight="1">
      <c r="A18" s="372">
        <v>46130.0</v>
      </c>
      <c r="B18" s="361" t="s">
        <v>106</v>
      </c>
      <c r="C18" s="371">
        <v>0.4618055555555556</v>
      </c>
      <c r="D18" s="371">
        <v>0.8347222222222223</v>
      </c>
      <c r="E18" s="363" t="str">
        <f t="shared" si="1"/>
        <v>السبت</v>
      </c>
      <c r="F18" s="364">
        <f t="shared" si="2"/>
        <v>4</v>
      </c>
      <c r="G18" s="365">
        <f t="shared" si="3"/>
        <v>8.95</v>
      </c>
      <c r="H18" s="366"/>
      <c r="I18" s="366"/>
      <c r="J18" s="366"/>
      <c r="K18" s="367" t="str">
        <f t="shared" si="4"/>
        <v>يوم عادي</v>
      </c>
      <c r="L18" s="368">
        <f>(MIN(Attendance!D18, TIME(18, 0, 0)) - Attendance!C18) * 24</f>
        <v>6.916666667</v>
      </c>
      <c r="M18" s="369">
        <f t="shared" si="5"/>
        <v>2.033333333</v>
      </c>
      <c r="N18" s="370"/>
      <c r="O18" s="370"/>
      <c r="P18" s="370"/>
    </row>
    <row r="19" ht="22.5" customHeight="1">
      <c r="A19" s="372">
        <v>46131.0</v>
      </c>
      <c r="B19" s="361" t="s">
        <v>106</v>
      </c>
      <c r="C19" s="371">
        <v>0.3958333333333333</v>
      </c>
      <c r="D19" s="371">
        <v>0.7847222222222222</v>
      </c>
      <c r="E19" s="363" t="str">
        <f t="shared" si="1"/>
        <v>الأحد</v>
      </c>
      <c r="F19" s="364">
        <f t="shared" si="2"/>
        <v>4</v>
      </c>
      <c r="G19" s="365">
        <f t="shared" si="3"/>
        <v>9.333333333</v>
      </c>
      <c r="H19" s="366"/>
      <c r="I19" s="366"/>
      <c r="J19" s="366"/>
      <c r="K19" s="367" t="str">
        <f t="shared" si="4"/>
        <v>يوم عادي</v>
      </c>
      <c r="L19" s="368">
        <f>(MIN(Attendance!D19, TIME(18, 0, 0)) - Attendance!C19) * 24</f>
        <v>8.5</v>
      </c>
      <c r="M19" s="369">
        <f t="shared" si="5"/>
        <v>0.8333333333</v>
      </c>
      <c r="N19" s="370"/>
      <c r="O19" s="370"/>
      <c r="P19" s="370"/>
    </row>
    <row r="20" ht="22.5" customHeight="1">
      <c r="A20" s="372">
        <v>46132.0</v>
      </c>
      <c r="B20" s="361" t="s">
        <v>106</v>
      </c>
      <c r="C20" s="371">
        <v>0.39166666666666666</v>
      </c>
      <c r="D20" s="371">
        <v>0.7659722222222223</v>
      </c>
      <c r="E20" s="363" t="str">
        <f t="shared" si="1"/>
        <v>الاثنين</v>
      </c>
      <c r="F20" s="364">
        <f t="shared" si="2"/>
        <v>4</v>
      </c>
      <c r="G20" s="365">
        <f t="shared" si="3"/>
        <v>8.983333333</v>
      </c>
      <c r="H20" s="366"/>
      <c r="I20" s="366"/>
      <c r="J20" s="366"/>
      <c r="K20" s="367" t="str">
        <f t="shared" si="4"/>
        <v>يوم عادي</v>
      </c>
      <c r="L20" s="368">
        <f>(MIN(Attendance!D20, TIME(18, 0, 0)) - Attendance!C20) * 24</f>
        <v>8.6</v>
      </c>
      <c r="M20" s="369">
        <f t="shared" si="5"/>
        <v>0.3833333333</v>
      </c>
      <c r="N20" s="370"/>
      <c r="O20" s="370"/>
      <c r="P20" s="370"/>
    </row>
    <row r="21" ht="22.5" customHeight="1">
      <c r="A21" s="372">
        <v>46133.0</v>
      </c>
      <c r="B21" s="361" t="s">
        <v>106</v>
      </c>
      <c r="C21" s="371">
        <v>0.3861111111111111</v>
      </c>
      <c r="D21" s="371">
        <v>0.8243055555555555</v>
      </c>
      <c r="E21" s="363" t="str">
        <f t="shared" si="1"/>
        <v>الثلاثاء</v>
      </c>
      <c r="F21" s="364">
        <f t="shared" si="2"/>
        <v>4</v>
      </c>
      <c r="G21" s="365">
        <f t="shared" si="3"/>
        <v>10.51666667</v>
      </c>
      <c r="H21" s="366"/>
      <c r="I21" s="366"/>
      <c r="J21" s="366"/>
      <c r="K21" s="367" t="str">
        <f t="shared" si="4"/>
        <v>يوم عادي</v>
      </c>
      <c r="L21" s="368">
        <f>(MIN(Attendance!D21, TIME(18, 0, 0)) - Attendance!C21) * 24</f>
        <v>8.733333333</v>
      </c>
      <c r="M21" s="369">
        <f t="shared" si="5"/>
        <v>1.783333333</v>
      </c>
      <c r="N21" s="370"/>
      <c r="O21" s="370"/>
      <c r="P21" s="370"/>
    </row>
    <row r="22" ht="22.5" customHeight="1">
      <c r="A22" s="372">
        <v>46134.0</v>
      </c>
      <c r="B22" s="361" t="s">
        <v>106</v>
      </c>
      <c r="C22" s="371">
        <v>0.37777777777777777</v>
      </c>
      <c r="D22" s="371">
        <v>0.8215277777777777</v>
      </c>
      <c r="E22" s="363" t="str">
        <f t="shared" si="1"/>
        <v>الأربعاء</v>
      </c>
      <c r="F22" s="364">
        <f t="shared" si="2"/>
        <v>4</v>
      </c>
      <c r="G22" s="365">
        <f t="shared" si="3"/>
        <v>10.65</v>
      </c>
      <c r="H22" s="366"/>
      <c r="I22" s="366"/>
      <c r="J22" s="366"/>
      <c r="K22" s="367" t="str">
        <f t="shared" si="4"/>
        <v>يوم عادي</v>
      </c>
      <c r="L22" s="368">
        <f>(MIN(Attendance!D22, TIME(18, 0, 0)) - Attendance!C22) * 24</f>
        <v>8.933333333</v>
      </c>
      <c r="M22" s="369">
        <f t="shared" si="5"/>
        <v>1.716666667</v>
      </c>
      <c r="N22" s="370"/>
      <c r="O22" s="370"/>
      <c r="P22" s="370"/>
    </row>
    <row r="23" ht="22.5" customHeight="1">
      <c r="A23" s="372">
        <v>46135.0</v>
      </c>
      <c r="B23" s="361" t="s">
        <v>106</v>
      </c>
      <c r="C23" s="371">
        <v>0.41597222222222224</v>
      </c>
      <c r="D23" s="373">
        <v>0.9993055555555556</v>
      </c>
      <c r="E23" s="363" t="str">
        <f t="shared" si="1"/>
        <v>الخميس</v>
      </c>
      <c r="F23" s="364">
        <f t="shared" si="2"/>
        <v>4</v>
      </c>
      <c r="G23" s="365">
        <f t="shared" si="3"/>
        <v>14</v>
      </c>
      <c r="H23" s="366"/>
      <c r="I23" s="366"/>
      <c r="J23" s="366"/>
      <c r="K23" s="367" t="str">
        <f t="shared" si="4"/>
        <v>يوم عادي</v>
      </c>
      <c r="L23" s="368">
        <f>(MIN(Attendance!D23, TIME(18, 0, 0)) - Attendance!C23) * 24</f>
        <v>8.016666667</v>
      </c>
      <c r="M23" s="369">
        <f t="shared" si="5"/>
        <v>5.983333333</v>
      </c>
      <c r="N23" s="370"/>
      <c r="O23" s="370"/>
      <c r="P23" s="370"/>
    </row>
    <row r="24" ht="22.5" customHeight="1">
      <c r="A24" s="372">
        <v>46137.0</v>
      </c>
      <c r="B24" s="361" t="s">
        <v>106</v>
      </c>
      <c r="C24" s="371">
        <v>0.425</v>
      </c>
      <c r="D24" s="371">
        <v>0.7458333333333333</v>
      </c>
      <c r="E24" s="363" t="str">
        <f t="shared" si="1"/>
        <v>السبت</v>
      </c>
      <c r="F24" s="364">
        <f t="shared" si="2"/>
        <v>4</v>
      </c>
      <c r="G24" s="365">
        <f t="shared" si="3"/>
        <v>7.7</v>
      </c>
      <c r="H24" s="366"/>
      <c r="I24" s="366"/>
      <c r="J24" s="366"/>
      <c r="K24" s="367" t="str">
        <f t="shared" si="4"/>
        <v>يوم عادي</v>
      </c>
      <c r="L24" s="368">
        <f>(MIN(Attendance!D24, TIME(18, 0, 0)) - Attendance!C24) * 24</f>
        <v>7.7</v>
      </c>
      <c r="M24" s="369">
        <f t="shared" si="5"/>
        <v>0</v>
      </c>
      <c r="N24" s="370"/>
      <c r="O24" s="370"/>
      <c r="P24" s="370"/>
    </row>
    <row r="25" ht="22.5" customHeight="1">
      <c r="A25" s="372">
        <v>46138.0</v>
      </c>
      <c r="B25" s="361" t="s">
        <v>106</v>
      </c>
      <c r="C25" s="371">
        <v>0.4826388888888889</v>
      </c>
      <c r="D25" s="373">
        <v>0.8965277777777778</v>
      </c>
      <c r="E25" s="363" t="str">
        <f t="shared" si="1"/>
        <v>الأحد</v>
      </c>
      <c r="F25" s="364">
        <f t="shared" si="2"/>
        <v>4</v>
      </c>
      <c r="G25" s="365">
        <f t="shared" si="3"/>
        <v>9.933333333</v>
      </c>
      <c r="H25" s="366"/>
      <c r="I25" s="366"/>
      <c r="J25" s="366"/>
      <c r="K25" s="367" t="str">
        <f t="shared" si="4"/>
        <v>يوم عادي</v>
      </c>
      <c r="L25" s="368">
        <f>(MIN(Attendance!D25, TIME(18, 0, 0)) - Attendance!C25) * 24</f>
        <v>6.416666667</v>
      </c>
      <c r="M25" s="369">
        <f t="shared" si="5"/>
        <v>3.516666667</v>
      </c>
      <c r="N25" s="370"/>
      <c r="O25" s="370"/>
      <c r="P25" s="370"/>
    </row>
    <row r="26" ht="22.5" customHeight="1">
      <c r="A26" s="372">
        <v>46139.0</v>
      </c>
      <c r="B26" s="361" t="s">
        <v>106</v>
      </c>
      <c r="C26" s="371">
        <v>0.4083333333333333</v>
      </c>
      <c r="D26" s="371">
        <v>0.64375</v>
      </c>
      <c r="E26" s="363" t="str">
        <f t="shared" si="1"/>
        <v>الاثنين</v>
      </c>
      <c r="F26" s="364">
        <f t="shared" si="2"/>
        <v>4</v>
      </c>
      <c r="G26" s="365">
        <f t="shared" si="3"/>
        <v>5.65</v>
      </c>
      <c r="H26" s="366"/>
      <c r="I26" s="366"/>
      <c r="J26" s="366"/>
      <c r="K26" s="367" t="str">
        <f t="shared" si="4"/>
        <v>يوم عادي</v>
      </c>
      <c r="L26" s="368">
        <f>(MIN(Attendance!D26, TIME(18, 0, 0)) - Attendance!C26) * 24</f>
        <v>5.65</v>
      </c>
      <c r="M26" s="369">
        <f t="shared" si="5"/>
        <v>0</v>
      </c>
      <c r="N26" s="370"/>
      <c r="O26" s="370"/>
      <c r="P26" s="370"/>
    </row>
    <row r="27" ht="22.5" customHeight="1">
      <c r="A27" s="372">
        <v>46141.0</v>
      </c>
      <c r="B27" s="361" t="s">
        <v>106</v>
      </c>
      <c r="C27" s="371">
        <v>0.3902777777777778</v>
      </c>
      <c r="D27" s="371">
        <v>0.83125</v>
      </c>
      <c r="E27" s="363" t="str">
        <f t="shared" si="1"/>
        <v>الأربعاء</v>
      </c>
      <c r="F27" s="364">
        <f t="shared" si="2"/>
        <v>4</v>
      </c>
      <c r="G27" s="365">
        <f t="shared" si="3"/>
        <v>10.58333333</v>
      </c>
      <c r="H27" s="366"/>
      <c r="I27" s="366"/>
      <c r="J27" s="366"/>
      <c r="K27" s="367" t="str">
        <f t="shared" si="4"/>
        <v>يوم عادي</v>
      </c>
      <c r="L27" s="368">
        <f>(MIN(Attendance!D27, TIME(18, 0, 0)) - Attendance!C27) * 24</f>
        <v>8.633333333</v>
      </c>
      <c r="M27" s="369">
        <f t="shared" si="5"/>
        <v>1.95</v>
      </c>
      <c r="N27" s="370"/>
      <c r="O27" s="370"/>
      <c r="P27" s="370"/>
    </row>
    <row r="28" ht="22.5" customHeight="1">
      <c r="A28" s="374">
        <v>46142.0</v>
      </c>
      <c r="B28" s="361" t="s">
        <v>106</v>
      </c>
      <c r="C28" s="375">
        <v>0.2569444444452529</v>
      </c>
      <c r="D28" s="375">
        <v>0.7520833333333333</v>
      </c>
      <c r="E28" s="363" t="str">
        <f t="shared" si="1"/>
        <v>الخميس</v>
      </c>
      <c r="F28" s="364">
        <f t="shared" si="2"/>
        <v>4</v>
      </c>
      <c r="G28" s="365">
        <f t="shared" si="3"/>
        <v>11.88333333</v>
      </c>
      <c r="H28" s="366"/>
      <c r="I28" s="366"/>
      <c r="J28" s="366"/>
      <c r="K28" s="367" t="str">
        <f t="shared" si="4"/>
        <v>يوم عادي</v>
      </c>
      <c r="L28" s="368">
        <f>(MIN(Attendance!D28, TIME(18, 0, 0)) - Attendance!C28) * 24</f>
        <v>11.83333333</v>
      </c>
      <c r="M28" s="369">
        <f t="shared" si="5"/>
        <v>0.05</v>
      </c>
      <c r="N28" s="370"/>
      <c r="O28" s="370"/>
      <c r="P28" s="370"/>
    </row>
    <row r="29" ht="22.5" customHeight="1">
      <c r="A29" s="360">
        <v>46113.0</v>
      </c>
      <c r="B29" s="281" t="s">
        <v>1</v>
      </c>
      <c r="C29" s="376">
        <v>0.4409722222222222</v>
      </c>
      <c r="D29" s="376">
        <v>0.7861111111111111</v>
      </c>
      <c r="E29" s="363" t="str">
        <f t="shared" si="1"/>
        <v>الأربعاء</v>
      </c>
      <c r="F29" s="364">
        <f t="shared" si="2"/>
        <v>4</v>
      </c>
      <c r="G29" s="365">
        <f t="shared" si="3"/>
        <v>8.283333333</v>
      </c>
      <c r="H29" s="366"/>
      <c r="I29" s="366"/>
      <c r="J29" s="366"/>
      <c r="K29" s="367" t="str">
        <f t="shared" si="4"/>
        <v>يوم عادي</v>
      </c>
      <c r="L29" s="368">
        <f>(MIN(Attendance!D29, TIME(18, 0, 0)) - Attendance!C29) * 24</f>
        <v>7.416666667</v>
      </c>
      <c r="M29" s="369">
        <f t="shared" si="5"/>
        <v>0.8666666667</v>
      </c>
      <c r="N29" s="377"/>
      <c r="O29" s="377"/>
      <c r="P29" s="377"/>
    </row>
    <row r="30" ht="22.5" customHeight="1">
      <c r="A30" s="360">
        <v>46114.0</v>
      </c>
      <c r="B30" s="281" t="s">
        <v>1</v>
      </c>
      <c r="C30" s="376">
        <v>0.39444444444444443</v>
      </c>
      <c r="D30" s="376">
        <v>0.7729166666666667</v>
      </c>
      <c r="E30" s="363" t="str">
        <f t="shared" si="1"/>
        <v>الخميس</v>
      </c>
      <c r="F30" s="364">
        <f t="shared" si="2"/>
        <v>4</v>
      </c>
      <c r="G30" s="365">
        <f t="shared" si="3"/>
        <v>9.083333333</v>
      </c>
      <c r="H30" s="366"/>
      <c r="I30" s="366"/>
      <c r="J30" s="366"/>
      <c r="K30" s="367" t="str">
        <f t="shared" si="4"/>
        <v>يوم عادي</v>
      </c>
      <c r="L30" s="368">
        <f>(MIN(Attendance!D30, TIME(18, 0, 0)) - Attendance!C30) * 24</f>
        <v>8.533333333</v>
      </c>
      <c r="M30" s="369">
        <f t="shared" si="5"/>
        <v>0.55</v>
      </c>
      <c r="N30" s="369"/>
      <c r="O30" s="369"/>
      <c r="P30" s="369"/>
    </row>
    <row r="31" ht="22.5" customHeight="1">
      <c r="A31" s="360">
        <v>46116.0</v>
      </c>
      <c r="B31" s="281" t="s">
        <v>1</v>
      </c>
      <c r="C31" s="376">
        <v>0.39375</v>
      </c>
      <c r="D31" s="376">
        <v>0.8166666666666667</v>
      </c>
      <c r="E31" s="363" t="str">
        <f t="shared" si="1"/>
        <v>السبت</v>
      </c>
      <c r="F31" s="364">
        <f t="shared" si="2"/>
        <v>4</v>
      </c>
      <c r="G31" s="365">
        <f t="shared" si="3"/>
        <v>10.15</v>
      </c>
      <c r="H31" s="366"/>
      <c r="I31" s="366"/>
      <c r="J31" s="366"/>
      <c r="K31" s="367" t="str">
        <f t="shared" si="4"/>
        <v>يوم عادي</v>
      </c>
      <c r="L31" s="368">
        <f>(MIN(Attendance!D31, TIME(18, 0, 0)) - Attendance!C31) * 24</f>
        <v>8.55</v>
      </c>
      <c r="M31" s="369">
        <f t="shared" si="5"/>
        <v>1.6</v>
      </c>
      <c r="N31" s="377"/>
      <c r="O31" s="378"/>
      <c r="P31" s="378"/>
    </row>
    <row r="32" ht="22.5" customHeight="1">
      <c r="A32" s="360">
        <v>46117.0</v>
      </c>
      <c r="B32" s="281" t="s">
        <v>1</v>
      </c>
      <c r="C32" s="376">
        <v>0.39305555555555555</v>
      </c>
      <c r="D32" s="362">
        <v>0.75</v>
      </c>
      <c r="E32" s="363" t="str">
        <f t="shared" si="1"/>
        <v>الأحد</v>
      </c>
      <c r="F32" s="364">
        <f t="shared" si="2"/>
        <v>4</v>
      </c>
      <c r="G32" s="365">
        <f t="shared" si="3"/>
        <v>8.566666667</v>
      </c>
      <c r="H32" s="366"/>
      <c r="I32" s="366"/>
      <c r="J32" s="366"/>
      <c r="K32" s="367" t="str">
        <f t="shared" si="4"/>
        <v>يوم عادي</v>
      </c>
      <c r="L32" s="368">
        <f>(MIN(Attendance!D32, TIME(18, 0, 0)) - Attendance!C32) * 24</f>
        <v>8.566666667</v>
      </c>
      <c r="M32" s="369">
        <f t="shared" si="5"/>
        <v>0</v>
      </c>
      <c r="N32" s="369"/>
      <c r="O32" s="369"/>
      <c r="P32" s="369"/>
    </row>
    <row r="33" ht="22.5" customHeight="1">
      <c r="A33" s="360">
        <v>46118.0</v>
      </c>
      <c r="B33" s="281" t="s">
        <v>1</v>
      </c>
      <c r="C33" s="376">
        <v>0.425</v>
      </c>
      <c r="D33" s="362">
        <v>0.75</v>
      </c>
      <c r="E33" s="363" t="str">
        <f t="shared" si="1"/>
        <v>الاثنين</v>
      </c>
      <c r="F33" s="364">
        <f t="shared" si="2"/>
        <v>4</v>
      </c>
      <c r="G33" s="365">
        <f t="shared" si="3"/>
        <v>7.8</v>
      </c>
      <c r="H33" s="366"/>
      <c r="I33" s="366"/>
      <c r="J33" s="366"/>
      <c r="K33" s="367" t="str">
        <f t="shared" si="4"/>
        <v>يوم عادي</v>
      </c>
      <c r="L33" s="368">
        <f>(MIN(Attendance!D33, TIME(18, 0, 0)) - Attendance!C33) * 24</f>
        <v>7.8</v>
      </c>
      <c r="M33" s="369">
        <f t="shared" si="5"/>
        <v>0</v>
      </c>
      <c r="N33" s="377"/>
      <c r="O33" s="378"/>
      <c r="P33" s="378"/>
    </row>
    <row r="34" ht="22.5" customHeight="1">
      <c r="A34" s="360">
        <v>46119.0</v>
      </c>
      <c r="B34" s="281" t="s">
        <v>1</v>
      </c>
      <c r="C34" s="376">
        <v>0.4236111111111111</v>
      </c>
      <c r="D34" s="376">
        <v>0.7590277777777777</v>
      </c>
      <c r="E34" s="363" t="str">
        <f t="shared" si="1"/>
        <v>الثلاثاء</v>
      </c>
      <c r="F34" s="364">
        <f t="shared" si="2"/>
        <v>4</v>
      </c>
      <c r="G34" s="365">
        <f t="shared" si="3"/>
        <v>8.05</v>
      </c>
      <c r="H34" s="366"/>
      <c r="I34" s="366"/>
      <c r="J34" s="366"/>
      <c r="K34" s="367" t="str">
        <f t="shared" si="4"/>
        <v>يوم عادي</v>
      </c>
      <c r="L34" s="368">
        <f>(MIN(Attendance!D34, TIME(18, 0, 0)) - Attendance!C34) * 24</f>
        <v>7.833333333</v>
      </c>
      <c r="M34" s="369">
        <f t="shared" si="5"/>
        <v>0.2166666667</v>
      </c>
      <c r="N34" s="369"/>
      <c r="O34" s="369"/>
      <c r="P34" s="369"/>
    </row>
    <row r="35" ht="22.5" customHeight="1">
      <c r="A35" s="360">
        <v>46120.0</v>
      </c>
      <c r="B35" s="281" t="s">
        <v>1</v>
      </c>
      <c r="C35" s="376">
        <v>0.5020833333333333</v>
      </c>
      <c r="D35" s="362">
        <v>0.7916666666666666</v>
      </c>
      <c r="E35" s="363" t="str">
        <f t="shared" si="1"/>
        <v>الأربعاء</v>
      </c>
      <c r="F35" s="364">
        <f t="shared" si="2"/>
        <v>4</v>
      </c>
      <c r="G35" s="365">
        <f t="shared" si="3"/>
        <v>6.95</v>
      </c>
      <c r="H35" s="366"/>
      <c r="I35" s="366"/>
      <c r="J35" s="366"/>
      <c r="K35" s="367" t="str">
        <f t="shared" si="4"/>
        <v>يوم عادي</v>
      </c>
      <c r="L35" s="368">
        <f>(MIN(Attendance!D35, TIME(18, 0, 0)) - Attendance!C35) * 24</f>
        <v>5.95</v>
      </c>
      <c r="M35" s="369">
        <f t="shared" si="5"/>
        <v>1</v>
      </c>
      <c r="N35" s="377"/>
      <c r="O35" s="377"/>
      <c r="P35" s="377"/>
    </row>
    <row r="36" ht="22.5" customHeight="1">
      <c r="A36" s="360">
        <v>46121.0</v>
      </c>
      <c r="B36" s="281" t="s">
        <v>1</v>
      </c>
      <c r="C36" s="376">
        <v>0.44375</v>
      </c>
      <c r="D36" s="362">
        <v>0.75</v>
      </c>
      <c r="E36" s="363" t="str">
        <f t="shared" si="1"/>
        <v>الخميس</v>
      </c>
      <c r="F36" s="364">
        <f t="shared" si="2"/>
        <v>4</v>
      </c>
      <c r="G36" s="365">
        <f t="shared" si="3"/>
        <v>7.35</v>
      </c>
      <c r="H36" s="366"/>
      <c r="I36" s="366"/>
      <c r="J36" s="366"/>
      <c r="K36" s="367" t="str">
        <f t="shared" si="4"/>
        <v>يوم عادي</v>
      </c>
      <c r="L36" s="368">
        <f>(MIN(Attendance!D36, TIME(18, 0, 0)) - Attendance!C36) * 24</f>
        <v>7.35</v>
      </c>
      <c r="M36" s="369">
        <f t="shared" si="5"/>
        <v>0</v>
      </c>
      <c r="N36" s="369"/>
      <c r="O36" s="369"/>
      <c r="P36" s="369"/>
    </row>
    <row r="37" ht="22.5" customHeight="1">
      <c r="A37" s="360">
        <v>46122.0</v>
      </c>
      <c r="B37" s="281" t="s">
        <v>1</v>
      </c>
      <c r="C37" s="376">
        <v>0.4895833333333333</v>
      </c>
      <c r="D37" s="362">
        <v>0.75</v>
      </c>
      <c r="E37" s="363" t="str">
        <f t="shared" si="1"/>
        <v>الجمعة</v>
      </c>
      <c r="F37" s="364">
        <f t="shared" si="2"/>
        <v>4</v>
      </c>
      <c r="G37" s="365">
        <f t="shared" si="3"/>
        <v>6.25</v>
      </c>
      <c r="H37" s="366"/>
      <c r="I37" s="366"/>
      <c r="J37" s="366"/>
      <c r="K37" s="367" t="str">
        <f t="shared" si="4"/>
        <v>جمعة</v>
      </c>
      <c r="L37" s="368">
        <f>(MIN(Attendance!D37, TIME(18, 0, 0)) - Attendance!C37) * 24</f>
        <v>6.25</v>
      </c>
      <c r="M37" s="369">
        <f t="shared" si="5"/>
        <v>0</v>
      </c>
      <c r="N37" s="377"/>
      <c r="O37" s="377"/>
      <c r="P37" s="377"/>
    </row>
    <row r="38" ht="22.5" customHeight="1">
      <c r="A38" s="360">
        <v>46123.0</v>
      </c>
      <c r="B38" s="281" t="s">
        <v>1</v>
      </c>
      <c r="C38" s="376">
        <v>0.42083333333333334</v>
      </c>
      <c r="D38" s="362">
        <v>0.75</v>
      </c>
      <c r="E38" s="363" t="str">
        <f t="shared" si="1"/>
        <v>السبت</v>
      </c>
      <c r="F38" s="364">
        <f t="shared" si="2"/>
        <v>4</v>
      </c>
      <c r="G38" s="365">
        <f t="shared" si="3"/>
        <v>7.9</v>
      </c>
      <c r="H38" s="366"/>
      <c r="I38" s="366"/>
      <c r="J38" s="366"/>
      <c r="K38" s="367" t="str">
        <f t="shared" si="4"/>
        <v>يوم عادي</v>
      </c>
      <c r="L38" s="368">
        <f>(MIN(Attendance!D38, TIME(18, 0, 0)) - Attendance!C38) * 24</f>
        <v>7.9</v>
      </c>
      <c r="M38" s="369">
        <f t="shared" si="5"/>
        <v>0</v>
      </c>
      <c r="N38" s="369"/>
      <c r="O38" s="369"/>
      <c r="P38" s="369"/>
    </row>
    <row r="39" ht="22.5" customHeight="1">
      <c r="A39" s="360">
        <v>46124.0</v>
      </c>
      <c r="B39" s="281" t="s">
        <v>1</v>
      </c>
      <c r="C39" s="376">
        <v>0.42916666666666664</v>
      </c>
      <c r="D39" s="362">
        <v>0.75</v>
      </c>
      <c r="E39" s="363" t="str">
        <f t="shared" si="1"/>
        <v>الأحد</v>
      </c>
      <c r="F39" s="364">
        <f t="shared" si="2"/>
        <v>4</v>
      </c>
      <c r="G39" s="365">
        <f t="shared" si="3"/>
        <v>7.7</v>
      </c>
      <c r="H39" s="366"/>
      <c r="I39" s="366"/>
      <c r="J39" s="366"/>
      <c r="K39" s="367" t="str">
        <f t="shared" si="4"/>
        <v>يوم عادي</v>
      </c>
      <c r="L39" s="368">
        <f>(MIN(Attendance!D39, TIME(18, 0, 0)) - Attendance!C39) * 24</f>
        <v>7.7</v>
      </c>
      <c r="M39" s="369">
        <f t="shared" si="5"/>
        <v>0</v>
      </c>
      <c r="N39" s="377"/>
      <c r="O39" s="377"/>
      <c r="P39" s="377"/>
    </row>
    <row r="40" ht="22.5" customHeight="1">
      <c r="A40" s="360">
        <v>46125.0</v>
      </c>
      <c r="B40" s="281" t="s">
        <v>1</v>
      </c>
      <c r="C40" s="376">
        <v>0.42986111111111114</v>
      </c>
      <c r="D40" s="376">
        <v>0.8826388888888889</v>
      </c>
      <c r="E40" s="363" t="str">
        <f t="shared" si="1"/>
        <v>الاثنين</v>
      </c>
      <c r="F40" s="364">
        <f t="shared" si="2"/>
        <v>4</v>
      </c>
      <c r="G40" s="365">
        <f t="shared" si="3"/>
        <v>10.86666667</v>
      </c>
      <c r="H40" s="366"/>
      <c r="I40" s="366"/>
      <c r="J40" s="366"/>
      <c r="K40" s="367" t="str">
        <f t="shared" si="4"/>
        <v>يوم عادي</v>
      </c>
      <c r="L40" s="368">
        <f>(MIN(Attendance!D40, TIME(18, 0, 0)) - Attendance!C40) * 24</f>
        <v>7.683333333</v>
      </c>
      <c r="M40" s="369">
        <f t="shared" si="5"/>
        <v>3.183333333</v>
      </c>
      <c r="N40" s="369"/>
      <c r="O40" s="369"/>
      <c r="P40" s="369"/>
    </row>
    <row r="41" ht="22.5" customHeight="1">
      <c r="A41" s="360">
        <v>46126.0</v>
      </c>
      <c r="B41" s="281" t="s">
        <v>1</v>
      </c>
      <c r="C41" s="376">
        <v>0.4395833333333333</v>
      </c>
      <c r="D41" s="362">
        <v>0.75</v>
      </c>
      <c r="E41" s="363" t="str">
        <f t="shared" si="1"/>
        <v>الثلاثاء</v>
      </c>
      <c r="F41" s="364">
        <f t="shared" si="2"/>
        <v>4</v>
      </c>
      <c r="G41" s="365">
        <f t="shared" si="3"/>
        <v>7.45</v>
      </c>
      <c r="H41" s="366"/>
      <c r="I41" s="366"/>
      <c r="J41" s="366"/>
      <c r="K41" s="367" t="str">
        <f t="shared" si="4"/>
        <v>يوم عادي</v>
      </c>
      <c r="L41" s="368">
        <f>(MIN(Attendance!D41, TIME(18, 0, 0)) - Attendance!C41) * 24</f>
        <v>7.45</v>
      </c>
      <c r="M41" s="369">
        <f t="shared" si="5"/>
        <v>0</v>
      </c>
      <c r="N41" s="377"/>
      <c r="O41" s="377"/>
      <c r="P41" s="377"/>
    </row>
    <row r="42" ht="22.5" customHeight="1">
      <c r="A42" s="379">
        <v>46127.0</v>
      </c>
      <c r="B42" s="281" t="s">
        <v>1</v>
      </c>
      <c r="C42" s="371">
        <v>0.5097222222222222</v>
      </c>
      <c r="D42" s="371">
        <v>0.5798611111111112</v>
      </c>
      <c r="E42" s="363" t="str">
        <f t="shared" si="1"/>
        <v>الأربعاء</v>
      </c>
      <c r="F42" s="364">
        <f t="shared" si="2"/>
        <v>4</v>
      </c>
      <c r="G42" s="365">
        <f t="shared" si="3"/>
        <v>1.683333333</v>
      </c>
      <c r="H42" s="366"/>
      <c r="I42" s="366"/>
      <c r="J42" s="366"/>
      <c r="K42" s="367" t="str">
        <f t="shared" si="4"/>
        <v>يوم عادي</v>
      </c>
      <c r="L42" s="368">
        <f>(MIN(Attendance!D42, TIME(18, 0, 0)) - Attendance!C42) * 24</f>
        <v>1.683333333</v>
      </c>
      <c r="M42" s="369">
        <f t="shared" si="5"/>
        <v>0</v>
      </c>
      <c r="N42" s="369"/>
      <c r="O42" s="369"/>
      <c r="P42" s="369"/>
    </row>
    <row r="43" ht="22.5" customHeight="1">
      <c r="A43" s="379">
        <v>46128.0</v>
      </c>
      <c r="B43" s="281" t="s">
        <v>1</v>
      </c>
      <c r="C43" s="371">
        <v>0.42083333333333334</v>
      </c>
      <c r="D43" s="371">
        <v>0.5798611111111112</v>
      </c>
      <c r="E43" s="363" t="str">
        <f t="shared" si="1"/>
        <v>الخميس</v>
      </c>
      <c r="F43" s="364">
        <f t="shared" si="2"/>
        <v>4</v>
      </c>
      <c r="G43" s="365">
        <f t="shared" si="3"/>
        <v>3.816666667</v>
      </c>
      <c r="H43" s="366"/>
      <c r="I43" s="366"/>
      <c r="J43" s="366"/>
      <c r="K43" s="367" t="str">
        <f t="shared" si="4"/>
        <v>يوم عادي</v>
      </c>
      <c r="L43" s="368">
        <f>(MIN(Attendance!D43, TIME(18, 0, 0)) - Attendance!C43) * 24</f>
        <v>3.816666667</v>
      </c>
      <c r="M43" s="369">
        <f t="shared" si="5"/>
        <v>0</v>
      </c>
      <c r="N43" s="377"/>
      <c r="O43" s="377"/>
      <c r="P43" s="377"/>
    </row>
    <row r="44" ht="22.5" customHeight="1">
      <c r="A44" s="379">
        <v>46128.0</v>
      </c>
      <c r="B44" s="281" t="s">
        <v>1</v>
      </c>
      <c r="C44" s="371">
        <v>0.9111111111111111</v>
      </c>
      <c r="D44" s="371">
        <v>0.9125</v>
      </c>
      <c r="E44" s="363" t="str">
        <f t="shared" si="1"/>
        <v>الخميس</v>
      </c>
      <c r="F44" s="364">
        <f t="shared" si="2"/>
        <v>4</v>
      </c>
      <c r="G44" s="365">
        <f t="shared" si="3"/>
        <v>0.03333333333</v>
      </c>
      <c r="H44" s="366"/>
      <c r="I44" s="366"/>
      <c r="J44" s="366"/>
      <c r="K44" s="367" t="str">
        <f t="shared" si="4"/>
        <v>يوم عادي</v>
      </c>
      <c r="L44" s="368">
        <f>(MIN(Attendance!D44, TIME(18, 0, 0)) - Attendance!C44) * 24</f>
        <v>-3.866666667</v>
      </c>
      <c r="M44" s="369">
        <f t="shared" si="5"/>
        <v>3.9</v>
      </c>
      <c r="N44" s="369"/>
      <c r="O44" s="369"/>
      <c r="P44" s="369"/>
    </row>
    <row r="45" ht="22.5" customHeight="1">
      <c r="A45" s="379">
        <v>46129.0</v>
      </c>
      <c r="B45" s="281" t="s">
        <v>1</v>
      </c>
      <c r="C45" s="371">
        <v>0.4152777777777778</v>
      </c>
      <c r="D45" s="371">
        <v>0.7513888888888889</v>
      </c>
      <c r="E45" s="363" t="str">
        <f t="shared" si="1"/>
        <v>الجمعة</v>
      </c>
      <c r="F45" s="364">
        <f t="shared" si="2"/>
        <v>4</v>
      </c>
      <c r="G45" s="365">
        <f t="shared" si="3"/>
        <v>8.066666667</v>
      </c>
      <c r="H45" s="366"/>
      <c r="I45" s="366"/>
      <c r="J45" s="366"/>
      <c r="K45" s="367" t="str">
        <f t="shared" si="4"/>
        <v>جمعة</v>
      </c>
      <c r="L45" s="368">
        <f>(MIN(Attendance!D45, TIME(18, 0, 0)) - Attendance!C45) * 24</f>
        <v>8.033333333</v>
      </c>
      <c r="M45" s="369">
        <f t="shared" si="5"/>
        <v>0.03333333333</v>
      </c>
      <c r="N45" s="377"/>
      <c r="O45" s="377"/>
      <c r="P45" s="377"/>
    </row>
    <row r="46" ht="22.5" customHeight="1">
      <c r="A46" s="380">
        <v>46113.0</v>
      </c>
      <c r="B46" s="281" t="s">
        <v>62</v>
      </c>
      <c r="C46" s="375">
        <v>0.375</v>
      </c>
      <c r="D46" s="375">
        <v>0.75</v>
      </c>
      <c r="E46" s="363" t="str">
        <f t="shared" si="1"/>
        <v>الأربعاء</v>
      </c>
      <c r="F46" s="364">
        <f t="shared" si="2"/>
        <v>4</v>
      </c>
      <c r="G46" s="365">
        <f t="shared" si="3"/>
        <v>9</v>
      </c>
      <c r="H46" s="366"/>
      <c r="I46" s="366"/>
      <c r="J46" s="366"/>
      <c r="K46" s="367" t="str">
        <f t="shared" si="4"/>
        <v>يوم عادي</v>
      </c>
      <c r="L46" s="368">
        <f>(MIN(Attendance!D46, TIME(18, 0, 0)) - Attendance!C46) * 24</f>
        <v>9</v>
      </c>
      <c r="M46" s="369">
        <f t="shared" si="5"/>
        <v>0</v>
      </c>
      <c r="N46" s="369"/>
      <c r="O46" s="369"/>
      <c r="P46" s="369"/>
    </row>
    <row r="47" ht="22.5" customHeight="1">
      <c r="A47" s="380">
        <v>46114.0</v>
      </c>
      <c r="B47" s="281" t="s">
        <v>62</v>
      </c>
      <c r="C47" s="375">
        <v>0.375</v>
      </c>
      <c r="D47" s="375">
        <v>0.75</v>
      </c>
      <c r="E47" s="363" t="str">
        <f t="shared" si="1"/>
        <v>الخميس</v>
      </c>
      <c r="F47" s="364">
        <f t="shared" si="2"/>
        <v>4</v>
      </c>
      <c r="G47" s="365">
        <f t="shared" si="3"/>
        <v>9</v>
      </c>
      <c r="H47" s="366"/>
      <c r="I47" s="366"/>
      <c r="J47" s="366"/>
      <c r="K47" s="367" t="str">
        <f t="shared" si="4"/>
        <v>يوم عادي</v>
      </c>
      <c r="L47" s="368">
        <f>(MIN(Attendance!D47, TIME(18, 0, 0)) - Attendance!C47) * 24</f>
        <v>9</v>
      </c>
      <c r="M47" s="369">
        <f t="shared" si="5"/>
        <v>0</v>
      </c>
      <c r="N47" s="377"/>
      <c r="O47" s="377"/>
      <c r="P47" s="377"/>
    </row>
    <row r="48" ht="22.5" customHeight="1">
      <c r="A48" s="380">
        <v>46116.0</v>
      </c>
      <c r="B48" s="281" t="s">
        <v>62</v>
      </c>
      <c r="C48" s="375">
        <v>0.375</v>
      </c>
      <c r="D48" s="375">
        <v>0.75</v>
      </c>
      <c r="E48" s="363" t="str">
        <f t="shared" si="1"/>
        <v>السبت</v>
      </c>
      <c r="F48" s="364">
        <f t="shared" si="2"/>
        <v>4</v>
      </c>
      <c r="G48" s="365">
        <f t="shared" si="3"/>
        <v>9</v>
      </c>
      <c r="H48" s="366"/>
      <c r="I48" s="366"/>
      <c r="J48" s="366"/>
      <c r="K48" s="367" t="str">
        <f t="shared" si="4"/>
        <v>يوم عادي</v>
      </c>
      <c r="L48" s="368">
        <f>(MIN(Attendance!D48, TIME(18, 0, 0)) - Attendance!C48) * 24</f>
        <v>9</v>
      </c>
      <c r="M48" s="369">
        <f t="shared" si="5"/>
        <v>0</v>
      </c>
      <c r="N48" s="369"/>
      <c r="O48" s="369"/>
      <c r="P48" s="369"/>
    </row>
    <row r="49" ht="22.5" customHeight="1">
      <c r="A49" s="380">
        <v>46117.0</v>
      </c>
      <c r="B49" s="281" t="s">
        <v>62</v>
      </c>
      <c r="C49" s="375">
        <v>0.375</v>
      </c>
      <c r="D49" s="375">
        <v>0.75</v>
      </c>
      <c r="E49" s="363" t="str">
        <f t="shared" si="1"/>
        <v>الأحد</v>
      </c>
      <c r="F49" s="364">
        <f t="shared" si="2"/>
        <v>4</v>
      </c>
      <c r="G49" s="365">
        <f t="shared" si="3"/>
        <v>9</v>
      </c>
      <c r="H49" s="366"/>
      <c r="I49" s="366"/>
      <c r="J49" s="366"/>
      <c r="K49" s="367" t="str">
        <f t="shared" si="4"/>
        <v>يوم عادي</v>
      </c>
      <c r="L49" s="368">
        <f>(MIN(Attendance!D49, TIME(18, 0, 0)) - Attendance!C49) * 24</f>
        <v>9</v>
      </c>
      <c r="M49" s="369">
        <f t="shared" si="5"/>
        <v>0</v>
      </c>
      <c r="N49" s="377"/>
      <c r="O49" s="377"/>
      <c r="P49" s="377"/>
    </row>
    <row r="50" ht="22.5" customHeight="1">
      <c r="A50" s="380">
        <v>46118.0</v>
      </c>
      <c r="B50" s="281" t="s">
        <v>62</v>
      </c>
      <c r="C50" s="375">
        <v>0.375</v>
      </c>
      <c r="D50" s="375">
        <v>0.75</v>
      </c>
      <c r="E50" s="363" t="str">
        <f t="shared" si="1"/>
        <v>الاثنين</v>
      </c>
      <c r="F50" s="364">
        <f t="shared" si="2"/>
        <v>4</v>
      </c>
      <c r="G50" s="365">
        <f t="shared" si="3"/>
        <v>9</v>
      </c>
      <c r="H50" s="366"/>
      <c r="I50" s="366"/>
      <c r="J50" s="366"/>
      <c r="K50" s="367" t="str">
        <f t="shared" si="4"/>
        <v>يوم عادي</v>
      </c>
      <c r="L50" s="368">
        <f>(MIN(Attendance!D50, TIME(18, 0, 0)) - Attendance!C50) * 24</f>
        <v>9</v>
      </c>
      <c r="M50" s="369">
        <f t="shared" si="5"/>
        <v>0</v>
      </c>
      <c r="N50" s="369"/>
      <c r="O50" s="369"/>
      <c r="P50" s="369"/>
    </row>
    <row r="51" ht="22.5" customHeight="1">
      <c r="A51" s="380">
        <v>46119.0</v>
      </c>
      <c r="B51" s="281" t="s">
        <v>62</v>
      </c>
      <c r="C51" s="375">
        <v>0.375</v>
      </c>
      <c r="D51" s="375">
        <v>0.75</v>
      </c>
      <c r="E51" s="363" t="str">
        <f t="shared" si="1"/>
        <v>الثلاثاء</v>
      </c>
      <c r="F51" s="364">
        <f t="shared" si="2"/>
        <v>4</v>
      </c>
      <c r="G51" s="365">
        <f t="shared" si="3"/>
        <v>9</v>
      </c>
      <c r="H51" s="366"/>
      <c r="I51" s="366"/>
      <c r="J51" s="366"/>
      <c r="K51" s="367" t="str">
        <f t="shared" si="4"/>
        <v>يوم عادي</v>
      </c>
      <c r="L51" s="368">
        <f>(MIN(Attendance!D51, TIME(18, 0, 0)) - Attendance!C51) * 24</f>
        <v>9</v>
      </c>
      <c r="M51" s="369">
        <f t="shared" si="5"/>
        <v>0</v>
      </c>
      <c r="N51" s="377"/>
      <c r="O51" s="377"/>
      <c r="P51" s="377"/>
    </row>
    <row r="52" ht="22.5" customHeight="1">
      <c r="A52" s="380">
        <v>46120.0</v>
      </c>
      <c r="B52" s="281" t="s">
        <v>62</v>
      </c>
      <c r="C52" s="375">
        <v>0.375</v>
      </c>
      <c r="D52" s="375">
        <v>0.75</v>
      </c>
      <c r="E52" s="363" t="str">
        <f t="shared" si="1"/>
        <v>الأربعاء</v>
      </c>
      <c r="F52" s="364">
        <f t="shared" si="2"/>
        <v>4</v>
      </c>
      <c r="G52" s="365">
        <f t="shared" si="3"/>
        <v>9</v>
      </c>
      <c r="H52" s="366"/>
      <c r="I52" s="366"/>
      <c r="J52" s="366"/>
      <c r="K52" s="367" t="str">
        <f t="shared" si="4"/>
        <v>يوم عادي</v>
      </c>
      <c r="L52" s="368">
        <f>(MIN(Attendance!D52, TIME(18, 0, 0)) - Attendance!C52) * 24</f>
        <v>9</v>
      </c>
      <c r="M52" s="369">
        <f t="shared" si="5"/>
        <v>0</v>
      </c>
      <c r="N52" s="369"/>
      <c r="O52" s="369"/>
      <c r="P52" s="369"/>
    </row>
    <row r="53" ht="22.5" customHeight="1">
      <c r="A53" s="380">
        <v>46121.0</v>
      </c>
      <c r="B53" s="281" t="s">
        <v>62</v>
      </c>
      <c r="C53" s="375">
        <v>0.375</v>
      </c>
      <c r="D53" s="375">
        <v>0.75</v>
      </c>
      <c r="E53" s="363" t="str">
        <f t="shared" si="1"/>
        <v>الخميس</v>
      </c>
      <c r="F53" s="364">
        <f t="shared" si="2"/>
        <v>4</v>
      </c>
      <c r="G53" s="365">
        <f t="shared" si="3"/>
        <v>9</v>
      </c>
      <c r="H53" s="366"/>
      <c r="I53" s="366"/>
      <c r="J53" s="366"/>
      <c r="K53" s="367" t="str">
        <f t="shared" si="4"/>
        <v>يوم عادي</v>
      </c>
      <c r="L53" s="368">
        <f>(MIN(Attendance!D53, TIME(18, 0, 0)) - Attendance!C53) * 24</f>
        <v>9</v>
      </c>
      <c r="M53" s="369">
        <f t="shared" si="5"/>
        <v>0</v>
      </c>
      <c r="N53" s="377"/>
      <c r="O53" s="377"/>
      <c r="P53" s="377"/>
    </row>
    <row r="54" ht="22.5" customHeight="1">
      <c r="A54" s="380">
        <v>46123.0</v>
      </c>
      <c r="B54" s="281" t="s">
        <v>62</v>
      </c>
      <c r="C54" s="375">
        <v>0.375</v>
      </c>
      <c r="D54" s="375">
        <v>0.75</v>
      </c>
      <c r="E54" s="363" t="str">
        <f t="shared" si="1"/>
        <v>السبت</v>
      </c>
      <c r="F54" s="364">
        <f t="shared" si="2"/>
        <v>4</v>
      </c>
      <c r="G54" s="365">
        <f t="shared" si="3"/>
        <v>9</v>
      </c>
      <c r="H54" s="366"/>
      <c r="I54" s="366"/>
      <c r="J54" s="366"/>
      <c r="K54" s="367" t="str">
        <f t="shared" si="4"/>
        <v>يوم عادي</v>
      </c>
      <c r="L54" s="368">
        <f>(MIN(Attendance!D54, TIME(18, 0, 0)) - Attendance!C54) * 24</f>
        <v>9</v>
      </c>
      <c r="M54" s="369">
        <f t="shared" si="5"/>
        <v>0</v>
      </c>
      <c r="N54" s="369"/>
      <c r="O54" s="369"/>
      <c r="P54" s="369"/>
    </row>
    <row r="55" ht="22.5" customHeight="1">
      <c r="A55" s="380">
        <v>46124.0</v>
      </c>
      <c r="B55" s="281" t="s">
        <v>62</v>
      </c>
      <c r="C55" s="375">
        <v>0.375</v>
      </c>
      <c r="D55" s="375">
        <v>0.75</v>
      </c>
      <c r="E55" s="363" t="str">
        <f t="shared" si="1"/>
        <v>الأحد</v>
      </c>
      <c r="F55" s="364">
        <f t="shared" si="2"/>
        <v>4</v>
      </c>
      <c r="G55" s="365">
        <f t="shared" si="3"/>
        <v>9</v>
      </c>
      <c r="H55" s="366"/>
      <c r="I55" s="366"/>
      <c r="J55" s="366"/>
      <c r="K55" s="367" t="str">
        <f t="shared" si="4"/>
        <v>يوم عادي</v>
      </c>
      <c r="L55" s="368">
        <f>(MIN(Attendance!D55, TIME(18, 0, 0)) - Attendance!C55) * 24</f>
        <v>9</v>
      </c>
      <c r="M55" s="369">
        <f t="shared" si="5"/>
        <v>0</v>
      </c>
      <c r="N55" s="377"/>
      <c r="O55" s="377"/>
      <c r="P55" s="377"/>
    </row>
    <row r="56" ht="22.5" customHeight="1">
      <c r="A56" s="380">
        <v>46125.0</v>
      </c>
      <c r="B56" s="281" t="s">
        <v>62</v>
      </c>
      <c r="C56" s="375">
        <v>0.375</v>
      </c>
      <c r="D56" s="375">
        <v>0.75</v>
      </c>
      <c r="E56" s="363" t="str">
        <f t="shared" si="1"/>
        <v>الاثنين</v>
      </c>
      <c r="F56" s="364">
        <f t="shared" si="2"/>
        <v>4</v>
      </c>
      <c r="G56" s="365">
        <f t="shared" si="3"/>
        <v>9</v>
      </c>
      <c r="H56" s="366"/>
      <c r="I56" s="366"/>
      <c r="J56" s="366"/>
      <c r="K56" s="367" t="str">
        <f t="shared" si="4"/>
        <v>يوم عادي</v>
      </c>
      <c r="L56" s="368">
        <f>(MIN(Attendance!D56, TIME(18, 0, 0)) - Attendance!C56) * 24</f>
        <v>9</v>
      </c>
      <c r="M56" s="369">
        <f t="shared" si="5"/>
        <v>0</v>
      </c>
      <c r="N56" s="369"/>
      <c r="O56" s="369"/>
      <c r="P56" s="369"/>
    </row>
    <row r="57" ht="22.5" customHeight="1">
      <c r="A57" s="380">
        <v>46126.0</v>
      </c>
      <c r="B57" s="281" t="s">
        <v>62</v>
      </c>
      <c r="C57" s="375">
        <v>0.375</v>
      </c>
      <c r="D57" s="375">
        <v>0.75</v>
      </c>
      <c r="E57" s="363" t="str">
        <f t="shared" si="1"/>
        <v>الثلاثاء</v>
      </c>
      <c r="F57" s="364">
        <f t="shared" si="2"/>
        <v>4</v>
      </c>
      <c r="G57" s="365">
        <f t="shared" si="3"/>
        <v>9</v>
      </c>
      <c r="H57" s="366"/>
      <c r="I57" s="366"/>
      <c r="J57" s="366"/>
      <c r="K57" s="367" t="str">
        <f t="shared" si="4"/>
        <v>يوم عادي</v>
      </c>
      <c r="L57" s="368">
        <f>(MIN(Attendance!D57, TIME(18, 0, 0)) - Attendance!C57) * 24</f>
        <v>9</v>
      </c>
      <c r="M57" s="369">
        <f t="shared" si="5"/>
        <v>0</v>
      </c>
      <c r="N57" s="377"/>
      <c r="O57" s="377"/>
      <c r="P57" s="377"/>
    </row>
    <row r="58" ht="22.5" customHeight="1">
      <c r="A58" s="380">
        <v>46127.0</v>
      </c>
      <c r="B58" s="281" t="s">
        <v>62</v>
      </c>
      <c r="C58" s="375">
        <v>0.375</v>
      </c>
      <c r="D58" s="375">
        <v>0.75</v>
      </c>
      <c r="E58" s="363" t="str">
        <f t="shared" si="1"/>
        <v>الأربعاء</v>
      </c>
      <c r="F58" s="364">
        <f t="shared" si="2"/>
        <v>4</v>
      </c>
      <c r="G58" s="365">
        <f t="shared" si="3"/>
        <v>9</v>
      </c>
      <c r="H58" s="366"/>
      <c r="I58" s="366"/>
      <c r="J58" s="366"/>
      <c r="K58" s="367" t="str">
        <f t="shared" si="4"/>
        <v>يوم عادي</v>
      </c>
      <c r="L58" s="368">
        <f>(MIN(Attendance!D58, TIME(18, 0, 0)) - Attendance!C58) * 24</f>
        <v>9</v>
      </c>
      <c r="M58" s="369">
        <f t="shared" si="5"/>
        <v>0</v>
      </c>
      <c r="N58" s="369"/>
      <c r="O58" s="369"/>
      <c r="P58" s="369"/>
    </row>
    <row r="59" ht="22.5" customHeight="1">
      <c r="A59" s="380">
        <v>46128.0</v>
      </c>
      <c r="B59" s="281" t="s">
        <v>62</v>
      </c>
      <c r="C59" s="381">
        <v>0.375</v>
      </c>
      <c r="D59" s="381">
        <v>0.75</v>
      </c>
      <c r="E59" s="363" t="str">
        <f t="shared" si="1"/>
        <v>الخميس</v>
      </c>
      <c r="F59" s="364">
        <f t="shared" si="2"/>
        <v>4</v>
      </c>
      <c r="G59" s="365">
        <f t="shared" si="3"/>
        <v>9</v>
      </c>
      <c r="H59" s="366"/>
      <c r="I59" s="366"/>
      <c r="J59" s="366"/>
      <c r="K59" s="367" t="str">
        <f t="shared" si="4"/>
        <v>يوم عادي</v>
      </c>
      <c r="L59" s="368">
        <f>(MIN(Attendance!D59, TIME(18, 0, 0)) - Attendance!C59) * 24</f>
        <v>9</v>
      </c>
      <c r="M59" s="369">
        <f t="shared" si="5"/>
        <v>0</v>
      </c>
      <c r="N59" s="377"/>
      <c r="O59" s="377"/>
      <c r="P59" s="377"/>
    </row>
    <row r="60" ht="22.5" customHeight="1">
      <c r="A60" s="380">
        <v>46130.0</v>
      </c>
      <c r="B60" s="281" t="s">
        <v>62</v>
      </c>
      <c r="C60" s="381">
        <v>0.375</v>
      </c>
      <c r="D60" s="381">
        <v>0.75</v>
      </c>
      <c r="E60" s="363" t="str">
        <f t="shared" si="1"/>
        <v>السبت</v>
      </c>
      <c r="F60" s="364">
        <f t="shared" si="2"/>
        <v>4</v>
      </c>
      <c r="G60" s="365">
        <f t="shared" si="3"/>
        <v>9</v>
      </c>
      <c r="H60" s="366"/>
      <c r="I60" s="366"/>
      <c r="J60" s="366"/>
      <c r="K60" s="367" t="str">
        <f t="shared" si="4"/>
        <v>يوم عادي</v>
      </c>
      <c r="L60" s="368">
        <f>(MIN(Attendance!D60, TIME(18, 0, 0)) - Attendance!C60) * 24</f>
        <v>9</v>
      </c>
      <c r="M60" s="369">
        <f t="shared" si="5"/>
        <v>0</v>
      </c>
      <c r="N60" s="369"/>
      <c r="O60" s="369"/>
      <c r="P60" s="369"/>
    </row>
    <row r="61" ht="22.5" customHeight="1">
      <c r="A61" s="380">
        <v>46131.0</v>
      </c>
      <c r="B61" s="281" t="s">
        <v>62</v>
      </c>
      <c r="C61" s="381">
        <v>0.375</v>
      </c>
      <c r="D61" s="381">
        <v>0.75</v>
      </c>
      <c r="E61" s="363" t="str">
        <f t="shared" si="1"/>
        <v>الأحد</v>
      </c>
      <c r="F61" s="364">
        <f t="shared" si="2"/>
        <v>4</v>
      </c>
      <c r="G61" s="365">
        <f t="shared" si="3"/>
        <v>9</v>
      </c>
      <c r="H61" s="366"/>
      <c r="I61" s="366"/>
      <c r="J61" s="366"/>
      <c r="K61" s="367" t="str">
        <f t="shared" si="4"/>
        <v>يوم عادي</v>
      </c>
      <c r="L61" s="368">
        <f>(MIN(Attendance!D61, TIME(18, 0, 0)) - Attendance!C61) * 24</f>
        <v>9</v>
      </c>
      <c r="M61" s="369">
        <f t="shared" si="5"/>
        <v>0</v>
      </c>
      <c r="N61" s="377"/>
      <c r="O61" s="377"/>
      <c r="P61" s="377"/>
    </row>
    <row r="62" ht="22.5" customHeight="1">
      <c r="A62" s="380">
        <v>46132.0</v>
      </c>
      <c r="B62" s="281" t="s">
        <v>62</v>
      </c>
      <c r="C62" s="381">
        <v>0.375</v>
      </c>
      <c r="D62" s="381">
        <v>0.75</v>
      </c>
      <c r="E62" s="363" t="str">
        <f t="shared" si="1"/>
        <v>الاثنين</v>
      </c>
      <c r="F62" s="364">
        <f t="shared" si="2"/>
        <v>4</v>
      </c>
      <c r="G62" s="365">
        <f t="shared" si="3"/>
        <v>9</v>
      </c>
      <c r="H62" s="366"/>
      <c r="I62" s="366"/>
      <c r="J62" s="366"/>
      <c r="K62" s="367" t="str">
        <f t="shared" si="4"/>
        <v>يوم عادي</v>
      </c>
      <c r="L62" s="368">
        <f>(MIN(Attendance!D62, TIME(18, 0, 0)) - Attendance!C62) * 24</f>
        <v>9</v>
      </c>
      <c r="M62" s="369">
        <f t="shared" si="5"/>
        <v>0</v>
      </c>
      <c r="N62" s="369"/>
      <c r="O62" s="369"/>
      <c r="P62" s="369"/>
    </row>
    <row r="63" ht="22.5" customHeight="1">
      <c r="A63" s="380">
        <v>46133.0</v>
      </c>
      <c r="B63" s="281" t="s">
        <v>62</v>
      </c>
      <c r="C63" s="381">
        <v>0.375</v>
      </c>
      <c r="D63" s="381">
        <v>0.75</v>
      </c>
      <c r="E63" s="363" t="str">
        <f t="shared" si="1"/>
        <v>الثلاثاء</v>
      </c>
      <c r="F63" s="364">
        <f t="shared" si="2"/>
        <v>4</v>
      </c>
      <c r="G63" s="365">
        <f t="shared" si="3"/>
        <v>9</v>
      </c>
      <c r="H63" s="366"/>
      <c r="I63" s="366"/>
      <c r="J63" s="366"/>
      <c r="K63" s="367" t="str">
        <f t="shared" si="4"/>
        <v>يوم عادي</v>
      </c>
      <c r="L63" s="368">
        <f>(MIN(Attendance!D63, TIME(18, 0, 0)) - Attendance!C63) * 24</f>
        <v>9</v>
      </c>
      <c r="M63" s="369">
        <f t="shared" si="5"/>
        <v>0</v>
      </c>
      <c r="N63" s="377"/>
      <c r="O63" s="377"/>
      <c r="P63" s="377"/>
    </row>
    <row r="64" ht="22.5" customHeight="1">
      <c r="A64" s="380">
        <v>46134.0</v>
      </c>
      <c r="B64" s="281" t="s">
        <v>62</v>
      </c>
      <c r="C64" s="381">
        <v>0.375</v>
      </c>
      <c r="D64" s="381">
        <v>0.75</v>
      </c>
      <c r="E64" s="363" t="str">
        <f t="shared" si="1"/>
        <v>الأربعاء</v>
      </c>
      <c r="F64" s="364">
        <f t="shared" si="2"/>
        <v>4</v>
      </c>
      <c r="G64" s="365">
        <f t="shared" si="3"/>
        <v>9</v>
      </c>
      <c r="H64" s="366"/>
      <c r="I64" s="366"/>
      <c r="J64" s="366"/>
      <c r="K64" s="367" t="str">
        <f t="shared" si="4"/>
        <v>يوم عادي</v>
      </c>
      <c r="L64" s="368">
        <f>(MIN(Attendance!D64, TIME(18, 0, 0)) - Attendance!C64) * 24</f>
        <v>9</v>
      </c>
      <c r="M64" s="369">
        <f t="shared" si="5"/>
        <v>0</v>
      </c>
      <c r="N64" s="369"/>
      <c r="O64" s="369"/>
      <c r="P64" s="369"/>
    </row>
    <row r="65" ht="22.5" customHeight="1">
      <c r="A65" s="380">
        <v>46135.0</v>
      </c>
      <c r="B65" s="281" t="s">
        <v>62</v>
      </c>
      <c r="C65" s="381">
        <v>0.375</v>
      </c>
      <c r="D65" s="381">
        <v>0.75</v>
      </c>
      <c r="E65" s="363" t="str">
        <f t="shared" si="1"/>
        <v>الخميس</v>
      </c>
      <c r="F65" s="364">
        <f t="shared" si="2"/>
        <v>4</v>
      </c>
      <c r="G65" s="365">
        <f t="shared" si="3"/>
        <v>9</v>
      </c>
      <c r="H65" s="366"/>
      <c r="I65" s="366"/>
      <c r="J65" s="366"/>
      <c r="K65" s="367" t="str">
        <f t="shared" si="4"/>
        <v>يوم عادي</v>
      </c>
      <c r="L65" s="368">
        <f>(MIN(Attendance!D65, TIME(18, 0, 0)) - Attendance!C65) * 24</f>
        <v>9</v>
      </c>
      <c r="M65" s="369">
        <f t="shared" si="5"/>
        <v>0</v>
      </c>
      <c r="N65" s="377"/>
      <c r="O65" s="377"/>
      <c r="P65" s="377"/>
    </row>
    <row r="66" ht="22.5" customHeight="1">
      <c r="A66" s="380">
        <v>46137.0</v>
      </c>
      <c r="B66" s="281" t="s">
        <v>62</v>
      </c>
      <c r="C66" s="381">
        <v>0.375</v>
      </c>
      <c r="D66" s="381">
        <v>0.75</v>
      </c>
      <c r="E66" s="363" t="str">
        <f t="shared" si="1"/>
        <v>السبت</v>
      </c>
      <c r="F66" s="364">
        <f t="shared" si="2"/>
        <v>4</v>
      </c>
      <c r="G66" s="365">
        <f t="shared" si="3"/>
        <v>9</v>
      </c>
      <c r="H66" s="366"/>
      <c r="I66" s="366"/>
      <c r="J66" s="366"/>
      <c r="K66" s="367" t="str">
        <f t="shared" si="4"/>
        <v>يوم عادي</v>
      </c>
      <c r="L66" s="368">
        <f>(MIN(Attendance!D66, TIME(18, 0, 0)) - Attendance!C66) * 24</f>
        <v>9</v>
      </c>
      <c r="M66" s="369">
        <f t="shared" si="5"/>
        <v>0</v>
      </c>
      <c r="N66" s="369"/>
      <c r="O66" s="369"/>
      <c r="P66" s="369"/>
    </row>
    <row r="67" ht="22.5" customHeight="1">
      <c r="A67" s="380">
        <v>46138.0</v>
      </c>
      <c r="B67" s="281" t="s">
        <v>62</v>
      </c>
      <c r="C67" s="381">
        <v>0.375</v>
      </c>
      <c r="D67" s="381">
        <v>0.75</v>
      </c>
      <c r="E67" s="363" t="str">
        <f t="shared" si="1"/>
        <v>الأحد</v>
      </c>
      <c r="F67" s="364">
        <f t="shared" si="2"/>
        <v>4</v>
      </c>
      <c r="G67" s="365">
        <f t="shared" si="3"/>
        <v>9</v>
      </c>
      <c r="H67" s="366"/>
      <c r="I67" s="366"/>
      <c r="J67" s="366"/>
      <c r="K67" s="367" t="str">
        <f t="shared" si="4"/>
        <v>يوم عادي</v>
      </c>
      <c r="L67" s="368">
        <f>(MIN(Attendance!D67, TIME(18, 0, 0)) - Attendance!C67) * 24</f>
        <v>9</v>
      </c>
      <c r="M67" s="369">
        <f t="shared" si="5"/>
        <v>0</v>
      </c>
      <c r="N67" s="377"/>
      <c r="O67" s="377"/>
      <c r="P67" s="377"/>
    </row>
    <row r="68" ht="22.5" customHeight="1">
      <c r="A68" s="380">
        <v>46139.0</v>
      </c>
      <c r="B68" s="281" t="s">
        <v>62</v>
      </c>
      <c r="C68" s="381">
        <v>0.375</v>
      </c>
      <c r="D68" s="381">
        <v>0.75</v>
      </c>
      <c r="E68" s="363" t="str">
        <f t="shared" si="1"/>
        <v>الاثنين</v>
      </c>
      <c r="F68" s="364">
        <f t="shared" si="2"/>
        <v>4</v>
      </c>
      <c r="G68" s="365">
        <f t="shared" si="3"/>
        <v>9</v>
      </c>
      <c r="H68" s="366"/>
      <c r="I68" s="366"/>
      <c r="J68" s="366"/>
      <c r="K68" s="367" t="str">
        <f t="shared" si="4"/>
        <v>يوم عادي</v>
      </c>
      <c r="L68" s="368">
        <f>(MIN(Attendance!D68, TIME(18, 0, 0)) - Attendance!C68) * 24</f>
        <v>9</v>
      </c>
      <c r="M68" s="369">
        <f t="shared" si="5"/>
        <v>0</v>
      </c>
      <c r="N68" s="369"/>
      <c r="O68" s="369"/>
      <c r="P68" s="369"/>
    </row>
    <row r="69" ht="22.5" customHeight="1">
      <c r="A69" s="380">
        <v>46140.0</v>
      </c>
      <c r="B69" s="281" t="s">
        <v>62</v>
      </c>
      <c r="C69" s="381">
        <v>0.375</v>
      </c>
      <c r="D69" s="381">
        <v>0.75</v>
      </c>
      <c r="E69" s="363" t="str">
        <f t="shared" si="1"/>
        <v>الثلاثاء</v>
      </c>
      <c r="F69" s="364">
        <f t="shared" si="2"/>
        <v>4</v>
      </c>
      <c r="G69" s="365">
        <f t="shared" si="3"/>
        <v>9</v>
      </c>
      <c r="H69" s="366"/>
      <c r="I69" s="366"/>
      <c r="J69" s="366"/>
      <c r="K69" s="367" t="str">
        <f t="shared" si="4"/>
        <v>يوم عادي</v>
      </c>
      <c r="L69" s="368">
        <f>(MIN(Attendance!D69, TIME(18, 0, 0)) - Attendance!C69) * 24</f>
        <v>9</v>
      </c>
      <c r="M69" s="369">
        <f t="shared" si="5"/>
        <v>0</v>
      </c>
      <c r="N69" s="377"/>
      <c r="O69" s="377"/>
      <c r="P69" s="377"/>
    </row>
    <row r="70" ht="22.5" customHeight="1">
      <c r="A70" s="380">
        <v>46141.0</v>
      </c>
      <c r="B70" s="281" t="s">
        <v>62</v>
      </c>
      <c r="C70" s="381">
        <v>0.375</v>
      </c>
      <c r="D70" s="381">
        <v>0.75</v>
      </c>
      <c r="E70" s="363" t="str">
        <f t="shared" si="1"/>
        <v>الأربعاء</v>
      </c>
      <c r="F70" s="364">
        <f t="shared" si="2"/>
        <v>4</v>
      </c>
      <c r="G70" s="365">
        <f t="shared" si="3"/>
        <v>9</v>
      </c>
      <c r="H70" s="366"/>
      <c r="I70" s="366"/>
      <c r="J70" s="366"/>
      <c r="K70" s="367" t="str">
        <f t="shared" si="4"/>
        <v>يوم عادي</v>
      </c>
      <c r="L70" s="368">
        <f>(MIN(Attendance!D70, TIME(18, 0, 0)) - Attendance!C70) * 24</f>
        <v>9</v>
      </c>
      <c r="M70" s="369">
        <f t="shared" si="5"/>
        <v>0</v>
      </c>
      <c r="N70" s="369"/>
      <c r="O70" s="369"/>
      <c r="P70" s="369"/>
    </row>
    <row r="71" ht="22.5" customHeight="1">
      <c r="A71" s="380">
        <v>46142.0</v>
      </c>
      <c r="B71" s="281" t="s">
        <v>62</v>
      </c>
      <c r="C71" s="381">
        <v>0.375</v>
      </c>
      <c r="D71" s="381">
        <v>0.75</v>
      </c>
      <c r="E71" s="363" t="str">
        <f t="shared" si="1"/>
        <v>الخميس</v>
      </c>
      <c r="F71" s="364">
        <f t="shared" si="2"/>
        <v>4</v>
      </c>
      <c r="G71" s="365">
        <f t="shared" si="3"/>
        <v>9</v>
      </c>
      <c r="H71" s="366"/>
      <c r="I71" s="366"/>
      <c r="J71" s="366"/>
      <c r="K71" s="367" t="str">
        <f t="shared" si="4"/>
        <v>يوم عادي</v>
      </c>
      <c r="L71" s="368">
        <f>(MIN(Attendance!D71, TIME(18, 0, 0)) - Attendance!C71) * 24</f>
        <v>9</v>
      </c>
      <c r="M71" s="369">
        <f t="shared" si="5"/>
        <v>0</v>
      </c>
      <c r="N71" s="377"/>
      <c r="O71" s="377"/>
      <c r="P71" s="377"/>
    </row>
    <row r="72" ht="22.5" customHeight="1">
      <c r="A72" s="360">
        <v>46114.0</v>
      </c>
      <c r="B72" s="361" t="s">
        <v>75</v>
      </c>
      <c r="C72" s="376">
        <v>0.38263888888888886</v>
      </c>
      <c r="D72" s="376">
        <v>0.7229166666666667</v>
      </c>
      <c r="E72" s="363" t="str">
        <f t="shared" si="1"/>
        <v>الخميس</v>
      </c>
      <c r="F72" s="364">
        <f t="shared" si="2"/>
        <v>4</v>
      </c>
      <c r="G72" s="365">
        <f t="shared" si="3"/>
        <v>8.166666667</v>
      </c>
      <c r="H72" s="366"/>
      <c r="I72" s="366"/>
      <c r="J72" s="366"/>
      <c r="K72" s="367" t="str">
        <f t="shared" si="4"/>
        <v>يوم عادي</v>
      </c>
      <c r="L72" s="368">
        <f>(MIN(Attendance!D72, TIME(18, 0, 0)) - Attendance!C72) * 24</f>
        <v>8.166666667</v>
      </c>
      <c r="M72" s="369">
        <f t="shared" si="5"/>
        <v>0</v>
      </c>
      <c r="N72" s="369"/>
      <c r="O72" s="369"/>
      <c r="P72" s="369"/>
    </row>
    <row r="73" ht="22.5" customHeight="1">
      <c r="A73" s="360">
        <v>46116.0</v>
      </c>
      <c r="B73" s="361" t="s">
        <v>75</v>
      </c>
      <c r="C73" s="376">
        <v>0.40902777777777777</v>
      </c>
      <c r="D73" s="376">
        <v>0.7722222222222223</v>
      </c>
      <c r="E73" s="363" t="str">
        <f t="shared" si="1"/>
        <v>السبت</v>
      </c>
      <c r="F73" s="364">
        <f t="shared" si="2"/>
        <v>4</v>
      </c>
      <c r="G73" s="365">
        <f t="shared" si="3"/>
        <v>8.716666667</v>
      </c>
      <c r="H73" s="366"/>
      <c r="I73" s="366"/>
      <c r="J73" s="366"/>
      <c r="K73" s="367" t="str">
        <f t="shared" si="4"/>
        <v>يوم عادي</v>
      </c>
      <c r="L73" s="368">
        <f>(MIN(Attendance!D73, TIME(18, 0, 0)) - Attendance!C73) * 24</f>
        <v>8.183333333</v>
      </c>
      <c r="M73" s="369">
        <f t="shared" si="5"/>
        <v>0.5333333333</v>
      </c>
      <c r="N73" s="377"/>
      <c r="O73" s="377"/>
      <c r="P73" s="377"/>
    </row>
    <row r="74" ht="22.5" customHeight="1">
      <c r="A74" s="360">
        <v>46117.0</v>
      </c>
      <c r="B74" s="361" t="s">
        <v>75</v>
      </c>
      <c r="C74" s="376">
        <v>0.3840277777777778</v>
      </c>
      <c r="D74" s="376">
        <v>0.7527777777777778</v>
      </c>
      <c r="E74" s="363" t="str">
        <f t="shared" si="1"/>
        <v>الأحد</v>
      </c>
      <c r="F74" s="364">
        <f t="shared" si="2"/>
        <v>4</v>
      </c>
      <c r="G74" s="365">
        <f t="shared" si="3"/>
        <v>8.85</v>
      </c>
      <c r="H74" s="366"/>
      <c r="I74" s="366"/>
      <c r="J74" s="366"/>
      <c r="K74" s="367" t="str">
        <f t="shared" si="4"/>
        <v>يوم عادي</v>
      </c>
      <c r="L74" s="368">
        <f>(MIN(Attendance!D74, TIME(18, 0, 0)) - Attendance!C74) * 24</f>
        <v>8.783333333</v>
      </c>
      <c r="M74" s="369">
        <f t="shared" si="5"/>
        <v>0.06666666667</v>
      </c>
      <c r="N74" s="369"/>
      <c r="O74" s="369"/>
      <c r="P74" s="369"/>
    </row>
    <row r="75" ht="22.5" customHeight="1">
      <c r="A75" s="360">
        <v>46118.0</v>
      </c>
      <c r="B75" s="361" t="s">
        <v>75</v>
      </c>
      <c r="C75" s="376">
        <v>0.40555555555555556</v>
      </c>
      <c r="D75" s="376">
        <v>0.8173611111111111</v>
      </c>
      <c r="E75" s="363" t="str">
        <f t="shared" si="1"/>
        <v>الاثنين</v>
      </c>
      <c r="F75" s="364">
        <f t="shared" si="2"/>
        <v>4</v>
      </c>
      <c r="G75" s="365">
        <f t="shared" si="3"/>
        <v>9.883333333</v>
      </c>
      <c r="H75" s="366"/>
      <c r="I75" s="366"/>
      <c r="J75" s="366"/>
      <c r="K75" s="367" t="str">
        <f t="shared" si="4"/>
        <v>يوم عادي</v>
      </c>
      <c r="L75" s="368">
        <f>(MIN(Attendance!D75, TIME(18, 0, 0)) - Attendance!C75) * 24</f>
        <v>8.266666667</v>
      </c>
      <c r="M75" s="369">
        <f t="shared" si="5"/>
        <v>1.616666667</v>
      </c>
      <c r="N75" s="377"/>
      <c r="O75" s="377"/>
      <c r="P75" s="377"/>
    </row>
    <row r="76" ht="22.5" customHeight="1">
      <c r="A76" s="360">
        <v>46119.0</v>
      </c>
      <c r="B76" s="361" t="s">
        <v>75</v>
      </c>
      <c r="C76" s="376">
        <v>0.38680555555555557</v>
      </c>
      <c r="D76" s="376">
        <v>0.7527777777777778</v>
      </c>
      <c r="E76" s="363" t="str">
        <f t="shared" si="1"/>
        <v>الثلاثاء</v>
      </c>
      <c r="F76" s="364">
        <f t="shared" si="2"/>
        <v>4</v>
      </c>
      <c r="G76" s="365">
        <f t="shared" si="3"/>
        <v>8.783333333</v>
      </c>
      <c r="H76" s="366"/>
      <c r="I76" s="366"/>
      <c r="J76" s="366"/>
      <c r="K76" s="367" t="str">
        <f t="shared" si="4"/>
        <v>يوم عادي</v>
      </c>
      <c r="L76" s="368">
        <f>(MIN(Attendance!D76, TIME(18, 0, 0)) - Attendance!C76) * 24</f>
        <v>8.716666667</v>
      </c>
      <c r="M76" s="369">
        <f t="shared" si="5"/>
        <v>0.06666666667</v>
      </c>
      <c r="N76" s="369"/>
      <c r="O76" s="369"/>
      <c r="P76" s="369"/>
    </row>
    <row r="77" ht="22.5" customHeight="1">
      <c r="A77" s="360">
        <v>46120.0</v>
      </c>
      <c r="B77" s="361" t="s">
        <v>75</v>
      </c>
      <c r="C77" s="376">
        <v>0.38958333333333334</v>
      </c>
      <c r="D77" s="376">
        <v>0.7444444444444445</v>
      </c>
      <c r="E77" s="363" t="str">
        <f t="shared" si="1"/>
        <v>الأربعاء</v>
      </c>
      <c r="F77" s="364">
        <f t="shared" si="2"/>
        <v>4</v>
      </c>
      <c r="G77" s="365">
        <f t="shared" si="3"/>
        <v>8.516666667</v>
      </c>
      <c r="H77" s="366"/>
      <c r="I77" s="366"/>
      <c r="J77" s="366"/>
      <c r="K77" s="367" t="str">
        <f t="shared" si="4"/>
        <v>يوم عادي</v>
      </c>
      <c r="L77" s="368">
        <f>(MIN(Attendance!D77, TIME(18, 0, 0)) - Attendance!C77) * 24</f>
        <v>8.516666667</v>
      </c>
      <c r="M77" s="369">
        <f t="shared" si="5"/>
        <v>0</v>
      </c>
      <c r="N77" s="377"/>
      <c r="O77" s="377"/>
      <c r="P77" s="377"/>
    </row>
    <row r="78" ht="22.5" customHeight="1">
      <c r="A78" s="360">
        <v>46121.0</v>
      </c>
      <c r="B78" s="361" t="s">
        <v>75</v>
      </c>
      <c r="C78" s="376">
        <v>0.4652777777777778</v>
      </c>
      <c r="D78" s="376">
        <v>0.6708333333333333</v>
      </c>
      <c r="E78" s="363" t="str">
        <f t="shared" si="1"/>
        <v>الخميس</v>
      </c>
      <c r="F78" s="364">
        <f t="shared" si="2"/>
        <v>4</v>
      </c>
      <c r="G78" s="365">
        <f t="shared" si="3"/>
        <v>4.933333333</v>
      </c>
      <c r="H78" s="366"/>
      <c r="I78" s="366"/>
      <c r="J78" s="366"/>
      <c r="K78" s="367" t="str">
        <f t="shared" si="4"/>
        <v>يوم عادي</v>
      </c>
      <c r="L78" s="368">
        <f>(MIN(Attendance!D78, TIME(18, 0, 0)) - Attendance!C78) * 24</f>
        <v>4.933333333</v>
      </c>
      <c r="M78" s="369">
        <f t="shared" si="5"/>
        <v>0</v>
      </c>
      <c r="N78" s="369"/>
      <c r="O78" s="369"/>
      <c r="P78" s="369"/>
    </row>
    <row r="79" ht="22.5" customHeight="1">
      <c r="A79" s="360">
        <v>46122.0</v>
      </c>
      <c r="B79" s="361" t="s">
        <v>75</v>
      </c>
      <c r="C79" s="376">
        <v>0.35694444444444445</v>
      </c>
      <c r="D79" s="376">
        <v>0.7333333333333333</v>
      </c>
      <c r="E79" s="363" t="str">
        <f t="shared" si="1"/>
        <v>الجمعة</v>
      </c>
      <c r="F79" s="364">
        <f t="shared" si="2"/>
        <v>4</v>
      </c>
      <c r="G79" s="365">
        <f t="shared" si="3"/>
        <v>9.033333333</v>
      </c>
      <c r="H79" s="366"/>
      <c r="I79" s="366"/>
      <c r="J79" s="366"/>
      <c r="K79" s="367" t="str">
        <f t="shared" si="4"/>
        <v>جمعة</v>
      </c>
      <c r="L79" s="368">
        <f>(MIN(Attendance!D79, TIME(18, 0, 0)) - Attendance!C79) * 24</f>
        <v>9.033333333</v>
      </c>
      <c r="M79" s="369">
        <f t="shared" si="5"/>
        <v>0</v>
      </c>
      <c r="N79" s="377"/>
      <c r="O79" s="377"/>
      <c r="P79" s="377"/>
    </row>
    <row r="80" ht="22.5" customHeight="1">
      <c r="A80" s="360">
        <v>46123.0</v>
      </c>
      <c r="B80" s="361" t="s">
        <v>75</v>
      </c>
      <c r="C80" s="376">
        <v>0.3993055555555556</v>
      </c>
      <c r="D80" s="362">
        <v>0.75</v>
      </c>
      <c r="E80" s="363" t="str">
        <f t="shared" si="1"/>
        <v>السبت</v>
      </c>
      <c r="F80" s="364">
        <f t="shared" si="2"/>
        <v>4</v>
      </c>
      <c r="G80" s="365">
        <f t="shared" si="3"/>
        <v>8.416666667</v>
      </c>
      <c r="H80" s="366"/>
      <c r="I80" s="366"/>
      <c r="J80" s="366"/>
      <c r="K80" s="367" t="str">
        <f t="shared" si="4"/>
        <v>يوم عادي</v>
      </c>
      <c r="L80" s="368">
        <f>(MIN(Attendance!D80, TIME(18, 0, 0)) - Attendance!C80) * 24</f>
        <v>8.416666667</v>
      </c>
      <c r="M80" s="369">
        <f t="shared" si="5"/>
        <v>0</v>
      </c>
      <c r="N80" s="369"/>
      <c r="O80" s="369"/>
      <c r="P80" s="369"/>
    </row>
    <row r="81" ht="22.5" customHeight="1">
      <c r="A81" s="360">
        <v>46124.0</v>
      </c>
      <c r="B81" s="361" t="s">
        <v>75</v>
      </c>
      <c r="C81" s="371">
        <v>0.3993055555555556</v>
      </c>
      <c r="D81" s="371">
        <v>0.7506944444444444</v>
      </c>
      <c r="E81" s="363" t="str">
        <f t="shared" si="1"/>
        <v>الأحد</v>
      </c>
      <c r="F81" s="364">
        <f t="shared" si="2"/>
        <v>4</v>
      </c>
      <c r="G81" s="365">
        <f t="shared" si="3"/>
        <v>8.433333333</v>
      </c>
      <c r="H81" s="366"/>
      <c r="I81" s="366"/>
      <c r="J81" s="366"/>
      <c r="K81" s="367" t="str">
        <f t="shared" si="4"/>
        <v>يوم عادي</v>
      </c>
      <c r="L81" s="368">
        <f>(MIN(Attendance!D81, TIME(18, 0, 0)) - Attendance!C81) * 24</f>
        <v>8.416666667</v>
      </c>
      <c r="M81" s="369">
        <f t="shared" si="5"/>
        <v>0.01666666667</v>
      </c>
      <c r="N81" s="377"/>
      <c r="O81" s="377"/>
      <c r="P81" s="377"/>
    </row>
    <row r="82" ht="22.5" customHeight="1">
      <c r="A82" s="360">
        <v>46125.0</v>
      </c>
      <c r="B82" s="361" t="s">
        <v>75</v>
      </c>
      <c r="C82" s="371">
        <v>0.40902777777777777</v>
      </c>
      <c r="D82" s="371">
        <v>0.7798611111111111</v>
      </c>
      <c r="E82" s="363" t="str">
        <f t="shared" si="1"/>
        <v>الاثنين</v>
      </c>
      <c r="F82" s="364">
        <f t="shared" si="2"/>
        <v>4</v>
      </c>
      <c r="G82" s="365">
        <f t="shared" si="3"/>
        <v>8.9</v>
      </c>
      <c r="H82" s="366"/>
      <c r="I82" s="366"/>
      <c r="J82" s="366"/>
      <c r="K82" s="367" t="str">
        <f t="shared" si="4"/>
        <v>يوم عادي</v>
      </c>
      <c r="L82" s="368">
        <f>(MIN(Attendance!D82, TIME(18, 0, 0)) - Attendance!C82) * 24</f>
        <v>8.183333333</v>
      </c>
      <c r="M82" s="369">
        <f t="shared" si="5"/>
        <v>0.7166666667</v>
      </c>
      <c r="N82" s="369"/>
      <c r="O82" s="369"/>
      <c r="P82" s="369"/>
    </row>
    <row r="83" ht="22.5" customHeight="1">
      <c r="A83" s="360">
        <v>46126.0</v>
      </c>
      <c r="B83" s="361" t="s">
        <v>75</v>
      </c>
      <c r="C83" s="371">
        <v>0.39375</v>
      </c>
      <c r="D83" s="371">
        <v>0.8798611111111111</v>
      </c>
      <c r="E83" s="363" t="str">
        <f t="shared" si="1"/>
        <v>الثلاثاء</v>
      </c>
      <c r="F83" s="364">
        <f t="shared" si="2"/>
        <v>4</v>
      </c>
      <c r="G83" s="365">
        <f t="shared" si="3"/>
        <v>11.66666667</v>
      </c>
      <c r="H83" s="366"/>
      <c r="I83" s="366"/>
      <c r="J83" s="366"/>
      <c r="K83" s="367" t="str">
        <f t="shared" si="4"/>
        <v>يوم عادي</v>
      </c>
      <c r="L83" s="368">
        <f>(MIN(Attendance!D83, TIME(18, 0, 0)) - Attendance!C83) * 24</f>
        <v>8.55</v>
      </c>
      <c r="M83" s="369">
        <f t="shared" si="5"/>
        <v>3.116666667</v>
      </c>
      <c r="N83" s="377"/>
      <c r="O83" s="377"/>
      <c r="P83" s="377"/>
    </row>
    <row r="84" ht="22.5" customHeight="1">
      <c r="A84" s="372">
        <v>46127.0</v>
      </c>
      <c r="B84" s="361" t="s">
        <v>75</v>
      </c>
      <c r="C84" s="371">
        <v>0.39861111111111114</v>
      </c>
      <c r="D84" s="371">
        <v>0.11527777777777778</v>
      </c>
      <c r="E84" s="363" t="str">
        <f t="shared" si="1"/>
        <v>الأربعاء</v>
      </c>
      <c r="F84" s="364">
        <f t="shared" si="2"/>
        <v>4</v>
      </c>
      <c r="G84" s="365">
        <f t="shared" si="3"/>
        <v>-6.8</v>
      </c>
      <c r="H84" s="366"/>
      <c r="I84" s="366"/>
      <c r="J84" s="366"/>
      <c r="K84" s="367" t="str">
        <f t="shared" si="4"/>
        <v>يوم عادي</v>
      </c>
      <c r="L84" s="368">
        <f>(MIN(Attendance!D84, TIME(18, 0, 0)) - Attendance!C84) * 24</f>
        <v>-6.8</v>
      </c>
      <c r="M84" s="369">
        <f t="shared" si="5"/>
        <v>0</v>
      </c>
      <c r="N84" s="369"/>
      <c r="O84" s="369"/>
      <c r="P84" s="369"/>
    </row>
    <row r="85" ht="22.5" customHeight="1">
      <c r="A85" s="372">
        <v>46128.0</v>
      </c>
      <c r="B85" s="361" t="s">
        <v>75</v>
      </c>
      <c r="C85" s="371">
        <v>0.44583333333333336</v>
      </c>
      <c r="D85" s="371">
        <v>0.9118055555555555</v>
      </c>
      <c r="E85" s="363" t="str">
        <f t="shared" si="1"/>
        <v>الخميس</v>
      </c>
      <c r="F85" s="364">
        <f t="shared" si="2"/>
        <v>4</v>
      </c>
      <c r="G85" s="365">
        <f t="shared" si="3"/>
        <v>11.18333333</v>
      </c>
      <c r="H85" s="366"/>
      <c r="I85" s="366"/>
      <c r="J85" s="366"/>
      <c r="K85" s="367" t="str">
        <f t="shared" si="4"/>
        <v>يوم عادي</v>
      </c>
      <c r="L85" s="368">
        <f>(MIN(Attendance!D85, TIME(18, 0, 0)) - Attendance!C85) * 24</f>
        <v>7.3</v>
      </c>
      <c r="M85" s="369">
        <f t="shared" si="5"/>
        <v>3.883333333</v>
      </c>
      <c r="N85" s="377"/>
      <c r="O85" s="377"/>
      <c r="P85" s="377"/>
    </row>
    <row r="86" ht="22.5" customHeight="1">
      <c r="A86" s="372">
        <v>46129.0</v>
      </c>
      <c r="B86" s="361" t="s">
        <v>75</v>
      </c>
      <c r="C86" s="371">
        <v>0.44305555555555554</v>
      </c>
      <c r="D86" s="371">
        <v>0.7659722222222223</v>
      </c>
      <c r="E86" s="363" t="str">
        <f t="shared" si="1"/>
        <v>الجمعة</v>
      </c>
      <c r="F86" s="364">
        <f t="shared" si="2"/>
        <v>4</v>
      </c>
      <c r="G86" s="365">
        <f t="shared" si="3"/>
        <v>7.75</v>
      </c>
      <c r="H86" s="366"/>
      <c r="I86" s="366"/>
      <c r="J86" s="366"/>
      <c r="K86" s="367" t="str">
        <f t="shared" si="4"/>
        <v>جمعة</v>
      </c>
      <c r="L86" s="368">
        <f>(MIN(Attendance!D86, TIME(18, 0, 0)) - Attendance!C86) * 24</f>
        <v>7.366666667</v>
      </c>
      <c r="M86" s="369">
        <f t="shared" si="5"/>
        <v>0.3833333333</v>
      </c>
      <c r="N86" s="369"/>
      <c r="O86" s="369"/>
      <c r="P86" s="369"/>
    </row>
    <row r="87" ht="22.5" customHeight="1">
      <c r="A87" s="372">
        <v>46141.0</v>
      </c>
      <c r="B87" s="361" t="s">
        <v>75</v>
      </c>
      <c r="C87" s="371">
        <v>0.38958333333333334</v>
      </c>
      <c r="D87" s="371">
        <v>0.9618055555555556</v>
      </c>
      <c r="E87" s="363" t="str">
        <f t="shared" si="1"/>
        <v>الأربعاء</v>
      </c>
      <c r="F87" s="364">
        <f t="shared" si="2"/>
        <v>4</v>
      </c>
      <c r="G87" s="365">
        <f t="shared" si="3"/>
        <v>13.73333333</v>
      </c>
      <c r="H87" s="366"/>
      <c r="I87" s="366"/>
      <c r="J87" s="366"/>
      <c r="K87" s="367" t="str">
        <f t="shared" si="4"/>
        <v>يوم عادي</v>
      </c>
      <c r="L87" s="368">
        <f>(MIN(Attendance!D87, TIME(18, 0, 0)) - Attendance!C87) * 24</f>
        <v>8.65</v>
      </c>
      <c r="M87" s="369">
        <f t="shared" si="5"/>
        <v>5.083333333</v>
      </c>
      <c r="N87" s="377"/>
      <c r="O87" s="377"/>
      <c r="P87" s="377"/>
    </row>
    <row r="88" ht="22.5" customHeight="1">
      <c r="A88" s="360">
        <v>46113.0</v>
      </c>
      <c r="B88" s="361" t="s">
        <v>81</v>
      </c>
      <c r="C88" s="362">
        <v>0.3701388888888889</v>
      </c>
      <c r="D88" s="362">
        <v>0.7548611111111111</v>
      </c>
      <c r="E88" s="363" t="str">
        <f t="shared" si="1"/>
        <v>الأربعاء</v>
      </c>
      <c r="F88" s="364">
        <f t="shared" si="2"/>
        <v>4</v>
      </c>
      <c r="G88" s="365">
        <f t="shared" si="3"/>
        <v>9.233333333</v>
      </c>
      <c r="H88" s="366"/>
      <c r="I88" s="366"/>
      <c r="J88" s="366"/>
      <c r="K88" s="367" t="str">
        <f t="shared" si="4"/>
        <v>يوم عادي</v>
      </c>
      <c r="L88" s="368">
        <f>(MIN(Attendance!D88, TIME(18, 0, 0)) - Attendance!C88) * 24</f>
        <v>9.116666667</v>
      </c>
      <c r="M88" s="369">
        <f t="shared" si="5"/>
        <v>0.1166666667</v>
      </c>
      <c r="N88" s="369"/>
      <c r="O88" s="369"/>
      <c r="P88" s="369"/>
    </row>
    <row r="89" ht="22.5" customHeight="1">
      <c r="A89" s="360">
        <v>46114.0</v>
      </c>
      <c r="B89" s="361" t="s">
        <v>81</v>
      </c>
      <c r="C89" s="362">
        <v>0.40069444444444446</v>
      </c>
      <c r="D89" s="362">
        <v>0.5972222222222222</v>
      </c>
      <c r="E89" s="363" t="str">
        <f t="shared" si="1"/>
        <v>الخميس</v>
      </c>
      <c r="F89" s="364">
        <f t="shared" si="2"/>
        <v>4</v>
      </c>
      <c r="G89" s="365">
        <f t="shared" si="3"/>
        <v>4.716666667</v>
      </c>
      <c r="H89" s="366"/>
      <c r="I89" s="366"/>
      <c r="J89" s="366"/>
      <c r="K89" s="367" t="str">
        <f t="shared" si="4"/>
        <v>يوم عادي</v>
      </c>
      <c r="L89" s="368">
        <f>(MIN(Attendance!D89, TIME(18, 0, 0)) - Attendance!C89) * 24</f>
        <v>4.716666667</v>
      </c>
      <c r="M89" s="369">
        <f t="shared" si="5"/>
        <v>0</v>
      </c>
      <c r="N89" s="377"/>
      <c r="O89" s="377"/>
      <c r="P89" s="377"/>
    </row>
    <row r="90" ht="22.5" customHeight="1">
      <c r="A90" s="360">
        <v>46116.0</v>
      </c>
      <c r="B90" s="361" t="s">
        <v>81</v>
      </c>
      <c r="C90" s="362">
        <v>0.38125</v>
      </c>
      <c r="D90" s="362">
        <v>0.7083333333333334</v>
      </c>
      <c r="E90" s="363" t="str">
        <f t="shared" si="1"/>
        <v>السبت</v>
      </c>
      <c r="F90" s="364">
        <f t="shared" si="2"/>
        <v>4</v>
      </c>
      <c r="G90" s="365">
        <f t="shared" si="3"/>
        <v>7.85</v>
      </c>
      <c r="H90" s="366"/>
      <c r="I90" s="366"/>
      <c r="J90" s="366"/>
      <c r="K90" s="367" t="str">
        <f t="shared" si="4"/>
        <v>يوم عادي</v>
      </c>
      <c r="L90" s="368">
        <f>(MIN(Attendance!D90, TIME(18, 0, 0)) - Attendance!C90) * 24</f>
        <v>7.85</v>
      </c>
      <c r="M90" s="369">
        <f t="shared" si="5"/>
        <v>0</v>
      </c>
      <c r="N90" s="369"/>
      <c r="O90" s="369"/>
      <c r="P90" s="369"/>
    </row>
    <row r="91" ht="22.5" customHeight="1">
      <c r="A91" s="360">
        <v>46117.0</v>
      </c>
      <c r="B91" s="361" t="s">
        <v>81</v>
      </c>
      <c r="C91" s="362">
        <v>0.3923611111111111</v>
      </c>
      <c r="D91" s="362">
        <v>0.7590277777777777</v>
      </c>
      <c r="E91" s="363" t="str">
        <f t="shared" si="1"/>
        <v>الأحد</v>
      </c>
      <c r="F91" s="364">
        <f t="shared" si="2"/>
        <v>4</v>
      </c>
      <c r="G91" s="365">
        <f t="shared" si="3"/>
        <v>8.8</v>
      </c>
      <c r="H91" s="366"/>
      <c r="I91" s="366"/>
      <c r="J91" s="366"/>
      <c r="K91" s="367" t="str">
        <f t="shared" si="4"/>
        <v>يوم عادي</v>
      </c>
      <c r="L91" s="368">
        <f>(MIN(Attendance!D91, TIME(18, 0, 0)) - Attendance!C91) * 24</f>
        <v>8.583333333</v>
      </c>
      <c r="M91" s="369">
        <f t="shared" si="5"/>
        <v>0.2166666667</v>
      </c>
      <c r="N91" s="377"/>
      <c r="O91" s="377"/>
      <c r="P91" s="377"/>
    </row>
    <row r="92" ht="22.5" customHeight="1">
      <c r="A92" s="360">
        <v>46118.0</v>
      </c>
      <c r="B92" s="361" t="s">
        <v>81</v>
      </c>
      <c r="C92" s="362">
        <v>0.39861111111111114</v>
      </c>
      <c r="D92" s="362">
        <v>0.7625</v>
      </c>
      <c r="E92" s="363" t="str">
        <f t="shared" si="1"/>
        <v>الاثنين</v>
      </c>
      <c r="F92" s="364">
        <f t="shared" si="2"/>
        <v>4</v>
      </c>
      <c r="G92" s="365">
        <f t="shared" si="3"/>
        <v>8.733333333</v>
      </c>
      <c r="H92" s="366"/>
      <c r="I92" s="366"/>
      <c r="J92" s="366"/>
      <c r="K92" s="367" t="str">
        <f t="shared" si="4"/>
        <v>يوم عادي</v>
      </c>
      <c r="L92" s="368">
        <f>(MIN(Attendance!D92, TIME(18, 0, 0)) - Attendance!C92) * 24</f>
        <v>8.433333333</v>
      </c>
      <c r="M92" s="369">
        <f t="shared" si="5"/>
        <v>0.3</v>
      </c>
      <c r="N92" s="369"/>
      <c r="O92" s="369"/>
      <c r="P92" s="369"/>
    </row>
    <row r="93" ht="22.5" customHeight="1">
      <c r="A93" s="360">
        <v>46119.0</v>
      </c>
      <c r="B93" s="361" t="s">
        <v>81</v>
      </c>
      <c r="C93" s="362">
        <v>0.3819444444444444</v>
      </c>
      <c r="D93" s="362">
        <v>0.7597222222222222</v>
      </c>
      <c r="E93" s="363" t="str">
        <f t="shared" si="1"/>
        <v>الثلاثاء</v>
      </c>
      <c r="F93" s="364">
        <f t="shared" si="2"/>
        <v>4</v>
      </c>
      <c r="G93" s="365">
        <f t="shared" si="3"/>
        <v>9.066666667</v>
      </c>
      <c r="H93" s="366"/>
      <c r="I93" s="366"/>
      <c r="J93" s="366"/>
      <c r="K93" s="367" t="str">
        <f t="shared" si="4"/>
        <v>يوم عادي</v>
      </c>
      <c r="L93" s="368">
        <f>(MIN(Attendance!D93, TIME(18, 0, 0)) - Attendance!C93) * 24</f>
        <v>8.833333333</v>
      </c>
      <c r="M93" s="369">
        <f t="shared" si="5"/>
        <v>0.2333333333</v>
      </c>
      <c r="N93" s="377"/>
      <c r="O93" s="377"/>
      <c r="P93" s="377"/>
    </row>
    <row r="94" ht="22.5" customHeight="1">
      <c r="A94" s="360">
        <v>46120.0</v>
      </c>
      <c r="B94" s="361" t="s">
        <v>81</v>
      </c>
      <c r="C94" s="362">
        <v>0.3902777777777778</v>
      </c>
      <c r="D94" s="362">
        <v>0.7451388888888889</v>
      </c>
      <c r="E94" s="363" t="str">
        <f t="shared" si="1"/>
        <v>الأربعاء</v>
      </c>
      <c r="F94" s="364">
        <f t="shared" si="2"/>
        <v>4</v>
      </c>
      <c r="G94" s="365">
        <f t="shared" si="3"/>
        <v>8.516666667</v>
      </c>
      <c r="H94" s="366"/>
      <c r="I94" s="366"/>
      <c r="J94" s="366"/>
      <c r="K94" s="367" t="str">
        <f t="shared" si="4"/>
        <v>يوم عادي</v>
      </c>
      <c r="L94" s="368">
        <f>(MIN(Attendance!D94, TIME(18, 0, 0)) - Attendance!C94) * 24</f>
        <v>8.516666667</v>
      </c>
      <c r="M94" s="369">
        <f t="shared" si="5"/>
        <v>0</v>
      </c>
      <c r="N94" s="382"/>
      <c r="O94" s="369"/>
      <c r="P94" s="369"/>
    </row>
    <row r="95" ht="22.5" customHeight="1">
      <c r="A95" s="380">
        <v>46121.0</v>
      </c>
      <c r="B95" s="361" t="s">
        <v>81</v>
      </c>
      <c r="C95" s="362">
        <v>0.4215277777777778</v>
      </c>
      <c r="D95" s="362">
        <v>0.7229166666666667</v>
      </c>
      <c r="E95" s="363" t="str">
        <f t="shared" si="1"/>
        <v>الخميس</v>
      </c>
      <c r="F95" s="364">
        <f t="shared" si="2"/>
        <v>4</v>
      </c>
      <c r="G95" s="365">
        <f t="shared" si="3"/>
        <v>7.233333333</v>
      </c>
      <c r="H95" s="366"/>
      <c r="I95" s="366"/>
      <c r="J95" s="366"/>
      <c r="K95" s="367" t="str">
        <f t="shared" si="4"/>
        <v>يوم عادي</v>
      </c>
      <c r="L95" s="368">
        <f>(MIN(Attendance!D95, TIME(18, 0, 0)) - Attendance!C95) * 24</f>
        <v>7.233333333</v>
      </c>
      <c r="M95" s="369">
        <f t="shared" si="5"/>
        <v>0</v>
      </c>
      <c r="N95" s="377"/>
      <c r="O95" s="377"/>
      <c r="P95" s="377"/>
    </row>
    <row r="96" ht="22.5" customHeight="1">
      <c r="A96" s="360">
        <v>46123.0</v>
      </c>
      <c r="B96" s="361" t="s">
        <v>81</v>
      </c>
      <c r="C96" s="362">
        <v>0.4597222222222222</v>
      </c>
      <c r="D96" s="362">
        <v>0.4673611111111111</v>
      </c>
      <c r="E96" s="363" t="str">
        <f t="shared" si="1"/>
        <v>السبت</v>
      </c>
      <c r="F96" s="364">
        <f t="shared" si="2"/>
        <v>4</v>
      </c>
      <c r="G96" s="365">
        <f t="shared" si="3"/>
        <v>0.1833333333</v>
      </c>
      <c r="H96" s="366"/>
      <c r="I96" s="366"/>
      <c r="J96" s="366"/>
      <c r="K96" s="367" t="str">
        <f t="shared" si="4"/>
        <v>يوم عادي</v>
      </c>
      <c r="L96" s="368">
        <f>(MIN(Attendance!D96, TIME(18, 0, 0)) - Attendance!C96) * 24</f>
        <v>0.1833333333</v>
      </c>
      <c r="M96" s="369">
        <f t="shared" si="5"/>
        <v>0</v>
      </c>
      <c r="N96" s="369"/>
      <c r="O96" s="369"/>
      <c r="P96" s="369"/>
    </row>
    <row r="97" ht="24.0" customHeight="1">
      <c r="A97" s="383">
        <v>46113.0</v>
      </c>
      <c r="B97" s="384" t="s">
        <v>64</v>
      </c>
      <c r="C97" s="385">
        <v>0.3861111111111111</v>
      </c>
      <c r="D97" s="385">
        <v>0.7541666666666667</v>
      </c>
      <c r="E97" s="363" t="str">
        <f t="shared" si="1"/>
        <v>الأربعاء</v>
      </c>
      <c r="F97" s="364">
        <f t="shared" si="2"/>
        <v>4</v>
      </c>
      <c r="G97" s="365">
        <f t="shared" si="3"/>
        <v>8.833333333</v>
      </c>
      <c r="H97" s="366"/>
      <c r="I97" s="366"/>
      <c r="J97" s="366"/>
      <c r="K97" s="367" t="str">
        <f t="shared" si="4"/>
        <v>يوم عادي</v>
      </c>
      <c r="L97" s="368">
        <f>(MIN(Attendance!D97, TIME(18, 0, 0)) - Attendance!C97) * 24</f>
        <v>8.733333333</v>
      </c>
      <c r="M97" s="369">
        <f t="shared" si="5"/>
        <v>0.1</v>
      </c>
      <c r="N97" s="377"/>
      <c r="O97" s="377"/>
      <c r="P97" s="377"/>
    </row>
    <row r="98" ht="24.0" customHeight="1">
      <c r="A98" s="383">
        <v>46114.0</v>
      </c>
      <c r="B98" s="384" t="s">
        <v>64</v>
      </c>
      <c r="C98" s="385">
        <v>0.3854166666666667</v>
      </c>
      <c r="D98" s="385">
        <v>0.7541666666666667</v>
      </c>
      <c r="E98" s="363" t="str">
        <f t="shared" si="1"/>
        <v>الخميس</v>
      </c>
      <c r="F98" s="364">
        <f t="shared" si="2"/>
        <v>4</v>
      </c>
      <c r="G98" s="365">
        <f t="shared" si="3"/>
        <v>8.85</v>
      </c>
      <c r="H98" s="366"/>
      <c r="I98" s="366"/>
      <c r="J98" s="366"/>
      <c r="K98" s="367" t="str">
        <f t="shared" si="4"/>
        <v>يوم عادي</v>
      </c>
      <c r="L98" s="368">
        <f>(MIN(Attendance!D98, TIME(18, 0, 0)) - Attendance!C98) * 24</f>
        <v>8.75</v>
      </c>
      <c r="M98" s="369">
        <f t="shared" si="5"/>
        <v>0.1</v>
      </c>
      <c r="N98" s="369"/>
      <c r="O98" s="369"/>
      <c r="P98" s="369"/>
    </row>
    <row r="99" ht="24.0" customHeight="1">
      <c r="A99" s="383">
        <v>46116.0</v>
      </c>
      <c r="B99" s="384" t="s">
        <v>64</v>
      </c>
      <c r="C99" s="385">
        <v>0.38055555555555554</v>
      </c>
      <c r="D99" s="385">
        <v>0.7548611111111111</v>
      </c>
      <c r="E99" s="363" t="str">
        <f t="shared" si="1"/>
        <v>السبت</v>
      </c>
      <c r="F99" s="364">
        <f t="shared" si="2"/>
        <v>4</v>
      </c>
      <c r="G99" s="365">
        <f t="shared" si="3"/>
        <v>8.983333333</v>
      </c>
      <c r="H99" s="366"/>
      <c r="I99" s="366"/>
      <c r="J99" s="366"/>
      <c r="K99" s="367" t="str">
        <f t="shared" si="4"/>
        <v>يوم عادي</v>
      </c>
      <c r="L99" s="368">
        <f>(MIN(Attendance!D99, TIME(18, 0, 0)) - Attendance!C99) * 24</f>
        <v>8.866666667</v>
      </c>
      <c r="M99" s="369">
        <f t="shared" si="5"/>
        <v>0.1166666667</v>
      </c>
      <c r="N99" s="377"/>
      <c r="O99" s="377"/>
      <c r="P99" s="377"/>
    </row>
    <row r="100" ht="24.0" customHeight="1">
      <c r="A100" s="383">
        <v>46117.0</v>
      </c>
      <c r="B100" s="386" t="s">
        <v>64</v>
      </c>
      <c r="C100" s="385">
        <v>0.3875</v>
      </c>
      <c r="D100" s="385">
        <v>0.7527777777777778</v>
      </c>
      <c r="E100" s="363" t="str">
        <f t="shared" si="1"/>
        <v>الأحد</v>
      </c>
      <c r="F100" s="364">
        <f t="shared" si="2"/>
        <v>4</v>
      </c>
      <c r="G100" s="365">
        <f t="shared" si="3"/>
        <v>8.766666667</v>
      </c>
      <c r="H100" s="366"/>
      <c r="I100" s="366"/>
      <c r="J100" s="366"/>
      <c r="K100" s="367" t="str">
        <f t="shared" si="4"/>
        <v>يوم عادي</v>
      </c>
      <c r="L100" s="368">
        <f>(MIN(Attendance!D100, TIME(18, 0, 0)) - Attendance!C100) * 24</f>
        <v>8.7</v>
      </c>
      <c r="M100" s="369">
        <f t="shared" si="5"/>
        <v>0.06666666667</v>
      </c>
      <c r="N100" s="369"/>
      <c r="O100" s="369"/>
      <c r="P100" s="369"/>
    </row>
    <row r="101" ht="24.0" customHeight="1">
      <c r="A101" s="383">
        <v>46118.0</v>
      </c>
      <c r="B101" s="386" t="s">
        <v>64</v>
      </c>
      <c r="C101" s="385">
        <v>0.39375</v>
      </c>
      <c r="D101" s="385">
        <v>0.7729166666666667</v>
      </c>
      <c r="E101" s="363" t="str">
        <f t="shared" si="1"/>
        <v>الاثنين</v>
      </c>
      <c r="F101" s="364">
        <f t="shared" si="2"/>
        <v>4</v>
      </c>
      <c r="G101" s="365">
        <f t="shared" si="3"/>
        <v>9.1</v>
      </c>
      <c r="H101" s="366"/>
      <c r="I101" s="366"/>
      <c r="J101" s="366"/>
      <c r="K101" s="367" t="str">
        <f t="shared" si="4"/>
        <v>يوم عادي</v>
      </c>
      <c r="L101" s="368">
        <f>(MIN(Attendance!D101, TIME(18, 0, 0)) - Attendance!C101) * 24</f>
        <v>8.55</v>
      </c>
      <c r="M101" s="369">
        <f t="shared" si="5"/>
        <v>0.55</v>
      </c>
      <c r="N101" s="377"/>
      <c r="O101" s="377"/>
      <c r="P101" s="377"/>
    </row>
    <row r="102" ht="24.0" customHeight="1">
      <c r="A102" s="383">
        <v>46119.0</v>
      </c>
      <c r="B102" s="386" t="s">
        <v>64</v>
      </c>
      <c r="C102" s="385">
        <v>0.38055555555555554</v>
      </c>
      <c r="D102" s="385">
        <v>0.7583333333333333</v>
      </c>
      <c r="E102" s="363" t="str">
        <f t="shared" si="1"/>
        <v>الثلاثاء</v>
      </c>
      <c r="F102" s="364">
        <f t="shared" si="2"/>
        <v>4</v>
      </c>
      <c r="G102" s="365">
        <f t="shared" si="3"/>
        <v>9.066666667</v>
      </c>
      <c r="H102" s="366"/>
      <c r="I102" s="366"/>
      <c r="J102" s="366"/>
      <c r="K102" s="367" t="str">
        <f t="shared" si="4"/>
        <v>يوم عادي</v>
      </c>
      <c r="L102" s="368">
        <f>(MIN(Attendance!D102, TIME(18, 0, 0)) - Attendance!C102) * 24</f>
        <v>8.866666667</v>
      </c>
      <c r="M102" s="369">
        <f t="shared" si="5"/>
        <v>0.2</v>
      </c>
      <c r="N102" s="369"/>
      <c r="O102" s="369"/>
      <c r="P102" s="369"/>
    </row>
    <row r="103" ht="24.0" customHeight="1">
      <c r="A103" s="383">
        <v>46120.0</v>
      </c>
      <c r="B103" s="386" t="s">
        <v>64</v>
      </c>
      <c r="C103" s="385">
        <v>0.38958333333333334</v>
      </c>
      <c r="D103" s="385">
        <v>0.7548611111111111</v>
      </c>
      <c r="E103" s="363" t="str">
        <f t="shared" si="1"/>
        <v>الأربعاء</v>
      </c>
      <c r="F103" s="364">
        <f t="shared" si="2"/>
        <v>4</v>
      </c>
      <c r="G103" s="365">
        <f t="shared" si="3"/>
        <v>8.766666667</v>
      </c>
      <c r="H103" s="366"/>
      <c r="I103" s="366"/>
      <c r="J103" s="366"/>
      <c r="K103" s="367" t="str">
        <f t="shared" si="4"/>
        <v>يوم عادي</v>
      </c>
      <c r="L103" s="368">
        <f>(MIN(Attendance!D103, TIME(18, 0, 0)) - Attendance!C103) * 24</f>
        <v>8.65</v>
      </c>
      <c r="M103" s="369">
        <f t="shared" si="5"/>
        <v>0.1166666667</v>
      </c>
      <c r="N103" s="377"/>
      <c r="O103" s="377"/>
      <c r="P103" s="377"/>
    </row>
    <row r="104" ht="24.0" customHeight="1">
      <c r="A104" s="383">
        <v>46121.0</v>
      </c>
      <c r="B104" s="386" t="s">
        <v>64</v>
      </c>
      <c r="C104" s="385">
        <v>0.41041666666666665</v>
      </c>
      <c r="D104" s="385">
        <v>0.7666666666666667</v>
      </c>
      <c r="E104" s="363" t="str">
        <f t="shared" si="1"/>
        <v>الخميس</v>
      </c>
      <c r="F104" s="364">
        <f t="shared" si="2"/>
        <v>4</v>
      </c>
      <c r="G104" s="365">
        <f t="shared" si="3"/>
        <v>8.55</v>
      </c>
      <c r="H104" s="366"/>
      <c r="I104" s="366"/>
      <c r="J104" s="366"/>
      <c r="K104" s="367" t="str">
        <f t="shared" si="4"/>
        <v>يوم عادي</v>
      </c>
      <c r="L104" s="368">
        <f>(MIN(Attendance!D104, TIME(18, 0, 0)) - Attendance!C104) * 24</f>
        <v>8.15</v>
      </c>
      <c r="M104" s="369">
        <f t="shared" si="5"/>
        <v>0.4</v>
      </c>
      <c r="N104" s="369"/>
      <c r="O104" s="369"/>
      <c r="P104" s="369"/>
    </row>
    <row r="105" ht="24.0" customHeight="1">
      <c r="A105" s="383">
        <v>46122.0</v>
      </c>
      <c r="B105" s="386" t="s">
        <v>64</v>
      </c>
      <c r="C105" s="385">
        <v>0.3541666666666667</v>
      </c>
      <c r="D105" s="385">
        <v>0.7506944444444444</v>
      </c>
      <c r="E105" s="363" t="str">
        <f t="shared" si="1"/>
        <v>الجمعة</v>
      </c>
      <c r="F105" s="364">
        <f t="shared" si="2"/>
        <v>4</v>
      </c>
      <c r="G105" s="365">
        <f t="shared" si="3"/>
        <v>9.516666667</v>
      </c>
      <c r="H105" s="366"/>
      <c r="I105" s="366"/>
      <c r="J105" s="366"/>
      <c r="K105" s="367" t="str">
        <f t="shared" si="4"/>
        <v>جمعة</v>
      </c>
      <c r="L105" s="368">
        <f>(MIN(Attendance!D105, TIME(18, 0, 0)) - Attendance!C105) * 24</f>
        <v>9.5</v>
      </c>
      <c r="M105" s="369">
        <f t="shared" si="5"/>
        <v>0.01666666667</v>
      </c>
      <c r="N105" s="377"/>
      <c r="O105" s="377"/>
      <c r="P105" s="377"/>
    </row>
    <row r="106" ht="24.0" customHeight="1">
      <c r="A106" s="383">
        <v>46123.0</v>
      </c>
      <c r="B106" s="386" t="s">
        <v>64</v>
      </c>
      <c r="C106" s="385">
        <v>0.4041666666666667</v>
      </c>
      <c r="D106" s="385">
        <v>0.40347222222222223</v>
      </c>
      <c r="E106" s="363" t="str">
        <f t="shared" si="1"/>
        <v>السبت</v>
      </c>
      <c r="F106" s="364">
        <f t="shared" si="2"/>
        <v>4</v>
      </c>
      <c r="G106" s="365">
        <f t="shared" si="3"/>
        <v>-0.01666666667</v>
      </c>
      <c r="H106" s="366"/>
      <c r="I106" s="366"/>
      <c r="J106" s="366"/>
      <c r="K106" s="367" t="str">
        <f t="shared" si="4"/>
        <v>يوم عادي</v>
      </c>
      <c r="L106" s="368">
        <f>(MIN(Attendance!D106, TIME(18, 0, 0)) - Attendance!C106) * 24</f>
        <v>-0.01666666667</v>
      </c>
      <c r="M106" s="369">
        <f t="shared" si="5"/>
        <v>0</v>
      </c>
      <c r="N106" s="369"/>
      <c r="O106" s="369"/>
      <c r="P106" s="369"/>
    </row>
    <row r="107" ht="24.0" customHeight="1">
      <c r="A107" s="383">
        <v>46124.0</v>
      </c>
      <c r="B107" s="386" t="s">
        <v>64</v>
      </c>
      <c r="C107" s="385">
        <v>0.4166666666666667</v>
      </c>
      <c r="D107" s="385">
        <v>0.8777777777777778</v>
      </c>
      <c r="E107" s="363" t="str">
        <f t="shared" si="1"/>
        <v>الأحد</v>
      </c>
      <c r="F107" s="364">
        <f t="shared" si="2"/>
        <v>4</v>
      </c>
      <c r="G107" s="365">
        <f t="shared" si="3"/>
        <v>11.06666667</v>
      </c>
      <c r="H107" s="366"/>
      <c r="I107" s="366"/>
      <c r="J107" s="366"/>
      <c r="K107" s="367" t="str">
        <f t="shared" si="4"/>
        <v>يوم عادي</v>
      </c>
      <c r="L107" s="368">
        <f>(MIN(Attendance!D107, TIME(18, 0, 0)) - Attendance!C107) * 24</f>
        <v>8</v>
      </c>
      <c r="M107" s="369">
        <f t="shared" si="5"/>
        <v>3.066666667</v>
      </c>
      <c r="N107" s="377"/>
      <c r="O107" s="377"/>
      <c r="P107" s="377"/>
    </row>
    <row r="108" ht="24.0" customHeight="1">
      <c r="A108" s="383">
        <v>46125.0</v>
      </c>
      <c r="B108" s="384" t="s">
        <v>64</v>
      </c>
      <c r="C108" s="385">
        <v>0.4097222222222222</v>
      </c>
      <c r="D108" s="385">
        <v>0.925</v>
      </c>
      <c r="E108" s="363" t="str">
        <f t="shared" si="1"/>
        <v>الاثنين</v>
      </c>
      <c r="F108" s="364">
        <f t="shared" si="2"/>
        <v>4</v>
      </c>
      <c r="G108" s="365">
        <f t="shared" si="3"/>
        <v>12.36666667</v>
      </c>
      <c r="H108" s="366"/>
      <c r="I108" s="366"/>
      <c r="J108" s="366"/>
      <c r="K108" s="367" t="str">
        <f t="shared" si="4"/>
        <v>يوم عادي</v>
      </c>
      <c r="L108" s="368">
        <f>(MIN(Attendance!D108, TIME(18, 0, 0)) - Attendance!C108) * 24</f>
        <v>8.166666667</v>
      </c>
      <c r="M108" s="369">
        <f t="shared" si="5"/>
        <v>4.2</v>
      </c>
      <c r="N108" s="369"/>
      <c r="O108" s="369"/>
      <c r="P108" s="369"/>
    </row>
    <row r="109" ht="24.0" customHeight="1">
      <c r="A109" s="383">
        <v>46126.0</v>
      </c>
      <c r="B109" s="384" t="s">
        <v>64</v>
      </c>
      <c r="C109" s="385">
        <v>0.3888888888888889</v>
      </c>
      <c r="D109" s="385">
        <v>0.7819444444444444</v>
      </c>
      <c r="E109" s="363" t="str">
        <f t="shared" si="1"/>
        <v>الثلاثاء</v>
      </c>
      <c r="F109" s="364">
        <f t="shared" si="2"/>
        <v>4</v>
      </c>
      <c r="G109" s="365">
        <f t="shared" si="3"/>
        <v>9.433333333</v>
      </c>
      <c r="H109" s="366"/>
      <c r="I109" s="366"/>
      <c r="J109" s="366"/>
      <c r="K109" s="367" t="str">
        <f t="shared" si="4"/>
        <v>يوم عادي</v>
      </c>
      <c r="L109" s="368">
        <f>(MIN(Attendance!D109, TIME(18, 0, 0)) - Attendance!C109) * 24</f>
        <v>8.666666667</v>
      </c>
      <c r="M109" s="369">
        <f t="shared" si="5"/>
        <v>0.7666666667</v>
      </c>
      <c r="N109" s="377"/>
      <c r="O109" s="377"/>
      <c r="P109" s="377"/>
    </row>
    <row r="110" ht="24.0" customHeight="1">
      <c r="A110" s="383">
        <v>46127.0</v>
      </c>
      <c r="B110" s="384" t="s">
        <v>64</v>
      </c>
      <c r="C110" s="385">
        <v>0.39861111111111114</v>
      </c>
      <c r="D110" s="385">
        <v>0.8777777777777778</v>
      </c>
      <c r="E110" s="363" t="str">
        <f t="shared" si="1"/>
        <v>الأربعاء</v>
      </c>
      <c r="F110" s="364">
        <f t="shared" si="2"/>
        <v>4</v>
      </c>
      <c r="G110" s="365">
        <f t="shared" si="3"/>
        <v>11.5</v>
      </c>
      <c r="H110" s="366"/>
      <c r="I110" s="366"/>
      <c r="J110" s="366"/>
      <c r="K110" s="367" t="str">
        <f t="shared" si="4"/>
        <v>يوم عادي</v>
      </c>
      <c r="L110" s="368">
        <f>(MIN(Attendance!D110, TIME(18, 0, 0)) - Attendance!C110) * 24</f>
        <v>8.433333333</v>
      </c>
      <c r="M110" s="369">
        <f t="shared" si="5"/>
        <v>3.066666667</v>
      </c>
      <c r="N110" s="369"/>
      <c r="O110" s="369"/>
      <c r="P110" s="369"/>
    </row>
    <row r="111" ht="24.0" customHeight="1">
      <c r="A111" s="383">
        <v>46128.0</v>
      </c>
      <c r="B111" s="384" t="s">
        <v>64</v>
      </c>
      <c r="C111" s="385">
        <v>0.3902777777777778</v>
      </c>
      <c r="D111" s="385">
        <v>0.9125</v>
      </c>
      <c r="E111" s="363" t="str">
        <f t="shared" si="1"/>
        <v>الخميس</v>
      </c>
      <c r="F111" s="364">
        <f t="shared" si="2"/>
        <v>4</v>
      </c>
      <c r="G111" s="365">
        <f t="shared" si="3"/>
        <v>12.53333333</v>
      </c>
      <c r="H111" s="366"/>
      <c r="I111" s="366"/>
      <c r="J111" s="366"/>
      <c r="K111" s="367" t="str">
        <f t="shared" si="4"/>
        <v>يوم عادي</v>
      </c>
      <c r="L111" s="368">
        <f>(MIN(Attendance!D111, TIME(18, 0, 0)) - Attendance!C111) * 24</f>
        <v>8.633333333</v>
      </c>
      <c r="M111" s="369">
        <f t="shared" si="5"/>
        <v>3.9</v>
      </c>
      <c r="N111" s="377"/>
      <c r="O111" s="377"/>
      <c r="P111" s="377"/>
    </row>
    <row r="112" ht="24.0" customHeight="1">
      <c r="A112" s="383">
        <v>46129.0</v>
      </c>
      <c r="B112" s="384" t="s">
        <v>64</v>
      </c>
      <c r="C112" s="385">
        <v>0.41458333333333336</v>
      </c>
      <c r="D112" s="385">
        <v>0.7979166666666667</v>
      </c>
      <c r="E112" s="363" t="str">
        <f t="shared" si="1"/>
        <v>الجمعة</v>
      </c>
      <c r="F112" s="364">
        <f t="shared" si="2"/>
        <v>4</v>
      </c>
      <c r="G112" s="365">
        <f t="shared" si="3"/>
        <v>9.2</v>
      </c>
      <c r="H112" s="366"/>
      <c r="I112" s="366"/>
      <c r="J112" s="366"/>
      <c r="K112" s="367" t="str">
        <f t="shared" si="4"/>
        <v>جمعة</v>
      </c>
      <c r="L112" s="368">
        <f>(MIN(Attendance!D112, TIME(18, 0, 0)) - Attendance!C112) * 24</f>
        <v>8.05</v>
      </c>
      <c r="M112" s="369">
        <f t="shared" si="5"/>
        <v>1.15</v>
      </c>
      <c r="N112" s="369"/>
      <c r="O112" s="369"/>
      <c r="P112" s="369"/>
    </row>
    <row r="113" ht="24.0" customHeight="1">
      <c r="A113" s="383">
        <v>46130.0</v>
      </c>
      <c r="B113" s="384" t="s">
        <v>64</v>
      </c>
      <c r="C113" s="385">
        <v>0.53125</v>
      </c>
      <c r="D113" s="385">
        <v>0.8229166666666666</v>
      </c>
      <c r="E113" s="363" t="str">
        <f t="shared" si="1"/>
        <v>السبت</v>
      </c>
      <c r="F113" s="364">
        <f t="shared" si="2"/>
        <v>4</v>
      </c>
      <c r="G113" s="365">
        <f t="shared" si="3"/>
        <v>7</v>
      </c>
      <c r="H113" s="366"/>
      <c r="I113" s="366"/>
      <c r="J113" s="366"/>
      <c r="K113" s="367" t="str">
        <f t="shared" si="4"/>
        <v>يوم عادي</v>
      </c>
      <c r="L113" s="368">
        <f>(MIN(Attendance!D113, TIME(18, 0, 0)) - Attendance!C113) * 24</f>
        <v>5.25</v>
      </c>
      <c r="M113" s="369">
        <f t="shared" si="5"/>
        <v>1.75</v>
      </c>
      <c r="N113" s="377"/>
      <c r="O113" s="377"/>
      <c r="P113" s="377"/>
    </row>
    <row r="114" ht="24.0" customHeight="1">
      <c r="A114" s="383">
        <v>46131.0</v>
      </c>
      <c r="B114" s="384" t="s">
        <v>64</v>
      </c>
      <c r="C114" s="385">
        <v>0.41458333333333336</v>
      </c>
      <c r="D114" s="385">
        <v>0.7847222222222222</v>
      </c>
      <c r="E114" s="363" t="str">
        <f t="shared" si="1"/>
        <v>الأحد</v>
      </c>
      <c r="F114" s="364">
        <f t="shared" si="2"/>
        <v>4</v>
      </c>
      <c r="G114" s="365">
        <f t="shared" si="3"/>
        <v>8.883333333</v>
      </c>
      <c r="H114" s="366"/>
      <c r="I114" s="366"/>
      <c r="J114" s="366"/>
      <c r="K114" s="367" t="str">
        <f t="shared" si="4"/>
        <v>يوم عادي</v>
      </c>
      <c r="L114" s="368">
        <f>(MIN(Attendance!D114, TIME(18, 0, 0)) - Attendance!C114) * 24</f>
        <v>8.05</v>
      </c>
      <c r="M114" s="369">
        <f t="shared" si="5"/>
        <v>0.8333333333</v>
      </c>
      <c r="N114" s="369"/>
      <c r="O114" s="369"/>
      <c r="P114" s="369"/>
    </row>
    <row r="115" ht="24.0" customHeight="1">
      <c r="A115" s="383">
        <v>46132.0</v>
      </c>
      <c r="B115" s="384" t="s">
        <v>64</v>
      </c>
      <c r="C115" s="385">
        <v>0.375</v>
      </c>
      <c r="D115" s="385">
        <v>0.7652777777777777</v>
      </c>
      <c r="E115" s="363" t="str">
        <f t="shared" si="1"/>
        <v>الاثنين</v>
      </c>
      <c r="F115" s="364">
        <f t="shared" si="2"/>
        <v>4</v>
      </c>
      <c r="G115" s="365">
        <f t="shared" si="3"/>
        <v>9.366666667</v>
      </c>
      <c r="H115" s="366"/>
      <c r="I115" s="366"/>
      <c r="J115" s="366"/>
      <c r="K115" s="367" t="str">
        <f t="shared" si="4"/>
        <v>يوم عادي</v>
      </c>
      <c r="L115" s="368">
        <f>(MIN(Attendance!D115, TIME(18, 0, 0)) - Attendance!C115) * 24</f>
        <v>9</v>
      </c>
      <c r="M115" s="369">
        <f t="shared" si="5"/>
        <v>0.3666666667</v>
      </c>
      <c r="N115" s="377"/>
      <c r="O115" s="377"/>
      <c r="P115" s="377"/>
    </row>
    <row r="116" ht="24.0" customHeight="1">
      <c r="A116" s="383">
        <v>46133.0</v>
      </c>
      <c r="B116" s="384" t="s">
        <v>64</v>
      </c>
      <c r="C116" s="385">
        <v>0.39444444444444443</v>
      </c>
      <c r="D116" s="385">
        <v>0.8284722222222223</v>
      </c>
      <c r="E116" s="363" t="str">
        <f t="shared" si="1"/>
        <v>الثلاثاء</v>
      </c>
      <c r="F116" s="364">
        <f t="shared" si="2"/>
        <v>4</v>
      </c>
      <c r="G116" s="365">
        <f t="shared" si="3"/>
        <v>10.41666667</v>
      </c>
      <c r="H116" s="366"/>
      <c r="I116" s="366"/>
      <c r="J116" s="366"/>
      <c r="K116" s="367" t="str">
        <f t="shared" si="4"/>
        <v>يوم عادي</v>
      </c>
      <c r="L116" s="368">
        <f>(MIN(Attendance!D116, TIME(18, 0, 0)) - Attendance!C116) * 24</f>
        <v>8.533333333</v>
      </c>
      <c r="M116" s="369">
        <f t="shared" si="5"/>
        <v>1.883333333</v>
      </c>
      <c r="N116" s="369"/>
      <c r="O116" s="369"/>
      <c r="P116" s="369"/>
    </row>
    <row r="117" ht="24.0" customHeight="1">
      <c r="A117" s="383"/>
      <c r="B117" s="386"/>
      <c r="C117" s="385"/>
      <c r="D117" s="385"/>
      <c r="E117" s="363" t="str">
        <f t="shared" si="1"/>
        <v>السبت</v>
      </c>
      <c r="F117" s="364">
        <f t="shared" si="2"/>
        <v>12</v>
      </c>
      <c r="G117" s="365">
        <f t="shared" si="3"/>
        <v>0</v>
      </c>
      <c r="H117" s="366"/>
      <c r="I117" s="366"/>
      <c r="J117" s="366"/>
      <c r="K117" s="367" t="str">
        <f t="shared" si="4"/>
        <v>يوم عادي</v>
      </c>
      <c r="L117" s="368">
        <f>(MIN(Attendance!D117, TIME(18, 0, 0)) - Attendance!C117) * 24</f>
        <v>18</v>
      </c>
      <c r="M117" s="369">
        <f t="shared" si="5"/>
        <v>-18</v>
      </c>
      <c r="N117" s="377"/>
      <c r="O117" s="377"/>
      <c r="P117" s="377"/>
    </row>
    <row r="118" ht="24.0" customHeight="1">
      <c r="A118" s="387">
        <v>46134.0</v>
      </c>
      <c r="B118" s="388" t="s">
        <v>64</v>
      </c>
      <c r="C118" s="385">
        <v>0.3736111111111111</v>
      </c>
      <c r="D118" s="385">
        <v>0.8208333333333333</v>
      </c>
      <c r="E118" s="363" t="str">
        <f t="shared" si="1"/>
        <v>الأربعاء</v>
      </c>
      <c r="F118" s="364">
        <f t="shared" si="2"/>
        <v>4</v>
      </c>
      <c r="G118" s="365">
        <f t="shared" si="3"/>
        <v>10.73333333</v>
      </c>
      <c r="H118" s="366"/>
      <c r="I118" s="366"/>
      <c r="J118" s="366"/>
      <c r="K118" s="367" t="str">
        <f t="shared" si="4"/>
        <v>يوم عادي</v>
      </c>
      <c r="L118" s="368">
        <f>(MIN(Attendance!D118, TIME(18, 0, 0)) - Attendance!C118) * 24</f>
        <v>9.033333333</v>
      </c>
      <c r="M118" s="369">
        <f t="shared" si="5"/>
        <v>1.7</v>
      </c>
      <c r="N118" s="369"/>
      <c r="O118" s="369"/>
      <c r="P118" s="369"/>
    </row>
    <row r="119" ht="24.0" customHeight="1">
      <c r="A119" s="387">
        <v>46135.0</v>
      </c>
      <c r="B119" s="386" t="s">
        <v>64</v>
      </c>
      <c r="C119" s="385">
        <v>0.4618055555555556</v>
      </c>
      <c r="D119" s="389">
        <v>0.7652777777777777</v>
      </c>
      <c r="E119" s="363" t="str">
        <f t="shared" si="1"/>
        <v>الخميس</v>
      </c>
      <c r="F119" s="364">
        <f t="shared" si="2"/>
        <v>4</v>
      </c>
      <c r="G119" s="365">
        <f t="shared" si="3"/>
        <v>7.283333333</v>
      </c>
      <c r="H119" s="366"/>
      <c r="I119" s="366"/>
      <c r="J119" s="366"/>
      <c r="K119" s="367" t="str">
        <f t="shared" si="4"/>
        <v>يوم عادي</v>
      </c>
      <c r="L119" s="368">
        <f>(MIN(Attendance!D119, TIME(18, 0, 0)) - Attendance!C119) * 24</f>
        <v>6.916666667</v>
      </c>
      <c r="M119" s="369">
        <f t="shared" si="5"/>
        <v>0.3666666667</v>
      </c>
      <c r="N119" s="377"/>
      <c r="O119" s="377"/>
      <c r="P119" s="377"/>
    </row>
    <row r="120" ht="24.0" customHeight="1">
      <c r="A120" s="387">
        <v>46136.0</v>
      </c>
      <c r="B120" s="388" t="s">
        <v>64</v>
      </c>
      <c r="C120" s="385">
        <v>0.3909722222222222</v>
      </c>
      <c r="D120" s="385">
        <v>0.8354166666666667</v>
      </c>
      <c r="E120" s="363" t="str">
        <f t="shared" si="1"/>
        <v>الجمعة</v>
      </c>
      <c r="F120" s="364">
        <f t="shared" si="2"/>
        <v>4</v>
      </c>
      <c r="G120" s="365">
        <f t="shared" si="3"/>
        <v>10.66666667</v>
      </c>
      <c r="H120" s="366"/>
      <c r="I120" s="366"/>
      <c r="J120" s="366"/>
      <c r="K120" s="367" t="str">
        <f t="shared" si="4"/>
        <v>جمعة</v>
      </c>
      <c r="L120" s="368">
        <f>(MIN(Attendance!D120, TIME(18, 0, 0)) - Attendance!C120) * 24</f>
        <v>8.616666667</v>
      </c>
      <c r="M120" s="369">
        <f t="shared" si="5"/>
        <v>2.05</v>
      </c>
      <c r="N120" s="369"/>
      <c r="O120" s="369"/>
      <c r="P120" s="369"/>
    </row>
    <row r="121" ht="24.0" customHeight="1">
      <c r="A121" s="387">
        <v>46137.0</v>
      </c>
      <c r="B121" s="386" t="s">
        <v>64</v>
      </c>
      <c r="C121" s="385">
        <v>0.3798611111111111</v>
      </c>
      <c r="D121" s="385">
        <v>0.7527777777777778</v>
      </c>
      <c r="E121" s="363" t="str">
        <f t="shared" si="1"/>
        <v>السبت</v>
      </c>
      <c r="F121" s="364">
        <f t="shared" si="2"/>
        <v>4</v>
      </c>
      <c r="G121" s="365">
        <f t="shared" si="3"/>
        <v>8.95</v>
      </c>
      <c r="H121" s="366"/>
      <c r="I121" s="366"/>
      <c r="J121" s="366"/>
      <c r="K121" s="367" t="str">
        <f t="shared" si="4"/>
        <v>يوم عادي</v>
      </c>
      <c r="L121" s="368">
        <f>(MIN(Attendance!D121, TIME(18, 0, 0)) - Attendance!C121) * 24</f>
        <v>8.883333333</v>
      </c>
      <c r="M121" s="369">
        <f t="shared" si="5"/>
        <v>0.06666666667</v>
      </c>
      <c r="N121" s="377"/>
      <c r="O121" s="377"/>
      <c r="P121" s="377"/>
    </row>
    <row r="122" ht="24.0" customHeight="1">
      <c r="A122" s="387">
        <v>46138.0</v>
      </c>
      <c r="B122" s="388" t="s">
        <v>64</v>
      </c>
      <c r="C122" s="385">
        <v>0.3333333333333333</v>
      </c>
      <c r="D122" s="385">
        <v>0.8791666666666667</v>
      </c>
      <c r="E122" s="363" t="str">
        <f t="shared" si="1"/>
        <v>الأحد</v>
      </c>
      <c r="F122" s="364">
        <f t="shared" si="2"/>
        <v>4</v>
      </c>
      <c r="G122" s="365">
        <f t="shared" si="3"/>
        <v>13.1</v>
      </c>
      <c r="H122" s="366"/>
      <c r="I122" s="366"/>
      <c r="J122" s="366"/>
      <c r="K122" s="367" t="str">
        <f t="shared" si="4"/>
        <v>يوم عادي</v>
      </c>
      <c r="L122" s="368">
        <f>(MIN(Attendance!D122, TIME(18, 0, 0)) - Attendance!C122) * 24</f>
        <v>10</v>
      </c>
      <c r="M122" s="369">
        <f t="shared" si="5"/>
        <v>3.1</v>
      </c>
      <c r="N122" s="369"/>
      <c r="O122" s="369"/>
      <c r="P122" s="369"/>
    </row>
    <row r="123" ht="24.0" customHeight="1">
      <c r="A123" s="387">
        <v>46139.0</v>
      </c>
      <c r="B123" s="386" t="s">
        <v>64</v>
      </c>
      <c r="C123" s="385">
        <v>0.3416666666666667</v>
      </c>
      <c r="D123" s="385">
        <v>0.8263888888888888</v>
      </c>
      <c r="E123" s="363" t="str">
        <f t="shared" si="1"/>
        <v>الاثنين</v>
      </c>
      <c r="F123" s="364">
        <f t="shared" si="2"/>
        <v>4</v>
      </c>
      <c r="G123" s="365">
        <f t="shared" si="3"/>
        <v>11.63333333</v>
      </c>
      <c r="H123" s="366"/>
      <c r="I123" s="366"/>
      <c r="J123" s="366"/>
      <c r="K123" s="367" t="str">
        <f t="shared" si="4"/>
        <v>يوم عادي</v>
      </c>
      <c r="L123" s="368">
        <f>(MIN(Attendance!D123, TIME(18, 0, 0)) - Attendance!C123) * 24</f>
        <v>9.8</v>
      </c>
      <c r="M123" s="369">
        <f t="shared" si="5"/>
        <v>1.833333333</v>
      </c>
      <c r="N123" s="377"/>
      <c r="O123" s="377"/>
      <c r="P123" s="377"/>
    </row>
    <row r="124" ht="24.0" customHeight="1">
      <c r="A124" s="387">
        <v>46140.0</v>
      </c>
      <c r="B124" s="386" t="s">
        <v>64</v>
      </c>
      <c r="C124" s="385">
        <v>0.42777777777777776</v>
      </c>
      <c r="D124" s="385">
        <v>0.8583333333333333</v>
      </c>
      <c r="E124" s="363" t="str">
        <f t="shared" si="1"/>
        <v>الثلاثاء</v>
      </c>
      <c r="F124" s="364">
        <f t="shared" si="2"/>
        <v>4</v>
      </c>
      <c r="G124" s="365">
        <f t="shared" si="3"/>
        <v>10.33333333</v>
      </c>
      <c r="H124" s="366"/>
      <c r="I124" s="366"/>
      <c r="J124" s="366"/>
      <c r="K124" s="367" t="str">
        <f t="shared" si="4"/>
        <v>يوم عادي</v>
      </c>
      <c r="L124" s="368">
        <f>(MIN(Attendance!D124, TIME(18, 0, 0)) - Attendance!C124) * 24</f>
        <v>7.733333333</v>
      </c>
      <c r="M124" s="369">
        <f t="shared" si="5"/>
        <v>2.6</v>
      </c>
      <c r="N124" s="369"/>
      <c r="O124" s="369"/>
      <c r="P124" s="369"/>
    </row>
    <row r="125" ht="22.5" customHeight="1">
      <c r="A125" s="387">
        <v>46141.0</v>
      </c>
      <c r="B125" s="386" t="s">
        <v>64</v>
      </c>
      <c r="C125" s="385">
        <v>0.39375</v>
      </c>
      <c r="D125" s="385">
        <v>0.9625</v>
      </c>
      <c r="E125" s="363" t="str">
        <f t="shared" si="1"/>
        <v>الأربعاء</v>
      </c>
      <c r="F125" s="364">
        <f t="shared" si="2"/>
        <v>4</v>
      </c>
      <c r="G125" s="365">
        <f t="shared" si="3"/>
        <v>13.65</v>
      </c>
      <c r="H125" s="366"/>
      <c r="I125" s="366"/>
      <c r="J125" s="366"/>
      <c r="K125" s="367" t="str">
        <f t="shared" si="4"/>
        <v>يوم عادي</v>
      </c>
      <c r="L125" s="368">
        <f>(MIN(Attendance!D125, TIME(18, 0, 0)) - Attendance!C125) * 24</f>
        <v>8.55</v>
      </c>
      <c r="M125" s="369">
        <f t="shared" si="5"/>
        <v>5.1</v>
      </c>
      <c r="N125" s="377"/>
      <c r="O125" s="377"/>
      <c r="P125" s="377"/>
    </row>
    <row r="126" ht="22.5" customHeight="1">
      <c r="A126" s="387">
        <v>46142.0</v>
      </c>
      <c r="B126" s="386" t="s">
        <v>64</v>
      </c>
      <c r="C126" s="385">
        <v>0.27847222222222223</v>
      </c>
      <c r="D126" s="385">
        <v>0.7520833333333333</v>
      </c>
      <c r="E126" s="363" t="str">
        <f t="shared" si="1"/>
        <v>الخميس</v>
      </c>
      <c r="F126" s="364">
        <f t="shared" si="2"/>
        <v>4</v>
      </c>
      <c r="G126" s="365">
        <f t="shared" si="3"/>
        <v>11.36666667</v>
      </c>
      <c r="H126" s="366"/>
      <c r="I126" s="366"/>
      <c r="J126" s="366"/>
      <c r="K126" s="367" t="str">
        <f t="shared" si="4"/>
        <v>يوم عادي</v>
      </c>
      <c r="L126" s="368">
        <f>(MIN(Attendance!D126, TIME(18, 0, 0)) - Attendance!C126) * 24</f>
        <v>11.31666667</v>
      </c>
      <c r="M126" s="369">
        <f t="shared" si="5"/>
        <v>0.05</v>
      </c>
      <c r="N126" s="369"/>
      <c r="O126" s="369"/>
      <c r="P126" s="369"/>
    </row>
    <row r="127" ht="22.5" customHeight="1">
      <c r="A127" s="372">
        <v>46130.0</v>
      </c>
      <c r="B127" s="386" t="s">
        <v>1</v>
      </c>
      <c r="C127" s="390">
        <v>0.375</v>
      </c>
      <c r="D127" s="390">
        <v>0.7916666666666666</v>
      </c>
      <c r="E127" s="363" t="str">
        <f t="shared" si="1"/>
        <v>السبت</v>
      </c>
      <c r="F127" s="364">
        <f t="shared" si="2"/>
        <v>4</v>
      </c>
      <c r="G127" s="365">
        <f t="shared" ref="G127:G137" si="6">((D127-C127)*24)*2</f>
        <v>20</v>
      </c>
      <c r="H127" s="366"/>
      <c r="I127" s="366"/>
      <c r="J127" s="366"/>
      <c r="K127" s="367" t="str">
        <f t="shared" si="4"/>
        <v>يوم عادي</v>
      </c>
      <c r="L127" s="368">
        <f>(MIN(Attendance!D127, TIME(18, 0, 0)) - Attendance!C127) * 24</f>
        <v>9</v>
      </c>
      <c r="M127" s="369">
        <f t="shared" si="5"/>
        <v>11</v>
      </c>
      <c r="N127" s="377"/>
      <c r="O127" s="377"/>
      <c r="P127" s="377"/>
    </row>
    <row r="128" ht="22.5" customHeight="1">
      <c r="A128" s="372">
        <v>46131.0</v>
      </c>
      <c r="B128" s="386" t="s">
        <v>1</v>
      </c>
      <c r="C128" s="390">
        <v>0.375</v>
      </c>
      <c r="D128" s="390">
        <v>0.7916666666666666</v>
      </c>
      <c r="E128" s="363" t="str">
        <f t="shared" si="1"/>
        <v>الأحد</v>
      </c>
      <c r="F128" s="364">
        <f t="shared" si="2"/>
        <v>4</v>
      </c>
      <c r="G128" s="365">
        <f t="shared" si="6"/>
        <v>20</v>
      </c>
      <c r="H128" s="366"/>
      <c r="I128" s="366"/>
      <c r="J128" s="366"/>
      <c r="K128" s="367" t="str">
        <f t="shared" si="4"/>
        <v>يوم عادي</v>
      </c>
      <c r="L128" s="368">
        <f>(MIN(Attendance!D128, TIME(18, 0, 0)) - Attendance!C128) * 24</f>
        <v>9</v>
      </c>
      <c r="M128" s="369">
        <f t="shared" si="5"/>
        <v>11</v>
      </c>
      <c r="N128" s="369"/>
      <c r="O128" s="369"/>
      <c r="P128" s="369"/>
    </row>
    <row r="129" ht="22.5" customHeight="1">
      <c r="A129" s="372">
        <v>46132.0</v>
      </c>
      <c r="B129" s="386" t="s">
        <v>1</v>
      </c>
      <c r="C129" s="390">
        <v>0.375</v>
      </c>
      <c r="D129" s="390">
        <v>0.7916666666666666</v>
      </c>
      <c r="E129" s="363" t="str">
        <f t="shared" si="1"/>
        <v>الاثنين</v>
      </c>
      <c r="F129" s="364">
        <f t="shared" si="2"/>
        <v>4</v>
      </c>
      <c r="G129" s="365">
        <f t="shared" si="6"/>
        <v>20</v>
      </c>
      <c r="H129" s="366"/>
      <c r="I129" s="366"/>
      <c r="J129" s="366"/>
      <c r="K129" s="367" t="str">
        <f t="shared" si="4"/>
        <v>يوم عادي</v>
      </c>
      <c r="L129" s="368">
        <f>(MIN(Attendance!D129, TIME(18, 0, 0)) - Attendance!C129) * 24</f>
        <v>9</v>
      </c>
      <c r="M129" s="369">
        <f t="shared" si="5"/>
        <v>11</v>
      </c>
      <c r="N129" s="377"/>
      <c r="O129" s="377"/>
      <c r="P129" s="377"/>
    </row>
    <row r="130" ht="22.5" customHeight="1">
      <c r="A130" s="372">
        <v>46133.0</v>
      </c>
      <c r="B130" s="386" t="s">
        <v>1</v>
      </c>
      <c r="C130" s="390">
        <v>0.375</v>
      </c>
      <c r="D130" s="390">
        <v>0.7916666666666666</v>
      </c>
      <c r="E130" s="363" t="str">
        <f t="shared" si="1"/>
        <v>الثلاثاء</v>
      </c>
      <c r="F130" s="364">
        <f t="shared" si="2"/>
        <v>4</v>
      </c>
      <c r="G130" s="365">
        <f t="shared" si="6"/>
        <v>20</v>
      </c>
      <c r="H130" s="366"/>
      <c r="I130" s="366"/>
      <c r="J130" s="366"/>
      <c r="K130" s="367" t="str">
        <f t="shared" si="4"/>
        <v>يوم عادي</v>
      </c>
      <c r="L130" s="368">
        <f>(MIN(Attendance!D130, TIME(18, 0, 0)) - Attendance!C130) * 24</f>
        <v>9</v>
      </c>
      <c r="M130" s="369">
        <f t="shared" si="5"/>
        <v>11</v>
      </c>
      <c r="N130" s="369"/>
      <c r="O130" s="369"/>
      <c r="P130" s="369"/>
    </row>
    <row r="131" ht="22.5" customHeight="1">
      <c r="A131" s="372">
        <v>46134.0</v>
      </c>
      <c r="B131" s="386" t="s">
        <v>1</v>
      </c>
      <c r="C131" s="390">
        <v>0.375</v>
      </c>
      <c r="D131" s="390">
        <v>0.7916666666666666</v>
      </c>
      <c r="E131" s="363" t="str">
        <f t="shared" si="1"/>
        <v>الأربعاء</v>
      </c>
      <c r="F131" s="364">
        <f t="shared" si="2"/>
        <v>4</v>
      </c>
      <c r="G131" s="365">
        <f t="shared" si="6"/>
        <v>20</v>
      </c>
      <c r="H131" s="366"/>
      <c r="I131" s="366"/>
      <c r="J131" s="366"/>
      <c r="K131" s="367" t="str">
        <f t="shared" si="4"/>
        <v>يوم عادي</v>
      </c>
      <c r="L131" s="368">
        <f>(MIN(Attendance!D131, TIME(18, 0, 0)) - Attendance!C131) * 24</f>
        <v>9</v>
      </c>
      <c r="M131" s="369">
        <f t="shared" si="5"/>
        <v>11</v>
      </c>
      <c r="N131" s="377"/>
      <c r="O131" s="377"/>
      <c r="P131" s="377"/>
    </row>
    <row r="132" ht="22.5" customHeight="1">
      <c r="A132" s="372">
        <v>46135.0</v>
      </c>
      <c r="B132" s="386" t="s">
        <v>1</v>
      </c>
      <c r="C132" s="390">
        <v>0.375</v>
      </c>
      <c r="D132" s="390">
        <v>0.7916666666666666</v>
      </c>
      <c r="E132" s="363" t="str">
        <f t="shared" si="1"/>
        <v>الخميس</v>
      </c>
      <c r="F132" s="364">
        <f t="shared" si="2"/>
        <v>4</v>
      </c>
      <c r="G132" s="365">
        <f t="shared" si="6"/>
        <v>20</v>
      </c>
      <c r="H132" s="366"/>
      <c r="I132" s="366"/>
      <c r="J132" s="366"/>
      <c r="K132" s="367" t="str">
        <f t="shared" si="4"/>
        <v>يوم عادي</v>
      </c>
      <c r="L132" s="368">
        <f>(MIN(Attendance!D132, TIME(18, 0, 0)) - Attendance!C132) * 24</f>
        <v>9</v>
      </c>
      <c r="M132" s="369">
        <f t="shared" si="5"/>
        <v>11</v>
      </c>
      <c r="N132" s="369"/>
      <c r="O132" s="369"/>
      <c r="P132" s="369"/>
    </row>
    <row r="133" ht="22.5" customHeight="1">
      <c r="A133" s="372">
        <v>46136.0</v>
      </c>
      <c r="B133" s="386" t="s">
        <v>1</v>
      </c>
      <c r="C133" s="390">
        <v>0.375</v>
      </c>
      <c r="D133" s="390">
        <v>0.7916666666666666</v>
      </c>
      <c r="E133" s="363" t="str">
        <f t="shared" si="1"/>
        <v>الجمعة</v>
      </c>
      <c r="F133" s="364">
        <f t="shared" si="2"/>
        <v>4</v>
      </c>
      <c r="G133" s="365">
        <f t="shared" si="6"/>
        <v>20</v>
      </c>
      <c r="H133" s="366"/>
      <c r="I133" s="366"/>
      <c r="J133" s="366"/>
      <c r="K133" s="367" t="str">
        <f t="shared" si="4"/>
        <v>جمعة</v>
      </c>
      <c r="L133" s="368">
        <f>(MIN(Attendance!D133, TIME(18, 0, 0)) - Attendance!C133) * 24</f>
        <v>9</v>
      </c>
      <c r="M133" s="369">
        <f t="shared" si="5"/>
        <v>11</v>
      </c>
      <c r="N133" s="377"/>
      <c r="O133" s="377"/>
      <c r="P133" s="377"/>
    </row>
    <row r="134" ht="22.5" customHeight="1">
      <c r="A134" s="372">
        <v>46137.0</v>
      </c>
      <c r="B134" s="386" t="s">
        <v>1</v>
      </c>
      <c r="C134" s="390">
        <v>0.375</v>
      </c>
      <c r="D134" s="390">
        <v>0.7916666666666666</v>
      </c>
      <c r="E134" s="363" t="str">
        <f t="shared" si="1"/>
        <v>السبت</v>
      </c>
      <c r="F134" s="364">
        <f t="shared" si="2"/>
        <v>4</v>
      </c>
      <c r="G134" s="365">
        <f t="shared" si="6"/>
        <v>20</v>
      </c>
      <c r="H134" s="366"/>
      <c r="I134" s="366"/>
      <c r="J134" s="366"/>
      <c r="K134" s="367" t="str">
        <f t="shared" si="4"/>
        <v>يوم عادي</v>
      </c>
      <c r="L134" s="368">
        <f>(MIN(Attendance!D134, TIME(18, 0, 0)) - Attendance!C134) * 24</f>
        <v>9</v>
      </c>
      <c r="M134" s="369">
        <f t="shared" si="5"/>
        <v>11</v>
      </c>
      <c r="N134" s="369"/>
      <c r="O134" s="369"/>
      <c r="P134" s="369"/>
    </row>
    <row r="135" ht="22.5" customHeight="1">
      <c r="A135" s="372">
        <v>46138.0</v>
      </c>
      <c r="B135" s="386" t="s">
        <v>1</v>
      </c>
      <c r="C135" s="390">
        <v>0.375</v>
      </c>
      <c r="D135" s="390">
        <v>0.7916666666666666</v>
      </c>
      <c r="E135" s="363" t="str">
        <f t="shared" si="1"/>
        <v>الأحد</v>
      </c>
      <c r="F135" s="364">
        <f t="shared" si="2"/>
        <v>4</v>
      </c>
      <c r="G135" s="365">
        <f t="shared" si="6"/>
        <v>20</v>
      </c>
      <c r="H135" s="366"/>
      <c r="I135" s="366"/>
      <c r="J135" s="366"/>
      <c r="K135" s="367" t="str">
        <f t="shared" si="4"/>
        <v>يوم عادي</v>
      </c>
      <c r="L135" s="368">
        <f>(MIN(Attendance!D135, TIME(18, 0, 0)) - Attendance!C135) * 24</f>
        <v>9</v>
      </c>
      <c r="M135" s="369">
        <f t="shared" si="5"/>
        <v>11</v>
      </c>
      <c r="N135" s="377"/>
      <c r="O135" s="377"/>
      <c r="P135" s="377"/>
    </row>
    <row r="136" ht="22.5" customHeight="1">
      <c r="A136" s="372">
        <v>46139.0</v>
      </c>
      <c r="B136" s="386" t="s">
        <v>1</v>
      </c>
      <c r="C136" s="390">
        <v>0.375</v>
      </c>
      <c r="D136" s="390">
        <v>0.7916666666666666</v>
      </c>
      <c r="E136" s="363" t="str">
        <f t="shared" si="1"/>
        <v>الاثنين</v>
      </c>
      <c r="F136" s="364">
        <f t="shared" si="2"/>
        <v>4</v>
      </c>
      <c r="G136" s="365">
        <f t="shared" si="6"/>
        <v>20</v>
      </c>
      <c r="H136" s="366"/>
      <c r="I136" s="366"/>
      <c r="J136" s="366"/>
      <c r="K136" s="367" t="str">
        <f t="shared" si="4"/>
        <v>يوم عادي</v>
      </c>
      <c r="L136" s="368">
        <f>(MIN(Attendance!D136, TIME(18, 0, 0)) - Attendance!C136) * 24</f>
        <v>9</v>
      </c>
      <c r="M136" s="369">
        <f t="shared" si="5"/>
        <v>11</v>
      </c>
      <c r="N136" s="369"/>
      <c r="O136" s="369"/>
      <c r="P136" s="369"/>
    </row>
    <row r="137" ht="22.5" customHeight="1">
      <c r="A137" s="372">
        <v>46140.0</v>
      </c>
      <c r="B137" s="386" t="s">
        <v>1</v>
      </c>
      <c r="C137" s="390">
        <v>0.375</v>
      </c>
      <c r="D137" s="390">
        <v>0.7916666666666666</v>
      </c>
      <c r="E137" s="363" t="str">
        <f t="shared" si="1"/>
        <v>الثلاثاء</v>
      </c>
      <c r="F137" s="364">
        <f t="shared" si="2"/>
        <v>4</v>
      </c>
      <c r="G137" s="365">
        <f t="shared" si="6"/>
        <v>20</v>
      </c>
      <c r="H137" s="366"/>
      <c r="I137" s="366"/>
      <c r="J137" s="366"/>
      <c r="K137" s="367" t="str">
        <f t="shared" si="4"/>
        <v>يوم عادي</v>
      </c>
      <c r="L137" s="368">
        <f>(MIN(Attendance!D137, TIME(18, 0, 0)) - Attendance!C137) * 24</f>
        <v>9</v>
      </c>
      <c r="M137" s="369">
        <f t="shared" si="5"/>
        <v>11</v>
      </c>
      <c r="N137" s="377"/>
      <c r="O137" s="377"/>
      <c r="P137" s="377"/>
    </row>
    <row r="138" ht="22.5" customHeight="1">
      <c r="A138" s="372">
        <v>46141.0</v>
      </c>
      <c r="B138" s="386" t="s">
        <v>1</v>
      </c>
      <c r="C138" s="391">
        <v>0.39791666666666664</v>
      </c>
      <c r="D138" s="391">
        <v>0.8659722222222223</v>
      </c>
      <c r="E138" s="363" t="str">
        <f t="shared" si="1"/>
        <v>الأربعاء</v>
      </c>
      <c r="F138" s="364">
        <f t="shared" si="2"/>
        <v>4</v>
      </c>
      <c r="G138" s="365">
        <f t="shared" ref="G138:G139" si="7">(D138-C138)*24</f>
        <v>11.23333333</v>
      </c>
      <c r="H138" s="366"/>
      <c r="I138" s="366"/>
      <c r="J138" s="366"/>
      <c r="K138" s="367" t="str">
        <f t="shared" si="4"/>
        <v>يوم عادي</v>
      </c>
      <c r="L138" s="368">
        <f>(MIN(Attendance!D138, TIME(18, 0, 0)) - Attendance!C138) * 24</f>
        <v>8.45</v>
      </c>
      <c r="M138" s="369">
        <f t="shared" si="5"/>
        <v>2.783333333</v>
      </c>
      <c r="N138" s="369"/>
      <c r="O138" s="369"/>
      <c r="P138" s="369"/>
    </row>
    <row r="139" ht="22.5" customHeight="1">
      <c r="A139" s="372">
        <v>46142.0</v>
      </c>
      <c r="B139" s="386" t="s">
        <v>1</v>
      </c>
      <c r="C139" s="391">
        <v>0.3111111111111111</v>
      </c>
      <c r="D139" s="391">
        <v>0.7618055555555555</v>
      </c>
      <c r="E139" s="363" t="str">
        <f t="shared" si="1"/>
        <v>الخميس</v>
      </c>
      <c r="F139" s="364">
        <f t="shared" si="2"/>
        <v>4</v>
      </c>
      <c r="G139" s="365">
        <f t="shared" si="7"/>
        <v>10.81666667</v>
      </c>
      <c r="H139" s="366"/>
      <c r="I139" s="366"/>
      <c r="J139" s="366"/>
      <c r="K139" s="367" t="str">
        <f t="shared" si="4"/>
        <v>يوم عادي</v>
      </c>
      <c r="L139" s="368">
        <f>(MIN(Attendance!D139, TIME(18, 0, 0)) - Attendance!C139) * 24</f>
        <v>10.53333333</v>
      </c>
      <c r="M139" s="369">
        <f t="shared" si="5"/>
        <v>0.2833333333</v>
      </c>
      <c r="N139" s="377"/>
      <c r="O139" s="377"/>
      <c r="P139" s="377"/>
    </row>
    <row r="140" ht="22.5" customHeight="1">
      <c r="A140" s="392">
        <v>46130.0</v>
      </c>
      <c r="B140" s="361" t="s">
        <v>75</v>
      </c>
      <c r="C140" s="390">
        <v>0.375</v>
      </c>
      <c r="D140" s="390">
        <v>0.7916666666666666</v>
      </c>
      <c r="E140" s="363" t="str">
        <f t="shared" si="1"/>
        <v>السبت</v>
      </c>
      <c r="F140" s="364">
        <f t="shared" si="2"/>
        <v>4</v>
      </c>
      <c r="G140" s="365">
        <f t="shared" ref="G140:G150" si="8">((D140-C140)*24)*2</f>
        <v>20</v>
      </c>
      <c r="H140" s="366"/>
      <c r="I140" s="366"/>
      <c r="J140" s="366"/>
      <c r="K140" s="367" t="str">
        <f t="shared" si="4"/>
        <v>يوم عادي</v>
      </c>
      <c r="L140" s="368">
        <f>(MIN(Attendance!D140, TIME(18, 0, 0)) - Attendance!C140) * 24</f>
        <v>9</v>
      </c>
      <c r="M140" s="369">
        <f t="shared" si="5"/>
        <v>11</v>
      </c>
      <c r="N140" s="369"/>
      <c r="O140" s="369"/>
      <c r="P140" s="369"/>
    </row>
    <row r="141" ht="22.5" customHeight="1">
      <c r="A141" s="392">
        <v>46131.0</v>
      </c>
      <c r="B141" s="361" t="s">
        <v>75</v>
      </c>
      <c r="C141" s="390">
        <v>0.375</v>
      </c>
      <c r="D141" s="390">
        <v>0.7916666666666666</v>
      </c>
      <c r="E141" s="363" t="str">
        <f t="shared" si="1"/>
        <v>الأحد</v>
      </c>
      <c r="F141" s="364">
        <f t="shared" si="2"/>
        <v>4</v>
      </c>
      <c r="G141" s="365">
        <f t="shared" si="8"/>
        <v>20</v>
      </c>
      <c r="H141" s="366"/>
      <c r="I141" s="366"/>
      <c r="J141" s="366"/>
      <c r="K141" s="367" t="str">
        <f t="shared" si="4"/>
        <v>يوم عادي</v>
      </c>
      <c r="L141" s="368">
        <f>(MIN(Attendance!D141, TIME(18, 0, 0)) - Attendance!C141) * 24</f>
        <v>9</v>
      </c>
      <c r="M141" s="369">
        <f t="shared" si="5"/>
        <v>11</v>
      </c>
      <c r="N141" s="377"/>
      <c r="O141" s="377"/>
      <c r="P141" s="377"/>
    </row>
    <row r="142" ht="22.5" customHeight="1">
      <c r="A142" s="392">
        <v>46132.0</v>
      </c>
      <c r="B142" s="361" t="s">
        <v>75</v>
      </c>
      <c r="C142" s="390">
        <v>0.375</v>
      </c>
      <c r="D142" s="390">
        <v>0.7916666666666666</v>
      </c>
      <c r="E142" s="363" t="str">
        <f t="shared" si="1"/>
        <v>الاثنين</v>
      </c>
      <c r="F142" s="364">
        <f t="shared" si="2"/>
        <v>4</v>
      </c>
      <c r="G142" s="365">
        <f t="shared" si="8"/>
        <v>20</v>
      </c>
      <c r="H142" s="366"/>
      <c r="I142" s="366"/>
      <c r="J142" s="366"/>
      <c r="K142" s="367" t="str">
        <f t="shared" si="4"/>
        <v>يوم عادي</v>
      </c>
      <c r="L142" s="368">
        <f>(MIN(Attendance!D142, TIME(18, 0, 0)) - Attendance!C142) * 24</f>
        <v>9</v>
      </c>
      <c r="M142" s="369">
        <f t="shared" si="5"/>
        <v>11</v>
      </c>
      <c r="N142" s="369"/>
      <c r="O142" s="369"/>
      <c r="P142" s="369"/>
    </row>
    <row r="143" ht="22.5" customHeight="1">
      <c r="A143" s="392">
        <v>46133.0</v>
      </c>
      <c r="B143" s="361" t="s">
        <v>75</v>
      </c>
      <c r="C143" s="390">
        <v>0.375</v>
      </c>
      <c r="D143" s="390">
        <v>0.7916666666666666</v>
      </c>
      <c r="E143" s="363" t="str">
        <f t="shared" si="1"/>
        <v>الثلاثاء</v>
      </c>
      <c r="F143" s="364">
        <f t="shared" si="2"/>
        <v>4</v>
      </c>
      <c r="G143" s="365">
        <f t="shared" si="8"/>
        <v>20</v>
      </c>
      <c r="H143" s="366"/>
      <c r="I143" s="366"/>
      <c r="J143" s="366"/>
      <c r="K143" s="367" t="str">
        <f t="shared" si="4"/>
        <v>يوم عادي</v>
      </c>
      <c r="L143" s="368">
        <f>(MIN(Attendance!D143, TIME(18, 0, 0)) - Attendance!C143) * 24</f>
        <v>9</v>
      </c>
      <c r="M143" s="369">
        <f t="shared" si="5"/>
        <v>11</v>
      </c>
      <c r="N143" s="377"/>
      <c r="O143" s="377"/>
      <c r="P143" s="377"/>
    </row>
    <row r="144" ht="22.5" customHeight="1">
      <c r="A144" s="392">
        <v>46134.0</v>
      </c>
      <c r="B144" s="361" t="s">
        <v>75</v>
      </c>
      <c r="C144" s="390">
        <v>0.375</v>
      </c>
      <c r="D144" s="390">
        <v>0.7916666666666666</v>
      </c>
      <c r="E144" s="363" t="str">
        <f t="shared" si="1"/>
        <v>الأربعاء</v>
      </c>
      <c r="F144" s="364">
        <f t="shared" si="2"/>
        <v>4</v>
      </c>
      <c r="G144" s="365">
        <f t="shared" si="8"/>
        <v>20</v>
      </c>
      <c r="H144" s="366"/>
      <c r="I144" s="366"/>
      <c r="J144" s="366"/>
      <c r="K144" s="367" t="str">
        <f t="shared" si="4"/>
        <v>يوم عادي</v>
      </c>
      <c r="L144" s="368">
        <f>(MIN(Attendance!D144, TIME(18, 0, 0)) - Attendance!C144) * 24</f>
        <v>9</v>
      </c>
      <c r="M144" s="369">
        <f t="shared" si="5"/>
        <v>11</v>
      </c>
      <c r="N144" s="369"/>
      <c r="O144" s="369"/>
      <c r="P144" s="369"/>
    </row>
    <row r="145" ht="22.5" customHeight="1">
      <c r="A145" s="392">
        <v>46135.0</v>
      </c>
      <c r="B145" s="361" t="s">
        <v>75</v>
      </c>
      <c r="C145" s="390">
        <v>0.375</v>
      </c>
      <c r="D145" s="390">
        <v>0.7916666666666666</v>
      </c>
      <c r="E145" s="363" t="str">
        <f t="shared" si="1"/>
        <v>الخميس</v>
      </c>
      <c r="F145" s="364">
        <f t="shared" si="2"/>
        <v>4</v>
      </c>
      <c r="G145" s="365">
        <f t="shared" si="8"/>
        <v>20</v>
      </c>
      <c r="H145" s="366"/>
      <c r="I145" s="366"/>
      <c r="J145" s="366"/>
      <c r="K145" s="367" t="str">
        <f t="shared" si="4"/>
        <v>يوم عادي</v>
      </c>
      <c r="L145" s="368">
        <f>(MIN(Attendance!D145, TIME(18, 0, 0)) - Attendance!C145) * 24</f>
        <v>9</v>
      </c>
      <c r="M145" s="369">
        <f t="shared" si="5"/>
        <v>11</v>
      </c>
      <c r="N145" s="377"/>
      <c r="O145" s="377"/>
      <c r="P145" s="377"/>
    </row>
    <row r="146" ht="22.5" customHeight="1">
      <c r="A146" s="392">
        <v>46136.0</v>
      </c>
      <c r="B146" s="361" t="s">
        <v>75</v>
      </c>
      <c r="C146" s="390">
        <v>0.375</v>
      </c>
      <c r="D146" s="390">
        <v>0.7916666666666666</v>
      </c>
      <c r="E146" s="363" t="str">
        <f t="shared" si="1"/>
        <v>الجمعة</v>
      </c>
      <c r="F146" s="364">
        <f t="shared" si="2"/>
        <v>4</v>
      </c>
      <c r="G146" s="365">
        <f t="shared" si="8"/>
        <v>20</v>
      </c>
      <c r="H146" s="366"/>
      <c r="I146" s="366"/>
      <c r="J146" s="366"/>
      <c r="K146" s="367" t="str">
        <f t="shared" si="4"/>
        <v>جمعة</v>
      </c>
      <c r="L146" s="368">
        <f>(MIN(Attendance!D146, TIME(18, 0, 0)) - Attendance!C146) * 24</f>
        <v>9</v>
      </c>
      <c r="M146" s="369">
        <f t="shared" si="5"/>
        <v>11</v>
      </c>
      <c r="N146" s="369"/>
      <c r="O146" s="369"/>
      <c r="P146" s="369"/>
    </row>
    <row r="147" ht="22.5" customHeight="1">
      <c r="A147" s="392">
        <v>46137.0</v>
      </c>
      <c r="B147" s="361" t="s">
        <v>75</v>
      </c>
      <c r="C147" s="390">
        <v>0.375</v>
      </c>
      <c r="D147" s="390">
        <v>0.7916666666666666</v>
      </c>
      <c r="E147" s="363" t="str">
        <f t="shared" si="1"/>
        <v>السبت</v>
      </c>
      <c r="F147" s="364">
        <f t="shared" si="2"/>
        <v>4</v>
      </c>
      <c r="G147" s="365">
        <f t="shared" si="8"/>
        <v>20</v>
      </c>
      <c r="H147" s="366"/>
      <c r="I147" s="366"/>
      <c r="J147" s="366"/>
      <c r="K147" s="367" t="str">
        <f t="shared" si="4"/>
        <v>يوم عادي</v>
      </c>
      <c r="L147" s="368">
        <f>(MIN(Attendance!D147, TIME(18, 0, 0)) - Attendance!C147) * 24</f>
        <v>9</v>
      </c>
      <c r="M147" s="369">
        <f t="shared" si="5"/>
        <v>11</v>
      </c>
      <c r="N147" s="377"/>
      <c r="O147" s="377"/>
      <c r="P147" s="377"/>
    </row>
    <row r="148" ht="22.5" customHeight="1">
      <c r="A148" s="392">
        <v>46138.0</v>
      </c>
      <c r="B148" s="361" t="s">
        <v>75</v>
      </c>
      <c r="C148" s="390">
        <v>0.375</v>
      </c>
      <c r="D148" s="390">
        <v>0.7916666666666666</v>
      </c>
      <c r="E148" s="363" t="str">
        <f t="shared" si="1"/>
        <v>الأحد</v>
      </c>
      <c r="F148" s="364">
        <f t="shared" si="2"/>
        <v>4</v>
      </c>
      <c r="G148" s="365">
        <f t="shared" si="8"/>
        <v>20</v>
      </c>
      <c r="H148" s="366"/>
      <c r="I148" s="366"/>
      <c r="J148" s="366"/>
      <c r="K148" s="367" t="str">
        <f t="shared" si="4"/>
        <v>يوم عادي</v>
      </c>
      <c r="L148" s="368">
        <f>(MIN(Attendance!D148, TIME(18, 0, 0)) - Attendance!C148) * 24</f>
        <v>9</v>
      </c>
      <c r="M148" s="369">
        <f t="shared" si="5"/>
        <v>11</v>
      </c>
      <c r="N148" s="369"/>
      <c r="O148" s="369"/>
      <c r="P148" s="369"/>
    </row>
    <row r="149" ht="22.5" customHeight="1">
      <c r="A149" s="392">
        <v>46139.0</v>
      </c>
      <c r="B149" s="361" t="s">
        <v>75</v>
      </c>
      <c r="C149" s="390">
        <v>0.375</v>
      </c>
      <c r="D149" s="390">
        <v>0.7916666666666666</v>
      </c>
      <c r="E149" s="363" t="str">
        <f t="shared" si="1"/>
        <v>الاثنين</v>
      </c>
      <c r="F149" s="364">
        <f t="shared" si="2"/>
        <v>4</v>
      </c>
      <c r="G149" s="365">
        <f t="shared" si="8"/>
        <v>20</v>
      </c>
      <c r="H149" s="366"/>
      <c r="I149" s="366"/>
      <c r="J149" s="366"/>
      <c r="K149" s="367" t="str">
        <f t="shared" si="4"/>
        <v>يوم عادي</v>
      </c>
      <c r="L149" s="368">
        <f>(MIN(Attendance!D149, TIME(18, 0, 0)) - Attendance!C149) * 24</f>
        <v>9</v>
      </c>
      <c r="M149" s="369">
        <f t="shared" si="5"/>
        <v>11</v>
      </c>
      <c r="N149" s="377"/>
      <c r="O149" s="377"/>
      <c r="P149" s="377"/>
    </row>
    <row r="150" ht="22.5" customHeight="1">
      <c r="A150" s="392">
        <v>46140.0</v>
      </c>
      <c r="B150" s="361" t="s">
        <v>75</v>
      </c>
      <c r="C150" s="390">
        <v>0.375</v>
      </c>
      <c r="D150" s="390">
        <v>0.7916666666666666</v>
      </c>
      <c r="E150" s="363" t="str">
        <f t="shared" si="1"/>
        <v>الثلاثاء</v>
      </c>
      <c r="F150" s="364">
        <f t="shared" si="2"/>
        <v>4</v>
      </c>
      <c r="G150" s="365">
        <f t="shared" si="8"/>
        <v>20</v>
      </c>
      <c r="H150" s="366"/>
      <c r="I150" s="366"/>
      <c r="J150" s="366"/>
      <c r="K150" s="367" t="str">
        <f t="shared" si="4"/>
        <v>يوم عادي</v>
      </c>
      <c r="L150" s="368">
        <f>(MIN(Attendance!D150, TIME(18, 0, 0)) - Attendance!C150) * 24</f>
        <v>9</v>
      </c>
      <c r="M150" s="369">
        <f t="shared" si="5"/>
        <v>11</v>
      </c>
      <c r="N150" s="369"/>
      <c r="O150" s="369"/>
      <c r="P150" s="369"/>
    </row>
    <row r="151" ht="22.5" customHeight="1">
      <c r="A151" s="392">
        <v>46141.0</v>
      </c>
      <c r="B151" s="361" t="s">
        <v>75</v>
      </c>
      <c r="C151" s="393">
        <v>0.38958333333333334</v>
      </c>
      <c r="D151" s="393">
        <v>0.9618055555555556</v>
      </c>
      <c r="E151" s="363" t="str">
        <f t="shared" si="1"/>
        <v>الأربعاء</v>
      </c>
      <c r="F151" s="364">
        <f t="shared" si="2"/>
        <v>4</v>
      </c>
      <c r="G151" s="365">
        <f t="shared" ref="G151:G410" si="9">(D151-C151)*24</f>
        <v>13.73333333</v>
      </c>
      <c r="H151" s="366"/>
      <c r="I151" s="366"/>
      <c r="J151" s="366"/>
      <c r="K151" s="367" t="str">
        <f t="shared" si="4"/>
        <v>يوم عادي</v>
      </c>
      <c r="L151" s="368">
        <f>(MIN(Attendance!D151, TIME(18, 0, 0)) - Attendance!C151) * 24</f>
        <v>8.65</v>
      </c>
      <c r="M151" s="369">
        <f t="shared" si="5"/>
        <v>5.083333333</v>
      </c>
      <c r="N151" s="377"/>
      <c r="O151" s="377"/>
      <c r="P151" s="377"/>
    </row>
    <row r="152" ht="22.5" customHeight="1">
      <c r="A152" s="392">
        <v>46142.0</v>
      </c>
      <c r="B152" s="361" t="s">
        <v>75</v>
      </c>
      <c r="C152" s="393">
        <v>0.26944444444444443</v>
      </c>
      <c r="D152" s="393">
        <v>0.7520833333333333</v>
      </c>
      <c r="E152" s="363" t="str">
        <f t="shared" si="1"/>
        <v>الخميس</v>
      </c>
      <c r="F152" s="364">
        <f t="shared" si="2"/>
        <v>4</v>
      </c>
      <c r="G152" s="365">
        <f t="shared" si="9"/>
        <v>11.58333333</v>
      </c>
      <c r="H152" s="366"/>
      <c r="I152" s="366"/>
      <c r="J152" s="366"/>
      <c r="K152" s="367" t="str">
        <f t="shared" si="4"/>
        <v>يوم عادي</v>
      </c>
      <c r="L152" s="368">
        <f>(MIN(Attendance!D152, TIME(18, 0, 0)) - Attendance!C152) * 24</f>
        <v>11.53333333</v>
      </c>
      <c r="M152" s="369">
        <f t="shared" si="5"/>
        <v>0.05</v>
      </c>
      <c r="N152" s="369"/>
      <c r="O152" s="369"/>
      <c r="P152" s="369"/>
    </row>
    <row r="153" ht="22.5" customHeight="1">
      <c r="A153" s="394"/>
      <c r="B153" s="395"/>
      <c r="C153" s="396"/>
      <c r="D153" s="396"/>
      <c r="E153" s="363" t="str">
        <f t="shared" si="1"/>
        <v>السبت</v>
      </c>
      <c r="F153" s="364">
        <f t="shared" si="2"/>
        <v>12</v>
      </c>
      <c r="G153" s="365">
        <f t="shared" si="9"/>
        <v>0</v>
      </c>
      <c r="H153" s="366"/>
      <c r="I153" s="366"/>
      <c r="J153" s="366"/>
      <c r="K153" s="367" t="str">
        <f t="shared" si="4"/>
        <v>يوم عادي</v>
      </c>
      <c r="L153" s="368">
        <f>(MIN(Attendance!D153, TIME(18, 0, 0)) - Attendance!C153) * 24</f>
        <v>18</v>
      </c>
      <c r="M153" s="369">
        <f t="shared" si="5"/>
        <v>-18</v>
      </c>
      <c r="N153" s="377"/>
      <c r="O153" s="377"/>
      <c r="P153" s="377"/>
    </row>
    <row r="154" ht="22.5" customHeight="1">
      <c r="A154" s="394"/>
      <c r="B154" s="395"/>
      <c r="C154" s="396"/>
      <c r="D154" s="396"/>
      <c r="E154" s="363" t="str">
        <f t="shared" si="1"/>
        <v>السبت</v>
      </c>
      <c r="F154" s="364">
        <f t="shared" si="2"/>
        <v>12</v>
      </c>
      <c r="G154" s="365">
        <f t="shared" si="9"/>
        <v>0</v>
      </c>
      <c r="H154" s="366"/>
      <c r="I154" s="366"/>
      <c r="J154" s="366"/>
      <c r="K154" s="367" t="str">
        <f t="shared" si="4"/>
        <v>يوم عادي</v>
      </c>
      <c r="L154" s="368">
        <f>(MIN(Attendance!D154, TIME(18, 0, 0)) - Attendance!C154) * 24</f>
        <v>18</v>
      </c>
      <c r="M154" s="369">
        <f t="shared" si="5"/>
        <v>-18</v>
      </c>
      <c r="N154" s="369"/>
      <c r="O154" s="369"/>
      <c r="P154" s="369"/>
    </row>
    <row r="155" ht="22.5" customHeight="1">
      <c r="A155" s="394"/>
      <c r="B155" s="395"/>
      <c r="C155" s="396"/>
      <c r="D155" s="396"/>
      <c r="E155" s="363" t="str">
        <f t="shared" si="1"/>
        <v>السبت</v>
      </c>
      <c r="F155" s="364">
        <f t="shared" si="2"/>
        <v>12</v>
      </c>
      <c r="G155" s="365">
        <f t="shared" si="9"/>
        <v>0</v>
      </c>
      <c r="H155" s="366"/>
      <c r="I155" s="366"/>
      <c r="J155" s="366"/>
      <c r="K155" s="367" t="str">
        <f t="shared" si="4"/>
        <v>يوم عادي</v>
      </c>
      <c r="L155" s="368">
        <f>(MIN(Attendance!D155, TIME(18, 0, 0)) - Attendance!C155) * 24</f>
        <v>18</v>
      </c>
      <c r="M155" s="369">
        <f t="shared" si="5"/>
        <v>-18</v>
      </c>
      <c r="N155" s="377"/>
      <c r="O155" s="377"/>
      <c r="P155" s="377"/>
    </row>
    <row r="156" ht="22.5" customHeight="1">
      <c r="A156" s="394"/>
      <c r="B156" s="395"/>
      <c r="C156" s="396"/>
      <c r="D156" s="396"/>
      <c r="E156" s="363" t="str">
        <f t="shared" si="1"/>
        <v>السبت</v>
      </c>
      <c r="F156" s="364">
        <f t="shared" si="2"/>
        <v>12</v>
      </c>
      <c r="G156" s="365">
        <f t="shared" si="9"/>
        <v>0</v>
      </c>
      <c r="H156" s="366"/>
      <c r="I156" s="366"/>
      <c r="J156" s="366"/>
      <c r="K156" s="367" t="str">
        <f t="shared" si="4"/>
        <v>يوم عادي</v>
      </c>
      <c r="L156" s="368">
        <f>(MIN(Attendance!D156, TIME(18, 0, 0)) - Attendance!C156) * 24</f>
        <v>18</v>
      </c>
      <c r="M156" s="369">
        <f t="shared" si="5"/>
        <v>-18</v>
      </c>
      <c r="N156" s="369"/>
      <c r="O156" s="369"/>
      <c r="P156" s="369"/>
    </row>
    <row r="157" ht="22.5" customHeight="1">
      <c r="A157" s="394"/>
      <c r="B157" s="395"/>
      <c r="C157" s="396"/>
      <c r="D157" s="396"/>
      <c r="E157" s="363" t="str">
        <f t="shared" si="1"/>
        <v>السبت</v>
      </c>
      <c r="F157" s="364">
        <f t="shared" si="2"/>
        <v>12</v>
      </c>
      <c r="G157" s="365">
        <f t="shared" si="9"/>
        <v>0</v>
      </c>
      <c r="H157" s="366"/>
      <c r="I157" s="366"/>
      <c r="J157" s="366"/>
      <c r="K157" s="367" t="str">
        <f t="shared" si="4"/>
        <v>يوم عادي</v>
      </c>
      <c r="L157" s="368">
        <f>(MIN(Attendance!D157, TIME(18, 0, 0)) - Attendance!C157) * 24</f>
        <v>18</v>
      </c>
      <c r="M157" s="369">
        <f t="shared" si="5"/>
        <v>-18</v>
      </c>
      <c r="N157" s="377"/>
      <c r="O157" s="377"/>
      <c r="P157" s="377"/>
    </row>
    <row r="158" ht="22.5" customHeight="1">
      <c r="A158" s="394"/>
      <c r="B158" s="395"/>
      <c r="C158" s="396"/>
      <c r="D158" s="396"/>
      <c r="E158" s="363" t="str">
        <f t="shared" si="1"/>
        <v>السبت</v>
      </c>
      <c r="F158" s="364">
        <f t="shared" si="2"/>
        <v>12</v>
      </c>
      <c r="G158" s="365">
        <f t="shared" si="9"/>
        <v>0</v>
      </c>
      <c r="H158" s="366"/>
      <c r="I158" s="366"/>
      <c r="J158" s="366"/>
      <c r="K158" s="367" t="str">
        <f t="shared" si="4"/>
        <v>يوم عادي</v>
      </c>
      <c r="L158" s="368">
        <f>(MIN(Attendance!D158, TIME(18, 0, 0)) - Attendance!C158) * 24</f>
        <v>18</v>
      </c>
      <c r="M158" s="369">
        <f t="shared" si="5"/>
        <v>-18</v>
      </c>
      <c r="N158" s="369"/>
      <c r="O158" s="369"/>
      <c r="P158" s="369"/>
    </row>
    <row r="159" ht="22.5" customHeight="1">
      <c r="A159" s="394"/>
      <c r="B159" s="395"/>
      <c r="C159" s="396"/>
      <c r="D159" s="396"/>
      <c r="E159" s="363" t="str">
        <f t="shared" si="1"/>
        <v>السبت</v>
      </c>
      <c r="F159" s="364">
        <f t="shared" si="2"/>
        <v>12</v>
      </c>
      <c r="G159" s="365">
        <f t="shared" si="9"/>
        <v>0</v>
      </c>
      <c r="H159" s="366"/>
      <c r="I159" s="366"/>
      <c r="J159" s="366"/>
      <c r="K159" s="367" t="str">
        <f t="shared" si="4"/>
        <v>يوم عادي</v>
      </c>
      <c r="L159" s="368">
        <f>(MIN(Attendance!D159, TIME(18, 0, 0)) - Attendance!C159) * 24</f>
        <v>18</v>
      </c>
      <c r="M159" s="369">
        <f t="shared" si="5"/>
        <v>-18</v>
      </c>
      <c r="N159" s="377"/>
      <c r="O159" s="377"/>
      <c r="P159" s="377"/>
    </row>
    <row r="160" ht="22.5" customHeight="1">
      <c r="A160" s="394"/>
      <c r="B160" s="395"/>
      <c r="C160" s="396"/>
      <c r="D160" s="396"/>
      <c r="E160" s="363" t="str">
        <f t="shared" si="1"/>
        <v>السبت</v>
      </c>
      <c r="F160" s="364">
        <f t="shared" si="2"/>
        <v>12</v>
      </c>
      <c r="G160" s="365">
        <f t="shared" si="9"/>
        <v>0</v>
      </c>
      <c r="H160" s="366"/>
      <c r="I160" s="366"/>
      <c r="J160" s="366"/>
      <c r="K160" s="367" t="str">
        <f t="shared" si="4"/>
        <v>يوم عادي</v>
      </c>
      <c r="L160" s="368">
        <f>(MIN(Attendance!D160, TIME(18, 0, 0)) - Attendance!C160) * 24</f>
        <v>18</v>
      </c>
      <c r="M160" s="369">
        <f t="shared" si="5"/>
        <v>-18</v>
      </c>
      <c r="N160" s="369"/>
      <c r="O160" s="369"/>
      <c r="P160" s="369"/>
    </row>
    <row r="161" ht="22.5" customHeight="1">
      <c r="A161" s="394"/>
      <c r="B161" s="395"/>
      <c r="C161" s="396"/>
      <c r="D161" s="396"/>
      <c r="E161" s="363" t="str">
        <f t="shared" si="1"/>
        <v>السبت</v>
      </c>
      <c r="F161" s="364">
        <f t="shared" si="2"/>
        <v>12</v>
      </c>
      <c r="G161" s="365">
        <f t="shared" si="9"/>
        <v>0</v>
      </c>
      <c r="H161" s="366"/>
      <c r="I161" s="366"/>
      <c r="J161" s="366"/>
      <c r="K161" s="367" t="str">
        <f t="shared" si="4"/>
        <v>يوم عادي</v>
      </c>
      <c r="L161" s="368">
        <f>(MIN(Attendance!D161, TIME(18, 0, 0)) - Attendance!C161) * 24</f>
        <v>18</v>
      </c>
      <c r="M161" s="369">
        <f t="shared" si="5"/>
        <v>-18</v>
      </c>
      <c r="N161" s="377"/>
      <c r="O161" s="377"/>
      <c r="P161" s="377"/>
    </row>
    <row r="162" ht="22.5" customHeight="1">
      <c r="A162" s="394"/>
      <c r="B162" s="395"/>
      <c r="C162" s="396"/>
      <c r="D162" s="396"/>
      <c r="E162" s="363" t="str">
        <f t="shared" si="1"/>
        <v>السبت</v>
      </c>
      <c r="F162" s="364">
        <f t="shared" si="2"/>
        <v>12</v>
      </c>
      <c r="G162" s="365">
        <f t="shared" si="9"/>
        <v>0</v>
      </c>
      <c r="H162" s="366"/>
      <c r="I162" s="366"/>
      <c r="J162" s="366"/>
      <c r="K162" s="367" t="str">
        <f t="shared" si="4"/>
        <v>يوم عادي</v>
      </c>
      <c r="L162" s="368">
        <f>(MIN(Attendance!D162, TIME(18, 0, 0)) - Attendance!C162) * 24</f>
        <v>18</v>
      </c>
      <c r="M162" s="369">
        <f t="shared" si="5"/>
        <v>-18</v>
      </c>
      <c r="N162" s="369"/>
      <c r="O162" s="369"/>
      <c r="P162" s="369"/>
    </row>
    <row r="163" ht="22.5" customHeight="1">
      <c r="A163" s="394"/>
      <c r="B163" s="395"/>
      <c r="C163" s="396"/>
      <c r="D163" s="396"/>
      <c r="E163" s="363" t="str">
        <f t="shared" si="1"/>
        <v>السبت</v>
      </c>
      <c r="F163" s="364">
        <f t="shared" si="2"/>
        <v>12</v>
      </c>
      <c r="G163" s="365">
        <f t="shared" si="9"/>
        <v>0</v>
      </c>
      <c r="H163" s="366"/>
      <c r="I163" s="366"/>
      <c r="J163" s="366"/>
      <c r="K163" s="367" t="str">
        <f t="shared" si="4"/>
        <v>يوم عادي</v>
      </c>
      <c r="L163" s="368">
        <f>(MIN(Attendance!D163, TIME(18, 0, 0)) - Attendance!C163) * 24</f>
        <v>18</v>
      </c>
      <c r="M163" s="369">
        <f t="shared" si="5"/>
        <v>-18</v>
      </c>
      <c r="N163" s="377"/>
      <c r="O163" s="377"/>
      <c r="P163" s="377"/>
    </row>
    <row r="164" ht="22.5" customHeight="1">
      <c r="A164" s="394"/>
      <c r="B164" s="395"/>
      <c r="C164" s="396"/>
      <c r="D164" s="396"/>
      <c r="E164" s="363" t="str">
        <f t="shared" si="1"/>
        <v>السبت</v>
      </c>
      <c r="F164" s="364">
        <f t="shared" si="2"/>
        <v>12</v>
      </c>
      <c r="G164" s="365">
        <f t="shared" si="9"/>
        <v>0</v>
      </c>
      <c r="H164" s="366"/>
      <c r="I164" s="366"/>
      <c r="J164" s="366"/>
      <c r="K164" s="367" t="str">
        <f t="shared" si="4"/>
        <v>يوم عادي</v>
      </c>
      <c r="L164" s="368">
        <f>(MIN(Attendance!D164, TIME(18, 0, 0)) - Attendance!C164) * 24</f>
        <v>18</v>
      </c>
      <c r="M164" s="369">
        <f t="shared" si="5"/>
        <v>-18</v>
      </c>
      <c r="N164" s="369"/>
      <c r="O164" s="369"/>
      <c r="P164" s="369"/>
    </row>
    <row r="165" ht="22.5" customHeight="1">
      <c r="A165" s="394"/>
      <c r="B165" s="395"/>
      <c r="C165" s="396"/>
      <c r="D165" s="396"/>
      <c r="E165" s="363" t="str">
        <f t="shared" si="1"/>
        <v>السبت</v>
      </c>
      <c r="F165" s="364">
        <f t="shared" si="2"/>
        <v>12</v>
      </c>
      <c r="G165" s="365">
        <f t="shared" si="9"/>
        <v>0</v>
      </c>
      <c r="H165" s="366"/>
      <c r="I165" s="366"/>
      <c r="J165" s="366"/>
      <c r="K165" s="367" t="str">
        <f t="shared" si="4"/>
        <v>يوم عادي</v>
      </c>
      <c r="L165" s="368">
        <f>(MIN(Attendance!D165, TIME(18, 0, 0)) - Attendance!C165) * 24</f>
        <v>18</v>
      </c>
      <c r="M165" s="369">
        <f t="shared" si="5"/>
        <v>-18</v>
      </c>
      <c r="N165" s="377"/>
      <c r="O165" s="377"/>
      <c r="P165" s="377"/>
    </row>
    <row r="166" ht="22.5" customHeight="1">
      <c r="A166" s="394"/>
      <c r="B166" s="395"/>
      <c r="C166" s="396"/>
      <c r="D166" s="396"/>
      <c r="E166" s="363" t="str">
        <f t="shared" si="1"/>
        <v>السبت</v>
      </c>
      <c r="F166" s="364">
        <f t="shared" si="2"/>
        <v>12</v>
      </c>
      <c r="G166" s="365">
        <f t="shared" si="9"/>
        <v>0</v>
      </c>
      <c r="H166" s="366"/>
      <c r="I166" s="366"/>
      <c r="J166" s="366"/>
      <c r="K166" s="367" t="str">
        <f t="shared" si="4"/>
        <v>يوم عادي</v>
      </c>
      <c r="L166" s="368">
        <f>(MIN(Attendance!D166, TIME(18, 0, 0)) - Attendance!C166) * 24</f>
        <v>18</v>
      </c>
      <c r="M166" s="369">
        <f t="shared" si="5"/>
        <v>-18</v>
      </c>
      <c r="N166" s="369"/>
      <c r="O166" s="369"/>
      <c r="P166" s="369"/>
    </row>
    <row r="167" ht="22.5" customHeight="1">
      <c r="A167" s="394"/>
      <c r="B167" s="395"/>
      <c r="C167" s="396"/>
      <c r="D167" s="396"/>
      <c r="E167" s="363" t="str">
        <f t="shared" si="1"/>
        <v>السبت</v>
      </c>
      <c r="F167" s="364">
        <f t="shared" si="2"/>
        <v>12</v>
      </c>
      <c r="G167" s="365">
        <f t="shared" si="9"/>
        <v>0</v>
      </c>
      <c r="H167" s="366"/>
      <c r="I167" s="366"/>
      <c r="J167" s="366"/>
      <c r="K167" s="367" t="str">
        <f t="shared" si="4"/>
        <v>يوم عادي</v>
      </c>
      <c r="L167" s="368">
        <f>(MIN(Attendance!D167, TIME(18, 0, 0)) - Attendance!C167) * 24</f>
        <v>18</v>
      </c>
      <c r="M167" s="369">
        <f t="shared" si="5"/>
        <v>-18</v>
      </c>
      <c r="N167" s="377"/>
      <c r="O167" s="377"/>
      <c r="P167" s="377"/>
    </row>
    <row r="168" ht="22.5" customHeight="1">
      <c r="A168" s="394"/>
      <c r="B168" s="395"/>
      <c r="C168" s="396"/>
      <c r="D168" s="396"/>
      <c r="E168" s="363" t="str">
        <f t="shared" si="1"/>
        <v>السبت</v>
      </c>
      <c r="F168" s="364">
        <f t="shared" si="2"/>
        <v>12</v>
      </c>
      <c r="G168" s="365">
        <f t="shared" si="9"/>
        <v>0</v>
      </c>
      <c r="H168" s="366"/>
      <c r="I168" s="366"/>
      <c r="J168" s="366"/>
      <c r="K168" s="367" t="str">
        <f t="shared" si="4"/>
        <v>يوم عادي</v>
      </c>
      <c r="L168" s="368">
        <f>(MIN(Attendance!D168, TIME(18, 0, 0)) - Attendance!C168) * 24</f>
        <v>18</v>
      </c>
      <c r="M168" s="369">
        <f t="shared" si="5"/>
        <v>-18</v>
      </c>
      <c r="N168" s="369"/>
      <c r="O168" s="369"/>
      <c r="P168" s="369"/>
    </row>
    <row r="169" ht="22.5" customHeight="1">
      <c r="A169" s="394"/>
      <c r="B169" s="395"/>
      <c r="C169" s="396"/>
      <c r="D169" s="396"/>
      <c r="E169" s="363" t="str">
        <f t="shared" si="1"/>
        <v>السبت</v>
      </c>
      <c r="F169" s="364">
        <f t="shared" si="2"/>
        <v>12</v>
      </c>
      <c r="G169" s="365">
        <f t="shared" si="9"/>
        <v>0</v>
      </c>
      <c r="H169" s="366"/>
      <c r="I169" s="366"/>
      <c r="J169" s="366"/>
      <c r="K169" s="367" t="str">
        <f t="shared" si="4"/>
        <v>يوم عادي</v>
      </c>
      <c r="L169" s="368">
        <f>(MIN(Attendance!D169, TIME(18, 0, 0)) - Attendance!C169) * 24</f>
        <v>18</v>
      </c>
      <c r="M169" s="369">
        <f t="shared" si="5"/>
        <v>-18</v>
      </c>
      <c r="N169" s="377"/>
      <c r="O169" s="377"/>
      <c r="P169" s="377"/>
    </row>
    <row r="170" ht="22.5" customHeight="1">
      <c r="A170" s="394"/>
      <c r="B170" s="395"/>
      <c r="C170" s="396"/>
      <c r="D170" s="396"/>
      <c r="E170" s="363" t="str">
        <f t="shared" si="1"/>
        <v>السبت</v>
      </c>
      <c r="F170" s="364">
        <f t="shared" si="2"/>
        <v>12</v>
      </c>
      <c r="G170" s="365">
        <f t="shared" si="9"/>
        <v>0</v>
      </c>
      <c r="H170" s="366"/>
      <c r="I170" s="366"/>
      <c r="J170" s="366"/>
      <c r="K170" s="367" t="str">
        <f t="shared" si="4"/>
        <v>يوم عادي</v>
      </c>
      <c r="L170" s="368">
        <f>(MIN(Attendance!D170, TIME(18, 0, 0)) - Attendance!C170) * 24</f>
        <v>18</v>
      </c>
      <c r="M170" s="369">
        <f t="shared" si="5"/>
        <v>-18</v>
      </c>
      <c r="N170" s="369"/>
      <c r="O170" s="369"/>
      <c r="P170" s="369"/>
    </row>
    <row r="171" ht="22.5" customHeight="1">
      <c r="A171" s="394"/>
      <c r="B171" s="395"/>
      <c r="C171" s="396"/>
      <c r="D171" s="396"/>
      <c r="E171" s="363" t="str">
        <f t="shared" si="1"/>
        <v>السبت</v>
      </c>
      <c r="F171" s="364">
        <f t="shared" si="2"/>
        <v>12</v>
      </c>
      <c r="G171" s="365">
        <f t="shared" si="9"/>
        <v>0</v>
      </c>
      <c r="H171" s="366"/>
      <c r="I171" s="366"/>
      <c r="J171" s="366"/>
      <c r="K171" s="367" t="str">
        <f t="shared" si="4"/>
        <v>يوم عادي</v>
      </c>
      <c r="L171" s="368">
        <f>(MIN(Attendance!D171, TIME(18, 0, 0)) - Attendance!C171) * 24</f>
        <v>18</v>
      </c>
      <c r="M171" s="369">
        <f t="shared" si="5"/>
        <v>-18</v>
      </c>
      <c r="N171" s="377"/>
      <c r="O171" s="377"/>
      <c r="P171" s="377"/>
    </row>
    <row r="172" ht="22.5" customHeight="1">
      <c r="A172" s="394"/>
      <c r="B172" s="395"/>
      <c r="C172" s="396"/>
      <c r="D172" s="396"/>
      <c r="E172" s="363" t="str">
        <f t="shared" si="1"/>
        <v>السبت</v>
      </c>
      <c r="F172" s="364">
        <f t="shared" si="2"/>
        <v>12</v>
      </c>
      <c r="G172" s="365">
        <f t="shared" si="9"/>
        <v>0</v>
      </c>
      <c r="H172" s="366"/>
      <c r="I172" s="366"/>
      <c r="J172" s="366"/>
      <c r="K172" s="367" t="str">
        <f t="shared" si="4"/>
        <v>يوم عادي</v>
      </c>
      <c r="L172" s="368">
        <f>(MIN(Attendance!D172, TIME(18, 0, 0)) - Attendance!C172) * 24</f>
        <v>18</v>
      </c>
      <c r="M172" s="369">
        <f t="shared" si="5"/>
        <v>-18</v>
      </c>
      <c r="N172" s="369"/>
      <c r="O172" s="369"/>
      <c r="P172" s="369"/>
    </row>
    <row r="173" ht="22.5" customHeight="1">
      <c r="A173" s="394"/>
      <c r="B173" s="395"/>
      <c r="C173" s="396"/>
      <c r="D173" s="396"/>
      <c r="E173" s="363" t="str">
        <f t="shared" si="1"/>
        <v>السبت</v>
      </c>
      <c r="F173" s="364">
        <f t="shared" si="2"/>
        <v>12</v>
      </c>
      <c r="G173" s="365">
        <f t="shared" si="9"/>
        <v>0</v>
      </c>
      <c r="H173" s="366"/>
      <c r="I173" s="366"/>
      <c r="J173" s="366"/>
      <c r="K173" s="367" t="str">
        <f t="shared" si="4"/>
        <v>يوم عادي</v>
      </c>
      <c r="L173" s="368">
        <f>(MIN(Attendance!D173, TIME(18, 0, 0)) - Attendance!C173) * 24</f>
        <v>18</v>
      </c>
      <c r="M173" s="369">
        <f t="shared" si="5"/>
        <v>-18</v>
      </c>
      <c r="N173" s="377"/>
      <c r="O173" s="377"/>
      <c r="P173" s="377"/>
    </row>
    <row r="174" ht="22.5" customHeight="1">
      <c r="A174" s="394"/>
      <c r="B174" s="395"/>
      <c r="C174" s="396"/>
      <c r="D174" s="396"/>
      <c r="E174" s="363" t="str">
        <f t="shared" si="1"/>
        <v>السبت</v>
      </c>
      <c r="F174" s="364">
        <f t="shared" si="2"/>
        <v>12</v>
      </c>
      <c r="G174" s="365">
        <f t="shared" si="9"/>
        <v>0</v>
      </c>
      <c r="H174" s="366"/>
      <c r="I174" s="366"/>
      <c r="J174" s="366"/>
      <c r="K174" s="367" t="str">
        <f t="shared" si="4"/>
        <v>يوم عادي</v>
      </c>
      <c r="L174" s="368">
        <f>(MIN(Attendance!D174, TIME(18, 0, 0)) - Attendance!C174) * 24</f>
        <v>18</v>
      </c>
      <c r="M174" s="369">
        <f t="shared" si="5"/>
        <v>-18</v>
      </c>
      <c r="N174" s="369"/>
      <c r="O174" s="369"/>
      <c r="P174" s="369"/>
    </row>
    <row r="175" ht="22.5" customHeight="1">
      <c r="A175" s="394"/>
      <c r="B175" s="395"/>
      <c r="C175" s="396"/>
      <c r="D175" s="396"/>
      <c r="E175" s="363" t="str">
        <f t="shared" si="1"/>
        <v>السبت</v>
      </c>
      <c r="F175" s="364">
        <f t="shared" si="2"/>
        <v>12</v>
      </c>
      <c r="G175" s="365">
        <f t="shared" si="9"/>
        <v>0</v>
      </c>
      <c r="H175" s="366"/>
      <c r="I175" s="366"/>
      <c r="J175" s="366"/>
      <c r="K175" s="367" t="str">
        <f t="shared" si="4"/>
        <v>يوم عادي</v>
      </c>
      <c r="L175" s="368">
        <f>(MIN(Attendance!D175, TIME(18, 0, 0)) - Attendance!C175) * 24</f>
        <v>18</v>
      </c>
      <c r="M175" s="369">
        <f t="shared" si="5"/>
        <v>-18</v>
      </c>
      <c r="N175" s="377"/>
      <c r="O175" s="377"/>
      <c r="P175" s="377"/>
    </row>
    <row r="176" ht="22.5" customHeight="1">
      <c r="A176" s="394"/>
      <c r="B176" s="395"/>
      <c r="C176" s="396"/>
      <c r="D176" s="396"/>
      <c r="E176" s="363" t="str">
        <f t="shared" si="1"/>
        <v>السبت</v>
      </c>
      <c r="F176" s="364">
        <f t="shared" si="2"/>
        <v>12</v>
      </c>
      <c r="G176" s="365">
        <f t="shared" si="9"/>
        <v>0</v>
      </c>
      <c r="H176" s="366"/>
      <c r="I176" s="366"/>
      <c r="J176" s="366"/>
      <c r="K176" s="367" t="str">
        <f t="shared" si="4"/>
        <v>يوم عادي</v>
      </c>
      <c r="L176" s="368">
        <f>(MIN(Attendance!D176, TIME(18, 0, 0)) - Attendance!C176) * 24</f>
        <v>18</v>
      </c>
      <c r="M176" s="369">
        <f t="shared" si="5"/>
        <v>-18</v>
      </c>
      <c r="N176" s="369"/>
      <c r="O176" s="369"/>
      <c r="P176" s="369"/>
    </row>
    <row r="177" ht="22.5" customHeight="1">
      <c r="A177" s="394"/>
      <c r="B177" s="395"/>
      <c r="C177" s="396"/>
      <c r="D177" s="396"/>
      <c r="E177" s="363" t="str">
        <f t="shared" si="1"/>
        <v>السبت</v>
      </c>
      <c r="F177" s="364">
        <f t="shared" si="2"/>
        <v>12</v>
      </c>
      <c r="G177" s="365">
        <f t="shared" si="9"/>
        <v>0</v>
      </c>
      <c r="H177" s="366"/>
      <c r="I177" s="366"/>
      <c r="J177" s="366"/>
      <c r="K177" s="367" t="str">
        <f t="shared" si="4"/>
        <v>يوم عادي</v>
      </c>
      <c r="L177" s="368">
        <f>(MIN(Attendance!D177, TIME(18, 0, 0)) - Attendance!C177) * 24</f>
        <v>18</v>
      </c>
      <c r="M177" s="369">
        <f t="shared" si="5"/>
        <v>-18</v>
      </c>
      <c r="N177" s="377"/>
      <c r="O177" s="377"/>
      <c r="P177" s="377"/>
    </row>
    <row r="178" ht="22.5" customHeight="1">
      <c r="A178" s="394"/>
      <c r="B178" s="395"/>
      <c r="C178" s="396"/>
      <c r="D178" s="396"/>
      <c r="E178" s="363" t="str">
        <f t="shared" si="1"/>
        <v>السبت</v>
      </c>
      <c r="F178" s="364">
        <f t="shared" si="2"/>
        <v>12</v>
      </c>
      <c r="G178" s="365">
        <f t="shared" si="9"/>
        <v>0</v>
      </c>
      <c r="H178" s="366"/>
      <c r="I178" s="366"/>
      <c r="J178" s="366"/>
      <c r="K178" s="367" t="str">
        <f t="shared" si="4"/>
        <v>يوم عادي</v>
      </c>
      <c r="L178" s="368">
        <f>(MIN(Attendance!D178, TIME(18, 0, 0)) - Attendance!C178) * 24</f>
        <v>18</v>
      </c>
      <c r="M178" s="369">
        <f t="shared" si="5"/>
        <v>-18</v>
      </c>
      <c r="N178" s="369"/>
      <c r="O178" s="369"/>
      <c r="P178" s="369"/>
    </row>
    <row r="179" ht="22.5" customHeight="1">
      <c r="A179" s="394"/>
      <c r="B179" s="395"/>
      <c r="C179" s="396"/>
      <c r="D179" s="396"/>
      <c r="E179" s="363" t="str">
        <f t="shared" si="1"/>
        <v>السبت</v>
      </c>
      <c r="F179" s="364">
        <f t="shared" si="2"/>
        <v>12</v>
      </c>
      <c r="G179" s="365">
        <f t="shared" si="9"/>
        <v>0</v>
      </c>
      <c r="H179" s="366"/>
      <c r="I179" s="366"/>
      <c r="J179" s="366"/>
      <c r="K179" s="367" t="str">
        <f t="shared" si="4"/>
        <v>يوم عادي</v>
      </c>
      <c r="L179" s="368">
        <f>(MIN(Attendance!D179, TIME(18, 0, 0)) - Attendance!C179) * 24</f>
        <v>18</v>
      </c>
      <c r="M179" s="369">
        <f t="shared" si="5"/>
        <v>-18</v>
      </c>
      <c r="N179" s="377"/>
      <c r="O179" s="377"/>
      <c r="P179" s="377"/>
    </row>
    <row r="180" ht="22.5" customHeight="1">
      <c r="A180" s="394"/>
      <c r="B180" s="395"/>
      <c r="C180" s="396"/>
      <c r="D180" s="396"/>
      <c r="E180" s="363" t="str">
        <f t="shared" si="1"/>
        <v>السبت</v>
      </c>
      <c r="F180" s="364">
        <f t="shared" si="2"/>
        <v>12</v>
      </c>
      <c r="G180" s="365">
        <f t="shared" si="9"/>
        <v>0</v>
      </c>
      <c r="H180" s="366"/>
      <c r="I180" s="366"/>
      <c r="J180" s="366"/>
      <c r="K180" s="367" t="str">
        <f t="shared" si="4"/>
        <v>يوم عادي</v>
      </c>
      <c r="L180" s="368">
        <f>(MIN(Attendance!D180, TIME(18, 0, 0)) - Attendance!C180) * 24</f>
        <v>18</v>
      </c>
      <c r="M180" s="369">
        <f t="shared" si="5"/>
        <v>-18</v>
      </c>
      <c r="N180" s="369"/>
      <c r="O180" s="369"/>
      <c r="P180" s="369"/>
    </row>
    <row r="181" ht="22.5" customHeight="1">
      <c r="A181" s="394"/>
      <c r="B181" s="395"/>
      <c r="C181" s="396"/>
      <c r="D181" s="396"/>
      <c r="E181" s="363" t="str">
        <f t="shared" si="1"/>
        <v>السبت</v>
      </c>
      <c r="F181" s="364">
        <f t="shared" si="2"/>
        <v>12</v>
      </c>
      <c r="G181" s="365">
        <f t="shared" si="9"/>
        <v>0</v>
      </c>
      <c r="H181" s="366"/>
      <c r="I181" s="366"/>
      <c r="J181" s="366"/>
      <c r="K181" s="367" t="str">
        <f t="shared" si="4"/>
        <v>يوم عادي</v>
      </c>
      <c r="L181" s="368">
        <f>(MIN(Attendance!D181, TIME(18, 0, 0)) - Attendance!C181) * 24</f>
        <v>18</v>
      </c>
      <c r="M181" s="369">
        <f t="shared" si="5"/>
        <v>-18</v>
      </c>
      <c r="N181" s="377"/>
      <c r="O181" s="377"/>
      <c r="P181" s="377"/>
    </row>
    <row r="182" ht="22.5" customHeight="1">
      <c r="A182" s="394"/>
      <c r="B182" s="395"/>
      <c r="C182" s="396"/>
      <c r="D182" s="396"/>
      <c r="E182" s="363" t="str">
        <f t="shared" si="1"/>
        <v>السبت</v>
      </c>
      <c r="F182" s="364">
        <f t="shared" si="2"/>
        <v>12</v>
      </c>
      <c r="G182" s="365">
        <f t="shared" si="9"/>
        <v>0</v>
      </c>
      <c r="H182" s="366"/>
      <c r="I182" s="366"/>
      <c r="J182" s="366"/>
      <c r="K182" s="367" t="str">
        <f t="shared" si="4"/>
        <v>يوم عادي</v>
      </c>
      <c r="L182" s="368">
        <f>(MIN(Attendance!D182, TIME(18, 0, 0)) - Attendance!C182) * 24</f>
        <v>18</v>
      </c>
      <c r="M182" s="369">
        <f t="shared" si="5"/>
        <v>-18</v>
      </c>
      <c r="N182" s="369"/>
      <c r="O182" s="369"/>
      <c r="P182" s="369"/>
    </row>
    <row r="183" ht="22.5" customHeight="1">
      <c r="A183" s="394"/>
      <c r="B183" s="395"/>
      <c r="C183" s="396"/>
      <c r="D183" s="396"/>
      <c r="E183" s="363" t="str">
        <f t="shared" si="1"/>
        <v>السبت</v>
      </c>
      <c r="F183" s="364">
        <f t="shared" si="2"/>
        <v>12</v>
      </c>
      <c r="G183" s="365">
        <f t="shared" si="9"/>
        <v>0</v>
      </c>
      <c r="H183" s="366"/>
      <c r="I183" s="366"/>
      <c r="J183" s="366"/>
      <c r="K183" s="367" t="str">
        <f t="shared" si="4"/>
        <v>يوم عادي</v>
      </c>
      <c r="L183" s="368">
        <f>(MIN(Attendance!D183, TIME(18, 0, 0)) - Attendance!C183) * 24</f>
        <v>18</v>
      </c>
      <c r="M183" s="369">
        <f t="shared" si="5"/>
        <v>-18</v>
      </c>
      <c r="N183" s="377"/>
      <c r="O183" s="377"/>
      <c r="P183" s="377"/>
    </row>
    <row r="184" ht="22.5" customHeight="1">
      <c r="A184" s="394"/>
      <c r="B184" s="395"/>
      <c r="C184" s="396"/>
      <c r="D184" s="396"/>
      <c r="E184" s="363" t="str">
        <f t="shared" si="1"/>
        <v>السبت</v>
      </c>
      <c r="F184" s="364">
        <f t="shared" si="2"/>
        <v>12</v>
      </c>
      <c r="G184" s="365">
        <f t="shared" si="9"/>
        <v>0</v>
      </c>
      <c r="H184" s="366"/>
      <c r="I184" s="366"/>
      <c r="J184" s="366"/>
      <c r="K184" s="367" t="str">
        <f t="shared" si="4"/>
        <v>يوم عادي</v>
      </c>
      <c r="L184" s="368">
        <f>(MIN(Attendance!D184, TIME(18, 0, 0)) - Attendance!C184) * 24</f>
        <v>18</v>
      </c>
      <c r="M184" s="369">
        <f t="shared" si="5"/>
        <v>-18</v>
      </c>
      <c r="N184" s="369"/>
      <c r="O184" s="369"/>
      <c r="P184" s="369"/>
    </row>
    <row r="185" ht="22.5" customHeight="1">
      <c r="A185" s="394"/>
      <c r="B185" s="395"/>
      <c r="C185" s="396"/>
      <c r="D185" s="396"/>
      <c r="E185" s="363" t="str">
        <f t="shared" si="1"/>
        <v>السبت</v>
      </c>
      <c r="F185" s="364">
        <f t="shared" si="2"/>
        <v>12</v>
      </c>
      <c r="G185" s="365">
        <f t="shared" si="9"/>
        <v>0</v>
      </c>
      <c r="H185" s="366"/>
      <c r="I185" s="366"/>
      <c r="J185" s="366"/>
      <c r="K185" s="367" t="str">
        <f t="shared" si="4"/>
        <v>يوم عادي</v>
      </c>
      <c r="L185" s="368">
        <f>(MIN(Attendance!D185, TIME(18, 0, 0)) - Attendance!C185) * 24</f>
        <v>18</v>
      </c>
      <c r="M185" s="369">
        <f t="shared" si="5"/>
        <v>-18</v>
      </c>
      <c r="N185" s="377"/>
      <c r="O185" s="377"/>
      <c r="P185" s="377"/>
    </row>
    <row r="186" ht="22.5" customHeight="1">
      <c r="A186" s="394"/>
      <c r="B186" s="395"/>
      <c r="C186" s="396"/>
      <c r="D186" s="396"/>
      <c r="E186" s="363" t="str">
        <f t="shared" si="1"/>
        <v>السبت</v>
      </c>
      <c r="F186" s="364">
        <f t="shared" si="2"/>
        <v>12</v>
      </c>
      <c r="G186" s="365">
        <f t="shared" si="9"/>
        <v>0</v>
      </c>
      <c r="H186" s="366"/>
      <c r="I186" s="366"/>
      <c r="J186" s="366"/>
      <c r="K186" s="367" t="str">
        <f t="shared" si="4"/>
        <v>يوم عادي</v>
      </c>
      <c r="L186" s="368">
        <f>(MIN(Attendance!D186, TIME(18, 0, 0)) - Attendance!C186) * 24</f>
        <v>18</v>
      </c>
      <c r="M186" s="369">
        <f t="shared" si="5"/>
        <v>-18</v>
      </c>
      <c r="N186" s="369"/>
      <c r="O186" s="369"/>
      <c r="P186" s="369"/>
    </row>
    <row r="187" ht="22.5" customHeight="1">
      <c r="A187" s="394"/>
      <c r="B187" s="395"/>
      <c r="C187" s="396"/>
      <c r="D187" s="396"/>
      <c r="E187" s="363" t="str">
        <f t="shared" si="1"/>
        <v>السبت</v>
      </c>
      <c r="F187" s="364">
        <f t="shared" si="2"/>
        <v>12</v>
      </c>
      <c r="G187" s="365">
        <f t="shared" si="9"/>
        <v>0</v>
      </c>
      <c r="H187" s="366"/>
      <c r="I187" s="366"/>
      <c r="J187" s="366"/>
      <c r="K187" s="367" t="str">
        <f t="shared" si="4"/>
        <v>يوم عادي</v>
      </c>
      <c r="L187" s="368">
        <f>(MIN(Attendance!D187, TIME(18, 0, 0)) - Attendance!C187) * 24</f>
        <v>18</v>
      </c>
      <c r="M187" s="369">
        <f t="shared" si="5"/>
        <v>-18</v>
      </c>
      <c r="N187" s="377"/>
      <c r="O187" s="377"/>
      <c r="P187" s="377"/>
    </row>
    <row r="188" ht="22.5" customHeight="1">
      <c r="A188" s="394"/>
      <c r="B188" s="395"/>
      <c r="C188" s="396"/>
      <c r="D188" s="396"/>
      <c r="E188" s="363" t="str">
        <f t="shared" si="1"/>
        <v>السبت</v>
      </c>
      <c r="F188" s="364">
        <f t="shared" si="2"/>
        <v>12</v>
      </c>
      <c r="G188" s="365">
        <f t="shared" si="9"/>
        <v>0</v>
      </c>
      <c r="H188" s="366"/>
      <c r="I188" s="366"/>
      <c r="J188" s="366"/>
      <c r="K188" s="367" t="str">
        <f t="shared" si="4"/>
        <v>يوم عادي</v>
      </c>
      <c r="L188" s="368">
        <f>(MIN(Attendance!D188, TIME(18, 0, 0)) - Attendance!C188) * 24</f>
        <v>18</v>
      </c>
      <c r="M188" s="369">
        <f t="shared" si="5"/>
        <v>-18</v>
      </c>
      <c r="N188" s="369"/>
      <c r="O188" s="369"/>
      <c r="P188" s="369"/>
    </row>
    <row r="189" ht="22.5" customHeight="1">
      <c r="A189" s="394"/>
      <c r="B189" s="395"/>
      <c r="C189" s="396"/>
      <c r="D189" s="396"/>
      <c r="E189" s="363" t="str">
        <f t="shared" si="1"/>
        <v>السبت</v>
      </c>
      <c r="F189" s="364">
        <f t="shared" si="2"/>
        <v>12</v>
      </c>
      <c r="G189" s="365">
        <f t="shared" si="9"/>
        <v>0</v>
      </c>
      <c r="H189" s="366"/>
      <c r="I189" s="366"/>
      <c r="J189" s="366"/>
      <c r="K189" s="367" t="str">
        <f t="shared" si="4"/>
        <v>يوم عادي</v>
      </c>
      <c r="L189" s="368">
        <f>(MIN(Attendance!D189, TIME(18, 0, 0)) - Attendance!C189) * 24</f>
        <v>18</v>
      </c>
      <c r="M189" s="369">
        <f t="shared" si="5"/>
        <v>-18</v>
      </c>
      <c r="N189" s="377"/>
      <c r="O189" s="377"/>
      <c r="P189" s="377"/>
    </row>
    <row r="190" ht="22.5" customHeight="1">
      <c r="A190" s="394"/>
      <c r="B190" s="395"/>
      <c r="C190" s="396"/>
      <c r="D190" s="396"/>
      <c r="E190" s="363" t="str">
        <f t="shared" si="1"/>
        <v>السبت</v>
      </c>
      <c r="F190" s="364">
        <f t="shared" si="2"/>
        <v>12</v>
      </c>
      <c r="G190" s="365">
        <f t="shared" si="9"/>
        <v>0</v>
      </c>
      <c r="H190" s="366"/>
      <c r="I190" s="366"/>
      <c r="J190" s="366"/>
      <c r="K190" s="367" t="str">
        <f t="shared" si="4"/>
        <v>يوم عادي</v>
      </c>
      <c r="L190" s="368">
        <f>(MIN(Attendance!D190, TIME(18, 0, 0)) - Attendance!C190) * 24</f>
        <v>18</v>
      </c>
      <c r="M190" s="369">
        <f t="shared" si="5"/>
        <v>-18</v>
      </c>
      <c r="N190" s="369"/>
      <c r="O190" s="369"/>
      <c r="P190" s="369"/>
    </row>
    <row r="191" ht="22.5" customHeight="1">
      <c r="A191" s="394"/>
      <c r="B191" s="395"/>
      <c r="C191" s="396"/>
      <c r="D191" s="396"/>
      <c r="E191" s="363" t="str">
        <f t="shared" si="1"/>
        <v>السبت</v>
      </c>
      <c r="F191" s="364">
        <f t="shared" si="2"/>
        <v>12</v>
      </c>
      <c r="G191" s="365">
        <f t="shared" si="9"/>
        <v>0</v>
      </c>
      <c r="H191" s="366"/>
      <c r="I191" s="366"/>
      <c r="J191" s="366"/>
      <c r="K191" s="367" t="str">
        <f t="shared" si="4"/>
        <v>يوم عادي</v>
      </c>
      <c r="L191" s="368">
        <f>(MIN(Attendance!D191, TIME(18, 0, 0)) - Attendance!C191) * 24</f>
        <v>18</v>
      </c>
      <c r="M191" s="369">
        <f t="shared" si="5"/>
        <v>-18</v>
      </c>
      <c r="N191" s="377"/>
      <c r="O191" s="377"/>
      <c r="P191" s="377"/>
    </row>
    <row r="192" ht="22.5" customHeight="1">
      <c r="A192" s="394"/>
      <c r="B192" s="395"/>
      <c r="C192" s="396"/>
      <c r="D192" s="396"/>
      <c r="E192" s="363" t="str">
        <f t="shared" si="1"/>
        <v>السبت</v>
      </c>
      <c r="F192" s="364">
        <f t="shared" si="2"/>
        <v>12</v>
      </c>
      <c r="G192" s="365">
        <f t="shared" si="9"/>
        <v>0</v>
      </c>
      <c r="H192" s="366"/>
      <c r="I192" s="366"/>
      <c r="J192" s="366"/>
      <c r="K192" s="367" t="str">
        <f t="shared" si="4"/>
        <v>يوم عادي</v>
      </c>
      <c r="L192" s="368">
        <f>(MIN(Attendance!D192, TIME(18, 0, 0)) - Attendance!C192) * 24</f>
        <v>18</v>
      </c>
      <c r="M192" s="369">
        <f t="shared" si="5"/>
        <v>-18</v>
      </c>
      <c r="N192" s="369"/>
      <c r="O192" s="369"/>
      <c r="P192" s="369"/>
    </row>
    <row r="193" ht="22.5" customHeight="1">
      <c r="A193" s="394"/>
      <c r="B193" s="395"/>
      <c r="C193" s="396"/>
      <c r="D193" s="396"/>
      <c r="E193" s="363" t="str">
        <f t="shared" si="1"/>
        <v>السبت</v>
      </c>
      <c r="F193" s="364">
        <f t="shared" si="2"/>
        <v>12</v>
      </c>
      <c r="G193" s="365">
        <f t="shared" si="9"/>
        <v>0</v>
      </c>
      <c r="H193" s="366"/>
      <c r="I193" s="366"/>
      <c r="J193" s="366"/>
      <c r="K193" s="367" t="str">
        <f t="shared" si="4"/>
        <v>يوم عادي</v>
      </c>
      <c r="L193" s="368">
        <f>(MIN(Attendance!D193, TIME(18, 0, 0)) - Attendance!C193) * 24</f>
        <v>18</v>
      </c>
      <c r="M193" s="369">
        <f t="shared" si="5"/>
        <v>-18</v>
      </c>
      <c r="N193" s="377"/>
      <c r="O193" s="377"/>
      <c r="P193" s="377"/>
    </row>
    <row r="194" ht="22.5" customHeight="1">
      <c r="A194" s="394"/>
      <c r="B194" s="395"/>
      <c r="C194" s="396"/>
      <c r="D194" s="396"/>
      <c r="E194" s="363" t="str">
        <f t="shared" si="1"/>
        <v>السبت</v>
      </c>
      <c r="F194" s="364">
        <f t="shared" si="2"/>
        <v>12</v>
      </c>
      <c r="G194" s="365">
        <f t="shared" si="9"/>
        <v>0</v>
      </c>
      <c r="H194" s="366"/>
      <c r="I194" s="366"/>
      <c r="J194" s="366"/>
      <c r="K194" s="367" t="str">
        <f t="shared" si="4"/>
        <v>يوم عادي</v>
      </c>
      <c r="L194" s="368">
        <f>(MIN(Attendance!D194, TIME(18, 0, 0)) - Attendance!C194) * 24</f>
        <v>18</v>
      </c>
      <c r="M194" s="369">
        <f t="shared" si="5"/>
        <v>-18</v>
      </c>
      <c r="N194" s="369"/>
      <c r="O194" s="369"/>
      <c r="P194" s="369"/>
    </row>
    <row r="195" ht="22.5" customHeight="1">
      <c r="A195" s="394"/>
      <c r="B195" s="395"/>
      <c r="C195" s="396"/>
      <c r="D195" s="396"/>
      <c r="E195" s="363" t="str">
        <f t="shared" si="1"/>
        <v>السبت</v>
      </c>
      <c r="F195" s="364">
        <f t="shared" si="2"/>
        <v>12</v>
      </c>
      <c r="G195" s="365">
        <f t="shared" si="9"/>
        <v>0</v>
      </c>
      <c r="H195" s="366"/>
      <c r="I195" s="366"/>
      <c r="J195" s="366"/>
      <c r="K195" s="367" t="str">
        <f t="shared" si="4"/>
        <v>يوم عادي</v>
      </c>
      <c r="L195" s="368">
        <f>(MIN(Attendance!D195, TIME(18, 0, 0)) - Attendance!C195) * 24</f>
        <v>18</v>
      </c>
      <c r="M195" s="369">
        <f t="shared" si="5"/>
        <v>-18</v>
      </c>
      <c r="N195" s="377"/>
      <c r="O195" s="377"/>
      <c r="P195" s="377"/>
    </row>
    <row r="196" ht="22.5" customHeight="1">
      <c r="A196" s="394"/>
      <c r="B196" s="395"/>
      <c r="C196" s="396"/>
      <c r="D196" s="396"/>
      <c r="E196" s="363" t="str">
        <f t="shared" si="1"/>
        <v>السبت</v>
      </c>
      <c r="F196" s="364">
        <f t="shared" si="2"/>
        <v>12</v>
      </c>
      <c r="G196" s="365">
        <f t="shared" si="9"/>
        <v>0</v>
      </c>
      <c r="H196" s="366"/>
      <c r="I196" s="366"/>
      <c r="J196" s="366"/>
      <c r="K196" s="367" t="str">
        <f t="shared" si="4"/>
        <v>يوم عادي</v>
      </c>
      <c r="L196" s="368">
        <f>(MIN(Attendance!D196, TIME(18, 0, 0)) - Attendance!C196) * 24</f>
        <v>18</v>
      </c>
      <c r="M196" s="369">
        <f t="shared" si="5"/>
        <v>-18</v>
      </c>
      <c r="N196" s="369"/>
      <c r="O196" s="369"/>
      <c r="P196" s="369"/>
    </row>
    <row r="197" ht="22.5" customHeight="1">
      <c r="A197" s="394"/>
      <c r="B197" s="395"/>
      <c r="C197" s="396"/>
      <c r="D197" s="396"/>
      <c r="E197" s="363" t="str">
        <f t="shared" si="1"/>
        <v>السبت</v>
      </c>
      <c r="F197" s="364">
        <f t="shared" si="2"/>
        <v>12</v>
      </c>
      <c r="G197" s="365">
        <f t="shared" si="9"/>
        <v>0</v>
      </c>
      <c r="H197" s="366"/>
      <c r="I197" s="366"/>
      <c r="J197" s="366"/>
      <c r="K197" s="367" t="str">
        <f t="shared" si="4"/>
        <v>يوم عادي</v>
      </c>
      <c r="L197" s="368">
        <f>(MIN(Attendance!D197, TIME(18, 0, 0)) - Attendance!C197) * 24</f>
        <v>18</v>
      </c>
      <c r="M197" s="369">
        <f t="shared" si="5"/>
        <v>-18</v>
      </c>
      <c r="N197" s="377"/>
      <c r="O197" s="377"/>
      <c r="P197" s="377"/>
    </row>
    <row r="198" ht="22.5" customHeight="1">
      <c r="A198" s="394"/>
      <c r="B198" s="395"/>
      <c r="C198" s="396"/>
      <c r="D198" s="396"/>
      <c r="E198" s="363" t="str">
        <f t="shared" si="1"/>
        <v>السبت</v>
      </c>
      <c r="F198" s="364">
        <f t="shared" si="2"/>
        <v>12</v>
      </c>
      <c r="G198" s="365">
        <f t="shared" si="9"/>
        <v>0</v>
      </c>
      <c r="H198" s="366"/>
      <c r="I198" s="366"/>
      <c r="J198" s="366"/>
      <c r="K198" s="367" t="str">
        <f t="shared" si="4"/>
        <v>يوم عادي</v>
      </c>
      <c r="L198" s="368">
        <f>(MIN(Attendance!D198, TIME(18, 0, 0)) - Attendance!C198) * 24</f>
        <v>18</v>
      </c>
      <c r="M198" s="369">
        <f t="shared" si="5"/>
        <v>-18</v>
      </c>
      <c r="N198" s="369"/>
      <c r="O198" s="369"/>
      <c r="P198" s="369"/>
    </row>
    <row r="199" ht="22.5" customHeight="1">
      <c r="A199" s="394"/>
      <c r="B199" s="395"/>
      <c r="C199" s="396"/>
      <c r="D199" s="396"/>
      <c r="E199" s="363" t="str">
        <f t="shared" si="1"/>
        <v>السبت</v>
      </c>
      <c r="F199" s="364">
        <f t="shared" si="2"/>
        <v>12</v>
      </c>
      <c r="G199" s="365">
        <f t="shared" si="9"/>
        <v>0</v>
      </c>
      <c r="H199" s="366"/>
      <c r="I199" s="366"/>
      <c r="J199" s="366"/>
      <c r="K199" s="367" t="str">
        <f t="shared" si="4"/>
        <v>يوم عادي</v>
      </c>
      <c r="L199" s="368">
        <f>(MIN(Attendance!D199, TIME(18, 0, 0)) - Attendance!C199) * 24</f>
        <v>18</v>
      </c>
      <c r="M199" s="369">
        <f t="shared" si="5"/>
        <v>-18</v>
      </c>
      <c r="N199" s="377"/>
      <c r="O199" s="377"/>
      <c r="P199" s="377"/>
    </row>
    <row r="200" ht="22.5" customHeight="1">
      <c r="A200" s="394"/>
      <c r="B200" s="395"/>
      <c r="C200" s="396"/>
      <c r="D200" s="396"/>
      <c r="E200" s="363" t="str">
        <f t="shared" si="1"/>
        <v>السبت</v>
      </c>
      <c r="F200" s="364">
        <f t="shared" si="2"/>
        <v>12</v>
      </c>
      <c r="G200" s="365">
        <f t="shared" si="9"/>
        <v>0</v>
      </c>
      <c r="H200" s="366"/>
      <c r="I200" s="366"/>
      <c r="J200" s="366"/>
      <c r="K200" s="367" t="str">
        <f t="shared" si="4"/>
        <v>يوم عادي</v>
      </c>
      <c r="L200" s="368">
        <f>(MIN(Attendance!D200, TIME(18, 0, 0)) - Attendance!C200) * 24</f>
        <v>18</v>
      </c>
      <c r="M200" s="369">
        <f t="shared" si="5"/>
        <v>-18</v>
      </c>
      <c r="N200" s="369"/>
      <c r="O200" s="369"/>
      <c r="P200" s="369"/>
    </row>
    <row r="201" ht="22.5" customHeight="1">
      <c r="A201" s="394"/>
      <c r="B201" s="395"/>
      <c r="C201" s="396"/>
      <c r="D201" s="396"/>
      <c r="E201" s="363" t="str">
        <f t="shared" si="1"/>
        <v>السبت</v>
      </c>
      <c r="F201" s="364">
        <f t="shared" si="2"/>
        <v>12</v>
      </c>
      <c r="G201" s="365">
        <f t="shared" si="9"/>
        <v>0</v>
      </c>
      <c r="H201" s="366"/>
      <c r="I201" s="366"/>
      <c r="J201" s="366"/>
      <c r="K201" s="367" t="str">
        <f t="shared" si="4"/>
        <v>يوم عادي</v>
      </c>
      <c r="L201" s="368">
        <f>(MIN(Attendance!D201, TIME(18, 0, 0)) - Attendance!C201) * 24</f>
        <v>18</v>
      </c>
      <c r="M201" s="369">
        <f t="shared" si="5"/>
        <v>-18</v>
      </c>
      <c r="N201" s="377"/>
      <c r="O201" s="377"/>
      <c r="P201" s="377"/>
    </row>
    <row r="202" ht="22.5" customHeight="1">
      <c r="A202" s="394"/>
      <c r="B202" s="395"/>
      <c r="C202" s="396"/>
      <c r="D202" s="396"/>
      <c r="E202" s="363" t="str">
        <f t="shared" si="1"/>
        <v>السبت</v>
      </c>
      <c r="F202" s="364">
        <f t="shared" si="2"/>
        <v>12</v>
      </c>
      <c r="G202" s="365">
        <f t="shared" si="9"/>
        <v>0</v>
      </c>
      <c r="H202" s="366"/>
      <c r="I202" s="366"/>
      <c r="J202" s="366"/>
      <c r="K202" s="367" t="str">
        <f t="shared" si="4"/>
        <v>يوم عادي</v>
      </c>
      <c r="L202" s="368">
        <f>(MIN(Attendance!D202, TIME(18, 0, 0)) - Attendance!C202) * 24</f>
        <v>18</v>
      </c>
      <c r="M202" s="369">
        <f t="shared" si="5"/>
        <v>-18</v>
      </c>
      <c r="N202" s="369"/>
      <c r="O202" s="369"/>
      <c r="P202" s="369"/>
    </row>
    <row r="203" ht="22.5" customHeight="1">
      <c r="A203" s="394"/>
      <c r="B203" s="395"/>
      <c r="C203" s="396"/>
      <c r="D203" s="396"/>
      <c r="E203" s="363" t="str">
        <f t="shared" si="1"/>
        <v>السبت</v>
      </c>
      <c r="F203" s="364">
        <f t="shared" si="2"/>
        <v>12</v>
      </c>
      <c r="G203" s="365">
        <f t="shared" si="9"/>
        <v>0</v>
      </c>
      <c r="H203" s="366"/>
      <c r="I203" s="366"/>
      <c r="J203" s="366"/>
      <c r="K203" s="367" t="str">
        <f t="shared" si="4"/>
        <v>يوم عادي</v>
      </c>
      <c r="L203" s="368">
        <f>(MIN(Attendance!D203, TIME(18, 0, 0)) - Attendance!C203) * 24</f>
        <v>18</v>
      </c>
      <c r="M203" s="369">
        <f t="shared" si="5"/>
        <v>-18</v>
      </c>
      <c r="N203" s="377"/>
      <c r="O203" s="377"/>
      <c r="P203" s="377"/>
    </row>
    <row r="204" ht="22.5" customHeight="1">
      <c r="A204" s="394"/>
      <c r="B204" s="395"/>
      <c r="C204" s="396"/>
      <c r="D204" s="396"/>
      <c r="E204" s="363" t="str">
        <f t="shared" si="1"/>
        <v>السبت</v>
      </c>
      <c r="F204" s="364">
        <f t="shared" si="2"/>
        <v>12</v>
      </c>
      <c r="G204" s="365">
        <f t="shared" si="9"/>
        <v>0</v>
      </c>
      <c r="H204" s="366"/>
      <c r="I204" s="366"/>
      <c r="J204" s="366"/>
      <c r="K204" s="367" t="str">
        <f t="shared" si="4"/>
        <v>يوم عادي</v>
      </c>
      <c r="L204" s="368">
        <f>(MIN(Attendance!D204, TIME(18, 0, 0)) - Attendance!C204) * 24</f>
        <v>18</v>
      </c>
      <c r="M204" s="369">
        <f t="shared" si="5"/>
        <v>-18</v>
      </c>
      <c r="N204" s="369"/>
      <c r="O204" s="369"/>
      <c r="P204" s="369"/>
    </row>
    <row r="205" ht="22.5" customHeight="1">
      <c r="A205" s="394"/>
      <c r="B205" s="395"/>
      <c r="C205" s="396"/>
      <c r="D205" s="396"/>
      <c r="E205" s="363" t="str">
        <f t="shared" si="1"/>
        <v>السبت</v>
      </c>
      <c r="F205" s="364">
        <f t="shared" si="2"/>
        <v>12</v>
      </c>
      <c r="G205" s="365">
        <f t="shared" si="9"/>
        <v>0</v>
      </c>
      <c r="H205" s="366"/>
      <c r="I205" s="366"/>
      <c r="J205" s="366"/>
      <c r="K205" s="367" t="str">
        <f t="shared" si="4"/>
        <v>يوم عادي</v>
      </c>
      <c r="L205" s="368">
        <f>(MIN(Attendance!D205, TIME(18, 0, 0)) - Attendance!C205) * 24</f>
        <v>18</v>
      </c>
      <c r="M205" s="369">
        <f t="shared" si="5"/>
        <v>-18</v>
      </c>
      <c r="N205" s="377"/>
      <c r="O205" s="377"/>
      <c r="P205" s="377"/>
    </row>
    <row r="206" ht="22.5" customHeight="1">
      <c r="A206" s="394"/>
      <c r="B206" s="395"/>
      <c r="C206" s="396"/>
      <c r="D206" s="396"/>
      <c r="E206" s="363" t="str">
        <f t="shared" si="1"/>
        <v>السبت</v>
      </c>
      <c r="F206" s="364">
        <f t="shared" si="2"/>
        <v>12</v>
      </c>
      <c r="G206" s="365">
        <f t="shared" si="9"/>
        <v>0</v>
      </c>
      <c r="H206" s="366"/>
      <c r="I206" s="366"/>
      <c r="J206" s="366"/>
      <c r="K206" s="367" t="str">
        <f t="shared" si="4"/>
        <v>يوم عادي</v>
      </c>
      <c r="L206" s="368">
        <f>(MIN(Attendance!D206, TIME(18, 0, 0)) - Attendance!C206) * 24</f>
        <v>18</v>
      </c>
      <c r="M206" s="369">
        <f t="shared" si="5"/>
        <v>-18</v>
      </c>
      <c r="N206" s="369"/>
      <c r="O206" s="369"/>
      <c r="P206" s="369"/>
    </row>
    <row r="207" ht="22.5" customHeight="1">
      <c r="A207" s="394"/>
      <c r="B207" s="395"/>
      <c r="C207" s="396"/>
      <c r="D207" s="396"/>
      <c r="E207" s="363" t="str">
        <f t="shared" si="1"/>
        <v>السبت</v>
      </c>
      <c r="F207" s="364">
        <f t="shared" si="2"/>
        <v>12</v>
      </c>
      <c r="G207" s="365">
        <f t="shared" si="9"/>
        <v>0</v>
      </c>
      <c r="H207" s="366"/>
      <c r="I207" s="366"/>
      <c r="J207" s="366"/>
      <c r="K207" s="367" t="str">
        <f t="shared" si="4"/>
        <v>يوم عادي</v>
      </c>
      <c r="L207" s="368">
        <f>(MIN(Attendance!D207, TIME(18, 0, 0)) - Attendance!C207) * 24</f>
        <v>18</v>
      </c>
      <c r="M207" s="369">
        <f t="shared" si="5"/>
        <v>-18</v>
      </c>
      <c r="N207" s="377"/>
      <c r="O207" s="377"/>
      <c r="P207" s="377"/>
    </row>
    <row r="208" ht="22.5" customHeight="1">
      <c r="A208" s="394"/>
      <c r="B208" s="395"/>
      <c r="C208" s="396"/>
      <c r="D208" s="396"/>
      <c r="E208" s="363" t="str">
        <f t="shared" si="1"/>
        <v>السبت</v>
      </c>
      <c r="F208" s="364">
        <f t="shared" si="2"/>
        <v>12</v>
      </c>
      <c r="G208" s="365">
        <f t="shared" si="9"/>
        <v>0</v>
      </c>
      <c r="H208" s="366"/>
      <c r="I208" s="366"/>
      <c r="J208" s="366"/>
      <c r="K208" s="367" t="str">
        <f t="shared" si="4"/>
        <v>يوم عادي</v>
      </c>
      <c r="L208" s="368">
        <f>(MIN(Attendance!D208, TIME(18, 0, 0)) - Attendance!C208) * 24</f>
        <v>18</v>
      </c>
      <c r="M208" s="369">
        <f t="shared" si="5"/>
        <v>-18</v>
      </c>
      <c r="N208" s="369"/>
      <c r="O208" s="369"/>
      <c r="P208" s="369"/>
    </row>
    <row r="209" ht="22.5" customHeight="1">
      <c r="A209" s="394"/>
      <c r="B209" s="395"/>
      <c r="C209" s="396"/>
      <c r="D209" s="396"/>
      <c r="E209" s="363" t="str">
        <f t="shared" si="1"/>
        <v>السبت</v>
      </c>
      <c r="F209" s="364">
        <f t="shared" si="2"/>
        <v>12</v>
      </c>
      <c r="G209" s="365">
        <f t="shared" si="9"/>
        <v>0</v>
      </c>
      <c r="H209" s="366"/>
      <c r="I209" s="366"/>
      <c r="J209" s="366"/>
      <c r="K209" s="367" t="str">
        <f t="shared" si="4"/>
        <v>يوم عادي</v>
      </c>
      <c r="L209" s="368">
        <f>(MIN(Attendance!D209, TIME(18, 0, 0)) - Attendance!C209) * 24</f>
        <v>18</v>
      </c>
      <c r="M209" s="369">
        <f t="shared" si="5"/>
        <v>-18</v>
      </c>
      <c r="N209" s="377"/>
      <c r="O209" s="377"/>
      <c r="P209" s="377"/>
    </row>
    <row r="210" ht="22.5" customHeight="1">
      <c r="A210" s="394"/>
      <c r="B210" s="395"/>
      <c r="C210" s="396"/>
      <c r="D210" s="396"/>
      <c r="E210" s="363" t="str">
        <f t="shared" si="1"/>
        <v>السبت</v>
      </c>
      <c r="F210" s="364">
        <f t="shared" si="2"/>
        <v>12</v>
      </c>
      <c r="G210" s="365">
        <f t="shared" si="9"/>
        <v>0</v>
      </c>
      <c r="H210" s="366"/>
      <c r="I210" s="366"/>
      <c r="J210" s="366"/>
      <c r="K210" s="367" t="str">
        <f t="shared" si="4"/>
        <v>يوم عادي</v>
      </c>
      <c r="L210" s="368">
        <f>(MIN(Attendance!D210, TIME(18, 0, 0)) - Attendance!C210) * 24</f>
        <v>18</v>
      </c>
      <c r="M210" s="369">
        <f t="shared" si="5"/>
        <v>-18</v>
      </c>
      <c r="N210" s="369"/>
      <c r="O210" s="369"/>
      <c r="P210" s="369"/>
    </row>
    <row r="211" ht="22.5" customHeight="1">
      <c r="A211" s="394"/>
      <c r="B211" s="395"/>
      <c r="C211" s="396"/>
      <c r="D211" s="396"/>
      <c r="E211" s="363" t="str">
        <f t="shared" si="1"/>
        <v>السبت</v>
      </c>
      <c r="F211" s="364">
        <f t="shared" si="2"/>
        <v>12</v>
      </c>
      <c r="G211" s="365">
        <f t="shared" si="9"/>
        <v>0</v>
      </c>
      <c r="H211" s="366"/>
      <c r="I211" s="366"/>
      <c r="J211" s="366"/>
      <c r="K211" s="367" t="str">
        <f t="shared" si="4"/>
        <v>يوم عادي</v>
      </c>
      <c r="L211" s="368">
        <f>(MIN(Attendance!D211, TIME(18, 0, 0)) - Attendance!C211) * 24</f>
        <v>18</v>
      </c>
      <c r="M211" s="369">
        <f t="shared" si="5"/>
        <v>-18</v>
      </c>
      <c r="N211" s="377"/>
      <c r="O211" s="377"/>
      <c r="P211" s="377"/>
    </row>
    <row r="212" ht="22.5" customHeight="1">
      <c r="A212" s="394"/>
      <c r="B212" s="395"/>
      <c r="C212" s="396"/>
      <c r="D212" s="396"/>
      <c r="E212" s="363" t="str">
        <f t="shared" si="1"/>
        <v>السبت</v>
      </c>
      <c r="F212" s="364">
        <f t="shared" si="2"/>
        <v>12</v>
      </c>
      <c r="G212" s="365">
        <f t="shared" si="9"/>
        <v>0</v>
      </c>
      <c r="H212" s="366"/>
      <c r="I212" s="366"/>
      <c r="J212" s="366"/>
      <c r="K212" s="367" t="str">
        <f t="shared" si="4"/>
        <v>يوم عادي</v>
      </c>
      <c r="L212" s="368">
        <f>(MIN(Attendance!D212, TIME(18, 0, 0)) - Attendance!C212) * 24</f>
        <v>18</v>
      </c>
      <c r="M212" s="369">
        <f t="shared" si="5"/>
        <v>-18</v>
      </c>
      <c r="N212" s="369"/>
      <c r="O212" s="369"/>
      <c r="P212" s="369"/>
    </row>
    <row r="213" ht="22.5" customHeight="1">
      <c r="A213" s="394"/>
      <c r="B213" s="395"/>
      <c r="C213" s="396"/>
      <c r="D213" s="396"/>
      <c r="E213" s="363" t="str">
        <f t="shared" si="1"/>
        <v>السبت</v>
      </c>
      <c r="F213" s="364">
        <f t="shared" si="2"/>
        <v>12</v>
      </c>
      <c r="G213" s="365">
        <f t="shared" si="9"/>
        <v>0</v>
      </c>
      <c r="H213" s="366"/>
      <c r="I213" s="366"/>
      <c r="J213" s="366"/>
      <c r="K213" s="367" t="str">
        <f t="shared" si="4"/>
        <v>يوم عادي</v>
      </c>
      <c r="L213" s="368">
        <f>(MIN(Attendance!D213, TIME(18, 0, 0)) - Attendance!C213) * 24</f>
        <v>18</v>
      </c>
      <c r="M213" s="369">
        <f t="shared" si="5"/>
        <v>-18</v>
      </c>
      <c r="N213" s="377"/>
      <c r="O213" s="377"/>
      <c r="P213" s="377"/>
    </row>
    <row r="214" ht="22.5" customHeight="1">
      <c r="A214" s="394"/>
      <c r="B214" s="395"/>
      <c r="C214" s="396"/>
      <c r="D214" s="396"/>
      <c r="E214" s="363" t="str">
        <f t="shared" si="1"/>
        <v>السبت</v>
      </c>
      <c r="F214" s="364">
        <f t="shared" si="2"/>
        <v>12</v>
      </c>
      <c r="G214" s="365">
        <f t="shared" si="9"/>
        <v>0</v>
      </c>
      <c r="H214" s="366"/>
      <c r="I214" s="366"/>
      <c r="J214" s="366"/>
      <c r="K214" s="367" t="str">
        <f t="shared" si="4"/>
        <v>يوم عادي</v>
      </c>
      <c r="L214" s="368">
        <f>(MIN(Attendance!D214, TIME(18, 0, 0)) - Attendance!C214) * 24</f>
        <v>18</v>
      </c>
      <c r="M214" s="369">
        <f t="shared" si="5"/>
        <v>-18</v>
      </c>
      <c r="N214" s="369"/>
      <c r="O214" s="369"/>
      <c r="P214" s="369"/>
    </row>
    <row r="215" ht="22.5" customHeight="1">
      <c r="A215" s="394"/>
      <c r="B215" s="395"/>
      <c r="C215" s="396"/>
      <c r="D215" s="396"/>
      <c r="E215" s="363" t="str">
        <f t="shared" si="1"/>
        <v>السبت</v>
      </c>
      <c r="F215" s="364">
        <f t="shared" si="2"/>
        <v>12</v>
      </c>
      <c r="G215" s="365">
        <f t="shared" si="9"/>
        <v>0</v>
      </c>
      <c r="H215" s="366"/>
      <c r="I215" s="366"/>
      <c r="J215" s="366"/>
      <c r="K215" s="367" t="str">
        <f t="shared" si="4"/>
        <v>يوم عادي</v>
      </c>
      <c r="L215" s="368">
        <f>(MIN(Attendance!D215, TIME(18, 0, 0)) - Attendance!C215) * 24</f>
        <v>18</v>
      </c>
      <c r="M215" s="369">
        <f t="shared" si="5"/>
        <v>-18</v>
      </c>
      <c r="N215" s="377"/>
      <c r="O215" s="377"/>
      <c r="P215" s="377"/>
    </row>
    <row r="216" ht="22.5" customHeight="1">
      <c r="A216" s="394"/>
      <c r="B216" s="395"/>
      <c r="C216" s="396"/>
      <c r="D216" s="396"/>
      <c r="E216" s="363" t="str">
        <f t="shared" si="1"/>
        <v>السبت</v>
      </c>
      <c r="F216" s="364">
        <f t="shared" si="2"/>
        <v>12</v>
      </c>
      <c r="G216" s="365">
        <f t="shared" si="9"/>
        <v>0</v>
      </c>
      <c r="H216" s="366"/>
      <c r="I216" s="366"/>
      <c r="J216" s="366"/>
      <c r="K216" s="367" t="str">
        <f t="shared" si="4"/>
        <v>يوم عادي</v>
      </c>
      <c r="L216" s="368">
        <f>(MIN(Attendance!D216, TIME(18, 0, 0)) - Attendance!C216) * 24</f>
        <v>18</v>
      </c>
      <c r="M216" s="369">
        <f t="shared" si="5"/>
        <v>-18</v>
      </c>
      <c r="N216" s="369"/>
      <c r="O216" s="369"/>
      <c r="P216" s="369"/>
    </row>
    <row r="217" ht="22.5" customHeight="1">
      <c r="A217" s="394"/>
      <c r="B217" s="395"/>
      <c r="C217" s="396"/>
      <c r="D217" s="396"/>
      <c r="E217" s="363" t="str">
        <f t="shared" si="1"/>
        <v>السبت</v>
      </c>
      <c r="F217" s="364">
        <f t="shared" si="2"/>
        <v>12</v>
      </c>
      <c r="G217" s="365">
        <f t="shared" si="9"/>
        <v>0</v>
      </c>
      <c r="H217" s="366"/>
      <c r="I217" s="366"/>
      <c r="J217" s="366"/>
      <c r="K217" s="367" t="str">
        <f t="shared" si="4"/>
        <v>يوم عادي</v>
      </c>
      <c r="L217" s="368">
        <f>(MIN(Attendance!D217, TIME(18, 0, 0)) - Attendance!C217) * 24</f>
        <v>18</v>
      </c>
      <c r="M217" s="369">
        <f t="shared" si="5"/>
        <v>-18</v>
      </c>
      <c r="N217" s="377"/>
      <c r="O217" s="377"/>
      <c r="P217" s="377"/>
    </row>
    <row r="218" ht="22.5" customHeight="1">
      <c r="A218" s="394"/>
      <c r="B218" s="395"/>
      <c r="C218" s="396"/>
      <c r="D218" s="396"/>
      <c r="E218" s="363" t="str">
        <f t="shared" si="1"/>
        <v>السبت</v>
      </c>
      <c r="F218" s="364">
        <f t="shared" si="2"/>
        <v>12</v>
      </c>
      <c r="G218" s="365">
        <f t="shared" si="9"/>
        <v>0</v>
      </c>
      <c r="H218" s="366"/>
      <c r="I218" s="366"/>
      <c r="J218" s="366"/>
      <c r="K218" s="367" t="str">
        <f t="shared" si="4"/>
        <v>يوم عادي</v>
      </c>
      <c r="L218" s="368">
        <f>(MIN(Attendance!D218, TIME(18, 0, 0)) - Attendance!C218) * 24</f>
        <v>18</v>
      </c>
      <c r="M218" s="369">
        <f t="shared" si="5"/>
        <v>-18</v>
      </c>
      <c r="N218" s="369"/>
      <c r="O218" s="369"/>
      <c r="P218" s="369"/>
    </row>
    <row r="219" ht="22.5" customHeight="1">
      <c r="A219" s="394"/>
      <c r="B219" s="395"/>
      <c r="C219" s="396"/>
      <c r="D219" s="396"/>
      <c r="E219" s="363" t="str">
        <f t="shared" si="1"/>
        <v>السبت</v>
      </c>
      <c r="F219" s="364">
        <f t="shared" si="2"/>
        <v>12</v>
      </c>
      <c r="G219" s="365">
        <f t="shared" si="9"/>
        <v>0</v>
      </c>
      <c r="H219" s="366"/>
      <c r="I219" s="366"/>
      <c r="J219" s="366"/>
      <c r="K219" s="367" t="str">
        <f t="shared" si="4"/>
        <v>يوم عادي</v>
      </c>
      <c r="L219" s="368">
        <f>(MIN(Attendance!D219, TIME(18, 0, 0)) - Attendance!C219) * 24</f>
        <v>18</v>
      </c>
      <c r="M219" s="369">
        <f t="shared" si="5"/>
        <v>-18</v>
      </c>
      <c r="N219" s="377"/>
      <c r="O219" s="377"/>
      <c r="P219" s="377"/>
    </row>
    <row r="220" ht="22.5" customHeight="1">
      <c r="A220" s="394"/>
      <c r="B220" s="395"/>
      <c r="C220" s="396"/>
      <c r="D220" s="396"/>
      <c r="E220" s="363" t="str">
        <f t="shared" si="1"/>
        <v>السبت</v>
      </c>
      <c r="F220" s="364">
        <f t="shared" si="2"/>
        <v>12</v>
      </c>
      <c r="G220" s="365">
        <f t="shared" si="9"/>
        <v>0</v>
      </c>
      <c r="H220" s="366"/>
      <c r="I220" s="366"/>
      <c r="J220" s="366"/>
      <c r="K220" s="367" t="str">
        <f t="shared" si="4"/>
        <v>يوم عادي</v>
      </c>
      <c r="L220" s="368">
        <f>(MIN(Attendance!D220, TIME(18, 0, 0)) - Attendance!C220) * 24</f>
        <v>18</v>
      </c>
      <c r="M220" s="369">
        <f t="shared" si="5"/>
        <v>-18</v>
      </c>
      <c r="N220" s="369"/>
      <c r="O220" s="369"/>
      <c r="P220" s="369"/>
    </row>
    <row r="221" ht="22.5" customHeight="1">
      <c r="A221" s="394"/>
      <c r="B221" s="395"/>
      <c r="C221" s="396"/>
      <c r="D221" s="396"/>
      <c r="E221" s="363" t="str">
        <f t="shared" si="1"/>
        <v>السبت</v>
      </c>
      <c r="F221" s="364">
        <f t="shared" si="2"/>
        <v>12</v>
      </c>
      <c r="G221" s="365">
        <f t="shared" si="9"/>
        <v>0</v>
      </c>
      <c r="H221" s="366"/>
      <c r="I221" s="366"/>
      <c r="J221" s="366"/>
      <c r="K221" s="367" t="str">
        <f t="shared" si="4"/>
        <v>يوم عادي</v>
      </c>
      <c r="L221" s="368">
        <f>(MIN(Attendance!D221, TIME(18, 0, 0)) - Attendance!C221) * 24</f>
        <v>18</v>
      </c>
      <c r="M221" s="369">
        <f t="shared" si="5"/>
        <v>-18</v>
      </c>
      <c r="N221" s="377"/>
      <c r="O221" s="377"/>
      <c r="P221" s="377"/>
    </row>
    <row r="222" ht="22.5" customHeight="1">
      <c r="A222" s="394"/>
      <c r="B222" s="395"/>
      <c r="C222" s="396"/>
      <c r="D222" s="396"/>
      <c r="E222" s="363" t="str">
        <f t="shared" si="1"/>
        <v>السبت</v>
      </c>
      <c r="F222" s="364">
        <f t="shared" si="2"/>
        <v>12</v>
      </c>
      <c r="G222" s="365">
        <f t="shared" si="9"/>
        <v>0</v>
      </c>
      <c r="H222" s="366"/>
      <c r="I222" s="366"/>
      <c r="J222" s="366"/>
      <c r="K222" s="367" t="str">
        <f t="shared" si="4"/>
        <v>يوم عادي</v>
      </c>
      <c r="L222" s="368">
        <f>(MIN(Attendance!D222, TIME(18, 0, 0)) - Attendance!C222) * 24</f>
        <v>18</v>
      </c>
      <c r="M222" s="369">
        <f t="shared" si="5"/>
        <v>-18</v>
      </c>
      <c r="N222" s="369"/>
      <c r="O222" s="369"/>
      <c r="P222" s="369"/>
    </row>
    <row r="223" ht="22.5" customHeight="1">
      <c r="A223" s="394"/>
      <c r="B223" s="395"/>
      <c r="C223" s="396"/>
      <c r="D223" s="396"/>
      <c r="E223" s="363" t="str">
        <f t="shared" si="1"/>
        <v>السبت</v>
      </c>
      <c r="F223" s="364">
        <f t="shared" si="2"/>
        <v>12</v>
      </c>
      <c r="G223" s="365">
        <f t="shared" si="9"/>
        <v>0</v>
      </c>
      <c r="H223" s="366"/>
      <c r="I223" s="366"/>
      <c r="J223" s="366"/>
      <c r="K223" s="367" t="str">
        <f t="shared" si="4"/>
        <v>يوم عادي</v>
      </c>
      <c r="L223" s="368">
        <f>(MIN(Attendance!D223, TIME(18, 0, 0)) - Attendance!C223) * 24</f>
        <v>18</v>
      </c>
      <c r="M223" s="369">
        <f t="shared" si="5"/>
        <v>-18</v>
      </c>
      <c r="N223" s="377"/>
      <c r="O223" s="377"/>
      <c r="P223" s="377"/>
    </row>
    <row r="224" ht="22.5" customHeight="1">
      <c r="A224" s="394"/>
      <c r="B224" s="395"/>
      <c r="C224" s="396"/>
      <c r="D224" s="396"/>
      <c r="E224" s="363" t="str">
        <f t="shared" si="1"/>
        <v>السبت</v>
      </c>
      <c r="F224" s="364">
        <f t="shared" si="2"/>
        <v>12</v>
      </c>
      <c r="G224" s="365">
        <f t="shared" si="9"/>
        <v>0</v>
      </c>
      <c r="H224" s="366"/>
      <c r="I224" s="366"/>
      <c r="J224" s="366"/>
      <c r="K224" s="367" t="str">
        <f t="shared" si="4"/>
        <v>يوم عادي</v>
      </c>
      <c r="L224" s="368">
        <f>(MIN(Attendance!D224, TIME(18, 0, 0)) - Attendance!C224) * 24</f>
        <v>18</v>
      </c>
      <c r="M224" s="369">
        <f t="shared" si="5"/>
        <v>-18</v>
      </c>
      <c r="N224" s="369"/>
      <c r="O224" s="369"/>
      <c r="P224" s="369"/>
    </row>
    <row r="225" ht="22.5" customHeight="1">
      <c r="A225" s="394"/>
      <c r="B225" s="395"/>
      <c r="C225" s="396"/>
      <c r="D225" s="396"/>
      <c r="E225" s="363" t="str">
        <f t="shared" si="1"/>
        <v>السبت</v>
      </c>
      <c r="F225" s="364">
        <f t="shared" si="2"/>
        <v>12</v>
      </c>
      <c r="G225" s="365">
        <f t="shared" si="9"/>
        <v>0</v>
      </c>
      <c r="H225" s="366"/>
      <c r="I225" s="366"/>
      <c r="J225" s="366"/>
      <c r="K225" s="367" t="str">
        <f t="shared" si="4"/>
        <v>يوم عادي</v>
      </c>
      <c r="L225" s="368">
        <f>(MIN(Attendance!D225, TIME(18, 0, 0)) - Attendance!C225) * 24</f>
        <v>18</v>
      </c>
      <c r="M225" s="369">
        <f t="shared" si="5"/>
        <v>-18</v>
      </c>
      <c r="N225" s="377"/>
      <c r="O225" s="377"/>
      <c r="P225" s="377"/>
    </row>
    <row r="226" ht="22.5" customHeight="1">
      <c r="A226" s="394"/>
      <c r="B226" s="395"/>
      <c r="C226" s="396"/>
      <c r="D226" s="396"/>
      <c r="E226" s="363" t="str">
        <f t="shared" si="1"/>
        <v>السبت</v>
      </c>
      <c r="F226" s="364">
        <f t="shared" si="2"/>
        <v>12</v>
      </c>
      <c r="G226" s="365">
        <f t="shared" si="9"/>
        <v>0</v>
      </c>
      <c r="H226" s="366"/>
      <c r="I226" s="366"/>
      <c r="J226" s="366"/>
      <c r="K226" s="367" t="str">
        <f t="shared" si="4"/>
        <v>يوم عادي</v>
      </c>
      <c r="L226" s="368">
        <f>(MIN(Attendance!D226, TIME(18, 0, 0)) - Attendance!C226) * 24</f>
        <v>18</v>
      </c>
      <c r="M226" s="369">
        <f t="shared" si="5"/>
        <v>-18</v>
      </c>
      <c r="N226" s="369"/>
      <c r="O226" s="369"/>
      <c r="P226" s="369"/>
    </row>
    <row r="227" ht="22.5" customHeight="1">
      <c r="A227" s="394"/>
      <c r="B227" s="395"/>
      <c r="C227" s="396"/>
      <c r="D227" s="396"/>
      <c r="E227" s="363" t="str">
        <f t="shared" si="1"/>
        <v>السبت</v>
      </c>
      <c r="F227" s="364">
        <f t="shared" si="2"/>
        <v>12</v>
      </c>
      <c r="G227" s="365">
        <f t="shared" si="9"/>
        <v>0</v>
      </c>
      <c r="H227" s="366"/>
      <c r="I227" s="366"/>
      <c r="J227" s="366"/>
      <c r="K227" s="367" t="str">
        <f t="shared" si="4"/>
        <v>يوم عادي</v>
      </c>
      <c r="L227" s="368">
        <f>(MIN(Attendance!D227, TIME(18, 0, 0)) - Attendance!C227) * 24</f>
        <v>18</v>
      </c>
      <c r="M227" s="369">
        <f t="shared" si="5"/>
        <v>-18</v>
      </c>
      <c r="N227" s="377"/>
      <c r="O227" s="377"/>
      <c r="P227" s="377"/>
    </row>
    <row r="228" ht="22.5" customHeight="1">
      <c r="A228" s="394"/>
      <c r="B228" s="395"/>
      <c r="C228" s="396"/>
      <c r="D228" s="396"/>
      <c r="E228" s="363" t="str">
        <f t="shared" si="1"/>
        <v>السبت</v>
      </c>
      <c r="F228" s="364">
        <f t="shared" si="2"/>
        <v>12</v>
      </c>
      <c r="G228" s="365">
        <f t="shared" si="9"/>
        <v>0</v>
      </c>
      <c r="H228" s="366"/>
      <c r="I228" s="366"/>
      <c r="J228" s="366"/>
      <c r="K228" s="367" t="str">
        <f t="shared" si="4"/>
        <v>يوم عادي</v>
      </c>
      <c r="L228" s="368">
        <f>(MIN(Attendance!D228, TIME(18, 0, 0)) - Attendance!C228) * 24</f>
        <v>18</v>
      </c>
      <c r="M228" s="369">
        <f t="shared" si="5"/>
        <v>-18</v>
      </c>
      <c r="N228" s="369"/>
      <c r="O228" s="369"/>
      <c r="P228" s="369"/>
    </row>
    <row r="229" ht="22.5" customHeight="1">
      <c r="A229" s="394"/>
      <c r="B229" s="395"/>
      <c r="C229" s="396"/>
      <c r="D229" s="396"/>
      <c r="E229" s="363" t="str">
        <f t="shared" si="1"/>
        <v>السبت</v>
      </c>
      <c r="F229" s="364">
        <f t="shared" si="2"/>
        <v>12</v>
      </c>
      <c r="G229" s="365">
        <f t="shared" si="9"/>
        <v>0</v>
      </c>
      <c r="H229" s="366"/>
      <c r="I229" s="366"/>
      <c r="J229" s="366"/>
      <c r="K229" s="367" t="str">
        <f t="shared" si="4"/>
        <v>يوم عادي</v>
      </c>
      <c r="L229" s="368">
        <f>(MIN(Attendance!D229, TIME(18, 0, 0)) - Attendance!C229) * 24</f>
        <v>18</v>
      </c>
      <c r="M229" s="369">
        <f t="shared" si="5"/>
        <v>-18</v>
      </c>
      <c r="N229" s="377"/>
      <c r="O229" s="377"/>
      <c r="P229" s="377"/>
    </row>
    <row r="230" ht="22.5" customHeight="1">
      <c r="A230" s="394"/>
      <c r="B230" s="395"/>
      <c r="C230" s="396"/>
      <c r="D230" s="396"/>
      <c r="E230" s="363" t="str">
        <f t="shared" si="1"/>
        <v>السبت</v>
      </c>
      <c r="F230" s="364">
        <f t="shared" si="2"/>
        <v>12</v>
      </c>
      <c r="G230" s="365">
        <f t="shared" si="9"/>
        <v>0</v>
      </c>
      <c r="H230" s="366"/>
      <c r="I230" s="366"/>
      <c r="J230" s="366"/>
      <c r="K230" s="367" t="str">
        <f t="shared" si="4"/>
        <v>يوم عادي</v>
      </c>
      <c r="L230" s="368">
        <f>(MIN(Attendance!D230, TIME(18, 0, 0)) - Attendance!C230) * 24</f>
        <v>18</v>
      </c>
      <c r="M230" s="369">
        <f t="shared" si="5"/>
        <v>-18</v>
      </c>
      <c r="N230" s="369"/>
      <c r="O230" s="369"/>
      <c r="P230" s="369"/>
    </row>
    <row r="231" ht="22.5" customHeight="1">
      <c r="A231" s="394"/>
      <c r="B231" s="395"/>
      <c r="C231" s="396"/>
      <c r="D231" s="396"/>
      <c r="E231" s="363" t="str">
        <f t="shared" si="1"/>
        <v>السبت</v>
      </c>
      <c r="F231" s="364">
        <f t="shared" si="2"/>
        <v>12</v>
      </c>
      <c r="G231" s="365">
        <f t="shared" si="9"/>
        <v>0</v>
      </c>
      <c r="H231" s="366"/>
      <c r="I231" s="366"/>
      <c r="J231" s="366"/>
      <c r="K231" s="367" t="str">
        <f t="shared" si="4"/>
        <v>يوم عادي</v>
      </c>
      <c r="L231" s="368">
        <f>(MIN(Attendance!D231, TIME(18, 0, 0)) - Attendance!C231) * 24</f>
        <v>18</v>
      </c>
      <c r="M231" s="369">
        <f t="shared" si="5"/>
        <v>-18</v>
      </c>
      <c r="N231" s="377"/>
      <c r="O231" s="377"/>
      <c r="P231" s="377"/>
    </row>
    <row r="232" ht="22.5" customHeight="1">
      <c r="A232" s="394"/>
      <c r="B232" s="395"/>
      <c r="C232" s="396"/>
      <c r="D232" s="396"/>
      <c r="E232" s="363" t="str">
        <f t="shared" si="1"/>
        <v>السبت</v>
      </c>
      <c r="F232" s="364">
        <f t="shared" si="2"/>
        <v>12</v>
      </c>
      <c r="G232" s="365">
        <f t="shared" si="9"/>
        <v>0</v>
      </c>
      <c r="H232" s="366"/>
      <c r="I232" s="366"/>
      <c r="J232" s="366"/>
      <c r="K232" s="367" t="str">
        <f t="shared" si="4"/>
        <v>يوم عادي</v>
      </c>
      <c r="L232" s="368">
        <f>(MIN(Attendance!D232, TIME(18, 0, 0)) - Attendance!C232) * 24</f>
        <v>18</v>
      </c>
      <c r="M232" s="369">
        <f t="shared" si="5"/>
        <v>-18</v>
      </c>
      <c r="N232" s="369"/>
      <c r="O232" s="369"/>
      <c r="P232" s="369"/>
    </row>
    <row r="233" ht="22.5" customHeight="1">
      <c r="A233" s="394"/>
      <c r="B233" s="395"/>
      <c r="C233" s="396"/>
      <c r="D233" s="396"/>
      <c r="E233" s="363" t="str">
        <f t="shared" si="1"/>
        <v>السبت</v>
      </c>
      <c r="F233" s="364">
        <f t="shared" si="2"/>
        <v>12</v>
      </c>
      <c r="G233" s="365">
        <f t="shared" si="9"/>
        <v>0</v>
      </c>
      <c r="H233" s="366"/>
      <c r="I233" s="366"/>
      <c r="J233" s="366"/>
      <c r="K233" s="367" t="str">
        <f t="shared" si="4"/>
        <v>يوم عادي</v>
      </c>
      <c r="L233" s="368">
        <f>(MIN(Attendance!D233, TIME(18, 0, 0)) - Attendance!C233) * 24</f>
        <v>18</v>
      </c>
      <c r="M233" s="369">
        <f t="shared" si="5"/>
        <v>-18</v>
      </c>
      <c r="N233" s="377"/>
      <c r="O233" s="377"/>
      <c r="P233" s="377"/>
    </row>
    <row r="234" ht="22.5" customHeight="1">
      <c r="A234" s="394"/>
      <c r="B234" s="395"/>
      <c r="C234" s="396"/>
      <c r="D234" s="396"/>
      <c r="E234" s="363" t="str">
        <f t="shared" si="1"/>
        <v>السبت</v>
      </c>
      <c r="F234" s="364">
        <f t="shared" si="2"/>
        <v>12</v>
      </c>
      <c r="G234" s="365">
        <f t="shared" si="9"/>
        <v>0</v>
      </c>
      <c r="H234" s="366"/>
      <c r="I234" s="366"/>
      <c r="J234" s="366"/>
      <c r="K234" s="367" t="str">
        <f t="shared" si="4"/>
        <v>يوم عادي</v>
      </c>
      <c r="L234" s="368">
        <f>(MIN(Attendance!D234, TIME(18, 0, 0)) - Attendance!C234) * 24</f>
        <v>18</v>
      </c>
      <c r="M234" s="369">
        <f t="shared" si="5"/>
        <v>-18</v>
      </c>
      <c r="N234" s="369"/>
      <c r="O234" s="369"/>
      <c r="P234" s="369"/>
    </row>
    <row r="235" ht="22.5" customHeight="1">
      <c r="A235" s="394"/>
      <c r="B235" s="395"/>
      <c r="C235" s="396"/>
      <c r="D235" s="396"/>
      <c r="E235" s="363" t="str">
        <f t="shared" si="1"/>
        <v>السبت</v>
      </c>
      <c r="F235" s="364">
        <f t="shared" si="2"/>
        <v>12</v>
      </c>
      <c r="G235" s="365">
        <f t="shared" si="9"/>
        <v>0</v>
      </c>
      <c r="H235" s="366"/>
      <c r="I235" s="366"/>
      <c r="J235" s="366"/>
      <c r="K235" s="367" t="str">
        <f t="shared" si="4"/>
        <v>يوم عادي</v>
      </c>
      <c r="L235" s="368">
        <f>(MIN(Attendance!D235, TIME(18, 0, 0)) - Attendance!C235) * 24</f>
        <v>18</v>
      </c>
      <c r="M235" s="369">
        <f t="shared" si="5"/>
        <v>-18</v>
      </c>
      <c r="N235" s="377"/>
      <c r="O235" s="377"/>
      <c r="P235" s="377"/>
    </row>
    <row r="236" ht="22.5" customHeight="1">
      <c r="A236" s="394"/>
      <c r="B236" s="395"/>
      <c r="C236" s="396"/>
      <c r="D236" s="396"/>
      <c r="E236" s="363" t="str">
        <f t="shared" si="1"/>
        <v>السبت</v>
      </c>
      <c r="F236" s="364">
        <f t="shared" si="2"/>
        <v>12</v>
      </c>
      <c r="G236" s="365">
        <f t="shared" si="9"/>
        <v>0</v>
      </c>
      <c r="H236" s="366"/>
      <c r="I236" s="366"/>
      <c r="J236" s="366"/>
      <c r="K236" s="367" t="str">
        <f t="shared" si="4"/>
        <v>يوم عادي</v>
      </c>
      <c r="L236" s="368">
        <f>(MIN(Attendance!D236, TIME(18, 0, 0)) - Attendance!C236) * 24</f>
        <v>18</v>
      </c>
      <c r="M236" s="369">
        <f t="shared" si="5"/>
        <v>-18</v>
      </c>
      <c r="N236" s="369"/>
      <c r="O236" s="369"/>
      <c r="P236" s="369"/>
    </row>
    <row r="237" ht="22.5" customHeight="1">
      <c r="A237" s="394"/>
      <c r="B237" s="395"/>
      <c r="C237" s="396"/>
      <c r="D237" s="396"/>
      <c r="E237" s="363" t="str">
        <f t="shared" si="1"/>
        <v>السبت</v>
      </c>
      <c r="F237" s="364">
        <f t="shared" si="2"/>
        <v>12</v>
      </c>
      <c r="G237" s="365">
        <f t="shared" si="9"/>
        <v>0</v>
      </c>
      <c r="H237" s="366"/>
      <c r="I237" s="366"/>
      <c r="J237" s="366"/>
      <c r="K237" s="367" t="str">
        <f t="shared" si="4"/>
        <v>يوم عادي</v>
      </c>
      <c r="L237" s="368">
        <f>(MIN(Attendance!D237, TIME(18, 0, 0)) - Attendance!C237) * 24</f>
        <v>18</v>
      </c>
      <c r="M237" s="369">
        <f t="shared" si="5"/>
        <v>-18</v>
      </c>
      <c r="N237" s="377"/>
      <c r="O237" s="377"/>
      <c r="P237" s="377"/>
    </row>
    <row r="238" ht="22.5" customHeight="1">
      <c r="A238" s="394"/>
      <c r="B238" s="395"/>
      <c r="C238" s="396"/>
      <c r="D238" s="396"/>
      <c r="E238" s="363" t="str">
        <f t="shared" si="1"/>
        <v>السبت</v>
      </c>
      <c r="F238" s="364">
        <f t="shared" si="2"/>
        <v>12</v>
      </c>
      <c r="G238" s="365">
        <f t="shared" si="9"/>
        <v>0</v>
      </c>
      <c r="H238" s="366"/>
      <c r="I238" s="366"/>
      <c r="J238" s="366"/>
      <c r="K238" s="367" t="str">
        <f t="shared" si="4"/>
        <v>يوم عادي</v>
      </c>
      <c r="L238" s="368">
        <f>(MIN(Attendance!D238, TIME(18, 0, 0)) - Attendance!C238) * 24</f>
        <v>18</v>
      </c>
      <c r="M238" s="369">
        <f t="shared" si="5"/>
        <v>-18</v>
      </c>
      <c r="N238" s="369"/>
      <c r="O238" s="369"/>
      <c r="P238" s="369"/>
    </row>
    <row r="239" ht="22.5" customHeight="1">
      <c r="A239" s="394"/>
      <c r="B239" s="395"/>
      <c r="C239" s="396"/>
      <c r="D239" s="396"/>
      <c r="E239" s="363" t="str">
        <f t="shared" si="1"/>
        <v>السبت</v>
      </c>
      <c r="F239" s="364">
        <f t="shared" si="2"/>
        <v>12</v>
      </c>
      <c r="G239" s="365">
        <f t="shared" si="9"/>
        <v>0</v>
      </c>
      <c r="H239" s="366"/>
      <c r="I239" s="366"/>
      <c r="J239" s="366"/>
      <c r="K239" s="367" t="str">
        <f t="shared" si="4"/>
        <v>يوم عادي</v>
      </c>
      <c r="L239" s="368">
        <f>(MIN(Attendance!D239, TIME(18, 0, 0)) - Attendance!C239) * 24</f>
        <v>18</v>
      </c>
      <c r="M239" s="369">
        <f t="shared" si="5"/>
        <v>-18</v>
      </c>
      <c r="N239" s="377"/>
      <c r="O239" s="377"/>
      <c r="P239" s="377"/>
    </row>
    <row r="240" ht="22.5" customHeight="1">
      <c r="A240" s="394"/>
      <c r="B240" s="395"/>
      <c r="C240" s="396"/>
      <c r="D240" s="396"/>
      <c r="E240" s="363" t="str">
        <f t="shared" si="1"/>
        <v>السبت</v>
      </c>
      <c r="F240" s="364">
        <f t="shared" si="2"/>
        <v>12</v>
      </c>
      <c r="G240" s="365">
        <f t="shared" si="9"/>
        <v>0</v>
      </c>
      <c r="H240" s="366"/>
      <c r="I240" s="366"/>
      <c r="J240" s="366"/>
      <c r="K240" s="367" t="str">
        <f t="shared" si="4"/>
        <v>يوم عادي</v>
      </c>
      <c r="L240" s="368">
        <f>(MIN(Attendance!D240, TIME(18, 0, 0)) - Attendance!C240) * 24</f>
        <v>18</v>
      </c>
      <c r="M240" s="369">
        <f t="shared" si="5"/>
        <v>-18</v>
      </c>
      <c r="N240" s="369"/>
      <c r="O240" s="369"/>
      <c r="P240" s="369"/>
    </row>
    <row r="241" ht="22.5" customHeight="1">
      <c r="A241" s="394"/>
      <c r="B241" s="395"/>
      <c r="C241" s="396"/>
      <c r="D241" s="396"/>
      <c r="E241" s="363" t="str">
        <f t="shared" si="1"/>
        <v>السبت</v>
      </c>
      <c r="F241" s="364">
        <f t="shared" si="2"/>
        <v>12</v>
      </c>
      <c r="G241" s="365">
        <f t="shared" si="9"/>
        <v>0</v>
      </c>
      <c r="H241" s="366"/>
      <c r="I241" s="366"/>
      <c r="J241" s="366"/>
      <c r="K241" s="367" t="str">
        <f t="shared" si="4"/>
        <v>يوم عادي</v>
      </c>
      <c r="L241" s="368">
        <f>(MIN(Attendance!D241, TIME(18, 0, 0)) - Attendance!C241) * 24</f>
        <v>18</v>
      </c>
      <c r="M241" s="369">
        <f t="shared" si="5"/>
        <v>-18</v>
      </c>
      <c r="N241" s="377"/>
      <c r="O241" s="377"/>
      <c r="P241" s="377"/>
    </row>
    <row r="242" ht="22.5" customHeight="1">
      <c r="A242" s="394"/>
      <c r="B242" s="395"/>
      <c r="C242" s="396"/>
      <c r="D242" s="396"/>
      <c r="E242" s="363" t="str">
        <f t="shared" si="1"/>
        <v>السبت</v>
      </c>
      <c r="F242" s="364">
        <f t="shared" si="2"/>
        <v>12</v>
      </c>
      <c r="G242" s="365">
        <f t="shared" si="9"/>
        <v>0</v>
      </c>
      <c r="H242" s="366"/>
      <c r="I242" s="366"/>
      <c r="J242" s="366"/>
      <c r="K242" s="367" t="str">
        <f t="shared" si="4"/>
        <v>يوم عادي</v>
      </c>
      <c r="L242" s="368">
        <f>(MIN(Attendance!D242, TIME(18, 0, 0)) - Attendance!C242) * 24</f>
        <v>18</v>
      </c>
      <c r="M242" s="369">
        <f t="shared" si="5"/>
        <v>-18</v>
      </c>
      <c r="N242" s="369"/>
      <c r="O242" s="369"/>
      <c r="P242" s="369"/>
    </row>
    <row r="243" ht="22.5" customHeight="1">
      <c r="A243" s="394"/>
      <c r="B243" s="395"/>
      <c r="C243" s="396"/>
      <c r="D243" s="396"/>
      <c r="E243" s="363" t="str">
        <f t="shared" si="1"/>
        <v>السبت</v>
      </c>
      <c r="F243" s="364">
        <f t="shared" si="2"/>
        <v>12</v>
      </c>
      <c r="G243" s="365">
        <f t="shared" si="9"/>
        <v>0</v>
      </c>
      <c r="H243" s="366"/>
      <c r="I243" s="366"/>
      <c r="J243" s="366"/>
      <c r="K243" s="367" t="str">
        <f t="shared" si="4"/>
        <v>يوم عادي</v>
      </c>
      <c r="L243" s="368">
        <f>(MIN(Attendance!D243, TIME(18, 0, 0)) - Attendance!C243) * 24</f>
        <v>18</v>
      </c>
      <c r="M243" s="369">
        <f t="shared" si="5"/>
        <v>-18</v>
      </c>
      <c r="N243" s="377"/>
      <c r="O243" s="377"/>
      <c r="P243" s="377"/>
    </row>
    <row r="244" ht="22.5" customHeight="1">
      <c r="A244" s="394"/>
      <c r="B244" s="395"/>
      <c r="C244" s="396"/>
      <c r="D244" s="396"/>
      <c r="E244" s="363" t="str">
        <f t="shared" si="1"/>
        <v>السبت</v>
      </c>
      <c r="F244" s="364">
        <f t="shared" si="2"/>
        <v>12</v>
      </c>
      <c r="G244" s="365">
        <f t="shared" si="9"/>
        <v>0</v>
      </c>
      <c r="H244" s="366"/>
      <c r="I244" s="366"/>
      <c r="J244" s="366"/>
      <c r="K244" s="367" t="str">
        <f t="shared" si="4"/>
        <v>يوم عادي</v>
      </c>
      <c r="L244" s="368">
        <f>(MIN(Attendance!D244, TIME(18, 0, 0)) - Attendance!C244) * 24</f>
        <v>18</v>
      </c>
      <c r="M244" s="369">
        <f t="shared" si="5"/>
        <v>-18</v>
      </c>
      <c r="N244" s="369"/>
      <c r="O244" s="369"/>
      <c r="P244" s="369"/>
    </row>
    <row r="245" ht="22.5" customHeight="1">
      <c r="A245" s="394"/>
      <c r="B245" s="395"/>
      <c r="C245" s="396"/>
      <c r="D245" s="396"/>
      <c r="E245" s="363" t="str">
        <f t="shared" si="1"/>
        <v>السبت</v>
      </c>
      <c r="F245" s="364">
        <f t="shared" si="2"/>
        <v>12</v>
      </c>
      <c r="G245" s="365">
        <f t="shared" si="9"/>
        <v>0</v>
      </c>
      <c r="H245" s="366"/>
      <c r="I245" s="366"/>
      <c r="J245" s="366"/>
      <c r="K245" s="367" t="str">
        <f t="shared" si="4"/>
        <v>يوم عادي</v>
      </c>
      <c r="L245" s="368">
        <f>(MIN(Attendance!D245, TIME(18, 0, 0)) - Attendance!C245) * 24</f>
        <v>18</v>
      </c>
      <c r="M245" s="369">
        <f t="shared" si="5"/>
        <v>-18</v>
      </c>
      <c r="N245" s="377"/>
      <c r="O245" s="377"/>
      <c r="P245" s="377"/>
    </row>
    <row r="246" ht="22.5" customHeight="1">
      <c r="A246" s="394"/>
      <c r="B246" s="395"/>
      <c r="C246" s="396"/>
      <c r="D246" s="396"/>
      <c r="E246" s="363" t="str">
        <f t="shared" si="1"/>
        <v>السبت</v>
      </c>
      <c r="F246" s="364">
        <f t="shared" si="2"/>
        <v>12</v>
      </c>
      <c r="G246" s="365">
        <f t="shared" si="9"/>
        <v>0</v>
      </c>
      <c r="H246" s="366"/>
      <c r="I246" s="366"/>
      <c r="J246" s="366"/>
      <c r="K246" s="367" t="str">
        <f t="shared" si="4"/>
        <v>يوم عادي</v>
      </c>
      <c r="L246" s="368">
        <f>(MIN(Attendance!D246, TIME(18, 0, 0)) - Attendance!C246) * 24</f>
        <v>18</v>
      </c>
      <c r="M246" s="369">
        <f t="shared" si="5"/>
        <v>-18</v>
      </c>
      <c r="N246" s="369"/>
      <c r="O246" s="369"/>
      <c r="P246" s="369"/>
    </row>
    <row r="247" ht="22.5" customHeight="1">
      <c r="A247" s="394"/>
      <c r="B247" s="395"/>
      <c r="C247" s="396"/>
      <c r="D247" s="396"/>
      <c r="E247" s="363" t="str">
        <f t="shared" si="1"/>
        <v>السبت</v>
      </c>
      <c r="F247" s="364">
        <f t="shared" si="2"/>
        <v>12</v>
      </c>
      <c r="G247" s="365">
        <f t="shared" si="9"/>
        <v>0</v>
      </c>
      <c r="H247" s="366"/>
      <c r="I247" s="366"/>
      <c r="J247" s="366"/>
      <c r="K247" s="367" t="str">
        <f t="shared" si="4"/>
        <v>يوم عادي</v>
      </c>
      <c r="L247" s="368">
        <f>(MIN(Attendance!D247, TIME(18, 0, 0)) - Attendance!C247) * 24</f>
        <v>18</v>
      </c>
      <c r="M247" s="369">
        <f t="shared" si="5"/>
        <v>-18</v>
      </c>
      <c r="N247" s="377"/>
      <c r="O247" s="377"/>
      <c r="P247" s="377"/>
    </row>
    <row r="248" ht="22.5" customHeight="1">
      <c r="A248" s="394"/>
      <c r="B248" s="395"/>
      <c r="C248" s="396"/>
      <c r="D248" s="396"/>
      <c r="E248" s="363" t="str">
        <f t="shared" si="1"/>
        <v>السبت</v>
      </c>
      <c r="F248" s="364">
        <f t="shared" si="2"/>
        <v>12</v>
      </c>
      <c r="G248" s="365">
        <f t="shared" si="9"/>
        <v>0</v>
      </c>
      <c r="H248" s="366"/>
      <c r="I248" s="366"/>
      <c r="J248" s="366"/>
      <c r="K248" s="367" t="str">
        <f t="shared" si="4"/>
        <v>يوم عادي</v>
      </c>
      <c r="L248" s="368">
        <f>(MIN(Attendance!D248, TIME(18, 0, 0)) - Attendance!C248) * 24</f>
        <v>18</v>
      </c>
      <c r="M248" s="369">
        <f t="shared" si="5"/>
        <v>-18</v>
      </c>
      <c r="N248" s="369"/>
      <c r="O248" s="369"/>
      <c r="P248" s="369"/>
    </row>
    <row r="249" ht="22.5" customHeight="1">
      <c r="A249" s="394"/>
      <c r="B249" s="395"/>
      <c r="C249" s="396"/>
      <c r="D249" s="396"/>
      <c r="E249" s="363" t="str">
        <f t="shared" si="1"/>
        <v>السبت</v>
      </c>
      <c r="F249" s="364">
        <f t="shared" si="2"/>
        <v>12</v>
      </c>
      <c r="G249" s="365">
        <f t="shared" si="9"/>
        <v>0</v>
      </c>
      <c r="H249" s="366"/>
      <c r="I249" s="366"/>
      <c r="J249" s="366"/>
      <c r="K249" s="367" t="str">
        <f t="shared" si="4"/>
        <v>يوم عادي</v>
      </c>
      <c r="L249" s="368">
        <f>(MIN(Attendance!D249, TIME(18, 0, 0)) - Attendance!C249) * 24</f>
        <v>18</v>
      </c>
      <c r="M249" s="369">
        <f t="shared" si="5"/>
        <v>-18</v>
      </c>
      <c r="N249" s="377"/>
      <c r="O249" s="377"/>
      <c r="P249" s="377"/>
    </row>
    <row r="250" ht="22.5" customHeight="1">
      <c r="A250" s="394"/>
      <c r="B250" s="395"/>
      <c r="C250" s="396"/>
      <c r="D250" s="396"/>
      <c r="E250" s="363" t="str">
        <f t="shared" si="1"/>
        <v>السبت</v>
      </c>
      <c r="F250" s="364">
        <f t="shared" si="2"/>
        <v>12</v>
      </c>
      <c r="G250" s="365">
        <f t="shared" si="9"/>
        <v>0</v>
      </c>
      <c r="H250" s="366"/>
      <c r="I250" s="366"/>
      <c r="J250" s="366"/>
      <c r="K250" s="367" t="str">
        <f t="shared" si="4"/>
        <v>يوم عادي</v>
      </c>
      <c r="L250" s="368">
        <f>(MIN(Attendance!D250, TIME(18, 0, 0)) - Attendance!C250) * 24</f>
        <v>18</v>
      </c>
      <c r="M250" s="369">
        <f t="shared" si="5"/>
        <v>-18</v>
      </c>
      <c r="N250" s="369"/>
      <c r="O250" s="369"/>
      <c r="P250" s="369"/>
    </row>
    <row r="251" ht="22.5" customHeight="1">
      <c r="A251" s="394"/>
      <c r="B251" s="395"/>
      <c r="C251" s="396"/>
      <c r="D251" s="396"/>
      <c r="E251" s="363" t="str">
        <f t="shared" si="1"/>
        <v>السبت</v>
      </c>
      <c r="F251" s="364">
        <f t="shared" si="2"/>
        <v>12</v>
      </c>
      <c r="G251" s="365">
        <f t="shared" si="9"/>
        <v>0</v>
      </c>
      <c r="H251" s="366"/>
      <c r="I251" s="366"/>
      <c r="J251" s="366"/>
      <c r="K251" s="367" t="str">
        <f t="shared" si="4"/>
        <v>يوم عادي</v>
      </c>
      <c r="L251" s="368">
        <f>(MIN(Attendance!D251, TIME(18, 0, 0)) - Attendance!C251) * 24</f>
        <v>18</v>
      </c>
      <c r="M251" s="369">
        <f t="shared" si="5"/>
        <v>-18</v>
      </c>
      <c r="N251" s="377"/>
      <c r="O251" s="377"/>
      <c r="P251" s="377"/>
    </row>
    <row r="252" ht="22.5" customHeight="1">
      <c r="A252" s="394"/>
      <c r="B252" s="395"/>
      <c r="C252" s="396"/>
      <c r="D252" s="396"/>
      <c r="E252" s="363" t="str">
        <f t="shared" si="1"/>
        <v>السبت</v>
      </c>
      <c r="F252" s="364">
        <f t="shared" si="2"/>
        <v>12</v>
      </c>
      <c r="G252" s="365">
        <f t="shared" si="9"/>
        <v>0</v>
      </c>
      <c r="H252" s="366"/>
      <c r="I252" s="366"/>
      <c r="J252" s="366"/>
      <c r="K252" s="367" t="str">
        <f t="shared" si="4"/>
        <v>يوم عادي</v>
      </c>
      <c r="L252" s="368">
        <f>(MIN(Attendance!D252, TIME(18, 0, 0)) - Attendance!C252) * 24</f>
        <v>18</v>
      </c>
      <c r="M252" s="369">
        <f t="shared" si="5"/>
        <v>-18</v>
      </c>
      <c r="N252" s="369"/>
      <c r="O252" s="369"/>
      <c r="P252" s="369"/>
    </row>
    <row r="253" ht="22.5" customHeight="1">
      <c r="A253" s="394"/>
      <c r="B253" s="395"/>
      <c r="C253" s="396"/>
      <c r="D253" s="396"/>
      <c r="E253" s="363" t="str">
        <f t="shared" si="1"/>
        <v>السبت</v>
      </c>
      <c r="F253" s="364">
        <f t="shared" si="2"/>
        <v>12</v>
      </c>
      <c r="G253" s="365">
        <f t="shared" si="9"/>
        <v>0</v>
      </c>
      <c r="H253" s="366"/>
      <c r="I253" s="366"/>
      <c r="J253" s="366"/>
      <c r="K253" s="367" t="str">
        <f t="shared" si="4"/>
        <v>يوم عادي</v>
      </c>
      <c r="L253" s="368">
        <f>(MIN(Attendance!D253, TIME(18, 0, 0)) - Attendance!C253) * 24</f>
        <v>18</v>
      </c>
      <c r="M253" s="369">
        <f t="shared" si="5"/>
        <v>-18</v>
      </c>
      <c r="N253" s="377"/>
      <c r="O253" s="377"/>
      <c r="P253" s="377"/>
    </row>
    <row r="254" ht="22.5" customHeight="1">
      <c r="A254" s="394"/>
      <c r="B254" s="395"/>
      <c r="C254" s="396"/>
      <c r="D254" s="396"/>
      <c r="E254" s="363" t="str">
        <f t="shared" si="1"/>
        <v>السبت</v>
      </c>
      <c r="F254" s="364">
        <f t="shared" si="2"/>
        <v>12</v>
      </c>
      <c r="G254" s="365">
        <f t="shared" si="9"/>
        <v>0</v>
      </c>
      <c r="H254" s="366"/>
      <c r="I254" s="366"/>
      <c r="J254" s="366"/>
      <c r="K254" s="367" t="str">
        <f t="shared" si="4"/>
        <v>يوم عادي</v>
      </c>
      <c r="L254" s="368">
        <f>(MIN(Attendance!D254, TIME(18, 0, 0)) - Attendance!C254) * 24</f>
        <v>18</v>
      </c>
      <c r="M254" s="369">
        <f t="shared" si="5"/>
        <v>-18</v>
      </c>
      <c r="N254" s="369"/>
      <c r="O254" s="369"/>
      <c r="P254" s="369"/>
    </row>
    <row r="255" ht="22.5" customHeight="1">
      <c r="A255" s="394"/>
      <c r="B255" s="395"/>
      <c r="C255" s="396"/>
      <c r="D255" s="396"/>
      <c r="E255" s="363" t="str">
        <f t="shared" si="1"/>
        <v>السبت</v>
      </c>
      <c r="F255" s="364">
        <f t="shared" si="2"/>
        <v>12</v>
      </c>
      <c r="G255" s="365">
        <f t="shared" si="9"/>
        <v>0</v>
      </c>
      <c r="H255" s="366"/>
      <c r="I255" s="366"/>
      <c r="J255" s="366"/>
      <c r="K255" s="367" t="str">
        <f t="shared" si="4"/>
        <v>يوم عادي</v>
      </c>
      <c r="L255" s="368">
        <f>(MIN(Attendance!D255, TIME(18, 0, 0)) - Attendance!C255) * 24</f>
        <v>18</v>
      </c>
      <c r="M255" s="369">
        <f t="shared" si="5"/>
        <v>-18</v>
      </c>
      <c r="N255" s="377"/>
      <c r="O255" s="377"/>
      <c r="P255" s="377"/>
    </row>
    <row r="256" ht="22.5" customHeight="1">
      <c r="A256" s="394"/>
      <c r="B256" s="395"/>
      <c r="C256" s="396"/>
      <c r="D256" s="396"/>
      <c r="E256" s="363" t="str">
        <f t="shared" si="1"/>
        <v>السبت</v>
      </c>
      <c r="F256" s="364">
        <f t="shared" si="2"/>
        <v>12</v>
      </c>
      <c r="G256" s="365">
        <f t="shared" si="9"/>
        <v>0</v>
      </c>
      <c r="H256" s="366"/>
      <c r="I256" s="366"/>
      <c r="J256" s="366"/>
      <c r="K256" s="367" t="str">
        <f t="shared" si="4"/>
        <v>يوم عادي</v>
      </c>
      <c r="L256" s="368">
        <f>(MIN(Attendance!D256, TIME(18, 0, 0)) - Attendance!C256) * 24</f>
        <v>18</v>
      </c>
      <c r="M256" s="369">
        <f t="shared" si="5"/>
        <v>-18</v>
      </c>
      <c r="N256" s="369"/>
      <c r="O256" s="369"/>
      <c r="P256" s="369"/>
    </row>
    <row r="257" ht="22.5" customHeight="1">
      <c r="A257" s="394"/>
      <c r="B257" s="395"/>
      <c r="C257" s="396"/>
      <c r="D257" s="396"/>
      <c r="E257" s="363" t="str">
        <f t="shared" si="1"/>
        <v>السبت</v>
      </c>
      <c r="F257" s="364">
        <f t="shared" si="2"/>
        <v>12</v>
      </c>
      <c r="G257" s="365">
        <f t="shared" si="9"/>
        <v>0</v>
      </c>
      <c r="H257" s="366"/>
      <c r="I257" s="366"/>
      <c r="J257" s="366"/>
      <c r="K257" s="367" t="str">
        <f t="shared" si="4"/>
        <v>يوم عادي</v>
      </c>
      <c r="L257" s="368">
        <f>(MIN(Attendance!D257, TIME(18, 0, 0)) - Attendance!C257) * 24</f>
        <v>18</v>
      </c>
      <c r="M257" s="369">
        <f t="shared" si="5"/>
        <v>-18</v>
      </c>
      <c r="N257" s="377"/>
      <c r="O257" s="377"/>
      <c r="P257" s="377"/>
    </row>
    <row r="258" ht="22.5" customHeight="1">
      <c r="A258" s="394"/>
      <c r="B258" s="395"/>
      <c r="C258" s="396"/>
      <c r="D258" s="396"/>
      <c r="E258" s="363" t="str">
        <f t="shared" si="1"/>
        <v>السبت</v>
      </c>
      <c r="F258" s="364">
        <f t="shared" si="2"/>
        <v>12</v>
      </c>
      <c r="G258" s="365">
        <f t="shared" si="9"/>
        <v>0</v>
      </c>
      <c r="H258" s="366"/>
      <c r="I258" s="366"/>
      <c r="J258" s="366"/>
      <c r="K258" s="367" t="str">
        <f t="shared" si="4"/>
        <v>يوم عادي</v>
      </c>
      <c r="L258" s="368">
        <f>(MIN(Attendance!D258, TIME(18, 0, 0)) - Attendance!C258) * 24</f>
        <v>18</v>
      </c>
      <c r="M258" s="369">
        <f t="shared" si="5"/>
        <v>-18</v>
      </c>
      <c r="N258" s="369"/>
      <c r="O258" s="369"/>
      <c r="P258" s="369"/>
    </row>
    <row r="259" ht="22.5" customHeight="1">
      <c r="A259" s="394"/>
      <c r="B259" s="395"/>
      <c r="C259" s="396"/>
      <c r="D259" s="396"/>
      <c r="E259" s="363" t="str">
        <f t="shared" si="1"/>
        <v>السبت</v>
      </c>
      <c r="F259" s="364">
        <f t="shared" si="2"/>
        <v>12</v>
      </c>
      <c r="G259" s="365">
        <f t="shared" si="9"/>
        <v>0</v>
      </c>
      <c r="H259" s="366"/>
      <c r="I259" s="366"/>
      <c r="J259" s="366"/>
      <c r="K259" s="367" t="str">
        <f t="shared" si="4"/>
        <v>يوم عادي</v>
      </c>
      <c r="L259" s="368">
        <f>(MIN(Attendance!D259, TIME(18, 0, 0)) - Attendance!C259) * 24</f>
        <v>18</v>
      </c>
      <c r="M259" s="369">
        <f t="shared" si="5"/>
        <v>-18</v>
      </c>
      <c r="N259" s="377"/>
      <c r="O259" s="377"/>
      <c r="P259" s="377"/>
    </row>
    <row r="260" ht="22.5" customHeight="1">
      <c r="A260" s="394"/>
      <c r="B260" s="395"/>
      <c r="C260" s="396"/>
      <c r="D260" s="396"/>
      <c r="E260" s="363" t="str">
        <f t="shared" si="1"/>
        <v>السبت</v>
      </c>
      <c r="F260" s="364">
        <f t="shared" si="2"/>
        <v>12</v>
      </c>
      <c r="G260" s="365">
        <f t="shared" si="9"/>
        <v>0</v>
      </c>
      <c r="H260" s="366"/>
      <c r="I260" s="366"/>
      <c r="J260" s="366"/>
      <c r="K260" s="367" t="str">
        <f t="shared" si="4"/>
        <v>يوم عادي</v>
      </c>
      <c r="L260" s="368">
        <f>(MIN(Attendance!D260, TIME(18, 0, 0)) - Attendance!C260) * 24</f>
        <v>18</v>
      </c>
      <c r="M260" s="369">
        <f t="shared" si="5"/>
        <v>-18</v>
      </c>
      <c r="N260" s="369"/>
      <c r="O260" s="369"/>
      <c r="P260" s="369"/>
    </row>
    <row r="261" ht="22.5" customHeight="1">
      <c r="A261" s="394"/>
      <c r="B261" s="395"/>
      <c r="C261" s="396"/>
      <c r="D261" s="396"/>
      <c r="E261" s="363" t="str">
        <f t="shared" si="1"/>
        <v>السبت</v>
      </c>
      <c r="F261" s="364">
        <f t="shared" si="2"/>
        <v>12</v>
      </c>
      <c r="G261" s="365">
        <f t="shared" si="9"/>
        <v>0</v>
      </c>
      <c r="H261" s="366"/>
      <c r="I261" s="366"/>
      <c r="J261" s="366"/>
      <c r="K261" s="367" t="str">
        <f t="shared" si="4"/>
        <v>يوم عادي</v>
      </c>
      <c r="L261" s="368">
        <f>(MIN(Attendance!D261, TIME(18, 0, 0)) - Attendance!C261) * 24</f>
        <v>18</v>
      </c>
      <c r="M261" s="369">
        <f t="shared" si="5"/>
        <v>-18</v>
      </c>
      <c r="N261" s="377"/>
      <c r="O261" s="377"/>
      <c r="P261" s="377"/>
    </row>
    <row r="262" ht="22.5" customHeight="1">
      <c r="A262" s="394"/>
      <c r="B262" s="395"/>
      <c r="C262" s="396"/>
      <c r="D262" s="396"/>
      <c r="E262" s="363" t="str">
        <f t="shared" si="1"/>
        <v>السبت</v>
      </c>
      <c r="F262" s="364">
        <f t="shared" si="2"/>
        <v>12</v>
      </c>
      <c r="G262" s="365">
        <f t="shared" si="9"/>
        <v>0</v>
      </c>
      <c r="H262" s="366"/>
      <c r="I262" s="366"/>
      <c r="J262" s="366"/>
      <c r="K262" s="367" t="str">
        <f t="shared" si="4"/>
        <v>يوم عادي</v>
      </c>
      <c r="L262" s="368">
        <f>(MIN(Attendance!D262, TIME(18, 0, 0)) - Attendance!C262) * 24</f>
        <v>18</v>
      </c>
      <c r="M262" s="369">
        <f t="shared" si="5"/>
        <v>-18</v>
      </c>
      <c r="N262" s="369"/>
      <c r="O262" s="369"/>
      <c r="P262" s="369"/>
    </row>
    <row r="263" ht="22.5" customHeight="1">
      <c r="A263" s="394"/>
      <c r="B263" s="395"/>
      <c r="C263" s="396"/>
      <c r="D263" s="396"/>
      <c r="E263" s="363" t="str">
        <f t="shared" si="1"/>
        <v>السبت</v>
      </c>
      <c r="F263" s="364">
        <f t="shared" si="2"/>
        <v>12</v>
      </c>
      <c r="G263" s="365">
        <f t="shared" si="9"/>
        <v>0</v>
      </c>
      <c r="H263" s="366"/>
      <c r="I263" s="366"/>
      <c r="J263" s="366"/>
      <c r="K263" s="367" t="str">
        <f t="shared" si="4"/>
        <v>يوم عادي</v>
      </c>
      <c r="L263" s="368">
        <f>(MIN(Attendance!D263, TIME(18, 0, 0)) - Attendance!C263) * 24</f>
        <v>18</v>
      </c>
      <c r="M263" s="369">
        <f t="shared" si="5"/>
        <v>-18</v>
      </c>
      <c r="N263" s="377"/>
      <c r="O263" s="377"/>
      <c r="P263" s="377"/>
    </row>
    <row r="264" ht="22.5" customHeight="1">
      <c r="A264" s="394"/>
      <c r="B264" s="395"/>
      <c r="C264" s="396"/>
      <c r="D264" s="396"/>
      <c r="E264" s="363" t="str">
        <f t="shared" si="1"/>
        <v>السبت</v>
      </c>
      <c r="F264" s="364">
        <f t="shared" si="2"/>
        <v>12</v>
      </c>
      <c r="G264" s="365">
        <f t="shared" si="9"/>
        <v>0</v>
      </c>
      <c r="H264" s="366"/>
      <c r="I264" s="366"/>
      <c r="J264" s="366"/>
      <c r="K264" s="367" t="str">
        <f t="shared" si="4"/>
        <v>يوم عادي</v>
      </c>
      <c r="L264" s="368">
        <f>(MIN(Attendance!D264, TIME(18, 0, 0)) - Attendance!C264) * 24</f>
        <v>18</v>
      </c>
      <c r="M264" s="369">
        <f t="shared" si="5"/>
        <v>-18</v>
      </c>
      <c r="N264" s="369"/>
      <c r="O264" s="369"/>
      <c r="P264" s="369"/>
    </row>
    <row r="265" ht="22.5" customHeight="1">
      <c r="A265" s="394"/>
      <c r="B265" s="395"/>
      <c r="C265" s="396"/>
      <c r="D265" s="396"/>
      <c r="E265" s="363" t="str">
        <f t="shared" si="1"/>
        <v>السبت</v>
      </c>
      <c r="F265" s="364">
        <f t="shared" si="2"/>
        <v>12</v>
      </c>
      <c r="G265" s="365">
        <f t="shared" si="9"/>
        <v>0</v>
      </c>
      <c r="H265" s="366"/>
      <c r="I265" s="366"/>
      <c r="J265" s="366"/>
      <c r="K265" s="367" t="str">
        <f t="shared" si="4"/>
        <v>يوم عادي</v>
      </c>
      <c r="L265" s="368">
        <f>(MIN(Attendance!D265, TIME(18, 0, 0)) - Attendance!C265) * 24</f>
        <v>18</v>
      </c>
      <c r="M265" s="369">
        <f t="shared" si="5"/>
        <v>-18</v>
      </c>
      <c r="N265" s="377"/>
      <c r="O265" s="377"/>
      <c r="P265" s="377"/>
    </row>
    <row r="266" ht="22.5" customHeight="1">
      <c r="A266" s="394"/>
      <c r="B266" s="395"/>
      <c r="C266" s="396"/>
      <c r="D266" s="396"/>
      <c r="E266" s="363" t="str">
        <f t="shared" si="1"/>
        <v>السبت</v>
      </c>
      <c r="F266" s="364">
        <f t="shared" si="2"/>
        <v>12</v>
      </c>
      <c r="G266" s="365">
        <f t="shared" si="9"/>
        <v>0</v>
      </c>
      <c r="H266" s="366"/>
      <c r="I266" s="366"/>
      <c r="J266" s="366"/>
      <c r="K266" s="367" t="str">
        <f t="shared" si="4"/>
        <v>يوم عادي</v>
      </c>
      <c r="L266" s="368">
        <f>(MIN(Attendance!D266, TIME(18, 0, 0)) - Attendance!C266) * 24</f>
        <v>18</v>
      </c>
      <c r="M266" s="369">
        <f t="shared" si="5"/>
        <v>-18</v>
      </c>
      <c r="N266" s="369"/>
      <c r="O266" s="369"/>
      <c r="P266" s="369"/>
    </row>
    <row r="267" ht="22.5" customHeight="1">
      <c r="A267" s="394"/>
      <c r="B267" s="395"/>
      <c r="C267" s="396"/>
      <c r="D267" s="396"/>
      <c r="E267" s="363" t="str">
        <f t="shared" si="1"/>
        <v>السبت</v>
      </c>
      <c r="F267" s="364">
        <f t="shared" si="2"/>
        <v>12</v>
      </c>
      <c r="G267" s="365">
        <f t="shared" si="9"/>
        <v>0</v>
      </c>
      <c r="H267" s="366"/>
      <c r="I267" s="366"/>
      <c r="J267" s="366"/>
      <c r="K267" s="367" t="str">
        <f t="shared" si="4"/>
        <v>يوم عادي</v>
      </c>
      <c r="L267" s="368">
        <f>(MIN(Attendance!D267, TIME(18, 0, 0)) - Attendance!C267) * 24</f>
        <v>18</v>
      </c>
      <c r="M267" s="369">
        <f t="shared" si="5"/>
        <v>-18</v>
      </c>
      <c r="N267" s="377"/>
      <c r="O267" s="377"/>
      <c r="P267" s="377"/>
    </row>
    <row r="268" ht="22.5" customHeight="1">
      <c r="A268" s="394"/>
      <c r="B268" s="395"/>
      <c r="C268" s="396"/>
      <c r="D268" s="396"/>
      <c r="E268" s="363" t="str">
        <f t="shared" si="1"/>
        <v>السبت</v>
      </c>
      <c r="F268" s="364">
        <f t="shared" si="2"/>
        <v>12</v>
      </c>
      <c r="G268" s="365">
        <f t="shared" si="9"/>
        <v>0</v>
      </c>
      <c r="H268" s="366"/>
      <c r="I268" s="366"/>
      <c r="J268" s="366"/>
      <c r="K268" s="367" t="str">
        <f t="shared" si="4"/>
        <v>يوم عادي</v>
      </c>
      <c r="L268" s="368">
        <f>(MIN(Attendance!D268, TIME(18, 0, 0)) - Attendance!C268) * 24</f>
        <v>18</v>
      </c>
      <c r="M268" s="369">
        <f t="shared" si="5"/>
        <v>-18</v>
      </c>
      <c r="N268" s="369"/>
      <c r="O268" s="369"/>
      <c r="P268" s="369"/>
    </row>
    <row r="269" ht="22.5" customHeight="1">
      <c r="A269" s="394"/>
      <c r="B269" s="395"/>
      <c r="C269" s="396"/>
      <c r="D269" s="396"/>
      <c r="E269" s="363" t="str">
        <f t="shared" si="1"/>
        <v>السبت</v>
      </c>
      <c r="F269" s="364">
        <f t="shared" si="2"/>
        <v>12</v>
      </c>
      <c r="G269" s="365">
        <f t="shared" si="9"/>
        <v>0</v>
      </c>
      <c r="H269" s="366"/>
      <c r="I269" s="366"/>
      <c r="J269" s="366"/>
      <c r="K269" s="367" t="str">
        <f t="shared" si="4"/>
        <v>يوم عادي</v>
      </c>
      <c r="L269" s="368">
        <f>(MIN(Attendance!D269, TIME(18, 0, 0)) - Attendance!C269) * 24</f>
        <v>18</v>
      </c>
      <c r="M269" s="369">
        <f t="shared" si="5"/>
        <v>-18</v>
      </c>
      <c r="N269" s="377"/>
      <c r="O269" s="377"/>
      <c r="P269" s="377"/>
    </row>
    <row r="270" ht="22.5" customHeight="1">
      <c r="A270" s="394"/>
      <c r="B270" s="395"/>
      <c r="C270" s="396"/>
      <c r="D270" s="396"/>
      <c r="E270" s="363" t="str">
        <f t="shared" si="1"/>
        <v>السبت</v>
      </c>
      <c r="F270" s="364">
        <f t="shared" si="2"/>
        <v>12</v>
      </c>
      <c r="G270" s="365">
        <f t="shared" si="9"/>
        <v>0</v>
      </c>
      <c r="H270" s="366"/>
      <c r="I270" s="366"/>
      <c r="J270" s="366"/>
      <c r="K270" s="367" t="str">
        <f t="shared" si="4"/>
        <v>يوم عادي</v>
      </c>
      <c r="L270" s="368">
        <f>(MIN(Attendance!D270, TIME(18, 0, 0)) - Attendance!C270) * 24</f>
        <v>18</v>
      </c>
      <c r="M270" s="369">
        <f t="shared" si="5"/>
        <v>-18</v>
      </c>
      <c r="N270" s="369"/>
      <c r="O270" s="369"/>
      <c r="P270" s="369"/>
    </row>
    <row r="271" ht="22.5" customHeight="1">
      <c r="A271" s="394"/>
      <c r="B271" s="395"/>
      <c r="C271" s="396"/>
      <c r="D271" s="396"/>
      <c r="E271" s="363" t="str">
        <f t="shared" si="1"/>
        <v>السبت</v>
      </c>
      <c r="F271" s="364">
        <f t="shared" si="2"/>
        <v>12</v>
      </c>
      <c r="G271" s="365">
        <f t="shared" si="9"/>
        <v>0</v>
      </c>
      <c r="H271" s="366"/>
      <c r="I271" s="366"/>
      <c r="J271" s="366"/>
      <c r="K271" s="367" t="str">
        <f t="shared" si="4"/>
        <v>يوم عادي</v>
      </c>
      <c r="L271" s="368">
        <f>(MIN(Attendance!D271, TIME(18, 0, 0)) - Attendance!C271) * 24</f>
        <v>18</v>
      </c>
      <c r="M271" s="369">
        <f t="shared" si="5"/>
        <v>-18</v>
      </c>
      <c r="N271" s="377"/>
      <c r="O271" s="377"/>
      <c r="P271" s="377"/>
    </row>
    <row r="272" ht="22.5" customHeight="1">
      <c r="A272" s="394"/>
      <c r="B272" s="395"/>
      <c r="C272" s="396"/>
      <c r="D272" s="396"/>
      <c r="E272" s="363" t="str">
        <f t="shared" si="1"/>
        <v>السبت</v>
      </c>
      <c r="F272" s="364">
        <f t="shared" si="2"/>
        <v>12</v>
      </c>
      <c r="G272" s="365">
        <f t="shared" si="9"/>
        <v>0</v>
      </c>
      <c r="H272" s="366"/>
      <c r="I272" s="366"/>
      <c r="J272" s="366"/>
      <c r="K272" s="367" t="str">
        <f t="shared" si="4"/>
        <v>يوم عادي</v>
      </c>
      <c r="L272" s="368">
        <f>(MIN(Attendance!D272, TIME(18, 0, 0)) - Attendance!C272) * 24</f>
        <v>18</v>
      </c>
      <c r="M272" s="369">
        <f t="shared" si="5"/>
        <v>-18</v>
      </c>
      <c r="N272" s="369"/>
      <c r="O272" s="369"/>
      <c r="P272" s="369"/>
    </row>
    <row r="273" ht="22.5" customHeight="1">
      <c r="A273" s="394"/>
      <c r="B273" s="395"/>
      <c r="C273" s="396"/>
      <c r="D273" s="396"/>
      <c r="E273" s="363" t="str">
        <f t="shared" si="1"/>
        <v>السبت</v>
      </c>
      <c r="F273" s="364">
        <f t="shared" si="2"/>
        <v>12</v>
      </c>
      <c r="G273" s="365">
        <f t="shared" si="9"/>
        <v>0</v>
      </c>
      <c r="H273" s="366"/>
      <c r="I273" s="366"/>
      <c r="J273" s="366"/>
      <c r="K273" s="367" t="str">
        <f t="shared" si="4"/>
        <v>يوم عادي</v>
      </c>
      <c r="L273" s="368">
        <f>(MIN(Attendance!D273, TIME(18, 0, 0)) - Attendance!C273) * 24</f>
        <v>18</v>
      </c>
      <c r="M273" s="369">
        <f t="shared" si="5"/>
        <v>-18</v>
      </c>
      <c r="N273" s="377"/>
      <c r="O273" s="377"/>
      <c r="P273" s="377"/>
    </row>
    <row r="274" ht="22.5" customHeight="1">
      <c r="A274" s="394"/>
      <c r="B274" s="395"/>
      <c r="C274" s="396"/>
      <c r="D274" s="396"/>
      <c r="E274" s="363" t="str">
        <f t="shared" si="1"/>
        <v>السبت</v>
      </c>
      <c r="F274" s="364">
        <f t="shared" si="2"/>
        <v>12</v>
      </c>
      <c r="G274" s="365">
        <f t="shared" si="9"/>
        <v>0</v>
      </c>
      <c r="H274" s="366"/>
      <c r="I274" s="366"/>
      <c r="J274" s="366"/>
      <c r="K274" s="367" t="str">
        <f t="shared" si="4"/>
        <v>يوم عادي</v>
      </c>
      <c r="L274" s="368">
        <f>(MIN(Attendance!D274, TIME(18, 0, 0)) - Attendance!C274) * 24</f>
        <v>18</v>
      </c>
      <c r="M274" s="369">
        <f t="shared" si="5"/>
        <v>-18</v>
      </c>
      <c r="N274" s="369"/>
      <c r="O274" s="369"/>
      <c r="P274" s="369"/>
    </row>
    <row r="275" ht="22.5" customHeight="1">
      <c r="A275" s="394"/>
      <c r="B275" s="395"/>
      <c r="C275" s="396"/>
      <c r="D275" s="396"/>
      <c r="E275" s="363" t="str">
        <f t="shared" si="1"/>
        <v>السبت</v>
      </c>
      <c r="F275" s="364">
        <f t="shared" si="2"/>
        <v>12</v>
      </c>
      <c r="G275" s="365">
        <f t="shared" si="9"/>
        <v>0</v>
      </c>
      <c r="H275" s="366"/>
      <c r="I275" s="366"/>
      <c r="J275" s="366"/>
      <c r="K275" s="367" t="str">
        <f t="shared" si="4"/>
        <v>يوم عادي</v>
      </c>
      <c r="L275" s="368">
        <f>(MIN(Attendance!D275, TIME(18, 0, 0)) - Attendance!C275) * 24</f>
        <v>18</v>
      </c>
      <c r="M275" s="369">
        <f t="shared" si="5"/>
        <v>-18</v>
      </c>
      <c r="N275" s="377"/>
      <c r="O275" s="377"/>
      <c r="P275" s="377"/>
    </row>
    <row r="276" ht="22.5" customHeight="1">
      <c r="A276" s="394"/>
      <c r="B276" s="395"/>
      <c r="C276" s="396"/>
      <c r="D276" s="396"/>
      <c r="E276" s="363" t="str">
        <f t="shared" si="1"/>
        <v>السبت</v>
      </c>
      <c r="F276" s="364">
        <f t="shared" si="2"/>
        <v>12</v>
      </c>
      <c r="G276" s="365">
        <f t="shared" si="9"/>
        <v>0</v>
      </c>
      <c r="H276" s="366"/>
      <c r="I276" s="366"/>
      <c r="J276" s="366"/>
      <c r="K276" s="367" t="str">
        <f t="shared" si="4"/>
        <v>يوم عادي</v>
      </c>
      <c r="L276" s="368">
        <f>(MIN(Attendance!D276, TIME(18, 0, 0)) - Attendance!C276) * 24</f>
        <v>18</v>
      </c>
      <c r="M276" s="369">
        <f t="shared" si="5"/>
        <v>-18</v>
      </c>
      <c r="N276" s="369"/>
      <c r="O276" s="369"/>
      <c r="P276" s="369"/>
    </row>
    <row r="277" ht="22.5" customHeight="1">
      <c r="A277" s="394"/>
      <c r="B277" s="395"/>
      <c r="C277" s="396"/>
      <c r="D277" s="396"/>
      <c r="E277" s="363" t="str">
        <f t="shared" si="1"/>
        <v>السبت</v>
      </c>
      <c r="F277" s="364">
        <f t="shared" si="2"/>
        <v>12</v>
      </c>
      <c r="G277" s="365">
        <f t="shared" si="9"/>
        <v>0</v>
      </c>
      <c r="H277" s="366"/>
      <c r="I277" s="366"/>
      <c r="J277" s="366"/>
      <c r="K277" s="367" t="str">
        <f t="shared" si="4"/>
        <v>يوم عادي</v>
      </c>
      <c r="L277" s="368">
        <f>(MIN(Attendance!D277, TIME(18, 0, 0)) - Attendance!C277) * 24</f>
        <v>18</v>
      </c>
      <c r="M277" s="369">
        <f t="shared" si="5"/>
        <v>-18</v>
      </c>
      <c r="N277" s="377"/>
      <c r="O277" s="377"/>
      <c r="P277" s="377"/>
    </row>
    <row r="278" ht="22.5" customHeight="1">
      <c r="A278" s="394"/>
      <c r="B278" s="395"/>
      <c r="C278" s="396"/>
      <c r="D278" s="396"/>
      <c r="E278" s="363" t="str">
        <f t="shared" si="1"/>
        <v>السبت</v>
      </c>
      <c r="F278" s="364">
        <f t="shared" si="2"/>
        <v>12</v>
      </c>
      <c r="G278" s="365">
        <f t="shared" si="9"/>
        <v>0</v>
      </c>
      <c r="H278" s="366"/>
      <c r="I278" s="366"/>
      <c r="J278" s="366"/>
      <c r="K278" s="367" t="str">
        <f t="shared" si="4"/>
        <v>يوم عادي</v>
      </c>
      <c r="L278" s="368">
        <f>(MIN(Attendance!D278, TIME(18, 0, 0)) - Attendance!C278) * 24</f>
        <v>18</v>
      </c>
      <c r="M278" s="369">
        <f t="shared" si="5"/>
        <v>-18</v>
      </c>
      <c r="N278" s="369"/>
      <c r="O278" s="369"/>
      <c r="P278" s="369"/>
    </row>
    <row r="279" ht="22.5" customHeight="1">
      <c r="A279" s="394"/>
      <c r="B279" s="395"/>
      <c r="C279" s="396"/>
      <c r="D279" s="396"/>
      <c r="E279" s="363" t="str">
        <f t="shared" si="1"/>
        <v>السبت</v>
      </c>
      <c r="F279" s="364">
        <f t="shared" si="2"/>
        <v>12</v>
      </c>
      <c r="G279" s="365">
        <f t="shared" si="9"/>
        <v>0</v>
      </c>
      <c r="H279" s="366"/>
      <c r="I279" s="366"/>
      <c r="J279" s="366"/>
      <c r="K279" s="367" t="str">
        <f t="shared" si="4"/>
        <v>يوم عادي</v>
      </c>
      <c r="L279" s="368">
        <f>(MIN(Attendance!D279, TIME(18, 0, 0)) - Attendance!C279) * 24</f>
        <v>18</v>
      </c>
      <c r="M279" s="369">
        <f t="shared" si="5"/>
        <v>-18</v>
      </c>
      <c r="N279" s="377"/>
      <c r="O279" s="377"/>
      <c r="P279" s="377"/>
    </row>
    <row r="280" ht="22.5" customHeight="1">
      <c r="A280" s="394"/>
      <c r="B280" s="395"/>
      <c r="C280" s="396"/>
      <c r="D280" s="396"/>
      <c r="E280" s="363" t="str">
        <f t="shared" si="1"/>
        <v>السبت</v>
      </c>
      <c r="F280" s="364">
        <f t="shared" si="2"/>
        <v>12</v>
      </c>
      <c r="G280" s="365">
        <f t="shared" si="9"/>
        <v>0</v>
      </c>
      <c r="H280" s="366"/>
      <c r="I280" s="366"/>
      <c r="J280" s="366"/>
      <c r="K280" s="367" t="str">
        <f t="shared" si="4"/>
        <v>يوم عادي</v>
      </c>
      <c r="L280" s="368">
        <f>(MIN(Attendance!D280, TIME(18, 0, 0)) - Attendance!C280) * 24</f>
        <v>18</v>
      </c>
      <c r="M280" s="369">
        <f t="shared" si="5"/>
        <v>-18</v>
      </c>
      <c r="N280" s="369"/>
      <c r="O280" s="369"/>
      <c r="P280" s="369"/>
    </row>
    <row r="281" ht="22.5" customHeight="1">
      <c r="A281" s="394"/>
      <c r="B281" s="395"/>
      <c r="C281" s="396"/>
      <c r="D281" s="396"/>
      <c r="E281" s="363" t="str">
        <f t="shared" si="1"/>
        <v>السبت</v>
      </c>
      <c r="F281" s="364">
        <f t="shared" si="2"/>
        <v>12</v>
      </c>
      <c r="G281" s="365">
        <f t="shared" si="9"/>
        <v>0</v>
      </c>
      <c r="H281" s="366"/>
      <c r="I281" s="366"/>
      <c r="J281" s="366"/>
      <c r="K281" s="367" t="str">
        <f t="shared" si="4"/>
        <v>يوم عادي</v>
      </c>
      <c r="L281" s="368">
        <f>(MIN(Attendance!D281, TIME(18, 0, 0)) - Attendance!C281) * 24</f>
        <v>18</v>
      </c>
      <c r="M281" s="369">
        <f t="shared" si="5"/>
        <v>-18</v>
      </c>
      <c r="N281" s="377"/>
      <c r="O281" s="377"/>
      <c r="P281" s="377"/>
    </row>
    <row r="282" ht="22.5" customHeight="1">
      <c r="A282" s="394"/>
      <c r="B282" s="395"/>
      <c r="C282" s="396"/>
      <c r="D282" s="396"/>
      <c r="E282" s="363" t="str">
        <f t="shared" si="1"/>
        <v>السبت</v>
      </c>
      <c r="F282" s="364">
        <f t="shared" si="2"/>
        <v>12</v>
      </c>
      <c r="G282" s="365">
        <f t="shared" si="9"/>
        <v>0</v>
      </c>
      <c r="H282" s="366"/>
      <c r="I282" s="366"/>
      <c r="J282" s="366"/>
      <c r="K282" s="367" t="str">
        <f t="shared" si="4"/>
        <v>يوم عادي</v>
      </c>
      <c r="L282" s="368">
        <f>(MIN(Attendance!D282, TIME(18, 0, 0)) - Attendance!C282) * 24</f>
        <v>18</v>
      </c>
      <c r="M282" s="369">
        <f t="shared" si="5"/>
        <v>-18</v>
      </c>
      <c r="N282" s="369"/>
      <c r="O282" s="369"/>
      <c r="P282" s="369"/>
    </row>
    <row r="283" ht="22.5" customHeight="1">
      <c r="A283" s="394"/>
      <c r="B283" s="395"/>
      <c r="C283" s="396"/>
      <c r="D283" s="396"/>
      <c r="E283" s="363" t="str">
        <f t="shared" si="1"/>
        <v>السبت</v>
      </c>
      <c r="F283" s="364">
        <f t="shared" si="2"/>
        <v>12</v>
      </c>
      <c r="G283" s="365">
        <f t="shared" si="9"/>
        <v>0</v>
      </c>
      <c r="H283" s="366"/>
      <c r="I283" s="366"/>
      <c r="J283" s="366"/>
      <c r="K283" s="367" t="str">
        <f t="shared" si="4"/>
        <v>يوم عادي</v>
      </c>
      <c r="L283" s="368">
        <f>(MIN(Attendance!D283, TIME(18, 0, 0)) - Attendance!C283) * 24</f>
        <v>18</v>
      </c>
      <c r="M283" s="369">
        <f t="shared" si="5"/>
        <v>-18</v>
      </c>
      <c r="N283" s="377"/>
      <c r="O283" s="377"/>
      <c r="P283" s="377"/>
    </row>
    <row r="284" ht="22.5" customHeight="1">
      <c r="A284" s="394"/>
      <c r="B284" s="395"/>
      <c r="C284" s="396"/>
      <c r="D284" s="396"/>
      <c r="E284" s="363" t="str">
        <f t="shared" si="1"/>
        <v>السبت</v>
      </c>
      <c r="F284" s="364">
        <f t="shared" si="2"/>
        <v>12</v>
      </c>
      <c r="G284" s="365">
        <f t="shared" si="9"/>
        <v>0</v>
      </c>
      <c r="H284" s="366"/>
      <c r="I284" s="366"/>
      <c r="J284" s="366"/>
      <c r="K284" s="367" t="str">
        <f t="shared" si="4"/>
        <v>يوم عادي</v>
      </c>
      <c r="L284" s="368">
        <f>(MIN(Attendance!D284, TIME(18, 0, 0)) - Attendance!C284) * 24</f>
        <v>18</v>
      </c>
      <c r="M284" s="369">
        <f t="shared" si="5"/>
        <v>-18</v>
      </c>
      <c r="N284" s="369"/>
      <c r="O284" s="369"/>
      <c r="P284" s="369"/>
    </row>
    <row r="285" ht="22.5" customHeight="1">
      <c r="A285" s="394"/>
      <c r="B285" s="395"/>
      <c r="C285" s="396"/>
      <c r="D285" s="396"/>
      <c r="E285" s="363" t="str">
        <f t="shared" si="1"/>
        <v>السبت</v>
      </c>
      <c r="F285" s="364">
        <f t="shared" si="2"/>
        <v>12</v>
      </c>
      <c r="G285" s="365">
        <f t="shared" si="9"/>
        <v>0</v>
      </c>
      <c r="H285" s="366"/>
      <c r="I285" s="366"/>
      <c r="J285" s="366"/>
      <c r="K285" s="367" t="str">
        <f t="shared" si="4"/>
        <v>يوم عادي</v>
      </c>
      <c r="L285" s="368">
        <f>(MIN(Attendance!D285, TIME(18, 0, 0)) - Attendance!C285) * 24</f>
        <v>18</v>
      </c>
      <c r="M285" s="369">
        <f t="shared" si="5"/>
        <v>-18</v>
      </c>
      <c r="N285" s="377"/>
      <c r="O285" s="377"/>
      <c r="P285" s="377"/>
    </row>
    <row r="286" ht="22.5" customHeight="1">
      <c r="A286" s="394"/>
      <c r="B286" s="395"/>
      <c r="C286" s="396"/>
      <c r="D286" s="396"/>
      <c r="E286" s="363" t="str">
        <f t="shared" si="1"/>
        <v>السبت</v>
      </c>
      <c r="F286" s="364">
        <f t="shared" si="2"/>
        <v>12</v>
      </c>
      <c r="G286" s="365">
        <f t="shared" si="9"/>
        <v>0</v>
      </c>
      <c r="H286" s="366"/>
      <c r="I286" s="366"/>
      <c r="J286" s="366"/>
      <c r="K286" s="367" t="str">
        <f t="shared" si="4"/>
        <v>يوم عادي</v>
      </c>
      <c r="L286" s="368">
        <f>(MIN(Attendance!D286, TIME(18, 0, 0)) - Attendance!C286) * 24</f>
        <v>18</v>
      </c>
      <c r="M286" s="369">
        <f t="shared" si="5"/>
        <v>-18</v>
      </c>
      <c r="N286" s="369"/>
      <c r="O286" s="369"/>
      <c r="P286" s="369"/>
    </row>
    <row r="287" ht="22.5" customHeight="1">
      <c r="A287" s="394"/>
      <c r="B287" s="395"/>
      <c r="C287" s="396"/>
      <c r="D287" s="396"/>
      <c r="E287" s="363" t="str">
        <f t="shared" si="1"/>
        <v>السبت</v>
      </c>
      <c r="F287" s="364">
        <f t="shared" si="2"/>
        <v>12</v>
      </c>
      <c r="G287" s="365">
        <f t="shared" si="9"/>
        <v>0</v>
      </c>
      <c r="H287" s="366"/>
      <c r="I287" s="366"/>
      <c r="J287" s="366"/>
      <c r="K287" s="367" t="str">
        <f t="shared" si="4"/>
        <v>يوم عادي</v>
      </c>
      <c r="L287" s="368">
        <f>(MIN(Attendance!D287, TIME(18, 0, 0)) - Attendance!C287) * 24</f>
        <v>18</v>
      </c>
      <c r="M287" s="369">
        <f t="shared" si="5"/>
        <v>-18</v>
      </c>
      <c r="N287" s="377"/>
      <c r="O287" s="377"/>
      <c r="P287" s="377"/>
    </row>
    <row r="288" ht="22.5" customHeight="1">
      <c r="A288" s="394"/>
      <c r="B288" s="395"/>
      <c r="C288" s="396"/>
      <c r="D288" s="396"/>
      <c r="E288" s="363" t="str">
        <f t="shared" si="1"/>
        <v>السبت</v>
      </c>
      <c r="F288" s="364">
        <f t="shared" si="2"/>
        <v>12</v>
      </c>
      <c r="G288" s="365">
        <f t="shared" si="9"/>
        <v>0</v>
      </c>
      <c r="H288" s="366"/>
      <c r="I288" s="366"/>
      <c r="J288" s="366"/>
      <c r="K288" s="367" t="str">
        <f t="shared" si="4"/>
        <v>يوم عادي</v>
      </c>
      <c r="L288" s="368">
        <f>(MIN(Attendance!D288, TIME(18, 0, 0)) - Attendance!C288) * 24</f>
        <v>18</v>
      </c>
      <c r="M288" s="369">
        <f t="shared" si="5"/>
        <v>-18</v>
      </c>
      <c r="N288" s="369"/>
      <c r="O288" s="369"/>
      <c r="P288" s="369"/>
    </row>
    <row r="289" ht="22.5" customHeight="1">
      <c r="A289" s="394"/>
      <c r="B289" s="395"/>
      <c r="C289" s="396"/>
      <c r="D289" s="396"/>
      <c r="E289" s="363" t="str">
        <f t="shared" si="1"/>
        <v>السبت</v>
      </c>
      <c r="F289" s="364">
        <f t="shared" si="2"/>
        <v>12</v>
      </c>
      <c r="G289" s="365">
        <f t="shared" si="9"/>
        <v>0</v>
      </c>
      <c r="H289" s="366"/>
      <c r="I289" s="366"/>
      <c r="J289" s="366"/>
      <c r="K289" s="367" t="str">
        <f t="shared" si="4"/>
        <v>يوم عادي</v>
      </c>
      <c r="L289" s="368">
        <f>(MIN(Attendance!D289, TIME(18, 0, 0)) - Attendance!C289) * 24</f>
        <v>18</v>
      </c>
      <c r="M289" s="369">
        <f t="shared" si="5"/>
        <v>-18</v>
      </c>
      <c r="N289" s="377"/>
      <c r="O289" s="377"/>
      <c r="P289" s="377"/>
    </row>
    <row r="290" ht="22.5" customHeight="1">
      <c r="A290" s="394"/>
      <c r="B290" s="395"/>
      <c r="C290" s="396"/>
      <c r="D290" s="396"/>
      <c r="E290" s="363" t="str">
        <f t="shared" si="1"/>
        <v>السبت</v>
      </c>
      <c r="F290" s="364">
        <f t="shared" si="2"/>
        <v>12</v>
      </c>
      <c r="G290" s="365">
        <f t="shared" si="9"/>
        <v>0</v>
      </c>
      <c r="H290" s="366"/>
      <c r="I290" s="366"/>
      <c r="J290" s="366"/>
      <c r="K290" s="367" t="str">
        <f t="shared" si="4"/>
        <v>يوم عادي</v>
      </c>
      <c r="L290" s="368">
        <f>(MIN(Attendance!D290, TIME(18, 0, 0)) - Attendance!C290) * 24</f>
        <v>18</v>
      </c>
      <c r="M290" s="369">
        <f t="shared" si="5"/>
        <v>-18</v>
      </c>
      <c r="N290" s="369"/>
      <c r="O290" s="369"/>
      <c r="P290" s="369"/>
    </row>
    <row r="291" ht="22.5" customHeight="1">
      <c r="A291" s="394"/>
      <c r="B291" s="395"/>
      <c r="C291" s="396"/>
      <c r="D291" s="396"/>
      <c r="E291" s="363" t="str">
        <f t="shared" si="1"/>
        <v>السبت</v>
      </c>
      <c r="F291" s="364">
        <f t="shared" si="2"/>
        <v>12</v>
      </c>
      <c r="G291" s="365">
        <f t="shared" si="9"/>
        <v>0</v>
      </c>
      <c r="H291" s="366"/>
      <c r="I291" s="366"/>
      <c r="J291" s="366"/>
      <c r="K291" s="367" t="str">
        <f t="shared" si="4"/>
        <v>يوم عادي</v>
      </c>
      <c r="L291" s="368">
        <f>(MIN(Attendance!D291, TIME(18, 0, 0)) - Attendance!C291) * 24</f>
        <v>18</v>
      </c>
      <c r="M291" s="369">
        <f t="shared" si="5"/>
        <v>-18</v>
      </c>
      <c r="N291" s="377"/>
      <c r="O291" s="377"/>
      <c r="P291" s="377"/>
    </row>
    <row r="292" ht="22.5" customHeight="1">
      <c r="A292" s="394"/>
      <c r="B292" s="395"/>
      <c r="C292" s="396"/>
      <c r="D292" s="396"/>
      <c r="E292" s="363" t="str">
        <f t="shared" si="1"/>
        <v>السبت</v>
      </c>
      <c r="F292" s="364">
        <f t="shared" si="2"/>
        <v>12</v>
      </c>
      <c r="G292" s="365">
        <f t="shared" si="9"/>
        <v>0</v>
      </c>
      <c r="H292" s="366"/>
      <c r="I292" s="366"/>
      <c r="J292" s="366"/>
      <c r="K292" s="367" t="str">
        <f t="shared" si="4"/>
        <v>يوم عادي</v>
      </c>
      <c r="L292" s="368">
        <f>(MIN(Attendance!D292, TIME(18, 0, 0)) - Attendance!C292) * 24</f>
        <v>18</v>
      </c>
      <c r="M292" s="369">
        <f t="shared" si="5"/>
        <v>-18</v>
      </c>
      <c r="N292" s="369"/>
      <c r="O292" s="369"/>
      <c r="P292" s="369"/>
    </row>
    <row r="293" ht="22.5" customHeight="1">
      <c r="A293" s="394"/>
      <c r="B293" s="395"/>
      <c r="C293" s="396"/>
      <c r="D293" s="396"/>
      <c r="E293" s="363" t="str">
        <f t="shared" si="1"/>
        <v>السبت</v>
      </c>
      <c r="F293" s="364">
        <f t="shared" si="2"/>
        <v>12</v>
      </c>
      <c r="G293" s="365">
        <f t="shared" si="9"/>
        <v>0</v>
      </c>
      <c r="H293" s="366"/>
      <c r="I293" s="366"/>
      <c r="J293" s="366"/>
      <c r="K293" s="367" t="str">
        <f t="shared" si="4"/>
        <v>يوم عادي</v>
      </c>
      <c r="L293" s="368">
        <f>(MIN(Attendance!D293, TIME(18, 0, 0)) - Attendance!C293) * 24</f>
        <v>18</v>
      </c>
      <c r="M293" s="369">
        <f t="shared" si="5"/>
        <v>-18</v>
      </c>
      <c r="N293" s="377"/>
      <c r="O293" s="377"/>
      <c r="P293" s="377"/>
    </row>
    <row r="294" ht="22.5" customHeight="1">
      <c r="A294" s="394"/>
      <c r="B294" s="395"/>
      <c r="C294" s="396"/>
      <c r="D294" s="396"/>
      <c r="E294" s="363" t="str">
        <f t="shared" si="1"/>
        <v>السبت</v>
      </c>
      <c r="F294" s="364">
        <f t="shared" si="2"/>
        <v>12</v>
      </c>
      <c r="G294" s="365">
        <f t="shared" si="9"/>
        <v>0</v>
      </c>
      <c r="H294" s="366"/>
      <c r="I294" s="366"/>
      <c r="J294" s="366"/>
      <c r="K294" s="367" t="str">
        <f t="shared" si="4"/>
        <v>يوم عادي</v>
      </c>
      <c r="L294" s="368">
        <f>(MIN(Attendance!D294, TIME(18, 0, 0)) - Attendance!C294) * 24</f>
        <v>18</v>
      </c>
      <c r="M294" s="369">
        <f t="shared" si="5"/>
        <v>-18</v>
      </c>
      <c r="N294" s="369"/>
      <c r="O294" s="369"/>
      <c r="P294" s="369"/>
    </row>
    <row r="295" ht="22.5" customHeight="1">
      <c r="A295" s="394"/>
      <c r="B295" s="395"/>
      <c r="C295" s="396"/>
      <c r="D295" s="396"/>
      <c r="E295" s="363" t="str">
        <f t="shared" si="1"/>
        <v>السبت</v>
      </c>
      <c r="F295" s="364">
        <f t="shared" si="2"/>
        <v>12</v>
      </c>
      <c r="G295" s="365">
        <f t="shared" si="9"/>
        <v>0</v>
      </c>
      <c r="H295" s="366"/>
      <c r="I295" s="366"/>
      <c r="J295" s="366"/>
      <c r="K295" s="367" t="str">
        <f t="shared" si="4"/>
        <v>يوم عادي</v>
      </c>
      <c r="L295" s="368">
        <f>(MIN(Attendance!D295, TIME(18, 0, 0)) - Attendance!C295) * 24</f>
        <v>18</v>
      </c>
      <c r="M295" s="369">
        <f t="shared" si="5"/>
        <v>-18</v>
      </c>
      <c r="N295" s="377"/>
      <c r="O295" s="377"/>
      <c r="P295" s="377"/>
    </row>
    <row r="296" ht="22.5" customHeight="1">
      <c r="A296" s="394"/>
      <c r="B296" s="395"/>
      <c r="C296" s="396"/>
      <c r="D296" s="396"/>
      <c r="E296" s="363" t="str">
        <f t="shared" si="1"/>
        <v>السبت</v>
      </c>
      <c r="F296" s="364">
        <f t="shared" si="2"/>
        <v>12</v>
      </c>
      <c r="G296" s="365">
        <f t="shared" si="9"/>
        <v>0</v>
      </c>
      <c r="H296" s="366"/>
      <c r="I296" s="366"/>
      <c r="J296" s="366"/>
      <c r="K296" s="367" t="str">
        <f t="shared" si="4"/>
        <v>يوم عادي</v>
      </c>
      <c r="L296" s="368">
        <f>(MIN(Attendance!D296, TIME(18, 0, 0)) - Attendance!C296) * 24</f>
        <v>18</v>
      </c>
      <c r="M296" s="369">
        <f t="shared" si="5"/>
        <v>-18</v>
      </c>
      <c r="N296" s="369"/>
      <c r="O296" s="369"/>
      <c r="P296" s="369"/>
    </row>
    <row r="297" ht="22.5" customHeight="1">
      <c r="A297" s="394"/>
      <c r="B297" s="395"/>
      <c r="C297" s="396"/>
      <c r="D297" s="396"/>
      <c r="E297" s="363" t="str">
        <f t="shared" si="1"/>
        <v>السبت</v>
      </c>
      <c r="F297" s="364">
        <f t="shared" si="2"/>
        <v>12</v>
      </c>
      <c r="G297" s="365">
        <f t="shared" si="9"/>
        <v>0</v>
      </c>
      <c r="H297" s="366"/>
      <c r="I297" s="366"/>
      <c r="J297" s="366"/>
      <c r="K297" s="367" t="str">
        <f t="shared" si="4"/>
        <v>يوم عادي</v>
      </c>
      <c r="L297" s="368">
        <f>(MIN(Attendance!D297, TIME(18, 0, 0)) - Attendance!C297) * 24</f>
        <v>18</v>
      </c>
      <c r="M297" s="369">
        <f t="shared" si="5"/>
        <v>-18</v>
      </c>
      <c r="N297" s="377"/>
      <c r="O297" s="377"/>
      <c r="P297" s="377"/>
    </row>
    <row r="298" ht="22.5" customHeight="1">
      <c r="A298" s="394"/>
      <c r="B298" s="395"/>
      <c r="C298" s="396"/>
      <c r="D298" s="396"/>
      <c r="E298" s="363" t="str">
        <f t="shared" si="1"/>
        <v>السبت</v>
      </c>
      <c r="F298" s="364">
        <f t="shared" si="2"/>
        <v>12</v>
      </c>
      <c r="G298" s="365">
        <f t="shared" si="9"/>
        <v>0</v>
      </c>
      <c r="H298" s="366"/>
      <c r="I298" s="366"/>
      <c r="J298" s="366"/>
      <c r="K298" s="367" t="str">
        <f t="shared" si="4"/>
        <v>يوم عادي</v>
      </c>
      <c r="L298" s="368">
        <f>(MIN(Attendance!D298, TIME(18, 0, 0)) - Attendance!C298) * 24</f>
        <v>18</v>
      </c>
      <c r="M298" s="369">
        <f t="shared" si="5"/>
        <v>-18</v>
      </c>
      <c r="N298" s="369"/>
      <c r="O298" s="369"/>
      <c r="P298" s="369"/>
    </row>
    <row r="299" ht="22.5" customHeight="1">
      <c r="A299" s="394"/>
      <c r="B299" s="395"/>
      <c r="C299" s="396"/>
      <c r="D299" s="396"/>
      <c r="E299" s="363" t="str">
        <f t="shared" si="1"/>
        <v>السبت</v>
      </c>
      <c r="F299" s="364">
        <f t="shared" si="2"/>
        <v>12</v>
      </c>
      <c r="G299" s="365">
        <f t="shared" si="9"/>
        <v>0</v>
      </c>
      <c r="H299" s="366"/>
      <c r="I299" s="366"/>
      <c r="J299" s="366"/>
      <c r="K299" s="367" t="str">
        <f t="shared" si="4"/>
        <v>يوم عادي</v>
      </c>
      <c r="L299" s="368">
        <f>(MIN(Attendance!D299, TIME(18, 0, 0)) - Attendance!C299) * 24</f>
        <v>18</v>
      </c>
      <c r="M299" s="369">
        <f t="shared" si="5"/>
        <v>-18</v>
      </c>
      <c r="N299" s="377"/>
      <c r="O299" s="377"/>
      <c r="P299" s="377"/>
    </row>
    <row r="300" ht="22.5" customHeight="1">
      <c r="A300" s="394"/>
      <c r="B300" s="395"/>
      <c r="C300" s="396"/>
      <c r="D300" s="396"/>
      <c r="E300" s="363" t="str">
        <f t="shared" si="1"/>
        <v>السبت</v>
      </c>
      <c r="F300" s="364">
        <f t="shared" si="2"/>
        <v>12</v>
      </c>
      <c r="G300" s="365">
        <f t="shared" si="9"/>
        <v>0</v>
      </c>
      <c r="H300" s="366"/>
      <c r="I300" s="366"/>
      <c r="J300" s="366"/>
      <c r="K300" s="367" t="str">
        <f t="shared" si="4"/>
        <v>يوم عادي</v>
      </c>
      <c r="L300" s="368">
        <f>(MIN(Attendance!D300, TIME(18, 0, 0)) - Attendance!C300) * 24</f>
        <v>18</v>
      </c>
      <c r="M300" s="369">
        <f t="shared" si="5"/>
        <v>-18</v>
      </c>
      <c r="N300" s="369"/>
      <c r="O300" s="369"/>
      <c r="P300" s="369"/>
    </row>
    <row r="301" ht="22.5" customHeight="1">
      <c r="A301" s="394"/>
      <c r="B301" s="395"/>
      <c r="C301" s="396"/>
      <c r="D301" s="396"/>
      <c r="E301" s="363" t="str">
        <f t="shared" si="1"/>
        <v>السبت</v>
      </c>
      <c r="F301" s="364">
        <f t="shared" si="2"/>
        <v>12</v>
      </c>
      <c r="G301" s="365">
        <f t="shared" si="9"/>
        <v>0</v>
      </c>
      <c r="H301" s="366"/>
      <c r="I301" s="366"/>
      <c r="J301" s="366"/>
      <c r="K301" s="367" t="str">
        <f t="shared" si="4"/>
        <v>يوم عادي</v>
      </c>
      <c r="L301" s="368">
        <f>(MIN(Attendance!D301, TIME(18, 0, 0)) - Attendance!C301) * 24</f>
        <v>18</v>
      </c>
      <c r="M301" s="369">
        <f t="shared" si="5"/>
        <v>-18</v>
      </c>
      <c r="N301" s="377"/>
      <c r="O301" s="377"/>
      <c r="P301" s="377"/>
    </row>
    <row r="302" ht="22.5" customHeight="1">
      <c r="A302" s="394"/>
      <c r="B302" s="395"/>
      <c r="C302" s="396"/>
      <c r="D302" s="396"/>
      <c r="E302" s="363" t="str">
        <f t="shared" si="1"/>
        <v>السبت</v>
      </c>
      <c r="F302" s="364">
        <f t="shared" si="2"/>
        <v>12</v>
      </c>
      <c r="G302" s="365">
        <f t="shared" si="9"/>
        <v>0</v>
      </c>
      <c r="H302" s="366"/>
      <c r="I302" s="366"/>
      <c r="J302" s="366"/>
      <c r="K302" s="367" t="str">
        <f t="shared" si="4"/>
        <v>يوم عادي</v>
      </c>
      <c r="L302" s="368">
        <f>(MIN(Attendance!D302, TIME(18, 0, 0)) - Attendance!C302) * 24</f>
        <v>18</v>
      </c>
      <c r="M302" s="369">
        <f t="shared" si="5"/>
        <v>-18</v>
      </c>
      <c r="N302" s="369"/>
      <c r="O302" s="369"/>
      <c r="P302" s="369"/>
    </row>
    <row r="303" ht="22.5" customHeight="1">
      <c r="A303" s="394"/>
      <c r="B303" s="395"/>
      <c r="C303" s="396"/>
      <c r="D303" s="396"/>
      <c r="E303" s="363" t="str">
        <f t="shared" si="1"/>
        <v>السبت</v>
      </c>
      <c r="F303" s="364">
        <f t="shared" si="2"/>
        <v>12</v>
      </c>
      <c r="G303" s="365">
        <f t="shared" si="9"/>
        <v>0</v>
      </c>
      <c r="H303" s="366"/>
      <c r="I303" s="366"/>
      <c r="J303" s="366"/>
      <c r="K303" s="367" t="str">
        <f t="shared" si="4"/>
        <v>يوم عادي</v>
      </c>
      <c r="L303" s="368">
        <f>(MIN(Attendance!D303, TIME(18, 0, 0)) - Attendance!C303) * 24</f>
        <v>18</v>
      </c>
      <c r="M303" s="369">
        <f t="shared" si="5"/>
        <v>-18</v>
      </c>
      <c r="N303" s="377"/>
      <c r="O303" s="377"/>
      <c r="P303" s="377"/>
    </row>
    <row r="304" ht="22.5" customHeight="1">
      <c r="A304" s="394"/>
      <c r="B304" s="395"/>
      <c r="C304" s="396"/>
      <c r="D304" s="396"/>
      <c r="E304" s="363" t="str">
        <f t="shared" si="1"/>
        <v>السبت</v>
      </c>
      <c r="F304" s="364">
        <f t="shared" si="2"/>
        <v>12</v>
      </c>
      <c r="G304" s="365">
        <f t="shared" si="9"/>
        <v>0</v>
      </c>
      <c r="H304" s="366"/>
      <c r="I304" s="366"/>
      <c r="J304" s="366"/>
      <c r="K304" s="367" t="str">
        <f t="shared" si="4"/>
        <v>يوم عادي</v>
      </c>
      <c r="L304" s="368">
        <f>(MIN(Attendance!D304, TIME(18, 0, 0)) - Attendance!C304) * 24</f>
        <v>18</v>
      </c>
      <c r="M304" s="369">
        <f t="shared" si="5"/>
        <v>-18</v>
      </c>
      <c r="N304" s="369"/>
      <c r="O304" s="369"/>
      <c r="P304" s="369"/>
    </row>
    <row r="305" ht="22.5" customHeight="1">
      <c r="A305" s="394"/>
      <c r="B305" s="395"/>
      <c r="C305" s="396"/>
      <c r="D305" s="396"/>
      <c r="E305" s="363" t="str">
        <f t="shared" si="1"/>
        <v>السبت</v>
      </c>
      <c r="F305" s="364">
        <f t="shared" si="2"/>
        <v>12</v>
      </c>
      <c r="G305" s="365">
        <f t="shared" si="9"/>
        <v>0</v>
      </c>
      <c r="H305" s="366"/>
      <c r="I305" s="366"/>
      <c r="J305" s="366"/>
      <c r="K305" s="367" t="str">
        <f t="shared" si="4"/>
        <v>يوم عادي</v>
      </c>
      <c r="L305" s="368">
        <f>(MIN(Attendance!D305, TIME(18, 0, 0)) - Attendance!C305) * 24</f>
        <v>18</v>
      </c>
      <c r="M305" s="369">
        <f t="shared" si="5"/>
        <v>-18</v>
      </c>
      <c r="N305" s="377"/>
      <c r="O305" s="377"/>
      <c r="P305" s="377"/>
    </row>
    <row r="306" ht="22.5" customHeight="1">
      <c r="A306" s="394"/>
      <c r="B306" s="395"/>
      <c r="C306" s="396"/>
      <c r="D306" s="396"/>
      <c r="E306" s="363" t="str">
        <f t="shared" si="1"/>
        <v>السبت</v>
      </c>
      <c r="F306" s="364">
        <f t="shared" si="2"/>
        <v>12</v>
      </c>
      <c r="G306" s="365">
        <f t="shared" si="9"/>
        <v>0</v>
      </c>
      <c r="H306" s="366"/>
      <c r="I306" s="366"/>
      <c r="J306" s="366"/>
      <c r="K306" s="367" t="str">
        <f t="shared" si="4"/>
        <v>يوم عادي</v>
      </c>
      <c r="L306" s="368">
        <f>(MIN(Attendance!D306, TIME(18, 0, 0)) - Attendance!C306) * 24</f>
        <v>18</v>
      </c>
      <c r="M306" s="369">
        <f t="shared" si="5"/>
        <v>-18</v>
      </c>
      <c r="N306" s="369"/>
      <c r="O306" s="369"/>
      <c r="P306" s="369"/>
    </row>
    <row r="307" ht="22.5" customHeight="1">
      <c r="A307" s="394"/>
      <c r="B307" s="395"/>
      <c r="C307" s="396"/>
      <c r="D307" s="396"/>
      <c r="E307" s="363" t="str">
        <f t="shared" si="1"/>
        <v>السبت</v>
      </c>
      <c r="F307" s="364">
        <f t="shared" si="2"/>
        <v>12</v>
      </c>
      <c r="G307" s="365">
        <f t="shared" si="9"/>
        <v>0</v>
      </c>
      <c r="H307" s="366"/>
      <c r="I307" s="366"/>
      <c r="J307" s="366"/>
      <c r="K307" s="367" t="str">
        <f t="shared" si="4"/>
        <v>يوم عادي</v>
      </c>
      <c r="L307" s="368">
        <f>(MIN(Attendance!D307, TIME(18, 0, 0)) - Attendance!C307) * 24</f>
        <v>18</v>
      </c>
      <c r="M307" s="369">
        <f t="shared" si="5"/>
        <v>-18</v>
      </c>
      <c r="N307" s="377"/>
      <c r="O307" s="377"/>
      <c r="P307" s="377"/>
    </row>
    <row r="308" ht="22.5" customHeight="1">
      <c r="A308" s="394"/>
      <c r="B308" s="395"/>
      <c r="C308" s="396"/>
      <c r="D308" s="396"/>
      <c r="E308" s="363" t="str">
        <f t="shared" si="1"/>
        <v>السبت</v>
      </c>
      <c r="F308" s="364">
        <f t="shared" si="2"/>
        <v>12</v>
      </c>
      <c r="G308" s="365">
        <f t="shared" si="9"/>
        <v>0</v>
      </c>
      <c r="H308" s="366"/>
      <c r="I308" s="366"/>
      <c r="J308" s="366"/>
      <c r="K308" s="367" t="str">
        <f t="shared" si="4"/>
        <v>يوم عادي</v>
      </c>
      <c r="L308" s="368">
        <f>(MIN(Attendance!D308, TIME(18, 0, 0)) - Attendance!C308) * 24</f>
        <v>18</v>
      </c>
      <c r="M308" s="369">
        <f t="shared" si="5"/>
        <v>-18</v>
      </c>
      <c r="N308" s="369"/>
      <c r="O308" s="369"/>
      <c r="P308" s="369"/>
    </row>
    <row r="309" ht="22.5" customHeight="1">
      <c r="A309" s="394"/>
      <c r="B309" s="395"/>
      <c r="C309" s="396"/>
      <c r="D309" s="396"/>
      <c r="E309" s="363" t="str">
        <f t="shared" si="1"/>
        <v>السبت</v>
      </c>
      <c r="F309" s="364">
        <f t="shared" si="2"/>
        <v>12</v>
      </c>
      <c r="G309" s="365">
        <f t="shared" si="9"/>
        <v>0</v>
      </c>
      <c r="H309" s="366"/>
      <c r="I309" s="366"/>
      <c r="J309" s="366"/>
      <c r="K309" s="367" t="str">
        <f t="shared" si="4"/>
        <v>يوم عادي</v>
      </c>
      <c r="L309" s="368">
        <f>(MIN(Attendance!D309, TIME(18, 0, 0)) - Attendance!C309) * 24</f>
        <v>18</v>
      </c>
      <c r="M309" s="369">
        <f t="shared" si="5"/>
        <v>-18</v>
      </c>
      <c r="N309" s="377"/>
      <c r="O309" s="377"/>
      <c r="P309" s="377"/>
    </row>
    <row r="310" ht="22.5" customHeight="1">
      <c r="A310" s="394"/>
      <c r="B310" s="395"/>
      <c r="C310" s="396"/>
      <c r="D310" s="396"/>
      <c r="E310" s="363" t="str">
        <f t="shared" si="1"/>
        <v>السبت</v>
      </c>
      <c r="F310" s="364">
        <f t="shared" si="2"/>
        <v>12</v>
      </c>
      <c r="G310" s="365">
        <f t="shared" si="9"/>
        <v>0</v>
      </c>
      <c r="H310" s="366"/>
      <c r="I310" s="366"/>
      <c r="J310" s="366"/>
      <c r="K310" s="367" t="str">
        <f t="shared" si="4"/>
        <v>يوم عادي</v>
      </c>
      <c r="L310" s="368">
        <f>(MIN(Attendance!D310, TIME(18, 0, 0)) - Attendance!C310) * 24</f>
        <v>18</v>
      </c>
      <c r="M310" s="369">
        <f t="shared" si="5"/>
        <v>-18</v>
      </c>
      <c r="N310" s="369"/>
      <c r="O310" s="369"/>
      <c r="P310" s="369"/>
    </row>
    <row r="311" ht="22.5" customHeight="1">
      <c r="A311" s="394"/>
      <c r="B311" s="395"/>
      <c r="C311" s="396"/>
      <c r="D311" s="396"/>
      <c r="E311" s="363" t="str">
        <f t="shared" si="1"/>
        <v>السبت</v>
      </c>
      <c r="F311" s="364">
        <f t="shared" si="2"/>
        <v>12</v>
      </c>
      <c r="G311" s="365">
        <f t="shared" si="9"/>
        <v>0</v>
      </c>
      <c r="H311" s="366"/>
      <c r="I311" s="366"/>
      <c r="J311" s="366"/>
      <c r="K311" s="367" t="str">
        <f t="shared" si="4"/>
        <v>يوم عادي</v>
      </c>
      <c r="L311" s="368">
        <f>(MIN(Attendance!D311, TIME(18, 0, 0)) - Attendance!C311) * 24</f>
        <v>18</v>
      </c>
      <c r="M311" s="369">
        <f t="shared" si="5"/>
        <v>-18</v>
      </c>
      <c r="N311" s="377"/>
      <c r="O311" s="377"/>
      <c r="P311" s="377"/>
    </row>
    <row r="312" ht="22.5" customHeight="1">
      <c r="A312" s="394"/>
      <c r="B312" s="395"/>
      <c r="C312" s="396"/>
      <c r="D312" s="396"/>
      <c r="E312" s="363" t="str">
        <f t="shared" si="1"/>
        <v>السبت</v>
      </c>
      <c r="F312" s="364">
        <f t="shared" si="2"/>
        <v>12</v>
      </c>
      <c r="G312" s="365">
        <f t="shared" si="9"/>
        <v>0</v>
      </c>
      <c r="H312" s="366"/>
      <c r="I312" s="366"/>
      <c r="J312" s="366"/>
      <c r="K312" s="367" t="str">
        <f t="shared" si="4"/>
        <v>يوم عادي</v>
      </c>
      <c r="L312" s="368">
        <f>(MIN(Attendance!D312, TIME(18, 0, 0)) - Attendance!C312) * 24</f>
        <v>18</v>
      </c>
      <c r="M312" s="369">
        <f t="shared" si="5"/>
        <v>-18</v>
      </c>
      <c r="N312" s="369"/>
      <c r="O312" s="369"/>
      <c r="P312" s="369"/>
    </row>
    <row r="313" ht="22.5" customHeight="1">
      <c r="A313" s="394"/>
      <c r="B313" s="395"/>
      <c r="C313" s="396"/>
      <c r="D313" s="396"/>
      <c r="E313" s="363" t="str">
        <f t="shared" si="1"/>
        <v>السبت</v>
      </c>
      <c r="F313" s="364">
        <f t="shared" si="2"/>
        <v>12</v>
      </c>
      <c r="G313" s="365">
        <f t="shared" si="9"/>
        <v>0</v>
      </c>
      <c r="H313" s="366"/>
      <c r="I313" s="366"/>
      <c r="J313" s="366"/>
      <c r="K313" s="367" t="str">
        <f t="shared" si="4"/>
        <v>يوم عادي</v>
      </c>
      <c r="L313" s="368">
        <f>(MIN(Attendance!D313, TIME(18, 0, 0)) - Attendance!C313) * 24</f>
        <v>18</v>
      </c>
      <c r="M313" s="369">
        <f t="shared" si="5"/>
        <v>-18</v>
      </c>
      <c r="N313" s="377"/>
      <c r="O313" s="377"/>
      <c r="P313" s="377"/>
    </row>
    <row r="314" ht="22.5" customHeight="1">
      <c r="A314" s="394"/>
      <c r="B314" s="395"/>
      <c r="C314" s="396"/>
      <c r="D314" s="396"/>
      <c r="E314" s="363" t="str">
        <f t="shared" si="1"/>
        <v>السبت</v>
      </c>
      <c r="F314" s="364">
        <f t="shared" si="2"/>
        <v>12</v>
      </c>
      <c r="G314" s="365">
        <f t="shared" si="9"/>
        <v>0</v>
      </c>
      <c r="H314" s="366"/>
      <c r="I314" s="366"/>
      <c r="J314" s="366"/>
      <c r="K314" s="367" t="str">
        <f t="shared" si="4"/>
        <v>يوم عادي</v>
      </c>
      <c r="L314" s="368">
        <f>(MIN(Attendance!D314, TIME(18, 0, 0)) - Attendance!C314) * 24</f>
        <v>18</v>
      </c>
      <c r="M314" s="369">
        <f t="shared" si="5"/>
        <v>-18</v>
      </c>
      <c r="N314" s="369"/>
      <c r="O314" s="369"/>
      <c r="P314" s="369"/>
    </row>
    <row r="315" ht="22.5" customHeight="1">
      <c r="A315" s="394"/>
      <c r="B315" s="395"/>
      <c r="C315" s="396"/>
      <c r="D315" s="396"/>
      <c r="E315" s="363" t="str">
        <f t="shared" si="1"/>
        <v>السبت</v>
      </c>
      <c r="F315" s="364">
        <f t="shared" si="2"/>
        <v>12</v>
      </c>
      <c r="G315" s="365">
        <f t="shared" si="9"/>
        <v>0</v>
      </c>
      <c r="H315" s="366"/>
      <c r="I315" s="366"/>
      <c r="J315" s="366"/>
      <c r="K315" s="367" t="str">
        <f t="shared" si="4"/>
        <v>يوم عادي</v>
      </c>
      <c r="L315" s="368">
        <f>(MIN(Attendance!D315, TIME(18, 0, 0)) - Attendance!C315) * 24</f>
        <v>18</v>
      </c>
      <c r="M315" s="369">
        <f t="shared" si="5"/>
        <v>-18</v>
      </c>
      <c r="N315" s="377"/>
      <c r="O315" s="377"/>
      <c r="P315" s="377"/>
    </row>
    <row r="316" ht="22.5" customHeight="1">
      <c r="A316" s="394"/>
      <c r="B316" s="395"/>
      <c r="C316" s="396"/>
      <c r="D316" s="396"/>
      <c r="E316" s="363" t="str">
        <f t="shared" si="1"/>
        <v>السبت</v>
      </c>
      <c r="F316" s="364">
        <f t="shared" si="2"/>
        <v>12</v>
      </c>
      <c r="G316" s="365">
        <f t="shared" si="9"/>
        <v>0</v>
      </c>
      <c r="H316" s="366"/>
      <c r="I316" s="366"/>
      <c r="J316" s="366"/>
      <c r="K316" s="367" t="str">
        <f t="shared" si="4"/>
        <v>يوم عادي</v>
      </c>
      <c r="L316" s="368">
        <f>(MIN(Attendance!D316, TIME(18, 0, 0)) - Attendance!C316) * 24</f>
        <v>18</v>
      </c>
      <c r="M316" s="369">
        <f t="shared" si="5"/>
        <v>-18</v>
      </c>
      <c r="N316" s="369"/>
      <c r="O316" s="369"/>
      <c r="P316" s="369"/>
    </row>
    <row r="317" ht="22.5" customHeight="1">
      <c r="A317" s="394"/>
      <c r="B317" s="395"/>
      <c r="C317" s="396"/>
      <c r="D317" s="396"/>
      <c r="E317" s="363" t="str">
        <f t="shared" si="1"/>
        <v>السبت</v>
      </c>
      <c r="F317" s="364">
        <f t="shared" si="2"/>
        <v>12</v>
      </c>
      <c r="G317" s="365">
        <f t="shared" si="9"/>
        <v>0</v>
      </c>
      <c r="H317" s="366"/>
      <c r="I317" s="366"/>
      <c r="J317" s="366"/>
      <c r="K317" s="367" t="str">
        <f t="shared" si="4"/>
        <v>يوم عادي</v>
      </c>
      <c r="L317" s="368">
        <f>(MIN(Attendance!D317, TIME(18, 0, 0)) - Attendance!C317) * 24</f>
        <v>18</v>
      </c>
      <c r="M317" s="369">
        <f t="shared" si="5"/>
        <v>-18</v>
      </c>
      <c r="N317" s="377"/>
      <c r="O317" s="377"/>
      <c r="P317" s="377"/>
    </row>
    <row r="318" ht="22.5" customHeight="1">
      <c r="A318" s="394"/>
      <c r="B318" s="395"/>
      <c r="C318" s="396"/>
      <c r="D318" s="396"/>
      <c r="E318" s="363" t="str">
        <f t="shared" si="1"/>
        <v>السبت</v>
      </c>
      <c r="F318" s="364">
        <f t="shared" si="2"/>
        <v>12</v>
      </c>
      <c r="G318" s="365">
        <f t="shared" si="9"/>
        <v>0</v>
      </c>
      <c r="H318" s="366"/>
      <c r="I318" s="366"/>
      <c r="J318" s="366"/>
      <c r="K318" s="367" t="str">
        <f t="shared" si="4"/>
        <v>يوم عادي</v>
      </c>
      <c r="L318" s="368">
        <f>(MIN(Attendance!D318, TIME(18, 0, 0)) - Attendance!C318) * 24</f>
        <v>18</v>
      </c>
      <c r="M318" s="369">
        <f t="shared" si="5"/>
        <v>-18</v>
      </c>
      <c r="N318" s="369"/>
      <c r="O318" s="369"/>
      <c r="P318" s="369"/>
    </row>
    <row r="319" ht="22.5" customHeight="1">
      <c r="A319" s="394"/>
      <c r="B319" s="395"/>
      <c r="C319" s="396"/>
      <c r="D319" s="396"/>
      <c r="E319" s="363" t="str">
        <f t="shared" si="1"/>
        <v>السبت</v>
      </c>
      <c r="F319" s="364">
        <f t="shared" si="2"/>
        <v>12</v>
      </c>
      <c r="G319" s="365">
        <f t="shared" si="9"/>
        <v>0</v>
      </c>
      <c r="H319" s="366"/>
      <c r="I319" s="366"/>
      <c r="J319" s="366"/>
      <c r="K319" s="367" t="str">
        <f t="shared" si="4"/>
        <v>يوم عادي</v>
      </c>
      <c r="L319" s="368">
        <f>(MIN(Attendance!D319, TIME(18, 0, 0)) - Attendance!C319) * 24</f>
        <v>18</v>
      </c>
      <c r="M319" s="369">
        <f t="shared" si="5"/>
        <v>-18</v>
      </c>
      <c r="N319" s="377"/>
      <c r="O319" s="377"/>
      <c r="P319" s="377"/>
    </row>
    <row r="320" ht="22.5" customHeight="1">
      <c r="A320" s="394"/>
      <c r="B320" s="395"/>
      <c r="C320" s="396"/>
      <c r="D320" s="396"/>
      <c r="E320" s="363" t="str">
        <f t="shared" si="1"/>
        <v>السبت</v>
      </c>
      <c r="F320" s="364">
        <f t="shared" si="2"/>
        <v>12</v>
      </c>
      <c r="G320" s="365">
        <f t="shared" si="9"/>
        <v>0</v>
      </c>
      <c r="H320" s="366"/>
      <c r="I320" s="366"/>
      <c r="J320" s="366"/>
      <c r="K320" s="367" t="str">
        <f t="shared" si="4"/>
        <v>يوم عادي</v>
      </c>
      <c r="L320" s="368">
        <f>(MIN(Attendance!D320, TIME(18, 0, 0)) - Attendance!C320) * 24</f>
        <v>18</v>
      </c>
      <c r="M320" s="369">
        <f t="shared" si="5"/>
        <v>-18</v>
      </c>
      <c r="N320" s="369"/>
      <c r="O320" s="369"/>
      <c r="P320" s="369"/>
    </row>
    <row r="321" ht="22.5" customHeight="1">
      <c r="A321" s="394"/>
      <c r="B321" s="395"/>
      <c r="C321" s="396"/>
      <c r="D321" s="396"/>
      <c r="E321" s="363" t="str">
        <f t="shared" si="1"/>
        <v>السبت</v>
      </c>
      <c r="F321" s="364">
        <f t="shared" si="2"/>
        <v>12</v>
      </c>
      <c r="G321" s="365">
        <f t="shared" si="9"/>
        <v>0</v>
      </c>
      <c r="H321" s="366"/>
      <c r="I321" s="366"/>
      <c r="J321" s="366"/>
      <c r="K321" s="367" t="str">
        <f t="shared" si="4"/>
        <v>يوم عادي</v>
      </c>
      <c r="L321" s="368">
        <f>(MIN(Attendance!D321, TIME(18, 0, 0)) - Attendance!C321) * 24</f>
        <v>18</v>
      </c>
      <c r="M321" s="369">
        <f t="shared" si="5"/>
        <v>-18</v>
      </c>
      <c r="N321" s="377"/>
      <c r="O321" s="377"/>
      <c r="P321" s="377"/>
    </row>
    <row r="322" ht="22.5" customHeight="1">
      <c r="A322" s="394"/>
      <c r="B322" s="395"/>
      <c r="C322" s="396"/>
      <c r="D322" s="396"/>
      <c r="E322" s="363" t="str">
        <f t="shared" si="1"/>
        <v>السبت</v>
      </c>
      <c r="F322" s="364">
        <f t="shared" si="2"/>
        <v>12</v>
      </c>
      <c r="G322" s="365">
        <f t="shared" si="9"/>
        <v>0</v>
      </c>
      <c r="H322" s="366"/>
      <c r="I322" s="366"/>
      <c r="J322" s="366"/>
      <c r="K322" s="367" t="str">
        <f t="shared" si="4"/>
        <v>يوم عادي</v>
      </c>
      <c r="L322" s="368">
        <f>(MIN(Attendance!D322, TIME(18, 0, 0)) - Attendance!C322) * 24</f>
        <v>18</v>
      </c>
      <c r="M322" s="369">
        <f t="shared" si="5"/>
        <v>-18</v>
      </c>
      <c r="N322" s="369"/>
      <c r="O322" s="369"/>
      <c r="P322" s="369"/>
    </row>
    <row r="323" ht="22.5" customHeight="1">
      <c r="A323" s="394"/>
      <c r="B323" s="395"/>
      <c r="C323" s="396"/>
      <c r="D323" s="396"/>
      <c r="E323" s="363" t="str">
        <f t="shared" si="1"/>
        <v>السبت</v>
      </c>
      <c r="F323" s="364">
        <f t="shared" si="2"/>
        <v>12</v>
      </c>
      <c r="G323" s="365">
        <f t="shared" si="9"/>
        <v>0</v>
      </c>
      <c r="H323" s="366"/>
      <c r="I323" s="366"/>
      <c r="J323" s="366"/>
      <c r="K323" s="367" t="str">
        <f t="shared" si="4"/>
        <v>يوم عادي</v>
      </c>
      <c r="L323" s="368">
        <f>(MIN(Attendance!D323, TIME(18, 0, 0)) - Attendance!C323) * 24</f>
        <v>18</v>
      </c>
      <c r="M323" s="369">
        <f t="shared" si="5"/>
        <v>-18</v>
      </c>
      <c r="N323" s="377"/>
      <c r="O323" s="377"/>
      <c r="P323" s="377"/>
    </row>
    <row r="324" ht="22.5" customHeight="1">
      <c r="A324" s="394"/>
      <c r="B324" s="395"/>
      <c r="C324" s="396"/>
      <c r="D324" s="396"/>
      <c r="E324" s="363" t="str">
        <f t="shared" si="1"/>
        <v>السبت</v>
      </c>
      <c r="F324" s="364">
        <f t="shared" si="2"/>
        <v>12</v>
      </c>
      <c r="G324" s="365">
        <f t="shared" si="9"/>
        <v>0</v>
      </c>
      <c r="H324" s="366"/>
      <c r="I324" s="366"/>
      <c r="J324" s="366"/>
      <c r="K324" s="367" t="str">
        <f t="shared" si="4"/>
        <v>يوم عادي</v>
      </c>
      <c r="L324" s="368">
        <f>(MIN(Attendance!D324, TIME(18, 0, 0)) - Attendance!C324) * 24</f>
        <v>18</v>
      </c>
      <c r="M324" s="369">
        <f t="shared" si="5"/>
        <v>-18</v>
      </c>
      <c r="N324" s="369"/>
      <c r="O324" s="369"/>
      <c r="P324" s="369"/>
    </row>
    <row r="325" ht="22.5" customHeight="1">
      <c r="A325" s="394"/>
      <c r="B325" s="395"/>
      <c r="C325" s="396"/>
      <c r="D325" s="396"/>
      <c r="E325" s="363" t="str">
        <f t="shared" si="1"/>
        <v>السبت</v>
      </c>
      <c r="F325" s="364">
        <f t="shared" si="2"/>
        <v>12</v>
      </c>
      <c r="G325" s="365">
        <f t="shared" si="9"/>
        <v>0</v>
      </c>
      <c r="H325" s="366"/>
      <c r="I325" s="366"/>
      <c r="J325" s="366"/>
      <c r="K325" s="367" t="str">
        <f t="shared" si="4"/>
        <v>يوم عادي</v>
      </c>
      <c r="L325" s="368">
        <f>(MIN(Attendance!D325, TIME(18, 0, 0)) - Attendance!C325) * 24</f>
        <v>18</v>
      </c>
      <c r="M325" s="369">
        <f t="shared" si="5"/>
        <v>-18</v>
      </c>
      <c r="N325" s="377"/>
      <c r="O325" s="377"/>
      <c r="P325" s="377"/>
    </row>
    <row r="326" ht="22.5" customHeight="1">
      <c r="A326" s="394"/>
      <c r="B326" s="395"/>
      <c r="C326" s="396"/>
      <c r="D326" s="396"/>
      <c r="E326" s="363" t="str">
        <f t="shared" si="1"/>
        <v>السبت</v>
      </c>
      <c r="F326" s="364">
        <f t="shared" si="2"/>
        <v>12</v>
      </c>
      <c r="G326" s="365">
        <f t="shared" si="9"/>
        <v>0</v>
      </c>
      <c r="H326" s="366"/>
      <c r="I326" s="366"/>
      <c r="J326" s="366"/>
      <c r="K326" s="367" t="str">
        <f t="shared" si="4"/>
        <v>يوم عادي</v>
      </c>
      <c r="L326" s="368">
        <f>(MIN(Attendance!D326, TIME(18, 0, 0)) - Attendance!C326) * 24</f>
        <v>18</v>
      </c>
      <c r="M326" s="369">
        <f t="shared" si="5"/>
        <v>-18</v>
      </c>
      <c r="N326" s="369"/>
      <c r="O326" s="369"/>
      <c r="P326" s="369"/>
    </row>
    <row r="327" ht="22.5" customHeight="1">
      <c r="A327" s="394"/>
      <c r="B327" s="395"/>
      <c r="C327" s="396"/>
      <c r="D327" s="396"/>
      <c r="E327" s="363" t="str">
        <f t="shared" si="1"/>
        <v>السبت</v>
      </c>
      <c r="F327" s="364">
        <f t="shared" si="2"/>
        <v>12</v>
      </c>
      <c r="G327" s="365">
        <f t="shared" si="9"/>
        <v>0</v>
      </c>
      <c r="H327" s="366"/>
      <c r="I327" s="366"/>
      <c r="J327" s="366"/>
      <c r="K327" s="367" t="str">
        <f t="shared" si="4"/>
        <v>يوم عادي</v>
      </c>
      <c r="L327" s="368">
        <f>(MIN(Attendance!D327, TIME(18, 0, 0)) - Attendance!C327) * 24</f>
        <v>18</v>
      </c>
      <c r="M327" s="369">
        <f t="shared" si="5"/>
        <v>-18</v>
      </c>
      <c r="N327" s="377"/>
      <c r="O327" s="377"/>
      <c r="P327" s="377"/>
    </row>
    <row r="328" ht="22.5" customHeight="1">
      <c r="A328" s="394"/>
      <c r="B328" s="395"/>
      <c r="C328" s="396"/>
      <c r="D328" s="396"/>
      <c r="E328" s="363" t="str">
        <f t="shared" si="1"/>
        <v>السبت</v>
      </c>
      <c r="F328" s="364">
        <f t="shared" si="2"/>
        <v>12</v>
      </c>
      <c r="G328" s="365">
        <f t="shared" si="9"/>
        <v>0</v>
      </c>
      <c r="H328" s="366"/>
      <c r="I328" s="366"/>
      <c r="J328" s="366"/>
      <c r="K328" s="367" t="str">
        <f t="shared" si="4"/>
        <v>يوم عادي</v>
      </c>
      <c r="L328" s="368">
        <f>(MIN(Attendance!D328, TIME(18, 0, 0)) - Attendance!C328) * 24</f>
        <v>18</v>
      </c>
      <c r="M328" s="369">
        <f t="shared" si="5"/>
        <v>-18</v>
      </c>
      <c r="N328" s="369"/>
      <c r="O328" s="369"/>
      <c r="P328" s="369"/>
    </row>
    <row r="329" ht="22.5" customHeight="1">
      <c r="A329" s="394"/>
      <c r="B329" s="395"/>
      <c r="C329" s="396"/>
      <c r="D329" s="396"/>
      <c r="E329" s="363" t="str">
        <f t="shared" si="1"/>
        <v>السبت</v>
      </c>
      <c r="F329" s="364">
        <f t="shared" si="2"/>
        <v>12</v>
      </c>
      <c r="G329" s="365">
        <f t="shared" si="9"/>
        <v>0</v>
      </c>
      <c r="H329" s="366"/>
      <c r="I329" s="366"/>
      <c r="J329" s="366"/>
      <c r="K329" s="367" t="str">
        <f t="shared" si="4"/>
        <v>يوم عادي</v>
      </c>
      <c r="L329" s="368">
        <f>(MIN(Attendance!D329, TIME(18, 0, 0)) - Attendance!C329) * 24</f>
        <v>18</v>
      </c>
      <c r="M329" s="369">
        <f t="shared" si="5"/>
        <v>-18</v>
      </c>
      <c r="N329" s="377"/>
      <c r="O329" s="377"/>
      <c r="P329" s="377"/>
    </row>
    <row r="330" ht="22.5" customHeight="1">
      <c r="A330" s="394"/>
      <c r="B330" s="395"/>
      <c r="C330" s="396"/>
      <c r="D330" s="396"/>
      <c r="E330" s="363" t="str">
        <f t="shared" si="1"/>
        <v>السبت</v>
      </c>
      <c r="F330" s="364">
        <f t="shared" si="2"/>
        <v>12</v>
      </c>
      <c r="G330" s="365">
        <f t="shared" si="9"/>
        <v>0</v>
      </c>
      <c r="H330" s="366"/>
      <c r="I330" s="366"/>
      <c r="J330" s="366"/>
      <c r="K330" s="367" t="str">
        <f t="shared" si="4"/>
        <v>يوم عادي</v>
      </c>
      <c r="L330" s="368">
        <f>(MIN(Attendance!D330, TIME(18, 0, 0)) - Attendance!C330) * 24</f>
        <v>18</v>
      </c>
      <c r="M330" s="369">
        <f t="shared" si="5"/>
        <v>-18</v>
      </c>
      <c r="N330" s="369"/>
      <c r="O330" s="369"/>
      <c r="P330" s="369"/>
    </row>
    <row r="331" ht="22.5" customHeight="1">
      <c r="A331" s="394"/>
      <c r="B331" s="395"/>
      <c r="C331" s="396"/>
      <c r="D331" s="396"/>
      <c r="E331" s="363" t="str">
        <f t="shared" si="1"/>
        <v>السبت</v>
      </c>
      <c r="F331" s="364">
        <f t="shared" si="2"/>
        <v>12</v>
      </c>
      <c r="G331" s="365">
        <f t="shared" si="9"/>
        <v>0</v>
      </c>
      <c r="H331" s="366"/>
      <c r="I331" s="366"/>
      <c r="J331" s="366"/>
      <c r="K331" s="367" t="str">
        <f t="shared" si="4"/>
        <v>يوم عادي</v>
      </c>
      <c r="L331" s="368">
        <f>(MIN(Attendance!D331, TIME(18, 0, 0)) - Attendance!C331) * 24</f>
        <v>18</v>
      </c>
      <c r="M331" s="369">
        <f t="shared" si="5"/>
        <v>-18</v>
      </c>
      <c r="N331" s="377"/>
      <c r="O331" s="377"/>
      <c r="P331" s="377"/>
    </row>
    <row r="332" ht="22.5" customHeight="1">
      <c r="A332" s="394"/>
      <c r="B332" s="395"/>
      <c r="C332" s="396"/>
      <c r="D332" s="396"/>
      <c r="E332" s="363" t="str">
        <f t="shared" si="1"/>
        <v>السبت</v>
      </c>
      <c r="F332" s="364">
        <f t="shared" si="2"/>
        <v>12</v>
      </c>
      <c r="G332" s="365">
        <f t="shared" si="9"/>
        <v>0</v>
      </c>
      <c r="H332" s="366"/>
      <c r="I332" s="366"/>
      <c r="J332" s="366"/>
      <c r="K332" s="367" t="str">
        <f t="shared" si="4"/>
        <v>يوم عادي</v>
      </c>
      <c r="L332" s="368">
        <f>(MIN(Attendance!D332, TIME(18, 0, 0)) - Attendance!C332) * 24</f>
        <v>18</v>
      </c>
      <c r="M332" s="369">
        <f t="shared" si="5"/>
        <v>-18</v>
      </c>
      <c r="N332" s="369"/>
      <c r="O332" s="369"/>
      <c r="P332" s="369"/>
    </row>
    <row r="333" ht="22.5" customHeight="1">
      <c r="A333" s="394"/>
      <c r="B333" s="395"/>
      <c r="C333" s="396"/>
      <c r="D333" s="396"/>
      <c r="E333" s="363" t="str">
        <f t="shared" si="1"/>
        <v>السبت</v>
      </c>
      <c r="F333" s="364">
        <f t="shared" si="2"/>
        <v>12</v>
      </c>
      <c r="G333" s="365">
        <f t="shared" si="9"/>
        <v>0</v>
      </c>
      <c r="H333" s="366"/>
      <c r="I333" s="366"/>
      <c r="J333" s="366"/>
      <c r="K333" s="367" t="str">
        <f t="shared" si="4"/>
        <v>يوم عادي</v>
      </c>
      <c r="L333" s="368">
        <f>(MIN(Attendance!D333, TIME(18, 0, 0)) - Attendance!C333) * 24</f>
        <v>18</v>
      </c>
      <c r="M333" s="369">
        <f t="shared" si="5"/>
        <v>-18</v>
      </c>
      <c r="N333" s="377"/>
      <c r="O333" s="377"/>
      <c r="P333" s="377"/>
    </row>
    <row r="334" ht="22.5" customHeight="1">
      <c r="A334" s="394"/>
      <c r="B334" s="395"/>
      <c r="C334" s="396"/>
      <c r="D334" s="396"/>
      <c r="E334" s="363" t="str">
        <f t="shared" si="1"/>
        <v>السبت</v>
      </c>
      <c r="F334" s="364">
        <f t="shared" si="2"/>
        <v>12</v>
      </c>
      <c r="G334" s="365">
        <f t="shared" si="9"/>
        <v>0</v>
      </c>
      <c r="H334" s="366"/>
      <c r="I334" s="366"/>
      <c r="J334" s="366"/>
      <c r="K334" s="367" t="str">
        <f t="shared" si="4"/>
        <v>يوم عادي</v>
      </c>
      <c r="L334" s="368">
        <f>(MIN(Attendance!D334, TIME(18, 0, 0)) - Attendance!C334) * 24</f>
        <v>18</v>
      </c>
      <c r="M334" s="369">
        <f t="shared" si="5"/>
        <v>-18</v>
      </c>
      <c r="N334" s="369"/>
      <c r="O334" s="369"/>
      <c r="P334" s="369"/>
    </row>
    <row r="335" ht="22.5" customHeight="1">
      <c r="A335" s="394"/>
      <c r="B335" s="395"/>
      <c r="C335" s="396"/>
      <c r="D335" s="396"/>
      <c r="E335" s="363" t="str">
        <f t="shared" si="1"/>
        <v>السبت</v>
      </c>
      <c r="F335" s="364">
        <f t="shared" si="2"/>
        <v>12</v>
      </c>
      <c r="G335" s="365">
        <f t="shared" si="9"/>
        <v>0</v>
      </c>
      <c r="H335" s="366"/>
      <c r="I335" s="366"/>
      <c r="J335" s="366"/>
      <c r="K335" s="367" t="str">
        <f t="shared" si="4"/>
        <v>يوم عادي</v>
      </c>
      <c r="L335" s="368">
        <f>(MIN(Attendance!D335, TIME(18, 0, 0)) - Attendance!C335) * 24</f>
        <v>18</v>
      </c>
      <c r="M335" s="369">
        <f t="shared" si="5"/>
        <v>-18</v>
      </c>
      <c r="N335" s="377"/>
      <c r="O335" s="377"/>
      <c r="P335" s="377"/>
    </row>
    <row r="336" ht="22.5" customHeight="1">
      <c r="A336" s="394"/>
      <c r="B336" s="395"/>
      <c r="C336" s="396"/>
      <c r="D336" s="396"/>
      <c r="E336" s="363" t="str">
        <f t="shared" si="1"/>
        <v>السبت</v>
      </c>
      <c r="F336" s="364">
        <f t="shared" si="2"/>
        <v>12</v>
      </c>
      <c r="G336" s="365">
        <f t="shared" si="9"/>
        <v>0</v>
      </c>
      <c r="H336" s="366"/>
      <c r="I336" s="366"/>
      <c r="J336" s="366"/>
      <c r="K336" s="367" t="str">
        <f t="shared" si="4"/>
        <v>يوم عادي</v>
      </c>
      <c r="L336" s="368">
        <f>(MIN(Attendance!D336, TIME(18, 0, 0)) - Attendance!C336) * 24</f>
        <v>18</v>
      </c>
      <c r="M336" s="369">
        <f t="shared" si="5"/>
        <v>-18</v>
      </c>
      <c r="N336" s="369"/>
      <c r="O336" s="369"/>
      <c r="P336" s="369"/>
    </row>
    <row r="337" ht="22.5" customHeight="1">
      <c r="A337" s="394"/>
      <c r="B337" s="395"/>
      <c r="C337" s="396"/>
      <c r="D337" s="396"/>
      <c r="E337" s="363" t="str">
        <f t="shared" si="1"/>
        <v>السبت</v>
      </c>
      <c r="F337" s="364">
        <f t="shared" si="2"/>
        <v>12</v>
      </c>
      <c r="G337" s="365">
        <f t="shared" si="9"/>
        <v>0</v>
      </c>
      <c r="H337" s="366"/>
      <c r="I337" s="366"/>
      <c r="J337" s="366"/>
      <c r="K337" s="367" t="str">
        <f t="shared" si="4"/>
        <v>يوم عادي</v>
      </c>
      <c r="L337" s="368">
        <f>(MIN(Attendance!D337, TIME(18, 0, 0)) - Attendance!C337) * 24</f>
        <v>18</v>
      </c>
      <c r="M337" s="369">
        <f t="shared" si="5"/>
        <v>-18</v>
      </c>
      <c r="N337" s="377"/>
      <c r="O337" s="377"/>
      <c r="P337" s="377"/>
    </row>
    <row r="338" ht="22.5" customHeight="1">
      <c r="A338" s="394"/>
      <c r="B338" s="395"/>
      <c r="C338" s="396"/>
      <c r="D338" s="396"/>
      <c r="E338" s="363" t="str">
        <f t="shared" si="1"/>
        <v>السبت</v>
      </c>
      <c r="F338" s="364">
        <f t="shared" si="2"/>
        <v>12</v>
      </c>
      <c r="G338" s="365">
        <f t="shared" si="9"/>
        <v>0</v>
      </c>
      <c r="H338" s="366"/>
      <c r="I338" s="366"/>
      <c r="J338" s="366"/>
      <c r="K338" s="367" t="str">
        <f t="shared" si="4"/>
        <v>يوم عادي</v>
      </c>
      <c r="L338" s="368">
        <f>(MIN(Attendance!D338, TIME(18, 0, 0)) - Attendance!C338) * 24</f>
        <v>18</v>
      </c>
      <c r="M338" s="369">
        <f t="shared" si="5"/>
        <v>-18</v>
      </c>
      <c r="N338" s="369"/>
      <c r="O338" s="369"/>
      <c r="P338" s="369"/>
    </row>
    <row r="339" ht="22.5" customHeight="1">
      <c r="A339" s="394"/>
      <c r="B339" s="395"/>
      <c r="C339" s="396"/>
      <c r="D339" s="396"/>
      <c r="E339" s="363" t="str">
        <f t="shared" si="1"/>
        <v>السبت</v>
      </c>
      <c r="F339" s="364">
        <f t="shared" si="2"/>
        <v>12</v>
      </c>
      <c r="G339" s="365">
        <f t="shared" si="9"/>
        <v>0</v>
      </c>
      <c r="H339" s="366"/>
      <c r="I339" s="366"/>
      <c r="J339" s="366"/>
      <c r="K339" s="367" t="str">
        <f t="shared" si="4"/>
        <v>يوم عادي</v>
      </c>
      <c r="L339" s="368">
        <f>(MIN(Attendance!D339, TIME(18, 0, 0)) - Attendance!C339) * 24</f>
        <v>18</v>
      </c>
      <c r="M339" s="369">
        <f t="shared" si="5"/>
        <v>-18</v>
      </c>
      <c r="N339" s="377"/>
      <c r="O339" s="377"/>
      <c r="P339" s="377"/>
    </row>
    <row r="340" ht="22.5" customHeight="1">
      <c r="A340" s="394"/>
      <c r="B340" s="395"/>
      <c r="C340" s="396"/>
      <c r="D340" s="396"/>
      <c r="E340" s="363" t="str">
        <f t="shared" si="1"/>
        <v>السبت</v>
      </c>
      <c r="F340" s="364">
        <f t="shared" si="2"/>
        <v>12</v>
      </c>
      <c r="G340" s="365">
        <f t="shared" si="9"/>
        <v>0</v>
      </c>
      <c r="H340" s="366"/>
      <c r="I340" s="366"/>
      <c r="J340" s="366"/>
      <c r="K340" s="367" t="str">
        <f t="shared" si="4"/>
        <v>يوم عادي</v>
      </c>
      <c r="L340" s="368">
        <f>(MIN(Attendance!D340, TIME(18, 0, 0)) - Attendance!C340) * 24</f>
        <v>18</v>
      </c>
      <c r="M340" s="369">
        <f t="shared" si="5"/>
        <v>-18</v>
      </c>
      <c r="N340" s="369"/>
      <c r="O340" s="369"/>
      <c r="P340" s="369"/>
    </row>
    <row r="341" ht="22.5" customHeight="1">
      <c r="A341" s="394"/>
      <c r="B341" s="395"/>
      <c r="C341" s="396"/>
      <c r="D341" s="396"/>
      <c r="E341" s="363" t="str">
        <f t="shared" si="1"/>
        <v>السبت</v>
      </c>
      <c r="F341" s="364">
        <f t="shared" si="2"/>
        <v>12</v>
      </c>
      <c r="G341" s="365">
        <f t="shared" si="9"/>
        <v>0</v>
      </c>
      <c r="H341" s="366"/>
      <c r="I341" s="366"/>
      <c r="J341" s="366"/>
      <c r="K341" s="367" t="str">
        <f t="shared" si="4"/>
        <v>يوم عادي</v>
      </c>
      <c r="L341" s="368">
        <f>(MIN(Attendance!D341, TIME(18, 0, 0)) - Attendance!C341) * 24</f>
        <v>18</v>
      </c>
      <c r="M341" s="369">
        <f t="shared" si="5"/>
        <v>-18</v>
      </c>
      <c r="N341" s="377"/>
      <c r="O341" s="377"/>
      <c r="P341" s="377"/>
    </row>
    <row r="342" ht="22.5" customHeight="1">
      <c r="A342" s="394"/>
      <c r="B342" s="395"/>
      <c r="C342" s="396"/>
      <c r="D342" s="396"/>
      <c r="E342" s="363" t="str">
        <f t="shared" si="1"/>
        <v>السبت</v>
      </c>
      <c r="F342" s="364">
        <f t="shared" si="2"/>
        <v>12</v>
      </c>
      <c r="G342" s="365">
        <f t="shared" si="9"/>
        <v>0</v>
      </c>
      <c r="H342" s="366"/>
      <c r="I342" s="366"/>
      <c r="J342" s="366"/>
      <c r="K342" s="367" t="str">
        <f t="shared" si="4"/>
        <v>يوم عادي</v>
      </c>
      <c r="L342" s="368">
        <f>(MIN(Attendance!D342, TIME(18, 0, 0)) - Attendance!C342) * 24</f>
        <v>18</v>
      </c>
      <c r="M342" s="369">
        <f t="shared" si="5"/>
        <v>-18</v>
      </c>
      <c r="N342" s="369"/>
      <c r="O342" s="369"/>
      <c r="P342" s="369"/>
    </row>
    <row r="343" ht="22.5" customHeight="1">
      <c r="A343" s="394"/>
      <c r="B343" s="395"/>
      <c r="C343" s="396"/>
      <c r="D343" s="396"/>
      <c r="E343" s="363" t="str">
        <f t="shared" si="1"/>
        <v>السبت</v>
      </c>
      <c r="F343" s="364">
        <f t="shared" si="2"/>
        <v>12</v>
      </c>
      <c r="G343" s="365">
        <f t="shared" si="9"/>
        <v>0</v>
      </c>
      <c r="H343" s="366"/>
      <c r="I343" s="366"/>
      <c r="J343" s="366"/>
      <c r="K343" s="367" t="str">
        <f t="shared" si="4"/>
        <v>يوم عادي</v>
      </c>
      <c r="L343" s="368">
        <f>(MIN(Attendance!D343, TIME(18, 0, 0)) - Attendance!C343) * 24</f>
        <v>18</v>
      </c>
      <c r="M343" s="369">
        <f t="shared" si="5"/>
        <v>-18</v>
      </c>
      <c r="N343" s="377"/>
      <c r="O343" s="377"/>
      <c r="P343" s="377"/>
    </row>
    <row r="344" ht="22.5" customHeight="1">
      <c r="A344" s="394"/>
      <c r="B344" s="395"/>
      <c r="C344" s="396"/>
      <c r="D344" s="396"/>
      <c r="E344" s="363" t="str">
        <f t="shared" si="1"/>
        <v>السبت</v>
      </c>
      <c r="F344" s="364">
        <f t="shared" si="2"/>
        <v>12</v>
      </c>
      <c r="G344" s="365">
        <f t="shared" si="9"/>
        <v>0</v>
      </c>
      <c r="H344" s="366"/>
      <c r="I344" s="366"/>
      <c r="J344" s="366"/>
      <c r="K344" s="367" t="str">
        <f t="shared" si="4"/>
        <v>يوم عادي</v>
      </c>
      <c r="L344" s="368">
        <f>(MIN(Attendance!D344, TIME(18, 0, 0)) - Attendance!C344) * 24</f>
        <v>18</v>
      </c>
      <c r="M344" s="369">
        <f t="shared" si="5"/>
        <v>-18</v>
      </c>
      <c r="N344" s="369"/>
      <c r="O344" s="369"/>
      <c r="P344" s="369"/>
    </row>
    <row r="345" ht="22.5" customHeight="1">
      <c r="A345" s="394"/>
      <c r="B345" s="395"/>
      <c r="C345" s="396"/>
      <c r="D345" s="396"/>
      <c r="E345" s="363" t="str">
        <f t="shared" si="1"/>
        <v>السبت</v>
      </c>
      <c r="F345" s="364">
        <f t="shared" si="2"/>
        <v>12</v>
      </c>
      <c r="G345" s="365">
        <f t="shared" si="9"/>
        <v>0</v>
      </c>
      <c r="H345" s="366"/>
      <c r="I345" s="366"/>
      <c r="J345" s="366"/>
      <c r="K345" s="367" t="str">
        <f t="shared" si="4"/>
        <v>يوم عادي</v>
      </c>
      <c r="L345" s="368">
        <f>(MIN(Attendance!D345, TIME(18, 0, 0)) - Attendance!C345) * 24</f>
        <v>18</v>
      </c>
      <c r="M345" s="369">
        <f t="shared" si="5"/>
        <v>-18</v>
      </c>
      <c r="N345" s="377"/>
      <c r="O345" s="377"/>
      <c r="P345" s="377"/>
    </row>
    <row r="346" ht="22.5" customHeight="1">
      <c r="A346" s="394"/>
      <c r="B346" s="395"/>
      <c r="C346" s="396"/>
      <c r="D346" s="396"/>
      <c r="E346" s="363" t="str">
        <f t="shared" si="1"/>
        <v>السبت</v>
      </c>
      <c r="F346" s="364">
        <f t="shared" si="2"/>
        <v>12</v>
      </c>
      <c r="G346" s="365">
        <f t="shared" si="9"/>
        <v>0</v>
      </c>
      <c r="H346" s="366"/>
      <c r="I346" s="366"/>
      <c r="J346" s="366"/>
      <c r="K346" s="367" t="str">
        <f t="shared" si="4"/>
        <v>يوم عادي</v>
      </c>
      <c r="L346" s="368">
        <f>(MIN(Attendance!D346, TIME(18, 0, 0)) - Attendance!C346) * 24</f>
        <v>18</v>
      </c>
      <c r="M346" s="369">
        <f t="shared" si="5"/>
        <v>-18</v>
      </c>
      <c r="N346" s="369"/>
      <c r="O346" s="369"/>
      <c r="P346" s="369"/>
    </row>
    <row r="347" ht="22.5" customHeight="1">
      <c r="A347" s="394"/>
      <c r="B347" s="395"/>
      <c r="C347" s="396"/>
      <c r="D347" s="396"/>
      <c r="E347" s="363" t="str">
        <f t="shared" si="1"/>
        <v>السبت</v>
      </c>
      <c r="F347" s="364">
        <f t="shared" si="2"/>
        <v>12</v>
      </c>
      <c r="G347" s="365">
        <f t="shared" si="9"/>
        <v>0</v>
      </c>
      <c r="H347" s="366"/>
      <c r="I347" s="366"/>
      <c r="J347" s="366"/>
      <c r="K347" s="367" t="str">
        <f t="shared" si="4"/>
        <v>يوم عادي</v>
      </c>
      <c r="L347" s="368">
        <f>(MIN(Attendance!D347, TIME(18, 0, 0)) - Attendance!C347) * 24</f>
        <v>18</v>
      </c>
      <c r="M347" s="369">
        <f t="shared" si="5"/>
        <v>-18</v>
      </c>
      <c r="N347" s="377"/>
      <c r="O347" s="377"/>
      <c r="P347" s="377"/>
    </row>
    <row r="348" ht="22.5" customHeight="1">
      <c r="A348" s="394"/>
      <c r="B348" s="395"/>
      <c r="C348" s="396"/>
      <c r="D348" s="396"/>
      <c r="E348" s="363" t="str">
        <f t="shared" si="1"/>
        <v>السبت</v>
      </c>
      <c r="F348" s="364">
        <f t="shared" si="2"/>
        <v>12</v>
      </c>
      <c r="G348" s="365">
        <f t="shared" si="9"/>
        <v>0</v>
      </c>
      <c r="H348" s="366"/>
      <c r="I348" s="366"/>
      <c r="J348" s="366"/>
      <c r="K348" s="367" t="str">
        <f t="shared" si="4"/>
        <v>يوم عادي</v>
      </c>
      <c r="L348" s="368">
        <f>(MIN(Attendance!D348, TIME(18, 0, 0)) - Attendance!C348) * 24</f>
        <v>18</v>
      </c>
      <c r="M348" s="369">
        <f t="shared" si="5"/>
        <v>-18</v>
      </c>
      <c r="N348" s="369"/>
      <c r="O348" s="369"/>
      <c r="P348" s="369"/>
    </row>
    <row r="349" ht="22.5" customHeight="1">
      <c r="A349" s="394"/>
      <c r="B349" s="395"/>
      <c r="C349" s="396"/>
      <c r="D349" s="396"/>
      <c r="E349" s="363" t="str">
        <f t="shared" si="1"/>
        <v>السبت</v>
      </c>
      <c r="F349" s="364">
        <f t="shared" si="2"/>
        <v>12</v>
      </c>
      <c r="G349" s="365">
        <f t="shared" si="9"/>
        <v>0</v>
      </c>
      <c r="H349" s="366"/>
      <c r="I349" s="366"/>
      <c r="J349" s="366"/>
      <c r="K349" s="367" t="str">
        <f t="shared" si="4"/>
        <v>يوم عادي</v>
      </c>
      <c r="L349" s="368">
        <f>(MIN(Attendance!D349, TIME(18, 0, 0)) - Attendance!C349) * 24</f>
        <v>18</v>
      </c>
      <c r="M349" s="369">
        <f t="shared" si="5"/>
        <v>-18</v>
      </c>
      <c r="N349" s="377"/>
      <c r="O349" s="377"/>
      <c r="P349" s="377"/>
    </row>
    <row r="350" ht="22.5" customHeight="1">
      <c r="A350" s="394"/>
      <c r="B350" s="395"/>
      <c r="C350" s="396"/>
      <c r="D350" s="396"/>
      <c r="E350" s="363" t="str">
        <f t="shared" si="1"/>
        <v>السبت</v>
      </c>
      <c r="F350" s="364">
        <f t="shared" si="2"/>
        <v>12</v>
      </c>
      <c r="G350" s="365">
        <f t="shared" si="9"/>
        <v>0</v>
      </c>
      <c r="H350" s="366"/>
      <c r="I350" s="366"/>
      <c r="J350" s="366"/>
      <c r="K350" s="367" t="str">
        <f t="shared" si="4"/>
        <v>يوم عادي</v>
      </c>
      <c r="L350" s="368">
        <f>(MIN(Attendance!D350, TIME(18, 0, 0)) - Attendance!C350) * 24</f>
        <v>18</v>
      </c>
      <c r="M350" s="369">
        <f t="shared" si="5"/>
        <v>-18</v>
      </c>
      <c r="N350" s="369"/>
      <c r="O350" s="369"/>
      <c r="P350" s="369"/>
    </row>
    <row r="351" ht="22.5" customHeight="1">
      <c r="A351" s="394"/>
      <c r="B351" s="395"/>
      <c r="C351" s="396"/>
      <c r="D351" s="396"/>
      <c r="E351" s="363" t="str">
        <f t="shared" si="1"/>
        <v>السبت</v>
      </c>
      <c r="F351" s="364">
        <f t="shared" si="2"/>
        <v>12</v>
      </c>
      <c r="G351" s="365">
        <f t="shared" si="9"/>
        <v>0</v>
      </c>
      <c r="H351" s="366"/>
      <c r="I351" s="366"/>
      <c r="J351" s="366"/>
      <c r="K351" s="367" t="str">
        <f t="shared" si="4"/>
        <v>يوم عادي</v>
      </c>
      <c r="L351" s="368">
        <f>(MIN(Attendance!D351, TIME(18, 0, 0)) - Attendance!C351) * 24</f>
        <v>18</v>
      </c>
      <c r="M351" s="369">
        <f t="shared" si="5"/>
        <v>-18</v>
      </c>
      <c r="N351" s="377"/>
      <c r="O351" s="377"/>
      <c r="P351" s="377"/>
    </row>
    <row r="352" ht="22.5" customHeight="1">
      <c r="A352" s="394"/>
      <c r="B352" s="395"/>
      <c r="C352" s="396"/>
      <c r="D352" s="396"/>
      <c r="E352" s="363" t="str">
        <f t="shared" si="1"/>
        <v>السبت</v>
      </c>
      <c r="F352" s="364">
        <f t="shared" si="2"/>
        <v>12</v>
      </c>
      <c r="G352" s="365">
        <f t="shared" si="9"/>
        <v>0</v>
      </c>
      <c r="H352" s="366"/>
      <c r="I352" s="366"/>
      <c r="J352" s="366"/>
      <c r="K352" s="367" t="str">
        <f t="shared" si="4"/>
        <v>يوم عادي</v>
      </c>
      <c r="L352" s="368">
        <f>(MIN(Attendance!D352, TIME(18, 0, 0)) - Attendance!C352) * 24</f>
        <v>18</v>
      </c>
      <c r="M352" s="369">
        <f t="shared" si="5"/>
        <v>-18</v>
      </c>
      <c r="N352" s="369"/>
      <c r="O352" s="369"/>
      <c r="P352" s="369"/>
    </row>
    <row r="353" ht="22.5" customHeight="1">
      <c r="A353" s="394"/>
      <c r="B353" s="395"/>
      <c r="C353" s="396"/>
      <c r="D353" s="396"/>
      <c r="E353" s="363" t="str">
        <f t="shared" si="1"/>
        <v>السبت</v>
      </c>
      <c r="F353" s="364">
        <f t="shared" si="2"/>
        <v>12</v>
      </c>
      <c r="G353" s="365">
        <f t="shared" si="9"/>
        <v>0</v>
      </c>
      <c r="H353" s="366"/>
      <c r="I353" s="366"/>
      <c r="J353" s="366"/>
      <c r="K353" s="367" t="str">
        <f t="shared" si="4"/>
        <v>يوم عادي</v>
      </c>
      <c r="L353" s="368">
        <f>(MIN(Attendance!D353, TIME(18, 0, 0)) - Attendance!C353) * 24</f>
        <v>18</v>
      </c>
      <c r="M353" s="369">
        <f t="shared" si="5"/>
        <v>-18</v>
      </c>
      <c r="N353" s="377"/>
      <c r="O353" s="377"/>
      <c r="P353" s="377"/>
    </row>
    <row r="354" ht="22.5" customHeight="1">
      <c r="A354" s="394"/>
      <c r="B354" s="395"/>
      <c r="C354" s="396"/>
      <c r="D354" s="396"/>
      <c r="E354" s="363" t="str">
        <f t="shared" si="1"/>
        <v>السبت</v>
      </c>
      <c r="F354" s="364">
        <f t="shared" si="2"/>
        <v>12</v>
      </c>
      <c r="G354" s="365">
        <f t="shared" si="9"/>
        <v>0</v>
      </c>
      <c r="H354" s="366"/>
      <c r="I354" s="366"/>
      <c r="J354" s="366"/>
      <c r="K354" s="367" t="str">
        <f t="shared" si="4"/>
        <v>يوم عادي</v>
      </c>
      <c r="L354" s="368">
        <f>(MIN(Attendance!D354, TIME(18, 0, 0)) - Attendance!C354) * 24</f>
        <v>18</v>
      </c>
      <c r="M354" s="369">
        <f t="shared" si="5"/>
        <v>-18</v>
      </c>
      <c r="N354" s="369"/>
      <c r="O354" s="369"/>
      <c r="P354" s="369"/>
    </row>
    <row r="355" ht="22.5" customHeight="1">
      <c r="A355" s="394"/>
      <c r="B355" s="395"/>
      <c r="C355" s="396"/>
      <c r="D355" s="396"/>
      <c r="E355" s="363" t="str">
        <f t="shared" si="1"/>
        <v>السبت</v>
      </c>
      <c r="F355" s="364">
        <f t="shared" si="2"/>
        <v>12</v>
      </c>
      <c r="G355" s="365">
        <f t="shared" si="9"/>
        <v>0</v>
      </c>
      <c r="H355" s="366"/>
      <c r="I355" s="366"/>
      <c r="J355" s="366"/>
      <c r="K355" s="367" t="str">
        <f t="shared" si="4"/>
        <v>يوم عادي</v>
      </c>
      <c r="L355" s="368">
        <f>(MIN(Attendance!D355, TIME(18, 0, 0)) - Attendance!C355) * 24</f>
        <v>18</v>
      </c>
      <c r="M355" s="369">
        <f t="shared" si="5"/>
        <v>-18</v>
      </c>
      <c r="N355" s="377"/>
      <c r="O355" s="377"/>
      <c r="P355" s="377"/>
    </row>
    <row r="356" ht="22.5" customHeight="1">
      <c r="A356" s="394"/>
      <c r="B356" s="395"/>
      <c r="C356" s="396"/>
      <c r="D356" s="396"/>
      <c r="E356" s="363" t="str">
        <f t="shared" si="1"/>
        <v>السبت</v>
      </c>
      <c r="F356" s="364">
        <f t="shared" si="2"/>
        <v>12</v>
      </c>
      <c r="G356" s="365">
        <f t="shared" si="9"/>
        <v>0</v>
      </c>
      <c r="H356" s="366"/>
      <c r="I356" s="366"/>
      <c r="J356" s="366"/>
      <c r="K356" s="367" t="str">
        <f t="shared" si="4"/>
        <v>يوم عادي</v>
      </c>
      <c r="L356" s="368">
        <f>(MIN(Attendance!D356, TIME(18, 0, 0)) - Attendance!C356) * 24</f>
        <v>18</v>
      </c>
      <c r="M356" s="369">
        <f t="shared" si="5"/>
        <v>-18</v>
      </c>
      <c r="N356" s="369"/>
      <c r="O356" s="369"/>
      <c r="P356" s="369"/>
    </row>
    <row r="357" ht="22.5" customHeight="1">
      <c r="A357" s="394"/>
      <c r="B357" s="395"/>
      <c r="C357" s="396"/>
      <c r="D357" s="396"/>
      <c r="E357" s="363" t="str">
        <f t="shared" si="1"/>
        <v>السبت</v>
      </c>
      <c r="F357" s="364">
        <f t="shared" si="2"/>
        <v>12</v>
      </c>
      <c r="G357" s="365">
        <f t="shared" si="9"/>
        <v>0</v>
      </c>
      <c r="H357" s="366"/>
      <c r="I357" s="366"/>
      <c r="J357" s="366"/>
      <c r="K357" s="367" t="str">
        <f t="shared" si="4"/>
        <v>يوم عادي</v>
      </c>
      <c r="L357" s="368">
        <f>(MIN(Attendance!D357, TIME(18, 0, 0)) - Attendance!C357) * 24</f>
        <v>18</v>
      </c>
      <c r="M357" s="369">
        <f t="shared" si="5"/>
        <v>-18</v>
      </c>
      <c r="N357" s="377"/>
      <c r="O357" s="377"/>
      <c r="P357" s="377"/>
    </row>
    <row r="358" ht="22.5" customHeight="1">
      <c r="A358" s="394"/>
      <c r="B358" s="395"/>
      <c r="C358" s="396"/>
      <c r="D358" s="396"/>
      <c r="E358" s="363" t="str">
        <f t="shared" si="1"/>
        <v>السبت</v>
      </c>
      <c r="F358" s="364">
        <f t="shared" si="2"/>
        <v>12</v>
      </c>
      <c r="G358" s="365">
        <f t="shared" si="9"/>
        <v>0</v>
      </c>
      <c r="H358" s="366"/>
      <c r="I358" s="366"/>
      <c r="J358" s="366"/>
      <c r="K358" s="367" t="str">
        <f t="shared" si="4"/>
        <v>يوم عادي</v>
      </c>
      <c r="L358" s="368">
        <f>(MIN(Attendance!D358, TIME(18, 0, 0)) - Attendance!C358) * 24</f>
        <v>18</v>
      </c>
      <c r="M358" s="369">
        <f t="shared" si="5"/>
        <v>-18</v>
      </c>
      <c r="N358" s="369"/>
      <c r="O358" s="369"/>
      <c r="P358" s="369"/>
    </row>
    <row r="359" ht="22.5" customHeight="1">
      <c r="A359" s="394"/>
      <c r="B359" s="395"/>
      <c r="C359" s="396"/>
      <c r="D359" s="396"/>
      <c r="E359" s="363" t="str">
        <f t="shared" si="1"/>
        <v>السبت</v>
      </c>
      <c r="F359" s="364">
        <f t="shared" si="2"/>
        <v>12</v>
      </c>
      <c r="G359" s="365">
        <f t="shared" si="9"/>
        <v>0</v>
      </c>
      <c r="H359" s="366"/>
      <c r="I359" s="366"/>
      <c r="J359" s="366"/>
      <c r="K359" s="367" t="str">
        <f t="shared" si="4"/>
        <v>يوم عادي</v>
      </c>
      <c r="L359" s="368">
        <f>(MIN(Attendance!D359, TIME(18, 0, 0)) - Attendance!C359) * 24</f>
        <v>18</v>
      </c>
      <c r="M359" s="369">
        <f t="shared" si="5"/>
        <v>-18</v>
      </c>
      <c r="N359" s="377"/>
      <c r="O359" s="377"/>
      <c r="P359" s="377"/>
    </row>
    <row r="360" ht="22.5" customHeight="1">
      <c r="A360" s="394"/>
      <c r="B360" s="395"/>
      <c r="C360" s="396"/>
      <c r="D360" s="396"/>
      <c r="E360" s="363" t="str">
        <f t="shared" si="1"/>
        <v>السبت</v>
      </c>
      <c r="F360" s="364">
        <f t="shared" si="2"/>
        <v>12</v>
      </c>
      <c r="G360" s="365">
        <f t="shared" si="9"/>
        <v>0</v>
      </c>
      <c r="H360" s="366"/>
      <c r="I360" s="366"/>
      <c r="J360" s="366"/>
      <c r="K360" s="367" t="str">
        <f t="shared" si="4"/>
        <v>يوم عادي</v>
      </c>
      <c r="L360" s="368">
        <f>(MIN(Attendance!D360, TIME(18, 0, 0)) - Attendance!C360) * 24</f>
        <v>18</v>
      </c>
      <c r="M360" s="369">
        <f t="shared" si="5"/>
        <v>-18</v>
      </c>
      <c r="N360" s="369"/>
      <c r="O360" s="369"/>
      <c r="P360" s="369"/>
    </row>
    <row r="361" ht="22.5" customHeight="1">
      <c r="A361" s="394"/>
      <c r="B361" s="395"/>
      <c r="C361" s="396"/>
      <c r="D361" s="396"/>
      <c r="E361" s="363" t="str">
        <f t="shared" si="1"/>
        <v>السبت</v>
      </c>
      <c r="F361" s="364">
        <f t="shared" si="2"/>
        <v>12</v>
      </c>
      <c r="G361" s="365">
        <f t="shared" si="9"/>
        <v>0</v>
      </c>
      <c r="H361" s="366"/>
      <c r="I361" s="366"/>
      <c r="J361" s="366"/>
      <c r="K361" s="367" t="str">
        <f t="shared" si="4"/>
        <v>يوم عادي</v>
      </c>
      <c r="L361" s="368">
        <f>(MIN(Attendance!D361, TIME(18, 0, 0)) - Attendance!C361) * 24</f>
        <v>18</v>
      </c>
      <c r="M361" s="369">
        <f t="shared" si="5"/>
        <v>-18</v>
      </c>
      <c r="N361" s="377"/>
      <c r="O361" s="377"/>
      <c r="P361" s="377"/>
    </row>
    <row r="362" ht="22.5" customHeight="1">
      <c r="A362" s="394"/>
      <c r="B362" s="395"/>
      <c r="C362" s="396"/>
      <c r="D362" s="396"/>
      <c r="E362" s="363" t="str">
        <f t="shared" si="1"/>
        <v>السبت</v>
      </c>
      <c r="F362" s="364">
        <f t="shared" si="2"/>
        <v>12</v>
      </c>
      <c r="G362" s="365">
        <f t="shared" si="9"/>
        <v>0</v>
      </c>
      <c r="H362" s="366"/>
      <c r="I362" s="366"/>
      <c r="J362" s="366"/>
      <c r="K362" s="367" t="str">
        <f t="shared" si="4"/>
        <v>يوم عادي</v>
      </c>
      <c r="L362" s="368">
        <f>(MIN(Attendance!D362, TIME(18, 0, 0)) - Attendance!C362) * 24</f>
        <v>18</v>
      </c>
      <c r="M362" s="369">
        <f t="shared" si="5"/>
        <v>-18</v>
      </c>
      <c r="N362" s="369"/>
      <c r="O362" s="369"/>
      <c r="P362" s="369"/>
    </row>
    <row r="363" ht="22.5" customHeight="1">
      <c r="A363" s="394"/>
      <c r="B363" s="395"/>
      <c r="C363" s="396"/>
      <c r="D363" s="396"/>
      <c r="E363" s="363" t="str">
        <f t="shared" si="1"/>
        <v>السبت</v>
      </c>
      <c r="F363" s="364">
        <f t="shared" si="2"/>
        <v>12</v>
      </c>
      <c r="G363" s="365">
        <f t="shared" si="9"/>
        <v>0</v>
      </c>
      <c r="H363" s="366"/>
      <c r="I363" s="366"/>
      <c r="J363" s="366"/>
      <c r="K363" s="367" t="str">
        <f t="shared" si="4"/>
        <v>يوم عادي</v>
      </c>
      <c r="L363" s="368">
        <f>(MIN(Attendance!D363, TIME(18, 0, 0)) - Attendance!C363) * 24</f>
        <v>18</v>
      </c>
      <c r="M363" s="369">
        <f t="shared" si="5"/>
        <v>-18</v>
      </c>
      <c r="N363" s="377"/>
      <c r="O363" s="377"/>
      <c r="P363" s="377"/>
    </row>
    <row r="364" ht="22.5" customHeight="1">
      <c r="A364" s="394"/>
      <c r="B364" s="395"/>
      <c r="C364" s="396"/>
      <c r="D364" s="396"/>
      <c r="E364" s="363" t="str">
        <f t="shared" si="1"/>
        <v>السبت</v>
      </c>
      <c r="F364" s="364">
        <f t="shared" si="2"/>
        <v>12</v>
      </c>
      <c r="G364" s="365">
        <f t="shared" si="9"/>
        <v>0</v>
      </c>
      <c r="H364" s="366"/>
      <c r="I364" s="366"/>
      <c r="J364" s="366"/>
      <c r="K364" s="367" t="str">
        <f t="shared" si="4"/>
        <v>يوم عادي</v>
      </c>
      <c r="L364" s="368">
        <f>(MIN(Attendance!D364, TIME(18, 0, 0)) - Attendance!C364) * 24</f>
        <v>18</v>
      </c>
      <c r="M364" s="369">
        <f t="shared" si="5"/>
        <v>-18</v>
      </c>
      <c r="N364" s="369"/>
      <c r="O364" s="369"/>
      <c r="P364" s="369"/>
    </row>
    <row r="365" ht="22.5" customHeight="1">
      <c r="A365" s="394"/>
      <c r="B365" s="395"/>
      <c r="C365" s="396"/>
      <c r="D365" s="396"/>
      <c r="E365" s="363" t="str">
        <f t="shared" si="1"/>
        <v>السبت</v>
      </c>
      <c r="F365" s="364">
        <f t="shared" si="2"/>
        <v>12</v>
      </c>
      <c r="G365" s="365">
        <f t="shared" si="9"/>
        <v>0</v>
      </c>
      <c r="H365" s="366"/>
      <c r="I365" s="366"/>
      <c r="J365" s="366"/>
      <c r="K365" s="367" t="str">
        <f t="shared" si="4"/>
        <v>يوم عادي</v>
      </c>
      <c r="L365" s="368">
        <f>(MIN(Attendance!D365, TIME(18, 0, 0)) - Attendance!C365) * 24</f>
        <v>18</v>
      </c>
      <c r="M365" s="369">
        <f t="shared" si="5"/>
        <v>-18</v>
      </c>
      <c r="N365" s="377"/>
      <c r="O365" s="377"/>
      <c r="P365" s="377"/>
    </row>
    <row r="366" ht="22.5" customHeight="1">
      <c r="A366" s="394"/>
      <c r="B366" s="395"/>
      <c r="C366" s="396"/>
      <c r="D366" s="396"/>
      <c r="E366" s="363" t="str">
        <f t="shared" si="1"/>
        <v>السبت</v>
      </c>
      <c r="F366" s="364">
        <f t="shared" si="2"/>
        <v>12</v>
      </c>
      <c r="G366" s="365">
        <f t="shared" si="9"/>
        <v>0</v>
      </c>
      <c r="H366" s="366"/>
      <c r="I366" s="366"/>
      <c r="J366" s="366"/>
      <c r="K366" s="367" t="str">
        <f t="shared" si="4"/>
        <v>يوم عادي</v>
      </c>
      <c r="L366" s="368">
        <f>(MIN(Attendance!D366, TIME(18, 0, 0)) - Attendance!C366) * 24</f>
        <v>18</v>
      </c>
      <c r="M366" s="369">
        <f t="shared" si="5"/>
        <v>-18</v>
      </c>
      <c r="N366" s="369"/>
      <c r="O366" s="369"/>
      <c r="P366" s="369"/>
    </row>
    <row r="367" ht="22.5" customHeight="1">
      <c r="A367" s="394"/>
      <c r="B367" s="395"/>
      <c r="C367" s="396"/>
      <c r="D367" s="396"/>
      <c r="E367" s="363" t="str">
        <f t="shared" si="1"/>
        <v>السبت</v>
      </c>
      <c r="F367" s="364">
        <f t="shared" si="2"/>
        <v>12</v>
      </c>
      <c r="G367" s="365">
        <f t="shared" si="9"/>
        <v>0</v>
      </c>
      <c r="H367" s="366"/>
      <c r="I367" s="366"/>
      <c r="J367" s="366"/>
      <c r="K367" s="367" t="str">
        <f t="shared" si="4"/>
        <v>يوم عادي</v>
      </c>
      <c r="L367" s="368">
        <f>(MIN(Attendance!D367, TIME(18, 0, 0)) - Attendance!C367) * 24</f>
        <v>18</v>
      </c>
      <c r="M367" s="369">
        <f t="shared" si="5"/>
        <v>-18</v>
      </c>
      <c r="N367" s="377"/>
      <c r="O367" s="377"/>
      <c r="P367" s="377"/>
    </row>
    <row r="368" ht="22.5" customHeight="1">
      <c r="A368" s="394"/>
      <c r="B368" s="395"/>
      <c r="C368" s="396"/>
      <c r="D368" s="396"/>
      <c r="E368" s="363" t="str">
        <f t="shared" si="1"/>
        <v>السبت</v>
      </c>
      <c r="F368" s="364">
        <f t="shared" si="2"/>
        <v>12</v>
      </c>
      <c r="G368" s="365">
        <f t="shared" si="9"/>
        <v>0</v>
      </c>
      <c r="H368" s="366"/>
      <c r="I368" s="366"/>
      <c r="J368" s="366"/>
      <c r="K368" s="367" t="str">
        <f t="shared" si="4"/>
        <v>يوم عادي</v>
      </c>
      <c r="L368" s="368">
        <f>(MIN(Attendance!D368, TIME(18, 0, 0)) - Attendance!C368) * 24</f>
        <v>18</v>
      </c>
      <c r="M368" s="369">
        <f t="shared" si="5"/>
        <v>-18</v>
      </c>
      <c r="N368" s="369"/>
      <c r="O368" s="369"/>
      <c r="P368" s="369"/>
    </row>
    <row r="369" ht="22.5" customHeight="1">
      <c r="A369" s="394"/>
      <c r="B369" s="395"/>
      <c r="C369" s="396"/>
      <c r="D369" s="396"/>
      <c r="E369" s="363" t="str">
        <f t="shared" si="1"/>
        <v>السبت</v>
      </c>
      <c r="F369" s="364">
        <f t="shared" si="2"/>
        <v>12</v>
      </c>
      <c r="G369" s="365">
        <f t="shared" si="9"/>
        <v>0</v>
      </c>
      <c r="H369" s="366"/>
      <c r="I369" s="366"/>
      <c r="J369" s="366"/>
      <c r="K369" s="367" t="str">
        <f t="shared" si="4"/>
        <v>يوم عادي</v>
      </c>
      <c r="L369" s="368">
        <f>(MIN(Attendance!D369, TIME(18, 0, 0)) - Attendance!C369) * 24</f>
        <v>18</v>
      </c>
      <c r="M369" s="369">
        <f t="shared" si="5"/>
        <v>-18</v>
      </c>
      <c r="N369" s="377"/>
      <c r="O369" s="377"/>
      <c r="P369" s="377"/>
    </row>
    <row r="370" ht="22.5" customHeight="1">
      <c r="A370" s="394"/>
      <c r="B370" s="395"/>
      <c r="C370" s="396"/>
      <c r="D370" s="396"/>
      <c r="E370" s="363" t="str">
        <f t="shared" si="1"/>
        <v>السبت</v>
      </c>
      <c r="F370" s="364">
        <f t="shared" si="2"/>
        <v>12</v>
      </c>
      <c r="G370" s="365">
        <f t="shared" si="9"/>
        <v>0</v>
      </c>
      <c r="H370" s="366"/>
      <c r="I370" s="366"/>
      <c r="J370" s="366"/>
      <c r="K370" s="367" t="str">
        <f t="shared" si="4"/>
        <v>يوم عادي</v>
      </c>
      <c r="L370" s="368">
        <f>(MIN(Attendance!D370, TIME(18, 0, 0)) - Attendance!C370) * 24</f>
        <v>18</v>
      </c>
      <c r="M370" s="369">
        <f t="shared" si="5"/>
        <v>-18</v>
      </c>
      <c r="N370" s="369"/>
      <c r="O370" s="369"/>
      <c r="P370" s="369"/>
    </row>
    <row r="371" ht="22.5" customHeight="1">
      <c r="A371" s="394"/>
      <c r="B371" s="395"/>
      <c r="C371" s="396"/>
      <c r="D371" s="396"/>
      <c r="E371" s="363" t="str">
        <f t="shared" si="1"/>
        <v>السبت</v>
      </c>
      <c r="F371" s="364">
        <f t="shared" si="2"/>
        <v>12</v>
      </c>
      <c r="G371" s="365">
        <f t="shared" si="9"/>
        <v>0</v>
      </c>
      <c r="H371" s="366"/>
      <c r="I371" s="366"/>
      <c r="J371" s="366"/>
      <c r="K371" s="367" t="str">
        <f t="shared" si="4"/>
        <v>يوم عادي</v>
      </c>
      <c r="L371" s="368">
        <f>(MIN(Attendance!D371, TIME(18, 0, 0)) - Attendance!C371) * 24</f>
        <v>18</v>
      </c>
      <c r="M371" s="369">
        <f t="shared" si="5"/>
        <v>-18</v>
      </c>
      <c r="N371" s="377"/>
      <c r="O371" s="377"/>
      <c r="P371" s="377"/>
    </row>
    <row r="372" ht="22.5" customHeight="1">
      <c r="A372" s="394"/>
      <c r="B372" s="395"/>
      <c r="C372" s="396"/>
      <c r="D372" s="396"/>
      <c r="E372" s="363" t="str">
        <f t="shared" si="1"/>
        <v>السبت</v>
      </c>
      <c r="F372" s="364">
        <f t="shared" si="2"/>
        <v>12</v>
      </c>
      <c r="G372" s="365">
        <f t="shared" si="9"/>
        <v>0</v>
      </c>
      <c r="H372" s="366"/>
      <c r="I372" s="366"/>
      <c r="J372" s="366"/>
      <c r="K372" s="367" t="str">
        <f t="shared" si="4"/>
        <v>يوم عادي</v>
      </c>
      <c r="L372" s="368">
        <f>(MIN(Attendance!D372, TIME(18, 0, 0)) - Attendance!C372) * 24</f>
        <v>18</v>
      </c>
      <c r="M372" s="369">
        <f t="shared" si="5"/>
        <v>-18</v>
      </c>
      <c r="N372" s="369"/>
      <c r="O372" s="369"/>
      <c r="P372" s="369"/>
    </row>
    <row r="373" ht="22.5" customHeight="1">
      <c r="A373" s="394"/>
      <c r="B373" s="395"/>
      <c r="C373" s="396"/>
      <c r="D373" s="396"/>
      <c r="E373" s="363" t="str">
        <f t="shared" si="1"/>
        <v>السبت</v>
      </c>
      <c r="F373" s="364">
        <f t="shared" si="2"/>
        <v>12</v>
      </c>
      <c r="G373" s="365">
        <f t="shared" si="9"/>
        <v>0</v>
      </c>
      <c r="H373" s="366"/>
      <c r="I373" s="366"/>
      <c r="J373" s="366"/>
      <c r="K373" s="367" t="str">
        <f t="shared" si="4"/>
        <v>يوم عادي</v>
      </c>
      <c r="L373" s="368">
        <f>(MIN(Attendance!D373, TIME(18, 0, 0)) - Attendance!C373) * 24</f>
        <v>18</v>
      </c>
      <c r="M373" s="369">
        <f t="shared" si="5"/>
        <v>-18</v>
      </c>
      <c r="N373" s="377"/>
      <c r="O373" s="377"/>
      <c r="P373" s="377"/>
    </row>
    <row r="374" ht="22.5" customHeight="1">
      <c r="A374" s="394"/>
      <c r="B374" s="395"/>
      <c r="C374" s="396"/>
      <c r="D374" s="396"/>
      <c r="E374" s="363" t="str">
        <f t="shared" si="1"/>
        <v>السبت</v>
      </c>
      <c r="F374" s="364">
        <f t="shared" si="2"/>
        <v>12</v>
      </c>
      <c r="G374" s="365">
        <f t="shared" si="9"/>
        <v>0</v>
      </c>
      <c r="H374" s="366"/>
      <c r="I374" s="366"/>
      <c r="J374" s="366"/>
      <c r="K374" s="367" t="str">
        <f t="shared" si="4"/>
        <v>يوم عادي</v>
      </c>
      <c r="L374" s="368">
        <f>(MIN(Attendance!D374, TIME(18, 0, 0)) - Attendance!C374) * 24</f>
        <v>18</v>
      </c>
      <c r="M374" s="369">
        <f t="shared" si="5"/>
        <v>-18</v>
      </c>
      <c r="N374" s="369"/>
      <c r="O374" s="369"/>
      <c r="P374" s="369"/>
    </row>
    <row r="375" ht="22.5" customHeight="1">
      <c r="A375" s="394"/>
      <c r="B375" s="395"/>
      <c r="C375" s="396"/>
      <c r="D375" s="396"/>
      <c r="E375" s="363" t="str">
        <f t="shared" si="1"/>
        <v>السبت</v>
      </c>
      <c r="F375" s="364">
        <f t="shared" si="2"/>
        <v>12</v>
      </c>
      <c r="G375" s="365">
        <f t="shared" si="9"/>
        <v>0</v>
      </c>
      <c r="H375" s="366"/>
      <c r="I375" s="366"/>
      <c r="J375" s="366"/>
      <c r="K375" s="367" t="str">
        <f t="shared" si="4"/>
        <v>يوم عادي</v>
      </c>
      <c r="L375" s="368">
        <f>(MIN(Attendance!D375, TIME(18, 0, 0)) - Attendance!C375) * 24</f>
        <v>18</v>
      </c>
      <c r="M375" s="369">
        <f t="shared" si="5"/>
        <v>-18</v>
      </c>
      <c r="N375" s="377"/>
      <c r="O375" s="377"/>
      <c r="P375" s="377"/>
    </row>
    <row r="376" ht="22.5" customHeight="1">
      <c r="A376" s="394"/>
      <c r="B376" s="395"/>
      <c r="C376" s="396"/>
      <c r="D376" s="396"/>
      <c r="E376" s="363" t="str">
        <f t="shared" si="1"/>
        <v>السبت</v>
      </c>
      <c r="F376" s="364">
        <f t="shared" si="2"/>
        <v>12</v>
      </c>
      <c r="G376" s="365">
        <f t="shared" si="9"/>
        <v>0</v>
      </c>
      <c r="H376" s="366"/>
      <c r="I376" s="366"/>
      <c r="J376" s="366"/>
      <c r="K376" s="367" t="str">
        <f t="shared" si="4"/>
        <v>يوم عادي</v>
      </c>
      <c r="L376" s="368">
        <f>(MIN(Attendance!D376, TIME(18, 0, 0)) - Attendance!C376) * 24</f>
        <v>18</v>
      </c>
      <c r="M376" s="369">
        <f t="shared" si="5"/>
        <v>-18</v>
      </c>
      <c r="N376" s="369"/>
      <c r="O376" s="369"/>
      <c r="P376" s="369"/>
    </row>
    <row r="377" ht="22.5" customHeight="1">
      <c r="A377" s="394"/>
      <c r="B377" s="395"/>
      <c r="C377" s="396"/>
      <c r="D377" s="396"/>
      <c r="E377" s="363" t="str">
        <f t="shared" si="1"/>
        <v>السبت</v>
      </c>
      <c r="F377" s="364">
        <f t="shared" si="2"/>
        <v>12</v>
      </c>
      <c r="G377" s="365">
        <f t="shared" si="9"/>
        <v>0</v>
      </c>
      <c r="H377" s="366"/>
      <c r="I377" s="366"/>
      <c r="J377" s="366"/>
      <c r="K377" s="367" t="str">
        <f t="shared" si="4"/>
        <v>يوم عادي</v>
      </c>
      <c r="L377" s="368">
        <f>(MIN(Attendance!D377, TIME(18, 0, 0)) - Attendance!C377) * 24</f>
        <v>18</v>
      </c>
      <c r="M377" s="369">
        <f t="shared" si="5"/>
        <v>-18</v>
      </c>
      <c r="N377" s="377"/>
      <c r="O377" s="377"/>
      <c r="P377" s="377"/>
    </row>
    <row r="378" ht="22.5" customHeight="1">
      <c r="A378" s="394"/>
      <c r="B378" s="395"/>
      <c r="C378" s="396"/>
      <c r="D378" s="396"/>
      <c r="E378" s="363" t="str">
        <f t="shared" si="1"/>
        <v>السبت</v>
      </c>
      <c r="F378" s="364">
        <f t="shared" si="2"/>
        <v>12</v>
      </c>
      <c r="G378" s="365">
        <f t="shared" si="9"/>
        <v>0</v>
      </c>
      <c r="H378" s="366"/>
      <c r="I378" s="366"/>
      <c r="J378" s="366"/>
      <c r="K378" s="367" t="str">
        <f t="shared" si="4"/>
        <v>يوم عادي</v>
      </c>
      <c r="L378" s="368">
        <f>(MIN(Attendance!D378, TIME(18, 0, 0)) - Attendance!C378) * 24</f>
        <v>18</v>
      </c>
      <c r="M378" s="369">
        <f t="shared" si="5"/>
        <v>-18</v>
      </c>
      <c r="N378" s="369"/>
      <c r="O378" s="369"/>
      <c r="P378" s="369"/>
    </row>
    <row r="379" ht="22.5" customHeight="1">
      <c r="A379" s="394"/>
      <c r="B379" s="395"/>
      <c r="C379" s="396"/>
      <c r="D379" s="396"/>
      <c r="E379" s="363" t="str">
        <f t="shared" si="1"/>
        <v>السبت</v>
      </c>
      <c r="F379" s="364">
        <f t="shared" si="2"/>
        <v>12</v>
      </c>
      <c r="G379" s="365">
        <f t="shared" si="9"/>
        <v>0</v>
      </c>
      <c r="H379" s="366"/>
      <c r="I379" s="366"/>
      <c r="J379" s="366"/>
      <c r="K379" s="367" t="str">
        <f t="shared" si="4"/>
        <v>يوم عادي</v>
      </c>
      <c r="L379" s="368">
        <f>(MIN(Attendance!D379, TIME(18, 0, 0)) - Attendance!C379) * 24</f>
        <v>18</v>
      </c>
      <c r="M379" s="369">
        <f t="shared" si="5"/>
        <v>-18</v>
      </c>
      <c r="N379" s="377"/>
      <c r="O379" s="377"/>
      <c r="P379" s="377"/>
    </row>
    <row r="380" ht="22.5" customHeight="1">
      <c r="A380" s="394"/>
      <c r="B380" s="395"/>
      <c r="C380" s="396"/>
      <c r="D380" s="396"/>
      <c r="E380" s="363" t="str">
        <f t="shared" si="1"/>
        <v>السبت</v>
      </c>
      <c r="F380" s="364">
        <f t="shared" si="2"/>
        <v>12</v>
      </c>
      <c r="G380" s="365">
        <f t="shared" si="9"/>
        <v>0</v>
      </c>
      <c r="H380" s="366"/>
      <c r="I380" s="366"/>
      <c r="J380" s="366"/>
      <c r="K380" s="367" t="str">
        <f t="shared" si="4"/>
        <v>يوم عادي</v>
      </c>
      <c r="L380" s="368">
        <f>(MIN(Attendance!D380, TIME(18, 0, 0)) - Attendance!C380) * 24</f>
        <v>18</v>
      </c>
      <c r="M380" s="369">
        <f t="shared" si="5"/>
        <v>-18</v>
      </c>
      <c r="N380" s="369"/>
      <c r="O380" s="369"/>
      <c r="P380" s="369"/>
    </row>
    <row r="381" ht="22.5" customHeight="1">
      <c r="A381" s="394"/>
      <c r="B381" s="395"/>
      <c r="C381" s="396"/>
      <c r="D381" s="396"/>
      <c r="E381" s="363" t="str">
        <f t="shared" si="1"/>
        <v>السبت</v>
      </c>
      <c r="F381" s="364">
        <f t="shared" si="2"/>
        <v>12</v>
      </c>
      <c r="G381" s="365">
        <f t="shared" si="9"/>
        <v>0</v>
      </c>
      <c r="H381" s="366"/>
      <c r="I381" s="366"/>
      <c r="J381" s="366"/>
      <c r="K381" s="367" t="str">
        <f t="shared" si="4"/>
        <v>يوم عادي</v>
      </c>
      <c r="L381" s="368">
        <f>(MIN(Attendance!D381, TIME(18, 0, 0)) - Attendance!C381) * 24</f>
        <v>18</v>
      </c>
      <c r="M381" s="369">
        <f t="shared" si="5"/>
        <v>-18</v>
      </c>
      <c r="N381" s="377"/>
      <c r="O381" s="377"/>
      <c r="P381" s="377"/>
    </row>
    <row r="382" ht="22.5" customHeight="1">
      <c r="A382" s="394"/>
      <c r="B382" s="395"/>
      <c r="C382" s="396"/>
      <c r="D382" s="396"/>
      <c r="E382" s="363" t="str">
        <f t="shared" si="1"/>
        <v>السبت</v>
      </c>
      <c r="F382" s="364">
        <f t="shared" si="2"/>
        <v>12</v>
      </c>
      <c r="G382" s="365">
        <f t="shared" si="9"/>
        <v>0</v>
      </c>
      <c r="H382" s="366"/>
      <c r="I382" s="366"/>
      <c r="J382" s="366"/>
      <c r="K382" s="367" t="str">
        <f t="shared" si="4"/>
        <v>يوم عادي</v>
      </c>
      <c r="L382" s="368">
        <f>(MIN(Attendance!D382, TIME(18, 0, 0)) - Attendance!C382) * 24</f>
        <v>18</v>
      </c>
      <c r="M382" s="369">
        <f t="shared" si="5"/>
        <v>-18</v>
      </c>
      <c r="N382" s="369"/>
      <c r="O382" s="369"/>
      <c r="P382" s="369"/>
    </row>
    <row r="383" ht="22.5" customHeight="1">
      <c r="A383" s="394"/>
      <c r="B383" s="395"/>
      <c r="C383" s="396"/>
      <c r="D383" s="396"/>
      <c r="E383" s="363" t="str">
        <f t="shared" si="1"/>
        <v>السبت</v>
      </c>
      <c r="F383" s="364">
        <f t="shared" si="2"/>
        <v>12</v>
      </c>
      <c r="G383" s="365">
        <f t="shared" si="9"/>
        <v>0</v>
      </c>
      <c r="H383" s="366"/>
      <c r="I383" s="366"/>
      <c r="J383" s="366"/>
      <c r="K383" s="367" t="str">
        <f t="shared" si="4"/>
        <v>يوم عادي</v>
      </c>
      <c r="L383" s="368">
        <f>(MIN(Attendance!D383, TIME(18, 0, 0)) - Attendance!C383) * 24</f>
        <v>18</v>
      </c>
      <c r="M383" s="369">
        <f t="shared" si="5"/>
        <v>-18</v>
      </c>
      <c r="N383" s="377"/>
      <c r="O383" s="377"/>
      <c r="P383" s="377"/>
    </row>
    <row r="384" ht="22.5" customHeight="1">
      <c r="A384" s="394"/>
      <c r="B384" s="395"/>
      <c r="C384" s="396"/>
      <c r="D384" s="396"/>
      <c r="E384" s="363" t="str">
        <f t="shared" si="1"/>
        <v>السبت</v>
      </c>
      <c r="F384" s="364">
        <f t="shared" si="2"/>
        <v>12</v>
      </c>
      <c r="G384" s="365">
        <f t="shared" si="9"/>
        <v>0</v>
      </c>
      <c r="H384" s="366"/>
      <c r="I384" s="366"/>
      <c r="J384" s="366"/>
      <c r="K384" s="367" t="str">
        <f t="shared" si="4"/>
        <v>يوم عادي</v>
      </c>
      <c r="L384" s="368">
        <f>(MIN(Attendance!D384, TIME(18, 0, 0)) - Attendance!C384) * 24</f>
        <v>18</v>
      </c>
      <c r="M384" s="369">
        <f t="shared" si="5"/>
        <v>-18</v>
      </c>
      <c r="N384" s="369"/>
      <c r="O384" s="369"/>
      <c r="P384" s="369"/>
    </row>
    <row r="385" ht="22.5" customHeight="1">
      <c r="A385" s="394"/>
      <c r="B385" s="395"/>
      <c r="C385" s="396"/>
      <c r="D385" s="396"/>
      <c r="E385" s="363" t="str">
        <f t="shared" si="1"/>
        <v>السبت</v>
      </c>
      <c r="F385" s="364">
        <f t="shared" si="2"/>
        <v>12</v>
      </c>
      <c r="G385" s="365">
        <f t="shared" si="9"/>
        <v>0</v>
      </c>
      <c r="H385" s="366"/>
      <c r="I385" s="366"/>
      <c r="J385" s="366"/>
      <c r="K385" s="367" t="str">
        <f t="shared" si="4"/>
        <v>يوم عادي</v>
      </c>
      <c r="L385" s="368">
        <f>(MIN(Attendance!D385, TIME(18, 0, 0)) - Attendance!C385) * 24</f>
        <v>18</v>
      </c>
      <c r="M385" s="369">
        <f t="shared" si="5"/>
        <v>-18</v>
      </c>
      <c r="N385" s="377"/>
      <c r="O385" s="377"/>
      <c r="P385" s="377"/>
    </row>
    <row r="386" ht="22.5" customHeight="1">
      <c r="A386" s="394"/>
      <c r="B386" s="395"/>
      <c r="C386" s="396"/>
      <c r="D386" s="396"/>
      <c r="E386" s="363" t="str">
        <f t="shared" si="1"/>
        <v>السبت</v>
      </c>
      <c r="F386" s="364">
        <f t="shared" si="2"/>
        <v>12</v>
      </c>
      <c r="G386" s="365">
        <f t="shared" si="9"/>
        <v>0</v>
      </c>
      <c r="H386" s="366"/>
      <c r="I386" s="366"/>
      <c r="J386" s="366"/>
      <c r="K386" s="367" t="str">
        <f t="shared" si="4"/>
        <v>يوم عادي</v>
      </c>
      <c r="L386" s="368">
        <f>(MIN(Attendance!D386, TIME(18, 0, 0)) - Attendance!C386) * 24</f>
        <v>18</v>
      </c>
      <c r="M386" s="369">
        <f t="shared" si="5"/>
        <v>-18</v>
      </c>
      <c r="N386" s="369"/>
      <c r="O386" s="369"/>
      <c r="P386" s="369"/>
    </row>
    <row r="387" ht="22.5" customHeight="1">
      <c r="A387" s="394"/>
      <c r="B387" s="395"/>
      <c r="C387" s="396"/>
      <c r="D387" s="396"/>
      <c r="E387" s="363" t="str">
        <f t="shared" si="1"/>
        <v>السبت</v>
      </c>
      <c r="F387" s="364">
        <f t="shared" si="2"/>
        <v>12</v>
      </c>
      <c r="G387" s="365">
        <f t="shared" si="9"/>
        <v>0</v>
      </c>
      <c r="H387" s="366"/>
      <c r="I387" s="366"/>
      <c r="J387" s="366"/>
      <c r="K387" s="367" t="str">
        <f t="shared" si="4"/>
        <v>يوم عادي</v>
      </c>
      <c r="L387" s="368">
        <f>(MIN(Attendance!D387, TIME(18, 0, 0)) - Attendance!C387) * 24</f>
        <v>18</v>
      </c>
      <c r="M387" s="369">
        <f t="shared" si="5"/>
        <v>-18</v>
      </c>
      <c r="N387" s="377"/>
      <c r="O387" s="377"/>
      <c r="P387" s="377"/>
    </row>
    <row r="388" ht="22.5" customHeight="1">
      <c r="A388" s="394"/>
      <c r="B388" s="395"/>
      <c r="C388" s="396"/>
      <c r="D388" s="396"/>
      <c r="E388" s="363" t="str">
        <f t="shared" si="1"/>
        <v>السبت</v>
      </c>
      <c r="F388" s="364">
        <f t="shared" si="2"/>
        <v>12</v>
      </c>
      <c r="G388" s="365">
        <f t="shared" si="9"/>
        <v>0</v>
      </c>
      <c r="H388" s="366"/>
      <c r="I388" s="366"/>
      <c r="J388" s="366"/>
      <c r="K388" s="367" t="str">
        <f t="shared" si="4"/>
        <v>يوم عادي</v>
      </c>
      <c r="L388" s="368">
        <f>(MIN(Attendance!D388, TIME(18, 0, 0)) - Attendance!C388) * 24</f>
        <v>18</v>
      </c>
      <c r="M388" s="369">
        <f t="shared" si="5"/>
        <v>-18</v>
      </c>
      <c r="N388" s="369"/>
      <c r="O388" s="369"/>
      <c r="P388" s="369"/>
    </row>
    <row r="389" ht="22.5" customHeight="1">
      <c r="A389" s="394"/>
      <c r="B389" s="395"/>
      <c r="C389" s="396"/>
      <c r="D389" s="396"/>
      <c r="E389" s="363" t="str">
        <f t="shared" si="1"/>
        <v>السبت</v>
      </c>
      <c r="F389" s="364">
        <f t="shared" si="2"/>
        <v>12</v>
      </c>
      <c r="G389" s="365">
        <f t="shared" si="9"/>
        <v>0</v>
      </c>
      <c r="H389" s="366"/>
      <c r="I389" s="366"/>
      <c r="J389" s="366"/>
      <c r="K389" s="367" t="str">
        <f t="shared" si="4"/>
        <v>يوم عادي</v>
      </c>
      <c r="L389" s="368">
        <f>(MIN(Attendance!D389, TIME(18, 0, 0)) - Attendance!C389) * 24</f>
        <v>18</v>
      </c>
      <c r="M389" s="369">
        <f t="shared" si="5"/>
        <v>-18</v>
      </c>
      <c r="N389" s="377"/>
      <c r="O389" s="377"/>
      <c r="P389" s="377"/>
    </row>
    <row r="390" ht="22.5" customHeight="1">
      <c r="A390" s="394"/>
      <c r="B390" s="395"/>
      <c r="C390" s="396"/>
      <c r="D390" s="396"/>
      <c r="E390" s="363" t="str">
        <f t="shared" si="1"/>
        <v>السبت</v>
      </c>
      <c r="F390" s="364">
        <f t="shared" si="2"/>
        <v>12</v>
      </c>
      <c r="G390" s="365">
        <f t="shared" si="9"/>
        <v>0</v>
      </c>
      <c r="H390" s="366"/>
      <c r="I390" s="366"/>
      <c r="J390" s="366"/>
      <c r="K390" s="367" t="str">
        <f t="shared" si="4"/>
        <v>يوم عادي</v>
      </c>
      <c r="L390" s="368">
        <f>(MIN(Attendance!D390, TIME(18, 0, 0)) - Attendance!C390) * 24</f>
        <v>18</v>
      </c>
      <c r="M390" s="369">
        <f t="shared" si="5"/>
        <v>-18</v>
      </c>
      <c r="N390" s="369"/>
      <c r="O390" s="369"/>
      <c r="P390" s="369"/>
    </row>
    <row r="391" ht="22.5" customHeight="1">
      <c r="A391" s="394"/>
      <c r="B391" s="395"/>
      <c r="C391" s="396"/>
      <c r="D391" s="396"/>
      <c r="E391" s="363" t="str">
        <f t="shared" si="1"/>
        <v>السبت</v>
      </c>
      <c r="F391" s="364">
        <f t="shared" si="2"/>
        <v>12</v>
      </c>
      <c r="G391" s="365">
        <f t="shared" si="9"/>
        <v>0</v>
      </c>
      <c r="H391" s="366"/>
      <c r="I391" s="366"/>
      <c r="J391" s="366"/>
      <c r="K391" s="367" t="str">
        <f t="shared" si="4"/>
        <v>يوم عادي</v>
      </c>
      <c r="L391" s="368">
        <f>(MIN(Attendance!D391, TIME(18, 0, 0)) - Attendance!C391) * 24</f>
        <v>18</v>
      </c>
      <c r="M391" s="369">
        <f t="shared" si="5"/>
        <v>-18</v>
      </c>
      <c r="N391" s="377"/>
      <c r="O391" s="377"/>
      <c r="P391" s="377"/>
    </row>
    <row r="392" ht="22.5" customHeight="1">
      <c r="A392" s="394"/>
      <c r="B392" s="395"/>
      <c r="C392" s="396"/>
      <c r="D392" s="396"/>
      <c r="E392" s="363" t="str">
        <f t="shared" si="1"/>
        <v>السبت</v>
      </c>
      <c r="F392" s="364">
        <f t="shared" si="2"/>
        <v>12</v>
      </c>
      <c r="G392" s="365">
        <f t="shared" si="9"/>
        <v>0</v>
      </c>
      <c r="H392" s="366"/>
      <c r="I392" s="366"/>
      <c r="J392" s="366"/>
      <c r="K392" s="367" t="str">
        <f t="shared" si="4"/>
        <v>يوم عادي</v>
      </c>
      <c r="L392" s="368">
        <f>(MIN(Attendance!D392, TIME(18, 0, 0)) - Attendance!C392) * 24</f>
        <v>18</v>
      </c>
      <c r="M392" s="369">
        <f t="shared" si="5"/>
        <v>-18</v>
      </c>
      <c r="N392" s="369"/>
      <c r="O392" s="369"/>
      <c r="P392" s="369"/>
    </row>
    <row r="393" ht="22.5" customHeight="1">
      <c r="A393" s="394"/>
      <c r="B393" s="395"/>
      <c r="C393" s="396"/>
      <c r="D393" s="396"/>
      <c r="E393" s="363" t="str">
        <f t="shared" si="1"/>
        <v>السبت</v>
      </c>
      <c r="F393" s="364">
        <f t="shared" si="2"/>
        <v>12</v>
      </c>
      <c r="G393" s="365">
        <f t="shared" si="9"/>
        <v>0</v>
      </c>
      <c r="H393" s="366"/>
      <c r="I393" s="366"/>
      <c r="J393" s="366"/>
      <c r="K393" s="367" t="str">
        <f t="shared" si="4"/>
        <v>يوم عادي</v>
      </c>
      <c r="L393" s="368">
        <f>(MIN(Attendance!D393, TIME(18, 0, 0)) - Attendance!C393) * 24</f>
        <v>18</v>
      </c>
      <c r="M393" s="369">
        <f t="shared" si="5"/>
        <v>-18</v>
      </c>
      <c r="N393" s="377"/>
      <c r="O393" s="377"/>
      <c r="P393" s="377"/>
    </row>
    <row r="394" ht="22.5" customHeight="1">
      <c r="A394" s="394"/>
      <c r="B394" s="395"/>
      <c r="C394" s="396"/>
      <c r="D394" s="396"/>
      <c r="E394" s="363" t="str">
        <f t="shared" si="1"/>
        <v>السبت</v>
      </c>
      <c r="F394" s="364">
        <f t="shared" si="2"/>
        <v>12</v>
      </c>
      <c r="G394" s="365">
        <f t="shared" si="9"/>
        <v>0</v>
      </c>
      <c r="H394" s="366"/>
      <c r="I394" s="366"/>
      <c r="J394" s="366"/>
      <c r="K394" s="367" t="str">
        <f t="shared" si="4"/>
        <v>يوم عادي</v>
      </c>
      <c r="L394" s="368">
        <f>(MIN(Attendance!D394, TIME(18, 0, 0)) - Attendance!C394) * 24</f>
        <v>18</v>
      </c>
      <c r="M394" s="369">
        <f t="shared" si="5"/>
        <v>-18</v>
      </c>
      <c r="N394" s="369"/>
      <c r="O394" s="369"/>
      <c r="P394" s="369"/>
    </row>
    <row r="395" ht="22.5" customHeight="1">
      <c r="A395" s="394"/>
      <c r="B395" s="395"/>
      <c r="C395" s="396"/>
      <c r="D395" s="396"/>
      <c r="E395" s="363" t="str">
        <f t="shared" si="1"/>
        <v>السبت</v>
      </c>
      <c r="F395" s="364">
        <f t="shared" si="2"/>
        <v>12</v>
      </c>
      <c r="G395" s="365">
        <f t="shared" si="9"/>
        <v>0</v>
      </c>
      <c r="H395" s="366"/>
      <c r="I395" s="366"/>
      <c r="J395" s="366"/>
      <c r="K395" s="367" t="str">
        <f t="shared" si="4"/>
        <v>يوم عادي</v>
      </c>
      <c r="L395" s="368">
        <f>(MIN(Attendance!D395, TIME(18, 0, 0)) - Attendance!C395) * 24</f>
        <v>18</v>
      </c>
      <c r="M395" s="369">
        <f t="shared" si="5"/>
        <v>-18</v>
      </c>
      <c r="N395" s="377"/>
      <c r="O395" s="377"/>
      <c r="P395" s="377"/>
    </row>
    <row r="396" ht="22.5" customHeight="1">
      <c r="A396" s="394"/>
      <c r="B396" s="395"/>
      <c r="C396" s="396"/>
      <c r="D396" s="396"/>
      <c r="E396" s="363" t="str">
        <f t="shared" si="1"/>
        <v>السبت</v>
      </c>
      <c r="F396" s="364">
        <f t="shared" si="2"/>
        <v>12</v>
      </c>
      <c r="G396" s="365">
        <f t="shared" si="9"/>
        <v>0</v>
      </c>
      <c r="H396" s="366"/>
      <c r="I396" s="366"/>
      <c r="J396" s="366"/>
      <c r="K396" s="367" t="str">
        <f t="shared" si="4"/>
        <v>يوم عادي</v>
      </c>
      <c r="L396" s="368">
        <f>(MIN(Attendance!D396, TIME(18, 0, 0)) - Attendance!C396) * 24</f>
        <v>18</v>
      </c>
      <c r="M396" s="369">
        <f t="shared" si="5"/>
        <v>-18</v>
      </c>
      <c r="N396" s="369"/>
      <c r="O396" s="369"/>
      <c r="P396" s="369"/>
    </row>
    <row r="397" ht="22.5" customHeight="1">
      <c r="A397" s="394"/>
      <c r="B397" s="395"/>
      <c r="C397" s="396"/>
      <c r="D397" s="396"/>
      <c r="E397" s="363" t="str">
        <f t="shared" si="1"/>
        <v>السبت</v>
      </c>
      <c r="F397" s="364">
        <f t="shared" si="2"/>
        <v>12</v>
      </c>
      <c r="G397" s="365">
        <f t="shared" si="9"/>
        <v>0</v>
      </c>
      <c r="H397" s="366"/>
      <c r="I397" s="366"/>
      <c r="J397" s="366"/>
      <c r="K397" s="367" t="str">
        <f t="shared" si="4"/>
        <v>يوم عادي</v>
      </c>
      <c r="L397" s="368">
        <f>(MIN(Attendance!D397, TIME(18, 0, 0)) - Attendance!C397) * 24</f>
        <v>18</v>
      </c>
      <c r="M397" s="369">
        <f t="shared" si="5"/>
        <v>-18</v>
      </c>
      <c r="N397" s="377"/>
      <c r="O397" s="377"/>
      <c r="P397" s="377"/>
    </row>
    <row r="398" ht="22.5" customHeight="1">
      <c r="A398" s="394"/>
      <c r="B398" s="395"/>
      <c r="C398" s="396"/>
      <c r="D398" s="396"/>
      <c r="E398" s="363" t="str">
        <f t="shared" si="1"/>
        <v>السبت</v>
      </c>
      <c r="F398" s="364">
        <f t="shared" si="2"/>
        <v>12</v>
      </c>
      <c r="G398" s="365">
        <f t="shared" si="9"/>
        <v>0</v>
      </c>
      <c r="H398" s="366"/>
      <c r="I398" s="366"/>
      <c r="J398" s="366"/>
      <c r="K398" s="367" t="str">
        <f t="shared" si="4"/>
        <v>يوم عادي</v>
      </c>
      <c r="L398" s="368">
        <f>(MIN(Attendance!D398, TIME(18, 0, 0)) - Attendance!C398) * 24</f>
        <v>18</v>
      </c>
      <c r="M398" s="369">
        <f t="shared" si="5"/>
        <v>-18</v>
      </c>
      <c r="N398" s="369"/>
      <c r="O398" s="369"/>
      <c r="P398" s="369"/>
    </row>
    <row r="399" ht="22.5" customHeight="1">
      <c r="A399" s="394"/>
      <c r="B399" s="395"/>
      <c r="C399" s="396"/>
      <c r="D399" s="396"/>
      <c r="E399" s="363" t="str">
        <f t="shared" si="1"/>
        <v>السبت</v>
      </c>
      <c r="F399" s="364">
        <f t="shared" si="2"/>
        <v>12</v>
      </c>
      <c r="G399" s="365">
        <f t="shared" si="9"/>
        <v>0</v>
      </c>
      <c r="H399" s="366"/>
      <c r="I399" s="366"/>
      <c r="J399" s="366"/>
      <c r="K399" s="367" t="str">
        <f t="shared" si="4"/>
        <v>يوم عادي</v>
      </c>
      <c r="L399" s="368">
        <f>(MIN(Attendance!D399, TIME(18, 0, 0)) - Attendance!C399) * 24</f>
        <v>18</v>
      </c>
      <c r="M399" s="369">
        <f t="shared" si="5"/>
        <v>-18</v>
      </c>
      <c r="N399" s="377"/>
      <c r="O399" s="377"/>
      <c r="P399" s="377"/>
    </row>
    <row r="400" ht="22.5" customHeight="1">
      <c r="A400" s="394"/>
      <c r="B400" s="395"/>
      <c r="C400" s="396"/>
      <c r="D400" s="396"/>
      <c r="E400" s="363" t="str">
        <f t="shared" si="1"/>
        <v>السبت</v>
      </c>
      <c r="F400" s="364">
        <f t="shared" si="2"/>
        <v>12</v>
      </c>
      <c r="G400" s="365">
        <f t="shared" si="9"/>
        <v>0</v>
      </c>
      <c r="H400" s="366"/>
      <c r="I400" s="366"/>
      <c r="J400" s="366"/>
      <c r="K400" s="367" t="str">
        <f t="shared" si="4"/>
        <v>يوم عادي</v>
      </c>
      <c r="L400" s="368">
        <f>(MIN(Attendance!D400, TIME(18, 0, 0)) - Attendance!C400) * 24</f>
        <v>18</v>
      </c>
      <c r="M400" s="369">
        <f t="shared" si="5"/>
        <v>-18</v>
      </c>
      <c r="N400" s="369"/>
      <c r="O400" s="369"/>
      <c r="P400" s="369"/>
    </row>
    <row r="401" ht="22.5" customHeight="1">
      <c r="A401" s="394"/>
      <c r="B401" s="395"/>
      <c r="C401" s="396"/>
      <c r="D401" s="396"/>
      <c r="E401" s="363" t="str">
        <f t="shared" si="1"/>
        <v>السبت</v>
      </c>
      <c r="F401" s="364">
        <f t="shared" si="2"/>
        <v>12</v>
      </c>
      <c r="G401" s="365">
        <f t="shared" si="9"/>
        <v>0</v>
      </c>
      <c r="H401" s="366"/>
      <c r="I401" s="366"/>
      <c r="J401" s="366"/>
      <c r="K401" s="367" t="str">
        <f t="shared" si="4"/>
        <v>يوم عادي</v>
      </c>
      <c r="L401" s="368">
        <f>(MIN(Attendance!D401, TIME(18, 0, 0)) - Attendance!C401) * 24</f>
        <v>18</v>
      </c>
      <c r="M401" s="369">
        <f t="shared" si="5"/>
        <v>-18</v>
      </c>
      <c r="N401" s="377"/>
      <c r="O401" s="377"/>
      <c r="P401" s="377"/>
    </row>
    <row r="402" ht="22.5" customHeight="1">
      <c r="A402" s="394"/>
      <c r="B402" s="395"/>
      <c r="C402" s="396"/>
      <c r="D402" s="396"/>
      <c r="E402" s="363" t="str">
        <f t="shared" si="1"/>
        <v>السبت</v>
      </c>
      <c r="F402" s="364">
        <f t="shared" si="2"/>
        <v>12</v>
      </c>
      <c r="G402" s="365">
        <f t="shared" si="9"/>
        <v>0</v>
      </c>
      <c r="H402" s="366"/>
      <c r="I402" s="366"/>
      <c r="J402" s="366"/>
      <c r="K402" s="367" t="str">
        <f t="shared" si="4"/>
        <v>يوم عادي</v>
      </c>
      <c r="L402" s="368">
        <f>(MIN(Attendance!D402, TIME(18, 0, 0)) - Attendance!C402) * 24</f>
        <v>18</v>
      </c>
      <c r="M402" s="369">
        <f t="shared" si="5"/>
        <v>-18</v>
      </c>
      <c r="N402" s="369"/>
      <c r="O402" s="369"/>
      <c r="P402" s="369"/>
    </row>
    <row r="403" ht="22.5" customHeight="1">
      <c r="A403" s="394"/>
      <c r="B403" s="395"/>
      <c r="C403" s="396"/>
      <c r="D403" s="396"/>
      <c r="E403" s="363" t="str">
        <f t="shared" si="1"/>
        <v>السبت</v>
      </c>
      <c r="F403" s="364">
        <f t="shared" si="2"/>
        <v>12</v>
      </c>
      <c r="G403" s="365">
        <f t="shared" si="9"/>
        <v>0</v>
      </c>
      <c r="H403" s="366"/>
      <c r="I403" s="366"/>
      <c r="J403" s="366"/>
      <c r="K403" s="367" t="str">
        <f t="shared" si="4"/>
        <v>يوم عادي</v>
      </c>
      <c r="L403" s="368">
        <f>(MIN(Attendance!D403, TIME(18, 0, 0)) - Attendance!C403) * 24</f>
        <v>18</v>
      </c>
      <c r="M403" s="369">
        <f t="shared" si="5"/>
        <v>-18</v>
      </c>
      <c r="N403" s="377"/>
      <c r="O403" s="377"/>
      <c r="P403" s="377"/>
    </row>
    <row r="404" ht="22.5" customHeight="1">
      <c r="A404" s="394"/>
      <c r="B404" s="395"/>
      <c r="C404" s="396"/>
      <c r="D404" s="396"/>
      <c r="E404" s="363" t="str">
        <f t="shared" si="1"/>
        <v>السبت</v>
      </c>
      <c r="F404" s="364">
        <f t="shared" si="2"/>
        <v>12</v>
      </c>
      <c r="G404" s="365">
        <f t="shared" si="9"/>
        <v>0</v>
      </c>
      <c r="H404" s="366"/>
      <c r="I404" s="366"/>
      <c r="J404" s="366"/>
      <c r="K404" s="367" t="str">
        <f t="shared" si="4"/>
        <v>يوم عادي</v>
      </c>
      <c r="L404" s="368">
        <f>(MIN(Attendance!D404, TIME(18, 0, 0)) - Attendance!C404) * 24</f>
        <v>18</v>
      </c>
      <c r="M404" s="369">
        <f t="shared" si="5"/>
        <v>-18</v>
      </c>
      <c r="N404" s="369"/>
      <c r="O404" s="369"/>
      <c r="P404" s="369"/>
    </row>
    <row r="405" ht="22.5" customHeight="1">
      <c r="A405" s="394"/>
      <c r="B405" s="395"/>
      <c r="C405" s="396"/>
      <c r="D405" s="396"/>
      <c r="E405" s="363" t="str">
        <f t="shared" si="1"/>
        <v>السبت</v>
      </c>
      <c r="F405" s="364">
        <f t="shared" si="2"/>
        <v>12</v>
      </c>
      <c r="G405" s="365">
        <f t="shared" si="9"/>
        <v>0</v>
      </c>
      <c r="H405" s="366"/>
      <c r="I405" s="366"/>
      <c r="J405" s="366"/>
      <c r="K405" s="367" t="str">
        <f t="shared" si="4"/>
        <v>يوم عادي</v>
      </c>
      <c r="L405" s="368">
        <f>(MIN(Attendance!D405, TIME(18, 0, 0)) - Attendance!C405) * 24</f>
        <v>18</v>
      </c>
      <c r="M405" s="369">
        <f t="shared" si="5"/>
        <v>-18</v>
      </c>
      <c r="N405" s="377"/>
      <c r="O405" s="377"/>
      <c r="P405" s="377"/>
    </row>
    <row r="406" ht="22.5" customHeight="1">
      <c r="A406" s="394"/>
      <c r="B406" s="395"/>
      <c r="C406" s="396"/>
      <c r="D406" s="396"/>
      <c r="E406" s="363" t="str">
        <f t="shared" si="1"/>
        <v>السبت</v>
      </c>
      <c r="F406" s="364">
        <f t="shared" si="2"/>
        <v>12</v>
      </c>
      <c r="G406" s="365">
        <f t="shared" si="9"/>
        <v>0</v>
      </c>
      <c r="H406" s="366"/>
      <c r="I406" s="366"/>
      <c r="J406" s="366"/>
      <c r="K406" s="367" t="str">
        <f t="shared" si="4"/>
        <v>يوم عادي</v>
      </c>
      <c r="L406" s="368">
        <f>(MIN(Attendance!D406, TIME(18, 0, 0)) - Attendance!C406) * 24</f>
        <v>18</v>
      </c>
      <c r="M406" s="369">
        <f t="shared" si="5"/>
        <v>-18</v>
      </c>
      <c r="N406" s="369"/>
      <c r="O406" s="369"/>
      <c r="P406" s="369"/>
    </row>
    <row r="407" ht="22.5" customHeight="1">
      <c r="A407" s="394"/>
      <c r="B407" s="395"/>
      <c r="C407" s="396"/>
      <c r="D407" s="396"/>
      <c r="E407" s="363" t="str">
        <f t="shared" si="1"/>
        <v>السبت</v>
      </c>
      <c r="F407" s="364">
        <f t="shared" si="2"/>
        <v>12</v>
      </c>
      <c r="G407" s="365">
        <f t="shared" si="9"/>
        <v>0</v>
      </c>
      <c r="H407" s="366"/>
      <c r="I407" s="366"/>
      <c r="J407" s="366"/>
      <c r="K407" s="367" t="str">
        <f t="shared" si="4"/>
        <v>يوم عادي</v>
      </c>
      <c r="L407" s="368">
        <f>(MIN(Attendance!D407, TIME(18, 0, 0)) - Attendance!C407) * 24</f>
        <v>18</v>
      </c>
      <c r="M407" s="369">
        <f t="shared" si="5"/>
        <v>-18</v>
      </c>
      <c r="N407" s="377"/>
      <c r="O407" s="377"/>
      <c r="P407" s="377"/>
    </row>
    <row r="408" ht="22.5" customHeight="1">
      <c r="A408" s="394"/>
      <c r="B408" s="395"/>
      <c r="C408" s="396"/>
      <c r="D408" s="396"/>
      <c r="E408" s="363" t="str">
        <f t="shared" si="1"/>
        <v>السبت</v>
      </c>
      <c r="F408" s="364">
        <f t="shared" si="2"/>
        <v>12</v>
      </c>
      <c r="G408" s="365">
        <f t="shared" si="9"/>
        <v>0</v>
      </c>
      <c r="H408" s="366"/>
      <c r="I408" s="366"/>
      <c r="J408" s="366"/>
      <c r="K408" s="367" t="str">
        <f t="shared" si="4"/>
        <v>يوم عادي</v>
      </c>
      <c r="L408" s="368">
        <f>(MIN(Attendance!D408, TIME(18, 0, 0)) - Attendance!C408) * 24</f>
        <v>18</v>
      </c>
      <c r="M408" s="369">
        <f t="shared" si="5"/>
        <v>-18</v>
      </c>
      <c r="N408" s="369"/>
      <c r="O408" s="369"/>
      <c r="P408" s="369"/>
    </row>
    <row r="409" ht="22.5" customHeight="1">
      <c r="A409" s="394"/>
      <c r="B409" s="395"/>
      <c r="C409" s="396"/>
      <c r="D409" s="396"/>
      <c r="E409" s="363" t="str">
        <f t="shared" si="1"/>
        <v>السبت</v>
      </c>
      <c r="F409" s="364">
        <f t="shared" si="2"/>
        <v>12</v>
      </c>
      <c r="G409" s="365">
        <f t="shared" si="9"/>
        <v>0</v>
      </c>
      <c r="H409" s="366"/>
      <c r="I409" s="366"/>
      <c r="J409" s="366"/>
      <c r="K409" s="367" t="str">
        <f t="shared" si="4"/>
        <v>يوم عادي</v>
      </c>
      <c r="L409" s="368">
        <f>(MIN(Attendance!D409, TIME(18, 0, 0)) - Attendance!C409) * 24</f>
        <v>18</v>
      </c>
      <c r="M409" s="369">
        <f t="shared" si="5"/>
        <v>-18</v>
      </c>
      <c r="N409" s="377"/>
      <c r="O409" s="377"/>
      <c r="P409" s="377"/>
    </row>
    <row r="410" ht="22.5" customHeight="1">
      <c r="A410" s="394"/>
      <c r="B410" s="395"/>
      <c r="C410" s="396"/>
      <c r="D410" s="396"/>
      <c r="E410" s="363" t="str">
        <f t="shared" si="1"/>
        <v>السبت</v>
      </c>
      <c r="F410" s="364">
        <f t="shared" si="2"/>
        <v>12</v>
      </c>
      <c r="G410" s="365">
        <f t="shared" si="9"/>
        <v>0</v>
      </c>
      <c r="H410" s="366"/>
      <c r="I410" s="366"/>
      <c r="J410" s="366"/>
      <c r="K410" s="367" t="str">
        <f t="shared" si="4"/>
        <v>يوم عادي</v>
      </c>
      <c r="L410" s="368">
        <f>(MIN(Attendance!D410, TIME(18, 0, 0)) - Attendance!C410) * 24</f>
        <v>18</v>
      </c>
      <c r="M410" s="369">
        <f t="shared" si="5"/>
        <v>-18</v>
      </c>
      <c r="N410" s="369"/>
      <c r="O410" s="369"/>
      <c r="P410" s="369"/>
    </row>
    <row r="411" ht="22.5" customHeight="1">
      <c r="A411" s="394"/>
      <c r="B411" s="395"/>
      <c r="C411" s="396"/>
      <c r="D411" s="396"/>
      <c r="E411" s="363"/>
      <c r="F411" s="364"/>
      <c r="G411" s="365"/>
      <c r="H411" s="366"/>
      <c r="I411" s="366"/>
      <c r="J411" s="366"/>
      <c r="K411" s="367"/>
      <c r="L411" s="368">
        <f>(MIN(Attendance!D411, TIME(18, 0, 0)) - Attendance!C411) * 24</f>
        <v>18</v>
      </c>
      <c r="M411" s="369">
        <f t="shared" si="5"/>
        <v>-18</v>
      </c>
      <c r="N411" s="377"/>
      <c r="O411" s="377"/>
      <c r="P411" s="377"/>
    </row>
    <row r="412" ht="22.5" customHeight="1">
      <c r="A412" s="394"/>
      <c r="B412" s="395"/>
      <c r="C412" s="396"/>
      <c r="D412" s="396"/>
      <c r="E412" s="363"/>
      <c r="F412" s="364"/>
      <c r="G412" s="365"/>
      <c r="H412" s="366"/>
      <c r="I412" s="366"/>
      <c r="J412" s="366"/>
      <c r="K412" s="367"/>
      <c r="L412" s="368">
        <f>(MIN(Attendance!D412, TIME(18, 0, 0)) - Attendance!C412) * 24</f>
        <v>18</v>
      </c>
      <c r="M412" s="369">
        <f t="shared" si="5"/>
        <v>-18</v>
      </c>
      <c r="N412" s="369"/>
      <c r="O412" s="369"/>
      <c r="P412" s="369"/>
    </row>
    <row r="413" ht="22.5" customHeight="1">
      <c r="A413" s="394"/>
      <c r="B413" s="395"/>
      <c r="C413" s="396"/>
      <c r="D413" s="396"/>
      <c r="E413" s="363"/>
      <c r="F413" s="364"/>
      <c r="G413" s="365"/>
      <c r="H413" s="366"/>
      <c r="I413" s="366"/>
      <c r="J413" s="366"/>
      <c r="K413" s="367"/>
      <c r="L413" s="368">
        <f>(MIN(Attendance!D413, TIME(18, 0, 0)) - Attendance!C413) * 24</f>
        <v>18</v>
      </c>
      <c r="M413" s="369">
        <f t="shared" si="5"/>
        <v>-18</v>
      </c>
      <c r="N413" s="377"/>
      <c r="O413" s="377"/>
      <c r="P413" s="377"/>
    </row>
    <row r="414" ht="22.5" customHeight="1">
      <c r="A414" s="394"/>
      <c r="B414" s="395"/>
      <c r="C414" s="396"/>
      <c r="D414" s="396"/>
      <c r="E414" s="363"/>
      <c r="F414" s="364"/>
      <c r="G414" s="365"/>
      <c r="H414" s="366"/>
      <c r="I414" s="366"/>
      <c r="J414" s="366"/>
      <c r="K414" s="367"/>
      <c r="L414" s="368">
        <f>(MIN(Attendance!D414, TIME(18, 0, 0)) - Attendance!C414) * 24</f>
        <v>18</v>
      </c>
      <c r="M414" s="369">
        <f t="shared" si="5"/>
        <v>-18</v>
      </c>
      <c r="N414" s="369"/>
      <c r="O414" s="369"/>
      <c r="P414" s="369"/>
    </row>
    <row r="415" ht="22.5" customHeight="1">
      <c r="A415" s="394"/>
      <c r="B415" s="395"/>
      <c r="C415" s="396"/>
      <c r="D415" s="396"/>
      <c r="E415" s="363"/>
      <c r="F415" s="364"/>
      <c r="G415" s="365"/>
      <c r="H415" s="366"/>
      <c r="I415" s="366"/>
      <c r="J415" s="366"/>
      <c r="K415" s="367"/>
      <c r="L415" s="368">
        <f>(MIN(Attendance!D415, TIME(18, 0, 0)) - Attendance!C415) * 24</f>
        <v>18</v>
      </c>
      <c r="M415" s="369">
        <f t="shared" si="5"/>
        <v>-18</v>
      </c>
      <c r="N415" s="377"/>
      <c r="O415" s="377"/>
      <c r="P415" s="377"/>
    </row>
    <row r="416" ht="22.5" customHeight="1">
      <c r="A416" s="394"/>
      <c r="B416" s="395"/>
      <c r="C416" s="396"/>
      <c r="D416" s="396"/>
      <c r="E416" s="363"/>
      <c r="F416" s="364"/>
      <c r="G416" s="365"/>
      <c r="H416" s="366"/>
      <c r="I416" s="366"/>
      <c r="J416" s="366"/>
      <c r="K416" s="367"/>
      <c r="L416" s="368">
        <f>(MIN(Attendance!D416, TIME(18, 0, 0)) - Attendance!C416) * 24</f>
        <v>18</v>
      </c>
      <c r="M416" s="369">
        <f t="shared" si="5"/>
        <v>-18</v>
      </c>
      <c r="N416" s="369"/>
      <c r="O416" s="369"/>
      <c r="P416" s="369"/>
    </row>
    <row r="417" ht="22.5" customHeight="1">
      <c r="A417" s="394"/>
      <c r="B417" s="395"/>
      <c r="C417" s="396"/>
      <c r="D417" s="396"/>
      <c r="E417" s="363"/>
      <c r="F417" s="364"/>
      <c r="G417" s="365"/>
      <c r="H417" s="366"/>
      <c r="I417" s="366"/>
      <c r="J417" s="366"/>
      <c r="K417" s="367"/>
      <c r="L417" s="368">
        <f>(MIN(Attendance!D417, TIME(18, 0, 0)) - Attendance!C417) * 24</f>
        <v>18</v>
      </c>
      <c r="M417" s="369">
        <f t="shared" si="5"/>
        <v>-18</v>
      </c>
      <c r="N417" s="377"/>
      <c r="O417" s="377"/>
      <c r="P417" s="377"/>
    </row>
    <row r="418" ht="22.5" customHeight="1">
      <c r="A418" s="394"/>
      <c r="B418" s="395"/>
      <c r="C418" s="396"/>
      <c r="D418" s="396"/>
      <c r="E418" s="363"/>
      <c r="F418" s="364"/>
      <c r="G418" s="365"/>
      <c r="H418" s="366"/>
      <c r="I418" s="366"/>
      <c r="J418" s="366"/>
      <c r="K418" s="367"/>
      <c r="L418" s="368">
        <f>(MIN(Attendance!D418, TIME(18, 0, 0)) - Attendance!C418) * 24</f>
        <v>18</v>
      </c>
      <c r="M418" s="369">
        <f t="shared" si="5"/>
        <v>-18</v>
      </c>
      <c r="N418" s="369"/>
      <c r="O418" s="369"/>
      <c r="P418" s="369"/>
    </row>
    <row r="419" ht="22.5" customHeight="1">
      <c r="A419" s="394"/>
      <c r="B419" s="395"/>
      <c r="C419" s="396"/>
      <c r="D419" s="396"/>
      <c r="E419" s="363"/>
      <c r="F419" s="364"/>
      <c r="G419" s="365"/>
      <c r="H419" s="366"/>
      <c r="I419" s="366"/>
      <c r="J419" s="366"/>
      <c r="K419" s="367"/>
      <c r="L419" s="368">
        <f>(MIN(Attendance!D419, TIME(18, 0, 0)) - Attendance!C419) * 24</f>
        <v>18</v>
      </c>
      <c r="M419" s="369">
        <f t="shared" si="5"/>
        <v>-18</v>
      </c>
      <c r="N419" s="377"/>
      <c r="O419" s="377"/>
      <c r="P419" s="377"/>
    </row>
    <row r="420" ht="22.5" customHeight="1">
      <c r="A420" s="394"/>
      <c r="B420" s="395"/>
      <c r="C420" s="396"/>
      <c r="D420" s="396"/>
      <c r="E420" s="363"/>
      <c r="F420" s="364"/>
      <c r="G420" s="365"/>
      <c r="H420" s="366"/>
      <c r="I420" s="366"/>
      <c r="J420" s="366"/>
      <c r="K420" s="367"/>
      <c r="L420" s="368">
        <f>(MIN(Attendance!D420, TIME(18, 0, 0)) - Attendance!C420) * 24</f>
        <v>18</v>
      </c>
      <c r="M420" s="369">
        <f t="shared" si="5"/>
        <v>-18</v>
      </c>
      <c r="N420" s="369"/>
      <c r="O420" s="369"/>
      <c r="P420" s="369"/>
    </row>
    <row r="421" ht="22.5" customHeight="1">
      <c r="A421" s="394"/>
      <c r="B421" s="395"/>
      <c r="C421" s="396"/>
      <c r="D421" s="396"/>
      <c r="E421" s="363"/>
      <c r="F421" s="364"/>
      <c r="G421" s="365"/>
      <c r="H421" s="366"/>
      <c r="I421" s="366"/>
      <c r="J421" s="366"/>
      <c r="K421" s="367"/>
      <c r="L421" s="368">
        <f>(MIN(Attendance!D421, TIME(18, 0, 0)) - Attendance!C421) * 24</f>
        <v>18</v>
      </c>
      <c r="M421" s="369">
        <f t="shared" si="5"/>
        <v>-18</v>
      </c>
      <c r="N421" s="377"/>
      <c r="O421" s="377"/>
      <c r="P421" s="377"/>
    </row>
    <row r="422" ht="22.5" customHeight="1">
      <c r="A422" s="394"/>
      <c r="B422" s="395"/>
      <c r="C422" s="396"/>
      <c r="D422" s="396"/>
      <c r="E422" s="363"/>
      <c r="F422" s="364"/>
      <c r="G422" s="365"/>
      <c r="H422" s="366"/>
      <c r="I422" s="366"/>
      <c r="J422" s="366"/>
      <c r="K422" s="367"/>
      <c r="L422" s="368">
        <f>(MIN(Attendance!D422, TIME(18, 0, 0)) - Attendance!C422) * 24</f>
        <v>18</v>
      </c>
      <c r="M422" s="369">
        <f t="shared" si="5"/>
        <v>-18</v>
      </c>
      <c r="N422" s="369"/>
      <c r="O422" s="369"/>
      <c r="P422" s="369"/>
    </row>
    <row r="423" ht="22.5" customHeight="1">
      <c r="A423" s="394"/>
      <c r="B423" s="395"/>
      <c r="C423" s="396"/>
      <c r="D423" s="396"/>
      <c r="E423" s="363"/>
      <c r="F423" s="364"/>
      <c r="G423" s="365"/>
      <c r="H423" s="366"/>
      <c r="I423" s="366"/>
      <c r="J423" s="366"/>
      <c r="K423" s="367"/>
      <c r="L423" s="368">
        <f>(MIN(Attendance!D423, TIME(18, 0, 0)) - Attendance!C423) * 24</f>
        <v>18</v>
      </c>
      <c r="M423" s="369">
        <f t="shared" si="5"/>
        <v>-18</v>
      </c>
      <c r="N423" s="377"/>
      <c r="O423" s="377"/>
      <c r="P423" s="377"/>
    </row>
    <row r="424" ht="22.5" customHeight="1">
      <c r="A424" s="394"/>
      <c r="B424" s="395"/>
      <c r="C424" s="396"/>
      <c r="D424" s="396"/>
      <c r="E424" s="363"/>
      <c r="F424" s="364"/>
      <c r="G424" s="365"/>
      <c r="H424" s="366"/>
      <c r="I424" s="366"/>
      <c r="J424" s="366"/>
      <c r="K424" s="367"/>
      <c r="L424" s="368">
        <f>(MIN(Attendance!D424, TIME(18, 0, 0)) - Attendance!C424) * 24</f>
        <v>18</v>
      </c>
      <c r="M424" s="369">
        <f t="shared" si="5"/>
        <v>-18</v>
      </c>
      <c r="N424" s="369"/>
      <c r="O424" s="369"/>
      <c r="P424" s="369"/>
    </row>
    <row r="425" ht="22.5" customHeight="1">
      <c r="A425" s="394"/>
      <c r="B425" s="395"/>
      <c r="C425" s="396"/>
      <c r="D425" s="396"/>
      <c r="E425" s="363"/>
      <c r="F425" s="364"/>
      <c r="G425" s="365"/>
      <c r="H425" s="366"/>
      <c r="I425" s="366"/>
      <c r="J425" s="366"/>
      <c r="K425" s="367"/>
      <c r="L425" s="368">
        <f>(MIN(Attendance!D425, TIME(18, 0, 0)) - Attendance!C425) * 24</f>
        <v>18</v>
      </c>
      <c r="M425" s="369">
        <f t="shared" si="5"/>
        <v>-18</v>
      </c>
      <c r="N425" s="377"/>
      <c r="O425" s="377"/>
      <c r="P425" s="377"/>
    </row>
    <row r="426" ht="22.5" customHeight="1">
      <c r="A426" s="394"/>
      <c r="B426" s="395"/>
      <c r="C426" s="396"/>
      <c r="D426" s="396"/>
      <c r="E426" s="363"/>
      <c r="F426" s="364"/>
      <c r="G426" s="365"/>
      <c r="H426" s="366"/>
      <c r="I426" s="366"/>
      <c r="J426" s="366"/>
      <c r="K426" s="367"/>
      <c r="L426" s="368">
        <f>(MIN(Attendance!D426, TIME(18, 0, 0)) - Attendance!C426) * 24</f>
        <v>18</v>
      </c>
      <c r="M426" s="369">
        <f t="shared" si="5"/>
        <v>-18</v>
      </c>
      <c r="N426" s="369"/>
      <c r="O426" s="369"/>
      <c r="P426" s="369"/>
    </row>
    <row r="427" ht="22.5" customHeight="1">
      <c r="A427" s="394"/>
      <c r="B427" s="395"/>
      <c r="C427" s="396"/>
      <c r="D427" s="396"/>
      <c r="E427" s="363"/>
      <c r="F427" s="364"/>
      <c r="G427" s="365"/>
      <c r="H427" s="366"/>
      <c r="I427" s="366"/>
      <c r="J427" s="366"/>
      <c r="K427" s="367"/>
      <c r="L427" s="368">
        <f>(MIN(Attendance!D427, TIME(18, 0, 0)) - Attendance!C427) * 24</f>
        <v>18</v>
      </c>
      <c r="M427" s="369">
        <f t="shared" si="5"/>
        <v>-18</v>
      </c>
      <c r="N427" s="377"/>
      <c r="O427" s="377"/>
      <c r="P427" s="377"/>
    </row>
    <row r="428" ht="22.5" customHeight="1">
      <c r="A428" s="394"/>
      <c r="B428" s="395"/>
      <c r="C428" s="396"/>
      <c r="D428" s="396"/>
      <c r="E428" s="363"/>
      <c r="F428" s="364"/>
      <c r="G428" s="365"/>
      <c r="H428" s="366"/>
      <c r="I428" s="366"/>
      <c r="J428" s="366"/>
      <c r="K428" s="367"/>
      <c r="L428" s="368">
        <f>(MIN(Attendance!D428, TIME(18, 0, 0)) - Attendance!C428) * 24</f>
        <v>18</v>
      </c>
      <c r="M428" s="369">
        <f t="shared" si="5"/>
        <v>-18</v>
      </c>
      <c r="N428" s="369"/>
      <c r="O428" s="369"/>
      <c r="P428" s="369"/>
    </row>
    <row r="429" ht="22.5" customHeight="1">
      <c r="A429" s="394"/>
      <c r="B429" s="395"/>
      <c r="C429" s="396"/>
      <c r="D429" s="396"/>
      <c r="E429" s="363"/>
      <c r="F429" s="364"/>
      <c r="G429" s="365"/>
      <c r="H429" s="366"/>
      <c r="I429" s="366"/>
      <c r="J429" s="366"/>
      <c r="K429" s="367"/>
      <c r="L429" s="368">
        <f>(MIN(Attendance!D429, TIME(18, 0, 0)) - Attendance!C429) * 24</f>
        <v>18</v>
      </c>
      <c r="M429" s="369">
        <f t="shared" si="5"/>
        <v>-18</v>
      </c>
      <c r="N429" s="377"/>
      <c r="O429" s="377"/>
      <c r="P429" s="377"/>
    </row>
    <row r="430" ht="22.5" customHeight="1">
      <c r="A430" s="394"/>
      <c r="B430" s="395"/>
      <c r="C430" s="396"/>
      <c r="D430" s="396"/>
      <c r="E430" s="363"/>
      <c r="F430" s="364"/>
      <c r="G430" s="365"/>
      <c r="H430" s="366"/>
      <c r="I430" s="366"/>
      <c r="J430" s="366"/>
      <c r="K430" s="367"/>
      <c r="L430" s="368">
        <f>(MIN(Attendance!D430, TIME(18, 0, 0)) - Attendance!C430) * 24</f>
        <v>18</v>
      </c>
      <c r="M430" s="369">
        <f t="shared" si="5"/>
        <v>-18</v>
      </c>
      <c r="N430" s="369"/>
      <c r="O430" s="369"/>
      <c r="P430" s="369"/>
    </row>
    <row r="431" ht="22.5" customHeight="1">
      <c r="A431" s="394"/>
      <c r="B431" s="395"/>
      <c r="C431" s="396"/>
      <c r="D431" s="396"/>
      <c r="E431" s="363"/>
      <c r="F431" s="364"/>
      <c r="G431" s="365"/>
      <c r="H431" s="366"/>
      <c r="I431" s="366"/>
      <c r="J431" s="366"/>
      <c r="K431" s="367"/>
      <c r="L431" s="368">
        <f>(MIN(Attendance!D431, TIME(18, 0, 0)) - Attendance!C431) * 24</f>
        <v>18</v>
      </c>
      <c r="M431" s="369">
        <f t="shared" si="5"/>
        <v>-18</v>
      </c>
      <c r="N431" s="377"/>
      <c r="O431" s="377"/>
      <c r="P431" s="377"/>
    </row>
    <row r="432" ht="22.5" customHeight="1">
      <c r="A432" s="394"/>
      <c r="B432" s="395"/>
      <c r="C432" s="396"/>
      <c r="D432" s="396"/>
      <c r="E432" s="363"/>
      <c r="F432" s="364"/>
      <c r="G432" s="365"/>
      <c r="H432" s="366"/>
      <c r="I432" s="366"/>
      <c r="J432" s="366"/>
      <c r="K432" s="367"/>
      <c r="L432" s="368">
        <f>(MIN(Attendance!D432, TIME(18, 0, 0)) - Attendance!C432) * 24</f>
        <v>18</v>
      </c>
      <c r="M432" s="369">
        <f t="shared" si="5"/>
        <v>-18</v>
      </c>
      <c r="N432" s="369"/>
      <c r="O432" s="369"/>
      <c r="P432" s="369"/>
    </row>
    <row r="433" ht="22.5" customHeight="1">
      <c r="A433" s="394"/>
      <c r="B433" s="395"/>
      <c r="C433" s="396"/>
      <c r="D433" s="396"/>
      <c r="E433" s="363"/>
      <c r="F433" s="364"/>
      <c r="G433" s="365"/>
      <c r="H433" s="366"/>
      <c r="I433" s="366"/>
      <c r="J433" s="366"/>
      <c r="K433" s="367"/>
      <c r="L433" s="368">
        <f>(MIN(Attendance!D433, TIME(18, 0, 0)) - Attendance!C433) * 24</f>
        <v>18</v>
      </c>
      <c r="M433" s="369">
        <f t="shared" si="5"/>
        <v>-18</v>
      </c>
      <c r="N433" s="377"/>
      <c r="O433" s="377"/>
      <c r="P433" s="377"/>
    </row>
    <row r="434" ht="22.5" customHeight="1">
      <c r="A434" s="394"/>
      <c r="B434" s="395"/>
      <c r="C434" s="396"/>
      <c r="D434" s="396"/>
      <c r="E434" s="363"/>
      <c r="F434" s="364"/>
      <c r="G434" s="365"/>
      <c r="H434" s="366"/>
      <c r="I434" s="366"/>
      <c r="J434" s="366"/>
      <c r="K434" s="367"/>
      <c r="L434" s="368">
        <f>(MIN(Attendance!D434, TIME(18, 0, 0)) - Attendance!C434) * 24</f>
        <v>18</v>
      </c>
      <c r="M434" s="369">
        <f t="shared" si="5"/>
        <v>-18</v>
      </c>
      <c r="N434" s="369"/>
      <c r="O434" s="369"/>
      <c r="P434" s="369"/>
    </row>
    <row r="435" ht="22.5" customHeight="1">
      <c r="A435" s="394"/>
      <c r="B435" s="395"/>
      <c r="C435" s="396"/>
      <c r="D435" s="396"/>
      <c r="E435" s="363"/>
      <c r="F435" s="364"/>
      <c r="G435" s="365"/>
      <c r="H435" s="366"/>
      <c r="I435" s="366"/>
      <c r="J435" s="366"/>
      <c r="K435" s="367"/>
      <c r="L435" s="368">
        <f>(MIN(Attendance!D435, TIME(18, 0, 0)) - Attendance!C435) * 24</f>
        <v>18</v>
      </c>
      <c r="M435" s="369">
        <f t="shared" si="5"/>
        <v>-18</v>
      </c>
      <c r="N435" s="377"/>
      <c r="O435" s="377"/>
      <c r="P435" s="377"/>
    </row>
    <row r="436" ht="22.5" customHeight="1">
      <c r="A436" s="394"/>
      <c r="B436" s="395"/>
      <c r="C436" s="396"/>
      <c r="D436" s="396"/>
      <c r="E436" s="363"/>
      <c r="F436" s="364"/>
      <c r="G436" s="365"/>
      <c r="H436" s="366"/>
      <c r="I436" s="366"/>
      <c r="J436" s="366"/>
      <c r="K436" s="367"/>
      <c r="L436" s="368">
        <f>(MIN(Attendance!D436, TIME(18, 0, 0)) - Attendance!C436) * 24</f>
        <v>18</v>
      </c>
      <c r="M436" s="369">
        <f t="shared" si="5"/>
        <v>-18</v>
      </c>
      <c r="N436" s="369"/>
      <c r="O436" s="369"/>
      <c r="P436" s="369"/>
    </row>
    <row r="437" ht="22.5" customHeight="1">
      <c r="A437" s="394"/>
      <c r="B437" s="395"/>
      <c r="C437" s="396"/>
      <c r="D437" s="396"/>
      <c r="E437" s="363"/>
      <c r="F437" s="364"/>
      <c r="G437" s="365"/>
      <c r="H437" s="366"/>
      <c r="I437" s="366"/>
      <c r="J437" s="366"/>
      <c r="K437" s="367"/>
      <c r="L437" s="368">
        <f>(MIN(Attendance!D437, TIME(18, 0, 0)) - Attendance!C437) * 24</f>
        <v>18</v>
      </c>
      <c r="M437" s="369">
        <f t="shared" si="5"/>
        <v>-18</v>
      </c>
      <c r="N437" s="377"/>
      <c r="O437" s="377"/>
      <c r="P437" s="377"/>
    </row>
    <row r="438" ht="22.5" customHeight="1">
      <c r="A438" s="394"/>
      <c r="B438" s="395"/>
      <c r="C438" s="396"/>
      <c r="D438" s="396"/>
      <c r="E438" s="363"/>
      <c r="F438" s="364"/>
      <c r="G438" s="365"/>
      <c r="H438" s="366"/>
      <c r="I438" s="366"/>
      <c r="J438" s="366"/>
      <c r="K438" s="367"/>
      <c r="L438" s="368">
        <f>(MIN(Attendance!D438, TIME(18, 0, 0)) - Attendance!C438) * 24</f>
        <v>18</v>
      </c>
      <c r="M438" s="369">
        <f t="shared" si="5"/>
        <v>-18</v>
      </c>
      <c r="N438" s="369"/>
      <c r="O438" s="369"/>
      <c r="P438" s="369"/>
    </row>
    <row r="439" ht="22.5" customHeight="1">
      <c r="A439" s="394"/>
      <c r="B439" s="395"/>
      <c r="C439" s="396"/>
      <c r="D439" s="396"/>
      <c r="E439" s="363"/>
      <c r="F439" s="364"/>
      <c r="G439" s="365"/>
      <c r="H439" s="366"/>
      <c r="I439" s="366"/>
      <c r="J439" s="366"/>
      <c r="K439" s="367"/>
      <c r="L439" s="368">
        <f>(MIN(Attendance!D439, TIME(18, 0, 0)) - Attendance!C439) * 24</f>
        <v>18</v>
      </c>
      <c r="M439" s="369">
        <f t="shared" si="5"/>
        <v>-18</v>
      </c>
      <c r="N439" s="377"/>
      <c r="O439" s="377"/>
      <c r="P439" s="377"/>
    </row>
    <row r="440" ht="22.5" customHeight="1">
      <c r="A440" s="394"/>
      <c r="B440" s="395"/>
      <c r="C440" s="396"/>
      <c r="D440" s="396"/>
      <c r="E440" s="363"/>
      <c r="F440" s="364"/>
      <c r="G440" s="365"/>
      <c r="H440" s="366"/>
      <c r="I440" s="366"/>
      <c r="J440" s="366"/>
      <c r="K440" s="367"/>
      <c r="L440" s="368">
        <f>(MIN(Attendance!D440, TIME(18, 0, 0)) - Attendance!C440) * 24</f>
        <v>18</v>
      </c>
      <c r="M440" s="369">
        <f t="shared" si="5"/>
        <v>-18</v>
      </c>
      <c r="N440" s="369"/>
      <c r="O440" s="369"/>
      <c r="P440" s="369"/>
    </row>
    <row r="441" ht="22.5" customHeight="1">
      <c r="A441" s="394"/>
      <c r="B441" s="395"/>
      <c r="C441" s="396"/>
      <c r="D441" s="396"/>
      <c r="E441" s="363"/>
      <c r="F441" s="364"/>
      <c r="G441" s="365"/>
      <c r="H441" s="366"/>
      <c r="I441" s="366"/>
      <c r="J441" s="366"/>
      <c r="K441" s="367"/>
      <c r="L441" s="368">
        <f>(MIN(Attendance!D441, TIME(18, 0, 0)) - Attendance!C441) * 24</f>
        <v>18</v>
      </c>
      <c r="M441" s="369">
        <f t="shared" si="5"/>
        <v>-18</v>
      </c>
      <c r="N441" s="377"/>
      <c r="O441" s="377"/>
      <c r="P441" s="377"/>
    </row>
    <row r="442" ht="22.5" customHeight="1">
      <c r="A442" s="394"/>
      <c r="B442" s="395"/>
      <c r="C442" s="396"/>
      <c r="D442" s="396"/>
      <c r="E442" s="363"/>
      <c r="F442" s="364"/>
      <c r="G442" s="365"/>
      <c r="H442" s="366"/>
      <c r="I442" s="366"/>
      <c r="J442" s="366"/>
      <c r="K442" s="367"/>
      <c r="L442" s="368">
        <f>(MIN(Attendance!D442, TIME(18, 0, 0)) - Attendance!C442) * 24</f>
        <v>18</v>
      </c>
      <c r="M442" s="369">
        <f t="shared" si="5"/>
        <v>-18</v>
      </c>
      <c r="N442" s="369"/>
      <c r="O442" s="369"/>
      <c r="P442" s="369"/>
    </row>
    <row r="443" ht="22.5" customHeight="1">
      <c r="A443" s="394"/>
      <c r="B443" s="395"/>
      <c r="C443" s="396"/>
      <c r="D443" s="396"/>
      <c r="E443" s="363"/>
      <c r="F443" s="364"/>
      <c r="G443" s="365"/>
      <c r="H443" s="366"/>
      <c r="I443" s="366"/>
      <c r="J443" s="366"/>
      <c r="K443" s="367"/>
      <c r="L443" s="368">
        <f>(MIN(Attendance!D443, TIME(18, 0, 0)) - Attendance!C443) * 24</f>
        <v>18</v>
      </c>
      <c r="M443" s="369">
        <f t="shared" si="5"/>
        <v>-18</v>
      </c>
      <c r="N443" s="377"/>
      <c r="O443" s="377"/>
      <c r="P443" s="377"/>
    </row>
    <row r="444" ht="22.5" customHeight="1">
      <c r="A444" s="394"/>
      <c r="B444" s="395"/>
      <c r="C444" s="396"/>
      <c r="D444" s="396"/>
      <c r="E444" s="363"/>
      <c r="F444" s="364"/>
      <c r="G444" s="365"/>
      <c r="H444" s="366"/>
      <c r="I444" s="366"/>
      <c r="J444" s="366"/>
      <c r="K444" s="367"/>
      <c r="L444" s="368">
        <f>(MIN(Attendance!D444, TIME(18, 0, 0)) - Attendance!C444) * 24</f>
        <v>18</v>
      </c>
      <c r="M444" s="369">
        <f t="shared" si="5"/>
        <v>-18</v>
      </c>
      <c r="N444" s="369"/>
      <c r="O444" s="369"/>
      <c r="P444" s="369"/>
    </row>
    <row r="445" ht="22.5" customHeight="1">
      <c r="A445" s="394"/>
      <c r="B445" s="395"/>
      <c r="C445" s="396"/>
      <c r="D445" s="396"/>
      <c r="E445" s="363"/>
      <c r="F445" s="364"/>
      <c r="G445" s="365"/>
      <c r="H445" s="366"/>
      <c r="I445" s="366"/>
      <c r="J445" s="366"/>
      <c r="K445" s="367"/>
      <c r="L445" s="368">
        <f>(MIN(Attendance!D445, TIME(18, 0, 0)) - Attendance!C445) * 24</f>
        <v>18</v>
      </c>
      <c r="M445" s="369">
        <f t="shared" si="5"/>
        <v>-18</v>
      </c>
      <c r="N445" s="377"/>
      <c r="O445" s="377"/>
      <c r="P445" s="377"/>
    </row>
    <row r="446" ht="22.5" customHeight="1">
      <c r="A446" s="394"/>
      <c r="B446" s="395"/>
      <c r="C446" s="396"/>
      <c r="D446" s="396"/>
      <c r="E446" s="363"/>
      <c r="F446" s="364"/>
      <c r="G446" s="365"/>
      <c r="H446" s="366"/>
      <c r="I446" s="366"/>
      <c r="J446" s="366"/>
      <c r="K446" s="367"/>
      <c r="L446" s="368">
        <f>(MIN(Attendance!D446, TIME(18, 0, 0)) - Attendance!C446) * 24</f>
        <v>18</v>
      </c>
      <c r="M446" s="369">
        <f t="shared" si="5"/>
        <v>-18</v>
      </c>
      <c r="N446" s="369"/>
      <c r="O446" s="369"/>
      <c r="P446" s="369"/>
    </row>
    <row r="447" ht="22.5" customHeight="1">
      <c r="A447" s="394"/>
      <c r="B447" s="395"/>
      <c r="C447" s="396"/>
      <c r="D447" s="396"/>
      <c r="E447" s="363"/>
      <c r="F447" s="364"/>
      <c r="G447" s="365"/>
      <c r="H447" s="366"/>
      <c r="I447" s="366"/>
      <c r="J447" s="366"/>
      <c r="K447" s="367"/>
      <c r="L447" s="368">
        <f>(MIN(Attendance!D447, TIME(18, 0, 0)) - Attendance!C447) * 24</f>
        <v>18</v>
      </c>
      <c r="M447" s="369">
        <f t="shared" si="5"/>
        <v>-18</v>
      </c>
      <c r="N447" s="377"/>
      <c r="O447" s="377"/>
      <c r="P447" s="377"/>
    </row>
    <row r="448" ht="22.5" customHeight="1">
      <c r="A448" s="394"/>
      <c r="B448" s="395"/>
      <c r="C448" s="396"/>
      <c r="D448" s="396"/>
      <c r="E448" s="363"/>
      <c r="F448" s="364"/>
      <c r="G448" s="365"/>
      <c r="H448" s="366"/>
      <c r="I448" s="366"/>
      <c r="J448" s="366"/>
      <c r="K448" s="367"/>
      <c r="L448" s="368">
        <f>(MIN(Attendance!D448, TIME(18, 0, 0)) - Attendance!C448) * 24</f>
        <v>18</v>
      </c>
      <c r="M448" s="369">
        <f t="shared" si="5"/>
        <v>-18</v>
      </c>
      <c r="N448" s="369"/>
      <c r="O448" s="369"/>
      <c r="P448" s="369"/>
    </row>
    <row r="449" ht="22.5" customHeight="1">
      <c r="A449" s="394"/>
      <c r="B449" s="395"/>
      <c r="C449" s="396"/>
      <c r="D449" s="396"/>
      <c r="E449" s="363"/>
      <c r="F449" s="364"/>
      <c r="G449" s="365"/>
      <c r="H449" s="366"/>
      <c r="I449" s="366"/>
      <c r="J449" s="366"/>
      <c r="K449" s="367"/>
      <c r="L449" s="368">
        <f>(MIN(Attendance!D449, TIME(18, 0, 0)) - Attendance!C449) * 24</f>
        <v>18</v>
      </c>
      <c r="M449" s="369">
        <f t="shared" si="5"/>
        <v>-18</v>
      </c>
      <c r="N449" s="377"/>
      <c r="O449" s="377"/>
      <c r="P449" s="377"/>
    </row>
    <row r="450" ht="22.5" customHeight="1">
      <c r="A450" s="394"/>
      <c r="B450" s="395"/>
      <c r="C450" s="396"/>
      <c r="D450" s="396"/>
      <c r="E450" s="363"/>
      <c r="F450" s="364"/>
      <c r="G450" s="365"/>
      <c r="H450" s="366"/>
      <c r="I450" s="366"/>
      <c r="J450" s="366"/>
      <c r="K450" s="367"/>
      <c r="L450" s="368">
        <f>(MIN(Attendance!D450, TIME(18, 0, 0)) - Attendance!C450) * 24</f>
        <v>18</v>
      </c>
      <c r="M450" s="369">
        <f t="shared" si="5"/>
        <v>-18</v>
      </c>
      <c r="N450" s="369"/>
      <c r="O450" s="369"/>
      <c r="P450" s="369"/>
    </row>
    <row r="451" ht="22.5" customHeight="1">
      <c r="A451" s="394"/>
      <c r="B451" s="395"/>
      <c r="C451" s="396"/>
      <c r="D451" s="396"/>
      <c r="E451" s="363"/>
      <c r="F451" s="364"/>
      <c r="G451" s="365"/>
      <c r="H451" s="366"/>
      <c r="I451" s="366"/>
      <c r="J451" s="366"/>
      <c r="K451" s="367"/>
      <c r="L451" s="368">
        <f>(MIN(Attendance!D451, TIME(18, 0, 0)) - Attendance!C451) * 24</f>
        <v>18</v>
      </c>
      <c r="M451" s="369">
        <f t="shared" si="5"/>
        <v>-18</v>
      </c>
      <c r="N451" s="377"/>
      <c r="O451" s="377"/>
      <c r="P451" s="377"/>
    </row>
    <row r="452" ht="22.5" customHeight="1">
      <c r="A452" s="394"/>
      <c r="B452" s="395"/>
      <c r="C452" s="396"/>
      <c r="D452" s="396"/>
      <c r="E452" s="363"/>
      <c r="F452" s="364"/>
      <c r="G452" s="365"/>
      <c r="H452" s="366"/>
      <c r="I452" s="366"/>
      <c r="J452" s="366"/>
      <c r="K452" s="367"/>
      <c r="L452" s="368">
        <f>(MIN(Attendance!D452, TIME(18, 0, 0)) - Attendance!C452) * 24</f>
        <v>18</v>
      </c>
      <c r="M452" s="369">
        <f t="shared" si="5"/>
        <v>-18</v>
      </c>
      <c r="N452" s="369"/>
      <c r="O452" s="369"/>
      <c r="P452" s="369"/>
    </row>
    <row r="453" ht="22.5" customHeight="1">
      <c r="A453" s="394"/>
      <c r="B453" s="395"/>
      <c r="C453" s="396"/>
      <c r="D453" s="396"/>
      <c r="E453" s="363"/>
      <c r="F453" s="364"/>
      <c r="G453" s="365"/>
      <c r="H453" s="366"/>
      <c r="I453" s="366"/>
      <c r="J453" s="366"/>
      <c r="K453" s="367"/>
      <c r="L453" s="368">
        <f>(MIN(Attendance!D453, TIME(18, 0, 0)) - Attendance!C453) * 24</f>
        <v>18</v>
      </c>
      <c r="M453" s="369">
        <f t="shared" si="5"/>
        <v>-18</v>
      </c>
      <c r="N453" s="377"/>
      <c r="O453" s="377"/>
      <c r="P453" s="377"/>
    </row>
    <row r="454" ht="22.5" customHeight="1">
      <c r="A454" s="394"/>
      <c r="B454" s="395"/>
      <c r="C454" s="396"/>
      <c r="D454" s="396"/>
      <c r="E454" s="363"/>
      <c r="F454" s="364"/>
      <c r="G454" s="365"/>
      <c r="H454" s="366"/>
      <c r="I454" s="366"/>
      <c r="J454" s="366"/>
      <c r="K454" s="367"/>
      <c r="L454" s="368">
        <f>(MIN(Attendance!D454, TIME(18, 0, 0)) - Attendance!C454) * 24</f>
        <v>18</v>
      </c>
      <c r="M454" s="369">
        <f t="shared" si="5"/>
        <v>-18</v>
      </c>
      <c r="N454" s="369"/>
      <c r="O454" s="369"/>
      <c r="P454" s="369"/>
    </row>
    <row r="455" ht="22.5" customHeight="1">
      <c r="A455" s="394"/>
      <c r="B455" s="395"/>
      <c r="C455" s="396"/>
      <c r="D455" s="396"/>
      <c r="E455" s="363"/>
      <c r="F455" s="364"/>
      <c r="G455" s="365"/>
      <c r="H455" s="366"/>
      <c r="I455" s="366"/>
      <c r="J455" s="366"/>
      <c r="K455" s="367"/>
      <c r="L455" s="368">
        <f>(MIN(Attendance!D455, TIME(18, 0, 0)) - Attendance!C455) * 24</f>
        <v>18</v>
      </c>
      <c r="M455" s="369">
        <f t="shared" si="5"/>
        <v>-18</v>
      </c>
      <c r="N455" s="377"/>
      <c r="O455" s="377"/>
      <c r="P455" s="377"/>
    </row>
    <row r="456" ht="22.5" customHeight="1">
      <c r="A456" s="394"/>
      <c r="B456" s="395"/>
      <c r="C456" s="396"/>
      <c r="D456" s="396"/>
      <c r="E456" s="363"/>
      <c r="F456" s="364"/>
      <c r="G456" s="365"/>
      <c r="H456" s="366"/>
      <c r="I456" s="366"/>
      <c r="J456" s="366"/>
      <c r="K456" s="367"/>
      <c r="L456" s="368">
        <f>(MIN(Attendance!D456, TIME(18, 0, 0)) - Attendance!C456) * 24</f>
        <v>18</v>
      </c>
      <c r="M456" s="369">
        <f t="shared" si="5"/>
        <v>-18</v>
      </c>
      <c r="N456" s="369"/>
      <c r="O456" s="369"/>
      <c r="P456" s="369"/>
    </row>
    <row r="457" ht="22.5" customHeight="1">
      <c r="A457" s="394"/>
      <c r="B457" s="395"/>
      <c r="C457" s="396"/>
      <c r="D457" s="396"/>
      <c r="E457" s="363"/>
      <c r="F457" s="364"/>
      <c r="G457" s="365"/>
      <c r="H457" s="366"/>
      <c r="I457" s="366"/>
      <c r="J457" s="366"/>
      <c r="K457" s="367"/>
      <c r="L457" s="368">
        <f>(MIN(Attendance!D457, TIME(18, 0, 0)) - Attendance!C457) * 24</f>
        <v>18</v>
      </c>
      <c r="M457" s="369">
        <f t="shared" si="5"/>
        <v>-18</v>
      </c>
      <c r="N457" s="377"/>
      <c r="O457" s="377"/>
      <c r="P457" s="377"/>
    </row>
    <row r="458" ht="22.5" customHeight="1">
      <c r="A458" s="394"/>
      <c r="B458" s="395"/>
      <c r="C458" s="396"/>
      <c r="D458" s="396"/>
      <c r="E458" s="363"/>
      <c r="F458" s="364"/>
      <c r="G458" s="365"/>
      <c r="H458" s="366"/>
      <c r="I458" s="366"/>
      <c r="J458" s="366"/>
      <c r="K458" s="367"/>
      <c r="L458" s="368">
        <f>(MIN(Attendance!D458, TIME(18, 0, 0)) - Attendance!C458) * 24</f>
        <v>18</v>
      </c>
      <c r="M458" s="369">
        <f t="shared" si="5"/>
        <v>-18</v>
      </c>
      <c r="N458" s="369"/>
      <c r="O458" s="369"/>
      <c r="P458" s="369"/>
    </row>
    <row r="459" ht="22.5" customHeight="1">
      <c r="A459" s="394"/>
      <c r="B459" s="395"/>
      <c r="C459" s="396"/>
      <c r="D459" s="396"/>
      <c r="E459" s="363"/>
      <c r="F459" s="364"/>
      <c r="G459" s="365"/>
      <c r="H459" s="366"/>
      <c r="I459" s="366"/>
      <c r="J459" s="366"/>
      <c r="K459" s="367"/>
      <c r="L459" s="368">
        <f>(MIN(Attendance!D459, TIME(18, 0, 0)) - Attendance!C459) * 24</f>
        <v>18</v>
      </c>
      <c r="M459" s="369">
        <f t="shared" si="5"/>
        <v>-18</v>
      </c>
      <c r="N459" s="377"/>
      <c r="O459" s="377"/>
      <c r="P459" s="377"/>
    </row>
    <row r="460" ht="22.5" customHeight="1">
      <c r="A460" s="394"/>
      <c r="B460" s="395"/>
      <c r="C460" s="396"/>
      <c r="D460" s="396"/>
      <c r="E460" s="363"/>
      <c r="F460" s="364"/>
      <c r="G460" s="365"/>
      <c r="H460" s="366"/>
      <c r="I460" s="366"/>
      <c r="J460" s="366"/>
      <c r="K460" s="367"/>
      <c r="L460" s="368">
        <f>(MIN(Attendance!D460, TIME(18, 0, 0)) - Attendance!C460) * 24</f>
        <v>18</v>
      </c>
      <c r="M460" s="369">
        <f t="shared" si="5"/>
        <v>-18</v>
      </c>
      <c r="N460" s="369"/>
      <c r="O460" s="369"/>
      <c r="P460" s="369"/>
    </row>
    <row r="461" ht="22.5" customHeight="1">
      <c r="A461" s="394"/>
      <c r="B461" s="395"/>
      <c r="C461" s="396"/>
      <c r="D461" s="396"/>
      <c r="E461" s="363"/>
      <c r="F461" s="364"/>
      <c r="G461" s="365"/>
      <c r="H461" s="366"/>
      <c r="I461" s="366"/>
      <c r="J461" s="366"/>
      <c r="K461" s="367"/>
      <c r="L461" s="368">
        <f>(MIN(Attendance!D461, TIME(18, 0, 0)) - Attendance!C461) * 24</f>
        <v>18</v>
      </c>
      <c r="M461" s="369">
        <f t="shared" si="5"/>
        <v>-18</v>
      </c>
      <c r="N461" s="377"/>
      <c r="O461" s="377"/>
      <c r="P461" s="377"/>
    </row>
    <row r="462" ht="22.5" customHeight="1">
      <c r="A462" s="394"/>
      <c r="B462" s="395"/>
      <c r="C462" s="396"/>
      <c r="D462" s="396"/>
      <c r="E462" s="363"/>
      <c r="F462" s="364"/>
      <c r="G462" s="365"/>
      <c r="H462" s="366"/>
      <c r="I462" s="366"/>
      <c r="J462" s="366"/>
      <c r="K462" s="367"/>
      <c r="L462" s="368">
        <f>(MIN(Attendance!D462, TIME(18, 0, 0)) - Attendance!C462) * 24</f>
        <v>18</v>
      </c>
      <c r="M462" s="369">
        <f t="shared" si="5"/>
        <v>-18</v>
      </c>
      <c r="N462" s="369"/>
      <c r="O462" s="369"/>
      <c r="P462" s="369"/>
    </row>
    <row r="463" ht="22.5" customHeight="1">
      <c r="A463" s="394"/>
      <c r="B463" s="395"/>
      <c r="C463" s="396"/>
      <c r="D463" s="396"/>
      <c r="E463" s="363"/>
      <c r="F463" s="364"/>
      <c r="G463" s="365"/>
      <c r="H463" s="366"/>
      <c r="I463" s="366"/>
      <c r="J463" s="366"/>
      <c r="K463" s="367"/>
      <c r="L463" s="368">
        <f>(MIN(Attendance!D463, TIME(18, 0, 0)) - Attendance!C463) * 24</f>
        <v>18</v>
      </c>
      <c r="M463" s="369">
        <f t="shared" si="5"/>
        <v>-18</v>
      </c>
      <c r="N463" s="377"/>
      <c r="O463" s="377"/>
      <c r="P463" s="377"/>
    </row>
    <row r="464" ht="22.5" customHeight="1">
      <c r="A464" s="394"/>
      <c r="B464" s="395"/>
      <c r="C464" s="396"/>
      <c r="D464" s="396"/>
      <c r="E464" s="363"/>
      <c r="F464" s="364"/>
      <c r="G464" s="365"/>
      <c r="H464" s="366"/>
      <c r="I464" s="366"/>
      <c r="J464" s="366"/>
      <c r="K464" s="367"/>
      <c r="L464" s="368">
        <f>(MIN(Attendance!D464, TIME(18, 0, 0)) - Attendance!C464) * 24</f>
        <v>18</v>
      </c>
      <c r="M464" s="369">
        <f t="shared" si="5"/>
        <v>-18</v>
      </c>
      <c r="N464" s="369"/>
      <c r="O464" s="369"/>
      <c r="P464" s="369"/>
    </row>
    <row r="465" ht="22.5" customHeight="1">
      <c r="A465" s="394"/>
      <c r="B465" s="395"/>
      <c r="C465" s="396"/>
      <c r="D465" s="396"/>
      <c r="E465" s="363"/>
      <c r="F465" s="364"/>
      <c r="G465" s="365"/>
      <c r="H465" s="366"/>
      <c r="I465" s="366"/>
      <c r="J465" s="366"/>
      <c r="K465" s="367"/>
      <c r="L465" s="368">
        <f>(MIN(Attendance!D465, TIME(18, 0, 0)) - Attendance!C465) * 24</f>
        <v>18</v>
      </c>
      <c r="M465" s="369">
        <f t="shared" si="5"/>
        <v>-18</v>
      </c>
      <c r="N465" s="377"/>
      <c r="O465" s="377"/>
      <c r="P465" s="377"/>
    </row>
    <row r="466" ht="22.5" customHeight="1">
      <c r="A466" s="394"/>
      <c r="B466" s="395"/>
      <c r="C466" s="396"/>
      <c r="D466" s="396"/>
      <c r="E466" s="363"/>
      <c r="F466" s="364"/>
      <c r="G466" s="365"/>
      <c r="H466" s="366"/>
      <c r="I466" s="366"/>
      <c r="J466" s="366"/>
      <c r="K466" s="367"/>
      <c r="L466" s="368">
        <f>(MIN(Attendance!D466, TIME(18, 0, 0)) - Attendance!C466) * 24</f>
        <v>18</v>
      </c>
      <c r="M466" s="369">
        <f t="shared" si="5"/>
        <v>-18</v>
      </c>
      <c r="N466" s="369"/>
      <c r="O466" s="369"/>
      <c r="P466" s="369"/>
    </row>
    <row r="467" ht="22.5" customHeight="1">
      <c r="A467" s="394"/>
      <c r="B467" s="395"/>
      <c r="C467" s="396"/>
      <c r="D467" s="396"/>
      <c r="E467" s="363"/>
      <c r="F467" s="364"/>
      <c r="G467" s="365"/>
      <c r="H467" s="366"/>
      <c r="I467" s="366"/>
      <c r="J467" s="366"/>
      <c r="K467" s="367"/>
      <c r="L467" s="368">
        <f>(MIN(Attendance!D467, TIME(18, 0, 0)) - Attendance!C467) * 24</f>
        <v>18</v>
      </c>
      <c r="M467" s="369">
        <f t="shared" si="5"/>
        <v>-18</v>
      </c>
      <c r="N467" s="377"/>
      <c r="O467" s="377"/>
      <c r="P467" s="377"/>
    </row>
    <row r="468" ht="22.5" customHeight="1">
      <c r="A468" s="394"/>
      <c r="B468" s="395"/>
      <c r="C468" s="396"/>
      <c r="D468" s="396"/>
      <c r="E468" s="363"/>
      <c r="F468" s="364"/>
      <c r="G468" s="365"/>
      <c r="H468" s="366"/>
      <c r="I468" s="366"/>
      <c r="J468" s="366"/>
      <c r="K468" s="367"/>
      <c r="L468" s="368">
        <f>(MIN(Attendance!D468, TIME(18, 0, 0)) - Attendance!C468) * 24</f>
        <v>18</v>
      </c>
      <c r="M468" s="369">
        <f t="shared" si="5"/>
        <v>-18</v>
      </c>
      <c r="N468" s="369"/>
      <c r="O468" s="369"/>
      <c r="P468" s="369"/>
    </row>
    <row r="469" ht="22.5" customHeight="1">
      <c r="A469" s="394"/>
      <c r="B469" s="395"/>
      <c r="C469" s="396"/>
      <c r="D469" s="396"/>
      <c r="E469" s="363"/>
      <c r="F469" s="364"/>
      <c r="G469" s="365"/>
      <c r="H469" s="366"/>
      <c r="I469" s="366"/>
      <c r="J469" s="366"/>
      <c r="K469" s="367"/>
      <c r="L469" s="368">
        <f>(MIN(Attendance!D469, TIME(18, 0, 0)) - Attendance!C469) * 24</f>
        <v>18</v>
      </c>
      <c r="M469" s="369">
        <f t="shared" si="5"/>
        <v>-18</v>
      </c>
      <c r="N469" s="377"/>
      <c r="O469" s="377"/>
      <c r="P469" s="377"/>
    </row>
    <row r="470" ht="22.5" customHeight="1">
      <c r="A470" s="394"/>
      <c r="B470" s="395"/>
      <c r="C470" s="396"/>
      <c r="D470" s="396"/>
      <c r="E470" s="363"/>
      <c r="F470" s="364"/>
      <c r="G470" s="365"/>
      <c r="H470" s="366"/>
      <c r="I470" s="366"/>
      <c r="J470" s="366"/>
      <c r="K470" s="367"/>
      <c r="L470" s="368">
        <f>(MIN(Attendance!D470, TIME(18, 0, 0)) - Attendance!C470) * 24</f>
        <v>18</v>
      </c>
      <c r="M470" s="369">
        <f t="shared" si="5"/>
        <v>-18</v>
      </c>
      <c r="N470" s="369"/>
      <c r="O470" s="369"/>
      <c r="P470" s="369"/>
    </row>
    <row r="471" ht="22.5" customHeight="1">
      <c r="A471" s="394"/>
      <c r="B471" s="395"/>
      <c r="C471" s="396"/>
      <c r="D471" s="396"/>
      <c r="E471" s="363"/>
      <c r="F471" s="364"/>
      <c r="G471" s="365"/>
      <c r="H471" s="366"/>
      <c r="I471" s="366"/>
      <c r="J471" s="366"/>
      <c r="K471" s="367"/>
      <c r="L471" s="368">
        <f>(MIN(Attendance!D471, TIME(18, 0, 0)) - Attendance!C471) * 24</f>
        <v>18</v>
      </c>
      <c r="M471" s="369">
        <f t="shared" si="5"/>
        <v>-18</v>
      </c>
      <c r="N471" s="377"/>
      <c r="O471" s="377"/>
      <c r="P471" s="377"/>
    </row>
    <row r="472" ht="22.5" customHeight="1">
      <c r="A472" s="394"/>
      <c r="B472" s="395"/>
      <c r="C472" s="396"/>
      <c r="D472" s="396"/>
      <c r="E472" s="363"/>
      <c r="F472" s="364"/>
      <c r="G472" s="365"/>
      <c r="H472" s="366"/>
      <c r="I472" s="366"/>
      <c r="J472" s="366"/>
      <c r="K472" s="367"/>
      <c r="L472" s="368">
        <f>(MIN(Attendance!D472, TIME(18, 0, 0)) - Attendance!C472) * 24</f>
        <v>18</v>
      </c>
      <c r="M472" s="369">
        <f t="shared" si="5"/>
        <v>-18</v>
      </c>
      <c r="N472" s="369"/>
      <c r="O472" s="369"/>
      <c r="P472" s="369"/>
    </row>
    <row r="473" ht="22.5" customHeight="1">
      <c r="A473" s="394"/>
      <c r="B473" s="395"/>
      <c r="C473" s="396"/>
      <c r="D473" s="396"/>
      <c r="E473" s="363"/>
      <c r="F473" s="364"/>
      <c r="G473" s="365"/>
      <c r="H473" s="366"/>
      <c r="I473" s="366"/>
      <c r="J473" s="366"/>
      <c r="K473" s="367"/>
      <c r="L473" s="368">
        <f>(MIN(Attendance!D473, TIME(18, 0, 0)) - Attendance!C473) * 24</f>
        <v>18</v>
      </c>
      <c r="M473" s="369">
        <f t="shared" si="5"/>
        <v>-18</v>
      </c>
      <c r="N473" s="377"/>
      <c r="O473" s="377"/>
      <c r="P473" s="377"/>
    </row>
    <row r="474" ht="22.5" customHeight="1">
      <c r="A474" s="394"/>
      <c r="B474" s="395"/>
      <c r="C474" s="396"/>
      <c r="D474" s="396"/>
      <c r="E474" s="363"/>
      <c r="F474" s="364"/>
      <c r="G474" s="365"/>
      <c r="H474" s="366"/>
      <c r="I474" s="366"/>
      <c r="J474" s="366"/>
      <c r="K474" s="367"/>
      <c r="L474" s="368">
        <f>(MIN(Attendance!D474, TIME(18, 0, 0)) - Attendance!C474) * 24</f>
        <v>18</v>
      </c>
      <c r="M474" s="369">
        <f t="shared" si="5"/>
        <v>-18</v>
      </c>
      <c r="N474" s="369"/>
      <c r="O474" s="369"/>
      <c r="P474" s="369"/>
    </row>
    <row r="475" ht="22.5" customHeight="1">
      <c r="A475" s="394"/>
      <c r="B475" s="395"/>
      <c r="C475" s="396"/>
      <c r="D475" s="396"/>
      <c r="E475" s="363"/>
      <c r="F475" s="364"/>
      <c r="G475" s="365"/>
      <c r="H475" s="366"/>
      <c r="I475" s="366"/>
      <c r="J475" s="366"/>
      <c r="K475" s="367"/>
      <c r="L475" s="368">
        <f>(MIN(Attendance!D475, TIME(18, 0, 0)) - Attendance!C475) * 24</f>
        <v>18</v>
      </c>
      <c r="M475" s="369">
        <f t="shared" si="5"/>
        <v>-18</v>
      </c>
      <c r="N475" s="377"/>
      <c r="O475" s="377"/>
      <c r="P475" s="377"/>
    </row>
    <row r="476" ht="22.5" customHeight="1">
      <c r="A476" s="394"/>
      <c r="B476" s="395"/>
      <c r="C476" s="396"/>
      <c r="D476" s="396"/>
      <c r="E476" s="363"/>
      <c r="F476" s="364"/>
      <c r="G476" s="365"/>
      <c r="H476" s="366"/>
      <c r="I476" s="366"/>
      <c r="J476" s="366"/>
      <c r="K476" s="367"/>
      <c r="L476" s="368">
        <f>(MIN(Attendance!D476, TIME(18, 0, 0)) - Attendance!C476) * 24</f>
        <v>18</v>
      </c>
      <c r="M476" s="369">
        <f t="shared" si="5"/>
        <v>-18</v>
      </c>
      <c r="N476" s="369"/>
      <c r="O476" s="369"/>
      <c r="P476" s="369"/>
    </row>
    <row r="477" ht="22.5" customHeight="1">
      <c r="A477" s="394"/>
      <c r="B477" s="395"/>
      <c r="C477" s="396"/>
      <c r="D477" s="396"/>
      <c r="E477" s="363"/>
      <c r="F477" s="364"/>
      <c r="G477" s="365"/>
      <c r="H477" s="366"/>
      <c r="I477" s="366"/>
      <c r="J477" s="366"/>
      <c r="K477" s="367"/>
      <c r="L477" s="368">
        <f>(MIN(Attendance!D477, TIME(18, 0, 0)) - Attendance!C477) * 24</f>
        <v>18</v>
      </c>
      <c r="M477" s="369">
        <f t="shared" si="5"/>
        <v>-18</v>
      </c>
      <c r="N477" s="377"/>
      <c r="O477" s="377"/>
      <c r="P477" s="377"/>
    </row>
    <row r="478" ht="22.5" customHeight="1">
      <c r="A478" s="394"/>
      <c r="B478" s="395"/>
      <c r="C478" s="396"/>
      <c r="D478" s="396"/>
      <c r="E478" s="363"/>
      <c r="F478" s="364"/>
      <c r="G478" s="365"/>
      <c r="H478" s="366"/>
      <c r="I478" s="366"/>
      <c r="J478" s="366"/>
      <c r="K478" s="367"/>
      <c r="L478" s="368">
        <f>(MIN(Attendance!D478, TIME(18, 0, 0)) - Attendance!C478) * 24</f>
        <v>18</v>
      </c>
      <c r="M478" s="369">
        <f t="shared" si="5"/>
        <v>-18</v>
      </c>
      <c r="N478" s="369"/>
      <c r="O478" s="369"/>
      <c r="P478" s="369"/>
    </row>
    <row r="479" ht="22.5" customHeight="1">
      <c r="A479" s="394"/>
      <c r="B479" s="395"/>
      <c r="C479" s="396"/>
      <c r="D479" s="396"/>
      <c r="E479" s="363"/>
      <c r="F479" s="364"/>
      <c r="G479" s="365"/>
      <c r="H479" s="366"/>
      <c r="I479" s="366"/>
      <c r="J479" s="366"/>
      <c r="K479" s="367"/>
      <c r="L479" s="368">
        <f>(MIN(Attendance!D479, TIME(18, 0, 0)) - Attendance!C479) * 24</f>
        <v>18</v>
      </c>
      <c r="M479" s="369">
        <f t="shared" si="5"/>
        <v>-18</v>
      </c>
      <c r="N479" s="377"/>
      <c r="O479" s="377"/>
      <c r="P479" s="377"/>
    </row>
    <row r="480" ht="22.5" customHeight="1">
      <c r="A480" s="394"/>
      <c r="B480" s="395"/>
      <c r="C480" s="396"/>
      <c r="D480" s="396"/>
      <c r="E480" s="363"/>
      <c r="F480" s="364"/>
      <c r="G480" s="365"/>
      <c r="H480" s="366"/>
      <c r="I480" s="366"/>
      <c r="J480" s="366"/>
      <c r="K480" s="367"/>
      <c r="L480" s="368">
        <f>(MIN(Attendance!D480, TIME(18, 0, 0)) - Attendance!C480) * 24</f>
        <v>18</v>
      </c>
      <c r="M480" s="369">
        <f t="shared" si="5"/>
        <v>-18</v>
      </c>
      <c r="N480" s="369"/>
      <c r="O480" s="369"/>
      <c r="P480" s="369"/>
    </row>
    <row r="481" ht="22.5" customHeight="1">
      <c r="A481" s="394"/>
      <c r="B481" s="395"/>
      <c r="C481" s="396"/>
      <c r="D481" s="396"/>
      <c r="E481" s="363"/>
      <c r="F481" s="364"/>
      <c r="G481" s="365"/>
      <c r="H481" s="366"/>
      <c r="I481" s="366"/>
      <c r="J481" s="366"/>
      <c r="K481" s="367"/>
      <c r="L481" s="368">
        <f>(MIN(Attendance!D481, TIME(18, 0, 0)) - Attendance!C481) * 24</f>
        <v>18</v>
      </c>
      <c r="M481" s="369">
        <f t="shared" si="5"/>
        <v>-18</v>
      </c>
      <c r="N481" s="377"/>
      <c r="O481" s="377"/>
      <c r="P481" s="377"/>
    </row>
    <row r="482" ht="22.5" customHeight="1">
      <c r="A482" s="394"/>
      <c r="B482" s="395"/>
      <c r="C482" s="396"/>
      <c r="D482" s="396"/>
      <c r="E482" s="363"/>
      <c r="F482" s="364"/>
      <c r="G482" s="365"/>
      <c r="H482" s="366"/>
      <c r="I482" s="366"/>
      <c r="J482" s="366"/>
      <c r="K482" s="367"/>
      <c r="L482" s="368">
        <f>(MIN(Attendance!D482, TIME(18, 0, 0)) - Attendance!C482) * 24</f>
        <v>18</v>
      </c>
      <c r="M482" s="369">
        <f t="shared" si="5"/>
        <v>-18</v>
      </c>
      <c r="N482" s="369"/>
      <c r="O482" s="369"/>
      <c r="P482" s="369"/>
    </row>
    <row r="483" ht="22.5" customHeight="1">
      <c r="A483" s="394"/>
      <c r="B483" s="395"/>
      <c r="C483" s="396"/>
      <c r="D483" s="396"/>
      <c r="E483" s="363"/>
      <c r="F483" s="364"/>
      <c r="G483" s="365"/>
      <c r="H483" s="366"/>
      <c r="I483" s="366"/>
      <c r="J483" s="366"/>
      <c r="K483" s="367"/>
      <c r="L483" s="368">
        <f>(MIN(Attendance!D483, TIME(18, 0, 0)) - Attendance!C483) * 24</f>
        <v>18</v>
      </c>
      <c r="M483" s="369">
        <f t="shared" si="5"/>
        <v>-18</v>
      </c>
      <c r="N483" s="377"/>
      <c r="O483" s="377"/>
      <c r="P483" s="377"/>
    </row>
    <row r="484" ht="22.5" customHeight="1">
      <c r="A484" s="394"/>
      <c r="B484" s="395"/>
      <c r="C484" s="396"/>
      <c r="D484" s="396"/>
      <c r="E484" s="363"/>
      <c r="F484" s="364"/>
      <c r="G484" s="365"/>
      <c r="H484" s="366"/>
      <c r="I484" s="366"/>
      <c r="J484" s="366"/>
      <c r="K484" s="367"/>
      <c r="L484" s="368">
        <f>(MIN(Attendance!D484, TIME(18, 0, 0)) - Attendance!C484) * 24</f>
        <v>18</v>
      </c>
      <c r="M484" s="369">
        <f t="shared" si="5"/>
        <v>-18</v>
      </c>
      <c r="N484" s="369"/>
      <c r="O484" s="369"/>
      <c r="P484" s="369"/>
    </row>
    <row r="485" ht="22.5" customHeight="1">
      <c r="A485" s="394"/>
      <c r="B485" s="395"/>
      <c r="C485" s="396"/>
      <c r="D485" s="396"/>
      <c r="E485" s="363"/>
      <c r="F485" s="364"/>
      <c r="G485" s="365"/>
      <c r="H485" s="366"/>
      <c r="I485" s="366"/>
      <c r="J485" s="366"/>
      <c r="K485" s="367"/>
      <c r="L485" s="368">
        <f>(MIN(Attendance!D485, TIME(18, 0, 0)) - Attendance!C485) * 24</f>
        <v>18</v>
      </c>
      <c r="M485" s="369">
        <f t="shared" si="5"/>
        <v>-18</v>
      </c>
      <c r="N485" s="377"/>
      <c r="O485" s="377"/>
      <c r="P485" s="377"/>
    </row>
    <row r="486" ht="22.5" customHeight="1">
      <c r="A486" s="394"/>
      <c r="B486" s="395"/>
      <c r="C486" s="396"/>
      <c r="D486" s="396"/>
      <c r="E486" s="363"/>
      <c r="F486" s="364"/>
      <c r="G486" s="365"/>
      <c r="H486" s="366"/>
      <c r="I486" s="366"/>
      <c r="J486" s="366"/>
      <c r="K486" s="367"/>
      <c r="L486" s="368">
        <f>(MIN(Attendance!D486, TIME(18, 0, 0)) - Attendance!C486) * 24</f>
        <v>18</v>
      </c>
      <c r="M486" s="369">
        <f t="shared" si="5"/>
        <v>-18</v>
      </c>
      <c r="N486" s="369"/>
      <c r="O486" s="369"/>
      <c r="P486" s="369"/>
    </row>
    <row r="487" ht="22.5" customHeight="1">
      <c r="A487" s="394"/>
      <c r="B487" s="395"/>
      <c r="C487" s="396"/>
      <c r="D487" s="396"/>
      <c r="E487" s="363"/>
      <c r="F487" s="364"/>
      <c r="G487" s="365"/>
      <c r="H487" s="366"/>
      <c r="I487" s="366"/>
      <c r="J487" s="366"/>
      <c r="K487" s="367"/>
      <c r="L487" s="368">
        <f>(MIN(Attendance!D487, TIME(18, 0, 0)) - Attendance!C487) * 24</f>
        <v>18</v>
      </c>
      <c r="M487" s="369">
        <f t="shared" si="5"/>
        <v>-18</v>
      </c>
      <c r="N487" s="377"/>
      <c r="O487" s="377"/>
      <c r="P487" s="377"/>
    </row>
    <row r="488" ht="22.5" customHeight="1">
      <c r="A488" s="394"/>
      <c r="B488" s="395"/>
      <c r="C488" s="396"/>
      <c r="D488" s="396"/>
      <c r="E488" s="363"/>
      <c r="F488" s="364"/>
      <c r="G488" s="365"/>
      <c r="H488" s="366"/>
      <c r="I488" s="366"/>
      <c r="J488" s="366"/>
      <c r="K488" s="367"/>
      <c r="L488" s="368">
        <f>(MIN(Attendance!D488, TIME(18, 0, 0)) - Attendance!C488) * 24</f>
        <v>18</v>
      </c>
      <c r="M488" s="369">
        <f t="shared" si="5"/>
        <v>-18</v>
      </c>
      <c r="N488" s="369"/>
      <c r="O488" s="369"/>
      <c r="P488" s="369"/>
    </row>
    <row r="489" ht="22.5" customHeight="1">
      <c r="A489" s="394"/>
      <c r="B489" s="395"/>
      <c r="C489" s="396"/>
      <c r="D489" s="396"/>
      <c r="E489" s="363"/>
      <c r="F489" s="364"/>
      <c r="G489" s="365"/>
      <c r="H489" s="366"/>
      <c r="I489" s="366"/>
      <c r="J489" s="366"/>
      <c r="K489" s="367"/>
      <c r="L489" s="368">
        <f>(MIN(Attendance!D489, TIME(18, 0, 0)) - Attendance!C489) * 24</f>
        <v>18</v>
      </c>
      <c r="M489" s="369">
        <f t="shared" si="5"/>
        <v>-18</v>
      </c>
      <c r="N489" s="377"/>
      <c r="O489" s="377"/>
      <c r="P489" s="377"/>
    </row>
    <row r="490" ht="22.5" customHeight="1">
      <c r="A490" s="394"/>
      <c r="B490" s="395"/>
      <c r="C490" s="396"/>
      <c r="D490" s="396"/>
      <c r="E490" s="363"/>
      <c r="F490" s="364"/>
      <c r="G490" s="365"/>
      <c r="H490" s="366"/>
      <c r="I490" s="366"/>
      <c r="J490" s="366"/>
      <c r="K490" s="367"/>
      <c r="L490" s="368">
        <f>(MIN(Attendance!D490, TIME(18, 0, 0)) - Attendance!C490) * 24</f>
        <v>18</v>
      </c>
      <c r="M490" s="369">
        <f t="shared" si="5"/>
        <v>-18</v>
      </c>
      <c r="N490" s="369"/>
      <c r="O490" s="369"/>
      <c r="P490" s="369"/>
    </row>
    <row r="491" ht="22.5" customHeight="1">
      <c r="A491" s="394"/>
      <c r="B491" s="395"/>
      <c r="C491" s="396"/>
      <c r="D491" s="396"/>
      <c r="E491" s="363"/>
      <c r="F491" s="364"/>
      <c r="G491" s="365"/>
      <c r="H491" s="366"/>
      <c r="I491" s="366"/>
      <c r="J491" s="366"/>
      <c r="K491" s="367"/>
      <c r="L491" s="368">
        <f>(MIN(Attendance!D491, TIME(18, 0, 0)) - Attendance!C491) * 24</f>
        <v>18</v>
      </c>
      <c r="M491" s="369">
        <f t="shared" si="5"/>
        <v>-18</v>
      </c>
      <c r="N491" s="377"/>
      <c r="O491" s="377"/>
      <c r="P491" s="377"/>
    </row>
    <row r="492" ht="22.5" customHeight="1">
      <c r="A492" s="394"/>
      <c r="B492" s="395"/>
      <c r="C492" s="396"/>
      <c r="D492" s="396"/>
      <c r="E492" s="363"/>
      <c r="F492" s="364"/>
      <c r="G492" s="365"/>
      <c r="H492" s="366"/>
      <c r="I492" s="366"/>
      <c r="J492" s="366"/>
      <c r="K492" s="367"/>
      <c r="L492" s="368">
        <f>(MIN(Attendance!D492, TIME(18, 0, 0)) - Attendance!C492) * 24</f>
        <v>18</v>
      </c>
      <c r="M492" s="369">
        <f t="shared" si="5"/>
        <v>-18</v>
      </c>
      <c r="N492" s="369"/>
      <c r="O492" s="369"/>
      <c r="P492" s="369"/>
    </row>
    <row r="493" ht="22.5" customHeight="1">
      <c r="A493" s="394"/>
      <c r="B493" s="395"/>
      <c r="C493" s="396"/>
      <c r="D493" s="396"/>
      <c r="E493" s="363"/>
      <c r="F493" s="364"/>
      <c r="G493" s="365"/>
      <c r="H493" s="366"/>
      <c r="I493" s="366"/>
      <c r="J493" s="366"/>
      <c r="K493" s="367"/>
      <c r="L493" s="368">
        <f>(MIN(Attendance!D493, TIME(18, 0, 0)) - Attendance!C493) * 24</f>
        <v>18</v>
      </c>
      <c r="M493" s="369">
        <f t="shared" si="5"/>
        <v>-18</v>
      </c>
      <c r="N493" s="377"/>
      <c r="O493" s="377"/>
      <c r="P493" s="377"/>
    </row>
    <row r="494" ht="22.5" customHeight="1">
      <c r="A494" s="394"/>
      <c r="B494" s="395"/>
      <c r="C494" s="396"/>
      <c r="D494" s="396"/>
      <c r="E494" s="363"/>
      <c r="F494" s="364"/>
      <c r="G494" s="365"/>
      <c r="H494" s="366"/>
      <c r="I494" s="366"/>
      <c r="J494" s="366"/>
      <c r="K494" s="367"/>
      <c r="L494" s="368">
        <f>(MIN(Attendance!D494, TIME(18, 0, 0)) - Attendance!C494) * 24</f>
        <v>18</v>
      </c>
      <c r="M494" s="369">
        <f t="shared" si="5"/>
        <v>-18</v>
      </c>
      <c r="N494" s="369"/>
      <c r="O494" s="369"/>
      <c r="P494" s="369"/>
    </row>
    <row r="495" ht="22.5" customHeight="1">
      <c r="A495" s="394"/>
      <c r="B495" s="395"/>
      <c r="C495" s="396"/>
      <c r="D495" s="396"/>
      <c r="E495" s="363"/>
      <c r="F495" s="364"/>
      <c r="G495" s="365"/>
      <c r="H495" s="366"/>
      <c r="I495" s="366"/>
      <c r="J495" s="366"/>
      <c r="K495" s="367"/>
      <c r="L495" s="368">
        <f>(MIN(Attendance!D495, TIME(18, 0, 0)) - Attendance!C495) * 24</f>
        <v>18</v>
      </c>
      <c r="M495" s="369">
        <f t="shared" si="5"/>
        <v>-18</v>
      </c>
      <c r="N495" s="377"/>
      <c r="O495" s="377"/>
      <c r="P495" s="377"/>
    </row>
    <row r="496" ht="22.5" customHeight="1">
      <c r="A496" s="394"/>
      <c r="B496" s="395"/>
      <c r="C496" s="396"/>
      <c r="D496" s="396"/>
      <c r="E496" s="363"/>
      <c r="F496" s="364"/>
      <c r="G496" s="365"/>
      <c r="H496" s="366"/>
      <c r="I496" s="366"/>
      <c r="J496" s="366"/>
      <c r="K496" s="367"/>
      <c r="L496" s="368">
        <f>(MIN(Attendance!D496, TIME(18, 0, 0)) - Attendance!C496) * 24</f>
        <v>18</v>
      </c>
      <c r="M496" s="369">
        <f t="shared" si="5"/>
        <v>-18</v>
      </c>
      <c r="N496" s="369"/>
      <c r="O496" s="369"/>
      <c r="P496" s="369"/>
    </row>
    <row r="497" ht="22.5" customHeight="1">
      <c r="A497" s="394"/>
      <c r="B497" s="395"/>
      <c r="C497" s="396"/>
      <c r="D497" s="396"/>
      <c r="E497" s="363"/>
      <c r="F497" s="364"/>
      <c r="G497" s="365"/>
      <c r="H497" s="366"/>
      <c r="I497" s="366"/>
      <c r="J497" s="366"/>
      <c r="K497" s="367"/>
      <c r="L497" s="368">
        <f>(MIN(Attendance!D497, TIME(18, 0, 0)) - Attendance!C497) * 24</f>
        <v>18</v>
      </c>
      <c r="M497" s="369">
        <f t="shared" si="5"/>
        <v>-18</v>
      </c>
      <c r="N497" s="377"/>
      <c r="O497" s="377"/>
      <c r="P497" s="377"/>
    </row>
    <row r="498" ht="22.5" customHeight="1">
      <c r="A498" s="394"/>
      <c r="B498" s="395"/>
      <c r="C498" s="396"/>
      <c r="D498" s="396"/>
      <c r="E498" s="363"/>
      <c r="F498" s="364"/>
      <c r="G498" s="365"/>
      <c r="H498" s="366"/>
      <c r="I498" s="366"/>
      <c r="J498" s="366"/>
      <c r="K498" s="367"/>
      <c r="L498" s="368">
        <f>(MIN(Attendance!D498, TIME(18, 0, 0)) - Attendance!C498) * 24</f>
        <v>18</v>
      </c>
      <c r="M498" s="369">
        <f t="shared" si="5"/>
        <v>-18</v>
      </c>
      <c r="N498" s="369"/>
      <c r="O498" s="369"/>
      <c r="P498" s="369"/>
    </row>
    <row r="499" ht="22.5" customHeight="1">
      <c r="A499" s="394"/>
      <c r="B499" s="395"/>
      <c r="C499" s="396"/>
      <c r="D499" s="396"/>
      <c r="E499" s="363"/>
      <c r="F499" s="364"/>
      <c r="G499" s="365"/>
      <c r="H499" s="366"/>
      <c r="I499" s="366"/>
      <c r="J499" s="366"/>
      <c r="K499" s="367"/>
      <c r="L499" s="368">
        <f>(MIN(Attendance!D499, TIME(18, 0, 0)) - Attendance!C499) * 24</f>
        <v>18</v>
      </c>
      <c r="M499" s="369">
        <f t="shared" si="5"/>
        <v>-18</v>
      </c>
      <c r="N499" s="377"/>
      <c r="O499" s="377"/>
      <c r="P499" s="377"/>
    </row>
    <row r="500" ht="22.5" customHeight="1">
      <c r="A500" s="394"/>
      <c r="B500" s="395"/>
      <c r="C500" s="396"/>
      <c r="D500" s="396"/>
      <c r="E500" s="363"/>
      <c r="F500" s="364"/>
      <c r="G500" s="365"/>
      <c r="H500" s="366"/>
      <c r="I500" s="366"/>
      <c r="J500" s="366"/>
      <c r="K500" s="367"/>
      <c r="L500" s="368">
        <f>(MIN(Attendance!D500, TIME(18, 0, 0)) - Attendance!C500) * 24</f>
        <v>18</v>
      </c>
      <c r="M500" s="369">
        <f t="shared" si="5"/>
        <v>-18</v>
      </c>
      <c r="N500" s="369"/>
      <c r="O500" s="369"/>
      <c r="P500" s="369"/>
    </row>
    <row r="501" ht="22.5" customHeight="1">
      <c r="A501" s="394"/>
      <c r="B501" s="395"/>
      <c r="C501" s="396"/>
      <c r="D501" s="396"/>
      <c r="E501" s="363"/>
      <c r="F501" s="364"/>
      <c r="G501" s="365"/>
      <c r="H501" s="366"/>
      <c r="I501" s="366"/>
      <c r="J501" s="366"/>
      <c r="K501" s="367"/>
      <c r="L501" s="368">
        <f>(MIN(Attendance!D501, TIME(18, 0, 0)) - Attendance!C501) * 24</f>
        <v>18</v>
      </c>
      <c r="M501" s="369">
        <f t="shared" si="5"/>
        <v>-18</v>
      </c>
      <c r="N501" s="377"/>
      <c r="O501" s="377"/>
      <c r="P501" s="377"/>
    </row>
    <row r="502" ht="22.5" customHeight="1">
      <c r="A502" s="394"/>
      <c r="B502" s="395"/>
      <c r="C502" s="396"/>
      <c r="D502" s="396"/>
      <c r="E502" s="363"/>
      <c r="F502" s="364"/>
      <c r="G502" s="365"/>
      <c r="H502" s="366"/>
      <c r="I502" s="366"/>
      <c r="J502" s="366"/>
      <c r="K502" s="367"/>
      <c r="L502" s="368">
        <f>(MIN(Attendance!D502, TIME(18, 0, 0)) - Attendance!C502) * 24</f>
        <v>18</v>
      </c>
      <c r="M502" s="369">
        <f t="shared" si="5"/>
        <v>-18</v>
      </c>
      <c r="N502" s="369"/>
      <c r="O502" s="369"/>
      <c r="P502" s="369"/>
    </row>
    <row r="503" ht="22.5" customHeight="1">
      <c r="A503" s="394"/>
      <c r="B503" s="395"/>
      <c r="C503" s="396"/>
      <c r="D503" s="396"/>
      <c r="E503" s="363"/>
      <c r="F503" s="364"/>
      <c r="G503" s="365"/>
      <c r="H503" s="366"/>
      <c r="I503" s="366"/>
      <c r="J503" s="366"/>
      <c r="K503" s="367"/>
      <c r="L503" s="368">
        <f>(MIN(Attendance!D503, TIME(18, 0, 0)) - Attendance!C503) * 24</f>
        <v>18</v>
      </c>
      <c r="M503" s="369">
        <f t="shared" si="5"/>
        <v>-18</v>
      </c>
      <c r="N503" s="377"/>
      <c r="O503" s="377"/>
      <c r="P503" s="377"/>
    </row>
    <row r="504" ht="22.5" customHeight="1">
      <c r="A504" s="394"/>
      <c r="B504" s="395"/>
      <c r="C504" s="396"/>
      <c r="D504" s="396"/>
      <c r="E504" s="363"/>
      <c r="F504" s="364"/>
      <c r="G504" s="365"/>
      <c r="H504" s="366"/>
      <c r="I504" s="366"/>
      <c r="J504" s="366"/>
      <c r="K504" s="367"/>
      <c r="L504" s="368">
        <f>(MIN(Attendance!D504, TIME(18, 0, 0)) - Attendance!C504) * 24</f>
        <v>18</v>
      </c>
      <c r="M504" s="369">
        <f t="shared" si="5"/>
        <v>-18</v>
      </c>
      <c r="N504" s="369"/>
      <c r="O504" s="369"/>
      <c r="P504" s="369"/>
    </row>
    <row r="505" ht="22.5" customHeight="1">
      <c r="A505" s="394"/>
      <c r="B505" s="395"/>
      <c r="C505" s="396"/>
      <c r="D505" s="396"/>
      <c r="E505" s="363"/>
      <c r="F505" s="364"/>
      <c r="G505" s="365"/>
      <c r="H505" s="366"/>
      <c r="I505" s="366"/>
      <c r="J505" s="366"/>
      <c r="K505" s="367"/>
      <c r="L505" s="368">
        <f>(MIN(Attendance!D505, TIME(18, 0, 0)) - Attendance!C505) * 24</f>
        <v>18</v>
      </c>
      <c r="M505" s="369">
        <f t="shared" si="5"/>
        <v>-18</v>
      </c>
      <c r="N505" s="377"/>
      <c r="O505" s="377"/>
      <c r="P505" s="377"/>
    </row>
    <row r="506" ht="22.5" customHeight="1">
      <c r="A506" s="394"/>
      <c r="B506" s="395"/>
      <c r="C506" s="396"/>
      <c r="D506" s="396"/>
      <c r="E506" s="363"/>
      <c r="F506" s="364"/>
      <c r="G506" s="365"/>
      <c r="H506" s="366"/>
      <c r="I506" s="366"/>
      <c r="J506" s="366"/>
      <c r="K506" s="367"/>
      <c r="L506" s="368">
        <f>(MIN(Attendance!D506, TIME(18, 0, 0)) - Attendance!C506) * 24</f>
        <v>18</v>
      </c>
      <c r="M506" s="369">
        <f t="shared" si="5"/>
        <v>-18</v>
      </c>
      <c r="N506" s="369"/>
      <c r="O506" s="369"/>
      <c r="P506" s="369"/>
    </row>
    <row r="507" ht="22.5" customHeight="1">
      <c r="A507" s="394"/>
      <c r="B507" s="395"/>
      <c r="C507" s="396"/>
      <c r="D507" s="396"/>
      <c r="E507" s="363"/>
      <c r="F507" s="364"/>
      <c r="G507" s="365"/>
      <c r="H507" s="366"/>
      <c r="I507" s="366"/>
      <c r="J507" s="366"/>
      <c r="K507" s="367"/>
      <c r="L507" s="368">
        <f>(MIN(Attendance!D507, TIME(18, 0, 0)) - Attendance!C507) * 24</f>
        <v>18</v>
      </c>
      <c r="M507" s="369">
        <f t="shared" si="5"/>
        <v>-18</v>
      </c>
      <c r="N507" s="377"/>
      <c r="O507" s="377"/>
      <c r="P507" s="377"/>
    </row>
    <row r="508" ht="22.5" customHeight="1">
      <c r="A508" s="394"/>
      <c r="B508" s="395"/>
      <c r="C508" s="396"/>
      <c r="D508" s="396"/>
      <c r="E508" s="363"/>
      <c r="F508" s="364"/>
      <c r="G508" s="365"/>
      <c r="H508" s="366"/>
      <c r="I508" s="366"/>
      <c r="J508" s="366"/>
      <c r="K508" s="367"/>
      <c r="L508" s="368">
        <f>(MIN(Attendance!D508, TIME(18, 0, 0)) - Attendance!C508) * 24</f>
        <v>18</v>
      </c>
      <c r="M508" s="369">
        <f t="shared" si="5"/>
        <v>-18</v>
      </c>
      <c r="N508" s="369"/>
      <c r="O508" s="369"/>
      <c r="P508" s="369"/>
    </row>
    <row r="509" ht="22.5" customHeight="1">
      <c r="A509" s="394"/>
      <c r="B509" s="395"/>
      <c r="C509" s="396"/>
      <c r="D509" s="396"/>
      <c r="E509" s="363"/>
      <c r="F509" s="364"/>
      <c r="G509" s="365"/>
      <c r="H509" s="366"/>
      <c r="I509" s="366"/>
      <c r="J509" s="366"/>
      <c r="K509" s="367"/>
      <c r="L509" s="368">
        <f>(MIN(Attendance!D509, TIME(18, 0, 0)) - Attendance!C509) * 24</f>
        <v>18</v>
      </c>
      <c r="M509" s="369">
        <f t="shared" si="5"/>
        <v>-18</v>
      </c>
      <c r="N509" s="377"/>
      <c r="O509" s="377"/>
      <c r="P509" s="377"/>
    </row>
    <row r="510" ht="22.5" customHeight="1">
      <c r="A510" s="394"/>
      <c r="B510" s="395"/>
      <c r="C510" s="396"/>
      <c r="D510" s="396"/>
      <c r="E510" s="363"/>
      <c r="F510" s="364"/>
      <c r="G510" s="365"/>
      <c r="H510" s="366"/>
      <c r="I510" s="366"/>
      <c r="J510" s="366"/>
      <c r="K510" s="367"/>
      <c r="L510" s="368">
        <f>(MIN(Attendance!D510, TIME(18, 0, 0)) - Attendance!C510) * 24</f>
        <v>18</v>
      </c>
      <c r="M510" s="369">
        <f t="shared" si="5"/>
        <v>-18</v>
      </c>
      <c r="N510" s="369"/>
      <c r="O510" s="369"/>
      <c r="P510" s="369"/>
    </row>
    <row r="511" ht="22.5" customHeight="1">
      <c r="A511" s="394"/>
      <c r="B511" s="395"/>
      <c r="C511" s="396"/>
      <c r="D511" s="396"/>
      <c r="E511" s="363"/>
      <c r="F511" s="364"/>
      <c r="G511" s="365"/>
      <c r="H511" s="366"/>
      <c r="I511" s="366"/>
      <c r="J511" s="366"/>
      <c r="K511" s="367"/>
      <c r="L511" s="368">
        <f>(MIN(Attendance!D511, TIME(18, 0, 0)) - Attendance!C511) * 24</f>
        <v>18</v>
      </c>
      <c r="M511" s="369">
        <f t="shared" si="5"/>
        <v>-18</v>
      </c>
      <c r="N511" s="377"/>
      <c r="O511" s="377"/>
      <c r="P511" s="377"/>
    </row>
    <row r="512" ht="22.5" customHeight="1">
      <c r="A512" s="394"/>
      <c r="B512" s="395"/>
      <c r="C512" s="396"/>
      <c r="D512" s="396"/>
      <c r="E512" s="363"/>
      <c r="F512" s="364"/>
      <c r="G512" s="365"/>
      <c r="H512" s="366"/>
      <c r="I512" s="366"/>
      <c r="J512" s="366"/>
      <c r="K512" s="367"/>
      <c r="L512" s="368">
        <f>(MIN(Attendance!D512, TIME(18, 0, 0)) - Attendance!C512) * 24</f>
        <v>18</v>
      </c>
      <c r="M512" s="369">
        <f t="shared" si="5"/>
        <v>-18</v>
      </c>
      <c r="N512" s="369"/>
      <c r="O512" s="369"/>
      <c r="P512" s="369"/>
    </row>
    <row r="513" ht="22.5" customHeight="1">
      <c r="A513" s="394"/>
      <c r="B513" s="395"/>
      <c r="C513" s="396"/>
      <c r="D513" s="396"/>
      <c r="E513" s="363"/>
      <c r="F513" s="364"/>
      <c r="G513" s="365"/>
      <c r="H513" s="366"/>
      <c r="I513" s="366"/>
      <c r="J513" s="366"/>
      <c r="K513" s="367"/>
      <c r="L513" s="368">
        <f>(MIN(Attendance!D513, TIME(18, 0, 0)) - Attendance!C513) * 24</f>
        <v>18</v>
      </c>
      <c r="M513" s="369">
        <f t="shared" si="5"/>
        <v>-18</v>
      </c>
      <c r="N513" s="377"/>
      <c r="O513" s="377"/>
      <c r="P513" s="377"/>
    </row>
    <row r="514" ht="22.5" customHeight="1">
      <c r="A514" s="394"/>
      <c r="B514" s="395"/>
      <c r="C514" s="396"/>
      <c r="D514" s="396"/>
      <c r="E514" s="363"/>
      <c r="F514" s="364"/>
      <c r="G514" s="365"/>
      <c r="H514" s="366"/>
      <c r="I514" s="366"/>
      <c r="J514" s="366"/>
      <c r="K514" s="367"/>
      <c r="L514" s="368">
        <f>(MIN(Attendance!D514, TIME(18, 0, 0)) - Attendance!C514) * 24</f>
        <v>18</v>
      </c>
      <c r="M514" s="369">
        <f t="shared" si="5"/>
        <v>-18</v>
      </c>
      <c r="N514" s="369"/>
      <c r="O514" s="369"/>
      <c r="P514" s="369"/>
    </row>
    <row r="515" ht="22.5" customHeight="1">
      <c r="A515" s="394"/>
      <c r="B515" s="395"/>
      <c r="C515" s="396"/>
      <c r="D515" s="396"/>
      <c r="E515" s="363"/>
      <c r="F515" s="364"/>
      <c r="G515" s="365"/>
      <c r="H515" s="366"/>
      <c r="I515" s="366"/>
      <c r="J515" s="366"/>
      <c r="K515" s="367"/>
      <c r="L515" s="368">
        <f>(MIN(Attendance!D515, TIME(18, 0, 0)) - Attendance!C515) * 24</f>
        <v>18</v>
      </c>
      <c r="M515" s="369">
        <f t="shared" si="5"/>
        <v>-18</v>
      </c>
      <c r="N515" s="377"/>
      <c r="O515" s="377"/>
      <c r="P515" s="377"/>
    </row>
    <row r="516" ht="22.5" customHeight="1">
      <c r="A516" s="394"/>
      <c r="B516" s="395"/>
      <c r="C516" s="396"/>
      <c r="D516" s="396"/>
      <c r="E516" s="363"/>
      <c r="F516" s="364"/>
      <c r="G516" s="365"/>
      <c r="H516" s="366"/>
      <c r="I516" s="366"/>
      <c r="J516" s="366"/>
      <c r="K516" s="367"/>
      <c r="L516" s="368">
        <f>(MIN(Attendance!D516, TIME(18, 0, 0)) - Attendance!C516) * 24</f>
        <v>18</v>
      </c>
      <c r="M516" s="369">
        <f t="shared" si="5"/>
        <v>-18</v>
      </c>
      <c r="N516" s="369"/>
      <c r="O516" s="369"/>
      <c r="P516" s="369"/>
    </row>
    <row r="517" ht="22.5" customHeight="1">
      <c r="A517" s="394"/>
      <c r="B517" s="395"/>
      <c r="C517" s="396"/>
      <c r="D517" s="396"/>
      <c r="E517" s="363"/>
      <c r="F517" s="364"/>
      <c r="G517" s="365"/>
      <c r="H517" s="366"/>
      <c r="I517" s="366"/>
      <c r="J517" s="366"/>
      <c r="K517" s="367"/>
      <c r="L517" s="368">
        <f>(MIN(Attendance!D517, TIME(18, 0, 0)) - Attendance!C517) * 24</f>
        <v>18</v>
      </c>
      <c r="M517" s="369">
        <f t="shared" si="5"/>
        <v>-18</v>
      </c>
      <c r="N517" s="377"/>
      <c r="O517" s="377"/>
      <c r="P517" s="377"/>
    </row>
    <row r="518" ht="22.5" customHeight="1">
      <c r="A518" s="394"/>
      <c r="B518" s="395"/>
      <c r="C518" s="396"/>
      <c r="D518" s="396"/>
      <c r="E518" s="363"/>
      <c r="F518" s="364"/>
      <c r="G518" s="365"/>
      <c r="H518" s="366"/>
      <c r="I518" s="366"/>
      <c r="J518" s="366"/>
      <c r="K518" s="367"/>
      <c r="L518" s="368">
        <f>(MIN(Attendance!D518, TIME(18, 0, 0)) - Attendance!C518) * 24</f>
        <v>18</v>
      </c>
      <c r="M518" s="369">
        <f t="shared" si="5"/>
        <v>-18</v>
      </c>
      <c r="N518" s="369"/>
      <c r="O518" s="369"/>
      <c r="P518" s="369"/>
    </row>
    <row r="519" ht="22.5" customHeight="1">
      <c r="A519" s="394"/>
      <c r="B519" s="395"/>
      <c r="C519" s="396"/>
      <c r="D519" s="396"/>
      <c r="E519" s="363"/>
      <c r="F519" s="364"/>
      <c r="G519" s="365"/>
      <c r="H519" s="366"/>
      <c r="I519" s="366"/>
      <c r="J519" s="366"/>
      <c r="K519" s="367"/>
      <c r="L519" s="368">
        <f>(MIN(Attendance!D519, TIME(18, 0, 0)) - Attendance!C519) * 24</f>
        <v>18</v>
      </c>
      <c r="M519" s="369">
        <f t="shared" si="5"/>
        <v>-18</v>
      </c>
      <c r="N519" s="377"/>
      <c r="O519" s="377"/>
      <c r="P519" s="377"/>
    </row>
    <row r="520" ht="22.5" customHeight="1">
      <c r="A520" s="394"/>
      <c r="B520" s="395"/>
      <c r="C520" s="396"/>
      <c r="D520" s="396"/>
      <c r="E520" s="363"/>
      <c r="F520" s="364"/>
      <c r="G520" s="365"/>
      <c r="H520" s="366"/>
      <c r="I520" s="366"/>
      <c r="J520" s="366"/>
      <c r="K520" s="367"/>
      <c r="L520" s="368">
        <f>(MIN(Attendance!D520, TIME(18, 0, 0)) - Attendance!C520) * 24</f>
        <v>18</v>
      </c>
      <c r="M520" s="369">
        <f t="shared" si="5"/>
        <v>-18</v>
      </c>
      <c r="N520" s="369"/>
      <c r="O520" s="369"/>
      <c r="P520" s="369"/>
    </row>
    <row r="521" ht="22.5" customHeight="1">
      <c r="A521" s="394"/>
      <c r="B521" s="395"/>
      <c r="C521" s="396"/>
      <c r="D521" s="396"/>
      <c r="E521" s="363"/>
      <c r="F521" s="364"/>
      <c r="G521" s="365"/>
      <c r="H521" s="366"/>
      <c r="I521" s="366"/>
      <c r="J521" s="366"/>
      <c r="K521" s="367"/>
      <c r="L521" s="368">
        <f>(MIN(Attendance!D521, TIME(18, 0, 0)) - Attendance!C521) * 24</f>
        <v>18</v>
      </c>
      <c r="M521" s="369">
        <f t="shared" si="5"/>
        <v>-18</v>
      </c>
      <c r="N521" s="377"/>
      <c r="O521" s="377"/>
      <c r="P521" s="377"/>
    </row>
    <row r="522" ht="22.5" customHeight="1">
      <c r="A522" s="394"/>
      <c r="B522" s="395"/>
      <c r="C522" s="396"/>
      <c r="D522" s="396"/>
      <c r="E522" s="363"/>
      <c r="F522" s="364"/>
      <c r="G522" s="365"/>
      <c r="H522" s="366"/>
      <c r="I522" s="366"/>
      <c r="J522" s="366"/>
      <c r="K522" s="367"/>
      <c r="L522" s="368">
        <f>(MIN(Attendance!D522, TIME(18, 0, 0)) - Attendance!C522) * 24</f>
        <v>18</v>
      </c>
      <c r="M522" s="369">
        <f t="shared" si="5"/>
        <v>-18</v>
      </c>
      <c r="N522" s="369"/>
      <c r="O522" s="369"/>
      <c r="P522" s="369"/>
    </row>
    <row r="523" ht="22.5" customHeight="1">
      <c r="A523" s="394"/>
      <c r="B523" s="395"/>
      <c r="C523" s="396"/>
      <c r="D523" s="396"/>
      <c r="E523" s="363"/>
      <c r="F523" s="364"/>
      <c r="G523" s="365"/>
      <c r="H523" s="366"/>
      <c r="I523" s="366"/>
      <c r="J523" s="366"/>
      <c r="K523" s="367"/>
      <c r="L523" s="368">
        <f>(MIN(Attendance!D523, TIME(18, 0, 0)) - Attendance!C523) * 24</f>
        <v>18</v>
      </c>
      <c r="M523" s="369">
        <f t="shared" si="5"/>
        <v>-18</v>
      </c>
      <c r="N523" s="377"/>
      <c r="O523" s="377"/>
      <c r="P523" s="377"/>
    </row>
    <row r="524" ht="22.5" customHeight="1">
      <c r="A524" s="394"/>
      <c r="B524" s="395"/>
      <c r="C524" s="396"/>
      <c r="D524" s="396"/>
      <c r="E524" s="363"/>
      <c r="F524" s="364"/>
      <c r="G524" s="365"/>
      <c r="H524" s="366"/>
      <c r="I524" s="366"/>
      <c r="J524" s="366"/>
      <c r="K524" s="367"/>
      <c r="L524" s="368">
        <f>(MIN(Attendance!D524, TIME(18, 0, 0)) - Attendance!C524) * 24</f>
        <v>18</v>
      </c>
      <c r="M524" s="369">
        <f t="shared" si="5"/>
        <v>-18</v>
      </c>
      <c r="N524" s="369"/>
      <c r="O524" s="369"/>
      <c r="P524" s="369"/>
    </row>
    <row r="525" ht="22.5" customHeight="1">
      <c r="A525" s="394"/>
      <c r="B525" s="395"/>
      <c r="C525" s="396"/>
      <c r="D525" s="396"/>
      <c r="E525" s="363"/>
      <c r="F525" s="364"/>
      <c r="G525" s="365"/>
      <c r="H525" s="366"/>
      <c r="I525" s="366"/>
      <c r="J525" s="366"/>
      <c r="K525" s="367"/>
      <c r="L525" s="368">
        <f>(MIN(Attendance!D525, TIME(18, 0, 0)) - Attendance!C525) * 24</f>
        <v>18</v>
      </c>
      <c r="M525" s="369">
        <f t="shared" si="5"/>
        <v>-18</v>
      </c>
      <c r="N525" s="377"/>
      <c r="O525" s="377"/>
      <c r="P525" s="377"/>
    </row>
    <row r="526" ht="22.5" customHeight="1">
      <c r="A526" s="394"/>
      <c r="B526" s="395"/>
      <c r="C526" s="396"/>
      <c r="D526" s="396"/>
      <c r="E526" s="363"/>
      <c r="F526" s="364"/>
      <c r="G526" s="365"/>
      <c r="H526" s="366"/>
      <c r="I526" s="366"/>
      <c r="J526" s="366"/>
      <c r="K526" s="367"/>
      <c r="L526" s="368">
        <f>(MIN(Attendance!D526, TIME(18, 0, 0)) - Attendance!C526) * 24</f>
        <v>18</v>
      </c>
      <c r="M526" s="369">
        <f t="shared" si="5"/>
        <v>-18</v>
      </c>
      <c r="N526" s="369"/>
      <c r="O526" s="369"/>
      <c r="P526" s="369"/>
    </row>
    <row r="527" ht="22.5" customHeight="1">
      <c r="A527" s="394"/>
      <c r="B527" s="395"/>
      <c r="C527" s="396"/>
      <c r="D527" s="396"/>
      <c r="E527" s="363"/>
      <c r="F527" s="364"/>
      <c r="G527" s="365"/>
      <c r="H527" s="366"/>
      <c r="I527" s="366"/>
      <c r="J527" s="366"/>
      <c r="K527" s="367"/>
      <c r="L527" s="368">
        <f>(MIN(Attendance!D527, TIME(18, 0, 0)) - Attendance!C527) * 24</f>
        <v>18</v>
      </c>
      <c r="M527" s="369">
        <f t="shared" si="5"/>
        <v>-18</v>
      </c>
      <c r="N527" s="377"/>
      <c r="O527" s="377"/>
      <c r="P527" s="377"/>
    </row>
    <row r="528" ht="22.5" customHeight="1">
      <c r="A528" s="394"/>
      <c r="B528" s="395"/>
      <c r="C528" s="396"/>
      <c r="D528" s="396"/>
      <c r="E528" s="363"/>
      <c r="F528" s="364"/>
      <c r="G528" s="365"/>
      <c r="H528" s="366"/>
      <c r="I528" s="366"/>
      <c r="J528" s="366"/>
      <c r="K528" s="367"/>
      <c r="L528" s="368">
        <f>(MIN(Attendance!D528, TIME(18, 0, 0)) - Attendance!C528) * 24</f>
        <v>18</v>
      </c>
      <c r="M528" s="369">
        <f t="shared" si="5"/>
        <v>-18</v>
      </c>
      <c r="N528" s="369"/>
      <c r="O528" s="369"/>
      <c r="P528" s="369"/>
    </row>
    <row r="529" ht="22.5" customHeight="1">
      <c r="A529" s="394"/>
      <c r="B529" s="395"/>
      <c r="C529" s="396"/>
      <c r="D529" s="396"/>
      <c r="E529" s="363"/>
      <c r="F529" s="364"/>
      <c r="G529" s="365"/>
      <c r="H529" s="366"/>
      <c r="I529" s="366"/>
      <c r="J529" s="366"/>
      <c r="K529" s="367"/>
      <c r="L529" s="368">
        <f>(MIN(Attendance!D529, TIME(18, 0, 0)) - Attendance!C529) * 24</f>
        <v>18</v>
      </c>
      <c r="M529" s="369">
        <f t="shared" si="5"/>
        <v>-18</v>
      </c>
      <c r="N529" s="377"/>
      <c r="O529" s="377"/>
      <c r="P529" s="377"/>
    </row>
    <row r="530" ht="22.5" customHeight="1">
      <c r="A530" s="394"/>
      <c r="B530" s="395"/>
      <c r="C530" s="396"/>
      <c r="D530" s="396"/>
      <c r="E530" s="363"/>
      <c r="F530" s="364"/>
      <c r="G530" s="365"/>
      <c r="H530" s="366"/>
      <c r="I530" s="366"/>
      <c r="J530" s="366"/>
      <c r="K530" s="367"/>
      <c r="L530" s="368">
        <f>(MIN(Attendance!D530, TIME(18, 0, 0)) - Attendance!C530) * 24</f>
        <v>18</v>
      </c>
      <c r="M530" s="369">
        <f t="shared" si="5"/>
        <v>-18</v>
      </c>
      <c r="N530" s="369"/>
      <c r="O530" s="369"/>
      <c r="P530" s="369"/>
    </row>
    <row r="531" ht="22.5" customHeight="1">
      <c r="A531" s="394"/>
      <c r="B531" s="395"/>
      <c r="C531" s="396"/>
      <c r="D531" s="396"/>
      <c r="E531" s="363"/>
      <c r="F531" s="364"/>
      <c r="G531" s="365"/>
      <c r="H531" s="366"/>
      <c r="I531" s="366"/>
      <c r="J531" s="366"/>
      <c r="K531" s="367"/>
      <c r="L531" s="368">
        <f>(MIN(Attendance!D531, TIME(18, 0, 0)) - Attendance!C531) * 24</f>
        <v>18</v>
      </c>
      <c r="M531" s="369">
        <f t="shared" si="5"/>
        <v>-18</v>
      </c>
      <c r="N531" s="377"/>
      <c r="O531" s="377"/>
      <c r="P531" s="377"/>
    </row>
    <row r="532" ht="22.5" customHeight="1">
      <c r="A532" s="394"/>
      <c r="B532" s="395"/>
      <c r="C532" s="396"/>
      <c r="D532" s="396"/>
      <c r="E532" s="363"/>
      <c r="F532" s="364"/>
      <c r="G532" s="365"/>
      <c r="H532" s="366"/>
      <c r="I532" s="366"/>
      <c r="J532" s="366"/>
      <c r="K532" s="367"/>
      <c r="L532" s="368">
        <f>(MIN(Attendance!D532, TIME(18, 0, 0)) - Attendance!C532) * 24</f>
        <v>18</v>
      </c>
      <c r="M532" s="369">
        <f t="shared" si="5"/>
        <v>-18</v>
      </c>
      <c r="N532" s="369"/>
      <c r="O532" s="369"/>
      <c r="P532" s="369"/>
    </row>
    <row r="533" ht="22.5" customHeight="1">
      <c r="A533" s="394"/>
      <c r="B533" s="395"/>
      <c r="C533" s="396"/>
      <c r="D533" s="396"/>
      <c r="E533" s="363"/>
      <c r="F533" s="364"/>
      <c r="G533" s="365"/>
      <c r="H533" s="366"/>
      <c r="I533" s="366"/>
      <c r="J533" s="366"/>
      <c r="K533" s="367"/>
      <c r="L533" s="368">
        <f>(MIN(Attendance!D533, TIME(18, 0, 0)) - Attendance!C533) * 24</f>
        <v>18</v>
      </c>
      <c r="M533" s="369">
        <f t="shared" si="5"/>
        <v>-18</v>
      </c>
      <c r="N533" s="377"/>
      <c r="O533" s="377"/>
      <c r="P533" s="377"/>
    </row>
    <row r="534" ht="22.5" customHeight="1">
      <c r="A534" s="394"/>
      <c r="B534" s="395"/>
      <c r="C534" s="396"/>
      <c r="D534" s="396"/>
      <c r="E534" s="363"/>
      <c r="F534" s="364"/>
      <c r="G534" s="365"/>
      <c r="H534" s="366"/>
      <c r="I534" s="366"/>
      <c r="J534" s="366"/>
      <c r="K534" s="367"/>
      <c r="L534" s="368">
        <f>(MIN(Attendance!D534, TIME(18, 0, 0)) - Attendance!C534) * 24</f>
        <v>18</v>
      </c>
      <c r="M534" s="369">
        <f t="shared" si="5"/>
        <v>-18</v>
      </c>
      <c r="N534" s="369"/>
      <c r="O534" s="369"/>
      <c r="P534" s="369"/>
    </row>
    <row r="535" ht="22.5" customHeight="1">
      <c r="A535" s="394"/>
      <c r="B535" s="395"/>
      <c r="C535" s="396"/>
      <c r="D535" s="396"/>
      <c r="E535" s="363"/>
      <c r="F535" s="364"/>
      <c r="G535" s="365"/>
      <c r="H535" s="366"/>
      <c r="I535" s="366"/>
      <c r="J535" s="366"/>
      <c r="K535" s="367"/>
      <c r="L535" s="368">
        <f>(MIN(Attendance!D535, TIME(18, 0, 0)) - Attendance!C535) * 24</f>
        <v>18</v>
      </c>
      <c r="M535" s="369">
        <f t="shared" si="5"/>
        <v>-18</v>
      </c>
      <c r="N535" s="377"/>
      <c r="O535" s="377"/>
      <c r="P535" s="377"/>
    </row>
    <row r="536" ht="22.5" customHeight="1">
      <c r="A536" s="394"/>
      <c r="B536" s="395"/>
      <c r="C536" s="396"/>
      <c r="D536" s="396"/>
      <c r="E536" s="363"/>
      <c r="F536" s="364"/>
      <c r="G536" s="365"/>
      <c r="H536" s="366"/>
      <c r="I536" s="366"/>
      <c r="J536" s="366"/>
      <c r="K536" s="367"/>
      <c r="L536" s="368">
        <f>(MIN(Attendance!D536, TIME(18, 0, 0)) - Attendance!C536) * 24</f>
        <v>18</v>
      </c>
      <c r="M536" s="369">
        <f t="shared" si="5"/>
        <v>-18</v>
      </c>
      <c r="N536" s="369"/>
      <c r="O536" s="369"/>
      <c r="P536" s="369"/>
    </row>
    <row r="537" ht="22.5" customHeight="1">
      <c r="A537" s="394"/>
      <c r="B537" s="395"/>
      <c r="C537" s="396"/>
      <c r="D537" s="396"/>
      <c r="E537" s="363"/>
      <c r="F537" s="364"/>
      <c r="G537" s="365"/>
      <c r="H537" s="366"/>
      <c r="I537" s="366"/>
      <c r="J537" s="366"/>
      <c r="K537" s="367"/>
      <c r="L537" s="368">
        <f>(MIN(Attendance!D537, TIME(18, 0, 0)) - Attendance!C537) * 24</f>
        <v>18</v>
      </c>
      <c r="M537" s="369">
        <f t="shared" si="5"/>
        <v>-18</v>
      </c>
      <c r="N537" s="377"/>
      <c r="O537" s="377"/>
      <c r="P537" s="377"/>
    </row>
    <row r="538" ht="22.5" customHeight="1">
      <c r="A538" s="394"/>
      <c r="B538" s="395"/>
      <c r="C538" s="396"/>
      <c r="D538" s="396"/>
      <c r="E538" s="363"/>
      <c r="F538" s="364"/>
      <c r="G538" s="365"/>
      <c r="H538" s="366"/>
      <c r="I538" s="366"/>
      <c r="J538" s="366"/>
      <c r="K538" s="367"/>
      <c r="L538" s="368">
        <f>(MIN(Attendance!D538, TIME(18, 0, 0)) - Attendance!C538) * 24</f>
        <v>18</v>
      </c>
      <c r="M538" s="369">
        <f t="shared" si="5"/>
        <v>-18</v>
      </c>
      <c r="N538" s="369"/>
      <c r="O538" s="369"/>
      <c r="P538" s="369"/>
    </row>
    <row r="539" ht="22.5" customHeight="1">
      <c r="A539" s="394"/>
      <c r="B539" s="395"/>
      <c r="C539" s="396"/>
      <c r="D539" s="396"/>
      <c r="E539" s="363"/>
      <c r="F539" s="364"/>
      <c r="G539" s="365"/>
      <c r="H539" s="366"/>
      <c r="I539" s="366"/>
      <c r="J539" s="366"/>
      <c r="K539" s="367"/>
      <c r="L539" s="368">
        <f>(MIN(Attendance!D539, TIME(18, 0, 0)) - Attendance!C539) * 24</f>
        <v>18</v>
      </c>
      <c r="M539" s="369">
        <f t="shared" si="5"/>
        <v>-18</v>
      </c>
      <c r="N539" s="377"/>
      <c r="O539" s="377"/>
      <c r="P539" s="377"/>
    </row>
    <row r="540" ht="22.5" customHeight="1">
      <c r="A540" s="394"/>
      <c r="B540" s="395"/>
      <c r="C540" s="396"/>
      <c r="D540" s="396"/>
      <c r="E540" s="363"/>
      <c r="F540" s="364"/>
      <c r="G540" s="365"/>
      <c r="H540" s="366"/>
      <c r="I540" s="366"/>
      <c r="J540" s="366"/>
      <c r="K540" s="367"/>
      <c r="L540" s="368">
        <f>(MIN(Attendance!D540, TIME(18, 0, 0)) - Attendance!C540) * 24</f>
        <v>18</v>
      </c>
      <c r="M540" s="369">
        <f t="shared" si="5"/>
        <v>-18</v>
      </c>
      <c r="N540" s="369"/>
      <c r="O540" s="369"/>
      <c r="P540" s="369"/>
    </row>
    <row r="541" ht="22.5" customHeight="1">
      <c r="A541" s="394"/>
      <c r="B541" s="395"/>
      <c r="C541" s="396"/>
      <c r="D541" s="396"/>
      <c r="E541" s="363"/>
      <c r="F541" s="364"/>
      <c r="G541" s="365"/>
      <c r="H541" s="366"/>
      <c r="I541" s="366"/>
      <c r="J541" s="366"/>
      <c r="K541" s="367"/>
      <c r="L541" s="368">
        <f>(MIN(Attendance!D541, TIME(18, 0, 0)) - Attendance!C541) * 24</f>
        <v>18</v>
      </c>
      <c r="M541" s="369">
        <f t="shared" si="5"/>
        <v>-18</v>
      </c>
      <c r="N541" s="377"/>
      <c r="O541" s="377"/>
      <c r="P541" s="377"/>
    </row>
    <row r="542" ht="22.5" customHeight="1">
      <c r="A542" s="394"/>
      <c r="B542" s="395"/>
      <c r="C542" s="396"/>
      <c r="D542" s="396"/>
      <c r="E542" s="363"/>
      <c r="F542" s="364"/>
      <c r="G542" s="365"/>
      <c r="H542" s="366"/>
      <c r="I542" s="366"/>
      <c r="J542" s="366"/>
      <c r="K542" s="367"/>
      <c r="L542" s="368">
        <f>(MIN(Attendance!D542, TIME(18, 0, 0)) - Attendance!C542) * 24</f>
        <v>18</v>
      </c>
      <c r="M542" s="369">
        <f t="shared" si="5"/>
        <v>-18</v>
      </c>
      <c r="N542" s="369"/>
      <c r="O542" s="369"/>
      <c r="P542" s="369"/>
    </row>
    <row r="543" ht="22.5" customHeight="1">
      <c r="A543" s="394"/>
      <c r="B543" s="395"/>
      <c r="C543" s="396"/>
      <c r="D543" s="396"/>
      <c r="E543" s="363"/>
      <c r="F543" s="364"/>
      <c r="G543" s="365"/>
      <c r="H543" s="366"/>
      <c r="I543" s="366"/>
      <c r="J543" s="366"/>
      <c r="K543" s="367"/>
      <c r="L543" s="368">
        <f>(MIN(Attendance!D543, TIME(18, 0, 0)) - Attendance!C543) * 24</f>
        <v>18</v>
      </c>
      <c r="M543" s="369">
        <f t="shared" si="5"/>
        <v>-18</v>
      </c>
      <c r="N543" s="377"/>
      <c r="O543" s="377"/>
      <c r="P543" s="377"/>
    </row>
    <row r="544" ht="22.5" customHeight="1">
      <c r="A544" s="394"/>
      <c r="B544" s="395"/>
      <c r="C544" s="396"/>
      <c r="D544" s="396"/>
      <c r="E544" s="363"/>
      <c r="F544" s="364"/>
      <c r="G544" s="365"/>
      <c r="H544" s="366"/>
      <c r="I544" s="366"/>
      <c r="J544" s="366"/>
      <c r="K544" s="367"/>
      <c r="L544" s="368">
        <f>(MIN(Attendance!D544, TIME(18, 0, 0)) - Attendance!C544) * 24</f>
        <v>18</v>
      </c>
      <c r="M544" s="369">
        <f t="shared" si="5"/>
        <v>-18</v>
      </c>
      <c r="N544" s="369"/>
      <c r="O544" s="369"/>
      <c r="P544" s="369"/>
    </row>
    <row r="545" ht="22.5" customHeight="1">
      <c r="A545" s="394"/>
      <c r="B545" s="395"/>
      <c r="C545" s="396"/>
      <c r="D545" s="396"/>
      <c r="E545" s="363"/>
      <c r="F545" s="364"/>
      <c r="G545" s="365"/>
      <c r="H545" s="366"/>
      <c r="I545" s="366"/>
      <c r="J545" s="366"/>
      <c r="K545" s="367"/>
      <c r="L545" s="368">
        <f>(MIN(Attendance!D545, TIME(18, 0, 0)) - Attendance!C545) * 24</f>
        <v>18</v>
      </c>
      <c r="M545" s="369">
        <f t="shared" si="5"/>
        <v>-18</v>
      </c>
      <c r="N545" s="377"/>
      <c r="O545" s="377"/>
      <c r="P545" s="377"/>
    </row>
    <row r="546" ht="22.5" customHeight="1">
      <c r="A546" s="394"/>
      <c r="B546" s="395"/>
      <c r="C546" s="396"/>
      <c r="D546" s="396"/>
      <c r="E546" s="363"/>
      <c r="F546" s="364"/>
      <c r="G546" s="365"/>
      <c r="H546" s="366"/>
      <c r="I546" s="366"/>
      <c r="J546" s="366"/>
      <c r="K546" s="367"/>
      <c r="L546" s="368">
        <f>(MIN(Attendance!D546, TIME(18, 0, 0)) - Attendance!C546) * 24</f>
        <v>18</v>
      </c>
      <c r="M546" s="369">
        <f t="shared" si="5"/>
        <v>-18</v>
      </c>
      <c r="N546" s="369"/>
      <c r="O546" s="369"/>
      <c r="P546" s="369"/>
    </row>
    <row r="547" ht="22.5" customHeight="1">
      <c r="A547" s="394"/>
      <c r="B547" s="395"/>
      <c r="C547" s="396"/>
      <c r="D547" s="396"/>
      <c r="E547" s="363"/>
      <c r="F547" s="364"/>
      <c r="G547" s="365"/>
      <c r="H547" s="366"/>
      <c r="I547" s="366"/>
      <c r="J547" s="366"/>
      <c r="K547" s="367"/>
      <c r="L547" s="368">
        <f>(MIN(Attendance!D547, TIME(18, 0, 0)) - Attendance!C547) * 24</f>
        <v>18</v>
      </c>
      <c r="M547" s="369">
        <f t="shared" si="5"/>
        <v>-18</v>
      </c>
      <c r="N547" s="377"/>
      <c r="O547" s="377"/>
      <c r="P547" s="377"/>
    </row>
    <row r="548" ht="22.5" customHeight="1">
      <c r="A548" s="394"/>
      <c r="B548" s="395"/>
      <c r="C548" s="396"/>
      <c r="D548" s="396"/>
      <c r="E548" s="363"/>
      <c r="F548" s="364"/>
      <c r="G548" s="365"/>
      <c r="H548" s="366"/>
      <c r="I548" s="366"/>
      <c r="J548" s="366"/>
      <c r="K548" s="367"/>
      <c r="L548" s="368">
        <f>(MIN(Attendance!D548, TIME(18, 0, 0)) - Attendance!C548) * 24</f>
        <v>18</v>
      </c>
      <c r="M548" s="369">
        <f t="shared" si="5"/>
        <v>-18</v>
      </c>
      <c r="N548" s="369"/>
      <c r="O548" s="369"/>
      <c r="P548" s="369"/>
    </row>
    <row r="549" ht="22.5" customHeight="1">
      <c r="A549" s="394"/>
      <c r="B549" s="395"/>
      <c r="C549" s="396"/>
      <c r="D549" s="396"/>
      <c r="E549" s="363"/>
      <c r="F549" s="364"/>
      <c r="G549" s="365"/>
      <c r="H549" s="366"/>
      <c r="I549" s="366"/>
      <c r="J549" s="366"/>
      <c r="K549" s="367"/>
      <c r="L549" s="368">
        <f>(MIN(Attendance!D549, TIME(18, 0, 0)) - Attendance!C549) * 24</f>
        <v>18</v>
      </c>
      <c r="M549" s="369">
        <f t="shared" si="5"/>
        <v>-18</v>
      </c>
      <c r="N549" s="377"/>
      <c r="O549" s="377"/>
      <c r="P549" s="377"/>
    </row>
    <row r="550" ht="22.5" customHeight="1">
      <c r="A550" s="394"/>
      <c r="B550" s="395"/>
      <c r="C550" s="396"/>
      <c r="D550" s="396"/>
      <c r="E550" s="363"/>
      <c r="F550" s="364"/>
      <c r="G550" s="365"/>
      <c r="H550" s="366"/>
      <c r="I550" s="366"/>
      <c r="J550" s="366"/>
      <c r="K550" s="367"/>
      <c r="L550" s="368">
        <f>(MIN(Attendance!D550, TIME(18, 0, 0)) - Attendance!C550) * 24</f>
        <v>18</v>
      </c>
      <c r="M550" s="369">
        <f t="shared" si="5"/>
        <v>-18</v>
      </c>
      <c r="N550" s="369"/>
      <c r="O550" s="369"/>
      <c r="P550" s="369"/>
    </row>
    <row r="551" ht="22.5" customHeight="1">
      <c r="A551" s="394"/>
      <c r="B551" s="395"/>
      <c r="C551" s="396"/>
      <c r="D551" s="396"/>
      <c r="E551" s="363"/>
      <c r="F551" s="364"/>
      <c r="G551" s="365"/>
      <c r="H551" s="366"/>
      <c r="I551" s="366"/>
      <c r="J551" s="366"/>
      <c r="K551" s="367"/>
      <c r="L551" s="368">
        <f>(MIN(Attendance!D551, TIME(18, 0, 0)) - Attendance!C551) * 24</f>
        <v>18</v>
      </c>
      <c r="M551" s="369">
        <f t="shared" si="5"/>
        <v>-18</v>
      </c>
      <c r="N551" s="377"/>
      <c r="O551" s="377"/>
      <c r="P551" s="377"/>
    </row>
    <row r="552" ht="22.5" customHeight="1">
      <c r="A552" s="394"/>
      <c r="B552" s="395"/>
      <c r="C552" s="396"/>
      <c r="D552" s="396"/>
      <c r="E552" s="363"/>
      <c r="F552" s="364"/>
      <c r="G552" s="365"/>
      <c r="H552" s="366"/>
      <c r="I552" s="366"/>
      <c r="J552" s="366"/>
      <c r="K552" s="367"/>
      <c r="L552" s="368">
        <f>(MIN(Attendance!D552, TIME(18, 0, 0)) - Attendance!C552) * 24</f>
        <v>18</v>
      </c>
      <c r="M552" s="369">
        <f t="shared" si="5"/>
        <v>-18</v>
      </c>
      <c r="N552" s="369"/>
      <c r="O552" s="369"/>
      <c r="P552" s="369"/>
    </row>
    <row r="553" ht="22.5" customHeight="1">
      <c r="A553" s="394"/>
      <c r="B553" s="395"/>
      <c r="C553" s="396"/>
      <c r="D553" s="396"/>
      <c r="E553" s="363"/>
      <c r="F553" s="364"/>
      <c r="G553" s="365"/>
      <c r="H553" s="366"/>
      <c r="I553" s="366"/>
      <c r="J553" s="366"/>
      <c r="K553" s="367"/>
      <c r="L553" s="368">
        <f>(MIN(Attendance!D553, TIME(18, 0, 0)) - Attendance!C553) * 24</f>
        <v>18</v>
      </c>
      <c r="M553" s="369">
        <f t="shared" si="5"/>
        <v>-18</v>
      </c>
      <c r="N553" s="377"/>
      <c r="O553" s="377"/>
      <c r="P553" s="377"/>
    </row>
    <row r="554" ht="22.5" customHeight="1">
      <c r="A554" s="394"/>
      <c r="B554" s="395"/>
      <c r="C554" s="396"/>
      <c r="D554" s="396"/>
      <c r="E554" s="363"/>
      <c r="F554" s="364"/>
      <c r="G554" s="365"/>
      <c r="H554" s="366"/>
      <c r="I554" s="366"/>
      <c r="J554" s="366"/>
      <c r="K554" s="367"/>
      <c r="L554" s="368">
        <f>(MIN(Attendance!D554, TIME(18, 0, 0)) - Attendance!C554) * 24</f>
        <v>18</v>
      </c>
      <c r="M554" s="369">
        <f t="shared" si="5"/>
        <v>-18</v>
      </c>
      <c r="N554" s="369"/>
      <c r="O554" s="369"/>
      <c r="P554" s="369"/>
    </row>
    <row r="555" ht="22.5" customHeight="1">
      <c r="A555" s="394"/>
      <c r="B555" s="395"/>
      <c r="C555" s="396"/>
      <c r="D555" s="396"/>
      <c r="E555" s="363"/>
      <c r="F555" s="364"/>
      <c r="G555" s="365"/>
      <c r="H555" s="366"/>
      <c r="I555" s="366"/>
      <c r="J555" s="366"/>
      <c r="K555" s="367"/>
      <c r="L555" s="368">
        <f>(MIN(Attendance!D555, TIME(18, 0, 0)) - Attendance!C555) * 24</f>
        <v>18</v>
      </c>
      <c r="M555" s="369">
        <f t="shared" si="5"/>
        <v>-18</v>
      </c>
      <c r="N555" s="377"/>
      <c r="O555" s="377"/>
      <c r="P555" s="377"/>
    </row>
    <row r="556" ht="22.5" customHeight="1">
      <c r="A556" s="394"/>
      <c r="B556" s="395"/>
      <c r="C556" s="396"/>
      <c r="D556" s="396"/>
      <c r="E556" s="363"/>
      <c r="F556" s="364"/>
      <c r="G556" s="365"/>
      <c r="H556" s="366"/>
      <c r="I556" s="366"/>
      <c r="J556" s="366"/>
      <c r="K556" s="367"/>
      <c r="L556" s="368">
        <f>(MIN(Attendance!D556, TIME(18, 0, 0)) - Attendance!C556) * 24</f>
        <v>18</v>
      </c>
      <c r="M556" s="369">
        <f t="shared" si="5"/>
        <v>-18</v>
      </c>
      <c r="N556" s="369"/>
      <c r="O556" s="369"/>
      <c r="P556" s="369"/>
    </row>
    <row r="557" ht="22.5" customHeight="1">
      <c r="A557" s="394"/>
      <c r="B557" s="395"/>
      <c r="C557" s="396"/>
      <c r="D557" s="396"/>
      <c r="E557" s="363"/>
      <c r="F557" s="364"/>
      <c r="G557" s="365"/>
      <c r="H557" s="366"/>
      <c r="I557" s="366"/>
      <c r="J557" s="366"/>
      <c r="K557" s="367"/>
      <c r="L557" s="368">
        <f>(MIN(Attendance!D557, TIME(18, 0, 0)) - Attendance!C557) * 24</f>
        <v>18</v>
      </c>
      <c r="M557" s="369">
        <f t="shared" si="5"/>
        <v>-18</v>
      </c>
      <c r="N557" s="377"/>
      <c r="O557" s="377"/>
      <c r="P557" s="377"/>
    </row>
    <row r="558" ht="22.5" customHeight="1">
      <c r="A558" s="394"/>
      <c r="B558" s="395"/>
      <c r="C558" s="396"/>
      <c r="D558" s="396"/>
      <c r="E558" s="363"/>
      <c r="F558" s="364"/>
      <c r="G558" s="365"/>
      <c r="H558" s="366"/>
      <c r="I558" s="366"/>
      <c r="J558" s="366"/>
      <c r="K558" s="367"/>
      <c r="L558" s="368">
        <f>(MIN(Attendance!D558, TIME(18, 0, 0)) - Attendance!C558) * 24</f>
        <v>18</v>
      </c>
      <c r="M558" s="369">
        <f t="shared" si="5"/>
        <v>-18</v>
      </c>
      <c r="N558" s="369"/>
      <c r="O558" s="369"/>
      <c r="P558" s="369"/>
    </row>
    <row r="559" ht="22.5" customHeight="1">
      <c r="A559" s="394"/>
      <c r="B559" s="395"/>
      <c r="C559" s="396"/>
      <c r="D559" s="396"/>
      <c r="E559" s="363"/>
      <c r="F559" s="364"/>
      <c r="G559" s="365"/>
      <c r="H559" s="366"/>
      <c r="I559" s="366"/>
      <c r="J559" s="366"/>
      <c r="K559" s="367"/>
      <c r="L559" s="368">
        <f>(MIN(Attendance!D559, TIME(18, 0, 0)) - Attendance!C559) * 24</f>
        <v>18</v>
      </c>
      <c r="M559" s="369">
        <f t="shared" si="5"/>
        <v>-18</v>
      </c>
      <c r="N559" s="377"/>
      <c r="O559" s="377"/>
      <c r="P559" s="377"/>
    </row>
    <row r="560" ht="22.5" customHeight="1">
      <c r="A560" s="394"/>
      <c r="B560" s="395"/>
      <c r="C560" s="396"/>
      <c r="D560" s="396"/>
      <c r="E560" s="363"/>
      <c r="F560" s="364"/>
      <c r="G560" s="365"/>
      <c r="H560" s="366"/>
      <c r="I560" s="366"/>
      <c r="J560" s="366"/>
      <c r="K560" s="367"/>
      <c r="L560" s="368">
        <f>(MIN(Attendance!D560, TIME(18, 0, 0)) - Attendance!C560) * 24</f>
        <v>18</v>
      </c>
      <c r="M560" s="369">
        <f t="shared" si="5"/>
        <v>-18</v>
      </c>
      <c r="N560" s="369"/>
      <c r="O560" s="369"/>
      <c r="P560" s="369"/>
    </row>
    <row r="561" ht="22.5" customHeight="1">
      <c r="A561" s="394"/>
      <c r="B561" s="395"/>
      <c r="C561" s="396"/>
      <c r="D561" s="396"/>
      <c r="E561" s="363"/>
      <c r="F561" s="364"/>
      <c r="G561" s="365"/>
      <c r="H561" s="366"/>
      <c r="I561" s="366"/>
      <c r="J561" s="366"/>
      <c r="K561" s="367"/>
      <c r="L561" s="368">
        <f>(MIN(Attendance!D561, TIME(18, 0, 0)) - Attendance!C561) * 24</f>
        <v>18</v>
      </c>
      <c r="M561" s="369">
        <f t="shared" si="5"/>
        <v>-18</v>
      </c>
      <c r="N561" s="377"/>
      <c r="O561" s="377"/>
      <c r="P561" s="377"/>
    </row>
    <row r="562" ht="22.5" customHeight="1">
      <c r="A562" s="394"/>
      <c r="B562" s="395"/>
      <c r="C562" s="396"/>
      <c r="D562" s="396"/>
      <c r="E562" s="363"/>
      <c r="F562" s="364"/>
      <c r="G562" s="365"/>
      <c r="H562" s="366"/>
      <c r="I562" s="366"/>
      <c r="J562" s="366"/>
      <c r="K562" s="367"/>
      <c r="L562" s="368">
        <f>(MIN(Attendance!D562, TIME(18, 0, 0)) - Attendance!C562) * 24</f>
        <v>18</v>
      </c>
      <c r="M562" s="369">
        <f t="shared" si="5"/>
        <v>-18</v>
      </c>
      <c r="N562" s="369"/>
      <c r="O562" s="369"/>
      <c r="P562" s="369"/>
    </row>
    <row r="563" ht="22.5" customHeight="1">
      <c r="A563" s="394"/>
      <c r="B563" s="395"/>
      <c r="C563" s="396"/>
      <c r="D563" s="396"/>
      <c r="E563" s="363"/>
      <c r="F563" s="364"/>
      <c r="G563" s="365"/>
      <c r="H563" s="366"/>
      <c r="I563" s="366"/>
      <c r="J563" s="366"/>
      <c r="K563" s="367"/>
      <c r="L563" s="368">
        <f>(MIN(Attendance!D563, TIME(18, 0, 0)) - Attendance!C563) * 24</f>
        <v>18</v>
      </c>
      <c r="M563" s="369">
        <f t="shared" si="5"/>
        <v>-18</v>
      </c>
      <c r="N563" s="377"/>
      <c r="O563" s="377"/>
      <c r="P563" s="377"/>
    </row>
    <row r="564" ht="22.5" customHeight="1">
      <c r="A564" s="394"/>
      <c r="B564" s="395"/>
      <c r="C564" s="396"/>
      <c r="D564" s="396"/>
      <c r="E564" s="363"/>
      <c r="F564" s="364"/>
      <c r="G564" s="365"/>
      <c r="H564" s="366"/>
      <c r="I564" s="366"/>
      <c r="J564" s="366"/>
      <c r="K564" s="367"/>
      <c r="L564" s="368">
        <f>(MIN(Attendance!D564, TIME(18, 0, 0)) - Attendance!C564) * 24</f>
        <v>18</v>
      </c>
      <c r="M564" s="369">
        <f t="shared" si="5"/>
        <v>-18</v>
      </c>
      <c r="N564" s="369"/>
      <c r="O564" s="369"/>
      <c r="P564" s="369"/>
    </row>
    <row r="565" ht="22.5" customHeight="1">
      <c r="A565" s="394"/>
      <c r="B565" s="395"/>
      <c r="C565" s="396"/>
      <c r="D565" s="396"/>
      <c r="E565" s="363"/>
      <c r="F565" s="364"/>
      <c r="G565" s="365"/>
      <c r="H565" s="366"/>
      <c r="I565" s="366"/>
      <c r="J565" s="366"/>
      <c r="K565" s="367"/>
      <c r="L565" s="368">
        <f>(MIN(Attendance!D565, TIME(18, 0, 0)) - Attendance!C565) * 24</f>
        <v>18</v>
      </c>
      <c r="M565" s="369">
        <f t="shared" si="5"/>
        <v>-18</v>
      </c>
      <c r="N565" s="377"/>
      <c r="O565" s="377"/>
      <c r="P565" s="377"/>
    </row>
    <row r="566" ht="22.5" customHeight="1">
      <c r="A566" s="394"/>
      <c r="B566" s="395"/>
      <c r="C566" s="396"/>
      <c r="D566" s="396"/>
      <c r="E566" s="363"/>
      <c r="F566" s="364"/>
      <c r="G566" s="365"/>
      <c r="H566" s="366"/>
      <c r="I566" s="366"/>
      <c r="J566" s="366"/>
      <c r="K566" s="367"/>
      <c r="L566" s="368">
        <f>(MIN(Attendance!D566, TIME(18, 0, 0)) - Attendance!C566) * 24</f>
        <v>18</v>
      </c>
      <c r="M566" s="369">
        <f t="shared" si="5"/>
        <v>-18</v>
      </c>
      <c r="N566" s="369"/>
      <c r="O566" s="369"/>
      <c r="P566" s="369"/>
    </row>
    <row r="567" ht="22.5" customHeight="1">
      <c r="A567" s="394"/>
      <c r="B567" s="395"/>
      <c r="C567" s="396"/>
      <c r="D567" s="396"/>
      <c r="E567" s="363"/>
      <c r="F567" s="364"/>
      <c r="G567" s="365"/>
      <c r="H567" s="366"/>
      <c r="I567" s="366"/>
      <c r="J567" s="366"/>
      <c r="K567" s="367"/>
      <c r="L567" s="368">
        <f>(MIN(Attendance!D567, TIME(18, 0, 0)) - Attendance!C567) * 24</f>
        <v>18</v>
      </c>
      <c r="M567" s="369">
        <f t="shared" si="5"/>
        <v>-18</v>
      </c>
      <c r="N567" s="377"/>
      <c r="O567" s="377"/>
      <c r="P567" s="377"/>
    </row>
    <row r="568" ht="22.5" customHeight="1">
      <c r="A568" s="394"/>
      <c r="B568" s="395"/>
      <c r="C568" s="396"/>
      <c r="D568" s="396"/>
      <c r="E568" s="363"/>
      <c r="F568" s="364"/>
      <c r="G568" s="365"/>
      <c r="H568" s="366"/>
      <c r="I568" s="366"/>
      <c r="J568" s="366"/>
      <c r="K568" s="367"/>
      <c r="L568" s="368">
        <f>(MIN(Attendance!D568, TIME(18, 0, 0)) - Attendance!C568) * 24</f>
        <v>18</v>
      </c>
      <c r="M568" s="369">
        <f t="shared" si="5"/>
        <v>-18</v>
      </c>
      <c r="N568" s="369"/>
      <c r="O568" s="369"/>
      <c r="P568" s="369"/>
    </row>
    <row r="569" ht="22.5" customHeight="1">
      <c r="A569" s="394"/>
      <c r="B569" s="395"/>
      <c r="C569" s="396"/>
      <c r="D569" s="396"/>
      <c r="E569" s="363"/>
      <c r="F569" s="364"/>
      <c r="G569" s="365"/>
      <c r="H569" s="366"/>
      <c r="I569" s="366"/>
      <c r="J569" s="366"/>
      <c r="K569" s="367"/>
      <c r="L569" s="368">
        <f>(MIN(Attendance!D569, TIME(18, 0, 0)) - Attendance!C569) * 24</f>
        <v>18</v>
      </c>
      <c r="M569" s="369">
        <f t="shared" si="5"/>
        <v>-18</v>
      </c>
      <c r="N569" s="377"/>
      <c r="O569" s="377"/>
      <c r="P569" s="377"/>
    </row>
    <row r="570" ht="22.5" customHeight="1">
      <c r="A570" s="394"/>
      <c r="B570" s="395"/>
      <c r="C570" s="396"/>
      <c r="D570" s="396"/>
      <c r="E570" s="363"/>
      <c r="F570" s="364"/>
      <c r="G570" s="365"/>
      <c r="H570" s="366"/>
      <c r="I570" s="366"/>
      <c r="J570" s="366"/>
      <c r="K570" s="367"/>
      <c r="L570" s="368">
        <f>(MIN(Attendance!D570, TIME(18, 0, 0)) - Attendance!C570) * 24</f>
        <v>18</v>
      </c>
      <c r="M570" s="369">
        <f t="shared" si="5"/>
        <v>-18</v>
      </c>
      <c r="N570" s="369"/>
      <c r="O570" s="369"/>
      <c r="P570" s="369"/>
    </row>
    <row r="571" ht="22.5" customHeight="1">
      <c r="A571" s="394"/>
      <c r="B571" s="395"/>
      <c r="C571" s="396"/>
      <c r="D571" s="396"/>
      <c r="E571" s="363"/>
      <c r="F571" s="364"/>
      <c r="G571" s="365"/>
      <c r="H571" s="366"/>
      <c r="I571" s="366"/>
      <c r="J571" s="366"/>
      <c r="K571" s="367"/>
      <c r="L571" s="368">
        <f>(MIN(Attendance!D571, TIME(18, 0, 0)) - Attendance!C571) * 24</f>
        <v>18</v>
      </c>
      <c r="M571" s="369">
        <f t="shared" si="5"/>
        <v>-18</v>
      </c>
      <c r="N571" s="377"/>
      <c r="O571" s="377"/>
      <c r="P571" s="377"/>
    </row>
    <row r="572" ht="22.5" customHeight="1">
      <c r="A572" s="394"/>
      <c r="B572" s="395"/>
      <c r="C572" s="396"/>
      <c r="D572" s="396"/>
      <c r="E572" s="363"/>
      <c r="F572" s="364"/>
      <c r="G572" s="365"/>
      <c r="H572" s="366"/>
      <c r="I572" s="366"/>
      <c r="J572" s="366"/>
      <c r="K572" s="367"/>
      <c r="L572" s="368">
        <f>(MIN(Attendance!D572, TIME(18, 0, 0)) - Attendance!C572) * 24</f>
        <v>18</v>
      </c>
      <c r="M572" s="369">
        <f t="shared" si="5"/>
        <v>-18</v>
      </c>
      <c r="N572" s="369"/>
      <c r="O572" s="369"/>
      <c r="P572" s="369"/>
    </row>
    <row r="573" ht="22.5" customHeight="1">
      <c r="A573" s="394"/>
      <c r="B573" s="395"/>
      <c r="C573" s="396"/>
      <c r="D573" s="396"/>
      <c r="E573" s="363"/>
      <c r="F573" s="364"/>
      <c r="G573" s="365"/>
      <c r="H573" s="366"/>
      <c r="I573" s="366"/>
      <c r="J573" s="366"/>
      <c r="K573" s="367"/>
      <c r="L573" s="368">
        <f>(MIN(Attendance!D573, TIME(18, 0, 0)) - Attendance!C573) * 24</f>
        <v>18</v>
      </c>
      <c r="M573" s="369">
        <f t="shared" si="5"/>
        <v>-18</v>
      </c>
      <c r="N573" s="377"/>
      <c r="O573" s="377"/>
      <c r="P573" s="377"/>
    </row>
    <row r="574" ht="22.5" customHeight="1">
      <c r="A574" s="394"/>
      <c r="B574" s="395"/>
      <c r="C574" s="396"/>
      <c r="D574" s="396"/>
      <c r="E574" s="363"/>
      <c r="F574" s="364"/>
      <c r="G574" s="365"/>
      <c r="H574" s="366"/>
      <c r="I574" s="366"/>
      <c r="J574" s="366"/>
      <c r="K574" s="367"/>
      <c r="L574" s="368">
        <f>(MIN(Attendance!D574, TIME(18, 0, 0)) - Attendance!C574) * 24</f>
        <v>18</v>
      </c>
      <c r="M574" s="369">
        <f t="shared" si="5"/>
        <v>-18</v>
      </c>
      <c r="N574" s="369"/>
      <c r="O574" s="369"/>
      <c r="P574" s="369"/>
    </row>
    <row r="575" ht="22.5" customHeight="1">
      <c r="A575" s="394"/>
      <c r="B575" s="395"/>
      <c r="C575" s="396"/>
      <c r="D575" s="396"/>
      <c r="E575" s="363"/>
      <c r="F575" s="364"/>
      <c r="G575" s="365"/>
      <c r="H575" s="366"/>
      <c r="I575" s="366"/>
      <c r="J575" s="366"/>
      <c r="K575" s="367"/>
      <c r="L575" s="368">
        <f>(MIN(Attendance!D575, TIME(18, 0, 0)) - Attendance!C575) * 24</f>
        <v>18</v>
      </c>
      <c r="M575" s="369">
        <f t="shared" si="5"/>
        <v>-18</v>
      </c>
      <c r="N575" s="377"/>
      <c r="O575" s="377"/>
      <c r="P575" s="377"/>
    </row>
    <row r="576" ht="22.5" customHeight="1">
      <c r="A576" s="394"/>
      <c r="B576" s="395"/>
      <c r="C576" s="396"/>
      <c r="D576" s="396"/>
      <c r="E576" s="363"/>
      <c r="F576" s="364"/>
      <c r="G576" s="365"/>
      <c r="H576" s="366"/>
      <c r="I576" s="366"/>
      <c r="J576" s="366"/>
      <c r="K576" s="367"/>
      <c r="L576" s="368">
        <f>(MIN(Attendance!D576, TIME(18, 0, 0)) - Attendance!C576) * 24</f>
        <v>18</v>
      </c>
      <c r="M576" s="369">
        <f t="shared" si="5"/>
        <v>-18</v>
      </c>
      <c r="N576" s="369"/>
      <c r="O576" s="369"/>
      <c r="P576" s="369"/>
    </row>
    <row r="577" ht="22.5" customHeight="1">
      <c r="A577" s="394"/>
      <c r="B577" s="395"/>
      <c r="C577" s="396"/>
      <c r="D577" s="396"/>
      <c r="E577" s="363"/>
      <c r="F577" s="364"/>
      <c r="G577" s="365"/>
      <c r="H577" s="366"/>
      <c r="I577" s="366"/>
      <c r="J577" s="366"/>
      <c r="K577" s="367"/>
      <c r="L577" s="368">
        <f>(MIN(Attendance!D577, TIME(18, 0, 0)) - Attendance!C577) * 24</f>
        <v>18</v>
      </c>
      <c r="M577" s="369">
        <f t="shared" si="5"/>
        <v>-18</v>
      </c>
      <c r="N577" s="377"/>
      <c r="O577" s="377"/>
      <c r="P577" s="377"/>
    </row>
    <row r="578" ht="22.5" customHeight="1">
      <c r="A578" s="394"/>
      <c r="B578" s="395"/>
      <c r="C578" s="396"/>
      <c r="D578" s="396"/>
      <c r="E578" s="363"/>
      <c r="F578" s="364"/>
      <c r="G578" s="365"/>
      <c r="H578" s="366"/>
      <c r="I578" s="366"/>
      <c r="J578" s="366"/>
      <c r="K578" s="367"/>
      <c r="L578" s="368">
        <f>(MIN(Attendance!D578, TIME(18, 0, 0)) - Attendance!C578) * 24</f>
        <v>18</v>
      </c>
      <c r="M578" s="369">
        <f t="shared" si="5"/>
        <v>-18</v>
      </c>
      <c r="N578" s="369"/>
      <c r="O578" s="369"/>
      <c r="P578" s="369"/>
    </row>
    <row r="579" ht="22.5" customHeight="1">
      <c r="A579" s="394"/>
      <c r="B579" s="395"/>
      <c r="C579" s="396"/>
      <c r="D579" s="396"/>
      <c r="E579" s="363"/>
      <c r="F579" s="364"/>
      <c r="G579" s="365"/>
      <c r="H579" s="366"/>
      <c r="I579" s="366"/>
      <c r="J579" s="366"/>
      <c r="K579" s="367"/>
      <c r="L579" s="368">
        <f>(MIN(Attendance!D579, TIME(18, 0, 0)) - Attendance!C579) * 24</f>
        <v>18</v>
      </c>
      <c r="M579" s="369">
        <f t="shared" si="5"/>
        <v>-18</v>
      </c>
      <c r="N579" s="377"/>
      <c r="O579" s="377"/>
      <c r="P579" s="377"/>
    </row>
    <row r="580" ht="22.5" customHeight="1">
      <c r="A580" s="394"/>
      <c r="B580" s="395"/>
      <c r="C580" s="396"/>
      <c r="D580" s="396"/>
      <c r="E580" s="363"/>
      <c r="F580" s="364"/>
      <c r="G580" s="365"/>
      <c r="H580" s="366"/>
      <c r="I580" s="366"/>
      <c r="J580" s="366"/>
      <c r="K580" s="367"/>
      <c r="L580" s="368">
        <f>(MIN(Attendance!D580, TIME(18, 0, 0)) - Attendance!C580) * 24</f>
        <v>18</v>
      </c>
      <c r="M580" s="369">
        <f t="shared" si="5"/>
        <v>-18</v>
      </c>
      <c r="N580" s="369"/>
      <c r="O580" s="369"/>
      <c r="P580" s="369"/>
    </row>
    <row r="581" ht="22.5" customHeight="1">
      <c r="A581" s="394"/>
      <c r="B581" s="395"/>
      <c r="C581" s="396"/>
      <c r="D581" s="396"/>
      <c r="E581" s="363"/>
      <c r="F581" s="364"/>
      <c r="G581" s="365"/>
      <c r="H581" s="366"/>
      <c r="I581" s="366"/>
      <c r="J581" s="366"/>
      <c r="K581" s="367"/>
      <c r="L581" s="368">
        <f>(MIN(Attendance!D581, TIME(18, 0, 0)) - Attendance!C581) * 24</f>
        <v>18</v>
      </c>
      <c r="M581" s="369">
        <f t="shared" si="5"/>
        <v>-18</v>
      </c>
      <c r="N581" s="377"/>
      <c r="O581" s="377"/>
      <c r="P581" s="377"/>
    </row>
    <row r="582" ht="22.5" customHeight="1">
      <c r="A582" s="394"/>
      <c r="B582" s="395"/>
      <c r="C582" s="396"/>
      <c r="D582" s="396"/>
      <c r="E582" s="363"/>
      <c r="F582" s="364"/>
      <c r="G582" s="365"/>
      <c r="H582" s="366"/>
      <c r="I582" s="366"/>
      <c r="J582" s="366"/>
      <c r="K582" s="367"/>
      <c r="L582" s="368">
        <f>(MIN(Attendance!D582, TIME(18, 0, 0)) - Attendance!C582) * 24</f>
        <v>18</v>
      </c>
      <c r="M582" s="369">
        <f t="shared" si="5"/>
        <v>-18</v>
      </c>
      <c r="N582" s="369"/>
      <c r="O582" s="369"/>
      <c r="P582" s="369"/>
    </row>
    <row r="583" ht="22.5" customHeight="1">
      <c r="A583" s="394"/>
      <c r="B583" s="395"/>
      <c r="C583" s="396"/>
      <c r="D583" s="396"/>
      <c r="E583" s="363"/>
      <c r="F583" s="364"/>
      <c r="G583" s="365"/>
      <c r="H583" s="366"/>
      <c r="I583" s="366"/>
      <c r="J583" s="366"/>
      <c r="K583" s="367"/>
      <c r="L583" s="368">
        <f>(MIN(Attendance!D583, TIME(18, 0, 0)) - Attendance!C583) * 24</f>
        <v>18</v>
      </c>
      <c r="M583" s="369">
        <f t="shared" si="5"/>
        <v>-18</v>
      </c>
      <c r="N583" s="377"/>
      <c r="O583" s="377"/>
      <c r="P583" s="377"/>
    </row>
    <row r="584" ht="22.5" customHeight="1">
      <c r="A584" s="394"/>
      <c r="B584" s="395"/>
      <c r="C584" s="396"/>
      <c r="D584" s="396"/>
      <c r="E584" s="363"/>
      <c r="F584" s="364"/>
      <c r="G584" s="365"/>
      <c r="H584" s="366"/>
      <c r="I584" s="366"/>
      <c r="J584" s="366"/>
      <c r="K584" s="367"/>
      <c r="L584" s="368">
        <f>(MIN(Attendance!D584, TIME(18, 0, 0)) - Attendance!C584) * 24</f>
        <v>18</v>
      </c>
      <c r="M584" s="369">
        <f t="shared" si="5"/>
        <v>-18</v>
      </c>
      <c r="N584" s="369"/>
      <c r="O584" s="369"/>
      <c r="P584" s="369"/>
    </row>
    <row r="585" ht="22.5" customHeight="1">
      <c r="A585" s="394"/>
      <c r="B585" s="395"/>
      <c r="C585" s="396"/>
      <c r="D585" s="396"/>
      <c r="E585" s="363"/>
      <c r="F585" s="364"/>
      <c r="G585" s="365"/>
      <c r="H585" s="366"/>
      <c r="I585" s="366"/>
      <c r="J585" s="366"/>
      <c r="K585" s="367"/>
      <c r="L585" s="368">
        <f>(MIN(Attendance!D585, TIME(18, 0, 0)) - Attendance!C585) * 24</f>
        <v>18</v>
      </c>
      <c r="M585" s="369">
        <f t="shared" si="5"/>
        <v>-18</v>
      </c>
      <c r="N585" s="377"/>
      <c r="O585" s="377"/>
      <c r="P585" s="377"/>
    </row>
    <row r="586" ht="22.5" customHeight="1">
      <c r="A586" s="394"/>
      <c r="B586" s="395"/>
      <c r="C586" s="396"/>
      <c r="D586" s="396"/>
      <c r="E586" s="363"/>
      <c r="F586" s="364"/>
      <c r="G586" s="365"/>
      <c r="H586" s="366"/>
      <c r="I586" s="366"/>
      <c r="J586" s="366"/>
      <c r="K586" s="367"/>
      <c r="L586" s="368">
        <f>(MIN(Attendance!D586, TIME(18, 0, 0)) - Attendance!C586) * 24</f>
        <v>18</v>
      </c>
      <c r="M586" s="369">
        <f t="shared" si="5"/>
        <v>-18</v>
      </c>
      <c r="N586" s="369"/>
      <c r="O586" s="369"/>
      <c r="P586" s="369"/>
    </row>
    <row r="587" ht="22.5" customHeight="1">
      <c r="A587" s="394"/>
      <c r="B587" s="395"/>
      <c r="C587" s="396"/>
      <c r="D587" s="396"/>
      <c r="E587" s="363"/>
      <c r="F587" s="364"/>
      <c r="G587" s="365"/>
      <c r="H587" s="366"/>
      <c r="I587" s="366"/>
      <c r="J587" s="366"/>
      <c r="K587" s="367"/>
      <c r="L587" s="368">
        <f>(MIN(Attendance!D587, TIME(18, 0, 0)) - Attendance!C587) * 24</f>
        <v>18</v>
      </c>
      <c r="M587" s="369">
        <f t="shared" si="5"/>
        <v>-18</v>
      </c>
      <c r="N587" s="377"/>
      <c r="O587" s="377"/>
      <c r="P587" s="377"/>
    </row>
    <row r="588" ht="22.5" customHeight="1">
      <c r="A588" s="394"/>
      <c r="B588" s="395"/>
      <c r="C588" s="396"/>
      <c r="D588" s="396"/>
      <c r="E588" s="363"/>
      <c r="F588" s="364"/>
      <c r="G588" s="365"/>
      <c r="H588" s="366"/>
      <c r="I588" s="366"/>
      <c r="J588" s="366"/>
      <c r="K588" s="367"/>
      <c r="L588" s="368">
        <f>(MIN(Attendance!D588, TIME(18, 0, 0)) - Attendance!C588) * 24</f>
        <v>18</v>
      </c>
      <c r="M588" s="369">
        <f t="shared" si="5"/>
        <v>-18</v>
      </c>
      <c r="N588" s="369"/>
      <c r="O588" s="369"/>
      <c r="P588" s="369"/>
    </row>
    <row r="589" ht="22.5" customHeight="1">
      <c r="A589" s="394"/>
      <c r="B589" s="395"/>
      <c r="C589" s="396"/>
      <c r="D589" s="396"/>
      <c r="E589" s="363"/>
      <c r="F589" s="364"/>
      <c r="G589" s="365"/>
      <c r="H589" s="366"/>
      <c r="I589" s="366"/>
      <c r="J589" s="366"/>
      <c r="K589" s="367"/>
      <c r="L589" s="368">
        <f>(MIN(Attendance!D589, TIME(18, 0, 0)) - Attendance!C589) * 24</f>
        <v>18</v>
      </c>
      <c r="M589" s="369">
        <f t="shared" si="5"/>
        <v>-18</v>
      </c>
      <c r="N589" s="377"/>
      <c r="O589" s="377"/>
      <c r="P589" s="377"/>
    </row>
    <row r="590" ht="22.5" customHeight="1">
      <c r="A590" s="394"/>
      <c r="B590" s="395"/>
      <c r="C590" s="396"/>
      <c r="D590" s="396"/>
      <c r="E590" s="363"/>
      <c r="F590" s="364"/>
      <c r="G590" s="365"/>
      <c r="H590" s="366"/>
      <c r="I590" s="366"/>
      <c r="J590" s="366"/>
      <c r="K590" s="367"/>
      <c r="L590" s="368">
        <f>(MIN(Attendance!D590, TIME(18, 0, 0)) - Attendance!C590) * 24</f>
        <v>18</v>
      </c>
      <c r="M590" s="369">
        <f t="shared" si="5"/>
        <v>-18</v>
      </c>
      <c r="N590" s="369"/>
      <c r="O590" s="369"/>
      <c r="P590" s="369"/>
    </row>
    <row r="591" ht="22.5" customHeight="1">
      <c r="A591" s="394"/>
      <c r="B591" s="395"/>
      <c r="C591" s="396"/>
      <c r="D591" s="396"/>
      <c r="E591" s="363"/>
      <c r="F591" s="364"/>
      <c r="G591" s="365"/>
      <c r="H591" s="366"/>
      <c r="I591" s="366"/>
      <c r="J591" s="366"/>
      <c r="K591" s="367"/>
      <c r="L591" s="368">
        <f>(MIN(Attendance!D591, TIME(18, 0, 0)) - Attendance!C591) * 24</f>
        <v>18</v>
      </c>
      <c r="M591" s="369">
        <f t="shared" si="5"/>
        <v>-18</v>
      </c>
      <c r="N591" s="377"/>
      <c r="O591" s="377"/>
      <c r="P591" s="377"/>
    </row>
    <row r="592" ht="22.5" customHeight="1">
      <c r="A592" s="394"/>
      <c r="B592" s="395"/>
      <c r="C592" s="396"/>
      <c r="D592" s="396"/>
      <c r="E592" s="363"/>
      <c r="F592" s="364"/>
      <c r="G592" s="365"/>
      <c r="H592" s="366"/>
      <c r="I592" s="366"/>
      <c r="J592" s="366"/>
      <c r="K592" s="367"/>
      <c r="L592" s="368">
        <f>(MIN(Attendance!D592, TIME(18, 0, 0)) - Attendance!C592) * 24</f>
        <v>18</v>
      </c>
      <c r="M592" s="369">
        <f t="shared" si="5"/>
        <v>-18</v>
      </c>
      <c r="N592" s="369"/>
      <c r="O592" s="369"/>
      <c r="P592" s="369"/>
    </row>
    <row r="593" ht="22.5" customHeight="1">
      <c r="A593" s="394"/>
      <c r="B593" s="395"/>
      <c r="C593" s="396"/>
      <c r="D593" s="396"/>
      <c r="E593" s="363"/>
      <c r="F593" s="364"/>
      <c r="G593" s="365"/>
      <c r="H593" s="366"/>
      <c r="I593" s="366"/>
      <c r="J593" s="366"/>
      <c r="K593" s="367"/>
      <c r="L593" s="368">
        <f>(MIN(Attendance!D593, TIME(18, 0, 0)) - Attendance!C593) * 24</f>
        <v>18</v>
      </c>
      <c r="M593" s="369">
        <f t="shared" si="5"/>
        <v>-18</v>
      </c>
      <c r="N593" s="377"/>
      <c r="O593" s="377"/>
      <c r="P593" s="377"/>
    </row>
    <row r="594" ht="22.5" customHeight="1">
      <c r="A594" s="394"/>
      <c r="B594" s="395"/>
      <c r="C594" s="396"/>
      <c r="D594" s="396"/>
      <c r="E594" s="363"/>
      <c r="F594" s="364"/>
      <c r="G594" s="365"/>
      <c r="H594" s="366"/>
      <c r="I594" s="366"/>
      <c r="J594" s="366"/>
      <c r="K594" s="367"/>
      <c r="L594" s="368">
        <f>(MIN(Attendance!D594, TIME(18, 0, 0)) - Attendance!C594) * 24</f>
        <v>18</v>
      </c>
      <c r="M594" s="369">
        <f t="shared" si="5"/>
        <v>-18</v>
      </c>
      <c r="N594" s="369"/>
      <c r="O594" s="369"/>
      <c r="P594" s="369"/>
    </row>
    <row r="595" ht="22.5" customHeight="1">
      <c r="A595" s="394"/>
      <c r="B595" s="395"/>
      <c r="C595" s="396"/>
      <c r="D595" s="396"/>
      <c r="E595" s="363"/>
      <c r="F595" s="364"/>
      <c r="G595" s="365"/>
      <c r="H595" s="366"/>
      <c r="I595" s="366"/>
      <c r="J595" s="366"/>
      <c r="K595" s="367"/>
      <c r="L595" s="368">
        <f>(MIN(Attendance!D595, TIME(18, 0, 0)) - Attendance!C595) * 24</f>
        <v>18</v>
      </c>
      <c r="M595" s="369">
        <f t="shared" si="5"/>
        <v>-18</v>
      </c>
      <c r="N595" s="377"/>
      <c r="O595" s="377"/>
      <c r="P595" s="377"/>
    </row>
    <row r="596" ht="22.5" customHeight="1">
      <c r="A596" s="394"/>
      <c r="B596" s="395"/>
      <c r="C596" s="396"/>
      <c r="D596" s="396"/>
      <c r="E596" s="363"/>
      <c r="F596" s="364"/>
      <c r="G596" s="365"/>
      <c r="H596" s="366"/>
      <c r="I596" s="366"/>
      <c r="J596" s="366"/>
      <c r="K596" s="367"/>
      <c r="L596" s="368">
        <f>(MIN(Attendance!D596, TIME(18, 0, 0)) - Attendance!C596) * 24</f>
        <v>18</v>
      </c>
      <c r="M596" s="369">
        <f t="shared" si="5"/>
        <v>-18</v>
      </c>
      <c r="N596" s="369"/>
      <c r="O596" s="369"/>
      <c r="P596" s="369"/>
    </row>
    <row r="597" ht="22.5" customHeight="1">
      <c r="A597" s="394"/>
      <c r="B597" s="395"/>
      <c r="C597" s="396"/>
      <c r="D597" s="396"/>
      <c r="E597" s="363"/>
      <c r="F597" s="364"/>
      <c r="G597" s="365"/>
      <c r="H597" s="366"/>
      <c r="I597" s="366"/>
      <c r="J597" s="366"/>
      <c r="K597" s="367"/>
      <c r="L597" s="368">
        <f>(MIN(Attendance!D597, TIME(18, 0, 0)) - Attendance!C597) * 24</f>
        <v>18</v>
      </c>
      <c r="M597" s="369">
        <f t="shared" si="5"/>
        <v>-18</v>
      </c>
      <c r="N597" s="377"/>
      <c r="O597" s="377"/>
      <c r="P597" s="377"/>
    </row>
    <row r="598" ht="22.5" customHeight="1">
      <c r="A598" s="394"/>
      <c r="B598" s="395"/>
      <c r="C598" s="396"/>
      <c r="D598" s="396"/>
      <c r="E598" s="363"/>
      <c r="F598" s="364"/>
      <c r="G598" s="365"/>
      <c r="H598" s="366"/>
      <c r="I598" s="366"/>
      <c r="J598" s="366"/>
      <c r="K598" s="367"/>
      <c r="L598" s="368">
        <f>(MIN(Attendance!D598, TIME(18, 0, 0)) - Attendance!C598) * 24</f>
        <v>18</v>
      </c>
      <c r="M598" s="369">
        <f t="shared" si="5"/>
        <v>-18</v>
      </c>
      <c r="N598" s="369"/>
      <c r="O598" s="369"/>
      <c r="P598" s="369"/>
    </row>
    <row r="599" ht="22.5" customHeight="1">
      <c r="A599" s="394"/>
      <c r="B599" s="395"/>
      <c r="C599" s="396"/>
      <c r="D599" s="396"/>
      <c r="E599" s="363"/>
      <c r="F599" s="364"/>
      <c r="G599" s="365"/>
      <c r="H599" s="366"/>
      <c r="I599" s="366"/>
      <c r="J599" s="366"/>
      <c r="K599" s="367"/>
      <c r="L599" s="368">
        <f>(MIN(Attendance!D599, TIME(18, 0, 0)) - Attendance!C599) * 24</f>
        <v>18</v>
      </c>
      <c r="M599" s="369">
        <f t="shared" si="5"/>
        <v>-18</v>
      </c>
      <c r="N599" s="377"/>
      <c r="O599" s="377"/>
      <c r="P599" s="377"/>
    </row>
    <row r="600" ht="22.5" customHeight="1">
      <c r="A600" s="394"/>
      <c r="B600" s="395"/>
      <c r="C600" s="396"/>
      <c r="D600" s="396"/>
      <c r="E600" s="363"/>
      <c r="F600" s="364"/>
      <c r="G600" s="365"/>
      <c r="H600" s="366"/>
      <c r="I600" s="366"/>
      <c r="J600" s="366"/>
      <c r="K600" s="367"/>
      <c r="L600" s="368">
        <f>(MIN(Attendance!D600, TIME(18, 0, 0)) - Attendance!C600) * 24</f>
        <v>18</v>
      </c>
      <c r="M600" s="369">
        <f t="shared" si="5"/>
        <v>-18</v>
      </c>
      <c r="N600" s="369"/>
      <c r="O600" s="369"/>
      <c r="P600" s="369"/>
    </row>
    <row r="601" ht="22.5" customHeight="1">
      <c r="A601" s="394"/>
      <c r="B601" s="395"/>
      <c r="C601" s="396"/>
      <c r="D601" s="396"/>
      <c r="E601" s="363"/>
      <c r="F601" s="364"/>
      <c r="G601" s="365"/>
      <c r="H601" s="366"/>
      <c r="I601" s="366"/>
      <c r="J601" s="366"/>
      <c r="K601" s="367"/>
      <c r="L601" s="368">
        <f>(MIN(Attendance!D601, TIME(18, 0, 0)) - Attendance!C601) * 24</f>
        <v>18</v>
      </c>
      <c r="M601" s="369">
        <f t="shared" si="5"/>
        <v>-18</v>
      </c>
      <c r="N601" s="377"/>
      <c r="O601" s="377"/>
      <c r="P601" s="377"/>
    </row>
    <row r="602" ht="22.5" customHeight="1">
      <c r="A602" s="394"/>
      <c r="B602" s="395"/>
      <c r="C602" s="396"/>
      <c r="D602" s="396"/>
      <c r="E602" s="363"/>
      <c r="F602" s="364"/>
      <c r="G602" s="365"/>
      <c r="H602" s="366"/>
      <c r="I602" s="366"/>
      <c r="J602" s="366"/>
      <c r="K602" s="367"/>
      <c r="L602" s="368">
        <f>(MIN(Attendance!D602, TIME(18, 0, 0)) - Attendance!C602) * 24</f>
        <v>18</v>
      </c>
      <c r="M602" s="369">
        <f t="shared" si="5"/>
        <v>-18</v>
      </c>
      <c r="N602" s="369"/>
      <c r="O602" s="369"/>
      <c r="P602" s="369"/>
    </row>
    <row r="603" ht="22.5" customHeight="1">
      <c r="A603" s="394"/>
      <c r="B603" s="395"/>
      <c r="C603" s="396"/>
      <c r="D603" s="396"/>
      <c r="E603" s="363"/>
      <c r="F603" s="364"/>
      <c r="G603" s="365"/>
      <c r="H603" s="366"/>
      <c r="I603" s="366"/>
      <c r="J603" s="366"/>
      <c r="K603" s="367"/>
      <c r="L603" s="368">
        <f>(MIN(Attendance!D603, TIME(18, 0, 0)) - Attendance!C603) * 24</f>
        <v>18</v>
      </c>
      <c r="M603" s="369">
        <f t="shared" si="5"/>
        <v>-18</v>
      </c>
      <c r="N603" s="377"/>
      <c r="O603" s="377"/>
      <c r="P603" s="377"/>
    </row>
    <row r="604" ht="22.5" customHeight="1">
      <c r="A604" s="394"/>
      <c r="B604" s="395"/>
      <c r="C604" s="396"/>
      <c r="D604" s="396"/>
      <c r="E604" s="363"/>
      <c r="F604" s="364"/>
      <c r="G604" s="365"/>
      <c r="H604" s="366"/>
      <c r="I604" s="366"/>
      <c r="J604" s="366"/>
      <c r="K604" s="367"/>
      <c r="L604" s="368">
        <f>(MIN(Attendance!D604, TIME(18, 0, 0)) - Attendance!C604) * 24</f>
        <v>18</v>
      </c>
      <c r="M604" s="369">
        <f t="shared" si="5"/>
        <v>-18</v>
      </c>
      <c r="N604" s="369"/>
      <c r="O604" s="369"/>
      <c r="P604" s="369"/>
    </row>
    <row r="605" ht="22.5" customHeight="1">
      <c r="A605" s="394"/>
      <c r="B605" s="395"/>
      <c r="C605" s="396"/>
      <c r="D605" s="396"/>
      <c r="E605" s="363"/>
      <c r="F605" s="364"/>
      <c r="G605" s="365"/>
      <c r="H605" s="366"/>
      <c r="I605" s="366"/>
      <c r="J605" s="366"/>
      <c r="K605" s="367"/>
      <c r="L605" s="368">
        <f>(MIN(Attendance!D605, TIME(18, 0, 0)) - Attendance!C605) * 24</f>
        <v>18</v>
      </c>
      <c r="M605" s="369">
        <f t="shared" si="5"/>
        <v>-18</v>
      </c>
      <c r="N605" s="377"/>
      <c r="O605" s="377"/>
      <c r="P605" s="377"/>
    </row>
    <row r="606" ht="22.5" customHeight="1">
      <c r="A606" s="394"/>
      <c r="B606" s="395"/>
      <c r="C606" s="396"/>
      <c r="D606" s="396"/>
      <c r="E606" s="363"/>
      <c r="F606" s="364"/>
      <c r="G606" s="365"/>
      <c r="H606" s="366"/>
      <c r="I606" s="366"/>
      <c r="J606" s="366"/>
      <c r="K606" s="367"/>
      <c r="L606" s="368">
        <f>(MIN(Attendance!D606, TIME(18, 0, 0)) - Attendance!C606) * 24</f>
        <v>18</v>
      </c>
      <c r="M606" s="369">
        <f t="shared" si="5"/>
        <v>-18</v>
      </c>
      <c r="N606" s="369"/>
      <c r="O606" s="369"/>
      <c r="P606" s="369"/>
    </row>
    <row r="607" ht="22.5" customHeight="1">
      <c r="A607" s="394"/>
      <c r="B607" s="395"/>
      <c r="C607" s="396"/>
      <c r="D607" s="396"/>
      <c r="E607" s="363"/>
      <c r="F607" s="364"/>
      <c r="G607" s="365"/>
      <c r="H607" s="366"/>
      <c r="I607" s="366"/>
      <c r="J607" s="366"/>
      <c r="K607" s="367"/>
      <c r="L607" s="368">
        <f>(MIN(Attendance!D607, TIME(18, 0, 0)) - Attendance!C607) * 24</f>
        <v>18</v>
      </c>
      <c r="M607" s="369">
        <f t="shared" si="5"/>
        <v>-18</v>
      </c>
      <c r="N607" s="377"/>
      <c r="O607" s="377"/>
      <c r="P607" s="377"/>
    </row>
    <row r="608" ht="22.5" customHeight="1">
      <c r="A608" s="394"/>
      <c r="B608" s="395"/>
      <c r="C608" s="396"/>
      <c r="D608" s="396"/>
      <c r="E608" s="363"/>
      <c r="F608" s="364"/>
      <c r="G608" s="365"/>
      <c r="H608" s="366"/>
      <c r="I608" s="366"/>
      <c r="J608" s="366"/>
      <c r="K608" s="367"/>
      <c r="L608" s="368">
        <f>(MIN(Attendance!D608, TIME(18, 0, 0)) - Attendance!C608) * 24</f>
        <v>18</v>
      </c>
      <c r="M608" s="369">
        <f t="shared" si="5"/>
        <v>-18</v>
      </c>
      <c r="N608" s="369"/>
      <c r="O608" s="369"/>
      <c r="P608" s="369"/>
    </row>
    <row r="609" ht="22.5" customHeight="1">
      <c r="A609" s="394"/>
      <c r="B609" s="395"/>
      <c r="C609" s="396"/>
      <c r="D609" s="396"/>
      <c r="E609" s="363"/>
      <c r="F609" s="364"/>
      <c r="G609" s="365"/>
      <c r="H609" s="366"/>
      <c r="I609" s="366"/>
      <c r="J609" s="366"/>
      <c r="K609" s="367"/>
      <c r="L609" s="368">
        <f>(MIN(Attendance!D609, TIME(18, 0, 0)) - Attendance!C609) * 24</f>
        <v>18</v>
      </c>
      <c r="M609" s="369">
        <f t="shared" si="5"/>
        <v>-18</v>
      </c>
      <c r="N609" s="377"/>
      <c r="O609" s="377"/>
      <c r="P609" s="377"/>
    </row>
    <row r="610" ht="22.5" customHeight="1">
      <c r="A610" s="394"/>
      <c r="B610" s="395"/>
      <c r="C610" s="396"/>
      <c r="D610" s="396"/>
      <c r="E610" s="363"/>
      <c r="F610" s="364"/>
      <c r="G610" s="365"/>
      <c r="H610" s="366"/>
      <c r="I610" s="366"/>
      <c r="J610" s="366"/>
      <c r="K610" s="367"/>
      <c r="L610" s="368">
        <f>(MIN(Attendance!D610, TIME(18, 0, 0)) - Attendance!C610) * 24</f>
        <v>18</v>
      </c>
      <c r="M610" s="369">
        <f t="shared" si="5"/>
        <v>-18</v>
      </c>
      <c r="N610" s="369"/>
      <c r="O610" s="369"/>
      <c r="P610" s="369"/>
    </row>
    <row r="611" ht="22.5" customHeight="1">
      <c r="A611" s="394"/>
      <c r="B611" s="395"/>
      <c r="C611" s="396"/>
      <c r="D611" s="396"/>
      <c r="E611" s="363"/>
      <c r="F611" s="364"/>
      <c r="G611" s="365"/>
      <c r="H611" s="366"/>
      <c r="I611" s="366"/>
      <c r="J611" s="366"/>
      <c r="K611" s="367"/>
      <c r="L611" s="368">
        <f>(MIN(Attendance!D611, TIME(18, 0, 0)) - Attendance!C611) * 24</f>
        <v>18</v>
      </c>
      <c r="M611" s="369">
        <f t="shared" si="5"/>
        <v>-18</v>
      </c>
      <c r="N611" s="377"/>
      <c r="O611" s="377"/>
      <c r="P611" s="377"/>
    </row>
    <row r="612" ht="22.5" customHeight="1">
      <c r="A612" s="394"/>
      <c r="B612" s="395"/>
      <c r="C612" s="396"/>
      <c r="D612" s="396"/>
      <c r="E612" s="363"/>
      <c r="F612" s="364"/>
      <c r="G612" s="365"/>
      <c r="H612" s="366"/>
      <c r="I612" s="366"/>
      <c r="J612" s="366"/>
      <c r="K612" s="367"/>
      <c r="L612" s="368">
        <f>(MIN(Attendance!D612, TIME(18, 0, 0)) - Attendance!C612) * 24</f>
        <v>18</v>
      </c>
      <c r="M612" s="369">
        <f t="shared" si="5"/>
        <v>-18</v>
      </c>
      <c r="N612" s="369"/>
      <c r="O612" s="369"/>
      <c r="P612" s="369"/>
    </row>
    <row r="613" ht="22.5" customHeight="1">
      <c r="A613" s="394"/>
      <c r="B613" s="395"/>
      <c r="C613" s="396"/>
      <c r="D613" s="396"/>
      <c r="E613" s="363"/>
      <c r="F613" s="364"/>
      <c r="G613" s="365"/>
      <c r="H613" s="366"/>
      <c r="I613" s="366"/>
      <c r="J613" s="366"/>
      <c r="K613" s="367"/>
      <c r="L613" s="368">
        <f>(MIN(Attendance!D613, TIME(18, 0, 0)) - Attendance!C613) * 24</f>
        <v>18</v>
      </c>
      <c r="M613" s="369">
        <f t="shared" si="5"/>
        <v>-18</v>
      </c>
      <c r="N613" s="377"/>
      <c r="O613" s="377"/>
      <c r="P613" s="377"/>
    </row>
    <row r="614" ht="22.5" customHeight="1">
      <c r="A614" s="394"/>
      <c r="B614" s="395"/>
      <c r="C614" s="396"/>
      <c r="D614" s="396"/>
      <c r="E614" s="363"/>
      <c r="F614" s="364"/>
      <c r="G614" s="365"/>
      <c r="H614" s="366"/>
      <c r="I614" s="366"/>
      <c r="J614" s="366"/>
      <c r="K614" s="367"/>
      <c r="L614" s="368">
        <f>(MIN(Attendance!D614, TIME(18, 0, 0)) - Attendance!C614) * 24</f>
        <v>18</v>
      </c>
      <c r="M614" s="369">
        <f t="shared" si="5"/>
        <v>-18</v>
      </c>
      <c r="N614" s="369"/>
      <c r="O614" s="369"/>
      <c r="P614" s="369"/>
    </row>
    <row r="615" ht="22.5" customHeight="1">
      <c r="A615" s="394"/>
      <c r="B615" s="395"/>
      <c r="C615" s="396"/>
      <c r="D615" s="396"/>
      <c r="E615" s="363"/>
      <c r="F615" s="364"/>
      <c r="G615" s="365"/>
      <c r="H615" s="366"/>
      <c r="I615" s="366"/>
      <c r="J615" s="366"/>
      <c r="K615" s="367"/>
      <c r="L615" s="368">
        <f>(MIN(Attendance!D615, TIME(18, 0, 0)) - Attendance!C615) * 24</f>
        <v>18</v>
      </c>
      <c r="M615" s="369">
        <f t="shared" si="5"/>
        <v>-18</v>
      </c>
      <c r="N615" s="377"/>
      <c r="O615" s="377"/>
      <c r="P615" s="377"/>
    </row>
    <row r="616" ht="22.5" customHeight="1">
      <c r="A616" s="394"/>
      <c r="B616" s="395"/>
      <c r="C616" s="396"/>
      <c r="D616" s="396"/>
      <c r="E616" s="363"/>
      <c r="F616" s="364"/>
      <c r="G616" s="365"/>
      <c r="H616" s="366"/>
      <c r="I616" s="366"/>
      <c r="J616" s="366"/>
      <c r="K616" s="367"/>
      <c r="L616" s="368">
        <f>(MIN(Attendance!D616, TIME(18, 0, 0)) - Attendance!C616) * 24</f>
        <v>18</v>
      </c>
      <c r="M616" s="369">
        <f t="shared" si="5"/>
        <v>-18</v>
      </c>
      <c r="N616" s="369"/>
      <c r="O616" s="369"/>
      <c r="P616" s="369"/>
    </row>
    <row r="617" ht="22.5" customHeight="1">
      <c r="A617" s="394"/>
      <c r="B617" s="395"/>
      <c r="C617" s="396"/>
      <c r="D617" s="396"/>
      <c r="E617" s="363"/>
      <c r="F617" s="364"/>
      <c r="G617" s="365"/>
      <c r="H617" s="366"/>
      <c r="I617" s="366"/>
      <c r="J617" s="366"/>
      <c r="K617" s="367"/>
      <c r="L617" s="368">
        <f>(MIN(Attendance!D617, TIME(18, 0, 0)) - Attendance!C617) * 24</f>
        <v>18</v>
      </c>
      <c r="M617" s="369">
        <f t="shared" si="5"/>
        <v>-18</v>
      </c>
      <c r="N617" s="377"/>
      <c r="O617" s="377"/>
      <c r="P617" s="377"/>
    </row>
    <row r="618" ht="22.5" customHeight="1">
      <c r="A618" s="394"/>
      <c r="B618" s="395"/>
      <c r="C618" s="396"/>
      <c r="D618" s="396"/>
      <c r="E618" s="363"/>
      <c r="F618" s="364"/>
      <c r="G618" s="365"/>
      <c r="H618" s="366"/>
      <c r="I618" s="366"/>
      <c r="J618" s="366"/>
      <c r="K618" s="367"/>
      <c r="L618" s="368">
        <f>(MIN(Attendance!D618, TIME(18, 0, 0)) - Attendance!C618) * 24</f>
        <v>18</v>
      </c>
      <c r="M618" s="369">
        <f t="shared" si="5"/>
        <v>-18</v>
      </c>
      <c r="N618" s="369"/>
      <c r="O618" s="369"/>
      <c r="P618" s="369"/>
    </row>
    <row r="619" ht="22.5" customHeight="1">
      <c r="A619" s="394"/>
      <c r="B619" s="395"/>
      <c r="C619" s="396"/>
      <c r="D619" s="396"/>
      <c r="E619" s="363"/>
      <c r="F619" s="364"/>
      <c r="G619" s="365"/>
      <c r="H619" s="366"/>
      <c r="I619" s="366"/>
      <c r="J619" s="366"/>
      <c r="K619" s="367"/>
      <c r="L619" s="368">
        <f>(MIN(Attendance!D619, TIME(18, 0, 0)) - Attendance!C619) * 24</f>
        <v>18</v>
      </c>
      <c r="M619" s="369">
        <f t="shared" si="5"/>
        <v>-18</v>
      </c>
      <c r="N619" s="377"/>
      <c r="O619" s="377"/>
      <c r="P619" s="377"/>
    </row>
    <row r="620" ht="22.5" customHeight="1">
      <c r="A620" s="394"/>
      <c r="B620" s="395"/>
      <c r="C620" s="396"/>
      <c r="D620" s="396"/>
      <c r="E620" s="363"/>
      <c r="F620" s="364"/>
      <c r="G620" s="365"/>
      <c r="H620" s="366"/>
      <c r="I620" s="366"/>
      <c r="J620" s="366"/>
      <c r="K620" s="367"/>
      <c r="L620" s="368">
        <f>(MIN(Attendance!D620, TIME(18, 0, 0)) - Attendance!C620) * 24</f>
        <v>18</v>
      </c>
      <c r="M620" s="369">
        <f t="shared" si="5"/>
        <v>-18</v>
      </c>
      <c r="N620" s="369"/>
      <c r="O620" s="369"/>
      <c r="P620" s="369"/>
    </row>
    <row r="621" ht="22.5" customHeight="1">
      <c r="A621" s="394"/>
      <c r="B621" s="395"/>
      <c r="C621" s="396"/>
      <c r="D621" s="396"/>
      <c r="E621" s="363"/>
      <c r="F621" s="364"/>
      <c r="G621" s="365"/>
      <c r="H621" s="366"/>
      <c r="I621" s="366"/>
      <c r="J621" s="366"/>
      <c r="K621" s="367"/>
      <c r="L621" s="368">
        <f>(MIN(Attendance!D621, TIME(18, 0, 0)) - Attendance!C621) * 24</f>
        <v>18</v>
      </c>
      <c r="M621" s="369">
        <f t="shared" si="5"/>
        <v>-18</v>
      </c>
      <c r="N621" s="377"/>
      <c r="O621" s="377"/>
      <c r="P621" s="377"/>
    </row>
    <row r="622" ht="22.5" customHeight="1">
      <c r="A622" s="394"/>
      <c r="B622" s="395"/>
      <c r="C622" s="396"/>
      <c r="D622" s="396"/>
      <c r="E622" s="363"/>
      <c r="F622" s="364"/>
      <c r="G622" s="365"/>
      <c r="H622" s="366"/>
      <c r="I622" s="366"/>
      <c r="J622" s="366"/>
      <c r="K622" s="367"/>
      <c r="L622" s="368">
        <f>(MIN(Attendance!D622, TIME(18, 0, 0)) - Attendance!C622) * 24</f>
        <v>18</v>
      </c>
      <c r="M622" s="369">
        <f t="shared" si="5"/>
        <v>-18</v>
      </c>
      <c r="N622" s="369"/>
      <c r="O622" s="369"/>
      <c r="P622" s="369"/>
    </row>
    <row r="623" ht="22.5" customHeight="1">
      <c r="A623" s="394"/>
      <c r="B623" s="395"/>
      <c r="C623" s="396"/>
      <c r="D623" s="396"/>
      <c r="E623" s="363"/>
      <c r="F623" s="364"/>
      <c r="G623" s="365"/>
      <c r="H623" s="366"/>
      <c r="I623" s="366"/>
      <c r="J623" s="366"/>
      <c r="K623" s="367"/>
      <c r="L623" s="368">
        <f>(MIN(Attendance!D623, TIME(18, 0, 0)) - Attendance!C623) * 24</f>
        <v>18</v>
      </c>
      <c r="M623" s="369">
        <f t="shared" si="5"/>
        <v>-18</v>
      </c>
      <c r="N623" s="377"/>
      <c r="O623" s="377"/>
      <c r="P623" s="377"/>
    </row>
    <row r="624" ht="22.5" customHeight="1">
      <c r="A624" s="394"/>
      <c r="B624" s="395"/>
      <c r="C624" s="396"/>
      <c r="D624" s="396"/>
      <c r="E624" s="363"/>
      <c r="F624" s="364"/>
      <c r="G624" s="365"/>
      <c r="H624" s="366"/>
      <c r="I624" s="366"/>
      <c r="J624" s="366"/>
      <c r="K624" s="367"/>
      <c r="L624" s="368">
        <f>(MIN(Attendance!D624, TIME(18, 0, 0)) - Attendance!C624) * 24</f>
        <v>18</v>
      </c>
      <c r="M624" s="369">
        <f t="shared" si="5"/>
        <v>-18</v>
      </c>
      <c r="N624" s="369"/>
      <c r="O624" s="369"/>
      <c r="P624" s="369"/>
    </row>
    <row r="625" ht="22.5" customHeight="1">
      <c r="A625" s="394"/>
      <c r="B625" s="395"/>
      <c r="C625" s="396"/>
      <c r="D625" s="396"/>
      <c r="E625" s="363"/>
      <c r="F625" s="364"/>
      <c r="G625" s="365"/>
      <c r="H625" s="366"/>
      <c r="I625" s="366"/>
      <c r="J625" s="366"/>
      <c r="K625" s="367"/>
      <c r="L625" s="368">
        <f>(MIN(Attendance!D625, TIME(18, 0, 0)) - Attendance!C625) * 24</f>
        <v>18</v>
      </c>
      <c r="M625" s="369">
        <f t="shared" si="5"/>
        <v>-18</v>
      </c>
      <c r="N625" s="377"/>
      <c r="O625" s="377"/>
      <c r="P625" s="377"/>
    </row>
    <row r="626" ht="22.5" customHeight="1">
      <c r="A626" s="394"/>
      <c r="B626" s="395"/>
      <c r="C626" s="396"/>
      <c r="D626" s="396"/>
      <c r="E626" s="363"/>
      <c r="F626" s="364"/>
      <c r="G626" s="365"/>
      <c r="H626" s="366"/>
      <c r="I626" s="366"/>
      <c r="J626" s="366"/>
      <c r="K626" s="367"/>
      <c r="L626" s="368">
        <f>(MIN(Attendance!D626, TIME(18, 0, 0)) - Attendance!C626) * 24</f>
        <v>18</v>
      </c>
      <c r="M626" s="369">
        <f t="shared" si="5"/>
        <v>-18</v>
      </c>
      <c r="N626" s="369"/>
      <c r="O626" s="369"/>
      <c r="P626" s="369"/>
    </row>
    <row r="627" ht="22.5" customHeight="1">
      <c r="A627" s="394"/>
      <c r="B627" s="395"/>
      <c r="C627" s="396"/>
      <c r="D627" s="396"/>
      <c r="E627" s="363"/>
      <c r="F627" s="364"/>
      <c r="G627" s="365"/>
      <c r="H627" s="366"/>
      <c r="I627" s="366"/>
      <c r="J627" s="366"/>
      <c r="K627" s="367"/>
      <c r="L627" s="368">
        <f>(MIN(Attendance!D627, TIME(18, 0, 0)) - Attendance!C627) * 24</f>
        <v>18</v>
      </c>
      <c r="M627" s="369">
        <f t="shared" si="5"/>
        <v>-18</v>
      </c>
      <c r="N627" s="377"/>
      <c r="O627" s="377"/>
      <c r="P627" s="377"/>
    </row>
    <row r="628" ht="22.5" customHeight="1">
      <c r="A628" s="394"/>
      <c r="B628" s="395"/>
      <c r="C628" s="396"/>
      <c r="D628" s="396"/>
      <c r="E628" s="363"/>
      <c r="F628" s="364"/>
      <c r="G628" s="365"/>
      <c r="H628" s="366"/>
      <c r="I628" s="366"/>
      <c r="J628" s="366"/>
      <c r="K628" s="367"/>
      <c r="L628" s="368">
        <f>(MIN(Attendance!D628, TIME(18, 0, 0)) - Attendance!C628) * 24</f>
        <v>18</v>
      </c>
      <c r="M628" s="369">
        <f t="shared" si="5"/>
        <v>-18</v>
      </c>
      <c r="N628" s="369"/>
      <c r="O628" s="369"/>
      <c r="P628" s="369"/>
    </row>
    <row r="629" ht="22.5" customHeight="1">
      <c r="A629" s="394"/>
      <c r="B629" s="395"/>
      <c r="C629" s="396"/>
      <c r="D629" s="396"/>
      <c r="E629" s="363"/>
      <c r="F629" s="364"/>
      <c r="G629" s="365"/>
      <c r="H629" s="366"/>
      <c r="I629" s="366"/>
      <c r="J629" s="366"/>
      <c r="K629" s="367"/>
      <c r="L629" s="368">
        <f>(MIN(Attendance!D629, TIME(18, 0, 0)) - Attendance!C629) * 24</f>
        <v>18</v>
      </c>
      <c r="M629" s="369">
        <f t="shared" si="5"/>
        <v>-18</v>
      </c>
      <c r="N629" s="377"/>
      <c r="O629" s="377"/>
      <c r="P629" s="377"/>
    </row>
    <row r="630" ht="22.5" customHeight="1">
      <c r="A630" s="394"/>
      <c r="B630" s="395"/>
      <c r="C630" s="396"/>
      <c r="D630" s="396"/>
      <c r="E630" s="363"/>
      <c r="F630" s="364"/>
      <c r="G630" s="365"/>
      <c r="H630" s="366"/>
      <c r="I630" s="366"/>
      <c r="J630" s="366"/>
      <c r="K630" s="367"/>
      <c r="L630" s="368">
        <f>(MIN(Attendance!D630, TIME(18, 0, 0)) - Attendance!C630) * 24</f>
        <v>18</v>
      </c>
      <c r="M630" s="369">
        <f t="shared" si="5"/>
        <v>-18</v>
      </c>
      <c r="N630" s="369"/>
      <c r="O630" s="369"/>
      <c r="P630" s="369"/>
    </row>
    <row r="631" ht="22.5" customHeight="1">
      <c r="A631" s="394"/>
      <c r="B631" s="395"/>
      <c r="C631" s="396"/>
      <c r="D631" s="396"/>
      <c r="E631" s="363"/>
      <c r="F631" s="364"/>
      <c r="G631" s="365"/>
      <c r="H631" s="366"/>
      <c r="I631" s="366"/>
      <c r="J631" s="366"/>
      <c r="K631" s="367"/>
      <c r="L631" s="368">
        <f>(MIN(Attendance!D631, TIME(18, 0, 0)) - Attendance!C631) * 24</f>
        <v>18</v>
      </c>
      <c r="M631" s="369">
        <f t="shared" si="5"/>
        <v>-18</v>
      </c>
      <c r="N631" s="377"/>
      <c r="O631" s="377"/>
      <c r="P631" s="377"/>
    </row>
    <row r="632" ht="22.5" customHeight="1">
      <c r="A632" s="394"/>
      <c r="B632" s="395"/>
      <c r="C632" s="396"/>
      <c r="D632" s="396"/>
      <c r="E632" s="363"/>
      <c r="F632" s="364"/>
      <c r="G632" s="365"/>
      <c r="H632" s="366"/>
      <c r="I632" s="366"/>
      <c r="J632" s="366"/>
      <c r="K632" s="367"/>
      <c r="L632" s="368">
        <f>(MIN(Attendance!D632, TIME(18, 0, 0)) - Attendance!C632) * 24</f>
        <v>18</v>
      </c>
      <c r="M632" s="369">
        <f t="shared" si="5"/>
        <v>-18</v>
      </c>
      <c r="N632" s="369"/>
      <c r="O632" s="369"/>
      <c r="P632" s="369"/>
    </row>
    <row r="633" ht="22.5" customHeight="1">
      <c r="A633" s="394"/>
      <c r="B633" s="395"/>
      <c r="C633" s="396"/>
      <c r="D633" s="396"/>
      <c r="E633" s="363"/>
      <c r="F633" s="364"/>
      <c r="G633" s="365"/>
      <c r="H633" s="366"/>
      <c r="I633" s="366"/>
      <c r="J633" s="366"/>
      <c r="K633" s="367"/>
      <c r="L633" s="368">
        <f>(MIN(Attendance!D633, TIME(18, 0, 0)) - Attendance!C633) * 24</f>
        <v>18</v>
      </c>
      <c r="M633" s="369">
        <f t="shared" si="5"/>
        <v>-18</v>
      </c>
      <c r="N633" s="377"/>
      <c r="O633" s="377"/>
      <c r="P633" s="377"/>
    </row>
    <row r="634" ht="22.5" customHeight="1">
      <c r="A634" s="394"/>
      <c r="B634" s="395"/>
      <c r="C634" s="396"/>
      <c r="D634" s="396"/>
      <c r="E634" s="363"/>
      <c r="F634" s="364"/>
      <c r="G634" s="365"/>
      <c r="H634" s="366"/>
      <c r="I634" s="366"/>
      <c r="J634" s="366"/>
      <c r="K634" s="367"/>
      <c r="L634" s="368">
        <f>(MIN(Attendance!D634, TIME(18, 0, 0)) - Attendance!C634) * 24</f>
        <v>18</v>
      </c>
      <c r="M634" s="369">
        <f t="shared" si="5"/>
        <v>-18</v>
      </c>
      <c r="N634" s="369"/>
      <c r="O634" s="369"/>
      <c r="P634" s="369"/>
    </row>
    <row r="635" ht="22.5" customHeight="1">
      <c r="A635" s="394"/>
      <c r="B635" s="395"/>
      <c r="C635" s="396"/>
      <c r="D635" s="396"/>
      <c r="E635" s="363"/>
      <c r="F635" s="364"/>
      <c r="G635" s="365"/>
      <c r="H635" s="366"/>
      <c r="I635" s="366"/>
      <c r="J635" s="366"/>
      <c r="K635" s="367"/>
      <c r="L635" s="368">
        <f>(MIN(Attendance!D635, TIME(18, 0, 0)) - Attendance!C635) * 24</f>
        <v>18</v>
      </c>
      <c r="M635" s="369">
        <f t="shared" si="5"/>
        <v>-18</v>
      </c>
      <c r="N635" s="377"/>
      <c r="O635" s="377"/>
      <c r="P635" s="377"/>
    </row>
    <row r="636" ht="22.5" customHeight="1">
      <c r="A636" s="394"/>
      <c r="B636" s="395"/>
      <c r="C636" s="396"/>
      <c r="D636" s="396"/>
      <c r="E636" s="363"/>
      <c r="F636" s="364"/>
      <c r="G636" s="365"/>
      <c r="H636" s="366"/>
      <c r="I636" s="366"/>
      <c r="J636" s="366"/>
      <c r="K636" s="367"/>
      <c r="L636" s="368">
        <f>(MIN(Attendance!D636, TIME(18, 0, 0)) - Attendance!C636) * 24</f>
        <v>18</v>
      </c>
      <c r="M636" s="369">
        <f t="shared" si="5"/>
        <v>-18</v>
      </c>
      <c r="N636" s="369"/>
      <c r="O636" s="369"/>
      <c r="P636" s="369"/>
    </row>
    <row r="637" ht="22.5" customHeight="1">
      <c r="A637" s="394"/>
      <c r="B637" s="395"/>
      <c r="C637" s="396"/>
      <c r="D637" s="396"/>
      <c r="E637" s="363"/>
      <c r="F637" s="364"/>
      <c r="G637" s="365"/>
      <c r="H637" s="366"/>
      <c r="I637" s="366"/>
      <c r="J637" s="366"/>
      <c r="K637" s="367"/>
      <c r="L637" s="368">
        <f>(MIN(Attendance!D637, TIME(18, 0, 0)) - Attendance!C637) * 24</f>
        <v>18</v>
      </c>
      <c r="M637" s="369">
        <f t="shared" si="5"/>
        <v>-18</v>
      </c>
      <c r="N637" s="377"/>
      <c r="O637" s="377"/>
      <c r="P637" s="377"/>
    </row>
    <row r="638" ht="22.5" customHeight="1">
      <c r="A638" s="394"/>
      <c r="B638" s="395"/>
      <c r="C638" s="396"/>
      <c r="D638" s="396"/>
      <c r="E638" s="363"/>
      <c r="F638" s="364"/>
      <c r="G638" s="365"/>
      <c r="H638" s="366"/>
      <c r="I638" s="366"/>
      <c r="J638" s="366"/>
      <c r="K638" s="367"/>
      <c r="L638" s="368">
        <f>(MIN(Attendance!D638, TIME(18, 0, 0)) - Attendance!C638) * 24</f>
        <v>18</v>
      </c>
      <c r="M638" s="369">
        <f t="shared" si="5"/>
        <v>-18</v>
      </c>
      <c r="N638" s="369"/>
      <c r="O638" s="369"/>
      <c r="P638" s="369"/>
    </row>
    <row r="639" ht="22.5" customHeight="1">
      <c r="A639" s="394"/>
      <c r="B639" s="395"/>
      <c r="C639" s="396"/>
      <c r="D639" s="396"/>
      <c r="E639" s="363"/>
      <c r="F639" s="364"/>
      <c r="G639" s="365"/>
      <c r="H639" s="366"/>
      <c r="I639" s="366"/>
      <c r="J639" s="366"/>
      <c r="K639" s="367"/>
      <c r="L639" s="368">
        <f>(MIN(Attendance!D639, TIME(18, 0, 0)) - Attendance!C639) * 24</f>
        <v>18</v>
      </c>
      <c r="M639" s="369">
        <f t="shared" si="5"/>
        <v>-18</v>
      </c>
      <c r="N639" s="377"/>
      <c r="O639" s="377"/>
      <c r="P639" s="377"/>
    </row>
    <row r="640" ht="22.5" customHeight="1">
      <c r="A640" s="394"/>
      <c r="B640" s="395"/>
      <c r="C640" s="396"/>
      <c r="D640" s="396"/>
      <c r="E640" s="363"/>
      <c r="F640" s="364"/>
      <c r="G640" s="365"/>
      <c r="H640" s="366"/>
      <c r="I640" s="366"/>
      <c r="J640" s="366"/>
      <c r="K640" s="367"/>
      <c r="L640" s="368">
        <f>(MIN(Attendance!D640, TIME(18, 0, 0)) - Attendance!C640) * 24</f>
        <v>18</v>
      </c>
      <c r="M640" s="369">
        <f t="shared" si="5"/>
        <v>-18</v>
      </c>
      <c r="N640" s="369"/>
      <c r="O640" s="369"/>
      <c r="P640" s="369"/>
    </row>
    <row r="641" ht="22.5" customHeight="1">
      <c r="A641" s="394"/>
      <c r="B641" s="395"/>
      <c r="C641" s="396"/>
      <c r="D641" s="396"/>
      <c r="E641" s="363"/>
      <c r="F641" s="364"/>
      <c r="G641" s="365"/>
      <c r="H641" s="366"/>
      <c r="I641" s="366"/>
      <c r="J641" s="366"/>
      <c r="K641" s="367"/>
      <c r="L641" s="368">
        <f>(MIN(Attendance!D641, TIME(18, 0, 0)) - Attendance!C641) * 24</f>
        <v>18</v>
      </c>
      <c r="M641" s="369">
        <f t="shared" si="5"/>
        <v>-18</v>
      </c>
      <c r="N641" s="377"/>
      <c r="O641" s="377"/>
      <c r="P641" s="377"/>
    </row>
    <row r="642" ht="22.5" customHeight="1">
      <c r="A642" s="394"/>
      <c r="B642" s="395"/>
      <c r="C642" s="396"/>
      <c r="D642" s="396"/>
      <c r="E642" s="363"/>
      <c r="F642" s="364"/>
      <c r="G642" s="365"/>
      <c r="H642" s="366"/>
      <c r="I642" s="366"/>
      <c r="J642" s="366"/>
      <c r="K642" s="367"/>
      <c r="L642" s="368">
        <f>(MIN(Attendance!D642, TIME(18, 0, 0)) - Attendance!C642) * 24</f>
        <v>18</v>
      </c>
      <c r="M642" s="369">
        <f t="shared" si="5"/>
        <v>-18</v>
      </c>
      <c r="N642" s="369"/>
      <c r="O642" s="369"/>
      <c r="P642" s="369"/>
    </row>
    <row r="643" ht="22.5" customHeight="1">
      <c r="A643" s="394"/>
      <c r="B643" s="395"/>
      <c r="C643" s="396"/>
      <c r="D643" s="396"/>
      <c r="E643" s="363"/>
      <c r="F643" s="364"/>
      <c r="G643" s="365"/>
      <c r="H643" s="366"/>
      <c r="I643" s="366"/>
      <c r="J643" s="366"/>
      <c r="K643" s="367"/>
      <c r="L643" s="368">
        <f>(MIN(Attendance!D643, TIME(18, 0, 0)) - Attendance!C643) * 24</f>
        <v>18</v>
      </c>
      <c r="M643" s="369">
        <f t="shared" si="5"/>
        <v>-18</v>
      </c>
      <c r="N643" s="377"/>
      <c r="O643" s="377"/>
      <c r="P643" s="377"/>
    </row>
    <row r="644" ht="22.5" customHeight="1">
      <c r="A644" s="394"/>
      <c r="B644" s="395"/>
      <c r="C644" s="396"/>
      <c r="D644" s="396"/>
      <c r="E644" s="363"/>
      <c r="F644" s="364"/>
      <c r="G644" s="365"/>
      <c r="H644" s="366"/>
      <c r="I644" s="366"/>
      <c r="J644" s="366"/>
      <c r="K644" s="367"/>
      <c r="L644" s="368">
        <f>(MIN(Attendance!D644, TIME(18, 0, 0)) - Attendance!C644) * 24</f>
        <v>18</v>
      </c>
      <c r="M644" s="369">
        <f t="shared" si="5"/>
        <v>-18</v>
      </c>
      <c r="N644" s="369"/>
      <c r="O644" s="369"/>
      <c r="P644" s="369"/>
    </row>
    <row r="645" ht="22.5" customHeight="1">
      <c r="A645" s="394"/>
      <c r="B645" s="395"/>
      <c r="C645" s="396"/>
      <c r="D645" s="396"/>
      <c r="E645" s="363"/>
      <c r="F645" s="364"/>
      <c r="G645" s="365"/>
      <c r="H645" s="366"/>
      <c r="I645" s="366"/>
      <c r="J645" s="366"/>
      <c r="K645" s="367"/>
      <c r="L645" s="368">
        <f>(MIN(Attendance!D645, TIME(18, 0, 0)) - Attendance!C645) * 24</f>
        <v>18</v>
      </c>
      <c r="M645" s="369">
        <f t="shared" si="5"/>
        <v>-18</v>
      </c>
      <c r="N645" s="377"/>
      <c r="O645" s="377"/>
      <c r="P645" s="377"/>
    </row>
    <row r="646" ht="22.5" customHeight="1">
      <c r="A646" s="394"/>
      <c r="B646" s="395"/>
      <c r="C646" s="396"/>
      <c r="D646" s="396"/>
      <c r="E646" s="363"/>
      <c r="F646" s="364"/>
      <c r="G646" s="365"/>
      <c r="H646" s="366"/>
      <c r="I646" s="366"/>
      <c r="J646" s="366"/>
      <c r="K646" s="367"/>
      <c r="L646" s="368">
        <f>(MIN(Attendance!D646, TIME(18, 0, 0)) - Attendance!C646) * 24</f>
        <v>18</v>
      </c>
      <c r="M646" s="369">
        <f t="shared" si="5"/>
        <v>-18</v>
      </c>
      <c r="N646" s="369"/>
      <c r="O646" s="369"/>
      <c r="P646" s="369"/>
    </row>
    <row r="647" ht="22.5" customHeight="1">
      <c r="A647" s="394"/>
      <c r="B647" s="395"/>
      <c r="C647" s="396"/>
      <c r="D647" s="396"/>
      <c r="E647" s="363"/>
      <c r="F647" s="364"/>
      <c r="G647" s="365"/>
      <c r="H647" s="366"/>
      <c r="I647" s="366"/>
      <c r="J647" s="366"/>
      <c r="K647" s="367"/>
      <c r="L647" s="368">
        <f>(MIN(Attendance!D647, TIME(18, 0, 0)) - Attendance!C647) * 24</f>
        <v>18</v>
      </c>
      <c r="M647" s="369">
        <f t="shared" si="5"/>
        <v>-18</v>
      </c>
      <c r="N647" s="377"/>
      <c r="O647" s="377"/>
      <c r="P647" s="377"/>
    </row>
    <row r="648" ht="22.5" customHeight="1">
      <c r="A648" s="394"/>
      <c r="B648" s="395"/>
      <c r="C648" s="396"/>
      <c r="D648" s="396"/>
      <c r="E648" s="363"/>
      <c r="F648" s="364"/>
      <c r="G648" s="365"/>
      <c r="H648" s="366"/>
      <c r="I648" s="366"/>
      <c r="J648" s="366"/>
      <c r="K648" s="367"/>
      <c r="L648" s="368">
        <f>(MIN(Attendance!D648, TIME(18, 0, 0)) - Attendance!C648) * 24</f>
        <v>18</v>
      </c>
      <c r="M648" s="369">
        <f t="shared" si="5"/>
        <v>-18</v>
      </c>
      <c r="N648" s="369"/>
      <c r="O648" s="369"/>
      <c r="P648" s="369"/>
    </row>
    <row r="649" ht="22.5" customHeight="1">
      <c r="A649" s="394"/>
      <c r="B649" s="395"/>
      <c r="C649" s="396"/>
      <c r="D649" s="396"/>
      <c r="E649" s="363"/>
      <c r="F649" s="364"/>
      <c r="G649" s="365"/>
      <c r="H649" s="366"/>
      <c r="I649" s="366"/>
      <c r="J649" s="366"/>
      <c r="K649" s="367"/>
      <c r="L649" s="368">
        <f>(MIN(Attendance!D649, TIME(18, 0, 0)) - Attendance!C649) * 24</f>
        <v>18</v>
      </c>
      <c r="M649" s="369">
        <f t="shared" si="5"/>
        <v>-18</v>
      </c>
      <c r="N649" s="377"/>
      <c r="O649" s="377"/>
      <c r="P649" s="377"/>
    </row>
    <row r="650" ht="22.5" customHeight="1">
      <c r="A650" s="394"/>
      <c r="B650" s="395"/>
      <c r="C650" s="396"/>
      <c r="D650" s="396"/>
      <c r="E650" s="363"/>
      <c r="F650" s="364"/>
      <c r="G650" s="365"/>
      <c r="H650" s="366"/>
      <c r="I650" s="366"/>
      <c r="J650" s="366"/>
      <c r="K650" s="367"/>
      <c r="L650" s="368">
        <f>(MIN(Attendance!D650, TIME(18, 0, 0)) - Attendance!C650) * 24</f>
        <v>18</v>
      </c>
      <c r="M650" s="369">
        <f t="shared" si="5"/>
        <v>-18</v>
      </c>
      <c r="N650" s="369"/>
      <c r="O650" s="369"/>
      <c r="P650" s="369"/>
    </row>
    <row r="651" ht="22.5" customHeight="1">
      <c r="A651" s="394"/>
      <c r="B651" s="395"/>
      <c r="C651" s="396"/>
      <c r="D651" s="396"/>
      <c r="E651" s="363"/>
      <c r="F651" s="364"/>
      <c r="G651" s="365"/>
      <c r="H651" s="366"/>
      <c r="I651" s="366"/>
      <c r="J651" s="366"/>
      <c r="K651" s="367"/>
      <c r="L651" s="368">
        <f>(MIN(Attendance!D651, TIME(18, 0, 0)) - Attendance!C651) * 24</f>
        <v>18</v>
      </c>
      <c r="M651" s="369">
        <f t="shared" si="5"/>
        <v>-18</v>
      </c>
      <c r="N651" s="377"/>
      <c r="O651" s="377"/>
      <c r="P651" s="377"/>
    </row>
    <row r="652" ht="22.5" customHeight="1">
      <c r="A652" s="394"/>
      <c r="B652" s="395"/>
      <c r="C652" s="396"/>
      <c r="D652" s="396"/>
      <c r="E652" s="363"/>
      <c r="F652" s="364"/>
      <c r="G652" s="365"/>
      <c r="H652" s="366"/>
      <c r="I652" s="366"/>
      <c r="J652" s="366"/>
      <c r="K652" s="367"/>
      <c r="L652" s="368">
        <f>(MIN(Attendance!D652, TIME(18, 0, 0)) - Attendance!C652) * 24</f>
        <v>18</v>
      </c>
      <c r="M652" s="369">
        <f t="shared" si="5"/>
        <v>-18</v>
      </c>
      <c r="N652" s="369"/>
      <c r="O652" s="369"/>
      <c r="P652" s="369"/>
    </row>
    <row r="653" ht="22.5" customHeight="1">
      <c r="A653" s="394"/>
      <c r="B653" s="395"/>
      <c r="C653" s="396"/>
      <c r="D653" s="396"/>
      <c r="E653" s="363"/>
      <c r="F653" s="364"/>
      <c r="G653" s="365"/>
      <c r="H653" s="366"/>
      <c r="I653" s="366"/>
      <c r="J653" s="366"/>
      <c r="K653" s="367"/>
      <c r="L653" s="368">
        <f>(MIN(Attendance!D653, TIME(18, 0, 0)) - Attendance!C653) * 24</f>
        <v>18</v>
      </c>
      <c r="M653" s="369">
        <f t="shared" si="5"/>
        <v>-18</v>
      </c>
      <c r="N653" s="377"/>
      <c r="O653" s="377"/>
      <c r="P653" s="377"/>
    </row>
    <row r="654" ht="22.5" customHeight="1">
      <c r="A654" s="394"/>
      <c r="B654" s="395"/>
      <c r="C654" s="396"/>
      <c r="D654" s="396"/>
      <c r="E654" s="363"/>
      <c r="F654" s="364"/>
      <c r="G654" s="365"/>
      <c r="H654" s="366"/>
      <c r="I654" s="366"/>
      <c r="J654" s="366"/>
      <c r="K654" s="367"/>
      <c r="L654" s="368">
        <f>(MIN(Attendance!D654, TIME(18, 0, 0)) - Attendance!C654) * 24</f>
        <v>18</v>
      </c>
      <c r="M654" s="369">
        <f t="shared" si="5"/>
        <v>-18</v>
      </c>
      <c r="N654" s="369"/>
      <c r="O654" s="369"/>
      <c r="P654" s="369"/>
    </row>
    <row r="655" ht="22.5" customHeight="1">
      <c r="A655" s="394"/>
      <c r="B655" s="395"/>
      <c r="C655" s="396"/>
      <c r="D655" s="396"/>
      <c r="E655" s="363"/>
      <c r="F655" s="364"/>
      <c r="G655" s="365"/>
      <c r="H655" s="366"/>
      <c r="I655" s="366"/>
      <c r="J655" s="366"/>
      <c r="K655" s="367"/>
      <c r="L655" s="368">
        <f>(MIN(Attendance!D655, TIME(18, 0, 0)) - Attendance!C655) * 24</f>
        <v>18</v>
      </c>
      <c r="M655" s="369">
        <f t="shared" si="5"/>
        <v>-18</v>
      </c>
      <c r="N655" s="377"/>
      <c r="O655" s="377"/>
      <c r="P655" s="377"/>
    </row>
    <row r="656" ht="22.5" customHeight="1">
      <c r="A656" s="394"/>
      <c r="B656" s="395"/>
      <c r="C656" s="396"/>
      <c r="D656" s="396"/>
      <c r="E656" s="363"/>
      <c r="F656" s="364"/>
      <c r="G656" s="365"/>
      <c r="H656" s="366"/>
      <c r="I656" s="366"/>
      <c r="J656" s="366"/>
      <c r="K656" s="367"/>
      <c r="L656" s="368">
        <f>(MIN(Attendance!D656, TIME(18, 0, 0)) - Attendance!C656) * 24</f>
        <v>18</v>
      </c>
      <c r="M656" s="369">
        <f t="shared" si="5"/>
        <v>-18</v>
      </c>
      <c r="N656" s="369"/>
      <c r="O656" s="369"/>
      <c r="P656" s="369"/>
    </row>
    <row r="657" ht="22.5" customHeight="1">
      <c r="A657" s="394"/>
      <c r="B657" s="395"/>
      <c r="C657" s="396"/>
      <c r="D657" s="396"/>
      <c r="E657" s="363"/>
      <c r="F657" s="364"/>
      <c r="G657" s="365"/>
      <c r="H657" s="366"/>
      <c r="I657" s="366"/>
      <c r="J657" s="366"/>
      <c r="K657" s="367"/>
      <c r="L657" s="368">
        <f>(MIN(Attendance!D657, TIME(18, 0, 0)) - Attendance!C657) * 24</f>
        <v>18</v>
      </c>
      <c r="M657" s="369">
        <f t="shared" si="5"/>
        <v>-18</v>
      </c>
      <c r="N657" s="377"/>
      <c r="O657" s="377"/>
      <c r="P657" s="377"/>
    </row>
    <row r="658" ht="22.5" customHeight="1">
      <c r="A658" s="394"/>
      <c r="B658" s="395"/>
      <c r="C658" s="396"/>
      <c r="D658" s="396"/>
      <c r="E658" s="363"/>
      <c r="F658" s="364"/>
      <c r="G658" s="365"/>
      <c r="H658" s="366"/>
      <c r="I658" s="366"/>
      <c r="J658" s="366"/>
      <c r="K658" s="367"/>
      <c r="L658" s="368">
        <f>(MIN(Attendance!D658, TIME(18, 0, 0)) - Attendance!C658) * 24</f>
        <v>18</v>
      </c>
      <c r="M658" s="369">
        <f t="shared" si="5"/>
        <v>-18</v>
      </c>
      <c r="N658" s="369"/>
      <c r="O658" s="369"/>
      <c r="P658" s="369"/>
    </row>
    <row r="659" ht="22.5" customHeight="1">
      <c r="A659" s="394"/>
      <c r="B659" s="395"/>
      <c r="C659" s="396"/>
      <c r="D659" s="396"/>
      <c r="E659" s="363"/>
      <c r="F659" s="364"/>
      <c r="G659" s="365"/>
      <c r="H659" s="366"/>
      <c r="I659" s="366"/>
      <c r="J659" s="366"/>
      <c r="K659" s="367"/>
      <c r="L659" s="368">
        <f>(MIN(Attendance!D659, TIME(18, 0, 0)) - Attendance!C659) * 24</f>
        <v>18</v>
      </c>
      <c r="M659" s="369">
        <f t="shared" si="5"/>
        <v>-18</v>
      </c>
      <c r="N659" s="377"/>
      <c r="O659" s="377"/>
      <c r="P659" s="377"/>
    </row>
    <row r="660" ht="22.5" customHeight="1">
      <c r="A660" s="394"/>
      <c r="B660" s="395"/>
      <c r="C660" s="396"/>
      <c r="D660" s="396"/>
      <c r="E660" s="363"/>
      <c r="F660" s="364"/>
      <c r="G660" s="365"/>
      <c r="H660" s="366"/>
      <c r="I660" s="366"/>
      <c r="J660" s="366"/>
      <c r="K660" s="367"/>
      <c r="L660" s="368">
        <f>(MIN(Attendance!D660, TIME(18, 0, 0)) - Attendance!C660) * 24</f>
        <v>18</v>
      </c>
      <c r="M660" s="369">
        <f t="shared" si="5"/>
        <v>-18</v>
      </c>
      <c r="N660" s="369"/>
      <c r="O660" s="369"/>
      <c r="P660" s="369"/>
    </row>
    <row r="661" ht="22.5" customHeight="1">
      <c r="A661" s="394"/>
      <c r="B661" s="395"/>
      <c r="C661" s="396"/>
      <c r="D661" s="396"/>
      <c r="E661" s="363"/>
      <c r="F661" s="364"/>
      <c r="G661" s="365"/>
      <c r="H661" s="366"/>
      <c r="I661" s="366"/>
      <c r="J661" s="366"/>
      <c r="K661" s="367"/>
      <c r="L661" s="368">
        <f>(MIN(Attendance!D661, TIME(18, 0, 0)) - Attendance!C661) * 24</f>
        <v>18</v>
      </c>
      <c r="M661" s="369">
        <f t="shared" si="5"/>
        <v>-18</v>
      </c>
      <c r="N661" s="377"/>
      <c r="O661" s="377"/>
      <c r="P661" s="377"/>
    </row>
    <row r="662" ht="22.5" customHeight="1">
      <c r="A662" s="394"/>
      <c r="B662" s="395"/>
      <c r="C662" s="396"/>
      <c r="D662" s="396"/>
      <c r="E662" s="363"/>
      <c r="F662" s="364"/>
      <c r="G662" s="365"/>
      <c r="H662" s="366"/>
      <c r="I662" s="366"/>
      <c r="J662" s="366"/>
      <c r="K662" s="367"/>
      <c r="L662" s="368">
        <f>(MIN(Attendance!D662, TIME(18, 0, 0)) - Attendance!C662) * 24</f>
        <v>18</v>
      </c>
      <c r="M662" s="369">
        <f t="shared" si="5"/>
        <v>-18</v>
      </c>
      <c r="N662" s="369"/>
      <c r="O662" s="369"/>
      <c r="P662" s="369"/>
    </row>
    <row r="663" ht="22.5" customHeight="1">
      <c r="A663" s="394"/>
      <c r="B663" s="395"/>
      <c r="C663" s="396"/>
      <c r="D663" s="396"/>
      <c r="E663" s="363"/>
      <c r="F663" s="364"/>
      <c r="G663" s="365"/>
      <c r="H663" s="366"/>
      <c r="I663" s="366"/>
      <c r="J663" s="366"/>
      <c r="K663" s="367"/>
      <c r="L663" s="368">
        <f>(MIN(Attendance!D663, TIME(18, 0, 0)) - Attendance!C663) * 24</f>
        <v>18</v>
      </c>
      <c r="M663" s="369">
        <f t="shared" si="5"/>
        <v>-18</v>
      </c>
      <c r="N663" s="377"/>
      <c r="O663" s="377"/>
      <c r="P663" s="377"/>
    </row>
    <row r="664" ht="22.5" customHeight="1">
      <c r="A664" s="394"/>
      <c r="B664" s="395"/>
      <c r="C664" s="396"/>
      <c r="D664" s="396"/>
      <c r="E664" s="363"/>
      <c r="F664" s="364"/>
      <c r="G664" s="365"/>
      <c r="H664" s="366"/>
      <c r="I664" s="366"/>
      <c r="J664" s="366"/>
      <c r="K664" s="367"/>
      <c r="L664" s="368">
        <f>(MIN(Attendance!D664, TIME(18, 0, 0)) - Attendance!C664) * 24</f>
        <v>18</v>
      </c>
      <c r="M664" s="369">
        <f t="shared" si="5"/>
        <v>-18</v>
      </c>
      <c r="N664" s="369"/>
      <c r="O664" s="369"/>
      <c r="P664" s="369"/>
    </row>
    <row r="665" ht="22.5" customHeight="1">
      <c r="A665" s="394"/>
      <c r="B665" s="395"/>
      <c r="C665" s="396"/>
      <c r="D665" s="396"/>
      <c r="E665" s="363"/>
      <c r="F665" s="364"/>
      <c r="G665" s="365"/>
      <c r="H665" s="366"/>
      <c r="I665" s="366"/>
      <c r="J665" s="366"/>
      <c r="K665" s="367"/>
      <c r="L665" s="368">
        <f>(MIN(Attendance!D665, TIME(18, 0, 0)) - Attendance!C665) * 24</f>
        <v>18</v>
      </c>
      <c r="M665" s="369">
        <f t="shared" si="5"/>
        <v>-18</v>
      </c>
      <c r="N665" s="377"/>
      <c r="O665" s="377"/>
      <c r="P665" s="377"/>
    </row>
    <row r="666" ht="22.5" customHeight="1">
      <c r="A666" s="394"/>
      <c r="B666" s="395"/>
      <c r="C666" s="396"/>
      <c r="D666" s="396"/>
      <c r="E666" s="363"/>
      <c r="F666" s="364"/>
      <c r="G666" s="365"/>
      <c r="H666" s="366"/>
      <c r="I666" s="366"/>
      <c r="J666" s="366"/>
      <c r="K666" s="367"/>
      <c r="L666" s="368">
        <f>(MIN(Attendance!D666, TIME(18, 0, 0)) - Attendance!C666) * 24</f>
        <v>18</v>
      </c>
      <c r="M666" s="369">
        <f t="shared" si="5"/>
        <v>-18</v>
      </c>
      <c r="N666" s="369"/>
      <c r="O666" s="369"/>
      <c r="P666" s="369"/>
    </row>
    <row r="667" ht="22.5" customHeight="1">
      <c r="A667" s="394"/>
      <c r="B667" s="395"/>
      <c r="C667" s="396"/>
      <c r="D667" s="396"/>
      <c r="E667" s="363"/>
      <c r="F667" s="364"/>
      <c r="G667" s="365"/>
      <c r="H667" s="366"/>
      <c r="I667" s="366"/>
      <c r="J667" s="366"/>
      <c r="K667" s="367"/>
      <c r="L667" s="368">
        <f>(MIN(Attendance!D667, TIME(18, 0, 0)) - Attendance!C667) * 24</f>
        <v>18</v>
      </c>
      <c r="M667" s="369">
        <f t="shared" si="5"/>
        <v>-18</v>
      </c>
      <c r="N667" s="377"/>
      <c r="O667" s="377"/>
      <c r="P667" s="377"/>
    </row>
    <row r="668" ht="22.5" customHeight="1">
      <c r="A668" s="394"/>
      <c r="B668" s="395"/>
      <c r="C668" s="396"/>
      <c r="D668" s="396"/>
      <c r="E668" s="363"/>
      <c r="F668" s="364"/>
      <c r="G668" s="365"/>
      <c r="H668" s="366"/>
      <c r="I668" s="366"/>
      <c r="J668" s="366"/>
      <c r="K668" s="367"/>
      <c r="L668" s="368">
        <f>(MIN(Attendance!D668, TIME(18, 0, 0)) - Attendance!C668) * 24</f>
        <v>18</v>
      </c>
      <c r="M668" s="369">
        <f t="shared" si="5"/>
        <v>-18</v>
      </c>
      <c r="N668" s="369"/>
      <c r="O668" s="369"/>
      <c r="P668" s="369"/>
    </row>
    <row r="669" ht="22.5" customHeight="1">
      <c r="A669" s="394"/>
      <c r="B669" s="395"/>
      <c r="C669" s="396"/>
      <c r="D669" s="396"/>
      <c r="E669" s="363"/>
      <c r="F669" s="364"/>
      <c r="G669" s="365"/>
      <c r="H669" s="366"/>
      <c r="I669" s="366"/>
      <c r="J669" s="366"/>
      <c r="K669" s="367"/>
      <c r="L669" s="368">
        <f>(MIN(Attendance!D669, TIME(18, 0, 0)) - Attendance!C669) * 24</f>
        <v>18</v>
      </c>
      <c r="M669" s="369">
        <f t="shared" si="5"/>
        <v>-18</v>
      </c>
      <c r="N669" s="377"/>
      <c r="O669" s="377"/>
      <c r="P669" s="377"/>
    </row>
    <row r="670" ht="22.5" customHeight="1">
      <c r="A670" s="394"/>
      <c r="B670" s="395"/>
      <c r="C670" s="396"/>
      <c r="D670" s="396"/>
      <c r="E670" s="363"/>
      <c r="F670" s="364"/>
      <c r="G670" s="365"/>
      <c r="H670" s="366"/>
      <c r="I670" s="366"/>
      <c r="J670" s="366"/>
      <c r="K670" s="367"/>
      <c r="L670" s="368">
        <f>(MIN(Attendance!D670, TIME(18, 0, 0)) - Attendance!C670) * 24</f>
        <v>18</v>
      </c>
      <c r="M670" s="369">
        <f t="shared" si="5"/>
        <v>-18</v>
      </c>
      <c r="N670" s="369"/>
      <c r="O670" s="369"/>
      <c r="P670" s="369"/>
    </row>
    <row r="671" ht="22.5" customHeight="1">
      <c r="A671" s="394"/>
      <c r="B671" s="395"/>
      <c r="C671" s="396"/>
      <c r="D671" s="396"/>
      <c r="E671" s="363"/>
      <c r="F671" s="364"/>
      <c r="G671" s="365"/>
      <c r="H671" s="366"/>
      <c r="I671" s="366"/>
      <c r="J671" s="366"/>
      <c r="K671" s="367"/>
      <c r="L671" s="368">
        <f>(MIN(Attendance!D671, TIME(18, 0, 0)) - Attendance!C671) * 24</f>
        <v>18</v>
      </c>
      <c r="M671" s="369">
        <f t="shared" si="5"/>
        <v>-18</v>
      </c>
      <c r="N671" s="377"/>
      <c r="O671" s="377"/>
      <c r="P671" s="377"/>
    </row>
    <row r="672" ht="22.5" customHeight="1">
      <c r="A672" s="394"/>
      <c r="B672" s="395"/>
      <c r="C672" s="396"/>
      <c r="D672" s="396"/>
      <c r="E672" s="363"/>
      <c r="F672" s="364"/>
      <c r="G672" s="365"/>
      <c r="H672" s="366"/>
      <c r="I672" s="366"/>
      <c r="J672" s="366"/>
      <c r="K672" s="367"/>
      <c r="L672" s="368">
        <f>(MIN(Attendance!D672, TIME(18, 0, 0)) - Attendance!C672) * 24</f>
        <v>18</v>
      </c>
      <c r="M672" s="369">
        <f t="shared" si="5"/>
        <v>-18</v>
      </c>
      <c r="N672" s="369"/>
      <c r="O672" s="369"/>
      <c r="P672" s="369"/>
    </row>
    <row r="673" ht="22.5" customHeight="1">
      <c r="A673" s="394"/>
      <c r="B673" s="395"/>
      <c r="C673" s="396"/>
      <c r="D673" s="396"/>
      <c r="E673" s="363"/>
      <c r="F673" s="364"/>
      <c r="G673" s="365"/>
      <c r="H673" s="366"/>
      <c r="I673" s="366"/>
      <c r="J673" s="366"/>
      <c r="K673" s="367"/>
      <c r="L673" s="368">
        <f>(MIN(Attendance!D673, TIME(18, 0, 0)) - Attendance!C673) * 24</f>
        <v>18</v>
      </c>
      <c r="M673" s="369">
        <f t="shared" si="5"/>
        <v>-18</v>
      </c>
      <c r="N673" s="377"/>
      <c r="O673" s="377"/>
      <c r="P673" s="377"/>
    </row>
    <row r="674" ht="22.5" customHeight="1">
      <c r="A674" s="394"/>
      <c r="B674" s="395"/>
      <c r="C674" s="396"/>
      <c r="D674" s="396"/>
      <c r="E674" s="363"/>
      <c r="F674" s="364"/>
      <c r="G674" s="365"/>
      <c r="H674" s="366"/>
      <c r="I674" s="366"/>
      <c r="J674" s="366"/>
      <c r="K674" s="367"/>
      <c r="L674" s="368">
        <f>(MIN(Attendance!D674, TIME(18, 0, 0)) - Attendance!C674) * 24</f>
        <v>18</v>
      </c>
      <c r="M674" s="369">
        <f t="shared" si="5"/>
        <v>-18</v>
      </c>
      <c r="N674" s="369"/>
      <c r="O674" s="369"/>
      <c r="P674" s="369"/>
    </row>
    <row r="675" ht="22.5" customHeight="1">
      <c r="A675" s="394"/>
      <c r="B675" s="395"/>
      <c r="C675" s="396"/>
      <c r="D675" s="396"/>
      <c r="E675" s="363"/>
      <c r="F675" s="364"/>
      <c r="G675" s="365"/>
      <c r="H675" s="366"/>
      <c r="I675" s="366"/>
      <c r="J675" s="366"/>
      <c r="K675" s="367"/>
      <c r="L675" s="368">
        <f>(MIN(Attendance!D675, TIME(18, 0, 0)) - Attendance!C675) * 24</f>
        <v>18</v>
      </c>
      <c r="M675" s="369">
        <f t="shared" si="5"/>
        <v>-18</v>
      </c>
      <c r="N675" s="377"/>
      <c r="O675" s="377"/>
      <c r="P675" s="377"/>
    </row>
    <row r="676" ht="22.5" customHeight="1">
      <c r="A676" s="394"/>
      <c r="B676" s="395"/>
      <c r="C676" s="396"/>
      <c r="D676" s="396"/>
      <c r="E676" s="363"/>
      <c r="F676" s="364"/>
      <c r="G676" s="365"/>
      <c r="H676" s="366"/>
      <c r="I676" s="366"/>
      <c r="J676" s="366"/>
      <c r="K676" s="367"/>
      <c r="L676" s="368">
        <f>(MIN(Attendance!D676, TIME(18, 0, 0)) - Attendance!C676) * 24</f>
        <v>18</v>
      </c>
      <c r="M676" s="369">
        <f t="shared" si="5"/>
        <v>-18</v>
      </c>
      <c r="N676" s="369"/>
      <c r="O676" s="369"/>
      <c r="P676" s="369"/>
    </row>
    <row r="677" ht="22.5" customHeight="1">
      <c r="A677" s="394"/>
      <c r="B677" s="395"/>
      <c r="C677" s="396"/>
      <c r="D677" s="396"/>
      <c r="E677" s="363"/>
      <c r="F677" s="364"/>
      <c r="G677" s="365"/>
      <c r="H677" s="366"/>
      <c r="I677" s="366"/>
      <c r="J677" s="366"/>
      <c r="K677" s="367"/>
      <c r="L677" s="368">
        <f>(MIN(Attendance!D677, TIME(18, 0, 0)) - Attendance!C677) * 24</f>
        <v>18</v>
      </c>
      <c r="M677" s="369">
        <f t="shared" si="5"/>
        <v>-18</v>
      </c>
      <c r="N677" s="377"/>
      <c r="O677" s="377"/>
      <c r="P677" s="377"/>
    </row>
    <row r="678" ht="22.5" customHeight="1">
      <c r="A678" s="394"/>
      <c r="B678" s="395"/>
      <c r="C678" s="396"/>
      <c r="D678" s="396"/>
      <c r="E678" s="363"/>
      <c r="F678" s="364"/>
      <c r="G678" s="365"/>
      <c r="H678" s="366"/>
      <c r="I678" s="366"/>
      <c r="J678" s="366"/>
      <c r="K678" s="367"/>
      <c r="L678" s="368">
        <f>(MIN(Attendance!D678, TIME(18, 0, 0)) - Attendance!C678) * 24</f>
        <v>18</v>
      </c>
      <c r="M678" s="369">
        <f t="shared" si="5"/>
        <v>-18</v>
      </c>
      <c r="N678" s="369"/>
      <c r="O678" s="369"/>
      <c r="P678" s="369"/>
    </row>
    <row r="679" ht="22.5" customHeight="1">
      <c r="A679" s="394"/>
      <c r="B679" s="395"/>
      <c r="C679" s="396"/>
      <c r="D679" s="396"/>
      <c r="E679" s="363"/>
      <c r="F679" s="364"/>
      <c r="G679" s="365"/>
      <c r="H679" s="366"/>
      <c r="I679" s="366"/>
      <c r="J679" s="366"/>
      <c r="K679" s="367"/>
      <c r="L679" s="368">
        <f>(MIN(Attendance!D679, TIME(18, 0, 0)) - Attendance!C679) * 24</f>
        <v>18</v>
      </c>
      <c r="M679" s="369">
        <f t="shared" si="5"/>
        <v>-18</v>
      </c>
      <c r="N679" s="377"/>
      <c r="O679" s="377"/>
      <c r="P679" s="377"/>
    </row>
    <row r="680" ht="22.5" customHeight="1">
      <c r="A680" s="394"/>
      <c r="B680" s="395"/>
      <c r="C680" s="396"/>
      <c r="D680" s="396"/>
      <c r="E680" s="363"/>
      <c r="F680" s="364"/>
      <c r="G680" s="365"/>
      <c r="H680" s="366"/>
      <c r="I680" s="366"/>
      <c r="J680" s="366"/>
      <c r="K680" s="367"/>
      <c r="L680" s="368">
        <f>(MIN(Attendance!D680, TIME(18, 0, 0)) - Attendance!C680) * 24</f>
        <v>18</v>
      </c>
      <c r="M680" s="369">
        <f t="shared" si="5"/>
        <v>-18</v>
      </c>
      <c r="N680" s="369"/>
      <c r="O680" s="369"/>
      <c r="P680" s="369"/>
    </row>
    <row r="681" ht="22.5" customHeight="1">
      <c r="A681" s="394"/>
      <c r="B681" s="395"/>
      <c r="C681" s="396"/>
      <c r="D681" s="396"/>
      <c r="E681" s="363"/>
      <c r="F681" s="364"/>
      <c r="G681" s="365"/>
      <c r="H681" s="366"/>
      <c r="I681" s="366"/>
      <c r="J681" s="366"/>
      <c r="K681" s="367"/>
      <c r="L681" s="368">
        <f>(MIN(Attendance!D681, TIME(18, 0, 0)) - Attendance!C681) * 24</f>
        <v>18</v>
      </c>
      <c r="M681" s="369">
        <f t="shared" si="5"/>
        <v>-18</v>
      </c>
      <c r="N681" s="377"/>
      <c r="O681" s="377"/>
      <c r="P681" s="377"/>
    </row>
    <row r="682" ht="22.5" customHeight="1">
      <c r="A682" s="394"/>
      <c r="B682" s="395"/>
      <c r="C682" s="396"/>
      <c r="D682" s="396"/>
      <c r="E682" s="363"/>
      <c r="F682" s="364"/>
      <c r="G682" s="365"/>
      <c r="H682" s="366"/>
      <c r="I682" s="366"/>
      <c r="J682" s="366"/>
      <c r="K682" s="367"/>
      <c r="L682" s="368">
        <f>(MIN(Attendance!D682, TIME(18, 0, 0)) - Attendance!C682) * 24</f>
        <v>18</v>
      </c>
      <c r="M682" s="369">
        <f t="shared" si="5"/>
        <v>-18</v>
      </c>
      <c r="N682" s="369"/>
      <c r="O682" s="369"/>
      <c r="P682" s="369"/>
    </row>
    <row r="683" ht="22.5" customHeight="1">
      <c r="A683" s="394"/>
      <c r="B683" s="395"/>
      <c r="C683" s="396"/>
      <c r="D683" s="396"/>
      <c r="E683" s="363"/>
      <c r="F683" s="364"/>
      <c r="G683" s="365"/>
      <c r="H683" s="366"/>
      <c r="I683" s="366"/>
      <c r="J683" s="366"/>
      <c r="K683" s="367"/>
      <c r="L683" s="368">
        <f>(MIN(Attendance!D683, TIME(18, 0, 0)) - Attendance!C683) * 24</f>
        <v>18</v>
      </c>
      <c r="M683" s="369">
        <f t="shared" si="5"/>
        <v>-18</v>
      </c>
      <c r="N683" s="377"/>
      <c r="O683" s="377"/>
      <c r="P683" s="377"/>
    </row>
    <row r="684" ht="22.5" customHeight="1">
      <c r="A684" s="394"/>
      <c r="B684" s="395"/>
      <c r="C684" s="396"/>
      <c r="D684" s="396"/>
      <c r="E684" s="363"/>
      <c r="F684" s="364"/>
      <c r="G684" s="365"/>
      <c r="H684" s="366"/>
      <c r="I684" s="366"/>
      <c r="J684" s="366"/>
      <c r="K684" s="367"/>
      <c r="L684" s="368">
        <f>(MIN(Attendance!D684, TIME(18, 0, 0)) - Attendance!C684) * 24</f>
        <v>18</v>
      </c>
      <c r="M684" s="369">
        <f t="shared" si="5"/>
        <v>-18</v>
      </c>
      <c r="N684" s="369"/>
      <c r="O684" s="369"/>
      <c r="P684" s="369"/>
    </row>
    <row r="685" ht="22.5" customHeight="1">
      <c r="A685" s="394"/>
      <c r="B685" s="395"/>
      <c r="C685" s="396"/>
      <c r="D685" s="396"/>
      <c r="E685" s="363"/>
      <c r="F685" s="364"/>
      <c r="G685" s="365"/>
      <c r="H685" s="366"/>
      <c r="I685" s="366"/>
      <c r="J685" s="366"/>
      <c r="K685" s="367"/>
      <c r="L685" s="368">
        <f>(MIN(Attendance!D685, TIME(18, 0, 0)) - Attendance!C685) * 24</f>
        <v>18</v>
      </c>
      <c r="M685" s="369">
        <f t="shared" si="5"/>
        <v>-18</v>
      </c>
      <c r="N685" s="377"/>
      <c r="O685" s="377"/>
      <c r="P685" s="377"/>
    </row>
    <row r="686" ht="22.5" customHeight="1">
      <c r="A686" s="394"/>
      <c r="B686" s="395"/>
      <c r="C686" s="396"/>
      <c r="D686" s="396"/>
      <c r="E686" s="363"/>
      <c r="F686" s="364"/>
      <c r="G686" s="365"/>
      <c r="H686" s="366"/>
      <c r="I686" s="366"/>
      <c r="J686" s="366"/>
      <c r="K686" s="367"/>
      <c r="L686" s="368">
        <f>(MIN(Attendance!D686, TIME(18, 0, 0)) - Attendance!C686) * 24</f>
        <v>18</v>
      </c>
      <c r="M686" s="369">
        <f t="shared" si="5"/>
        <v>-18</v>
      </c>
      <c r="N686" s="369"/>
      <c r="O686" s="369"/>
      <c r="P686" s="369"/>
    </row>
    <row r="687" ht="22.5" customHeight="1">
      <c r="A687" s="394"/>
      <c r="B687" s="395"/>
      <c r="C687" s="396"/>
      <c r="D687" s="396"/>
      <c r="E687" s="363"/>
      <c r="F687" s="364"/>
      <c r="G687" s="365"/>
      <c r="H687" s="366"/>
      <c r="I687" s="366"/>
      <c r="J687" s="366"/>
      <c r="K687" s="367"/>
      <c r="L687" s="368">
        <f>(MIN(Attendance!D687, TIME(18, 0, 0)) - Attendance!C687) * 24</f>
        <v>18</v>
      </c>
      <c r="M687" s="369">
        <f t="shared" si="5"/>
        <v>-18</v>
      </c>
      <c r="N687" s="377"/>
      <c r="O687" s="377"/>
      <c r="P687" s="377"/>
    </row>
    <row r="688" ht="22.5" customHeight="1">
      <c r="A688" s="394"/>
      <c r="B688" s="395"/>
      <c r="C688" s="396"/>
      <c r="D688" s="396"/>
      <c r="E688" s="363"/>
      <c r="F688" s="364"/>
      <c r="G688" s="365"/>
      <c r="H688" s="366"/>
      <c r="I688" s="366"/>
      <c r="J688" s="366"/>
      <c r="K688" s="367"/>
      <c r="L688" s="368">
        <f>(MIN(Attendance!D688, TIME(18, 0, 0)) - Attendance!C688) * 24</f>
        <v>18</v>
      </c>
      <c r="M688" s="369">
        <f t="shared" si="5"/>
        <v>-18</v>
      </c>
      <c r="N688" s="369"/>
      <c r="O688" s="369"/>
      <c r="P688" s="369"/>
    </row>
    <row r="689" ht="22.5" customHeight="1">
      <c r="A689" s="394"/>
      <c r="B689" s="395"/>
      <c r="C689" s="396"/>
      <c r="D689" s="396"/>
      <c r="E689" s="363"/>
      <c r="F689" s="364"/>
      <c r="G689" s="365"/>
      <c r="H689" s="366"/>
      <c r="I689" s="366"/>
      <c r="J689" s="366"/>
      <c r="K689" s="367"/>
      <c r="L689" s="368">
        <f>(MIN(Attendance!D689, TIME(18, 0, 0)) - Attendance!C689) * 24</f>
        <v>18</v>
      </c>
      <c r="M689" s="369">
        <f t="shared" si="5"/>
        <v>-18</v>
      </c>
      <c r="N689" s="377"/>
      <c r="O689" s="377"/>
      <c r="P689" s="377"/>
    </row>
    <row r="690" ht="22.5" customHeight="1">
      <c r="A690" s="394"/>
      <c r="B690" s="395"/>
      <c r="C690" s="396"/>
      <c r="D690" s="396"/>
      <c r="E690" s="363"/>
      <c r="F690" s="364"/>
      <c r="G690" s="365"/>
      <c r="H690" s="366"/>
      <c r="I690" s="366"/>
      <c r="J690" s="366"/>
      <c r="K690" s="367"/>
      <c r="L690" s="368">
        <f>(MIN(Attendance!D690, TIME(18, 0, 0)) - Attendance!C690) * 24</f>
        <v>18</v>
      </c>
      <c r="M690" s="369">
        <f t="shared" si="5"/>
        <v>-18</v>
      </c>
      <c r="N690" s="369"/>
      <c r="O690" s="369"/>
      <c r="P690" s="369"/>
    </row>
    <row r="691" ht="22.5" customHeight="1">
      <c r="A691" s="394"/>
      <c r="B691" s="395"/>
      <c r="C691" s="396"/>
      <c r="D691" s="396"/>
      <c r="E691" s="363"/>
      <c r="F691" s="364"/>
      <c r="G691" s="365"/>
      <c r="H691" s="366"/>
      <c r="I691" s="366"/>
      <c r="J691" s="366"/>
      <c r="K691" s="367"/>
      <c r="L691" s="368">
        <f>(MIN(Attendance!D691, TIME(18, 0, 0)) - Attendance!C691) * 24</f>
        <v>18</v>
      </c>
      <c r="M691" s="369">
        <f t="shared" si="5"/>
        <v>-18</v>
      </c>
      <c r="N691" s="377"/>
      <c r="O691" s="377"/>
      <c r="P691" s="377"/>
    </row>
    <row r="692" ht="22.5" customHeight="1">
      <c r="A692" s="394"/>
      <c r="B692" s="395"/>
      <c r="C692" s="396"/>
      <c r="D692" s="396"/>
      <c r="E692" s="363"/>
      <c r="F692" s="364"/>
      <c r="G692" s="365"/>
      <c r="H692" s="366"/>
      <c r="I692" s="366"/>
      <c r="J692" s="366"/>
      <c r="K692" s="367"/>
      <c r="L692" s="368">
        <f>(MIN(Attendance!D692, TIME(18, 0, 0)) - Attendance!C692) * 24</f>
        <v>18</v>
      </c>
      <c r="M692" s="369">
        <f t="shared" si="5"/>
        <v>-18</v>
      </c>
      <c r="N692" s="369"/>
      <c r="O692" s="369"/>
      <c r="P692" s="369"/>
    </row>
    <row r="693" ht="22.5" customHeight="1">
      <c r="A693" s="394"/>
      <c r="B693" s="395"/>
      <c r="C693" s="396"/>
      <c r="D693" s="396"/>
      <c r="E693" s="363"/>
      <c r="F693" s="364"/>
      <c r="G693" s="365"/>
      <c r="H693" s="366"/>
      <c r="I693" s="366"/>
      <c r="J693" s="366"/>
      <c r="K693" s="367"/>
      <c r="L693" s="368">
        <f>(MIN(Attendance!D693, TIME(18, 0, 0)) - Attendance!C693) * 24</f>
        <v>18</v>
      </c>
      <c r="M693" s="369">
        <f t="shared" si="5"/>
        <v>-18</v>
      </c>
      <c r="N693" s="377"/>
      <c r="O693" s="377"/>
      <c r="P693" s="377"/>
    </row>
    <row r="694" ht="22.5" customHeight="1">
      <c r="A694" s="394"/>
      <c r="B694" s="395"/>
      <c r="C694" s="396"/>
      <c r="D694" s="396"/>
      <c r="E694" s="363"/>
      <c r="F694" s="364"/>
      <c r="G694" s="365"/>
      <c r="H694" s="366"/>
      <c r="I694" s="366"/>
      <c r="J694" s="366"/>
      <c r="K694" s="367"/>
      <c r="L694" s="368">
        <f>(MIN(Attendance!D694, TIME(18, 0, 0)) - Attendance!C694) * 24</f>
        <v>18</v>
      </c>
      <c r="M694" s="369">
        <f t="shared" si="5"/>
        <v>-18</v>
      </c>
      <c r="N694" s="369"/>
      <c r="O694" s="369"/>
      <c r="P694" s="369"/>
    </row>
    <row r="695" ht="22.5" customHeight="1">
      <c r="A695" s="394"/>
      <c r="B695" s="395"/>
      <c r="C695" s="396"/>
      <c r="D695" s="396"/>
      <c r="E695" s="363"/>
      <c r="F695" s="364"/>
      <c r="G695" s="365"/>
      <c r="H695" s="366"/>
      <c r="I695" s="366"/>
      <c r="J695" s="366"/>
      <c r="K695" s="367"/>
      <c r="L695" s="368">
        <f>(MIN(Attendance!D695, TIME(18, 0, 0)) - Attendance!C695) * 24</f>
        <v>18</v>
      </c>
      <c r="M695" s="369">
        <f t="shared" si="5"/>
        <v>-18</v>
      </c>
      <c r="N695" s="377"/>
      <c r="O695" s="377"/>
      <c r="P695" s="377"/>
    </row>
    <row r="696" ht="22.5" customHeight="1">
      <c r="A696" s="394"/>
      <c r="B696" s="395"/>
      <c r="C696" s="396"/>
      <c r="D696" s="396"/>
      <c r="E696" s="363"/>
      <c r="F696" s="364"/>
      <c r="G696" s="365"/>
      <c r="H696" s="366"/>
      <c r="I696" s="366"/>
      <c r="J696" s="366"/>
      <c r="K696" s="367"/>
      <c r="L696" s="368">
        <f>(MIN(Attendance!D696, TIME(18, 0, 0)) - Attendance!C696) * 24</f>
        <v>18</v>
      </c>
      <c r="M696" s="369">
        <f t="shared" si="5"/>
        <v>-18</v>
      </c>
      <c r="N696" s="369"/>
      <c r="O696" s="369"/>
      <c r="P696" s="369"/>
    </row>
    <row r="697" ht="22.5" customHeight="1">
      <c r="A697" s="394"/>
      <c r="B697" s="395"/>
      <c r="C697" s="396"/>
      <c r="D697" s="396"/>
      <c r="E697" s="363"/>
      <c r="F697" s="364"/>
      <c r="G697" s="365"/>
      <c r="H697" s="366"/>
      <c r="I697" s="366"/>
      <c r="J697" s="366"/>
      <c r="K697" s="367"/>
      <c r="L697" s="368">
        <f>(MIN(Attendance!D697, TIME(18, 0, 0)) - Attendance!C697) * 24</f>
        <v>18</v>
      </c>
      <c r="M697" s="369">
        <f t="shared" si="5"/>
        <v>-18</v>
      </c>
      <c r="N697" s="377"/>
      <c r="O697" s="377"/>
      <c r="P697" s="377"/>
    </row>
    <row r="698" ht="22.5" customHeight="1">
      <c r="A698" s="394"/>
      <c r="B698" s="395"/>
      <c r="C698" s="396"/>
      <c r="D698" s="396"/>
      <c r="E698" s="363"/>
      <c r="F698" s="364"/>
      <c r="G698" s="365"/>
      <c r="H698" s="366"/>
      <c r="I698" s="366"/>
      <c r="J698" s="366"/>
      <c r="K698" s="367"/>
      <c r="L698" s="368">
        <f>(MIN(Attendance!D698, TIME(18, 0, 0)) - Attendance!C698) * 24</f>
        <v>18</v>
      </c>
      <c r="M698" s="369">
        <f t="shared" si="5"/>
        <v>-18</v>
      </c>
      <c r="N698" s="369"/>
      <c r="O698" s="369"/>
      <c r="P698" s="369"/>
    </row>
    <row r="699" ht="22.5" customHeight="1">
      <c r="A699" s="394"/>
      <c r="B699" s="395"/>
      <c r="C699" s="396"/>
      <c r="D699" s="396"/>
      <c r="E699" s="363"/>
      <c r="F699" s="364"/>
      <c r="G699" s="365"/>
      <c r="H699" s="366"/>
      <c r="I699" s="366"/>
      <c r="J699" s="366"/>
      <c r="K699" s="367"/>
      <c r="L699" s="368">
        <f>(MIN(Attendance!D699, TIME(18, 0, 0)) - Attendance!C699) * 24</f>
        <v>18</v>
      </c>
      <c r="M699" s="369">
        <f t="shared" si="5"/>
        <v>-18</v>
      </c>
      <c r="N699" s="377"/>
      <c r="O699" s="377"/>
      <c r="P699" s="377"/>
    </row>
    <row r="700" ht="22.5" customHeight="1">
      <c r="A700" s="394"/>
      <c r="B700" s="395"/>
      <c r="C700" s="396"/>
      <c r="D700" s="396"/>
      <c r="E700" s="363"/>
      <c r="F700" s="364"/>
      <c r="G700" s="365"/>
      <c r="H700" s="366"/>
      <c r="I700" s="366"/>
      <c r="J700" s="366"/>
      <c r="K700" s="367"/>
      <c r="L700" s="368">
        <f>(MIN(Attendance!D700, TIME(18, 0, 0)) - Attendance!C700) * 24</f>
        <v>18</v>
      </c>
      <c r="M700" s="369">
        <f t="shared" si="5"/>
        <v>-18</v>
      </c>
      <c r="N700" s="369"/>
      <c r="O700" s="369"/>
      <c r="P700" s="369"/>
    </row>
    <row r="701" ht="22.5" customHeight="1">
      <c r="A701" s="394"/>
      <c r="B701" s="395"/>
      <c r="C701" s="396"/>
      <c r="D701" s="396"/>
      <c r="E701" s="363"/>
      <c r="F701" s="364"/>
      <c r="G701" s="365"/>
      <c r="H701" s="366"/>
      <c r="I701" s="366"/>
      <c r="J701" s="366"/>
      <c r="K701" s="367"/>
      <c r="L701" s="368">
        <f>(MIN(Attendance!D701, TIME(18, 0, 0)) - Attendance!C701) * 24</f>
        <v>18</v>
      </c>
      <c r="M701" s="369">
        <f t="shared" si="5"/>
        <v>-18</v>
      </c>
      <c r="N701" s="377"/>
      <c r="O701" s="377"/>
      <c r="P701" s="377"/>
    </row>
    <row r="702" ht="22.5" customHeight="1">
      <c r="A702" s="394"/>
      <c r="B702" s="395"/>
      <c r="C702" s="396"/>
      <c r="D702" s="396"/>
      <c r="E702" s="363"/>
      <c r="F702" s="364"/>
      <c r="G702" s="365"/>
      <c r="H702" s="366"/>
      <c r="I702" s="366"/>
      <c r="J702" s="366"/>
      <c r="K702" s="367"/>
      <c r="L702" s="368">
        <f>(MIN(Attendance!D702, TIME(18, 0, 0)) - Attendance!C702) * 24</f>
        <v>18</v>
      </c>
      <c r="M702" s="369">
        <f t="shared" si="5"/>
        <v>-18</v>
      </c>
      <c r="N702" s="369"/>
      <c r="O702" s="369"/>
      <c r="P702" s="369"/>
    </row>
    <row r="703" ht="22.5" customHeight="1">
      <c r="A703" s="394"/>
      <c r="B703" s="395"/>
      <c r="C703" s="396"/>
      <c r="D703" s="396"/>
      <c r="E703" s="363"/>
      <c r="F703" s="364"/>
      <c r="G703" s="365"/>
      <c r="H703" s="366"/>
      <c r="I703" s="366"/>
      <c r="J703" s="366"/>
      <c r="K703" s="367"/>
      <c r="L703" s="368">
        <f>(MIN(Attendance!D703, TIME(18, 0, 0)) - Attendance!C703) * 24</f>
        <v>18</v>
      </c>
      <c r="M703" s="369">
        <f t="shared" si="5"/>
        <v>-18</v>
      </c>
      <c r="N703" s="377"/>
      <c r="O703" s="377"/>
      <c r="P703" s="377"/>
    </row>
    <row r="704" ht="22.5" customHeight="1">
      <c r="A704" s="394"/>
      <c r="B704" s="395"/>
      <c r="C704" s="396"/>
      <c r="D704" s="396"/>
      <c r="E704" s="363"/>
      <c r="F704" s="364"/>
      <c r="G704" s="365"/>
      <c r="H704" s="366"/>
      <c r="I704" s="366"/>
      <c r="J704" s="366"/>
      <c r="K704" s="367"/>
      <c r="L704" s="368">
        <f>(MIN(Attendance!D704, TIME(18, 0, 0)) - Attendance!C704) * 24</f>
        <v>18</v>
      </c>
      <c r="M704" s="369">
        <f t="shared" si="5"/>
        <v>-18</v>
      </c>
      <c r="N704" s="369"/>
      <c r="O704" s="369"/>
      <c r="P704" s="369"/>
    </row>
    <row r="705" ht="22.5" customHeight="1">
      <c r="A705" s="394"/>
      <c r="B705" s="395"/>
      <c r="C705" s="396"/>
      <c r="D705" s="396"/>
      <c r="E705" s="363"/>
      <c r="F705" s="364"/>
      <c r="G705" s="365"/>
      <c r="H705" s="366"/>
      <c r="I705" s="366"/>
      <c r="J705" s="366"/>
      <c r="K705" s="367"/>
      <c r="L705" s="368">
        <f>(MIN(Attendance!D705, TIME(18, 0, 0)) - Attendance!C705) * 24</f>
        <v>18</v>
      </c>
      <c r="M705" s="369">
        <f t="shared" si="5"/>
        <v>-18</v>
      </c>
      <c r="N705" s="377"/>
      <c r="O705" s="377"/>
      <c r="P705" s="377"/>
    </row>
    <row r="706" ht="22.5" customHeight="1">
      <c r="A706" s="394"/>
      <c r="B706" s="395"/>
      <c r="C706" s="396"/>
      <c r="D706" s="396"/>
      <c r="E706" s="363"/>
      <c r="F706" s="364"/>
      <c r="G706" s="365"/>
      <c r="H706" s="366"/>
      <c r="I706" s="366"/>
      <c r="J706" s="366"/>
      <c r="K706" s="367"/>
      <c r="L706" s="368">
        <f>(MIN(Attendance!D706, TIME(18, 0, 0)) - Attendance!C706) * 24</f>
        <v>18</v>
      </c>
      <c r="M706" s="369">
        <f t="shared" si="5"/>
        <v>-18</v>
      </c>
      <c r="N706" s="369"/>
      <c r="O706" s="369"/>
      <c r="P706" s="369"/>
    </row>
    <row r="707" ht="22.5" customHeight="1">
      <c r="A707" s="394"/>
      <c r="B707" s="395"/>
      <c r="C707" s="396"/>
      <c r="D707" s="396"/>
      <c r="E707" s="363"/>
      <c r="F707" s="364"/>
      <c r="G707" s="365"/>
      <c r="H707" s="366"/>
      <c r="I707" s="366"/>
      <c r="J707" s="366"/>
      <c r="K707" s="367"/>
      <c r="L707" s="368">
        <f>(MIN(Attendance!D707, TIME(18, 0, 0)) - Attendance!C707) * 24</f>
        <v>18</v>
      </c>
      <c r="M707" s="369">
        <f t="shared" si="5"/>
        <v>-18</v>
      </c>
      <c r="N707" s="377"/>
      <c r="O707" s="377"/>
      <c r="P707" s="377"/>
    </row>
    <row r="708" ht="22.5" customHeight="1">
      <c r="A708" s="394"/>
      <c r="B708" s="395"/>
      <c r="C708" s="396"/>
      <c r="D708" s="396"/>
      <c r="E708" s="363"/>
      <c r="F708" s="364"/>
      <c r="G708" s="365"/>
      <c r="H708" s="366"/>
      <c r="I708" s="366"/>
      <c r="J708" s="366"/>
      <c r="K708" s="367"/>
      <c r="L708" s="368">
        <f>(MIN(Attendance!D708, TIME(18, 0, 0)) - Attendance!C708) * 24</f>
        <v>18</v>
      </c>
      <c r="M708" s="369">
        <f t="shared" si="5"/>
        <v>-18</v>
      </c>
      <c r="N708" s="369"/>
      <c r="O708" s="369"/>
      <c r="P708" s="369"/>
    </row>
    <row r="709" ht="22.5" customHeight="1">
      <c r="A709" s="394"/>
      <c r="B709" s="395"/>
      <c r="C709" s="396"/>
      <c r="D709" s="396"/>
      <c r="E709" s="363"/>
      <c r="F709" s="364"/>
      <c r="G709" s="365"/>
      <c r="H709" s="366"/>
      <c r="I709" s="366"/>
      <c r="J709" s="366"/>
      <c r="K709" s="367"/>
      <c r="L709" s="368">
        <f>(MIN(Attendance!D709, TIME(18, 0, 0)) - Attendance!C709) * 24</f>
        <v>18</v>
      </c>
      <c r="M709" s="369">
        <f t="shared" si="5"/>
        <v>-18</v>
      </c>
      <c r="N709" s="377"/>
      <c r="O709" s="377"/>
      <c r="P709" s="377"/>
    </row>
    <row r="710" ht="22.5" customHeight="1">
      <c r="A710" s="394"/>
      <c r="B710" s="395"/>
      <c r="C710" s="396"/>
      <c r="D710" s="396"/>
      <c r="E710" s="363"/>
      <c r="F710" s="364"/>
      <c r="G710" s="365"/>
      <c r="H710" s="366"/>
      <c r="I710" s="366"/>
      <c r="J710" s="366"/>
      <c r="K710" s="367"/>
      <c r="L710" s="368">
        <f>(MIN(Attendance!D710, TIME(18, 0, 0)) - Attendance!C710) * 24</f>
        <v>18</v>
      </c>
      <c r="M710" s="369">
        <f t="shared" si="5"/>
        <v>-18</v>
      </c>
      <c r="N710" s="369"/>
      <c r="O710" s="369"/>
      <c r="P710" s="369"/>
    </row>
    <row r="711" ht="22.5" customHeight="1">
      <c r="A711" s="394"/>
      <c r="B711" s="395"/>
      <c r="C711" s="396"/>
      <c r="D711" s="396"/>
      <c r="E711" s="363"/>
      <c r="F711" s="364"/>
      <c r="G711" s="365"/>
      <c r="H711" s="366"/>
      <c r="I711" s="366"/>
      <c r="J711" s="366"/>
      <c r="K711" s="367"/>
      <c r="L711" s="368">
        <f>(MIN(Attendance!D711, TIME(18, 0, 0)) - Attendance!C711) * 24</f>
        <v>18</v>
      </c>
      <c r="M711" s="369">
        <f t="shared" si="5"/>
        <v>-18</v>
      </c>
      <c r="N711" s="377"/>
      <c r="O711" s="377"/>
      <c r="P711" s="377"/>
    </row>
    <row r="712" ht="22.5" customHeight="1">
      <c r="A712" s="394"/>
      <c r="B712" s="395"/>
      <c r="C712" s="396"/>
      <c r="D712" s="396"/>
      <c r="E712" s="363"/>
      <c r="F712" s="364"/>
      <c r="G712" s="365"/>
      <c r="H712" s="366"/>
      <c r="I712" s="366"/>
      <c r="J712" s="366"/>
      <c r="K712" s="367"/>
      <c r="L712" s="368">
        <f>(MIN(Attendance!D712, TIME(18, 0, 0)) - Attendance!C712) * 24</f>
        <v>18</v>
      </c>
      <c r="M712" s="369">
        <f t="shared" si="5"/>
        <v>-18</v>
      </c>
      <c r="N712" s="369"/>
      <c r="O712" s="369"/>
      <c r="P712" s="369"/>
    </row>
    <row r="713" ht="22.5" customHeight="1">
      <c r="A713" s="394"/>
      <c r="B713" s="395"/>
      <c r="C713" s="396"/>
      <c r="D713" s="396"/>
      <c r="E713" s="363"/>
      <c r="F713" s="364"/>
      <c r="G713" s="365"/>
      <c r="H713" s="366"/>
      <c r="I713" s="366"/>
      <c r="J713" s="366"/>
      <c r="K713" s="367"/>
      <c r="L713" s="368">
        <f>(MIN(Attendance!D713, TIME(18, 0, 0)) - Attendance!C713) * 24</f>
        <v>18</v>
      </c>
      <c r="M713" s="369">
        <f t="shared" si="5"/>
        <v>-18</v>
      </c>
      <c r="N713" s="377"/>
      <c r="O713" s="377"/>
      <c r="P713" s="377"/>
    </row>
    <row r="714" ht="22.5" customHeight="1">
      <c r="A714" s="394"/>
      <c r="B714" s="395"/>
      <c r="C714" s="396"/>
      <c r="D714" s="396"/>
      <c r="E714" s="363"/>
      <c r="F714" s="364"/>
      <c r="G714" s="365"/>
      <c r="H714" s="366"/>
      <c r="I714" s="366"/>
      <c r="J714" s="366"/>
      <c r="K714" s="367"/>
      <c r="L714" s="368">
        <f>(MIN(Attendance!D714, TIME(18, 0, 0)) - Attendance!C714) * 24</f>
        <v>18</v>
      </c>
      <c r="M714" s="369">
        <f t="shared" si="5"/>
        <v>-18</v>
      </c>
      <c r="N714" s="369"/>
      <c r="O714" s="369"/>
      <c r="P714" s="369"/>
    </row>
    <row r="715" ht="22.5" customHeight="1">
      <c r="A715" s="394"/>
      <c r="B715" s="395"/>
      <c r="C715" s="396"/>
      <c r="D715" s="396"/>
      <c r="E715" s="363"/>
      <c r="F715" s="364"/>
      <c r="G715" s="365"/>
      <c r="H715" s="366"/>
      <c r="I715" s="366"/>
      <c r="J715" s="366"/>
      <c r="K715" s="367"/>
      <c r="L715" s="368">
        <f>(MIN(Attendance!D715, TIME(18, 0, 0)) - Attendance!C715) * 24</f>
        <v>18</v>
      </c>
      <c r="M715" s="369">
        <f t="shared" si="5"/>
        <v>-18</v>
      </c>
      <c r="N715" s="377"/>
      <c r="O715" s="377"/>
      <c r="P715" s="377"/>
    </row>
    <row r="716" ht="22.5" customHeight="1">
      <c r="A716" s="394"/>
      <c r="B716" s="395"/>
      <c r="C716" s="396"/>
      <c r="D716" s="396"/>
      <c r="E716" s="363"/>
      <c r="F716" s="364"/>
      <c r="G716" s="365"/>
      <c r="H716" s="366"/>
      <c r="I716" s="366"/>
      <c r="J716" s="366"/>
      <c r="K716" s="367"/>
      <c r="L716" s="368">
        <f>(MIN(Attendance!D716, TIME(18, 0, 0)) - Attendance!C716) * 24</f>
        <v>18</v>
      </c>
      <c r="M716" s="369">
        <f t="shared" si="5"/>
        <v>-18</v>
      </c>
      <c r="N716" s="369"/>
      <c r="O716" s="369"/>
      <c r="P716" s="369"/>
    </row>
    <row r="717" ht="22.5" customHeight="1">
      <c r="A717" s="394"/>
      <c r="B717" s="395"/>
      <c r="C717" s="396"/>
      <c r="D717" s="396"/>
      <c r="E717" s="363"/>
      <c r="F717" s="364"/>
      <c r="G717" s="365"/>
      <c r="H717" s="366"/>
      <c r="I717" s="366"/>
      <c r="J717" s="366"/>
      <c r="K717" s="367"/>
      <c r="L717" s="368">
        <f>(MIN(Attendance!D717, TIME(18, 0, 0)) - Attendance!C717) * 24</f>
        <v>18</v>
      </c>
      <c r="M717" s="369">
        <f t="shared" si="5"/>
        <v>-18</v>
      </c>
      <c r="N717" s="377"/>
      <c r="O717" s="377"/>
      <c r="P717" s="377"/>
    </row>
    <row r="718" ht="22.5" customHeight="1">
      <c r="A718" s="394"/>
      <c r="B718" s="395"/>
      <c r="C718" s="396"/>
      <c r="D718" s="396"/>
      <c r="E718" s="363"/>
      <c r="F718" s="364"/>
      <c r="G718" s="365"/>
      <c r="H718" s="366"/>
      <c r="I718" s="366"/>
      <c r="J718" s="366"/>
      <c r="K718" s="367"/>
      <c r="L718" s="368">
        <f>(MIN(Attendance!D718, TIME(18, 0, 0)) - Attendance!C718) * 24</f>
        <v>18</v>
      </c>
      <c r="M718" s="369">
        <f t="shared" si="5"/>
        <v>-18</v>
      </c>
      <c r="N718" s="369"/>
      <c r="O718" s="369"/>
      <c r="P718" s="369"/>
    </row>
    <row r="719" ht="22.5" customHeight="1">
      <c r="A719" s="394"/>
      <c r="B719" s="395"/>
      <c r="C719" s="396"/>
      <c r="D719" s="396"/>
      <c r="E719" s="363"/>
      <c r="F719" s="364"/>
      <c r="G719" s="365"/>
      <c r="H719" s="366"/>
      <c r="I719" s="366"/>
      <c r="J719" s="366"/>
      <c r="K719" s="367"/>
      <c r="L719" s="368">
        <f>(MIN(Attendance!D719, TIME(18, 0, 0)) - Attendance!C719) * 24</f>
        <v>18</v>
      </c>
      <c r="M719" s="369">
        <f t="shared" si="5"/>
        <v>-18</v>
      </c>
      <c r="N719" s="377"/>
      <c r="O719" s="377"/>
      <c r="P719" s="377"/>
    </row>
    <row r="720" ht="22.5" customHeight="1">
      <c r="A720" s="394"/>
      <c r="B720" s="395"/>
      <c r="C720" s="396"/>
      <c r="D720" s="396"/>
      <c r="E720" s="363"/>
      <c r="F720" s="364"/>
      <c r="G720" s="365"/>
      <c r="H720" s="366"/>
      <c r="I720" s="366"/>
      <c r="J720" s="366"/>
      <c r="K720" s="367"/>
      <c r="L720" s="368">
        <f>(MIN(Attendance!D720, TIME(18, 0, 0)) - Attendance!C720) * 24</f>
        <v>18</v>
      </c>
      <c r="M720" s="369">
        <f t="shared" si="5"/>
        <v>-18</v>
      </c>
      <c r="N720" s="369"/>
      <c r="O720" s="369"/>
      <c r="P720" s="369"/>
    </row>
    <row r="721" ht="22.5" customHeight="1">
      <c r="A721" s="394"/>
      <c r="B721" s="395"/>
      <c r="C721" s="396"/>
      <c r="D721" s="396"/>
      <c r="E721" s="363"/>
      <c r="F721" s="364"/>
      <c r="G721" s="365"/>
      <c r="H721" s="366"/>
      <c r="I721" s="366"/>
      <c r="J721" s="366"/>
      <c r="K721" s="367"/>
      <c r="L721" s="368">
        <f>(MIN(Attendance!D721, TIME(18, 0, 0)) - Attendance!C721) * 24</f>
        <v>18</v>
      </c>
      <c r="M721" s="369">
        <f t="shared" si="5"/>
        <v>-18</v>
      </c>
      <c r="N721" s="377"/>
      <c r="O721" s="377"/>
      <c r="P721" s="377"/>
    </row>
    <row r="722" ht="22.5" customHeight="1">
      <c r="A722" s="394"/>
      <c r="B722" s="395"/>
      <c r="C722" s="396"/>
      <c r="D722" s="396"/>
      <c r="E722" s="363"/>
      <c r="F722" s="364"/>
      <c r="G722" s="365"/>
      <c r="H722" s="366"/>
      <c r="I722" s="366"/>
      <c r="J722" s="366"/>
      <c r="K722" s="367"/>
      <c r="L722" s="368">
        <f>(MIN(Attendance!D722, TIME(18, 0, 0)) - Attendance!C722) * 24</f>
        <v>18</v>
      </c>
      <c r="M722" s="369">
        <f t="shared" si="5"/>
        <v>-18</v>
      </c>
      <c r="N722" s="369"/>
      <c r="O722" s="369"/>
      <c r="P722" s="369"/>
    </row>
    <row r="723" ht="22.5" customHeight="1">
      <c r="A723" s="394"/>
      <c r="B723" s="395"/>
      <c r="C723" s="396"/>
      <c r="D723" s="396"/>
      <c r="E723" s="363"/>
      <c r="F723" s="364"/>
      <c r="G723" s="365"/>
      <c r="H723" s="366"/>
      <c r="I723" s="366"/>
      <c r="J723" s="366"/>
      <c r="K723" s="367"/>
      <c r="L723" s="368">
        <f>(MIN(Attendance!D723, TIME(18, 0, 0)) - Attendance!C723) * 24</f>
        <v>18</v>
      </c>
      <c r="M723" s="369">
        <f t="shared" si="5"/>
        <v>-18</v>
      </c>
      <c r="N723" s="377"/>
      <c r="O723" s="377"/>
      <c r="P723" s="377"/>
    </row>
    <row r="724" ht="22.5" customHeight="1">
      <c r="A724" s="394"/>
      <c r="B724" s="395"/>
      <c r="C724" s="396"/>
      <c r="D724" s="396"/>
      <c r="E724" s="363"/>
      <c r="F724" s="364"/>
      <c r="G724" s="365"/>
      <c r="H724" s="366"/>
      <c r="I724" s="366"/>
      <c r="J724" s="366"/>
      <c r="K724" s="367"/>
      <c r="L724" s="368">
        <f>(MIN(Attendance!D724, TIME(18, 0, 0)) - Attendance!C724) * 24</f>
        <v>18</v>
      </c>
      <c r="M724" s="369">
        <f t="shared" si="5"/>
        <v>-18</v>
      </c>
      <c r="N724" s="369"/>
      <c r="O724" s="369"/>
      <c r="P724" s="369"/>
    </row>
    <row r="725" ht="22.5" customHeight="1">
      <c r="A725" s="394"/>
      <c r="B725" s="395"/>
      <c r="C725" s="396"/>
      <c r="D725" s="396"/>
      <c r="E725" s="363"/>
      <c r="F725" s="364"/>
      <c r="G725" s="365"/>
      <c r="H725" s="366"/>
      <c r="I725" s="366"/>
      <c r="J725" s="366"/>
      <c r="K725" s="367"/>
      <c r="L725" s="368">
        <f>(MIN(Attendance!D725, TIME(18, 0, 0)) - Attendance!C725) * 24</f>
        <v>18</v>
      </c>
      <c r="M725" s="369">
        <f t="shared" si="5"/>
        <v>-18</v>
      </c>
      <c r="N725" s="377"/>
      <c r="O725" s="377"/>
      <c r="P725" s="377"/>
    </row>
    <row r="726" ht="22.5" customHeight="1">
      <c r="A726" s="394"/>
      <c r="B726" s="395"/>
      <c r="C726" s="396"/>
      <c r="D726" s="396"/>
      <c r="E726" s="363"/>
      <c r="F726" s="364"/>
      <c r="G726" s="365"/>
      <c r="H726" s="366"/>
      <c r="I726" s="366"/>
      <c r="J726" s="366"/>
      <c r="K726" s="367"/>
      <c r="L726" s="368">
        <f>(MIN(Attendance!D726, TIME(18, 0, 0)) - Attendance!C726) * 24</f>
        <v>18</v>
      </c>
      <c r="M726" s="369">
        <f t="shared" si="5"/>
        <v>-18</v>
      </c>
      <c r="N726" s="369"/>
      <c r="O726" s="369"/>
      <c r="P726" s="369"/>
    </row>
    <row r="727" ht="22.5" customHeight="1">
      <c r="A727" s="394"/>
      <c r="B727" s="395"/>
      <c r="C727" s="396"/>
      <c r="D727" s="396"/>
      <c r="E727" s="363"/>
      <c r="F727" s="364"/>
      <c r="G727" s="365"/>
      <c r="H727" s="366"/>
      <c r="I727" s="366"/>
      <c r="J727" s="366"/>
      <c r="K727" s="367"/>
      <c r="L727" s="368">
        <f>(MIN(Attendance!D727, TIME(18, 0, 0)) - Attendance!C727) * 24</f>
        <v>18</v>
      </c>
      <c r="M727" s="369">
        <f t="shared" si="5"/>
        <v>-18</v>
      </c>
      <c r="N727" s="377"/>
      <c r="O727" s="377"/>
      <c r="P727" s="377"/>
    </row>
    <row r="728" ht="22.5" customHeight="1">
      <c r="A728" s="394"/>
      <c r="B728" s="395"/>
      <c r="C728" s="396"/>
      <c r="D728" s="396"/>
      <c r="E728" s="363"/>
      <c r="F728" s="364"/>
      <c r="G728" s="365"/>
      <c r="H728" s="366"/>
      <c r="I728" s="366"/>
      <c r="J728" s="366"/>
      <c r="K728" s="367"/>
      <c r="L728" s="368">
        <f>(MIN(Attendance!D728, TIME(18, 0, 0)) - Attendance!C728) * 24</f>
        <v>18</v>
      </c>
      <c r="M728" s="369">
        <f t="shared" si="5"/>
        <v>-18</v>
      </c>
      <c r="N728" s="369"/>
      <c r="O728" s="369"/>
      <c r="P728" s="369"/>
    </row>
    <row r="729" ht="22.5" customHeight="1">
      <c r="A729" s="394"/>
      <c r="B729" s="395"/>
      <c r="C729" s="396"/>
      <c r="D729" s="396"/>
      <c r="E729" s="363"/>
      <c r="F729" s="364"/>
      <c r="G729" s="365"/>
      <c r="H729" s="366"/>
      <c r="I729" s="366"/>
      <c r="J729" s="366"/>
      <c r="K729" s="367"/>
      <c r="L729" s="368">
        <f>(MIN(Attendance!D729, TIME(18, 0, 0)) - Attendance!C729) * 24</f>
        <v>18</v>
      </c>
      <c r="M729" s="369">
        <f t="shared" si="5"/>
        <v>-18</v>
      </c>
      <c r="N729" s="377"/>
      <c r="O729" s="377"/>
      <c r="P729" s="377"/>
    </row>
    <row r="730" ht="22.5" customHeight="1">
      <c r="A730" s="394"/>
      <c r="B730" s="395"/>
      <c r="C730" s="396"/>
      <c r="D730" s="396"/>
      <c r="E730" s="363"/>
      <c r="F730" s="364"/>
      <c r="G730" s="365"/>
      <c r="H730" s="366"/>
      <c r="I730" s="366"/>
      <c r="J730" s="366"/>
      <c r="K730" s="367"/>
      <c r="L730" s="368">
        <f>(MIN(Attendance!D730, TIME(18, 0, 0)) - Attendance!C730) * 24</f>
        <v>18</v>
      </c>
      <c r="M730" s="369">
        <f t="shared" si="5"/>
        <v>-18</v>
      </c>
      <c r="N730" s="369"/>
      <c r="O730" s="369"/>
      <c r="P730" s="369"/>
    </row>
    <row r="731" ht="22.5" customHeight="1">
      <c r="A731" s="394"/>
      <c r="B731" s="395"/>
      <c r="C731" s="396"/>
      <c r="D731" s="396"/>
      <c r="E731" s="363"/>
      <c r="F731" s="364"/>
      <c r="G731" s="365"/>
      <c r="H731" s="366"/>
      <c r="I731" s="366"/>
      <c r="J731" s="366"/>
      <c r="K731" s="367"/>
      <c r="L731" s="368">
        <f>(MIN(Attendance!D731, TIME(18, 0, 0)) - Attendance!C731) * 24</f>
        <v>18</v>
      </c>
      <c r="M731" s="369">
        <f t="shared" si="5"/>
        <v>-18</v>
      </c>
      <c r="N731" s="377"/>
      <c r="O731" s="377"/>
      <c r="P731" s="377"/>
    </row>
    <row r="732" ht="22.5" customHeight="1">
      <c r="A732" s="394"/>
      <c r="B732" s="395"/>
      <c r="C732" s="396"/>
      <c r="D732" s="396"/>
      <c r="E732" s="363"/>
      <c r="F732" s="364"/>
      <c r="G732" s="365"/>
      <c r="H732" s="366"/>
      <c r="I732" s="366"/>
      <c r="J732" s="366"/>
      <c r="K732" s="367"/>
      <c r="L732" s="368">
        <f>(MIN(Attendance!D732, TIME(18, 0, 0)) - Attendance!C732) * 24</f>
        <v>18</v>
      </c>
      <c r="M732" s="369">
        <f t="shared" si="5"/>
        <v>-18</v>
      </c>
      <c r="N732" s="369"/>
      <c r="O732" s="369"/>
      <c r="P732" s="369"/>
    </row>
    <row r="733" ht="22.5" customHeight="1">
      <c r="A733" s="394"/>
      <c r="B733" s="395"/>
      <c r="C733" s="396"/>
      <c r="D733" s="396"/>
      <c r="E733" s="363"/>
      <c r="F733" s="364"/>
      <c r="G733" s="365"/>
      <c r="H733" s="366"/>
      <c r="I733" s="366"/>
      <c r="J733" s="366"/>
      <c r="K733" s="367"/>
      <c r="L733" s="368">
        <f>(MIN(Attendance!D733, TIME(18, 0, 0)) - Attendance!C733) * 24</f>
        <v>18</v>
      </c>
      <c r="M733" s="369">
        <f t="shared" si="5"/>
        <v>-18</v>
      </c>
      <c r="N733" s="377"/>
      <c r="O733" s="377"/>
      <c r="P733" s="377"/>
    </row>
    <row r="734" ht="22.5" customHeight="1">
      <c r="A734" s="394"/>
      <c r="B734" s="395"/>
      <c r="C734" s="396"/>
      <c r="D734" s="396"/>
      <c r="E734" s="363"/>
      <c r="F734" s="364"/>
      <c r="G734" s="365"/>
      <c r="H734" s="366"/>
      <c r="I734" s="366"/>
      <c r="J734" s="366"/>
      <c r="K734" s="367"/>
      <c r="L734" s="368">
        <f>(MIN(Attendance!D734, TIME(18, 0, 0)) - Attendance!C734) * 24</f>
        <v>18</v>
      </c>
      <c r="M734" s="369">
        <f t="shared" si="5"/>
        <v>-18</v>
      </c>
      <c r="N734" s="369"/>
      <c r="O734" s="369"/>
      <c r="P734" s="369"/>
    </row>
    <row r="735" ht="22.5" customHeight="1">
      <c r="A735" s="394"/>
      <c r="B735" s="395"/>
      <c r="C735" s="396"/>
      <c r="D735" s="396"/>
      <c r="E735" s="363"/>
      <c r="F735" s="364"/>
      <c r="G735" s="365"/>
      <c r="H735" s="366"/>
      <c r="I735" s="366"/>
      <c r="J735" s="366"/>
      <c r="K735" s="367"/>
      <c r="L735" s="368">
        <f>(MIN(Attendance!D735, TIME(18, 0, 0)) - Attendance!C735) * 24</f>
        <v>18</v>
      </c>
      <c r="M735" s="369">
        <f t="shared" si="5"/>
        <v>-18</v>
      </c>
      <c r="N735" s="377"/>
      <c r="O735" s="377"/>
      <c r="P735" s="377"/>
    </row>
    <row r="736" ht="22.5" customHeight="1">
      <c r="A736" s="394"/>
      <c r="B736" s="395"/>
      <c r="C736" s="396"/>
      <c r="D736" s="396"/>
      <c r="E736" s="363"/>
      <c r="F736" s="364"/>
      <c r="G736" s="365"/>
      <c r="H736" s="366"/>
      <c r="I736" s="366"/>
      <c r="J736" s="366"/>
      <c r="K736" s="367"/>
      <c r="L736" s="368">
        <f>(MIN(Attendance!D736, TIME(18, 0, 0)) - Attendance!C736) * 24</f>
        <v>18</v>
      </c>
      <c r="M736" s="369">
        <f t="shared" si="5"/>
        <v>-18</v>
      </c>
      <c r="N736" s="369"/>
      <c r="O736" s="369"/>
      <c r="P736" s="369"/>
    </row>
    <row r="737" ht="22.5" customHeight="1">
      <c r="A737" s="394"/>
      <c r="B737" s="395"/>
      <c r="C737" s="396"/>
      <c r="D737" s="396"/>
      <c r="E737" s="363"/>
      <c r="F737" s="364"/>
      <c r="G737" s="365"/>
      <c r="H737" s="366"/>
      <c r="I737" s="366"/>
      <c r="J737" s="366"/>
      <c r="K737" s="367"/>
      <c r="L737" s="368">
        <f>(MIN(Attendance!D737, TIME(18, 0, 0)) - Attendance!C737) * 24</f>
        <v>18</v>
      </c>
      <c r="M737" s="369">
        <f t="shared" si="5"/>
        <v>-18</v>
      </c>
      <c r="N737" s="377"/>
      <c r="O737" s="377"/>
      <c r="P737" s="377"/>
    </row>
    <row r="738" ht="22.5" customHeight="1">
      <c r="A738" s="394"/>
      <c r="B738" s="395"/>
      <c r="C738" s="396"/>
      <c r="D738" s="396"/>
      <c r="E738" s="363"/>
      <c r="F738" s="364"/>
      <c r="G738" s="365"/>
      <c r="H738" s="366"/>
      <c r="I738" s="366"/>
      <c r="J738" s="366"/>
      <c r="K738" s="367"/>
      <c r="L738" s="368">
        <f>(MIN(Attendance!D738, TIME(18, 0, 0)) - Attendance!C738) * 24</f>
        <v>18</v>
      </c>
      <c r="M738" s="369">
        <f t="shared" si="5"/>
        <v>-18</v>
      </c>
      <c r="N738" s="369"/>
      <c r="O738" s="369"/>
      <c r="P738" s="369"/>
    </row>
    <row r="739" ht="22.5" customHeight="1">
      <c r="A739" s="394"/>
      <c r="B739" s="395"/>
      <c r="C739" s="396"/>
      <c r="D739" s="396"/>
      <c r="E739" s="363"/>
      <c r="F739" s="364"/>
      <c r="G739" s="365"/>
      <c r="H739" s="366"/>
      <c r="I739" s="366"/>
      <c r="J739" s="366"/>
      <c r="K739" s="367"/>
      <c r="L739" s="368">
        <f>(MIN(Attendance!D739, TIME(18, 0, 0)) - Attendance!C739) * 24</f>
        <v>18</v>
      </c>
      <c r="M739" s="369">
        <f t="shared" si="5"/>
        <v>-18</v>
      </c>
      <c r="N739" s="377"/>
      <c r="O739" s="377"/>
      <c r="P739" s="377"/>
    </row>
    <row r="740" ht="22.5" customHeight="1">
      <c r="A740" s="394"/>
      <c r="B740" s="395"/>
      <c r="C740" s="396"/>
      <c r="D740" s="396"/>
      <c r="E740" s="363"/>
      <c r="F740" s="364"/>
      <c r="G740" s="365"/>
      <c r="H740" s="366"/>
      <c r="I740" s="366"/>
      <c r="J740" s="366"/>
      <c r="K740" s="367"/>
      <c r="L740" s="368">
        <f>(MIN(Attendance!D740, TIME(18, 0, 0)) - Attendance!C740) * 24</f>
        <v>18</v>
      </c>
      <c r="M740" s="369">
        <f t="shared" si="5"/>
        <v>-18</v>
      </c>
      <c r="N740" s="369"/>
      <c r="O740" s="369"/>
      <c r="P740" s="369"/>
    </row>
    <row r="741" ht="22.5" customHeight="1">
      <c r="A741" s="394"/>
      <c r="B741" s="395"/>
      <c r="C741" s="396"/>
      <c r="D741" s="396"/>
      <c r="E741" s="363"/>
      <c r="F741" s="364"/>
      <c r="G741" s="365"/>
      <c r="H741" s="366"/>
      <c r="I741" s="366"/>
      <c r="J741" s="366"/>
      <c r="K741" s="367"/>
      <c r="L741" s="368">
        <f>(MIN(Attendance!D741, TIME(18, 0, 0)) - Attendance!C741) * 24</f>
        <v>18</v>
      </c>
      <c r="M741" s="369">
        <f t="shared" si="5"/>
        <v>-18</v>
      </c>
      <c r="N741" s="377"/>
      <c r="O741" s="377"/>
      <c r="P741" s="377"/>
    </row>
    <row r="742" ht="22.5" customHeight="1">
      <c r="A742" s="394"/>
      <c r="B742" s="395"/>
      <c r="C742" s="396"/>
      <c r="D742" s="396"/>
      <c r="E742" s="363"/>
      <c r="F742" s="364"/>
      <c r="G742" s="365"/>
      <c r="H742" s="366"/>
      <c r="I742" s="366"/>
      <c r="J742" s="366"/>
      <c r="K742" s="367"/>
      <c r="L742" s="368">
        <f>(MIN(Attendance!D742, TIME(18, 0, 0)) - Attendance!C742) * 24</f>
        <v>18</v>
      </c>
      <c r="M742" s="369">
        <f t="shared" si="5"/>
        <v>-18</v>
      </c>
      <c r="N742" s="369"/>
      <c r="O742" s="369"/>
      <c r="P742" s="369"/>
    </row>
    <row r="743" ht="22.5" customHeight="1">
      <c r="A743" s="394"/>
      <c r="B743" s="395"/>
      <c r="C743" s="396"/>
      <c r="D743" s="396"/>
      <c r="E743" s="363"/>
      <c r="F743" s="364"/>
      <c r="G743" s="365"/>
      <c r="H743" s="366"/>
      <c r="I743" s="366"/>
      <c r="J743" s="366"/>
      <c r="K743" s="367"/>
      <c r="L743" s="368">
        <f>(MIN(Attendance!D743, TIME(18, 0, 0)) - Attendance!C743) * 24</f>
        <v>18</v>
      </c>
      <c r="M743" s="369">
        <f t="shared" si="5"/>
        <v>-18</v>
      </c>
      <c r="N743" s="377"/>
      <c r="O743" s="377"/>
      <c r="P743" s="377"/>
    </row>
    <row r="744" ht="22.5" customHeight="1">
      <c r="A744" s="394"/>
      <c r="B744" s="395"/>
      <c r="C744" s="396"/>
      <c r="D744" s="396"/>
      <c r="E744" s="363"/>
      <c r="F744" s="364"/>
      <c r="G744" s="365"/>
      <c r="H744" s="366"/>
      <c r="I744" s="366"/>
      <c r="J744" s="366"/>
      <c r="K744" s="367"/>
      <c r="L744" s="368">
        <f>(MIN(Attendance!D744, TIME(18, 0, 0)) - Attendance!C744) * 24</f>
        <v>18</v>
      </c>
      <c r="M744" s="369">
        <f t="shared" si="5"/>
        <v>-18</v>
      </c>
      <c r="N744" s="369"/>
      <c r="O744" s="369"/>
      <c r="P744" s="369"/>
    </row>
    <row r="745" ht="22.5" customHeight="1">
      <c r="A745" s="394"/>
      <c r="B745" s="395"/>
      <c r="C745" s="396"/>
      <c r="D745" s="396"/>
      <c r="E745" s="363"/>
      <c r="F745" s="364"/>
      <c r="G745" s="365"/>
      <c r="H745" s="366"/>
      <c r="I745" s="366"/>
      <c r="J745" s="366"/>
      <c r="K745" s="367"/>
      <c r="L745" s="368">
        <f>(MIN(Attendance!D745, TIME(18, 0, 0)) - Attendance!C745) * 24</f>
        <v>18</v>
      </c>
      <c r="M745" s="369">
        <f t="shared" si="5"/>
        <v>-18</v>
      </c>
      <c r="N745" s="377"/>
      <c r="O745" s="377"/>
      <c r="P745" s="377"/>
    </row>
    <row r="746" ht="22.5" customHeight="1">
      <c r="A746" s="394"/>
      <c r="B746" s="395"/>
      <c r="C746" s="396"/>
      <c r="D746" s="396"/>
      <c r="E746" s="363"/>
      <c r="F746" s="364"/>
      <c r="G746" s="365"/>
      <c r="H746" s="366"/>
      <c r="I746" s="366"/>
      <c r="J746" s="366"/>
      <c r="K746" s="367"/>
      <c r="L746" s="368">
        <f>(MIN(Attendance!D746, TIME(18, 0, 0)) - Attendance!C746) * 24</f>
        <v>18</v>
      </c>
      <c r="M746" s="369">
        <f t="shared" si="5"/>
        <v>-18</v>
      </c>
      <c r="N746" s="369"/>
      <c r="O746" s="369"/>
      <c r="P746" s="369"/>
    </row>
    <row r="747" ht="22.5" customHeight="1">
      <c r="A747" s="394"/>
      <c r="B747" s="395"/>
      <c r="C747" s="396"/>
      <c r="D747" s="396"/>
      <c r="E747" s="363"/>
      <c r="F747" s="364"/>
      <c r="G747" s="365"/>
      <c r="H747" s="366"/>
      <c r="I747" s="366"/>
      <c r="J747" s="366"/>
      <c r="K747" s="367"/>
      <c r="L747" s="368">
        <f>(MIN(Attendance!D747, TIME(18, 0, 0)) - Attendance!C747) * 24</f>
        <v>18</v>
      </c>
      <c r="M747" s="369">
        <f t="shared" si="5"/>
        <v>-18</v>
      </c>
      <c r="N747" s="377"/>
      <c r="O747" s="377"/>
      <c r="P747" s="377"/>
    </row>
    <row r="748" ht="22.5" customHeight="1">
      <c r="A748" s="394"/>
      <c r="B748" s="395"/>
      <c r="C748" s="396"/>
      <c r="D748" s="396"/>
      <c r="E748" s="363"/>
      <c r="F748" s="364"/>
      <c r="G748" s="365"/>
      <c r="H748" s="366"/>
      <c r="I748" s="366"/>
      <c r="J748" s="366"/>
      <c r="K748" s="367"/>
      <c r="L748" s="368">
        <f>(MIN(Attendance!D748, TIME(18, 0, 0)) - Attendance!C748) * 24</f>
        <v>18</v>
      </c>
      <c r="M748" s="369">
        <f t="shared" si="5"/>
        <v>-18</v>
      </c>
      <c r="N748" s="369"/>
      <c r="O748" s="369"/>
      <c r="P748" s="369"/>
    </row>
    <row r="749" ht="22.5" customHeight="1">
      <c r="A749" s="394"/>
      <c r="B749" s="395"/>
      <c r="C749" s="396"/>
      <c r="D749" s="396"/>
      <c r="E749" s="363"/>
      <c r="F749" s="364"/>
      <c r="G749" s="365"/>
      <c r="H749" s="366"/>
      <c r="I749" s="366"/>
      <c r="J749" s="366"/>
      <c r="K749" s="367"/>
      <c r="L749" s="368">
        <f>(MIN(Attendance!D749, TIME(18, 0, 0)) - Attendance!C749) * 24</f>
        <v>18</v>
      </c>
      <c r="M749" s="369">
        <f t="shared" si="5"/>
        <v>-18</v>
      </c>
      <c r="N749" s="377"/>
      <c r="O749" s="377"/>
      <c r="P749" s="377"/>
    </row>
    <row r="750" ht="22.5" customHeight="1">
      <c r="A750" s="394"/>
      <c r="B750" s="395"/>
      <c r="C750" s="396"/>
      <c r="D750" s="396"/>
      <c r="E750" s="363"/>
      <c r="F750" s="364"/>
      <c r="G750" s="365"/>
      <c r="H750" s="366"/>
      <c r="I750" s="366"/>
      <c r="J750" s="366"/>
      <c r="K750" s="367"/>
      <c r="L750" s="368">
        <f>(MIN(Attendance!D750, TIME(18, 0, 0)) - Attendance!C750) * 24</f>
        <v>18</v>
      </c>
      <c r="M750" s="369">
        <f t="shared" si="5"/>
        <v>-18</v>
      </c>
      <c r="N750" s="369"/>
      <c r="O750" s="369"/>
      <c r="P750" s="369"/>
    </row>
    <row r="751" ht="22.5" customHeight="1">
      <c r="A751" s="394"/>
      <c r="B751" s="395"/>
      <c r="C751" s="396"/>
      <c r="D751" s="396"/>
      <c r="E751" s="363"/>
      <c r="F751" s="364"/>
      <c r="G751" s="365"/>
      <c r="H751" s="366"/>
      <c r="I751" s="366"/>
      <c r="J751" s="366"/>
      <c r="K751" s="367"/>
      <c r="L751" s="368">
        <f>(MIN(Attendance!D751, TIME(18, 0, 0)) - Attendance!C751) * 24</f>
        <v>18</v>
      </c>
      <c r="M751" s="369">
        <f t="shared" si="5"/>
        <v>-18</v>
      </c>
      <c r="N751" s="377"/>
      <c r="O751" s="377"/>
      <c r="P751" s="377"/>
    </row>
    <row r="752" ht="22.5" customHeight="1">
      <c r="A752" s="394"/>
      <c r="B752" s="395"/>
      <c r="C752" s="396"/>
      <c r="D752" s="396"/>
      <c r="E752" s="363"/>
      <c r="F752" s="364"/>
      <c r="G752" s="365"/>
      <c r="H752" s="366"/>
      <c r="I752" s="366"/>
      <c r="J752" s="366"/>
      <c r="K752" s="367"/>
      <c r="L752" s="368">
        <f>(MIN(Attendance!D752, TIME(18, 0, 0)) - Attendance!C752) * 24</f>
        <v>18</v>
      </c>
      <c r="M752" s="369">
        <f t="shared" si="5"/>
        <v>-18</v>
      </c>
      <c r="N752" s="369"/>
      <c r="O752" s="369"/>
      <c r="P752" s="369"/>
    </row>
    <row r="753" ht="22.5" customHeight="1">
      <c r="A753" s="394"/>
      <c r="B753" s="395"/>
      <c r="C753" s="396"/>
      <c r="D753" s="396"/>
      <c r="E753" s="363"/>
      <c r="F753" s="364"/>
      <c r="G753" s="365"/>
      <c r="H753" s="366"/>
      <c r="I753" s="366"/>
      <c r="J753" s="366"/>
      <c r="K753" s="367"/>
      <c r="L753" s="368">
        <f>(MIN(Attendance!D753, TIME(18, 0, 0)) - Attendance!C753) * 24</f>
        <v>18</v>
      </c>
      <c r="M753" s="369">
        <f t="shared" si="5"/>
        <v>-18</v>
      </c>
      <c r="N753" s="377"/>
      <c r="O753" s="377"/>
      <c r="P753" s="377"/>
    </row>
    <row r="754" ht="22.5" customHeight="1">
      <c r="A754" s="394"/>
      <c r="B754" s="395"/>
      <c r="C754" s="396"/>
      <c r="D754" s="396"/>
      <c r="E754" s="363"/>
      <c r="F754" s="364"/>
      <c r="G754" s="365"/>
      <c r="H754" s="366"/>
      <c r="I754" s="366"/>
      <c r="J754" s="366"/>
      <c r="K754" s="367"/>
      <c r="L754" s="368">
        <f>(MIN(Attendance!D754, TIME(18, 0, 0)) - Attendance!C754) * 24</f>
        <v>18</v>
      </c>
      <c r="M754" s="369">
        <f t="shared" si="5"/>
        <v>-18</v>
      </c>
      <c r="N754" s="369"/>
      <c r="O754" s="369"/>
      <c r="P754" s="369"/>
    </row>
    <row r="755" ht="22.5" customHeight="1">
      <c r="A755" s="394"/>
      <c r="B755" s="395"/>
      <c r="C755" s="396"/>
      <c r="D755" s="396"/>
      <c r="E755" s="363"/>
      <c r="F755" s="364"/>
      <c r="G755" s="365"/>
      <c r="H755" s="366"/>
      <c r="I755" s="366"/>
      <c r="J755" s="366"/>
      <c r="K755" s="367"/>
      <c r="L755" s="368">
        <f>(MIN(Attendance!D755, TIME(18, 0, 0)) - Attendance!C755) * 24</f>
        <v>18</v>
      </c>
      <c r="M755" s="369">
        <f t="shared" si="5"/>
        <v>-18</v>
      </c>
      <c r="N755" s="377"/>
      <c r="O755" s="377"/>
      <c r="P755" s="377"/>
    </row>
    <row r="756" ht="22.5" customHeight="1">
      <c r="A756" s="394"/>
      <c r="B756" s="395"/>
      <c r="C756" s="396"/>
      <c r="D756" s="396"/>
      <c r="E756" s="363"/>
      <c r="F756" s="364"/>
      <c r="G756" s="365"/>
      <c r="H756" s="366"/>
      <c r="I756" s="366"/>
      <c r="J756" s="366"/>
      <c r="K756" s="367"/>
      <c r="L756" s="368">
        <f>(MIN(Attendance!D756, TIME(18, 0, 0)) - Attendance!C756) * 24</f>
        <v>18</v>
      </c>
      <c r="M756" s="369">
        <f t="shared" si="5"/>
        <v>-18</v>
      </c>
      <c r="N756" s="369"/>
      <c r="O756" s="369"/>
      <c r="P756" s="369"/>
    </row>
    <row r="757" ht="22.5" customHeight="1">
      <c r="A757" s="394"/>
      <c r="B757" s="395"/>
      <c r="C757" s="396"/>
      <c r="D757" s="396"/>
      <c r="E757" s="363"/>
      <c r="F757" s="364"/>
      <c r="G757" s="365"/>
      <c r="H757" s="366"/>
      <c r="I757" s="366"/>
      <c r="J757" s="366"/>
      <c r="K757" s="367"/>
      <c r="L757" s="368">
        <f>(MIN(Attendance!D757, TIME(18, 0, 0)) - Attendance!C757) * 24</f>
        <v>18</v>
      </c>
      <c r="M757" s="369">
        <f t="shared" si="5"/>
        <v>-18</v>
      </c>
      <c r="N757" s="377"/>
      <c r="O757" s="377"/>
      <c r="P757" s="377"/>
    </row>
    <row r="758" ht="22.5" customHeight="1">
      <c r="A758" s="394"/>
      <c r="B758" s="395"/>
      <c r="C758" s="396"/>
      <c r="D758" s="396"/>
      <c r="E758" s="363"/>
      <c r="F758" s="364"/>
      <c r="G758" s="365"/>
      <c r="H758" s="366"/>
      <c r="I758" s="366"/>
      <c r="J758" s="366"/>
      <c r="K758" s="367"/>
      <c r="L758" s="368">
        <f>(MIN(Attendance!D758, TIME(18, 0, 0)) - Attendance!C758) * 24</f>
        <v>18</v>
      </c>
      <c r="M758" s="369">
        <f t="shared" si="5"/>
        <v>-18</v>
      </c>
      <c r="N758" s="369"/>
      <c r="O758" s="369"/>
      <c r="P758" s="369"/>
    </row>
    <row r="759" ht="22.5" customHeight="1">
      <c r="A759" s="394"/>
      <c r="B759" s="395"/>
      <c r="C759" s="396"/>
      <c r="D759" s="396"/>
      <c r="E759" s="363"/>
      <c r="F759" s="364"/>
      <c r="G759" s="365"/>
      <c r="H759" s="366"/>
      <c r="I759" s="366"/>
      <c r="J759" s="366"/>
      <c r="K759" s="367"/>
      <c r="L759" s="368">
        <f>(MIN(Attendance!D759, TIME(18, 0, 0)) - Attendance!C759) * 24</f>
        <v>18</v>
      </c>
      <c r="M759" s="369">
        <f t="shared" si="5"/>
        <v>-18</v>
      </c>
      <c r="N759" s="377"/>
      <c r="O759" s="377"/>
      <c r="P759" s="377"/>
    </row>
    <row r="760" ht="22.5" customHeight="1">
      <c r="A760" s="394"/>
      <c r="B760" s="395"/>
      <c r="C760" s="396"/>
      <c r="D760" s="396"/>
      <c r="E760" s="363"/>
      <c r="F760" s="364"/>
      <c r="G760" s="365"/>
      <c r="H760" s="366"/>
      <c r="I760" s="366"/>
      <c r="J760" s="366"/>
      <c r="K760" s="367"/>
      <c r="L760" s="368">
        <f>(MIN(Attendance!D760, TIME(18, 0, 0)) - Attendance!C760) * 24</f>
        <v>18</v>
      </c>
      <c r="M760" s="369">
        <f t="shared" si="5"/>
        <v>-18</v>
      </c>
      <c r="N760" s="369"/>
      <c r="O760" s="369"/>
      <c r="P760" s="369"/>
    </row>
    <row r="761" ht="22.5" customHeight="1">
      <c r="A761" s="394"/>
      <c r="B761" s="395"/>
      <c r="C761" s="396"/>
      <c r="D761" s="396"/>
      <c r="E761" s="363"/>
      <c r="F761" s="364"/>
      <c r="G761" s="365"/>
      <c r="H761" s="366"/>
      <c r="I761" s="366"/>
      <c r="J761" s="366"/>
      <c r="K761" s="367"/>
      <c r="L761" s="368">
        <f>(MIN(Attendance!D761, TIME(18, 0, 0)) - Attendance!C761) * 24</f>
        <v>18</v>
      </c>
      <c r="M761" s="369">
        <f t="shared" si="5"/>
        <v>-18</v>
      </c>
      <c r="N761" s="377"/>
      <c r="O761" s="377"/>
      <c r="P761" s="377"/>
    </row>
    <row r="762" ht="22.5" customHeight="1">
      <c r="A762" s="394"/>
      <c r="B762" s="395"/>
      <c r="C762" s="396"/>
      <c r="D762" s="396"/>
      <c r="E762" s="363"/>
      <c r="F762" s="364"/>
      <c r="G762" s="365"/>
      <c r="H762" s="366"/>
      <c r="I762" s="366"/>
      <c r="J762" s="366"/>
      <c r="K762" s="367"/>
      <c r="L762" s="368">
        <f>(MIN(Attendance!D762, TIME(18, 0, 0)) - Attendance!C762) * 24</f>
        <v>18</v>
      </c>
      <c r="M762" s="369">
        <f t="shared" si="5"/>
        <v>-18</v>
      </c>
      <c r="N762" s="369"/>
      <c r="O762" s="369"/>
      <c r="P762" s="369"/>
    </row>
    <row r="763" ht="22.5" customHeight="1">
      <c r="A763" s="394"/>
      <c r="B763" s="395"/>
      <c r="C763" s="396"/>
      <c r="D763" s="396"/>
      <c r="E763" s="363"/>
      <c r="F763" s="364"/>
      <c r="G763" s="365"/>
      <c r="H763" s="366"/>
      <c r="I763" s="366"/>
      <c r="J763" s="366"/>
      <c r="K763" s="367"/>
      <c r="L763" s="368">
        <f>(MIN(Attendance!D763, TIME(18, 0, 0)) - Attendance!C763) * 24</f>
        <v>18</v>
      </c>
      <c r="M763" s="369">
        <f t="shared" si="5"/>
        <v>-18</v>
      </c>
      <c r="N763" s="377"/>
      <c r="O763" s="377"/>
      <c r="P763" s="377"/>
    </row>
    <row r="764" ht="22.5" customHeight="1">
      <c r="A764" s="394"/>
      <c r="B764" s="395"/>
      <c r="C764" s="396"/>
      <c r="D764" s="396"/>
      <c r="E764" s="363"/>
      <c r="F764" s="364"/>
      <c r="G764" s="365"/>
      <c r="H764" s="366"/>
      <c r="I764" s="366"/>
      <c r="J764" s="366"/>
      <c r="K764" s="367"/>
      <c r="L764" s="368">
        <f>(MIN(Attendance!D764, TIME(18, 0, 0)) - Attendance!C764) * 24</f>
        <v>18</v>
      </c>
      <c r="M764" s="369">
        <f t="shared" si="5"/>
        <v>-18</v>
      </c>
      <c r="N764" s="369"/>
      <c r="O764" s="369"/>
      <c r="P764" s="369"/>
    </row>
    <row r="765" ht="22.5" customHeight="1">
      <c r="A765" s="394"/>
      <c r="B765" s="395"/>
      <c r="C765" s="396"/>
      <c r="D765" s="396"/>
      <c r="E765" s="363"/>
      <c r="F765" s="364"/>
      <c r="G765" s="365"/>
      <c r="H765" s="366"/>
      <c r="I765" s="366"/>
      <c r="J765" s="366"/>
      <c r="K765" s="367"/>
      <c r="L765" s="368">
        <f>(MIN(Attendance!D765, TIME(18, 0, 0)) - Attendance!C765) * 24</f>
        <v>18</v>
      </c>
      <c r="M765" s="369">
        <f t="shared" si="5"/>
        <v>-18</v>
      </c>
      <c r="N765" s="377"/>
      <c r="O765" s="377"/>
      <c r="P765" s="377"/>
    </row>
    <row r="766" ht="22.5" customHeight="1">
      <c r="A766" s="394"/>
      <c r="B766" s="395"/>
      <c r="C766" s="396"/>
      <c r="D766" s="396"/>
      <c r="E766" s="363"/>
      <c r="F766" s="364"/>
      <c r="G766" s="365"/>
      <c r="H766" s="366"/>
      <c r="I766" s="366"/>
      <c r="J766" s="366"/>
      <c r="K766" s="367"/>
      <c r="L766" s="368">
        <f>(MIN(Attendance!D766, TIME(18, 0, 0)) - Attendance!C766) * 24</f>
        <v>18</v>
      </c>
      <c r="M766" s="369">
        <f t="shared" si="5"/>
        <v>-18</v>
      </c>
      <c r="N766" s="369"/>
      <c r="O766" s="369"/>
      <c r="P766" s="369"/>
    </row>
    <row r="767" ht="22.5" customHeight="1">
      <c r="A767" s="394"/>
      <c r="B767" s="395"/>
      <c r="C767" s="396"/>
      <c r="D767" s="396"/>
      <c r="E767" s="363"/>
      <c r="F767" s="364"/>
      <c r="G767" s="365"/>
      <c r="H767" s="366"/>
      <c r="I767" s="366"/>
      <c r="J767" s="366"/>
      <c r="K767" s="367"/>
      <c r="L767" s="368">
        <f>(MIN(Attendance!D767, TIME(18, 0, 0)) - Attendance!C767) * 24</f>
        <v>18</v>
      </c>
      <c r="M767" s="369">
        <f t="shared" si="5"/>
        <v>-18</v>
      </c>
      <c r="N767" s="377"/>
      <c r="O767" s="377"/>
      <c r="P767" s="377"/>
    </row>
    <row r="768" ht="22.5" customHeight="1">
      <c r="A768" s="394"/>
      <c r="B768" s="395"/>
      <c r="C768" s="396"/>
      <c r="D768" s="396"/>
      <c r="E768" s="363"/>
      <c r="F768" s="364"/>
      <c r="G768" s="365"/>
      <c r="H768" s="366"/>
      <c r="I768" s="366"/>
      <c r="J768" s="366"/>
      <c r="K768" s="367"/>
      <c r="L768" s="368">
        <f>(MIN(Attendance!D768, TIME(18, 0, 0)) - Attendance!C768) * 24</f>
        <v>18</v>
      </c>
      <c r="M768" s="369">
        <f t="shared" si="5"/>
        <v>-18</v>
      </c>
      <c r="N768" s="369"/>
      <c r="O768" s="369"/>
      <c r="P768" s="369"/>
    </row>
    <row r="769" ht="22.5" customHeight="1">
      <c r="A769" s="394"/>
      <c r="B769" s="395"/>
      <c r="C769" s="396"/>
      <c r="D769" s="396"/>
      <c r="E769" s="363"/>
      <c r="F769" s="364"/>
      <c r="G769" s="365"/>
      <c r="H769" s="366"/>
      <c r="I769" s="366"/>
      <c r="J769" s="366"/>
      <c r="K769" s="367"/>
      <c r="L769" s="368">
        <f>(MIN(Attendance!D769, TIME(18, 0, 0)) - Attendance!C769) * 24</f>
        <v>18</v>
      </c>
      <c r="M769" s="369">
        <f t="shared" si="5"/>
        <v>-18</v>
      </c>
      <c r="N769" s="377"/>
      <c r="O769" s="377"/>
      <c r="P769" s="377"/>
    </row>
    <row r="770" ht="22.5" customHeight="1">
      <c r="A770" s="394"/>
      <c r="B770" s="395"/>
      <c r="C770" s="396"/>
      <c r="D770" s="396"/>
      <c r="E770" s="363"/>
      <c r="F770" s="364"/>
      <c r="G770" s="365"/>
      <c r="H770" s="366"/>
      <c r="I770" s="366"/>
      <c r="J770" s="366"/>
      <c r="K770" s="367"/>
      <c r="L770" s="368">
        <f>(MIN(Attendance!D770, TIME(18, 0, 0)) - Attendance!C770) * 24</f>
        <v>18</v>
      </c>
      <c r="M770" s="369">
        <f t="shared" si="5"/>
        <v>-18</v>
      </c>
      <c r="N770" s="369"/>
      <c r="O770" s="369"/>
      <c r="P770" s="369"/>
    </row>
    <row r="771" ht="22.5" customHeight="1">
      <c r="A771" s="394"/>
      <c r="B771" s="395"/>
      <c r="C771" s="396"/>
      <c r="D771" s="396"/>
      <c r="E771" s="363"/>
      <c r="F771" s="364"/>
      <c r="G771" s="365"/>
      <c r="H771" s="366"/>
      <c r="I771" s="366"/>
      <c r="J771" s="366"/>
      <c r="K771" s="367"/>
      <c r="L771" s="368">
        <f>(MIN(Attendance!D771, TIME(18, 0, 0)) - Attendance!C771) * 24</f>
        <v>18</v>
      </c>
      <c r="M771" s="369">
        <f t="shared" si="5"/>
        <v>-18</v>
      </c>
      <c r="N771" s="377"/>
      <c r="O771" s="377"/>
      <c r="P771" s="377"/>
    </row>
    <row r="772" ht="22.5" customHeight="1">
      <c r="A772" s="394"/>
      <c r="B772" s="395"/>
      <c r="C772" s="396"/>
      <c r="D772" s="396"/>
      <c r="E772" s="363"/>
      <c r="F772" s="364"/>
      <c r="G772" s="365"/>
      <c r="H772" s="366"/>
      <c r="I772" s="366"/>
      <c r="J772" s="366"/>
      <c r="K772" s="367"/>
      <c r="L772" s="368">
        <f>(MIN(Attendance!D772, TIME(18, 0, 0)) - Attendance!C772) * 24</f>
        <v>18</v>
      </c>
      <c r="M772" s="369">
        <f t="shared" si="5"/>
        <v>-18</v>
      </c>
      <c r="N772" s="369"/>
      <c r="O772" s="369"/>
      <c r="P772" s="369"/>
    </row>
    <row r="773" ht="22.5" customHeight="1">
      <c r="A773" s="394"/>
      <c r="B773" s="395"/>
      <c r="C773" s="396"/>
      <c r="D773" s="396"/>
      <c r="E773" s="363"/>
      <c r="F773" s="364"/>
      <c r="G773" s="365"/>
      <c r="H773" s="366"/>
      <c r="I773" s="366"/>
      <c r="J773" s="366"/>
      <c r="K773" s="367"/>
      <c r="L773" s="368">
        <f>(MIN(Attendance!D773, TIME(18, 0, 0)) - Attendance!C773) * 24</f>
        <v>18</v>
      </c>
      <c r="M773" s="369">
        <f t="shared" si="5"/>
        <v>-18</v>
      </c>
      <c r="N773" s="377"/>
      <c r="O773" s="377"/>
      <c r="P773" s="377"/>
    </row>
    <row r="774" ht="22.5" customHeight="1">
      <c r="A774" s="394"/>
      <c r="B774" s="395"/>
      <c r="C774" s="396"/>
      <c r="D774" s="396"/>
      <c r="E774" s="363"/>
      <c r="F774" s="364"/>
      <c r="G774" s="365"/>
      <c r="H774" s="366"/>
      <c r="I774" s="366"/>
      <c r="J774" s="366"/>
      <c r="K774" s="367"/>
      <c r="L774" s="368">
        <f>(MIN(Attendance!D774, TIME(18, 0, 0)) - Attendance!C774) * 24</f>
        <v>18</v>
      </c>
      <c r="M774" s="369">
        <f t="shared" si="5"/>
        <v>-18</v>
      </c>
      <c r="N774" s="369"/>
      <c r="O774" s="369"/>
      <c r="P774" s="369"/>
    </row>
    <row r="775" ht="22.5" customHeight="1">
      <c r="A775" s="394"/>
      <c r="B775" s="395"/>
      <c r="C775" s="396"/>
      <c r="D775" s="396"/>
      <c r="E775" s="363"/>
      <c r="F775" s="364"/>
      <c r="G775" s="365"/>
      <c r="H775" s="366"/>
      <c r="I775" s="366"/>
      <c r="J775" s="366"/>
      <c r="K775" s="367"/>
      <c r="L775" s="368">
        <f>(MIN(Attendance!D775, TIME(18, 0, 0)) - Attendance!C775) * 24</f>
        <v>18</v>
      </c>
      <c r="M775" s="369">
        <f t="shared" si="5"/>
        <v>-18</v>
      </c>
      <c r="N775" s="377"/>
      <c r="O775" s="377"/>
      <c r="P775" s="377"/>
    </row>
    <row r="776" ht="22.5" customHeight="1">
      <c r="A776" s="394"/>
      <c r="B776" s="395"/>
      <c r="C776" s="396"/>
      <c r="D776" s="396"/>
      <c r="E776" s="363"/>
      <c r="F776" s="364"/>
      <c r="G776" s="365"/>
      <c r="H776" s="366"/>
      <c r="I776" s="366"/>
      <c r="J776" s="366"/>
      <c r="K776" s="367"/>
      <c r="L776" s="368">
        <f>(MIN(Attendance!D776, TIME(18, 0, 0)) - Attendance!C776) * 24</f>
        <v>18</v>
      </c>
      <c r="M776" s="369">
        <f t="shared" si="5"/>
        <v>-18</v>
      </c>
      <c r="N776" s="369"/>
      <c r="O776" s="369"/>
      <c r="P776" s="369"/>
    </row>
    <row r="777" ht="22.5" customHeight="1">
      <c r="A777" s="394"/>
      <c r="B777" s="395"/>
      <c r="C777" s="396"/>
      <c r="D777" s="396"/>
      <c r="E777" s="363"/>
      <c r="F777" s="364"/>
      <c r="G777" s="365"/>
      <c r="H777" s="366"/>
      <c r="I777" s="366"/>
      <c r="J777" s="366"/>
      <c r="K777" s="367"/>
      <c r="L777" s="368">
        <f>(MIN(Attendance!D777, TIME(18, 0, 0)) - Attendance!C777) * 24</f>
        <v>18</v>
      </c>
      <c r="M777" s="369">
        <f t="shared" si="5"/>
        <v>-18</v>
      </c>
      <c r="N777" s="377"/>
      <c r="O777" s="377"/>
      <c r="P777" s="377"/>
    </row>
    <row r="778" ht="22.5" customHeight="1">
      <c r="A778" s="394"/>
      <c r="B778" s="395"/>
      <c r="C778" s="396"/>
      <c r="D778" s="396"/>
      <c r="E778" s="363"/>
      <c r="F778" s="364"/>
      <c r="G778" s="365"/>
      <c r="H778" s="366"/>
      <c r="I778" s="366"/>
      <c r="J778" s="366"/>
      <c r="K778" s="367"/>
      <c r="L778" s="368">
        <f>(MIN(Attendance!D778, TIME(18, 0, 0)) - Attendance!C778) * 24</f>
        <v>18</v>
      </c>
      <c r="M778" s="369">
        <f t="shared" si="5"/>
        <v>-18</v>
      </c>
      <c r="N778" s="369"/>
      <c r="O778" s="369"/>
      <c r="P778" s="369"/>
    </row>
    <row r="779" ht="22.5" customHeight="1">
      <c r="A779" s="394"/>
      <c r="B779" s="395"/>
      <c r="C779" s="396"/>
      <c r="D779" s="396"/>
      <c r="E779" s="363"/>
      <c r="F779" s="364"/>
      <c r="G779" s="365"/>
      <c r="H779" s="366"/>
      <c r="I779" s="366"/>
      <c r="J779" s="366"/>
      <c r="K779" s="367"/>
      <c r="L779" s="368">
        <f>(MIN(Attendance!D779, TIME(18, 0, 0)) - Attendance!C779) * 24</f>
        <v>18</v>
      </c>
      <c r="M779" s="369">
        <f t="shared" si="5"/>
        <v>-18</v>
      </c>
      <c r="N779" s="377"/>
      <c r="O779" s="377"/>
      <c r="P779" s="377"/>
    </row>
    <row r="780" ht="22.5" customHeight="1">
      <c r="A780" s="394"/>
      <c r="B780" s="395"/>
      <c r="C780" s="396"/>
      <c r="D780" s="396"/>
      <c r="E780" s="363"/>
      <c r="F780" s="364"/>
      <c r="G780" s="365"/>
      <c r="H780" s="366"/>
      <c r="I780" s="366"/>
      <c r="J780" s="366"/>
      <c r="K780" s="367"/>
      <c r="L780" s="368">
        <f>(MIN(Attendance!D780, TIME(18, 0, 0)) - Attendance!C780) * 24</f>
        <v>18</v>
      </c>
      <c r="M780" s="369">
        <f t="shared" si="5"/>
        <v>-18</v>
      </c>
      <c r="N780" s="369"/>
      <c r="O780" s="369"/>
      <c r="P780" s="369"/>
    </row>
    <row r="781" ht="22.5" customHeight="1">
      <c r="A781" s="394"/>
      <c r="B781" s="395"/>
      <c r="C781" s="396"/>
      <c r="D781" s="396"/>
      <c r="E781" s="363"/>
      <c r="F781" s="364"/>
      <c r="G781" s="365"/>
      <c r="H781" s="366"/>
      <c r="I781" s="366"/>
      <c r="J781" s="366"/>
      <c r="K781" s="367"/>
      <c r="L781" s="368">
        <f>(MIN(Attendance!D781, TIME(18, 0, 0)) - Attendance!C781) * 24</f>
        <v>18</v>
      </c>
      <c r="M781" s="369">
        <f t="shared" si="5"/>
        <v>-18</v>
      </c>
      <c r="N781" s="377"/>
      <c r="O781" s="377"/>
      <c r="P781" s="377"/>
    </row>
    <row r="782" ht="22.5" customHeight="1">
      <c r="A782" s="394"/>
      <c r="B782" s="395"/>
      <c r="C782" s="396"/>
      <c r="D782" s="396"/>
      <c r="E782" s="363"/>
      <c r="F782" s="364"/>
      <c r="G782" s="365"/>
      <c r="H782" s="366"/>
      <c r="I782" s="366"/>
      <c r="J782" s="366"/>
      <c r="K782" s="367"/>
      <c r="L782" s="368">
        <f>(MIN(Attendance!D782, TIME(18, 0, 0)) - Attendance!C782) * 24</f>
        <v>18</v>
      </c>
      <c r="M782" s="369">
        <f t="shared" si="5"/>
        <v>-18</v>
      </c>
      <c r="N782" s="369"/>
      <c r="O782" s="369"/>
      <c r="P782" s="369"/>
    </row>
    <row r="783" ht="22.5" customHeight="1">
      <c r="A783" s="394"/>
      <c r="B783" s="395"/>
      <c r="C783" s="396"/>
      <c r="D783" s="396"/>
      <c r="E783" s="363"/>
      <c r="F783" s="364"/>
      <c r="G783" s="365"/>
      <c r="H783" s="366"/>
      <c r="I783" s="366"/>
      <c r="J783" s="366"/>
      <c r="K783" s="367"/>
      <c r="L783" s="368">
        <f>(MIN(Attendance!D783, TIME(18, 0, 0)) - Attendance!C783) * 24</f>
        <v>18</v>
      </c>
      <c r="M783" s="369">
        <f t="shared" si="5"/>
        <v>-18</v>
      </c>
      <c r="N783" s="377"/>
      <c r="O783" s="377"/>
      <c r="P783" s="377"/>
    </row>
    <row r="784" ht="22.5" customHeight="1">
      <c r="A784" s="394"/>
      <c r="B784" s="395"/>
      <c r="C784" s="396"/>
      <c r="D784" s="396"/>
      <c r="E784" s="363"/>
      <c r="F784" s="364"/>
      <c r="G784" s="365"/>
      <c r="H784" s="366"/>
      <c r="I784" s="366"/>
      <c r="J784" s="366"/>
      <c r="K784" s="367"/>
      <c r="L784" s="368">
        <f>(MIN(Attendance!D784, TIME(18, 0, 0)) - Attendance!C784) * 24</f>
        <v>18</v>
      </c>
      <c r="M784" s="369">
        <f t="shared" si="5"/>
        <v>-18</v>
      </c>
      <c r="N784" s="369"/>
      <c r="O784" s="369"/>
      <c r="P784" s="369"/>
    </row>
    <row r="785" ht="22.5" customHeight="1">
      <c r="A785" s="394"/>
      <c r="B785" s="395"/>
      <c r="C785" s="396"/>
      <c r="D785" s="396"/>
      <c r="E785" s="363"/>
      <c r="F785" s="364"/>
      <c r="G785" s="365"/>
      <c r="H785" s="366"/>
      <c r="I785" s="366"/>
      <c r="J785" s="366"/>
      <c r="K785" s="367"/>
      <c r="L785" s="368">
        <f>(MIN(Attendance!D785, TIME(18, 0, 0)) - Attendance!C785) * 24</f>
        <v>18</v>
      </c>
      <c r="M785" s="369">
        <f t="shared" si="5"/>
        <v>-18</v>
      </c>
      <c r="N785" s="377"/>
      <c r="O785" s="377"/>
      <c r="P785" s="377"/>
    </row>
    <row r="786" ht="22.5" customHeight="1">
      <c r="A786" s="394"/>
      <c r="B786" s="395"/>
      <c r="C786" s="396"/>
      <c r="D786" s="396"/>
      <c r="E786" s="363"/>
      <c r="F786" s="364"/>
      <c r="G786" s="365"/>
      <c r="H786" s="366"/>
      <c r="I786" s="366"/>
      <c r="J786" s="366"/>
      <c r="K786" s="367"/>
      <c r="L786" s="368">
        <f>(MIN(Attendance!D786, TIME(18, 0, 0)) - Attendance!C786) * 24</f>
        <v>18</v>
      </c>
      <c r="M786" s="369">
        <f t="shared" si="5"/>
        <v>-18</v>
      </c>
      <c r="N786" s="369"/>
      <c r="O786" s="369"/>
      <c r="P786" s="369"/>
    </row>
    <row r="787" ht="22.5" customHeight="1">
      <c r="A787" s="394"/>
      <c r="B787" s="395"/>
      <c r="C787" s="396"/>
      <c r="D787" s="396"/>
      <c r="E787" s="363"/>
      <c r="F787" s="364"/>
      <c r="G787" s="365"/>
      <c r="H787" s="366"/>
      <c r="I787" s="366"/>
      <c r="J787" s="366"/>
      <c r="K787" s="367"/>
      <c r="L787" s="368">
        <f>(MIN(Attendance!D787, TIME(18, 0, 0)) - Attendance!C787) * 24</f>
        <v>18</v>
      </c>
      <c r="M787" s="369">
        <f t="shared" si="5"/>
        <v>-18</v>
      </c>
      <c r="N787" s="377"/>
      <c r="O787" s="377"/>
      <c r="P787" s="377"/>
    </row>
    <row r="788" ht="22.5" customHeight="1">
      <c r="A788" s="394"/>
      <c r="B788" s="395"/>
      <c r="C788" s="396"/>
      <c r="D788" s="396"/>
      <c r="E788" s="363"/>
      <c r="F788" s="364"/>
      <c r="G788" s="365"/>
      <c r="H788" s="366"/>
      <c r="I788" s="366"/>
      <c r="J788" s="366"/>
      <c r="K788" s="367"/>
      <c r="L788" s="368">
        <f>(MIN(Attendance!D788, TIME(18, 0, 0)) - Attendance!C788) * 24</f>
        <v>18</v>
      </c>
      <c r="M788" s="369">
        <f t="shared" si="5"/>
        <v>-18</v>
      </c>
      <c r="N788" s="369"/>
      <c r="O788" s="369"/>
      <c r="P788" s="369"/>
    </row>
    <row r="789" ht="22.5" customHeight="1">
      <c r="A789" s="394"/>
      <c r="B789" s="395"/>
      <c r="C789" s="396"/>
      <c r="D789" s="396"/>
      <c r="E789" s="363"/>
      <c r="F789" s="364"/>
      <c r="G789" s="365"/>
      <c r="H789" s="366"/>
      <c r="I789" s="366"/>
      <c r="J789" s="366"/>
      <c r="K789" s="367"/>
      <c r="L789" s="368">
        <f>(MIN(Attendance!D789, TIME(18, 0, 0)) - Attendance!C789) * 24</f>
        <v>18</v>
      </c>
      <c r="M789" s="369">
        <f t="shared" si="5"/>
        <v>-18</v>
      </c>
      <c r="N789" s="377"/>
      <c r="O789" s="377"/>
      <c r="P789" s="377"/>
    </row>
    <row r="790" ht="22.5" customHeight="1">
      <c r="A790" s="394"/>
      <c r="B790" s="395"/>
      <c r="C790" s="396"/>
      <c r="D790" s="396"/>
      <c r="E790" s="363"/>
      <c r="F790" s="364"/>
      <c r="G790" s="365"/>
      <c r="H790" s="366"/>
      <c r="I790" s="366"/>
      <c r="J790" s="366"/>
      <c r="K790" s="367"/>
      <c r="L790" s="368">
        <f>(MIN(Attendance!D790, TIME(18, 0, 0)) - Attendance!C790) * 24</f>
        <v>18</v>
      </c>
      <c r="M790" s="369">
        <f t="shared" si="5"/>
        <v>-18</v>
      </c>
      <c r="N790" s="369"/>
      <c r="O790" s="369"/>
      <c r="P790" s="369"/>
    </row>
    <row r="791" ht="22.5" customHeight="1">
      <c r="A791" s="394"/>
      <c r="B791" s="395"/>
      <c r="C791" s="396"/>
      <c r="D791" s="396"/>
      <c r="E791" s="363"/>
      <c r="F791" s="364"/>
      <c r="G791" s="365"/>
      <c r="H791" s="366"/>
      <c r="I791" s="366"/>
      <c r="J791" s="366"/>
      <c r="K791" s="367"/>
      <c r="L791" s="368">
        <f>(MIN(Attendance!D791, TIME(18, 0, 0)) - Attendance!C791) * 24</f>
        <v>18</v>
      </c>
      <c r="M791" s="369">
        <f t="shared" si="5"/>
        <v>-18</v>
      </c>
      <c r="N791" s="377"/>
      <c r="O791" s="377"/>
      <c r="P791" s="377"/>
    </row>
    <row r="792" ht="22.5" customHeight="1">
      <c r="A792" s="394"/>
      <c r="B792" s="395"/>
      <c r="C792" s="396"/>
      <c r="D792" s="396"/>
      <c r="E792" s="363"/>
      <c r="F792" s="364"/>
      <c r="G792" s="365"/>
      <c r="H792" s="366"/>
      <c r="I792" s="366"/>
      <c r="J792" s="366"/>
      <c r="K792" s="367"/>
      <c r="L792" s="368">
        <f>(MIN(Attendance!D792, TIME(18, 0, 0)) - Attendance!C792) * 24</f>
        <v>18</v>
      </c>
      <c r="M792" s="369">
        <f t="shared" si="5"/>
        <v>-18</v>
      </c>
      <c r="N792" s="369"/>
      <c r="O792" s="369"/>
      <c r="P792" s="369"/>
    </row>
    <row r="793" ht="22.5" customHeight="1">
      <c r="A793" s="394"/>
      <c r="B793" s="395"/>
      <c r="C793" s="396"/>
      <c r="D793" s="396"/>
      <c r="E793" s="363"/>
      <c r="F793" s="364"/>
      <c r="G793" s="365"/>
      <c r="H793" s="366"/>
      <c r="I793" s="366"/>
      <c r="J793" s="366"/>
      <c r="K793" s="367"/>
      <c r="L793" s="368">
        <f>(MIN(Attendance!D793, TIME(18, 0, 0)) - Attendance!C793) * 24</f>
        <v>18</v>
      </c>
      <c r="M793" s="369">
        <f t="shared" si="5"/>
        <v>-18</v>
      </c>
      <c r="N793" s="377"/>
      <c r="O793" s="377"/>
      <c r="P793" s="377"/>
    </row>
    <row r="794" ht="22.5" customHeight="1">
      <c r="A794" s="394"/>
      <c r="B794" s="395"/>
      <c r="C794" s="396"/>
      <c r="D794" s="396"/>
      <c r="E794" s="363"/>
      <c r="F794" s="364"/>
      <c r="G794" s="365"/>
      <c r="H794" s="366"/>
      <c r="I794" s="366"/>
      <c r="J794" s="366"/>
      <c r="K794" s="367"/>
      <c r="L794" s="368">
        <f>(MIN(Attendance!D794, TIME(18, 0, 0)) - Attendance!C794) * 24</f>
        <v>18</v>
      </c>
      <c r="M794" s="369">
        <f t="shared" si="5"/>
        <v>-18</v>
      </c>
      <c r="N794" s="369"/>
      <c r="O794" s="369"/>
      <c r="P794" s="369"/>
    </row>
    <row r="795" ht="22.5" customHeight="1">
      <c r="A795" s="394"/>
      <c r="B795" s="395"/>
      <c r="C795" s="396"/>
      <c r="D795" s="396"/>
      <c r="E795" s="363"/>
      <c r="F795" s="364"/>
      <c r="G795" s="365"/>
      <c r="H795" s="366"/>
      <c r="I795" s="366"/>
      <c r="J795" s="366"/>
      <c r="K795" s="367"/>
      <c r="L795" s="368">
        <f>(MIN(Attendance!D795, TIME(18, 0, 0)) - Attendance!C795) * 24</f>
        <v>18</v>
      </c>
      <c r="M795" s="369">
        <f t="shared" si="5"/>
        <v>-18</v>
      </c>
      <c r="N795" s="377"/>
      <c r="O795" s="377"/>
      <c r="P795" s="377"/>
    </row>
    <row r="796" ht="22.5" customHeight="1">
      <c r="A796" s="394"/>
      <c r="B796" s="395"/>
      <c r="C796" s="396"/>
      <c r="D796" s="396"/>
      <c r="E796" s="363"/>
      <c r="F796" s="364"/>
      <c r="G796" s="365"/>
      <c r="H796" s="366"/>
      <c r="I796" s="366"/>
      <c r="J796" s="366"/>
      <c r="K796" s="367"/>
      <c r="L796" s="368">
        <f>(MIN(Attendance!D796, TIME(18, 0, 0)) - Attendance!C796) * 24</f>
        <v>18</v>
      </c>
      <c r="M796" s="369">
        <f t="shared" si="5"/>
        <v>-18</v>
      </c>
      <c r="N796" s="369"/>
      <c r="O796" s="369"/>
      <c r="P796" s="369"/>
    </row>
    <row r="797" ht="22.5" customHeight="1">
      <c r="A797" s="394"/>
      <c r="B797" s="395"/>
      <c r="C797" s="396"/>
      <c r="D797" s="396"/>
      <c r="E797" s="363"/>
      <c r="F797" s="364"/>
      <c r="G797" s="365"/>
      <c r="H797" s="366"/>
      <c r="I797" s="366"/>
      <c r="J797" s="366"/>
      <c r="K797" s="367"/>
      <c r="L797" s="368">
        <f>(MIN(Attendance!D797, TIME(18, 0, 0)) - Attendance!C797) * 24</f>
        <v>18</v>
      </c>
      <c r="M797" s="369">
        <f t="shared" si="5"/>
        <v>-18</v>
      </c>
      <c r="N797" s="377"/>
      <c r="O797" s="377"/>
      <c r="P797" s="377"/>
    </row>
    <row r="798" ht="22.5" customHeight="1">
      <c r="A798" s="394"/>
      <c r="B798" s="395"/>
      <c r="C798" s="396"/>
      <c r="D798" s="396"/>
      <c r="E798" s="363"/>
      <c r="F798" s="364"/>
      <c r="G798" s="365"/>
      <c r="H798" s="366"/>
      <c r="I798" s="366"/>
      <c r="J798" s="366"/>
      <c r="K798" s="367"/>
      <c r="L798" s="368">
        <f>(MIN(Attendance!D798, TIME(18, 0, 0)) - Attendance!C798) * 24</f>
        <v>18</v>
      </c>
      <c r="M798" s="369">
        <f t="shared" si="5"/>
        <v>-18</v>
      </c>
      <c r="N798" s="369"/>
      <c r="O798" s="369"/>
      <c r="P798" s="369"/>
    </row>
    <row r="799" ht="22.5" customHeight="1">
      <c r="A799" s="394"/>
      <c r="B799" s="395"/>
      <c r="C799" s="396"/>
      <c r="D799" s="396"/>
      <c r="E799" s="363"/>
      <c r="F799" s="364"/>
      <c r="G799" s="365"/>
      <c r="H799" s="366"/>
      <c r="I799" s="366"/>
      <c r="J799" s="366"/>
      <c r="K799" s="367"/>
      <c r="L799" s="368">
        <f>(MIN(Attendance!D799, TIME(18, 0, 0)) - Attendance!C799) * 24</f>
        <v>18</v>
      </c>
      <c r="M799" s="369">
        <f t="shared" si="5"/>
        <v>-18</v>
      </c>
      <c r="N799" s="377"/>
      <c r="O799" s="377"/>
      <c r="P799" s="377"/>
    </row>
    <row r="800" ht="22.5" customHeight="1">
      <c r="A800" s="394"/>
      <c r="B800" s="395"/>
      <c r="C800" s="396"/>
      <c r="D800" s="396"/>
      <c r="E800" s="363"/>
      <c r="F800" s="364"/>
      <c r="G800" s="365"/>
      <c r="H800" s="366"/>
      <c r="I800" s="366"/>
      <c r="J800" s="366"/>
      <c r="K800" s="367"/>
      <c r="L800" s="368">
        <f>(MIN(Attendance!D800, TIME(18, 0, 0)) - Attendance!C800) * 24</f>
        <v>18</v>
      </c>
      <c r="M800" s="369">
        <f t="shared" si="5"/>
        <v>-18</v>
      </c>
      <c r="N800" s="369"/>
      <c r="O800" s="369"/>
      <c r="P800" s="369"/>
    </row>
    <row r="801" ht="22.5" customHeight="1">
      <c r="A801" s="394"/>
      <c r="B801" s="395"/>
      <c r="C801" s="396"/>
      <c r="D801" s="396"/>
      <c r="E801" s="363"/>
      <c r="F801" s="364"/>
      <c r="G801" s="365"/>
      <c r="H801" s="366"/>
      <c r="I801" s="366"/>
      <c r="J801" s="366"/>
      <c r="K801" s="367"/>
      <c r="L801" s="368">
        <f>(MIN(Attendance!D801, TIME(18, 0, 0)) - Attendance!C801) * 24</f>
        <v>18</v>
      </c>
      <c r="M801" s="369">
        <f t="shared" si="5"/>
        <v>-18</v>
      </c>
      <c r="N801" s="377"/>
      <c r="O801" s="377"/>
      <c r="P801" s="377"/>
    </row>
    <row r="802" ht="22.5" customHeight="1">
      <c r="A802" s="394"/>
      <c r="B802" s="395"/>
      <c r="C802" s="396"/>
      <c r="D802" s="396"/>
      <c r="E802" s="363"/>
      <c r="F802" s="364"/>
      <c r="G802" s="365"/>
      <c r="H802" s="366"/>
      <c r="I802" s="366"/>
      <c r="J802" s="366"/>
      <c r="K802" s="367"/>
      <c r="L802" s="368">
        <f>(MIN(Attendance!D802, TIME(18, 0, 0)) - Attendance!C802) * 24</f>
        <v>18</v>
      </c>
      <c r="M802" s="369">
        <f t="shared" si="5"/>
        <v>-18</v>
      </c>
      <c r="N802" s="369"/>
      <c r="O802" s="369"/>
      <c r="P802" s="369"/>
    </row>
    <row r="803" ht="22.5" customHeight="1">
      <c r="A803" s="394"/>
      <c r="B803" s="395"/>
      <c r="C803" s="396"/>
      <c r="D803" s="396"/>
      <c r="E803" s="363"/>
      <c r="F803" s="364"/>
      <c r="G803" s="365"/>
      <c r="H803" s="366"/>
      <c r="I803" s="366"/>
      <c r="J803" s="366"/>
      <c r="K803" s="367"/>
      <c r="L803" s="368">
        <f>(MIN(Attendance!D803, TIME(18, 0, 0)) - Attendance!C803) * 24</f>
        <v>18</v>
      </c>
      <c r="M803" s="369">
        <f t="shared" si="5"/>
        <v>-18</v>
      </c>
      <c r="N803" s="377"/>
      <c r="O803" s="377"/>
      <c r="P803" s="377"/>
    </row>
    <row r="804" ht="22.5" customHeight="1">
      <c r="A804" s="394"/>
      <c r="B804" s="395"/>
      <c r="C804" s="396"/>
      <c r="D804" s="396"/>
      <c r="E804" s="363"/>
      <c r="F804" s="364"/>
      <c r="G804" s="365"/>
      <c r="H804" s="366"/>
      <c r="I804" s="366"/>
      <c r="J804" s="366"/>
      <c r="K804" s="367"/>
      <c r="L804" s="368">
        <f>(MIN(Attendance!D804, TIME(18, 0, 0)) - Attendance!C804) * 24</f>
        <v>18</v>
      </c>
      <c r="M804" s="369">
        <f t="shared" si="5"/>
        <v>-18</v>
      </c>
      <c r="N804" s="369"/>
      <c r="O804" s="369"/>
      <c r="P804" s="369"/>
    </row>
    <row r="805" ht="22.5" customHeight="1">
      <c r="A805" s="394"/>
      <c r="B805" s="395"/>
      <c r="C805" s="396"/>
      <c r="D805" s="396"/>
      <c r="E805" s="363"/>
      <c r="F805" s="364"/>
      <c r="G805" s="365"/>
      <c r="H805" s="366"/>
      <c r="I805" s="366"/>
      <c r="J805" s="366"/>
      <c r="K805" s="367"/>
      <c r="L805" s="368">
        <f>(MIN(Attendance!D805, TIME(18, 0, 0)) - Attendance!C805) * 24</f>
        <v>18</v>
      </c>
      <c r="M805" s="369">
        <f t="shared" si="5"/>
        <v>-18</v>
      </c>
      <c r="N805" s="377"/>
      <c r="O805" s="377"/>
      <c r="P805" s="377"/>
    </row>
    <row r="806" ht="22.5" customHeight="1">
      <c r="A806" s="394"/>
      <c r="B806" s="395"/>
      <c r="C806" s="396"/>
      <c r="D806" s="396"/>
      <c r="E806" s="363"/>
      <c r="F806" s="364"/>
      <c r="G806" s="365"/>
      <c r="H806" s="366"/>
      <c r="I806" s="366"/>
      <c r="J806" s="366"/>
      <c r="K806" s="367"/>
      <c r="L806" s="368">
        <f>(MIN(Attendance!D806, TIME(18, 0, 0)) - Attendance!C806) * 24</f>
        <v>18</v>
      </c>
      <c r="M806" s="369">
        <f t="shared" si="5"/>
        <v>-18</v>
      </c>
      <c r="N806" s="369"/>
      <c r="O806" s="369"/>
      <c r="P806" s="369"/>
    </row>
    <row r="807" ht="22.5" customHeight="1">
      <c r="A807" s="394"/>
      <c r="B807" s="395"/>
      <c r="C807" s="396"/>
      <c r="D807" s="396"/>
      <c r="E807" s="363"/>
      <c r="F807" s="364"/>
      <c r="G807" s="365"/>
      <c r="H807" s="366"/>
      <c r="I807" s="366"/>
      <c r="J807" s="366"/>
      <c r="K807" s="367"/>
      <c r="L807" s="368">
        <f>(MIN(Attendance!D807, TIME(18, 0, 0)) - Attendance!C807) * 24</f>
        <v>18</v>
      </c>
      <c r="M807" s="369">
        <f t="shared" si="5"/>
        <v>-18</v>
      </c>
      <c r="N807" s="377"/>
      <c r="O807" s="377"/>
      <c r="P807" s="377"/>
    </row>
    <row r="808" ht="22.5" customHeight="1">
      <c r="A808" s="394"/>
      <c r="B808" s="395"/>
      <c r="C808" s="396"/>
      <c r="D808" s="396"/>
      <c r="E808" s="363"/>
      <c r="F808" s="364"/>
      <c r="G808" s="365"/>
      <c r="H808" s="366"/>
      <c r="I808" s="366"/>
      <c r="J808" s="366"/>
      <c r="K808" s="367"/>
      <c r="L808" s="368">
        <f>(MIN(Attendance!D808, TIME(18, 0, 0)) - Attendance!C808) * 24</f>
        <v>18</v>
      </c>
      <c r="M808" s="369">
        <f t="shared" si="5"/>
        <v>-18</v>
      </c>
      <c r="N808" s="369"/>
      <c r="O808" s="369"/>
      <c r="P808" s="369"/>
    </row>
    <row r="809" ht="22.5" customHeight="1">
      <c r="A809" s="394"/>
      <c r="B809" s="395"/>
      <c r="C809" s="396"/>
      <c r="D809" s="396"/>
      <c r="E809" s="363"/>
      <c r="F809" s="364"/>
      <c r="G809" s="365"/>
      <c r="H809" s="366"/>
      <c r="I809" s="366"/>
      <c r="J809" s="366"/>
      <c r="K809" s="367"/>
      <c r="L809" s="368">
        <f>(MIN(Attendance!D809, TIME(18, 0, 0)) - Attendance!C809) * 24</f>
        <v>18</v>
      </c>
      <c r="M809" s="369">
        <f t="shared" si="5"/>
        <v>-18</v>
      </c>
      <c r="N809" s="377"/>
      <c r="O809" s="377"/>
      <c r="P809" s="377"/>
    </row>
    <row r="810" ht="22.5" customHeight="1">
      <c r="A810" s="394"/>
      <c r="B810" s="395"/>
      <c r="C810" s="396"/>
      <c r="D810" s="396"/>
      <c r="E810" s="363"/>
      <c r="F810" s="364"/>
      <c r="G810" s="365"/>
      <c r="H810" s="366"/>
      <c r="I810" s="366"/>
      <c r="J810" s="366"/>
      <c r="K810" s="367"/>
      <c r="L810" s="368">
        <f>(MIN(Attendance!D810, TIME(18, 0, 0)) - Attendance!C810) * 24</f>
        <v>18</v>
      </c>
      <c r="M810" s="369">
        <f t="shared" si="5"/>
        <v>-18</v>
      </c>
      <c r="N810" s="369"/>
      <c r="O810" s="369"/>
      <c r="P810" s="369"/>
    </row>
    <row r="811" ht="22.5" customHeight="1">
      <c r="A811" s="394"/>
      <c r="B811" s="395"/>
      <c r="C811" s="396"/>
      <c r="D811" s="396"/>
      <c r="E811" s="363"/>
      <c r="F811" s="364"/>
      <c r="G811" s="365"/>
      <c r="H811" s="366"/>
      <c r="I811" s="366"/>
      <c r="J811" s="366"/>
      <c r="K811" s="367"/>
      <c r="L811" s="368">
        <f>(MIN(Attendance!D811, TIME(18, 0, 0)) - Attendance!C811) * 24</f>
        <v>18</v>
      </c>
      <c r="M811" s="369">
        <f t="shared" si="5"/>
        <v>-18</v>
      </c>
      <c r="N811" s="377"/>
      <c r="O811" s="377"/>
      <c r="P811" s="377"/>
    </row>
    <row r="812" ht="22.5" customHeight="1">
      <c r="A812" s="394"/>
      <c r="B812" s="395"/>
      <c r="C812" s="396"/>
      <c r="D812" s="396"/>
      <c r="E812" s="363"/>
      <c r="F812" s="364"/>
      <c r="G812" s="365"/>
      <c r="H812" s="366"/>
      <c r="I812" s="366"/>
      <c r="J812" s="366"/>
      <c r="K812" s="367"/>
      <c r="L812" s="368">
        <f>(MIN(Attendance!D812, TIME(18, 0, 0)) - Attendance!C812) * 24</f>
        <v>18</v>
      </c>
      <c r="M812" s="369">
        <f t="shared" si="5"/>
        <v>-18</v>
      </c>
      <c r="N812" s="369"/>
      <c r="O812" s="369"/>
      <c r="P812" s="369"/>
    </row>
    <row r="813" ht="22.5" customHeight="1">
      <c r="A813" s="394"/>
      <c r="B813" s="395"/>
      <c r="C813" s="396"/>
      <c r="D813" s="396"/>
      <c r="E813" s="363"/>
      <c r="F813" s="364"/>
      <c r="G813" s="365"/>
      <c r="H813" s="366"/>
      <c r="I813" s="366"/>
      <c r="J813" s="366"/>
      <c r="K813" s="367"/>
      <c r="L813" s="368">
        <f>(MIN(Attendance!D813, TIME(18, 0, 0)) - Attendance!C813) * 24</f>
        <v>18</v>
      </c>
      <c r="M813" s="369">
        <f t="shared" si="5"/>
        <v>-18</v>
      </c>
      <c r="N813" s="377"/>
      <c r="O813" s="377"/>
      <c r="P813" s="377"/>
    </row>
    <row r="814" ht="22.5" customHeight="1">
      <c r="A814" s="394"/>
      <c r="B814" s="395"/>
      <c r="C814" s="396"/>
      <c r="D814" s="396"/>
      <c r="E814" s="363"/>
      <c r="F814" s="364"/>
      <c r="G814" s="365"/>
      <c r="H814" s="366"/>
      <c r="I814" s="366"/>
      <c r="J814" s="366"/>
      <c r="K814" s="367"/>
      <c r="L814" s="368">
        <f>(MIN(Attendance!D814, TIME(18, 0, 0)) - Attendance!C814) * 24</f>
        <v>18</v>
      </c>
      <c r="M814" s="369">
        <f t="shared" si="5"/>
        <v>-18</v>
      </c>
      <c r="N814" s="369"/>
      <c r="O814" s="369"/>
      <c r="P814" s="369"/>
    </row>
    <row r="815" ht="22.5" customHeight="1">
      <c r="A815" s="394"/>
      <c r="B815" s="395"/>
      <c r="C815" s="396"/>
      <c r="D815" s="396"/>
      <c r="E815" s="363"/>
      <c r="F815" s="364"/>
      <c r="G815" s="365"/>
      <c r="H815" s="366"/>
      <c r="I815" s="366"/>
      <c r="J815" s="366"/>
      <c r="K815" s="367"/>
      <c r="L815" s="368">
        <f>(MIN(Attendance!D815, TIME(18, 0, 0)) - Attendance!C815) * 24</f>
        <v>18</v>
      </c>
      <c r="M815" s="369">
        <f t="shared" si="5"/>
        <v>-18</v>
      </c>
      <c r="N815" s="377"/>
      <c r="O815" s="377"/>
      <c r="P815" s="377"/>
    </row>
    <row r="816" ht="22.5" customHeight="1">
      <c r="A816" s="394"/>
      <c r="B816" s="395"/>
      <c r="C816" s="396"/>
      <c r="D816" s="396"/>
      <c r="E816" s="363"/>
      <c r="F816" s="364"/>
      <c r="G816" s="365"/>
      <c r="H816" s="366"/>
      <c r="I816" s="366"/>
      <c r="J816" s="366"/>
      <c r="K816" s="367"/>
      <c r="L816" s="368">
        <f>(MIN(Attendance!D816, TIME(18, 0, 0)) - Attendance!C816) * 24</f>
        <v>18</v>
      </c>
      <c r="M816" s="369">
        <f t="shared" si="5"/>
        <v>-18</v>
      </c>
      <c r="N816" s="369"/>
      <c r="O816" s="369"/>
      <c r="P816" s="369"/>
    </row>
    <row r="817" ht="22.5" customHeight="1">
      <c r="A817" s="394"/>
      <c r="B817" s="395"/>
      <c r="C817" s="396"/>
      <c r="D817" s="396"/>
      <c r="E817" s="363"/>
      <c r="F817" s="364"/>
      <c r="G817" s="365"/>
      <c r="H817" s="366"/>
      <c r="I817" s="366"/>
      <c r="J817" s="366"/>
      <c r="K817" s="367"/>
      <c r="L817" s="368">
        <f>(MIN(Attendance!D817, TIME(18, 0, 0)) - Attendance!C817) * 24</f>
        <v>18</v>
      </c>
      <c r="M817" s="369">
        <f t="shared" si="5"/>
        <v>-18</v>
      </c>
      <c r="N817" s="377"/>
      <c r="O817" s="377"/>
      <c r="P817" s="377"/>
    </row>
    <row r="818" ht="22.5" customHeight="1">
      <c r="A818" s="394"/>
      <c r="B818" s="395"/>
      <c r="C818" s="396"/>
      <c r="D818" s="396"/>
      <c r="E818" s="363"/>
      <c r="F818" s="364"/>
      <c r="G818" s="365"/>
      <c r="H818" s="366"/>
      <c r="I818" s="366"/>
      <c r="J818" s="366"/>
      <c r="K818" s="367"/>
      <c r="L818" s="368">
        <f>(MIN(Attendance!D818, TIME(18, 0, 0)) - Attendance!C818) * 24</f>
        <v>18</v>
      </c>
      <c r="M818" s="369">
        <f t="shared" si="5"/>
        <v>-18</v>
      </c>
      <c r="N818" s="369"/>
      <c r="O818" s="369"/>
      <c r="P818" s="369"/>
    </row>
    <row r="819" ht="22.5" customHeight="1">
      <c r="A819" s="394"/>
      <c r="B819" s="395"/>
      <c r="C819" s="396"/>
      <c r="D819" s="396"/>
      <c r="E819" s="363"/>
      <c r="F819" s="364"/>
      <c r="G819" s="365"/>
      <c r="H819" s="366"/>
      <c r="I819" s="366"/>
      <c r="J819" s="366"/>
      <c r="K819" s="367"/>
      <c r="L819" s="368">
        <f>(MIN(Attendance!D819, TIME(18, 0, 0)) - Attendance!C819) * 24</f>
        <v>18</v>
      </c>
      <c r="M819" s="369">
        <f t="shared" si="5"/>
        <v>-18</v>
      </c>
      <c r="N819" s="377"/>
      <c r="O819" s="377"/>
      <c r="P819" s="377"/>
    </row>
    <row r="820" ht="22.5" customHeight="1">
      <c r="A820" s="394"/>
      <c r="B820" s="395"/>
      <c r="C820" s="396"/>
      <c r="D820" s="396"/>
      <c r="E820" s="363"/>
      <c r="F820" s="364"/>
      <c r="G820" s="365"/>
      <c r="H820" s="366"/>
      <c r="I820" s="366"/>
      <c r="J820" s="366"/>
      <c r="K820" s="367"/>
      <c r="L820" s="368">
        <f>(MIN(Attendance!D820, TIME(18, 0, 0)) - Attendance!C820) * 24</f>
        <v>18</v>
      </c>
      <c r="M820" s="369">
        <f t="shared" si="5"/>
        <v>-18</v>
      </c>
      <c r="N820" s="369"/>
      <c r="O820" s="369"/>
      <c r="P820" s="369"/>
    </row>
    <row r="821" ht="22.5" customHeight="1">
      <c r="A821" s="394"/>
      <c r="B821" s="395"/>
      <c r="C821" s="396"/>
      <c r="D821" s="396"/>
      <c r="E821" s="363"/>
      <c r="F821" s="364"/>
      <c r="G821" s="365"/>
      <c r="H821" s="366"/>
      <c r="I821" s="366"/>
      <c r="J821" s="366"/>
      <c r="K821" s="367"/>
      <c r="L821" s="368">
        <f>(MIN(Attendance!D821, TIME(18, 0, 0)) - Attendance!C821) * 24</f>
        <v>18</v>
      </c>
      <c r="M821" s="369">
        <f t="shared" si="5"/>
        <v>-18</v>
      </c>
      <c r="N821" s="377"/>
      <c r="O821" s="377"/>
      <c r="P821" s="377"/>
    </row>
    <row r="822" ht="22.5" customHeight="1">
      <c r="A822" s="394"/>
      <c r="B822" s="395"/>
      <c r="C822" s="396"/>
      <c r="D822" s="396"/>
      <c r="E822" s="363"/>
      <c r="F822" s="364"/>
      <c r="G822" s="365"/>
      <c r="H822" s="366"/>
      <c r="I822" s="366"/>
      <c r="J822" s="366"/>
      <c r="K822" s="367"/>
      <c r="L822" s="368">
        <f>(MIN(Attendance!D822, TIME(18, 0, 0)) - Attendance!C822) * 24</f>
        <v>18</v>
      </c>
      <c r="M822" s="369">
        <f t="shared" si="5"/>
        <v>-18</v>
      </c>
      <c r="N822" s="369"/>
      <c r="O822" s="369"/>
      <c r="P822" s="369"/>
    </row>
    <row r="823" ht="22.5" customHeight="1">
      <c r="A823" s="394"/>
      <c r="B823" s="395"/>
      <c r="C823" s="396"/>
      <c r="D823" s="396"/>
      <c r="E823" s="363"/>
      <c r="F823" s="364"/>
      <c r="G823" s="365"/>
      <c r="H823" s="366"/>
      <c r="I823" s="366"/>
      <c r="J823" s="366"/>
      <c r="K823" s="367"/>
      <c r="L823" s="368">
        <f>(MIN(Attendance!D823, TIME(18, 0, 0)) - Attendance!C823) * 24</f>
        <v>18</v>
      </c>
      <c r="M823" s="369">
        <f t="shared" si="5"/>
        <v>-18</v>
      </c>
      <c r="N823" s="377"/>
      <c r="O823" s="377"/>
      <c r="P823" s="377"/>
    </row>
    <row r="824" ht="22.5" customHeight="1">
      <c r="A824" s="394"/>
      <c r="B824" s="395"/>
      <c r="C824" s="396"/>
      <c r="D824" s="396"/>
      <c r="E824" s="363"/>
      <c r="F824" s="364"/>
      <c r="G824" s="365"/>
      <c r="H824" s="366"/>
      <c r="I824" s="366"/>
      <c r="J824" s="366"/>
      <c r="K824" s="367"/>
      <c r="L824" s="368">
        <f>(MIN(Attendance!D824, TIME(18, 0, 0)) - Attendance!C824) * 24</f>
        <v>18</v>
      </c>
      <c r="M824" s="369">
        <f t="shared" si="5"/>
        <v>-18</v>
      </c>
      <c r="N824" s="369"/>
      <c r="O824" s="369"/>
      <c r="P824" s="369"/>
    </row>
    <row r="825" ht="22.5" customHeight="1">
      <c r="A825" s="394"/>
      <c r="B825" s="395"/>
      <c r="C825" s="396"/>
      <c r="D825" s="396"/>
      <c r="E825" s="363"/>
      <c r="F825" s="364"/>
      <c r="G825" s="365"/>
      <c r="H825" s="366"/>
      <c r="I825" s="366"/>
      <c r="J825" s="366"/>
      <c r="K825" s="367"/>
      <c r="L825" s="368">
        <f>(MIN(Attendance!D825, TIME(18, 0, 0)) - Attendance!C825) * 24</f>
        <v>18</v>
      </c>
      <c r="M825" s="369">
        <f t="shared" si="5"/>
        <v>-18</v>
      </c>
      <c r="N825" s="377"/>
      <c r="O825" s="377"/>
      <c r="P825" s="377"/>
    </row>
    <row r="826" ht="22.5" customHeight="1">
      <c r="A826" s="394"/>
      <c r="B826" s="395"/>
      <c r="C826" s="396"/>
      <c r="D826" s="396"/>
      <c r="E826" s="363"/>
      <c r="F826" s="364"/>
      <c r="G826" s="365"/>
      <c r="H826" s="366"/>
      <c r="I826" s="366"/>
      <c r="J826" s="366"/>
      <c r="K826" s="367"/>
      <c r="L826" s="368">
        <f>(MIN(Attendance!D826, TIME(18, 0, 0)) - Attendance!C826) * 24</f>
        <v>18</v>
      </c>
      <c r="M826" s="369">
        <f t="shared" si="5"/>
        <v>-18</v>
      </c>
      <c r="N826" s="369"/>
      <c r="O826" s="369"/>
      <c r="P826" s="369"/>
    </row>
    <row r="827" ht="22.5" customHeight="1">
      <c r="A827" s="394"/>
      <c r="B827" s="395"/>
      <c r="C827" s="396"/>
      <c r="D827" s="396"/>
      <c r="E827" s="363"/>
      <c r="F827" s="364"/>
      <c r="G827" s="365"/>
      <c r="H827" s="366"/>
      <c r="I827" s="366"/>
      <c r="J827" s="366"/>
      <c r="K827" s="367"/>
      <c r="L827" s="368">
        <f>(MIN(Attendance!D827, TIME(18, 0, 0)) - Attendance!C827) * 24</f>
        <v>18</v>
      </c>
      <c r="M827" s="369">
        <f t="shared" si="5"/>
        <v>-18</v>
      </c>
      <c r="N827" s="377"/>
      <c r="O827" s="377"/>
      <c r="P827" s="377"/>
    </row>
    <row r="828" ht="22.5" customHeight="1">
      <c r="A828" s="394"/>
      <c r="B828" s="395"/>
      <c r="C828" s="396"/>
      <c r="D828" s="396"/>
      <c r="E828" s="363"/>
      <c r="F828" s="364"/>
      <c r="G828" s="365"/>
      <c r="H828" s="366"/>
      <c r="I828" s="366"/>
      <c r="J828" s="366"/>
      <c r="K828" s="367"/>
      <c r="L828" s="368">
        <f>(MIN(Attendance!D828, TIME(18, 0, 0)) - Attendance!C828) * 24</f>
        <v>18</v>
      </c>
      <c r="M828" s="369">
        <f t="shared" si="5"/>
        <v>-18</v>
      </c>
      <c r="N828" s="369"/>
      <c r="O828" s="369"/>
      <c r="P828" s="369"/>
    </row>
    <row r="829" ht="22.5" customHeight="1">
      <c r="A829" s="394"/>
      <c r="B829" s="395"/>
      <c r="C829" s="396"/>
      <c r="D829" s="396"/>
      <c r="E829" s="363"/>
      <c r="F829" s="364"/>
      <c r="G829" s="365"/>
      <c r="H829" s="366"/>
      <c r="I829" s="366"/>
      <c r="J829" s="366"/>
      <c r="K829" s="367"/>
      <c r="L829" s="368">
        <f>(MIN(Attendance!D829, TIME(18, 0, 0)) - Attendance!C829) * 24</f>
        <v>18</v>
      </c>
      <c r="M829" s="369">
        <f t="shared" si="5"/>
        <v>-18</v>
      </c>
      <c r="N829" s="377"/>
      <c r="O829" s="377"/>
      <c r="P829" s="377"/>
    </row>
    <row r="830" ht="22.5" customHeight="1">
      <c r="A830" s="394"/>
      <c r="B830" s="395"/>
      <c r="C830" s="396"/>
      <c r="D830" s="396"/>
      <c r="E830" s="363"/>
      <c r="F830" s="364"/>
      <c r="G830" s="365"/>
      <c r="H830" s="366"/>
      <c r="I830" s="366"/>
      <c r="J830" s="366"/>
      <c r="K830" s="367"/>
      <c r="L830" s="368">
        <f>(MIN(Attendance!D830, TIME(18, 0, 0)) - Attendance!C830) * 24</f>
        <v>18</v>
      </c>
      <c r="M830" s="369">
        <f t="shared" si="5"/>
        <v>-18</v>
      </c>
      <c r="N830" s="369"/>
      <c r="O830" s="369"/>
      <c r="P830" s="369"/>
    </row>
    <row r="831" ht="22.5" customHeight="1">
      <c r="A831" s="394"/>
      <c r="B831" s="395"/>
      <c r="C831" s="396"/>
      <c r="D831" s="396"/>
      <c r="E831" s="363"/>
      <c r="F831" s="364"/>
      <c r="G831" s="365"/>
      <c r="H831" s="366"/>
      <c r="I831" s="366"/>
      <c r="J831" s="366"/>
      <c r="K831" s="367"/>
      <c r="L831" s="368">
        <f>(MIN(Attendance!D831, TIME(18, 0, 0)) - Attendance!C831) * 24</f>
        <v>18</v>
      </c>
      <c r="M831" s="369">
        <f t="shared" si="5"/>
        <v>-18</v>
      </c>
      <c r="N831" s="377"/>
      <c r="O831" s="377"/>
      <c r="P831" s="377"/>
    </row>
    <row r="832" ht="22.5" customHeight="1">
      <c r="A832" s="394"/>
      <c r="B832" s="395"/>
      <c r="C832" s="396"/>
      <c r="D832" s="396"/>
      <c r="E832" s="363"/>
      <c r="F832" s="364"/>
      <c r="G832" s="365"/>
      <c r="H832" s="366"/>
      <c r="I832" s="366"/>
      <c r="J832" s="366"/>
      <c r="K832" s="367"/>
      <c r="L832" s="368">
        <f>(MIN(Attendance!D832, TIME(18, 0, 0)) - Attendance!C832) * 24</f>
        <v>18</v>
      </c>
      <c r="M832" s="369">
        <f t="shared" si="5"/>
        <v>-18</v>
      </c>
      <c r="N832" s="369"/>
      <c r="O832" s="369"/>
      <c r="P832" s="369"/>
    </row>
    <row r="833" ht="22.5" customHeight="1">
      <c r="A833" s="394"/>
      <c r="B833" s="395"/>
      <c r="C833" s="396"/>
      <c r="D833" s="396"/>
      <c r="E833" s="363"/>
      <c r="F833" s="364"/>
      <c r="G833" s="365"/>
      <c r="H833" s="366"/>
      <c r="I833" s="366"/>
      <c r="J833" s="366"/>
      <c r="K833" s="367"/>
      <c r="L833" s="368">
        <f>(MIN(Attendance!D833, TIME(18, 0, 0)) - Attendance!C833) * 24</f>
        <v>18</v>
      </c>
      <c r="M833" s="369">
        <f t="shared" si="5"/>
        <v>-18</v>
      </c>
      <c r="N833" s="377"/>
      <c r="O833" s="377"/>
      <c r="P833" s="377"/>
    </row>
    <row r="834" ht="22.5" customHeight="1">
      <c r="A834" s="394"/>
      <c r="B834" s="395"/>
      <c r="C834" s="396"/>
      <c r="D834" s="396"/>
      <c r="E834" s="363"/>
      <c r="F834" s="364"/>
      <c r="G834" s="365"/>
      <c r="H834" s="366"/>
      <c r="I834" s="366"/>
      <c r="J834" s="366"/>
      <c r="K834" s="367"/>
      <c r="L834" s="368">
        <f>(MIN(Attendance!D834, TIME(18, 0, 0)) - Attendance!C834) * 24</f>
        <v>18</v>
      </c>
      <c r="M834" s="369">
        <f t="shared" si="5"/>
        <v>-18</v>
      </c>
      <c r="N834" s="369"/>
      <c r="O834" s="369"/>
      <c r="P834" s="369"/>
    </row>
    <row r="835" ht="22.5" customHeight="1">
      <c r="A835" s="394"/>
      <c r="B835" s="395"/>
      <c r="C835" s="396"/>
      <c r="D835" s="396"/>
      <c r="E835" s="363"/>
      <c r="F835" s="364"/>
      <c r="G835" s="365"/>
      <c r="H835" s="366"/>
      <c r="I835" s="366"/>
      <c r="J835" s="366"/>
      <c r="K835" s="367"/>
      <c r="L835" s="368">
        <f>(MIN(Attendance!D835, TIME(18, 0, 0)) - Attendance!C835) * 24</f>
        <v>18</v>
      </c>
      <c r="M835" s="369">
        <f t="shared" si="5"/>
        <v>-18</v>
      </c>
      <c r="N835" s="377"/>
      <c r="O835" s="377"/>
      <c r="P835" s="377"/>
    </row>
    <row r="836" ht="22.5" customHeight="1">
      <c r="A836" s="394"/>
      <c r="B836" s="395"/>
      <c r="C836" s="396"/>
      <c r="D836" s="396"/>
      <c r="E836" s="363"/>
      <c r="F836" s="364"/>
      <c r="G836" s="365"/>
      <c r="H836" s="366"/>
      <c r="I836" s="366"/>
      <c r="J836" s="366"/>
      <c r="K836" s="367"/>
      <c r="L836" s="368">
        <f>(MIN(Attendance!D836, TIME(18, 0, 0)) - Attendance!C836) * 24</f>
        <v>18</v>
      </c>
      <c r="M836" s="369">
        <f t="shared" si="5"/>
        <v>-18</v>
      </c>
      <c r="N836" s="369"/>
      <c r="O836" s="369"/>
      <c r="P836" s="369"/>
    </row>
    <row r="837" ht="22.5" customHeight="1">
      <c r="A837" s="394"/>
      <c r="B837" s="395"/>
      <c r="C837" s="396"/>
      <c r="D837" s="396"/>
      <c r="E837" s="363"/>
      <c r="F837" s="364"/>
      <c r="G837" s="365"/>
      <c r="H837" s="366"/>
      <c r="I837" s="366"/>
      <c r="J837" s="366"/>
      <c r="K837" s="367"/>
      <c r="L837" s="368">
        <f>(MIN(Attendance!D837, TIME(18, 0, 0)) - Attendance!C837) * 24</f>
        <v>18</v>
      </c>
      <c r="M837" s="369">
        <f t="shared" si="5"/>
        <v>-18</v>
      </c>
      <c r="N837" s="377"/>
      <c r="O837" s="377"/>
      <c r="P837" s="377"/>
    </row>
    <row r="838" ht="22.5" customHeight="1">
      <c r="A838" s="394"/>
      <c r="B838" s="395"/>
      <c r="C838" s="396"/>
      <c r="D838" s="396"/>
      <c r="E838" s="363"/>
      <c r="F838" s="364"/>
      <c r="G838" s="365"/>
      <c r="H838" s="366"/>
      <c r="I838" s="366"/>
      <c r="J838" s="366"/>
      <c r="K838" s="367"/>
      <c r="L838" s="368">
        <f>(MIN(Attendance!D838, TIME(18, 0, 0)) - Attendance!C838) * 24</f>
        <v>18</v>
      </c>
      <c r="M838" s="369">
        <f t="shared" si="5"/>
        <v>-18</v>
      </c>
      <c r="N838" s="369"/>
      <c r="O838" s="369"/>
      <c r="P838" s="369"/>
    </row>
    <row r="839" ht="22.5" customHeight="1">
      <c r="A839" s="394"/>
      <c r="B839" s="395"/>
      <c r="C839" s="396"/>
      <c r="D839" s="396"/>
      <c r="E839" s="363"/>
      <c r="F839" s="364"/>
      <c r="G839" s="365"/>
      <c r="H839" s="366"/>
      <c r="I839" s="366"/>
      <c r="J839" s="366"/>
      <c r="K839" s="367"/>
      <c r="L839" s="368">
        <f>(MIN(Attendance!D839, TIME(18, 0, 0)) - Attendance!C839) * 24</f>
        <v>18</v>
      </c>
      <c r="M839" s="369">
        <f t="shared" si="5"/>
        <v>-18</v>
      </c>
      <c r="N839" s="377"/>
      <c r="O839" s="377"/>
      <c r="P839" s="377"/>
    </row>
    <row r="840" ht="22.5" customHeight="1">
      <c r="A840" s="394"/>
      <c r="B840" s="395"/>
      <c r="C840" s="396"/>
      <c r="D840" s="396"/>
      <c r="E840" s="363"/>
      <c r="F840" s="364"/>
      <c r="G840" s="365"/>
      <c r="H840" s="366"/>
      <c r="I840" s="366"/>
      <c r="J840" s="366"/>
      <c r="K840" s="367"/>
      <c r="L840" s="368">
        <f>(MIN(Attendance!D840, TIME(18, 0, 0)) - Attendance!C840) * 24</f>
        <v>18</v>
      </c>
      <c r="M840" s="369">
        <f t="shared" si="5"/>
        <v>-18</v>
      </c>
      <c r="N840" s="369"/>
      <c r="O840" s="369"/>
      <c r="P840" s="369"/>
    </row>
    <row r="841" ht="22.5" customHeight="1">
      <c r="A841" s="394"/>
      <c r="B841" s="395"/>
      <c r="C841" s="396"/>
      <c r="D841" s="396"/>
      <c r="E841" s="363"/>
      <c r="F841" s="364"/>
      <c r="G841" s="365"/>
      <c r="H841" s="366"/>
      <c r="I841" s="366"/>
      <c r="J841" s="366"/>
      <c r="K841" s="367"/>
      <c r="L841" s="368">
        <f>(MIN(Attendance!D841, TIME(18, 0, 0)) - Attendance!C841) * 24</f>
        <v>18</v>
      </c>
      <c r="M841" s="369">
        <f t="shared" si="5"/>
        <v>-18</v>
      </c>
      <c r="N841" s="377"/>
      <c r="O841" s="377"/>
      <c r="P841" s="377"/>
    </row>
    <row r="842" ht="22.5" customHeight="1">
      <c r="A842" s="394"/>
      <c r="B842" s="395"/>
      <c r="C842" s="396"/>
      <c r="D842" s="396"/>
      <c r="E842" s="363"/>
      <c r="F842" s="364"/>
      <c r="G842" s="365"/>
      <c r="H842" s="366"/>
      <c r="I842" s="366"/>
      <c r="J842" s="366"/>
      <c r="K842" s="367"/>
      <c r="L842" s="368">
        <f>(MIN(Attendance!D842, TIME(18, 0, 0)) - Attendance!C842) * 24</f>
        <v>18</v>
      </c>
      <c r="M842" s="369">
        <f t="shared" si="5"/>
        <v>-18</v>
      </c>
      <c r="N842" s="369"/>
      <c r="O842" s="369"/>
      <c r="P842" s="369"/>
    </row>
    <row r="843" ht="22.5" customHeight="1">
      <c r="A843" s="394"/>
      <c r="B843" s="395"/>
      <c r="C843" s="396"/>
      <c r="D843" s="396"/>
      <c r="E843" s="363"/>
      <c r="F843" s="364"/>
      <c r="G843" s="365"/>
      <c r="H843" s="366"/>
      <c r="I843" s="366"/>
      <c r="J843" s="366"/>
      <c r="K843" s="367"/>
      <c r="L843" s="368">
        <f>(MIN(Attendance!D843, TIME(18, 0, 0)) - Attendance!C843) * 24</f>
        <v>18</v>
      </c>
      <c r="M843" s="369">
        <f t="shared" si="5"/>
        <v>-18</v>
      </c>
      <c r="N843" s="377"/>
      <c r="O843" s="377"/>
      <c r="P843" s="377"/>
    </row>
    <row r="844" ht="22.5" customHeight="1">
      <c r="A844" s="394"/>
      <c r="B844" s="395"/>
      <c r="C844" s="396"/>
      <c r="D844" s="396"/>
      <c r="E844" s="363"/>
      <c r="F844" s="364"/>
      <c r="G844" s="365"/>
      <c r="H844" s="366"/>
      <c r="I844" s="366"/>
      <c r="J844" s="366"/>
      <c r="K844" s="367"/>
      <c r="L844" s="368">
        <f>(MIN(Attendance!D844, TIME(18, 0, 0)) - Attendance!C844) * 24</f>
        <v>18</v>
      </c>
      <c r="M844" s="369">
        <f t="shared" si="5"/>
        <v>-18</v>
      </c>
      <c r="N844" s="369"/>
      <c r="O844" s="369"/>
      <c r="P844" s="369"/>
    </row>
    <row r="845" ht="22.5" customHeight="1">
      <c r="A845" s="394"/>
      <c r="B845" s="395"/>
      <c r="C845" s="396"/>
      <c r="D845" s="396"/>
      <c r="E845" s="363"/>
      <c r="F845" s="364"/>
      <c r="G845" s="365"/>
      <c r="H845" s="366"/>
      <c r="I845" s="366"/>
      <c r="J845" s="366"/>
      <c r="K845" s="367"/>
      <c r="L845" s="368">
        <f>(MIN(Attendance!D845, TIME(18, 0, 0)) - Attendance!C845) * 24</f>
        <v>18</v>
      </c>
      <c r="M845" s="369">
        <f t="shared" si="5"/>
        <v>-18</v>
      </c>
      <c r="N845" s="377"/>
      <c r="O845" s="377"/>
      <c r="P845" s="377"/>
    </row>
    <row r="846" ht="22.5" customHeight="1">
      <c r="A846" s="394"/>
      <c r="B846" s="395"/>
      <c r="C846" s="396"/>
      <c r="D846" s="396"/>
      <c r="E846" s="363"/>
      <c r="F846" s="364"/>
      <c r="G846" s="365"/>
      <c r="H846" s="366"/>
      <c r="I846" s="366"/>
      <c r="J846" s="366"/>
      <c r="K846" s="367"/>
      <c r="L846" s="368">
        <f>(MIN(Attendance!D846, TIME(18, 0, 0)) - Attendance!C846) * 24</f>
        <v>18</v>
      </c>
      <c r="M846" s="369">
        <f t="shared" si="5"/>
        <v>-18</v>
      </c>
      <c r="N846" s="369"/>
      <c r="O846" s="369"/>
      <c r="P846" s="369"/>
    </row>
    <row r="847" ht="22.5" customHeight="1">
      <c r="A847" s="394"/>
      <c r="B847" s="395"/>
      <c r="C847" s="396"/>
      <c r="D847" s="396"/>
      <c r="E847" s="363"/>
      <c r="F847" s="364"/>
      <c r="G847" s="365"/>
      <c r="H847" s="366"/>
      <c r="I847" s="366"/>
      <c r="J847" s="366"/>
      <c r="K847" s="367"/>
      <c r="L847" s="368">
        <f>(MIN(Attendance!D847, TIME(18, 0, 0)) - Attendance!C847) * 24</f>
        <v>18</v>
      </c>
      <c r="M847" s="369">
        <f t="shared" si="5"/>
        <v>-18</v>
      </c>
      <c r="N847" s="377"/>
      <c r="O847" s="377"/>
      <c r="P847" s="377"/>
    </row>
    <row r="848" ht="22.5" customHeight="1">
      <c r="A848" s="394"/>
      <c r="B848" s="395"/>
      <c r="C848" s="396"/>
      <c r="D848" s="396"/>
      <c r="E848" s="363"/>
      <c r="F848" s="364"/>
      <c r="G848" s="365"/>
      <c r="H848" s="366"/>
      <c r="I848" s="366"/>
      <c r="J848" s="366"/>
      <c r="K848" s="367"/>
      <c r="L848" s="368">
        <f>(MIN(Attendance!D848, TIME(18, 0, 0)) - Attendance!C848) * 24</f>
        <v>18</v>
      </c>
      <c r="M848" s="369">
        <f t="shared" si="5"/>
        <v>-18</v>
      </c>
      <c r="N848" s="369"/>
      <c r="O848" s="369"/>
      <c r="P848" s="369"/>
    </row>
    <row r="849" ht="22.5" customHeight="1">
      <c r="A849" s="394"/>
      <c r="B849" s="395"/>
      <c r="C849" s="396"/>
      <c r="D849" s="396"/>
      <c r="E849" s="363"/>
      <c r="F849" s="364"/>
      <c r="G849" s="365"/>
      <c r="H849" s="366"/>
      <c r="I849" s="366"/>
      <c r="J849" s="366"/>
      <c r="K849" s="367"/>
      <c r="L849" s="368">
        <f>(MIN(Attendance!D849, TIME(18, 0, 0)) - Attendance!C849) * 24</f>
        <v>18</v>
      </c>
      <c r="M849" s="369">
        <f t="shared" si="5"/>
        <v>-18</v>
      </c>
      <c r="N849" s="377"/>
      <c r="O849" s="377"/>
      <c r="P849" s="377"/>
    </row>
    <row r="850" ht="22.5" customHeight="1">
      <c r="A850" s="394"/>
      <c r="B850" s="395"/>
      <c r="C850" s="396"/>
      <c r="D850" s="396"/>
      <c r="E850" s="363"/>
      <c r="F850" s="364"/>
      <c r="G850" s="365"/>
      <c r="H850" s="366"/>
      <c r="I850" s="366"/>
      <c r="J850" s="366"/>
      <c r="K850" s="367"/>
      <c r="L850" s="368">
        <f>(MIN(Attendance!D850, TIME(18, 0, 0)) - Attendance!C850) * 24</f>
        <v>18</v>
      </c>
      <c r="M850" s="369">
        <f t="shared" si="5"/>
        <v>-18</v>
      </c>
      <c r="N850" s="369"/>
      <c r="O850" s="369"/>
      <c r="P850" s="369"/>
    </row>
    <row r="851" ht="22.5" customHeight="1">
      <c r="A851" s="394"/>
      <c r="B851" s="395"/>
      <c r="C851" s="396"/>
      <c r="D851" s="396"/>
      <c r="E851" s="363"/>
      <c r="F851" s="364"/>
      <c r="G851" s="365"/>
      <c r="H851" s="366"/>
      <c r="I851" s="366"/>
      <c r="J851" s="366"/>
      <c r="K851" s="367"/>
      <c r="L851" s="368">
        <f>(MIN(Attendance!D851, TIME(18, 0, 0)) - Attendance!C851) * 24</f>
        <v>18</v>
      </c>
      <c r="M851" s="369">
        <f t="shared" si="5"/>
        <v>-18</v>
      </c>
      <c r="N851" s="377"/>
      <c r="O851" s="377"/>
      <c r="P851" s="377"/>
    </row>
    <row r="852" ht="22.5" customHeight="1">
      <c r="A852" s="394"/>
      <c r="B852" s="395"/>
      <c r="C852" s="396"/>
      <c r="D852" s="396"/>
      <c r="E852" s="363"/>
      <c r="F852" s="364"/>
      <c r="G852" s="365"/>
      <c r="H852" s="366"/>
      <c r="I852" s="366"/>
      <c r="J852" s="366"/>
      <c r="K852" s="367"/>
      <c r="L852" s="368">
        <f>(MIN(Attendance!D852, TIME(18, 0, 0)) - Attendance!C852) * 24</f>
        <v>18</v>
      </c>
      <c r="M852" s="369">
        <f t="shared" si="5"/>
        <v>-18</v>
      </c>
      <c r="N852" s="369"/>
      <c r="O852" s="369"/>
      <c r="P852" s="369"/>
    </row>
    <row r="853" ht="22.5" customHeight="1">
      <c r="A853" s="394"/>
      <c r="B853" s="395"/>
      <c r="C853" s="396"/>
      <c r="D853" s="396"/>
      <c r="E853" s="363"/>
      <c r="F853" s="364"/>
      <c r="G853" s="365"/>
      <c r="H853" s="366"/>
      <c r="I853" s="366"/>
      <c r="J853" s="366"/>
      <c r="K853" s="367"/>
      <c r="L853" s="368">
        <f>(MIN(Attendance!D853, TIME(18, 0, 0)) - Attendance!C853) * 24</f>
        <v>18</v>
      </c>
      <c r="M853" s="369">
        <f t="shared" si="5"/>
        <v>-18</v>
      </c>
      <c r="N853" s="377"/>
      <c r="O853" s="377"/>
      <c r="P853" s="377"/>
    </row>
    <row r="854" ht="22.5" customHeight="1">
      <c r="A854" s="394"/>
      <c r="B854" s="395"/>
      <c r="C854" s="396"/>
      <c r="D854" s="396"/>
      <c r="E854" s="363"/>
      <c r="F854" s="364"/>
      <c r="G854" s="365"/>
      <c r="H854" s="366"/>
      <c r="I854" s="366"/>
      <c r="J854" s="366"/>
      <c r="K854" s="367"/>
      <c r="L854" s="368">
        <f>(MIN(Attendance!D854, TIME(18, 0, 0)) - Attendance!C854) * 24</f>
        <v>18</v>
      </c>
      <c r="M854" s="369">
        <f t="shared" si="5"/>
        <v>-18</v>
      </c>
      <c r="N854" s="369"/>
      <c r="O854" s="369"/>
      <c r="P854" s="369"/>
    </row>
    <row r="855" ht="22.5" customHeight="1">
      <c r="A855" s="394"/>
      <c r="B855" s="395"/>
      <c r="C855" s="396"/>
      <c r="D855" s="396"/>
      <c r="E855" s="363"/>
      <c r="F855" s="364"/>
      <c r="G855" s="365"/>
      <c r="H855" s="366"/>
      <c r="I855" s="366"/>
      <c r="J855" s="366"/>
      <c r="K855" s="367"/>
      <c r="L855" s="368">
        <f>(MIN(Attendance!D855, TIME(18, 0, 0)) - Attendance!C855) * 24</f>
        <v>18</v>
      </c>
      <c r="M855" s="369">
        <f t="shared" si="5"/>
        <v>-18</v>
      </c>
      <c r="N855" s="377"/>
      <c r="O855" s="377"/>
      <c r="P855" s="377"/>
    </row>
    <row r="856" ht="22.5" customHeight="1">
      <c r="A856" s="394"/>
      <c r="B856" s="395"/>
      <c r="C856" s="396"/>
      <c r="D856" s="396"/>
      <c r="E856" s="363"/>
      <c r="F856" s="364"/>
      <c r="G856" s="365"/>
      <c r="H856" s="366"/>
      <c r="I856" s="366"/>
      <c r="J856" s="366"/>
      <c r="K856" s="367"/>
      <c r="L856" s="368">
        <f>(MIN(Attendance!D856, TIME(18, 0, 0)) - Attendance!C856) * 24</f>
        <v>18</v>
      </c>
      <c r="M856" s="369">
        <f t="shared" si="5"/>
        <v>-18</v>
      </c>
      <c r="N856" s="369"/>
      <c r="O856" s="369"/>
      <c r="P856" s="369"/>
    </row>
    <row r="857" ht="22.5" customHeight="1">
      <c r="A857" s="394"/>
      <c r="B857" s="395"/>
      <c r="C857" s="396"/>
      <c r="D857" s="396"/>
      <c r="E857" s="363"/>
      <c r="F857" s="364"/>
      <c r="G857" s="365"/>
      <c r="H857" s="366"/>
      <c r="I857" s="366"/>
      <c r="J857" s="366"/>
      <c r="K857" s="367"/>
      <c r="L857" s="368">
        <f>(MIN(Attendance!D857, TIME(18, 0, 0)) - Attendance!C857) * 24</f>
        <v>18</v>
      </c>
      <c r="M857" s="369">
        <f t="shared" si="5"/>
        <v>-18</v>
      </c>
      <c r="N857" s="377"/>
      <c r="O857" s="377"/>
      <c r="P857" s="377"/>
    </row>
    <row r="858" ht="22.5" customHeight="1">
      <c r="A858" s="394"/>
      <c r="B858" s="395"/>
      <c r="C858" s="396"/>
      <c r="D858" s="396"/>
      <c r="E858" s="363"/>
      <c r="F858" s="364"/>
      <c r="G858" s="365"/>
      <c r="H858" s="366"/>
      <c r="I858" s="366"/>
      <c r="J858" s="366"/>
      <c r="K858" s="367"/>
      <c r="L858" s="368">
        <f>(MIN(Attendance!D858, TIME(18, 0, 0)) - Attendance!C858) * 24</f>
        <v>18</v>
      </c>
      <c r="M858" s="369">
        <f t="shared" si="5"/>
        <v>-18</v>
      </c>
      <c r="N858" s="369"/>
      <c r="O858" s="369"/>
      <c r="P858" s="369"/>
    </row>
    <row r="859" ht="22.5" customHeight="1">
      <c r="A859" s="394"/>
      <c r="B859" s="395"/>
      <c r="C859" s="396"/>
      <c r="D859" s="396"/>
      <c r="E859" s="363"/>
      <c r="F859" s="364"/>
      <c r="G859" s="365"/>
      <c r="H859" s="366"/>
      <c r="I859" s="366"/>
      <c r="J859" s="366"/>
      <c r="K859" s="367"/>
      <c r="L859" s="368">
        <f>(MIN(Attendance!D859, TIME(18, 0, 0)) - Attendance!C859) * 24</f>
        <v>18</v>
      </c>
      <c r="M859" s="369">
        <f t="shared" si="5"/>
        <v>-18</v>
      </c>
      <c r="N859" s="377"/>
      <c r="O859" s="377"/>
      <c r="P859" s="377"/>
    </row>
    <row r="860" ht="22.5" customHeight="1">
      <c r="A860" s="394"/>
      <c r="B860" s="395"/>
      <c r="C860" s="396"/>
      <c r="D860" s="396"/>
      <c r="E860" s="363"/>
      <c r="F860" s="364"/>
      <c r="G860" s="365"/>
      <c r="H860" s="366"/>
      <c r="I860" s="366"/>
      <c r="J860" s="366"/>
      <c r="K860" s="367"/>
      <c r="L860" s="368">
        <f>(MIN(Attendance!D860, TIME(18, 0, 0)) - Attendance!C860) * 24</f>
        <v>18</v>
      </c>
      <c r="M860" s="369">
        <f t="shared" si="5"/>
        <v>-18</v>
      </c>
      <c r="N860" s="369"/>
      <c r="O860" s="369"/>
      <c r="P860" s="369"/>
    </row>
    <row r="861" ht="22.5" customHeight="1">
      <c r="A861" s="394"/>
      <c r="B861" s="395"/>
      <c r="C861" s="396"/>
      <c r="D861" s="396"/>
      <c r="E861" s="363"/>
      <c r="F861" s="364"/>
      <c r="G861" s="365"/>
      <c r="H861" s="366"/>
      <c r="I861" s="366"/>
      <c r="J861" s="366"/>
      <c r="K861" s="367"/>
      <c r="L861" s="368">
        <f>(MIN(Attendance!D861, TIME(18, 0, 0)) - Attendance!C861) * 24</f>
        <v>18</v>
      </c>
      <c r="M861" s="369">
        <f t="shared" si="5"/>
        <v>-18</v>
      </c>
      <c r="N861" s="377"/>
      <c r="O861" s="377"/>
      <c r="P861" s="377"/>
    </row>
    <row r="862" ht="22.5" customHeight="1">
      <c r="A862" s="394"/>
      <c r="B862" s="395"/>
      <c r="C862" s="396"/>
      <c r="D862" s="396"/>
      <c r="E862" s="363"/>
      <c r="F862" s="364"/>
      <c r="G862" s="365"/>
      <c r="H862" s="366"/>
      <c r="I862" s="366"/>
      <c r="J862" s="366"/>
      <c r="K862" s="367"/>
      <c r="L862" s="368">
        <f>(MIN(Attendance!D862, TIME(18, 0, 0)) - Attendance!C862) * 24</f>
        <v>18</v>
      </c>
      <c r="M862" s="369">
        <f t="shared" si="5"/>
        <v>-18</v>
      </c>
      <c r="N862" s="369"/>
      <c r="O862" s="369"/>
      <c r="P862" s="369"/>
    </row>
    <row r="863" ht="22.5" customHeight="1">
      <c r="A863" s="394"/>
      <c r="B863" s="395"/>
      <c r="C863" s="396"/>
      <c r="D863" s="396"/>
      <c r="E863" s="363"/>
      <c r="F863" s="364"/>
      <c r="G863" s="365"/>
      <c r="H863" s="366"/>
      <c r="I863" s="366"/>
      <c r="J863" s="366"/>
      <c r="K863" s="367"/>
      <c r="L863" s="368">
        <f>(MIN(Attendance!D863, TIME(18, 0, 0)) - Attendance!C863) * 24</f>
        <v>18</v>
      </c>
      <c r="M863" s="369">
        <f t="shared" si="5"/>
        <v>-18</v>
      </c>
      <c r="N863" s="377"/>
      <c r="O863" s="377"/>
      <c r="P863" s="377"/>
    </row>
    <row r="864" ht="22.5" customHeight="1">
      <c r="A864" s="394"/>
      <c r="B864" s="395"/>
      <c r="C864" s="396"/>
      <c r="D864" s="396"/>
      <c r="E864" s="363"/>
      <c r="F864" s="364"/>
      <c r="G864" s="365"/>
      <c r="H864" s="366"/>
      <c r="I864" s="366"/>
      <c r="J864" s="366"/>
      <c r="K864" s="367"/>
      <c r="L864" s="368">
        <f>(MIN(Attendance!D864, TIME(18, 0, 0)) - Attendance!C864) * 24</f>
        <v>18</v>
      </c>
      <c r="M864" s="369">
        <f t="shared" si="5"/>
        <v>-18</v>
      </c>
      <c r="N864" s="369"/>
      <c r="O864" s="369"/>
      <c r="P864" s="369"/>
    </row>
    <row r="865" ht="22.5" customHeight="1">
      <c r="A865" s="394"/>
      <c r="B865" s="395"/>
      <c r="C865" s="396"/>
      <c r="D865" s="396"/>
      <c r="E865" s="363"/>
      <c r="F865" s="364"/>
      <c r="G865" s="365"/>
      <c r="H865" s="366"/>
      <c r="I865" s="366"/>
      <c r="J865" s="366"/>
      <c r="K865" s="367"/>
      <c r="L865" s="368">
        <f>(MIN(Attendance!D865, TIME(18, 0, 0)) - Attendance!C865) * 24</f>
        <v>18</v>
      </c>
      <c r="M865" s="369">
        <f t="shared" si="5"/>
        <v>-18</v>
      </c>
      <c r="N865" s="377"/>
      <c r="O865" s="377"/>
      <c r="P865" s="377"/>
    </row>
    <row r="866" ht="22.5" customHeight="1">
      <c r="A866" s="394"/>
      <c r="B866" s="395"/>
      <c r="C866" s="396"/>
      <c r="D866" s="396"/>
      <c r="E866" s="363"/>
      <c r="F866" s="364"/>
      <c r="G866" s="365"/>
      <c r="H866" s="366"/>
      <c r="I866" s="366"/>
      <c r="J866" s="366"/>
      <c r="K866" s="367"/>
      <c r="L866" s="368">
        <f>(MIN(Attendance!D866, TIME(18, 0, 0)) - Attendance!C866) * 24</f>
        <v>18</v>
      </c>
      <c r="M866" s="369">
        <f t="shared" si="5"/>
        <v>-18</v>
      </c>
      <c r="N866" s="369"/>
      <c r="O866" s="369"/>
      <c r="P866" s="369"/>
    </row>
    <row r="867" ht="22.5" customHeight="1">
      <c r="A867" s="394"/>
      <c r="B867" s="395"/>
      <c r="C867" s="396"/>
      <c r="D867" s="396"/>
      <c r="E867" s="363"/>
      <c r="F867" s="364"/>
      <c r="G867" s="365"/>
      <c r="H867" s="366"/>
      <c r="I867" s="366"/>
      <c r="J867" s="366"/>
      <c r="K867" s="367"/>
      <c r="L867" s="368">
        <f>(MIN(Attendance!D867, TIME(18, 0, 0)) - Attendance!C867) * 24</f>
        <v>18</v>
      </c>
      <c r="M867" s="369">
        <f t="shared" si="5"/>
        <v>-18</v>
      </c>
      <c r="N867" s="377"/>
      <c r="O867" s="377"/>
      <c r="P867" s="377"/>
    </row>
    <row r="868" ht="22.5" customHeight="1">
      <c r="A868" s="394"/>
      <c r="B868" s="395"/>
      <c r="C868" s="396"/>
      <c r="D868" s="396"/>
      <c r="E868" s="363"/>
      <c r="F868" s="364"/>
      <c r="G868" s="365"/>
      <c r="H868" s="366"/>
      <c r="I868" s="366"/>
      <c r="J868" s="366"/>
      <c r="K868" s="367"/>
      <c r="L868" s="368">
        <f>(MIN(Attendance!D868, TIME(18, 0, 0)) - Attendance!C868) * 24</f>
        <v>18</v>
      </c>
      <c r="M868" s="369">
        <f t="shared" si="5"/>
        <v>-18</v>
      </c>
      <c r="N868" s="369"/>
      <c r="O868" s="369"/>
      <c r="P868" s="369"/>
    </row>
    <row r="869" ht="22.5" customHeight="1">
      <c r="A869" s="394"/>
      <c r="B869" s="395"/>
      <c r="C869" s="396"/>
      <c r="D869" s="396"/>
      <c r="E869" s="363"/>
      <c r="F869" s="364"/>
      <c r="G869" s="365"/>
      <c r="H869" s="366"/>
      <c r="I869" s="366"/>
      <c r="J869" s="366"/>
      <c r="K869" s="367"/>
      <c r="L869" s="368">
        <f>(MIN(Attendance!D869, TIME(18, 0, 0)) - Attendance!C869) * 24</f>
        <v>18</v>
      </c>
      <c r="M869" s="369">
        <f t="shared" si="5"/>
        <v>-18</v>
      </c>
      <c r="N869" s="377"/>
      <c r="O869" s="377"/>
      <c r="P869" s="377"/>
    </row>
    <row r="870" ht="22.5" customHeight="1">
      <c r="A870" s="394"/>
      <c r="B870" s="395"/>
      <c r="C870" s="396"/>
      <c r="D870" s="396"/>
      <c r="E870" s="363"/>
      <c r="F870" s="364"/>
      <c r="G870" s="365"/>
      <c r="H870" s="366"/>
      <c r="I870" s="366"/>
      <c r="J870" s="366"/>
      <c r="K870" s="367"/>
      <c r="L870" s="368">
        <f>(MIN(Attendance!D870, TIME(18, 0, 0)) - Attendance!C870) * 24</f>
        <v>18</v>
      </c>
      <c r="M870" s="369">
        <f t="shared" si="5"/>
        <v>-18</v>
      </c>
      <c r="N870" s="369"/>
      <c r="O870" s="369"/>
      <c r="P870" s="369"/>
    </row>
    <row r="871" ht="22.5" customHeight="1">
      <c r="A871" s="394"/>
      <c r="B871" s="395"/>
      <c r="C871" s="396"/>
      <c r="D871" s="396"/>
      <c r="E871" s="363"/>
      <c r="F871" s="364"/>
      <c r="G871" s="365"/>
      <c r="H871" s="366"/>
      <c r="I871" s="366"/>
      <c r="J871" s="366"/>
      <c r="K871" s="367"/>
      <c r="L871" s="368">
        <f>(MIN(Attendance!D871, TIME(18, 0, 0)) - Attendance!C871) * 24</f>
        <v>18</v>
      </c>
      <c r="M871" s="369">
        <f t="shared" si="5"/>
        <v>-18</v>
      </c>
      <c r="N871" s="377"/>
      <c r="O871" s="377"/>
      <c r="P871" s="377"/>
    </row>
    <row r="872" ht="22.5" customHeight="1">
      <c r="A872" s="394"/>
      <c r="B872" s="395"/>
      <c r="C872" s="396"/>
      <c r="D872" s="396"/>
      <c r="E872" s="363"/>
      <c r="F872" s="364"/>
      <c r="G872" s="365"/>
      <c r="H872" s="366"/>
      <c r="I872" s="366"/>
      <c r="J872" s="366"/>
      <c r="K872" s="367"/>
      <c r="L872" s="368">
        <f>(MIN(Attendance!D872, TIME(18, 0, 0)) - Attendance!C872) * 24</f>
        <v>18</v>
      </c>
      <c r="M872" s="369">
        <f t="shared" si="5"/>
        <v>-18</v>
      </c>
      <c r="N872" s="369"/>
      <c r="O872" s="369"/>
      <c r="P872" s="369"/>
    </row>
    <row r="873" ht="22.5" customHeight="1">
      <c r="A873" s="394"/>
      <c r="B873" s="395"/>
      <c r="C873" s="396"/>
      <c r="D873" s="396"/>
      <c r="E873" s="363"/>
      <c r="F873" s="364"/>
      <c r="G873" s="365"/>
      <c r="H873" s="366"/>
      <c r="I873" s="366"/>
      <c r="J873" s="366"/>
      <c r="K873" s="367"/>
      <c r="L873" s="368">
        <f>(MIN(Attendance!D873, TIME(18, 0, 0)) - Attendance!C873) * 24</f>
        <v>18</v>
      </c>
      <c r="M873" s="369">
        <f t="shared" si="5"/>
        <v>-18</v>
      </c>
      <c r="N873" s="377"/>
      <c r="O873" s="377"/>
      <c r="P873" s="377"/>
    </row>
    <row r="874" ht="22.5" customHeight="1">
      <c r="A874" s="394"/>
      <c r="B874" s="395"/>
      <c r="C874" s="396"/>
      <c r="D874" s="396"/>
      <c r="E874" s="363"/>
      <c r="F874" s="364"/>
      <c r="G874" s="365"/>
      <c r="H874" s="366"/>
      <c r="I874" s="366"/>
      <c r="J874" s="366"/>
      <c r="K874" s="367"/>
      <c r="L874" s="368">
        <f>(MIN(Attendance!D874, TIME(18, 0, 0)) - Attendance!C874) * 24</f>
        <v>18</v>
      </c>
      <c r="M874" s="369">
        <f t="shared" si="5"/>
        <v>-18</v>
      </c>
      <c r="N874" s="369"/>
      <c r="O874" s="369"/>
      <c r="P874" s="369"/>
    </row>
    <row r="875" ht="22.5" customHeight="1">
      <c r="A875" s="394"/>
      <c r="B875" s="395"/>
      <c r="C875" s="396"/>
      <c r="D875" s="396"/>
      <c r="E875" s="363"/>
      <c r="F875" s="364"/>
      <c r="G875" s="365"/>
      <c r="H875" s="366"/>
      <c r="I875" s="366"/>
      <c r="J875" s="366"/>
      <c r="K875" s="367"/>
      <c r="L875" s="368">
        <f>(MIN(Attendance!D875, TIME(18, 0, 0)) - Attendance!C875) * 24</f>
        <v>18</v>
      </c>
      <c r="M875" s="369">
        <f t="shared" si="5"/>
        <v>-18</v>
      </c>
      <c r="N875" s="377"/>
      <c r="O875" s="377"/>
      <c r="P875" s="377"/>
    </row>
    <row r="876" ht="22.5" customHeight="1">
      <c r="A876" s="394"/>
      <c r="B876" s="395"/>
      <c r="C876" s="396"/>
      <c r="D876" s="396"/>
      <c r="E876" s="363"/>
      <c r="F876" s="364"/>
      <c r="G876" s="365"/>
      <c r="H876" s="366"/>
      <c r="I876" s="366"/>
      <c r="J876" s="366"/>
      <c r="K876" s="367"/>
      <c r="L876" s="368">
        <f>(MIN(Attendance!D876, TIME(18, 0, 0)) - Attendance!C876) * 24</f>
        <v>18</v>
      </c>
      <c r="M876" s="369">
        <f t="shared" si="5"/>
        <v>-18</v>
      </c>
      <c r="N876" s="369"/>
      <c r="O876" s="369"/>
      <c r="P876" s="369"/>
    </row>
    <row r="877" ht="22.5" customHeight="1">
      <c r="A877" s="394"/>
      <c r="B877" s="395"/>
      <c r="C877" s="396"/>
      <c r="D877" s="396"/>
      <c r="E877" s="363"/>
      <c r="F877" s="364"/>
      <c r="G877" s="365"/>
      <c r="H877" s="366"/>
      <c r="I877" s="366"/>
      <c r="J877" s="366"/>
      <c r="K877" s="367"/>
      <c r="L877" s="368">
        <f>(MIN(Attendance!D877, TIME(18, 0, 0)) - Attendance!C877) * 24</f>
        <v>18</v>
      </c>
      <c r="M877" s="369">
        <f t="shared" si="5"/>
        <v>-18</v>
      </c>
      <c r="N877" s="377"/>
      <c r="O877" s="377"/>
      <c r="P877" s="377"/>
    </row>
    <row r="878" ht="22.5" customHeight="1">
      <c r="A878" s="394"/>
      <c r="B878" s="395"/>
      <c r="C878" s="396"/>
      <c r="D878" s="396"/>
      <c r="E878" s="363"/>
      <c r="F878" s="364"/>
      <c r="G878" s="365"/>
      <c r="H878" s="366"/>
      <c r="I878" s="366"/>
      <c r="J878" s="366"/>
      <c r="K878" s="367"/>
      <c r="L878" s="368">
        <f>(MIN(Attendance!D878, TIME(18, 0, 0)) - Attendance!C878) * 24</f>
        <v>18</v>
      </c>
      <c r="M878" s="369">
        <f t="shared" si="5"/>
        <v>-18</v>
      </c>
      <c r="N878" s="369"/>
      <c r="O878" s="369"/>
      <c r="P878" s="369"/>
    </row>
    <row r="879" ht="22.5" customHeight="1">
      <c r="A879" s="394"/>
      <c r="B879" s="395"/>
      <c r="C879" s="396"/>
      <c r="D879" s="396"/>
      <c r="E879" s="363"/>
      <c r="F879" s="364"/>
      <c r="G879" s="365"/>
      <c r="H879" s="366"/>
      <c r="I879" s="366"/>
      <c r="J879" s="366"/>
      <c r="K879" s="367"/>
      <c r="L879" s="368">
        <f>(MIN(Attendance!D879, TIME(18, 0, 0)) - Attendance!C879) * 24</f>
        <v>18</v>
      </c>
      <c r="M879" s="369">
        <f t="shared" si="5"/>
        <v>-18</v>
      </c>
      <c r="N879" s="377"/>
      <c r="O879" s="377"/>
      <c r="P879" s="377"/>
    </row>
    <row r="880" ht="22.5" customHeight="1">
      <c r="A880" s="394"/>
      <c r="B880" s="395"/>
      <c r="C880" s="396"/>
      <c r="D880" s="396"/>
      <c r="E880" s="363"/>
      <c r="F880" s="364"/>
      <c r="G880" s="365"/>
      <c r="H880" s="366"/>
      <c r="I880" s="366"/>
      <c r="J880" s="366"/>
      <c r="K880" s="367"/>
      <c r="L880" s="368">
        <f>(MIN(Attendance!D880, TIME(18, 0, 0)) - Attendance!C880) * 24</f>
        <v>18</v>
      </c>
      <c r="M880" s="369">
        <f t="shared" si="5"/>
        <v>-18</v>
      </c>
      <c r="N880" s="369"/>
      <c r="O880" s="369"/>
      <c r="P880" s="369"/>
    </row>
    <row r="881" ht="22.5" customHeight="1">
      <c r="A881" s="394"/>
      <c r="B881" s="395"/>
      <c r="C881" s="396"/>
      <c r="D881" s="396"/>
      <c r="E881" s="363"/>
      <c r="F881" s="364"/>
      <c r="G881" s="365"/>
      <c r="H881" s="366"/>
      <c r="I881" s="366"/>
      <c r="J881" s="366"/>
      <c r="K881" s="367"/>
      <c r="L881" s="368">
        <f>(MIN(Attendance!D881, TIME(18, 0, 0)) - Attendance!C881) * 24</f>
        <v>18</v>
      </c>
      <c r="M881" s="369">
        <f t="shared" si="5"/>
        <v>-18</v>
      </c>
      <c r="N881" s="377"/>
      <c r="O881" s="377"/>
      <c r="P881" s="377"/>
    </row>
    <row r="882" ht="22.5" customHeight="1">
      <c r="A882" s="394"/>
      <c r="B882" s="395"/>
      <c r="C882" s="396"/>
      <c r="D882" s="396"/>
      <c r="E882" s="363"/>
      <c r="F882" s="364"/>
      <c r="G882" s="365"/>
      <c r="H882" s="366"/>
      <c r="I882" s="366"/>
      <c r="J882" s="366"/>
      <c r="K882" s="367"/>
      <c r="L882" s="368">
        <f>(MIN(Attendance!D882, TIME(18, 0, 0)) - Attendance!C882) * 24</f>
        <v>18</v>
      </c>
      <c r="M882" s="369">
        <f t="shared" si="5"/>
        <v>-18</v>
      </c>
      <c r="N882" s="369"/>
      <c r="O882" s="369"/>
      <c r="P882" s="369"/>
    </row>
    <row r="883" ht="22.5" customHeight="1">
      <c r="A883" s="394"/>
      <c r="B883" s="395"/>
      <c r="C883" s="396"/>
      <c r="D883" s="396"/>
      <c r="E883" s="363"/>
      <c r="F883" s="364"/>
      <c r="G883" s="365"/>
      <c r="H883" s="366"/>
      <c r="I883" s="366"/>
      <c r="J883" s="366"/>
      <c r="K883" s="367"/>
      <c r="L883" s="368">
        <f>(MIN(Attendance!D883, TIME(18, 0, 0)) - Attendance!C883) * 24</f>
        <v>18</v>
      </c>
      <c r="M883" s="369">
        <f t="shared" si="5"/>
        <v>-18</v>
      </c>
      <c r="N883" s="377"/>
      <c r="O883" s="377"/>
      <c r="P883" s="377"/>
    </row>
    <row r="884" ht="22.5" customHeight="1">
      <c r="A884" s="394"/>
      <c r="B884" s="395"/>
      <c r="C884" s="396"/>
      <c r="D884" s="396"/>
      <c r="E884" s="363"/>
      <c r="F884" s="364"/>
      <c r="G884" s="365"/>
      <c r="H884" s="366"/>
      <c r="I884" s="366"/>
      <c r="J884" s="366"/>
      <c r="K884" s="367"/>
      <c r="L884" s="368">
        <f>(MIN(Attendance!D884, TIME(18, 0, 0)) - Attendance!C884) * 24</f>
        <v>18</v>
      </c>
      <c r="M884" s="369">
        <f t="shared" si="5"/>
        <v>-18</v>
      </c>
      <c r="N884" s="369"/>
      <c r="O884" s="369"/>
      <c r="P884" s="369"/>
    </row>
    <row r="885" ht="22.5" customHeight="1">
      <c r="A885" s="394"/>
      <c r="B885" s="395"/>
      <c r="C885" s="396"/>
      <c r="D885" s="396"/>
      <c r="E885" s="363"/>
      <c r="F885" s="364"/>
      <c r="G885" s="365"/>
      <c r="H885" s="366"/>
      <c r="I885" s="366"/>
      <c r="J885" s="366"/>
      <c r="K885" s="367"/>
      <c r="L885" s="368">
        <f>(MIN(Attendance!D885, TIME(18, 0, 0)) - Attendance!C885) * 24</f>
        <v>18</v>
      </c>
      <c r="M885" s="369">
        <f t="shared" si="5"/>
        <v>-18</v>
      </c>
      <c r="N885" s="377"/>
      <c r="O885" s="377"/>
      <c r="P885" s="377"/>
    </row>
    <row r="886" ht="22.5" customHeight="1">
      <c r="A886" s="394"/>
      <c r="B886" s="395"/>
      <c r="C886" s="396"/>
      <c r="D886" s="396"/>
      <c r="E886" s="363"/>
      <c r="F886" s="364"/>
      <c r="G886" s="365"/>
      <c r="H886" s="366"/>
      <c r="I886" s="366"/>
      <c r="J886" s="366"/>
      <c r="K886" s="367"/>
      <c r="L886" s="368">
        <f>(MIN(Attendance!D886, TIME(18, 0, 0)) - Attendance!C886) * 24</f>
        <v>18</v>
      </c>
      <c r="M886" s="369">
        <f t="shared" si="5"/>
        <v>-18</v>
      </c>
      <c r="N886" s="369"/>
      <c r="O886" s="369"/>
      <c r="P886" s="369"/>
    </row>
    <row r="887" ht="22.5" customHeight="1">
      <c r="A887" s="394"/>
      <c r="B887" s="395"/>
      <c r="C887" s="396"/>
      <c r="D887" s="396"/>
      <c r="E887" s="363"/>
      <c r="F887" s="364"/>
      <c r="G887" s="365"/>
      <c r="H887" s="366"/>
      <c r="I887" s="366"/>
      <c r="J887" s="366"/>
      <c r="K887" s="367"/>
      <c r="L887" s="368">
        <f>(MIN(Attendance!D887, TIME(18, 0, 0)) - Attendance!C887) * 24</f>
        <v>18</v>
      </c>
      <c r="M887" s="369">
        <f t="shared" si="5"/>
        <v>-18</v>
      </c>
      <c r="N887" s="377"/>
      <c r="O887" s="377"/>
      <c r="P887" s="377"/>
    </row>
    <row r="888" ht="22.5" customHeight="1">
      <c r="A888" s="394"/>
      <c r="B888" s="395"/>
      <c r="C888" s="396"/>
      <c r="D888" s="396"/>
      <c r="E888" s="363"/>
      <c r="F888" s="364"/>
      <c r="G888" s="365"/>
      <c r="H888" s="366"/>
      <c r="I888" s="366"/>
      <c r="J888" s="366"/>
      <c r="K888" s="367"/>
      <c r="L888" s="368">
        <f>(MIN(Attendance!D888, TIME(18, 0, 0)) - Attendance!C888) * 24</f>
        <v>18</v>
      </c>
      <c r="M888" s="369">
        <f t="shared" si="5"/>
        <v>-18</v>
      </c>
      <c r="N888" s="369"/>
      <c r="O888" s="369"/>
      <c r="P888" s="369"/>
    </row>
    <row r="889" ht="22.5" customHeight="1">
      <c r="A889" s="394"/>
      <c r="B889" s="395"/>
      <c r="C889" s="396"/>
      <c r="D889" s="396"/>
      <c r="E889" s="363"/>
      <c r="F889" s="364"/>
      <c r="G889" s="365"/>
      <c r="H889" s="366"/>
      <c r="I889" s="366"/>
      <c r="J889" s="366"/>
      <c r="K889" s="367"/>
      <c r="L889" s="368">
        <f>(MIN(Attendance!D889, TIME(18, 0, 0)) - Attendance!C889) * 24</f>
        <v>18</v>
      </c>
      <c r="M889" s="369">
        <f t="shared" si="5"/>
        <v>-18</v>
      </c>
      <c r="N889" s="377"/>
      <c r="O889" s="377"/>
      <c r="P889" s="377"/>
    </row>
    <row r="890" ht="22.5" customHeight="1">
      <c r="A890" s="394"/>
      <c r="B890" s="395"/>
      <c r="C890" s="396"/>
      <c r="D890" s="396"/>
      <c r="E890" s="363"/>
      <c r="F890" s="364"/>
      <c r="G890" s="365"/>
      <c r="H890" s="366"/>
      <c r="I890" s="366"/>
      <c r="J890" s="366"/>
      <c r="K890" s="367"/>
      <c r="L890" s="368">
        <f>(MIN(Attendance!D890, TIME(18, 0, 0)) - Attendance!C890) * 24</f>
        <v>18</v>
      </c>
      <c r="M890" s="369">
        <f t="shared" si="5"/>
        <v>-18</v>
      </c>
      <c r="N890" s="369"/>
      <c r="O890" s="369"/>
      <c r="P890" s="369"/>
    </row>
    <row r="891" ht="22.5" customHeight="1">
      <c r="A891" s="394"/>
      <c r="B891" s="395"/>
      <c r="C891" s="396"/>
      <c r="D891" s="396"/>
      <c r="E891" s="363"/>
      <c r="F891" s="364"/>
      <c r="G891" s="365"/>
      <c r="H891" s="366"/>
      <c r="I891" s="366"/>
      <c r="J891" s="366"/>
      <c r="K891" s="367"/>
      <c r="L891" s="368">
        <f>(MIN(Attendance!D891, TIME(18, 0, 0)) - Attendance!C891) * 24</f>
        <v>18</v>
      </c>
      <c r="M891" s="369">
        <f t="shared" si="5"/>
        <v>-18</v>
      </c>
      <c r="N891" s="377"/>
      <c r="O891" s="377"/>
      <c r="P891" s="377"/>
    </row>
    <row r="892" ht="22.5" customHeight="1">
      <c r="A892" s="394"/>
      <c r="B892" s="395"/>
      <c r="C892" s="396"/>
      <c r="D892" s="396"/>
      <c r="E892" s="363"/>
      <c r="F892" s="364"/>
      <c r="G892" s="365"/>
      <c r="H892" s="366"/>
      <c r="I892" s="366"/>
      <c r="J892" s="366"/>
      <c r="K892" s="367"/>
      <c r="L892" s="368">
        <f>(MIN(Attendance!D892, TIME(18, 0, 0)) - Attendance!C892) * 24</f>
        <v>18</v>
      </c>
      <c r="M892" s="369">
        <f t="shared" si="5"/>
        <v>-18</v>
      </c>
      <c r="N892" s="369"/>
      <c r="O892" s="369"/>
      <c r="P892" s="369"/>
    </row>
    <row r="893" ht="22.5" customHeight="1">
      <c r="A893" s="394"/>
      <c r="B893" s="395"/>
      <c r="C893" s="396"/>
      <c r="D893" s="396"/>
      <c r="E893" s="363"/>
      <c r="F893" s="364"/>
      <c r="G893" s="365"/>
      <c r="H893" s="366"/>
      <c r="I893" s="366"/>
      <c r="J893" s="366"/>
      <c r="K893" s="367"/>
      <c r="L893" s="368">
        <f>(MIN(Attendance!D893, TIME(18, 0, 0)) - Attendance!C893) * 24</f>
        <v>18</v>
      </c>
      <c r="M893" s="369">
        <f t="shared" si="5"/>
        <v>-18</v>
      </c>
      <c r="N893" s="377"/>
      <c r="O893" s="377"/>
      <c r="P893" s="377"/>
    </row>
    <row r="894" ht="22.5" customHeight="1">
      <c r="A894" s="394"/>
      <c r="B894" s="395"/>
      <c r="C894" s="396"/>
      <c r="D894" s="396"/>
      <c r="E894" s="363"/>
      <c r="F894" s="364"/>
      <c r="G894" s="365"/>
      <c r="H894" s="366"/>
      <c r="I894" s="366"/>
      <c r="J894" s="366"/>
      <c r="K894" s="367"/>
      <c r="L894" s="368">
        <f>(MIN(Attendance!D894, TIME(18, 0, 0)) - Attendance!C894) * 24</f>
        <v>18</v>
      </c>
      <c r="M894" s="369">
        <f t="shared" si="5"/>
        <v>-18</v>
      </c>
      <c r="N894" s="369"/>
      <c r="O894" s="369"/>
      <c r="P894" s="369"/>
    </row>
    <row r="895" ht="22.5" customHeight="1">
      <c r="A895" s="394"/>
      <c r="B895" s="395"/>
      <c r="C895" s="396"/>
      <c r="D895" s="396"/>
      <c r="E895" s="363"/>
      <c r="F895" s="364"/>
      <c r="G895" s="365"/>
      <c r="H895" s="366"/>
      <c r="I895" s="366"/>
      <c r="J895" s="366"/>
      <c r="K895" s="367"/>
      <c r="L895" s="368">
        <f>(MIN(Attendance!D895, TIME(18, 0, 0)) - Attendance!C895) * 24</f>
        <v>18</v>
      </c>
      <c r="M895" s="369">
        <f t="shared" si="5"/>
        <v>-18</v>
      </c>
      <c r="N895" s="377"/>
      <c r="O895" s="377"/>
      <c r="P895" s="377"/>
    </row>
    <row r="896" ht="22.5" customHeight="1">
      <c r="A896" s="394"/>
      <c r="B896" s="395"/>
      <c r="C896" s="396"/>
      <c r="D896" s="396"/>
      <c r="E896" s="363"/>
      <c r="F896" s="364"/>
      <c r="G896" s="365"/>
      <c r="H896" s="366"/>
      <c r="I896" s="366"/>
      <c r="J896" s="366"/>
      <c r="K896" s="367"/>
      <c r="L896" s="368">
        <f>(MIN(Attendance!D896, TIME(18, 0, 0)) - Attendance!C896) * 24</f>
        <v>18</v>
      </c>
      <c r="M896" s="369">
        <f t="shared" si="5"/>
        <v>-18</v>
      </c>
      <c r="N896" s="369"/>
      <c r="O896" s="369"/>
      <c r="P896" s="369"/>
    </row>
    <row r="897" ht="22.5" customHeight="1">
      <c r="A897" s="394"/>
      <c r="B897" s="395"/>
      <c r="C897" s="396"/>
      <c r="D897" s="396"/>
      <c r="E897" s="363"/>
      <c r="F897" s="364"/>
      <c r="G897" s="365"/>
      <c r="H897" s="366"/>
      <c r="I897" s="366"/>
      <c r="J897" s="366"/>
      <c r="K897" s="367"/>
      <c r="L897" s="368">
        <f>(MIN(Attendance!D897, TIME(18, 0, 0)) - Attendance!C897) * 24</f>
        <v>18</v>
      </c>
      <c r="M897" s="369">
        <f t="shared" si="5"/>
        <v>-18</v>
      </c>
      <c r="N897" s="377"/>
      <c r="O897" s="377"/>
      <c r="P897" s="377"/>
    </row>
    <row r="898" ht="22.5" customHeight="1">
      <c r="A898" s="394"/>
      <c r="B898" s="395"/>
      <c r="C898" s="396"/>
      <c r="D898" s="396"/>
      <c r="E898" s="363"/>
      <c r="F898" s="364"/>
      <c r="G898" s="365"/>
      <c r="H898" s="366"/>
      <c r="I898" s="366"/>
      <c r="J898" s="366"/>
      <c r="K898" s="367"/>
      <c r="L898" s="368">
        <f>(MIN(Attendance!D898, TIME(18, 0, 0)) - Attendance!C898) * 24</f>
        <v>18</v>
      </c>
      <c r="M898" s="369">
        <f t="shared" si="5"/>
        <v>-18</v>
      </c>
      <c r="N898" s="369"/>
      <c r="O898" s="369"/>
      <c r="P898" s="369"/>
    </row>
    <row r="899" ht="22.5" customHeight="1">
      <c r="A899" s="394"/>
      <c r="B899" s="395"/>
      <c r="C899" s="396"/>
      <c r="D899" s="396"/>
      <c r="E899" s="363"/>
      <c r="F899" s="364"/>
      <c r="G899" s="365"/>
      <c r="H899" s="366"/>
      <c r="I899" s="366"/>
      <c r="J899" s="366"/>
      <c r="K899" s="367"/>
      <c r="L899" s="368">
        <f>(MIN(Attendance!D899, TIME(18, 0, 0)) - Attendance!C899) * 24</f>
        <v>18</v>
      </c>
      <c r="M899" s="369">
        <f t="shared" si="5"/>
        <v>-18</v>
      </c>
      <c r="N899" s="377"/>
      <c r="O899" s="377"/>
      <c r="P899" s="377"/>
    </row>
    <row r="900" ht="22.5" customHeight="1">
      <c r="A900" s="394"/>
      <c r="B900" s="395"/>
      <c r="C900" s="396"/>
      <c r="D900" s="396"/>
      <c r="E900" s="363"/>
      <c r="F900" s="364"/>
      <c r="G900" s="365"/>
      <c r="H900" s="366"/>
      <c r="I900" s="366"/>
      <c r="J900" s="366"/>
      <c r="K900" s="367"/>
      <c r="L900" s="368">
        <f>(MIN(Attendance!D900, TIME(18, 0, 0)) - Attendance!C900) * 24</f>
        <v>18</v>
      </c>
      <c r="M900" s="369">
        <f t="shared" si="5"/>
        <v>-18</v>
      </c>
      <c r="N900" s="369"/>
      <c r="O900" s="369"/>
      <c r="P900" s="369"/>
    </row>
    <row r="901" ht="22.5" customHeight="1">
      <c r="A901" s="394"/>
      <c r="B901" s="395"/>
      <c r="C901" s="396"/>
      <c r="D901" s="396"/>
      <c r="E901" s="363"/>
      <c r="F901" s="364"/>
      <c r="G901" s="365"/>
      <c r="H901" s="366"/>
      <c r="I901" s="366"/>
      <c r="J901" s="366"/>
      <c r="K901" s="367"/>
      <c r="L901" s="368">
        <f>(MIN(Attendance!D901, TIME(18, 0, 0)) - Attendance!C901) * 24</f>
        <v>18</v>
      </c>
      <c r="M901" s="369">
        <f t="shared" si="5"/>
        <v>-18</v>
      </c>
      <c r="N901" s="377"/>
      <c r="O901" s="377"/>
      <c r="P901" s="377"/>
    </row>
    <row r="902" ht="22.5" customHeight="1">
      <c r="A902" s="394"/>
      <c r="B902" s="395"/>
      <c r="C902" s="396"/>
      <c r="D902" s="396"/>
      <c r="E902" s="363"/>
      <c r="F902" s="364"/>
      <c r="G902" s="365"/>
      <c r="H902" s="366"/>
      <c r="I902" s="366"/>
      <c r="J902" s="366"/>
      <c r="K902" s="367"/>
      <c r="L902" s="368">
        <f>(MIN(Attendance!D902, TIME(18, 0, 0)) - Attendance!C902) * 24</f>
        <v>18</v>
      </c>
      <c r="M902" s="369">
        <f t="shared" si="5"/>
        <v>-18</v>
      </c>
      <c r="N902" s="369"/>
      <c r="O902" s="369"/>
      <c r="P902" s="369"/>
    </row>
    <row r="903" ht="22.5" customHeight="1">
      <c r="A903" s="394"/>
      <c r="B903" s="395"/>
      <c r="C903" s="396"/>
      <c r="D903" s="396"/>
      <c r="E903" s="363"/>
      <c r="F903" s="364"/>
      <c r="G903" s="365"/>
      <c r="H903" s="366"/>
      <c r="I903" s="366"/>
      <c r="J903" s="366"/>
      <c r="K903" s="367"/>
      <c r="L903" s="368">
        <f>(MIN(Attendance!D903, TIME(18, 0, 0)) - Attendance!C903) * 24</f>
        <v>18</v>
      </c>
      <c r="M903" s="369">
        <f t="shared" si="5"/>
        <v>-18</v>
      </c>
      <c r="N903" s="377"/>
      <c r="O903" s="377"/>
      <c r="P903" s="377"/>
    </row>
    <row r="904" ht="22.5" customHeight="1">
      <c r="A904" s="394"/>
      <c r="B904" s="395"/>
      <c r="C904" s="396"/>
      <c r="D904" s="396"/>
      <c r="E904" s="363"/>
      <c r="F904" s="364"/>
      <c r="G904" s="365"/>
      <c r="H904" s="366"/>
      <c r="I904" s="366"/>
      <c r="J904" s="366"/>
      <c r="K904" s="367"/>
      <c r="L904" s="368">
        <f>(MIN(Attendance!D904, TIME(18, 0, 0)) - Attendance!C904) * 24</f>
        <v>18</v>
      </c>
      <c r="M904" s="369">
        <f t="shared" si="5"/>
        <v>-18</v>
      </c>
      <c r="N904" s="369"/>
      <c r="O904" s="369"/>
      <c r="P904" s="369"/>
    </row>
    <row r="905" ht="22.5" customHeight="1">
      <c r="A905" s="394"/>
      <c r="B905" s="395"/>
      <c r="C905" s="396"/>
      <c r="D905" s="396"/>
      <c r="E905" s="363"/>
      <c r="F905" s="364"/>
      <c r="G905" s="365"/>
      <c r="H905" s="366"/>
      <c r="I905" s="366"/>
      <c r="J905" s="366"/>
      <c r="K905" s="367"/>
      <c r="L905" s="368">
        <f>(MIN(Attendance!D905, TIME(18, 0, 0)) - Attendance!C905) * 24</f>
        <v>18</v>
      </c>
      <c r="M905" s="369">
        <f t="shared" si="5"/>
        <v>-18</v>
      </c>
      <c r="N905" s="377"/>
      <c r="O905" s="377"/>
      <c r="P905" s="377"/>
    </row>
    <row r="906" ht="22.5" customHeight="1">
      <c r="A906" s="394"/>
      <c r="B906" s="395"/>
      <c r="C906" s="396"/>
      <c r="D906" s="396"/>
      <c r="E906" s="363"/>
      <c r="F906" s="364"/>
      <c r="G906" s="365"/>
      <c r="H906" s="366"/>
      <c r="I906" s="366"/>
      <c r="J906" s="366"/>
      <c r="K906" s="367"/>
      <c r="L906" s="368">
        <f>(MIN(Attendance!D906, TIME(18, 0, 0)) - Attendance!C906) * 24</f>
        <v>18</v>
      </c>
      <c r="M906" s="369">
        <f t="shared" si="5"/>
        <v>-18</v>
      </c>
      <c r="N906" s="369"/>
      <c r="O906" s="369"/>
      <c r="P906" s="369"/>
    </row>
    <row r="907" ht="22.5" customHeight="1">
      <c r="A907" s="394"/>
      <c r="B907" s="395"/>
      <c r="C907" s="396"/>
      <c r="D907" s="396"/>
      <c r="E907" s="363"/>
      <c r="F907" s="364"/>
      <c r="G907" s="365"/>
      <c r="H907" s="366"/>
      <c r="I907" s="366"/>
      <c r="J907" s="366"/>
      <c r="K907" s="367"/>
      <c r="L907" s="368">
        <f>(MIN(Attendance!D907, TIME(18, 0, 0)) - Attendance!C907) * 24</f>
        <v>18</v>
      </c>
      <c r="M907" s="369">
        <f t="shared" si="5"/>
        <v>-18</v>
      </c>
      <c r="N907" s="377"/>
      <c r="O907" s="377"/>
      <c r="P907" s="377"/>
    </row>
    <row r="908" ht="22.5" customHeight="1">
      <c r="A908" s="394"/>
      <c r="B908" s="395"/>
      <c r="C908" s="396"/>
      <c r="D908" s="396"/>
      <c r="E908" s="363"/>
      <c r="F908" s="364"/>
      <c r="G908" s="365"/>
      <c r="H908" s="366"/>
      <c r="I908" s="366"/>
      <c r="J908" s="366"/>
      <c r="K908" s="367"/>
      <c r="L908" s="368">
        <f>(MIN(Attendance!D908, TIME(18, 0, 0)) - Attendance!C908) * 24</f>
        <v>18</v>
      </c>
      <c r="M908" s="369">
        <f t="shared" si="5"/>
        <v>-18</v>
      </c>
      <c r="N908" s="369"/>
      <c r="O908" s="369"/>
      <c r="P908" s="369"/>
    </row>
    <row r="909" ht="22.5" customHeight="1">
      <c r="A909" s="394"/>
      <c r="B909" s="395"/>
      <c r="C909" s="396"/>
      <c r="D909" s="396"/>
      <c r="E909" s="363"/>
      <c r="F909" s="364"/>
      <c r="G909" s="365"/>
      <c r="H909" s="366"/>
      <c r="I909" s="366"/>
      <c r="J909" s="366"/>
      <c r="K909" s="367"/>
      <c r="L909" s="368">
        <f>(MIN(Attendance!D909, TIME(18, 0, 0)) - Attendance!C909) * 24</f>
        <v>18</v>
      </c>
      <c r="M909" s="369">
        <f t="shared" si="5"/>
        <v>-18</v>
      </c>
      <c r="N909" s="377"/>
      <c r="O909" s="377"/>
      <c r="P909" s="377"/>
    </row>
    <row r="910" ht="22.5" customHeight="1">
      <c r="A910" s="394"/>
      <c r="B910" s="395"/>
      <c r="C910" s="396"/>
      <c r="D910" s="396"/>
      <c r="E910" s="363"/>
      <c r="F910" s="364"/>
      <c r="G910" s="365"/>
      <c r="H910" s="366"/>
      <c r="I910" s="366"/>
      <c r="J910" s="366"/>
      <c r="K910" s="367"/>
      <c r="L910" s="368">
        <f>(MIN(Attendance!D910, TIME(18, 0, 0)) - Attendance!C910) * 24</f>
        <v>18</v>
      </c>
      <c r="M910" s="369">
        <f t="shared" si="5"/>
        <v>-18</v>
      </c>
      <c r="N910" s="369"/>
      <c r="O910" s="369"/>
      <c r="P910" s="369"/>
    </row>
    <row r="911" ht="22.5" customHeight="1">
      <c r="A911" s="394"/>
      <c r="B911" s="395"/>
      <c r="C911" s="396"/>
      <c r="D911" s="396"/>
      <c r="E911" s="363"/>
      <c r="F911" s="364"/>
      <c r="G911" s="365"/>
      <c r="H911" s="366"/>
      <c r="I911" s="366"/>
      <c r="J911" s="366"/>
      <c r="K911" s="367"/>
      <c r="L911" s="368">
        <f>(MIN(Attendance!D911, TIME(18, 0, 0)) - Attendance!C911) * 24</f>
        <v>18</v>
      </c>
      <c r="M911" s="369">
        <f t="shared" si="5"/>
        <v>-18</v>
      </c>
      <c r="N911" s="377"/>
      <c r="O911" s="377"/>
      <c r="P911" s="377"/>
    </row>
    <row r="912" ht="22.5" customHeight="1">
      <c r="A912" s="394"/>
      <c r="B912" s="395"/>
      <c r="C912" s="396"/>
      <c r="D912" s="396"/>
      <c r="E912" s="363"/>
      <c r="F912" s="364"/>
      <c r="G912" s="365"/>
      <c r="H912" s="366"/>
      <c r="I912" s="366"/>
      <c r="J912" s="366"/>
      <c r="K912" s="367"/>
      <c r="L912" s="368">
        <f>(MIN(Attendance!D912, TIME(18, 0, 0)) - Attendance!C912) * 24</f>
        <v>18</v>
      </c>
      <c r="M912" s="369">
        <f t="shared" si="5"/>
        <v>-18</v>
      </c>
      <c r="N912" s="369"/>
      <c r="O912" s="369"/>
      <c r="P912" s="369"/>
    </row>
    <row r="913" ht="22.5" customHeight="1">
      <c r="A913" s="394"/>
      <c r="B913" s="395"/>
      <c r="C913" s="396"/>
      <c r="D913" s="396"/>
      <c r="E913" s="363"/>
      <c r="F913" s="364"/>
      <c r="G913" s="365"/>
      <c r="H913" s="366"/>
      <c r="I913" s="366"/>
      <c r="J913" s="366"/>
      <c r="K913" s="367"/>
      <c r="L913" s="368">
        <f>(MIN(Attendance!D913, TIME(18, 0, 0)) - Attendance!C913) * 24</f>
        <v>18</v>
      </c>
      <c r="M913" s="369">
        <f t="shared" si="5"/>
        <v>-18</v>
      </c>
      <c r="N913" s="377"/>
      <c r="O913" s="377"/>
      <c r="P913" s="377"/>
    </row>
    <row r="914" ht="22.5" customHeight="1">
      <c r="A914" s="394"/>
      <c r="B914" s="395"/>
      <c r="C914" s="396"/>
      <c r="D914" s="396"/>
      <c r="E914" s="363"/>
      <c r="F914" s="364"/>
      <c r="G914" s="365"/>
      <c r="H914" s="366"/>
      <c r="I914" s="366"/>
      <c r="J914" s="366"/>
      <c r="K914" s="367"/>
      <c r="L914" s="368">
        <f>(MIN(Attendance!D914, TIME(18, 0, 0)) - Attendance!C914) * 24</f>
        <v>18</v>
      </c>
      <c r="M914" s="369">
        <f t="shared" si="5"/>
        <v>-18</v>
      </c>
      <c r="N914" s="369"/>
      <c r="O914" s="369"/>
      <c r="P914" s="369"/>
    </row>
    <row r="915" ht="22.5" customHeight="1">
      <c r="A915" s="394"/>
      <c r="B915" s="395"/>
      <c r="C915" s="396"/>
      <c r="D915" s="396"/>
      <c r="E915" s="363"/>
      <c r="F915" s="364"/>
      <c r="G915" s="365"/>
      <c r="H915" s="366"/>
      <c r="I915" s="366"/>
      <c r="J915" s="366"/>
      <c r="K915" s="367"/>
      <c r="L915" s="368">
        <f>(MIN(Attendance!D915, TIME(18, 0, 0)) - Attendance!C915) * 24</f>
        <v>18</v>
      </c>
      <c r="M915" s="369">
        <f t="shared" si="5"/>
        <v>-18</v>
      </c>
      <c r="N915" s="377"/>
      <c r="O915" s="377"/>
      <c r="P915" s="377"/>
    </row>
    <row r="916" ht="22.5" customHeight="1">
      <c r="A916" s="394"/>
      <c r="B916" s="395"/>
      <c r="C916" s="396"/>
      <c r="D916" s="396"/>
      <c r="E916" s="363"/>
      <c r="F916" s="364"/>
      <c r="G916" s="365"/>
      <c r="H916" s="366"/>
      <c r="I916" s="366"/>
      <c r="J916" s="366"/>
      <c r="K916" s="367"/>
      <c r="L916" s="368">
        <f>(MIN(Attendance!D916, TIME(18, 0, 0)) - Attendance!C916) * 24</f>
        <v>18</v>
      </c>
      <c r="M916" s="369">
        <f t="shared" si="5"/>
        <v>-18</v>
      </c>
      <c r="N916" s="369"/>
      <c r="O916" s="369"/>
      <c r="P916" s="369"/>
    </row>
    <row r="917" ht="22.5" customHeight="1">
      <c r="A917" s="394"/>
      <c r="B917" s="395"/>
      <c r="C917" s="396"/>
      <c r="D917" s="396"/>
      <c r="E917" s="363"/>
      <c r="F917" s="364"/>
      <c r="G917" s="365"/>
      <c r="H917" s="366"/>
      <c r="I917" s="366"/>
      <c r="J917" s="366"/>
      <c r="K917" s="367"/>
      <c r="L917" s="368">
        <f>(MIN(Attendance!D917, TIME(18, 0, 0)) - Attendance!C917) * 24</f>
        <v>18</v>
      </c>
      <c r="M917" s="369">
        <f t="shared" si="5"/>
        <v>-18</v>
      </c>
      <c r="N917" s="377"/>
      <c r="O917" s="377"/>
      <c r="P917" s="377"/>
    </row>
    <row r="918" ht="22.5" customHeight="1">
      <c r="A918" s="394"/>
      <c r="B918" s="395"/>
      <c r="C918" s="396"/>
      <c r="D918" s="396"/>
      <c r="E918" s="363"/>
      <c r="F918" s="364"/>
      <c r="G918" s="365"/>
      <c r="H918" s="366"/>
      <c r="I918" s="366"/>
      <c r="J918" s="366"/>
      <c r="K918" s="367"/>
      <c r="L918" s="368">
        <f>(MIN(Attendance!D918, TIME(18, 0, 0)) - Attendance!C918) * 24</f>
        <v>18</v>
      </c>
      <c r="M918" s="369">
        <f t="shared" si="5"/>
        <v>-18</v>
      </c>
      <c r="N918" s="369"/>
      <c r="O918" s="369"/>
      <c r="P918" s="369"/>
    </row>
    <row r="919" ht="22.5" customHeight="1">
      <c r="A919" s="394"/>
      <c r="B919" s="395"/>
      <c r="C919" s="396"/>
      <c r="D919" s="396"/>
      <c r="E919" s="363"/>
      <c r="F919" s="364"/>
      <c r="G919" s="365"/>
      <c r="H919" s="366"/>
      <c r="I919" s="366"/>
      <c r="J919" s="366"/>
      <c r="K919" s="367"/>
      <c r="L919" s="368">
        <f>(MIN(Attendance!D919, TIME(18, 0, 0)) - Attendance!C919) * 24</f>
        <v>18</v>
      </c>
      <c r="M919" s="369">
        <f t="shared" si="5"/>
        <v>-18</v>
      </c>
      <c r="N919" s="377"/>
      <c r="O919" s="377"/>
      <c r="P919" s="377"/>
    </row>
    <row r="920" ht="22.5" customHeight="1">
      <c r="A920" s="394"/>
      <c r="B920" s="395"/>
      <c r="C920" s="396"/>
      <c r="D920" s="396"/>
      <c r="E920" s="363"/>
      <c r="F920" s="364"/>
      <c r="G920" s="365"/>
      <c r="H920" s="366"/>
      <c r="I920" s="366"/>
      <c r="J920" s="366"/>
      <c r="K920" s="367"/>
      <c r="L920" s="368">
        <f>(MIN(Attendance!D920, TIME(18, 0, 0)) - Attendance!C920) * 24</f>
        <v>18</v>
      </c>
      <c r="M920" s="369">
        <f t="shared" si="5"/>
        <v>-18</v>
      </c>
      <c r="N920" s="369"/>
      <c r="O920" s="369"/>
      <c r="P920" s="369"/>
    </row>
    <row r="921" ht="22.5" customHeight="1">
      <c r="A921" s="394"/>
      <c r="B921" s="395"/>
      <c r="C921" s="396"/>
      <c r="D921" s="396"/>
      <c r="E921" s="363"/>
      <c r="F921" s="364"/>
      <c r="G921" s="365"/>
      <c r="H921" s="366"/>
      <c r="I921" s="366"/>
      <c r="J921" s="366"/>
      <c r="K921" s="367"/>
      <c r="L921" s="368">
        <f>(MIN(Attendance!D921, TIME(18, 0, 0)) - Attendance!C921) * 24</f>
        <v>18</v>
      </c>
      <c r="M921" s="369">
        <f t="shared" si="5"/>
        <v>-18</v>
      </c>
      <c r="N921" s="377"/>
      <c r="O921" s="377"/>
      <c r="P921" s="377"/>
    </row>
    <row r="922" ht="22.5" customHeight="1">
      <c r="A922" s="394"/>
      <c r="B922" s="395"/>
      <c r="C922" s="396"/>
      <c r="D922" s="396"/>
      <c r="E922" s="363"/>
      <c r="F922" s="364"/>
      <c r="G922" s="365"/>
      <c r="H922" s="366"/>
      <c r="I922" s="366"/>
      <c r="J922" s="366"/>
      <c r="K922" s="367"/>
      <c r="L922" s="368">
        <f>(MIN(Attendance!D922, TIME(18, 0, 0)) - Attendance!C922) * 24</f>
        <v>18</v>
      </c>
      <c r="M922" s="369">
        <f t="shared" si="5"/>
        <v>-18</v>
      </c>
      <c r="N922" s="369"/>
      <c r="O922" s="369"/>
      <c r="P922" s="369"/>
    </row>
    <row r="923" ht="22.5" customHeight="1">
      <c r="A923" s="394"/>
      <c r="B923" s="395"/>
      <c r="C923" s="396"/>
      <c r="D923" s="396"/>
      <c r="E923" s="363"/>
      <c r="F923" s="364"/>
      <c r="G923" s="365"/>
      <c r="H923" s="366"/>
      <c r="I923" s="366"/>
      <c r="J923" s="366"/>
      <c r="K923" s="367"/>
      <c r="L923" s="368">
        <f>(MIN(Attendance!D923, TIME(18, 0, 0)) - Attendance!C923) * 24</f>
        <v>18</v>
      </c>
      <c r="M923" s="369">
        <f t="shared" si="5"/>
        <v>-18</v>
      </c>
      <c r="N923" s="377"/>
      <c r="O923" s="377"/>
      <c r="P923" s="377"/>
    </row>
    <row r="924" ht="22.5" customHeight="1">
      <c r="A924" s="394"/>
      <c r="B924" s="395"/>
      <c r="C924" s="396"/>
      <c r="D924" s="396"/>
      <c r="E924" s="363"/>
      <c r="F924" s="364"/>
      <c r="G924" s="365"/>
      <c r="H924" s="366"/>
      <c r="I924" s="366"/>
      <c r="J924" s="366"/>
      <c r="K924" s="367"/>
      <c r="L924" s="368">
        <f>(MIN(Attendance!D924, TIME(18, 0, 0)) - Attendance!C924) * 24</f>
        <v>18</v>
      </c>
      <c r="M924" s="369">
        <f t="shared" si="5"/>
        <v>-18</v>
      </c>
      <c r="N924" s="369"/>
      <c r="O924" s="369"/>
      <c r="P924" s="369"/>
    </row>
    <row r="925" ht="22.5" customHeight="1">
      <c r="A925" s="394"/>
      <c r="B925" s="395"/>
      <c r="C925" s="396"/>
      <c r="D925" s="396"/>
      <c r="E925" s="363"/>
      <c r="F925" s="364"/>
      <c r="G925" s="365"/>
      <c r="H925" s="366"/>
      <c r="I925" s="366"/>
      <c r="J925" s="366"/>
      <c r="K925" s="367"/>
      <c r="L925" s="368">
        <f>(MIN(Attendance!D925, TIME(18, 0, 0)) - Attendance!C925) * 24</f>
        <v>18</v>
      </c>
      <c r="M925" s="369">
        <f t="shared" si="5"/>
        <v>-18</v>
      </c>
      <c r="N925" s="377"/>
      <c r="O925" s="377"/>
      <c r="P925" s="377"/>
    </row>
    <row r="926" ht="22.5" customHeight="1">
      <c r="A926" s="394"/>
      <c r="B926" s="395"/>
      <c r="C926" s="396"/>
      <c r="D926" s="396"/>
      <c r="E926" s="363"/>
      <c r="F926" s="364"/>
      <c r="G926" s="365"/>
      <c r="H926" s="366"/>
      <c r="I926" s="366"/>
      <c r="J926" s="366"/>
      <c r="K926" s="367"/>
      <c r="L926" s="368">
        <f>(MIN(Attendance!D926, TIME(18, 0, 0)) - Attendance!C926) * 24</f>
        <v>18</v>
      </c>
      <c r="M926" s="369">
        <f t="shared" si="5"/>
        <v>-18</v>
      </c>
      <c r="N926" s="369"/>
      <c r="O926" s="369"/>
      <c r="P926" s="369"/>
    </row>
    <row r="927" ht="22.5" customHeight="1">
      <c r="A927" s="394"/>
      <c r="B927" s="395"/>
      <c r="C927" s="396"/>
      <c r="D927" s="396"/>
      <c r="E927" s="363"/>
      <c r="F927" s="364"/>
      <c r="G927" s="365"/>
      <c r="H927" s="366"/>
      <c r="I927" s="366"/>
      <c r="J927" s="366"/>
      <c r="K927" s="367"/>
      <c r="L927" s="368">
        <f>(MIN(Attendance!D927, TIME(18, 0, 0)) - Attendance!C927) * 24</f>
        <v>18</v>
      </c>
      <c r="M927" s="369">
        <f t="shared" si="5"/>
        <v>-18</v>
      </c>
      <c r="N927" s="377"/>
      <c r="O927" s="377"/>
      <c r="P927" s="377"/>
    </row>
    <row r="928" ht="22.5" customHeight="1">
      <c r="A928" s="394"/>
      <c r="B928" s="395"/>
      <c r="C928" s="396"/>
      <c r="D928" s="396"/>
      <c r="E928" s="363"/>
      <c r="F928" s="364"/>
      <c r="G928" s="365"/>
      <c r="H928" s="366"/>
      <c r="I928" s="366"/>
      <c r="J928" s="366"/>
      <c r="K928" s="367"/>
      <c r="L928" s="368">
        <f>(MIN(Attendance!D928, TIME(18, 0, 0)) - Attendance!C928) * 24</f>
        <v>18</v>
      </c>
      <c r="M928" s="369">
        <f t="shared" si="5"/>
        <v>-18</v>
      </c>
      <c r="N928" s="369"/>
      <c r="O928" s="369"/>
      <c r="P928" s="369"/>
    </row>
    <row r="929" ht="22.5" customHeight="1">
      <c r="A929" s="394"/>
      <c r="B929" s="395"/>
      <c r="C929" s="396"/>
      <c r="D929" s="396"/>
      <c r="E929" s="363"/>
      <c r="F929" s="364"/>
      <c r="G929" s="365"/>
      <c r="H929" s="366"/>
      <c r="I929" s="366"/>
      <c r="J929" s="366"/>
      <c r="K929" s="367"/>
      <c r="L929" s="368">
        <f>(MIN(Attendance!D929, TIME(18, 0, 0)) - Attendance!C929) * 24</f>
        <v>18</v>
      </c>
      <c r="M929" s="369">
        <f t="shared" si="5"/>
        <v>-18</v>
      </c>
      <c r="N929" s="377"/>
      <c r="O929" s="377"/>
      <c r="P929" s="377"/>
    </row>
    <row r="930" ht="22.5" customHeight="1">
      <c r="A930" s="394"/>
      <c r="B930" s="395"/>
      <c r="C930" s="396"/>
      <c r="D930" s="396"/>
      <c r="E930" s="363"/>
      <c r="F930" s="364"/>
      <c r="G930" s="365"/>
      <c r="H930" s="366"/>
      <c r="I930" s="366"/>
      <c r="J930" s="366"/>
      <c r="K930" s="367"/>
      <c r="L930" s="368">
        <f>(MIN(Attendance!D930, TIME(18, 0, 0)) - Attendance!C930) * 24</f>
        <v>18</v>
      </c>
      <c r="M930" s="369">
        <f t="shared" si="5"/>
        <v>-18</v>
      </c>
      <c r="N930" s="369"/>
      <c r="O930" s="369"/>
      <c r="P930" s="369"/>
    </row>
    <row r="931" ht="22.5" customHeight="1">
      <c r="A931" s="394"/>
      <c r="B931" s="395"/>
      <c r="C931" s="396"/>
      <c r="D931" s="396"/>
      <c r="E931" s="363"/>
      <c r="F931" s="364"/>
      <c r="G931" s="365"/>
      <c r="H931" s="366"/>
      <c r="I931" s="366"/>
      <c r="J931" s="366"/>
      <c r="K931" s="367"/>
      <c r="L931" s="368">
        <f>(MIN(Attendance!D931, TIME(18, 0, 0)) - Attendance!C931) * 24</f>
        <v>18</v>
      </c>
      <c r="M931" s="369">
        <f t="shared" si="5"/>
        <v>-18</v>
      </c>
      <c r="N931" s="377"/>
      <c r="O931" s="377"/>
      <c r="P931" s="377"/>
    </row>
    <row r="932" ht="22.5" customHeight="1">
      <c r="A932" s="394"/>
      <c r="B932" s="395"/>
      <c r="C932" s="396"/>
      <c r="D932" s="396"/>
      <c r="E932" s="363"/>
      <c r="F932" s="364"/>
      <c r="G932" s="365"/>
      <c r="H932" s="366"/>
      <c r="I932" s="366"/>
      <c r="J932" s="366"/>
      <c r="K932" s="367"/>
      <c r="L932" s="368">
        <f>(MIN(Attendance!D932, TIME(18, 0, 0)) - Attendance!C932) * 24</f>
        <v>18</v>
      </c>
      <c r="M932" s="369">
        <f t="shared" si="5"/>
        <v>-18</v>
      </c>
      <c r="N932" s="369"/>
      <c r="O932" s="369"/>
      <c r="P932" s="369"/>
    </row>
    <row r="933" ht="22.5" customHeight="1">
      <c r="A933" s="394"/>
      <c r="B933" s="395"/>
      <c r="C933" s="396"/>
      <c r="D933" s="396"/>
      <c r="E933" s="363"/>
      <c r="F933" s="364"/>
      <c r="G933" s="365"/>
      <c r="H933" s="366"/>
      <c r="I933" s="366"/>
      <c r="J933" s="366"/>
      <c r="K933" s="367"/>
      <c r="L933" s="368">
        <f>(MIN(Attendance!D933, TIME(18, 0, 0)) - Attendance!C933) * 24</f>
        <v>18</v>
      </c>
      <c r="M933" s="369">
        <f t="shared" si="5"/>
        <v>-18</v>
      </c>
      <c r="N933" s="377"/>
      <c r="O933" s="377"/>
      <c r="P933" s="377"/>
    </row>
    <row r="934" ht="22.5" customHeight="1">
      <c r="A934" s="394"/>
      <c r="B934" s="395"/>
      <c r="C934" s="396"/>
      <c r="D934" s="396"/>
      <c r="E934" s="363"/>
      <c r="F934" s="364"/>
      <c r="G934" s="365"/>
      <c r="H934" s="366"/>
      <c r="I934" s="366"/>
      <c r="J934" s="366"/>
      <c r="K934" s="367"/>
      <c r="L934" s="368">
        <f>(MIN(Attendance!D934, TIME(18, 0, 0)) - Attendance!C934) * 24</f>
        <v>18</v>
      </c>
      <c r="M934" s="369">
        <f t="shared" si="5"/>
        <v>-18</v>
      </c>
      <c r="N934" s="369"/>
      <c r="O934" s="369"/>
      <c r="P934" s="369"/>
    </row>
    <row r="935" ht="22.5" customHeight="1">
      <c r="A935" s="394"/>
      <c r="B935" s="395"/>
      <c r="C935" s="396"/>
      <c r="D935" s="396"/>
      <c r="E935" s="363"/>
      <c r="F935" s="364"/>
      <c r="G935" s="365"/>
      <c r="H935" s="366"/>
      <c r="I935" s="366"/>
      <c r="J935" s="366"/>
      <c r="K935" s="367"/>
      <c r="L935" s="368">
        <f>(MIN(Attendance!D935, TIME(18, 0, 0)) - Attendance!C935) * 24</f>
        <v>18</v>
      </c>
      <c r="M935" s="369">
        <f t="shared" si="5"/>
        <v>-18</v>
      </c>
      <c r="N935" s="377"/>
      <c r="O935" s="377"/>
      <c r="P935" s="377"/>
    </row>
    <row r="936" ht="22.5" customHeight="1">
      <c r="A936" s="394"/>
      <c r="B936" s="395"/>
      <c r="C936" s="396"/>
      <c r="D936" s="396"/>
      <c r="E936" s="363"/>
      <c r="F936" s="364"/>
      <c r="G936" s="365"/>
      <c r="H936" s="366"/>
      <c r="I936" s="366"/>
      <c r="J936" s="366"/>
      <c r="K936" s="367"/>
      <c r="L936" s="368">
        <f>(MIN(Attendance!D936, TIME(18, 0, 0)) - Attendance!C936) * 24</f>
        <v>18</v>
      </c>
      <c r="M936" s="369">
        <f t="shared" si="5"/>
        <v>-18</v>
      </c>
      <c r="N936" s="369"/>
      <c r="O936" s="369"/>
      <c r="P936" s="369"/>
    </row>
    <row r="937" ht="22.5" customHeight="1">
      <c r="A937" s="394"/>
      <c r="B937" s="395"/>
      <c r="C937" s="396"/>
      <c r="D937" s="396"/>
      <c r="E937" s="363"/>
      <c r="F937" s="364"/>
      <c r="G937" s="365"/>
      <c r="H937" s="366"/>
      <c r="I937" s="366"/>
      <c r="J937" s="366"/>
      <c r="K937" s="367"/>
      <c r="L937" s="368">
        <f>(MIN(Attendance!D937, TIME(18, 0, 0)) - Attendance!C937) * 24</f>
        <v>18</v>
      </c>
      <c r="M937" s="369">
        <f t="shared" si="5"/>
        <v>-18</v>
      </c>
      <c r="N937" s="377"/>
      <c r="O937" s="377"/>
      <c r="P937" s="377"/>
    </row>
    <row r="938" ht="22.5" customHeight="1">
      <c r="A938" s="394"/>
      <c r="B938" s="395"/>
      <c r="C938" s="396"/>
      <c r="D938" s="396"/>
      <c r="E938" s="363"/>
      <c r="F938" s="364"/>
      <c r="G938" s="365"/>
      <c r="H938" s="366"/>
      <c r="I938" s="366"/>
      <c r="J938" s="366"/>
      <c r="K938" s="367"/>
      <c r="L938" s="368">
        <f>(MIN(Attendance!D938, TIME(18, 0, 0)) - Attendance!C938) * 24</f>
        <v>18</v>
      </c>
      <c r="M938" s="369">
        <f t="shared" si="5"/>
        <v>-18</v>
      </c>
      <c r="N938" s="369"/>
      <c r="O938" s="369"/>
      <c r="P938" s="369"/>
    </row>
    <row r="939" ht="22.5" customHeight="1">
      <c r="A939" s="394"/>
      <c r="B939" s="395"/>
      <c r="C939" s="396"/>
      <c r="D939" s="396"/>
      <c r="E939" s="363"/>
      <c r="F939" s="364"/>
      <c r="G939" s="365"/>
      <c r="H939" s="366"/>
      <c r="I939" s="366"/>
      <c r="J939" s="366"/>
      <c r="K939" s="367"/>
      <c r="L939" s="368">
        <f>(MIN(Attendance!D939, TIME(18, 0, 0)) - Attendance!C939) * 24</f>
        <v>18</v>
      </c>
      <c r="M939" s="369">
        <f t="shared" si="5"/>
        <v>-18</v>
      </c>
      <c r="N939" s="377"/>
      <c r="O939" s="377"/>
      <c r="P939" s="377"/>
    </row>
    <row r="940" ht="22.5" customHeight="1">
      <c r="A940" s="394"/>
      <c r="B940" s="395"/>
      <c r="C940" s="396"/>
      <c r="D940" s="396"/>
      <c r="E940" s="363"/>
      <c r="F940" s="364"/>
      <c r="G940" s="365"/>
      <c r="H940" s="366"/>
      <c r="I940" s="366"/>
      <c r="J940" s="366"/>
      <c r="K940" s="367"/>
      <c r="L940" s="368">
        <f>(MIN(Attendance!D940, TIME(18, 0, 0)) - Attendance!C940) * 24</f>
        <v>18</v>
      </c>
      <c r="M940" s="369">
        <f t="shared" si="5"/>
        <v>-18</v>
      </c>
      <c r="N940" s="369"/>
      <c r="O940" s="369"/>
      <c r="P940" s="369"/>
    </row>
    <row r="941" ht="22.5" customHeight="1">
      <c r="A941" s="394"/>
      <c r="B941" s="395"/>
      <c r="C941" s="396"/>
      <c r="D941" s="396"/>
      <c r="E941" s="363"/>
      <c r="F941" s="364"/>
      <c r="G941" s="365"/>
      <c r="H941" s="366"/>
      <c r="I941" s="366"/>
      <c r="J941" s="366"/>
      <c r="K941" s="367"/>
      <c r="L941" s="368">
        <f>(MIN(Attendance!D941, TIME(18, 0, 0)) - Attendance!C941) * 24</f>
        <v>18</v>
      </c>
      <c r="M941" s="369">
        <f t="shared" si="5"/>
        <v>-18</v>
      </c>
      <c r="N941" s="377"/>
      <c r="O941" s="377"/>
      <c r="P941" s="377"/>
    </row>
    <row r="942" ht="22.5" customHeight="1">
      <c r="A942" s="394"/>
      <c r="B942" s="395"/>
      <c r="C942" s="396"/>
      <c r="D942" s="396"/>
      <c r="E942" s="363"/>
      <c r="F942" s="364"/>
      <c r="G942" s="365"/>
      <c r="H942" s="366"/>
      <c r="I942" s="366"/>
      <c r="J942" s="366"/>
      <c r="K942" s="367"/>
      <c r="L942" s="368">
        <f>(MIN(Attendance!D942, TIME(18, 0, 0)) - Attendance!C942) * 24</f>
        <v>18</v>
      </c>
      <c r="M942" s="369">
        <f t="shared" si="5"/>
        <v>-18</v>
      </c>
      <c r="N942" s="369"/>
      <c r="O942" s="369"/>
      <c r="P942" s="369"/>
    </row>
    <row r="943" ht="22.5" customHeight="1">
      <c r="A943" s="394"/>
      <c r="B943" s="395"/>
      <c r="C943" s="396"/>
      <c r="D943" s="396"/>
      <c r="E943" s="363"/>
      <c r="F943" s="364"/>
      <c r="G943" s="365"/>
      <c r="H943" s="366"/>
      <c r="I943" s="366"/>
      <c r="J943" s="366"/>
      <c r="K943" s="367"/>
      <c r="L943" s="368">
        <f>(MIN(Attendance!D943, TIME(18, 0, 0)) - Attendance!C943) * 24</f>
        <v>18</v>
      </c>
      <c r="M943" s="369">
        <f t="shared" si="5"/>
        <v>-18</v>
      </c>
      <c r="N943" s="377"/>
      <c r="O943" s="377"/>
      <c r="P943" s="377"/>
    </row>
    <row r="944" ht="22.5" customHeight="1">
      <c r="A944" s="394"/>
      <c r="B944" s="395"/>
      <c r="C944" s="396"/>
      <c r="D944" s="396"/>
      <c r="E944" s="363"/>
      <c r="F944" s="364"/>
      <c r="G944" s="365"/>
      <c r="H944" s="366"/>
      <c r="I944" s="366"/>
      <c r="J944" s="366"/>
      <c r="K944" s="367"/>
      <c r="L944" s="368">
        <f>(MIN(Attendance!D944, TIME(18, 0, 0)) - Attendance!C944) * 24</f>
        <v>18</v>
      </c>
      <c r="M944" s="369">
        <f t="shared" si="5"/>
        <v>-18</v>
      </c>
      <c r="N944" s="369"/>
      <c r="O944" s="369"/>
      <c r="P944" s="369"/>
    </row>
    <row r="945" ht="22.5" customHeight="1">
      <c r="A945" s="394"/>
      <c r="B945" s="395"/>
      <c r="C945" s="396"/>
      <c r="D945" s="396"/>
      <c r="E945" s="363"/>
      <c r="F945" s="364"/>
      <c r="G945" s="365"/>
      <c r="H945" s="366"/>
      <c r="I945" s="366"/>
      <c r="J945" s="366"/>
      <c r="K945" s="367"/>
      <c r="L945" s="368">
        <f>(MIN(Attendance!D945, TIME(18, 0, 0)) - Attendance!C945) * 24</f>
        <v>18</v>
      </c>
      <c r="M945" s="369">
        <f t="shared" si="5"/>
        <v>-18</v>
      </c>
      <c r="N945" s="377"/>
      <c r="O945" s="377"/>
      <c r="P945" s="377"/>
    </row>
    <row r="946" ht="22.5" customHeight="1">
      <c r="A946" s="394"/>
      <c r="B946" s="395"/>
      <c r="C946" s="396"/>
      <c r="D946" s="396"/>
      <c r="E946" s="363"/>
      <c r="F946" s="364"/>
      <c r="G946" s="365"/>
      <c r="H946" s="366"/>
      <c r="I946" s="366"/>
      <c r="J946" s="366"/>
      <c r="K946" s="367"/>
      <c r="L946" s="368">
        <f>(MIN(Attendance!D946, TIME(18, 0, 0)) - Attendance!C946) * 24</f>
        <v>18</v>
      </c>
      <c r="M946" s="369">
        <f t="shared" si="5"/>
        <v>-18</v>
      </c>
      <c r="N946" s="369"/>
      <c r="O946" s="369"/>
      <c r="P946" s="369"/>
    </row>
    <row r="947" ht="22.5" customHeight="1">
      <c r="A947" s="394"/>
      <c r="B947" s="395"/>
      <c r="C947" s="396"/>
      <c r="D947" s="396"/>
      <c r="E947" s="363"/>
      <c r="F947" s="364"/>
      <c r="G947" s="365"/>
      <c r="H947" s="366"/>
      <c r="I947" s="366"/>
      <c r="J947" s="366"/>
      <c r="K947" s="367"/>
      <c r="L947" s="368">
        <f>(MIN(Attendance!D947, TIME(18, 0, 0)) - Attendance!C947) * 24</f>
        <v>18</v>
      </c>
      <c r="M947" s="369">
        <f t="shared" si="5"/>
        <v>-18</v>
      </c>
      <c r="N947" s="377"/>
      <c r="O947" s="377"/>
      <c r="P947" s="377"/>
    </row>
    <row r="948" ht="22.5" customHeight="1">
      <c r="A948" s="394"/>
      <c r="B948" s="395"/>
      <c r="C948" s="396"/>
      <c r="D948" s="396"/>
      <c r="E948" s="363"/>
      <c r="F948" s="364"/>
      <c r="G948" s="365"/>
      <c r="H948" s="366"/>
      <c r="I948" s="366"/>
      <c r="J948" s="366"/>
      <c r="K948" s="367"/>
      <c r="L948" s="368">
        <f>(MIN(Attendance!D948, TIME(18, 0, 0)) - Attendance!C948) * 24</f>
        <v>18</v>
      </c>
      <c r="M948" s="369">
        <f t="shared" si="5"/>
        <v>-18</v>
      </c>
      <c r="N948" s="369"/>
      <c r="O948" s="369"/>
      <c r="P948" s="369"/>
    </row>
    <row r="949" ht="22.5" customHeight="1">
      <c r="A949" s="394"/>
      <c r="B949" s="395"/>
      <c r="C949" s="396"/>
      <c r="D949" s="396"/>
      <c r="E949" s="363"/>
      <c r="F949" s="364"/>
      <c r="G949" s="365"/>
      <c r="H949" s="366"/>
      <c r="I949" s="366"/>
      <c r="J949" s="366"/>
      <c r="K949" s="367"/>
      <c r="L949" s="368">
        <f>(MIN(Attendance!D949, TIME(18, 0, 0)) - Attendance!C949) * 24</f>
        <v>18</v>
      </c>
      <c r="M949" s="369">
        <f t="shared" si="5"/>
        <v>-18</v>
      </c>
      <c r="N949" s="377"/>
      <c r="O949" s="377"/>
      <c r="P949" s="377"/>
    </row>
    <row r="950" ht="22.5" customHeight="1">
      <c r="A950" s="394"/>
      <c r="B950" s="395"/>
      <c r="C950" s="396"/>
      <c r="D950" s="396"/>
      <c r="E950" s="363"/>
      <c r="F950" s="364"/>
      <c r="G950" s="365"/>
      <c r="H950" s="366"/>
      <c r="I950" s="366"/>
      <c r="J950" s="366"/>
      <c r="K950" s="367"/>
      <c r="L950" s="368">
        <f>(MIN(Attendance!D950, TIME(18, 0, 0)) - Attendance!C950) * 24</f>
        <v>18</v>
      </c>
      <c r="M950" s="369">
        <f t="shared" si="5"/>
        <v>-18</v>
      </c>
      <c r="N950" s="369"/>
      <c r="O950" s="369"/>
      <c r="P950" s="369"/>
    </row>
    <row r="951" ht="22.5" customHeight="1">
      <c r="A951" s="394"/>
      <c r="B951" s="395"/>
      <c r="C951" s="396"/>
      <c r="D951" s="396"/>
      <c r="E951" s="363"/>
      <c r="F951" s="364"/>
      <c r="G951" s="365"/>
      <c r="H951" s="366"/>
      <c r="I951" s="366"/>
      <c r="J951" s="366"/>
      <c r="K951" s="367"/>
      <c r="L951" s="368">
        <f>(MIN(Attendance!D951, TIME(18, 0, 0)) - Attendance!C951) * 24</f>
        <v>18</v>
      </c>
      <c r="M951" s="369">
        <f t="shared" si="5"/>
        <v>-18</v>
      </c>
      <c r="N951" s="377"/>
      <c r="O951" s="377"/>
      <c r="P951" s="377"/>
    </row>
    <row r="952" ht="22.5" customHeight="1">
      <c r="A952" s="394"/>
      <c r="B952" s="395"/>
      <c r="C952" s="396"/>
      <c r="D952" s="396"/>
      <c r="E952" s="363"/>
      <c r="F952" s="364"/>
      <c r="G952" s="365"/>
      <c r="H952" s="366"/>
      <c r="I952" s="366"/>
      <c r="J952" s="366"/>
      <c r="K952" s="367"/>
      <c r="L952" s="368">
        <f>(MIN(Attendance!D952, TIME(18, 0, 0)) - Attendance!C952) * 24</f>
        <v>18</v>
      </c>
      <c r="M952" s="369">
        <f t="shared" si="5"/>
        <v>-18</v>
      </c>
      <c r="N952" s="369"/>
      <c r="O952" s="369"/>
      <c r="P952" s="369"/>
    </row>
    <row r="953" ht="22.5" customHeight="1">
      <c r="A953" s="394"/>
      <c r="B953" s="395"/>
      <c r="C953" s="396"/>
      <c r="D953" s="396"/>
      <c r="E953" s="363"/>
      <c r="F953" s="364"/>
      <c r="G953" s="365"/>
      <c r="H953" s="366"/>
      <c r="I953" s="366"/>
      <c r="J953" s="366"/>
      <c r="K953" s="367"/>
      <c r="L953" s="368">
        <f>(MIN(Attendance!D953, TIME(18, 0, 0)) - Attendance!C953) * 24</f>
        <v>18</v>
      </c>
      <c r="M953" s="369">
        <f t="shared" si="5"/>
        <v>-18</v>
      </c>
      <c r="N953" s="377"/>
      <c r="O953" s="377"/>
      <c r="P953" s="377"/>
    </row>
    <row r="954" ht="22.5" customHeight="1">
      <c r="A954" s="394"/>
      <c r="B954" s="395"/>
      <c r="C954" s="396"/>
      <c r="D954" s="396"/>
      <c r="E954" s="363"/>
      <c r="F954" s="364"/>
      <c r="G954" s="365"/>
      <c r="H954" s="366"/>
      <c r="I954" s="366"/>
      <c r="J954" s="366"/>
      <c r="K954" s="367"/>
      <c r="L954" s="368">
        <f>(MIN(Attendance!D954, TIME(18, 0, 0)) - Attendance!C954) * 24</f>
        <v>18</v>
      </c>
      <c r="M954" s="369">
        <f t="shared" si="5"/>
        <v>-18</v>
      </c>
      <c r="N954" s="369"/>
      <c r="O954" s="369"/>
      <c r="P954" s="369"/>
    </row>
    <row r="955" ht="22.5" customHeight="1">
      <c r="A955" s="394"/>
      <c r="B955" s="395"/>
      <c r="C955" s="396"/>
      <c r="D955" s="396"/>
      <c r="E955" s="363"/>
      <c r="F955" s="364"/>
      <c r="G955" s="365"/>
      <c r="H955" s="366"/>
      <c r="I955" s="366"/>
      <c r="J955" s="366"/>
      <c r="K955" s="367"/>
      <c r="L955" s="368">
        <f>(MIN(Attendance!D955, TIME(18, 0, 0)) - Attendance!C955) * 24</f>
        <v>18</v>
      </c>
      <c r="M955" s="369">
        <f t="shared" si="5"/>
        <v>-18</v>
      </c>
      <c r="N955" s="377"/>
      <c r="O955" s="377"/>
      <c r="P955" s="377"/>
    </row>
    <row r="956" ht="22.5" customHeight="1">
      <c r="A956" s="394"/>
      <c r="B956" s="395"/>
      <c r="C956" s="396"/>
      <c r="D956" s="396"/>
      <c r="E956" s="363"/>
      <c r="F956" s="364"/>
      <c r="G956" s="365"/>
      <c r="H956" s="366"/>
      <c r="I956" s="366"/>
      <c r="J956" s="366"/>
      <c r="K956" s="367"/>
      <c r="L956" s="368">
        <f>(MIN(Attendance!D956, TIME(18, 0, 0)) - Attendance!C956) * 24</f>
        <v>18</v>
      </c>
      <c r="M956" s="369">
        <f t="shared" si="5"/>
        <v>-18</v>
      </c>
      <c r="N956" s="369"/>
      <c r="O956" s="369"/>
      <c r="P956" s="369"/>
    </row>
    <row r="957" ht="22.5" customHeight="1">
      <c r="A957" s="394"/>
      <c r="B957" s="395"/>
      <c r="C957" s="396"/>
      <c r="D957" s="396"/>
      <c r="E957" s="363"/>
      <c r="F957" s="364"/>
      <c r="G957" s="365"/>
      <c r="H957" s="366"/>
      <c r="I957" s="366"/>
      <c r="J957" s="366"/>
      <c r="K957" s="367"/>
      <c r="L957" s="368">
        <f>(MIN(Attendance!D957, TIME(18, 0, 0)) - Attendance!C957) * 24</f>
        <v>18</v>
      </c>
      <c r="M957" s="369">
        <f t="shared" si="5"/>
        <v>-18</v>
      </c>
      <c r="N957" s="377"/>
      <c r="O957" s="377"/>
      <c r="P957" s="377"/>
    </row>
  </sheetData>
  <autoFilter ref="$A$1:$M$957"/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71"/>
    <col customWidth="1" min="2" max="2" width="15.14"/>
    <col customWidth="1" min="4" max="4" width="16.71"/>
    <col customWidth="1" min="5" max="9" width="21.43"/>
  </cols>
  <sheetData>
    <row r="1" ht="39.75" customHeight="1">
      <c r="A1" s="397" t="s">
        <v>251</v>
      </c>
      <c r="B1" s="397" t="s">
        <v>252</v>
      </c>
      <c r="C1" s="397" t="s">
        <v>253</v>
      </c>
      <c r="D1" s="397" t="s">
        <v>254</v>
      </c>
      <c r="E1" s="398" t="s">
        <v>255</v>
      </c>
      <c r="F1" s="398" t="s">
        <v>256</v>
      </c>
      <c r="G1" s="398" t="s">
        <v>257</v>
      </c>
      <c r="H1" s="398" t="s">
        <v>258</v>
      </c>
      <c r="I1" s="398" t="s">
        <v>259</v>
      </c>
    </row>
    <row r="2" ht="22.5" customHeight="1">
      <c r="A2" s="399" t="s">
        <v>62</v>
      </c>
      <c r="B2" s="400">
        <v>4.0</v>
      </c>
      <c r="C2" s="401"/>
      <c r="D2" s="402"/>
      <c r="E2" s="403">
        <f>IFERROR(__xludf.DUMMYFUNCTION("COUNTUNIQUEIFS(Attendance!$A$2:$A12, Attendance!$B$2:$B12, A2, Attendance!$F$2:$F12, B2, Attendance!$K$2:$K12, ""&lt;&gt;جمعة"")"),26.0)</f>
        <v>26</v>
      </c>
      <c r="F2" s="403">
        <f t="shared" ref="F2:F12" si="1">INT((E2 + MIN(C2, 2)) / 6)</f>
        <v>4</v>
      </c>
      <c r="G2" s="403">
        <f>COUNTIFS(Attendance!$B2:$B12, A2, Attendance!$F2:$F12, B2, Attendance!$K2:$K12, "جمعة")</f>
        <v>0</v>
      </c>
      <c r="H2" s="403">
        <f t="shared" ref="H2:H12" si="2">MAX(0, F2 - G2)</f>
        <v>4</v>
      </c>
      <c r="I2" s="403">
        <f t="shared" ref="I2:I12" si="3">IF(D2 = 0, G2, (G2 * 2) + H2)-D2+F2</f>
        <v>4</v>
      </c>
    </row>
    <row r="3" ht="22.5" customHeight="1">
      <c r="A3" s="404" t="s">
        <v>1</v>
      </c>
      <c r="B3" s="400">
        <v>4.0</v>
      </c>
      <c r="C3" s="405"/>
      <c r="D3" s="406"/>
      <c r="E3" s="403">
        <f>IFERROR(__xludf.DUMMYFUNCTION("COUNTUNIQUEIFS(Attendance!$A$2:$A12, Attendance!$B$2:$B12, A3, Attendance!$F$2:$F12, B3, Attendance!$K$2:$K12, ""&lt;&gt;جمعة"")"),26.0)</f>
        <v>26</v>
      </c>
      <c r="F3" s="403">
        <f t="shared" si="1"/>
        <v>4</v>
      </c>
      <c r="G3" s="403">
        <f>COUNTIFS(Attendance!$B3:$B12, A3, Attendance!$F3:$F12, B3, Attendance!$K3:$K12, "جمعة")</f>
        <v>3</v>
      </c>
      <c r="H3" s="403">
        <f t="shared" si="2"/>
        <v>1</v>
      </c>
      <c r="I3" s="403">
        <f t="shared" si="3"/>
        <v>7</v>
      </c>
    </row>
    <row r="4" ht="22.5" customHeight="1">
      <c r="A4" s="404" t="s">
        <v>75</v>
      </c>
      <c r="B4" s="400">
        <v>4.0</v>
      </c>
      <c r="C4" s="407"/>
      <c r="D4" s="406"/>
      <c r="E4" s="403">
        <f>IFERROR(__xludf.DUMMYFUNCTION("COUNTUNIQUEIFS(Attendance!$A$2:$A12, Attendance!$B$2:$B12, A4, Attendance!$F$2:$F12, B4, Attendance!$K$2:$K12, ""&lt;&gt;جمعة"")"),25.0)</f>
        <v>25</v>
      </c>
      <c r="F4" s="403">
        <f t="shared" si="1"/>
        <v>4</v>
      </c>
      <c r="G4" s="403">
        <f>COUNTIFS(Attendance!$B4:$B12, A4, Attendance!$F4:$F12, B4, Attendance!$K4:$K12, "جمعة")</f>
        <v>3</v>
      </c>
      <c r="H4" s="403">
        <f t="shared" si="2"/>
        <v>1</v>
      </c>
      <c r="I4" s="403">
        <f t="shared" si="3"/>
        <v>7</v>
      </c>
    </row>
    <row r="5" ht="22.5" customHeight="1">
      <c r="A5" s="399" t="s">
        <v>64</v>
      </c>
      <c r="B5" s="400">
        <v>4.0</v>
      </c>
      <c r="C5" s="407"/>
      <c r="D5" s="408"/>
      <c r="E5" s="403">
        <f>IFERROR(__xludf.DUMMYFUNCTION("COUNTUNIQUEIFS(Attendance!$A$2:$A12, Attendance!$B$2:$B12, A5, Attendance!$F$2:$F12, B5, Attendance!$K$2:$K12, ""&lt;&gt;جمعة"")"),26.0)</f>
        <v>26</v>
      </c>
      <c r="F5" s="403">
        <f t="shared" si="1"/>
        <v>4</v>
      </c>
      <c r="G5" s="403">
        <f>COUNTIFS(Attendance!$B5:$B12, A5, Attendance!$F5:$F12, B5, Attendance!$K5:$K12, "جمعة")</f>
        <v>3</v>
      </c>
      <c r="H5" s="403">
        <f t="shared" si="2"/>
        <v>1</v>
      </c>
      <c r="I5" s="403">
        <f t="shared" si="3"/>
        <v>7</v>
      </c>
    </row>
    <row r="6" ht="22.5" customHeight="1">
      <c r="A6" s="399" t="s">
        <v>81</v>
      </c>
      <c r="B6" s="400">
        <v>4.0</v>
      </c>
      <c r="C6" s="407"/>
      <c r="D6" s="408">
        <v>2.0</v>
      </c>
      <c r="E6" s="403">
        <f>IFERROR(__xludf.DUMMYFUNCTION("COUNTUNIQUEIFS(Attendance!$A$2:$A12, Attendance!$B$2:$B12, A6, Attendance!$F$2:$F12, B6, Attendance!$K$2:$K12, ""&lt;&gt;جمعة"")"),9.0)</f>
        <v>9</v>
      </c>
      <c r="F6" s="403">
        <f t="shared" si="1"/>
        <v>1</v>
      </c>
      <c r="G6" s="403">
        <f>COUNTIFS(Attendance!$B6:$B12, A6, Attendance!$F6:$F12, B6, Attendance!$K6:$K12, "جمعة")</f>
        <v>0</v>
      </c>
      <c r="H6" s="403">
        <f t="shared" si="2"/>
        <v>1</v>
      </c>
      <c r="I6" s="403">
        <f t="shared" si="3"/>
        <v>0</v>
      </c>
    </row>
    <row r="7" ht="22.5" customHeight="1">
      <c r="A7" s="409" t="s">
        <v>106</v>
      </c>
      <c r="B7" s="400">
        <v>4.0</v>
      </c>
      <c r="C7" s="407"/>
      <c r="D7" s="408"/>
      <c r="E7" s="403">
        <f>IFERROR(__xludf.DUMMYFUNCTION("COUNTUNIQUEIFS(Attendance!$A$2:$A12, Attendance!$B$2:$B12, A7, Attendance!$F$2:$F12, B7, Attendance!$K$2:$K12, ""&lt;&gt;جمعة"")"),25.0)</f>
        <v>25</v>
      </c>
      <c r="F7" s="403">
        <f t="shared" si="1"/>
        <v>4</v>
      </c>
      <c r="G7" s="403">
        <f>COUNTIFS(Attendance!$B7:$B12, A7, Attendance!$F7:$F12, B7, Attendance!$K7:$K12, "جمعة")</f>
        <v>2</v>
      </c>
      <c r="H7" s="403">
        <f t="shared" si="2"/>
        <v>2</v>
      </c>
      <c r="I7" s="403">
        <f t="shared" si="3"/>
        <v>6</v>
      </c>
    </row>
    <row r="8" ht="22.5" customHeight="1">
      <c r="A8" s="410"/>
      <c r="B8" s="411">
        <v>2.0</v>
      </c>
      <c r="C8" s="405"/>
      <c r="D8" s="406"/>
      <c r="E8" s="403">
        <f>IFERROR(__xludf.DUMMYFUNCTION("COUNTUNIQUEIFS(Attendance!$A$2:$A12, Attendance!$B$2:$B12, A8, Attendance!$F$2:$F12, B8, Attendance!$K$2:$K12, ""&lt;&gt;جمعة"")"),0.0)</f>
        <v>0</v>
      </c>
      <c r="F8" s="403">
        <f t="shared" si="1"/>
        <v>0</v>
      </c>
      <c r="G8" s="403">
        <f>COUNTIFS(Attendance!$B8:$B12, A8, Attendance!$F8:$F12, B8, Attendance!$K8:$K12, "جمعة")</f>
        <v>0</v>
      </c>
      <c r="H8" s="403">
        <f t="shared" si="2"/>
        <v>0</v>
      </c>
      <c r="I8" s="403">
        <f t="shared" si="3"/>
        <v>0</v>
      </c>
    </row>
    <row r="9" ht="22.5" customHeight="1">
      <c r="A9" s="410"/>
      <c r="B9" s="411">
        <v>2.0</v>
      </c>
      <c r="C9" s="405"/>
      <c r="D9" s="406"/>
      <c r="E9" s="403">
        <f>IFERROR(__xludf.DUMMYFUNCTION("COUNTUNIQUEIFS(Attendance!$A$2:$A12, Attendance!$B$2:$B12, A9, Attendance!$F$2:$F12, B9, Attendance!$K$2:$K12, ""&lt;&gt;جمعة"")"),0.0)</f>
        <v>0</v>
      </c>
      <c r="F9" s="403">
        <f t="shared" si="1"/>
        <v>0</v>
      </c>
      <c r="G9" s="403">
        <f>COUNTIFS(Attendance!$B9:$B12, A9, Attendance!$F9:$F12, B9, Attendance!$K9:$K12, "جمعة")</f>
        <v>0</v>
      </c>
      <c r="H9" s="403">
        <f t="shared" si="2"/>
        <v>0</v>
      </c>
      <c r="I9" s="403">
        <f t="shared" si="3"/>
        <v>0</v>
      </c>
    </row>
    <row r="10" ht="22.5" customHeight="1">
      <c r="A10" s="410"/>
      <c r="B10" s="411">
        <v>2.0</v>
      </c>
      <c r="C10" s="405"/>
      <c r="D10" s="406"/>
      <c r="E10" s="403">
        <f>IFERROR(__xludf.DUMMYFUNCTION("COUNTUNIQUEIFS(Attendance!$A$2:$A12, Attendance!$B$2:$B12, A10, Attendance!$F$2:$F12, B10, Attendance!$K$2:$K12, ""&lt;&gt;جمعة"")"),0.0)</f>
        <v>0</v>
      </c>
      <c r="F10" s="403">
        <f t="shared" si="1"/>
        <v>0</v>
      </c>
      <c r="G10" s="403">
        <f>COUNTIFS(Attendance!$B10:$B12, A10, Attendance!$F10:$F12, B10, Attendance!$K10:$K12, "جمعة")</f>
        <v>0</v>
      </c>
      <c r="H10" s="403">
        <f t="shared" si="2"/>
        <v>0</v>
      </c>
      <c r="I10" s="403">
        <f t="shared" si="3"/>
        <v>0</v>
      </c>
    </row>
    <row r="11" ht="22.5" customHeight="1">
      <c r="A11" s="410"/>
      <c r="B11" s="411">
        <v>2.0</v>
      </c>
      <c r="C11" s="405"/>
      <c r="D11" s="406"/>
      <c r="E11" s="403">
        <f>IFERROR(__xludf.DUMMYFUNCTION("COUNTUNIQUEIFS(Attendance!$A$2:$A12, Attendance!$B$2:$B12, A11, Attendance!$F$2:$F12, B11, Attendance!$K$2:$K12, ""&lt;&gt;جمعة"")"),0.0)</f>
        <v>0</v>
      </c>
      <c r="F11" s="403">
        <f t="shared" si="1"/>
        <v>0</v>
      </c>
      <c r="G11" s="403">
        <f>COUNTIFS(Attendance!$B11:$B12, A11, Attendance!$F11:$F12, B11, Attendance!$K11:$K12, "جمعة")</f>
        <v>0</v>
      </c>
      <c r="H11" s="403">
        <f t="shared" si="2"/>
        <v>0</v>
      </c>
      <c r="I11" s="403">
        <f t="shared" si="3"/>
        <v>0</v>
      </c>
    </row>
    <row r="12" ht="22.5" customHeight="1">
      <c r="A12" s="410"/>
      <c r="B12" s="411">
        <v>2.0</v>
      </c>
      <c r="C12" s="405"/>
      <c r="D12" s="406"/>
      <c r="E12" s="403">
        <f>IFERROR(__xludf.DUMMYFUNCTION("COUNTUNIQUEIFS(Attendance!$A$2:$A12, Attendance!$B$2:$B12, A12, Attendance!$F$2:$F12, B12, Attendance!$K$2:$K12, ""&lt;&gt;جمعة"")"),0.0)</f>
        <v>0</v>
      </c>
      <c r="F12" s="403">
        <f t="shared" si="1"/>
        <v>0</v>
      </c>
      <c r="G12" s="403">
        <f>COUNTIFS(Attendance!$B12, A12, Attendance!$F12, B12, Attendance!$K12, "جمعة")</f>
        <v>0</v>
      </c>
      <c r="H12" s="403">
        <f t="shared" si="2"/>
        <v>0</v>
      </c>
      <c r="I12" s="403">
        <f t="shared" si="3"/>
        <v>0</v>
      </c>
    </row>
  </sheetData>
  <dataValidations>
    <dataValidation type="custom" allowBlank="1" showDropDown="1" sqref="B2:B12 D2:I12">
      <formula1>AND(ISNUMBER(B2),(NOT(OR(NOT(ISERROR(DATEVALUE(B2))), AND(ISNUMBER(B2), LEFT(CELL("format", B2))="D")))))</formula1>
    </dataValidation>
    <dataValidation type="list" allowBlank="1" showDropDown="1" sqref="A2:A12">
      <formula1>#REF!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8" width="19.43"/>
  </cols>
  <sheetData>
    <row r="1" ht="22.5" customHeight="1">
      <c r="A1" s="412" t="s">
        <v>260</v>
      </c>
      <c r="B1" s="412" t="s">
        <v>261</v>
      </c>
      <c r="C1" s="412" t="s">
        <v>262</v>
      </c>
      <c r="D1" s="413" t="s">
        <v>263</v>
      </c>
      <c r="E1" s="412" t="s">
        <v>264</v>
      </c>
      <c r="F1" s="414" t="s">
        <v>265</v>
      </c>
      <c r="G1" s="415"/>
      <c r="H1" s="416"/>
    </row>
    <row r="2" ht="22.5" customHeight="1">
      <c r="A2" s="417">
        <f>VLOOKUP(F2, Employees!$A$2:$C957, 3, FALSE)</f>
        <v>1481.481481</v>
      </c>
      <c r="B2" s="418">
        <f>100000 / (DAY(EOMONTH(Attendance!A29,0)) - 4)</f>
        <v>3846.153846</v>
      </c>
      <c r="C2" s="417">
        <f>MAX(0, Attendance!C29 - TIME(9, 0, 0)) * 24 * A2</f>
        <v>2345.679012</v>
      </c>
      <c r="D2" s="419">
        <f>MAX(0, Attendance!D29 - TIME(18, 0, 0)) * 24 * 1.5 * A2</f>
        <v>1925.925926</v>
      </c>
      <c r="E2" s="418">
        <f>IF(AND(Attendance!E29&lt;&gt;"Friday", Attendance!C29&lt;&gt;""), B2, 0)</f>
        <v>3846.153846</v>
      </c>
      <c r="F2" s="420" t="str">
        <f>Attendance!B2</f>
        <v>عبدالله هاشم</v>
      </c>
      <c r="G2" s="415">
        <f>Attendance!A29</f>
        <v>46113</v>
      </c>
      <c r="H2" s="420" t="str">
        <f>IFERROR(__xludf.DUMMYFUNCTION("REGEXREPLACE(F2, ""\d+$"", """")"),"عبدالله هاشم")</f>
        <v>عبدالله هاشم</v>
      </c>
    </row>
    <row r="3" ht="22.5" customHeight="1">
      <c r="A3" s="417">
        <f>VLOOKUP(F3, Employees!$A$2:$C957, 3, FALSE)</f>
        <v>1481.481481</v>
      </c>
      <c r="B3" s="418">
        <f>100000 / (DAY(EOMONTH(Attendance!A30,0)) - 4)</f>
        <v>3846.153846</v>
      </c>
      <c r="C3" s="417">
        <f>MAX(0, Attendance!C30 - TIME(9, 0, 0)) * 24 * A3</f>
        <v>691.3580247</v>
      </c>
      <c r="D3" s="419">
        <f>MAX(0, Attendance!D30 - TIME(18, 0, 0)) * 24 * 1.5 * A3</f>
        <v>1222.222222</v>
      </c>
      <c r="E3" s="418">
        <f>IF(AND(Attendance!E30&lt;&gt;"Friday", Attendance!C30&lt;&gt;""), B3, 0)</f>
        <v>3846.153846</v>
      </c>
      <c r="F3" s="420" t="str">
        <f>Attendance!B3</f>
        <v>عبدالله هاشم</v>
      </c>
      <c r="G3" s="415">
        <f>Attendance!A30</f>
        <v>46114</v>
      </c>
      <c r="H3" s="420" t="str">
        <f>IFERROR(__xludf.DUMMYFUNCTION("REGEXREPLACE(F3, ""\d+$"", """")"),"عبدالله هاشم")</f>
        <v>عبدالله هاشم</v>
      </c>
    </row>
    <row r="4" ht="22.5" customHeight="1">
      <c r="A4" s="417">
        <f>VLOOKUP(F4, Employees!$A$2:$C957, 3, FALSE)</f>
        <v>1481.481481</v>
      </c>
      <c r="B4" s="418">
        <f>100000 / (DAY(EOMONTH(Attendance!A31,0)) - 4)</f>
        <v>3846.153846</v>
      </c>
      <c r="C4" s="417">
        <f>MAX(0, Attendance!C31 - TIME(9, 0, 0)) * 24 * A4</f>
        <v>666.6666667</v>
      </c>
      <c r="D4" s="419">
        <f>MAX(0, Attendance!D31 - TIME(18, 0, 0)) * 24 * 1.5 * A4</f>
        <v>3555.555556</v>
      </c>
      <c r="E4" s="418">
        <f>IF(AND(Attendance!E31&lt;&gt;"Friday", Attendance!C31&lt;&gt;""), B4, 0)</f>
        <v>3846.153846</v>
      </c>
      <c r="F4" s="420" t="str">
        <f>Attendance!B4</f>
        <v>عبدالله هاشم</v>
      </c>
      <c r="G4" s="415">
        <f>Attendance!A31</f>
        <v>46116</v>
      </c>
      <c r="H4" s="420" t="str">
        <f>IFERROR(__xludf.DUMMYFUNCTION("REGEXREPLACE(F4, ""\d+$"", """")"),"عبدالله هاشم")</f>
        <v>عبدالله هاشم</v>
      </c>
    </row>
    <row r="5" ht="22.5" customHeight="1">
      <c r="A5" s="417">
        <f>VLOOKUP(F5, Employees!$A$2:$C957, 3, FALSE)</f>
        <v>1481.481481</v>
      </c>
      <c r="B5" s="418">
        <f>100000 / (DAY(EOMONTH(Attendance!A32,0)) - 4)</f>
        <v>3846.153846</v>
      </c>
      <c r="C5" s="417">
        <f>MAX(0, Attendance!C32 - TIME(9, 0, 0)) * 24 * A5</f>
        <v>641.9753086</v>
      </c>
      <c r="D5" s="419">
        <f>MAX(0, Attendance!D32 - TIME(18, 0, 0)) * 24 * 1.5 * A5</f>
        <v>0</v>
      </c>
      <c r="E5" s="418">
        <f>IF(AND(Attendance!E32&lt;&gt;"Friday", Attendance!C32&lt;&gt;""), B5, 0)</f>
        <v>3846.153846</v>
      </c>
      <c r="F5" s="420" t="str">
        <f>Attendance!B5</f>
        <v>عبدالله هاشم</v>
      </c>
      <c r="G5" s="415">
        <f>Attendance!A32</f>
        <v>46117</v>
      </c>
      <c r="H5" s="420" t="str">
        <f>IFERROR(__xludf.DUMMYFUNCTION("REGEXREPLACE(F5, ""\d+$"", """")"),"عبدالله هاشم")</f>
        <v>عبدالله هاشم</v>
      </c>
    </row>
    <row r="6" ht="22.5" customHeight="1">
      <c r="A6" s="417">
        <f>VLOOKUP(F6, Employees!$A$2:$C957, 3, FALSE)</f>
        <v>1481.481481</v>
      </c>
      <c r="B6" s="418">
        <f>100000 / (DAY(EOMONTH(Attendance!A33,0)) - 4)</f>
        <v>3846.153846</v>
      </c>
      <c r="C6" s="417">
        <f>MAX(0, Attendance!C33 - TIME(9, 0, 0)) * 24 * A6</f>
        <v>1777.777778</v>
      </c>
      <c r="D6" s="419">
        <f>MAX(0, Attendance!D33 - TIME(18, 0, 0)) * 24 * 1.5 * A6</f>
        <v>0</v>
      </c>
      <c r="E6" s="418">
        <f>IF(AND(Attendance!E33&lt;&gt;"Friday", Attendance!C33&lt;&gt;""), B6, 0)</f>
        <v>3846.153846</v>
      </c>
      <c r="F6" s="420" t="str">
        <f>Attendance!B6</f>
        <v>عبدالله هاشم</v>
      </c>
      <c r="G6" s="415">
        <f>Attendance!A33</f>
        <v>46118</v>
      </c>
      <c r="H6" s="420" t="str">
        <f>IFERROR(__xludf.DUMMYFUNCTION("REGEXREPLACE(F6, ""\d+$"", """")"),"عبدالله هاشم")</f>
        <v>عبدالله هاشم</v>
      </c>
    </row>
    <row r="7" ht="22.5" customHeight="1">
      <c r="A7" s="417">
        <f>VLOOKUP(F7, Employees!$A$2:$C957, 3, FALSE)</f>
        <v>1481.481481</v>
      </c>
      <c r="B7" s="418">
        <f>100000 / (DAY(EOMONTH(Attendance!A34,0)) - 4)</f>
        <v>3846.153846</v>
      </c>
      <c r="C7" s="417">
        <f>MAX(0, Attendance!C34 - TIME(9, 0, 0)) * 24 * A7</f>
        <v>1728.395062</v>
      </c>
      <c r="D7" s="419">
        <f>MAX(0, Attendance!D34 - TIME(18, 0, 0)) * 24 * 1.5 * A7</f>
        <v>481.4814815</v>
      </c>
      <c r="E7" s="418">
        <f>IF(AND(Attendance!E34&lt;&gt;"Friday", Attendance!C34&lt;&gt;""), B7, 0)</f>
        <v>3846.153846</v>
      </c>
      <c r="F7" s="420" t="str">
        <f>Attendance!B7</f>
        <v>عبدالله هاشم</v>
      </c>
      <c r="G7" s="415">
        <f>Attendance!A34</f>
        <v>46119</v>
      </c>
      <c r="H7" s="420" t="str">
        <f>IFERROR(__xludf.DUMMYFUNCTION("REGEXREPLACE(F7, ""\d+$"", """")"),"عبدالله هاشم")</f>
        <v>عبدالله هاشم</v>
      </c>
    </row>
    <row r="8" ht="22.5" customHeight="1">
      <c r="A8" s="417">
        <f>VLOOKUP(F8, Employees!$A$2:$C957, 3, FALSE)</f>
        <v>1481.481481</v>
      </c>
      <c r="B8" s="418">
        <f>100000 / (DAY(EOMONTH(Attendance!A35,0)) - 4)</f>
        <v>3846.153846</v>
      </c>
      <c r="C8" s="417">
        <f>MAX(0, Attendance!C35 - TIME(9, 0, 0)) * 24 * A8</f>
        <v>4518.518519</v>
      </c>
      <c r="D8" s="419">
        <f>MAX(0, Attendance!D35 - TIME(18, 0, 0)) * 24 * 1.5 * A8</f>
        <v>2222.222222</v>
      </c>
      <c r="E8" s="418">
        <f>IF(AND(Attendance!E35&lt;&gt;"Friday", Attendance!C35&lt;&gt;""), B8, 0)</f>
        <v>3846.153846</v>
      </c>
      <c r="F8" s="420" t="str">
        <f>Attendance!B8</f>
        <v>عبدالله هاشم</v>
      </c>
      <c r="G8" s="415">
        <f>Attendance!A35</f>
        <v>46120</v>
      </c>
      <c r="H8" s="420" t="str">
        <f>IFERROR(__xludf.DUMMYFUNCTION("REGEXREPLACE(F8, ""\d+$"", """")"),"عبدالله هاشم")</f>
        <v>عبدالله هاشم</v>
      </c>
    </row>
    <row r="9" ht="22.5" customHeight="1">
      <c r="A9" s="417">
        <f>VLOOKUP(F9, Employees!$A$2:$C957, 3, FALSE)</f>
        <v>1481.481481</v>
      </c>
      <c r="B9" s="418">
        <f>100000 / (DAY(EOMONTH(Attendance!A36,0)) - 4)</f>
        <v>3846.153846</v>
      </c>
      <c r="C9" s="417">
        <f>MAX(0, Attendance!C36 - TIME(9, 0, 0)) * 24 * A9</f>
        <v>2444.444444</v>
      </c>
      <c r="D9" s="419">
        <f>MAX(0, Attendance!D36 - TIME(18, 0, 0)) * 24 * 1.5 * A9</f>
        <v>0</v>
      </c>
      <c r="E9" s="418">
        <f>IF(AND(Attendance!E36&lt;&gt;"Friday", Attendance!C36&lt;&gt;""), B9, 0)</f>
        <v>3846.153846</v>
      </c>
      <c r="F9" s="420" t="str">
        <f>Attendance!B9</f>
        <v>عبدالله هاشم</v>
      </c>
      <c r="G9" s="415">
        <f>Attendance!A36</f>
        <v>46121</v>
      </c>
      <c r="H9" s="420" t="str">
        <f>IFERROR(__xludf.DUMMYFUNCTION("REGEXREPLACE(F9, ""\d+$"", """")"),"عبدالله هاشم")</f>
        <v>عبدالله هاشم</v>
      </c>
    </row>
    <row r="10" ht="22.5" customHeight="1">
      <c r="A10" s="417">
        <f>VLOOKUP(F10, Employees!$A$2:$C957, 3, FALSE)</f>
        <v>1481.481481</v>
      </c>
      <c r="B10" s="418">
        <f>100000 / (DAY(EOMONTH(Attendance!A37,0)) - 4)</f>
        <v>3846.153846</v>
      </c>
      <c r="C10" s="417">
        <f>MAX(0, Attendance!C37 - TIME(9, 0, 0)) * 24 * A10</f>
        <v>4074.074074</v>
      </c>
      <c r="D10" s="419">
        <f>MAX(0, Attendance!D37 - TIME(18, 0, 0)) * 24 * 1.5 * A10</f>
        <v>0</v>
      </c>
      <c r="E10" s="418">
        <f>IF(AND(Attendance!E37&lt;&gt;"Friday", Attendance!C37&lt;&gt;""), B10, 0)</f>
        <v>3846.153846</v>
      </c>
      <c r="F10" s="420" t="str">
        <f>Attendance!B10</f>
        <v>عبدالله هاشم</v>
      </c>
      <c r="G10" s="415">
        <f>Attendance!A37</f>
        <v>46122</v>
      </c>
      <c r="H10" s="420" t="str">
        <f>IFERROR(__xludf.DUMMYFUNCTION("REGEXREPLACE(F10, ""\d+$"", """")"),"عبدالله هاشم")</f>
        <v>عبدالله هاشم</v>
      </c>
    </row>
    <row r="11" ht="22.5" customHeight="1">
      <c r="A11" s="417">
        <f>VLOOKUP(F11, Employees!$A$2:$C957, 3, FALSE)</f>
        <v>1481.481481</v>
      </c>
      <c r="B11" s="418">
        <f>100000 / (DAY(EOMONTH(Attendance!A38,0)) - 4)</f>
        <v>3846.153846</v>
      </c>
      <c r="C11" s="417">
        <f>MAX(0, Attendance!C38 - TIME(9, 0, 0)) * 24 * A11</f>
        <v>1629.62963</v>
      </c>
      <c r="D11" s="419">
        <f>MAX(0, Attendance!D38 - TIME(18, 0, 0)) * 24 * 1.5 * A11</f>
        <v>0</v>
      </c>
      <c r="E11" s="418">
        <f>IF(AND(Attendance!E38&lt;&gt;"Friday", Attendance!C38&lt;&gt;""), B11, 0)</f>
        <v>3846.153846</v>
      </c>
      <c r="F11" s="420" t="str">
        <f>Attendance!B11</f>
        <v>عبدالله هاشم</v>
      </c>
      <c r="G11" s="415">
        <f>Attendance!A38</f>
        <v>46123</v>
      </c>
      <c r="H11" s="420" t="str">
        <f>IFERROR(__xludf.DUMMYFUNCTION("REGEXREPLACE(F11, ""\d+$"", """")"),"عبدالله هاشم")</f>
        <v>عبدالله هاشم</v>
      </c>
    </row>
    <row r="12" ht="22.5" customHeight="1">
      <c r="A12" s="417">
        <f>VLOOKUP(F12, Employees!$A$2:$C957, 3, FALSE)</f>
        <v>1481.481481</v>
      </c>
      <c r="B12" s="418">
        <f>100000 / (DAY(EOMONTH(Attendance!A39,0)) - 4)</f>
        <v>3846.153846</v>
      </c>
      <c r="C12" s="417">
        <f>MAX(0, Attendance!C39 - TIME(9, 0, 0)) * 24 * A12</f>
        <v>1925.925926</v>
      </c>
      <c r="D12" s="419">
        <f>MAX(0, Attendance!D39 - TIME(18, 0, 0)) * 24 * 1.5 * A12</f>
        <v>0</v>
      </c>
      <c r="E12" s="418">
        <f>IF(AND(Attendance!E39&lt;&gt;"Friday", Attendance!C39&lt;&gt;""), B12, 0)</f>
        <v>3846.153846</v>
      </c>
      <c r="F12" s="420" t="str">
        <f>Attendance!B12</f>
        <v>عبدالله هاشم</v>
      </c>
      <c r="G12" s="415">
        <f>Attendance!A39</f>
        <v>46124</v>
      </c>
      <c r="H12" s="420" t="str">
        <f>IFERROR(__xludf.DUMMYFUNCTION("REGEXREPLACE(F12, ""\d+$"", """")"),"عبدالله هاشم")</f>
        <v>عبدالله هاشم</v>
      </c>
    </row>
    <row r="13" ht="22.5" customHeight="1">
      <c r="A13" s="417">
        <f>VLOOKUP(F13, Employees!$A$2:$C957, 3, FALSE)</f>
        <v>1481.481481</v>
      </c>
      <c r="B13" s="418">
        <f>100000 / (DAY(EOMONTH(Attendance!A40,0)) - 4)</f>
        <v>3846.153846</v>
      </c>
      <c r="C13" s="417">
        <f>MAX(0, Attendance!C40 - TIME(9, 0, 0)) * 24 * A13</f>
        <v>1950.617284</v>
      </c>
      <c r="D13" s="419">
        <f>MAX(0, Attendance!D40 - TIME(18, 0, 0)) * 24 * 1.5 * A13</f>
        <v>7074.074074</v>
      </c>
      <c r="E13" s="418">
        <f>IF(AND(Attendance!E40&lt;&gt;"Friday", Attendance!C40&lt;&gt;""), B13, 0)</f>
        <v>3846.153846</v>
      </c>
      <c r="F13" s="420" t="str">
        <f>Attendance!B13</f>
        <v>عبدالله هاشم</v>
      </c>
      <c r="G13" s="415">
        <f>Attendance!A40</f>
        <v>46125</v>
      </c>
      <c r="H13" s="420" t="str">
        <f>IFERROR(__xludf.DUMMYFUNCTION("REGEXREPLACE(F13, ""\d+$"", """")"),"عبدالله هاشم")</f>
        <v>عبدالله هاشم</v>
      </c>
    </row>
    <row r="14" ht="22.5" customHeight="1">
      <c r="A14" s="417">
        <f>VLOOKUP(F14, Employees!$A$2:$C957, 3, FALSE)</f>
        <v>1481.481481</v>
      </c>
      <c r="B14" s="418">
        <f>100000 / (DAY(EOMONTH(Attendance!A41,0)) - 4)</f>
        <v>3846.153846</v>
      </c>
      <c r="C14" s="417">
        <f>MAX(0, Attendance!C41 - TIME(9, 0, 0)) * 24 * A14</f>
        <v>2296.296296</v>
      </c>
      <c r="D14" s="419">
        <f>MAX(0, Attendance!D41 - TIME(18, 0, 0)) * 24 * 1.5 * A14</f>
        <v>0</v>
      </c>
      <c r="E14" s="418">
        <f>IF(AND(Attendance!E41&lt;&gt;"Friday", Attendance!C41&lt;&gt;""), B14, 0)</f>
        <v>3846.153846</v>
      </c>
      <c r="F14" s="420" t="str">
        <f>Attendance!B14</f>
        <v>عبدالله هاشم</v>
      </c>
      <c r="G14" s="415">
        <f>Attendance!A41</f>
        <v>46126</v>
      </c>
      <c r="H14" s="420" t="str">
        <f>IFERROR(__xludf.DUMMYFUNCTION("REGEXREPLACE(F14, ""\d+$"", """")"),"عبدالله هاشم")</f>
        <v>عبدالله هاشم</v>
      </c>
    </row>
    <row r="15" ht="22.5" customHeight="1">
      <c r="A15" s="417">
        <f>VLOOKUP(F15, Employees!$A$2:$C957, 3, FALSE)</f>
        <v>1481.481481</v>
      </c>
      <c r="B15" s="418">
        <f>100000 / (DAY(EOMONTH(Attendance!A42,0)) - 4)</f>
        <v>3846.153846</v>
      </c>
      <c r="C15" s="417">
        <f>MAX(0, Attendance!C42 - TIME(9, 0, 0)) * 24 * A15</f>
        <v>4790.123457</v>
      </c>
      <c r="D15" s="419">
        <f>MAX(0, Attendance!D42 - TIME(18, 0, 0)) * 24 * 1.5 * A15</f>
        <v>0</v>
      </c>
      <c r="E15" s="418">
        <f>IF(AND(Attendance!E42&lt;&gt;"Friday", Attendance!C42&lt;&gt;""), B15, 0)</f>
        <v>3846.153846</v>
      </c>
      <c r="F15" s="420" t="str">
        <f>Attendance!B15</f>
        <v>عبدالله هاشم</v>
      </c>
      <c r="G15" s="415">
        <f>Attendance!A42</f>
        <v>46127</v>
      </c>
      <c r="H15" s="420" t="str">
        <f>IFERROR(__xludf.DUMMYFUNCTION("REGEXREPLACE(F15, ""\d+$"", """")"),"عبدالله هاشم")</f>
        <v>عبدالله هاشم</v>
      </c>
    </row>
    <row r="16" ht="22.5" customHeight="1">
      <c r="A16" s="417">
        <f>VLOOKUP(F16, Employees!$A$2:$C957, 3, FALSE)</f>
        <v>1481.481481</v>
      </c>
      <c r="B16" s="418">
        <f>100000 / (DAY(EOMONTH(Attendance!A43,0)) - 4)</f>
        <v>3846.153846</v>
      </c>
      <c r="C16" s="417">
        <f>MAX(0, Attendance!C43 - TIME(9, 0, 0)) * 24 * A16</f>
        <v>1629.62963</v>
      </c>
      <c r="D16" s="419">
        <f>MAX(0, Attendance!D43 - TIME(18, 0, 0)) * 24 * 1.5 * A16</f>
        <v>0</v>
      </c>
      <c r="E16" s="418">
        <f>IF(AND(Attendance!E43&lt;&gt;"Friday", Attendance!C43&lt;&gt;""), B16, 0)</f>
        <v>3846.153846</v>
      </c>
      <c r="F16" s="420" t="str">
        <f>Attendance!B16</f>
        <v>عبدالله هاشم</v>
      </c>
      <c r="G16" s="415">
        <f>Attendance!A43</f>
        <v>46128</v>
      </c>
      <c r="H16" s="420" t="str">
        <f>IFERROR(__xludf.DUMMYFUNCTION("REGEXREPLACE(F16, ""\d+$"", """")"),"عبدالله هاشم")</f>
        <v>عبدالله هاشم</v>
      </c>
    </row>
    <row r="17" ht="22.5" customHeight="1">
      <c r="A17" s="417">
        <f>VLOOKUP(F17, Employees!$A$2:$C957, 3, FALSE)</f>
        <v>1481.481481</v>
      </c>
      <c r="B17" s="418">
        <f>100000 / (DAY(EOMONTH(Attendance!A44,0)) - 4)</f>
        <v>3846.153846</v>
      </c>
      <c r="C17" s="417">
        <f>MAX(0, Attendance!C44 - TIME(9, 0, 0)) * 24 * A17</f>
        <v>19061.7284</v>
      </c>
      <c r="D17" s="419">
        <f>MAX(0, Attendance!D44 - TIME(18, 0, 0)) * 24 * 1.5 * A17</f>
        <v>8666.666667</v>
      </c>
      <c r="E17" s="418">
        <f>IF(AND(Attendance!E44&lt;&gt;"Friday", Attendance!C44&lt;&gt;""), B17, 0)</f>
        <v>3846.153846</v>
      </c>
      <c r="F17" s="420" t="str">
        <f>Attendance!B17</f>
        <v>عبدالله هاشم</v>
      </c>
      <c r="G17" s="415">
        <f>Attendance!A44</f>
        <v>46128</v>
      </c>
      <c r="H17" s="420" t="str">
        <f>IFERROR(__xludf.DUMMYFUNCTION("REGEXREPLACE(F17, ""\d+$"", """")"),"عبدالله هاشم")</f>
        <v>عبدالله هاشم</v>
      </c>
    </row>
    <row r="18" ht="22.5" customHeight="1">
      <c r="A18" s="417">
        <f>VLOOKUP(F18, Employees!$A$2:$C957, 3, FALSE)</f>
        <v>1481.481481</v>
      </c>
      <c r="B18" s="418">
        <f>100000 / (DAY(EOMONTH(Attendance!A45,0)) - 4)</f>
        <v>3846.153846</v>
      </c>
      <c r="C18" s="417">
        <f>MAX(0, Attendance!C45 - TIME(9, 0, 0)) * 24 * A18</f>
        <v>1432.098765</v>
      </c>
      <c r="D18" s="419">
        <f>MAX(0, Attendance!D45 - TIME(18, 0, 0)) * 24 * 1.5 * A18</f>
        <v>74.07407407</v>
      </c>
      <c r="E18" s="418">
        <f>IF(AND(Attendance!E45&lt;&gt;"Friday", Attendance!C45&lt;&gt;""), B18, 0)</f>
        <v>3846.153846</v>
      </c>
      <c r="F18" s="420" t="str">
        <f>Attendance!B18</f>
        <v>عبدالله هاشم</v>
      </c>
      <c r="G18" s="415">
        <f>Attendance!A45</f>
        <v>46129</v>
      </c>
      <c r="H18" s="420" t="str">
        <f>IFERROR(__xludf.DUMMYFUNCTION("REGEXREPLACE(F18, ""\d+$"", """")"),"عبدالله هاشم")</f>
        <v>عبدالله هاشم</v>
      </c>
    </row>
    <row r="19" ht="22.5" customHeight="1">
      <c r="A19" s="417">
        <f>VLOOKUP(F19, Employees!$A$2:$C957, 3, FALSE)</f>
        <v>1481.481481</v>
      </c>
      <c r="B19" s="418">
        <f>100000 / (DAY(EOMONTH(Attendance!A46,0)) - 4)</f>
        <v>3846.153846</v>
      </c>
      <c r="C19" s="417">
        <f>MAX(0, Attendance!C46 - TIME(9, 0, 0)) * 24 * A19</f>
        <v>0</v>
      </c>
      <c r="D19" s="419">
        <f>MAX(0, Attendance!D46 - TIME(18, 0, 0)) * 24 * 1.5 * A19</f>
        <v>0</v>
      </c>
      <c r="E19" s="418">
        <f>IF(AND(Attendance!E46&lt;&gt;"Friday", Attendance!C46&lt;&gt;""), B19, 0)</f>
        <v>3846.153846</v>
      </c>
      <c r="F19" s="420" t="str">
        <f>Attendance!B19</f>
        <v>عبدالله هاشم</v>
      </c>
      <c r="G19" s="415">
        <f>Attendance!A46</f>
        <v>46113</v>
      </c>
      <c r="H19" s="420" t="str">
        <f>IFERROR(__xludf.DUMMYFUNCTION("REGEXREPLACE(F19, ""\d+$"", """")"),"عبدالله هاشم")</f>
        <v>عبدالله هاشم</v>
      </c>
    </row>
    <row r="20" ht="22.5" customHeight="1">
      <c r="A20" s="417">
        <f>VLOOKUP(F20, Employees!$A$2:$C957, 3, FALSE)</f>
        <v>1481.481481</v>
      </c>
      <c r="B20" s="418">
        <f>100000 / (DAY(EOMONTH(Attendance!A47,0)) - 4)</f>
        <v>3846.153846</v>
      </c>
      <c r="C20" s="417">
        <f>MAX(0, Attendance!C47 - TIME(9, 0, 0)) * 24 * A20</f>
        <v>0</v>
      </c>
      <c r="D20" s="419">
        <f>MAX(0, Attendance!D47 - TIME(18, 0, 0)) * 24 * 1.5 * A20</f>
        <v>0</v>
      </c>
      <c r="E20" s="418">
        <f>IF(AND(Attendance!E47&lt;&gt;"Friday", Attendance!C47&lt;&gt;""), B20, 0)</f>
        <v>3846.153846</v>
      </c>
      <c r="F20" s="420" t="str">
        <f>Attendance!B20</f>
        <v>عبدالله هاشم</v>
      </c>
      <c r="G20" s="415">
        <f>Attendance!A47</f>
        <v>46114</v>
      </c>
      <c r="H20" s="420" t="str">
        <f>IFERROR(__xludf.DUMMYFUNCTION("REGEXREPLACE(F20, ""\d+$"", """")"),"عبدالله هاشم")</f>
        <v>عبدالله هاشم</v>
      </c>
    </row>
    <row r="21" ht="22.5" customHeight="1">
      <c r="A21" s="417">
        <f>VLOOKUP(F21, Employees!$A$2:$C957, 3, FALSE)</f>
        <v>1481.481481</v>
      </c>
      <c r="B21" s="418">
        <f>100000 / (DAY(EOMONTH(Attendance!A48,0)) - 4)</f>
        <v>3846.153846</v>
      </c>
      <c r="C21" s="417">
        <f>MAX(0, Attendance!C48 - TIME(9, 0, 0)) * 24 * A21</f>
        <v>0</v>
      </c>
      <c r="D21" s="419">
        <f>MAX(0, Attendance!D48 - TIME(18, 0, 0)) * 24 * 1.5 * A21</f>
        <v>0</v>
      </c>
      <c r="E21" s="418">
        <f>IF(AND(Attendance!E48&lt;&gt;"Friday", Attendance!C48&lt;&gt;""), B21, 0)</f>
        <v>3846.153846</v>
      </c>
      <c r="F21" s="420" t="str">
        <f>Attendance!B21</f>
        <v>عبدالله هاشم</v>
      </c>
      <c r="G21" s="415">
        <f>Attendance!A48</f>
        <v>46116</v>
      </c>
      <c r="H21" s="420" t="str">
        <f>IFERROR(__xludf.DUMMYFUNCTION("REGEXREPLACE(F21, ""\d+$"", """")"),"عبدالله هاشم")</f>
        <v>عبدالله هاشم</v>
      </c>
    </row>
    <row r="22" ht="22.5" customHeight="1">
      <c r="A22" s="417">
        <f>VLOOKUP(F22, Employees!$A$2:$C957, 3, FALSE)</f>
        <v>1481.481481</v>
      </c>
      <c r="B22" s="418">
        <f>100000 / (DAY(EOMONTH(Attendance!A49,0)) - 4)</f>
        <v>3846.153846</v>
      </c>
      <c r="C22" s="417">
        <f>MAX(0, Attendance!C49 - TIME(9, 0, 0)) * 24 * A22</f>
        <v>0</v>
      </c>
      <c r="D22" s="419">
        <f>MAX(0, Attendance!D49 - TIME(18, 0, 0)) * 24 * 1.5 * A22</f>
        <v>0</v>
      </c>
      <c r="E22" s="418">
        <f>IF(AND(Attendance!E49&lt;&gt;"Friday", Attendance!C49&lt;&gt;""), B22, 0)</f>
        <v>3846.153846</v>
      </c>
      <c r="F22" s="420" t="str">
        <f>Attendance!B22</f>
        <v>عبدالله هاشم</v>
      </c>
      <c r="G22" s="415">
        <f>Attendance!A49</f>
        <v>46117</v>
      </c>
      <c r="H22" s="420" t="str">
        <f>IFERROR(__xludf.DUMMYFUNCTION("REGEXREPLACE(F22, ""\d+$"", """")"),"عبدالله هاشم")</f>
        <v>عبدالله هاشم</v>
      </c>
    </row>
    <row r="23" ht="22.5" customHeight="1">
      <c r="A23" s="417">
        <f>VLOOKUP(F23, Employees!$A$2:$C957, 3, FALSE)</f>
        <v>1481.481481</v>
      </c>
      <c r="B23" s="418">
        <f>100000 / (DAY(EOMONTH(Attendance!A50,0)) - 4)</f>
        <v>3846.153846</v>
      </c>
      <c r="C23" s="417">
        <f>MAX(0, Attendance!C50 - TIME(9, 0, 0)) * 24 * A23</f>
        <v>0</v>
      </c>
      <c r="D23" s="419">
        <f>MAX(0, Attendance!D50 - TIME(18, 0, 0)) * 24 * 1.5 * A23</f>
        <v>0</v>
      </c>
      <c r="E23" s="418">
        <f>IF(AND(Attendance!E50&lt;&gt;"Friday", Attendance!C50&lt;&gt;""), B23, 0)</f>
        <v>3846.153846</v>
      </c>
      <c r="F23" s="420" t="str">
        <f>Attendance!B23</f>
        <v>عبدالله هاشم</v>
      </c>
      <c r="G23" s="415">
        <f>Attendance!A50</f>
        <v>46118</v>
      </c>
      <c r="H23" s="420" t="str">
        <f>IFERROR(__xludf.DUMMYFUNCTION("REGEXREPLACE(F23, ""\d+$"", """")"),"عبدالله هاشم")</f>
        <v>عبدالله هاشم</v>
      </c>
    </row>
    <row r="24" ht="22.5" customHeight="1">
      <c r="A24" s="417">
        <f>VLOOKUP(F24, Employees!$A$2:$C957, 3, FALSE)</f>
        <v>1481.481481</v>
      </c>
      <c r="B24" s="418">
        <f>100000 / (DAY(EOMONTH(Attendance!A51,0)) - 4)</f>
        <v>3846.153846</v>
      </c>
      <c r="C24" s="417">
        <f>MAX(0, Attendance!C51 - TIME(9, 0, 0)) * 24 * A24</f>
        <v>0</v>
      </c>
      <c r="D24" s="419">
        <f>MAX(0, Attendance!D51 - TIME(18, 0, 0)) * 24 * 1.5 * A24</f>
        <v>0</v>
      </c>
      <c r="E24" s="418">
        <f>IF(AND(Attendance!E51&lt;&gt;"Friday", Attendance!C51&lt;&gt;""), B24, 0)</f>
        <v>3846.153846</v>
      </c>
      <c r="F24" s="420" t="str">
        <f>Attendance!B24</f>
        <v>عبدالله هاشم</v>
      </c>
      <c r="G24" s="415">
        <f>Attendance!A51</f>
        <v>46119</v>
      </c>
      <c r="H24" s="420" t="str">
        <f>IFERROR(__xludf.DUMMYFUNCTION("REGEXREPLACE(F24, ""\d+$"", """")"),"عبدالله هاشم")</f>
        <v>عبدالله هاشم</v>
      </c>
    </row>
    <row r="25" ht="22.5" customHeight="1">
      <c r="A25" s="417">
        <f>VLOOKUP(F25, Employees!$A$2:$C957, 3, FALSE)</f>
        <v>1481.481481</v>
      </c>
      <c r="B25" s="418">
        <f>100000 / (DAY(EOMONTH(Attendance!A52,0)) - 4)</f>
        <v>3846.153846</v>
      </c>
      <c r="C25" s="417">
        <f>MAX(0, Attendance!C52 - TIME(9, 0, 0)) * 24 * A25</f>
        <v>0</v>
      </c>
      <c r="D25" s="419">
        <f>MAX(0, Attendance!D52 - TIME(18, 0, 0)) * 24 * 1.5 * A25</f>
        <v>0</v>
      </c>
      <c r="E25" s="418">
        <f>IF(AND(Attendance!E52&lt;&gt;"Friday", Attendance!C52&lt;&gt;""), B25, 0)</f>
        <v>3846.153846</v>
      </c>
      <c r="F25" s="420" t="str">
        <f>Attendance!B25</f>
        <v>عبدالله هاشم</v>
      </c>
      <c r="G25" s="415">
        <f>Attendance!A52</f>
        <v>46120</v>
      </c>
      <c r="H25" s="420" t="str">
        <f>IFERROR(__xludf.DUMMYFUNCTION("REGEXREPLACE(F25, ""\d+$"", """")"),"عبدالله هاشم")</f>
        <v>عبدالله هاشم</v>
      </c>
    </row>
    <row r="26" ht="22.5" customHeight="1">
      <c r="A26" s="417">
        <f>VLOOKUP(F26, Employees!$A$2:$C957, 3, FALSE)</f>
        <v>1481.481481</v>
      </c>
      <c r="B26" s="418">
        <f>100000 / (DAY(EOMONTH(Attendance!A53,0)) - 4)</f>
        <v>3846.153846</v>
      </c>
      <c r="C26" s="417">
        <f>MAX(0, Attendance!C53 - TIME(9, 0, 0)) * 24 * A26</f>
        <v>0</v>
      </c>
      <c r="D26" s="419">
        <f>MAX(0, Attendance!D53 - TIME(18, 0, 0)) * 24 * 1.5 * A26</f>
        <v>0</v>
      </c>
      <c r="E26" s="418">
        <f>IF(AND(Attendance!E53&lt;&gt;"Friday", Attendance!C53&lt;&gt;""), B26, 0)</f>
        <v>3846.153846</v>
      </c>
      <c r="F26" s="420" t="str">
        <f>Attendance!B26</f>
        <v>عبدالله هاشم</v>
      </c>
      <c r="G26" s="415">
        <f>Attendance!A53</f>
        <v>46121</v>
      </c>
      <c r="H26" s="420" t="str">
        <f>IFERROR(__xludf.DUMMYFUNCTION("REGEXREPLACE(F26, ""\d+$"", """")"),"عبدالله هاشم")</f>
        <v>عبدالله هاشم</v>
      </c>
    </row>
    <row r="27" ht="22.5" customHeight="1">
      <c r="A27" s="417">
        <f>VLOOKUP(F27, Employees!$A$2:$C957, 3, FALSE)</f>
        <v>1481.481481</v>
      </c>
      <c r="B27" s="418">
        <f>100000 / (DAY(EOMONTH(Attendance!A54,0)) - 4)</f>
        <v>3846.153846</v>
      </c>
      <c r="C27" s="417">
        <f>MAX(0, Attendance!C54 - TIME(9, 0, 0)) * 24 * A27</f>
        <v>0</v>
      </c>
      <c r="D27" s="419">
        <f>MAX(0, Attendance!D54 - TIME(18, 0, 0)) * 24 * 1.5 * A27</f>
        <v>0</v>
      </c>
      <c r="E27" s="418">
        <f>IF(AND(Attendance!E54&lt;&gt;"Friday", Attendance!C54&lt;&gt;""), B27, 0)</f>
        <v>3846.153846</v>
      </c>
      <c r="F27" s="420" t="str">
        <f>Attendance!B27</f>
        <v>عبدالله هاشم</v>
      </c>
      <c r="G27" s="415">
        <f>Attendance!A54</f>
        <v>46123</v>
      </c>
      <c r="H27" s="420" t="str">
        <f>IFERROR(__xludf.DUMMYFUNCTION("REGEXREPLACE(F27, ""\d+$"", """")"),"عبدالله هاشم")</f>
        <v>عبدالله هاشم</v>
      </c>
    </row>
    <row r="28" ht="22.5" customHeight="1">
      <c r="A28" s="417">
        <f>VLOOKUP(F28, Employees!$A$2:$C957, 3, FALSE)</f>
        <v>1481.481481</v>
      </c>
      <c r="B28" s="418">
        <f>100000 / (DAY(EOMONTH(Attendance!A55,0)) - 4)</f>
        <v>3846.153846</v>
      </c>
      <c r="C28" s="417">
        <f>MAX(0, Attendance!C55 - TIME(9, 0, 0)) * 24 * A28</f>
        <v>0</v>
      </c>
      <c r="D28" s="419">
        <f>MAX(0, Attendance!D55 - TIME(18, 0, 0)) * 24 * 1.5 * A28</f>
        <v>0</v>
      </c>
      <c r="E28" s="418">
        <f>IF(AND(Attendance!E55&lt;&gt;"Friday", Attendance!C55&lt;&gt;""), B28, 0)</f>
        <v>3846.153846</v>
      </c>
      <c r="F28" s="420" t="str">
        <f>Attendance!B28</f>
        <v>عبدالله هاشم</v>
      </c>
      <c r="G28" s="415">
        <f>Attendance!A55</f>
        <v>46124</v>
      </c>
      <c r="H28" s="420" t="str">
        <f>IFERROR(__xludf.DUMMYFUNCTION("REGEXREPLACE(F28, ""\d+$"", """")"),"عبدالله هاشم")</f>
        <v>عبدالله هاشم</v>
      </c>
    </row>
    <row r="29" ht="22.5" customHeight="1">
      <c r="A29" s="417">
        <f>VLOOKUP(F29, Employees!$A$2:$C957, 3, FALSE)</f>
        <v>2777.777778</v>
      </c>
      <c r="B29" s="418">
        <f>100000 / (DAY(EOMONTH(Attendance!A56,0)) - 4)</f>
        <v>3846.153846</v>
      </c>
      <c r="C29" s="417">
        <f>MAX(0, Attendance!C56 - TIME(9, 0, 0)) * 24 * A29</f>
        <v>0</v>
      </c>
      <c r="D29" s="419">
        <f>MAX(0, Attendance!D56 - TIME(18, 0, 0)) * 24 * 1.5 * A29</f>
        <v>0</v>
      </c>
      <c r="E29" s="418">
        <f>IF(AND(Attendance!E56&lt;&gt;"Friday", Attendance!C56&lt;&gt;""), B29, 0)</f>
        <v>3846.153846</v>
      </c>
      <c r="F29" s="420" t="str">
        <f>Attendance!B29</f>
        <v>حسين سالم</v>
      </c>
      <c r="G29" s="415">
        <f>Attendance!A56</f>
        <v>46125</v>
      </c>
      <c r="H29" s="420" t="str">
        <f>IFERROR(__xludf.DUMMYFUNCTION("REGEXREPLACE(F29, ""\d+$"", """")"),"حسين سالم")</f>
        <v>حسين سالم</v>
      </c>
    </row>
    <row r="30" ht="22.5" customHeight="1">
      <c r="A30" s="417">
        <f>VLOOKUP(F30, Employees!$A$2:$C957, 3, FALSE)</f>
        <v>2777.777778</v>
      </c>
      <c r="B30" s="418">
        <f>100000 / (DAY(EOMONTH(Attendance!A57,0)) - 4)</f>
        <v>3846.153846</v>
      </c>
      <c r="C30" s="417">
        <f>MAX(0, Attendance!C57 - TIME(9, 0, 0)) * 24 * A30</f>
        <v>0</v>
      </c>
      <c r="D30" s="419">
        <f>MAX(0, Attendance!D57 - TIME(18, 0, 0)) * 24 * 1.5 * A30</f>
        <v>0</v>
      </c>
      <c r="E30" s="418">
        <f>IF(AND(Attendance!E57&lt;&gt;"Friday", Attendance!C57&lt;&gt;""), B30, 0)</f>
        <v>3846.153846</v>
      </c>
      <c r="F30" s="420" t="str">
        <f>Attendance!B30</f>
        <v>حسين سالم</v>
      </c>
      <c r="G30" s="415">
        <f>Attendance!A57</f>
        <v>46126</v>
      </c>
      <c r="H30" s="420" t="str">
        <f>IFERROR(__xludf.DUMMYFUNCTION("REGEXREPLACE(F30, ""\d+$"", """")"),"حسين سالم")</f>
        <v>حسين سالم</v>
      </c>
    </row>
    <row r="31" ht="22.5" customHeight="1">
      <c r="A31" s="417">
        <f>VLOOKUP(F31, Employees!$A$2:$C957, 3, FALSE)</f>
        <v>2777.777778</v>
      </c>
      <c r="B31" s="418">
        <f>100000 / (DAY(EOMONTH(Attendance!A58,0)) - 4)</f>
        <v>3846.153846</v>
      </c>
      <c r="C31" s="417">
        <f>MAX(0, Attendance!C58 - TIME(9, 0, 0)) * 24 * A31</f>
        <v>0</v>
      </c>
      <c r="D31" s="419">
        <f>MAX(0, Attendance!D58 - TIME(18, 0, 0)) * 24 * 1.5 * A31</f>
        <v>0</v>
      </c>
      <c r="E31" s="418">
        <f>IF(AND(Attendance!E58&lt;&gt;"Friday", Attendance!C58&lt;&gt;""), B31, 0)</f>
        <v>3846.153846</v>
      </c>
      <c r="F31" s="420" t="str">
        <f>Attendance!B31</f>
        <v>حسين سالم</v>
      </c>
      <c r="G31" s="415">
        <f>Attendance!A58</f>
        <v>46127</v>
      </c>
      <c r="H31" s="420" t="str">
        <f>IFERROR(__xludf.DUMMYFUNCTION("REGEXREPLACE(F31, ""\d+$"", """")"),"حسين سالم")</f>
        <v>حسين سالم</v>
      </c>
    </row>
    <row r="32" ht="22.5" customHeight="1">
      <c r="A32" s="417">
        <f>VLOOKUP(F32, Employees!$A$2:$C957, 3, FALSE)</f>
        <v>2777.777778</v>
      </c>
      <c r="B32" s="418">
        <f>100000 / (DAY(EOMONTH(Attendance!A59,0)) - 4)</f>
        <v>3846.153846</v>
      </c>
      <c r="C32" s="417">
        <f>MAX(0, Attendance!C59 - TIME(9, 0, 0)) * 24 * A32</f>
        <v>0</v>
      </c>
      <c r="D32" s="419">
        <f>MAX(0, Attendance!D59 - TIME(18, 0, 0)) * 24 * 1.5 * A32</f>
        <v>0</v>
      </c>
      <c r="E32" s="418">
        <f>IF(AND(Attendance!E59&lt;&gt;"Friday", Attendance!C59&lt;&gt;""), B32, 0)</f>
        <v>3846.153846</v>
      </c>
      <c r="F32" s="420" t="str">
        <f>Attendance!B32</f>
        <v>حسين سالم</v>
      </c>
      <c r="G32" s="415">
        <f>Attendance!A59</f>
        <v>46128</v>
      </c>
      <c r="H32" s="420" t="str">
        <f>IFERROR(__xludf.DUMMYFUNCTION("REGEXREPLACE(F32, ""\d+$"", """")"),"حسين سالم")</f>
        <v>حسين سالم</v>
      </c>
    </row>
    <row r="33" ht="22.5" customHeight="1">
      <c r="A33" s="417">
        <f>VLOOKUP(F33, Employees!$A$2:$C957, 3, FALSE)</f>
        <v>2777.777778</v>
      </c>
      <c r="B33" s="418">
        <f>100000 / (DAY(EOMONTH(Attendance!A60,0)) - 4)</f>
        <v>3846.153846</v>
      </c>
      <c r="C33" s="417">
        <f>MAX(0, Attendance!C60 - TIME(9, 0, 0)) * 24 * A33</f>
        <v>0</v>
      </c>
      <c r="D33" s="419">
        <f>MAX(0, Attendance!D60 - TIME(18, 0, 0)) * 24 * 1.5 * A33</f>
        <v>0</v>
      </c>
      <c r="E33" s="418">
        <f>IF(AND(Attendance!E60&lt;&gt;"Friday", Attendance!C60&lt;&gt;""), B33, 0)</f>
        <v>3846.153846</v>
      </c>
      <c r="F33" s="420" t="str">
        <f>Attendance!B33</f>
        <v>حسين سالم</v>
      </c>
      <c r="G33" s="415">
        <f>Attendance!A60</f>
        <v>46130</v>
      </c>
      <c r="H33" s="420" t="str">
        <f>IFERROR(__xludf.DUMMYFUNCTION("REGEXREPLACE(F33, ""\d+$"", """")"),"حسين سالم")</f>
        <v>حسين سالم</v>
      </c>
    </row>
    <row r="34" ht="22.5" customHeight="1">
      <c r="A34" s="417">
        <f>VLOOKUP(F34, Employees!$A$2:$C957, 3, FALSE)</f>
        <v>2777.777778</v>
      </c>
      <c r="B34" s="418">
        <f>100000 / (DAY(EOMONTH(Attendance!A61,0)) - 4)</f>
        <v>3846.153846</v>
      </c>
      <c r="C34" s="417">
        <f>MAX(0, Attendance!C61 - TIME(9, 0, 0)) * 24 * A34</f>
        <v>0</v>
      </c>
      <c r="D34" s="419">
        <f>MAX(0, Attendance!D61 - TIME(18, 0, 0)) * 24 * 1.5 * A34</f>
        <v>0</v>
      </c>
      <c r="E34" s="418">
        <f>IF(AND(Attendance!E61&lt;&gt;"Friday", Attendance!C61&lt;&gt;""), B34, 0)</f>
        <v>3846.153846</v>
      </c>
      <c r="F34" s="420" t="str">
        <f>Attendance!B34</f>
        <v>حسين سالم</v>
      </c>
      <c r="G34" s="415">
        <f>Attendance!A61</f>
        <v>46131</v>
      </c>
      <c r="H34" s="420" t="str">
        <f>IFERROR(__xludf.DUMMYFUNCTION("REGEXREPLACE(F34, ""\d+$"", """")"),"حسين سالم")</f>
        <v>حسين سالم</v>
      </c>
    </row>
    <row r="35" ht="22.5" customHeight="1">
      <c r="A35" s="417">
        <f>VLOOKUP(F35, Employees!$A$2:$C957, 3, FALSE)</f>
        <v>2777.777778</v>
      </c>
      <c r="B35" s="418">
        <f>100000 / (DAY(EOMONTH(Attendance!A62,0)) - 4)</f>
        <v>3846.153846</v>
      </c>
      <c r="C35" s="417">
        <f>MAX(0, Attendance!C62 - TIME(9, 0, 0)) * 24 * A35</f>
        <v>0</v>
      </c>
      <c r="D35" s="419">
        <f>MAX(0, Attendance!D62 - TIME(18, 0, 0)) * 24 * 1.5 * A35</f>
        <v>0</v>
      </c>
      <c r="E35" s="418">
        <f>IF(AND(Attendance!E62&lt;&gt;"Friday", Attendance!C62&lt;&gt;""), B35, 0)</f>
        <v>3846.153846</v>
      </c>
      <c r="F35" s="420" t="str">
        <f>Attendance!B35</f>
        <v>حسين سالم</v>
      </c>
      <c r="G35" s="415">
        <f>Attendance!A62</f>
        <v>46132</v>
      </c>
      <c r="H35" s="420" t="str">
        <f>IFERROR(__xludf.DUMMYFUNCTION("REGEXREPLACE(F35, ""\d+$"", """")"),"حسين سالم")</f>
        <v>حسين سالم</v>
      </c>
    </row>
    <row r="36" ht="22.5" customHeight="1">
      <c r="A36" s="417">
        <f>VLOOKUP(F36, Employees!$A$2:$C957, 3, FALSE)</f>
        <v>2777.777778</v>
      </c>
      <c r="B36" s="418">
        <f>100000 / (DAY(EOMONTH(Attendance!A63,0)) - 4)</f>
        <v>3846.153846</v>
      </c>
      <c r="C36" s="417">
        <f>MAX(0, Attendance!C63 - TIME(9, 0, 0)) * 24 * A36</f>
        <v>0</v>
      </c>
      <c r="D36" s="419">
        <f>MAX(0, Attendance!D63 - TIME(18, 0, 0)) * 24 * 1.5 * A36</f>
        <v>0</v>
      </c>
      <c r="E36" s="418">
        <f>IF(AND(Attendance!E63&lt;&gt;"Friday", Attendance!C63&lt;&gt;""), B36, 0)</f>
        <v>3846.153846</v>
      </c>
      <c r="F36" s="420" t="str">
        <f>Attendance!B36</f>
        <v>حسين سالم</v>
      </c>
      <c r="G36" s="415">
        <f>Attendance!A63</f>
        <v>46133</v>
      </c>
      <c r="H36" s="420" t="str">
        <f>IFERROR(__xludf.DUMMYFUNCTION("REGEXREPLACE(F36, ""\d+$"", """")"),"حسين سالم")</f>
        <v>حسين سالم</v>
      </c>
    </row>
    <row r="37" ht="22.5" customHeight="1">
      <c r="A37" s="417">
        <f>VLOOKUP(F37, Employees!$A$2:$C957, 3, FALSE)</f>
        <v>2777.777778</v>
      </c>
      <c r="B37" s="418">
        <f>100000 / (DAY(EOMONTH(Attendance!A64,0)) - 4)</f>
        <v>3846.153846</v>
      </c>
      <c r="C37" s="417">
        <f>MAX(0, Attendance!C64 - TIME(9, 0, 0)) * 24 * A37</f>
        <v>0</v>
      </c>
      <c r="D37" s="419">
        <f>MAX(0, Attendance!D64 - TIME(18, 0, 0)) * 24 * 1.5 * A37</f>
        <v>0</v>
      </c>
      <c r="E37" s="418">
        <f>IF(AND(Attendance!E64&lt;&gt;"Friday", Attendance!C64&lt;&gt;""), B37, 0)</f>
        <v>3846.153846</v>
      </c>
      <c r="F37" s="420" t="str">
        <f>Attendance!B37</f>
        <v>حسين سالم</v>
      </c>
      <c r="G37" s="415">
        <f>Attendance!A64</f>
        <v>46134</v>
      </c>
      <c r="H37" s="420" t="str">
        <f>IFERROR(__xludf.DUMMYFUNCTION("REGEXREPLACE(F37, ""\d+$"", """")"),"حسين سالم")</f>
        <v>حسين سالم</v>
      </c>
    </row>
    <row r="38" ht="22.5" customHeight="1">
      <c r="A38" s="417">
        <f>VLOOKUP(F38, Employees!$A$2:$C957, 3, FALSE)</f>
        <v>2777.777778</v>
      </c>
      <c r="B38" s="418">
        <f>100000 / (DAY(EOMONTH(Attendance!A65,0)) - 4)</f>
        <v>3846.153846</v>
      </c>
      <c r="C38" s="417">
        <f>MAX(0, Attendance!C65 - TIME(9, 0, 0)) * 24 * A38</f>
        <v>0</v>
      </c>
      <c r="D38" s="419">
        <f>MAX(0, Attendance!D65 - TIME(18, 0, 0)) * 24 * 1.5 * A38</f>
        <v>0</v>
      </c>
      <c r="E38" s="418">
        <f>IF(AND(Attendance!E65&lt;&gt;"Friday", Attendance!C65&lt;&gt;""), B38, 0)</f>
        <v>3846.153846</v>
      </c>
      <c r="F38" s="420" t="str">
        <f>Attendance!B38</f>
        <v>حسين سالم</v>
      </c>
      <c r="G38" s="415">
        <f>Attendance!A65</f>
        <v>46135</v>
      </c>
      <c r="H38" s="420" t="str">
        <f>IFERROR(__xludf.DUMMYFUNCTION("REGEXREPLACE(F38, ""\d+$"", """")"),"حسين سالم")</f>
        <v>حسين سالم</v>
      </c>
    </row>
    <row r="39" ht="22.5" customHeight="1">
      <c r="A39" s="417">
        <f>VLOOKUP(F39, Employees!$A$2:$C957, 3, FALSE)</f>
        <v>2777.777778</v>
      </c>
      <c r="B39" s="418">
        <f>100000 / (DAY(EOMONTH(Attendance!A66,0)) - 4)</f>
        <v>3846.153846</v>
      </c>
      <c r="C39" s="417">
        <f>MAX(0, Attendance!C66 - TIME(9, 0, 0)) * 24 * A39</f>
        <v>0</v>
      </c>
      <c r="D39" s="419">
        <f>MAX(0, Attendance!D66 - TIME(18, 0, 0)) * 24 * 1.5 * A39</f>
        <v>0</v>
      </c>
      <c r="E39" s="418">
        <f>IF(AND(Attendance!E66&lt;&gt;"Friday", Attendance!C66&lt;&gt;""), B39, 0)</f>
        <v>3846.153846</v>
      </c>
      <c r="F39" s="420" t="str">
        <f>Attendance!B39</f>
        <v>حسين سالم</v>
      </c>
      <c r="G39" s="415">
        <f>Attendance!A66</f>
        <v>46137</v>
      </c>
      <c r="H39" s="420" t="str">
        <f>IFERROR(__xludf.DUMMYFUNCTION("REGEXREPLACE(F39, ""\d+$"", """")"),"حسين سالم")</f>
        <v>حسين سالم</v>
      </c>
    </row>
    <row r="40" ht="22.5" customHeight="1">
      <c r="A40" s="417">
        <f>VLOOKUP(F40, Employees!$A$2:$C957, 3, FALSE)</f>
        <v>2777.777778</v>
      </c>
      <c r="B40" s="418">
        <f>100000 / (DAY(EOMONTH(Attendance!A67,0)) - 4)</f>
        <v>3846.153846</v>
      </c>
      <c r="C40" s="417">
        <f>MAX(0, Attendance!C67 - TIME(9, 0, 0)) * 24 * A40</f>
        <v>0</v>
      </c>
      <c r="D40" s="419">
        <f>MAX(0, Attendance!D67 - TIME(18, 0, 0)) * 24 * 1.5 * A40</f>
        <v>0</v>
      </c>
      <c r="E40" s="418">
        <f>IF(AND(Attendance!E67&lt;&gt;"Friday", Attendance!C67&lt;&gt;""), B40, 0)</f>
        <v>3846.153846</v>
      </c>
      <c r="F40" s="420" t="str">
        <f>Attendance!B40</f>
        <v>حسين سالم</v>
      </c>
      <c r="G40" s="415">
        <f>Attendance!A67</f>
        <v>46138</v>
      </c>
      <c r="H40" s="420" t="str">
        <f>IFERROR(__xludf.DUMMYFUNCTION("REGEXREPLACE(F40, ""\d+$"", """")"),"حسين سالم")</f>
        <v>حسين سالم</v>
      </c>
    </row>
    <row r="41" ht="22.5" customHeight="1">
      <c r="A41" s="417">
        <f>VLOOKUP(F41, Employees!$A$2:$C957, 3, FALSE)</f>
        <v>2777.777778</v>
      </c>
      <c r="B41" s="418">
        <f>100000 / (DAY(EOMONTH(Attendance!A68,0)) - 4)</f>
        <v>3846.153846</v>
      </c>
      <c r="C41" s="417">
        <f>MAX(0, Attendance!C68 - TIME(9, 0, 0)) * 24 * A41</f>
        <v>0</v>
      </c>
      <c r="D41" s="419">
        <f>MAX(0, Attendance!D68 - TIME(18, 0, 0)) * 24 * 1.5 * A41</f>
        <v>0</v>
      </c>
      <c r="E41" s="418">
        <f>IF(AND(Attendance!E68&lt;&gt;"Friday", Attendance!C68&lt;&gt;""), B41, 0)</f>
        <v>3846.153846</v>
      </c>
      <c r="F41" s="420" t="str">
        <f>Attendance!B41</f>
        <v>حسين سالم</v>
      </c>
      <c r="G41" s="415">
        <f>Attendance!A68</f>
        <v>46139</v>
      </c>
      <c r="H41" s="420" t="str">
        <f>IFERROR(__xludf.DUMMYFUNCTION("REGEXREPLACE(F41, ""\d+$"", """")"),"حسين سالم")</f>
        <v>حسين سالم</v>
      </c>
    </row>
    <row r="42" ht="22.5" customHeight="1">
      <c r="A42" s="417">
        <f>VLOOKUP(F42, Employees!$A$2:$C957, 3, FALSE)</f>
        <v>2777.777778</v>
      </c>
      <c r="B42" s="418">
        <f>100000 / (DAY(EOMONTH(Attendance!A69,0)) - 4)</f>
        <v>3846.153846</v>
      </c>
      <c r="C42" s="417">
        <f>MAX(0, Attendance!C69 - TIME(9, 0, 0)) * 24 * A42</f>
        <v>0</v>
      </c>
      <c r="D42" s="419">
        <f>MAX(0, Attendance!D69 - TIME(18, 0, 0)) * 24 * 1.5 * A42</f>
        <v>0</v>
      </c>
      <c r="E42" s="418">
        <f>IF(AND(Attendance!E69&lt;&gt;"Friday", Attendance!C69&lt;&gt;""), B42, 0)</f>
        <v>3846.153846</v>
      </c>
      <c r="F42" s="420" t="str">
        <f>Attendance!B42</f>
        <v>حسين سالم</v>
      </c>
      <c r="G42" s="415">
        <f>Attendance!A69</f>
        <v>46140</v>
      </c>
      <c r="H42" s="420" t="str">
        <f>IFERROR(__xludf.DUMMYFUNCTION("REGEXREPLACE(F42, ""\d+$"", """")"),"حسين سالم")</f>
        <v>حسين سالم</v>
      </c>
    </row>
    <row r="43" ht="22.5" customHeight="1">
      <c r="A43" s="417">
        <f>VLOOKUP(F43, Employees!$A$2:$C957, 3, FALSE)</f>
        <v>2777.777778</v>
      </c>
      <c r="B43" s="418">
        <f>100000 / (DAY(EOMONTH(Attendance!A70,0)) - 4)</f>
        <v>3846.153846</v>
      </c>
      <c r="C43" s="417">
        <f>MAX(0, Attendance!C70 - TIME(9, 0, 0)) * 24 * A43</f>
        <v>0</v>
      </c>
      <c r="D43" s="419">
        <f>MAX(0, Attendance!D70 - TIME(18, 0, 0)) * 24 * 1.5 * A43</f>
        <v>0</v>
      </c>
      <c r="E43" s="418">
        <f>IF(AND(Attendance!E70&lt;&gt;"Friday", Attendance!C70&lt;&gt;""), B43, 0)</f>
        <v>3846.153846</v>
      </c>
      <c r="F43" s="420" t="str">
        <f>Attendance!B43</f>
        <v>حسين سالم</v>
      </c>
      <c r="G43" s="415">
        <f>Attendance!A70</f>
        <v>46141</v>
      </c>
      <c r="H43" s="420" t="str">
        <f>IFERROR(__xludf.DUMMYFUNCTION("REGEXREPLACE(F43, ""\d+$"", """")"),"حسين سالم")</f>
        <v>حسين سالم</v>
      </c>
    </row>
    <row r="44" ht="22.5" customHeight="1">
      <c r="A44" s="417">
        <f>VLOOKUP(F44, Employees!$A$2:$C957, 3, FALSE)</f>
        <v>2777.777778</v>
      </c>
      <c r="B44" s="418">
        <f>100000 / (DAY(EOMONTH(Attendance!A71,0)) - 4)</f>
        <v>3846.153846</v>
      </c>
      <c r="C44" s="417">
        <f>MAX(0, Attendance!C71 - TIME(9, 0, 0)) * 24 * A44</f>
        <v>0</v>
      </c>
      <c r="D44" s="419">
        <f>MAX(0, Attendance!D71 - TIME(18, 0, 0)) * 24 * 1.5 * A44</f>
        <v>0</v>
      </c>
      <c r="E44" s="418">
        <f>IF(AND(Attendance!E71&lt;&gt;"Friday", Attendance!C71&lt;&gt;""), B44, 0)</f>
        <v>3846.153846</v>
      </c>
      <c r="F44" s="420" t="str">
        <f>Attendance!B44</f>
        <v>حسين سالم</v>
      </c>
      <c r="G44" s="415">
        <f>Attendance!A71</f>
        <v>46142</v>
      </c>
      <c r="H44" s="420" t="str">
        <f>IFERROR(__xludf.DUMMYFUNCTION("REGEXREPLACE(F44, ""\d+$"", """")"),"حسين سالم")</f>
        <v>حسين سالم</v>
      </c>
    </row>
    <row r="45" ht="22.5" customHeight="1">
      <c r="A45" s="417">
        <f>VLOOKUP(F45, Employees!$A$2:$C957, 3, FALSE)</f>
        <v>2777.777778</v>
      </c>
      <c r="B45" s="418">
        <f>100000 / (DAY(EOMONTH(Attendance!A72,0)) - 4)</f>
        <v>3846.153846</v>
      </c>
      <c r="C45" s="417">
        <f>MAX(0, Attendance!C72 - TIME(9, 0, 0)) * 24 * A45</f>
        <v>509.2592593</v>
      </c>
      <c r="D45" s="419">
        <f>MAX(0, Attendance!D72 - TIME(18, 0, 0)) * 24 * 1.5 * A45</f>
        <v>0</v>
      </c>
      <c r="E45" s="418">
        <f>IF(AND(Attendance!E72&lt;&gt;"Friday", Attendance!C72&lt;&gt;""), B45, 0)</f>
        <v>3846.153846</v>
      </c>
      <c r="F45" s="420" t="str">
        <f>Attendance!B45</f>
        <v>حسين سالم</v>
      </c>
      <c r="G45" s="415">
        <f>Attendance!A72</f>
        <v>46114</v>
      </c>
      <c r="H45" s="420" t="str">
        <f>IFERROR(__xludf.DUMMYFUNCTION("REGEXREPLACE(F45, ""\d+$"", """")"),"حسين سالم")</f>
        <v>حسين سالم</v>
      </c>
    </row>
    <row r="46" ht="22.5" customHeight="1">
      <c r="A46" s="417">
        <f>VLOOKUP(F46, Employees!$A$2:$C957, 3, FALSE)</f>
        <v>925.9259259</v>
      </c>
      <c r="B46" s="418">
        <f>100000 / (DAY(EOMONTH(Attendance!A73,0)) - 4)</f>
        <v>3846.153846</v>
      </c>
      <c r="C46" s="417">
        <f>MAX(0, Attendance!C73 - TIME(9, 0, 0)) * 24 * A46</f>
        <v>756.1728395</v>
      </c>
      <c r="D46" s="419">
        <f>MAX(0, Attendance!D73 - TIME(18, 0, 0)) * 24 * 1.5 * A46</f>
        <v>740.7407407</v>
      </c>
      <c r="E46" s="418">
        <f>IF(AND(Attendance!E73&lt;&gt;"Friday", Attendance!C73&lt;&gt;""), B46, 0)</f>
        <v>3846.153846</v>
      </c>
      <c r="F46" s="420" t="str">
        <f>Attendance!B46</f>
        <v>حيدر المحاسب</v>
      </c>
      <c r="G46" s="415">
        <f>Attendance!A73</f>
        <v>46116</v>
      </c>
      <c r="H46" s="420" t="str">
        <f>IFERROR(__xludf.DUMMYFUNCTION("REGEXREPLACE(F46, ""\d+$"", """")"),"حيدر المحاسب")</f>
        <v>حيدر المحاسب</v>
      </c>
    </row>
    <row r="47" ht="22.5" customHeight="1">
      <c r="A47" s="417">
        <f>VLOOKUP(F47, Employees!$A$2:$C957, 3, FALSE)</f>
        <v>925.9259259</v>
      </c>
      <c r="B47" s="418">
        <f>100000 / (DAY(EOMONTH(Attendance!A74,0)) - 4)</f>
        <v>3846.153846</v>
      </c>
      <c r="C47" s="417">
        <f>MAX(0, Attendance!C74 - TIME(9, 0, 0)) * 24 * A47</f>
        <v>200.617284</v>
      </c>
      <c r="D47" s="419">
        <f>MAX(0, Attendance!D74 - TIME(18, 0, 0)) * 24 * 1.5 * A47</f>
        <v>92.59259259</v>
      </c>
      <c r="E47" s="418">
        <f>IF(AND(Attendance!E74&lt;&gt;"Friday", Attendance!C74&lt;&gt;""), B47, 0)</f>
        <v>3846.153846</v>
      </c>
      <c r="F47" s="420" t="str">
        <f>Attendance!B47</f>
        <v>حيدر المحاسب</v>
      </c>
      <c r="G47" s="415">
        <f>Attendance!A74</f>
        <v>46117</v>
      </c>
      <c r="H47" s="420" t="str">
        <f>IFERROR(__xludf.DUMMYFUNCTION("REGEXREPLACE(F47, ""\d+$"", """")"),"حيدر المحاسب")</f>
        <v>حيدر المحاسب</v>
      </c>
    </row>
    <row r="48" ht="22.5" customHeight="1">
      <c r="A48" s="417">
        <f>VLOOKUP(F48, Employees!$A$2:$C957, 3, FALSE)</f>
        <v>925.9259259</v>
      </c>
      <c r="B48" s="418">
        <f>100000 / (DAY(EOMONTH(Attendance!A75,0)) - 4)</f>
        <v>3846.153846</v>
      </c>
      <c r="C48" s="417">
        <f>MAX(0, Attendance!C75 - TIME(9, 0, 0)) * 24 * A48</f>
        <v>679.0123457</v>
      </c>
      <c r="D48" s="419">
        <f>MAX(0, Attendance!D75 - TIME(18, 0, 0)) * 24 * 1.5 * A48</f>
        <v>2245.37037</v>
      </c>
      <c r="E48" s="418">
        <f>IF(AND(Attendance!E75&lt;&gt;"Friday", Attendance!C75&lt;&gt;""), B48, 0)</f>
        <v>3846.153846</v>
      </c>
      <c r="F48" s="420" t="str">
        <f>Attendance!B48</f>
        <v>حيدر المحاسب</v>
      </c>
      <c r="G48" s="415">
        <f>Attendance!A75</f>
        <v>46118</v>
      </c>
      <c r="H48" s="420" t="str">
        <f>IFERROR(__xludf.DUMMYFUNCTION("REGEXREPLACE(F48, ""\d+$"", """")"),"حيدر المحاسب")</f>
        <v>حيدر المحاسب</v>
      </c>
    </row>
    <row r="49" ht="22.5" customHeight="1">
      <c r="A49" s="417">
        <f>VLOOKUP(F49, Employees!$A$2:$C957, 3, FALSE)</f>
        <v>925.9259259</v>
      </c>
      <c r="B49" s="418">
        <f>100000 / (DAY(EOMONTH(Attendance!A76,0)) - 4)</f>
        <v>3846.153846</v>
      </c>
      <c r="C49" s="417">
        <f>MAX(0, Attendance!C76 - TIME(9, 0, 0)) * 24 * A49</f>
        <v>262.345679</v>
      </c>
      <c r="D49" s="419">
        <f>MAX(0, Attendance!D76 - TIME(18, 0, 0)) * 24 * 1.5 * A49</f>
        <v>92.59259259</v>
      </c>
      <c r="E49" s="418">
        <f>IF(AND(Attendance!E76&lt;&gt;"Friday", Attendance!C76&lt;&gt;""), B49, 0)</f>
        <v>3846.153846</v>
      </c>
      <c r="F49" s="420" t="str">
        <f>Attendance!B49</f>
        <v>حيدر المحاسب</v>
      </c>
      <c r="G49" s="415">
        <f>Attendance!A76</f>
        <v>46119</v>
      </c>
      <c r="H49" s="420" t="str">
        <f>IFERROR(__xludf.DUMMYFUNCTION("REGEXREPLACE(F49, ""\d+$"", """")"),"حيدر المحاسب")</f>
        <v>حيدر المحاسب</v>
      </c>
    </row>
    <row r="50" ht="22.5" customHeight="1">
      <c r="A50" s="417">
        <f>VLOOKUP(F50, Employees!$A$2:$C957, 3, FALSE)</f>
        <v>925.9259259</v>
      </c>
      <c r="B50" s="418">
        <f>100000 / (DAY(EOMONTH(Attendance!A77,0)) - 4)</f>
        <v>3846.153846</v>
      </c>
      <c r="C50" s="417">
        <f>MAX(0, Attendance!C77 - TIME(9, 0, 0)) * 24 * A50</f>
        <v>324.0740741</v>
      </c>
      <c r="D50" s="419">
        <f>MAX(0, Attendance!D77 - TIME(18, 0, 0)) * 24 * 1.5 * A50</f>
        <v>0</v>
      </c>
      <c r="E50" s="418">
        <f>IF(AND(Attendance!E77&lt;&gt;"Friday", Attendance!C77&lt;&gt;""), B50, 0)</f>
        <v>3846.153846</v>
      </c>
      <c r="F50" s="420" t="str">
        <f>Attendance!B50</f>
        <v>حيدر المحاسب</v>
      </c>
      <c r="G50" s="415">
        <f>Attendance!A77</f>
        <v>46120</v>
      </c>
      <c r="H50" s="420" t="str">
        <f>IFERROR(__xludf.DUMMYFUNCTION("REGEXREPLACE(F50, ""\d+$"", """")"),"حيدر المحاسب")</f>
        <v>حيدر المحاسب</v>
      </c>
    </row>
    <row r="51" ht="22.5" customHeight="1">
      <c r="A51" s="417">
        <f>VLOOKUP(F51, Employees!$A$2:$C957, 3, FALSE)</f>
        <v>925.9259259</v>
      </c>
      <c r="B51" s="418">
        <f>100000 / (DAY(EOMONTH(Attendance!A78,0)) - 4)</f>
        <v>3846.153846</v>
      </c>
      <c r="C51" s="417">
        <f>MAX(0, Attendance!C78 - TIME(9, 0, 0)) * 24 * A51</f>
        <v>2006.17284</v>
      </c>
      <c r="D51" s="419">
        <f>MAX(0, Attendance!D78 - TIME(18, 0, 0)) * 24 * 1.5 * A51</f>
        <v>0</v>
      </c>
      <c r="E51" s="418">
        <f>IF(AND(Attendance!E78&lt;&gt;"Friday", Attendance!C78&lt;&gt;""), B51, 0)</f>
        <v>3846.153846</v>
      </c>
      <c r="F51" s="420" t="str">
        <f>Attendance!B51</f>
        <v>حيدر المحاسب</v>
      </c>
      <c r="G51" s="415">
        <f>Attendance!A78</f>
        <v>46121</v>
      </c>
      <c r="H51" s="420" t="str">
        <f>IFERROR(__xludf.DUMMYFUNCTION("REGEXREPLACE(F51, ""\d+$"", """")"),"حيدر المحاسب")</f>
        <v>حيدر المحاسب</v>
      </c>
    </row>
    <row r="52" ht="22.5" customHeight="1">
      <c r="A52" s="417">
        <f>VLOOKUP(F52, Employees!$A$2:$C957, 3, FALSE)</f>
        <v>925.9259259</v>
      </c>
      <c r="B52" s="418">
        <f>100000 / (DAY(EOMONTH(Attendance!A79,0)) - 4)</f>
        <v>3846.153846</v>
      </c>
      <c r="C52" s="417">
        <f>MAX(0, Attendance!C79 - TIME(9, 0, 0)) * 24 * A52</f>
        <v>0</v>
      </c>
      <c r="D52" s="419">
        <f>MAX(0, Attendance!D79 - TIME(18, 0, 0)) * 24 * 1.5 * A52</f>
        <v>0</v>
      </c>
      <c r="E52" s="418">
        <f>IF(AND(Attendance!E79&lt;&gt;"Friday", Attendance!C79&lt;&gt;""), B52, 0)</f>
        <v>3846.153846</v>
      </c>
      <c r="F52" s="420" t="str">
        <f>Attendance!B52</f>
        <v>حيدر المحاسب</v>
      </c>
      <c r="G52" s="415">
        <f>Attendance!A79</f>
        <v>46122</v>
      </c>
      <c r="H52" s="420" t="str">
        <f>IFERROR(__xludf.DUMMYFUNCTION("REGEXREPLACE(F52, ""\d+$"", """")"),"حيدر المحاسب")</f>
        <v>حيدر المحاسب</v>
      </c>
    </row>
    <row r="53" ht="22.5" customHeight="1">
      <c r="A53" s="417">
        <f>VLOOKUP(F53, Employees!$A$2:$C957, 3, FALSE)</f>
        <v>925.9259259</v>
      </c>
      <c r="B53" s="418">
        <f>100000 / (DAY(EOMONTH(Attendance!A80,0)) - 4)</f>
        <v>3846.153846</v>
      </c>
      <c r="C53" s="417">
        <f>MAX(0, Attendance!C80 - TIME(9, 0, 0)) * 24 * A53</f>
        <v>540.1234568</v>
      </c>
      <c r="D53" s="419">
        <f>MAX(0, Attendance!D80 - TIME(18, 0, 0)) * 24 * 1.5 * A53</f>
        <v>0</v>
      </c>
      <c r="E53" s="418">
        <f>IF(AND(Attendance!E80&lt;&gt;"Friday", Attendance!C80&lt;&gt;""), B53, 0)</f>
        <v>3846.153846</v>
      </c>
      <c r="F53" s="420" t="str">
        <f>Attendance!B53</f>
        <v>حيدر المحاسب</v>
      </c>
      <c r="G53" s="415">
        <f>Attendance!A80</f>
        <v>46123</v>
      </c>
      <c r="H53" s="420" t="str">
        <f>IFERROR(__xludf.DUMMYFUNCTION("REGEXREPLACE(F53, ""\d+$"", """")"),"حيدر المحاسب")</f>
        <v>حيدر المحاسب</v>
      </c>
    </row>
    <row r="54" ht="22.5" customHeight="1">
      <c r="A54" s="417">
        <f>VLOOKUP(F54, Employees!$A$2:$C957, 3, FALSE)</f>
        <v>925.9259259</v>
      </c>
      <c r="B54" s="418">
        <f>100000 / (DAY(EOMONTH(Attendance!A81,0)) - 4)</f>
        <v>3846.153846</v>
      </c>
      <c r="C54" s="417">
        <f>MAX(0, Attendance!C81 - TIME(9, 0, 0)) * 24 * A54</f>
        <v>540.1234568</v>
      </c>
      <c r="D54" s="419">
        <f>MAX(0, Attendance!D81 - TIME(18, 0, 0)) * 24 * 1.5 * A54</f>
        <v>23.14814815</v>
      </c>
      <c r="E54" s="418">
        <f>IF(AND(Attendance!E81&lt;&gt;"Friday", Attendance!C81&lt;&gt;""), B54, 0)</f>
        <v>3846.153846</v>
      </c>
      <c r="F54" s="420" t="str">
        <f>Attendance!B54</f>
        <v>حيدر المحاسب</v>
      </c>
      <c r="G54" s="415">
        <f>Attendance!A81</f>
        <v>46124</v>
      </c>
      <c r="H54" s="420" t="str">
        <f>IFERROR(__xludf.DUMMYFUNCTION("REGEXREPLACE(F54, ""\d+$"", """")"),"حيدر المحاسب")</f>
        <v>حيدر المحاسب</v>
      </c>
    </row>
    <row r="55" ht="22.5" customHeight="1">
      <c r="A55" s="417">
        <f>VLOOKUP(F55, Employees!$A$2:$C957, 3, FALSE)</f>
        <v>925.9259259</v>
      </c>
      <c r="B55" s="418">
        <f>100000 / (DAY(EOMONTH(Attendance!A82,0)) - 4)</f>
        <v>3846.153846</v>
      </c>
      <c r="C55" s="417">
        <f>MAX(0, Attendance!C82 - TIME(9, 0, 0)) * 24 * A55</f>
        <v>756.1728395</v>
      </c>
      <c r="D55" s="419">
        <f>MAX(0, Attendance!D82 - TIME(18, 0, 0)) * 24 * 1.5 * A55</f>
        <v>995.3703704</v>
      </c>
      <c r="E55" s="418">
        <f>IF(AND(Attendance!E82&lt;&gt;"Friday", Attendance!C82&lt;&gt;""), B55, 0)</f>
        <v>3846.153846</v>
      </c>
      <c r="F55" s="420" t="str">
        <f>Attendance!B55</f>
        <v>حيدر المحاسب</v>
      </c>
      <c r="G55" s="415">
        <f>Attendance!A82</f>
        <v>46125</v>
      </c>
      <c r="H55" s="420" t="str">
        <f>IFERROR(__xludf.DUMMYFUNCTION("REGEXREPLACE(F55, ""\d+$"", """")"),"حيدر المحاسب")</f>
        <v>حيدر المحاسب</v>
      </c>
    </row>
    <row r="56" ht="22.5" customHeight="1">
      <c r="A56" s="417">
        <f>VLOOKUP(F56, Employees!$A$2:$C957, 3, FALSE)</f>
        <v>925.9259259</v>
      </c>
      <c r="B56" s="418">
        <f>100000 / (DAY(EOMONTH(Attendance!A83,0)) - 4)</f>
        <v>3846.153846</v>
      </c>
      <c r="C56" s="417">
        <f>MAX(0, Attendance!C83 - TIME(9, 0, 0)) * 24 * A56</f>
        <v>416.6666667</v>
      </c>
      <c r="D56" s="419">
        <f>MAX(0, Attendance!D83 - TIME(18, 0, 0)) * 24 * 1.5 * A56</f>
        <v>4328.703704</v>
      </c>
      <c r="E56" s="418">
        <f>IF(AND(Attendance!E83&lt;&gt;"Friday", Attendance!C83&lt;&gt;""), B56, 0)</f>
        <v>3846.153846</v>
      </c>
      <c r="F56" s="420" t="str">
        <f>Attendance!B56</f>
        <v>حيدر المحاسب</v>
      </c>
      <c r="G56" s="415">
        <f>Attendance!A83</f>
        <v>46126</v>
      </c>
      <c r="H56" s="420" t="str">
        <f>IFERROR(__xludf.DUMMYFUNCTION("REGEXREPLACE(F56, ""\d+$"", """")"),"حيدر المحاسب")</f>
        <v>حيدر المحاسب</v>
      </c>
    </row>
    <row r="57" ht="22.5" customHeight="1">
      <c r="A57" s="417">
        <f>VLOOKUP(F57, Employees!$A$2:$C957, 3, FALSE)</f>
        <v>925.9259259</v>
      </c>
      <c r="B57" s="418">
        <f>100000 / (DAY(EOMONTH(Attendance!A84,0)) - 4)</f>
        <v>3846.153846</v>
      </c>
      <c r="C57" s="417">
        <f>MAX(0, Attendance!C84 - TIME(9, 0, 0)) * 24 * A57</f>
        <v>524.691358</v>
      </c>
      <c r="D57" s="419">
        <f>MAX(0, Attendance!D84 - TIME(18, 0, 0)) * 24 * 1.5 * A57</f>
        <v>0</v>
      </c>
      <c r="E57" s="418">
        <f>IF(AND(Attendance!E84&lt;&gt;"Friday", Attendance!C84&lt;&gt;""), B57, 0)</f>
        <v>3846.153846</v>
      </c>
      <c r="F57" s="420" t="str">
        <f>Attendance!B57</f>
        <v>حيدر المحاسب</v>
      </c>
      <c r="G57" s="415">
        <f>Attendance!A84</f>
        <v>46127</v>
      </c>
      <c r="H57" s="420" t="str">
        <f>IFERROR(__xludf.DUMMYFUNCTION("REGEXREPLACE(F57, ""\d+$"", """")"),"حيدر المحاسب")</f>
        <v>حيدر المحاسب</v>
      </c>
    </row>
    <row r="58" ht="22.5" customHeight="1">
      <c r="A58" s="417">
        <f>VLOOKUP(F58, Employees!$A$2:$C957, 3, FALSE)</f>
        <v>925.9259259</v>
      </c>
      <c r="B58" s="418">
        <f>100000 / (DAY(EOMONTH(Attendance!A85,0)) - 4)</f>
        <v>3846.153846</v>
      </c>
      <c r="C58" s="417">
        <f>MAX(0, Attendance!C85 - TIME(9, 0, 0)) * 24 * A58</f>
        <v>1574.074074</v>
      </c>
      <c r="D58" s="419">
        <f>MAX(0, Attendance!D85 - TIME(18, 0, 0)) * 24 * 1.5 * A58</f>
        <v>5393.518519</v>
      </c>
      <c r="E58" s="418">
        <f>IF(AND(Attendance!E85&lt;&gt;"Friday", Attendance!C85&lt;&gt;""), B58, 0)</f>
        <v>3846.153846</v>
      </c>
      <c r="F58" s="420" t="str">
        <f>Attendance!B58</f>
        <v>حيدر المحاسب</v>
      </c>
      <c r="G58" s="415">
        <f>Attendance!A85</f>
        <v>46128</v>
      </c>
      <c r="H58" s="420" t="str">
        <f>IFERROR(__xludf.DUMMYFUNCTION("REGEXREPLACE(F58, ""\d+$"", """")"),"حيدر المحاسب")</f>
        <v>حيدر المحاسب</v>
      </c>
    </row>
    <row r="59" ht="22.5" customHeight="1">
      <c r="A59" s="417">
        <f>VLOOKUP(F59, Employees!$A$2:$C957, 3, FALSE)</f>
        <v>925.9259259</v>
      </c>
      <c r="B59" s="418">
        <f>100000 / (DAY(EOMONTH(Attendance!A86,0)) - 4)</f>
        <v>3846.153846</v>
      </c>
      <c r="C59" s="417">
        <f>MAX(0, Attendance!C86 - TIME(9, 0, 0)) * 24 * A59</f>
        <v>1512.345679</v>
      </c>
      <c r="D59" s="419">
        <f>MAX(0, Attendance!D86 - TIME(18, 0, 0)) * 24 * 1.5 * A59</f>
        <v>532.4074074</v>
      </c>
      <c r="E59" s="418">
        <f>IF(AND(Attendance!E86&lt;&gt;"Friday", Attendance!C86&lt;&gt;""), B59, 0)</f>
        <v>3846.153846</v>
      </c>
      <c r="F59" s="420" t="str">
        <f>Attendance!B59</f>
        <v>حيدر المحاسب</v>
      </c>
      <c r="G59" s="415">
        <f>Attendance!A86</f>
        <v>46129</v>
      </c>
      <c r="H59" s="420" t="str">
        <f>IFERROR(__xludf.DUMMYFUNCTION("REGEXREPLACE(F59, ""\d+$"", """")"),"حيدر المحاسب")</f>
        <v>حيدر المحاسب</v>
      </c>
    </row>
    <row r="60" ht="22.5" customHeight="1">
      <c r="A60" s="417">
        <f>VLOOKUP(F60, Employees!$A$2:$C957, 3, FALSE)</f>
        <v>925.9259259</v>
      </c>
      <c r="B60" s="418">
        <f>100000 / (DAY(EOMONTH(Attendance!A87,0)) - 4)</f>
        <v>3846.153846</v>
      </c>
      <c r="C60" s="417">
        <f>MAX(0, Attendance!C87 - TIME(9, 0, 0)) * 24 * A60</f>
        <v>324.0740741</v>
      </c>
      <c r="D60" s="419">
        <f>MAX(0, Attendance!D87 - TIME(18, 0, 0)) * 24 * 1.5 * A60</f>
        <v>7060.185185</v>
      </c>
      <c r="E60" s="418">
        <f>IF(AND(Attendance!E87&lt;&gt;"Friday", Attendance!C87&lt;&gt;""), B60, 0)</f>
        <v>3846.153846</v>
      </c>
      <c r="F60" s="420" t="str">
        <f>Attendance!B60</f>
        <v>حيدر المحاسب</v>
      </c>
      <c r="G60" s="415">
        <f>Attendance!A87</f>
        <v>46141</v>
      </c>
      <c r="H60" s="420" t="str">
        <f>IFERROR(__xludf.DUMMYFUNCTION("REGEXREPLACE(F60, ""\d+$"", """")"),"حيدر المحاسب")</f>
        <v>حيدر المحاسب</v>
      </c>
    </row>
    <row r="61" ht="22.5" customHeight="1">
      <c r="A61" s="417">
        <f>VLOOKUP(F61, Employees!$A$2:$C957, 3, FALSE)</f>
        <v>925.9259259</v>
      </c>
      <c r="B61" s="418">
        <f>100000 / (DAY(EOMONTH(Attendance!A97,0)) - 4)</f>
        <v>3846.153846</v>
      </c>
      <c r="C61" s="417">
        <f>MAX(0, Attendance!C97 - TIME(9, 0, 0)) * 24 * A61</f>
        <v>246.9135802</v>
      </c>
      <c r="D61" s="419">
        <f>MAX(0, Attendance!D97 - TIME(18, 0, 0)) * 24 * 1.5 * A61</f>
        <v>138.8888889</v>
      </c>
      <c r="E61" s="418">
        <f>IF(AND(Attendance!E97&lt;&gt;"Friday", Attendance!C97&lt;&gt;""), B61, 0)</f>
        <v>3846.153846</v>
      </c>
      <c r="F61" s="420" t="str">
        <f>Attendance!B61</f>
        <v>حيدر المحاسب</v>
      </c>
      <c r="G61" s="415">
        <f>Attendance!A97</f>
        <v>46113</v>
      </c>
      <c r="H61" s="420" t="str">
        <f>IFERROR(__xludf.DUMMYFUNCTION("REGEXREPLACE(F61, ""\d+$"", """")"),"حيدر المحاسب")</f>
        <v>حيدر المحاسب</v>
      </c>
    </row>
    <row r="62" ht="22.5" customHeight="1">
      <c r="A62" s="417">
        <f>VLOOKUP(F62, Employees!$A$2:$C957, 3, FALSE)</f>
        <v>925.9259259</v>
      </c>
      <c r="B62" s="418">
        <f>100000 / (DAY(EOMONTH(Attendance!A98,0)) - 4)</f>
        <v>3846.153846</v>
      </c>
      <c r="C62" s="417">
        <f>MAX(0, Attendance!C98 - TIME(9, 0, 0)) * 24 * A62</f>
        <v>231.4814815</v>
      </c>
      <c r="D62" s="419">
        <f>MAX(0, Attendance!D98 - TIME(18, 0, 0)) * 24 * 1.5 * A62</f>
        <v>138.8888889</v>
      </c>
      <c r="E62" s="418">
        <f>IF(AND(Attendance!E98&lt;&gt;"Friday", Attendance!C98&lt;&gt;""), B62, 0)</f>
        <v>3846.153846</v>
      </c>
      <c r="F62" s="420" t="str">
        <f>Attendance!B62</f>
        <v>حيدر المحاسب</v>
      </c>
      <c r="G62" s="415">
        <f>Attendance!A98</f>
        <v>46114</v>
      </c>
      <c r="H62" s="420" t="str">
        <f>IFERROR(__xludf.DUMMYFUNCTION("REGEXREPLACE(F62, ""\d+$"", """")"),"حيدر المحاسب")</f>
        <v>حيدر المحاسب</v>
      </c>
    </row>
    <row r="63" ht="22.5" customHeight="1">
      <c r="A63" s="417">
        <f>VLOOKUP(F63, Employees!$A$2:$C957, 3, FALSE)</f>
        <v>925.9259259</v>
      </c>
      <c r="B63" s="418">
        <f>100000 / (DAY(EOMONTH(Attendance!A99,0)) - 4)</f>
        <v>3846.153846</v>
      </c>
      <c r="C63" s="417">
        <f>MAX(0, Attendance!C99 - TIME(9, 0, 0)) * 24 * A63</f>
        <v>123.4567901</v>
      </c>
      <c r="D63" s="419">
        <f>MAX(0, Attendance!D99 - TIME(18, 0, 0)) * 24 * 1.5 * A63</f>
        <v>162.037037</v>
      </c>
      <c r="E63" s="418">
        <f>IF(AND(Attendance!E99&lt;&gt;"Friday", Attendance!C99&lt;&gt;""), B63, 0)</f>
        <v>3846.153846</v>
      </c>
      <c r="F63" s="420" t="str">
        <f>Attendance!B63</f>
        <v>حيدر المحاسب</v>
      </c>
      <c r="G63" s="415">
        <f>Attendance!A99</f>
        <v>46116</v>
      </c>
      <c r="H63" s="420" t="str">
        <f>IFERROR(__xludf.DUMMYFUNCTION("REGEXREPLACE(F63, ""\d+$"", """")"),"حيدر المحاسب")</f>
        <v>حيدر المحاسب</v>
      </c>
    </row>
    <row r="64" ht="22.5" customHeight="1">
      <c r="A64" s="417">
        <f>VLOOKUP(F64, Employees!$A$2:$C957, 3, FALSE)</f>
        <v>925.9259259</v>
      </c>
      <c r="B64" s="418">
        <f>100000 / (DAY(EOMONTH(Attendance!A100,0)) - 4)</f>
        <v>3846.153846</v>
      </c>
      <c r="C64" s="417">
        <f>MAX(0, Attendance!C100 - TIME(9, 0, 0)) * 24 * A64</f>
        <v>277.7777778</v>
      </c>
      <c r="D64" s="419">
        <f>MAX(0, Attendance!D100 - TIME(18, 0, 0)) * 24 * 1.5 * A64</f>
        <v>92.59259259</v>
      </c>
      <c r="E64" s="418">
        <f>IF(AND(Attendance!E100&lt;&gt;"Friday", Attendance!C100&lt;&gt;""), B64, 0)</f>
        <v>3846.153846</v>
      </c>
      <c r="F64" s="420" t="str">
        <f>Attendance!B64</f>
        <v>حيدر المحاسب</v>
      </c>
      <c r="G64" s="415">
        <f>Attendance!A100</f>
        <v>46117</v>
      </c>
      <c r="H64" s="420" t="str">
        <f>IFERROR(__xludf.DUMMYFUNCTION("REGEXREPLACE(F64, ""\d+$"", """")"),"حيدر المحاسب")</f>
        <v>حيدر المحاسب</v>
      </c>
    </row>
    <row r="65" ht="22.5" customHeight="1">
      <c r="A65" s="417">
        <f>VLOOKUP(F65, Employees!$A$2:$C957, 3, FALSE)</f>
        <v>925.9259259</v>
      </c>
      <c r="B65" s="418">
        <f>100000 / (DAY(EOMONTH(Attendance!A101,0)) - 4)</f>
        <v>3846.153846</v>
      </c>
      <c r="C65" s="417">
        <f>MAX(0, Attendance!C101 - TIME(9, 0, 0)) * 24 * A65</f>
        <v>416.6666667</v>
      </c>
      <c r="D65" s="419">
        <f>MAX(0, Attendance!D101 - TIME(18, 0, 0)) * 24 * 1.5 * A65</f>
        <v>763.8888889</v>
      </c>
      <c r="E65" s="418">
        <f>IF(AND(Attendance!E101&lt;&gt;"Friday", Attendance!C101&lt;&gt;""), B65, 0)</f>
        <v>3846.153846</v>
      </c>
      <c r="F65" s="420" t="str">
        <f>Attendance!B65</f>
        <v>حيدر المحاسب</v>
      </c>
      <c r="G65" s="415">
        <f>Attendance!A101</f>
        <v>46118</v>
      </c>
      <c r="H65" s="420" t="str">
        <f>IFERROR(__xludf.DUMMYFUNCTION("REGEXREPLACE(F65, ""\d+$"", """")"),"حيدر المحاسب")</f>
        <v>حيدر المحاسب</v>
      </c>
    </row>
    <row r="66" ht="22.5" customHeight="1">
      <c r="A66" s="417">
        <f>VLOOKUP(F66, Employees!$A$2:$C957, 3, FALSE)</f>
        <v>925.9259259</v>
      </c>
      <c r="B66" s="418">
        <f>100000 / (DAY(EOMONTH(Attendance!A102,0)) - 4)</f>
        <v>3846.153846</v>
      </c>
      <c r="C66" s="417">
        <f>MAX(0, Attendance!C102 - TIME(9, 0, 0)) * 24 * A66</f>
        <v>123.4567901</v>
      </c>
      <c r="D66" s="419">
        <f>MAX(0, Attendance!D102 - TIME(18, 0, 0)) * 24 * 1.5 * A66</f>
        <v>277.7777778</v>
      </c>
      <c r="E66" s="418">
        <f>IF(AND(Attendance!E102&lt;&gt;"Friday", Attendance!C102&lt;&gt;""), B66, 0)</f>
        <v>3846.153846</v>
      </c>
      <c r="F66" s="420" t="str">
        <f>Attendance!B66</f>
        <v>حيدر المحاسب</v>
      </c>
      <c r="G66" s="415">
        <f>Attendance!A102</f>
        <v>46119</v>
      </c>
      <c r="H66" s="420" t="str">
        <f>IFERROR(__xludf.DUMMYFUNCTION("REGEXREPLACE(F66, ""\d+$"", """")"),"حيدر المحاسب")</f>
        <v>حيدر المحاسب</v>
      </c>
    </row>
    <row r="67" ht="22.5" customHeight="1">
      <c r="A67" s="417">
        <f>VLOOKUP(F67, Employees!$A$2:$C957, 3, FALSE)</f>
        <v>925.9259259</v>
      </c>
      <c r="B67" s="418">
        <f>100000 / (DAY(EOMONTH(Attendance!A103,0)) - 4)</f>
        <v>3846.153846</v>
      </c>
      <c r="C67" s="417">
        <f>MAX(0, Attendance!C103 - TIME(9, 0, 0)) * 24 * A67</f>
        <v>324.0740741</v>
      </c>
      <c r="D67" s="419">
        <f>MAX(0, Attendance!D103 - TIME(18, 0, 0)) * 24 * 1.5 * A67</f>
        <v>162.037037</v>
      </c>
      <c r="E67" s="418">
        <f>IF(AND(Attendance!E103&lt;&gt;"Friday", Attendance!C103&lt;&gt;""), B67, 0)</f>
        <v>3846.153846</v>
      </c>
      <c r="F67" s="420" t="str">
        <f>Attendance!B67</f>
        <v>حيدر المحاسب</v>
      </c>
      <c r="G67" s="415">
        <f>Attendance!A103</f>
        <v>46120</v>
      </c>
      <c r="H67" s="420" t="str">
        <f>IFERROR(__xludf.DUMMYFUNCTION("REGEXREPLACE(F67, ""\d+$"", """")"),"حيدر المحاسب")</f>
        <v>حيدر المحاسب</v>
      </c>
    </row>
    <row r="68" ht="22.5" customHeight="1">
      <c r="A68" s="417">
        <f>VLOOKUP(F68, Employees!$A$2:$C957, 3, FALSE)</f>
        <v>925.9259259</v>
      </c>
      <c r="B68" s="418">
        <f>100000 / (DAY(EOMONTH(Attendance!A104,0)) - 4)</f>
        <v>3846.153846</v>
      </c>
      <c r="C68" s="417">
        <f>MAX(0, Attendance!C104 - TIME(9, 0, 0)) * 24 * A68</f>
        <v>787.037037</v>
      </c>
      <c r="D68" s="419">
        <f>MAX(0, Attendance!D104 - TIME(18, 0, 0)) * 24 * 1.5 * A68</f>
        <v>555.5555556</v>
      </c>
      <c r="E68" s="418">
        <f>IF(AND(Attendance!E104&lt;&gt;"Friday", Attendance!C104&lt;&gt;""), B68, 0)</f>
        <v>3846.153846</v>
      </c>
      <c r="F68" s="420" t="str">
        <f>Attendance!B68</f>
        <v>حيدر المحاسب</v>
      </c>
      <c r="G68" s="415">
        <f>Attendance!A104</f>
        <v>46121</v>
      </c>
      <c r="H68" s="420" t="str">
        <f>IFERROR(__xludf.DUMMYFUNCTION("REGEXREPLACE(F68, ""\d+$"", """")"),"حيدر المحاسب")</f>
        <v>حيدر المحاسب</v>
      </c>
    </row>
    <row r="69" ht="22.5" customHeight="1">
      <c r="A69" s="417">
        <f>VLOOKUP(F69, Employees!$A$2:$C957, 3, FALSE)</f>
        <v>925.9259259</v>
      </c>
      <c r="B69" s="418">
        <f>100000 / (DAY(EOMONTH(Attendance!A105,0)) - 4)</f>
        <v>3846.153846</v>
      </c>
      <c r="C69" s="417">
        <f>MAX(0, Attendance!C105 - TIME(9, 0, 0)) * 24 * A69</f>
        <v>0</v>
      </c>
      <c r="D69" s="419">
        <f>MAX(0, Attendance!D105 - TIME(18, 0, 0)) * 24 * 1.5 * A69</f>
        <v>23.14814815</v>
      </c>
      <c r="E69" s="418">
        <f>IF(AND(Attendance!E105&lt;&gt;"Friday", Attendance!C105&lt;&gt;""), B69, 0)</f>
        <v>3846.153846</v>
      </c>
      <c r="F69" s="420" t="str">
        <f>Attendance!B69</f>
        <v>حيدر المحاسب</v>
      </c>
      <c r="G69" s="415">
        <f>Attendance!A105</f>
        <v>46122</v>
      </c>
      <c r="H69" s="420" t="str">
        <f>IFERROR(__xludf.DUMMYFUNCTION("REGEXREPLACE(F69, ""\d+$"", """")"),"حيدر المحاسب")</f>
        <v>حيدر المحاسب</v>
      </c>
    </row>
    <row r="70" ht="22.5" customHeight="1">
      <c r="A70" s="417">
        <f>VLOOKUP(F70, Employees!$A$2:$C957, 3, FALSE)</f>
        <v>925.9259259</v>
      </c>
      <c r="B70" s="418">
        <f>100000 / (DAY(EOMONTH(Attendance!A106,0)) - 4)</f>
        <v>3846.153846</v>
      </c>
      <c r="C70" s="417">
        <f>MAX(0, Attendance!C106 - TIME(9, 0, 0)) * 24 * A70</f>
        <v>648.1481481</v>
      </c>
      <c r="D70" s="419">
        <f>MAX(0, Attendance!D106 - TIME(18, 0, 0)) * 24 * 1.5 * A70</f>
        <v>0</v>
      </c>
      <c r="E70" s="418">
        <f>IF(AND(Attendance!E106&lt;&gt;"Friday", Attendance!C106&lt;&gt;""), B70, 0)</f>
        <v>3846.153846</v>
      </c>
      <c r="F70" s="420" t="str">
        <f>Attendance!B70</f>
        <v>حيدر المحاسب</v>
      </c>
      <c r="G70" s="415">
        <f>Attendance!A106</f>
        <v>46123</v>
      </c>
      <c r="H70" s="420" t="str">
        <f>IFERROR(__xludf.DUMMYFUNCTION("REGEXREPLACE(F70, ""\d+$"", """")"),"حيدر المحاسب")</f>
        <v>حيدر المحاسب</v>
      </c>
    </row>
    <row r="71" ht="22.5" customHeight="1">
      <c r="A71" s="417">
        <f>VLOOKUP(F71, Employees!$A$2:$C957, 3, FALSE)</f>
        <v>925.9259259</v>
      </c>
      <c r="B71" s="418">
        <f>100000 / (DAY(EOMONTH(Attendance!A107,0)) - 4)</f>
        <v>3846.153846</v>
      </c>
      <c r="C71" s="417">
        <f>MAX(0, Attendance!C107 - TIME(9, 0, 0)) * 24 * A71</f>
        <v>925.9259259</v>
      </c>
      <c r="D71" s="419">
        <f>MAX(0, Attendance!D107 - TIME(18, 0, 0)) * 24 * 1.5 * A71</f>
        <v>4259.259259</v>
      </c>
      <c r="E71" s="418">
        <f>IF(AND(Attendance!E107&lt;&gt;"Friday", Attendance!C107&lt;&gt;""), B71, 0)</f>
        <v>3846.153846</v>
      </c>
      <c r="F71" s="420" t="str">
        <f>Attendance!B71</f>
        <v>حيدر المحاسب</v>
      </c>
      <c r="G71" s="415">
        <f>Attendance!A107</f>
        <v>46124</v>
      </c>
      <c r="H71" s="420" t="str">
        <f>IFERROR(__xludf.DUMMYFUNCTION("REGEXREPLACE(F71, ""\d+$"", """")"),"حيدر المحاسب")</f>
        <v>حيدر المحاسب</v>
      </c>
    </row>
    <row r="72" ht="22.5" customHeight="1">
      <c r="A72" s="417">
        <f>VLOOKUP(F72, Employees!$A$2:$C957, 3, FALSE)</f>
        <v>1481.481481</v>
      </c>
      <c r="B72" s="418">
        <f>100000 / (DAY(EOMONTH(Attendance!A108,0)) - 4)</f>
        <v>3846.153846</v>
      </c>
      <c r="C72" s="417">
        <f>MAX(0, Attendance!C108 - TIME(9, 0, 0)) * 24 * A72</f>
        <v>1234.567901</v>
      </c>
      <c r="D72" s="419">
        <f>MAX(0, Attendance!D108 - TIME(18, 0, 0)) * 24 * 1.5 * A72</f>
        <v>9333.333333</v>
      </c>
      <c r="E72" s="418">
        <f>IF(AND(Attendance!E108&lt;&gt;"Friday", Attendance!C108&lt;&gt;""), B72, 0)</f>
        <v>3846.153846</v>
      </c>
      <c r="F72" s="420" t="str">
        <f>Attendance!B72</f>
        <v>حيدر محمد</v>
      </c>
      <c r="G72" s="415">
        <f>Attendance!A108</f>
        <v>46125</v>
      </c>
      <c r="H72" s="420" t="str">
        <f>IFERROR(__xludf.DUMMYFUNCTION("REGEXREPLACE(F72, ""\d+$"", """")"),"حيدر محمد")</f>
        <v>حيدر محمد</v>
      </c>
    </row>
    <row r="73" ht="22.5" customHeight="1">
      <c r="A73" s="417">
        <f>VLOOKUP(F73, Employees!$A$2:$C957, 3, FALSE)</f>
        <v>1481.481481</v>
      </c>
      <c r="B73" s="418">
        <f>100000 / (DAY(EOMONTH(Attendance!A109,0)) - 4)</f>
        <v>3846.153846</v>
      </c>
      <c r="C73" s="417">
        <f>MAX(0, Attendance!C109 - TIME(9, 0, 0)) * 24 * A73</f>
        <v>493.8271605</v>
      </c>
      <c r="D73" s="419">
        <f>MAX(0, Attendance!D109 - TIME(18, 0, 0)) * 24 * 1.5 * A73</f>
        <v>1703.703704</v>
      </c>
      <c r="E73" s="418">
        <f>IF(AND(Attendance!E109&lt;&gt;"Friday", Attendance!C109&lt;&gt;""), B73, 0)</f>
        <v>3846.153846</v>
      </c>
      <c r="F73" s="420" t="str">
        <f>Attendance!B73</f>
        <v>حيدر محمد</v>
      </c>
      <c r="G73" s="415">
        <f>Attendance!A109</f>
        <v>46126</v>
      </c>
      <c r="H73" s="420" t="str">
        <f>IFERROR(__xludf.DUMMYFUNCTION("REGEXREPLACE(F73, ""\d+$"", """")"),"حيدر محمد")</f>
        <v>حيدر محمد</v>
      </c>
    </row>
    <row r="74" ht="22.5" customHeight="1">
      <c r="A74" s="417">
        <f>VLOOKUP(F74, Employees!$A$2:$C957, 3, FALSE)</f>
        <v>1481.481481</v>
      </c>
      <c r="B74" s="418">
        <f>100000 / (DAY(EOMONTH(Attendance!A110,0)) - 4)</f>
        <v>3846.153846</v>
      </c>
      <c r="C74" s="417">
        <f>MAX(0, Attendance!C110 - TIME(9, 0, 0)) * 24 * A74</f>
        <v>839.5061728</v>
      </c>
      <c r="D74" s="419">
        <f>MAX(0, Attendance!D110 - TIME(18, 0, 0)) * 24 * 1.5 * A74</f>
        <v>6814.814815</v>
      </c>
      <c r="E74" s="418">
        <f>IF(AND(Attendance!E110&lt;&gt;"Friday", Attendance!C110&lt;&gt;""), B74, 0)</f>
        <v>3846.153846</v>
      </c>
      <c r="F74" s="420" t="str">
        <f>Attendance!B74</f>
        <v>حيدر محمد</v>
      </c>
      <c r="G74" s="415">
        <f>Attendance!A110</f>
        <v>46127</v>
      </c>
      <c r="H74" s="420" t="str">
        <f>IFERROR(__xludf.DUMMYFUNCTION("REGEXREPLACE(F74, ""\d+$"", """")"),"حيدر محمد")</f>
        <v>حيدر محمد</v>
      </c>
    </row>
    <row r="75" ht="22.5" customHeight="1">
      <c r="A75" s="417">
        <f>VLOOKUP(F75, Employees!$A$2:$C957, 3, FALSE)</f>
        <v>1481.481481</v>
      </c>
      <c r="B75" s="418">
        <f>100000 / (DAY(EOMONTH(Attendance!A111,0)) - 4)</f>
        <v>3846.153846</v>
      </c>
      <c r="C75" s="417">
        <f>MAX(0, Attendance!C111 - TIME(9, 0, 0)) * 24 * A75</f>
        <v>543.2098765</v>
      </c>
      <c r="D75" s="419">
        <f>MAX(0, Attendance!D111 - TIME(18, 0, 0)) * 24 * 1.5 * A75</f>
        <v>8666.666667</v>
      </c>
      <c r="E75" s="418">
        <f>IF(AND(Attendance!E111&lt;&gt;"Friday", Attendance!C111&lt;&gt;""), B75, 0)</f>
        <v>3846.153846</v>
      </c>
      <c r="F75" s="420" t="str">
        <f>Attendance!B75</f>
        <v>حيدر محمد</v>
      </c>
      <c r="G75" s="415">
        <f>Attendance!A111</f>
        <v>46128</v>
      </c>
      <c r="H75" s="420" t="str">
        <f>IFERROR(__xludf.DUMMYFUNCTION("REGEXREPLACE(F75, ""\d+$"", """")"),"حيدر محمد")</f>
        <v>حيدر محمد</v>
      </c>
    </row>
    <row r="76" ht="22.5" customHeight="1">
      <c r="A76" s="417">
        <f>VLOOKUP(F76, Employees!$A$2:$C957, 3, FALSE)</f>
        <v>1481.481481</v>
      </c>
      <c r="B76" s="418">
        <f>100000 / (DAY(EOMONTH(Attendance!A112,0)) - 4)</f>
        <v>3846.153846</v>
      </c>
      <c r="C76" s="417">
        <f>MAX(0, Attendance!C112 - TIME(9, 0, 0)) * 24 * A76</f>
        <v>1407.407407</v>
      </c>
      <c r="D76" s="419">
        <f>MAX(0, Attendance!D112 - TIME(18, 0, 0)) * 24 * 1.5 * A76</f>
        <v>2555.555556</v>
      </c>
      <c r="E76" s="418">
        <f>IF(AND(Attendance!E112&lt;&gt;"Friday", Attendance!C112&lt;&gt;""), B76, 0)</f>
        <v>3846.153846</v>
      </c>
      <c r="F76" s="420" t="str">
        <f>Attendance!B76</f>
        <v>حيدر محمد</v>
      </c>
      <c r="G76" s="415">
        <f>Attendance!A112</f>
        <v>46129</v>
      </c>
      <c r="H76" s="420" t="str">
        <f>IFERROR(__xludf.DUMMYFUNCTION("REGEXREPLACE(F76, ""\d+$"", """")"),"حيدر محمد")</f>
        <v>حيدر محمد</v>
      </c>
    </row>
    <row r="77" ht="22.5" customHeight="1">
      <c r="A77" s="417">
        <f>VLOOKUP(F77, Employees!$A$2:$C957, 3, FALSE)</f>
        <v>1481.481481</v>
      </c>
      <c r="B77" s="418">
        <f>100000 / (DAY(EOMONTH(Attendance!A113,0)) - 4)</f>
        <v>3846.153846</v>
      </c>
      <c r="C77" s="417">
        <f>MAX(0, Attendance!C113 - TIME(9, 0, 0)) * 24 * A77</f>
        <v>5555.555556</v>
      </c>
      <c r="D77" s="419">
        <f>MAX(0, Attendance!D113 - TIME(18, 0, 0)) * 24 * 1.5 * A77</f>
        <v>3888.888889</v>
      </c>
      <c r="E77" s="418">
        <f>IF(AND(Attendance!E113&lt;&gt;"Friday", Attendance!C113&lt;&gt;""), B77, 0)</f>
        <v>3846.153846</v>
      </c>
      <c r="F77" s="420" t="str">
        <f>Attendance!B77</f>
        <v>حيدر محمد</v>
      </c>
      <c r="G77" s="415">
        <f>Attendance!A113</f>
        <v>46130</v>
      </c>
      <c r="H77" s="420" t="str">
        <f>IFERROR(__xludf.DUMMYFUNCTION("REGEXREPLACE(F77, ""\d+$"", """")"),"حيدر محمد")</f>
        <v>حيدر محمد</v>
      </c>
    </row>
    <row r="78" ht="22.5" customHeight="1">
      <c r="A78" s="417">
        <f>VLOOKUP(F78, Employees!$A$2:$C957, 3, FALSE)</f>
        <v>1481.481481</v>
      </c>
      <c r="B78" s="418">
        <f>100000 / (DAY(EOMONTH(Attendance!A114,0)) - 4)</f>
        <v>3846.153846</v>
      </c>
      <c r="C78" s="417">
        <f>MAX(0, Attendance!C114 - TIME(9, 0, 0)) * 24 * A78</f>
        <v>1407.407407</v>
      </c>
      <c r="D78" s="419">
        <f>MAX(0, Attendance!D114 - TIME(18, 0, 0)) * 24 * 1.5 * A78</f>
        <v>1851.851852</v>
      </c>
      <c r="E78" s="418">
        <f>IF(AND(Attendance!E114&lt;&gt;"Friday", Attendance!C114&lt;&gt;""), B78, 0)</f>
        <v>3846.153846</v>
      </c>
      <c r="F78" s="420" t="str">
        <f>Attendance!B78</f>
        <v>حيدر محمد</v>
      </c>
      <c r="G78" s="415">
        <f>Attendance!A114</f>
        <v>46131</v>
      </c>
      <c r="H78" s="420" t="str">
        <f>IFERROR(__xludf.DUMMYFUNCTION("REGEXREPLACE(F78, ""\d+$"", """")"),"حيدر محمد")</f>
        <v>حيدر محمد</v>
      </c>
    </row>
    <row r="79" ht="22.5" customHeight="1">
      <c r="A79" s="417">
        <f>VLOOKUP(F79, Employees!$A$2:$C957, 3, FALSE)</f>
        <v>1481.481481</v>
      </c>
      <c r="B79" s="418">
        <f>100000 / (DAY(EOMONTH(Attendance!A115,0)) - 4)</f>
        <v>3846.153846</v>
      </c>
      <c r="C79" s="417">
        <f>MAX(0, Attendance!C115 - TIME(9, 0, 0)) * 24 * A79</f>
        <v>0</v>
      </c>
      <c r="D79" s="419">
        <f>MAX(0, Attendance!D115 - TIME(18, 0, 0)) * 24 * 1.5 * A79</f>
        <v>814.8148148</v>
      </c>
      <c r="E79" s="418">
        <f>IF(AND(Attendance!E115&lt;&gt;"Friday", Attendance!C115&lt;&gt;""), B79, 0)</f>
        <v>3846.153846</v>
      </c>
      <c r="F79" s="420" t="str">
        <f>Attendance!B79</f>
        <v>حيدر محمد</v>
      </c>
      <c r="G79" s="415">
        <f>Attendance!A115</f>
        <v>46132</v>
      </c>
      <c r="H79" s="420" t="str">
        <f>IFERROR(__xludf.DUMMYFUNCTION("REGEXREPLACE(F79, ""\d+$"", """")"),"حيدر محمد")</f>
        <v>حيدر محمد</v>
      </c>
    </row>
    <row r="80" ht="22.5" customHeight="1">
      <c r="A80" s="417">
        <f>VLOOKUP(F80, Employees!$A$2:$C957, 3, FALSE)</f>
        <v>1481.481481</v>
      </c>
      <c r="B80" s="418">
        <f>100000 / (DAY(EOMONTH(Attendance!A116,0)) - 4)</f>
        <v>3846.153846</v>
      </c>
      <c r="C80" s="417">
        <f>MAX(0, Attendance!C116 - TIME(9, 0, 0)) * 24 * A80</f>
        <v>691.3580247</v>
      </c>
      <c r="D80" s="419">
        <f>MAX(0, Attendance!D116 - TIME(18, 0, 0)) * 24 * 1.5 * A80</f>
        <v>4185.185185</v>
      </c>
      <c r="E80" s="418">
        <f>IF(AND(Attendance!E116&lt;&gt;"Friday", Attendance!C116&lt;&gt;""), B80, 0)</f>
        <v>3846.153846</v>
      </c>
      <c r="F80" s="420" t="str">
        <f>Attendance!B80</f>
        <v>حيدر محمد</v>
      </c>
      <c r="G80" s="415">
        <f>Attendance!A116</f>
        <v>46133</v>
      </c>
      <c r="H80" s="420" t="str">
        <f>IFERROR(__xludf.DUMMYFUNCTION("REGEXREPLACE(F80, ""\d+$"", """")"),"حيدر محمد")</f>
        <v>حيدر محمد</v>
      </c>
    </row>
    <row r="81" ht="22.5" customHeight="1">
      <c r="A81" s="417">
        <f>VLOOKUP(F81, Employees!$A$2:$C957, 3, FALSE)</f>
        <v>1481.481481</v>
      </c>
      <c r="B81" s="418">
        <f>100000 / (DAY(EOMONTH(Attendance!A117,0)) - 4)</f>
        <v>3703.703704</v>
      </c>
      <c r="C81" s="417">
        <f>MAX(0, Attendance!C117 - TIME(9, 0, 0)) * 24 * A81</f>
        <v>0</v>
      </c>
      <c r="D81" s="419">
        <f>MAX(0, Attendance!D117 - TIME(18, 0, 0)) * 24 * 1.5 * A81</f>
        <v>0</v>
      </c>
      <c r="E81" s="418">
        <f>IF(AND(Attendance!E117&lt;&gt;"Friday", Attendance!C117&lt;&gt;""), B81, 0)</f>
        <v>0</v>
      </c>
      <c r="F81" s="420" t="str">
        <f>Attendance!B81</f>
        <v>حيدر محمد</v>
      </c>
      <c r="G81" s="415" t="str">
        <f>Attendance!A117</f>
        <v/>
      </c>
      <c r="H81" s="420" t="str">
        <f>IFERROR(__xludf.DUMMYFUNCTION("REGEXREPLACE(F81, ""\d+$"", """")"),"حيدر محمد")</f>
        <v>حيدر محمد</v>
      </c>
    </row>
    <row r="82" ht="22.5" customHeight="1">
      <c r="A82" s="417">
        <f>VLOOKUP(F82, Employees!$A$2:$C957, 3, FALSE)</f>
        <v>1481.481481</v>
      </c>
      <c r="B82" s="418">
        <f>100000 / (DAY(EOMONTH(Attendance!A118,0)) - 4)</f>
        <v>3846.153846</v>
      </c>
      <c r="C82" s="417">
        <f>MAX(0, Attendance!C118 - TIME(9, 0, 0)) * 24 * A82</f>
        <v>0</v>
      </c>
      <c r="D82" s="419">
        <f>MAX(0, Attendance!D118 - TIME(18, 0, 0)) * 24 * 1.5 * A82</f>
        <v>3777.777778</v>
      </c>
      <c r="E82" s="418">
        <f>IF(AND(Attendance!E118&lt;&gt;"Friday", Attendance!C118&lt;&gt;""), B82, 0)</f>
        <v>3846.153846</v>
      </c>
      <c r="F82" s="420" t="str">
        <f>Attendance!B82</f>
        <v>حيدر محمد</v>
      </c>
      <c r="G82" s="415">
        <f>Attendance!A118</f>
        <v>46134</v>
      </c>
      <c r="H82" s="420" t="str">
        <f>IFERROR(__xludf.DUMMYFUNCTION("REGEXREPLACE(F82, ""\d+$"", """")"),"حيدر محمد")</f>
        <v>حيدر محمد</v>
      </c>
    </row>
    <row r="83" ht="22.5" customHeight="1">
      <c r="A83" s="417">
        <f>VLOOKUP(F83, Employees!$A$2:$C957, 3, FALSE)</f>
        <v>1481.481481</v>
      </c>
      <c r="B83" s="418">
        <f>100000 / (DAY(EOMONTH(Attendance!A119,0)) - 4)</f>
        <v>3846.153846</v>
      </c>
      <c r="C83" s="417">
        <f>MAX(0, Attendance!C119 - TIME(9, 0, 0)) * 24 * A83</f>
        <v>3086.419753</v>
      </c>
      <c r="D83" s="419">
        <f>MAX(0, Attendance!D119 - TIME(18, 0, 0)) * 24 * 1.5 * A83</f>
        <v>814.8148148</v>
      </c>
      <c r="E83" s="418">
        <f>IF(AND(Attendance!E119&lt;&gt;"Friday", Attendance!C119&lt;&gt;""), B83, 0)</f>
        <v>3846.153846</v>
      </c>
      <c r="F83" s="420" t="str">
        <f>Attendance!B83</f>
        <v>حيدر محمد</v>
      </c>
      <c r="G83" s="415">
        <f>Attendance!A119</f>
        <v>46135</v>
      </c>
      <c r="H83" s="420" t="str">
        <f>IFERROR(__xludf.DUMMYFUNCTION("REGEXREPLACE(F83, ""\d+$"", """")"),"حيدر محمد")</f>
        <v>حيدر محمد</v>
      </c>
    </row>
    <row r="84" ht="22.5" customHeight="1">
      <c r="A84" s="417">
        <f>VLOOKUP(F84, Employees!$A$2:$C957, 3, FALSE)</f>
        <v>1481.481481</v>
      </c>
      <c r="B84" s="418">
        <f>100000 / (DAY(EOMONTH(Attendance!A120,0)) - 4)</f>
        <v>3846.153846</v>
      </c>
      <c r="C84" s="417">
        <f>MAX(0, Attendance!C120 - TIME(9, 0, 0)) * 24 * A84</f>
        <v>567.9012346</v>
      </c>
      <c r="D84" s="419">
        <f>MAX(0, Attendance!D120 - TIME(18, 0, 0)) * 24 * 1.5 * A84</f>
        <v>4555.555556</v>
      </c>
      <c r="E84" s="418">
        <f>IF(AND(Attendance!E120&lt;&gt;"Friday", Attendance!C120&lt;&gt;""), B84, 0)</f>
        <v>3846.153846</v>
      </c>
      <c r="F84" s="420" t="str">
        <f>Attendance!B84</f>
        <v>حيدر محمد</v>
      </c>
      <c r="G84" s="415">
        <f>Attendance!A120</f>
        <v>46136</v>
      </c>
      <c r="H84" s="420" t="str">
        <f>IFERROR(__xludf.DUMMYFUNCTION("REGEXREPLACE(F84, ""\d+$"", """")"),"حيدر محمد")</f>
        <v>حيدر محمد</v>
      </c>
    </row>
    <row r="85" ht="22.5" customHeight="1">
      <c r="A85" s="417">
        <f>VLOOKUP(F85, Employees!$A$2:$C957, 3, FALSE)</f>
        <v>1481.481481</v>
      </c>
      <c r="B85" s="418">
        <f>100000 / (DAY(EOMONTH(Attendance!A121,0)) - 4)</f>
        <v>3846.153846</v>
      </c>
      <c r="C85" s="417">
        <f>MAX(0, Attendance!C121 - TIME(9, 0, 0)) * 24 * A85</f>
        <v>172.8395062</v>
      </c>
      <c r="D85" s="419">
        <f>MAX(0, Attendance!D121 - TIME(18, 0, 0)) * 24 * 1.5 * A85</f>
        <v>148.1481481</v>
      </c>
      <c r="E85" s="418">
        <f>IF(AND(Attendance!E121&lt;&gt;"Friday", Attendance!C121&lt;&gt;""), B85, 0)</f>
        <v>3846.153846</v>
      </c>
      <c r="F85" s="420" t="str">
        <f>Attendance!B85</f>
        <v>حيدر محمد</v>
      </c>
      <c r="G85" s="415">
        <f>Attendance!A121</f>
        <v>46137</v>
      </c>
      <c r="H85" s="420" t="str">
        <f>IFERROR(__xludf.DUMMYFUNCTION("REGEXREPLACE(F85, ""\d+$"", """")"),"حيدر محمد")</f>
        <v>حيدر محمد</v>
      </c>
    </row>
    <row r="86" ht="22.5" customHeight="1">
      <c r="A86" s="417">
        <f>VLOOKUP(F86, Employees!$A$2:$C957, 3, FALSE)</f>
        <v>1481.481481</v>
      </c>
      <c r="B86" s="418">
        <f>100000 / (DAY(EOMONTH(Attendance!A122,0)) - 4)</f>
        <v>3846.153846</v>
      </c>
      <c r="C86" s="417">
        <f>MAX(0, Attendance!C122 - TIME(9, 0, 0)) * 24 * A86</f>
        <v>0</v>
      </c>
      <c r="D86" s="419">
        <f>MAX(0, Attendance!D122 - TIME(18, 0, 0)) * 24 * 1.5 * A86</f>
        <v>6888.888889</v>
      </c>
      <c r="E86" s="418">
        <f>IF(AND(Attendance!E122&lt;&gt;"Friday", Attendance!C122&lt;&gt;""), B86, 0)</f>
        <v>3846.153846</v>
      </c>
      <c r="F86" s="420" t="str">
        <f>Attendance!B86</f>
        <v>حيدر محمد</v>
      </c>
      <c r="G86" s="415">
        <f>Attendance!A122</f>
        <v>46138</v>
      </c>
      <c r="H86" s="420" t="str">
        <f>IFERROR(__xludf.DUMMYFUNCTION("REGEXREPLACE(F86, ""\d+$"", """")"),"حيدر محمد")</f>
        <v>حيدر محمد</v>
      </c>
    </row>
    <row r="87" ht="22.5" customHeight="1">
      <c r="A87" s="417">
        <f>VLOOKUP(F87, Employees!$A$2:$C957, 3, FALSE)</f>
        <v>1481.481481</v>
      </c>
      <c r="B87" s="418">
        <f>100000 / (DAY(EOMONTH(Attendance!A123,0)) - 4)</f>
        <v>3846.153846</v>
      </c>
      <c r="C87" s="417">
        <f>MAX(0, Attendance!C123 - TIME(9, 0, 0)) * 24 * A87</f>
        <v>0</v>
      </c>
      <c r="D87" s="419">
        <f>MAX(0, Attendance!D123 - TIME(18, 0, 0)) * 24 * 1.5 * A87</f>
        <v>4074.074074</v>
      </c>
      <c r="E87" s="418">
        <f>IF(AND(Attendance!E123&lt;&gt;"Friday", Attendance!C123&lt;&gt;""), B87, 0)</f>
        <v>3846.153846</v>
      </c>
      <c r="F87" s="420" t="str">
        <f>Attendance!B87</f>
        <v>حيدر محمد</v>
      </c>
      <c r="G87" s="415">
        <f>Attendance!A123</f>
        <v>46139</v>
      </c>
      <c r="H87" s="420" t="str">
        <f>IFERROR(__xludf.DUMMYFUNCTION("REGEXREPLACE(F87, ""\d+$"", """")"),"حيدر محمد")</f>
        <v>حيدر محمد</v>
      </c>
    </row>
    <row r="88" ht="22.5" customHeight="1">
      <c r="A88" s="417">
        <f>VLOOKUP(F88, Employees!$A$2:$C957, 3, FALSE)</f>
        <v>2037.037037</v>
      </c>
      <c r="B88" s="418">
        <f>100000 / (DAY(EOMONTH(Attendance!A124,0)) - 4)</f>
        <v>3846.153846</v>
      </c>
      <c r="C88" s="417">
        <f>MAX(0, Attendance!C124 - TIME(9, 0, 0)) * 24 * A88</f>
        <v>2580.246914</v>
      </c>
      <c r="D88" s="419">
        <f>MAX(0, Attendance!D124 - TIME(18, 0, 0)) * 24 * 1.5 * A88</f>
        <v>7944.444444</v>
      </c>
      <c r="E88" s="418">
        <f>IF(AND(Attendance!E124&lt;&gt;"Friday", Attendance!C124&lt;&gt;""), B88, 0)</f>
        <v>3846.153846</v>
      </c>
      <c r="F88" s="420" t="str">
        <f>Attendance!B88</f>
        <v>خضر عبد الخالق</v>
      </c>
      <c r="G88" s="415">
        <f>Attendance!A124</f>
        <v>46140</v>
      </c>
      <c r="H88" s="420" t="str">
        <f>IFERROR(__xludf.DUMMYFUNCTION("REGEXREPLACE(F88, ""\d+$"", """")"),"خضر عبد الخالق")</f>
        <v>خضر عبد الخالق</v>
      </c>
    </row>
    <row r="89" ht="22.5" customHeight="1">
      <c r="A89" s="417">
        <f>VLOOKUP(F89, Employees!$A$2:$C957, 3, FALSE)</f>
        <v>2037.037037</v>
      </c>
      <c r="B89" s="418">
        <f>100000 / (DAY(EOMONTH(Attendance!A88,0)) - 4)</f>
        <v>3846.153846</v>
      </c>
      <c r="C89" s="417">
        <f>MAX(0, Attendance!C88 - TIME(9, 0, 0)) * 24 * A89</f>
        <v>0</v>
      </c>
      <c r="D89" s="419">
        <f>MAX(0, Attendance!D88 - TIME(18, 0, 0)) * 24 * 1.5 * A89</f>
        <v>356.4814815</v>
      </c>
      <c r="E89" s="418">
        <f>IF(AND(Attendance!E88&lt;&gt;"Friday", Attendance!C88&lt;&gt;""), B89, 0)</f>
        <v>3846.153846</v>
      </c>
      <c r="F89" s="420" t="str">
        <f>Attendance!B89</f>
        <v>خضر عبد الخالق</v>
      </c>
      <c r="G89" s="415">
        <f>Attendance!A88</f>
        <v>46113</v>
      </c>
      <c r="H89" s="420" t="str">
        <f>IFERROR(__xludf.DUMMYFUNCTION("REGEXREPLACE(F89, ""\d+$"", """")"),"خضر عبد الخالق")</f>
        <v>خضر عبد الخالق</v>
      </c>
    </row>
    <row r="90" ht="22.5" customHeight="1">
      <c r="A90" s="417">
        <f>VLOOKUP(F90, Employees!$A$2:$C957, 3, FALSE)</f>
        <v>2037.037037</v>
      </c>
      <c r="B90" s="418">
        <f>100000 / (DAY(EOMONTH(Attendance!A89,0)) - 4)</f>
        <v>3846.153846</v>
      </c>
      <c r="C90" s="417">
        <f>MAX(0, Attendance!C89 - TIME(9, 0, 0)) * 24 * A90</f>
        <v>1256.17284</v>
      </c>
      <c r="D90" s="419">
        <f>MAX(0, Attendance!D89 - TIME(18, 0, 0)) * 24 * 1.5 * A90</f>
        <v>0</v>
      </c>
      <c r="E90" s="418">
        <f>IF(AND(Attendance!E89&lt;&gt;"Friday", Attendance!C89&lt;&gt;""), B90, 0)</f>
        <v>3846.153846</v>
      </c>
      <c r="F90" s="420" t="str">
        <f>Attendance!B90</f>
        <v>خضر عبد الخالق</v>
      </c>
      <c r="G90" s="415">
        <f>Attendance!A89</f>
        <v>46114</v>
      </c>
      <c r="H90" s="420" t="str">
        <f>IFERROR(__xludf.DUMMYFUNCTION("REGEXREPLACE(F90, ""\d+$"", """")"),"خضر عبد الخالق")</f>
        <v>خضر عبد الخالق</v>
      </c>
    </row>
    <row r="91" ht="22.5" customHeight="1">
      <c r="A91" s="417">
        <f>VLOOKUP(F91, Employees!$A$2:$C957, 3, FALSE)</f>
        <v>2037.037037</v>
      </c>
      <c r="B91" s="418">
        <f>100000 / (DAY(EOMONTH(Attendance!A90,0)) - 4)</f>
        <v>3846.153846</v>
      </c>
      <c r="C91" s="417">
        <f>MAX(0, Attendance!C90 - TIME(9, 0, 0)) * 24 * A91</f>
        <v>305.5555556</v>
      </c>
      <c r="D91" s="419">
        <f>MAX(0, Attendance!D90 - TIME(18, 0, 0)) * 24 * 1.5 * A91</f>
        <v>0</v>
      </c>
      <c r="E91" s="418">
        <f>IF(AND(Attendance!E90&lt;&gt;"Friday", Attendance!C90&lt;&gt;""), B91, 0)</f>
        <v>3846.153846</v>
      </c>
      <c r="F91" s="420" t="str">
        <f>Attendance!B91</f>
        <v>خضر عبد الخالق</v>
      </c>
      <c r="G91" s="415">
        <f>Attendance!A90</f>
        <v>46116</v>
      </c>
      <c r="H91" s="420" t="str">
        <f>IFERROR(__xludf.DUMMYFUNCTION("REGEXREPLACE(F91, ""\d+$"", """")"),"خضر عبد الخالق")</f>
        <v>خضر عبد الخالق</v>
      </c>
    </row>
    <row r="92" ht="22.5" customHeight="1">
      <c r="A92" s="417">
        <f>VLOOKUP(F92, Employees!$A$2:$C957, 3, FALSE)</f>
        <v>2037.037037</v>
      </c>
      <c r="B92" s="418">
        <f>100000 / (DAY(EOMONTH(Attendance!A91,0)) - 4)</f>
        <v>3846.153846</v>
      </c>
      <c r="C92" s="417">
        <f>MAX(0, Attendance!C91 - TIME(9, 0, 0)) * 24 * A92</f>
        <v>848.7654321</v>
      </c>
      <c r="D92" s="419">
        <f>MAX(0, Attendance!D91 - TIME(18, 0, 0)) * 24 * 1.5 * A92</f>
        <v>662.037037</v>
      </c>
      <c r="E92" s="418">
        <f>IF(AND(Attendance!E91&lt;&gt;"Friday", Attendance!C91&lt;&gt;""), B92, 0)</f>
        <v>3846.153846</v>
      </c>
      <c r="F92" s="420" t="str">
        <f>Attendance!B92</f>
        <v>خضر عبد الخالق</v>
      </c>
      <c r="G92" s="415">
        <f>Attendance!A91</f>
        <v>46117</v>
      </c>
      <c r="H92" s="420" t="str">
        <f>IFERROR(__xludf.DUMMYFUNCTION("REGEXREPLACE(F92, ""\d+$"", """")"),"خضر عبد الخالق")</f>
        <v>خضر عبد الخالق</v>
      </c>
    </row>
    <row r="93" ht="22.5" customHeight="1">
      <c r="A93" s="417">
        <f>VLOOKUP(F93, Employees!$A$2:$C957, 3, FALSE)</f>
        <v>2037.037037</v>
      </c>
      <c r="B93" s="418">
        <f>100000 / (DAY(EOMONTH(Attendance!A92,0)) - 4)</f>
        <v>3846.153846</v>
      </c>
      <c r="C93" s="417">
        <f>MAX(0, Attendance!C92 - TIME(9, 0, 0)) * 24 * A93</f>
        <v>1154.320988</v>
      </c>
      <c r="D93" s="419">
        <f>MAX(0, Attendance!D92 - TIME(18, 0, 0)) * 24 * 1.5 * A93</f>
        <v>916.6666667</v>
      </c>
      <c r="E93" s="418">
        <f>IF(AND(Attendance!E92&lt;&gt;"Friday", Attendance!C92&lt;&gt;""), B93, 0)</f>
        <v>3846.153846</v>
      </c>
      <c r="F93" s="420" t="str">
        <f>Attendance!B93</f>
        <v>خضر عبد الخالق</v>
      </c>
      <c r="G93" s="415">
        <f>Attendance!A92</f>
        <v>46118</v>
      </c>
      <c r="H93" s="420" t="str">
        <f>IFERROR(__xludf.DUMMYFUNCTION("REGEXREPLACE(F93, ""\d+$"", """")"),"خضر عبد الخالق")</f>
        <v>خضر عبد الخالق</v>
      </c>
    </row>
    <row r="94" ht="22.5" customHeight="1">
      <c r="A94" s="417">
        <f>VLOOKUP(F94, Employees!$A$2:$C957, 3, FALSE)</f>
        <v>2037.037037</v>
      </c>
      <c r="B94" s="418">
        <f>100000 / (DAY(EOMONTH(Attendance!A93,0)) - 4)</f>
        <v>3846.153846</v>
      </c>
      <c r="C94" s="417">
        <f>MAX(0, Attendance!C93 - TIME(9, 0, 0)) * 24 * A94</f>
        <v>339.5061728</v>
      </c>
      <c r="D94" s="419">
        <f>MAX(0, Attendance!D93 - TIME(18, 0, 0)) * 24 * 1.5 * A94</f>
        <v>712.962963</v>
      </c>
      <c r="E94" s="418">
        <f>IF(AND(Attendance!E93&lt;&gt;"Friday", Attendance!C93&lt;&gt;""), B94, 0)</f>
        <v>3846.153846</v>
      </c>
      <c r="F94" s="420" t="str">
        <f>Attendance!B94</f>
        <v>خضر عبد الخالق</v>
      </c>
      <c r="G94" s="415">
        <f>Attendance!A93</f>
        <v>46119</v>
      </c>
      <c r="H94" s="420" t="str">
        <f>IFERROR(__xludf.DUMMYFUNCTION("REGEXREPLACE(F94, ""\d+$"", """")"),"خضر عبد الخالق")</f>
        <v>خضر عبد الخالق</v>
      </c>
    </row>
    <row r="95" ht="22.5" customHeight="1">
      <c r="A95" s="417">
        <f>VLOOKUP(F95, Employees!$A$2:$C957, 3, FALSE)</f>
        <v>2037.037037</v>
      </c>
      <c r="B95" s="418">
        <f>100000 / (DAY(EOMONTH(Attendance!A94,0)) - 4)</f>
        <v>3846.153846</v>
      </c>
      <c r="C95" s="417">
        <f>MAX(0, Attendance!C94 - TIME(9, 0, 0)) * 24 * A95</f>
        <v>746.9135802</v>
      </c>
      <c r="D95" s="419">
        <f>MAX(0, Attendance!D94 - TIME(18, 0, 0)) * 24 * 1.5 * A95</f>
        <v>0</v>
      </c>
      <c r="E95" s="418">
        <f>IF(AND(Attendance!E94&lt;&gt;"Friday", Attendance!C94&lt;&gt;""), B95, 0)</f>
        <v>3846.153846</v>
      </c>
      <c r="F95" s="420" t="str">
        <f>Attendance!B95</f>
        <v>خضر عبد الخالق</v>
      </c>
      <c r="G95" s="415">
        <f>Attendance!A94</f>
        <v>46120</v>
      </c>
      <c r="H95" s="420" t="str">
        <f>IFERROR(__xludf.DUMMYFUNCTION("REGEXREPLACE(F95, ""\d+$"", """")"),"خضر عبد الخالق")</f>
        <v>خضر عبد الخالق</v>
      </c>
    </row>
    <row r="96" ht="22.5" customHeight="1">
      <c r="A96" s="417">
        <f>VLOOKUP(F96, Employees!$A$2:$C957, 3, FALSE)</f>
        <v>2037.037037</v>
      </c>
      <c r="B96" s="418">
        <f>100000 / (DAY(EOMONTH(Attendance!A95,0)) - 4)</f>
        <v>3846.153846</v>
      </c>
      <c r="C96" s="417">
        <f>MAX(0, Attendance!C95 - TIME(9, 0, 0)) * 24 * A96</f>
        <v>2274.691358</v>
      </c>
      <c r="D96" s="419">
        <f>MAX(0, Attendance!D95 - TIME(18, 0, 0)) * 24 * 1.5 * A96</f>
        <v>0</v>
      </c>
      <c r="E96" s="418">
        <f>IF(AND(Attendance!E95&lt;&gt;"Friday", Attendance!C95&lt;&gt;""), B96, 0)</f>
        <v>3846.153846</v>
      </c>
      <c r="F96" s="420" t="str">
        <f>Attendance!B96</f>
        <v>خضر عبد الخالق</v>
      </c>
      <c r="G96" s="415">
        <f>Attendance!A95</f>
        <v>46121</v>
      </c>
      <c r="H96" s="420" t="str">
        <f>IFERROR(__xludf.DUMMYFUNCTION("REGEXREPLACE(F96, ""\d+$"", """")"),"خضر عبد الخالق")</f>
        <v>خضر عبد الخالق</v>
      </c>
    </row>
    <row r="97" ht="22.5" customHeight="1">
      <c r="A97" s="417">
        <f>VLOOKUP(F97, Employees!$A$2:$C957, 3, FALSE)</f>
        <v>1666.666667</v>
      </c>
      <c r="B97" s="418">
        <f>100000 / (DAY(EOMONTH(Attendance!A96,0)) - 4)</f>
        <v>3846.153846</v>
      </c>
      <c r="C97" s="417">
        <f>MAX(0, Attendance!C96 - TIME(9, 0, 0)) * 24 * A97</f>
        <v>3388.888889</v>
      </c>
      <c r="D97" s="419">
        <f>MAX(0, Attendance!D96 - TIME(18, 0, 0)) * 24 * 1.5 * A97</f>
        <v>0</v>
      </c>
      <c r="E97" s="418">
        <f>IF(AND(Attendance!E96&lt;&gt;"Friday", Attendance!C96&lt;&gt;""), B97, 0)</f>
        <v>3846.153846</v>
      </c>
      <c r="F97" s="420" t="str">
        <f>Attendance!B97</f>
        <v>حيدر يافوز</v>
      </c>
      <c r="G97" s="415">
        <f>Attendance!A96</f>
        <v>46123</v>
      </c>
      <c r="H97" s="420" t="str">
        <f>IFERROR(__xludf.DUMMYFUNCTION("REGEXREPLACE(F97, ""\d+$"", """")"),"حيدر يافوز")</f>
        <v>حيدر يافوز</v>
      </c>
    </row>
    <row r="98" ht="22.5" customHeight="1">
      <c r="A98" s="417">
        <f>VLOOKUP(F98, Employees!$A$2:$C957, 3, FALSE)</f>
        <v>1666.666667</v>
      </c>
      <c r="B98" s="418">
        <f>100000 / (DAY(EOMONTH(Attendance!A2,0)) - 4)</f>
        <v>3846.153846</v>
      </c>
      <c r="C98" s="417">
        <f>MAX(0, Attendance!C2 - TIME(9, 0, 0)) * 24 * A98</f>
        <v>638.8888889</v>
      </c>
      <c r="D98" s="419">
        <f>MAX(0, Attendance!D2 - TIME(18, 0, 0)) * 24 * 1.5 * A98</f>
        <v>125</v>
      </c>
      <c r="E98" s="418">
        <f>IF(AND(Attendance!E2&lt;&gt;"Friday", Attendance!C2&lt;&gt;""), B98, 0)</f>
        <v>3846.153846</v>
      </c>
      <c r="F98" s="420" t="str">
        <f>Attendance!B98</f>
        <v>حيدر يافوز</v>
      </c>
      <c r="G98" s="415">
        <f>Attendance!A2</f>
        <v>46113</v>
      </c>
      <c r="H98" s="420" t="str">
        <f>IFERROR(__xludf.DUMMYFUNCTION("REGEXREPLACE(F98, ""\d+$"", """")"),"حيدر يافوز")</f>
        <v>حيدر يافوز</v>
      </c>
    </row>
    <row r="99" ht="22.5" customHeight="1">
      <c r="A99" s="417">
        <f>VLOOKUP(F99, Employees!$A$2:$C957, 3, FALSE)</f>
        <v>1666.666667</v>
      </c>
      <c r="B99" s="418">
        <f>100000 / (DAY(EOMONTH(Attendance!A3,0)) - 4)</f>
        <v>3846.153846</v>
      </c>
      <c r="C99" s="417">
        <f>MAX(0, Attendance!C3 - TIME(9, 0, 0)) * 24 * A99</f>
        <v>305.5555556</v>
      </c>
      <c r="D99" s="419">
        <f>MAX(0, Attendance!D3 - TIME(18, 0, 0)) * 24 * 1.5 * A99</f>
        <v>291.6666667</v>
      </c>
      <c r="E99" s="418">
        <f>IF(AND(Attendance!E3&lt;&gt;"Friday", Attendance!C3&lt;&gt;""), B99, 0)</f>
        <v>3846.153846</v>
      </c>
      <c r="F99" s="420" t="str">
        <f>Attendance!B99</f>
        <v>حيدر يافوز</v>
      </c>
      <c r="G99" s="415">
        <f>Attendance!A3</f>
        <v>46114</v>
      </c>
      <c r="H99" s="420" t="str">
        <f>IFERROR(__xludf.DUMMYFUNCTION("REGEXREPLACE(F99, ""\d+$"", """")"),"حيدر يافوز")</f>
        <v>حيدر يافوز</v>
      </c>
    </row>
    <row r="100" ht="22.5" customHeight="1">
      <c r="A100" s="417">
        <f>VLOOKUP(F100, Employees!$A$2:$C957, 3, FALSE)</f>
        <v>1666.666667</v>
      </c>
      <c r="B100" s="418">
        <f>100000 / (DAY(EOMONTH(Attendance!A4,0)) - 4)</f>
        <v>3846.153846</v>
      </c>
      <c r="C100" s="417">
        <f>MAX(0, Attendance!C4 - TIME(9, 0, 0)) * 24 * A100</f>
        <v>861.1111111</v>
      </c>
      <c r="D100" s="419">
        <f>MAX(0, Attendance!D4 - TIME(18, 0, 0)) * 24 * 1.5 * A100</f>
        <v>333.3333333</v>
      </c>
      <c r="E100" s="418">
        <f>IF(AND(Attendance!E4&lt;&gt;"Friday", Attendance!C4&lt;&gt;""), B100, 0)</f>
        <v>3846.153846</v>
      </c>
      <c r="F100" s="420" t="str">
        <f>Attendance!B100</f>
        <v>حيدر يافوز</v>
      </c>
      <c r="G100" s="415">
        <f>Attendance!A4</f>
        <v>46116</v>
      </c>
      <c r="H100" s="420" t="str">
        <f>IFERROR(__xludf.DUMMYFUNCTION("REGEXREPLACE(F100, ""\d+$"", """")"),"حيدر يافوز")</f>
        <v>حيدر يافوز</v>
      </c>
    </row>
    <row r="101" ht="22.5" customHeight="1">
      <c r="A101" s="417">
        <f>VLOOKUP(F101, Employees!$A$2:$C957, 3, FALSE)</f>
        <v>1666.666667</v>
      </c>
      <c r="B101" s="418">
        <f>100000 / (DAY(EOMONTH(Attendance!A5,0)) - 4)</f>
        <v>3846.153846</v>
      </c>
      <c r="C101" s="417">
        <f>MAX(0, Attendance!C5 - TIME(9, 0, 0)) * 24 * A101</f>
        <v>388.8888889</v>
      </c>
      <c r="D101" s="419">
        <f>MAX(0, Attendance!D5 - TIME(18, 0, 0)) * 24 * 1.5 * A101</f>
        <v>500</v>
      </c>
      <c r="E101" s="418">
        <f>IF(AND(Attendance!E5&lt;&gt;"Friday", Attendance!C5&lt;&gt;""), B101, 0)</f>
        <v>3846.153846</v>
      </c>
      <c r="F101" s="420" t="str">
        <f>Attendance!B101</f>
        <v>حيدر يافوز</v>
      </c>
      <c r="G101" s="415">
        <f>Attendance!A5</f>
        <v>46117</v>
      </c>
      <c r="H101" s="420" t="str">
        <f>IFERROR(__xludf.DUMMYFUNCTION("REGEXREPLACE(F101, ""\d+$"", """")"),"حيدر يافوز")</f>
        <v>حيدر يافوز</v>
      </c>
    </row>
    <row r="102" ht="22.5" customHeight="1">
      <c r="A102" s="417">
        <f>VLOOKUP(F102, Employees!$A$2:$C957, 3, FALSE)</f>
        <v>1666.666667</v>
      </c>
      <c r="B102" s="418">
        <f>100000 / (DAY(EOMONTH(Attendance!A6,0)) - 4)</f>
        <v>3846.153846</v>
      </c>
      <c r="C102" s="417">
        <f>MAX(0, Attendance!C6 - TIME(9, 0, 0)) * 24 * A102</f>
        <v>416.6666667</v>
      </c>
      <c r="D102" s="419">
        <f>MAX(0, Attendance!D6 - TIME(18, 0, 0)) * 24 * 1.5 * A102</f>
        <v>1708.333333</v>
      </c>
      <c r="E102" s="418">
        <f>IF(AND(Attendance!E6&lt;&gt;"Friday", Attendance!C6&lt;&gt;""), B102, 0)</f>
        <v>3846.153846</v>
      </c>
      <c r="F102" s="420" t="str">
        <f>Attendance!B102</f>
        <v>حيدر يافوز</v>
      </c>
      <c r="G102" s="415">
        <f>Attendance!A6</f>
        <v>46118</v>
      </c>
      <c r="H102" s="420" t="str">
        <f>IFERROR(__xludf.DUMMYFUNCTION("REGEXREPLACE(F102, ""\d+$"", """")"),"حيدر يافوز")</f>
        <v>حيدر يافوز</v>
      </c>
    </row>
    <row r="103" ht="22.5" customHeight="1">
      <c r="A103" s="417">
        <f>VLOOKUP(F103, Employees!$A$2:$C957, 3, FALSE)</f>
        <v>1666.666667</v>
      </c>
      <c r="B103" s="418">
        <f>100000 / (DAY(EOMONTH(Attendance!A7,0)) - 4)</f>
        <v>3846.153846</v>
      </c>
      <c r="C103" s="417">
        <f>MAX(0, Attendance!C7 - TIME(9, 0, 0)) * 24 * A103</f>
        <v>500</v>
      </c>
      <c r="D103" s="419">
        <f>MAX(0, Attendance!D7 - TIME(18, 0, 0)) * 24 * 1.5 * A103</f>
        <v>541.6666667</v>
      </c>
      <c r="E103" s="418">
        <f>IF(AND(Attendance!E7&lt;&gt;"Friday", Attendance!C7&lt;&gt;""), B103, 0)</f>
        <v>3846.153846</v>
      </c>
      <c r="F103" s="420" t="str">
        <f>Attendance!B103</f>
        <v>حيدر يافوز</v>
      </c>
      <c r="G103" s="415">
        <f>Attendance!A7</f>
        <v>46119</v>
      </c>
      <c r="H103" s="420" t="str">
        <f>IFERROR(__xludf.DUMMYFUNCTION("REGEXREPLACE(F103, ""\d+$"", """")"),"حيدر يافوز")</f>
        <v>حيدر يافوز</v>
      </c>
    </row>
    <row r="104" ht="22.5" customHeight="1">
      <c r="A104" s="417">
        <f>VLOOKUP(F104, Employees!$A$2:$C957, 3, FALSE)</f>
        <v>1666.666667</v>
      </c>
      <c r="B104" s="418">
        <f>100000 / (DAY(EOMONTH(Attendance!A8,0)) - 4)</f>
        <v>3846.153846</v>
      </c>
      <c r="C104" s="417">
        <f>MAX(0, Attendance!C8 - TIME(9, 0, 0)) * 24 * A104</f>
        <v>638.8888889</v>
      </c>
      <c r="D104" s="419">
        <f>MAX(0, Attendance!D8 - TIME(18, 0, 0)) * 24 * 1.5 * A104</f>
        <v>0</v>
      </c>
      <c r="E104" s="418">
        <f>IF(AND(Attendance!E8&lt;&gt;"Friday", Attendance!C8&lt;&gt;""), B104, 0)</f>
        <v>3846.153846</v>
      </c>
      <c r="F104" s="420" t="str">
        <f>Attendance!B104</f>
        <v>حيدر يافوز</v>
      </c>
      <c r="G104" s="415">
        <f>Attendance!A8</f>
        <v>46120</v>
      </c>
      <c r="H104" s="420" t="str">
        <f>IFERROR(__xludf.DUMMYFUNCTION("REGEXREPLACE(F104, ""\d+$"", """")"),"حيدر يافوز")</f>
        <v>حيدر يافوز</v>
      </c>
    </row>
    <row r="105" ht="22.5" customHeight="1">
      <c r="A105" s="417">
        <f>VLOOKUP(F105, Employees!$A$2:$C957, 3, FALSE)</f>
        <v>1666.666667</v>
      </c>
      <c r="B105" s="418">
        <f>100000 / (DAY(EOMONTH(Attendance!A9,0)) - 4)</f>
        <v>3846.153846</v>
      </c>
      <c r="C105" s="417">
        <f>MAX(0, Attendance!C9 - TIME(9, 0, 0)) * 24 * A105</f>
        <v>527.7777778</v>
      </c>
      <c r="D105" s="419">
        <f>MAX(0, Attendance!D9 - TIME(18, 0, 0)) * 24 * 1.5 * A105</f>
        <v>791.6666667</v>
      </c>
      <c r="E105" s="418">
        <f>IF(AND(Attendance!E9&lt;&gt;"Friday", Attendance!C9&lt;&gt;""), B105, 0)</f>
        <v>3846.153846</v>
      </c>
      <c r="F105" s="420" t="str">
        <f>Attendance!B105</f>
        <v>حيدر يافوز</v>
      </c>
      <c r="G105" s="415">
        <f>Attendance!A9</f>
        <v>46121</v>
      </c>
      <c r="H105" s="420" t="str">
        <f>IFERROR(__xludf.DUMMYFUNCTION("REGEXREPLACE(F105, ""\d+$"", """")"),"حيدر يافوز")</f>
        <v>حيدر يافوز</v>
      </c>
    </row>
    <row r="106" ht="22.5" customHeight="1">
      <c r="A106" s="417">
        <f>VLOOKUP(F106, Employees!$A$2:$C957, 3, FALSE)</f>
        <v>1666.666667</v>
      </c>
      <c r="B106" s="418">
        <f>100000 / (DAY(EOMONTH(Attendance!A10,0)) - 4)</f>
        <v>3846.153846</v>
      </c>
      <c r="C106" s="417">
        <f>MAX(0, Attendance!C10 - TIME(9, 0, 0)) * 24 * A106</f>
        <v>0</v>
      </c>
      <c r="D106" s="419">
        <f>MAX(0, Attendance!D10 - TIME(18, 0, 0)) * 24 * 1.5 * A106</f>
        <v>0</v>
      </c>
      <c r="E106" s="418">
        <f>IF(AND(Attendance!E10&lt;&gt;"Friday", Attendance!C10&lt;&gt;""), B106, 0)</f>
        <v>3846.153846</v>
      </c>
      <c r="F106" s="420" t="str">
        <f>Attendance!B106</f>
        <v>حيدر يافوز</v>
      </c>
      <c r="G106" s="415">
        <f>Attendance!A10</f>
        <v>46122</v>
      </c>
      <c r="H106" s="420" t="str">
        <f>IFERROR(__xludf.DUMMYFUNCTION("REGEXREPLACE(F106, ""\d+$"", """")"),"حيدر يافوز")</f>
        <v>حيدر يافوز</v>
      </c>
    </row>
    <row r="107" ht="22.5" customHeight="1">
      <c r="A107" s="417">
        <f>VLOOKUP(F107, Employees!$A$2:$C957, 3, FALSE)</f>
        <v>1666.666667</v>
      </c>
      <c r="B107" s="418">
        <f>100000 / (DAY(EOMONTH(Attendance!A11,0)) - 4)</f>
        <v>3846.153846</v>
      </c>
      <c r="C107" s="417">
        <f>MAX(0, Attendance!C11 - TIME(9, 0, 0)) * 24 * A107</f>
        <v>972.2222222</v>
      </c>
      <c r="D107" s="419">
        <f>MAX(0, Attendance!D11 - TIME(18, 0, 0)) * 24 * 1.5 * A107</f>
        <v>166.6666667</v>
      </c>
      <c r="E107" s="418">
        <f>IF(AND(Attendance!E11&lt;&gt;"Friday", Attendance!C11&lt;&gt;""), B107, 0)</f>
        <v>3846.153846</v>
      </c>
      <c r="F107" s="420" t="str">
        <f>Attendance!B107</f>
        <v>حيدر يافوز</v>
      </c>
      <c r="G107" s="415">
        <f>Attendance!A11</f>
        <v>46123</v>
      </c>
      <c r="H107" s="420" t="str">
        <f>IFERROR(__xludf.DUMMYFUNCTION("REGEXREPLACE(F107, ""\d+$"", """")"),"حيدر يافوز")</f>
        <v>حيدر يافوز</v>
      </c>
    </row>
    <row r="108" ht="22.5" customHeight="1">
      <c r="A108" s="417">
        <f>VLOOKUP(F108, Employees!$A$2:$C957, 3, FALSE)</f>
        <v>1666.666667</v>
      </c>
      <c r="B108" s="418">
        <f>100000 / (DAY(EOMONTH(Attendance!A12,0)) - 4)</f>
        <v>3846.153846</v>
      </c>
      <c r="C108" s="417">
        <f>MAX(0, Attendance!C12 - TIME(9, 0, 0)) * 24 * A108</f>
        <v>1361.111111</v>
      </c>
      <c r="D108" s="419">
        <f>MAX(0, Attendance!D12 - TIME(18, 0, 0)) * 24 * 1.5 * A108</f>
        <v>1416.666667</v>
      </c>
      <c r="E108" s="418">
        <f>IF(AND(Attendance!E12&lt;&gt;"Friday", Attendance!C12&lt;&gt;""), B108, 0)</f>
        <v>3846.153846</v>
      </c>
      <c r="F108" s="420" t="str">
        <f>Attendance!B108</f>
        <v>حيدر يافوز</v>
      </c>
      <c r="G108" s="415">
        <f>Attendance!A12</f>
        <v>46124</v>
      </c>
      <c r="H108" s="420" t="str">
        <f>IFERROR(__xludf.DUMMYFUNCTION("REGEXREPLACE(F108, ""\d+$"", """")"),"حيدر يافوز")</f>
        <v>حيدر يافوز</v>
      </c>
    </row>
    <row r="109" ht="22.5" customHeight="1">
      <c r="A109" s="417">
        <f>VLOOKUP(F109, Employees!$A$2:$C957, 3, FALSE)</f>
        <v>1666.666667</v>
      </c>
      <c r="B109" s="418">
        <f>100000 / (DAY(EOMONTH(Attendance!A13,0)) - 4)</f>
        <v>3846.153846</v>
      </c>
      <c r="C109" s="417">
        <f>MAX(0, Attendance!C13 - TIME(9, 0, 0)) * 24 * A109</f>
        <v>750</v>
      </c>
      <c r="D109" s="419">
        <f>MAX(0, Attendance!D13 - TIME(18, 0, 0)) * 24 * 1.5 * A109</f>
        <v>7875</v>
      </c>
      <c r="E109" s="418">
        <f>IF(AND(Attendance!E13&lt;&gt;"Friday", Attendance!C13&lt;&gt;""), B109, 0)</f>
        <v>3846.153846</v>
      </c>
      <c r="F109" s="420" t="str">
        <f>Attendance!B109</f>
        <v>حيدر يافوز</v>
      </c>
      <c r="G109" s="415">
        <f>Attendance!A13</f>
        <v>46125</v>
      </c>
      <c r="H109" s="420" t="str">
        <f>IFERROR(__xludf.DUMMYFUNCTION("REGEXREPLACE(F109, ""\d+$"", """")"),"حيدر يافوز")</f>
        <v>حيدر يافوز</v>
      </c>
    </row>
    <row r="110" ht="22.5" customHeight="1">
      <c r="A110" s="417">
        <f>VLOOKUP(F110, Employees!$A$2:$C957, 3, FALSE)</f>
        <v>1666.666667</v>
      </c>
      <c r="B110" s="418">
        <f>100000 / (DAY(EOMONTH(Attendance!A14,0)) - 4)</f>
        <v>3846.153846</v>
      </c>
      <c r="C110" s="417">
        <f>MAX(0, Attendance!C14 - TIME(9, 0, 0)) * 24 * A110</f>
        <v>805.5555556</v>
      </c>
      <c r="D110" s="419">
        <f>MAX(0, Attendance!D14 - TIME(18, 0, 0)) * 24 * 1.5 * A110</f>
        <v>1833.333333</v>
      </c>
      <c r="E110" s="418">
        <f>IF(AND(Attendance!E14&lt;&gt;"Friday", Attendance!C14&lt;&gt;""), B110, 0)</f>
        <v>3846.153846</v>
      </c>
      <c r="F110" s="420" t="str">
        <f>Attendance!B110</f>
        <v>حيدر يافوز</v>
      </c>
      <c r="G110" s="415">
        <f>Attendance!A14</f>
        <v>46126</v>
      </c>
      <c r="H110" s="420" t="str">
        <f>IFERROR(__xludf.DUMMYFUNCTION("REGEXREPLACE(F110, ""\d+$"", """")"),"حيدر يافوز")</f>
        <v>حيدر يافوز</v>
      </c>
    </row>
    <row r="111" ht="22.5" customHeight="1">
      <c r="A111" s="417">
        <f>VLOOKUP(F111, Employees!$A$2:$C957, 3, FALSE)</f>
        <v>1666.666667</v>
      </c>
      <c r="B111" s="418">
        <f>100000 / (DAY(EOMONTH(Attendance!A15,0)) - 4)</f>
        <v>3846.153846</v>
      </c>
      <c r="C111" s="417">
        <f>MAX(0, Attendance!C15 - TIME(9, 0, 0)) * 24 * A111</f>
        <v>1555.555556</v>
      </c>
      <c r="D111" s="419">
        <f>MAX(0, Attendance!D15 - TIME(18, 0, 0)) * 24 * 1.5 * A111</f>
        <v>7416.666667</v>
      </c>
      <c r="E111" s="418">
        <f>IF(AND(Attendance!E15&lt;&gt;"Friday", Attendance!C15&lt;&gt;""), B111, 0)</f>
        <v>3846.153846</v>
      </c>
      <c r="F111" s="420" t="str">
        <f>Attendance!B111</f>
        <v>حيدر يافوز</v>
      </c>
      <c r="G111" s="415">
        <f>Attendance!A15</f>
        <v>46127</v>
      </c>
      <c r="H111" s="420" t="str">
        <f>IFERROR(__xludf.DUMMYFUNCTION("REGEXREPLACE(F111, ""\d+$"", """")"),"حيدر يافوز")</f>
        <v>حيدر يافوز</v>
      </c>
    </row>
    <row r="112" ht="22.5" customHeight="1">
      <c r="A112" s="417">
        <f>VLOOKUP(F112, Employees!$A$2:$C957, 3, FALSE)</f>
        <v>1666.666667</v>
      </c>
      <c r="B112" s="418">
        <f>100000 / (DAY(EOMONTH(Attendance!A16,0)) - 4)</f>
        <v>3846.153846</v>
      </c>
      <c r="C112" s="417">
        <f>MAX(0, Attendance!C16 - TIME(9, 0, 0)) * 24 * A112</f>
        <v>2833.333333</v>
      </c>
      <c r="D112" s="419">
        <f>MAX(0, Attendance!D16 - TIME(18, 0, 0)) * 24 * 1.5 * A112</f>
        <v>9708.333333</v>
      </c>
      <c r="E112" s="418">
        <f>IF(AND(Attendance!E16&lt;&gt;"Friday", Attendance!C16&lt;&gt;""), B112, 0)</f>
        <v>3846.153846</v>
      </c>
      <c r="F112" s="420" t="str">
        <f>Attendance!B112</f>
        <v>حيدر يافوز</v>
      </c>
      <c r="G112" s="415">
        <f>Attendance!A16</f>
        <v>46128</v>
      </c>
      <c r="H112" s="420" t="str">
        <f>IFERROR(__xludf.DUMMYFUNCTION("REGEXREPLACE(F112, ""\d+$"", """")"),"حيدر يافوز")</f>
        <v>حيدر يافوز</v>
      </c>
    </row>
    <row r="113" ht="22.5" customHeight="1">
      <c r="A113" s="417">
        <f>VLOOKUP(F113, Employees!$A$2:$C957, 3, FALSE)</f>
        <v>1666.666667</v>
      </c>
      <c r="B113" s="418">
        <f>100000 / (DAY(EOMONTH(Attendance!A17,0)) - 4)</f>
        <v>3846.153846</v>
      </c>
      <c r="C113" s="417">
        <f>MAX(0, Attendance!C17 - TIME(9, 0, 0)) * 24 * A113</f>
        <v>2722.222222</v>
      </c>
      <c r="D113" s="419">
        <f>MAX(0, Attendance!D17 - TIME(18, 0, 0)) * 24 * 1.5 * A113</f>
        <v>875</v>
      </c>
      <c r="E113" s="418">
        <f>IF(AND(Attendance!E17&lt;&gt;"Friday", Attendance!C17&lt;&gt;""), B113, 0)</f>
        <v>3846.153846</v>
      </c>
      <c r="F113" s="420" t="str">
        <f>Attendance!B113</f>
        <v>حيدر يافوز</v>
      </c>
      <c r="G113" s="415">
        <f>Attendance!A17</f>
        <v>46129</v>
      </c>
      <c r="H113" s="420" t="str">
        <f>IFERROR(__xludf.DUMMYFUNCTION("REGEXREPLACE(F113, ""\d+$"", """")"),"حيدر يافوز")</f>
        <v>حيدر يافوز</v>
      </c>
    </row>
    <row r="114" ht="22.5" customHeight="1">
      <c r="A114" s="417">
        <f>VLOOKUP(F114, Employees!$A$2:$C957, 3, FALSE)</f>
        <v>1666.666667</v>
      </c>
      <c r="B114" s="418">
        <f>100000 / (DAY(EOMONTH(Attendance!A18,0)) - 4)</f>
        <v>3846.153846</v>
      </c>
      <c r="C114" s="417">
        <f>MAX(0, Attendance!C18 - TIME(9, 0, 0)) * 24 * A114</f>
        <v>3472.222222</v>
      </c>
      <c r="D114" s="419">
        <f>MAX(0, Attendance!D18 - TIME(18, 0, 0)) * 24 * 1.5 * A114</f>
        <v>5083.333333</v>
      </c>
      <c r="E114" s="418">
        <f>IF(AND(Attendance!E18&lt;&gt;"Friday", Attendance!C18&lt;&gt;""), B114, 0)</f>
        <v>3846.153846</v>
      </c>
      <c r="F114" s="420" t="str">
        <f>Attendance!B114</f>
        <v>حيدر يافوز</v>
      </c>
      <c r="G114" s="415">
        <f>Attendance!A18</f>
        <v>46130</v>
      </c>
      <c r="H114" s="420" t="str">
        <f>IFERROR(__xludf.DUMMYFUNCTION("REGEXREPLACE(F114, ""\d+$"", """")"),"حيدر يافوز")</f>
        <v>حيدر يافوز</v>
      </c>
    </row>
    <row r="115" ht="22.5" customHeight="1">
      <c r="A115" s="417">
        <f>VLOOKUP(F115, Employees!$A$2:$C957, 3, FALSE)</f>
        <v>1666.666667</v>
      </c>
      <c r="B115" s="418">
        <f>100000 / (DAY(EOMONTH(Attendance!A19,0)) - 4)</f>
        <v>3846.153846</v>
      </c>
      <c r="C115" s="417">
        <f>MAX(0, Attendance!C19 - TIME(9, 0, 0)) * 24 * A115</f>
        <v>833.3333333</v>
      </c>
      <c r="D115" s="419">
        <f>MAX(0, Attendance!D19 - TIME(18, 0, 0)) * 24 * 1.5 * A115</f>
        <v>2083.333333</v>
      </c>
      <c r="E115" s="418">
        <f>IF(AND(Attendance!E19&lt;&gt;"Friday", Attendance!C19&lt;&gt;""), B115, 0)</f>
        <v>3846.153846</v>
      </c>
      <c r="F115" s="420" t="str">
        <f>Attendance!B115</f>
        <v>حيدر يافوز</v>
      </c>
      <c r="G115" s="415">
        <f>Attendance!A19</f>
        <v>46131</v>
      </c>
      <c r="H115" s="420" t="str">
        <f>IFERROR(__xludf.DUMMYFUNCTION("REGEXREPLACE(F115, ""\d+$"", """")"),"حيدر يافوز")</f>
        <v>حيدر يافوز</v>
      </c>
    </row>
    <row r="116" ht="22.5" customHeight="1">
      <c r="A116" s="417">
        <f>VLOOKUP(F116, Employees!$A$2:$C957, 3, FALSE)</f>
        <v>1666.666667</v>
      </c>
      <c r="B116" s="418">
        <f>100000 / (DAY(EOMONTH(Attendance!A20,0)) - 4)</f>
        <v>3846.153846</v>
      </c>
      <c r="C116" s="417">
        <f>MAX(0, Attendance!C20 - TIME(9, 0, 0)) * 24 * A116</f>
        <v>666.6666667</v>
      </c>
      <c r="D116" s="419">
        <f>MAX(0, Attendance!D20 - TIME(18, 0, 0)) * 24 * 1.5 * A116</f>
        <v>958.3333333</v>
      </c>
      <c r="E116" s="418">
        <f>IF(AND(Attendance!E20&lt;&gt;"Friday", Attendance!C20&lt;&gt;""), B116, 0)</f>
        <v>3846.153846</v>
      </c>
      <c r="F116" s="420" t="str">
        <f>Attendance!B116</f>
        <v>حيدر يافوز</v>
      </c>
      <c r="G116" s="415">
        <f>Attendance!A20</f>
        <v>46132</v>
      </c>
      <c r="H116" s="420" t="str">
        <f>IFERROR(__xludf.DUMMYFUNCTION("REGEXREPLACE(F116, ""\d+$"", """")"),"حيدر يافوز")</f>
        <v>حيدر يافوز</v>
      </c>
    </row>
    <row r="117" ht="22.5" customHeight="1">
      <c r="A117" s="417" t="str">
        <f>VLOOKUP(F117, Employees!$A$2:$C957, 3, FALSE)</f>
        <v>#N/A</v>
      </c>
      <c r="B117" s="418">
        <f>100000 / (DAY(EOMONTH(Attendance!A21,0)) - 4)</f>
        <v>3846.153846</v>
      </c>
      <c r="C117" s="417" t="str">
        <f>MAX(0, Attendance!C21 - TIME(9, 0, 0)) * 24 * A117</f>
        <v>#N/A</v>
      </c>
      <c r="D117" s="419" t="str">
        <f>MAX(0, Attendance!D21 - TIME(18, 0, 0)) * 24 * 1.5 * A117</f>
        <v>#N/A</v>
      </c>
      <c r="E117" s="418">
        <f>IF(AND(Attendance!E21&lt;&gt;"Friday", Attendance!C21&lt;&gt;""), B117, 0)</f>
        <v>3846.153846</v>
      </c>
      <c r="F117" s="420" t="str">
        <f>Attendance!B117</f>
        <v/>
      </c>
      <c r="G117" s="415">
        <f>Attendance!A21</f>
        <v>46133</v>
      </c>
      <c r="H117" s="420" t="str">
        <f>IFERROR(__xludf.DUMMYFUNCTION("REGEXREPLACE(F117, ""\d+$"", """")"),"")</f>
        <v/>
      </c>
    </row>
    <row r="118" ht="22.5" customHeight="1">
      <c r="A118" s="417">
        <f>VLOOKUP(F118, Employees!$A$2:$C957, 3, FALSE)</f>
        <v>1666.666667</v>
      </c>
      <c r="B118" s="418">
        <f>100000 / (DAY(EOMONTH(Attendance!A22,0)) - 4)</f>
        <v>3846.153846</v>
      </c>
      <c r="C118" s="417">
        <f>MAX(0, Attendance!C22 - TIME(9, 0, 0)) * 24 * A118</f>
        <v>111.1111111</v>
      </c>
      <c r="D118" s="419">
        <f>MAX(0, Attendance!D22 - TIME(18, 0, 0)) * 24 * 1.5 * A118</f>
        <v>4291.666667</v>
      </c>
      <c r="E118" s="418">
        <f>IF(AND(Attendance!E22&lt;&gt;"Friday", Attendance!C22&lt;&gt;""), B118, 0)</f>
        <v>3846.153846</v>
      </c>
      <c r="F118" s="420" t="str">
        <f>Attendance!B118</f>
        <v>حيدر يافوز</v>
      </c>
      <c r="G118" s="415">
        <f>Attendance!A22</f>
        <v>46134</v>
      </c>
      <c r="H118" s="420" t="str">
        <f>IFERROR(__xludf.DUMMYFUNCTION("REGEXREPLACE(F118, ""\d+$"", """")"),"حيدر يافوز")</f>
        <v>حيدر يافوز</v>
      </c>
    </row>
    <row r="119" ht="22.5" customHeight="1">
      <c r="A119" s="417">
        <f>VLOOKUP(F119, Employees!$A$2:$C957, 3, FALSE)</f>
        <v>1666.666667</v>
      </c>
      <c r="B119" s="418">
        <f>100000 / (DAY(EOMONTH(Attendance!A23,0)) - 4)</f>
        <v>3846.153846</v>
      </c>
      <c r="C119" s="417">
        <f>MAX(0, Attendance!C23 - TIME(9, 0, 0)) * 24 * A119</f>
        <v>1638.888889</v>
      </c>
      <c r="D119" s="419">
        <f>MAX(0, Attendance!D23 - TIME(18, 0, 0)) * 24 * 1.5 * A119</f>
        <v>14958.33333</v>
      </c>
      <c r="E119" s="418">
        <f>IF(AND(Attendance!E23&lt;&gt;"Friday", Attendance!C23&lt;&gt;""), B119, 0)</f>
        <v>3846.153846</v>
      </c>
      <c r="F119" s="420" t="str">
        <f>Attendance!B119</f>
        <v>حيدر يافوز</v>
      </c>
      <c r="G119" s="415">
        <f>Attendance!A23</f>
        <v>46135</v>
      </c>
      <c r="H119" s="420" t="str">
        <f>IFERROR(__xludf.DUMMYFUNCTION("REGEXREPLACE(F119, ""\d+$"", """")"),"حيدر يافوز")</f>
        <v>حيدر يافوز</v>
      </c>
    </row>
    <row r="120" ht="22.5" customHeight="1">
      <c r="A120" s="417">
        <f>VLOOKUP(F120, Employees!$A$2:$C957, 3, FALSE)</f>
        <v>1666.666667</v>
      </c>
      <c r="B120" s="418">
        <f>100000 / (DAY(EOMONTH(Attendance!A24,0)) - 4)</f>
        <v>3846.153846</v>
      </c>
      <c r="C120" s="417">
        <f>MAX(0, Attendance!C24 - TIME(9, 0, 0)) * 24 * A120</f>
        <v>2000</v>
      </c>
      <c r="D120" s="419">
        <f>MAX(0, Attendance!D24 - TIME(18, 0, 0)) * 24 * 1.5 * A120</f>
        <v>0</v>
      </c>
      <c r="E120" s="418">
        <f>IF(AND(Attendance!E24&lt;&gt;"Friday", Attendance!C24&lt;&gt;""), B120, 0)</f>
        <v>3846.153846</v>
      </c>
      <c r="F120" s="420" t="str">
        <f>Attendance!B120</f>
        <v>حيدر يافوز</v>
      </c>
      <c r="G120" s="415">
        <f>Attendance!A24</f>
        <v>46137</v>
      </c>
      <c r="H120" s="420" t="str">
        <f>IFERROR(__xludf.DUMMYFUNCTION("REGEXREPLACE(F120, ""\d+$"", """")"),"حيدر يافوز")</f>
        <v>حيدر يافوز</v>
      </c>
    </row>
    <row r="121" ht="22.5" customHeight="1">
      <c r="A121" s="417">
        <f>VLOOKUP(F121, Employees!$A$2:$C957, 3, FALSE)</f>
        <v>1666.666667</v>
      </c>
      <c r="B121" s="418">
        <f>100000 / (DAY(EOMONTH(Attendance!A25,0)) - 4)</f>
        <v>3846.153846</v>
      </c>
      <c r="C121" s="417">
        <f>MAX(0, Attendance!C25 - TIME(9, 0, 0)) * 24 * A121</f>
        <v>4305.555556</v>
      </c>
      <c r="D121" s="419">
        <f>MAX(0, Attendance!D25 - TIME(18, 0, 0)) * 24 * 1.5 * A121</f>
        <v>8791.666667</v>
      </c>
      <c r="E121" s="418">
        <f>IF(AND(Attendance!E25&lt;&gt;"Friday", Attendance!C25&lt;&gt;""), B121, 0)</f>
        <v>3846.153846</v>
      </c>
      <c r="F121" s="420" t="str">
        <f>Attendance!B121</f>
        <v>حيدر يافوز</v>
      </c>
      <c r="G121" s="415">
        <f>Attendance!A25</f>
        <v>46138</v>
      </c>
      <c r="H121" s="420" t="str">
        <f>IFERROR(__xludf.DUMMYFUNCTION("REGEXREPLACE(F121, ""\d+$"", """")"),"حيدر يافوز")</f>
        <v>حيدر يافوز</v>
      </c>
    </row>
    <row r="122" ht="22.5" customHeight="1">
      <c r="A122" s="417">
        <f>VLOOKUP(F122, Employees!$A$2:$C957, 3, FALSE)</f>
        <v>1666.666667</v>
      </c>
      <c r="B122" s="418">
        <f>100000 / (DAY(EOMONTH(Attendance!A26,0)) - 4)</f>
        <v>3846.153846</v>
      </c>
      <c r="C122" s="417">
        <f>MAX(0, Attendance!C26 - TIME(9, 0, 0)) * 24 * A122</f>
        <v>1333.333333</v>
      </c>
      <c r="D122" s="419">
        <f>MAX(0, Attendance!D26 - TIME(18, 0, 0)) * 24 * 1.5 * A122</f>
        <v>0</v>
      </c>
      <c r="E122" s="418">
        <f>IF(AND(Attendance!E26&lt;&gt;"Friday", Attendance!C26&lt;&gt;""), B122, 0)</f>
        <v>3846.153846</v>
      </c>
      <c r="F122" s="420" t="str">
        <f>Attendance!B122</f>
        <v>حيدر يافوز</v>
      </c>
      <c r="G122" s="415">
        <f>Attendance!A26</f>
        <v>46139</v>
      </c>
      <c r="H122" s="420" t="str">
        <f>IFERROR(__xludf.DUMMYFUNCTION("REGEXREPLACE(F122, ""\d+$"", """")"),"حيدر يافوز")</f>
        <v>حيدر يافوز</v>
      </c>
    </row>
    <row r="123" ht="22.5" customHeight="1">
      <c r="A123" s="417">
        <f>VLOOKUP(F123, Employees!$A$2:$C957, 3, FALSE)</f>
        <v>1666.666667</v>
      </c>
      <c r="B123" s="418">
        <f>100000 / (DAY(EOMONTH(Attendance!A27,0)) - 4)</f>
        <v>3846.153846</v>
      </c>
      <c r="C123" s="417">
        <f>MAX(0, Attendance!C27 - TIME(9, 0, 0)) * 24 * A123</f>
        <v>611.1111111</v>
      </c>
      <c r="D123" s="419">
        <f>MAX(0, Attendance!D27 - TIME(18, 0, 0)) * 24 * 1.5 * A123</f>
        <v>4875</v>
      </c>
      <c r="E123" s="418">
        <f>IF(AND(Attendance!E27&lt;&gt;"Friday", Attendance!C27&lt;&gt;""), B123, 0)</f>
        <v>3846.153846</v>
      </c>
      <c r="F123" s="420" t="str">
        <f>Attendance!B123</f>
        <v>حيدر يافوز</v>
      </c>
      <c r="G123" s="415">
        <f>Attendance!A27</f>
        <v>46141</v>
      </c>
      <c r="H123" s="420" t="str">
        <f>IFERROR(__xludf.DUMMYFUNCTION("REGEXREPLACE(F123, ""\d+$"", """")"),"حيدر يافوز")</f>
        <v>حيدر يافوز</v>
      </c>
    </row>
    <row r="124" ht="22.5" customHeight="1">
      <c r="A124" s="417">
        <f>VLOOKUP(F124, Employees!$A$2:$C957, 3, FALSE)</f>
        <v>1666.666667</v>
      </c>
      <c r="B124" s="418">
        <f>100000 / (DAY(EOMONTH(Attendance!A28,0)) - 4)</f>
        <v>3846.153846</v>
      </c>
      <c r="C124" s="417">
        <f>MAX(0, Attendance!C28 - TIME(9, 0, 0)) * 24 * A124</f>
        <v>0</v>
      </c>
      <c r="D124" s="419">
        <f>MAX(0, Attendance!D28 - TIME(18, 0, 0)) * 24 * 1.5 * A124</f>
        <v>125</v>
      </c>
      <c r="E124" s="418">
        <f>IF(AND(Attendance!E28&lt;&gt;"Friday", Attendance!C28&lt;&gt;""), B124, 0)</f>
        <v>3846.153846</v>
      </c>
      <c r="F124" s="420" t="str">
        <f>Attendance!B124</f>
        <v>حيدر يافوز</v>
      </c>
      <c r="G124" s="415">
        <f>Attendance!A28</f>
        <v>46142</v>
      </c>
      <c r="H124" s="420" t="str">
        <f>IFERROR(__xludf.DUMMYFUNCTION("REGEXREPLACE(F124, ""\d+$"", """")"),"حيدر يافوز")</f>
        <v>حيدر يافوز</v>
      </c>
    </row>
    <row r="125" ht="22.5" customHeight="1">
      <c r="A125" s="417">
        <f>VLOOKUP(F125, Employees!$A$2:$C957, 3, FALSE)</f>
        <v>1666.666667</v>
      </c>
      <c r="B125" s="418">
        <f>100000 / (DAY(EOMONTH(Attendance!A125,0)) - 4)</f>
        <v>3846.153846</v>
      </c>
      <c r="C125" s="417">
        <f>MAX(0, Attendance!C125 - TIME(9, 0, 0)) * 24 * A125</f>
        <v>750</v>
      </c>
      <c r="D125" s="419">
        <f>MAX(0, Attendance!D125 - TIME(18, 0, 0)) * 24 * 1.5 * A125</f>
        <v>12750</v>
      </c>
      <c r="E125" s="418">
        <f>IF(AND(Attendance!E125&lt;&gt;"Friday", Attendance!C125&lt;&gt;""), B125, 0)</f>
        <v>3846.153846</v>
      </c>
      <c r="F125" s="420" t="str">
        <f>Attendance!B125</f>
        <v>حيدر يافوز</v>
      </c>
      <c r="G125" s="415">
        <f>Attendance!A125</f>
        <v>46141</v>
      </c>
      <c r="H125" s="420" t="str">
        <f>IFERROR(__xludf.DUMMYFUNCTION("REGEXREPLACE(F125, ""\d+$"", """")"),"حيدر يافوز")</f>
        <v>حيدر يافوز</v>
      </c>
    </row>
    <row r="126" ht="22.5" customHeight="1">
      <c r="A126" s="417">
        <f>VLOOKUP(F126, Employees!$A$2:$C957, 3, FALSE)</f>
        <v>1666.666667</v>
      </c>
      <c r="B126" s="418">
        <f>100000 / (DAY(EOMONTH(Attendance!A126,0)) - 4)</f>
        <v>3846.153846</v>
      </c>
      <c r="C126" s="417">
        <f>MAX(0, Attendance!C126 - TIME(9, 0, 0)) * 24 * A126</f>
        <v>0</v>
      </c>
      <c r="D126" s="419">
        <f>MAX(0, Attendance!D126 - TIME(18, 0, 0)) * 24 * 1.5 * A126</f>
        <v>125</v>
      </c>
      <c r="E126" s="418">
        <f>IF(AND(Attendance!E126&lt;&gt;"Friday", Attendance!C126&lt;&gt;""), B126, 0)</f>
        <v>3846.153846</v>
      </c>
      <c r="F126" s="420" t="str">
        <f>Attendance!B126</f>
        <v>حيدر يافوز</v>
      </c>
      <c r="G126" s="415">
        <f>Attendance!A126</f>
        <v>46142</v>
      </c>
      <c r="H126" s="420" t="str">
        <f>IFERROR(__xludf.DUMMYFUNCTION("REGEXREPLACE(F126, ""\d+$"", """")"),"حيدر يافوز")</f>
        <v>حيدر يافوز</v>
      </c>
    </row>
    <row r="127" ht="22.5" customHeight="1">
      <c r="A127" s="417">
        <f>VLOOKUP(F127, Employees!$A$2:$C957, 3, FALSE)</f>
        <v>2777.777778</v>
      </c>
      <c r="B127" s="418">
        <f>100000 / (DAY(EOMONTH(Attendance!A127,0)) - 4)</f>
        <v>3846.153846</v>
      </c>
      <c r="C127" s="417">
        <f>MAX(0, Attendance!C127 - TIME(9, 0, 0)) * 24 * A127</f>
        <v>0</v>
      </c>
      <c r="D127" s="419">
        <f>MAX(0, Attendance!D127 - TIME(18, 0, 0)) * 24 * 1.5 * A127</f>
        <v>4166.666667</v>
      </c>
      <c r="E127" s="418">
        <f>IF(AND(Attendance!E127&lt;&gt;"Friday", Attendance!C127&lt;&gt;""), B127, 0)</f>
        <v>3846.153846</v>
      </c>
      <c r="F127" s="420" t="str">
        <f>Attendance!B127</f>
        <v>حسين سالم</v>
      </c>
      <c r="G127" s="415">
        <f>Attendance!A127</f>
        <v>46130</v>
      </c>
      <c r="H127" s="420" t="str">
        <f>IFERROR(__xludf.DUMMYFUNCTION("REGEXREPLACE(F127, ""\d+$"", """")"),"حسين سالم")</f>
        <v>حسين سالم</v>
      </c>
    </row>
    <row r="128" ht="22.5" customHeight="1">
      <c r="A128" s="417">
        <f>VLOOKUP(F128, Employees!$A$2:$C957, 3, FALSE)</f>
        <v>2777.777778</v>
      </c>
      <c r="B128" s="418">
        <f>100000 / (DAY(EOMONTH(Attendance!A128,0)) - 4)</f>
        <v>3846.153846</v>
      </c>
      <c r="C128" s="417">
        <f>MAX(0, Attendance!C128 - TIME(9, 0, 0)) * 24 * A128</f>
        <v>0</v>
      </c>
      <c r="D128" s="419">
        <f>MAX(0, Attendance!D128 - TIME(18, 0, 0)) * 24 * 1.5 * A128</f>
        <v>4166.666667</v>
      </c>
      <c r="E128" s="418">
        <f>IF(AND(Attendance!E128&lt;&gt;"Friday", Attendance!C128&lt;&gt;""), B128, 0)</f>
        <v>3846.153846</v>
      </c>
      <c r="F128" s="420" t="str">
        <f>Attendance!B128</f>
        <v>حسين سالم</v>
      </c>
      <c r="G128" s="415">
        <f>Attendance!A128</f>
        <v>46131</v>
      </c>
      <c r="H128" s="420" t="str">
        <f>IFERROR(__xludf.DUMMYFUNCTION("REGEXREPLACE(F128, ""\d+$"", """")"),"حسين سالم")</f>
        <v>حسين سالم</v>
      </c>
    </row>
    <row r="129" ht="22.5" customHeight="1">
      <c r="A129" s="417">
        <f>VLOOKUP(F129, Employees!$A$2:$C957, 3, FALSE)</f>
        <v>2777.777778</v>
      </c>
      <c r="B129" s="418">
        <f>100000 / (DAY(EOMONTH(Attendance!A129,0)) - 4)</f>
        <v>3846.153846</v>
      </c>
      <c r="C129" s="417">
        <f>MAX(0, Attendance!C129 - TIME(9, 0, 0)) * 24 * A129</f>
        <v>0</v>
      </c>
      <c r="D129" s="419">
        <f>MAX(0, Attendance!D129 - TIME(18, 0, 0)) * 24 * 1.5 * A129</f>
        <v>4166.666667</v>
      </c>
      <c r="E129" s="418">
        <f>IF(AND(Attendance!E129&lt;&gt;"Friday", Attendance!C129&lt;&gt;""), B129, 0)</f>
        <v>3846.153846</v>
      </c>
      <c r="F129" s="420" t="str">
        <f>Attendance!B129</f>
        <v>حسين سالم</v>
      </c>
      <c r="G129" s="415">
        <f>Attendance!A129</f>
        <v>46132</v>
      </c>
      <c r="H129" s="420" t="str">
        <f>IFERROR(__xludf.DUMMYFUNCTION("REGEXREPLACE(F129, ""\d+$"", """")"),"حسين سالم")</f>
        <v>حسين سالم</v>
      </c>
    </row>
    <row r="130" ht="22.5" customHeight="1">
      <c r="A130" s="417">
        <f>VLOOKUP(F130, Employees!$A$2:$C957, 3, FALSE)</f>
        <v>2777.777778</v>
      </c>
      <c r="B130" s="418">
        <f>100000 / (DAY(EOMONTH(Attendance!A130,0)) - 4)</f>
        <v>3846.153846</v>
      </c>
      <c r="C130" s="417">
        <f>MAX(0, Attendance!C130 - TIME(9, 0, 0)) * 24 * A130</f>
        <v>0</v>
      </c>
      <c r="D130" s="419">
        <f>MAX(0, Attendance!D130 - TIME(18, 0, 0)) * 24 * 1.5 * A130</f>
        <v>4166.666667</v>
      </c>
      <c r="E130" s="418">
        <f>IF(AND(Attendance!E130&lt;&gt;"Friday", Attendance!C130&lt;&gt;""), B130, 0)</f>
        <v>3846.153846</v>
      </c>
      <c r="F130" s="420" t="str">
        <f>Attendance!B130</f>
        <v>حسين سالم</v>
      </c>
      <c r="G130" s="415">
        <f>Attendance!A130</f>
        <v>46133</v>
      </c>
      <c r="H130" s="420" t="str">
        <f>IFERROR(__xludf.DUMMYFUNCTION("REGEXREPLACE(F130, ""\d+$"", """")"),"حسين سالم")</f>
        <v>حسين سالم</v>
      </c>
    </row>
    <row r="131" ht="22.5" customHeight="1">
      <c r="A131" s="417">
        <f>VLOOKUP(F131, Employees!$A$2:$C957, 3, FALSE)</f>
        <v>2777.777778</v>
      </c>
      <c r="B131" s="418">
        <f>100000 / (DAY(EOMONTH(Attendance!A131,0)) - 4)</f>
        <v>3846.153846</v>
      </c>
      <c r="C131" s="417">
        <f>MAX(0, Attendance!C131 - TIME(9, 0, 0)) * 24 * A131</f>
        <v>0</v>
      </c>
      <c r="D131" s="419">
        <f>MAX(0, Attendance!D131 - TIME(18, 0, 0)) * 24 * 1.5 * A131</f>
        <v>4166.666667</v>
      </c>
      <c r="E131" s="418">
        <f>IF(AND(Attendance!E131&lt;&gt;"Friday", Attendance!C131&lt;&gt;""), B131, 0)</f>
        <v>3846.153846</v>
      </c>
      <c r="F131" s="420" t="str">
        <f>Attendance!B131</f>
        <v>حسين سالم</v>
      </c>
      <c r="G131" s="415">
        <f>Attendance!A131</f>
        <v>46134</v>
      </c>
      <c r="H131" s="420" t="str">
        <f>IFERROR(__xludf.DUMMYFUNCTION("REGEXREPLACE(F131, ""\d+$"", """")"),"حسين سالم")</f>
        <v>حسين سالم</v>
      </c>
    </row>
    <row r="132" ht="22.5" customHeight="1">
      <c r="A132" s="417">
        <f>VLOOKUP(F132, Employees!$A$2:$C957, 3, FALSE)</f>
        <v>2777.777778</v>
      </c>
      <c r="B132" s="418">
        <f>100000 / (DAY(EOMONTH(Attendance!A132,0)) - 4)</f>
        <v>3846.153846</v>
      </c>
      <c r="C132" s="417">
        <f>MAX(0, Attendance!C132 - TIME(9, 0, 0)) * 24 * A132</f>
        <v>0</v>
      </c>
      <c r="D132" s="419">
        <f>MAX(0, Attendance!D132 - TIME(18, 0, 0)) * 24 * 1.5 * A132</f>
        <v>4166.666667</v>
      </c>
      <c r="E132" s="418">
        <f>IF(AND(Attendance!E132&lt;&gt;"Friday", Attendance!C132&lt;&gt;""), B132, 0)</f>
        <v>3846.153846</v>
      </c>
      <c r="F132" s="420" t="str">
        <f>Attendance!B132</f>
        <v>حسين سالم</v>
      </c>
      <c r="G132" s="415">
        <f>Attendance!A132</f>
        <v>46135</v>
      </c>
      <c r="H132" s="420" t="str">
        <f>IFERROR(__xludf.DUMMYFUNCTION("REGEXREPLACE(F132, ""\d+$"", """")"),"حسين سالم")</f>
        <v>حسين سالم</v>
      </c>
    </row>
    <row r="133" ht="22.5" customHeight="1">
      <c r="A133" s="417">
        <f>VLOOKUP(F133, Employees!$A$2:$C957, 3, FALSE)</f>
        <v>2777.777778</v>
      </c>
      <c r="B133" s="418">
        <f>100000 / (DAY(EOMONTH(Attendance!A133,0)) - 4)</f>
        <v>3846.153846</v>
      </c>
      <c r="C133" s="417">
        <f>MAX(0, Attendance!C133 - TIME(9, 0, 0)) * 24 * A133</f>
        <v>0</v>
      </c>
      <c r="D133" s="419">
        <f>MAX(0, Attendance!D133 - TIME(18, 0, 0)) * 24 * 1.5 * A133</f>
        <v>4166.666667</v>
      </c>
      <c r="E133" s="418">
        <f>IF(AND(Attendance!E133&lt;&gt;"Friday", Attendance!C133&lt;&gt;""), B133, 0)</f>
        <v>3846.153846</v>
      </c>
      <c r="F133" s="420" t="str">
        <f>Attendance!B133</f>
        <v>حسين سالم</v>
      </c>
      <c r="G133" s="415">
        <f>Attendance!A133</f>
        <v>46136</v>
      </c>
      <c r="H133" s="420" t="str">
        <f>IFERROR(__xludf.DUMMYFUNCTION("REGEXREPLACE(F133, ""\d+$"", """")"),"حسين سالم")</f>
        <v>حسين سالم</v>
      </c>
    </row>
    <row r="134" ht="22.5" customHeight="1">
      <c r="A134" s="417">
        <f>VLOOKUP(F134, Employees!$A$2:$C957, 3, FALSE)</f>
        <v>2777.777778</v>
      </c>
      <c r="B134" s="418">
        <f>100000 / (DAY(EOMONTH(Attendance!A134,0)) - 4)</f>
        <v>3846.153846</v>
      </c>
      <c r="C134" s="417">
        <f>MAX(0, Attendance!C134 - TIME(9, 0, 0)) * 24 * A134</f>
        <v>0</v>
      </c>
      <c r="D134" s="419">
        <f>MAX(0, Attendance!D134 - TIME(18, 0, 0)) * 24 * 1.5 * A134</f>
        <v>4166.666667</v>
      </c>
      <c r="E134" s="418">
        <f>IF(AND(Attendance!E134&lt;&gt;"Friday", Attendance!C134&lt;&gt;""), B134, 0)</f>
        <v>3846.153846</v>
      </c>
      <c r="F134" s="420" t="str">
        <f>Attendance!B134</f>
        <v>حسين سالم</v>
      </c>
      <c r="G134" s="415">
        <f>Attendance!A134</f>
        <v>46137</v>
      </c>
      <c r="H134" s="420" t="str">
        <f>IFERROR(__xludf.DUMMYFUNCTION("REGEXREPLACE(F134, ""\d+$"", """")"),"حسين سالم")</f>
        <v>حسين سالم</v>
      </c>
    </row>
    <row r="135" ht="22.5" customHeight="1">
      <c r="A135" s="417">
        <f>VLOOKUP(F135, Employees!$A$2:$C957, 3, FALSE)</f>
        <v>2777.777778</v>
      </c>
      <c r="B135" s="418">
        <f>100000 / (DAY(EOMONTH(Attendance!A135,0)) - 4)</f>
        <v>3846.153846</v>
      </c>
      <c r="C135" s="417">
        <f>MAX(0, Attendance!C135 - TIME(9, 0, 0)) * 24 * A135</f>
        <v>0</v>
      </c>
      <c r="D135" s="419">
        <f>MAX(0, Attendance!D135 - TIME(18, 0, 0)) * 24 * 1.5 * A135</f>
        <v>4166.666667</v>
      </c>
      <c r="E135" s="418">
        <f>IF(AND(Attendance!E135&lt;&gt;"Friday", Attendance!C135&lt;&gt;""), B135, 0)</f>
        <v>3846.153846</v>
      </c>
      <c r="F135" s="420" t="str">
        <f>Attendance!B135</f>
        <v>حسين سالم</v>
      </c>
      <c r="G135" s="415">
        <f>Attendance!A135</f>
        <v>46138</v>
      </c>
      <c r="H135" s="420" t="str">
        <f>IFERROR(__xludf.DUMMYFUNCTION("REGEXREPLACE(F135, ""\d+$"", """")"),"حسين سالم")</f>
        <v>حسين سالم</v>
      </c>
    </row>
    <row r="136" ht="22.5" customHeight="1">
      <c r="A136" s="417">
        <f>VLOOKUP(F136, Employees!$A$2:$C957, 3, FALSE)</f>
        <v>2777.777778</v>
      </c>
      <c r="B136" s="418">
        <f>100000 / (DAY(EOMONTH(Attendance!A136,0)) - 4)</f>
        <v>3846.153846</v>
      </c>
      <c r="C136" s="417">
        <f>MAX(0, Attendance!C136 - TIME(9, 0, 0)) * 24 * A136</f>
        <v>0</v>
      </c>
      <c r="D136" s="419">
        <f>MAX(0, Attendance!D136 - TIME(18, 0, 0)) * 24 * 1.5 * A136</f>
        <v>4166.666667</v>
      </c>
      <c r="E136" s="418">
        <f>IF(AND(Attendance!E136&lt;&gt;"Friday", Attendance!C136&lt;&gt;""), B136, 0)</f>
        <v>3846.153846</v>
      </c>
      <c r="F136" s="420" t="str">
        <f>Attendance!B136</f>
        <v>حسين سالم</v>
      </c>
      <c r="G136" s="415">
        <f>Attendance!A136</f>
        <v>46139</v>
      </c>
      <c r="H136" s="420" t="str">
        <f>IFERROR(__xludf.DUMMYFUNCTION("REGEXREPLACE(F136, ""\d+$"", """")"),"حسين سالم")</f>
        <v>حسين سالم</v>
      </c>
    </row>
    <row r="137" ht="22.5" customHeight="1">
      <c r="A137" s="417">
        <f>VLOOKUP(F137, Employees!$A$2:$C957, 3, FALSE)</f>
        <v>2777.777778</v>
      </c>
      <c r="B137" s="418">
        <f>100000 / (DAY(EOMONTH(Attendance!A137,0)) - 4)</f>
        <v>3846.153846</v>
      </c>
      <c r="C137" s="417">
        <f>MAX(0, Attendance!C137 - TIME(9, 0, 0)) * 24 * A137</f>
        <v>0</v>
      </c>
      <c r="D137" s="419">
        <f>MAX(0, Attendance!D137 - TIME(18, 0, 0)) * 24 * 1.5 * A137</f>
        <v>4166.666667</v>
      </c>
      <c r="E137" s="418">
        <f>IF(AND(Attendance!E137&lt;&gt;"Friday", Attendance!C137&lt;&gt;""), B137, 0)</f>
        <v>3846.153846</v>
      </c>
      <c r="F137" s="420" t="str">
        <f>Attendance!B137</f>
        <v>حسين سالم</v>
      </c>
      <c r="G137" s="415">
        <f>Attendance!A137</f>
        <v>46140</v>
      </c>
      <c r="H137" s="420" t="str">
        <f>IFERROR(__xludf.DUMMYFUNCTION("REGEXREPLACE(F137, ""\d+$"", """")"),"حسين سالم")</f>
        <v>حسين سالم</v>
      </c>
    </row>
    <row r="138" ht="22.5" customHeight="1">
      <c r="A138" s="417">
        <f>VLOOKUP(F138, Employees!$A$2:$C957, 3, FALSE)</f>
        <v>2777.777778</v>
      </c>
      <c r="B138" s="418">
        <f>100000 / (DAY(EOMONTH(Attendance!A138,0)) - 4)</f>
        <v>3846.153846</v>
      </c>
      <c r="C138" s="417">
        <f>MAX(0, Attendance!C138 - TIME(9, 0, 0)) * 24 * A138</f>
        <v>1527.777778</v>
      </c>
      <c r="D138" s="419">
        <f>MAX(0, Attendance!D138 - TIME(18, 0, 0)) * 24 * 1.5 * A138</f>
        <v>11597.22222</v>
      </c>
      <c r="E138" s="418">
        <f>IF(AND(Attendance!E138&lt;&gt;"Friday", Attendance!C138&lt;&gt;""), B138, 0)</f>
        <v>3846.153846</v>
      </c>
      <c r="F138" s="420" t="str">
        <f>Attendance!B138</f>
        <v>حسين سالم</v>
      </c>
      <c r="G138" s="415">
        <f>Attendance!A138</f>
        <v>46141</v>
      </c>
      <c r="H138" s="420" t="str">
        <f>IFERROR(__xludf.DUMMYFUNCTION("REGEXREPLACE(F138, ""\d+$"", """")"),"حسين سالم")</f>
        <v>حسين سالم</v>
      </c>
    </row>
    <row r="139" ht="22.5" customHeight="1">
      <c r="A139" s="417">
        <f>VLOOKUP(F139, Employees!$A$2:$C957, 3, FALSE)</f>
        <v>2777.777778</v>
      </c>
      <c r="B139" s="418">
        <f>100000 / (DAY(EOMONTH(Attendance!A139,0)) - 4)</f>
        <v>3846.153846</v>
      </c>
      <c r="C139" s="417">
        <f>MAX(0, Attendance!C139 - TIME(9, 0, 0)) * 24 * A139</f>
        <v>0</v>
      </c>
      <c r="D139" s="419">
        <f>MAX(0, Attendance!D139 - TIME(18, 0, 0)) * 24 * 1.5 * A139</f>
        <v>1180.555556</v>
      </c>
      <c r="E139" s="418">
        <f>IF(AND(Attendance!E139&lt;&gt;"Friday", Attendance!C139&lt;&gt;""), B139, 0)</f>
        <v>3846.153846</v>
      </c>
      <c r="F139" s="420" t="str">
        <f>Attendance!B139</f>
        <v>حسين سالم</v>
      </c>
      <c r="G139" s="415">
        <f>Attendance!A139</f>
        <v>46142</v>
      </c>
      <c r="H139" s="420" t="str">
        <f>IFERROR(__xludf.DUMMYFUNCTION("REGEXREPLACE(F139, ""\d+$"", """")"),"حسين سالم")</f>
        <v>حسين سالم</v>
      </c>
    </row>
    <row r="140" ht="22.5" customHeight="1">
      <c r="A140" s="417">
        <f>VLOOKUP(F140, Employees!$A$2:$C957, 3, FALSE)</f>
        <v>1481.481481</v>
      </c>
      <c r="B140" s="418">
        <f>100000 / (DAY(EOMONTH(Attendance!A140,0)) - 4)</f>
        <v>3846.153846</v>
      </c>
      <c r="C140" s="417">
        <f>MAX(0, Attendance!C140 - TIME(9, 0, 0)) * 24 * A140</f>
        <v>0</v>
      </c>
      <c r="D140" s="419">
        <f>MAX(0, Attendance!D140 - TIME(18, 0, 0)) * 24 * 1.5 * A140</f>
        <v>2222.222222</v>
      </c>
      <c r="E140" s="418">
        <f>IF(AND(Attendance!E140&lt;&gt;"Friday", Attendance!C140&lt;&gt;""), B140, 0)</f>
        <v>3846.153846</v>
      </c>
      <c r="F140" s="420" t="str">
        <f>Attendance!B140</f>
        <v>حيدر محمد</v>
      </c>
      <c r="G140" s="415">
        <f>Attendance!A140</f>
        <v>46130</v>
      </c>
      <c r="H140" s="420" t="str">
        <f>IFERROR(__xludf.DUMMYFUNCTION("REGEXREPLACE(F140, ""\d+$"", """")"),"حيدر محمد")</f>
        <v>حيدر محمد</v>
      </c>
    </row>
    <row r="141" ht="22.5" customHeight="1">
      <c r="A141" s="417">
        <f>VLOOKUP(F141, Employees!$A$2:$C957, 3, FALSE)</f>
        <v>1481.481481</v>
      </c>
      <c r="B141" s="418">
        <f>100000 / (DAY(EOMONTH(Attendance!A141,0)) - 4)</f>
        <v>3846.153846</v>
      </c>
      <c r="C141" s="417">
        <f>MAX(0, Attendance!C141 - TIME(9, 0, 0)) * 24 * A141</f>
        <v>0</v>
      </c>
      <c r="D141" s="419">
        <f>MAX(0, Attendance!D141 - TIME(18, 0, 0)) * 24 * 1.5 * A141</f>
        <v>2222.222222</v>
      </c>
      <c r="E141" s="418">
        <f>IF(AND(Attendance!E141&lt;&gt;"Friday", Attendance!C141&lt;&gt;""), B141, 0)</f>
        <v>3846.153846</v>
      </c>
      <c r="F141" s="420" t="str">
        <f>Attendance!B141</f>
        <v>حيدر محمد</v>
      </c>
      <c r="G141" s="415">
        <f>Attendance!A141</f>
        <v>46131</v>
      </c>
      <c r="H141" s="420" t="str">
        <f>IFERROR(__xludf.DUMMYFUNCTION("REGEXREPLACE(F141, ""\d+$"", """")"),"حيدر محمد")</f>
        <v>حيدر محمد</v>
      </c>
    </row>
    <row r="142" ht="22.5" customHeight="1">
      <c r="A142" s="417">
        <f>VLOOKUP(F142, Employees!$A$2:$C957, 3, FALSE)</f>
        <v>1481.481481</v>
      </c>
      <c r="B142" s="418">
        <f>100000 / (DAY(EOMONTH(Attendance!A142,0)) - 4)</f>
        <v>3846.153846</v>
      </c>
      <c r="C142" s="417">
        <f>MAX(0, Attendance!C142 - TIME(9, 0, 0)) * 24 * A142</f>
        <v>0</v>
      </c>
      <c r="D142" s="419">
        <f>MAX(0, Attendance!D142 - TIME(18, 0, 0)) * 24 * 1.5 * A142</f>
        <v>2222.222222</v>
      </c>
      <c r="E142" s="418">
        <f>IF(AND(Attendance!E142&lt;&gt;"Friday", Attendance!C142&lt;&gt;""), B142, 0)</f>
        <v>3846.153846</v>
      </c>
      <c r="F142" s="420" t="str">
        <f>Attendance!B142</f>
        <v>حيدر محمد</v>
      </c>
      <c r="G142" s="415">
        <f>Attendance!A142</f>
        <v>46132</v>
      </c>
      <c r="H142" s="420" t="str">
        <f>IFERROR(__xludf.DUMMYFUNCTION("REGEXREPLACE(F142, ""\d+$"", """")"),"حيدر محمد")</f>
        <v>حيدر محمد</v>
      </c>
    </row>
    <row r="143" ht="22.5" customHeight="1">
      <c r="A143" s="417">
        <f>VLOOKUP(F143, Employees!$A$2:$C957, 3, FALSE)</f>
        <v>1481.481481</v>
      </c>
      <c r="B143" s="418">
        <f>100000 / (DAY(EOMONTH(Attendance!A143,0)) - 4)</f>
        <v>3846.153846</v>
      </c>
      <c r="C143" s="417">
        <f>MAX(0, Attendance!C143 - TIME(9, 0, 0)) * 24 * A143</f>
        <v>0</v>
      </c>
      <c r="D143" s="419">
        <f>MAX(0, Attendance!D143 - TIME(18, 0, 0)) * 24 * 1.5 * A143</f>
        <v>2222.222222</v>
      </c>
      <c r="E143" s="418">
        <f>IF(AND(Attendance!E143&lt;&gt;"Friday", Attendance!C143&lt;&gt;""), B143, 0)</f>
        <v>3846.153846</v>
      </c>
      <c r="F143" s="420" t="str">
        <f>Attendance!B143</f>
        <v>حيدر محمد</v>
      </c>
      <c r="G143" s="415">
        <f>Attendance!A143</f>
        <v>46133</v>
      </c>
      <c r="H143" s="420" t="str">
        <f>IFERROR(__xludf.DUMMYFUNCTION("REGEXREPLACE(F143, ""\d+$"", """")"),"حيدر محمد")</f>
        <v>حيدر محمد</v>
      </c>
    </row>
    <row r="144" ht="22.5" customHeight="1">
      <c r="A144" s="417">
        <f>VLOOKUP(F144, Employees!$A$2:$C957, 3, FALSE)</f>
        <v>1481.481481</v>
      </c>
      <c r="B144" s="418">
        <f>100000 / (DAY(EOMONTH(Attendance!A144,0)) - 4)</f>
        <v>3846.153846</v>
      </c>
      <c r="C144" s="417">
        <f>MAX(0, Attendance!C144 - TIME(9, 0, 0)) * 24 * A144</f>
        <v>0</v>
      </c>
      <c r="D144" s="419">
        <f>MAX(0, Attendance!D144 - TIME(18, 0, 0)) * 24 * 1.5 * A144</f>
        <v>2222.222222</v>
      </c>
      <c r="E144" s="418">
        <f>IF(AND(Attendance!E144&lt;&gt;"Friday", Attendance!C144&lt;&gt;""), B144, 0)</f>
        <v>3846.153846</v>
      </c>
      <c r="F144" s="420" t="str">
        <f>Attendance!B144</f>
        <v>حيدر محمد</v>
      </c>
      <c r="G144" s="415">
        <f>Attendance!A144</f>
        <v>46134</v>
      </c>
      <c r="H144" s="420" t="str">
        <f>IFERROR(__xludf.DUMMYFUNCTION("REGEXREPLACE(F144, ""\d+$"", """")"),"حيدر محمد")</f>
        <v>حيدر محمد</v>
      </c>
    </row>
    <row r="145" ht="22.5" customHeight="1">
      <c r="A145" s="417">
        <f>VLOOKUP(F145, Employees!$A$2:$C957, 3, FALSE)</f>
        <v>1481.481481</v>
      </c>
      <c r="B145" s="418">
        <f>100000 / (DAY(EOMONTH(Attendance!A145,0)) - 4)</f>
        <v>3846.153846</v>
      </c>
      <c r="C145" s="417">
        <f>MAX(0, Attendance!C145 - TIME(9, 0, 0)) * 24 * A145</f>
        <v>0</v>
      </c>
      <c r="D145" s="419">
        <f>MAX(0, Attendance!D145 - TIME(18, 0, 0)) * 24 * 1.5 * A145</f>
        <v>2222.222222</v>
      </c>
      <c r="E145" s="418">
        <f>IF(AND(Attendance!E145&lt;&gt;"Friday", Attendance!C145&lt;&gt;""), B145, 0)</f>
        <v>3846.153846</v>
      </c>
      <c r="F145" s="420" t="str">
        <f>Attendance!B145</f>
        <v>حيدر محمد</v>
      </c>
      <c r="G145" s="415">
        <f>Attendance!A145</f>
        <v>46135</v>
      </c>
      <c r="H145" s="420" t="str">
        <f>IFERROR(__xludf.DUMMYFUNCTION("REGEXREPLACE(F145, ""\d+$"", """")"),"حيدر محمد")</f>
        <v>حيدر محمد</v>
      </c>
    </row>
    <row r="146" ht="22.5" customHeight="1">
      <c r="A146" s="417">
        <f>VLOOKUP(F146, Employees!$A$2:$C957, 3, FALSE)</f>
        <v>1481.481481</v>
      </c>
      <c r="B146" s="418">
        <f>100000 / (DAY(EOMONTH(Attendance!A146,0)) - 4)</f>
        <v>3846.153846</v>
      </c>
      <c r="C146" s="417">
        <f>MAX(0, Attendance!C146 - TIME(9, 0, 0)) * 24 * A146</f>
        <v>0</v>
      </c>
      <c r="D146" s="419">
        <f>MAX(0, Attendance!D146 - TIME(18, 0, 0)) * 24 * 1.5 * A146</f>
        <v>2222.222222</v>
      </c>
      <c r="E146" s="418">
        <f>IF(AND(Attendance!E146&lt;&gt;"Friday", Attendance!C146&lt;&gt;""), B146, 0)</f>
        <v>3846.153846</v>
      </c>
      <c r="F146" s="420" t="str">
        <f>Attendance!B146</f>
        <v>حيدر محمد</v>
      </c>
      <c r="G146" s="415">
        <f>Attendance!A146</f>
        <v>46136</v>
      </c>
      <c r="H146" s="420" t="str">
        <f>IFERROR(__xludf.DUMMYFUNCTION("REGEXREPLACE(F146, ""\d+$"", """")"),"حيدر محمد")</f>
        <v>حيدر محمد</v>
      </c>
    </row>
    <row r="147" ht="22.5" customHeight="1">
      <c r="A147" s="417">
        <f>VLOOKUP(F147, Employees!$A$2:$C957, 3, FALSE)</f>
        <v>1481.481481</v>
      </c>
      <c r="B147" s="418">
        <f>100000 / (DAY(EOMONTH(Attendance!A147,0)) - 4)</f>
        <v>3846.153846</v>
      </c>
      <c r="C147" s="417">
        <f>MAX(0, Attendance!C147 - TIME(9, 0, 0)) * 24 * A147</f>
        <v>0</v>
      </c>
      <c r="D147" s="419">
        <f>MAX(0, Attendance!D147 - TIME(18, 0, 0)) * 24 * 1.5 * A147</f>
        <v>2222.222222</v>
      </c>
      <c r="E147" s="418">
        <f>IF(AND(Attendance!E147&lt;&gt;"Friday", Attendance!C147&lt;&gt;""), B147, 0)</f>
        <v>3846.153846</v>
      </c>
      <c r="F147" s="420" t="str">
        <f>Attendance!B147</f>
        <v>حيدر محمد</v>
      </c>
      <c r="G147" s="415">
        <f>Attendance!A147</f>
        <v>46137</v>
      </c>
      <c r="H147" s="420" t="str">
        <f>IFERROR(__xludf.DUMMYFUNCTION("REGEXREPLACE(F147, ""\d+$"", """")"),"حيدر محمد")</f>
        <v>حيدر محمد</v>
      </c>
    </row>
    <row r="148" ht="22.5" customHeight="1">
      <c r="A148" s="417">
        <f>VLOOKUP(F148, Employees!$A$2:$C957, 3, FALSE)</f>
        <v>1481.481481</v>
      </c>
      <c r="B148" s="418">
        <f>100000 / (DAY(EOMONTH(Attendance!A148,0)) - 4)</f>
        <v>3846.153846</v>
      </c>
      <c r="C148" s="417">
        <f>MAX(0, Attendance!C148 - TIME(9, 0, 0)) * 24 * A148</f>
        <v>0</v>
      </c>
      <c r="D148" s="419">
        <f>MAX(0, Attendance!D148 - TIME(18, 0, 0)) * 24 * 1.5 * A148</f>
        <v>2222.222222</v>
      </c>
      <c r="E148" s="418">
        <f>IF(AND(Attendance!E148&lt;&gt;"Friday", Attendance!C148&lt;&gt;""), B148, 0)</f>
        <v>3846.153846</v>
      </c>
      <c r="F148" s="420" t="str">
        <f>Attendance!B148</f>
        <v>حيدر محمد</v>
      </c>
      <c r="G148" s="415">
        <f>Attendance!A148</f>
        <v>46138</v>
      </c>
      <c r="H148" s="420" t="str">
        <f>IFERROR(__xludf.DUMMYFUNCTION("REGEXREPLACE(F148, ""\d+$"", """")"),"حيدر محمد")</f>
        <v>حيدر محمد</v>
      </c>
    </row>
    <row r="149" ht="22.5" customHeight="1">
      <c r="A149" s="417">
        <f>VLOOKUP(F149, Employees!$A$2:$C957, 3, FALSE)</f>
        <v>1481.481481</v>
      </c>
      <c r="B149" s="418">
        <f>100000 / (DAY(EOMONTH(Attendance!A149,0)) - 4)</f>
        <v>3846.153846</v>
      </c>
      <c r="C149" s="417">
        <f>MAX(0, Attendance!C149 - TIME(9, 0, 0)) * 24 * A149</f>
        <v>0</v>
      </c>
      <c r="D149" s="419">
        <f>MAX(0, Attendance!D149 - TIME(18, 0, 0)) * 24 * 1.5 * A149</f>
        <v>2222.222222</v>
      </c>
      <c r="E149" s="418">
        <f>IF(AND(Attendance!E149&lt;&gt;"Friday", Attendance!C149&lt;&gt;""), B149, 0)</f>
        <v>3846.153846</v>
      </c>
      <c r="F149" s="420" t="str">
        <f>Attendance!B149</f>
        <v>حيدر محمد</v>
      </c>
      <c r="G149" s="415">
        <f>Attendance!A149</f>
        <v>46139</v>
      </c>
      <c r="H149" s="420" t="str">
        <f>IFERROR(__xludf.DUMMYFUNCTION("REGEXREPLACE(F149, ""\d+$"", """")"),"حيدر محمد")</f>
        <v>حيدر محمد</v>
      </c>
    </row>
    <row r="150" ht="22.5" customHeight="1">
      <c r="A150" s="417">
        <f>VLOOKUP(F150, Employees!$A$2:$C957, 3, FALSE)</f>
        <v>1481.481481</v>
      </c>
      <c r="B150" s="418">
        <f>100000 / (DAY(EOMONTH(Attendance!A150,0)) - 4)</f>
        <v>3846.153846</v>
      </c>
      <c r="C150" s="417">
        <f>MAX(0, Attendance!C150 - TIME(9, 0, 0)) * 24 * A150</f>
        <v>0</v>
      </c>
      <c r="D150" s="419">
        <f>MAX(0, Attendance!D150 - TIME(18, 0, 0)) * 24 * 1.5 * A150</f>
        <v>2222.222222</v>
      </c>
      <c r="E150" s="418">
        <f>IF(AND(Attendance!E150&lt;&gt;"Friday", Attendance!C150&lt;&gt;""), B150, 0)</f>
        <v>3846.153846</v>
      </c>
      <c r="F150" s="420" t="str">
        <f>Attendance!B150</f>
        <v>حيدر محمد</v>
      </c>
      <c r="G150" s="415">
        <f>Attendance!A150</f>
        <v>46140</v>
      </c>
      <c r="H150" s="420" t="str">
        <f>IFERROR(__xludf.DUMMYFUNCTION("REGEXREPLACE(F150, ""\d+$"", """")"),"حيدر محمد")</f>
        <v>حيدر محمد</v>
      </c>
    </row>
    <row r="151" ht="22.5" customHeight="1">
      <c r="A151" s="417">
        <f>VLOOKUP(F151, Employees!$A$2:$C957, 3, FALSE)</f>
        <v>1481.481481</v>
      </c>
      <c r="B151" s="418">
        <f>100000 / (DAY(EOMONTH(Attendance!A151,0)) - 4)</f>
        <v>3846.153846</v>
      </c>
      <c r="C151" s="417">
        <f>MAX(0, Attendance!C151 - TIME(9, 0, 0)) * 24 * A151</f>
        <v>518.5185185</v>
      </c>
      <c r="D151" s="419">
        <f>MAX(0, Attendance!D151 - TIME(18, 0, 0)) * 24 * 1.5 * A151</f>
        <v>11296.2963</v>
      </c>
      <c r="E151" s="418">
        <f>IF(AND(Attendance!E151&lt;&gt;"Friday", Attendance!C151&lt;&gt;""), B151, 0)</f>
        <v>3846.153846</v>
      </c>
      <c r="F151" s="420" t="str">
        <f>Attendance!B151</f>
        <v>حيدر محمد</v>
      </c>
      <c r="G151" s="415">
        <f>Attendance!A151</f>
        <v>46141</v>
      </c>
      <c r="H151" s="420" t="str">
        <f>IFERROR(__xludf.DUMMYFUNCTION("REGEXREPLACE(F151, ""\d+$"", """")"),"حيدر محمد")</f>
        <v>حيدر محمد</v>
      </c>
    </row>
    <row r="152" ht="22.5" customHeight="1">
      <c r="A152" s="417">
        <f>VLOOKUP(F152, Employees!$A$2:$C957, 3, FALSE)</f>
        <v>1481.481481</v>
      </c>
      <c r="B152" s="418">
        <f>100000 / (DAY(EOMONTH(Attendance!A152,0)) - 4)</f>
        <v>3846.153846</v>
      </c>
      <c r="C152" s="417">
        <f>MAX(0, Attendance!C152 - TIME(9, 0, 0)) * 24 * A152</f>
        <v>0</v>
      </c>
      <c r="D152" s="419">
        <f>MAX(0, Attendance!D152 - TIME(18, 0, 0)) * 24 * 1.5 * A152</f>
        <v>111.1111111</v>
      </c>
      <c r="E152" s="418">
        <f>IF(AND(Attendance!E152&lt;&gt;"Friday", Attendance!C152&lt;&gt;""), B152, 0)</f>
        <v>3846.153846</v>
      </c>
      <c r="F152" s="420" t="str">
        <f>Attendance!B152</f>
        <v>حيدر محمد</v>
      </c>
      <c r="G152" s="415">
        <f>Attendance!A152</f>
        <v>46142</v>
      </c>
      <c r="H152" s="420" t="str">
        <f>IFERROR(__xludf.DUMMYFUNCTION("REGEXREPLACE(F152, ""\d+$"", """")"),"حيدر محمد")</f>
        <v>حيدر محمد</v>
      </c>
    </row>
    <row r="153" ht="22.5" customHeight="1">
      <c r="A153" s="417" t="str">
        <f>VLOOKUP(F153, Employees!$A$2:$C957, 3, FALSE)</f>
        <v>#N/A</v>
      </c>
      <c r="B153" s="418">
        <f>100000 / (DAY(EOMONTH(Attendance!A153,0)) - 4)</f>
        <v>3703.703704</v>
      </c>
      <c r="C153" s="417" t="str">
        <f>MAX(0, Attendance!C153 - TIME(9, 0, 0)) * 24 * A153</f>
        <v>#N/A</v>
      </c>
      <c r="D153" s="419" t="str">
        <f>MAX(0, Attendance!D153 - TIME(18, 0, 0)) * 24 * 1.5 * A153</f>
        <v>#N/A</v>
      </c>
      <c r="E153" s="418">
        <f>IF(AND(Attendance!E153&lt;&gt;"Friday", Attendance!C153&lt;&gt;""), B153, 0)</f>
        <v>0</v>
      </c>
      <c r="F153" s="420" t="str">
        <f>Attendance!B153</f>
        <v/>
      </c>
      <c r="G153" s="415" t="str">
        <f>Attendance!A153</f>
        <v/>
      </c>
      <c r="H153" s="420" t="str">
        <f>IFERROR(__xludf.DUMMYFUNCTION("REGEXREPLACE(F153, ""\d+$"", """")"),"")</f>
        <v/>
      </c>
    </row>
    <row r="154" ht="22.5" customHeight="1">
      <c r="A154" s="417" t="str">
        <f>VLOOKUP(F154, Employees!$A$2:$C957, 3, FALSE)</f>
        <v>#N/A</v>
      </c>
      <c r="B154" s="418">
        <f>100000 / (DAY(EOMONTH(Attendance!A154,0)) - 4)</f>
        <v>3703.703704</v>
      </c>
      <c r="C154" s="417" t="str">
        <f>MAX(0, Attendance!C154 - TIME(9, 0, 0)) * 24 * A154</f>
        <v>#N/A</v>
      </c>
      <c r="D154" s="419" t="str">
        <f>MAX(0, Attendance!D154 - TIME(18, 0, 0)) * 24 * 1.5 * A154</f>
        <v>#N/A</v>
      </c>
      <c r="E154" s="418">
        <f>IF(AND(Attendance!E154&lt;&gt;"Friday", Attendance!C154&lt;&gt;""), B154, 0)</f>
        <v>0</v>
      </c>
      <c r="F154" s="420" t="str">
        <f>Attendance!B154</f>
        <v/>
      </c>
      <c r="G154" s="415" t="str">
        <f>Attendance!A154</f>
        <v/>
      </c>
      <c r="H154" s="420" t="str">
        <f>IFERROR(__xludf.DUMMYFUNCTION("REGEXREPLACE(F154, ""\d+$"", """")"),"")</f>
        <v/>
      </c>
    </row>
    <row r="155" ht="22.5" customHeight="1">
      <c r="A155" s="417" t="str">
        <f>VLOOKUP(F155, Employees!$A$2:$C957, 3, FALSE)</f>
        <v>#N/A</v>
      </c>
      <c r="B155" s="418">
        <f>100000 / (DAY(EOMONTH(Attendance!A155,0)) - 4)</f>
        <v>3703.703704</v>
      </c>
      <c r="C155" s="417" t="str">
        <f>MAX(0, Attendance!C155 - TIME(9, 0, 0)) * 24 * A155</f>
        <v>#N/A</v>
      </c>
      <c r="D155" s="419" t="str">
        <f>MAX(0, Attendance!D155 - TIME(18, 0, 0)) * 24 * 1.5 * A155</f>
        <v>#N/A</v>
      </c>
      <c r="E155" s="418">
        <f>IF(AND(Attendance!E155&lt;&gt;"Friday", Attendance!C155&lt;&gt;""), B155, 0)</f>
        <v>0</v>
      </c>
      <c r="F155" s="420" t="str">
        <f>Attendance!B155</f>
        <v/>
      </c>
      <c r="G155" s="415" t="str">
        <f>Attendance!A155</f>
        <v/>
      </c>
      <c r="H155" s="420" t="str">
        <f>IFERROR(__xludf.DUMMYFUNCTION("REGEXREPLACE(F155, ""\d+$"", """")"),"")</f>
        <v/>
      </c>
    </row>
    <row r="156" ht="22.5" customHeight="1">
      <c r="A156" s="417" t="str">
        <f>VLOOKUP(F156, Employees!$A$2:$C957, 3, FALSE)</f>
        <v>#N/A</v>
      </c>
      <c r="B156" s="418">
        <f>100000 / (DAY(EOMONTH(Attendance!A156,0)) - 4)</f>
        <v>3703.703704</v>
      </c>
      <c r="C156" s="417" t="str">
        <f>MAX(0, Attendance!C156 - TIME(9, 0, 0)) * 24 * A156</f>
        <v>#N/A</v>
      </c>
      <c r="D156" s="419" t="str">
        <f>MAX(0, Attendance!D156 - TIME(18, 0, 0)) * 24 * 1.5 * A156</f>
        <v>#N/A</v>
      </c>
      <c r="E156" s="418">
        <f>IF(AND(Attendance!E156&lt;&gt;"Friday", Attendance!C156&lt;&gt;""), B156, 0)</f>
        <v>0</v>
      </c>
      <c r="F156" s="420" t="str">
        <f>Attendance!B156</f>
        <v/>
      </c>
      <c r="G156" s="415" t="str">
        <f>Attendance!A156</f>
        <v/>
      </c>
      <c r="H156" s="420" t="str">
        <f>IFERROR(__xludf.DUMMYFUNCTION("REGEXREPLACE(F156, ""\d+$"", """")"),"")</f>
        <v/>
      </c>
    </row>
    <row r="157" ht="22.5" customHeight="1">
      <c r="A157" s="417" t="str">
        <f>VLOOKUP(F157, Employees!$A$2:$C957, 3, FALSE)</f>
        <v>#N/A</v>
      </c>
      <c r="B157" s="418">
        <f>100000 / (DAY(EOMONTH(Attendance!A157,0)) - 4)</f>
        <v>3703.703704</v>
      </c>
      <c r="C157" s="417" t="str">
        <f>MAX(0, Attendance!C157 - TIME(9, 0, 0)) * 24 * A157</f>
        <v>#N/A</v>
      </c>
      <c r="D157" s="419" t="str">
        <f>MAX(0, Attendance!D157 - TIME(18, 0, 0)) * 24 * 1.5 * A157</f>
        <v>#N/A</v>
      </c>
      <c r="E157" s="418">
        <f>IF(AND(Attendance!E157&lt;&gt;"Friday", Attendance!C157&lt;&gt;""), B157, 0)</f>
        <v>0</v>
      </c>
      <c r="F157" s="420" t="str">
        <f>Attendance!B157</f>
        <v/>
      </c>
      <c r="G157" s="415" t="str">
        <f>Attendance!A157</f>
        <v/>
      </c>
      <c r="H157" s="420" t="str">
        <f>IFERROR(__xludf.DUMMYFUNCTION("REGEXREPLACE(F157, ""\d+$"", """")"),"")</f>
        <v/>
      </c>
    </row>
    <row r="158" ht="22.5" customHeight="1">
      <c r="A158" s="417" t="str">
        <f>VLOOKUP(F158, Employees!$A$2:$C957, 3, FALSE)</f>
        <v>#N/A</v>
      </c>
      <c r="B158" s="418">
        <f>100000 / (DAY(EOMONTH(Attendance!A158,0)) - 4)</f>
        <v>3703.703704</v>
      </c>
      <c r="C158" s="417" t="str">
        <f>MAX(0, Attendance!C158 - TIME(9, 0, 0)) * 24 * A158</f>
        <v>#N/A</v>
      </c>
      <c r="D158" s="419" t="str">
        <f>MAX(0, Attendance!D158 - TIME(18, 0, 0)) * 24 * 1.5 * A158</f>
        <v>#N/A</v>
      </c>
      <c r="E158" s="418">
        <f>IF(AND(Attendance!E158&lt;&gt;"Friday", Attendance!C158&lt;&gt;""), B158, 0)</f>
        <v>0</v>
      </c>
      <c r="F158" s="420" t="str">
        <f>Attendance!B158</f>
        <v/>
      </c>
      <c r="G158" s="415" t="str">
        <f>Attendance!A158</f>
        <v/>
      </c>
      <c r="H158" s="420" t="str">
        <f>IFERROR(__xludf.DUMMYFUNCTION("REGEXREPLACE(F158, ""\d+$"", """")"),"")</f>
        <v/>
      </c>
    </row>
    <row r="159" ht="22.5" customHeight="1">
      <c r="A159" s="417" t="str">
        <f>VLOOKUP(F159, Employees!$A$2:$C957, 3, FALSE)</f>
        <v>#N/A</v>
      </c>
      <c r="B159" s="418">
        <f>100000 / (DAY(EOMONTH(Attendance!A159,0)) - 4)</f>
        <v>3703.703704</v>
      </c>
      <c r="C159" s="417" t="str">
        <f>MAX(0, Attendance!C159 - TIME(9, 0, 0)) * 24 * A159</f>
        <v>#N/A</v>
      </c>
      <c r="D159" s="419" t="str">
        <f>MAX(0, Attendance!D159 - TIME(18, 0, 0)) * 24 * 1.5 * A159</f>
        <v>#N/A</v>
      </c>
      <c r="E159" s="418">
        <f>IF(AND(Attendance!E159&lt;&gt;"Friday", Attendance!C159&lt;&gt;""), B159, 0)</f>
        <v>0</v>
      </c>
      <c r="F159" s="420" t="str">
        <f>Attendance!B159</f>
        <v/>
      </c>
      <c r="G159" s="415" t="str">
        <f>Attendance!A159</f>
        <v/>
      </c>
      <c r="H159" s="420" t="str">
        <f>IFERROR(__xludf.DUMMYFUNCTION("REGEXREPLACE(F159, ""\d+$"", """")"),"")</f>
        <v/>
      </c>
    </row>
    <row r="160" ht="22.5" customHeight="1">
      <c r="A160" s="417" t="str">
        <f>VLOOKUP(F160, Employees!$A$2:$C957, 3, FALSE)</f>
        <v>#N/A</v>
      </c>
      <c r="B160" s="418">
        <f>100000 / (DAY(EOMONTH(Attendance!A160,0)) - 4)</f>
        <v>3703.703704</v>
      </c>
      <c r="C160" s="417" t="str">
        <f>MAX(0, Attendance!C160 - TIME(9, 0, 0)) * 24 * A160</f>
        <v>#N/A</v>
      </c>
      <c r="D160" s="419" t="str">
        <f>MAX(0, Attendance!D160 - TIME(18, 0, 0)) * 24 * 1.5 * A160</f>
        <v>#N/A</v>
      </c>
      <c r="E160" s="418">
        <f>IF(AND(Attendance!E160&lt;&gt;"Friday", Attendance!C160&lt;&gt;""), B160, 0)</f>
        <v>0</v>
      </c>
      <c r="F160" s="420" t="str">
        <f>Attendance!B160</f>
        <v/>
      </c>
      <c r="G160" s="415" t="str">
        <f>Attendance!A160</f>
        <v/>
      </c>
      <c r="H160" s="420" t="str">
        <f>IFERROR(__xludf.DUMMYFUNCTION("REGEXREPLACE(F160, ""\d+$"", """")"),"")</f>
        <v/>
      </c>
    </row>
    <row r="161" ht="22.5" customHeight="1">
      <c r="A161" s="417" t="str">
        <f>VLOOKUP(F161, Employees!$A$2:$C957, 3, FALSE)</f>
        <v>#N/A</v>
      </c>
      <c r="B161" s="418">
        <f>100000 / (DAY(EOMONTH(Attendance!A161,0)) - 4)</f>
        <v>3703.703704</v>
      </c>
      <c r="C161" s="417" t="str">
        <f>MAX(0, Attendance!C161 - TIME(9, 0, 0)) * 24 * A161</f>
        <v>#N/A</v>
      </c>
      <c r="D161" s="419" t="str">
        <f>MAX(0, Attendance!D161 - TIME(18, 0, 0)) * 24 * 1.5 * A161</f>
        <v>#N/A</v>
      </c>
      <c r="E161" s="418">
        <f>IF(AND(Attendance!E161&lt;&gt;"Friday", Attendance!C161&lt;&gt;""), B161, 0)</f>
        <v>0</v>
      </c>
      <c r="F161" s="420" t="str">
        <f>Attendance!B161</f>
        <v/>
      </c>
      <c r="G161" s="415" t="str">
        <f>Attendance!A161</f>
        <v/>
      </c>
      <c r="H161" s="420" t="str">
        <f>IFERROR(__xludf.DUMMYFUNCTION("REGEXREPLACE(F161, ""\d+$"", """")"),"")</f>
        <v/>
      </c>
    </row>
    <row r="162" ht="22.5" customHeight="1">
      <c r="A162" s="417" t="str">
        <f>VLOOKUP(F162, Employees!$A$2:$C957, 3, FALSE)</f>
        <v>#N/A</v>
      </c>
      <c r="B162" s="418">
        <f>100000 / (DAY(EOMONTH(Attendance!A162,0)) - 4)</f>
        <v>3703.703704</v>
      </c>
      <c r="C162" s="417" t="str">
        <f>MAX(0, Attendance!C162 - TIME(9, 0, 0)) * 24 * A162</f>
        <v>#N/A</v>
      </c>
      <c r="D162" s="419" t="str">
        <f>MAX(0, Attendance!D162 - TIME(18, 0, 0)) * 24 * 1.5 * A162</f>
        <v>#N/A</v>
      </c>
      <c r="E162" s="418">
        <f>IF(AND(Attendance!E162&lt;&gt;"Friday", Attendance!C162&lt;&gt;""), B162, 0)</f>
        <v>0</v>
      </c>
      <c r="F162" s="420" t="str">
        <f>Attendance!B162</f>
        <v/>
      </c>
      <c r="G162" s="415" t="str">
        <f>Attendance!A162</f>
        <v/>
      </c>
      <c r="H162" s="420" t="str">
        <f>IFERROR(__xludf.DUMMYFUNCTION("REGEXREPLACE(F162, ""\d+$"", """")"),"")</f>
        <v/>
      </c>
    </row>
    <row r="163" ht="22.5" customHeight="1">
      <c r="A163" s="417" t="str">
        <f>VLOOKUP(F163, Employees!$A$2:$C957, 3, FALSE)</f>
        <v>#N/A</v>
      </c>
      <c r="B163" s="418">
        <f>100000 / (DAY(EOMONTH(Attendance!A163,0)) - 4)</f>
        <v>3703.703704</v>
      </c>
      <c r="C163" s="417" t="str">
        <f>MAX(0, Attendance!C163 - TIME(9, 0, 0)) * 24 * A163</f>
        <v>#N/A</v>
      </c>
      <c r="D163" s="419" t="str">
        <f>MAX(0, Attendance!D163 - TIME(18, 0, 0)) * 24 * 1.5 * A163</f>
        <v>#N/A</v>
      </c>
      <c r="E163" s="418">
        <f>IF(AND(Attendance!E163&lt;&gt;"Friday", Attendance!C163&lt;&gt;""), B163, 0)</f>
        <v>0</v>
      </c>
      <c r="F163" s="420" t="str">
        <f>Attendance!B163</f>
        <v/>
      </c>
      <c r="G163" s="415" t="str">
        <f>Attendance!A163</f>
        <v/>
      </c>
      <c r="H163" s="420" t="str">
        <f>IFERROR(__xludf.DUMMYFUNCTION("REGEXREPLACE(F163, ""\d+$"", """")"),"")</f>
        <v/>
      </c>
    </row>
    <row r="164" ht="22.5" customHeight="1">
      <c r="A164" s="417" t="str">
        <f>VLOOKUP(F164, Employees!$A$2:$C957, 3, FALSE)</f>
        <v>#N/A</v>
      </c>
      <c r="B164" s="418">
        <f>100000 / (DAY(EOMONTH(Attendance!A164,0)) - 4)</f>
        <v>3703.703704</v>
      </c>
      <c r="C164" s="417" t="str">
        <f>MAX(0, Attendance!C164 - TIME(9, 0, 0)) * 24 * A164</f>
        <v>#N/A</v>
      </c>
      <c r="D164" s="419" t="str">
        <f>MAX(0, Attendance!D164 - TIME(18, 0, 0)) * 24 * 1.5 * A164</f>
        <v>#N/A</v>
      </c>
      <c r="E164" s="418">
        <f>IF(AND(Attendance!E164&lt;&gt;"Friday", Attendance!C164&lt;&gt;""), B164, 0)</f>
        <v>0</v>
      </c>
      <c r="F164" s="420" t="str">
        <f>Attendance!B164</f>
        <v/>
      </c>
      <c r="G164" s="415" t="str">
        <f>Attendance!A164</f>
        <v/>
      </c>
      <c r="H164" s="420" t="str">
        <f>IFERROR(__xludf.DUMMYFUNCTION("REGEXREPLACE(F164, ""\d+$"", """")"),"")</f>
        <v/>
      </c>
    </row>
    <row r="165" ht="22.5" customHeight="1">
      <c r="A165" s="417" t="str">
        <f>VLOOKUP(F165, Employees!$A$2:$C957, 3, FALSE)</f>
        <v>#N/A</v>
      </c>
      <c r="B165" s="418">
        <f>100000 / (DAY(EOMONTH(Attendance!A165,0)) - 4)</f>
        <v>3703.703704</v>
      </c>
      <c r="C165" s="417" t="str">
        <f>MAX(0, Attendance!C165 - TIME(9, 0, 0)) * 24 * A165</f>
        <v>#N/A</v>
      </c>
      <c r="D165" s="419" t="str">
        <f>MAX(0, Attendance!D165 - TIME(18, 0, 0)) * 24 * 1.5 * A165</f>
        <v>#N/A</v>
      </c>
      <c r="E165" s="418">
        <f>IF(AND(Attendance!E165&lt;&gt;"Friday", Attendance!C165&lt;&gt;""), B165, 0)</f>
        <v>0</v>
      </c>
      <c r="F165" s="420" t="str">
        <f>Attendance!B165</f>
        <v/>
      </c>
      <c r="G165" s="415" t="str">
        <f>Attendance!A165</f>
        <v/>
      </c>
      <c r="H165" s="420" t="str">
        <f>IFERROR(__xludf.DUMMYFUNCTION("REGEXREPLACE(F165, ""\d+$"", """")"),"")</f>
        <v/>
      </c>
    </row>
    <row r="166" ht="22.5" customHeight="1">
      <c r="A166" s="417" t="str">
        <f>VLOOKUP(F166, Employees!$A$2:$C957, 3, FALSE)</f>
        <v>#N/A</v>
      </c>
      <c r="B166" s="418">
        <f>100000 / (DAY(EOMONTH(Attendance!A166,0)) - 4)</f>
        <v>3703.703704</v>
      </c>
      <c r="C166" s="417" t="str">
        <f>MAX(0, Attendance!C166 - TIME(9, 0, 0)) * 24 * A166</f>
        <v>#N/A</v>
      </c>
      <c r="D166" s="419" t="str">
        <f>MAX(0, Attendance!D166 - TIME(18, 0, 0)) * 24 * 1.5 * A166</f>
        <v>#N/A</v>
      </c>
      <c r="E166" s="418">
        <f>IF(AND(Attendance!E166&lt;&gt;"Friday", Attendance!C166&lt;&gt;""), B166, 0)</f>
        <v>0</v>
      </c>
      <c r="F166" s="420" t="str">
        <f>Attendance!B166</f>
        <v/>
      </c>
      <c r="G166" s="415" t="str">
        <f>Attendance!A166</f>
        <v/>
      </c>
      <c r="H166" s="420" t="str">
        <f>IFERROR(__xludf.DUMMYFUNCTION("REGEXREPLACE(F166, ""\d+$"", """")"),"")</f>
        <v/>
      </c>
    </row>
    <row r="167" ht="22.5" customHeight="1">
      <c r="A167" s="417" t="str">
        <f>VLOOKUP(F167, Employees!$A$2:$C957, 3, FALSE)</f>
        <v>#N/A</v>
      </c>
      <c r="B167" s="418">
        <f>100000 / (DAY(EOMONTH(Attendance!A167,0)) - 4)</f>
        <v>3703.703704</v>
      </c>
      <c r="C167" s="417" t="str">
        <f>MAX(0, Attendance!C167 - TIME(9, 0, 0)) * 24 * A167</f>
        <v>#N/A</v>
      </c>
      <c r="D167" s="419" t="str">
        <f>MAX(0, Attendance!D167 - TIME(18, 0, 0)) * 24 * 1.5 * A167</f>
        <v>#N/A</v>
      </c>
      <c r="E167" s="418">
        <f>IF(AND(Attendance!E167&lt;&gt;"Friday", Attendance!C167&lt;&gt;""), B167, 0)</f>
        <v>0</v>
      </c>
      <c r="F167" s="420" t="str">
        <f>Attendance!B167</f>
        <v/>
      </c>
      <c r="G167" s="415" t="str">
        <f>Attendance!A167</f>
        <v/>
      </c>
      <c r="H167" s="420" t="str">
        <f>IFERROR(__xludf.DUMMYFUNCTION("REGEXREPLACE(F167, ""\d+$"", """")"),"")</f>
        <v/>
      </c>
    </row>
    <row r="168" ht="22.5" customHeight="1">
      <c r="A168" s="417" t="str">
        <f>VLOOKUP(F168, Employees!$A$2:$C957, 3, FALSE)</f>
        <v>#N/A</v>
      </c>
      <c r="B168" s="418">
        <f>100000 / (DAY(EOMONTH(Attendance!A168,0)) - 4)</f>
        <v>3703.703704</v>
      </c>
      <c r="C168" s="417" t="str">
        <f>MAX(0, Attendance!C168 - TIME(9, 0, 0)) * 24 * A168</f>
        <v>#N/A</v>
      </c>
      <c r="D168" s="419" t="str">
        <f>MAX(0, Attendance!D168 - TIME(18, 0, 0)) * 24 * 1.5 * A168</f>
        <v>#N/A</v>
      </c>
      <c r="E168" s="418">
        <f>IF(AND(Attendance!E168&lt;&gt;"Friday", Attendance!C168&lt;&gt;""), B168, 0)</f>
        <v>0</v>
      </c>
      <c r="F168" s="420" t="str">
        <f>Attendance!B168</f>
        <v/>
      </c>
      <c r="G168" s="415" t="str">
        <f>Attendance!A168</f>
        <v/>
      </c>
      <c r="H168" s="420" t="str">
        <f>IFERROR(__xludf.DUMMYFUNCTION("REGEXREPLACE(F168, ""\d+$"", """")"),"")</f>
        <v/>
      </c>
    </row>
    <row r="169" ht="22.5" customHeight="1">
      <c r="A169" s="417" t="str">
        <f>VLOOKUP(F169, Employees!$A$2:$C957, 3, FALSE)</f>
        <v>#N/A</v>
      </c>
      <c r="B169" s="418">
        <f>100000 / (DAY(EOMONTH(Attendance!A169,0)) - 4)</f>
        <v>3703.703704</v>
      </c>
      <c r="C169" s="417" t="str">
        <f>MAX(0, Attendance!C169 - TIME(9, 0, 0)) * 24 * A169</f>
        <v>#N/A</v>
      </c>
      <c r="D169" s="419" t="str">
        <f>MAX(0, Attendance!D169 - TIME(18, 0, 0)) * 24 * 1.5 * A169</f>
        <v>#N/A</v>
      </c>
      <c r="E169" s="418">
        <f>IF(AND(Attendance!E169&lt;&gt;"Friday", Attendance!C169&lt;&gt;""), B169, 0)</f>
        <v>0</v>
      </c>
      <c r="F169" s="420" t="str">
        <f>Attendance!B169</f>
        <v/>
      </c>
      <c r="G169" s="415" t="str">
        <f>Attendance!A169</f>
        <v/>
      </c>
      <c r="H169" s="420" t="str">
        <f>IFERROR(__xludf.DUMMYFUNCTION("REGEXREPLACE(F169, ""\d+$"", """")"),"")</f>
        <v/>
      </c>
    </row>
    <row r="170" ht="22.5" customHeight="1">
      <c r="A170" s="417" t="str">
        <f>VLOOKUP(F170, Employees!$A$2:$C957, 3, FALSE)</f>
        <v>#N/A</v>
      </c>
      <c r="B170" s="418">
        <f>100000 / (DAY(EOMONTH(Attendance!A170,0)) - 4)</f>
        <v>3703.703704</v>
      </c>
      <c r="C170" s="417" t="str">
        <f>MAX(0, Attendance!C170 - TIME(9, 0, 0)) * 24 * A170</f>
        <v>#N/A</v>
      </c>
      <c r="D170" s="419" t="str">
        <f>MAX(0, Attendance!D170 - TIME(18, 0, 0)) * 24 * 1.5 * A170</f>
        <v>#N/A</v>
      </c>
      <c r="E170" s="418">
        <f>IF(AND(Attendance!E170&lt;&gt;"Friday", Attendance!C170&lt;&gt;""), B170, 0)</f>
        <v>0</v>
      </c>
      <c r="F170" s="420" t="str">
        <f>Attendance!B170</f>
        <v/>
      </c>
      <c r="G170" s="415" t="str">
        <f>Attendance!A170</f>
        <v/>
      </c>
      <c r="H170" s="420" t="str">
        <f>IFERROR(__xludf.DUMMYFUNCTION("REGEXREPLACE(F170, ""\d+$"", """")"),"")</f>
        <v/>
      </c>
    </row>
    <row r="171" ht="22.5" customHeight="1">
      <c r="A171" s="417" t="str">
        <f>VLOOKUP(F171, Employees!$A$2:$C957, 3, FALSE)</f>
        <v>#N/A</v>
      </c>
      <c r="B171" s="418">
        <f>100000 / (DAY(EOMONTH(Attendance!A171,0)) - 4)</f>
        <v>3703.703704</v>
      </c>
      <c r="C171" s="417" t="str">
        <f>MAX(0, Attendance!C171 - TIME(9, 0, 0)) * 24 * A171</f>
        <v>#N/A</v>
      </c>
      <c r="D171" s="419" t="str">
        <f>MAX(0, Attendance!D171 - TIME(18, 0, 0)) * 24 * 1.5 * A171</f>
        <v>#N/A</v>
      </c>
      <c r="E171" s="418">
        <f>IF(AND(Attendance!E171&lt;&gt;"Friday", Attendance!C171&lt;&gt;""), B171, 0)</f>
        <v>0</v>
      </c>
      <c r="F171" s="420" t="str">
        <f>Attendance!B171</f>
        <v/>
      </c>
      <c r="G171" s="415" t="str">
        <f>Attendance!A171</f>
        <v/>
      </c>
      <c r="H171" s="420" t="str">
        <f>IFERROR(__xludf.DUMMYFUNCTION("REGEXREPLACE(F171, ""\d+$"", """")"),"")</f>
        <v/>
      </c>
    </row>
    <row r="172" ht="22.5" customHeight="1">
      <c r="A172" s="417" t="str">
        <f>VLOOKUP(F172, Employees!$A$2:$C957, 3, FALSE)</f>
        <v>#N/A</v>
      </c>
      <c r="B172" s="418">
        <f>100000 / (DAY(EOMONTH(Attendance!A172,0)) - 4)</f>
        <v>3703.703704</v>
      </c>
      <c r="C172" s="417" t="str">
        <f>MAX(0, Attendance!C172 - TIME(9, 0, 0)) * 24 * A172</f>
        <v>#N/A</v>
      </c>
      <c r="D172" s="419" t="str">
        <f>MAX(0, Attendance!D172 - TIME(18, 0, 0)) * 24 * 1.5 * A172</f>
        <v>#N/A</v>
      </c>
      <c r="E172" s="418">
        <f>IF(AND(Attendance!E172&lt;&gt;"Friday", Attendance!C172&lt;&gt;""), B172, 0)</f>
        <v>0</v>
      </c>
      <c r="F172" s="420" t="str">
        <f>Attendance!B172</f>
        <v/>
      </c>
      <c r="G172" s="415" t="str">
        <f>Attendance!A172</f>
        <v/>
      </c>
      <c r="H172" s="420" t="str">
        <f>IFERROR(__xludf.DUMMYFUNCTION("REGEXREPLACE(F172, ""\d+$"", """")"),"")</f>
        <v/>
      </c>
    </row>
    <row r="173" ht="22.5" customHeight="1">
      <c r="A173" s="417" t="str">
        <f>VLOOKUP(F173, Employees!$A$2:$C957, 3, FALSE)</f>
        <v>#N/A</v>
      </c>
      <c r="B173" s="418">
        <f>100000 / (DAY(EOMONTH(Attendance!A173,0)) - 4)</f>
        <v>3703.703704</v>
      </c>
      <c r="C173" s="417" t="str">
        <f>MAX(0, Attendance!C173 - TIME(9, 0, 0)) * 24 * A173</f>
        <v>#N/A</v>
      </c>
      <c r="D173" s="419" t="str">
        <f>MAX(0, Attendance!D173 - TIME(18, 0, 0)) * 24 * 1.5 * A173</f>
        <v>#N/A</v>
      </c>
      <c r="E173" s="418">
        <f>IF(AND(Attendance!E173&lt;&gt;"Friday", Attendance!C173&lt;&gt;""), B173, 0)</f>
        <v>0</v>
      </c>
      <c r="F173" s="420" t="str">
        <f>Attendance!B173</f>
        <v/>
      </c>
      <c r="G173" s="415" t="str">
        <f>Attendance!A173</f>
        <v/>
      </c>
      <c r="H173" s="420" t="str">
        <f>IFERROR(__xludf.DUMMYFUNCTION("REGEXREPLACE(F173, ""\d+$"", """")"),"")</f>
        <v/>
      </c>
    </row>
    <row r="174" ht="22.5" customHeight="1">
      <c r="A174" s="417" t="str">
        <f>VLOOKUP(F174, Employees!$A$2:$C957, 3, FALSE)</f>
        <v>#N/A</v>
      </c>
      <c r="B174" s="418">
        <f>100000 / (DAY(EOMONTH(Attendance!A174,0)) - 4)</f>
        <v>3703.703704</v>
      </c>
      <c r="C174" s="417" t="str">
        <f>MAX(0, Attendance!C174 - TIME(9, 0, 0)) * 24 * A174</f>
        <v>#N/A</v>
      </c>
      <c r="D174" s="419" t="str">
        <f>MAX(0, Attendance!D174 - TIME(18, 0, 0)) * 24 * 1.5 * A174</f>
        <v>#N/A</v>
      </c>
      <c r="E174" s="418">
        <f>IF(AND(Attendance!E174&lt;&gt;"Friday", Attendance!C174&lt;&gt;""), B174, 0)</f>
        <v>0</v>
      </c>
      <c r="F174" s="420" t="str">
        <f>Attendance!B174</f>
        <v/>
      </c>
      <c r="G174" s="415" t="str">
        <f>Attendance!A174</f>
        <v/>
      </c>
      <c r="H174" s="420" t="str">
        <f>IFERROR(__xludf.DUMMYFUNCTION("REGEXREPLACE(F174, ""\d+$"", """")"),"")</f>
        <v/>
      </c>
    </row>
    <row r="175" ht="22.5" customHeight="1">
      <c r="A175" s="417" t="str">
        <f>VLOOKUP(F175, Employees!$A$2:$C957, 3, FALSE)</f>
        <v>#N/A</v>
      </c>
      <c r="B175" s="418">
        <f>100000 / (DAY(EOMONTH(Attendance!A175,0)) - 4)</f>
        <v>3703.703704</v>
      </c>
      <c r="C175" s="417" t="str">
        <f>MAX(0, Attendance!C175 - TIME(9, 0, 0)) * 24 * A175</f>
        <v>#N/A</v>
      </c>
      <c r="D175" s="419" t="str">
        <f>MAX(0, Attendance!D175 - TIME(18, 0, 0)) * 24 * 1.5 * A175</f>
        <v>#N/A</v>
      </c>
      <c r="E175" s="418">
        <f>IF(AND(Attendance!E175&lt;&gt;"Friday", Attendance!C175&lt;&gt;""), B175, 0)</f>
        <v>0</v>
      </c>
      <c r="F175" s="420" t="str">
        <f>Attendance!B175</f>
        <v/>
      </c>
      <c r="G175" s="415" t="str">
        <f>Attendance!A175</f>
        <v/>
      </c>
      <c r="H175" s="420" t="str">
        <f>IFERROR(__xludf.DUMMYFUNCTION("REGEXREPLACE(F175, ""\d+$"", """")"),"")</f>
        <v/>
      </c>
    </row>
    <row r="176" ht="22.5" customHeight="1">
      <c r="A176" s="417" t="str">
        <f>VLOOKUP(F176, Employees!$A$2:$C957, 3, FALSE)</f>
        <v>#N/A</v>
      </c>
      <c r="B176" s="418">
        <f>100000 / (DAY(EOMONTH(Attendance!A176,0)) - 4)</f>
        <v>3703.703704</v>
      </c>
      <c r="C176" s="417" t="str">
        <f>MAX(0, Attendance!C176 - TIME(9, 0, 0)) * 24 * A176</f>
        <v>#N/A</v>
      </c>
      <c r="D176" s="419" t="str">
        <f>MAX(0, Attendance!D176 - TIME(18, 0, 0)) * 24 * 1.5 * A176</f>
        <v>#N/A</v>
      </c>
      <c r="E176" s="418">
        <f>IF(AND(Attendance!E176&lt;&gt;"Friday", Attendance!C176&lt;&gt;""), B176, 0)</f>
        <v>0</v>
      </c>
      <c r="F176" s="420" t="str">
        <f>Attendance!B176</f>
        <v/>
      </c>
      <c r="G176" s="415" t="str">
        <f>Attendance!A176</f>
        <v/>
      </c>
      <c r="H176" s="420" t="str">
        <f>IFERROR(__xludf.DUMMYFUNCTION("REGEXREPLACE(F176, ""\d+$"", """")"),"")</f>
        <v/>
      </c>
    </row>
    <row r="177" ht="22.5" customHeight="1">
      <c r="A177" s="417" t="str">
        <f>VLOOKUP(F177, Employees!$A$2:$C957, 3, FALSE)</f>
        <v>#N/A</v>
      </c>
      <c r="B177" s="418">
        <f>100000 / (DAY(EOMONTH(Attendance!A177,0)) - 4)</f>
        <v>3703.703704</v>
      </c>
      <c r="C177" s="417" t="str">
        <f>MAX(0, Attendance!C177 - TIME(9, 0, 0)) * 24 * A177</f>
        <v>#N/A</v>
      </c>
      <c r="D177" s="419" t="str">
        <f>MAX(0, Attendance!D177 - TIME(18, 0, 0)) * 24 * 1.5 * A177</f>
        <v>#N/A</v>
      </c>
      <c r="E177" s="418">
        <f>IF(AND(Attendance!E177&lt;&gt;"Friday", Attendance!C177&lt;&gt;""), B177, 0)</f>
        <v>0</v>
      </c>
      <c r="F177" s="420" t="str">
        <f>Attendance!B177</f>
        <v/>
      </c>
      <c r="G177" s="415" t="str">
        <f>Attendance!A177</f>
        <v/>
      </c>
      <c r="H177" s="420" t="str">
        <f>IFERROR(__xludf.DUMMYFUNCTION("REGEXREPLACE(F177, ""\d+$"", """")"),"")</f>
        <v/>
      </c>
    </row>
    <row r="178" ht="22.5" customHeight="1">
      <c r="A178" s="417" t="str">
        <f>VLOOKUP(F178, Employees!$A$2:$C957, 3, FALSE)</f>
        <v>#N/A</v>
      </c>
      <c r="B178" s="418">
        <f>100000 / (DAY(EOMONTH(Attendance!A178,0)) - 4)</f>
        <v>3703.703704</v>
      </c>
      <c r="C178" s="417" t="str">
        <f>MAX(0, Attendance!C178 - TIME(9, 0, 0)) * 24 * A178</f>
        <v>#N/A</v>
      </c>
      <c r="D178" s="419" t="str">
        <f>MAX(0, Attendance!D178 - TIME(18, 0, 0)) * 24 * 1.5 * A178</f>
        <v>#N/A</v>
      </c>
      <c r="E178" s="418">
        <f>IF(AND(Attendance!E178&lt;&gt;"Friday", Attendance!C178&lt;&gt;""), B178, 0)</f>
        <v>0</v>
      </c>
      <c r="F178" s="420" t="str">
        <f>Attendance!B178</f>
        <v/>
      </c>
      <c r="G178" s="415" t="str">
        <f>Attendance!A178</f>
        <v/>
      </c>
      <c r="H178" s="420" t="str">
        <f>IFERROR(__xludf.DUMMYFUNCTION("REGEXREPLACE(F178, ""\d+$"", """")"),"")</f>
        <v/>
      </c>
    </row>
    <row r="179" ht="22.5" customHeight="1">
      <c r="A179" s="417" t="str">
        <f>VLOOKUP(F179, Employees!$A$2:$C957, 3, FALSE)</f>
        <v>#N/A</v>
      </c>
      <c r="B179" s="418">
        <f>100000 / (DAY(EOMONTH(Attendance!A179,0)) - 4)</f>
        <v>3703.703704</v>
      </c>
      <c r="C179" s="417" t="str">
        <f>MAX(0, Attendance!C179 - TIME(9, 0, 0)) * 24 * A179</f>
        <v>#N/A</v>
      </c>
      <c r="D179" s="419" t="str">
        <f>MAX(0, Attendance!D179 - TIME(18, 0, 0)) * 24 * 1.5 * A179</f>
        <v>#N/A</v>
      </c>
      <c r="E179" s="418">
        <f>IF(AND(Attendance!E179&lt;&gt;"Friday", Attendance!C179&lt;&gt;""), B179, 0)</f>
        <v>0</v>
      </c>
      <c r="F179" s="420" t="str">
        <f>Attendance!B179</f>
        <v/>
      </c>
      <c r="G179" s="415" t="str">
        <f>Attendance!A179</f>
        <v/>
      </c>
      <c r="H179" s="420" t="str">
        <f>IFERROR(__xludf.DUMMYFUNCTION("REGEXREPLACE(F179, ""\d+$"", """")"),"")</f>
        <v/>
      </c>
    </row>
    <row r="180" ht="22.5" customHeight="1">
      <c r="A180" s="417" t="str">
        <f>VLOOKUP(F180, Employees!$A$2:$C957, 3, FALSE)</f>
        <v>#N/A</v>
      </c>
      <c r="B180" s="418">
        <f>100000 / (DAY(EOMONTH(Attendance!A180,0)) - 4)</f>
        <v>3703.703704</v>
      </c>
      <c r="C180" s="417" t="str">
        <f>MAX(0, Attendance!C180 - TIME(9, 0, 0)) * 24 * A180</f>
        <v>#N/A</v>
      </c>
      <c r="D180" s="419" t="str">
        <f>MAX(0, Attendance!D180 - TIME(18, 0, 0)) * 24 * 1.5 * A180</f>
        <v>#N/A</v>
      </c>
      <c r="E180" s="418">
        <f>IF(AND(Attendance!E180&lt;&gt;"Friday", Attendance!C180&lt;&gt;""), B180, 0)</f>
        <v>0</v>
      </c>
      <c r="F180" s="420" t="str">
        <f>Attendance!B180</f>
        <v/>
      </c>
      <c r="G180" s="415" t="str">
        <f>Attendance!A180</f>
        <v/>
      </c>
      <c r="H180" s="420" t="str">
        <f>IFERROR(__xludf.DUMMYFUNCTION("REGEXREPLACE(F180, ""\d+$"", """")"),"")</f>
        <v/>
      </c>
    </row>
    <row r="181" ht="22.5" customHeight="1">
      <c r="A181" s="417" t="str">
        <f>VLOOKUP(F181, Employees!$A$2:$C957, 3, FALSE)</f>
        <v>#N/A</v>
      </c>
      <c r="B181" s="418">
        <f>100000 / (DAY(EOMONTH(Attendance!A181,0)) - 4)</f>
        <v>3703.703704</v>
      </c>
      <c r="C181" s="417" t="str">
        <f>MAX(0, Attendance!C181 - TIME(9, 0, 0)) * 24 * A181</f>
        <v>#N/A</v>
      </c>
      <c r="D181" s="419" t="str">
        <f>MAX(0, Attendance!D181 - TIME(18, 0, 0)) * 24 * 1.5 * A181</f>
        <v>#N/A</v>
      </c>
      <c r="E181" s="418">
        <f>IF(AND(Attendance!E181&lt;&gt;"Friday", Attendance!C181&lt;&gt;""), B181, 0)</f>
        <v>0</v>
      </c>
      <c r="F181" s="420" t="str">
        <f>Attendance!B181</f>
        <v/>
      </c>
      <c r="G181" s="415" t="str">
        <f>Attendance!A181</f>
        <v/>
      </c>
      <c r="H181" s="420" t="str">
        <f>IFERROR(__xludf.DUMMYFUNCTION("REGEXREPLACE(F181, ""\d+$"", """")"),"")</f>
        <v/>
      </c>
    </row>
    <row r="182" ht="22.5" customHeight="1">
      <c r="A182" s="417" t="str">
        <f>VLOOKUP(F182, Employees!$A$2:$C957, 3, FALSE)</f>
        <v>#N/A</v>
      </c>
      <c r="B182" s="418">
        <f>100000 / (DAY(EOMONTH(Attendance!A182,0)) - 4)</f>
        <v>3703.703704</v>
      </c>
      <c r="C182" s="417" t="str">
        <f>MAX(0, Attendance!C182 - TIME(9, 0, 0)) * 24 * A182</f>
        <v>#N/A</v>
      </c>
      <c r="D182" s="419" t="str">
        <f>MAX(0, Attendance!D182 - TIME(18, 0, 0)) * 24 * 1.5 * A182</f>
        <v>#N/A</v>
      </c>
      <c r="E182" s="418">
        <f>IF(AND(Attendance!E182&lt;&gt;"Friday", Attendance!C182&lt;&gt;""), B182, 0)</f>
        <v>0</v>
      </c>
      <c r="F182" s="420" t="str">
        <f>Attendance!B182</f>
        <v/>
      </c>
      <c r="G182" s="415" t="str">
        <f>Attendance!A182</f>
        <v/>
      </c>
      <c r="H182" s="420" t="str">
        <f>IFERROR(__xludf.DUMMYFUNCTION("REGEXREPLACE(F182, ""\d+$"", """")"),"")</f>
        <v/>
      </c>
    </row>
    <row r="183" ht="22.5" customHeight="1">
      <c r="A183" s="417" t="str">
        <f>VLOOKUP(F183, Employees!$A$2:$C957, 3, FALSE)</f>
        <v>#N/A</v>
      </c>
      <c r="B183" s="418">
        <f>100000 / (DAY(EOMONTH(Attendance!A183,0)) - 4)</f>
        <v>3703.703704</v>
      </c>
      <c r="C183" s="417" t="str">
        <f>MAX(0, Attendance!C183 - TIME(9, 0, 0)) * 24 * A183</f>
        <v>#N/A</v>
      </c>
      <c r="D183" s="419" t="str">
        <f>MAX(0, Attendance!D183 - TIME(18, 0, 0)) * 24 * 1.5 * A183</f>
        <v>#N/A</v>
      </c>
      <c r="E183" s="418">
        <f>IF(AND(Attendance!E183&lt;&gt;"Friday", Attendance!C183&lt;&gt;""), B183, 0)</f>
        <v>0</v>
      </c>
      <c r="F183" s="420" t="str">
        <f>Attendance!B183</f>
        <v/>
      </c>
      <c r="G183" s="415" t="str">
        <f>Attendance!A183</f>
        <v/>
      </c>
      <c r="H183" s="420" t="str">
        <f>IFERROR(__xludf.DUMMYFUNCTION("REGEXREPLACE(F183, ""\d+$"", """")"),"")</f>
        <v/>
      </c>
    </row>
    <row r="184" ht="22.5" customHeight="1">
      <c r="A184" s="417" t="str">
        <f>VLOOKUP(F184, Employees!$A$2:$C957, 3, FALSE)</f>
        <v>#N/A</v>
      </c>
      <c r="B184" s="418">
        <f>100000 / (DAY(EOMONTH(Attendance!A184,0)) - 4)</f>
        <v>3703.703704</v>
      </c>
      <c r="C184" s="417" t="str">
        <f>MAX(0, Attendance!C184 - TIME(9, 0, 0)) * 24 * A184</f>
        <v>#N/A</v>
      </c>
      <c r="D184" s="419" t="str">
        <f>MAX(0, Attendance!D184 - TIME(18, 0, 0)) * 24 * 1.5 * A184</f>
        <v>#N/A</v>
      </c>
      <c r="E184" s="418">
        <f>IF(AND(Attendance!E184&lt;&gt;"Friday", Attendance!C184&lt;&gt;""), B184, 0)</f>
        <v>0</v>
      </c>
      <c r="F184" s="420" t="str">
        <f>Attendance!B184</f>
        <v/>
      </c>
      <c r="G184" s="415" t="str">
        <f>Attendance!A184</f>
        <v/>
      </c>
      <c r="H184" s="420" t="str">
        <f>IFERROR(__xludf.DUMMYFUNCTION("REGEXREPLACE(F184, ""\d+$"", """")"),"")</f>
        <v/>
      </c>
    </row>
    <row r="185" ht="22.5" customHeight="1">
      <c r="A185" s="417" t="str">
        <f>VLOOKUP(F185, Employees!$A$2:$C957, 3, FALSE)</f>
        <v>#N/A</v>
      </c>
      <c r="B185" s="418">
        <f>100000 / (DAY(EOMONTH(Attendance!A185,0)) - 4)</f>
        <v>3703.703704</v>
      </c>
      <c r="C185" s="417" t="str">
        <f>MAX(0, Attendance!C185 - TIME(9, 0, 0)) * 24 * A185</f>
        <v>#N/A</v>
      </c>
      <c r="D185" s="419" t="str">
        <f>MAX(0, Attendance!D185 - TIME(18, 0, 0)) * 24 * 1.5 * A185</f>
        <v>#N/A</v>
      </c>
      <c r="E185" s="418">
        <f>IF(AND(Attendance!E185&lt;&gt;"Friday", Attendance!C185&lt;&gt;""), B185, 0)</f>
        <v>0</v>
      </c>
      <c r="F185" s="420" t="str">
        <f>Attendance!B185</f>
        <v/>
      </c>
      <c r="G185" s="415" t="str">
        <f>Attendance!A185</f>
        <v/>
      </c>
      <c r="H185" s="420" t="str">
        <f>IFERROR(__xludf.DUMMYFUNCTION("REGEXREPLACE(F185, ""\d+$"", """")"),"")</f>
        <v/>
      </c>
    </row>
    <row r="186" ht="22.5" customHeight="1">
      <c r="A186" s="417" t="str">
        <f>VLOOKUP(F186, Employees!$A$2:$C957, 3, FALSE)</f>
        <v>#N/A</v>
      </c>
      <c r="B186" s="418">
        <f>100000 / (DAY(EOMONTH(Attendance!A186,0)) - 4)</f>
        <v>3703.703704</v>
      </c>
      <c r="C186" s="417" t="str">
        <f>MAX(0, Attendance!C186 - TIME(9, 0, 0)) * 24 * A186</f>
        <v>#N/A</v>
      </c>
      <c r="D186" s="419" t="str">
        <f>MAX(0, Attendance!D186 - TIME(18, 0, 0)) * 24 * 1.5 * A186</f>
        <v>#N/A</v>
      </c>
      <c r="E186" s="418">
        <f>IF(AND(Attendance!E186&lt;&gt;"Friday", Attendance!C186&lt;&gt;""), B186, 0)</f>
        <v>0</v>
      </c>
      <c r="F186" s="420" t="str">
        <f>Attendance!B186</f>
        <v/>
      </c>
      <c r="G186" s="415" t="str">
        <f>Attendance!A186</f>
        <v/>
      </c>
      <c r="H186" s="420" t="str">
        <f>IFERROR(__xludf.DUMMYFUNCTION("REGEXREPLACE(F186, ""\d+$"", """")"),"")</f>
        <v/>
      </c>
    </row>
    <row r="187" ht="22.5" customHeight="1">
      <c r="A187" s="417" t="str">
        <f>VLOOKUP(F187, Employees!$A$2:$C957, 3, FALSE)</f>
        <v>#N/A</v>
      </c>
      <c r="B187" s="418">
        <f>100000 / (DAY(EOMONTH(Attendance!A187,0)) - 4)</f>
        <v>3703.703704</v>
      </c>
      <c r="C187" s="417" t="str">
        <f>MAX(0, Attendance!C187 - TIME(9, 0, 0)) * 24 * A187</f>
        <v>#N/A</v>
      </c>
      <c r="D187" s="419" t="str">
        <f>MAX(0, Attendance!D187 - TIME(18, 0, 0)) * 24 * 1.5 * A187</f>
        <v>#N/A</v>
      </c>
      <c r="E187" s="418">
        <f>IF(AND(Attendance!E187&lt;&gt;"Friday", Attendance!C187&lt;&gt;""), B187, 0)</f>
        <v>0</v>
      </c>
      <c r="F187" s="420" t="str">
        <f>Attendance!B187</f>
        <v/>
      </c>
      <c r="G187" s="415" t="str">
        <f>Attendance!A187</f>
        <v/>
      </c>
      <c r="H187" s="420" t="str">
        <f>IFERROR(__xludf.DUMMYFUNCTION("REGEXREPLACE(F187, ""\d+$"", """")"),"")</f>
        <v/>
      </c>
    </row>
    <row r="188" ht="22.5" customHeight="1">
      <c r="A188" s="417" t="str">
        <f>VLOOKUP(F188, Employees!$A$2:$C957, 3, FALSE)</f>
        <v>#N/A</v>
      </c>
      <c r="B188" s="418">
        <f>100000 / (DAY(EOMONTH(Attendance!A188,0)) - 4)</f>
        <v>3703.703704</v>
      </c>
      <c r="C188" s="417" t="str">
        <f>MAX(0, Attendance!C188 - TIME(9, 0, 0)) * 24 * A188</f>
        <v>#N/A</v>
      </c>
      <c r="D188" s="419" t="str">
        <f>MAX(0, Attendance!D188 - TIME(18, 0, 0)) * 24 * 1.5 * A188</f>
        <v>#N/A</v>
      </c>
      <c r="E188" s="418">
        <f>IF(AND(Attendance!E188&lt;&gt;"Friday", Attendance!C188&lt;&gt;""), B188, 0)</f>
        <v>0</v>
      </c>
      <c r="F188" s="420" t="str">
        <f>Attendance!B188</f>
        <v/>
      </c>
      <c r="G188" s="415" t="str">
        <f>Attendance!A188</f>
        <v/>
      </c>
      <c r="H188" s="420" t="str">
        <f>IFERROR(__xludf.DUMMYFUNCTION("REGEXREPLACE(F188, ""\d+$"", """")"),"")</f>
        <v/>
      </c>
    </row>
    <row r="189" ht="22.5" customHeight="1">
      <c r="A189" s="417" t="str">
        <f>VLOOKUP(F189, Employees!$A$2:$C957, 3, FALSE)</f>
        <v>#N/A</v>
      </c>
      <c r="B189" s="418">
        <f>100000 / (DAY(EOMONTH(Attendance!A189,0)) - 4)</f>
        <v>3703.703704</v>
      </c>
      <c r="C189" s="417" t="str">
        <f>MAX(0, Attendance!C189 - TIME(9, 0, 0)) * 24 * A189</f>
        <v>#N/A</v>
      </c>
      <c r="D189" s="419" t="str">
        <f>MAX(0, Attendance!D189 - TIME(18, 0, 0)) * 24 * 1.5 * A189</f>
        <v>#N/A</v>
      </c>
      <c r="E189" s="418">
        <f>IF(AND(Attendance!E189&lt;&gt;"Friday", Attendance!C189&lt;&gt;""), B189, 0)</f>
        <v>0</v>
      </c>
      <c r="F189" s="420" t="str">
        <f>Attendance!B189</f>
        <v/>
      </c>
      <c r="G189" s="415" t="str">
        <f>Attendance!A189</f>
        <v/>
      </c>
      <c r="H189" s="420" t="str">
        <f>IFERROR(__xludf.DUMMYFUNCTION("REGEXREPLACE(F189, ""\d+$"", """")"),"")</f>
        <v/>
      </c>
    </row>
    <row r="190" ht="22.5" customHeight="1">
      <c r="A190" s="417" t="str">
        <f>VLOOKUP(F190, Employees!$A$2:$C957, 3, FALSE)</f>
        <v>#N/A</v>
      </c>
      <c r="B190" s="418">
        <f>100000 / (DAY(EOMONTH(Attendance!A190,0)) - 4)</f>
        <v>3703.703704</v>
      </c>
      <c r="C190" s="417" t="str">
        <f>MAX(0, Attendance!C190 - TIME(9, 0, 0)) * 24 * A190</f>
        <v>#N/A</v>
      </c>
      <c r="D190" s="419" t="str">
        <f>MAX(0, Attendance!D190 - TIME(18, 0, 0)) * 24 * 1.5 * A190</f>
        <v>#N/A</v>
      </c>
      <c r="E190" s="418">
        <f>IF(AND(Attendance!E190&lt;&gt;"Friday", Attendance!C190&lt;&gt;""), B190, 0)</f>
        <v>0</v>
      </c>
      <c r="F190" s="420" t="str">
        <f>Attendance!B190</f>
        <v/>
      </c>
      <c r="G190" s="415" t="str">
        <f>Attendance!A190</f>
        <v/>
      </c>
      <c r="H190" s="420" t="str">
        <f>IFERROR(__xludf.DUMMYFUNCTION("REGEXREPLACE(F190, ""\d+$"", """")"),"")</f>
        <v/>
      </c>
    </row>
    <row r="191" ht="22.5" customHeight="1">
      <c r="A191" s="417" t="str">
        <f>VLOOKUP(F191, Employees!$A$2:$C957, 3, FALSE)</f>
        <v>#N/A</v>
      </c>
      <c r="B191" s="418">
        <f>100000 / (DAY(EOMONTH(Attendance!A191,0)) - 4)</f>
        <v>3703.703704</v>
      </c>
      <c r="C191" s="417" t="str">
        <f>MAX(0, Attendance!C191 - TIME(9, 0, 0)) * 24 * A191</f>
        <v>#N/A</v>
      </c>
      <c r="D191" s="419" t="str">
        <f>MAX(0, Attendance!D191 - TIME(18, 0, 0)) * 24 * 1.5 * A191</f>
        <v>#N/A</v>
      </c>
      <c r="E191" s="418">
        <f>IF(AND(Attendance!E191&lt;&gt;"Friday", Attendance!C191&lt;&gt;""), B191, 0)</f>
        <v>0</v>
      </c>
      <c r="F191" s="420" t="str">
        <f>Attendance!B191</f>
        <v/>
      </c>
      <c r="G191" s="415" t="str">
        <f>Attendance!A191</f>
        <v/>
      </c>
      <c r="H191" s="420" t="str">
        <f>IFERROR(__xludf.DUMMYFUNCTION("REGEXREPLACE(F191, ""\d+$"", """")"),"")</f>
        <v/>
      </c>
    </row>
    <row r="192" ht="22.5" customHeight="1">
      <c r="A192" s="417" t="str">
        <f>VLOOKUP(F192, Employees!$A$2:$C957, 3, FALSE)</f>
        <v>#N/A</v>
      </c>
      <c r="B192" s="418">
        <f>100000 / (DAY(EOMONTH(Attendance!A192,0)) - 4)</f>
        <v>3703.703704</v>
      </c>
      <c r="C192" s="417" t="str">
        <f>MAX(0, Attendance!C192 - TIME(9, 0, 0)) * 24 * A192</f>
        <v>#N/A</v>
      </c>
      <c r="D192" s="419" t="str">
        <f>MAX(0, Attendance!D192 - TIME(18, 0, 0)) * 24 * 1.5 * A192</f>
        <v>#N/A</v>
      </c>
      <c r="E192" s="418">
        <f>IF(AND(Attendance!E192&lt;&gt;"Friday", Attendance!C192&lt;&gt;""), B192, 0)</f>
        <v>0</v>
      </c>
      <c r="F192" s="420" t="str">
        <f>Attendance!B192</f>
        <v/>
      </c>
      <c r="G192" s="415" t="str">
        <f>Attendance!A192</f>
        <v/>
      </c>
      <c r="H192" s="420" t="str">
        <f>IFERROR(__xludf.DUMMYFUNCTION("REGEXREPLACE(F192, ""\d+$"", """")"),"")</f>
        <v/>
      </c>
    </row>
    <row r="193" ht="22.5" customHeight="1">
      <c r="A193" s="417" t="str">
        <f>VLOOKUP(F193, Employees!$A$2:$C957, 3, FALSE)</f>
        <v>#N/A</v>
      </c>
      <c r="B193" s="418">
        <f>100000 / (DAY(EOMONTH(Attendance!A193,0)) - 4)</f>
        <v>3703.703704</v>
      </c>
      <c r="C193" s="417" t="str">
        <f>MAX(0, Attendance!C193 - TIME(9, 0, 0)) * 24 * A193</f>
        <v>#N/A</v>
      </c>
      <c r="D193" s="419" t="str">
        <f>MAX(0, Attendance!D193 - TIME(18, 0, 0)) * 24 * 1.5 * A193</f>
        <v>#N/A</v>
      </c>
      <c r="E193" s="418">
        <f>IF(AND(Attendance!E193&lt;&gt;"Friday", Attendance!C193&lt;&gt;""), B193, 0)</f>
        <v>0</v>
      </c>
      <c r="F193" s="420" t="str">
        <f>Attendance!B193</f>
        <v/>
      </c>
      <c r="G193" s="415" t="str">
        <f>Attendance!A193</f>
        <v/>
      </c>
      <c r="H193" s="420" t="str">
        <f>IFERROR(__xludf.DUMMYFUNCTION("REGEXREPLACE(F193, ""\d+$"", """")"),"")</f>
        <v/>
      </c>
    </row>
    <row r="194" ht="22.5" customHeight="1">
      <c r="A194" s="417" t="str">
        <f>VLOOKUP(F194, Employees!$A$2:$C957, 3, FALSE)</f>
        <v>#N/A</v>
      </c>
      <c r="B194" s="418">
        <f>100000 / (DAY(EOMONTH(Attendance!A194,0)) - 4)</f>
        <v>3703.703704</v>
      </c>
      <c r="C194" s="417" t="str">
        <f>MAX(0, Attendance!C194 - TIME(9, 0, 0)) * 24 * A194</f>
        <v>#N/A</v>
      </c>
      <c r="D194" s="419" t="str">
        <f>MAX(0, Attendance!D194 - TIME(18, 0, 0)) * 24 * 1.5 * A194</f>
        <v>#N/A</v>
      </c>
      <c r="E194" s="418">
        <f>IF(AND(Attendance!E194&lt;&gt;"Friday", Attendance!C194&lt;&gt;""), B194, 0)</f>
        <v>0</v>
      </c>
      <c r="F194" s="420" t="str">
        <f>Attendance!B194</f>
        <v/>
      </c>
      <c r="G194" s="415" t="str">
        <f>Attendance!A194</f>
        <v/>
      </c>
      <c r="H194" s="420" t="str">
        <f>IFERROR(__xludf.DUMMYFUNCTION("REGEXREPLACE(F194, ""\d+$"", """")"),"")</f>
        <v/>
      </c>
    </row>
    <row r="195" ht="22.5" customHeight="1">
      <c r="A195" s="417" t="str">
        <f>VLOOKUP(F195, Employees!$A$2:$C957, 3, FALSE)</f>
        <v>#N/A</v>
      </c>
      <c r="B195" s="418">
        <f>100000 / (DAY(EOMONTH(Attendance!A195,0)) - 4)</f>
        <v>3703.703704</v>
      </c>
      <c r="C195" s="417" t="str">
        <f>MAX(0, Attendance!C195 - TIME(9, 0, 0)) * 24 * A195</f>
        <v>#N/A</v>
      </c>
      <c r="D195" s="419" t="str">
        <f>MAX(0, Attendance!D195 - TIME(18, 0, 0)) * 24 * 1.5 * A195</f>
        <v>#N/A</v>
      </c>
      <c r="E195" s="418">
        <f>IF(AND(Attendance!E195&lt;&gt;"Friday", Attendance!C195&lt;&gt;""), B195, 0)</f>
        <v>0</v>
      </c>
      <c r="F195" s="420" t="str">
        <f>Attendance!B195</f>
        <v/>
      </c>
      <c r="G195" s="415" t="str">
        <f>Attendance!A195</f>
        <v/>
      </c>
      <c r="H195" s="420" t="str">
        <f>IFERROR(__xludf.DUMMYFUNCTION("REGEXREPLACE(F195, ""\d+$"", """")"),"")</f>
        <v/>
      </c>
    </row>
    <row r="196" ht="22.5" customHeight="1">
      <c r="A196" s="417" t="str">
        <f>VLOOKUP(F196, Employees!$A$2:$C957, 3, FALSE)</f>
        <v>#N/A</v>
      </c>
      <c r="B196" s="418">
        <f>100000 / (DAY(EOMONTH(Attendance!A196,0)) - 4)</f>
        <v>3703.703704</v>
      </c>
      <c r="C196" s="417" t="str">
        <f>MAX(0, Attendance!C196 - TIME(9, 0, 0)) * 24 * A196</f>
        <v>#N/A</v>
      </c>
      <c r="D196" s="419" t="str">
        <f>MAX(0, Attendance!D196 - TIME(18, 0, 0)) * 24 * 1.5 * A196</f>
        <v>#N/A</v>
      </c>
      <c r="E196" s="418">
        <f>IF(AND(Attendance!E196&lt;&gt;"Friday", Attendance!C196&lt;&gt;""), B196, 0)</f>
        <v>0</v>
      </c>
      <c r="F196" s="420" t="str">
        <f>Attendance!B196</f>
        <v/>
      </c>
      <c r="G196" s="415" t="str">
        <f>Attendance!A196</f>
        <v/>
      </c>
      <c r="H196" s="420" t="str">
        <f>IFERROR(__xludf.DUMMYFUNCTION("REGEXREPLACE(F196, ""\d+$"", """")"),"")</f>
        <v/>
      </c>
    </row>
    <row r="197" ht="22.5" customHeight="1">
      <c r="A197" s="417" t="str">
        <f>VLOOKUP(F197, Employees!$A$2:$C957, 3, FALSE)</f>
        <v>#N/A</v>
      </c>
      <c r="B197" s="418">
        <f>100000 / (DAY(EOMONTH(Attendance!A197,0)) - 4)</f>
        <v>3703.703704</v>
      </c>
      <c r="C197" s="417" t="str">
        <f>MAX(0, Attendance!C197 - TIME(9, 0, 0)) * 24 * A197</f>
        <v>#N/A</v>
      </c>
      <c r="D197" s="419" t="str">
        <f>MAX(0, Attendance!D197 - TIME(18, 0, 0)) * 24 * 1.5 * A197</f>
        <v>#N/A</v>
      </c>
      <c r="E197" s="418">
        <f>IF(AND(Attendance!E197&lt;&gt;"Friday", Attendance!C197&lt;&gt;""), B197, 0)</f>
        <v>0</v>
      </c>
      <c r="F197" s="420" t="str">
        <f>Attendance!B197</f>
        <v/>
      </c>
      <c r="G197" s="415" t="str">
        <f>Attendance!A197</f>
        <v/>
      </c>
      <c r="H197" s="420" t="str">
        <f>IFERROR(__xludf.DUMMYFUNCTION("REGEXREPLACE(F197, ""\d+$"", """")"),"")</f>
        <v/>
      </c>
    </row>
    <row r="198" ht="22.5" customHeight="1">
      <c r="A198" s="417" t="str">
        <f>VLOOKUP(F198, Employees!$A$2:$C957, 3, FALSE)</f>
        <v>#N/A</v>
      </c>
      <c r="B198" s="418">
        <f>100000 / (DAY(EOMONTH(Attendance!A198,0)) - 4)</f>
        <v>3703.703704</v>
      </c>
      <c r="C198" s="417" t="str">
        <f>MAX(0, Attendance!C198 - TIME(9, 0, 0)) * 24 * A198</f>
        <v>#N/A</v>
      </c>
      <c r="D198" s="419" t="str">
        <f>MAX(0, Attendance!D198 - TIME(18, 0, 0)) * 24 * 1.5 * A198</f>
        <v>#N/A</v>
      </c>
      <c r="E198" s="418">
        <f>IF(AND(Attendance!E198&lt;&gt;"Friday", Attendance!C198&lt;&gt;""), B198, 0)</f>
        <v>0</v>
      </c>
      <c r="F198" s="420" t="str">
        <f>Attendance!B198</f>
        <v/>
      </c>
      <c r="G198" s="415" t="str">
        <f>Attendance!A198</f>
        <v/>
      </c>
      <c r="H198" s="420" t="str">
        <f>IFERROR(__xludf.DUMMYFUNCTION("REGEXREPLACE(F198, ""\d+$"", """")"),"")</f>
        <v/>
      </c>
    </row>
    <row r="199" ht="22.5" customHeight="1">
      <c r="A199" s="417" t="str">
        <f>VLOOKUP(F199, Employees!$A$2:$C957, 3, FALSE)</f>
        <v>#N/A</v>
      </c>
      <c r="B199" s="418">
        <f>100000 / (DAY(EOMONTH(Attendance!A199,0)) - 4)</f>
        <v>3703.703704</v>
      </c>
      <c r="C199" s="417" t="str">
        <f>MAX(0, Attendance!C199 - TIME(9, 0, 0)) * 24 * A199</f>
        <v>#N/A</v>
      </c>
      <c r="D199" s="419" t="str">
        <f>MAX(0, Attendance!D199 - TIME(18, 0, 0)) * 24 * 1.5 * A199</f>
        <v>#N/A</v>
      </c>
      <c r="E199" s="418">
        <f>IF(AND(Attendance!E199&lt;&gt;"Friday", Attendance!C199&lt;&gt;""), B199, 0)</f>
        <v>0</v>
      </c>
      <c r="F199" s="420" t="str">
        <f>Attendance!B199</f>
        <v/>
      </c>
      <c r="G199" s="415" t="str">
        <f>Attendance!A199</f>
        <v/>
      </c>
      <c r="H199" s="420" t="str">
        <f>IFERROR(__xludf.DUMMYFUNCTION("REGEXREPLACE(F199, ""\d+$"", """")"),"")</f>
        <v/>
      </c>
    </row>
    <row r="200" ht="22.5" customHeight="1">
      <c r="A200" s="417" t="str">
        <f>VLOOKUP(F200, Employees!$A$2:$C957, 3, FALSE)</f>
        <v>#N/A</v>
      </c>
      <c r="B200" s="418">
        <f>100000 / (DAY(EOMONTH(Attendance!A200,0)) - 4)</f>
        <v>3703.703704</v>
      </c>
      <c r="C200" s="417" t="str">
        <f>MAX(0, Attendance!C200 - TIME(9, 0, 0)) * 24 * A200</f>
        <v>#N/A</v>
      </c>
      <c r="D200" s="419" t="str">
        <f>MAX(0, Attendance!D200 - TIME(18, 0, 0)) * 24 * 1.5 * A200</f>
        <v>#N/A</v>
      </c>
      <c r="E200" s="418">
        <f>IF(AND(Attendance!E200&lt;&gt;"Friday", Attendance!C200&lt;&gt;""), B200, 0)</f>
        <v>0</v>
      </c>
      <c r="F200" s="420" t="str">
        <f>Attendance!B200</f>
        <v/>
      </c>
      <c r="G200" s="415" t="str">
        <f>Attendance!A200</f>
        <v/>
      </c>
      <c r="H200" s="420" t="str">
        <f>IFERROR(__xludf.DUMMYFUNCTION("REGEXREPLACE(F200, ""\d+$"", """")"),"")</f>
        <v/>
      </c>
    </row>
    <row r="201" ht="22.5" customHeight="1">
      <c r="A201" s="417" t="str">
        <f>VLOOKUP(F201, Employees!$A$2:$C957, 3, FALSE)</f>
        <v>#N/A</v>
      </c>
      <c r="B201" s="418">
        <f>100000 / (DAY(EOMONTH(Attendance!A201,0)) - 4)</f>
        <v>3703.703704</v>
      </c>
      <c r="C201" s="417" t="str">
        <f>MAX(0, Attendance!C201 - TIME(9, 0, 0)) * 24 * A201</f>
        <v>#N/A</v>
      </c>
      <c r="D201" s="419" t="str">
        <f>MAX(0, Attendance!D201 - TIME(18, 0, 0)) * 24 * 1.5 * A201</f>
        <v>#N/A</v>
      </c>
      <c r="E201" s="418">
        <f>IF(AND(Attendance!E201&lt;&gt;"Friday", Attendance!C201&lt;&gt;""), B201, 0)</f>
        <v>0</v>
      </c>
      <c r="F201" s="420" t="str">
        <f>Attendance!B201</f>
        <v/>
      </c>
      <c r="G201" s="415" t="str">
        <f>Attendance!A201</f>
        <v/>
      </c>
      <c r="H201" s="420" t="str">
        <f>IFERROR(__xludf.DUMMYFUNCTION("REGEXREPLACE(F201, ""\d+$"", """")"),"")</f>
        <v/>
      </c>
    </row>
    <row r="202" ht="22.5" customHeight="1">
      <c r="A202" s="417" t="str">
        <f>VLOOKUP(F202, Employees!$A$2:$C957, 3, FALSE)</f>
        <v>#N/A</v>
      </c>
      <c r="B202" s="418">
        <f>100000 / (DAY(EOMONTH(Attendance!A202,0)) - 4)</f>
        <v>3703.703704</v>
      </c>
      <c r="C202" s="417" t="str">
        <f>MAX(0, Attendance!C202 - TIME(9, 0, 0)) * 24 * A202</f>
        <v>#N/A</v>
      </c>
      <c r="D202" s="419" t="str">
        <f>MAX(0, Attendance!D202 - TIME(18, 0, 0)) * 24 * 1.5 * A202</f>
        <v>#N/A</v>
      </c>
      <c r="E202" s="418">
        <f>IF(AND(Attendance!E202&lt;&gt;"Friday", Attendance!C202&lt;&gt;""), B202, 0)</f>
        <v>0</v>
      </c>
      <c r="F202" s="420" t="str">
        <f>Attendance!B202</f>
        <v/>
      </c>
      <c r="G202" s="415" t="str">
        <f>Attendance!A202</f>
        <v/>
      </c>
      <c r="H202" s="420" t="str">
        <f>IFERROR(__xludf.DUMMYFUNCTION("REGEXREPLACE(F202, ""\d+$"", """")"),"")</f>
        <v/>
      </c>
    </row>
    <row r="203" ht="22.5" customHeight="1">
      <c r="A203" s="417" t="str">
        <f>VLOOKUP(F203, Employees!$A$2:$C957, 3, FALSE)</f>
        <v>#N/A</v>
      </c>
      <c r="B203" s="418">
        <f>100000 / (DAY(EOMONTH(Attendance!A203,0)) - 4)</f>
        <v>3703.703704</v>
      </c>
      <c r="C203" s="417" t="str">
        <f>MAX(0, Attendance!C203 - TIME(9, 0, 0)) * 24 * A203</f>
        <v>#N/A</v>
      </c>
      <c r="D203" s="419" t="str">
        <f>MAX(0, Attendance!D203 - TIME(18, 0, 0)) * 24 * 1.5 * A203</f>
        <v>#N/A</v>
      </c>
      <c r="E203" s="418">
        <f>IF(AND(Attendance!E203&lt;&gt;"Friday", Attendance!C203&lt;&gt;""), B203, 0)</f>
        <v>0</v>
      </c>
      <c r="F203" s="420" t="str">
        <f>Attendance!B203</f>
        <v/>
      </c>
      <c r="G203" s="415" t="str">
        <f>Attendance!A203</f>
        <v/>
      </c>
      <c r="H203" s="420" t="str">
        <f>IFERROR(__xludf.DUMMYFUNCTION("REGEXREPLACE(F203, ""\d+$"", """")"),"")</f>
        <v/>
      </c>
    </row>
    <row r="204" ht="22.5" customHeight="1">
      <c r="A204" s="417" t="str">
        <f>VLOOKUP(F204, Employees!$A$2:$C957, 3, FALSE)</f>
        <v>#N/A</v>
      </c>
      <c r="B204" s="418">
        <f>100000 / (DAY(EOMONTH(Attendance!A204,0)) - 4)</f>
        <v>3703.703704</v>
      </c>
      <c r="C204" s="417" t="str">
        <f>MAX(0, Attendance!C204 - TIME(9, 0, 0)) * 24 * A204</f>
        <v>#N/A</v>
      </c>
      <c r="D204" s="419" t="str">
        <f>MAX(0, Attendance!D204 - TIME(18, 0, 0)) * 24 * 1.5 * A204</f>
        <v>#N/A</v>
      </c>
      <c r="E204" s="418">
        <f>IF(AND(Attendance!E204&lt;&gt;"Friday", Attendance!C204&lt;&gt;""), B204, 0)</f>
        <v>0</v>
      </c>
      <c r="F204" s="420" t="str">
        <f>Attendance!B204</f>
        <v/>
      </c>
      <c r="G204" s="415" t="str">
        <f>Attendance!A204</f>
        <v/>
      </c>
      <c r="H204" s="420" t="str">
        <f>IFERROR(__xludf.DUMMYFUNCTION("REGEXREPLACE(F204, ""\d+$"", """")"),"")</f>
        <v/>
      </c>
    </row>
    <row r="205" ht="22.5" customHeight="1">
      <c r="A205" s="417" t="str">
        <f>VLOOKUP(F205, Employees!$A$2:$C957, 3, FALSE)</f>
        <v>#N/A</v>
      </c>
      <c r="B205" s="418">
        <f>100000 / (DAY(EOMONTH(Attendance!A205,0)) - 4)</f>
        <v>3703.703704</v>
      </c>
      <c r="C205" s="417" t="str">
        <f>MAX(0, Attendance!C205 - TIME(9, 0, 0)) * 24 * A205</f>
        <v>#N/A</v>
      </c>
      <c r="D205" s="419" t="str">
        <f>MAX(0, Attendance!D205 - TIME(18, 0, 0)) * 24 * 1.5 * A205</f>
        <v>#N/A</v>
      </c>
      <c r="E205" s="418">
        <f>IF(AND(Attendance!E205&lt;&gt;"Friday", Attendance!C205&lt;&gt;""), B205, 0)</f>
        <v>0</v>
      </c>
      <c r="F205" s="420" t="str">
        <f>Attendance!B205</f>
        <v/>
      </c>
      <c r="G205" s="415" t="str">
        <f>Attendance!A205</f>
        <v/>
      </c>
      <c r="H205" s="420" t="str">
        <f>IFERROR(__xludf.DUMMYFUNCTION("REGEXREPLACE(F205, ""\d+$"", """")"),"")</f>
        <v/>
      </c>
    </row>
    <row r="206" ht="22.5" customHeight="1">
      <c r="A206" s="417" t="str">
        <f>VLOOKUP(F206, Employees!$A$2:$C957, 3, FALSE)</f>
        <v>#N/A</v>
      </c>
      <c r="B206" s="418">
        <f>100000 / (DAY(EOMONTH(Attendance!A206,0)) - 4)</f>
        <v>3703.703704</v>
      </c>
      <c r="C206" s="417" t="str">
        <f>MAX(0, Attendance!C206 - TIME(9, 0, 0)) * 24 * A206</f>
        <v>#N/A</v>
      </c>
      <c r="D206" s="419" t="str">
        <f>MAX(0, Attendance!D206 - TIME(18, 0, 0)) * 24 * 1.5 * A206</f>
        <v>#N/A</v>
      </c>
      <c r="E206" s="418">
        <f>IF(AND(Attendance!E206&lt;&gt;"Friday", Attendance!C206&lt;&gt;""), B206, 0)</f>
        <v>0</v>
      </c>
      <c r="F206" s="420" t="str">
        <f>Attendance!B206</f>
        <v/>
      </c>
      <c r="G206" s="415" t="str">
        <f>Attendance!A206</f>
        <v/>
      </c>
      <c r="H206" s="420" t="str">
        <f>IFERROR(__xludf.DUMMYFUNCTION("REGEXREPLACE(F206, ""\d+$"", """")"),"")</f>
        <v/>
      </c>
    </row>
    <row r="207" ht="22.5" customHeight="1">
      <c r="A207" s="417" t="str">
        <f>VLOOKUP(F207, Employees!$A$2:$C957, 3, FALSE)</f>
        <v>#N/A</v>
      </c>
      <c r="B207" s="418">
        <f>100000 / (DAY(EOMONTH(Attendance!A207,0)) - 4)</f>
        <v>3703.703704</v>
      </c>
      <c r="C207" s="417" t="str">
        <f>MAX(0, Attendance!C207 - TIME(9, 0, 0)) * 24 * A207</f>
        <v>#N/A</v>
      </c>
      <c r="D207" s="419" t="str">
        <f>MAX(0, Attendance!D207 - TIME(18, 0, 0)) * 24 * 1.5 * A207</f>
        <v>#N/A</v>
      </c>
      <c r="E207" s="418">
        <f>IF(AND(Attendance!E207&lt;&gt;"Friday", Attendance!C207&lt;&gt;""), B207, 0)</f>
        <v>0</v>
      </c>
      <c r="F207" s="420" t="str">
        <f>Attendance!B207</f>
        <v/>
      </c>
      <c r="G207" s="415" t="str">
        <f>Attendance!A207</f>
        <v/>
      </c>
      <c r="H207" s="420" t="str">
        <f>IFERROR(__xludf.DUMMYFUNCTION("REGEXREPLACE(F207, ""\d+$"", """")"),"")</f>
        <v/>
      </c>
    </row>
    <row r="208" ht="22.5" customHeight="1">
      <c r="A208" s="417" t="str">
        <f>VLOOKUP(F208, Employees!$A$2:$C957, 3, FALSE)</f>
        <v>#N/A</v>
      </c>
      <c r="B208" s="418">
        <f>100000 / (DAY(EOMONTH(Attendance!A208,0)) - 4)</f>
        <v>3703.703704</v>
      </c>
      <c r="C208" s="417" t="str">
        <f>MAX(0, Attendance!C208 - TIME(9, 0, 0)) * 24 * A208</f>
        <v>#N/A</v>
      </c>
      <c r="D208" s="419" t="str">
        <f>MAX(0, Attendance!D208 - TIME(18, 0, 0)) * 24 * 1.5 * A208</f>
        <v>#N/A</v>
      </c>
      <c r="E208" s="418">
        <f>IF(AND(Attendance!E208&lt;&gt;"Friday", Attendance!C208&lt;&gt;""), B208, 0)</f>
        <v>0</v>
      </c>
      <c r="F208" s="420" t="str">
        <f>Attendance!B208</f>
        <v/>
      </c>
      <c r="G208" s="415" t="str">
        <f>Attendance!A208</f>
        <v/>
      </c>
      <c r="H208" s="420" t="str">
        <f>IFERROR(__xludf.DUMMYFUNCTION("REGEXREPLACE(F208, ""\d+$"", """")"),"")</f>
        <v/>
      </c>
    </row>
    <row r="209" ht="22.5" customHeight="1">
      <c r="A209" s="417" t="str">
        <f>VLOOKUP(F209, Employees!$A$2:$C957, 3, FALSE)</f>
        <v>#N/A</v>
      </c>
      <c r="B209" s="418">
        <f>100000 / (DAY(EOMONTH(Attendance!A209,0)) - 4)</f>
        <v>3703.703704</v>
      </c>
      <c r="C209" s="417" t="str">
        <f>MAX(0, Attendance!C209 - TIME(9, 0, 0)) * 24 * A209</f>
        <v>#N/A</v>
      </c>
      <c r="D209" s="419" t="str">
        <f>MAX(0, Attendance!D209 - TIME(18, 0, 0)) * 24 * 1.5 * A209</f>
        <v>#N/A</v>
      </c>
      <c r="E209" s="418">
        <f>IF(AND(Attendance!E209&lt;&gt;"Friday", Attendance!C209&lt;&gt;""), B209, 0)</f>
        <v>0</v>
      </c>
      <c r="F209" s="420" t="str">
        <f>Attendance!B209</f>
        <v/>
      </c>
      <c r="G209" s="415" t="str">
        <f>Attendance!A209</f>
        <v/>
      </c>
      <c r="H209" s="420" t="str">
        <f>IFERROR(__xludf.DUMMYFUNCTION("REGEXREPLACE(F209, ""\d+$"", """")"),"")</f>
        <v/>
      </c>
    </row>
    <row r="210" ht="22.5" customHeight="1">
      <c r="A210" s="417" t="str">
        <f>VLOOKUP(F210, Employees!$A$2:$C957, 3, FALSE)</f>
        <v>#N/A</v>
      </c>
      <c r="B210" s="418">
        <f>100000 / (DAY(EOMONTH(Attendance!A210,0)) - 4)</f>
        <v>3703.703704</v>
      </c>
      <c r="C210" s="417" t="str">
        <f>MAX(0, Attendance!C210 - TIME(9, 0, 0)) * 24 * A210</f>
        <v>#N/A</v>
      </c>
      <c r="D210" s="419" t="str">
        <f>MAX(0, Attendance!D210 - TIME(18, 0, 0)) * 24 * 1.5 * A210</f>
        <v>#N/A</v>
      </c>
      <c r="E210" s="418">
        <f>IF(AND(Attendance!E210&lt;&gt;"Friday", Attendance!C210&lt;&gt;""), B210, 0)</f>
        <v>0</v>
      </c>
      <c r="F210" s="420" t="str">
        <f>Attendance!B210</f>
        <v/>
      </c>
      <c r="G210" s="415" t="str">
        <f>Attendance!A210</f>
        <v/>
      </c>
      <c r="H210" s="420" t="str">
        <f>IFERROR(__xludf.DUMMYFUNCTION("REGEXREPLACE(F210, ""\d+$"", """")"),"")</f>
        <v/>
      </c>
    </row>
    <row r="211" ht="22.5" customHeight="1">
      <c r="A211" s="417" t="str">
        <f>VLOOKUP(F211, Employees!$A$2:$C957, 3, FALSE)</f>
        <v>#N/A</v>
      </c>
      <c r="B211" s="418">
        <f>100000 / (DAY(EOMONTH(Attendance!A211,0)) - 4)</f>
        <v>3703.703704</v>
      </c>
      <c r="C211" s="417" t="str">
        <f>MAX(0, Attendance!C211 - TIME(9, 0, 0)) * 24 * A211</f>
        <v>#N/A</v>
      </c>
      <c r="D211" s="419" t="str">
        <f>MAX(0, Attendance!D211 - TIME(18, 0, 0)) * 24 * 1.5 * A211</f>
        <v>#N/A</v>
      </c>
      <c r="E211" s="418">
        <f>IF(AND(Attendance!E211&lt;&gt;"Friday", Attendance!C211&lt;&gt;""), B211, 0)</f>
        <v>0</v>
      </c>
      <c r="F211" s="420" t="str">
        <f>Attendance!B211</f>
        <v/>
      </c>
      <c r="G211" s="415" t="str">
        <f>Attendance!A211</f>
        <v/>
      </c>
      <c r="H211" s="420" t="str">
        <f>IFERROR(__xludf.DUMMYFUNCTION("REGEXREPLACE(F211, ""\d+$"", """")"),"")</f>
        <v/>
      </c>
    </row>
    <row r="212" ht="22.5" customHeight="1">
      <c r="A212" s="417" t="str">
        <f>VLOOKUP(F212, Employees!$A$2:$C957, 3, FALSE)</f>
        <v>#N/A</v>
      </c>
      <c r="B212" s="418">
        <f>100000 / (DAY(EOMONTH(Attendance!A212,0)) - 4)</f>
        <v>3703.703704</v>
      </c>
      <c r="C212" s="417" t="str">
        <f>MAX(0, Attendance!C212 - TIME(9, 0, 0)) * 24 * A212</f>
        <v>#N/A</v>
      </c>
      <c r="D212" s="419" t="str">
        <f>MAX(0, Attendance!D212 - TIME(18, 0, 0)) * 24 * 1.5 * A212</f>
        <v>#N/A</v>
      </c>
      <c r="E212" s="418">
        <f>IF(AND(Attendance!E212&lt;&gt;"Friday", Attendance!C212&lt;&gt;""), B212, 0)</f>
        <v>0</v>
      </c>
      <c r="F212" s="420" t="str">
        <f>Attendance!B212</f>
        <v/>
      </c>
      <c r="G212" s="415" t="str">
        <f>Attendance!A212</f>
        <v/>
      </c>
      <c r="H212" s="420" t="str">
        <f>IFERROR(__xludf.DUMMYFUNCTION("REGEXREPLACE(F212, ""\d+$"", """")"),"")</f>
        <v/>
      </c>
    </row>
    <row r="213" ht="22.5" customHeight="1">
      <c r="A213" s="417" t="str">
        <f>VLOOKUP(F213, Employees!$A$2:$C957, 3, FALSE)</f>
        <v>#N/A</v>
      </c>
      <c r="B213" s="418">
        <f>100000 / (DAY(EOMONTH(Attendance!A213,0)) - 4)</f>
        <v>3703.703704</v>
      </c>
      <c r="C213" s="417" t="str">
        <f>MAX(0, Attendance!C213 - TIME(9, 0, 0)) * 24 * A213</f>
        <v>#N/A</v>
      </c>
      <c r="D213" s="419" t="str">
        <f>MAX(0, Attendance!D213 - TIME(18, 0, 0)) * 24 * 1.5 * A213</f>
        <v>#N/A</v>
      </c>
      <c r="E213" s="418">
        <f>IF(AND(Attendance!E213&lt;&gt;"Friday", Attendance!C213&lt;&gt;""), B213, 0)</f>
        <v>0</v>
      </c>
      <c r="F213" s="420" t="str">
        <f>Attendance!B213</f>
        <v/>
      </c>
      <c r="G213" s="415" t="str">
        <f>Attendance!A213</f>
        <v/>
      </c>
      <c r="H213" s="420" t="str">
        <f>IFERROR(__xludf.DUMMYFUNCTION("REGEXREPLACE(F213, ""\d+$"", """")"),"")</f>
        <v/>
      </c>
    </row>
    <row r="214" ht="22.5" customHeight="1">
      <c r="A214" s="417" t="str">
        <f>VLOOKUP(F214, Employees!$A$2:$C957, 3, FALSE)</f>
        <v>#N/A</v>
      </c>
      <c r="B214" s="418">
        <f>100000 / (DAY(EOMONTH(Attendance!A214,0)) - 4)</f>
        <v>3703.703704</v>
      </c>
      <c r="C214" s="417" t="str">
        <f>MAX(0, Attendance!C214 - TIME(9, 0, 0)) * 24 * A214</f>
        <v>#N/A</v>
      </c>
      <c r="D214" s="419" t="str">
        <f>MAX(0, Attendance!D214 - TIME(18, 0, 0)) * 24 * 1.5 * A214</f>
        <v>#N/A</v>
      </c>
      <c r="E214" s="418">
        <f>IF(AND(Attendance!E214&lt;&gt;"Friday", Attendance!C214&lt;&gt;""), B214, 0)</f>
        <v>0</v>
      </c>
      <c r="F214" s="420" t="str">
        <f>Attendance!B214</f>
        <v/>
      </c>
      <c r="G214" s="415" t="str">
        <f>Attendance!A214</f>
        <v/>
      </c>
      <c r="H214" s="420" t="str">
        <f>IFERROR(__xludf.DUMMYFUNCTION("REGEXREPLACE(F214, ""\d+$"", """")"),"")</f>
        <v/>
      </c>
    </row>
    <row r="215" ht="22.5" customHeight="1">
      <c r="A215" s="417" t="str">
        <f>VLOOKUP(F215, Employees!$A$2:$C957, 3, FALSE)</f>
        <v>#N/A</v>
      </c>
      <c r="B215" s="418">
        <f>100000 / (DAY(EOMONTH(Attendance!A215,0)) - 4)</f>
        <v>3703.703704</v>
      </c>
      <c r="C215" s="417" t="str">
        <f>MAX(0, Attendance!C215 - TIME(9, 0, 0)) * 24 * A215</f>
        <v>#N/A</v>
      </c>
      <c r="D215" s="419" t="str">
        <f>MAX(0, Attendance!D215 - TIME(18, 0, 0)) * 24 * 1.5 * A215</f>
        <v>#N/A</v>
      </c>
      <c r="E215" s="418">
        <f>IF(AND(Attendance!E215&lt;&gt;"Friday", Attendance!C215&lt;&gt;""), B215, 0)</f>
        <v>0</v>
      </c>
      <c r="F215" s="420" t="str">
        <f>Attendance!B215</f>
        <v/>
      </c>
      <c r="G215" s="415" t="str">
        <f>Attendance!A215</f>
        <v/>
      </c>
      <c r="H215" s="420" t="str">
        <f>IFERROR(__xludf.DUMMYFUNCTION("REGEXREPLACE(F215, ""\d+$"", """")"),"")</f>
        <v/>
      </c>
    </row>
    <row r="216" ht="22.5" customHeight="1">
      <c r="A216" s="417" t="str">
        <f>VLOOKUP(F216, Employees!$A$2:$C957, 3, FALSE)</f>
        <v>#N/A</v>
      </c>
      <c r="B216" s="418">
        <f>100000 / (DAY(EOMONTH(Attendance!A216,0)) - 4)</f>
        <v>3703.703704</v>
      </c>
      <c r="C216" s="417" t="str">
        <f>MAX(0, Attendance!C216 - TIME(9, 0, 0)) * 24 * A216</f>
        <v>#N/A</v>
      </c>
      <c r="D216" s="419" t="str">
        <f>MAX(0, Attendance!D216 - TIME(18, 0, 0)) * 24 * 1.5 * A216</f>
        <v>#N/A</v>
      </c>
      <c r="E216" s="418">
        <f>IF(AND(Attendance!E216&lt;&gt;"Friday", Attendance!C216&lt;&gt;""), B216, 0)</f>
        <v>0</v>
      </c>
      <c r="F216" s="420" t="str">
        <f>Attendance!B216</f>
        <v/>
      </c>
      <c r="G216" s="415" t="str">
        <f>Attendance!A216</f>
        <v/>
      </c>
      <c r="H216" s="420" t="str">
        <f>IFERROR(__xludf.DUMMYFUNCTION("REGEXREPLACE(F216, ""\d+$"", """")"),"")</f>
        <v/>
      </c>
    </row>
    <row r="217" ht="22.5" customHeight="1">
      <c r="A217" s="417" t="str">
        <f>VLOOKUP(F217, Employees!$A$2:$C957, 3, FALSE)</f>
        <v>#N/A</v>
      </c>
      <c r="B217" s="418">
        <f>100000 / (DAY(EOMONTH(Attendance!A217,0)) - 4)</f>
        <v>3703.703704</v>
      </c>
      <c r="C217" s="417" t="str">
        <f>MAX(0, Attendance!C217 - TIME(9, 0, 0)) * 24 * A217</f>
        <v>#N/A</v>
      </c>
      <c r="D217" s="419" t="str">
        <f>MAX(0, Attendance!D217 - TIME(18, 0, 0)) * 24 * 1.5 * A217</f>
        <v>#N/A</v>
      </c>
      <c r="E217" s="418">
        <f>IF(AND(Attendance!E217&lt;&gt;"Friday", Attendance!C217&lt;&gt;""), B217, 0)</f>
        <v>0</v>
      </c>
      <c r="F217" s="420" t="str">
        <f>Attendance!B217</f>
        <v/>
      </c>
      <c r="G217" s="415" t="str">
        <f>Attendance!A217</f>
        <v/>
      </c>
      <c r="H217" s="420" t="str">
        <f>IFERROR(__xludf.DUMMYFUNCTION("REGEXREPLACE(F217, ""\d+$"", """")"),"")</f>
        <v/>
      </c>
    </row>
    <row r="218" ht="22.5" customHeight="1">
      <c r="A218" s="417" t="str">
        <f>VLOOKUP(F218, Employees!$A$2:$C957, 3, FALSE)</f>
        <v>#N/A</v>
      </c>
      <c r="B218" s="418">
        <f>100000 / (DAY(EOMONTH(Attendance!A218,0)) - 4)</f>
        <v>3703.703704</v>
      </c>
      <c r="C218" s="417" t="str">
        <f>MAX(0, Attendance!C218 - TIME(9, 0, 0)) * 24 * A218</f>
        <v>#N/A</v>
      </c>
      <c r="D218" s="419" t="str">
        <f>MAX(0, Attendance!D218 - TIME(18, 0, 0)) * 24 * 1.5 * A218</f>
        <v>#N/A</v>
      </c>
      <c r="E218" s="418">
        <f>IF(AND(Attendance!E218&lt;&gt;"Friday", Attendance!C218&lt;&gt;""), B218, 0)</f>
        <v>0</v>
      </c>
      <c r="F218" s="420" t="str">
        <f>Attendance!B218</f>
        <v/>
      </c>
      <c r="G218" s="415" t="str">
        <f>Attendance!A218</f>
        <v/>
      </c>
      <c r="H218" s="420" t="str">
        <f>IFERROR(__xludf.DUMMYFUNCTION("REGEXREPLACE(F218, ""\d+$"", """")"),"")</f>
        <v/>
      </c>
    </row>
    <row r="219" ht="22.5" customHeight="1">
      <c r="A219" s="417" t="str">
        <f>VLOOKUP(F219, Employees!$A$2:$C957, 3, FALSE)</f>
        <v>#N/A</v>
      </c>
      <c r="B219" s="418">
        <f>100000 / (DAY(EOMONTH(Attendance!A219,0)) - 4)</f>
        <v>3703.703704</v>
      </c>
      <c r="C219" s="417" t="str">
        <f>MAX(0, Attendance!C219 - TIME(9, 0, 0)) * 24 * A219</f>
        <v>#N/A</v>
      </c>
      <c r="D219" s="419" t="str">
        <f>MAX(0, Attendance!D219 - TIME(18, 0, 0)) * 24 * 1.5 * A219</f>
        <v>#N/A</v>
      </c>
      <c r="E219" s="418">
        <f>IF(AND(Attendance!E219&lt;&gt;"Friday", Attendance!C219&lt;&gt;""), B219, 0)</f>
        <v>0</v>
      </c>
      <c r="F219" s="420" t="str">
        <f>Attendance!B219</f>
        <v/>
      </c>
      <c r="G219" s="415" t="str">
        <f>Attendance!A219</f>
        <v/>
      </c>
      <c r="H219" s="420" t="str">
        <f>IFERROR(__xludf.DUMMYFUNCTION("REGEXREPLACE(F219, ""\d+$"", """")"),"")</f>
        <v/>
      </c>
    </row>
    <row r="220" ht="22.5" customHeight="1">
      <c r="A220" s="417" t="str">
        <f>VLOOKUP(F220, Employees!$A$2:$C957, 3, FALSE)</f>
        <v>#N/A</v>
      </c>
      <c r="B220" s="418">
        <f>100000 / (DAY(EOMONTH(Attendance!A220,0)) - 4)</f>
        <v>3703.703704</v>
      </c>
      <c r="C220" s="417" t="str">
        <f>MAX(0, Attendance!C220 - TIME(9, 0, 0)) * 24 * A220</f>
        <v>#N/A</v>
      </c>
      <c r="D220" s="419" t="str">
        <f>MAX(0, Attendance!D220 - TIME(18, 0, 0)) * 24 * 1.5 * A220</f>
        <v>#N/A</v>
      </c>
      <c r="E220" s="418">
        <f>IF(AND(Attendance!E220&lt;&gt;"Friday", Attendance!C220&lt;&gt;""), B220, 0)</f>
        <v>0</v>
      </c>
      <c r="F220" s="420" t="str">
        <f>Attendance!B220</f>
        <v/>
      </c>
      <c r="G220" s="415" t="str">
        <f>Attendance!A220</f>
        <v/>
      </c>
      <c r="H220" s="420" t="str">
        <f>IFERROR(__xludf.DUMMYFUNCTION("REGEXREPLACE(F220, ""\d+$"", """")"),"")</f>
        <v/>
      </c>
    </row>
    <row r="221" ht="22.5" customHeight="1">
      <c r="A221" s="417" t="str">
        <f>VLOOKUP(F221, Employees!$A$2:$C957, 3, FALSE)</f>
        <v>#N/A</v>
      </c>
      <c r="B221" s="418">
        <f>100000 / (DAY(EOMONTH(Attendance!A221,0)) - 4)</f>
        <v>3703.703704</v>
      </c>
      <c r="C221" s="417" t="str">
        <f>MAX(0, Attendance!C221 - TIME(9, 0, 0)) * 24 * A221</f>
        <v>#N/A</v>
      </c>
      <c r="D221" s="419" t="str">
        <f>MAX(0, Attendance!D221 - TIME(18, 0, 0)) * 24 * 1.5 * A221</f>
        <v>#N/A</v>
      </c>
      <c r="E221" s="418">
        <f>IF(AND(Attendance!E221&lt;&gt;"Friday", Attendance!C221&lt;&gt;""), B221, 0)</f>
        <v>0</v>
      </c>
      <c r="F221" s="420" t="str">
        <f>Attendance!B221</f>
        <v/>
      </c>
      <c r="G221" s="415" t="str">
        <f>Attendance!A221</f>
        <v/>
      </c>
      <c r="H221" s="420" t="str">
        <f>IFERROR(__xludf.DUMMYFUNCTION("REGEXREPLACE(F221, ""\d+$"", """")"),"")</f>
        <v/>
      </c>
    </row>
    <row r="222" ht="22.5" customHeight="1">
      <c r="A222" s="417" t="str">
        <f>VLOOKUP(F222, Employees!$A$2:$C957, 3, FALSE)</f>
        <v>#N/A</v>
      </c>
      <c r="B222" s="418">
        <f>100000 / (DAY(EOMONTH(Attendance!A222,0)) - 4)</f>
        <v>3703.703704</v>
      </c>
      <c r="C222" s="417" t="str">
        <f>MAX(0, Attendance!C222 - TIME(9, 0, 0)) * 24 * A222</f>
        <v>#N/A</v>
      </c>
      <c r="D222" s="419" t="str">
        <f>MAX(0, Attendance!D222 - TIME(18, 0, 0)) * 24 * 1.5 * A222</f>
        <v>#N/A</v>
      </c>
      <c r="E222" s="418">
        <f>IF(AND(Attendance!E222&lt;&gt;"Friday", Attendance!C222&lt;&gt;""), B222, 0)</f>
        <v>0</v>
      </c>
      <c r="F222" s="420" t="str">
        <f>Attendance!B222</f>
        <v/>
      </c>
      <c r="G222" s="415" t="str">
        <f>Attendance!A222</f>
        <v/>
      </c>
      <c r="H222" s="420" t="str">
        <f>IFERROR(__xludf.DUMMYFUNCTION("REGEXREPLACE(F222, ""\d+$"", """")"),"")</f>
        <v/>
      </c>
    </row>
    <row r="223" ht="22.5" customHeight="1">
      <c r="A223" s="417" t="str">
        <f>VLOOKUP(F223, Employees!$A$2:$C957, 3, FALSE)</f>
        <v>#N/A</v>
      </c>
      <c r="B223" s="418">
        <f>100000 / (DAY(EOMONTH(Attendance!A223,0)) - 4)</f>
        <v>3703.703704</v>
      </c>
      <c r="C223" s="417" t="str">
        <f>MAX(0, Attendance!C223 - TIME(9, 0, 0)) * 24 * A223</f>
        <v>#N/A</v>
      </c>
      <c r="D223" s="419" t="str">
        <f>MAX(0, Attendance!D223 - TIME(18, 0, 0)) * 24 * 1.5 * A223</f>
        <v>#N/A</v>
      </c>
      <c r="E223" s="418">
        <f>IF(AND(Attendance!E223&lt;&gt;"Friday", Attendance!C223&lt;&gt;""), B223, 0)</f>
        <v>0</v>
      </c>
      <c r="F223" s="420" t="str">
        <f>Attendance!B223</f>
        <v/>
      </c>
      <c r="G223" s="415" t="str">
        <f>Attendance!A223</f>
        <v/>
      </c>
      <c r="H223" s="420" t="str">
        <f>IFERROR(__xludf.DUMMYFUNCTION("REGEXREPLACE(F223, ""\d+$"", """")"),"")</f>
        <v/>
      </c>
    </row>
    <row r="224" ht="22.5" customHeight="1">
      <c r="A224" s="417" t="str">
        <f>VLOOKUP(F224, Employees!$A$2:$C957, 3, FALSE)</f>
        <v>#N/A</v>
      </c>
      <c r="B224" s="418">
        <f>100000 / (DAY(EOMONTH(Attendance!A224,0)) - 4)</f>
        <v>3703.703704</v>
      </c>
      <c r="C224" s="417" t="str">
        <f>MAX(0, Attendance!C224 - TIME(9, 0, 0)) * 24 * A224</f>
        <v>#N/A</v>
      </c>
      <c r="D224" s="419" t="str">
        <f>MAX(0, Attendance!D224 - TIME(18, 0, 0)) * 24 * 1.5 * A224</f>
        <v>#N/A</v>
      </c>
      <c r="E224" s="418">
        <f>IF(AND(Attendance!E224&lt;&gt;"Friday", Attendance!C224&lt;&gt;""), B224, 0)</f>
        <v>0</v>
      </c>
      <c r="F224" s="420" t="str">
        <f>Attendance!B224</f>
        <v/>
      </c>
      <c r="G224" s="415" t="str">
        <f>Attendance!A224</f>
        <v/>
      </c>
      <c r="H224" s="420" t="str">
        <f>IFERROR(__xludf.DUMMYFUNCTION("REGEXREPLACE(F224, ""\d+$"", """")"),"")</f>
        <v/>
      </c>
    </row>
    <row r="225" ht="22.5" customHeight="1">
      <c r="A225" s="417" t="str">
        <f>VLOOKUP(F225, Employees!$A$2:$C957, 3, FALSE)</f>
        <v>#N/A</v>
      </c>
      <c r="B225" s="418">
        <f>100000 / (DAY(EOMONTH(Attendance!A225,0)) - 4)</f>
        <v>3703.703704</v>
      </c>
      <c r="C225" s="417" t="str">
        <f>MAX(0, Attendance!C225 - TIME(9, 0, 0)) * 24 * A225</f>
        <v>#N/A</v>
      </c>
      <c r="D225" s="419" t="str">
        <f>MAX(0, Attendance!D225 - TIME(18, 0, 0)) * 24 * 1.5 * A225</f>
        <v>#N/A</v>
      </c>
      <c r="E225" s="418">
        <f>IF(AND(Attendance!E225&lt;&gt;"Friday", Attendance!C225&lt;&gt;""), B225, 0)</f>
        <v>0</v>
      </c>
      <c r="F225" s="420" t="str">
        <f>Attendance!B225</f>
        <v/>
      </c>
      <c r="G225" s="415" t="str">
        <f>Attendance!A225</f>
        <v/>
      </c>
      <c r="H225" s="420" t="str">
        <f>IFERROR(__xludf.DUMMYFUNCTION("REGEXREPLACE(F225, ""\d+$"", """")"),"")</f>
        <v/>
      </c>
    </row>
    <row r="226" ht="22.5" customHeight="1">
      <c r="A226" s="417" t="str">
        <f>VLOOKUP(F226, Employees!$A$2:$C957, 3, FALSE)</f>
        <v>#N/A</v>
      </c>
      <c r="B226" s="418">
        <f>100000 / (DAY(EOMONTH(Attendance!A226,0)) - 4)</f>
        <v>3703.703704</v>
      </c>
      <c r="C226" s="417" t="str">
        <f>MAX(0, Attendance!C226 - TIME(9, 0, 0)) * 24 * A226</f>
        <v>#N/A</v>
      </c>
      <c r="D226" s="419" t="str">
        <f>MAX(0, Attendance!D226 - TIME(18, 0, 0)) * 24 * 1.5 * A226</f>
        <v>#N/A</v>
      </c>
      <c r="E226" s="418">
        <f>IF(AND(Attendance!E226&lt;&gt;"Friday", Attendance!C226&lt;&gt;""), B226, 0)</f>
        <v>0</v>
      </c>
      <c r="F226" s="420" t="str">
        <f>Attendance!B226</f>
        <v/>
      </c>
      <c r="G226" s="415" t="str">
        <f>Attendance!A226</f>
        <v/>
      </c>
      <c r="H226" s="420" t="str">
        <f>IFERROR(__xludf.DUMMYFUNCTION("REGEXREPLACE(F226, ""\d+$"", """")"),"")</f>
        <v/>
      </c>
    </row>
    <row r="227" ht="22.5" customHeight="1">
      <c r="A227" s="417" t="str">
        <f>VLOOKUP(F227, Employees!$A$2:$C957, 3, FALSE)</f>
        <v>#N/A</v>
      </c>
      <c r="B227" s="418">
        <f>100000 / (DAY(EOMONTH(Attendance!A227,0)) - 4)</f>
        <v>3703.703704</v>
      </c>
      <c r="C227" s="417" t="str">
        <f>MAX(0, Attendance!C227 - TIME(9, 0, 0)) * 24 * A227</f>
        <v>#N/A</v>
      </c>
      <c r="D227" s="419" t="str">
        <f>MAX(0, Attendance!D227 - TIME(18, 0, 0)) * 24 * 1.5 * A227</f>
        <v>#N/A</v>
      </c>
      <c r="E227" s="418">
        <f>IF(AND(Attendance!E227&lt;&gt;"Friday", Attendance!C227&lt;&gt;""), B227, 0)</f>
        <v>0</v>
      </c>
      <c r="F227" s="420" t="str">
        <f>Attendance!B227</f>
        <v/>
      </c>
      <c r="G227" s="415" t="str">
        <f>Attendance!A227</f>
        <v/>
      </c>
      <c r="H227" s="420" t="str">
        <f>IFERROR(__xludf.DUMMYFUNCTION("REGEXREPLACE(F227, ""\d+$"", """")"),"")</f>
        <v/>
      </c>
    </row>
    <row r="228" ht="22.5" customHeight="1">
      <c r="A228" s="417" t="str">
        <f>VLOOKUP(F228, Employees!$A$2:$C957, 3, FALSE)</f>
        <v>#N/A</v>
      </c>
      <c r="B228" s="418">
        <f>100000 / (DAY(EOMONTH(Attendance!A228,0)) - 4)</f>
        <v>3703.703704</v>
      </c>
      <c r="C228" s="417" t="str">
        <f>MAX(0, Attendance!C228 - TIME(9, 0, 0)) * 24 * A228</f>
        <v>#N/A</v>
      </c>
      <c r="D228" s="419" t="str">
        <f>MAX(0, Attendance!D228 - TIME(18, 0, 0)) * 24 * 1.5 * A228</f>
        <v>#N/A</v>
      </c>
      <c r="E228" s="418">
        <f>IF(AND(Attendance!E228&lt;&gt;"Friday", Attendance!C228&lt;&gt;""), B228, 0)</f>
        <v>0</v>
      </c>
      <c r="F228" s="420" t="str">
        <f>Attendance!B228</f>
        <v/>
      </c>
      <c r="G228" s="415" t="str">
        <f>Attendance!A228</f>
        <v/>
      </c>
      <c r="H228" s="420" t="str">
        <f>IFERROR(__xludf.DUMMYFUNCTION("REGEXREPLACE(F228, ""\d+$"", """")"),"")</f>
        <v/>
      </c>
    </row>
    <row r="229" ht="22.5" customHeight="1">
      <c r="A229" s="417" t="str">
        <f>VLOOKUP(F229, Employees!$A$2:$C957, 3, FALSE)</f>
        <v>#N/A</v>
      </c>
      <c r="B229" s="418">
        <f>100000 / (DAY(EOMONTH(Attendance!A229,0)) - 4)</f>
        <v>3703.703704</v>
      </c>
      <c r="C229" s="417" t="str">
        <f>MAX(0, Attendance!C229 - TIME(9, 0, 0)) * 24 * A229</f>
        <v>#N/A</v>
      </c>
      <c r="D229" s="419" t="str">
        <f>MAX(0, Attendance!D229 - TIME(18, 0, 0)) * 24 * 1.5 * A229</f>
        <v>#N/A</v>
      </c>
      <c r="E229" s="418">
        <f>IF(AND(Attendance!E229&lt;&gt;"Friday", Attendance!C229&lt;&gt;""), B229, 0)</f>
        <v>0</v>
      </c>
      <c r="F229" s="420" t="str">
        <f>Attendance!B229</f>
        <v/>
      </c>
      <c r="G229" s="415" t="str">
        <f>Attendance!A229</f>
        <v/>
      </c>
      <c r="H229" s="420" t="str">
        <f>IFERROR(__xludf.DUMMYFUNCTION("REGEXREPLACE(F229, ""\d+$"", """")"),"")</f>
        <v/>
      </c>
    </row>
    <row r="230" ht="22.5" customHeight="1">
      <c r="A230" s="417" t="str">
        <f>VLOOKUP(F230, Employees!$A$2:$C957, 3, FALSE)</f>
        <v>#N/A</v>
      </c>
      <c r="B230" s="418">
        <f>100000 / (DAY(EOMONTH(Attendance!A230,0)) - 4)</f>
        <v>3703.703704</v>
      </c>
      <c r="C230" s="417" t="str">
        <f>MAX(0, Attendance!C230 - TIME(9, 0, 0)) * 24 * A230</f>
        <v>#N/A</v>
      </c>
      <c r="D230" s="419" t="str">
        <f>MAX(0, Attendance!D230 - TIME(18, 0, 0)) * 24 * 1.5 * A230</f>
        <v>#N/A</v>
      </c>
      <c r="E230" s="418">
        <f>IF(AND(Attendance!E230&lt;&gt;"Friday", Attendance!C230&lt;&gt;""), B230, 0)</f>
        <v>0</v>
      </c>
      <c r="F230" s="420" t="str">
        <f>Attendance!B230</f>
        <v/>
      </c>
      <c r="G230" s="415" t="str">
        <f>Attendance!A230</f>
        <v/>
      </c>
      <c r="H230" s="420" t="str">
        <f>IFERROR(__xludf.DUMMYFUNCTION("REGEXREPLACE(F230, ""\d+$"", """")"),"")</f>
        <v/>
      </c>
    </row>
    <row r="231" ht="22.5" customHeight="1">
      <c r="A231" s="417" t="str">
        <f>VLOOKUP(F231, Employees!$A$2:$C957, 3, FALSE)</f>
        <v>#N/A</v>
      </c>
      <c r="B231" s="418">
        <f>100000 / (DAY(EOMONTH(Attendance!A231,0)) - 4)</f>
        <v>3703.703704</v>
      </c>
      <c r="C231" s="417" t="str">
        <f>MAX(0, Attendance!C231 - TIME(9, 0, 0)) * 24 * A231</f>
        <v>#N/A</v>
      </c>
      <c r="D231" s="419" t="str">
        <f>MAX(0, Attendance!D231 - TIME(18, 0, 0)) * 24 * 1.5 * A231</f>
        <v>#N/A</v>
      </c>
      <c r="E231" s="418">
        <f>IF(AND(Attendance!E231&lt;&gt;"Friday", Attendance!C231&lt;&gt;""), B231, 0)</f>
        <v>0</v>
      </c>
      <c r="F231" s="420" t="str">
        <f>Attendance!B231</f>
        <v/>
      </c>
      <c r="G231" s="415" t="str">
        <f>Attendance!A231</f>
        <v/>
      </c>
      <c r="H231" s="420" t="str">
        <f>IFERROR(__xludf.DUMMYFUNCTION("REGEXREPLACE(F231, ""\d+$"", """")"),"")</f>
        <v/>
      </c>
    </row>
    <row r="232" ht="22.5" customHeight="1">
      <c r="A232" s="417" t="str">
        <f>VLOOKUP(F232, Employees!$A$2:$C957, 3, FALSE)</f>
        <v>#N/A</v>
      </c>
      <c r="B232" s="418">
        <f>100000 / (DAY(EOMONTH(Attendance!A232,0)) - 4)</f>
        <v>3703.703704</v>
      </c>
      <c r="C232" s="417" t="str">
        <f>MAX(0, Attendance!C232 - TIME(9, 0, 0)) * 24 * A232</f>
        <v>#N/A</v>
      </c>
      <c r="D232" s="419" t="str">
        <f>MAX(0, Attendance!D232 - TIME(18, 0, 0)) * 24 * 1.5 * A232</f>
        <v>#N/A</v>
      </c>
      <c r="E232" s="418">
        <f>IF(AND(Attendance!E232&lt;&gt;"Friday", Attendance!C232&lt;&gt;""), B232, 0)</f>
        <v>0</v>
      </c>
      <c r="F232" s="420" t="str">
        <f>Attendance!B232</f>
        <v/>
      </c>
      <c r="G232" s="415" t="str">
        <f>Attendance!A232</f>
        <v/>
      </c>
      <c r="H232" s="420" t="str">
        <f>IFERROR(__xludf.DUMMYFUNCTION("REGEXREPLACE(F232, ""\d+$"", """")"),"")</f>
        <v/>
      </c>
    </row>
    <row r="233" ht="22.5" customHeight="1">
      <c r="A233" s="417" t="str">
        <f>VLOOKUP(F233, Employees!$A$2:$C957, 3, FALSE)</f>
        <v>#N/A</v>
      </c>
      <c r="B233" s="418">
        <f>100000 / (DAY(EOMONTH(Attendance!A233,0)) - 4)</f>
        <v>3703.703704</v>
      </c>
      <c r="C233" s="417" t="str">
        <f>MAX(0, Attendance!C233 - TIME(9, 0, 0)) * 24 * A233</f>
        <v>#N/A</v>
      </c>
      <c r="D233" s="419" t="str">
        <f>MAX(0, Attendance!D233 - TIME(18, 0, 0)) * 24 * 1.5 * A233</f>
        <v>#N/A</v>
      </c>
      <c r="E233" s="418">
        <f>IF(AND(Attendance!E233&lt;&gt;"Friday", Attendance!C233&lt;&gt;""), B233, 0)</f>
        <v>0</v>
      </c>
      <c r="F233" s="420" t="str">
        <f>Attendance!B233</f>
        <v/>
      </c>
      <c r="G233" s="415" t="str">
        <f>Attendance!A233</f>
        <v/>
      </c>
      <c r="H233" s="420" t="str">
        <f>IFERROR(__xludf.DUMMYFUNCTION("REGEXREPLACE(F233, ""\d+$"", """")"),"")</f>
        <v/>
      </c>
    </row>
    <row r="234" ht="22.5" customHeight="1">
      <c r="A234" s="417" t="str">
        <f>VLOOKUP(F234, Employees!$A$2:$C957, 3, FALSE)</f>
        <v>#N/A</v>
      </c>
      <c r="B234" s="418">
        <f>100000 / (DAY(EOMONTH(Attendance!A234,0)) - 4)</f>
        <v>3703.703704</v>
      </c>
      <c r="C234" s="417" t="str">
        <f>MAX(0, Attendance!C234 - TIME(9, 0, 0)) * 24 * A234</f>
        <v>#N/A</v>
      </c>
      <c r="D234" s="419" t="str">
        <f>MAX(0, Attendance!D234 - TIME(18, 0, 0)) * 24 * 1.5 * A234</f>
        <v>#N/A</v>
      </c>
      <c r="E234" s="418">
        <f>IF(AND(Attendance!E234&lt;&gt;"Friday", Attendance!C234&lt;&gt;""), B234, 0)</f>
        <v>0</v>
      </c>
      <c r="F234" s="420" t="str">
        <f>Attendance!B234</f>
        <v/>
      </c>
      <c r="G234" s="415" t="str">
        <f>Attendance!A234</f>
        <v/>
      </c>
      <c r="H234" s="420" t="str">
        <f>IFERROR(__xludf.DUMMYFUNCTION("REGEXREPLACE(F234, ""\d+$"", """")"),"")</f>
        <v/>
      </c>
    </row>
    <row r="235" ht="22.5" customHeight="1">
      <c r="A235" s="417" t="str">
        <f>VLOOKUP(F235, Employees!$A$2:$C957, 3, FALSE)</f>
        <v>#N/A</v>
      </c>
      <c r="B235" s="418">
        <f>100000 / (DAY(EOMONTH(Attendance!A235,0)) - 4)</f>
        <v>3703.703704</v>
      </c>
      <c r="C235" s="417" t="str">
        <f>MAX(0, Attendance!C235 - TIME(9, 0, 0)) * 24 * A235</f>
        <v>#N/A</v>
      </c>
      <c r="D235" s="419" t="str">
        <f>MAX(0, Attendance!D235 - TIME(18, 0, 0)) * 24 * 1.5 * A235</f>
        <v>#N/A</v>
      </c>
      <c r="E235" s="418">
        <f>IF(AND(Attendance!E235&lt;&gt;"Friday", Attendance!C235&lt;&gt;""), B235, 0)</f>
        <v>0</v>
      </c>
      <c r="F235" s="420" t="str">
        <f>Attendance!B235</f>
        <v/>
      </c>
      <c r="G235" s="415" t="str">
        <f>Attendance!A235</f>
        <v/>
      </c>
      <c r="H235" s="420" t="str">
        <f>IFERROR(__xludf.DUMMYFUNCTION("REGEXREPLACE(F235, ""\d+$"", """")"),"")</f>
        <v/>
      </c>
    </row>
    <row r="236" ht="22.5" customHeight="1">
      <c r="A236" s="417" t="str">
        <f>VLOOKUP(F236, Employees!$A$2:$C957, 3, FALSE)</f>
        <v>#N/A</v>
      </c>
      <c r="B236" s="418">
        <f>100000 / (DAY(EOMONTH(Attendance!A236,0)) - 4)</f>
        <v>3703.703704</v>
      </c>
      <c r="C236" s="417" t="str">
        <f>MAX(0, Attendance!C236 - TIME(9, 0, 0)) * 24 * A236</f>
        <v>#N/A</v>
      </c>
      <c r="D236" s="419" t="str">
        <f>MAX(0, Attendance!D236 - TIME(18, 0, 0)) * 24 * 1.5 * A236</f>
        <v>#N/A</v>
      </c>
      <c r="E236" s="418">
        <f>IF(AND(Attendance!E236&lt;&gt;"Friday", Attendance!C236&lt;&gt;""), B236, 0)</f>
        <v>0</v>
      </c>
      <c r="F236" s="420" t="str">
        <f>Attendance!B236</f>
        <v/>
      </c>
      <c r="G236" s="415" t="str">
        <f>Attendance!A236</f>
        <v/>
      </c>
      <c r="H236" s="420" t="str">
        <f>IFERROR(__xludf.DUMMYFUNCTION("REGEXREPLACE(F236, ""\d+$"", """")"),"")</f>
        <v/>
      </c>
    </row>
    <row r="237" ht="22.5" customHeight="1">
      <c r="A237" s="417" t="str">
        <f>VLOOKUP(F237, Employees!$A$2:$C957, 3, FALSE)</f>
        <v>#N/A</v>
      </c>
      <c r="B237" s="418">
        <f>100000 / (DAY(EOMONTH(Attendance!A237,0)) - 4)</f>
        <v>3703.703704</v>
      </c>
      <c r="C237" s="417" t="str">
        <f>MAX(0, Attendance!C237 - TIME(9, 0, 0)) * 24 * A237</f>
        <v>#N/A</v>
      </c>
      <c r="D237" s="419" t="str">
        <f>MAX(0, Attendance!D237 - TIME(18, 0, 0)) * 24 * 1.5 * A237</f>
        <v>#N/A</v>
      </c>
      <c r="E237" s="418">
        <f>IF(AND(Attendance!E237&lt;&gt;"Friday", Attendance!C237&lt;&gt;""), B237, 0)</f>
        <v>0</v>
      </c>
      <c r="F237" s="420" t="str">
        <f>Attendance!B237</f>
        <v/>
      </c>
      <c r="G237" s="415" t="str">
        <f>Attendance!A237</f>
        <v/>
      </c>
      <c r="H237" s="420" t="str">
        <f>IFERROR(__xludf.DUMMYFUNCTION("REGEXREPLACE(F237, ""\d+$"", """")"),"")</f>
        <v/>
      </c>
    </row>
    <row r="238" ht="22.5" customHeight="1">
      <c r="A238" s="417" t="str">
        <f>VLOOKUP(F238, Employees!$A$2:$C957, 3, FALSE)</f>
        <v>#N/A</v>
      </c>
      <c r="B238" s="418">
        <f>100000 / (DAY(EOMONTH(Attendance!A238,0)) - 4)</f>
        <v>3703.703704</v>
      </c>
      <c r="C238" s="417" t="str">
        <f>MAX(0, Attendance!C238 - TIME(9, 0, 0)) * 24 * A238</f>
        <v>#N/A</v>
      </c>
      <c r="D238" s="419" t="str">
        <f>MAX(0, Attendance!D238 - TIME(18, 0, 0)) * 24 * 1.5 * A238</f>
        <v>#N/A</v>
      </c>
      <c r="E238" s="418">
        <f>IF(AND(Attendance!E238&lt;&gt;"Friday", Attendance!C238&lt;&gt;""), B238, 0)</f>
        <v>0</v>
      </c>
      <c r="F238" s="420" t="str">
        <f>Attendance!B238</f>
        <v/>
      </c>
      <c r="G238" s="415" t="str">
        <f>Attendance!A238</f>
        <v/>
      </c>
      <c r="H238" s="420" t="str">
        <f>IFERROR(__xludf.DUMMYFUNCTION("REGEXREPLACE(F238, ""\d+$"", """")"),"")</f>
        <v/>
      </c>
    </row>
    <row r="239" ht="22.5" customHeight="1">
      <c r="A239" s="417" t="str">
        <f>VLOOKUP(F239, Employees!$A$2:$C957, 3, FALSE)</f>
        <v>#N/A</v>
      </c>
      <c r="B239" s="418">
        <f>100000 / (DAY(EOMONTH(Attendance!A239,0)) - 4)</f>
        <v>3703.703704</v>
      </c>
      <c r="C239" s="417" t="str">
        <f>MAX(0, Attendance!C239 - TIME(9, 0, 0)) * 24 * A239</f>
        <v>#N/A</v>
      </c>
      <c r="D239" s="419" t="str">
        <f>MAX(0, Attendance!D239 - TIME(18, 0, 0)) * 24 * 1.5 * A239</f>
        <v>#N/A</v>
      </c>
      <c r="E239" s="418">
        <f>IF(AND(Attendance!E239&lt;&gt;"Friday", Attendance!C239&lt;&gt;""), B239, 0)</f>
        <v>0</v>
      </c>
      <c r="F239" s="420" t="str">
        <f>Attendance!B239</f>
        <v/>
      </c>
      <c r="G239" s="415" t="str">
        <f>Attendance!A239</f>
        <v/>
      </c>
      <c r="H239" s="420" t="str">
        <f>IFERROR(__xludf.DUMMYFUNCTION("REGEXREPLACE(F239, ""\d+$"", """")"),"")</f>
        <v/>
      </c>
    </row>
    <row r="240" ht="22.5" customHeight="1">
      <c r="A240" s="417" t="str">
        <f>VLOOKUP(F240, Employees!$A$2:$C957, 3, FALSE)</f>
        <v>#N/A</v>
      </c>
      <c r="B240" s="418">
        <f>100000 / (DAY(EOMONTH(Attendance!A240,0)) - 4)</f>
        <v>3703.703704</v>
      </c>
      <c r="C240" s="417" t="str">
        <f>MAX(0, Attendance!C240 - TIME(9, 0, 0)) * 24 * A240</f>
        <v>#N/A</v>
      </c>
      <c r="D240" s="419" t="str">
        <f>MAX(0, Attendance!D240 - TIME(18, 0, 0)) * 24 * 1.5 * A240</f>
        <v>#N/A</v>
      </c>
      <c r="E240" s="418">
        <f>IF(AND(Attendance!E240&lt;&gt;"Friday", Attendance!C240&lt;&gt;""), B240, 0)</f>
        <v>0</v>
      </c>
      <c r="F240" s="420" t="str">
        <f>Attendance!B240</f>
        <v/>
      </c>
      <c r="G240" s="415" t="str">
        <f>Attendance!A240</f>
        <v/>
      </c>
      <c r="H240" s="420" t="str">
        <f>IFERROR(__xludf.DUMMYFUNCTION("REGEXREPLACE(F240, ""\d+$"", """")"),"")</f>
        <v/>
      </c>
    </row>
    <row r="241" ht="22.5" customHeight="1">
      <c r="A241" s="417" t="str">
        <f>VLOOKUP(F241, Employees!$A$2:$C957, 3, FALSE)</f>
        <v>#N/A</v>
      </c>
      <c r="B241" s="418">
        <f>100000 / (DAY(EOMONTH(Attendance!A241,0)) - 4)</f>
        <v>3703.703704</v>
      </c>
      <c r="C241" s="417" t="str">
        <f>MAX(0, Attendance!C241 - TIME(9, 0, 0)) * 24 * A241</f>
        <v>#N/A</v>
      </c>
      <c r="D241" s="419" t="str">
        <f>MAX(0, Attendance!D241 - TIME(18, 0, 0)) * 24 * 1.5 * A241</f>
        <v>#N/A</v>
      </c>
      <c r="E241" s="418">
        <f>IF(AND(Attendance!E241&lt;&gt;"Friday", Attendance!C241&lt;&gt;""), B241, 0)</f>
        <v>0</v>
      </c>
      <c r="F241" s="420" t="str">
        <f>Attendance!B241</f>
        <v/>
      </c>
      <c r="G241" s="415" t="str">
        <f>Attendance!A241</f>
        <v/>
      </c>
      <c r="H241" s="420" t="str">
        <f>IFERROR(__xludf.DUMMYFUNCTION("REGEXREPLACE(F241, ""\d+$"", """")"),"")</f>
        <v/>
      </c>
    </row>
    <row r="242" ht="22.5" customHeight="1">
      <c r="A242" s="417" t="str">
        <f>VLOOKUP(F242, Employees!$A$2:$C957, 3, FALSE)</f>
        <v>#N/A</v>
      </c>
      <c r="B242" s="418">
        <f>100000 / (DAY(EOMONTH(Attendance!A242,0)) - 4)</f>
        <v>3703.703704</v>
      </c>
      <c r="C242" s="417" t="str">
        <f>MAX(0, Attendance!C242 - TIME(9, 0, 0)) * 24 * A242</f>
        <v>#N/A</v>
      </c>
      <c r="D242" s="419" t="str">
        <f>MAX(0, Attendance!D242 - TIME(18, 0, 0)) * 24 * 1.5 * A242</f>
        <v>#N/A</v>
      </c>
      <c r="E242" s="418">
        <f>IF(AND(Attendance!E242&lt;&gt;"Friday", Attendance!C242&lt;&gt;""), B242, 0)</f>
        <v>0</v>
      </c>
      <c r="F242" s="420" t="str">
        <f>Attendance!B242</f>
        <v/>
      </c>
      <c r="G242" s="415" t="str">
        <f>Attendance!A242</f>
        <v/>
      </c>
      <c r="H242" s="420" t="str">
        <f>IFERROR(__xludf.DUMMYFUNCTION("REGEXREPLACE(F242, ""\d+$"", """")"),"")</f>
        <v/>
      </c>
    </row>
    <row r="243" ht="22.5" customHeight="1">
      <c r="A243" s="417" t="str">
        <f>VLOOKUP(F243, Employees!$A$2:$C957, 3, FALSE)</f>
        <v>#N/A</v>
      </c>
      <c r="B243" s="418">
        <f>100000 / (DAY(EOMONTH(Attendance!A243,0)) - 4)</f>
        <v>3703.703704</v>
      </c>
      <c r="C243" s="417" t="str">
        <f>MAX(0, Attendance!C243 - TIME(9, 0, 0)) * 24 * A243</f>
        <v>#N/A</v>
      </c>
      <c r="D243" s="419" t="str">
        <f>MAX(0, Attendance!D243 - TIME(18, 0, 0)) * 24 * 1.5 * A243</f>
        <v>#N/A</v>
      </c>
      <c r="E243" s="418">
        <f>IF(AND(Attendance!E243&lt;&gt;"Friday", Attendance!C243&lt;&gt;""), B243, 0)</f>
        <v>0</v>
      </c>
      <c r="F243" s="420" t="str">
        <f>Attendance!B243</f>
        <v/>
      </c>
      <c r="G243" s="415" t="str">
        <f>Attendance!A243</f>
        <v/>
      </c>
      <c r="H243" s="420" t="str">
        <f>IFERROR(__xludf.DUMMYFUNCTION("REGEXREPLACE(F243, ""\d+$"", """")"),"")</f>
        <v/>
      </c>
    </row>
    <row r="244" ht="22.5" customHeight="1">
      <c r="A244" s="417" t="str">
        <f>VLOOKUP(F244, Employees!$A$2:$C957, 3, FALSE)</f>
        <v>#N/A</v>
      </c>
      <c r="B244" s="418">
        <f>100000 / (DAY(EOMONTH(Attendance!A244,0)) - 4)</f>
        <v>3703.703704</v>
      </c>
      <c r="C244" s="417" t="str">
        <f>MAX(0, Attendance!C244 - TIME(9, 0, 0)) * 24 * A244</f>
        <v>#N/A</v>
      </c>
      <c r="D244" s="419" t="str">
        <f>MAX(0, Attendance!D244 - TIME(18, 0, 0)) * 24 * 1.5 * A244</f>
        <v>#N/A</v>
      </c>
      <c r="E244" s="418">
        <f>IF(AND(Attendance!E244&lt;&gt;"Friday", Attendance!C244&lt;&gt;""), B244, 0)</f>
        <v>0</v>
      </c>
      <c r="F244" s="420" t="str">
        <f>Attendance!B244</f>
        <v/>
      </c>
      <c r="G244" s="415" t="str">
        <f>Attendance!A244</f>
        <v/>
      </c>
      <c r="H244" s="420" t="str">
        <f>IFERROR(__xludf.DUMMYFUNCTION("REGEXREPLACE(F244, ""\d+$"", """")"),"")</f>
        <v/>
      </c>
    </row>
    <row r="245" ht="22.5" customHeight="1">
      <c r="A245" s="417" t="str">
        <f>VLOOKUP(F245, Employees!$A$2:$C957, 3, FALSE)</f>
        <v>#N/A</v>
      </c>
      <c r="B245" s="418">
        <f>100000 / (DAY(EOMONTH(Attendance!A245,0)) - 4)</f>
        <v>3703.703704</v>
      </c>
      <c r="C245" s="417" t="str">
        <f>MAX(0, Attendance!C245 - TIME(9, 0, 0)) * 24 * A245</f>
        <v>#N/A</v>
      </c>
      <c r="D245" s="419" t="str">
        <f>MAX(0, Attendance!D245 - TIME(18, 0, 0)) * 24 * 1.5 * A245</f>
        <v>#N/A</v>
      </c>
      <c r="E245" s="418">
        <f>IF(AND(Attendance!E245&lt;&gt;"Friday", Attendance!C245&lt;&gt;""), B245, 0)</f>
        <v>0</v>
      </c>
      <c r="F245" s="420" t="str">
        <f>Attendance!B245</f>
        <v/>
      </c>
      <c r="G245" s="415" t="str">
        <f>Attendance!A245</f>
        <v/>
      </c>
      <c r="H245" s="420" t="str">
        <f>IFERROR(__xludf.DUMMYFUNCTION("REGEXREPLACE(F245, ""\d+$"", """")"),"")</f>
        <v/>
      </c>
    </row>
    <row r="246" ht="22.5" customHeight="1">
      <c r="A246" s="417" t="str">
        <f>VLOOKUP(F246, Employees!$A$2:$C957, 3, FALSE)</f>
        <v>#N/A</v>
      </c>
      <c r="B246" s="418">
        <f>100000 / (DAY(EOMONTH(Attendance!A246,0)) - 4)</f>
        <v>3703.703704</v>
      </c>
      <c r="C246" s="417" t="str">
        <f>MAX(0, Attendance!C246 - TIME(9, 0, 0)) * 24 * A246</f>
        <v>#N/A</v>
      </c>
      <c r="D246" s="419" t="str">
        <f>MAX(0, Attendance!D246 - TIME(18, 0, 0)) * 24 * 1.5 * A246</f>
        <v>#N/A</v>
      </c>
      <c r="E246" s="418">
        <f>IF(AND(Attendance!E246&lt;&gt;"Friday", Attendance!C246&lt;&gt;""), B246, 0)</f>
        <v>0</v>
      </c>
      <c r="F246" s="420" t="str">
        <f>Attendance!B246</f>
        <v/>
      </c>
      <c r="G246" s="415" t="str">
        <f>Attendance!A246</f>
        <v/>
      </c>
      <c r="H246" s="420" t="str">
        <f>IFERROR(__xludf.DUMMYFUNCTION("REGEXREPLACE(F246, ""\d+$"", """")"),"")</f>
        <v/>
      </c>
    </row>
    <row r="247" ht="22.5" customHeight="1">
      <c r="A247" s="417" t="str">
        <f>VLOOKUP(F247, Employees!$A$2:$C957, 3, FALSE)</f>
        <v>#N/A</v>
      </c>
      <c r="B247" s="418">
        <f>100000 / (DAY(EOMONTH(Attendance!A247,0)) - 4)</f>
        <v>3703.703704</v>
      </c>
      <c r="C247" s="417" t="str">
        <f>MAX(0, Attendance!C247 - TIME(9, 0, 0)) * 24 * A247</f>
        <v>#N/A</v>
      </c>
      <c r="D247" s="419" t="str">
        <f>MAX(0, Attendance!D247 - TIME(18, 0, 0)) * 24 * 1.5 * A247</f>
        <v>#N/A</v>
      </c>
      <c r="E247" s="418">
        <f>IF(AND(Attendance!E247&lt;&gt;"Friday", Attendance!C247&lt;&gt;""), B247, 0)</f>
        <v>0</v>
      </c>
      <c r="F247" s="420" t="str">
        <f>Attendance!B247</f>
        <v/>
      </c>
      <c r="G247" s="415" t="str">
        <f>Attendance!A247</f>
        <v/>
      </c>
      <c r="H247" s="420" t="str">
        <f>IFERROR(__xludf.DUMMYFUNCTION("REGEXREPLACE(F247, ""\d+$"", """")"),"")</f>
        <v/>
      </c>
    </row>
    <row r="248" ht="22.5" customHeight="1">
      <c r="A248" s="417" t="str">
        <f>VLOOKUP(F248, Employees!$A$2:$C957, 3, FALSE)</f>
        <v>#N/A</v>
      </c>
      <c r="B248" s="418">
        <f>100000 / (DAY(EOMONTH(Attendance!A248,0)) - 4)</f>
        <v>3703.703704</v>
      </c>
      <c r="C248" s="417" t="str">
        <f>MAX(0, Attendance!C248 - TIME(9, 0, 0)) * 24 * A248</f>
        <v>#N/A</v>
      </c>
      <c r="D248" s="419" t="str">
        <f>MAX(0, Attendance!D248 - TIME(18, 0, 0)) * 24 * 1.5 * A248</f>
        <v>#N/A</v>
      </c>
      <c r="E248" s="418">
        <f>IF(AND(Attendance!E248&lt;&gt;"Friday", Attendance!C248&lt;&gt;""), B248, 0)</f>
        <v>0</v>
      </c>
      <c r="F248" s="420" t="str">
        <f>Attendance!B248</f>
        <v/>
      </c>
      <c r="G248" s="415" t="str">
        <f>Attendance!A248</f>
        <v/>
      </c>
      <c r="H248" s="420" t="str">
        <f>IFERROR(__xludf.DUMMYFUNCTION("REGEXREPLACE(F248, ""\d+$"", """")"),"")</f>
        <v/>
      </c>
    </row>
    <row r="249" ht="22.5" customHeight="1">
      <c r="A249" s="417" t="str">
        <f>VLOOKUP(F249, Employees!$A$2:$C957, 3, FALSE)</f>
        <v>#N/A</v>
      </c>
      <c r="B249" s="418">
        <f>100000 / (DAY(EOMONTH(Attendance!A249,0)) - 4)</f>
        <v>3703.703704</v>
      </c>
      <c r="C249" s="417" t="str">
        <f>MAX(0, Attendance!C249 - TIME(9, 0, 0)) * 24 * A249</f>
        <v>#N/A</v>
      </c>
      <c r="D249" s="419" t="str">
        <f>MAX(0, Attendance!D249 - TIME(18, 0, 0)) * 24 * 1.5 * A249</f>
        <v>#N/A</v>
      </c>
      <c r="E249" s="418">
        <f>IF(AND(Attendance!E249&lt;&gt;"Friday", Attendance!C249&lt;&gt;""), B249, 0)</f>
        <v>0</v>
      </c>
      <c r="F249" s="420" t="str">
        <f>Attendance!B249</f>
        <v/>
      </c>
      <c r="G249" s="415" t="str">
        <f>Attendance!A249</f>
        <v/>
      </c>
      <c r="H249" s="420" t="str">
        <f>IFERROR(__xludf.DUMMYFUNCTION("REGEXREPLACE(F249, ""\d+$"", """")"),"")</f>
        <v/>
      </c>
    </row>
    <row r="250" ht="22.5" customHeight="1">
      <c r="A250" s="417" t="str">
        <f>VLOOKUP(F250, Employees!$A$2:$C957, 3, FALSE)</f>
        <v>#N/A</v>
      </c>
      <c r="B250" s="418">
        <f>100000 / (DAY(EOMONTH(Attendance!A250,0)) - 4)</f>
        <v>3703.703704</v>
      </c>
      <c r="C250" s="417" t="str">
        <f>MAX(0, Attendance!C250 - TIME(9, 0, 0)) * 24 * A250</f>
        <v>#N/A</v>
      </c>
      <c r="D250" s="419" t="str">
        <f>MAX(0, Attendance!D250 - TIME(18, 0, 0)) * 24 * 1.5 * A250</f>
        <v>#N/A</v>
      </c>
      <c r="E250" s="418">
        <f>IF(AND(Attendance!E250&lt;&gt;"Friday", Attendance!C250&lt;&gt;""), B250, 0)</f>
        <v>0</v>
      </c>
      <c r="F250" s="420" t="str">
        <f>Attendance!B250</f>
        <v/>
      </c>
      <c r="G250" s="415" t="str">
        <f>Attendance!A250</f>
        <v/>
      </c>
      <c r="H250" s="420" t="str">
        <f>IFERROR(__xludf.DUMMYFUNCTION("REGEXREPLACE(F250, ""\d+$"", """")"),"")</f>
        <v/>
      </c>
    </row>
    <row r="251" ht="22.5" customHeight="1">
      <c r="A251" s="417" t="str">
        <f>VLOOKUP(F251, Employees!$A$2:$C957, 3, FALSE)</f>
        <v>#N/A</v>
      </c>
      <c r="B251" s="418">
        <f>100000 / (DAY(EOMONTH(Attendance!A251,0)) - 4)</f>
        <v>3703.703704</v>
      </c>
      <c r="C251" s="417" t="str">
        <f>MAX(0, Attendance!C251 - TIME(9, 0, 0)) * 24 * A251</f>
        <v>#N/A</v>
      </c>
      <c r="D251" s="419" t="str">
        <f>MAX(0, Attendance!D251 - TIME(18, 0, 0)) * 24 * 1.5 * A251</f>
        <v>#N/A</v>
      </c>
      <c r="E251" s="418">
        <f>IF(AND(Attendance!E251&lt;&gt;"Friday", Attendance!C251&lt;&gt;""), B251, 0)</f>
        <v>0</v>
      </c>
      <c r="F251" s="420" t="str">
        <f>Attendance!B251</f>
        <v/>
      </c>
      <c r="G251" s="415" t="str">
        <f>Attendance!A251</f>
        <v/>
      </c>
      <c r="H251" s="420" t="str">
        <f>IFERROR(__xludf.DUMMYFUNCTION("REGEXREPLACE(F251, ""\d+$"", """")"),"")</f>
        <v/>
      </c>
    </row>
    <row r="252" ht="22.5" customHeight="1">
      <c r="A252" s="417" t="str">
        <f>VLOOKUP(F252, Employees!$A$2:$C957, 3, FALSE)</f>
        <v>#N/A</v>
      </c>
      <c r="B252" s="418">
        <f>100000 / (DAY(EOMONTH(Attendance!A252,0)) - 4)</f>
        <v>3703.703704</v>
      </c>
      <c r="C252" s="417" t="str">
        <f>MAX(0, Attendance!C252 - TIME(9, 0, 0)) * 24 * A252</f>
        <v>#N/A</v>
      </c>
      <c r="D252" s="419" t="str">
        <f>MAX(0, Attendance!D252 - TIME(18, 0, 0)) * 24 * 1.5 * A252</f>
        <v>#N/A</v>
      </c>
      <c r="E252" s="418">
        <f>IF(AND(Attendance!E252&lt;&gt;"Friday", Attendance!C252&lt;&gt;""), B252, 0)</f>
        <v>0</v>
      </c>
      <c r="F252" s="420" t="str">
        <f>Attendance!B252</f>
        <v/>
      </c>
      <c r="G252" s="415" t="str">
        <f>Attendance!A252</f>
        <v/>
      </c>
      <c r="H252" s="420" t="str">
        <f>IFERROR(__xludf.DUMMYFUNCTION("REGEXREPLACE(F252, ""\d+$"", """")"),"")</f>
        <v/>
      </c>
    </row>
    <row r="253" ht="22.5" customHeight="1">
      <c r="A253" s="417" t="str">
        <f>VLOOKUP(F253, Employees!$A$2:$C957, 3, FALSE)</f>
        <v>#N/A</v>
      </c>
      <c r="B253" s="418">
        <f>100000 / (DAY(EOMONTH(Attendance!A253,0)) - 4)</f>
        <v>3703.703704</v>
      </c>
      <c r="C253" s="417" t="str">
        <f>MAX(0, Attendance!C253 - TIME(9, 0, 0)) * 24 * A253</f>
        <v>#N/A</v>
      </c>
      <c r="D253" s="419" t="str">
        <f>MAX(0, Attendance!D253 - TIME(18, 0, 0)) * 24 * 1.5 * A253</f>
        <v>#N/A</v>
      </c>
      <c r="E253" s="418">
        <f>IF(AND(Attendance!E253&lt;&gt;"Friday", Attendance!C253&lt;&gt;""), B253, 0)</f>
        <v>0</v>
      </c>
      <c r="F253" s="420" t="str">
        <f>Attendance!B253</f>
        <v/>
      </c>
      <c r="G253" s="415" t="str">
        <f>Attendance!A253</f>
        <v/>
      </c>
      <c r="H253" s="420" t="str">
        <f>IFERROR(__xludf.DUMMYFUNCTION("REGEXREPLACE(F253, ""\d+$"", """")"),"")</f>
        <v/>
      </c>
    </row>
    <row r="254" ht="22.5" customHeight="1">
      <c r="A254" s="417" t="str">
        <f>VLOOKUP(F254, Employees!$A$2:$C957, 3, FALSE)</f>
        <v>#N/A</v>
      </c>
      <c r="B254" s="418">
        <f>100000 / (DAY(EOMONTH(Attendance!A254,0)) - 4)</f>
        <v>3703.703704</v>
      </c>
      <c r="C254" s="417" t="str">
        <f>MAX(0, Attendance!C254 - TIME(9, 0, 0)) * 24 * A254</f>
        <v>#N/A</v>
      </c>
      <c r="D254" s="419" t="str">
        <f>MAX(0, Attendance!D254 - TIME(18, 0, 0)) * 24 * 1.5 * A254</f>
        <v>#N/A</v>
      </c>
      <c r="E254" s="418">
        <f>IF(AND(Attendance!E254&lt;&gt;"Friday", Attendance!C254&lt;&gt;""), B254, 0)</f>
        <v>0</v>
      </c>
      <c r="F254" s="420" t="str">
        <f>Attendance!B254</f>
        <v/>
      </c>
      <c r="G254" s="415" t="str">
        <f>Attendance!A254</f>
        <v/>
      </c>
      <c r="H254" s="420" t="str">
        <f>IFERROR(__xludf.DUMMYFUNCTION("REGEXREPLACE(F254, ""\d+$"", """")"),"")</f>
        <v/>
      </c>
    </row>
    <row r="255" ht="22.5" customHeight="1">
      <c r="A255" s="417" t="str">
        <f>VLOOKUP(F255, Employees!$A$2:$C957, 3, FALSE)</f>
        <v>#N/A</v>
      </c>
      <c r="B255" s="418">
        <f>100000 / (DAY(EOMONTH(Attendance!A255,0)) - 4)</f>
        <v>3703.703704</v>
      </c>
      <c r="C255" s="417" t="str">
        <f>MAX(0, Attendance!C255 - TIME(9, 0, 0)) * 24 * A255</f>
        <v>#N/A</v>
      </c>
      <c r="D255" s="419" t="str">
        <f>MAX(0, Attendance!D255 - TIME(18, 0, 0)) * 24 * 1.5 * A255</f>
        <v>#N/A</v>
      </c>
      <c r="E255" s="418">
        <f>IF(AND(Attendance!E255&lt;&gt;"Friday", Attendance!C255&lt;&gt;""), B255, 0)</f>
        <v>0</v>
      </c>
      <c r="F255" s="420" t="str">
        <f>Attendance!B255</f>
        <v/>
      </c>
      <c r="G255" s="415" t="str">
        <f>Attendance!A255</f>
        <v/>
      </c>
      <c r="H255" s="420" t="str">
        <f>IFERROR(__xludf.DUMMYFUNCTION("REGEXREPLACE(F255, ""\d+$"", """")"),"")</f>
        <v/>
      </c>
    </row>
    <row r="256" ht="22.5" customHeight="1">
      <c r="A256" s="417" t="str">
        <f>VLOOKUP(F256, Employees!$A$2:$C957, 3, FALSE)</f>
        <v>#N/A</v>
      </c>
      <c r="B256" s="418">
        <f>100000 / (DAY(EOMONTH(Attendance!A256,0)) - 4)</f>
        <v>3703.703704</v>
      </c>
      <c r="C256" s="417" t="str">
        <f>MAX(0, Attendance!C256 - TIME(9, 0, 0)) * 24 * A256</f>
        <v>#N/A</v>
      </c>
      <c r="D256" s="419" t="str">
        <f>MAX(0, Attendance!D256 - TIME(18, 0, 0)) * 24 * 1.5 * A256</f>
        <v>#N/A</v>
      </c>
      <c r="E256" s="418">
        <f>IF(AND(Attendance!E256&lt;&gt;"Friday", Attendance!C256&lt;&gt;""), B256, 0)</f>
        <v>0</v>
      </c>
      <c r="F256" s="420" t="str">
        <f>Attendance!B256</f>
        <v/>
      </c>
      <c r="G256" s="415" t="str">
        <f>Attendance!A256</f>
        <v/>
      </c>
      <c r="H256" s="420" t="str">
        <f>IFERROR(__xludf.DUMMYFUNCTION("REGEXREPLACE(F256, ""\d+$"", """")"),"")</f>
        <v/>
      </c>
    </row>
    <row r="257" ht="22.5" customHeight="1">
      <c r="A257" s="417" t="str">
        <f>VLOOKUP(F257, Employees!$A$2:$C957, 3, FALSE)</f>
        <v>#N/A</v>
      </c>
      <c r="B257" s="418">
        <f>100000 / (DAY(EOMONTH(Attendance!A257,0)) - 4)</f>
        <v>3703.703704</v>
      </c>
      <c r="C257" s="417" t="str">
        <f>MAX(0, Attendance!C257 - TIME(9, 0, 0)) * 24 * A257</f>
        <v>#N/A</v>
      </c>
      <c r="D257" s="419" t="str">
        <f>MAX(0, Attendance!D257 - TIME(18, 0, 0)) * 24 * 1.5 * A257</f>
        <v>#N/A</v>
      </c>
      <c r="E257" s="418">
        <f>IF(AND(Attendance!E257&lt;&gt;"Friday", Attendance!C257&lt;&gt;""), B257, 0)</f>
        <v>0</v>
      </c>
      <c r="F257" s="420" t="str">
        <f>Attendance!B257</f>
        <v/>
      </c>
      <c r="G257" s="415" t="str">
        <f>Attendance!A257</f>
        <v/>
      </c>
      <c r="H257" s="420" t="str">
        <f>IFERROR(__xludf.DUMMYFUNCTION("REGEXREPLACE(F257, ""\d+$"", """")"),"")</f>
        <v/>
      </c>
    </row>
    <row r="258" ht="22.5" customHeight="1">
      <c r="A258" s="417" t="str">
        <f>VLOOKUP(F258, Employees!$A$2:$C957, 3, FALSE)</f>
        <v>#N/A</v>
      </c>
      <c r="B258" s="418">
        <f>100000 / (DAY(EOMONTH(Attendance!A258,0)) - 4)</f>
        <v>3703.703704</v>
      </c>
      <c r="C258" s="417" t="str">
        <f>MAX(0, Attendance!C258 - TIME(9, 0, 0)) * 24 * A258</f>
        <v>#N/A</v>
      </c>
      <c r="D258" s="419" t="str">
        <f>MAX(0, Attendance!D258 - TIME(18, 0, 0)) * 24 * 1.5 * A258</f>
        <v>#N/A</v>
      </c>
      <c r="E258" s="418">
        <f>IF(AND(Attendance!E258&lt;&gt;"Friday", Attendance!C258&lt;&gt;""), B258, 0)</f>
        <v>0</v>
      </c>
      <c r="F258" s="420" t="str">
        <f>Attendance!B258</f>
        <v/>
      </c>
      <c r="G258" s="415" t="str">
        <f>Attendance!A258</f>
        <v/>
      </c>
      <c r="H258" s="420" t="str">
        <f>IFERROR(__xludf.DUMMYFUNCTION("REGEXREPLACE(F258, ""\d+$"", """")"),"")</f>
        <v/>
      </c>
    </row>
    <row r="259" ht="22.5" customHeight="1">
      <c r="A259" s="417" t="str">
        <f>VLOOKUP(F259, Employees!$A$2:$C957, 3, FALSE)</f>
        <v>#N/A</v>
      </c>
      <c r="B259" s="418">
        <f>100000 / (DAY(EOMONTH(Attendance!A259,0)) - 4)</f>
        <v>3703.703704</v>
      </c>
      <c r="C259" s="417" t="str">
        <f>MAX(0, Attendance!C259 - TIME(9, 0, 0)) * 24 * A259</f>
        <v>#N/A</v>
      </c>
      <c r="D259" s="419" t="str">
        <f>MAX(0, Attendance!D259 - TIME(18, 0, 0)) * 24 * 1.5 * A259</f>
        <v>#N/A</v>
      </c>
      <c r="E259" s="418">
        <f>IF(AND(Attendance!E259&lt;&gt;"Friday", Attendance!C259&lt;&gt;""), B259, 0)</f>
        <v>0</v>
      </c>
      <c r="F259" s="420" t="str">
        <f>Attendance!B259</f>
        <v/>
      </c>
      <c r="G259" s="415" t="str">
        <f>Attendance!A259</f>
        <v/>
      </c>
      <c r="H259" s="420" t="str">
        <f>IFERROR(__xludf.DUMMYFUNCTION("REGEXREPLACE(F259, ""\d+$"", """")"),"")</f>
        <v/>
      </c>
    </row>
    <row r="260" ht="22.5" customHeight="1">
      <c r="A260" s="417" t="str">
        <f>VLOOKUP(F260, Employees!$A$2:$C957, 3, FALSE)</f>
        <v>#N/A</v>
      </c>
      <c r="B260" s="418">
        <f>100000 / (DAY(EOMONTH(Attendance!A260,0)) - 4)</f>
        <v>3703.703704</v>
      </c>
      <c r="C260" s="417" t="str">
        <f>MAX(0, Attendance!C260 - TIME(9, 0, 0)) * 24 * A260</f>
        <v>#N/A</v>
      </c>
      <c r="D260" s="419" t="str">
        <f>MAX(0, Attendance!D260 - TIME(18, 0, 0)) * 24 * 1.5 * A260</f>
        <v>#N/A</v>
      </c>
      <c r="E260" s="418">
        <f>IF(AND(Attendance!E260&lt;&gt;"Friday", Attendance!C260&lt;&gt;""), B260, 0)</f>
        <v>0</v>
      </c>
      <c r="F260" s="420" t="str">
        <f>Attendance!B260</f>
        <v/>
      </c>
      <c r="G260" s="415" t="str">
        <f>Attendance!A260</f>
        <v/>
      </c>
      <c r="H260" s="420" t="str">
        <f>IFERROR(__xludf.DUMMYFUNCTION("REGEXREPLACE(F260, ""\d+$"", """")"),"")</f>
        <v/>
      </c>
    </row>
    <row r="261" ht="22.5" customHeight="1">
      <c r="A261" s="417" t="str">
        <f>VLOOKUP(F261, Employees!$A$2:$C957, 3, FALSE)</f>
        <v>#N/A</v>
      </c>
      <c r="B261" s="418">
        <f>100000 / (DAY(EOMONTH(Attendance!A261,0)) - 4)</f>
        <v>3703.703704</v>
      </c>
      <c r="C261" s="417" t="str">
        <f>MAX(0, Attendance!C261 - TIME(9, 0, 0)) * 24 * A261</f>
        <v>#N/A</v>
      </c>
      <c r="D261" s="419" t="str">
        <f>MAX(0, Attendance!D261 - TIME(18, 0, 0)) * 24 * 1.5 * A261</f>
        <v>#N/A</v>
      </c>
      <c r="E261" s="418">
        <f>IF(AND(Attendance!E261&lt;&gt;"Friday", Attendance!C261&lt;&gt;""), B261, 0)</f>
        <v>0</v>
      </c>
      <c r="F261" s="420" t="str">
        <f>Attendance!B261</f>
        <v/>
      </c>
      <c r="G261" s="415" t="str">
        <f>Attendance!A261</f>
        <v/>
      </c>
      <c r="H261" s="420" t="str">
        <f>IFERROR(__xludf.DUMMYFUNCTION("REGEXREPLACE(F261, ""\d+$"", """")"),"")</f>
        <v/>
      </c>
    </row>
    <row r="262" ht="22.5" customHeight="1">
      <c r="A262" s="417" t="str">
        <f>VLOOKUP(F262, Employees!$A$2:$C957, 3, FALSE)</f>
        <v>#N/A</v>
      </c>
      <c r="B262" s="418">
        <f>100000 / (DAY(EOMONTH(Attendance!A262,0)) - 4)</f>
        <v>3703.703704</v>
      </c>
      <c r="C262" s="417" t="str">
        <f>MAX(0, Attendance!C262 - TIME(9, 0, 0)) * 24 * A262</f>
        <v>#N/A</v>
      </c>
      <c r="D262" s="419" t="str">
        <f>MAX(0, Attendance!D262 - TIME(18, 0, 0)) * 24 * 1.5 * A262</f>
        <v>#N/A</v>
      </c>
      <c r="E262" s="418">
        <f>IF(AND(Attendance!E262&lt;&gt;"Friday", Attendance!C262&lt;&gt;""), B262, 0)</f>
        <v>0</v>
      </c>
      <c r="F262" s="420" t="str">
        <f>Attendance!B262</f>
        <v/>
      </c>
      <c r="G262" s="415" t="str">
        <f>Attendance!A262</f>
        <v/>
      </c>
      <c r="H262" s="420" t="str">
        <f>IFERROR(__xludf.DUMMYFUNCTION("REGEXREPLACE(F262, ""\d+$"", """")"),"")</f>
        <v/>
      </c>
    </row>
    <row r="263" ht="22.5" customHeight="1">
      <c r="A263" s="417" t="str">
        <f>VLOOKUP(F263, Employees!$A$2:$C957, 3, FALSE)</f>
        <v>#N/A</v>
      </c>
      <c r="B263" s="418">
        <f>100000 / (DAY(EOMONTH(Attendance!A263,0)) - 4)</f>
        <v>3703.703704</v>
      </c>
      <c r="C263" s="417" t="str">
        <f>MAX(0, Attendance!C263 - TIME(9, 0, 0)) * 24 * A263</f>
        <v>#N/A</v>
      </c>
      <c r="D263" s="419" t="str">
        <f>MAX(0, Attendance!D263 - TIME(18, 0, 0)) * 24 * 1.5 * A263</f>
        <v>#N/A</v>
      </c>
      <c r="E263" s="418">
        <f>IF(AND(Attendance!E263&lt;&gt;"Friday", Attendance!C263&lt;&gt;""), B263, 0)</f>
        <v>0</v>
      </c>
      <c r="F263" s="420" t="str">
        <f>Attendance!B263</f>
        <v/>
      </c>
      <c r="G263" s="415" t="str">
        <f>Attendance!A263</f>
        <v/>
      </c>
      <c r="H263" s="420" t="str">
        <f>IFERROR(__xludf.DUMMYFUNCTION("REGEXREPLACE(F263, ""\d+$"", """")"),"")</f>
        <v/>
      </c>
    </row>
    <row r="264" ht="22.5" customHeight="1">
      <c r="A264" s="417" t="str">
        <f>VLOOKUP(F264, Employees!$A$2:$C957, 3, FALSE)</f>
        <v>#N/A</v>
      </c>
      <c r="B264" s="418">
        <f>100000 / (DAY(EOMONTH(Attendance!A264,0)) - 4)</f>
        <v>3703.703704</v>
      </c>
      <c r="C264" s="417" t="str">
        <f>MAX(0, Attendance!C264 - TIME(9, 0, 0)) * 24 * A264</f>
        <v>#N/A</v>
      </c>
      <c r="D264" s="419" t="str">
        <f>MAX(0, Attendance!D264 - TIME(18, 0, 0)) * 24 * 1.5 * A264</f>
        <v>#N/A</v>
      </c>
      <c r="E264" s="418">
        <f>IF(AND(Attendance!E264&lt;&gt;"Friday", Attendance!C264&lt;&gt;""), B264, 0)</f>
        <v>0</v>
      </c>
      <c r="F264" s="420" t="str">
        <f>Attendance!B264</f>
        <v/>
      </c>
      <c r="G264" s="415" t="str">
        <f>Attendance!A264</f>
        <v/>
      </c>
      <c r="H264" s="420" t="str">
        <f>IFERROR(__xludf.DUMMYFUNCTION("REGEXREPLACE(F264, ""\d+$"", """")"),"")</f>
        <v/>
      </c>
    </row>
    <row r="265" ht="22.5" customHeight="1">
      <c r="A265" s="417" t="str">
        <f>VLOOKUP(F265, Employees!$A$2:$C957, 3, FALSE)</f>
        <v>#N/A</v>
      </c>
      <c r="B265" s="418">
        <f>100000 / (DAY(EOMONTH(Attendance!A265,0)) - 4)</f>
        <v>3703.703704</v>
      </c>
      <c r="C265" s="417" t="str">
        <f>MAX(0, Attendance!C265 - TIME(9, 0, 0)) * 24 * A265</f>
        <v>#N/A</v>
      </c>
      <c r="D265" s="419" t="str">
        <f>MAX(0, Attendance!D265 - TIME(18, 0, 0)) * 24 * 1.5 * A265</f>
        <v>#N/A</v>
      </c>
      <c r="E265" s="418">
        <f>IF(AND(Attendance!E265&lt;&gt;"Friday", Attendance!C265&lt;&gt;""), B265, 0)</f>
        <v>0</v>
      </c>
      <c r="F265" s="420" t="str">
        <f>Attendance!B265</f>
        <v/>
      </c>
      <c r="G265" s="415" t="str">
        <f>Attendance!A265</f>
        <v/>
      </c>
      <c r="H265" s="420" t="str">
        <f>IFERROR(__xludf.DUMMYFUNCTION("REGEXREPLACE(F265, ""\d+$"", """")"),"")</f>
        <v/>
      </c>
    </row>
    <row r="266" ht="22.5" customHeight="1">
      <c r="A266" s="417" t="str">
        <f>VLOOKUP(F266, Employees!$A$2:$C957, 3, FALSE)</f>
        <v>#N/A</v>
      </c>
      <c r="B266" s="418">
        <f>100000 / (DAY(EOMONTH(Attendance!A266,0)) - 4)</f>
        <v>3703.703704</v>
      </c>
      <c r="C266" s="417" t="str">
        <f>MAX(0, Attendance!C266 - TIME(9, 0, 0)) * 24 * A266</f>
        <v>#N/A</v>
      </c>
      <c r="D266" s="419" t="str">
        <f>MAX(0, Attendance!D266 - TIME(18, 0, 0)) * 24 * 1.5 * A266</f>
        <v>#N/A</v>
      </c>
      <c r="E266" s="418">
        <f>IF(AND(Attendance!E266&lt;&gt;"Friday", Attendance!C266&lt;&gt;""), B266, 0)</f>
        <v>0</v>
      </c>
      <c r="F266" s="420" t="str">
        <f>Attendance!B266</f>
        <v/>
      </c>
      <c r="G266" s="415" t="str">
        <f>Attendance!A266</f>
        <v/>
      </c>
      <c r="H266" s="420" t="str">
        <f>IFERROR(__xludf.DUMMYFUNCTION("REGEXREPLACE(F266, ""\d+$"", """")"),"")</f>
        <v/>
      </c>
    </row>
    <row r="267" ht="22.5" customHeight="1">
      <c r="A267" s="417" t="str">
        <f>VLOOKUP(F267, Employees!$A$2:$C957, 3, FALSE)</f>
        <v>#N/A</v>
      </c>
      <c r="B267" s="418">
        <f>100000 / (DAY(EOMONTH(Attendance!A267,0)) - 4)</f>
        <v>3703.703704</v>
      </c>
      <c r="C267" s="417" t="str">
        <f>MAX(0, Attendance!C267 - TIME(9, 0, 0)) * 24 * A267</f>
        <v>#N/A</v>
      </c>
      <c r="D267" s="419" t="str">
        <f>MAX(0, Attendance!D267 - TIME(18, 0, 0)) * 24 * 1.5 * A267</f>
        <v>#N/A</v>
      </c>
      <c r="E267" s="418">
        <f>IF(AND(Attendance!E267&lt;&gt;"Friday", Attendance!C267&lt;&gt;""), B267, 0)</f>
        <v>0</v>
      </c>
      <c r="F267" s="420" t="str">
        <f>Attendance!B267</f>
        <v/>
      </c>
      <c r="G267" s="415" t="str">
        <f>Attendance!A267</f>
        <v/>
      </c>
      <c r="H267" s="420" t="str">
        <f>IFERROR(__xludf.DUMMYFUNCTION("REGEXREPLACE(F267, ""\d+$"", """")"),"")</f>
        <v/>
      </c>
    </row>
    <row r="268" ht="22.5" customHeight="1">
      <c r="A268" s="417" t="str">
        <f>VLOOKUP(F268, Employees!$A$2:$C957, 3, FALSE)</f>
        <v>#N/A</v>
      </c>
      <c r="B268" s="418">
        <f>100000 / (DAY(EOMONTH(Attendance!A268,0)) - 4)</f>
        <v>3703.703704</v>
      </c>
      <c r="C268" s="417" t="str">
        <f>MAX(0, Attendance!C268 - TIME(9, 0, 0)) * 24 * A268</f>
        <v>#N/A</v>
      </c>
      <c r="D268" s="419" t="str">
        <f>MAX(0, Attendance!D268 - TIME(18, 0, 0)) * 24 * 1.5 * A268</f>
        <v>#N/A</v>
      </c>
      <c r="E268" s="418">
        <f>IF(AND(Attendance!E268&lt;&gt;"Friday", Attendance!C268&lt;&gt;""), B268, 0)</f>
        <v>0</v>
      </c>
      <c r="F268" s="420" t="str">
        <f>Attendance!B268</f>
        <v/>
      </c>
      <c r="G268" s="415" t="str">
        <f>Attendance!A268</f>
        <v/>
      </c>
      <c r="H268" s="420" t="str">
        <f>IFERROR(__xludf.DUMMYFUNCTION("REGEXREPLACE(F268, ""\d+$"", """")"),"")</f>
        <v/>
      </c>
    </row>
    <row r="269" ht="22.5" customHeight="1">
      <c r="A269" s="417" t="str">
        <f>VLOOKUP(F269, Employees!$A$2:$C957, 3, FALSE)</f>
        <v>#N/A</v>
      </c>
      <c r="B269" s="418">
        <f>100000 / (DAY(EOMONTH(Attendance!A269,0)) - 4)</f>
        <v>3703.703704</v>
      </c>
      <c r="C269" s="417" t="str">
        <f>MAX(0, Attendance!C269 - TIME(9, 0, 0)) * 24 * A269</f>
        <v>#N/A</v>
      </c>
      <c r="D269" s="419" t="str">
        <f>MAX(0, Attendance!D269 - TIME(18, 0, 0)) * 24 * 1.5 * A269</f>
        <v>#N/A</v>
      </c>
      <c r="E269" s="418">
        <f>IF(AND(Attendance!E269&lt;&gt;"Friday", Attendance!C269&lt;&gt;""), B269, 0)</f>
        <v>0</v>
      </c>
      <c r="F269" s="420" t="str">
        <f>Attendance!B269</f>
        <v/>
      </c>
      <c r="G269" s="415" t="str">
        <f>Attendance!A269</f>
        <v/>
      </c>
      <c r="H269" s="420" t="str">
        <f>IFERROR(__xludf.DUMMYFUNCTION("REGEXREPLACE(F269, ""\d+$"", """")"),"")</f>
        <v/>
      </c>
    </row>
    <row r="270" ht="22.5" customHeight="1">
      <c r="A270" s="417" t="str">
        <f>VLOOKUP(F270, Employees!$A$2:$C957, 3, FALSE)</f>
        <v>#N/A</v>
      </c>
      <c r="B270" s="418">
        <f>100000 / (DAY(EOMONTH(Attendance!A270,0)) - 4)</f>
        <v>3703.703704</v>
      </c>
      <c r="C270" s="417" t="str">
        <f>MAX(0, Attendance!C270 - TIME(9, 0, 0)) * 24 * A270</f>
        <v>#N/A</v>
      </c>
      <c r="D270" s="419" t="str">
        <f>MAX(0, Attendance!D270 - TIME(18, 0, 0)) * 24 * 1.5 * A270</f>
        <v>#N/A</v>
      </c>
      <c r="E270" s="418">
        <f>IF(AND(Attendance!E270&lt;&gt;"Friday", Attendance!C270&lt;&gt;""), B270, 0)</f>
        <v>0</v>
      </c>
      <c r="F270" s="420" t="str">
        <f>Attendance!B270</f>
        <v/>
      </c>
      <c r="G270" s="415" t="str">
        <f>Attendance!A270</f>
        <v/>
      </c>
      <c r="H270" s="420" t="str">
        <f>IFERROR(__xludf.DUMMYFUNCTION("REGEXREPLACE(F270, ""\d+$"", """")"),"")</f>
        <v/>
      </c>
    </row>
    <row r="271" ht="22.5" customHeight="1">
      <c r="A271" s="417" t="str">
        <f>VLOOKUP(F271, Employees!$A$2:$C957, 3, FALSE)</f>
        <v>#N/A</v>
      </c>
      <c r="B271" s="418">
        <f>100000 / (DAY(EOMONTH(Attendance!A271,0)) - 4)</f>
        <v>3703.703704</v>
      </c>
      <c r="C271" s="417" t="str">
        <f>MAX(0, Attendance!C271 - TIME(9, 0, 0)) * 24 * A271</f>
        <v>#N/A</v>
      </c>
      <c r="D271" s="419" t="str">
        <f>MAX(0, Attendance!D271 - TIME(18, 0, 0)) * 24 * 1.5 * A271</f>
        <v>#N/A</v>
      </c>
      <c r="E271" s="418">
        <f>IF(AND(Attendance!E271&lt;&gt;"Friday", Attendance!C271&lt;&gt;""), B271, 0)</f>
        <v>0</v>
      </c>
      <c r="F271" s="420" t="str">
        <f>Attendance!B271</f>
        <v/>
      </c>
      <c r="G271" s="415" t="str">
        <f>Attendance!A271</f>
        <v/>
      </c>
      <c r="H271" s="420" t="str">
        <f>IFERROR(__xludf.DUMMYFUNCTION("REGEXREPLACE(F271, ""\d+$"", """")"),"")</f>
        <v/>
      </c>
    </row>
    <row r="272" ht="22.5" customHeight="1">
      <c r="A272" s="417" t="str">
        <f>VLOOKUP(F272, Employees!$A$2:$C957, 3, FALSE)</f>
        <v>#N/A</v>
      </c>
      <c r="B272" s="418">
        <f>100000 / (DAY(EOMONTH(Attendance!A272,0)) - 4)</f>
        <v>3703.703704</v>
      </c>
      <c r="C272" s="417" t="str">
        <f>MAX(0, Attendance!C272 - TIME(9, 0, 0)) * 24 * A272</f>
        <v>#N/A</v>
      </c>
      <c r="D272" s="419" t="str">
        <f>MAX(0, Attendance!D272 - TIME(18, 0, 0)) * 24 * 1.5 * A272</f>
        <v>#N/A</v>
      </c>
      <c r="E272" s="418">
        <f>IF(AND(Attendance!E272&lt;&gt;"Friday", Attendance!C272&lt;&gt;""), B272, 0)</f>
        <v>0</v>
      </c>
      <c r="F272" s="420" t="str">
        <f>Attendance!B272</f>
        <v/>
      </c>
      <c r="G272" s="415" t="str">
        <f>Attendance!A272</f>
        <v/>
      </c>
      <c r="H272" s="420" t="str">
        <f>IFERROR(__xludf.DUMMYFUNCTION("REGEXREPLACE(F272, ""\d+$"", """")"),"")</f>
        <v/>
      </c>
    </row>
    <row r="273" ht="22.5" customHeight="1">
      <c r="A273" s="417" t="str">
        <f>VLOOKUP(F273, Employees!$A$2:$C957, 3, FALSE)</f>
        <v>#N/A</v>
      </c>
      <c r="B273" s="418">
        <f>100000 / (DAY(EOMONTH(Attendance!A273,0)) - 4)</f>
        <v>3703.703704</v>
      </c>
      <c r="C273" s="417" t="str">
        <f>MAX(0, Attendance!C273 - TIME(9, 0, 0)) * 24 * A273</f>
        <v>#N/A</v>
      </c>
      <c r="D273" s="419" t="str">
        <f>MAX(0, Attendance!D273 - TIME(18, 0, 0)) * 24 * 1.5 * A273</f>
        <v>#N/A</v>
      </c>
      <c r="E273" s="418">
        <f>IF(AND(Attendance!E273&lt;&gt;"Friday", Attendance!C273&lt;&gt;""), B273, 0)</f>
        <v>0</v>
      </c>
      <c r="F273" s="420" t="str">
        <f>Attendance!B273</f>
        <v/>
      </c>
      <c r="G273" s="415" t="str">
        <f>Attendance!A273</f>
        <v/>
      </c>
      <c r="H273" s="420" t="str">
        <f>IFERROR(__xludf.DUMMYFUNCTION("REGEXREPLACE(F273, ""\d+$"", """")"),"")</f>
        <v/>
      </c>
    </row>
    <row r="274" ht="22.5" customHeight="1">
      <c r="A274" s="417" t="str">
        <f>VLOOKUP(F274, Employees!$A$2:$C957, 3, FALSE)</f>
        <v>#N/A</v>
      </c>
      <c r="B274" s="418">
        <f>100000 / (DAY(EOMONTH(Attendance!A274,0)) - 4)</f>
        <v>3703.703704</v>
      </c>
      <c r="C274" s="417" t="str">
        <f>MAX(0, Attendance!C274 - TIME(9, 0, 0)) * 24 * A274</f>
        <v>#N/A</v>
      </c>
      <c r="D274" s="419" t="str">
        <f>MAX(0, Attendance!D274 - TIME(18, 0, 0)) * 24 * 1.5 * A274</f>
        <v>#N/A</v>
      </c>
      <c r="E274" s="418">
        <f>IF(AND(Attendance!E274&lt;&gt;"Friday", Attendance!C274&lt;&gt;""), B274, 0)</f>
        <v>0</v>
      </c>
      <c r="F274" s="420" t="str">
        <f>Attendance!B274</f>
        <v/>
      </c>
      <c r="G274" s="415" t="str">
        <f>Attendance!A274</f>
        <v/>
      </c>
      <c r="H274" s="420" t="str">
        <f>IFERROR(__xludf.DUMMYFUNCTION("REGEXREPLACE(F274, ""\d+$"", """")"),"")</f>
        <v/>
      </c>
    </row>
    <row r="275" ht="22.5" customHeight="1">
      <c r="A275" s="417" t="str">
        <f>VLOOKUP(F275, Employees!$A$2:$C957, 3, FALSE)</f>
        <v>#N/A</v>
      </c>
      <c r="B275" s="418">
        <f>100000 / (DAY(EOMONTH(Attendance!A275,0)) - 4)</f>
        <v>3703.703704</v>
      </c>
      <c r="C275" s="417" t="str">
        <f>MAX(0, Attendance!C275 - TIME(9, 0, 0)) * 24 * A275</f>
        <v>#N/A</v>
      </c>
      <c r="D275" s="419" t="str">
        <f>MAX(0, Attendance!D275 - TIME(18, 0, 0)) * 24 * 1.5 * A275</f>
        <v>#N/A</v>
      </c>
      <c r="E275" s="418">
        <f>IF(AND(Attendance!E275&lt;&gt;"Friday", Attendance!C275&lt;&gt;""), B275, 0)</f>
        <v>0</v>
      </c>
      <c r="F275" s="420" t="str">
        <f>Attendance!B275</f>
        <v/>
      </c>
      <c r="G275" s="415" t="str">
        <f>Attendance!A275</f>
        <v/>
      </c>
      <c r="H275" s="420" t="str">
        <f>IFERROR(__xludf.DUMMYFUNCTION("REGEXREPLACE(F275, ""\d+$"", """")"),"")</f>
        <v/>
      </c>
    </row>
    <row r="276" ht="22.5" customHeight="1">
      <c r="A276" s="417" t="str">
        <f>VLOOKUP(F276, Employees!$A$2:$C957, 3, FALSE)</f>
        <v>#N/A</v>
      </c>
      <c r="B276" s="418">
        <f>100000 / (DAY(EOMONTH(Attendance!A276,0)) - 4)</f>
        <v>3703.703704</v>
      </c>
      <c r="C276" s="417" t="str">
        <f>MAX(0, Attendance!C276 - TIME(9, 0, 0)) * 24 * A276</f>
        <v>#N/A</v>
      </c>
      <c r="D276" s="419" t="str">
        <f>MAX(0, Attendance!D276 - TIME(18, 0, 0)) * 24 * 1.5 * A276</f>
        <v>#N/A</v>
      </c>
      <c r="E276" s="418">
        <f>IF(AND(Attendance!E276&lt;&gt;"Friday", Attendance!C276&lt;&gt;""), B276, 0)</f>
        <v>0</v>
      </c>
      <c r="F276" s="420" t="str">
        <f>Attendance!B276</f>
        <v/>
      </c>
      <c r="G276" s="415" t="str">
        <f>Attendance!A276</f>
        <v/>
      </c>
      <c r="H276" s="420" t="str">
        <f>IFERROR(__xludf.DUMMYFUNCTION("REGEXREPLACE(F276, ""\d+$"", """")"),"")</f>
        <v/>
      </c>
    </row>
    <row r="277" ht="22.5" customHeight="1">
      <c r="A277" s="417" t="str">
        <f>VLOOKUP(F277, Employees!$A$2:$C957, 3, FALSE)</f>
        <v>#N/A</v>
      </c>
      <c r="B277" s="418">
        <f>100000 / (DAY(EOMONTH(Attendance!A277,0)) - 4)</f>
        <v>3703.703704</v>
      </c>
      <c r="C277" s="417" t="str">
        <f>MAX(0, Attendance!C277 - TIME(9, 0, 0)) * 24 * A277</f>
        <v>#N/A</v>
      </c>
      <c r="D277" s="419" t="str">
        <f>MAX(0, Attendance!D277 - TIME(18, 0, 0)) * 24 * 1.5 * A277</f>
        <v>#N/A</v>
      </c>
      <c r="E277" s="418">
        <f>IF(AND(Attendance!E277&lt;&gt;"Friday", Attendance!C277&lt;&gt;""), B277, 0)</f>
        <v>0</v>
      </c>
      <c r="F277" s="420" t="str">
        <f>Attendance!B277</f>
        <v/>
      </c>
      <c r="G277" s="415" t="str">
        <f>Attendance!A277</f>
        <v/>
      </c>
      <c r="H277" s="420" t="str">
        <f>IFERROR(__xludf.DUMMYFUNCTION("REGEXREPLACE(F277, ""\d+$"", """")"),"")</f>
        <v/>
      </c>
    </row>
    <row r="278" ht="22.5" customHeight="1">
      <c r="A278" s="417" t="str">
        <f>VLOOKUP(F278, Employees!$A$2:$C957, 3, FALSE)</f>
        <v>#N/A</v>
      </c>
      <c r="B278" s="418">
        <f>100000 / (DAY(EOMONTH(Attendance!A278,0)) - 4)</f>
        <v>3703.703704</v>
      </c>
      <c r="C278" s="417" t="str">
        <f>MAX(0, Attendance!C278 - TIME(9, 0, 0)) * 24 * A278</f>
        <v>#N/A</v>
      </c>
      <c r="D278" s="419" t="str">
        <f>MAX(0, Attendance!D278 - TIME(18, 0, 0)) * 24 * 1.5 * A278</f>
        <v>#N/A</v>
      </c>
      <c r="E278" s="418">
        <f>IF(AND(Attendance!E278&lt;&gt;"Friday", Attendance!C278&lt;&gt;""), B278, 0)</f>
        <v>0</v>
      </c>
      <c r="F278" s="420" t="str">
        <f>Attendance!B278</f>
        <v/>
      </c>
      <c r="G278" s="415" t="str">
        <f>Attendance!A278</f>
        <v/>
      </c>
      <c r="H278" s="420" t="str">
        <f>IFERROR(__xludf.DUMMYFUNCTION("REGEXREPLACE(F278, ""\d+$"", """")"),"")</f>
        <v/>
      </c>
    </row>
    <row r="279" ht="22.5" customHeight="1">
      <c r="A279" s="417" t="str">
        <f>VLOOKUP(F279, Employees!$A$2:$C957, 3, FALSE)</f>
        <v>#N/A</v>
      </c>
      <c r="B279" s="418">
        <f>100000 / (DAY(EOMONTH(Attendance!A279,0)) - 4)</f>
        <v>3703.703704</v>
      </c>
      <c r="C279" s="417" t="str">
        <f>MAX(0, Attendance!C279 - TIME(9, 0, 0)) * 24 * A279</f>
        <v>#N/A</v>
      </c>
      <c r="D279" s="419" t="str">
        <f>MAX(0, Attendance!D279 - TIME(18, 0, 0)) * 24 * 1.5 * A279</f>
        <v>#N/A</v>
      </c>
      <c r="E279" s="418">
        <f>IF(AND(Attendance!E279&lt;&gt;"Friday", Attendance!C279&lt;&gt;""), B279, 0)</f>
        <v>0</v>
      </c>
      <c r="F279" s="420" t="str">
        <f>Attendance!B279</f>
        <v/>
      </c>
      <c r="G279" s="415" t="str">
        <f>Attendance!A279</f>
        <v/>
      </c>
      <c r="H279" s="420" t="str">
        <f>IFERROR(__xludf.DUMMYFUNCTION("REGEXREPLACE(F279, ""\d+$"", """")"),"")</f>
        <v/>
      </c>
    </row>
    <row r="280" ht="22.5" customHeight="1">
      <c r="A280" s="417" t="str">
        <f>VLOOKUP(F280, Employees!$A$2:$C957, 3, FALSE)</f>
        <v>#N/A</v>
      </c>
      <c r="B280" s="418">
        <f>100000 / (DAY(EOMONTH(Attendance!A280,0)) - 4)</f>
        <v>3703.703704</v>
      </c>
      <c r="C280" s="417" t="str">
        <f>MAX(0, Attendance!C280 - TIME(9, 0, 0)) * 24 * A280</f>
        <v>#N/A</v>
      </c>
      <c r="D280" s="419" t="str">
        <f>MAX(0, Attendance!D280 - TIME(18, 0, 0)) * 24 * 1.5 * A280</f>
        <v>#N/A</v>
      </c>
      <c r="E280" s="418">
        <f>IF(AND(Attendance!E280&lt;&gt;"Friday", Attendance!C280&lt;&gt;""), B280, 0)</f>
        <v>0</v>
      </c>
      <c r="F280" s="420" t="str">
        <f>Attendance!B280</f>
        <v/>
      </c>
      <c r="G280" s="415" t="str">
        <f>Attendance!A280</f>
        <v/>
      </c>
      <c r="H280" s="420" t="str">
        <f>IFERROR(__xludf.DUMMYFUNCTION("REGEXREPLACE(F280, ""\d+$"", """")"),"")</f>
        <v/>
      </c>
    </row>
    <row r="281" ht="22.5" customHeight="1">
      <c r="A281" s="417" t="str">
        <f>VLOOKUP(F281, Employees!$A$2:$C957, 3, FALSE)</f>
        <v>#N/A</v>
      </c>
      <c r="B281" s="418">
        <f>100000 / (DAY(EOMONTH(Attendance!A281,0)) - 4)</f>
        <v>3703.703704</v>
      </c>
      <c r="C281" s="417" t="str">
        <f>MAX(0, Attendance!C281 - TIME(9, 0, 0)) * 24 * A281</f>
        <v>#N/A</v>
      </c>
      <c r="D281" s="419" t="str">
        <f>MAX(0, Attendance!D281 - TIME(18, 0, 0)) * 24 * 1.5 * A281</f>
        <v>#N/A</v>
      </c>
      <c r="E281" s="418">
        <f>IF(AND(Attendance!E281&lt;&gt;"Friday", Attendance!C281&lt;&gt;""), B281, 0)</f>
        <v>0</v>
      </c>
      <c r="F281" s="420" t="str">
        <f>Attendance!B281</f>
        <v/>
      </c>
      <c r="G281" s="415" t="str">
        <f>Attendance!A281</f>
        <v/>
      </c>
      <c r="H281" s="420" t="str">
        <f>IFERROR(__xludf.DUMMYFUNCTION("REGEXREPLACE(F281, ""\d+$"", """")"),"")</f>
        <v/>
      </c>
    </row>
    <row r="282" ht="22.5" customHeight="1">
      <c r="A282" s="417" t="str">
        <f>VLOOKUP(F282, Employees!$A$2:$C957, 3, FALSE)</f>
        <v>#N/A</v>
      </c>
      <c r="B282" s="418">
        <f>100000 / (DAY(EOMONTH(Attendance!A282,0)) - 4)</f>
        <v>3703.703704</v>
      </c>
      <c r="C282" s="417" t="str">
        <f>MAX(0, Attendance!C282 - TIME(9, 0, 0)) * 24 * A282</f>
        <v>#N/A</v>
      </c>
      <c r="D282" s="419" t="str">
        <f>MAX(0, Attendance!D282 - TIME(18, 0, 0)) * 24 * 1.5 * A282</f>
        <v>#N/A</v>
      </c>
      <c r="E282" s="418">
        <f>IF(AND(Attendance!E282&lt;&gt;"Friday", Attendance!C282&lt;&gt;""), B282, 0)</f>
        <v>0</v>
      </c>
      <c r="F282" s="420" t="str">
        <f>Attendance!B282</f>
        <v/>
      </c>
      <c r="G282" s="415" t="str">
        <f>Attendance!A282</f>
        <v/>
      </c>
      <c r="H282" s="420" t="str">
        <f>IFERROR(__xludf.DUMMYFUNCTION("REGEXREPLACE(F282, ""\d+$"", """")"),"")</f>
        <v/>
      </c>
    </row>
    <row r="283" ht="22.5" customHeight="1">
      <c r="A283" s="417" t="str">
        <f>VLOOKUP(F283, Employees!$A$2:$C957, 3, FALSE)</f>
        <v>#N/A</v>
      </c>
      <c r="B283" s="418">
        <f>100000 / (DAY(EOMONTH(Attendance!A283,0)) - 4)</f>
        <v>3703.703704</v>
      </c>
      <c r="C283" s="417" t="str">
        <f>MAX(0, Attendance!C283 - TIME(9, 0, 0)) * 24 * A283</f>
        <v>#N/A</v>
      </c>
      <c r="D283" s="419" t="str">
        <f>MAX(0, Attendance!D283 - TIME(18, 0, 0)) * 24 * 1.5 * A283</f>
        <v>#N/A</v>
      </c>
      <c r="E283" s="418">
        <f>IF(AND(Attendance!E283&lt;&gt;"Friday", Attendance!C283&lt;&gt;""), B283, 0)</f>
        <v>0</v>
      </c>
      <c r="F283" s="420" t="str">
        <f>Attendance!B283</f>
        <v/>
      </c>
      <c r="G283" s="415" t="str">
        <f>Attendance!A283</f>
        <v/>
      </c>
      <c r="H283" s="420" t="str">
        <f>IFERROR(__xludf.DUMMYFUNCTION("REGEXREPLACE(F283, ""\d+$"", """")"),"")</f>
        <v/>
      </c>
    </row>
    <row r="284" ht="22.5" customHeight="1">
      <c r="A284" s="417" t="str">
        <f>VLOOKUP(F284, Employees!$A$2:$C957, 3, FALSE)</f>
        <v>#N/A</v>
      </c>
      <c r="B284" s="418">
        <f>100000 / (DAY(EOMONTH(Attendance!A284,0)) - 4)</f>
        <v>3703.703704</v>
      </c>
      <c r="C284" s="417" t="str">
        <f>MAX(0, Attendance!C284 - TIME(9, 0, 0)) * 24 * A284</f>
        <v>#N/A</v>
      </c>
      <c r="D284" s="419" t="str">
        <f>MAX(0, Attendance!D284 - TIME(18, 0, 0)) * 24 * 1.5 * A284</f>
        <v>#N/A</v>
      </c>
      <c r="E284" s="418">
        <f>IF(AND(Attendance!E284&lt;&gt;"Friday", Attendance!C284&lt;&gt;""), B284, 0)</f>
        <v>0</v>
      </c>
      <c r="F284" s="420" t="str">
        <f>Attendance!B284</f>
        <v/>
      </c>
      <c r="G284" s="415" t="str">
        <f>Attendance!A284</f>
        <v/>
      </c>
      <c r="H284" s="420" t="str">
        <f>IFERROR(__xludf.DUMMYFUNCTION("REGEXREPLACE(F284, ""\d+$"", """")"),"")</f>
        <v/>
      </c>
    </row>
    <row r="285" ht="22.5" customHeight="1">
      <c r="A285" s="417" t="str">
        <f>VLOOKUP(F285, Employees!$A$2:$C957, 3, FALSE)</f>
        <v>#N/A</v>
      </c>
      <c r="B285" s="418">
        <f>100000 / (DAY(EOMONTH(Attendance!A285,0)) - 4)</f>
        <v>3703.703704</v>
      </c>
      <c r="C285" s="417" t="str">
        <f>MAX(0, Attendance!C285 - TIME(9, 0, 0)) * 24 * A285</f>
        <v>#N/A</v>
      </c>
      <c r="D285" s="419" t="str">
        <f>MAX(0, Attendance!D285 - TIME(18, 0, 0)) * 24 * 1.5 * A285</f>
        <v>#N/A</v>
      </c>
      <c r="E285" s="418">
        <f>IF(AND(Attendance!E285&lt;&gt;"Friday", Attendance!C285&lt;&gt;""), B285, 0)</f>
        <v>0</v>
      </c>
      <c r="F285" s="420" t="str">
        <f>Attendance!B285</f>
        <v/>
      </c>
      <c r="G285" s="415" t="str">
        <f>Attendance!A285</f>
        <v/>
      </c>
      <c r="H285" s="420" t="str">
        <f>IFERROR(__xludf.DUMMYFUNCTION("REGEXREPLACE(F285, ""\d+$"", """")"),"")</f>
        <v/>
      </c>
    </row>
    <row r="286" ht="22.5" customHeight="1">
      <c r="A286" s="417" t="str">
        <f>VLOOKUP(F286, Employees!$A$2:$C957, 3, FALSE)</f>
        <v>#N/A</v>
      </c>
      <c r="B286" s="418">
        <f>100000 / (DAY(EOMONTH(Attendance!A286,0)) - 4)</f>
        <v>3703.703704</v>
      </c>
      <c r="C286" s="417" t="str">
        <f>MAX(0, Attendance!C286 - TIME(9, 0, 0)) * 24 * A286</f>
        <v>#N/A</v>
      </c>
      <c r="D286" s="419" t="str">
        <f>MAX(0, Attendance!D286 - TIME(18, 0, 0)) * 24 * 1.5 * A286</f>
        <v>#N/A</v>
      </c>
      <c r="E286" s="418">
        <f>IF(AND(Attendance!E286&lt;&gt;"Friday", Attendance!C286&lt;&gt;""), B286, 0)</f>
        <v>0</v>
      </c>
      <c r="F286" s="420" t="str">
        <f>Attendance!B286</f>
        <v/>
      </c>
      <c r="G286" s="415" t="str">
        <f>Attendance!A286</f>
        <v/>
      </c>
      <c r="H286" s="420" t="str">
        <f>IFERROR(__xludf.DUMMYFUNCTION("REGEXREPLACE(F286, ""\d+$"", """")"),"")</f>
        <v/>
      </c>
    </row>
    <row r="287" ht="22.5" customHeight="1">
      <c r="A287" s="417" t="str">
        <f>VLOOKUP(F287, Employees!$A$2:$C957, 3, FALSE)</f>
        <v>#N/A</v>
      </c>
      <c r="B287" s="418">
        <f>100000 / (DAY(EOMONTH(Attendance!A287,0)) - 4)</f>
        <v>3703.703704</v>
      </c>
      <c r="C287" s="417" t="str">
        <f>MAX(0, Attendance!C287 - TIME(9, 0, 0)) * 24 * A287</f>
        <v>#N/A</v>
      </c>
      <c r="D287" s="419" t="str">
        <f>MAX(0, Attendance!D287 - TIME(18, 0, 0)) * 24 * 1.5 * A287</f>
        <v>#N/A</v>
      </c>
      <c r="E287" s="418">
        <f>IF(AND(Attendance!E287&lt;&gt;"Friday", Attendance!C287&lt;&gt;""), B287, 0)</f>
        <v>0</v>
      </c>
      <c r="F287" s="420" t="str">
        <f>Attendance!B287</f>
        <v/>
      </c>
      <c r="G287" s="415" t="str">
        <f>Attendance!A287</f>
        <v/>
      </c>
      <c r="H287" s="420" t="str">
        <f>IFERROR(__xludf.DUMMYFUNCTION("REGEXREPLACE(F287, ""\d+$"", """")"),"")</f>
        <v/>
      </c>
    </row>
    <row r="288" ht="22.5" customHeight="1">
      <c r="A288" s="417" t="str">
        <f>VLOOKUP(F288, Employees!$A$2:$C957, 3, FALSE)</f>
        <v>#N/A</v>
      </c>
      <c r="B288" s="418">
        <f>100000 / (DAY(EOMONTH(Attendance!A288,0)) - 4)</f>
        <v>3703.703704</v>
      </c>
      <c r="C288" s="417" t="str">
        <f>MAX(0, Attendance!C288 - TIME(9, 0, 0)) * 24 * A288</f>
        <v>#N/A</v>
      </c>
      <c r="D288" s="419" t="str">
        <f>MAX(0, Attendance!D288 - TIME(18, 0, 0)) * 24 * 1.5 * A288</f>
        <v>#N/A</v>
      </c>
      <c r="E288" s="418">
        <f>IF(AND(Attendance!E288&lt;&gt;"Friday", Attendance!C288&lt;&gt;""), B288, 0)</f>
        <v>0</v>
      </c>
      <c r="F288" s="420" t="str">
        <f>Attendance!B288</f>
        <v/>
      </c>
      <c r="G288" s="415" t="str">
        <f>Attendance!A288</f>
        <v/>
      </c>
      <c r="H288" s="420" t="str">
        <f>IFERROR(__xludf.DUMMYFUNCTION("REGEXREPLACE(F288, ""\d+$"", """")"),"")</f>
        <v/>
      </c>
    </row>
    <row r="289" ht="22.5" customHeight="1">
      <c r="A289" s="417" t="str">
        <f>VLOOKUP(F289, Employees!$A$2:$C957, 3, FALSE)</f>
        <v>#N/A</v>
      </c>
      <c r="B289" s="418">
        <f>100000 / (DAY(EOMONTH(Attendance!A289,0)) - 4)</f>
        <v>3703.703704</v>
      </c>
      <c r="C289" s="417" t="str">
        <f>MAX(0, Attendance!C289 - TIME(9, 0, 0)) * 24 * A289</f>
        <v>#N/A</v>
      </c>
      <c r="D289" s="419" t="str">
        <f>MAX(0, Attendance!D289 - TIME(18, 0, 0)) * 24 * 1.5 * A289</f>
        <v>#N/A</v>
      </c>
      <c r="E289" s="418">
        <f>IF(AND(Attendance!E289&lt;&gt;"Friday", Attendance!C289&lt;&gt;""), B289, 0)</f>
        <v>0</v>
      </c>
      <c r="F289" s="420" t="str">
        <f>Attendance!B289</f>
        <v/>
      </c>
      <c r="G289" s="415" t="str">
        <f>Attendance!A289</f>
        <v/>
      </c>
      <c r="H289" s="420" t="str">
        <f>IFERROR(__xludf.DUMMYFUNCTION("REGEXREPLACE(F289, ""\d+$"", """")"),"")</f>
        <v/>
      </c>
    </row>
    <row r="290" ht="22.5" customHeight="1">
      <c r="A290" s="417" t="str">
        <f>VLOOKUP(F290, Employees!$A$2:$C957, 3, FALSE)</f>
        <v>#N/A</v>
      </c>
      <c r="B290" s="418">
        <f>100000 / (DAY(EOMONTH(Attendance!A290,0)) - 4)</f>
        <v>3703.703704</v>
      </c>
      <c r="C290" s="417" t="str">
        <f>MAX(0, Attendance!C290 - TIME(9, 0, 0)) * 24 * A290</f>
        <v>#N/A</v>
      </c>
      <c r="D290" s="419" t="str">
        <f>MAX(0, Attendance!D290 - TIME(18, 0, 0)) * 24 * 1.5 * A290</f>
        <v>#N/A</v>
      </c>
      <c r="E290" s="418">
        <f>IF(AND(Attendance!E290&lt;&gt;"Friday", Attendance!C290&lt;&gt;""), B290, 0)</f>
        <v>0</v>
      </c>
      <c r="F290" s="420" t="str">
        <f>Attendance!B290</f>
        <v/>
      </c>
      <c r="G290" s="415" t="str">
        <f>Attendance!A290</f>
        <v/>
      </c>
      <c r="H290" s="420" t="str">
        <f>IFERROR(__xludf.DUMMYFUNCTION("REGEXREPLACE(F290, ""\d+$"", """")"),"")</f>
        <v/>
      </c>
    </row>
    <row r="291" ht="22.5" customHeight="1">
      <c r="A291" s="417" t="str">
        <f>VLOOKUP(F291, Employees!$A$2:$C957, 3, FALSE)</f>
        <v>#N/A</v>
      </c>
      <c r="B291" s="418">
        <f>100000 / (DAY(EOMONTH(Attendance!A291,0)) - 4)</f>
        <v>3703.703704</v>
      </c>
      <c r="C291" s="417" t="str">
        <f>MAX(0, Attendance!C291 - TIME(9, 0, 0)) * 24 * A291</f>
        <v>#N/A</v>
      </c>
      <c r="D291" s="419" t="str">
        <f>MAX(0, Attendance!D291 - TIME(18, 0, 0)) * 24 * 1.5 * A291</f>
        <v>#N/A</v>
      </c>
      <c r="E291" s="418">
        <f>IF(AND(Attendance!E291&lt;&gt;"Friday", Attendance!C291&lt;&gt;""), B291, 0)</f>
        <v>0</v>
      </c>
      <c r="F291" s="420" t="str">
        <f>Attendance!B291</f>
        <v/>
      </c>
      <c r="G291" s="415" t="str">
        <f>Attendance!A291</f>
        <v/>
      </c>
      <c r="H291" s="420" t="str">
        <f>IFERROR(__xludf.DUMMYFUNCTION("REGEXREPLACE(F291, ""\d+$"", """")"),"")</f>
        <v/>
      </c>
    </row>
    <row r="292" ht="22.5" customHeight="1">
      <c r="A292" s="417" t="str">
        <f>VLOOKUP(F292, Employees!$A$2:$C957, 3, FALSE)</f>
        <v>#N/A</v>
      </c>
      <c r="B292" s="418">
        <f>100000 / (DAY(EOMONTH(Attendance!A292,0)) - 4)</f>
        <v>3703.703704</v>
      </c>
      <c r="C292" s="417" t="str">
        <f>MAX(0, Attendance!C292 - TIME(9, 0, 0)) * 24 * A292</f>
        <v>#N/A</v>
      </c>
      <c r="D292" s="419" t="str">
        <f>MAX(0, Attendance!D292 - TIME(18, 0, 0)) * 24 * 1.5 * A292</f>
        <v>#N/A</v>
      </c>
      <c r="E292" s="418">
        <f>IF(AND(Attendance!E292&lt;&gt;"Friday", Attendance!C292&lt;&gt;""), B292, 0)</f>
        <v>0</v>
      </c>
      <c r="F292" s="420" t="str">
        <f>Attendance!B292</f>
        <v/>
      </c>
      <c r="G292" s="415" t="str">
        <f>Attendance!A292</f>
        <v/>
      </c>
      <c r="H292" s="420" t="str">
        <f>IFERROR(__xludf.DUMMYFUNCTION("REGEXREPLACE(F292, ""\d+$"", """")"),"")</f>
        <v/>
      </c>
    </row>
    <row r="293" ht="22.5" customHeight="1">
      <c r="A293" s="417" t="str">
        <f>VLOOKUP(F293, Employees!$A$2:$C957, 3, FALSE)</f>
        <v>#N/A</v>
      </c>
      <c r="B293" s="418">
        <f>100000 / (DAY(EOMONTH(Attendance!A293,0)) - 4)</f>
        <v>3703.703704</v>
      </c>
      <c r="C293" s="417" t="str">
        <f>MAX(0, Attendance!C293 - TIME(9, 0, 0)) * 24 * A293</f>
        <v>#N/A</v>
      </c>
      <c r="D293" s="419" t="str">
        <f>MAX(0, Attendance!D293 - TIME(18, 0, 0)) * 24 * 1.5 * A293</f>
        <v>#N/A</v>
      </c>
      <c r="E293" s="418">
        <f>IF(AND(Attendance!E293&lt;&gt;"Friday", Attendance!C293&lt;&gt;""), B293, 0)</f>
        <v>0</v>
      </c>
      <c r="F293" s="420" t="str">
        <f>Attendance!B293</f>
        <v/>
      </c>
      <c r="G293" s="415" t="str">
        <f>Attendance!A293</f>
        <v/>
      </c>
      <c r="H293" s="420" t="str">
        <f>IFERROR(__xludf.DUMMYFUNCTION("REGEXREPLACE(F293, ""\d+$"", """")"),"")</f>
        <v/>
      </c>
    </row>
    <row r="294" ht="22.5" customHeight="1">
      <c r="A294" s="417" t="str">
        <f>VLOOKUP(F294, Employees!$A$2:$C957, 3, FALSE)</f>
        <v>#N/A</v>
      </c>
      <c r="B294" s="418">
        <f>100000 / (DAY(EOMONTH(Attendance!A294,0)) - 4)</f>
        <v>3703.703704</v>
      </c>
      <c r="C294" s="417" t="str">
        <f>MAX(0, Attendance!C294 - TIME(9, 0, 0)) * 24 * A294</f>
        <v>#N/A</v>
      </c>
      <c r="D294" s="419" t="str">
        <f>MAX(0, Attendance!D294 - TIME(18, 0, 0)) * 24 * 1.5 * A294</f>
        <v>#N/A</v>
      </c>
      <c r="E294" s="418">
        <f>IF(AND(Attendance!E294&lt;&gt;"Friday", Attendance!C294&lt;&gt;""), B294, 0)</f>
        <v>0</v>
      </c>
      <c r="F294" s="420" t="str">
        <f>Attendance!B294</f>
        <v/>
      </c>
      <c r="G294" s="415" t="str">
        <f>Attendance!A294</f>
        <v/>
      </c>
      <c r="H294" s="420" t="str">
        <f>IFERROR(__xludf.DUMMYFUNCTION("REGEXREPLACE(F294, ""\d+$"", """")"),"")</f>
        <v/>
      </c>
    </row>
    <row r="295" ht="22.5" customHeight="1">
      <c r="A295" s="417" t="str">
        <f>VLOOKUP(F295, Employees!$A$2:$C957, 3, FALSE)</f>
        <v>#N/A</v>
      </c>
      <c r="B295" s="418">
        <f>100000 / (DAY(EOMONTH(Attendance!A295,0)) - 4)</f>
        <v>3703.703704</v>
      </c>
      <c r="C295" s="417" t="str">
        <f>MAX(0, Attendance!C295 - TIME(9, 0, 0)) * 24 * A295</f>
        <v>#N/A</v>
      </c>
      <c r="D295" s="419" t="str">
        <f>MAX(0, Attendance!D295 - TIME(18, 0, 0)) * 24 * 1.5 * A295</f>
        <v>#N/A</v>
      </c>
      <c r="E295" s="418">
        <f>IF(AND(Attendance!E295&lt;&gt;"Friday", Attendance!C295&lt;&gt;""), B295, 0)</f>
        <v>0</v>
      </c>
      <c r="F295" s="420" t="str">
        <f>Attendance!B295</f>
        <v/>
      </c>
      <c r="G295" s="415" t="str">
        <f>Attendance!A295</f>
        <v/>
      </c>
      <c r="H295" s="420" t="str">
        <f>IFERROR(__xludf.DUMMYFUNCTION("REGEXREPLACE(F295, ""\d+$"", """")"),"")</f>
        <v/>
      </c>
    </row>
    <row r="296" ht="22.5" customHeight="1">
      <c r="A296" s="417" t="str">
        <f>VLOOKUP(F296, Employees!$A$2:$C957, 3, FALSE)</f>
        <v>#N/A</v>
      </c>
      <c r="B296" s="418">
        <f>100000 / (DAY(EOMONTH(Attendance!A296,0)) - 4)</f>
        <v>3703.703704</v>
      </c>
      <c r="C296" s="417" t="str">
        <f>MAX(0, Attendance!C296 - TIME(9, 0, 0)) * 24 * A296</f>
        <v>#N/A</v>
      </c>
      <c r="D296" s="419" t="str">
        <f>MAX(0, Attendance!D296 - TIME(18, 0, 0)) * 24 * 1.5 * A296</f>
        <v>#N/A</v>
      </c>
      <c r="E296" s="418">
        <f>IF(AND(Attendance!E296&lt;&gt;"Friday", Attendance!C296&lt;&gt;""), B296, 0)</f>
        <v>0</v>
      </c>
      <c r="F296" s="420" t="str">
        <f>Attendance!B296</f>
        <v/>
      </c>
      <c r="G296" s="415" t="str">
        <f>Attendance!A296</f>
        <v/>
      </c>
      <c r="H296" s="420" t="str">
        <f>IFERROR(__xludf.DUMMYFUNCTION("REGEXREPLACE(F296, ""\d+$"", """")"),"")</f>
        <v/>
      </c>
    </row>
    <row r="297" ht="22.5" customHeight="1">
      <c r="A297" s="417" t="str">
        <f>VLOOKUP(F297, Employees!$A$2:$C957, 3, FALSE)</f>
        <v>#N/A</v>
      </c>
      <c r="B297" s="418">
        <f>100000 / (DAY(EOMONTH(Attendance!A297,0)) - 4)</f>
        <v>3703.703704</v>
      </c>
      <c r="C297" s="417" t="str">
        <f>MAX(0, Attendance!C297 - TIME(9, 0, 0)) * 24 * A297</f>
        <v>#N/A</v>
      </c>
      <c r="D297" s="419" t="str">
        <f>MAX(0, Attendance!D297 - TIME(18, 0, 0)) * 24 * 1.5 * A297</f>
        <v>#N/A</v>
      </c>
      <c r="E297" s="418">
        <f>IF(AND(Attendance!E297&lt;&gt;"Friday", Attendance!C297&lt;&gt;""), B297, 0)</f>
        <v>0</v>
      </c>
      <c r="F297" s="420" t="str">
        <f>Attendance!B297</f>
        <v/>
      </c>
      <c r="G297" s="415" t="str">
        <f>Attendance!A297</f>
        <v/>
      </c>
      <c r="H297" s="420" t="str">
        <f>IFERROR(__xludf.DUMMYFUNCTION("REGEXREPLACE(F297, ""\d+$"", """")"),"")</f>
        <v/>
      </c>
    </row>
    <row r="298" ht="22.5" customHeight="1">
      <c r="A298" s="417" t="str">
        <f>VLOOKUP(F298, Employees!$A$2:$C957, 3, FALSE)</f>
        <v>#N/A</v>
      </c>
      <c r="B298" s="418">
        <f>100000 / (DAY(EOMONTH(Attendance!A298,0)) - 4)</f>
        <v>3703.703704</v>
      </c>
      <c r="C298" s="417" t="str">
        <f>MAX(0, Attendance!C298 - TIME(9, 0, 0)) * 24 * A298</f>
        <v>#N/A</v>
      </c>
      <c r="D298" s="419" t="str">
        <f>MAX(0, Attendance!D298 - TIME(18, 0, 0)) * 24 * 1.5 * A298</f>
        <v>#N/A</v>
      </c>
      <c r="E298" s="418">
        <f>IF(AND(Attendance!E298&lt;&gt;"Friday", Attendance!C298&lt;&gt;""), B298, 0)</f>
        <v>0</v>
      </c>
      <c r="F298" s="420" t="str">
        <f>Attendance!B298</f>
        <v/>
      </c>
      <c r="G298" s="415" t="str">
        <f>Attendance!A298</f>
        <v/>
      </c>
      <c r="H298" s="420" t="str">
        <f>IFERROR(__xludf.DUMMYFUNCTION("REGEXREPLACE(F298, ""\d+$"", """")"),"")</f>
        <v/>
      </c>
    </row>
    <row r="299" ht="22.5" customHeight="1">
      <c r="A299" s="417" t="str">
        <f>VLOOKUP(F299, Employees!$A$2:$C957, 3, FALSE)</f>
        <v>#N/A</v>
      </c>
      <c r="B299" s="418">
        <f>100000 / (DAY(EOMONTH(Attendance!A299,0)) - 4)</f>
        <v>3703.703704</v>
      </c>
      <c r="C299" s="417" t="str">
        <f>MAX(0, Attendance!C299 - TIME(9, 0, 0)) * 24 * A299</f>
        <v>#N/A</v>
      </c>
      <c r="D299" s="419" t="str">
        <f>MAX(0, Attendance!D299 - TIME(18, 0, 0)) * 24 * 1.5 * A299</f>
        <v>#N/A</v>
      </c>
      <c r="E299" s="418">
        <f>IF(AND(Attendance!E299&lt;&gt;"Friday", Attendance!C299&lt;&gt;""), B299, 0)</f>
        <v>0</v>
      </c>
      <c r="F299" s="420" t="str">
        <f>Attendance!B299</f>
        <v/>
      </c>
      <c r="G299" s="415" t="str">
        <f>Attendance!A299</f>
        <v/>
      </c>
      <c r="H299" s="420" t="str">
        <f>IFERROR(__xludf.DUMMYFUNCTION("REGEXREPLACE(F299, ""\d+$"", """")"),"")</f>
        <v/>
      </c>
    </row>
    <row r="300" ht="22.5" customHeight="1">
      <c r="A300" s="417" t="str">
        <f>VLOOKUP(F300, Employees!$A$2:$C957, 3, FALSE)</f>
        <v>#N/A</v>
      </c>
      <c r="B300" s="418">
        <f>100000 / (DAY(EOMONTH(Attendance!A300,0)) - 4)</f>
        <v>3703.703704</v>
      </c>
      <c r="C300" s="417" t="str">
        <f>MAX(0, Attendance!C300 - TIME(9, 0, 0)) * 24 * A300</f>
        <v>#N/A</v>
      </c>
      <c r="D300" s="419" t="str">
        <f>MAX(0, Attendance!D300 - TIME(18, 0, 0)) * 24 * 1.5 * A300</f>
        <v>#N/A</v>
      </c>
      <c r="E300" s="418">
        <f>IF(AND(Attendance!E300&lt;&gt;"Friday", Attendance!C300&lt;&gt;""), B300, 0)</f>
        <v>0</v>
      </c>
      <c r="F300" s="420" t="str">
        <f>Attendance!B300</f>
        <v/>
      </c>
      <c r="G300" s="415" t="str">
        <f>Attendance!A300</f>
        <v/>
      </c>
      <c r="H300" s="420" t="str">
        <f>IFERROR(__xludf.DUMMYFUNCTION("REGEXREPLACE(F300, ""\d+$"", """")"),"")</f>
        <v/>
      </c>
    </row>
    <row r="301" ht="22.5" customHeight="1">
      <c r="A301" s="417" t="str">
        <f>VLOOKUP(F301, Employees!$A$2:$C957, 3, FALSE)</f>
        <v>#N/A</v>
      </c>
      <c r="B301" s="418">
        <f>100000 / (DAY(EOMONTH(Attendance!A301,0)) - 4)</f>
        <v>3703.703704</v>
      </c>
      <c r="C301" s="417" t="str">
        <f>MAX(0, Attendance!C301 - TIME(9, 0, 0)) * 24 * A301</f>
        <v>#N/A</v>
      </c>
      <c r="D301" s="419" t="str">
        <f>MAX(0, Attendance!D301 - TIME(18, 0, 0)) * 24 * 1.5 * A301</f>
        <v>#N/A</v>
      </c>
      <c r="E301" s="418">
        <f>IF(AND(Attendance!E301&lt;&gt;"Friday", Attendance!C301&lt;&gt;""), B301, 0)</f>
        <v>0</v>
      </c>
      <c r="F301" s="420" t="str">
        <f>Attendance!B301</f>
        <v/>
      </c>
      <c r="G301" s="415" t="str">
        <f>Attendance!A301</f>
        <v/>
      </c>
      <c r="H301" s="420" t="str">
        <f>IFERROR(__xludf.DUMMYFUNCTION("REGEXREPLACE(F301, ""\d+$"", """")"),"")</f>
        <v/>
      </c>
    </row>
    <row r="302" ht="22.5" customHeight="1">
      <c r="A302" s="417" t="str">
        <f>VLOOKUP(F302, Employees!$A$2:$C957, 3, FALSE)</f>
        <v>#N/A</v>
      </c>
      <c r="B302" s="418">
        <f>100000 / (DAY(EOMONTH(Attendance!A302,0)) - 4)</f>
        <v>3703.703704</v>
      </c>
      <c r="C302" s="417" t="str">
        <f>MAX(0, Attendance!C302 - TIME(9, 0, 0)) * 24 * A302</f>
        <v>#N/A</v>
      </c>
      <c r="D302" s="419" t="str">
        <f>MAX(0, Attendance!D302 - TIME(18, 0, 0)) * 24 * 1.5 * A302</f>
        <v>#N/A</v>
      </c>
      <c r="E302" s="418">
        <f>IF(AND(Attendance!E302&lt;&gt;"Friday", Attendance!C302&lt;&gt;""), B302, 0)</f>
        <v>0</v>
      </c>
      <c r="F302" s="420" t="str">
        <f>Attendance!B302</f>
        <v/>
      </c>
      <c r="G302" s="415" t="str">
        <f>Attendance!A302</f>
        <v/>
      </c>
      <c r="H302" s="420" t="str">
        <f>IFERROR(__xludf.DUMMYFUNCTION("REGEXREPLACE(F302, ""\d+$"", """")"),"")</f>
        <v/>
      </c>
    </row>
    <row r="303" ht="22.5" customHeight="1">
      <c r="A303" s="417" t="str">
        <f>VLOOKUP(F303, Employees!$A$2:$C957, 3, FALSE)</f>
        <v>#N/A</v>
      </c>
      <c r="B303" s="418">
        <f>100000 / (DAY(EOMONTH(Attendance!A303,0)) - 4)</f>
        <v>3703.703704</v>
      </c>
      <c r="C303" s="417" t="str">
        <f>MAX(0, Attendance!C303 - TIME(9, 0, 0)) * 24 * A303</f>
        <v>#N/A</v>
      </c>
      <c r="D303" s="419" t="str">
        <f>MAX(0, Attendance!D303 - TIME(18, 0, 0)) * 24 * 1.5 * A303</f>
        <v>#N/A</v>
      </c>
      <c r="E303" s="418">
        <f>IF(AND(Attendance!E303&lt;&gt;"Friday", Attendance!C303&lt;&gt;""), B303, 0)</f>
        <v>0</v>
      </c>
      <c r="F303" s="420" t="str">
        <f>Attendance!B303</f>
        <v/>
      </c>
      <c r="G303" s="415" t="str">
        <f>Attendance!A303</f>
        <v/>
      </c>
      <c r="H303" s="420" t="str">
        <f>IFERROR(__xludf.DUMMYFUNCTION("REGEXREPLACE(F303, ""\d+$"", """")"),"")</f>
        <v/>
      </c>
    </row>
    <row r="304" ht="22.5" customHeight="1">
      <c r="A304" s="417" t="str">
        <f>VLOOKUP(F304, Employees!$A$2:$C957, 3, FALSE)</f>
        <v>#N/A</v>
      </c>
      <c r="B304" s="418">
        <f>100000 / (DAY(EOMONTH(Attendance!A304,0)) - 4)</f>
        <v>3703.703704</v>
      </c>
      <c r="C304" s="417" t="str">
        <f>MAX(0, Attendance!C304 - TIME(9, 0, 0)) * 24 * A304</f>
        <v>#N/A</v>
      </c>
      <c r="D304" s="419" t="str">
        <f>MAX(0, Attendance!D304 - TIME(18, 0, 0)) * 24 * 1.5 * A304</f>
        <v>#N/A</v>
      </c>
      <c r="E304" s="418">
        <f>IF(AND(Attendance!E304&lt;&gt;"Friday", Attendance!C304&lt;&gt;""), B304, 0)</f>
        <v>0</v>
      </c>
      <c r="F304" s="420" t="str">
        <f>Attendance!B304</f>
        <v/>
      </c>
      <c r="G304" s="415" t="str">
        <f>Attendance!A304</f>
        <v/>
      </c>
      <c r="H304" s="420" t="str">
        <f>IFERROR(__xludf.DUMMYFUNCTION("REGEXREPLACE(F304, ""\d+$"", """")"),"")</f>
        <v/>
      </c>
    </row>
    <row r="305" ht="22.5" customHeight="1">
      <c r="A305" s="417" t="str">
        <f>VLOOKUP(F305, Employees!$A$2:$C957, 3, FALSE)</f>
        <v>#N/A</v>
      </c>
      <c r="B305" s="418">
        <f>100000 / (DAY(EOMONTH(Attendance!A305,0)) - 4)</f>
        <v>3703.703704</v>
      </c>
      <c r="C305" s="417" t="str">
        <f>MAX(0, Attendance!C305 - TIME(9, 0, 0)) * 24 * A305</f>
        <v>#N/A</v>
      </c>
      <c r="D305" s="419" t="str">
        <f>MAX(0, Attendance!D305 - TIME(18, 0, 0)) * 24 * 1.5 * A305</f>
        <v>#N/A</v>
      </c>
      <c r="E305" s="418">
        <f>IF(AND(Attendance!E305&lt;&gt;"Friday", Attendance!C305&lt;&gt;""), B305, 0)</f>
        <v>0</v>
      </c>
      <c r="F305" s="420" t="str">
        <f>Attendance!B305</f>
        <v/>
      </c>
      <c r="G305" s="415" t="str">
        <f>Attendance!A305</f>
        <v/>
      </c>
      <c r="H305" s="420" t="str">
        <f>IFERROR(__xludf.DUMMYFUNCTION("REGEXREPLACE(F305, ""\d+$"", """")"),"")</f>
        <v/>
      </c>
    </row>
    <row r="306" ht="22.5" customHeight="1">
      <c r="A306" s="417" t="str">
        <f>VLOOKUP(F306, Employees!$A$2:$C957, 3, FALSE)</f>
        <v>#N/A</v>
      </c>
      <c r="B306" s="418">
        <f>100000 / (DAY(EOMONTH(Attendance!A306,0)) - 4)</f>
        <v>3703.703704</v>
      </c>
      <c r="C306" s="417" t="str">
        <f>MAX(0, Attendance!C306 - TIME(9, 0, 0)) * 24 * A306</f>
        <v>#N/A</v>
      </c>
      <c r="D306" s="419" t="str">
        <f>MAX(0, Attendance!D306 - TIME(18, 0, 0)) * 24 * 1.5 * A306</f>
        <v>#N/A</v>
      </c>
      <c r="E306" s="418">
        <f>IF(AND(Attendance!E306&lt;&gt;"Friday", Attendance!C306&lt;&gt;""), B306, 0)</f>
        <v>0</v>
      </c>
      <c r="F306" s="420" t="str">
        <f>Attendance!B306</f>
        <v/>
      </c>
      <c r="G306" s="415" t="str">
        <f>Attendance!A306</f>
        <v/>
      </c>
      <c r="H306" s="420" t="str">
        <f>IFERROR(__xludf.DUMMYFUNCTION("REGEXREPLACE(F306, ""\d+$"", """")"),"")</f>
        <v/>
      </c>
    </row>
    <row r="307" ht="22.5" customHeight="1">
      <c r="A307" s="417" t="str">
        <f>VLOOKUP(F307, Employees!$A$2:$C957, 3, FALSE)</f>
        <v>#N/A</v>
      </c>
      <c r="B307" s="418">
        <f>100000 / (DAY(EOMONTH(Attendance!A307,0)) - 4)</f>
        <v>3703.703704</v>
      </c>
      <c r="C307" s="417" t="str">
        <f>MAX(0, Attendance!C307 - TIME(9, 0, 0)) * 24 * A307</f>
        <v>#N/A</v>
      </c>
      <c r="D307" s="419" t="str">
        <f>MAX(0, Attendance!D307 - TIME(18, 0, 0)) * 24 * 1.5 * A307</f>
        <v>#N/A</v>
      </c>
      <c r="E307" s="418">
        <f>IF(AND(Attendance!E307&lt;&gt;"Friday", Attendance!C307&lt;&gt;""), B307, 0)</f>
        <v>0</v>
      </c>
      <c r="F307" s="420" t="str">
        <f>Attendance!B307</f>
        <v/>
      </c>
      <c r="G307" s="415" t="str">
        <f>Attendance!A307</f>
        <v/>
      </c>
      <c r="H307" s="420" t="str">
        <f>IFERROR(__xludf.DUMMYFUNCTION("REGEXREPLACE(F307, ""\d+$"", """")"),"")</f>
        <v/>
      </c>
    </row>
    <row r="308" ht="22.5" customHeight="1">
      <c r="A308" s="417" t="str">
        <f>VLOOKUP(F308, Employees!$A$2:$C957, 3, FALSE)</f>
        <v>#N/A</v>
      </c>
      <c r="B308" s="418">
        <f>100000 / (DAY(EOMONTH(Attendance!A308,0)) - 4)</f>
        <v>3703.703704</v>
      </c>
      <c r="C308" s="417" t="str">
        <f>MAX(0, Attendance!C308 - TIME(9, 0, 0)) * 24 * A308</f>
        <v>#N/A</v>
      </c>
      <c r="D308" s="419" t="str">
        <f>MAX(0, Attendance!D308 - TIME(18, 0, 0)) * 24 * 1.5 * A308</f>
        <v>#N/A</v>
      </c>
      <c r="E308" s="418">
        <f>IF(AND(Attendance!E308&lt;&gt;"Friday", Attendance!C308&lt;&gt;""), B308, 0)</f>
        <v>0</v>
      </c>
      <c r="F308" s="420" t="str">
        <f>Attendance!B308</f>
        <v/>
      </c>
      <c r="G308" s="415" t="str">
        <f>Attendance!A308</f>
        <v/>
      </c>
      <c r="H308" s="420" t="str">
        <f>IFERROR(__xludf.DUMMYFUNCTION("REGEXREPLACE(F308, ""\d+$"", """")"),"")</f>
        <v/>
      </c>
    </row>
    <row r="309" ht="22.5" customHeight="1">
      <c r="A309" s="417" t="str">
        <f>VLOOKUP(F309, Employees!$A$2:$C957, 3, FALSE)</f>
        <v>#N/A</v>
      </c>
      <c r="B309" s="418">
        <f>100000 / (DAY(EOMONTH(Attendance!A309,0)) - 4)</f>
        <v>3703.703704</v>
      </c>
      <c r="C309" s="417" t="str">
        <f>MAX(0, Attendance!C309 - TIME(9, 0, 0)) * 24 * A309</f>
        <v>#N/A</v>
      </c>
      <c r="D309" s="419" t="str">
        <f>MAX(0, Attendance!D309 - TIME(18, 0, 0)) * 24 * 1.5 * A309</f>
        <v>#N/A</v>
      </c>
      <c r="E309" s="418">
        <f>IF(AND(Attendance!E309&lt;&gt;"Friday", Attendance!C309&lt;&gt;""), B309, 0)</f>
        <v>0</v>
      </c>
      <c r="F309" s="420" t="str">
        <f>Attendance!B309</f>
        <v/>
      </c>
      <c r="G309" s="415" t="str">
        <f>Attendance!A309</f>
        <v/>
      </c>
      <c r="H309" s="420" t="str">
        <f>IFERROR(__xludf.DUMMYFUNCTION("REGEXREPLACE(F309, ""\d+$"", """")"),"")</f>
        <v/>
      </c>
    </row>
    <row r="310" ht="22.5" customHeight="1">
      <c r="A310" s="417" t="str">
        <f>VLOOKUP(F310, Employees!$A$2:$C957, 3, FALSE)</f>
        <v>#N/A</v>
      </c>
      <c r="B310" s="418">
        <f>100000 / (DAY(EOMONTH(Attendance!A310,0)) - 4)</f>
        <v>3703.703704</v>
      </c>
      <c r="C310" s="417" t="str">
        <f>MAX(0, Attendance!C310 - TIME(9, 0, 0)) * 24 * A310</f>
        <v>#N/A</v>
      </c>
      <c r="D310" s="419" t="str">
        <f>MAX(0, Attendance!D310 - TIME(18, 0, 0)) * 24 * 1.5 * A310</f>
        <v>#N/A</v>
      </c>
      <c r="E310" s="418">
        <f>IF(AND(Attendance!E310&lt;&gt;"Friday", Attendance!C310&lt;&gt;""), B310, 0)</f>
        <v>0</v>
      </c>
      <c r="F310" s="420" t="str">
        <f>Attendance!B310</f>
        <v/>
      </c>
      <c r="G310" s="415" t="str">
        <f>Attendance!A310</f>
        <v/>
      </c>
      <c r="H310" s="420" t="str">
        <f>IFERROR(__xludf.DUMMYFUNCTION("REGEXREPLACE(F310, ""\d+$"", """")"),"")</f>
        <v/>
      </c>
    </row>
    <row r="311" ht="22.5" customHeight="1">
      <c r="A311" s="417" t="str">
        <f>VLOOKUP(F311, Employees!$A$2:$C957, 3, FALSE)</f>
        <v>#N/A</v>
      </c>
      <c r="B311" s="418">
        <f>100000 / (DAY(EOMONTH(Attendance!A311,0)) - 4)</f>
        <v>3703.703704</v>
      </c>
      <c r="C311" s="417" t="str">
        <f>MAX(0, Attendance!C311 - TIME(9, 0, 0)) * 24 * A311</f>
        <v>#N/A</v>
      </c>
      <c r="D311" s="419" t="str">
        <f>MAX(0, Attendance!D311 - TIME(18, 0, 0)) * 24 * 1.5 * A311</f>
        <v>#N/A</v>
      </c>
      <c r="E311" s="418">
        <f>IF(AND(Attendance!E311&lt;&gt;"Friday", Attendance!C311&lt;&gt;""), B311, 0)</f>
        <v>0</v>
      </c>
      <c r="F311" s="420" t="str">
        <f>Attendance!B311</f>
        <v/>
      </c>
      <c r="G311" s="415" t="str">
        <f>Attendance!A311</f>
        <v/>
      </c>
      <c r="H311" s="420" t="str">
        <f>IFERROR(__xludf.DUMMYFUNCTION("REGEXREPLACE(F311, ""\d+$"", """")"),"")</f>
        <v/>
      </c>
    </row>
    <row r="312" ht="22.5" customHeight="1">
      <c r="A312" s="417" t="str">
        <f>VLOOKUP(F312, Employees!$A$2:$C957, 3, FALSE)</f>
        <v>#N/A</v>
      </c>
      <c r="B312" s="418">
        <f>100000 / (DAY(EOMONTH(Attendance!A312,0)) - 4)</f>
        <v>3703.703704</v>
      </c>
      <c r="C312" s="417" t="str">
        <f>MAX(0, Attendance!C312 - TIME(9, 0, 0)) * 24 * A312</f>
        <v>#N/A</v>
      </c>
      <c r="D312" s="419" t="str">
        <f>MAX(0, Attendance!D312 - TIME(18, 0, 0)) * 24 * 1.5 * A312</f>
        <v>#N/A</v>
      </c>
      <c r="E312" s="418">
        <f>IF(AND(Attendance!E312&lt;&gt;"Friday", Attendance!C312&lt;&gt;""), B312, 0)</f>
        <v>0</v>
      </c>
      <c r="F312" s="420" t="str">
        <f>Attendance!B312</f>
        <v/>
      </c>
      <c r="G312" s="415" t="str">
        <f>Attendance!A312</f>
        <v/>
      </c>
      <c r="H312" s="420" t="str">
        <f>IFERROR(__xludf.DUMMYFUNCTION("REGEXREPLACE(F312, ""\d+$"", """")"),"")</f>
        <v/>
      </c>
    </row>
    <row r="313" ht="22.5" customHeight="1">
      <c r="A313" s="417" t="str">
        <f>VLOOKUP(F313, Employees!$A$2:$C957, 3, FALSE)</f>
        <v>#N/A</v>
      </c>
      <c r="B313" s="418">
        <f>100000 / (DAY(EOMONTH(Attendance!A313,0)) - 4)</f>
        <v>3703.703704</v>
      </c>
      <c r="C313" s="417" t="str">
        <f>MAX(0, Attendance!C313 - TIME(9, 0, 0)) * 24 * A313</f>
        <v>#N/A</v>
      </c>
      <c r="D313" s="419" t="str">
        <f>MAX(0, Attendance!D313 - TIME(18, 0, 0)) * 24 * 1.5 * A313</f>
        <v>#N/A</v>
      </c>
      <c r="E313" s="418">
        <f>IF(AND(Attendance!E313&lt;&gt;"Friday", Attendance!C313&lt;&gt;""), B313, 0)</f>
        <v>0</v>
      </c>
      <c r="F313" s="420" t="str">
        <f>Attendance!B313</f>
        <v/>
      </c>
      <c r="G313" s="415" t="str">
        <f>Attendance!A313</f>
        <v/>
      </c>
      <c r="H313" s="420" t="str">
        <f>IFERROR(__xludf.DUMMYFUNCTION("REGEXREPLACE(F313, ""\d+$"", """")"),"")</f>
        <v/>
      </c>
    </row>
    <row r="314" ht="22.5" customHeight="1">
      <c r="A314" s="417" t="str">
        <f>VLOOKUP(F314, Employees!$A$2:$C957, 3, FALSE)</f>
        <v>#N/A</v>
      </c>
      <c r="B314" s="418">
        <f>100000 / (DAY(EOMONTH(Attendance!A314,0)) - 4)</f>
        <v>3703.703704</v>
      </c>
      <c r="C314" s="417" t="str">
        <f>MAX(0, Attendance!C314 - TIME(9, 0, 0)) * 24 * A314</f>
        <v>#N/A</v>
      </c>
      <c r="D314" s="419" t="str">
        <f>MAX(0, Attendance!D314 - TIME(18, 0, 0)) * 24 * 1.5 * A314</f>
        <v>#N/A</v>
      </c>
      <c r="E314" s="418">
        <f>IF(AND(Attendance!E314&lt;&gt;"Friday", Attendance!C314&lt;&gt;""), B314, 0)</f>
        <v>0</v>
      </c>
      <c r="F314" s="420" t="str">
        <f>Attendance!B314</f>
        <v/>
      </c>
      <c r="G314" s="415" t="str">
        <f>Attendance!A314</f>
        <v/>
      </c>
      <c r="H314" s="420" t="str">
        <f>IFERROR(__xludf.DUMMYFUNCTION("REGEXREPLACE(F314, ""\d+$"", """")"),"")</f>
        <v/>
      </c>
    </row>
    <row r="315" ht="22.5" customHeight="1">
      <c r="A315" s="417" t="str">
        <f>VLOOKUP(F315, Employees!$A$2:$C957, 3, FALSE)</f>
        <v>#N/A</v>
      </c>
      <c r="B315" s="418">
        <f>100000 / (DAY(EOMONTH(Attendance!A315,0)) - 4)</f>
        <v>3703.703704</v>
      </c>
      <c r="C315" s="417" t="str">
        <f>MAX(0, Attendance!C315 - TIME(9, 0, 0)) * 24 * A315</f>
        <v>#N/A</v>
      </c>
      <c r="D315" s="419" t="str">
        <f>MAX(0, Attendance!D315 - TIME(18, 0, 0)) * 24 * 1.5 * A315</f>
        <v>#N/A</v>
      </c>
      <c r="E315" s="418">
        <f>IF(AND(Attendance!E315&lt;&gt;"Friday", Attendance!C315&lt;&gt;""), B315, 0)</f>
        <v>0</v>
      </c>
      <c r="F315" s="420" t="str">
        <f>Attendance!B315</f>
        <v/>
      </c>
      <c r="G315" s="415" t="str">
        <f>Attendance!A315</f>
        <v/>
      </c>
      <c r="H315" s="420" t="str">
        <f>IFERROR(__xludf.DUMMYFUNCTION("REGEXREPLACE(F315, ""\d+$"", """")"),"")</f>
        <v/>
      </c>
    </row>
    <row r="316" ht="22.5" customHeight="1">
      <c r="A316" s="417" t="str">
        <f>VLOOKUP(F316, Employees!$A$2:$C957, 3, FALSE)</f>
        <v>#N/A</v>
      </c>
      <c r="B316" s="418">
        <f>100000 / (DAY(EOMONTH(Attendance!A316,0)) - 4)</f>
        <v>3703.703704</v>
      </c>
      <c r="C316" s="417" t="str">
        <f>MAX(0, Attendance!C316 - TIME(9, 0, 0)) * 24 * A316</f>
        <v>#N/A</v>
      </c>
      <c r="D316" s="419" t="str">
        <f>MAX(0, Attendance!D316 - TIME(18, 0, 0)) * 24 * 1.5 * A316</f>
        <v>#N/A</v>
      </c>
      <c r="E316" s="418">
        <f>IF(AND(Attendance!E316&lt;&gt;"Friday", Attendance!C316&lt;&gt;""), B316, 0)</f>
        <v>0</v>
      </c>
      <c r="F316" s="420" t="str">
        <f>Attendance!B316</f>
        <v/>
      </c>
      <c r="G316" s="415" t="str">
        <f>Attendance!A316</f>
        <v/>
      </c>
      <c r="H316" s="420" t="str">
        <f>IFERROR(__xludf.DUMMYFUNCTION("REGEXREPLACE(F316, ""\d+$"", """")"),"")</f>
        <v/>
      </c>
    </row>
    <row r="317" ht="22.5" customHeight="1">
      <c r="A317" s="417" t="str">
        <f>VLOOKUP(F317, Employees!$A$2:$C957, 3, FALSE)</f>
        <v>#N/A</v>
      </c>
      <c r="B317" s="418">
        <f>100000 / (DAY(EOMONTH(Attendance!A317,0)) - 4)</f>
        <v>3703.703704</v>
      </c>
      <c r="C317" s="417" t="str">
        <f>MAX(0, Attendance!C317 - TIME(9, 0, 0)) * 24 * A317</f>
        <v>#N/A</v>
      </c>
      <c r="D317" s="419" t="str">
        <f>MAX(0, Attendance!D317 - TIME(18, 0, 0)) * 24 * 1.5 * A317</f>
        <v>#N/A</v>
      </c>
      <c r="E317" s="418">
        <f>IF(AND(Attendance!E317&lt;&gt;"Friday", Attendance!C317&lt;&gt;""), B317, 0)</f>
        <v>0</v>
      </c>
      <c r="F317" s="420" t="str">
        <f>Attendance!B317</f>
        <v/>
      </c>
      <c r="G317" s="415" t="str">
        <f>Attendance!A317</f>
        <v/>
      </c>
      <c r="H317" s="420" t="str">
        <f>IFERROR(__xludf.DUMMYFUNCTION("REGEXREPLACE(F317, ""\d+$"", """")"),"")</f>
        <v/>
      </c>
    </row>
    <row r="318" ht="22.5" customHeight="1">
      <c r="A318" s="417" t="str">
        <f>VLOOKUP(F318, Employees!$A$2:$C957, 3, FALSE)</f>
        <v>#N/A</v>
      </c>
      <c r="B318" s="418">
        <f>100000 / (DAY(EOMONTH(Attendance!A318,0)) - 4)</f>
        <v>3703.703704</v>
      </c>
      <c r="C318" s="417" t="str">
        <f>MAX(0, Attendance!C318 - TIME(9, 0, 0)) * 24 * A318</f>
        <v>#N/A</v>
      </c>
      <c r="D318" s="419" t="str">
        <f>MAX(0, Attendance!D318 - TIME(18, 0, 0)) * 24 * 1.5 * A318</f>
        <v>#N/A</v>
      </c>
      <c r="E318" s="418">
        <f>IF(AND(Attendance!E318&lt;&gt;"Friday", Attendance!C318&lt;&gt;""), B318, 0)</f>
        <v>0</v>
      </c>
      <c r="F318" s="420" t="str">
        <f>Attendance!B318</f>
        <v/>
      </c>
      <c r="G318" s="415" t="str">
        <f>Attendance!A318</f>
        <v/>
      </c>
      <c r="H318" s="420" t="str">
        <f>IFERROR(__xludf.DUMMYFUNCTION("REGEXREPLACE(F318, ""\d+$"", """")"),"")</f>
        <v/>
      </c>
    </row>
    <row r="319" ht="22.5" customHeight="1">
      <c r="A319" s="417" t="str">
        <f>VLOOKUP(F319, Employees!$A$2:$C957, 3, FALSE)</f>
        <v>#N/A</v>
      </c>
      <c r="B319" s="418">
        <f>100000 / (DAY(EOMONTH(Attendance!A319,0)) - 4)</f>
        <v>3703.703704</v>
      </c>
      <c r="C319" s="417" t="str">
        <f>MAX(0, Attendance!C319 - TIME(9, 0, 0)) * 24 * A319</f>
        <v>#N/A</v>
      </c>
      <c r="D319" s="419" t="str">
        <f>MAX(0, Attendance!D319 - TIME(18, 0, 0)) * 24 * 1.5 * A319</f>
        <v>#N/A</v>
      </c>
      <c r="E319" s="418">
        <f>IF(AND(Attendance!E319&lt;&gt;"Friday", Attendance!C319&lt;&gt;""), B319, 0)</f>
        <v>0</v>
      </c>
      <c r="F319" s="420" t="str">
        <f>Attendance!B319</f>
        <v/>
      </c>
      <c r="G319" s="415" t="str">
        <f>Attendance!A319</f>
        <v/>
      </c>
      <c r="H319" s="420" t="str">
        <f>IFERROR(__xludf.DUMMYFUNCTION("REGEXREPLACE(F319, ""\d+$"", """")"),"")</f>
        <v/>
      </c>
    </row>
    <row r="320" ht="22.5" customHeight="1">
      <c r="A320" s="417" t="str">
        <f>VLOOKUP(F320, Employees!$A$2:$C957, 3, FALSE)</f>
        <v>#N/A</v>
      </c>
      <c r="B320" s="418">
        <f>100000 / (DAY(EOMONTH(Attendance!A320,0)) - 4)</f>
        <v>3703.703704</v>
      </c>
      <c r="C320" s="417" t="str">
        <f>MAX(0, Attendance!C320 - TIME(9, 0, 0)) * 24 * A320</f>
        <v>#N/A</v>
      </c>
      <c r="D320" s="419" t="str">
        <f>MAX(0, Attendance!D320 - TIME(18, 0, 0)) * 24 * 1.5 * A320</f>
        <v>#N/A</v>
      </c>
      <c r="E320" s="418">
        <f>IF(AND(Attendance!E320&lt;&gt;"Friday", Attendance!C320&lt;&gt;""), B320, 0)</f>
        <v>0</v>
      </c>
      <c r="F320" s="420" t="str">
        <f>Attendance!B320</f>
        <v/>
      </c>
      <c r="G320" s="415" t="str">
        <f>Attendance!A320</f>
        <v/>
      </c>
      <c r="H320" s="420" t="str">
        <f>IFERROR(__xludf.DUMMYFUNCTION("REGEXREPLACE(F320, ""\d+$"", """")"),"")</f>
        <v/>
      </c>
    </row>
    <row r="321" ht="22.5" customHeight="1">
      <c r="A321" s="417" t="str">
        <f>VLOOKUP(F321, Employees!$A$2:$C957, 3, FALSE)</f>
        <v>#N/A</v>
      </c>
      <c r="B321" s="418">
        <f>100000 / (DAY(EOMONTH(Attendance!A321,0)) - 4)</f>
        <v>3703.703704</v>
      </c>
      <c r="C321" s="417" t="str">
        <f>MAX(0, Attendance!C321 - TIME(9, 0, 0)) * 24 * A321</f>
        <v>#N/A</v>
      </c>
      <c r="D321" s="419" t="str">
        <f>MAX(0, Attendance!D321 - TIME(18, 0, 0)) * 24 * 1.5 * A321</f>
        <v>#N/A</v>
      </c>
      <c r="E321" s="418">
        <f>IF(AND(Attendance!E321&lt;&gt;"Friday", Attendance!C321&lt;&gt;""), B321, 0)</f>
        <v>0</v>
      </c>
      <c r="F321" s="420" t="str">
        <f>Attendance!B321</f>
        <v/>
      </c>
      <c r="G321" s="415" t="str">
        <f>Attendance!A321</f>
        <v/>
      </c>
      <c r="H321" s="420" t="str">
        <f>IFERROR(__xludf.DUMMYFUNCTION("REGEXREPLACE(F321, ""\d+$"", """")"),"")</f>
        <v/>
      </c>
    </row>
    <row r="322" ht="22.5" customHeight="1">
      <c r="A322" s="417" t="str">
        <f>VLOOKUP(F322, Employees!$A$2:$C957, 3, FALSE)</f>
        <v>#N/A</v>
      </c>
      <c r="B322" s="418">
        <f>100000 / (DAY(EOMONTH(Attendance!A322,0)) - 4)</f>
        <v>3703.703704</v>
      </c>
      <c r="C322" s="417" t="str">
        <f>MAX(0, Attendance!C322 - TIME(9, 0, 0)) * 24 * A322</f>
        <v>#N/A</v>
      </c>
      <c r="D322" s="419" t="str">
        <f>MAX(0, Attendance!D322 - TIME(18, 0, 0)) * 24 * 1.5 * A322</f>
        <v>#N/A</v>
      </c>
      <c r="E322" s="418">
        <f>IF(AND(Attendance!E322&lt;&gt;"Friday", Attendance!C322&lt;&gt;""), B322, 0)</f>
        <v>0</v>
      </c>
      <c r="F322" s="420" t="str">
        <f>Attendance!B322</f>
        <v/>
      </c>
      <c r="G322" s="415" t="str">
        <f>Attendance!A322</f>
        <v/>
      </c>
      <c r="H322" s="420" t="str">
        <f>IFERROR(__xludf.DUMMYFUNCTION("REGEXREPLACE(F322, ""\d+$"", """")"),"")</f>
        <v/>
      </c>
    </row>
    <row r="323" ht="22.5" customHeight="1">
      <c r="A323" s="417" t="str">
        <f>VLOOKUP(F323, Employees!$A$2:$C957, 3, FALSE)</f>
        <v>#N/A</v>
      </c>
      <c r="B323" s="418">
        <f>100000 / (DAY(EOMONTH(Attendance!A323,0)) - 4)</f>
        <v>3703.703704</v>
      </c>
      <c r="C323" s="417" t="str">
        <f>MAX(0, Attendance!C323 - TIME(9, 0, 0)) * 24 * A323</f>
        <v>#N/A</v>
      </c>
      <c r="D323" s="419" t="str">
        <f>MAX(0, Attendance!D323 - TIME(18, 0, 0)) * 24 * 1.5 * A323</f>
        <v>#N/A</v>
      </c>
      <c r="E323" s="418">
        <f>IF(AND(Attendance!E323&lt;&gt;"Friday", Attendance!C323&lt;&gt;""), B323, 0)</f>
        <v>0</v>
      </c>
      <c r="F323" s="420" t="str">
        <f>Attendance!B323</f>
        <v/>
      </c>
      <c r="G323" s="415" t="str">
        <f>Attendance!A323</f>
        <v/>
      </c>
      <c r="H323" s="420" t="str">
        <f>IFERROR(__xludf.DUMMYFUNCTION("REGEXREPLACE(F323, ""\d+$"", """")"),"")</f>
        <v/>
      </c>
    </row>
    <row r="324" ht="22.5" customHeight="1">
      <c r="A324" s="417" t="str">
        <f>VLOOKUP(F324, Employees!$A$2:$C957, 3, FALSE)</f>
        <v>#N/A</v>
      </c>
      <c r="B324" s="418">
        <f>100000 / (DAY(EOMONTH(Attendance!A324,0)) - 4)</f>
        <v>3703.703704</v>
      </c>
      <c r="C324" s="417" t="str">
        <f>MAX(0, Attendance!C324 - TIME(9, 0, 0)) * 24 * A324</f>
        <v>#N/A</v>
      </c>
      <c r="D324" s="419" t="str">
        <f>MAX(0, Attendance!D324 - TIME(18, 0, 0)) * 24 * 1.5 * A324</f>
        <v>#N/A</v>
      </c>
      <c r="E324" s="418">
        <f>IF(AND(Attendance!E324&lt;&gt;"Friday", Attendance!C324&lt;&gt;""), B324, 0)</f>
        <v>0</v>
      </c>
      <c r="F324" s="420" t="str">
        <f>Attendance!B324</f>
        <v/>
      </c>
      <c r="G324" s="415" t="str">
        <f>Attendance!A324</f>
        <v/>
      </c>
      <c r="H324" s="420" t="str">
        <f>IFERROR(__xludf.DUMMYFUNCTION("REGEXREPLACE(F324, ""\d+$"", """")"),"")</f>
        <v/>
      </c>
    </row>
    <row r="325" ht="22.5" customHeight="1">
      <c r="A325" s="417" t="str">
        <f>VLOOKUP(F325, Employees!$A$2:$C957, 3, FALSE)</f>
        <v>#N/A</v>
      </c>
      <c r="B325" s="418">
        <f>100000 / (DAY(EOMONTH(Attendance!A325,0)) - 4)</f>
        <v>3703.703704</v>
      </c>
      <c r="C325" s="417" t="str">
        <f>MAX(0, Attendance!C325 - TIME(9, 0, 0)) * 24 * A325</f>
        <v>#N/A</v>
      </c>
      <c r="D325" s="419" t="str">
        <f>MAX(0, Attendance!D325 - TIME(18, 0, 0)) * 24 * 1.5 * A325</f>
        <v>#N/A</v>
      </c>
      <c r="E325" s="418">
        <f>IF(AND(Attendance!E325&lt;&gt;"Friday", Attendance!C325&lt;&gt;""), B325, 0)</f>
        <v>0</v>
      </c>
      <c r="F325" s="420" t="str">
        <f>Attendance!B325</f>
        <v/>
      </c>
      <c r="G325" s="415" t="str">
        <f>Attendance!A325</f>
        <v/>
      </c>
      <c r="H325" s="420" t="str">
        <f>IFERROR(__xludf.DUMMYFUNCTION("REGEXREPLACE(F325, ""\d+$"", """")"),"")</f>
        <v/>
      </c>
    </row>
    <row r="326" ht="22.5" customHeight="1">
      <c r="A326" s="417" t="str">
        <f>VLOOKUP(F326, Employees!$A$2:$C957, 3, FALSE)</f>
        <v>#N/A</v>
      </c>
      <c r="B326" s="418">
        <f>100000 / (DAY(EOMONTH(Attendance!A326,0)) - 4)</f>
        <v>3703.703704</v>
      </c>
      <c r="C326" s="417" t="str">
        <f>MAX(0, Attendance!C326 - TIME(9, 0, 0)) * 24 * A326</f>
        <v>#N/A</v>
      </c>
      <c r="D326" s="419" t="str">
        <f>MAX(0, Attendance!D326 - TIME(18, 0, 0)) * 24 * 1.5 * A326</f>
        <v>#N/A</v>
      </c>
      <c r="E326" s="418">
        <f>IF(AND(Attendance!E326&lt;&gt;"Friday", Attendance!C326&lt;&gt;""), B326, 0)</f>
        <v>0</v>
      </c>
      <c r="F326" s="420" t="str">
        <f>Attendance!B326</f>
        <v/>
      </c>
      <c r="G326" s="415" t="str">
        <f>Attendance!A326</f>
        <v/>
      </c>
      <c r="H326" s="420" t="str">
        <f>IFERROR(__xludf.DUMMYFUNCTION("REGEXREPLACE(F326, ""\d+$"", """")"),"")</f>
        <v/>
      </c>
    </row>
    <row r="327" ht="22.5" customHeight="1">
      <c r="A327" s="417" t="str">
        <f>VLOOKUP(F327, Employees!$A$2:$C957, 3, FALSE)</f>
        <v>#N/A</v>
      </c>
      <c r="B327" s="418">
        <f>100000 / (DAY(EOMONTH(Attendance!A327,0)) - 4)</f>
        <v>3703.703704</v>
      </c>
      <c r="C327" s="417" t="str">
        <f>MAX(0, Attendance!C327 - TIME(9, 0, 0)) * 24 * A327</f>
        <v>#N/A</v>
      </c>
      <c r="D327" s="419" t="str">
        <f>MAX(0, Attendance!D327 - TIME(18, 0, 0)) * 24 * 1.5 * A327</f>
        <v>#N/A</v>
      </c>
      <c r="E327" s="418">
        <f>IF(AND(Attendance!E327&lt;&gt;"Friday", Attendance!C327&lt;&gt;""), B327, 0)</f>
        <v>0</v>
      </c>
      <c r="F327" s="420" t="str">
        <f>Attendance!B327</f>
        <v/>
      </c>
      <c r="G327" s="415" t="str">
        <f>Attendance!A327</f>
        <v/>
      </c>
      <c r="H327" s="420" t="str">
        <f>IFERROR(__xludf.DUMMYFUNCTION("REGEXREPLACE(F327, ""\d+$"", """")"),"")</f>
        <v/>
      </c>
    </row>
    <row r="328" ht="22.5" customHeight="1">
      <c r="A328" s="417" t="str">
        <f>VLOOKUP(F328, Employees!$A$2:$C957, 3, FALSE)</f>
        <v>#N/A</v>
      </c>
      <c r="B328" s="418">
        <f>100000 / (DAY(EOMONTH(Attendance!A328,0)) - 4)</f>
        <v>3703.703704</v>
      </c>
      <c r="C328" s="417" t="str">
        <f>MAX(0, Attendance!C328 - TIME(9, 0, 0)) * 24 * A328</f>
        <v>#N/A</v>
      </c>
      <c r="D328" s="419" t="str">
        <f>MAX(0, Attendance!D328 - TIME(18, 0, 0)) * 24 * 1.5 * A328</f>
        <v>#N/A</v>
      </c>
      <c r="E328" s="418">
        <f>IF(AND(Attendance!E328&lt;&gt;"Friday", Attendance!C328&lt;&gt;""), B328, 0)</f>
        <v>0</v>
      </c>
      <c r="F328" s="420" t="str">
        <f>Attendance!B328</f>
        <v/>
      </c>
      <c r="G328" s="415" t="str">
        <f>Attendance!A328</f>
        <v/>
      </c>
      <c r="H328" s="420" t="str">
        <f>IFERROR(__xludf.DUMMYFUNCTION("REGEXREPLACE(F328, ""\d+$"", """")"),"")</f>
        <v/>
      </c>
    </row>
    <row r="329" ht="22.5" customHeight="1">
      <c r="A329" s="417" t="str">
        <f>VLOOKUP(F329, Employees!$A$2:$C957, 3, FALSE)</f>
        <v>#N/A</v>
      </c>
      <c r="B329" s="418">
        <f>100000 / (DAY(EOMONTH(Attendance!A329,0)) - 4)</f>
        <v>3703.703704</v>
      </c>
      <c r="C329" s="417" t="str">
        <f>MAX(0, Attendance!C329 - TIME(9, 0, 0)) * 24 * A329</f>
        <v>#N/A</v>
      </c>
      <c r="D329" s="419" t="str">
        <f>MAX(0, Attendance!D329 - TIME(18, 0, 0)) * 24 * 1.5 * A329</f>
        <v>#N/A</v>
      </c>
      <c r="E329" s="418">
        <f>IF(AND(Attendance!E329&lt;&gt;"Friday", Attendance!C329&lt;&gt;""), B329, 0)</f>
        <v>0</v>
      </c>
      <c r="F329" s="420" t="str">
        <f>Attendance!B329</f>
        <v/>
      </c>
      <c r="G329" s="415" t="str">
        <f>Attendance!A329</f>
        <v/>
      </c>
      <c r="H329" s="420" t="str">
        <f>IFERROR(__xludf.DUMMYFUNCTION("REGEXREPLACE(F329, ""\d+$"", """")"),"")</f>
        <v/>
      </c>
    </row>
    <row r="330" ht="22.5" customHeight="1">
      <c r="A330" s="417" t="str">
        <f>VLOOKUP(F330, Employees!$A$2:$C957, 3, FALSE)</f>
        <v>#N/A</v>
      </c>
      <c r="B330" s="418">
        <f>100000 / (DAY(EOMONTH(Attendance!A330,0)) - 4)</f>
        <v>3703.703704</v>
      </c>
      <c r="C330" s="417" t="str">
        <f>MAX(0, Attendance!C330 - TIME(9, 0, 0)) * 24 * A330</f>
        <v>#N/A</v>
      </c>
      <c r="D330" s="419" t="str">
        <f>MAX(0, Attendance!D330 - TIME(18, 0, 0)) * 24 * 1.5 * A330</f>
        <v>#N/A</v>
      </c>
      <c r="E330" s="418">
        <f>IF(AND(Attendance!E330&lt;&gt;"Friday", Attendance!C330&lt;&gt;""), B330, 0)</f>
        <v>0</v>
      </c>
      <c r="F330" s="420" t="str">
        <f>Attendance!B330</f>
        <v/>
      </c>
      <c r="G330" s="415" t="str">
        <f>Attendance!A330</f>
        <v/>
      </c>
      <c r="H330" s="420" t="str">
        <f>IFERROR(__xludf.DUMMYFUNCTION("REGEXREPLACE(F330, ""\d+$"", """")"),"")</f>
        <v/>
      </c>
    </row>
    <row r="331" ht="22.5" customHeight="1">
      <c r="A331" s="417" t="str">
        <f>VLOOKUP(F331, Employees!$A$2:$C957, 3, FALSE)</f>
        <v>#N/A</v>
      </c>
      <c r="B331" s="418">
        <f>100000 / (DAY(EOMONTH(Attendance!A331,0)) - 4)</f>
        <v>3703.703704</v>
      </c>
      <c r="C331" s="417" t="str">
        <f>MAX(0, Attendance!C331 - TIME(9, 0, 0)) * 24 * A331</f>
        <v>#N/A</v>
      </c>
      <c r="D331" s="419" t="str">
        <f>MAX(0, Attendance!D331 - TIME(18, 0, 0)) * 24 * 1.5 * A331</f>
        <v>#N/A</v>
      </c>
      <c r="E331" s="418">
        <f>IF(AND(Attendance!E331&lt;&gt;"Friday", Attendance!C331&lt;&gt;""), B331, 0)</f>
        <v>0</v>
      </c>
      <c r="F331" s="420" t="str">
        <f>Attendance!B331</f>
        <v/>
      </c>
      <c r="G331" s="415" t="str">
        <f>Attendance!A331</f>
        <v/>
      </c>
      <c r="H331" s="420" t="str">
        <f>IFERROR(__xludf.DUMMYFUNCTION("REGEXREPLACE(F331, ""\d+$"", """")"),"")</f>
        <v/>
      </c>
    </row>
    <row r="332" ht="22.5" customHeight="1">
      <c r="A332" s="417" t="str">
        <f>VLOOKUP(F332, Employees!$A$2:$C957, 3, FALSE)</f>
        <v>#N/A</v>
      </c>
      <c r="B332" s="418">
        <f>100000 / (DAY(EOMONTH(Attendance!A332,0)) - 4)</f>
        <v>3703.703704</v>
      </c>
      <c r="C332" s="417" t="str">
        <f>MAX(0, Attendance!C332 - TIME(9, 0, 0)) * 24 * A332</f>
        <v>#N/A</v>
      </c>
      <c r="D332" s="419" t="str">
        <f>MAX(0, Attendance!D332 - TIME(18, 0, 0)) * 24 * 1.5 * A332</f>
        <v>#N/A</v>
      </c>
      <c r="E332" s="418">
        <f>IF(AND(Attendance!E332&lt;&gt;"Friday", Attendance!C332&lt;&gt;""), B332, 0)</f>
        <v>0</v>
      </c>
      <c r="F332" s="420" t="str">
        <f>Attendance!B332</f>
        <v/>
      </c>
      <c r="G332" s="415" t="str">
        <f>Attendance!A332</f>
        <v/>
      </c>
      <c r="H332" s="420" t="str">
        <f>IFERROR(__xludf.DUMMYFUNCTION("REGEXREPLACE(F332, ""\d+$"", """")"),"")</f>
        <v/>
      </c>
    </row>
    <row r="333" ht="22.5" customHeight="1">
      <c r="A333" s="417" t="str">
        <f>VLOOKUP(F333, Employees!$A$2:$C957, 3, FALSE)</f>
        <v>#N/A</v>
      </c>
      <c r="B333" s="418">
        <f>100000 / (DAY(EOMONTH(Attendance!A333,0)) - 4)</f>
        <v>3703.703704</v>
      </c>
      <c r="C333" s="417" t="str">
        <f>MAX(0, Attendance!C333 - TIME(9, 0, 0)) * 24 * A333</f>
        <v>#N/A</v>
      </c>
      <c r="D333" s="419" t="str">
        <f>MAX(0, Attendance!D333 - TIME(18, 0, 0)) * 24 * 1.5 * A333</f>
        <v>#N/A</v>
      </c>
      <c r="E333" s="418">
        <f>IF(AND(Attendance!E333&lt;&gt;"Friday", Attendance!C333&lt;&gt;""), B333, 0)</f>
        <v>0</v>
      </c>
      <c r="F333" s="420" t="str">
        <f>Attendance!B333</f>
        <v/>
      </c>
      <c r="G333" s="415" t="str">
        <f>Attendance!A333</f>
        <v/>
      </c>
      <c r="H333" s="420" t="str">
        <f>IFERROR(__xludf.DUMMYFUNCTION("REGEXREPLACE(F333, ""\d+$"", """")"),"")</f>
        <v/>
      </c>
    </row>
    <row r="334" ht="22.5" customHeight="1">
      <c r="A334" s="417" t="str">
        <f>VLOOKUP(F334, Employees!$A$2:$C957, 3, FALSE)</f>
        <v>#N/A</v>
      </c>
      <c r="B334" s="418">
        <f>100000 / (DAY(EOMONTH(Attendance!A334,0)) - 4)</f>
        <v>3703.703704</v>
      </c>
      <c r="C334" s="417" t="str">
        <f>MAX(0, Attendance!C334 - TIME(9, 0, 0)) * 24 * A334</f>
        <v>#N/A</v>
      </c>
      <c r="D334" s="419" t="str">
        <f>MAX(0, Attendance!D334 - TIME(18, 0, 0)) * 24 * 1.5 * A334</f>
        <v>#N/A</v>
      </c>
      <c r="E334" s="418">
        <f>IF(AND(Attendance!E334&lt;&gt;"Friday", Attendance!C334&lt;&gt;""), B334, 0)</f>
        <v>0</v>
      </c>
      <c r="F334" s="420" t="str">
        <f>Attendance!B334</f>
        <v/>
      </c>
      <c r="G334" s="415" t="str">
        <f>Attendance!A334</f>
        <v/>
      </c>
      <c r="H334" s="420" t="str">
        <f>IFERROR(__xludf.DUMMYFUNCTION("REGEXREPLACE(F334, ""\d+$"", """")"),"")</f>
        <v/>
      </c>
    </row>
    <row r="335" ht="22.5" customHeight="1">
      <c r="A335" s="417" t="str">
        <f>VLOOKUP(F335, Employees!$A$2:$C957, 3, FALSE)</f>
        <v>#N/A</v>
      </c>
      <c r="B335" s="418">
        <f>100000 / (DAY(EOMONTH(Attendance!A335,0)) - 4)</f>
        <v>3703.703704</v>
      </c>
      <c r="C335" s="417" t="str">
        <f>MAX(0, Attendance!C335 - TIME(9, 0, 0)) * 24 * A335</f>
        <v>#N/A</v>
      </c>
      <c r="D335" s="419" t="str">
        <f>MAX(0, Attendance!D335 - TIME(18, 0, 0)) * 24 * 1.5 * A335</f>
        <v>#N/A</v>
      </c>
      <c r="E335" s="418">
        <f>IF(AND(Attendance!E335&lt;&gt;"Friday", Attendance!C335&lt;&gt;""), B335, 0)</f>
        <v>0</v>
      </c>
      <c r="F335" s="420" t="str">
        <f>Attendance!B335</f>
        <v/>
      </c>
      <c r="G335" s="415" t="str">
        <f>Attendance!A335</f>
        <v/>
      </c>
      <c r="H335" s="420" t="str">
        <f>IFERROR(__xludf.DUMMYFUNCTION("REGEXREPLACE(F335, ""\d+$"", """")"),"")</f>
        <v/>
      </c>
    </row>
    <row r="336" ht="22.5" customHeight="1">
      <c r="A336" s="417" t="str">
        <f>VLOOKUP(F336, Employees!$A$2:$C957, 3, FALSE)</f>
        <v>#N/A</v>
      </c>
      <c r="B336" s="418">
        <f>100000 / (DAY(EOMONTH(Attendance!A336,0)) - 4)</f>
        <v>3703.703704</v>
      </c>
      <c r="C336" s="417" t="str">
        <f>MAX(0, Attendance!C336 - TIME(9, 0, 0)) * 24 * A336</f>
        <v>#N/A</v>
      </c>
      <c r="D336" s="419" t="str">
        <f>MAX(0, Attendance!D336 - TIME(18, 0, 0)) * 24 * 1.5 * A336</f>
        <v>#N/A</v>
      </c>
      <c r="E336" s="418">
        <f>IF(AND(Attendance!E336&lt;&gt;"Friday", Attendance!C336&lt;&gt;""), B336, 0)</f>
        <v>0</v>
      </c>
      <c r="F336" s="420" t="str">
        <f>Attendance!B336</f>
        <v/>
      </c>
      <c r="G336" s="415" t="str">
        <f>Attendance!A336</f>
        <v/>
      </c>
      <c r="H336" s="420" t="str">
        <f>IFERROR(__xludf.DUMMYFUNCTION("REGEXREPLACE(F336, ""\d+$"", """")"),"")</f>
        <v/>
      </c>
    </row>
    <row r="337" ht="22.5" customHeight="1">
      <c r="A337" s="417" t="str">
        <f>VLOOKUP(F337, Employees!$A$2:$C957, 3, FALSE)</f>
        <v>#N/A</v>
      </c>
      <c r="B337" s="418">
        <f>100000 / (DAY(EOMONTH(Attendance!A337,0)) - 4)</f>
        <v>3703.703704</v>
      </c>
      <c r="C337" s="417" t="str">
        <f>MAX(0, Attendance!C337 - TIME(9, 0, 0)) * 24 * A337</f>
        <v>#N/A</v>
      </c>
      <c r="D337" s="419" t="str">
        <f>MAX(0, Attendance!D337 - TIME(18, 0, 0)) * 24 * 1.5 * A337</f>
        <v>#N/A</v>
      </c>
      <c r="E337" s="418">
        <f>IF(AND(Attendance!E337&lt;&gt;"Friday", Attendance!C337&lt;&gt;""), B337, 0)</f>
        <v>0</v>
      </c>
      <c r="F337" s="420" t="str">
        <f>Attendance!B337</f>
        <v/>
      </c>
      <c r="G337" s="415" t="str">
        <f>Attendance!A337</f>
        <v/>
      </c>
      <c r="H337" s="420" t="str">
        <f>IFERROR(__xludf.DUMMYFUNCTION("REGEXREPLACE(F337, ""\d+$"", """")"),"")</f>
        <v/>
      </c>
    </row>
    <row r="338" ht="22.5" customHeight="1">
      <c r="A338" s="417" t="str">
        <f>VLOOKUP(F338, Employees!$A$2:$C957, 3, FALSE)</f>
        <v>#N/A</v>
      </c>
      <c r="B338" s="418">
        <f>100000 / (DAY(EOMONTH(Attendance!A338,0)) - 4)</f>
        <v>3703.703704</v>
      </c>
      <c r="C338" s="417" t="str">
        <f>MAX(0, Attendance!C338 - TIME(9, 0, 0)) * 24 * A338</f>
        <v>#N/A</v>
      </c>
      <c r="D338" s="419" t="str">
        <f>MAX(0, Attendance!D338 - TIME(18, 0, 0)) * 24 * 1.5 * A338</f>
        <v>#N/A</v>
      </c>
      <c r="E338" s="418">
        <f>IF(AND(Attendance!E338&lt;&gt;"Friday", Attendance!C338&lt;&gt;""), B338, 0)</f>
        <v>0</v>
      </c>
      <c r="F338" s="420" t="str">
        <f>Attendance!B338</f>
        <v/>
      </c>
      <c r="G338" s="415" t="str">
        <f>Attendance!A338</f>
        <v/>
      </c>
      <c r="H338" s="420" t="str">
        <f>IFERROR(__xludf.DUMMYFUNCTION("REGEXREPLACE(F338, ""\d+$"", """")"),"")</f>
        <v/>
      </c>
    </row>
    <row r="339" ht="22.5" customHeight="1">
      <c r="A339" s="417" t="str">
        <f>VLOOKUP(F339, Employees!$A$2:$C957, 3, FALSE)</f>
        <v>#N/A</v>
      </c>
      <c r="B339" s="418">
        <f>100000 / (DAY(EOMONTH(Attendance!A339,0)) - 4)</f>
        <v>3703.703704</v>
      </c>
      <c r="C339" s="417" t="str">
        <f>MAX(0, Attendance!C339 - TIME(9, 0, 0)) * 24 * A339</f>
        <v>#N/A</v>
      </c>
      <c r="D339" s="419" t="str">
        <f>MAX(0, Attendance!D339 - TIME(18, 0, 0)) * 24 * 1.5 * A339</f>
        <v>#N/A</v>
      </c>
      <c r="E339" s="418">
        <f>IF(AND(Attendance!E339&lt;&gt;"Friday", Attendance!C339&lt;&gt;""), B339, 0)</f>
        <v>0</v>
      </c>
      <c r="F339" s="420" t="str">
        <f>Attendance!B339</f>
        <v/>
      </c>
      <c r="G339" s="415" t="str">
        <f>Attendance!A339</f>
        <v/>
      </c>
      <c r="H339" s="420" t="str">
        <f>IFERROR(__xludf.DUMMYFUNCTION("REGEXREPLACE(F339, ""\d+$"", """")"),"")</f>
        <v/>
      </c>
    </row>
    <row r="340" ht="22.5" customHeight="1">
      <c r="A340" s="417" t="str">
        <f>VLOOKUP(F340, Employees!$A$2:$C957, 3, FALSE)</f>
        <v>#N/A</v>
      </c>
      <c r="B340" s="418">
        <f>100000 / (DAY(EOMONTH(Attendance!A340,0)) - 4)</f>
        <v>3703.703704</v>
      </c>
      <c r="C340" s="417" t="str">
        <f>MAX(0, Attendance!C340 - TIME(9, 0, 0)) * 24 * A340</f>
        <v>#N/A</v>
      </c>
      <c r="D340" s="419" t="str">
        <f>MAX(0, Attendance!D340 - TIME(18, 0, 0)) * 24 * 1.5 * A340</f>
        <v>#N/A</v>
      </c>
      <c r="E340" s="418">
        <f>IF(AND(Attendance!E340&lt;&gt;"Friday", Attendance!C340&lt;&gt;""), B340, 0)</f>
        <v>0</v>
      </c>
      <c r="F340" s="420" t="str">
        <f>Attendance!B340</f>
        <v/>
      </c>
      <c r="G340" s="415" t="str">
        <f>Attendance!A340</f>
        <v/>
      </c>
      <c r="H340" s="420" t="str">
        <f>IFERROR(__xludf.DUMMYFUNCTION("REGEXREPLACE(F340, ""\d+$"", """")"),"")</f>
        <v/>
      </c>
    </row>
    <row r="341" ht="22.5" customHeight="1">
      <c r="A341" s="417" t="str">
        <f>VLOOKUP(F341, Employees!$A$2:$C957, 3, FALSE)</f>
        <v>#N/A</v>
      </c>
      <c r="B341" s="418">
        <f>100000 / (DAY(EOMONTH(Attendance!A341,0)) - 4)</f>
        <v>3703.703704</v>
      </c>
      <c r="C341" s="417" t="str">
        <f>MAX(0, Attendance!C341 - TIME(9, 0, 0)) * 24 * A341</f>
        <v>#N/A</v>
      </c>
      <c r="D341" s="419" t="str">
        <f>MAX(0, Attendance!D341 - TIME(18, 0, 0)) * 24 * 1.5 * A341</f>
        <v>#N/A</v>
      </c>
      <c r="E341" s="418">
        <f>IF(AND(Attendance!E341&lt;&gt;"Friday", Attendance!C341&lt;&gt;""), B341, 0)</f>
        <v>0</v>
      </c>
      <c r="F341" s="420" t="str">
        <f>Attendance!B341</f>
        <v/>
      </c>
      <c r="G341" s="415" t="str">
        <f>Attendance!A341</f>
        <v/>
      </c>
      <c r="H341" s="420" t="str">
        <f>IFERROR(__xludf.DUMMYFUNCTION("REGEXREPLACE(F341, ""\d+$"", """")"),"")</f>
        <v/>
      </c>
    </row>
    <row r="342" ht="22.5" customHeight="1">
      <c r="A342" s="417" t="str">
        <f>VLOOKUP(F342, Employees!$A$2:$C957, 3, FALSE)</f>
        <v>#N/A</v>
      </c>
      <c r="B342" s="418">
        <f>100000 / (DAY(EOMONTH(Attendance!A342,0)) - 4)</f>
        <v>3703.703704</v>
      </c>
      <c r="C342" s="417" t="str">
        <f>MAX(0, Attendance!C342 - TIME(9, 0, 0)) * 24 * A342</f>
        <v>#N/A</v>
      </c>
      <c r="D342" s="419" t="str">
        <f>MAX(0, Attendance!D342 - TIME(18, 0, 0)) * 24 * 1.5 * A342</f>
        <v>#N/A</v>
      </c>
      <c r="E342" s="418">
        <f>IF(AND(Attendance!E342&lt;&gt;"Friday", Attendance!C342&lt;&gt;""), B342, 0)</f>
        <v>0</v>
      </c>
      <c r="F342" s="420" t="str">
        <f>Attendance!B342</f>
        <v/>
      </c>
      <c r="G342" s="415" t="str">
        <f>Attendance!A342</f>
        <v/>
      </c>
      <c r="H342" s="420" t="str">
        <f>IFERROR(__xludf.DUMMYFUNCTION("REGEXREPLACE(F342, ""\d+$"", """")"),"")</f>
        <v/>
      </c>
    </row>
    <row r="343" ht="22.5" customHeight="1">
      <c r="A343" s="417" t="str">
        <f>VLOOKUP(F343, Employees!$A$2:$C957, 3, FALSE)</f>
        <v>#N/A</v>
      </c>
      <c r="B343" s="418">
        <f>100000 / (DAY(EOMONTH(Attendance!A343,0)) - 4)</f>
        <v>3703.703704</v>
      </c>
      <c r="C343" s="417" t="str">
        <f>MAX(0, Attendance!C343 - TIME(9, 0, 0)) * 24 * A343</f>
        <v>#N/A</v>
      </c>
      <c r="D343" s="419" t="str">
        <f>MAX(0, Attendance!D343 - TIME(18, 0, 0)) * 24 * 1.5 * A343</f>
        <v>#N/A</v>
      </c>
      <c r="E343" s="418">
        <f>IF(AND(Attendance!E343&lt;&gt;"Friday", Attendance!C343&lt;&gt;""), B343, 0)</f>
        <v>0</v>
      </c>
      <c r="F343" s="420" t="str">
        <f>Attendance!B343</f>
        <v/>
      </c>
      <c r="G343" s="415" t="str">
        <f>Attendance!A343</f>
        <v/>
      </c>
      <c r="H343" s="420" t="str">
        <f>IFERROR(__xludf.DUMMYFUNCTION("REGEXREPLACE(F343, ""\d+$"", """")"),"")</f>
        <v/>
      </c>
    </row>
    <row r="344" ht="22.5" customHeight="1">
      <c r="A344" s="417" t="str">
        <f>VLOOKUP(F344, Employees!$A$2:$C957, 3, FALSE)</f>
        <v>#N/A</v>
      </c>
      <c r="B344" s="418">
        <f>100000 / (DAY(EOMONTH(Attendance!A344,0)) - 4)</f>
        <v>3703.703704</v>
      </c>
      <c r="C344" s="417" t="str">
        <f>MAX(0, Attendance!C344 - TIME(9, 0, 0)) * 24 * A344</f>
        <v>#N/A</v>
      </c>
      <c r="D344" s="419" t="str">
        <f>MAX(0, Attendance!D344 - TIME(18, 0, 0)) * 24 * 1.5 * A344</f>
        <v>#N/A</v>
      </c>
      <c r="E344" s="418">
        <f>IF(AND(Attendance!E344&lt;&gt;"Friday", Attendance!C344&lt;&gt;""), B344, 0)</f>
        <v>0</v>
      </c>
      <c r="F344" s="420" t="str">
        <f>Attendance!B344</f>
        <v/>
      </c>
      <c r="G344" s="415" t="str">
        <f>Attendance!A344</f>
        <v/>
      </c>
      <c r="H344" s="420" t="str">
        <f>IFERROR(__xludf.DUMMYFUNCTION("REGEXREPLACE(F344, ""\d+$"", """")"),"")</f>
        <v/>
      </c>
    </row>
    <row r="345" ht="22.5" customHeight="1">
      <c r="A345" s="417" t="str">
        <f>VLOOKUP(F345, Employees!$A$2:$C957, 3, FALSE)</f>
        <v>#N/A</v>
      </c>
      <c r="B345" s="418">
        <f>100000 / (DAY(EOMONTH(Attendance!A345,0)) - 4)</f>
        <v>3703.703704</v>
      </c>
      <c r="C345" s="417" t="str">
        <f>MAX(0, Attendance!C345 - TIME(9, 0, 0)) * 24 * A345</f>
        <v>#N/A</v>
      </c>
      <c r="D345" s="419" t="str">
        <f>MAX(0, Attendance!D345 - TIME(18, 0, 0)) * 24 * 1.5 * A345</f>
        <v>#N/A</v>
      </c>
      <c r="E345" s="418">
        <f>IF(AND(Attendance!E345&lt;&gt;"Friday", Attendance!C345&lt;&gt;""), B345, 0)</f>
        <v>0</v>
      </c>
      <c r="F345" s="420" t="str">
        <f>Attendance!B345</f>
        <v/>
      </c>
      <c r="G345" s="415" t="str">
        <f>Attendance!A345</f>
        <v/>
      </c>
      <c r="H345" s="420" t="str">
        <f>IFERROR(__xludf.DUMMYFUNCTION("REGEXREPLACE(F345, ""\d+$"", """")"),"")</f>
        <v/>
      </c>
    </row>
    <row r="346" ht="22.5" customHeight="1">
      <c r="A346" s="417" t="str">
        <f>VLOOKUP(F346, Employees!$A$2:$C957, 3, FALSE)</f>
        <v>#N/A</v>
      </c>
      <c r="B346" s="418">
        <f>100000 / (DAY(EOMONTH(Attendance!A346,0)) - 4)</f>
        <v>3703.703704</v>
      </c>
      <c r="C346" s="417" t="str">
        <f>MAX(0, Attendance!C346 - TIME(9, 0, 0)) * 24 * A346</f>
        <v>#N/A</v>
      </c>
      <c r="D346" s="419" t="str">
        <f>MAX(0, Attendance!D346 - TIME(18, 0, 0)) * 24 * 1.5 * A346</f>
        <v>#N/A</v>
      </c>
      <c r="E346" s="418">
        <f>IF(AND(Attendance!E346&lt;&gt;"Friday", Attendance!C346&lt;&gt;""), B346, 0)</f>
        <v>0</v>
      </c>
      <c r="F346" s="420" t="str">
        <f>Attendance!B346</f>
        <v/>
      </c>
      <c r="G346" s="415" t="str">
        <f>Attendance!A346</f>
        <v/>
      </c>
      <c r="H346" s="420" t="str">
        <f>IFERROR(__xludf.DUMMYFUNCTION("REGEXREPLACE(F346, ""\d+$"", """")"),"")</f>
        <v/>
      </c>
    </row>
    <row r="347" ht="22.5" customHeight="1">
      <c r="A347" s="417" t="str">
        <f>VLOOKUP(F347, Employees!$A$2:$C957, 3, FALSE)</f>
        <v>#N/A</v>
      </c>
      <c r="B347" s="418">
        <f>100000 / (DAY(EOMONTH(Attendance!A347,0)) - 4)</f>
        <v>3703.703704</v>
      </c>
      <c r="C347" s="417" t="str">
        <f>MAX(0, Attendance!C347 - TIME(9, 0, 0)) * 24 * A347</f>
        <v>#N/A</v>
      </c>
      <c r="D347" s="419" t="str">
        <f>MAX(0, Attendance!D347 - TIME(18, 0, 0)) * 24 * 1.5 * A347</f>
        <v>#N/A</v>
      </c>
      <c r="E347" s="418">
        <f>IF(AND(Attendance!E347&lt;&gt;"Friday", Attendance!C347&lt;&gt;""), B347, 0)</f>
        <v>0</v>
      </c>
      <c r="F347" s="420" t="str">
        <f>Attendance!B347</f>
        <v/>
      </c>
      <c r="G347" s="415" t="str">
        <f>Attendance!A347</f>
        <v/>
      </c>
      <c r="H347" s="420" t="str">
        <f>IFERROR(__xludf.DUMMYFUNCTION("REGEXREPLACE(F347, ""\d+$"", """")"),"")</f>
        <v/>
      </c>
    </row>
    <row r="348" ht="22.5" customHeight="1">
      <c r="A348" s="417" t="str">
        <f>VLOOKUP(F348, Employees!$A$2:$C957, 3, FALSE)</f>
        <v>#N/A</v>
      </c>
      <c r="B348" s="418">
        <f>100000 / (DAY(EOMONTH(Attendance!A348,0)) - 4)</f>
        <v>3703.703704</v>
      </c>
      <c r="C348" s="417" t="str">
        <f>MAX(0, Attendance!C348 - TIME(9, 0, 0)) * 24 * A348</f>
        <v>#N/A</v>
      </c>
      <c r="D348" s="419" t="str">
        <f>MAX(0, Attendance!D348 - TIME(18, 0, 0)) * 24 * 1.5 * A348</f>
        <v>#N/A</v>
      </c>
      <c r="E348" s="418">
        <f>IF(AND(Attendance!E348&lt;&gt;"Friday", Attendance!C348&lt;&gt;""), B348, 0)</f>
        <v>0</v>
      </c>
      <c r="F348" s="420" t="str">
        <f>Attendance!B348</f>
        <v/>
      </c>
      <c r="G348" s="415" t="str">
        <f>Attendance!A348</f>
        <v/>
      </c>
      <c r="H348" s="420" t="str">
        <f>IFERROR(__xludf.DUMMYFUNCTION("REGEXREPLACE(F348, ""\d+$"", """")"),"")</f>
        <v/>
      </c>
    </row>
    <row r="349" ht="22.5" customHeight="1">
      <c r="A349" s="417" t="str">
        <f>VLOOKUP(F349, Employees!$A$2:$C957, 3, FALSE)</f>
        <v>#N/A</v>
      </c>
      <c r="B349" s="418">
        <f>100000 / (DAY(EOMONTH(Attendance!A349,0)) - 4)</f>
        <v>3703.703704</v>
      </c>
      <c r="C349" s="417" t="str">
        <f>MAX(0, Attendance!C349 - TIME(9, 0, 0)) * 24 * A349</f>
        <v>#N/A</v>
      </c>
      <c r="D349" s="419" t="str">
        <f>MAX(0, Attendance!D349 - TIME(18, 0, 0)) * 24 * 1.5 * A349</f>
        <v>#N/A</v>
      </c>
      <c r="E349" s="418">
        <f>IF(AND(Attendance!E349&lt;&gt;"Friday", Attendance!C349&lt;&gt;""), B349, 0)</f>
        <v>0</v>
      </c>
      <c r="F349" s="420" t="str">
        <f>Attendance!B349</f>
        <v/>
      </c>
      <c r="G349" s="415" t="str">
        <f>Attendance!A349</f>
        <v/>
      </c>
      <c r="H349" s="420" t="str">
        <f>IFERROR(__xludf.DUMMYFUNCTION("REGEXREPLACE(F349, ""\d+$"", """")"),"")</f>
        <v/>
      </c>
    </row>
    <row r="350" ht="22.5" customHeight="1">
      <c r="A350" s="417" t="str">
        <f>VLOOKUP(F350, Employees!$A$2:$C957, 3, FALSE)</f>
        <v>#N/A</v>
      </c>
      <c r="B350" s="418">
        <f>100000 / (DAY(EOMONTH(Attendance!A350,0)) - 4)</f>
        <v>3703.703704</v>
      </c>
      <c r="C350" s="417" t="str">
        <f>MAX(0, Attendance!C350 - TIME(9, 0, 0)) * 24 * A350</f>
        <v>#N/A</v>
      </c>
      <c r="D350" s="419" t="str">
        <f>MAX(0, Attendance!D350 - TIME(18, 0, 0)) * 24 * 1.5 * A350</f>
        <v>#N/A</v>
      </c>
      <c r="E350" s="418">
        <f>IF(AND(Attendance!E350&lt;&gt;"Friday", Attendance!C350&lt;&gt;""), B350, 0)</f>
        <v>0</v>
      </c>
      <c r="F350" s="420" t="str">
        <f>Attendance!B350</f>
        <v/>
      </c>
      <c r="G350" s="415" t="str">
        <f>Attendance!A350</f>
        <v/>
      </c>
      <c r="H350" s="420" t="str">
        <f>IFERROR(__xludf.DUMMYFUNCTION("REGEXREPLACE(F350, ""\d+$"", """")"),"")</f>
        <v/>
      </c>
    </row>
    <row r="351" ht="22.5" customHeight="1">
      <c r="A351" s="417" t="str">
        <f>VLOOKUP(F351, Employees!$A$2:$C957, 3, FALSE)</f>
        <v>#N/A</v>
      </c>
      <c r="B351" s="418">
        <f>100000 / (DAY(EOMONTH(Attendance!A351,0)) - 4)</f>
        <v>3703.703704</v>
      </c>
      <c r="C351" s="417" t="str">
        <f>MAX(0, Attendance!C351 - TIME(9, 0, 0)) * 24 * A351</f>
        <v>#N/A</v>
      </c>
      <c r="D351" s="419" t="str">
        <f>MAX(0, Attendance!D351 - TIME(18, 0, 0)) * 24 * 1.5 * A351</f>
        <v>#N/A</v>
      </c>
      <c r="E351" s="418">
        <f>IF(AND(Attendance!E351&lt;&gt;"Friday", Attendance!C351&lt;&gt;""), B351, 0)</f>
        <v>0</v>
      </c>
      <c r="F351" s="420" t="str">
        <f>Attendance!B351</f>
        <v/>
      </c>
      <c r="G351" s="415" t="str">
        <f>Attendance!A351</f>
        <v/>
      </c>
      <c r="H351" s="420" t="str">
        <f>IFERROR(__xludf.DUMMYFUNCTION("REGEXREPLACE(F351, ""\d+$"", """")"),"")</f>
        <v/>
      </c>
    </row>
    <row r="352" ht="22.5" customHeight="1">
      <c r="A352" s="417" t="str">
        <f>VLOOKUP(F352, Employees!$A$2:$C957, 3, FALSE)</f>
        <v>#N/A</v>
      </c>
      <c r="B352" s="418">
        <f>100000 / (DAY(EOMONTH(Attendance!A352,0)) - 4)</f>
        <v>3703.703704</v>
      </c>
      <c r="C352" s="417" t="str">
        <f>MAX(0, Attendance!C352 - TIME(9, 0, 0)) * 24 * A352</f>
        <v>#N/A</v>
      </c>
      <c r="D352" s="419" t="str">
        <f>MAX(0, Attendance!D352 - TIME(18, 0, 0)) * 24 * 1.5 * A352</f>
        <v>#N/A</v>
      </c>
      <c r="E352" s="418">
        <f>IF(AND(Attendance!E352&lt;&gt;"Friday", Attendance!C352&lt;&gt;""), B352, 0)</f>
        <v>0</v>
      </c>
      <c r="F352" s="420" t="str">
        <f>Attendance!B352</f>
        <v/>
      </c>
      <c r="G352" s="415" t="str">
        <f>Attendance!A352</f>
        <v/>
      </c>
      <c r="H352" s="420" t="str">
        <f>IFERROR(__xludf.DUMMYFUNCTION("REGEXREPLACE(F352, ""\d+$"", """")"),"")</f>
        <v/>
      </c>
    </row>
    <row r="353" ht="22.5" customHeight="1">
      <c r="A353" s="417" t="str">
        <f>VLOOKUP(F353, Employees!$A$2:$C957, 3, FALSE)</f>
        <v>#N/A</v>
      </c>
      <c r="B353" s="418">
        <f>100000 / (DAY(EOMONTH(Attendance!A353,0)) - 4)</f>
        <v>3703.703704</v>
      </c>
      <c r="C353" s="417" t="str">
        <f>MAX(0, Attendance!C353 - TIME(9, 0, 0)) * 24 * A353</f>
        <v>#N/A</v>
      </c>
      <c r="D353" s="419" t="str">
        <f>MAX(0, Attendance!D353 - TIME(18, 0, 0)) * 24 * 1.5 * A353</f>
        <v>#N/A</v>
      </c>
      <c r="E353" s="418">
        <f>IF(AND(Attendance!E353&lt;&gt;"Friday", Attendance!C353&lt;&gt;""), B353, 0)</f>
        <v>0</v>
      </c>
      <c r="F353" s="420" t="str">
        <f>Attendance!B353</f>
        <v/>
      </c>
      <c r="G353" s="415" t="str">
        <f>Attendance!A353</f>
        <v/>
      </c>
      <c r="H353" s="420" t="str">
        <f>IFERROR(__xludf.DUMMYFUNCTION("REGEXREPLACE(F353, ""\d+$"", """")"),"")</f>
        <v/>
      </c>
    </row>
    <row r="354" ht="22.5" customHeight="1">
      <c r="A354" s="417" t="str">
        <f>VLOOKUP(F354, Employees!$A$2:$C957, 3, FALSE)</f>
        <v>#N/A</v>
      </c>
      <c r="B354" s="418">
        <f>100000 / (DAY(EOMONTH(Attendance!A354,0)) - 4)</f>
        <v>3703.703704</v>
      </c>
      <c r="C354" s="417" t="str">
        <f>MAX(0, Attendance!C354 - TIME(9, 0, 0)) * 24 * A354</f>
        <v>#N/A</v>
      </c>
      <c r="D354" s="419" t="str">
        <f>MAX(0, Attendance!D354 - TIME(18, 0, 0)) * 24 * 1.5 * A354</f>
        <v>#N/A</v>
      </c>
      <c r="E354" s="418">
        <f>IF(AND(Attendance!E354&lt;&gt;"Friday", Attendance!C354&lt;&gt;""), B354, 0)</f>
        <v>0</v>
      </c>
      <c r="F354" s="420" t="str">
        <f>Attendance!B354</f>
        <v/>
      </c>
      <c r="G354" s="415" t="str">
        <f>Attendance!A354</f>
        <v/>
      </c>
      <c r="H354" s="420" t="str">
        <f>IFERROR(__xludf.DUMMYFUNCTION("REGEXREPLACE(F354, ""\d+$"", """")"),"")</f>
        <v/>
      </c>
    </row>
    <row r="355" ht="22.5" customHeight="1">
      <c r="A355" s="417" t="str">
        <f>VLOOKUP(F355, Employees!$A$2:$C957, 3, FALSE)</f>
        <v>#N/A</v>
      </c>
      <c r="B355" s="418">
        <f>100000 / (DAY(EOMONTH(Attendance!A355,0)) - 4)</f>
        <v>3703.703704</v>
      </c>
      <c r="C355" s="417" t="str">
        <f>MAX(0, Attendance!C355 - TIME(9, 0, 0)) * 24 * A355</f>
        <v>#N/A</v>
      </c>
      <c r="D355" s="419" t="str">
        <f>MAX(0, Attendance!D355 - TIME(18, 0, 0)) * 24 * 1.5 * A355</f>
        <v>#N/A</v>
      </c>
      <c r="E355" s="418">
        <f>IF(AND(Attendance!E355&lt;&gt;"Friday", Attendance!C355&lt;&gt;""), B355, 0)</f>
        <v>0</v>
      </c>
      <c r="F355" s="420" t="str">
        <f>Attendance!B355</f>
        <v/>
      </c>
      <c r="G355" s="415" t="str">
        <f>Attendance!A355</f>
        <v/>
      </c>
      <c r="H355" s="420" t="str">
        <f>IFERROR(__xludf.DUMMYFUNCTION("REGEXREPLACE(F355, ""\d+$"", """")"),"")</f>
        <v/>
      </c>
    </row>
    <row r="356" ht="22.5" customHeight="1">
      <c r="A356" s="417" t="str">
        <f>VLOOKUP(F356, Employees!$A$2:$C957, 3, FALSE)</f>
        <v>#N/A</v>
      </c>
      <c r="B356" s="418">
        <f>100000 / (DAY(EOMONTH(Attendance!A356,0)) - 4)</f>
        <v>3703.703704</v>
      </c>
      <c r="C356" s="417" t="str">
        <f>MAX(0, Attendance!C356 - TIME(9, 0, 0)) * 24 * A356</f>
        <v>#N/A</v>
      </c>
      <c r="D356" s="419" t="str">
        <f>MAX(0, Attendance!D356 - TIME(18, 0, 0)) * 24 * 1.5 * A356</f>
        <v>#N/A</v>
      </c>
      <c r="E356" s="418">
        <f>IF(AND(Attendance!E356&lt;&gt;"Friday", Attendance!C356&lt;&gt;""), B356, 0)</f>
        <v>0</v>
      </c>
      <c r="F356" s="420" t="str">
        <f>Attendance!B356</f>
        <v/>
      </c>
      <c r="G356" s="415" t="str">
        <f>Attendance!A356</f>
        <v/>
      </c>
      <c r="H356" s="420" t="str">
        <f>IFERROR(__xludf.DUMMYFUNCTION("REGEXREPLACE(F356, ""\d+$"", """")"),"")</f>
        <v/>
      </c>
    </row>
    <row r="357" ht="22.5" customHeight="1">
      <c r="A357" s="417" t="str">
        <f>VLOOKUP(F357, Employees!$A$2:$C957, 3, FALSE)</f>
        <v>#N/A</v>
      </c>
      <c r="B357" s="418">
        <f>100000 / (DAY(EOMONTH(Attendance!A357,0)) - 4)</f>
        <v>3703.703704</v>
      </c>
      <c r="C357" s="417" t="str">
        <f>MAX(0, Attendance!C357 - TIME(9, 0, 0)) * 24 * A357</f>
        <v>#N/A</v>
      </c>
      <c r="D357" s="419" t="str">
        <f>MAX(0, Attendance!D357 - TIME(18, 0, 0)) * 24 * 1.5 * A357</f>
        <v>#N/A</v>
      </c>
      <c r="E357" s="418">
        <f>IF(AND(Attendance!E357&lt;&gt;"Friday", Attendance!C357&lt;&gt;""), B357, 0)</f>
        <v>0</v>
      </c>
      <c r="F357" s="420" t="str">
        <f>Attendance!B357</f>
        <v/>
      </c>
      <c r="G357" s="415" t="str">
        <f>Attendance!A357</f>
        <v/>
      </c>
      <c r="H357" s="420" t="str">
        <f>IFERROR(__xludf.DUMMYFUNCTION("REGEXREPLACE(F357, ""\d+$"", """")"),"")</f>
        <v/>
      </c>
    </row>
    <row r="358" ht="22.5" customHeight="1">
      <c r="A358" s="417" t="str">
        <f>VLOOKUP(F358, Employees!$A$2:$C957, 3, FALSE)</f>
        <v>#N/A</v>
      </c>
      <c r="B358" s="418">
        <f>100000 / (DAY(EOMONTH(Attendance!A358,0)) - 4)</f>
        <v>3703.703704</v>
      </c>
      <c r="C358" s="417" t="str">
        <f>MAX(0, Attendance!C358 - TIME(9, 0, 0)) * 24 * A358</f>
        <v>#N/A</v>
      </c>
      <c r="D358" s="419" t="str">
        <f>MAX(0, Attendance!D358 - TIME(18, 0, 0)) * 24 * 1.5 * A358</f>
        <v>#N/A</v>
      </c>
      <c r="E358" s="418">
        <f>IF(AND(Attendance!E358&lt;&gt;"Friday", Attendance!C358&lt;&gt;""), B358, 0)</f>
        <v>0</v>
      </c>
      <c r="F358" s="420" t="str">
        <f>Attendance!B358</f>
        <v/>
      </c>
      <c r="G358" s="415" t="str">
        <f>Attendance!A358</f>
        <v/>
      </c>
      <c r="H358" s="420" t="str">
        <f>IFERROR(__xludf.DUMMYFUNCTION("REGEXREPLACE(F358, ""\d+$"", """")"),"")</f>
        <v/>
      </c>
    </row>
    <row r="359" ht="22.5" customHeight="1">
      <c r="A359" s="417" t="str">
        <f>VLOOKUP(F359, Employees!$A$2:$C957, 3, FALSE)</f>
        <v>#N/A</v>
      </c>
      <c r="B359" s="418">
        <f>100000 / (DAY(EOMONTH(Attendance!A359,0)) - 4)</f>
        <v>3703.703704</v>
      </c>
      <c r="C359" s="417" t="str">
        <f>MAX(0, Attendance!C359 - TIME(9, 0, 0)) * 24 * A359</f>
        <v>#N/A</v>
      </c>
      <c r="D359" s="419" t="str">
        <f>MAX(0, Attendance!D359 - TIME(18, 0, 0)) * 24 * 1.5 * A359</f>
        <v>#N/A</v>
      </c>
      <c r="E359" s="418">
        <f>IF(AND(Attendance!E359&lt;&gt;"Friday", Attendance!C359&lt;&gt;""), B359, 0)</f>
        <v>0</v>
      </c>
      <c r="F359" s="420" t="str">
        <f>Attendance!B359</f>
        <v/>
      </c>
      <c r="G359" s="415" t="str">
        <f>Attendance!A359</f>
        <v/>
      </c>
      <c r="H359" s="420" t="str">
        <f>IFERROR(__xludf.DUMMYFUNCTION("REGEXREPLACE(F359, ""\d+$"", """")"),"")</f>
        <v/>
      </c>
    </row>
    <row r="360" ht="22.5" customHeight="1">
      <c r="A360" s="417" t="str">
        <f>VLOOKUP(F360, Employees!$A$2:$C957, 3, FALSE)</f>
        <v>#N/A</v>
      </c>
      <c r="B360" s="418">
        <f>100000 / (DAY(EOMONTH(Attendance!A360,0)) - 4)</f>
        <v>3703.703704</v>
      </c>
      <c r="C360" s="417" t="str">
        <f>MAX(0, Attendance!C360 - TIME(9, 0, 0)) * 24 * A360</f>
        <v>#N/A</v>
      </c>
      <c r="D360" s="419" t="str">
        <f>MAX(0, Attendance!D360 - TIME(18, 0, 0)) * 24 * 1.5 * A360</f>
        <v>#N/A</v>
      </c>
      <c r="E360" s="418">
        <f>IF(AND(Attendance!E360&lt;&gt;"Friday", Attendance!C360&lt;&gt;""), B360, 0)</f>
        <v>0</v>
      </c>
      <c r="F360" s="420" t="str">
        <f>Attendance!B360</f>
        <v/>
      </c>
      <c r="G360" s="415" t="str">
        <f>Attendance!A360</f>
        <v/>
      </c>
      <c r="H360" s="420" t="str">
        <f>IFERROR(__xludf.DUMMYFUNCTION("REGEXREPLACE(F360, ""\d+$"", """")"),"")</f>
        <v/>
      </c>
    </row>
    <row r="361" ht="22.5" customHeight="1">
      <c r="A361" s="417" t="str">
        <f>VLOOKUP(F361, Employees!$A$2:$C957, 3, FALSE)</f>
        <v>#N/A</v>
      </c>
      <c r="B361" s="418">
        <f>100000 / (DAY(EOMONTH(Attendance!A361,0)) - 4)</f>
        <v>3703.703704</v>
      </c>
      <c r="C361" s="417" t="str">
        <f>MAX(0, Attendance!C361 - TIME(9, 0, 0)) * 24 * A361</f>
        <v>#N/A</v>
      </c>
      <c r="D361" s="419" t="str">
        <f>MAX(0, Attendance!D361 - TIME(18, 0, 0)) * 24 * 1.5 * A361</f>
        <v>#N/A</v>
      </c>
      <c r="E361" s="418">
        <f>IF(AND(Attendance!E361&lt;&gt;"Friday", Attendance!C361&lt;&gt;""), B361, 0)</f>
        <v>0</v>
      </c>
      <c r="F361" s="420" t="str">
        <f>Attendance!B361</f>
        <v/>
      </c>
      <c r="G361" s="415" t="str">
        <f>Attendance!A361</f>
        <v/>
      </c>
      <c r="H361" s="420" t="str">
        <f>IFERROR(__xludf.DUMMYFUNCTION("REGEXREPLACE(F361, ""\d+$"", """")"),"")</f>
        <v/>
      </c>
    </row>
    <row r="362" ht="22.5" customHeight="1">
      <c r="A362" s="417" t="str">
        <f>VLOOKUP(F362, Employees!$A$2:$C957, 3, FALSE)</f>
        <v>#N/A</v>
      </c>
      <c r="B362" s="418">
        <f>100000 / (DAY(EOMONTH(Attendance!A362,0)) - 4)</f>
        <v>3703.703704</v>
      </c>
      <c r="C362" s="417" t="str">
        <f>MAX(0, Attendance!C362 - TIME(9, 0, 0)) * 24 * A362</f>
        <v>#N/A</v>
      </c>
      <c r="D362" s="419" t="str">
        <f>MAX(0, Attendance!D362 - TIME(18, 0, 0)) * 24 * 1.5 * A362</f>
        <v>#N/A</v>
      </c>
      <c r="E362" s="418">
        <f>IF(AND(Attendance!E362&lt;&gt;"Friday", Attendance!C362&lt;&gt;""), B362, 0)</f>
        <v>0</v>
      </c>
      <c r="F362" s="420" t="str">
        <f>Attendance!B362</f>
        <v/>
      </c>
      <c r="G362" s="415" t="str">
        <f>Attendance!A362</f>
        <v/>
      </c>
      <c r="H362" s="420" t="str">
        <f>IFERROR(__xludf.DUMMYFUNCTION("REGEXREPLACE(F362, ""\d+$"", """")"),"")</f>
        <v/>
      </c>
    </row>
    <row r="363" ht="22.5" customHeight="1">
      <c r="A363" s="417" t="str">
        <f>VLOOKUP(F363, Employees!$A$2:$C957, 3, FALSE)</f>
        <v>#N/A</v>
      </c>
      <c r="B363" s="418">
        <f>100000 / (DAY(EOMONTH(Attendance!A363,0)) - 4)</f>
        <v>3703.703704</v>
      </c>
      <c r="C363" s="417" t="str">
        <f>MAX(0, Attendance!C363 - TIME(9, 0, 0)) * 24 * A363</f>
        <v>#N/A</v>
      </c>
      <c r="D363" s="419" t="str">
        <f>MAX(0, Attendance!D363 - TIME(18, 0, 0)) * 24 * 1.5 * A363</f>
        <v>#N/A</v>
      </c>
      <c r="E363" s="418">
        <f>IF(AND(Attendance!E363&lt;&gt;"Friday", Attendance!C363&lt;&gt;""), B363, 0)</f>
        <v>0</v>
      </c>
      <c r="F363" s="420" t="str">
        <f>Attendance!B363</f>
        <v/>
      </c>
      <c r="G363" s="415" t="str">
        <f>Attendance!A363</f>
        <v/>
      </c>
      <c r="H363" s="420" t="str">
        <f>IFERROR(__xludf.DUMMYFUNCTION("REGEXREPLACE(F363, ""\d+$"", """")"),"")</f>
        <v/>
      </c>
    </row>
    <row r="364" ht="22.5" customHeight="1">
      <c r="A364" s="417" t="str">
        <f>VLOOKUP(F364, Employees!$A$2:$C957, 3, FALSE)</f>
        <v>#N/A</v>
      </c>
      <c r="B364" s="418">
        <f>100000 / (DAY(EOMONTH(Attendance!A364,0)) - 4)</f>
        <v>3703.703704</v>
      </c>
      <c r="C364" s="417" t="str">
        <f>MAX(0, Attendance!C364 - TIME(9, 0, 0)) * 24 * A364</f>
        <v>#N/A</v>
      </c>
      <c r="D364" s="419" t="str">
        <f>MAX(0, Attendance!D364 - TIME(18, 0, 0)) * 24 * 1.5 * A364</f>
        <v>#N/A</v>
      </c>
      <c r="E364" s="418">
        <f>IF(AND(Attendance!E364&lt;&gt;"Friday", Attendance!C364&lt;&gt;""), B364, 0)</f>
        <v>0</v>
      </c>
      <c r="F364" s="420" t="str">
        <f>Attendance!B364</f>
        <v/>
      </c>
      <c r="G364" s="415" t="str">
        <f>Attendance!A364</f>
        <v/>
      </c>
      <c r="H364" s="420" t="str">
        <f>IFERROR(__xludf.DUMMYFUNCTION("REGEXREPLACE(F364, ""\d+$"", """")"),"")</f>
        <v/>
      </c>
    </row>
    <row r="365" ht="22.5" customHeight="1">
      <c r="A365" s="417" t="str">
        <f>VLOOKUP(F365, Employees!$A$2:$C957, 3, FALSE)</f>
        <v>#N/A</v>
      </c>
      <c r="B365" s="418">
        <f>100000 / (DAY(EOMONTH(Attendance!A365,0)) - 4)</f>
        <v>3703.703704</v>
      </c>
      <c r="C365" s="417" t="str">
        <f>MAX(0, Attendance!C365 - TIME(9, 0, 0)) * 24 * A365</f>
        <v>#N/A</v>
      </c>
      <c r="D365" s="419" t="str">
        <f>MAX(0, Attendance!D365 - TIME(18, 0, 0)) * 24 * 1.5 * A365</f>
        <v>#N/A</v>
      </c>
      <c r="E365" s="418">
        <f>IF(AND(Attendance!E365&lt;&gt;"Friday", Attendance!C365&lt;&gt;""), B365, 0)</f>
        <v>0</v>
      </c>
      <c r="F365" s="420" t="str">
        <f>Attendance!B365</f>
        <v/>
      </c>
      <c r="G365" s="415" t="str">
        <f>Attendance!A365</f>
        <v/>
      </c>
      <c r="H365" s="420" t="str">
        <f>IFERROR(__xludf.DUMMYFUNCTION("REGEXREPLACE(F365, ""\d+$"", """")"),"")</f>
        <v/>
      </c>
    </row>
    <row r="366" ht="22.5" customHeight="1">
      <c r="A366" s="417" t="str">
        <f>VLOOKUP(F366, Employees!$A$2:$C957, 3, FALSE)</f>
        <v>#N/A</v>
      </c>
      <c r="B366" s="418">
        <f>100000 / (DAY(EOMONTH(Attendance!A366,0)) - 4)</f>
        <v>3703.703704</v>
      </c>
      <c r="C366" s="417" t="str">
        <f>MAX(0, Attendance!C366 - TIME(9, 0, 0)) * 24 * A366</f>
        <v>#N/A</v>
      </c>
      <c r="D366" s="419" t="str">
        <f>MAX(0, Attendance!D366 - TIME(18, 0, 0)) * 24 * 1.5 * A366</f>
        <v>#N/A</v>
      </c>
      <c r="E366" s="418">
        <f>IF(AND(Attendance!E366&lt;&gt;"Friday", Attendance!C366&lt;&gt;""), B366, 0)</f>
        <v>0</v>
      </c>
      <c r="F366" s="420" t="str">
        <f>Attendance!B366</f>
        <v/>
      </c>
      <c r="G366" s="415" t="str">
        <f>Attendance!A366</f>
        <v/>
      </c>
      <c r="H366" s="420" t="str">
        <f>IFERROR(__xludf.DUMMYFUNCTION("REGEXREPLACE(F366, ""\d+$"", """")"),"")</f>
        <v/>
      </c>
    </row>
    <row r="367" ht="22.5" customHeight="1">
      <c r="A367" s="417" t="str">
        <f>VLOOKUP(F367, Employees!$A$2:$C957, 3, FALSE)</f>
        <v>#N/A</v>
      </c>
      <c r="B367" s="418">
        <f>100000 / (DAY(EOMONTH(Attendance!A367,0)) - 4)</f>
        <v>3703.703704</v>
      </c>
      <c r="C367" s="417" t="str">
        <f>MAX(0, Attendance!C367 - TIME(9, 0, 0)) * 24 * A367</f>
        <v>#N/A</v>
      </c>
      <c r="D367" s="419" t="str">
        <f>MAX(0, Attendance!D367 - TIME(18, 0, 0)) * 24 * 1.5 * A367</f>
        <v>#N/A</v>
      </c>
      <c r="E367" s="418">
        <f>IF(AND(Attendance!E367&lt;&gt;"Friday", Attendance!C367&lt;&gt;""), B367, 0)</f>
        <v>0</v>
      </c>
      <c r="F367" s="420" t="str">
        <f>Attendance!B367</f>
        <v/>
      </c>
      <c r="G367" s="415" t="str">
        <f>Attendance!A367</f>
        <v/>
      </c>
      <c r="H367" s="420" t="str">
        <f>IFERROR(__xludf.DUMMYFUNCTION("REGEXREPLACE(F367, ""\d+$"", """")"),"")</f>
        <v/>
      </c>
    </row>
    <row r="368" ht="22.5" customHeight="1">
      <c r="A368" s="417" t="str">
        <f>VLOOKUP(F368, Employees!$A$2:$C957, 3, FALSE)</f>
        <v>#N/A</v>
      </c>
      <c r="B368" s="418">
        <f>100000 / (DAY(EOMONTH(Attendance!A368,0)) - 4)</f>
        <v>3703.703704</v>
      </c>
      <c r="C368" s="417" t="str">
        <f>MAX(0, Attendance!C368 - TIME(9, 0, 0)) * 24 * A368</f>
        <v>#N/A</v>
      </c>
      <c r="D368" s="419" t="str">
        <f>MAX(0, Attendance!D368 - TIME(18, 0, 0)) * 24 * 1.5 * A368</f>
        <v>#N/A</v>
      </c>
      <c r="E368" s="418">
        <f>IF(AND(Attendance!E368&lt;&gt;"Friday", Attendance!C368&lt;&gt;""), B368, 0)</f>
        <v>0</v>
      </c>
      <c r="F368" s="420" t="str">
        <f>Attendance!B368</f>
        <v/>
      </c>
      <c r="G368" s="415" t="str">
        <f>Attendance!A368</f>
        <v/>
      </c>
      <c r="H368" s="420" t="str">
        <f>IFERROR(__xludf.DUMMYFUNCTION("REGEXREPLACE(F368, ""\d+$"", """")"),"")</f>
        <v/>
      </c>
    </row>
    <row r="369" ht="22.5" customHeight="1">
      <c r="A369" s="417" t="str">
        <f>VLOOKUP(F369, Employees!$A$2:$C957, 3, FALSE)</f>
        <v>#N/A</v>
      </c>
      <c r="B369" s="418">
        <f>100000 / (DAY(EOMONTH(Attendance!A369,0)) - 4)</f>
        <v>3703.703704</v>
      </c>
      <c r="C369" s="417" t="str">
        <f>MAX(0, Attendance!C369 - TIME(9, 0, 0)) * 24 * A369</f>
        <v>#N/A</v>
      </c>
      <c r="D369" s="419" t="str">
        <f>MAX(0, Attendance!D369 - TIME(18, 0, 0)) * 24 * 1.5 * A369</f>
        <v>#N/A</v>
      </c>
      <c r="E369" s="418">
        <f>IF(AND(Attendance!E369&lt;&gt;"Friday", Attendance!C369&lt;&gt;""), B369, 0)</f>
        <v>0</v>
      </c>
      <c r="F369" s="420" t="str">
        <f>Attendance!B369</f>
        <v/>
      </c>
      <c r="G369" s="415" t="str">
        <f>Attendance!A369</f>
        <v/>
      </c>
      <c r="H369" s="420" t="str">
        <f>IFERROR(__xludf.DUMMYFUNCTION("REGEXREPLACE(F369, ""\d+$"", """")"),"")</f>
        <v/>
      </c>
    </row>
    <row r="370" ht="22.5" customHeight="1">
      <c r="A370" s="417" t="str">
        <f>VLOOKUP(F370, Employees!$A$2:$C957, 3, FALSE)</f>
        <v>#N/A</v>
      </c>
      <c r="B370" s="418">
        <f>100000 / (DAY(EOMONTH(Attendance!A370,0)) - 4)</f>
        <v>3703.703704</v>
      </c>
      <c r="C370" s="417" t="str">
        <f>MAX(0, Attendance!C370 - TIME(9, 0, 0)) * 24 * A370</f>
        <v>#N/A</v>
      </c>
      <c r="D370" s="419" t="str">
        <f>MAX(0, Attendance!D370 - TIME(18, 0, 0)) * 24 * 1.5 * A370</f>
        <v>#N/A</v>
      </c>
      <c r="E370" s="418">
        <f>IF(AND(Attendance!E370&lt;&gt;"Friday", Attendance!C370&lt;&gt;""), B370, 0)</f>
        <v>0</v>
      </c>
      <c r="F370" s="420" t="str">
        <f>Attendance!B370</f>
        <v/>
      </c>
      <c r="G370" s="415" t="str">
        <f>Attendance!A370</f>
        <v/>
      </c>
      <c r="H370" s="420" t="str">
        <f>IFERROR(__xludf.DUMMYFUNCTION("REGEXREPLACE(F370, ""\d+$"", """")"),"")</f>
        <v/>
      </c>
    </row>
    <row r="371" ht="22.5" customHeight="1">
      <c r="A371" s="417" t="str">
        <f>VLOOKUP(F371, Employees!$A$2:$C957, 3, FALSE)</f>
        <v>#N/A</v>
      </c>
      <c r="B371" s="418">
        <f>100000 / (DAY(EOMONTH(Attendance!A371,0)) - 4)</f>
        <v>3703.703704</v>
      </c>
      <c r="C371" s="417" t="str">
        <f>MAX(0, Attendance!C371 - TIME(9, 0, 0)) * 24 * A371</f>
        <v>#N/A</v>
      </c>
      <c r="D371" s="419" t="str">
        <f>MAX(0, Attendance!D371 - TIME(18, 0, 0)) * 24 * 1.5 * A371</f>
        <v>#N/A</v>
      </c>
      <c r="E371" s="418">
        <f>IF(AND(Attendance!E371&lt;&gt;"Friday", Attendance!C371&lt;&gt;""), B371, 0)</f>
        <v>0</v>
      </c>
      <c r="F371" s="420" t="str">
        <f>Attendance!B371</f>
        <v/>
      </c>
      <c r="G371" s="415" t="str">
        <f>Attendance!A371</f>
        <v/>
      </c>
      <c r="H371" s="420" t="str">
        <f>IFERROR(__xludf.DUMMYFUNCTION("REGEXREPLACE(F371, ""\d+$"", """")"),"")</f>
        <v/>
      </c>
    </row>
    <row r="372" ht="22.5" customHeight="1">
      <c r="A372" s="417" t="str">
        <f>VLOOKUP(F372, Employees!$A$2:$C957, 3, FALSE)</f>
        <v>#N/A</v>
      </c>
      <c r="B372" s="418">
        <f>100000 / (DAY(EOMONTH(Attendance!A372,0)) - 4)</f>
        <v>3703.703704</v>
      </c>
      <c r="C372" s="417" t="str">
        <f>MAX(0, Attendance!C372 - TIME(9, 0, 0)) * 24 * A372</f>
        <v>#N/A</v>
      </c>
      <c r="D372" s="419" t="str">
        <f>MAX(0, Attendance!D372 - TIME(18, 0, 0)) * 24 * 1.5 * A372</f>
        <v>#N/A</v>
      </c>
      <c r="E372" s="418">
        <f>IF(AND(Attendance!E372&lt;&gt;"Friday", Attendance!C372&lt;&gt;""), B372, 0)</f>
        <v>0</v>
      </c>
      <c r="F372" s="420" t="str">
        <f>Attendance!B372</f>
        <v/>
      </c>
      <c r="G372" s="415" t="str">
        <f>Attendance!A372</f>
        <v/>
      </c>
      <c r="H372" s="420" t="str">
        <f>IFERROR(__xludf.DUMMYFUNCTION("REGEXREPLACE(F372, ""\d+$"", """")"),"")</f>
        <v/>
      </c>
    </row>
    <row r="373" ht="22.5" customHeight="1">
      <c r="A373" s="417" t="str">
        <f>VLOOKUP(F373, Employees!$A$2:$C957, 3, FALSE)</f>
        <v>#N/A</v>
      </c>
      <c r="B373" s="418">
        <f>100000 / (DAY(EOMONTH(Attendance!A373,0)) - 4)</f>
        <v>3703.703704</v>
      </c>
      <c r="C373" s="417" t="str">
        <f>MAX(0, Attendance!C373 - TIME(9, 0, 0)) * 24 * A373</f>
        <v>#N/A</v>
      </c>
      <c r="D373" s="419" t="str">
        <f>MAX(0, Attendance!D373 - TIME(18, 0, 0)) * 24 * 1.5 * A373</f>
        <v>#N/A</v>
      </c>
      <c r="E373" s="418">
        <f>IF(AND(Attendance!E373&lt;&gt;"Friday", Attendance!C373&lt;&gt;""), B373, 0)</f>
        <v>0</v>
      </c>
      <c r="F373" s="420" t="str">
        <f>Attendance!B373</f>
        <v/>
      </c>
      <c r="G373" s="415" t="str">
        <f>Attendance!A373</f>
        <v/>
      </c>
      <c r="H373" s="420" t="str">
        <f>IFERROR(__xludf.DUMMYFUNCTION("REGEXREPLACE(F373, ""\d+$"", """")"),"")</f>
        <v/>
      </c>
    </row>
    <row r="374" ht="22.5" customHeight="1">
      <c r="A374" s="417" t="str">
        <f>VLOOKUP(F374, Employees!$A$2:$C957, 3, FALSE)</f>
        <v>#N/A</v>
      </c>
      <c r="B374" s="418">
        <f>100000 / (DAY(EOMONTH(Attendance!A374,0)) - 4)</f>
        <v>3703.703704</v>
      </c>
      <c r="C374" s="417" t="str">
        <f>MAX(0, Attendance!C374 - TIME(9, 0, 0)) * 24 * A374</f>
        <v>#N/A</v>
      </c>
      <c r="D374" s="419" t="str">
        <f>MAX(0, Attendance!D374 - TIME(18, 0, 0)) * 24 * 1.5 * A374</f>
        <v>#N/A</v>
      </c>
      <c r="E374" s="418">
        <f>IF(AND(Attendance!E374&lt;&gt;"Friday", Attendance!C374&lt;&gt;""), B374, 0)</f>
        <v>0</v>
      </c>
      <c r="F374" s="420" t="str">
        <f>Attendance!B374</f>
        <v/>
      </c>
      <c r="G374" s="415" t="str">
        <f>Attendance!A374</f>
        <v/>
      </c>
      <c r="H374" s="420" t="str">
        <f>IFERROR(__xludf.DUMMYFUNCTION("REGEXREPLACE(F374, ""\d+$"", """")"),"")</f>
        <v/>
      </c>
    </row>
    <row r="375" ht="22.5" customHeight="1">
      <c r="A375" s="417" t="str">
        <f>VLOOKUP(F375, Employees!$A$2:$C957, 3, FALSE)</f>
        <v>#N/A</v>
      </c>
      <c r="B375" s="418">
        <f>100000 / (DAY(EOMONTH(Attendance!A375,0)) - 4)</f>
        <v>3703.703704</v>
      </c>
      <c r="C375" s="417" t="str">
        <f>MAX(0, Attendance!C375 - TIME(9, 0, 0)) * 24 * A375</f>
        <v>#N/A</v>
      </c>
      <c r="D375" s="419" t="str">
        <f>MAX(0, Attendance!D375 - TIME(18, 0, 0)) * 24 * 1.5 * A375</f>
        <v>#N/A</v>
      </c>
      <c r="E375" s="418">
        <f>IF(AND(Attendance!E375&lt;&gt;"Friday", Attendance!C375&lt;&gt;""), B375, 0)</f>
        <v>0</v>
      </c>
      <c r="F375" s="420" t="str">
        <f>Attendance!B375</f>
        <v/>
      </c>
      <c r="G375" s="415" t="str">
        <f>Attendance!A375</f>
        <v/>
      </c>
      <c r="H375" s="420" t="str">
        <f>IFERROR(__xludf.DUMMYFUNCTION("REGEXREPLACE(F375, ""\d+$"", """")"),"")</f>
        <v/>
      </c>
    </row>
    <row r="376" ht="22.5" customHeight="1">
      <c r="A376" s="417" t="str">
        <f>VLOOKUP(F376, Employees!$A$2:$C957, 3, FALSE)</f>
        <v>#N/A</v>
      </c>
      <c r="B376" s="418">
        <f>100000 / (DAY(EOMONTH(Attendance!A376,0)) - 4)</f>
        <v>3703.703704</v>
      </c>
      <c r="C376" s="417" t="str">
        <f>MAX(0, Attendance!C376 - TIME(9, 0, 0)) * 24 * A376</f>
        <v>#N/A</v>
      </c>
      <c r="D376" s="419" t="str">
        <f>MAX(0, Attendance!D376 - TIME(18, 0, 0)) * 24 * 1.5 * A376</f>
        <v>#N/A</v>
      </c>
      <c r="E376" s="418">
        <f>IF(AND(Attendance!E376&lt;&gt;"Friday", Attendance!C376&lt;&gt;""), B376, 0)</f>
        <v>0</v>
      </c>
      <c r="F376" s="420" t="str">
        <f>Attendance!B376</f>
        <v/>
      </c>
      <c r="G376" s="415" t="str">
        <f>Attendance!A376</f>
        <v/>
      </c>
      <c r="H376" s="420" t="str">
        <f>IFERROR(__xludf.DUMMYFUNCTION("REGEXREPLACE(F376, ""\d+$"", """")"),"")</f>
        <v/>
      </c>
    </row>
    <row r="377" ht="22.5" customHeight="1">
      <c r="A377" s="417" t="str">
        <f>VLOOKUP(F377, Employees!$A$2:$C957, 3, FALSE)</f>
        <v>#N/A</v>
      </c>
      <c r="B377" s="418">
        <f>100000 / (DAY(EOMONTH(Attendance!A377,0)) - 4)</f>
        <v>3703.703704</v>
      </c>
      <c r="C377" s="417" t="str">
        <f>MAX(0, Attendance!C377 - TIME(9, 0, 0)) * 24 * A377</f>
        <v>#N/A</v>
      </c>
      <c r="D377" s="419" t="str">
        <f>MAX(0, Attendance!D377 - TIME(18, 0, 0)) * 24 * 1.5 * A377</f>
        <v>#N/A</v>
      </c>
      <c r="E377" s="418">
        <f>IF(AND(Attendance!E377&lt;&gt;"Friday", Attendance!C377&lt;&gt;""), B377, 0)</f>
        <v>0</v>
      </c>
      <c r="F377" s="420" t="str">
        <f>Attendance!B377</f>
        <v/>
      </c>
      <c r="G377" s="415" t="str">
        <f>Attendance!A377</f>
        <v/>
      </c>
      <c r="H377" s="420" t="str">
        <f>IFERROR(__xludf.DUMMYFUNCTION("REGEXREPLACE(F377, ""\d+$"", """")"),"")</f>
        <v/>
      </c>
    </row>
    <row r="378" ht="22.5" customHeight="1">
      <c r="A378" s="417" t="str">
        <f>VLOOKUP(F378, Employees!$A$2:$C957, 3, FALSE)</f>
        <v>#N/A</v>
      </c>
      <c r="B378" s="418">
        <f>100000 / (DAY(EOMONTH(Attendance!A378,0)) - 4)</f>
        <v>3703.703704</v>
      </c>
      <c r="C378" s="417" t="str">
        <f>MAX(0, Attendance!C378 - TIME(9, 0, 0)) * 24 * A378</f>
        <v>#N/A</v>
      </c>
      <c r="D378" s="419" t="str">
        <f>MAX(0, Attendance!D378 - TIME(18, 0, 0)) * 24 * 1.5 * A378</f>
        <v>#N/A</v>
      </c>
      <c r="E378" s="418">
        <f>IF(AND(Attendance!E378&lt;&gt;"Friday", Attendance!C378&lt;&gt;""), B378, 0)</f>
        <v>0</v>
      </c>
      <c r="F378" s="420" t="str">
        <f>Attendance!B378</f>
        <v/>
      </c>
      <c r="G378" s="415" t="str">
        <f>Attendance!A378</f>
        <v/>
      </c>
      <c r="H378" s="420" t="str">
        <f>IFERROR(__xludf.DUMMYFUNCTION("REGEXREPLACE(F378, ""\d+$"", """")"),"")</f>
        <v/>
      </c>
    </row>
    <row r="379" ht="22.5" customHeight="1">
      <c r="A379" s="417" t="str">
        <f>VLOOKUP(F379, Employees!$A$2:$C957, 3, FALSE)</f>
        <v>#N/A</v>
      </c>
      <c r="B379" s="418">
        <f>100000 / (DAY(EOMONTH(Attendance!A379,0)) - 4)</f>
        <v>3703.703704</v>
      </c>
      <c r="C379" s="417" t="str">
        <f>MAX(0, Attendance!C379 - TIME(9, 0, 0)) * 24 * A379</f>
        <v>#N/A</v>
      </c>
      <c r="D379" s="419" t="str">
        <f>MAX(0, Attendance!D379 - TIME(18, 0, 0)) * 24 * 1.5 * A379</f>
        <v>#N/A</v>
      </c>
      <c r="E379" s="418">
        <f>IF(AND(Attendance!E379&lt;&gt;"Friday", Attendance!C379&lt;&gt;""), B379, 0)</f>
        <v>0</v>
      </c>
      <c r="F379" s="420" t="str">
        <f>Attendance!B379</f>
        <v/>
      </c>
      <c r="G379" s="415" t="str">
        <f>Attendance!A379</f>
        <v/>
      </c>
      <c r="H379" s="420" t="str">
        <f>IFERROR(__xludf.DUMMYFUNCTION("REGEXREPLACE(F379, ""\d+$"", """")"),"")</f>
        <v/>
      </c>
    </row>
    <row r="380" ht="22.5" customHeight="1">
      <c r="A380" s="417" t="str">
        <f>VLOOKUP(F380, Employees!$A$2:$C957, 3, FALSE)</f>
        <v>#N/A</v>
      </c>
      <c r="B380" s="418">
        <f>100000 / (DAY(EOMONTH(Attendance!A380,0)) - 4)</f>
        <v>3703.703704</v>
      </c>
      <c r="C380" s="417" t="str">
        <f>MAX(0, Attendance!C380 - TIME(9, 0, 0)) * 24 * A380</f>
        <v>#N/A</v>
      </c>
      <c r="D380" s="419" t="str">
        <f>MAX(0, Attendance!D380 - TIME(18, 0, 0)) * 24 * 1.5 * A380</f>
        <v>#N/A</v>
      </c>
      <c r="E380" s="418">
        <f>IF(AND(Attendance!E380&lt;&gt;"Friday", Attendance!C380&lt;&gt;""), B380, 0)</f>
        <v>0</v>
      </c>
      <c r="F380" s="420" t="str">
        <f>Attendance!B380</f>
        <v/>
      </c>
      <c r="G380" s="415" t="str">
        <f>Attendance!A380</f>
        <v/>
      </c>
      <c r="H380" s="420" t="str">
        <f>IFERROR(__xludf.DUMMYFUNCTION("REGEXREPLACE(F380, ""\d+$"", """")"),"")</f>
        <v/>
      </c>
    </row>
    <row r="381" ht="22.5" customHeight="1">
      <c r="A381" s="417" t="str">
        <f>VLOOKUP(F381, Employees!$A$2:$C957, 3, FALSE)</f>
        <v>#N/A</v>
      </c>
      <c r="B381" s="418">
        <f>100000 / (DAY(EOMONTH(Attendance!A381,0)) - 4)</f>
        <v>3703.703704</v>
      </c>
      <c r="C381" s="417" t="str">
        <f>MAX(0, Attendance!C381 - TIME(9, 0, 0)) * 24 * A381</f>
        <v>#N/A</v>
      </c>
      <c r="D381" s="419" t="str">
        <f>MAX(0, Attendance!D381 - TIME(18, 0, 0)) * 24 * 1.5 * A381</f>
        <v>#N/A</v>
      </c>
      <c r="E381" s="418">
        <f>IF(AND(Attendance!E381&lt;&gt;"Friday", Attendance!C381&lt;&gt;""), B381, 0)</f>
        <v>0</v>
      </c>
      <c r="F381" s="420" t="str">
        <f>Attendance!B381</f>
        <v/>
      </c>
      <c r="G381" s="415" t="str">
        <f>Attendance!A381</f>
        <v/>
      </c>
      <c r="H381" s="420" t="str">
        <f>IFERROR(__xludf.DUMMYFUNCTION("REGEXREPLACE(F381, ""\d+$"", """")"),"")</f>
        <v/>
      </c>
    </row>
    <row r="382" ht="22.5" customHeight="1">
      <c r="A382" s="417" t="str">
        <f>VLOOKUP(F382, Employees!$A$2:$C957, 3, FALSE)</f>
        <v>#N/A</v>
      </c>
      <c r="B382" s="418">
        <f>100000 / (DAY(EOMONTH(Attendance!A382,0)) - 4)</f>
        <v>3703.703704</v>
      </c>
      <c r="C382" s="417" t="str">
        <f>MAX(0, Attendance!C382 - TIME(9, 0, 0)) * 24 * A382</f>
        <v>#N/A</v>
      </c>
      <c r="D382" s="419" t="str">
        <f>MAX(0, Attendance!D382 - TIME(18, 0, 0)) * 24 * 1.5 * A382</f>
        <v>#N/A</v>
      </c>
      <c r="E382" s="418">
        <f>IF(AND(Attendance!E382&lt;&gt;"Friday", Attendance!C382&lt;&gt;""), B382, 0)</f>
        <v>0</v>
      </c>
      <c r="F382" s="420" t="str">
        <f>Attendance!B382</f>
        <v/>
      </c>
      <c r="G382" s="415" t="str">
        <f>Attendance!A382</f>
        <v/>
      </c>
      <c r="H382" s="420" t="str">
        <f>IFERROR(__xludf.DUMMYFUNCTION("REGEXREPLACE(F382, ""\d+$"", """")"),"")</f>
        <v/>
      </c>
    </row>
    <row r="383" ht="22.5" customHeight="1">
      <c r="A383" s="417" t="str">
        <f>VLOOKUP(F383, Employees!$A$2:$C957, 3, FALSE)</f>
        <v>#N/A</v>
      </c>
      <c r="B383" s="418">
        <f>100000 / (DAY(EOMONTH(Attendance!A383,0)) - 4)</f>
        <v>3703.703704</v>
      </c>
      <c r="C383" s="417" t="str">
        <f>MAX(0, Attendance!C383 - TIME(9, 0, 0)) * 24 * A383</f>
        <v>#N/A</v>
      </c>
      <c r="D383" s="419" t="str">
        <f>MAX(0, Attendance!D383 - TIME(18, 0, 0)) * 24 * 1.5 * A383</f>
        <v>#N/A</v>
      </c>
      <c r="E383" s="418">
        <f>IF(AND(Attendance!E383&lt;&gt;"Friday", Attendance!C383&lt;&gt;""), B383, 0)</f>
        <v>0</v>
      </c>
      <c r="F383" s="420" t="str">
        <f>Attendance!B383</f>
        <v/>
      </c>
      <c r="G383" s="415" t="str">
        <f>Attendance!A383</f>
        <v/>
      </c>
      <c r="H383" s="420" t="str">
        <f>IFERROR(__xludf.DUMMYFUNCTION("REGEXREPLACE(F383, ""\d+$"", """")"),"")</f>
        <v/>
      </c>
    </row>
    <row r="384" ht="22.5" customHeight="1">
      <c r="A384" s="417" t="str">
        <f>VLOOKUP(F384, Employees!$A$2:$C957, 3, FALSE)</f>
        <v>#N/A</v>
      </c>
      <c r="B384" s="418">
        <f>100000 / (DAY(EOMONTH(Attendance!A384,0)) - 4)</f>
        <v>3703.703704</v>
      </c>
      <c r="C384" s="417" t="str">
        <f>MAX(0, Attendance!C384 - TIME(9, 0, 0)) * 24 * A384</f>
        <v>#N/A</v>
      </c>
      <c r="D384" s="419" t="str">
        <f>MAX(0, Attendance!D384 - TIME(18, 0, 0)) * 24 * 1.5 * A384</f>
        <v>#N/A</v>
      </c>
      <c r="E384" s="418">
        <f>IF(AND(Attendance!E384&lt;&gt;"Friday", Attendance!C384&lt;&gt;""), B384, 0)</f>
        <v>0</v>
      </c>
      <c r="F384" s="420" t="str">
        <f>Attendance!B384</f>
        <v/>
      </c>
      <c r="G384" s="415" t="str">
        <f>Attendance!A384</f>
        <v/>
      </c>
      <c r="H384" s="420" t="str">
        <f>IFERROR(__xludf.DUMMYFUNCTION("REGEXREPLACE(F384, ""\d+$"", """")"),"")</f>
        <v/>
      </c>
    </row>
    <row r="385" ht="22.5" customHeight="1">
      <c r="A385" s="417" t="str">
        <f>VLOOKUP(F385, Employees!$A$2:$C957, 3, FALSE)</f>
        <v>#N/A</v>
      </c>
      <c r="B385" s="418">
        <f>100000 / (DAY(EOMONTH(Attendance!A385,0)) - 4)</f>
        <v>3703.703704</v>
      </c>
      <c r="C385" s="417" t="str">
        <f>MAX(0, Attendance!C385 - TIME(9, 0, 0)) * 24 * A385</f>
        <v>#N/A</v>
      </c>
      <c r="D385" s="419" t="str">
        <f>MAX(0, Attendance!D385 - TIME(18, 0, 0)) * 24 * 1.5 * A385</f>
        <v>#N/A</v>
      </c>
      <c r="E385" s="418">
        <f>IF(AND(Attendance!E385&lt;&gt;"Friday", Attendance!C385&lt;&gt;""), B385, 0)</f>
        <v>0</v>
      </c>
      <c r="F385" s="420" t="str">
        <f>Attendance!B385</f>
        <v/>
      </c>
      <c r="G385" s="415" t="str">
        <f>Attendance!A385</f>
        <v/>
      </c>
      <c r="H385" s="420" t="str">
        <f>IFERROR(__xludf.DUMMYFUNCTION("REGEXREPLACE(F385, ""\d+$"", """")"),"")</f>
        <v/>
      </c>
    </row>
    <row r="386" ht="22.5" customHeight="1">
      <c r="A386" s="417" t="str">
        <f>VLOOKUP(F386, Employees!$A$2:$C957, 3, FALSE)</f>
        <v>#N/A</v>
      </c>
      <c r="B386" s="418">
        <f>100000 / (DAY(EOMONTH(Attendance!A386,0)) - 4)</f>
        <v>3703.703704</v>
      </c>
      <c r="C386" s="417" t="str">
        <f>MAX(0, Attendance!C386 - TIME(9, 0, 0)) * 24 * A386</f>
        <v>#N/A</v>
      </c>
      <c r="D386" s="419" t="str">
        <f>MAX(0, Attendance!D386 - TIME(18, 0, 0)) * 24 * 1.5 * A386</f>
        <v>#N/A</v>
      </c>
      <c r="E386" s="418">
        <f>IF(AND(Attendance!E386&lt;&gt;"Friday", Attendance!C386&lt;&gt;""), B386, 0)</f>
        <v>0</v>
      </c>
      <c r="F386" s="420" t="str">
        <f>Attendance!B386</f>
        <v/>
      </c>
      <c r="G386" s="415" t="str">
        <f>Attendance!A386</f>
        <v/>
      </c>
      <c r="H386" s="420" t="str">
        <f>IFERROR(__xludf.DUMMYFUNCTION("REGEXREPLACE(F386, ""\d+$"", """")"),"")</f>
        <v/>
      </c>
    </row>
    <row r="387" ht="22.5" customHeight="1">
      <c r="A387" s="417" t="str">
        <f>VLOOKUP(F387, Employees!$A$2:$C957, 3, FALSE)</f>
        <v>#N/A</v>
      </c>
      <c r="B387" s="418">
        <f>100000 / (DAY(EOMONTH(Attendance!A387,0)) - 4)</f>
        <v>3703.703704</v>
      </c>
      <c r="C387" s="417" t="str">
        <f>MAX(0, Attendance!C387 - TIME(9, 0, 0)) * 24 * A387</f>
        <v>#N/A</v>
      </c>
      <c r="D387" s="419" t="str">
        <f>MAX(0, Attendance!D387 - TIME(18, 0, 0)) * 24 * 1.5 * A387</f>
        <v>#N/A</v>
      </c>
      <c r="E387" s="418">
        <f>IF(AND(Attendance!E387&lt;&gt;"Friday", Attendance!C387&lt;&gt;""), B387, 0)</f>
        <v>0</v>
      </c>
      <c r="F387" s="420" t="str">
        <f>Attendance!B387</f>
        <v/>
      </c>
      <c r="G387" s="415" t="str">
        <f>Attendance!A387</f>
        <v/>
      </c>
      <c r="H387" s="420" t="str">
        <f>IFERROR(__xludf.DUMMYFUNCTION("REGEXREPLACE(F387, ""\d+$"", """")"),"")</f>
        <v/>
      </c>
    </row>
    <row r="388" ht="22.5" customHeight="1">
      <c r="A388" s="417" t="str">
        <f>VLOOKUP(F388, Employees!$A$2:$C957, 3, FALSE)</f>
        <v>#N/A</v>
      </c>
      <c r="B388" s="418">
        <f>100000 / (DAY(EOMONTH(Attendance!A388,0)) - 4)</f>
        <v>3703.703704</v>
      </c>
      <c r="C388" s="417" t="str">
        <f>MAX(0, Attendance!C388 - TIME(9, 0, 0)) * 24 * A388</f>
        <v>#N/A</v>
      </c>
      <c r="D388" s="419" t="str">
        <f>MAX(0, Attendance!D388 - TIME(18, 0, 0)) * 24 * 1.5 * A388</f>
        <v>#N/A</v>
      </c>
      <c r="E388" s="418">
        <f>IF(AND(Attendance!E388&lt;&gt;"Friday", Attendance!C388&lt;&gt;""), B388, 0)</f>
        <v>0</v>
      </c>
      <c r="F388" s="420" t="str">
        <f>Attendance!B388</f>
        <v/>
      </c>
      <c r="G388" s="415" t="str">
        <f>Attendance!A388</f>
        <v/>
      </c>
      <c r="H388" s="420" t="str">
        <f>IFERROR(__xludf.DUMMYFUNCTION("REGEXREPLACE(F388, ""\d+$"", """")"),"")</f>
        <v/>
      </c>
    </row>
    <row r="389" ht="22.5" customHeight="1">
      <c r="A389" s="417" t="str">
        <f>VLOOKUP(F389, Employees!$A$2:$C957, 3, FALSE)</f>
        <v>#N/A</v>
      </c>
      <c r="B389" s="418">
        <f>100000 / (DAY(EOMONTH(Attendance!A389,0)) - 4)</f>
        <v>3703.703704</v>
      </c>
      <c r="C389" s="417" t="str">
        <f>MAX(0, Attendance!C389 - TIME(9, 0, 0)) * 24 * A389</f>
        <v>#N/A</v>
      </c>
      <c r="D389" s="419" t="str">
        <f>MAX(0, Attendance!D389 - TIME(18, 0, 0)) * 24 * 1.5 * A389</f>
        <v>#N/A</v>
      </c>
      <c r="E389" s="418">
        <f>IF(AND(Attendance!E389&lt;&gt;"Friday", Attendance!C389&lt;&gt;""), B389, 0)</f>
        <v>0</v>
      </c>
      <c r="F389" s="420" t="str">
        <f>Attendance!B389</f>
        <v/>
      </c>
      <c r="G389" s="415" t="str">
        <f>Attendance!A389</f>
        <v/>
      </c>
      <c r="H389" s="420" t="str">
        <f>IFERROR(__xludf.DUMMYFUNCTION("REGEXREPLACE(F389, ""\d+$"", """")"),"")</f>
        <v/>
      </c>
    </row>
    <row r="390" ht="22.5" customHeight="1">
      <c r="A390" s="417" t="str">
        <f>VLOOKUP(F390, Employees!$A$2:$C957, 3, FALSE)</f>
        <v>#N/A</v>
      </c>
      <c r="B390" s="418">
        <f>100000 / (DAY(EOMONTH(Attendance!A390,0)) - 4)</f>
        <v>3703.703704</v>
      </c>
      <c r="C390" s="417" t="str">
        <f>MAX(0, Attendance!C390 - TIME(9, 0, 0)) * 24 * A390</f>
        <v>#N/A</v>
      </c>
      <c r="D390" s="419" t="str">
        <f>MAX(0, Attendance!D390 - TIME(18, 0, 0)) * 24 * 1.5 * A390</f>
        <v>#N/A</v>
      </c>
      <c r="E390" s="418">
        <f>IF(AND(Attendance!E390&lt;&gt;"Friday", Attendance!C390&lt;&gt;""), B390, 0)</f>
        <v>0</v>
      </c>
      <c r="F390" s="420" t="str">
        <f>Attendance!B390</f>
        <v/>
      </c>
      <c r="G390" s="415" t="str">
        <f>Attendance!A390</f>
        <v/>
      </c>
      <c r="H390" s="420" t="str">
        <f>IFERROR(__xludf.DUMMYFUNCTION("REGEXREPLACE(F390, ""\d+$"", """")"),"")</f>
        <v/>
      </c>
    </row>
    <row r="391" ht="22.5" customHeight="1">
      <c r="A391" s="417" t="str">
        <f>VLOOKUP(F391, Employees!$A$2:$C957, 3, FALSE)</f>
        <v>#N/A</v>
      </c>
      <c r="B391" s="418">
        <f>100000 / (DAY(EOMONTH(Attendance!A391,0)) - 4)</f>
        <v>3703.703704</v>
      </c>
      <c r="C391" s="417" t="str">
        <f>MAX(0, Attendance!C391 - TIME(9, 0, 0)) * 24 * A391</f>
        <v>#N/A</v>
      </c>
      <c r="D391" s="419" t="str">
        <f>MAX(0, Attendance!D391 - TIME(18, 0, 0)) * 24 * 1.5 * A391</f>
        <v>#N/A</v>
      </c>
      <c r="E391" s="418">
        <f>IF(AND(Attendance!E391&lt;&gt;"Friday", Attendance!C391&lt;&gt;""), B391, 0)</f>
        <v>0</v>
      </c>
      <c r="F391" s="420" t="str">
        <f>Attendance!B391</f>
        <v/>
      </c>
      <c r="G391" s="415" t="str">
        <f>Attendance!A391</f>
        <v/>
      </c>
      <c r="H391" s="420" t="str">
        <f>IFERROR(__xludf.DUMMYFUNCTION("REGEXREPLACE(F391, ""\d+$"", """")"),"")</f>
        <v/>
      </c>
    </row>
    <row r="392" ht="22.5" customHeight="1">
      <c r="A392" s="417" t="str">
        <f>VLOOKUP(F392, Employees!$A$2:$C957, 3, FALSE)</f>
        <v>#N/A</v>
      </c>
      <c r="B392" s="418">
        <f>100000 / (DAY(EOMONTH(Attendance!A392,0)) - 4)</f>
        <v>3703.703704</v>
      </c>
      <c r="C392" s="417" t="str">
        <f>MAX(0, Attendance!C392 - TIME(9, 0, 0)) * 24 * A392</f>
        <v>#N/A</v>
      </c>
      <c r="D392" s="419" t="str">
        <f>MAX(0, Attendance!D392 - TIME(18, 0, 0)) * 24 * 1.5 * A392</f>
        <v>#N/A</v>
      </c>
      <c r="E392" s="418">
        <f>IF(AND(Attendance!E392&lt;&gt;"Friday", Attendance!C392&lt;&gt;""), B392, 0)</f>
        <v>0</v>
      </c>
      <c r="F392" s="420" t="str">
        <f>Attendance!B392</f>
        <v/>
      </c>
      <c r="G392" s="415" t="str">
        <f>Attendance!A392</f>
        <v/>
      </c>
      <c r="H392" s="420" t="str">
        <f>IFERROR(__xludf.DUMMYFUNCTION("REGEXREPLACE(F392, ""\d+$"", """")"),"")</f>
        <v/>
      </c>
    </row>
    <row r="393" ht="22.5" customHeight="1">
      <c r="A393" s="417" t="str">
        <f>VLOOKUP(F393, Employees!$A$2:$C957, 3, FALSE)</f>
        <v>#N/A</v>
      </c>
      <c r="B393" s="418">
        <f>100000 / (DAY(EOMONTH(Attendance!A393,0)) - 4)</f>
        <v>3703.703704</v>
      </c>
      <c r="C393" s="417" t="str">
        <f>MAX(0, Attendance!C393 - TIME(9, 0, 0)) * 24 * A393</f>
        <v>#N/A</v>
      </c>
      <c r="D393" s="419" t="str">
        <f>MAX(0, Attendance!D393 - TIME(18, 0, 0)) * 24 * 1.5 * A393</f>
        <v>#N/A</v>
      </c>
      <c r="E393" s="418">
        <f>IF(AND(Attendance!E393&lt;&gt;"Friday", Attendance!C393&lt;&gt;""), B393, 0)</f>
        <v>0</v>
      </c>
      <c r="F393" s="420" t="str">
        <f>Attendance!B393</f>
        <v/>
      </c>
      <c r="G393" s="415" t="str">
        <f>Attendance!A393</f>
        <v/>
      </c>
      <c r="H393" s="420" t="str">
        <f>IFERROR(__xludf.DUMMYFUNCTION("REGEXREPLACE(F393, ""\d+$"", """")"),"")</f>
        <v/>
      </c>
    </row>
    <row r="394" ht="22.5" customHeight="1">
      <c r="A394" s="417" t="str">
        <f>VLOOKUP(F394, Employees!$A$2:$C957, 3, FALSE)</f>
        <v>#N/A</v>
      </c>
      <c r="B394" s="418">
        <f>100000 / (DAY(EOMONTH(Attendance!A394,0)) - 4)</f>
        <v>3703.703704</v>
      </c>
      <c r="C394" s="417" t="str">
        <f>MAX(0, Attendance!C394 - TIME(9, 0, 0)) * 24 * A394</f>
        <v>#N/A</v>
      </c>
      <c r="D394" s="419" t="str">
        <f>MAX(0, Attendance!D394 - TIME(18, 0, 0)) * 24 * 1.5 * A394</f>
        <v>#N/A</v>
      </c>
      <c r="E394" s="418">
        <f>IF(AND(Attendance!E394&lt;&gt;"Friday", Attendance!C394&lt;&gt;""), B394, 0)</f>
        <v>0</v>
      </c>
      <c r="F394" s="420" t="str">
        <f>Attendance!B394</f>
        <v/>
      </c>
      <c r="G394" s="415" t="str">
        <f>Attendance!A394</f>
        <v/>
      </c>
      <c r="H394" s="420" t="str">
        <f>IFERROR(__xludf.DUMMYFUNCTION("REGEXREPLACE(F394, ""\d+$"", """")"),"")</f>
        <v/>
      </c>
    </row>
    <row r="395" ht="22.5" customHeight="1">
      <c r="A395" s="417" t="str">
        <f>VLOOKUP(F395, Employees!$A$2:$C957, 3, FALSE)</f>
        <v>#N/A</v>
      </c>
      <c r="B395" s="418">
        <f>100000 / (DAY(EOMONTH(Attendance!A395,0)) - 4)</f>
        <v>3703.703704</v>
      </c>
      <c r="C395" s="417" t="str">
        <f>MAX(0, Attendance!C395 - TIME(9, 0, 0)) * 24 * A395</f>
        <v>#N/A</v>
      </c>
      <c r="D395" s="419" t="str">
        <f>MAX(0, Attendance!D395 - TIME(18, 0, 0)) * 24 * 1.5 * A395</f>
        <v>#N/A</v>
      </c>
      <c r="E395" s="418">
        <f>IF(AND(Attendance!E395&lt;&gt;"Friday", Attendance!C395&lt;&gt;""), B395, 0)</f>
        <v>0</v>
      </c>
      <c r="F395" s="420" t="str">
        <f>Attendance!B395</f>
        <v/>
      </c>
      <c r="G395" s="415" t="str">
        <f>Attendance!A395</f>
        <v/>
      </c>
      <c r="H395" s="420" t="str">
        <f>IFERROR(__xludf.DUMMYFUNCTION("REGEXREPLACE(F395, ""\d+$"", """")"),"")</f>
        <v/>
      </c>
    </row>
    <row r="396" ht="22.5" customHeight="1">
      <c r="A396" s="417" t="str">
        <f>VLOOKUP(F396, Employees!$A$2:$C957, 3, FALSE)</f>
        <v>#N/A</v>
      </c>
      <c r="B396" s="418">
        <f>100000 / (DAY(EOMONTH(Attendance!A396,0)) - 4)</f>
        <v>3703.703704</v>
      </c>
      <c r="C396" s="417" t="str">
        <f>MAX(0, Attendance!C396 - TIME(9, 0, 0)) * 24 * A396</f>
        <v>#N/A</v>
      </c>
      <c r="D396" s="419" t="str">
        <f>MAX(0, Attendance!D396 - TIME(18, 0, 0)) * 24 * 1.5 * A396</f>
        <v>#N/A</v>
      </c>
      <c r="E396" s="418">
        <f>IF(AND(Attendance!E396&lt;&gt;"Friday", Attendance!C396&lt;&gt;""), B396, 0)</f>
        <v>0</v>
      </c>
      <c r="F396" s="420" t="str">
        <f>Attendance!B396</f>
        <v/>
      </c>
      <c r="G396" s="415" t="str">
        <f>Attendance!A396</f>
        <v/>
      </c>
      <c r="H396" s="420" t="str">
        <f>IFERROR(__xludf.DUMMYFUNCTION("REGEXREPLACE(F396, ""\d+$"", """")"),"")</f>
        <v/>
      </c>
    </row>
    <row r="397" ht="22.5" customHeight="1">
      <c r="A397" s="417" t="str">
        <f>VLOOKUP(F397, Employees!$A$2:$C957, 3, FALSE)</f>
        <v>#N/A</v>
      </c>
      <c r="B397" s="418">
        <f>100000 / (DAY(EOMONTH(Attendance!A397,0)) - 4)</f>
        <v>3703.703704</v>
      </c>
      <c r="C397" s="417" t="str">
        <f>MAX(0, Attendance!C397 - TIME(9, 0, 0)) * 24 * A397</f>
        <v>#N/A</v>
      </c>
      <c r="D397" s="419" t="str">
        <f>MAX(0, Attendance!D397 - TIME(18, 0, 0)) * 24 * 1.5 * A397</f>
        <v>#N/A</v>
      </c>
      <c r="E397" s="418">
        <f>IF(AND(Attendance!E397&lt;&gt;"Friday", Attendance!C397&lt;&gt;""), B397, 0)</f>
        <v>0</v>
      </c>
      <c r="F397" s="420" t="str">
        <f>Attendance!B397</f>
        <v/>
      </c>
      <c r="G397" s="415" t="str">
        <f>Attendance!A397</f>
        <v/>
      </c>
      <c r="H397" s="420" t="str">
        <f>IFERROR(__xludf.DUMMYFUNCTION("REGEXREPLACE(F397, ""\d+$"", """")"),"")</f>
        <v/>
      </c>
    </row>
    <row r="398" ht="22.5" customHeight="1">
      <c r="A398" s="417" t="str">
        <f>VLOOKUP(F398, Employees!$A$2:$C957, 3, FALSE)</f>
        <v>#N/A</v>
      </c>
      <c r="B398" s="418">
        <f>100000 / (DAY(EOMONTH(Attendance!A398,0)) - 4)</f>
        <v>3703.703704</v>
      </c>
      <c r="C398" s="417" t="str">
        <f>MAX(0, Attendance!C398 - TIME(9, 0, 0)) * 24 * A398</f>
        <v>#N/A</v>
      </c>
      <c r="D398" s="419" t="str">
        <f>MAX(0, Attendance!D398 - TIME(18, 0, 0)) * 24 * 1.5 * A398</f>
        <v>#N/A</v>
      </c>
      <c r="E398" s="418">
        <f>IF(AND(Attendance!E398&lt;&gt;"Friday", Attendance!C398&lt;&gt;""), B398, 0)</f>
        <v>0</v>
      </c>
      <c r="F398" s="420" t="str">
        <f>Attendance!B398</f>
        <v/>
      </c>
      <c r="G398" s="415" t="str">
        <f>Attendance!A398</f>
        <v/>
      </c>
      <c r="H398" s="420" t="str">
        <f>IFERROR(__xludf.DUMMYFUNCTION("REGEXREPLACE(F398, ""\d+$"", """")"),"")</f>
        <v/>
      </c>
    </row>
    <row r="399" ht="22.5" customHeight="1">
      <c r="A399" s="417" t="str">
        <f>VLOOKUP(F399, Employees!$A$2:$C957, 3, FALSE)</f>
        <v>#N/A</v>
      </c>
      <c r="B399" s="418">
        <f>100000 / (DAY(EOMONTH(Attendance!A399,0)) - 4)</f>
        <v>3703.703704</v>
      </c>
      <c r="C399" s="417" t="str">
        <f>MAX(0, Attendance!C399 - TIME(9, 0, 0)) * 24 * A399</f>
        <v>#N/A</v>
      </c>
      <c r="D399" s="419" t="str">
        <f>MAX(0, Attendance!D399 - TIME(18, 0, 0)) * 24 * 1.5 * A399</f>
        <v>#N/A</v>
      </c>
      <c r="E399" s="418">
        <f>IF(AND(Attendance!E399&lt;&gt;"Friday", Attendance!C399&lt;&gt;""), B399, 0)</f>
        <v>0</v>
      </c>
      <c r="F399" s="420" t="str">
        <f>Attendance!B399</f>
        <v/>
      </c>
      <c r="G399" s="415" t="str">
        <f>Attendance!A399</f>
        <v/>
      </c>
      <c r="H399" s="420" t="str">
        <f>IFERROR(__xludf.DUMMYFUNCTION("REGEXREPLACE(F399, ""\d+$"", """")"),"")</f>
        <v/>
      </c>
    </row>
    <row r="400" ht="22.5" customHeight="1">
      <c r="A400" s="417" t="str">
        <f>VLOOKUP(F400, Employees!$A$2:$C957, 3, FALSE)</f>
        <v>#N/A</v>
      </c>
      <c r="B400" s="418">
        <f>100000 / (DAY(EOMONTH(Attendance!A400,0)) - 4)</f>
        <v>3703.703704</v>
      </c>
      <c r="C400" s="417" t="str">
        <f>MAX(0, Attendance!C400 - TIME(9, 0, 0)) * 24 * A400</f>
        <v>#N/A</v>
      </c>
      <c r="D400" s="419" t="str">
        <f>MAX(0, Attendance!D400 - TIME(18, 0, 0)) * 24 * 1.5 * A400</f>
        <v>#N/A</v>
      </c>
      <c r="E400" s="418">
        <f>IF(AND(Attendance!E400&lt;&gt;"Friday", Attendance!C400&lt;&gt;""), B400, 0)</f>
        <v>0</v>
      </c>
      <c r="F400" s="420" t="str">
        <f>Attendance!B400</f>
        <v/>
      </c>
      <c r="G400" s="415" t="str">
        <f>Attendance!A400</f>
        <v/>
      </c>
      <c r="H400" s="420" t="str">
        <f>IFERROR(__xludf.DUMMYFUNCTION("REGEXREPLACE(F400, ""\d+$"", """")"),"")</f>
        <v/>
      </c>
    </row>
    <row r="401" ht="22.5" customHeight="1">
      <c r="A401" s="417" t="str">
        <f>VLOOKUP(F401, Employees!$A$2:$C957, 3, FALSE)</f>
        <v>#N/A</v>
      </c>
      <c r="B401" s="418">
        <f>100000 / (DAY(EOMONTH(Attendance!A401,0)) - 4)</f>
        <v>3703.703704</v>
      </c>
      <c r="C401" s="417" t="str">
        <f>MAX(0, Attendance!C401 - TIME(9, 0, 0)) * 24 * A401</f>
        <v>#N/A</v>
      </c>
      <c r="D401" s="419" t="str">
        <f>MAX(0, Attendance!D401 - TIME(18, 0, 0)) * 24 * 1.5 * A401</f>
        <v>#N/A</v>
      </c>
      <c r="E401" s="418">
        <f>IF(AND(Attendance!E401&lt;&gt;"Friday", Attendance!C401&lt;&gt;""), B401, 0)</f>
        <v>0</v>
      </c>
      <c r="F401" s="420" t="str">
        <f>Attendance!B401</f>
        <v/>
      </c>
      <c r="G401" s="415" t="str">
        <f>Attendance!A401</f>
        <v/>
      </c>
      <c r="H401" s="420" t="str">
        <f>IFERROR(__xludf.DUMMYFUNCTION("REGEXREPLACE(F401, ""\d+$"", """")"),"")</f>
        <v/>
      </c>
    </row>
    <row r="402" ht="22.5" customHeight="1">
      <c r="A402" s="417" t="str">
        <f>VLOOKUP(F402, Employees!$A$2:$C957, 3, FALSE)</f>
        <v>#N/A</v>
      </c>
      <c r="B402" s="418">
        <f>100000 / (DAY(EOMONTH(Attendance!A402,0)) - 4)</f>
        <v>3703.703704</v>
      </c>
      <c r="C402" s="417" t="str">
        <f>MAX(0, Attendance!C402 - TIME(9, 0, 0)) * 24 * A402</f>
        <v>#N/A</v>
      </c>
      <c r="D402" s="419" t="str">
        <f>MAX(0, Attendance!D402 - TIME(18, 0, 0)) * 24 * 1.5 * A402</f>
        <v>#N/A</v>
      </c>
      <c r="E402" s="418">
        <f>IF(AND(Attendance!E402&lt;&gt;"Friday", Attendance!C402&lt;&gt;""), B402, 0)</f>
        <v>0</v>
      </c>
      <c r="F402" s="420" t="str">
        <f>Attendance!B402</f>
        <v/>
      </c>
      <c r="G402" s="415" t="str">
        <f>Attendance!A402</f>
        <v/>
      </c>
      <c r="H402" s="420" t="str">
        <f>IFERROR(__xludf.DUMMYFUNCTION("REGEXREPLACE(F402, ""\d+$"", """")"),"")</f>
        <v/>
      </c>
    </row>
    <row r="403" ht="22.5" customHeight="1">
      <c r="A403" s="417" t="str">
        <f>VLOOKUP(F403, Employees!$A$2:$C957, 3, FALSE)</f>
        <v>#N/A</v>
      </c>
      <c r="B403" s="418">
        <f>100000 / (DAY(EOMONTH(Attendance!A403,0)) - 4)</f>
        <v>3703.703704</v>
      </c>
      <c r="C403" s="417" t="str">
        <f>MAX(0, Attendance!C403 - TIME(9, 0, 0)) * 24 * A403</f>
        <v>#N/A</v>
      </c>
      <c r="D403" s="419" t="str">
        <f>MAX(0, Attendance!D403 - TIME(18, 0, 0)) * 24 * 1.5 * A403</f>
        <v>#N/A</v>
      </c>
      <c r="E403" s="418">
        <f>IF(AND(Attendance!E403&lt;&gt;"Friday", Attendance!C403&lt;&gt;""), B403, 0)</f>
        <v>0</v>
      </c>
      <c r="F403" s="420" t="str">
        <f>Attendance!B403</f>
        <v/>
      </c>
      <c r="G403" s="415" t="str">
        <f>Attendance!A403</f>
        <v/>
      </c>
      <c r="H403" s="420" t="str">
        <f>IFERROR(__xludf.DUMMYFUNCTION("REGEXREPLACE(F403, ""\d+$"", """")"),"")</f>
        <v/>
      </c>
    </row>
    <row r="404" ht="22.5" customHeight="1">
      <c r="A404" s="417" t="str">
        <f>VLOOKUP(F404, Employees!$A$2:$C957, 3, FALSE)</f>
        <v>#N/A</v>
      </c>
      <c r="B404" s="418">
        <f>100000 / (DAY(EOMONTH(Attendance!A404,0)) - 4)</f>
        <v>3703.703704</v>
      </c>
      <c r="C404" s="417" t="str">
        <f>MAX(0, Attendance!C404 - TIME(9, 0, 0)) * 24 * A404</f>
        <v>#N/A</v>
      </c>
      <c r="D404" s="419" t="str">
        <f>MAX(0, Attendance!D404 - TIME(18, 0, 0)) * 24 * 1.5 * A404</f>
        <v>#N/A</v>
      </c>
      <c r="E404" s="418">
        <f>IF(AND(Attendance!E404&lt;&gt;"Friday", Attendance!C404&lt;&gt;""), B404, 0)</f>
        <v>0</v>
      </c>
      <c r="F404" s="420" t="str">
        <f>Attendance!B404</f>
        <v/>
      </c>
      <c r="G404" s="415" t="str">
        <f>Attendance!A404</f>
        <v/>
      </c>
      <c r="H404" s="420" t="str">
        <f>IFERROR(__xludf.DUMMYFUNCTION("REGEXREPLACE(F404, ""\d+$"", """")"),"")</f>
        <v/>
      </c>
    </row>
    <row r="405" ht="22.5" customHeight="1">
      <c r="A405" s="417" t="str">
        <f>VLOOKUP(F405, Employees!$A$2:$C957, 3, FALSE)</f>
        <v>#N/A</v>
      </c>
      <c r="B405" s="418">
        <f>100000 / (DAY(EOMONTH(Attendance!A405,0)) - 4)</f>
        <v>3703.703704</v>
      </c>
      <c r="C405" s="417" t="str">
        <f>MAX(0, Attendance!C405 - TIME(9, 0, 0)) * 24 * A405</f>
        <v>#N/A</v>
      </c>
      <c r="D405" s="419" t="str">
        <f>MAX(0, Attendance!D405 - TIME(18, 0, 0)) * 24 * 1.5 * A405</f>
        <v>#N/A</v>
      </c>
      <c r="E405" s="418">
        <f>IF(AND(Attendance!E405&lt;&gt;"Friday", Attendance!C405&lt;&gt;""), B405, 0)</f>
        <v>0</v>
      </c>
      <c r="F405" s="420" t="str">
        <f>Attendance!B405</f>
        <v/>
      </c>
      <c r="G405" s="415" t="str">
        <f>Attendance!A405</f>
        <v/>
      </c>
      <c r="H405" s="420" t="str">
        <f>IFERROR(__xludf.DUMMYFUNCTION("REGEXREPLACE(F405, ""\d+$"", """")"),"")</f>
        <v/>
      </c>
    </row>
    <row r="406" ht="22.5" customHeight="1">
      <c r="A406" s="417" t="str">
        <f>VLOOKUP(F406, Employees!$A$2:$C957, 3, FALSE)</f>
        <v>#N/A</v>
      </c>
      <c r="B406" s="418">
        <f>100000 / (DAY(EOMONTH(Attendance!A406,0)) - 4)</f>
        <v>3703.703704</v>
      </c>
      <c r="C406" s="417" t="str">
        <f>MAX(0, Attendance!C406 - TIME(9, 0, 0)) * 24 * A406</f>
        <v>#N/A</v>
      </c>
      <c r="D406" s="419" t="str">
        <f>MAX(0, Attendance!D406 - TIME(18, 0, 0)) * 24 * 1.5 * A406</f>
        <v>#N/A</v>
      </c>
      <c r="E406" s="418">
        <f>IF(AND(Attendance!E406&lt;&gt;"Friday", Attendance!C406&lt;&gt;""), B406, 0)</f>
        <v>0</v>
      </c>
      <c r="F406" s="420" t="str">
        <f>Attendance!B406</f>
        <v/>
      </c>
      <c r="G406" s="415" t="str">
        <f>Attendance!A406</f>
        <v/>
      </c>
      <c r="H406" s="420" t="str">
        <f>IFERROR(__xludf.DUMMYFUNCTION("REGEXREPLACE(F406, ""\d+$"", """")"),"")</f>
        <v/>
      </c>
    </row>
    <row r="407" ht="22.5" customHeight="1">
      <c r="A407" s="417" t="str">
        <f>VLOOKUP(F407, Employees!$A$2:$C957, 3, FALSE)</f>
        <v>#N/A</v>
      </c>
      <c r="B407" s="418">
        <f>100000 / (DAY(EOMONTH(Attendance!A407,0)) - 4)</f>
        <v>3703.703704</v>
      </c>
      <c r="C407" s="417" t="str">
        <f>MAX(0, Attendance!C407 - TIME(9, 0, 0)) * 24 * A407</f>
        <v>#N/A</v>
      </c>
      <c r="D407" s="419" t="str">
        <f>MAX(0, Attendance!D407 - TIME(18, 0, 0)) * 24 * 1.5 * A407</f>
        <v>#N/A</v>
      </c>
      <c r="E407" s="418">
        <f>IF(AND(Attendance!E407&lt;&gt;"Friday", Attendance!C407&lt;&gt;""), B407, 0)</f>
        <v>0</v>
      </c>
      <c r="F407" s="420" t="str">
        <f>Attendance!B407</f>
        <v/>
      </c>
      <c r="G407" s="415" t="str">
        <f>Attendance!A407</f>
        <v/>
      </c>
      <c r="H407" s="420" t="str">
        <f>IFERROR(__xludf.DUMMYFUNCTION("REGEXREPLACE(F407, ""\d+$"", """")"),"")</f>
        <v/>
      </c>
    </row>
    <row r="408" ht="22.5" customHeight="1">
      <c r="A408" s="417" t="str">
        <f>VLOOKUP(F408, Employees!$A$2:$C957, 3, FALSE)</f>
        <v>#N/A</v>
      </c>
      <c r="B408" s="418">
        <f>100000 / (DAY(EOMONTH(Attendance!A408,0)) - 4)</f>
        <v>3703.703704</v>
      </c>
      <c r="C408" s="417" t="str">
        <f>MAX(0, Attendance!C408 - TIME(9, 0, 0)) * 24 * A408</f>
        <v>#N/A</v>
      </c>
      <c r="D408" s="419" t="str">
        <f>MAX(0, Attendance!D408 - TIME(18, 0, 0)) * 24 * 1.5 * A408</f>
        <v>#N/A</v>
      </c>
      <c r="E408" s="418">
        <f>IF(AND(Attendance!E408&lt;&gt;"Friday", Attendance!C408&lt;&gt;""), B408, 0)</f>
        <v>0</v>
      </c>
      <c r="F408" s="420" t="str">
        <f>Attendance!B408</f>
        <v/>
      </c>
      <c r="G408" s="415" t="str">
        <f>Attendance!A408</f>
        <v/>
      </c>
      <c r="H408" s="420" t="str">
        <f>IFERROR(__xludf.DUMMYFUNCTION("REGEXREPLACE(F408, ""\d+$"", """")"),"")</f>
        <v/>
      </c>
    </row>
    <row r="409" ht="22.5" customHeight="1">
      <c r="A409" s="417" t="str">
        <f>VLOOKUP(F409, Employees!$A$2:$C957, 3, FALSE)</f>
        <v>#N/A</v>
      </c>
      <c r="B409" s="418">
        <f>100000 / (DAY(EOMONTH(Attendance!A409,0)) - 4)</f>
        <v>3703.703704</v>
      </c>
      <c r="C409" s="417" t="str">
        <f>MAX(0, Attendance!C409 - TIME(9, 0, 0)) * 24 * A409</f>
        <v>#N/A</v>
      </c>
      <c r="D409" s="419" t="str">
        <f>MAX(0, Attendance!D409 - TIME(18, 0, 0)) * 24 * 1.5 * A409</f>
        <v>#N/A</v>
      </c>
      <c r="E409" s="418">
        <f>IF(AND(Attendance!E409&lt;&gt;"Friday", Attendance!C409&lt;&gt;""), B409, 0)</f>
        <v>0</v>
      </c>
      <c r="F409" s="420" t="str">
        <f>Attendance!B409</f>
        <v/>
      </c>
      <c r="G409" s="415" t="str">
        <f>Attendance!A409</f>
        <v/>
      </c>
      <c r="H409" s="420" t="str">
        <f>IFERROR(__xludf.DUMMYFUNCTION("REGEXREPLACE(F409, ""\d+$"", """")"),"")</f>
        <v/>
      </c>
    </row>
    <row r="410" ht="22.5" customHeight="1">
      <c r="A410" s="417" t="str">
        <f>VLOOKUP(F410, Employees!$A$2:$C957, 3, FALSE)</f>
        <v>#N/A</v>
      </c>
      <c r="B410" s="418">
        <f>100000 / (DAY(EOMONTH(Attendance!A410,0)) - 4)</f>
        <v>3703.703704</v>
      </c>
      <c r="C410" s="417" t="str">
        <f>MAX(0, Attendance!C410 - TIME(9, 0, 0)) * 24 * A410</f>
        <v>#N/A</v>
      </c>
      <c r="D410" s="419" t="str">
        <f>MAX(0, Attendance!D410 - TIME(18, 0, 0)) * 24 * 1.5 * A410</f>
        <v>#N/A</v>
      </c>
      <c r="E410" s="418">
        <f>IF(AND(Attendance!E410&lt;&gt;"Friday", Attendance!C410&lt;&gt;""), B410, 0)</f>
        <v>0</v>
      </c>
      <c r="F410" s="420" t="str">
        <f>Attendance!B410</f>
        <v/>
      </c>
      <c r="G410" s="415" t="str">
        <f>Attendance!A410</f>
        <v/>
      </c>
      <c r="H410" s="420" t="str">
        <f>IFERROR(__xludf.DUMMYFUNCTION("REGEXREPLACE(F410, ""\d+$"", """")"),"")</f>
        <v/>
      </c>
    </row>
    <row r="411" ht="22.5" customHeight="1">
      <c r="A411" s="417" t="str">
        <f>VLOOKUP(F411, Employees!$A$2:$C957, 3, FALSE)</f>
        <v>#N/A</v>
      </c>
      <c r="B411" s="418">
        <f>100000 / (DAY(EOMONTH(Attendance!A411,0)) - 4)</f>
        <v>3703.703704</v>
      </c>
      <c r="C411" s="417" t="str">
        <f>MAX(0, Attendance!C411 - TIME(9, 0, 0)) * 24 * A411</f>
        <v>#N/A</v>
      </c>
      <c r="D411" s="419" t="str">
        <f>MAX(0, Attendance!D411 - TIME(18, 0, 0)) * 24 * 1.5 * A411</f>
        <v>#N/A</v>
      </c>
      <c r="E411" s="418">
        <f>IF(AND(Attendance!E411&lt;&gt;"Friday", Attendance!C411&lt;&gt;""), B411, 0)</f>
        <v>0</v>
      </c>
      <c r="F411" s="420" t="str">
        <f>Attendance!B411</f>
        <v/>
      </c>
      <c r="G411" s="415" t="str">
        <f>Attendance!A411</f>
        <v/>
      </c>
      <c r="H411" s="420" t="str">
        <f>IFERROR(__xludf.DUMMYFUNCTION("REGEXREPLACE(F411, ""\d+$"", """")"),"")</f>
        <v/>
      </c>
    </row>
    <row r="412" ht="22.5" customHeight="1">
      <c r="A412" s="417" t="str">
        <f>VLOOKUP(F412, Employees!$A$2:$C957, 3, FALSE)</f>
        <v>#N/A</v>
      </c>
      <c r="B412" s="418">
        <f>100000 / (DAY(EOMONTH(Attendance!A412,0)) - 4)</f>
        <v>3703.703704</v>
      </c>
      <c r="C412" s="417" t="str">
        <f>MAX(0, Attendance!C412 - TIME(9, 0, 0)) * 24 * A412</f>
        <v>#N/A</v>
      </c>
      <c r="D412" s="419" t="str">
        <f>MAX(0, Attendance!D412 - TIME(18, 0, 0)) * 24 * 1.5 * A412</f>
        <v>#N/A</v>
      </c>
      <c r="E412" s="418">
        <f>IF(AND(Attendance!E412&lt;&gt;"Friday", Attendance!C412&lt;&gt;""), B412, 0)</f>
        <v>0</v>
      </c>
      <c r="F412" s="420" t="str">
        <f>Attendance!B412</f>
        <v/>
      </c>
      <c r="G412" s="415" t="str">
        <f>Attendance!A412</f>
        <v/>
      </c>
      <c r="H412" s="420" t="str">
        <f>IFERROR(__xludf.DUMMYFUNCTION("REGEXREPLACE(F412, ""\d+$"", """")"),"")</f>
        <v/>
      </c>
    </row>
    <row r="413" ht="22.5" customHeight="1">
      <c r="A413" s="417" t="str">
        <f>VLOOKUP(F413, Employees!$A$2:$C957, 3, FALSE)</f>
        <v>#N/A</v>
      </c>
      <c r="B413" s="418">
        <f>100000 / (DAY(EOMONTH(Attendance!A413,0)) - 4)</f>
        <v>3703.703704</v>
      </c>
      <c r="C413" s="417" t="str">
        <f>MAX(0, Attendance!C413 - TIME(9, 0, 0)) * 24 * A413</f>
        <v>#N/A</v>
      </c>
      <c r="D413" s="419" t="str">
        <f>MAX(0, Attendance!D413 - TIME(18, 0, 0)) * 24 * 1.5 * A413</f>
        <v>#N/A</v>
      </c>
      <c r="E413" s="418">
        <f>IF(AND(Attendance!E413&lt;&gt;"Friday", Attendance!C413&lt;&gt;""), B413, 0)</f>
        <v>0</v>
      </c>
      <c r="F413" s="420" t="str">
        <f>Attendance!B413</f>
        <v/>
      </c>
      <c r="G413" s="415" t="str">
        <f>Attendance!A413</f>
        <v/>
      </c>
      <c r="H413" s="420" t="str">
        <f>IFERROR(__xludf.DUMMYFUNCTION("REGEXREPLACE(F413, ""\d+$"", """")"),"")</f>
        <v/>
      </c>
    </row>
    <row r="414" ht="22.5" customHeight="1">
      <c r="A414" s="417" t="str">
        <f>VLOOKUP(F414, Employees!$A$2:$C957, 3, FALSE)</f>
        <v>#N/A</v>
      </c>
      <c r="B414" s="418">
        <f>100000 / (DAY(EOMONTH(Attendance!A414,0)) - 4)</f>
        <v>3703.703704</v>
      </c>
      <c r="C414" s="417" t="str">
        <f>MAX(0, Attendance!C414 - TIME(9, 0, 0)) * 24 * A414</f>
        <v>#N/A</v>
      </c>
      <c r="D414" s="419" t="str">
        <f>MAX(0, Attendance!D414 - TIME(18, 0, 0)) * 24 * 1.5 * A414</f>
        <v>#N/A</v>
      </c>
      <c r="E414" s="418">
        <f>IF(AND(Attendance!E414&lt;&gt;"Friday", Attendance!C414&lt;&gt;""), B414, 0)</f>
        <v>0</v>
      </c>
      <c r="F414" s="420" t="str">
        <f>Attendance!B414</f>
        <v/>
      </c>
      <c r="G414" s="415" t="str">
        <f>Attendance!A414</f>
        <v/>
      </c>
      <c r="H414" s="420" t="str">
        <f>IFERROR(__xludf.DUMMYFUNCTION("REGEXREPLACE(F414, ""\d+$"", """")"),"")</f>
        <v/>
      </c>
    </row>
    <row r="415" ht="22.5" customHeight="1">
      <c r="A415" s="417" t="str">
        <f>VLOOKUP(F415, Employees!$A$2:$C957, 3, FALSE)</f>
        <v>#N/A</v>
      </c>
      <c r="B415" s="418">
        <f>100000 / (DAY(EOMONTH(Attendance!A415,0)) - 4)</f>
        <v>3703.703704</v>
      </c>
      <c r="C415" s="417" t="str">
        <f>MAX(0, Attendance!C415 - TIME(9, 0, 0)) * 24 * A415</f>
        <v>#N/A</v>
      </c>
      <c r="D415" s="419" t="str">
        <f>MAX(0, Attendance!D415 - TIME(18, 0, 0)) * 24 * 1.5 * A415</f>
        <v>#N/A</v>
      </c>
      <c r="E415" s="418">
        <f>IF(AND(Attendance!E415&lt;&gt;"Friday", Attendance!C415&lt;&gt;""), B415, 0)</f>
        <v>0</v>
      </c>
      <c r="F415" s="420" t="str">
        <f>Attendance!B415</f>
        <v/>
      </c>
      <c r="G415" s="415" t="str">
        <f>Attendance!A415</f>
        <v/>
      </c>
      <c r="H415" s="420" t="str">
        <f>IFERROR(__xludf.DUMMYFUNCTION("REGEXREPLACE(F415, ""\d+$"", """")"),"")</f>
        <v/>
      </c>
    </row>
    <row r="416" ht="22.5" customHeight="1">
      <c r="A416" s="417" t="str">
        <f>VLOOKUP(F416, Employees!$A$2:$C957, 3, FALSE)</f>
        <v>#N/A</v>
      </c>
      <c r="B416" s="418">
        <f>100000 / (DAY(EOMONTH(Attendance!A416,0)) - 4)</f>
        <v>3703.703704</v>
      </c>
      <c r="C416" s="417" t="str">
        <f>MAX(0, Attendance!C416 - TIME(9, 0, 0)) * 24 * A416</f>
        <v>#N/A</v>
      </c>
      <c r="D416" s="419" t="str">
        <f>MAX(0, Attendance!D416 - TIME(18, 0, 0)) * 24 * 1.5 * A416</f>
        <v>#N/A</v>
      </c>
      <c r="E416" s="418">
        <f>IF(AND(Attendance!E416&lt;&gt;"Friday", Attendance!C416&lt;&gt;""), B416, 0)</f>
        <v>0</v>
      </c>
      <c r="F416" s="420" t="str">
        <f>Attendance!B416</f>
        <v/>
      </c>
      <c r="G416" s="415" t="str">
        <f>Attendance!A416</f>
        <v/>
      </c>
      <c r="H416" s="420" t="str">
        <f>IFERROR(__xludf.DUMMYFUNCTION("REGEXREPLACE(F416, ""\d+$"", """")"),"")</f>
        <v/>
      </c>
    </row>
    <row r="417" ht="22.5" customHeight="1">
      <c r="A417" s="417" t="str">
        <f>VLOOKUP(F417, Employees!$A$2:$C957, 3, FALSE)</f>
        <v>#N/A</v>
      </c>
      <c r="B417" s="418">
        <f>100000 / (DAY(EOMONTH(Attendance!A417,0)) - 4)</f>
        <v>3703.703704</v>
      </c>
      <c r="C417" s="417" t="str">
        <f>MAX(0, Attendance!C417 - TIME(9, 0, 0)) * 24 * A417</f>
        <v>#N/A</v>
      </c>
      <c r="D417" s="419" t="str">
        <f>MAX(0, Attendance!D417 - TIME(18, 0, 0)) * 24 * 1.5 * A417</f>
        <v>#N/A</v>
      </c>
      <c r="E417" s="418">
        <f>IF(AND(Attendance!E417&lt;&gt;"Friday", Attendance!C417&lt;&gt;""), B417, 0)</f>
        <v>0</v>
      </c>
      <c r="F417" s="420" t="str">
        <f>Attendance!B417</f>
        <v/>
      </c>
      <c r="G417" s="415" t="str">
        <f>Attendance!A417</f>
        <v/>
      </c>
      <c r="H417" s="420" t="str">
        <f>IFERROR(__xludf.DUMMYFUNCTION("REGEXREPLACE(F417, ""\d+$"", """")"),"")</f>
        <v/>
      </c>
    </row>
    <row r="418" ht="22.5" customHeight="1">
      <c r="A418" s="417" t="str">
        <f>VLOOKUP(F418, Employees!$A$2:$C957, 3, FALSE)</f>
        <v>#N/A</v>
      </c>
      <c r="B418" s="418">
        <f>100000 / (DAY(EOMONTH(Attendance!A418,0)) - 4)</f>
        <v>3703.703704</v>
      </c>
      <c r="C418" s="417" t="str">
        <f>MAX(0, Attendance!C418 - TIME(9, 0, 0)) * 24 * A418</f>
        <v>#N/A</v>
      </c>
      <c r="D418" s="419" t="str">
        <f>MAX(0, Attendance!D418 - TIME(18, 0, 0)) * 24 * 1.5 * A418</f>
        <v>#N/A</v>
      </c>
      <c r="E418" s="418">
        <f>IF(AND(Attendance!E418&lt;&gt;"Friday", Attendance!C418&lt;&gt;""), B418, 0)</f>
        <v>0</v>
      </c>
      <c r="F418" s="420" t="str">
        <f>Attendance!B418</f>
        <v/>
      </c>
      <c r="G418" s="415" t="str">
        <f>Attendance!A418</f>
        <v/>
      </c>
      <c r="H418" s="420" t="str">
        <f>IFERROR(__xludf.DUMMYFUNCTION("REGEXREPLACE(F418, ""\d+$"", """")"),"")</f>
        <v/>
      </c>
    </row>
    <row r="419" ht="22.5" customHeight="1">
      <c r="A419" s="417" t="str">
        <f>VLOOKUP(F419, Employees!$A$2:$C957, 3, FALSE)</f>
        <v>#N/A</v>
      </c>
      <c r="B419" s="418">
        <f>100000 / (DAY(EOMONTH(Attendance!A419,0)) - 4)</f>
        <v>3703.703704</v>
      </c>
      <c r="C419" s="417" t="str">
        <f>MAX(0, Attendance!C419 - TIME(9, 0, 0)) * 24 * A419</f>
        <v>#N/A</v>
      </c>
      <c r="D419" s="419" t="str">
        <f>MAX(0, Attendance!D419 - TIME(18, 0, 0)) * 24 * 1.5 * A419</f>
        <v>#N/A</v>
      </c>
      <c r="E419" s="418">
        <f>IF(AND(Attendance!E419&lt;&gt;"Friday", Attendance!C419&lt;&gt;""), B419, 0)</f>
        <v>0</v>
      </c>
      <c r="F419" s="420" t="str">
        <f>Attendance!B419</f>
        <v/>
      </c>
      <c r="G419" s="415" t="str">
        <f>Attendance!A419</f>
        <v/>
      </c>
      <c r="H419" s="420" t="str">
        <f>IFERROR(__xludf.DUMMYFUNCTION("REGEXREPLACE(F419, ""\d+$"", """")"),"")</f>
        <v/>
      </c>
    </row>
    <row r="420" ht="22.5" customHeight="1">
      <c r="A420" s="417" t="str">
        <f>VLOOKUP(F420, Employees!$A$2:$C957, 3, FALSE)</f>
        <v>#N/A</v>
      </c>
      <c r="B420" s="418">
        <f>100000 / (DAY(EOMONTH(Attendance!A420,0)) - 4)</f>
        <v>3703.703704</v>
      </c>
      <c r="C420" s="417" t="str">
        <f>MAX(0, Attendance!C420 - TIME(9, 0, 0)) * 24 * A420</f>
        <v>#N/A</v>
      </c>
      <c r="D420" s="419" t="str">
        <f>MAX(0, Attendance!D420 - TIME(18, 0, 0)) * 24 * 1.5 * A420</f>
        <v>#N/A</v>
      </c>
      <c r="E420" s="418">
        <f>IF(AND(Attendance!E420&lt;&gt;"Friday", Attendance!C420&lt;&gt;""), B420, 0)</f>
        <v>0</v>
      </c>
      <c r="F420" s="420" t="str">
        <f>Attendance!B420</f>
        <v/>
      </c>
      <c r="G420" s="415" t="str">
        <f>Attendance!A420</f>
        <v/>
      </c>
      <c r="H420" s="420" t="str">
        <f>IFERROR(__xludf.DUMMYFUNCTION("REGEXREPLACE(F420, ""\d+$"", """")"),"")</f>
        <v/>
      </c>
    </row>
    <row r="421" ht="22.5" customHeight="1">
      <c r="A421" s="417" t="str">
        <f>VLOOKUP(F421, Employees!$A$2:$C957, 3, FALSE)</f>
        <v>#N/A</v>
      </c>
      <c r="B421" s="418">
        <f>100000 / (DAY(EOMONTH(Attendance!A421,0)) - 4)</f>
        <v>3703.703704</v>
      </c>
      <c r="C421" s="417" t="str">
        <f>MAX(0, Attendance!C421 - TIME(9, 0, 0)) * 24 * A421</f>
        <v>#N/A</v>
      </c>
      <c r="D421" s="419" t="str">
        <f>MAX(0, Attendance!D421 - TIME(18, 0, 0)) * 24 * 1.5 * A421</f>
        <v>#N/A</v>
      </c>
      <c r="E421" s="418">
        <f>IF(AND(Attendance!E421&lt;&gt;"Friday", Attendance!C421&lt;&gt;""), B421, 0)</f>
        <v>0</v>
      </c>
      <c r="F421" s="420" t="str">
        <f>Attendance!B421</f>
        <v/>
      </c>
      <c r="G421" s="415" t="str">
        <f>Attendance!A421</f>
        <v/>
      </c>
      <c r="H421" s="420" t="str">
        <f>IFERROR(__xludf.DUMMYFUNCTION("REGEXREPLACE(F421, ""\d+$"", """")"),"")</f>
        <v/>
      </c>
    </row>
    <row r="422" ht="22.5" customHeight="1">
      <c r="A422" s="417" t="str">
        <f>VLOOKUP(F422, Employees!$A$2:$C957, 3, FALSE)</f>
        <v>#N/A</v>
      </c>
      <c r="B422" s="418">
        <f>100000 / (DAY(EOMONTH(Attendance!A422,0)) - 4)</f>
        <v>3703.703704</v>
      </c>
      <c r="C422" s="417" t="str">
        <f>MAX(0, Attendance!C422 - TIME(9, 0, 0)) * 24 * A422</f>
        <v>#N/A</v>
      </c>
      <c r="D422" s="419" t="str">
        <f>MAX(0, Attendance!D422 - TIME(18, 0, 0)) * 24 * 1.5 * A422</f>
        <v>#N/A</v>
      </c>
      <c r="E422" s="418">
        <f>IF(AND(Attendance!E422&lt;&gt;"Friday", Attendance!C422&lt;&gt;""), B422, 0)</f>
        <v>0</v>
      </c>
      <c r="F422" s="420" t="str">
        <f>Attendance!B422</f>
        <v/>
      </c>
      <c r="G422" s="415" t="str">
        <f>Attendance!A422</f>
        <v/>
      </c>
      <c r="H422" s="420" t="str">
        <f>IFERROR(__xludf.DUMMYFUNCTION("REGEXREPLACE(F422, ""\d+$"", """")"),"")</f>
        <v/>
      </c>
    </row>
    <row r="423" ht="22.5" customHeight="1">
      <c r="A423" s="417" t="str">
        <f>VLOOKUP(F423, Employees!$A$2:$C957, 3, FALSE)</f>
        <v>#N/A</v>
      </c>
      <c r="B423" s="418">
        <f>100000 / (DAY(EOMONTH(Attendance!A423,0)) - 4)</f>
        <v>3703.703704</v>
      </c>
      <c r="C423" s="417" t="str">
        <f>MAX(0, Attendance!C423 - TIME(9, 0, 0)) * 24 * A423</f>
        <v>#N/A</v>
      </c>
      <c r="D423" s="419" t="str">
        <f>MAX(0, Attendance!D423 - TIME(18, 0, 0)) * 24 * 1.5 * A423</f>
        <v>#N/A</v>
      </c>
      <c r="E423" s="418">
        <f>IF(AND(Attendance!E423&lt;&gt;"Friday", Attendance!C423&lt;&gt;""), B423, 0)</f>
        <v>0</v>
      </c>
      <c r="F423" s="420" t="str">
        <f>Attendance!B423</f>
        <v/>
      </c>
      <c r="G423" s="415" t="str">
        <f>Attendance!A423</f>
        <v/>
      </c>
      <c r="H423" s="420" t="str">
        <f>IFERROR(__xludf.DUMMYFUNCTION("REGEXREPLACE(F423, ""\d+$"", """")"),"")</f>
        <v/>
      </c>
    </row>
    <row r="424" ht="22.5" customHeight="1">
      <c r="A424" s="417" t="str">
        <f>VLOOKUP(F424, Employees!$A$2:$C957, 3, FALSE)</f>
        <v>#N/A</v>
      </c>
      <c r="B424" s="418">
        <f>100000 / (DAY(EOMONTH(Attendance!A424,0)) - 4)</f>
        <v>3703.703704</v>
      </c>
      <c r="C424" s="417" t="str">
        <f>MAX(0, Attendance!C424 - TIME(9, 0, 0)) * 24 * A424</f>
        <v>#N/A</v>
      </c>
      <c r="D424" s="419" t="str">
        <f>MAX(0, Attendance!D424 - TIME(18, 0, 0)) * 24 * 1.5 * A424</f>
        <v>#N/A</v>
      </c>
      <c r="E424" s="418">
        <f>IF(AND(Attendance!E424&lt;&gt;"Friday", Attendance!C424&lt;&gt;""), B424, 0)</f>
        <v>0</v>
      </c>
      <c r="F424" s="420" t="str">
        <f>Attendance!B424</f>
        <v/>
      </c>
      <c r="G424" s="415" t="str">
        <f>Attendance!A424</f>
        <v/>
      </c>
      <c r="H424" s="420" t="str">
        <f>IFERROR(__xludf.DUMMYFUNCTION("REGEXREPLACE(F424, ""\d+$"", """")"),"")</f>
        <v/>
      </c>
    </row>
    <row r="425" ht="22.5" customHeight="1">
      <c r="A425" s="417" t="str">
        <f>VLOOKUP(F425, Employees!$A$2:$C957, 3, FALSE)</f>
        <v>#N/A</v>
      </c>
      <c r="B425" s="418">
        <f>100000 / (DAY(EOMONTH(Attendance!A425,0)) - 4)</f>
        <v>3703.703704</v>
      </c>
      <c r="C425" s="417" t="str">
        <f>MAX(0, Attendance!C425 - TIME(9, 0, 0)) * 24 * A425</f>
        <v>#N/A</v>
      </c>
      <c r="D425" s="419" t="str">
        <f>MAX(0, Attendance!D425 - TIME(18, 0, 0)) * 24 * 1.5 * A425</f>
        <v>#N/A</v>
      </c>
      <c r="E425" s="418">
        <f>IF(AND(Attendance!E425&lt;&gt;"Friday", Attendance!C425&lt;&gt;""), B425, 0)</f>
        <v>0</v>
      </c>
      <c r="F425" s="420" t="str">
        <f>Attendance!B425</f>
        <v/>
      </c>
      <c r="G425" s="415" t="str">
        <f>Attendance!A425</f>
        <v/>
      </c>
      <c r="H425" s="420" t="str">
        <f>IFERROR(__xludf.DUMMYFUNCTION("REGEXREPLACE(F425, ""\d+$"", """")"),"")</f>
        <v/>
      </c>
    </row>
    <row r="426" ht="22.5" customHeight="1">
      <c r="A426" s="417" t="str">
        <f>VLOOKUP(F426, Employees!$A$2:$C957, 3, FALSE)</f>
        <v>#N/A</v>
      </c>
      <c r="B426" s="418">
        <f>100000 / (DAY(EOMONTH(Attendance!A426,0)) - 4)</f>
        <v>3703.703704</v>
      </c>
      <c r="C426" s="417" t="str">
        <f>MAX(0, Attendance!C426 - TIME(9, 0, 0)) * 24 * A426</f>
        <v>#N/A</v>
      </c>
      <c r="D426" s="419" t="str">
        <f>MAX(0, Attendance!D426 - TIME(18, 0, 0)) * 24 * 1.5 * A426</f>
        <v>#N/A</v>
      </c>
      <c r="E426" s="418">
        <f>IF(AND(Attendance!E426&lt;&gt;"Friday", Attendance!C426&lt;&gt;""), B426, 0)</f>
        <v>0</v>
      </c>
      <c r="F426" s="420" t="str">
        <f>Attendance!B426</f>
        <v/>
      </c>
      <c r="G426" s="415" t="str">
        <f>Attendance!A426</f>
        <v/>
      </c>
      <c r="H426" s="420" t="str">
        <f>IFERROR(__xludf.DUMMYFUNCTION("REGEXREPLACE(F426, ""\d+$"", """")"),"")</f>
        <v/>
      </c>
    </row>
    <row r="427" ht="22.5" customHeight="1">
      <c r="A427" s="417" t="str">
        <f>VLOOKUP(F427, Employees!$A$2:$C957, 3, FALSE)</f>
        <v>#N/A</v>
      </c>
      <c r="B427" s="418">
        <f>100000 / (DAY(EOMONTH(Attendance!A427,0)) - 4)</f>
        <v>3703.703704</v>
      </c>
      <c r="C427" s="417" t="str">
        <f>MAX(0, Attendance!C427 - TIME(9, 0, 0)) * 24 * A427</f>
        <v>#N/A</v>
      </c>
      <c r="D427" s="419" t="str">
        <f>MAX(0, Attendance!D427 - TIME(18, 0, 0)) * 24 * 1.5 * A427</f>
        <v>#N/A</v>
      </c>
      <c r="E427" s="418">
        <f>IF(AND(Attendance!E427&lt;&gt;"Friday", Attendance!C427&lt;&gt;""), B427, 0)</f>
        <v>0</v>
      </c>
      <c r="F427" s="420" t="str">
        <f>Attendance!B427</f>
        <v/>
      </c>
      <c r="G427" s="415" t="str">
        <f>Attendance!A427</f>
        <v/>
      </c>
      <c r="H427" s="420" t="str">
        <f>IFERROR(__xludf.DUMMYFUNCTION("REGEXREPLACE(F427, ""\d+$"", """")"),"")</f>
        <v/>
      </c>
    </row>
    <row r="428" ht="22.5" customHeight="1">
      <c r="A428" s="417" t="str">
        <f>VLOOKUP(F428, Employees!$A$2:$C957, 3, FALSE)</f>
        <v>#N/A</v>
      </c>
      <c r="B428" s="418">
        <f>100000 / (DAY(EOMONTH(Attendance!A428,0)) - 4)</f>
        <v>3703.703704</v>
      </c>
      <c r="C428" s="417" t="str">
        <f>MAX(0, Attendance!C428 - TIME(9, 0, 0)) * 24 * A428</f>
        <v>#N/A</v>
      </c>
      <c r="D428" s="419" t="str">
        <f>MAX(0, Attendance!D428 - TIME(18, 0, 0)) * 24 * 1.5 * A428</f>
        <v>#N/A</v>
      </c>
      <c r="E428" s="418">
        <f>IF(AND(Attendance!E428&lt;&gt;"Friday", Attendance!C428&lt;&gt;""), B428, 0)</f>
        <v>0</v>
      </c>
      <c r="F428" s="420" t="str">
        <f>Attendance!B428</f>
        <v/>
      </c>
      <c r="G428" s="415" t="str">
        <f>Attendance!A428</f>
        <v/>
      </c>
      <c r="H428" s="420" t="str">
        <f>IFERROR(__xludf.DUMMYFUNCTION("REGEXREPLACE(F428, ""\d+$"", """")"),"")</f>
        <v/>
      </c>
    </row>
    <row r="429" ht="22.5" customHeight="1">
      <c r="A429" s="417" t="str">
        <f>VLOOKUP(F429, Employees!$A$2:$C957, 3, FALSE)</f>
        <v>#N/A</v>
      </c>
      <c r="B429" s="418">
        <f>100000 / (DAY(EOMONTH(Attendance!A429,0)) - 4)</f>
        <v>3703.703704</v>
      </c>
      <c r="C429" s="417" t="str">
        <f>MAX(0, Attendance!C429 - TIME(9, 0, 0)) * 24 * A429</f>
        <v>#N/A</v>
      </c>
      <c r="D429" s="419" t="str">
        <f>MAX(0, Attendance!D429 - TIME(18, 0, 0)) * 24 * 1.5 * A429</f>
        <v>#N/A</v>
      </c>
      <c r="E429" s="418">
        <f>IF(AND(Attendance!E429&lt;&gt;"Friday", Attendance!C429&lt;&gt;""), B429, 0)</f>
        <v>0</v>
      </c>
      <c r="F429" s="420" t="str">
        <f>Attendance!B429</f>
        <v/>
      </c>
      <c r="G429" s="415" t="str">
        <f>Attendance!A429</f>
        <v/>
      </c>
      <c r="H429" s="420" t="str">
        <f>IFERROR(__xludf.DUMMYFUNCTION("REGEXREPLACE(F429, ""\d+$"", """")"),"")</f>
        <v/>
      </c>
    </row>
    <row r="430" ht="22.5" customHeight="1">
      <c r="A430" s="417" t="str">
        <f>VLOOKUP(F430, Employees!$A$2:$C957, 3, FALSE)</f>
        <v>#N/A</v>
      </c>
      <c r="B430" s="418">
        <f>100000 / (DAY(EOMONTH(Attendance!A430,0)) - 4)</f>
        <v>3703.703704</v>
      </c>
      <c r="C430" s="417" t="str">
        <f>MAX(0, Attendance!C430 - TIME(9, 0, 0)) * 24 * A430</f>
        <v>#N/A</v>
      </c>
      <c r="D430" s="419" t="str">
        <f>MAX(0, Attendance!D430 - TIME(18, 0, 0)) * 24 * 1.5 * A430</f>
        <v>#N/A</v>
      </c>
      <c r="E430" s="418">
        <f>IF(AND(Attendance!E430&lt;&gt;"Friday", Attendance!C430&lt;&gt;""), B430, 0)</f>
        <v>0</v>
      </c>
      <c r="F430" s="420" t="str">
        <f>Attendance!B430</f>
        <v/>
      </c>
      <c r="G430" s="415" t="str">
        <f>Attendance!A430</f>
        <v/>
      </c>
      <c r="H430" s="420" t="str">
        <f>IFERROR(__xludf.DUMMYFUNCTION("REGEXREPLACE(F430, ""\d+$"", """")"),"")</f>
        <v/>
      </c>
    </row>
    <row r="431" ht="22.5" customHeight="1">
      <c r="A431" s="417" t="str">
        <f>VLOOKUP(F431, Employees!$A$2:$C957, 3, FALSE)</f>
        <v>#N/A</v>
      </c>
      <c r="B431" s="418">
        <f>100000 / (DAY(EOMONTH(Attendance!A431,0)) - 4)</f>
        <v>3703.703704</v>
      </c>
      <c r="C431" s="417" t="str">
        <f>MAX(0, Attendance!C431 - TIME(9, 0, 0)) * 24 * A431</f>
        <v>#N/A</v>
      </c>
      <c r="D431" s="419" t="str">
        <f>MAX(0, Attendance!D431 - TIME(18, 0, 0)) * 24 * 1.5 * A431</f>
        <v>#N/A</v>
      </c>
      <c r="E431" s="418">
        <f>IF(AND(Attendance!E431&lt;&gt;"Friday", Attendance!C431&lt;&gt;""), B431, 0)</f>
        <v>0</v>
      </c>
      <c r="F431" s="420" t="str">
        <f>Attendance!B431</f>
        <v/>
      </c>
      <c r="G431" s="415" t="str">
        <f>Attendance!A431</f>
        <v/>
      </c>
      <c r="H431" s="420" t="str">
        <f>IFERROR(__xludf.DUMMYFUNCTION("REGEXREPLACE(F431, ""\d+$"", """")"),"")</f>
        <v/>
      </c>
    </row>
    <row r="432" ht="22.5" customHeight="1">
      <c r="A432" s="417" t="str">
        <f>VLOOKUP(F432, Employees!$A$2:$C957, 3, FALSE)</f>
        <v>#N/A</v>
      </c>
      <c r="B432" s="418">
        <f>100000 / (DAY(EOMONTH(Attendance!A432,0)) - 4)</f>
        <v>3703.703704</v>
      </c>
      <c r="C432" s="417" t="str">
        <f>MAX(0, Attendance!C432 - TIME(9, 0, 0)) * 24 * A432</f>
        <v>#N/A</v>
      </c>
      <c r="D432" s="419" t="str">
        <f>MAX(0, Attendance!D432 - TIME(18, 0, 0)) * 24 * 1.5 * A432</f>
        <v>#N/A</v>
      </c>
      <c r="E432" s="418">
        <f>IF(AND(Attendance!E432&lt;&gt;"Friday", Attendance!C432&lt;&gt;""), B432, 0)</f>
        <v>0</v>
      </c>
      <c r="F432" s="420" t="str">
        <f>Attendance!B432</f>
        <v/>
      </c>
      <c r="G432" s="415" t="str">
        <f>Attendance!A432</f>
        <v/>
      </c>
      <c r="H432" s="420" t="str">
        <f>IFERROR(__xludf.DUMMYFUNCTION("REGEXREPLACE(F432, ""\d+$"", """")"),"")</f>
        <v/>
      </c>
    </row>
    <row r="433" ht="22.5" customHeight="1">
      <c r="A433" s="417" t="str">
        <f>VLOOKUP(F433, Employees!$A$2:$C957, 3, FALSE)</f>
        <v>#N/A</v>
      </c>
      <c r="B433" s="418">
        <f>100000 / (DAY(EOMONTH(Attendance!A433,0)) - 4)</f>
        <v>3703.703704</v>
      </c>
      <c r="C433" s="417" t="str">
        <f>MAX(0, Attendance!C433 - TIME(9, 0, 0)) * 24 * A433</f>
        <v>#N/A</v>
      </c>
      <c r="D433" s="419" t="str">
        <f>MAX(0, Attendance!D433 - TIME(18, 0, 0)) * 24 * 1.5 * A433</f>
        <v>#N/A</v>
      </c>
      <c r="E433" s="418">
        <f>IF(AND(Attendance!E433&lt;&gt;"Friday", Attendance!C433&lt;&gt;""), B433, 0)</f>
        <v>0</v>
      </c>
      <c r="F433" s="420" t="str">
        <f>Attendance!B433</f>
        <v/>
      </c>
      <c r="G433" s="415" t="str">
        <f>Attendance!A433</f>
        <v/>
      </c>
      <c r="H433" s="420" t="str">
        <f>IFERROR(__xludf.DUMMYFUNCTION("REGEXREPLACE(F433, ""\d+$"", """")"),"")</f>
        <v/>
      </c>
    </row>
    <row r="434" ht="22.5" customHeight="1">
      <c r="A434" s="417" t="str">
        <f>VLOOKUP(F434, Employees!$A$2:$C957, 3, FALSE)</f>
        <v>#N/A</v>
      </c>
      <c r="B434" s="418">
        <f>100000 / (DAY(EOMONTH(Attendance!A434,0)) - 4)</f>
        <v>3703.703704</v>
      </c>
      <c r="C434" s="417" t="str">
        <f>MAX(0, Attendance!C434 - TIME(9, 0, 0)) * 24 * A434</f>
        <v>#N/A</v>
      </c>
      <c r="D434" s="419" t="str">
        <f>MAX(0, Attendance!D434 - TIME(18, 0, 0)) * 24 * 1.5 * A434</f>
        <v>#N/A</v>
      </c>
      <c r="E434" s="418">
        <f>IF(AND(Attendance!E434&lt;&gt;"Friday", Attendance!C434&lt;&gt;""), B434, 0)</f>
        <v>0</v>
      </c>
      <c r="F434" s="420" t="str">
        <f>Attendance!B434</f>
        <v/>
      </c>
      <c r="G434" s="415" t="str">
        <f>Attendance!A434</f>
        <v/>
      </c>
      <c r="H434" s="420" t="str">
        <f>IFERROR(__xludf.DUMMYFUNCTION("REGEXREPLACE(F434, ""\d+$"", """")"),"")</f>
        <v/>
      </c>
    </row>
    <row r="435" ht="22.5" customHeight="1">
      <c r="A435" s="417" t="str">
        <f>VLOOKUP(F435, Employees!$A$2:$C957, 3, FALSE)</f>
        <v>#N/A</v>
      </c>
      <c r="B435" s="418">
        <f>100000 / (DAY(EOMONTH(Attendance!A435,0)) - 4)</f>
        <v>3703.703704</v>
      </c>
      <c r="C435" s="417" t="str">
        <f>MAX(0, Attendance!C435 - TIME(9, 0, 0)) * 24 * A435</f>
        <v>#N/A</v>
      </c>
      <c r="D435" s="419" t="str">
        <f>MAX(0, Attendance!D435 - TIME(18, 0, 0)) * 24 * 1.5 * A435</f>
        <v>#N/A</v>
      </c>
      <c r="E435" s="418">
        <f>IF(AND(Attendance!E435&lt;&gt;"Friday", Attendance!C435&lt;&gt;""), B435, 0)</f>
        <v>0</v>
      </c>
      <c r="F435" s="420" t="str">
        <f>Attendance!B435</f>
        <v/>
      </c>
      <c r="G435" s="415" t="str">
        <f>Attendance!A435</f>
        <v/>
      </c>
      <c r="H435" s="420" t="str">
        <f>IFERROR(__xludf.DUMMYFUNCTION("REGEXREPLACE(F435, ""\d+$"", """")"),"")</f>
        <v/>
      </c>
    </row>
    <row r="436" ht="22.5" customHeight="1">
      <c r="A436" s="417" t="str">
        <f>VLOOKUP(F436, Employees!$A$2:$C957, 3, FALSE)</f>
        <v>#N/A</v>
      </c>
      <c r="B436" s="418">
        <f>100000 / (DAY(EOMONTH(Attendance!A436,0)) - 4)</f>
        <v>3703.703704</v>
      </c>
      <c r="C436" s="417" t="str">
        <f>MAX(0, Attendance!C436 - TIME(9, 0, 0)) * 24 * A436</f>
        <v>#N/A</v>
      </c>
      <c r="D436" s="419" t="str">
        <f>MAX(0, Attendance!D436 - TIME(18, 0, 0)) * 24 * 1.5 * A436</f>
        <v>#N/A</v>
      </c>
      <c r="E436" s="418">
        <f>IF(AND(Attendance!E436&lt;&gt;"Friday", Attendance!C436&lt;&gt;""), B436, 0)</f>
        <v>0</v>
      </c>
      <c r="F436" s="420" t="str">
        <f>Attendance!B436</f>
        <v/>
      </c>
      <c r="G436" s="415" t="str">
        <f>Attendance!A436</f>
        <v/>
      </c>
      <c r="H436" s="420" t="str">
        <f>IFERROR(__xludf.DUMMYFUNCTION("REGEXREPLACE(F436, ""\d+$"", """")"),"")</f>
        <v/>
      </c>
    </row>
    <row r="437" ht="22.5" customHeight="1">
      <c r="A437" s="417" t="str">
        <f>VLOOKUP(F437, Employees!$A$2:$C957, 3, FALSE)</f>
        <v>#N/A</v>
      </c>
      <c r="B437" s="418">
        <f>100000 / (DAY(EOMONTH(Attendance!A437,0)) - 4)</f>
        <v>3703.703704</v>
      </c>
      <c r="C437" s="417" t="str">
        <f>MAX(0, Attendance!C437 - TIME(9, 0, 0)) * 24 * A437</f>
        <v>#N/A</v>
      </c>
      <c r="D437" s="419" t="str">
        <f>MAX(0, Attendance!D437 - TIME(18, 0, 0)) * 24 * 1.5 * A437</f>
        <v>#N/A</v>
      </c>
      <c r="E437" s="418">
        <f>IF(AND(Attendance!E437&lt;&gt;"Friday", Attendance!C437&lt;&gt;""), B437, 0)</f>
        <v>0</v>
      </c>
      <c r="F437" s="420" t="str">
        <f>Attendance!B437</f>
        <v/>
      </c>
      <c r="G437" s="415" t="str">
        <f>Attendance!A437</f>
        <v/>
      </c>
      <c r="H437" s="420" t="str">
        <f>IFERROR(__xludf.DUMMYFUNCTION("REGEXREPLACE(F437, ""\d+$"", """")"),"")</f>
        <v/>
      </c>
    </row>
    <row r="438" ht="22.5" customHeight="1">
      <c r="A438" s="417" t="str">
        <f>VLOOKUP(F438, Employees!$A$2:$C957, 3, FALSE)</f>
        <v>#N/A</v>
      </c>
      <c r="B438" s="418">
        <f>100000 / (DAY(EOMONTH(Attendance!A438,0)) - 4)</f>
        <v>3703.703704</v>
      </c>
      <c r="C438" s="417" t="str">
        <f>MAX(0, Attendance!C438 - TIME(9, 0, 0)) * 24 * A438</f>
        <v>#N/A</v>
      </c>
      <c r="D438" s="419" t="str">
        <f>MAX(0, Attendance!D438 - TIME(18, 0, 0)) * 24 * 1.5 * A438</f>
        <v>#N/A</v>
      </c>
      <c r="E438" s="418">
        <f>IF(AND(Attendance!E438&lt;&gt;"Friday", Attendance!C438&lt;&gt;""), B438, 0)</f>
        <v>0</v>
      </c>
      <c r="F438" s="420" t="str">
        <f>Attendance!B438</f>
        <v/>
      </c>
      <c r="G438" s="415" t="str">
        <f>Attendance!A438</f>
        <v/>
      </c>
      <c r="H438" s="420" t="str">
        <f>IFERROR(__xludf.DUMMYFUNCTION("REGEXREPLACE(F438, ""\d+$"", """")"),"")</f>
        <v/>
      </c>
    </row>
    <row r="439" ht="22.5" customHeight="1">
      <c r="A439" s="417" t="str">
        <f>VLOOKUP(F439, Employees!$A$2:$C957, 3, FALSE)</f>
        <v>#N/A</v>
      </c>
      <c r="B439" s="418">
        <f>100000 / (DAY(EOMONTH(Attendance!A439,0)) - 4)</f>
        <v>3703.703704</v>
      </c>
      <c r="C439" s="417" t="str">
        <f>MAX(0, Attendance!C439 - TIME(9, 0, 0)) * 24 * A439</f>
        <v>#N/A</v>
      </c>
      <c r="D439" s="419" t="str">
        <f>MAX(0, Attendance!D439 - TIME(18, 0, 0)) * 24 * 1.5 * A439</f>
        <v>#N/A</v>
      </c>
      <c r="E439" s="418">
        <f>IF(AND(Attendance!E439&lt;&gt;"Friday", Attendance!C439&lt;&gt;""), B439, 0)</f>
        <v>0</v>
      </c>
      <c r="F439" s="420" t="str">
        <f>Attendance!B439</f>
        <v/>
      </c>
      <c r="G439" s="415" t="str">
        <f>Attendance!A439</f>
        <v/>
      </c>
      <c r="H439" s="420" t="str">
        <f>IFERROR(__xludf.DUMMYFUNCTION("REGEXREPLACE(F439, ""\d+$"", """")"),"")</f>
        <v/>
      </c>
    </row>
    <row r="440" ht="22.5" customHeight="1">
      <c r="A440" s="417" t="str">
        <f>VLOOKUP(F440, Employees!$A$2:$C957, 3, FALSE)</f>
        <v>#N/A</v>
      </c>
      <c r="B440" s="418">
        <f>100000 / (DAY(EOMONTH(Attendance!A440,0)) - 4)</f>
        <v>3703.703704</v>
      </c>
      <c r="C440" s="417" t="str">
        <f>MAX(0, Attendance!C440 - TIME(9, 0, 0)) * 24 * A440</f>
        <v>#N/A</v>
      </c>
      <c r="D440" s="419" t="str">
        <f>MAX(0, Attendance!D440 - TIME(18, 0, 0)) * 24 * 1.5 * A440</f>
        <v>#N/A</v>
      </c>
      <c r="E440" s="418">
        <f>IF(AND(Attendance!E440&lt;&gt;"Friday", Attendance!C440&lt;&gt;""), B440, 0)</f>
        <v>0</v>
      </c>
      <c r="F440" s="420" t="str">
        <f>Attendance!B440</f>
        <v/>
      </c>
      <c r="G440" s="415" t="str">
        <f>Attendance!A440</f>
        <v/>
      </c>
      <c r="H440" s="420" t="str">
        <f>IFERROR(__xludf.DUMMYFUNCTION("REGEXREPLACE(F440, ""\d+$"", """")"),"")</f>
        <v/>
      </c>
    </row>
    <row r="441" ht="22.5" customHeight="1">
      <c r="A441" s="417" t="str">
        <f>VLOOKUP(F441, Employees!$A$2:$C957, 3, FALSE)</f>
        <v>#N/A</v>
      </c>
      <c r="B441" s="418">
        <f>100000 / (DAY(EOMONTH(Attendance!A441,0)) - 4)</f>
        <v>3703.703704</v>
      </c>
      <c r="C441" s="417" t="str">
        <f>MAX(0, Attendance!C441 - TIME(9, 0, 0)) * 24 * A441</f>
        <v>#N/A</v>
      </c>
      <c r="D441" s="419" t="str">
        <f>MAX(0, Attendance!D441 - TIME(18, 0, 0)) * 24 * 1.5 * A441</f>
        <v>#N/A</v>
      </c>
      <c r="E441" s="418">
        <f>IF(AND(Attendance!E441&lt;&gt;"Friday", Attendance!C441&lt;&gt;""), B441, 0)</f>
        <v>0</v>
      </c>
      <c r="F441" s="420" t="str">
        <f>Attendance!B441</f>
        <v/>
      </c>
      <c r="G441" s="415" t="str">
        <f>Attendance!A441</f>
        <v/>
      </c>
      <c r="H441" s="420" t="str">
        <f>IFERROR(__xludf.DUMMYFUNCTION("REGEXREPLACE(F441, ""\d+$"", """")"),"")</f>
        <v/>
      </c>
    </row>
    <row r="442" ht="22.5" customHeight="1">
      <c r="A442" s="417" t="str">
        <f>VLOOKUP(F442, Employees!$A$2:$C957, 3, FALSE)</f>
        <v>#N/A</v>
      </c>
      <c r="B442" s="418">
        <f>100000 / (DAY(EOMONTH(Attendance!A442,0)) - 4)</f>
        <v>3703.703704</v>
      </c>
      <c r="C442" s="417" t="str">
        <f>MAX(0, Attendance!C442 - TIME(9, 0, 0)) * 24 * A442</f>
        <v>#N/A</v>
      </c>
      <c r="D442" s="419" t="str">
        <f>MAX(0, Attendance!D442 - TIME(18, 0, 0)) * 24 * 1.5 * A442</f>
        <v>#N/A</v>
      </c>
      <c r="E442" s="418">
        <f>IF(AND(Attendance!E442&lt;&gt;"Friday", Attendance!C442&lt;&gt;""), B442, 0)</f>
        <v>0</v>
      </c>
      <c r="F442" s="420" t="str">
        <f>Attendance!B442</f>
        <v/>
      </c>
      <c r="G442" s="415" t="str">
        <f>Attendance!A442</f>
        <v/>
      </c>
      <c r="H442" s="420" t="str">
        <f>IFERROR(__xludf.DUMMYFUNCTION("REGEXREPLACE(F442, ""\d+$"", """")"),"")</f>
        <v/>
      </c>
    </row>
    <row r="443" ht="22.5" customHeight="1">
      <c r="A443" s="417" t="str">
        <f>VLOOKUP(F443, Employees!$A$2:$C957, 3, FALSE)</f>
        <v>#N/A</v>
      </c>
      <c r="B443" s="418">
        <f>100000 / (DAY(EOMONTH(Attendance!A443,0)) - 4)</f>
        <v>3703.703704</v>
      </c>
      <c r="C443" s="417" t="str">
        <f>MAX(0, Attendance!C443 - TIME(9, 0, 0)) * 24 * A443</f>
        <v>#N/A</v>
      </c>
      <c r="D443" s="419" t="str">
        <f>MAX(0, Attendance!D443 - TIME(18, 0, 0)) * 24 * 1.5 * A443</f>
        <v>#N/A</v>
      </c>
      <c r="E443" s="418">
        <f>IF(AND(Attendance!E443&lt;&gt;"Friday", Attendance!C443&lt;&gt;""), B443, 0)</f>
        <v>0</v>
      </c>
      <c r="F443" s="420" t="str">
        <f>Attendance!B443</f>
        <v/>
      </c>
      <c r="G443" s="415" t="str">
        <f>Attendance!A443</f>
        <v/>
      </c>
      <c r="H443" s="420" t="str">
        <f>IFERROR(__xludf.DUMMYFUNCTION("REGEXREPLACE(F443, ""\d+$"", """")"),"")</f>
        <v/>
      </c>
    </row>
    <row r="444" ht="22.5" customHeight="1">
      <c r="A444" s="417" t="str">
        <f>VLOOKUP(F444, Employees!$A$2:$C957, 3, FALSE)</f>
        <v>#N/A</v>
      </c>
      <c r="B444" s="418">
        <f>100000 / (DAY(EOMONTH(Attendance!A444,0)) - 4)</f>
        <v>3703.703704</v>
      </c>
      <c r="C444" s="417" t="str">
        <f>MAX(0, Attendance!C444 - TIME(9, 0, 0)) * 24 * A444</f>
        <v>#N/A</v>
      </c>
      <c r="D444" s="419" t="str">
        <f>MAX(0, Attendance!D444 - TIME(18, 0, 0)) * 24 * 1.5 * A444</f>
        <v>#N/A</v>
      </c>
      <c r="E444" s="418">
        <f>IF(AND(Attendance!E444&lt;&gt;"Friday", Attendance!C444&lt;&gt;""), B444, 0)</f>
        <v>0</v>
      </c>
      <c r="F444" s="420" t="str">
        <f>Attendance!B444</f>
        <v/>
      </c>
      <c r="G444" s="415" t="str">
        <f>Attendance!A444</f>
        <v/>
      </c>
      <c r="H444" s="420" t="str">
        <f>IFERROR(__xludf.DUMMYFUNCTION("REGEXREPLACE(F444, ""\d+$"", """")"),"")</f>
        <v/>
      </c>
    </row>
    <row r="445" ht="22.5" customHeight="1">
      <c r="A445" s="417" t="str">
        <f>VLOOKUP(F445, Employees!$A$2:$C957, 3, FALSE)</f>
        <v>#N/A</v>
      </c>
      <c r="B445" s="418">
        <f>100000 / (DAY(EOMONTH(Attendance!A445,0)) - 4)</f>
        <v>3703.703704</v>
      </c>
      <c r="C445" s="417" t="str">
        <f>MAX(0, Attendance!C445 - TIME(9, 0, 0)) * 24 * A445</f>
        <v>#N/A</v>
      </c>
      <c r="D445" s="419" t="str">
        <f>MAX(0, Attendance!D445 - TIME(18, 0, 0)) * 24 * 1.5 * A445</f>
        <v>#N/A</v>
      </c>
      <c r="E445" s="418">
        <f>IF(AND(Attendance!E445&lt;&gt;"Friday", Attendance!C445&lt;&gt;""), B445, 0)</f>
        <v>0</v>
      </c>
      <c r="F445" s="420" t="str">
        <f>Attendance!B445</f>
        <v/>
      </c>
      <c r="G445" s="415" t="str">
        <f>Attendance!A445</f>
        <v/>
      </c>
      <c r="H445" s="420" t="str">
        <f>IFERROR(__xludf.DUMMYFUNCTION("REGEXREPLACE(F445, ""\d+$"", """")"),"")</f>
        <v/>
      </c>
    </row>
    <row r="446" ht="22.5" customHeight="1">
      <c r="A446" s="417" t="str">
        <f>VLOOKUP(F446, Employees!$A$2:$C957, 3, FALSE)</f>
        <v>#N/A</v>
      </c>
      <c r="B446" s="418">
        <f>100000 / (DAY(EOMONTH(Attendance!A446,0)) - 4)</f>
        <v>3703.703704</v>
      </c>
      <c r="C446" s="417" t="str">
        <f>MAX(0, Attendance!C446 - TIME(9, 0, 0)) * 24 * A446</f>
        <v>#N/A</v>
      </c>
      <c r="D446" s="419" t="str">
        <f>MAX(0, Attendance!D446 - TIME(18, 0, 0)) * 24 * 1.5 * A446</f>
        <v>#N/A</v>
      </c>
      <c r="E446" s="418">
        <f>IF(AND(Attendance!E446&lt;&gt;"Friday", Attendance!C446&lt;&gt;""), B446, 0)</f>
        <v>0</v>
      </c>
      <c r="F446" s="420" t="str">
        <f>Attendance!B446</f>
        <v/>
      </c>
      <c r="G446" s="415" t="str">
        <f>Attendance!A446</f>
        <v/>
      </c>
      <c r="H446" s="420" t="str">
        <f>IFERROR(__xludf.DUMMYFUNCTION("REGEXREPLACE(F446, ""\d+$"", """")"),"")</f>
        <v/>
      </c>
    </row>
    <row r="447" ht="22.5" customHeight="1">
      <c r="A447" s="417" t="str">
        <f>VLOOKUP(F447, Employees!$A$2:$C957, 3, FALSE)</f>
        <v>#N/A</v>
      </c>
      <c r="B447" s="418">
        <f>100000 / (DAY(EOMONTH(Attendance!A447,0)) - 4)</f>
        <v>3703.703704</v>
      </c>
      <c r="C447" s="417" t="str">
        <f>MAX(0, Attendance!C447 - TIME(9, 0, 0)) * 24 * A447</f>
        <v>#N/A</v>
      </c>
      <c r="D447" s="419" t="str">
        <f>MAX(0, Attendance!D447 - TIME(18, 0, 0)) * 24 * 1.5 * A447</f>
        <v>#N/A</v>
      </c>
      <c r="E447" s="418">
        <f>IF(AND(Attendance!E447&lt;&gt;"Friday", Attendance!C447&lt;&gt;""), B447, 0)</f>
        <v>0</v>
      </c>
      <c r="F447" s="420" t="str">
        <f>Attendance!B447</f>
        <v/>
      </c>
      <c r="G447" s="415" t="str">
        <f>Attendance!A447</f>
        <v/>
      </c>
      <c r="H447" s="420" t="str">
        <f>IFERROR(__xludf.DUMMYFUNCTION("REGEXREPLACE(F447, ""\d+$"", """")"),"")</f>
        <v/>
      </c>
    </row>
    <row r="448" ht="22.5" customHeight="1">
      <c r="A448" s="417" t="str">
        <f>VLOOKUP(F448, Employees!$A$2:$C957, 3, FALSE)</f>
        <v>#N/A</v>
      </c>
      <c r="B448" s="418">
        <f>100000 / (DAY(EOMONTH(Attendance!A448,0)) - 4)</f>
        <v>3703.703704</v>
      </c>
      <c r="C448" s="417" t="str">
        <f>MAX(0, Attendance!C448 - TIME(9, 0, 0)) * 24 * A448</f>
        <v>#N/A</v>
      </c>
      <c r="D448" s="419" t="str">
        <f>MAX(0, Attendance!D448 - TIME(18, 0, 0)) * 24 * 1.5 * A448</f>
        <v>#N/A</v>
      </c>
      <c r="E448" s="418">
        <f>IF(AND(Attendance!E448&lt;&gt;"Friday", Attendance!C448&lt;&gt;""), B448, 0)</f>
        <v>0</v>
      </c>
      <c r="F448" s="420" t="str">
        <f>Attendance!B448</f>
        <v/>
      </c>
      <c r="G448" s="415" t="str">
        <f>Attendance!A448</f>
        <v/>
      </c>
      <c r="H448" s="420" t="str">
        <f>IFERROR(__xludf.DUMMYFUNCTION("REGEXREPLACE(F448, ""\d+$"", """")"),"")</f>
        <v/>
      </c>
    </row>
    <row r="449" ht="22.5" customHeight="1">
      <c r="A449" s="417" t="str">
        <f>VLOOKUP(F449, Employees!$A$2:$C957, 3, FALSE)</f>
        <v>#N/A</v>
      </c>
      <c r="B449" s="418">
        <f>100000 / (DAY(EOMONTH(Attendance!A449,0)) - 4)</f>
        <v>3703.703704</v>
      </c>
      <c r="C449" s="417" t="str">
        <f>MAX(0, Attendance!C449 - TIME(9, 0, 0)) * 24 * A449</f>
        <v>#N/A</v>
      </c>
      <c r="D449" s="419" t="str">
        <f>MAX(0, Attendance!D449 - TIME(18, 0, 0)) * 24 * 1.5 * A449</f>
        <v>#N/A</v>
      </c>
      <c r="E449" s="418">
        <f>IF(AND(Attendance!E449&lt;&gt;"Friday", Attendance!C449&lt;&gt;""), B449, 0)</f>
        <v>0</v>
      </c>
      <c r="F449" s="420" t="str">
        <f>Attendance!B449</f>
        <v/>
      </c>
      <c r="G449" s="415" t="str">
        <f>Attendance!A449</f>
        <v/>
      </c>
      <c r="H449" s="420" t="str">
        <f>IFERROR(__xludf.DUMMYFUNCTION("REGEXREPLACE(F449, ""\d+$"", """")"),"")</f>
        <v/>
      </c>
    </row>
    <row r="450" ht="22.5" customHeight="1">
      <c r="A450" s="417" t="str">
        <f>VLOOKUP(F450, Employees!$A$2:$C957, 3, FALSE)</f>
        <v>#N/A</v>
      </c>
      <c r="B450" s="418">
        <f>100000 / (DAY(EOMONTH(Attendance!A450,0)) - 4)</f>
        <v>3703.703704</v>
      </c>
      <c r="C450" s="417" t="str">
        <f>MAX(0, Attendance!C450 - TIME(9, 0, 0)) * 24 * A450</f>
        <v>#N/A</v>
      </c>
      <c r="D450" s="419" t="str">
        <f>MAX(0, Attendance!D450 - TIME(18, 0, 0)) * 24 * 1.5 * A450</f>
        <v>#N/A</v>
      </c>
      <c r="E450" s="418">
        <f>IF(AND(Attendance!E450&lt;&gt;"Friday", Attendance!C450&lt;&gt;""), B450, 0)</f>
        <v>0</v>
      </c>
      <c r="F450" s="420" t="str">
        <f>Attendance!B450</f>
        <v/>
      </c>
      <c r="G450" s="415" t="str">
        <f>Attendance!A450</f>
        <v/>
      </c>
      <c r="H450" s="420" t="str">
        <f>IFERROR(__xludf.DUMMYFUNCTION("REGEXREPLACE(F450, ""\d+$"", """")"),"")</f>
        <v/>
      </c>
    </row>
    <row r="451" ht="22.5" customHeight="1">
      <c r="A451" s="417" t="str">
        <f>VLOOKUP(F451, Employees!$A$2:$C957, 3, FALSE)</f>
        <v>#N/A</v>
      </c>
      <c r="B451" s="418">
        <f>100000 / (DAY(EOMONTH(Attendance!A451,0)) - 4)</f>
        <v>3703.703704</v>
      </c>
      <c r="C451" s="417" t="str">
        <f>MAX(0, Attendance!C451 - TIME(9, 0, 0)) * 24 * A451</f>
        <v>#N/A</v>
      </c>
      <c r="D451" s="419" t="str">
        <f>MAX(0, Attendance!D451 - TIME(18, 0, 0)) * 24 * 1.5 * A451</f>
        <v>#N/A</v>
      </c>
      <c r="E451" s="418">
        <f>IF(AND(Attendance!E451&lt;&gt;"Friday", Attendance!C451&lt;&gt;""), B451, 0)</f>
        <v>0</v>
      </c>
      <c r="F451" s="420" t="str">
        <f>Attendance!B451</f>
        <v/>
      </c>
      <c r="G451" s="415" t="str">
        <f>Attendance!A451</f>
        <v/>
      </c>
      <c r="H451" s="420" t="str">
        <f>IFERROR(__xludf.DUMMYFUNCTION("REGEXREPLACE(F451, ""\d+$"", """")"),"")</f>
        <v/>
      </c>
    </row>
    <row r="452" ht="22.5" customHeight="1">
      <c r="A452" s="417" t="str">
        <f>VLOOKUP(F452, Employees!$A$2:$C957, 3, FALSE)</f>
        <v>#N/A</v>
      </c>
      <c r="B452" s="418">
        <f>100000 / (DAY(EOMONTH(Attendance!A452,0)) - 4)</f>
        <v>3703.703704</v>
      </c>
      <c r="C452" s="417" t="str">
        <f>MAX(0, Attendance!C452 - TIME(9, 0, 0)) * 24 * A452</f>
        <v>#N/A</v>
      </c>
      <c r="D452" s="419" t="str">
        <f>MAX(0, Attendance!D452 - TIME(18, 0, 0)) * 24 * 1.5 * A452</f>
        <v>#N/A</v>
      </c>
      <c r="E452" s="418">
        <f>IF(AND(Attendance!E452&lt;&gt;"Friday", Attendance!C452&lt;&gt;""), B452, 0)</f>
        <v>0</v>
      </c>
      <c r="F452" s="420" t="str">
        <f>Attendance!B452</f>
        <v/>
      </c>
      <c r="G452" s="415" t="str">
        <f>Attendance!A452</f>
        <v/>
      </c>
      <c r="H452" s="420" t="str">
        <f>IFERROR(__xludf.DUMMYFUNCTION("REGEXREPLACE(F452, ""\d+$"", """")"),"")</f>
        <v/>
      </c>
    </row>
    <row r="453" ht="22.5" customHeight="1">
      <c r="A453" s="417" t="str">
        <f>VLOOKUP(F453, Employees!$A$2:$C957, 3, FALSE)</f>
        <v>#N/A</v>
      </c>
      <c r="B453" s="418">
        <f>100000 / (DAY(EOMONTH(Attendance!A453,0)) - 4)</f>
        <v>3703.703704</v>
      </c>
      <c r="C453" s="417" t="str">
        <f>MAX(0, Attendance!C453 - TIME(9, 0, 0)) * 24 * A453</f>
        <v>#N/A</v>
      </c>
      <c r="D453" s="419" t="str">
        <f>MAX(0, Attendance!D453 - TIME(18, 0, 0)) * 24 * 1.5 * A453</f>
        <v>#N/A</v>
      </c>
      <c r="E453" s="418">
        <f>IF(AND(Attendance!E453&lt;&gt;"Friday", Attendance!C453&lt;&gt;""), B453, 0)</f>
        <v>0</v>
      </c>
      <c r="F453" s="420" t="str">
        <f>Attendance!B453</f>
        <v/>
      </c>
      <c r="G453" s="415" t="str">
        <f>Attendance!A453</f>
        <v/>
      </c>
      <c r="H453" s="420" t="str">
        <f>IFERROR(__xludf.DUMMYFUNCTION("REGEXREPLACE(F453, ""\d+$"", """")"),"")</f>
        <v/>
      </c>
    </row>
    <row r="454" ht="22.5" customHeight="1">
      <c r="A454" s="417" t="str">
        <f>VLOOKUP(F454, Employees!$A$2:$C957, 3, FALSE)</f>
        <v>#N/A</v>
      </c>
      <c r="B454" s="418">
        <f>100000 / (DAY(EOMONTH(Attendance!A454,0)) - 4)</f>
        <v>3703.703704</v>
      </c>
      <c r="C454" s="417" t="str">
        <f>MAX(0, Attendance!C454 - TIME(9, 0, 0)) * 24 * A454</f>
        <v>#N/A</v>
      </c>
      <c r="D454" s="419" t="str">
        <f>MAX(0, Attendance!D454 - TIME(18, 0, 0)) * 24 * 1.5 * A454</f>
        <v>#N/A</v>
      </c>
      <c r="E454" s="418">
        <f>IF(AND(Attendance!E454&lt;&gt;"Friday", Attendance!C454&lt;&gt;""), B454, 0)</f>
        <v>0</v>
      </c>
      <c r="F454" s="420" t="str">
        <f>Attendance!B454</f>
        <v/>
      </c>
      <c r="G454" s="415" t="str">
        <f>Attendance!A454</f>
        <v/>
      </c>
      <c r="H454" s="420" t="str">
        <f>IFERROR(__xludf.DUMMYFUNCTION("REGEXREPLACE(F454, ""\d+$"", """")"),"")</f>
        <v/>
      </c>
    </row>
    <row r="455" ht="22.5" customHeight="1">
      <c r="A455" s="417" t="str">
        <f>VLOOKUP(F455, Employees!$A$2:$C957, 3, FALSE)</f>
        <v>#N/A</v>
      </c>
      <c r="B455" s="418">
        <f>100000 / (DAY(EOMONTH(Attendance!A455,0)) - 4)</f>
        <v>3703.703704</v>
      </c>
      <c r="C455" s="417" t="str">
        <f>MAX(0, Attendance!C455 - TIME(9, 0, 0)) * 24 * A455</f>
        <v>#N/A</v>
      </c>
      <c r="D455" s="419" t="str">
        <f>MAX(0, Attendance!D455 - TIME(18, 0, 0)) * 24 * 1.5 * A455</f>
        <v>#N/A</v>
      </c>
      <c r="E455" s="418">
        <f>IF(AND(Attendance!E455&lt;&gt;"Friday", Attendance!C455&lt;&gt;""), B455, 0)</f>
        <v>0</v>
      </c>
      <c r="F455" s="420" t="str">
        <f>Attendance!B455</f>
        <v/>
      </c>
      <c r="G455" s="415" t="str">
        <f>Attendance!A455</f>
        <v/>
      </c>
      <c r="H455" s="420" t="str">
        <f>IFERROR(__xludf.DUMMYFUNCTION("REGEXREPLACE(F455, ""\d+$"", """")"),"")</f>
        <v/>
      </c>
    </row>
    <row r="456" ht="22.5" customHeight="1">
      <c r="A456" s="417" t="str">
        <f>VLOOKUP(F456, Employees!$A$2:$C957, 3, FALSE)</f>
        <v>#N/A</v>
      </c>
      <c r="B456" s="418">
        <f>100000 / (DAY(EOMONTH(Attendance!A456,0)) - 4)</f>
        <v>3703.703704</v>
      </c>
      <c r="C456" s="417" t="str">
        <f>MAX(0, Attendance!C456 - TIME(9, 0, 0)) * 24 * A456</f>
        <v>#N/A</v>
      </c>
      <c r="D456" s="419" t="str">
        <f>MAX(0, Attendance!D456 - TIME(18, 0, 0)) * 24 * 1.5 * A456</f>
        <v>#N/A</v>
      </c>
      <c r="E456" s="418">
        <f>IF(AND(Attendance!E456&lt;&gt;"Friday", Attendance!C456&lt;&gt;""), B456, 0)</f>
        <v>0</v>
      </c>
      <c r="F456" s="420" t="str">
        <f>Attendance!B456</f>
        <v/>
      </c>
      <c r="G456" s="415" t="str">
        <f>Attendance!A456</f>
        <v/>
      </c>
      <c r="H456" s="420" t="str">
        <f>IFERROR(__xludf.DUMMYFUNCTION("REGEXREPLACE(F456, ""\d+$"", """")"),"")</f>
        <v/>
      </c>
    </row>
    <row r="457" ht="22.5" customHeight="1">
      <c r="A457" s="417" t="str">
        <f>VLOOKUP(F457, Employees!$A$2:$C957, 3, FALSE)</f>
        <v>#N/A</v>
      </c>
      <c r="B457" s="418">
        <f>100000 / (DAY(EOMONTH(Attendance!A457,0)) - 4)</f>
        <v>3703.703704</v>
      </c>
      <c r="C457" s="417" t="str">
        <f>MAX(0, Attendance!C457 - TIME(9, 0, 0)) * 24 * A457</f>
        <v>#N/A</v>
      </c>
      <c r="D457" s="419" t="str">
        <f>MAX(0, Attendance!D457 - TIME(18, 0, 0)) * 24 * 1.5 * A457</f>
        <v>#N/A</v>
      </c>
      <c r="E457" s="418">
        <f>IF(AND(Attendance!E457&lt;&gt;"Friday", Attendance!C457&lt;&gt;""), B457, 0)</f>
        <v>0</v>
      </c>
      <c r="F457" s="420" t="str">
        <f>Attendance!B457</f>
        <v/>
      </c>
      <c r="G457" s="415" t="str">
        <f>Attendance!A457</f>
        <v/>
      </c>
      <c r="H457" s="420" t="str">
        <f>IFERROR(__xludf.DUMMYFUNCTION("REGEXREPLACE(F457, ""\d+$"", """")"),"")</f>
        <v/>
      </c>
    </row>
    <row r="458" ht="22.5" customHeight="1">
      <c r="A458" s="417" t="str">
        <f>VLOOKUP(F458, Employees!$A$2:$C957, 3, FALSE)</f>
        <v>#N/A</v>
      </c>
      <c r="B458" s="418">
        <f>100000 / (DAY(EOMONTH(Attendance!A458,0)) - 4)</f>
        <v>3703.703704</v>
      </c>
      <c r="C458" s="417" t="str">
        <f>MAX(0, Attendance!C458 - TIME(9, 0, 0)) * 24 * A458</f>
        <v>#N/A</v>
      </c>
      <c r="D458" s="419" t="str">
        <f>MAX(0, Attendance!D458 - TIME(18, 0, 0)) * 24 * 1.5 * A458</f>
        <v>#N/A</v>
      </c>
      <c r="E458" s="418">
        <f>IF(AND(Attendance!E458&lt;&gt;"Friday", Attendance!C458&lt;&gt;""), B458, 0)</f>
        <v>0</v>
      </c>
      <c r="F458" s="420" t="str">
        <f>Attendance!B458</f>
        <v/>
      </c>
      <c r="G458" s="415" t="str">
        <f>Attendance!A458</f>
        <v/>
      </c>
      <c r="H458" s="420" t="str">
        <f>IFERROR(__xludf.DUMMYFUNCTION("REGEXREPLACE(F458, ""\d+$"", """")"),"")</f>
        <v/>
      </c>
    </row>
    <row r="459" ht="22.5" customHeight="1">
      <c r="A459" s="417" t="str">
        <f>VLOOKUP(F459, Employees!$A$2:$C957, 3, FALSE)</f>
        <v>#N/A</v>
      </c>
      <c r="B459" s="418">
        <f>100000 / (DAY(EOMONTH(Attendance!A459,0)) - 4)</f>
        <v>3703.703704</v>
      </c>
      <c r="C459" s="417" t="str">
        <f>MAX(0, Attendance!C459 - TIME(9, 0, 0)) * 24 * A459</f>
        <v>#N/A</v>
      </c>
      <c r="D459" s="419" t="str">
        <f>MAX(0, Attendance!D459 - TIME(18, 0, 0)) * 24 * 1.5 * A459</f>
        <v>#N/A</v>
      </c>
      <c r="E459" s="418">
        <f>IF(AND(Attendance!E459&lt;&gt;"Friday", Attendance!C459&lt;&gt;""), B459, 0)</f>
        <v>0</v>
      </c>
      <c r="F459" s="420" t="str">
        <f>Attendance!B459</f>
        <v/>
      </c>
      <c r="G459" s="415" t="str">
        <f>Attendance!A459</f>
        <v/>
      </c>
      <c r="H459" s="420" t="str">
        <f>IFERROR(__xludf.DUMMYFUNCTION("REGEXREPLACE(F459, ""\d+$"", """")"),"")</f>
        <v/>
      </c>
    </row>
    <row r="460" ht="22.5" customHeight="1">
      <c r="A460" s="417" t="str">
        <f>VLOOKUP(F460, Employees!$A$2:$C957, 3, FALSE)</f>
        <v>#N/A</v>
      </c>
      <c r="B460" s="418">
        <f>100000 / (DAY(EOMONTH(Attendance!A460,0)) - 4)</f>
        <v>3703.703704</v>
      </c>
      <c r="C460" s="417" t="str">
        <f>MAX(0, Attendance!C460 - TIME(9, 0, 0)) * 24 * A460</f>
        <v>#N/A</v>
      </c>
      <c r="D460" s="419" t="str">
        <f>MAX(0, Attendance!D460 - TIME(18, 0, 0)) * 24 * 1.5 * A460</f>
        <v>#N/A</v>
      </c>
      <c r="E460" s="418">
        <f>IF(AND(Attendance!E460&lt;&gt;"Friday", Attendance!C460&lt;&gt;""), B460, 0)</f>
        <v>0</v>
      </c>
      <c r="F460" s="420" t="str">
        <f>Attendance!B460</f>
        <v/>
      </c>
      <c r="G460" s="415" t="str">
        <f>Attendance!A460</f>
        <v/>
      </c>
      <c r="H460" s="420" t="str">
        <f>IFERROR(__xludf.DUMMYFUNCTION("REGEXREPLACE(F460, ""\d+$"", """")"),"")</f>
        <v/>
      </c>
    </row>
    <row r="461" ht="22.5" customHeight="1">
      <c r="A461" s="417" t="str">
        <f>VLOOKUP(F461, Employees!$A$2:$C957, 3, FALSE)</f>
        <v>#N/A</v>
      </c>
      <c r="B461" s="418">
        <f>100000 / (DAY(EOMONTH(Attendance!A461,0)) - 4)</f>
        <v>3703.703704</v>
      </c>
      <c r="C461" s="417" t="str">
        <f>MAX(0, Attendance!C461 - TIME(9, 0, 0)) * 24 * A461</f>
        <v>#N/A</v>
      </c>
      <c r="D461" s="419" t="str">
        <f>MAX(0, Attendance!D461 - TIME(18, 0, 0)) * 24 * 1.5 * A461</f>
        <v>#N/A</v>
      </c>
      <c r="E461" s="418">
        <f>IF(AND(Attendance!E461&lt;&gt;"Friday", Attendance!C461&lt;&gt;""), B461, 0)</f>
        <v>0</v>
      </c>
      <c r="F461" s="420" t="str">
        <f>Attendance!B461</f>
        <v/>
      </c>
      <c r="G461" s="415" t="str">
        <f>Attendance!A461</f>
        <v/>
      </c>
      <c r="H461" s="420" t="str">
        <f>IFERROR(__xludf.DUMMYFUNCTION("REGEXREPLACE(F461, ""\d+$"", """")"),"")</f>
        <v/>
      </c>
    </row>
    <row r="462" ht="22.5" customHeight="1">
      <c r="A462" s="417" t="str">
        <f>VLOOKUP(F462, Employees!$A$2:$C957, 3, FALSE)</f>
        <v>#N/A</v>
      </c>
      <c r="B462" s="418">
        <f>100000 / (DAY(EOMONTH(Attendance!A462,0)) - 4)</f>
        <v>3703.703704</v>
      </c>
      <c r="C462" s="417" t="str">
        <f>MAX(0, Attendance!C462 - TIME(9, 0, 0)) * 24 * A462</f>
        <v>#N/A</v>
      </c>
      <c r="D462" s="419" t="str">
        <f>MAX(0, Attendance!D462 - TIME(18, 0, 0)) * 24 * 1.5 * A462</f>
        <v>#N/A</v>
      </c>
      <c r="E462" s="418">
        <f>IF(AND(Attendance!E462&lt;&gt;"Friday", Attendance!C462&lt;&gt;""), B462, 0)</f>
        <v>0</v>
      </c>
      <c r="F462" s="420" t="str">
        <f>Attendance!B462</f>
        <v/>
      </c>
      <c r="G462" s="415" t="str">
        <f>Attendance!A462</f>
        <v/>
      </c>
      <c r="H462" s="420" t="str">
        <f>IFERROR(__xludf.DUMMYFUNCTION("REGEXREPLACE(F462, ""\d+$"", """")"),"")</f>
        <v/>
      </c>
    </row>
    <row r="463" ht="22.5" customHeight="1">
      <c r="A463" s="417" t="str">
        <f>VLOOKUP(F463, Employees!$A$2:$C957, 3, FALSE)</f>
        <v>#N/A</v>
      </c>
      <c r="B463" s="418">
        <f>100000 / (DAY(EOMONTH(Attendance!A463,0)) - 4)</f>
        <v>3703.703704</v>
      </c>
      <c r="C463" s="417" t="str">
        <f>MAX(0, Attendance!C463 - TIME(9, 0, 0)) * 24 * A463</f>
        <v>#N/A</v>
      </c>
      <c r="D463" s="419" t="str">
        <f>MAX(0, Attendance!D463 - TIME(18, 0, 0)) * 24 * 1.5 * A463</f>
        <v>#N/A</v>
      </c>
      <c r="E463" s="418">
        <f>IF(AND(Attendance!E463&lt;&gt;"Friday", Attendance!C463&lt;&gt;""), B463, 0)</f>
        <v>0</v>
      </c>
      <c r="F463" s="420" t="str">
        <f>Attendance!B463</f>
        <v/>
      </c>
      <c r="G463" s="415" t="str">
        <f>Attendance!A463</f>
        <v/>
      </c>
      <c r="H463" s="420" t="str">
        <f>IFERROR(__xludf.DUMMYFUNCTION("REGEXREPLACE(F463, ""\d+$"", """")"),"")</f>
        <v/>
      </c>
    </row>
    <row r="464" ht="22.5" customHeight="1">
      <c r="A464" s="417" t="str">
        <f>VLOOKUP(F464, Employees!$A$2:$C957, 3, FALSE)</f>
        <v>#N/A</v>
      </c>
      <c r="B464" s="418">
        <f>100000 / (DAY(EOMONTH(Attendance!A464,0)) - 4)</f>
        <v>3703.703704</v>
      </c>
      <c r="C464" s="417" t="str">
        <f>MAX(0, Attendance!C464 - TIME(9, 0, 0)) * 24 * A464</f>
        <v>#N/A</v>
      </c>
      <c r="D464" s="419" t="str">
        <f>MAX(0, Attendance!D464 - TIME(18, 0, 0)) * 24 * 1.5 * A464</f>
        <v>#N/A</v>
      </c>
      <c r="E464" s="418">
        <f>IF(AND(Attendance!E464&lt;&gt;"Friday", Attendance!C464&lt;&gt;""), B464, 0)</f>
        <v>0</v>
      </c>
      <c r="F464" s="420" t="str">
        <f>Attendance!B464</f>
        <v/>
      </c>
      <c r="G464" s="415" t="str">
        <f>Attendance!A464</f>
        <v/>
      </c>
      <c r="H464" s="420" t="str">
        <f>IFERROR(__xludf.DUMMYFUNCTION("REGEXREPLACE(F464, ""\d+$"", """")"),"")</f>
        <v/>
      </c>
    </row>
    <row r="465" ht="22.5" customHeight="1">
      <c r="A465" s="417" t="str">
        <f>VLOOKUP(F465, Employees!$A$2:$C957, 3, FALSE)</f>
        <v>#N/A</v>
      </c>
      <c r="B465" s="418">
        <f>100000 / (DAY(EOMONTH(Attendance!A465,0)) - 4)</f>
        <v>3703.703704</v>
      </c>
      <c r="C465" s="417" t="str">
        <f>MAX(0, Attendance!C465 - TIME(9, 0, 0)) * 24 * A465</f>
        <v>#N/A</v>
      </c>
      <c r="D465" s="419" t="str">
        <f>MAX(0, Attendance!D465 - TIME(18, 0, 0)) * 24 * 1.5 * A465</f>
        <v>#N/A</v>
      </c>
      <c r="E465" s="418">
        <f>IF(AND(Attendance!E465&lt;&gt;"Friday", Attendance!C465&lt;&gt;""), B465, 0)</f>
        <v>0</v>
      </c>
      <c r="F465" s="420" t="str">
        <f>Attendance!B465</f>
        <v/>
      </c>
      <c r="G465" s="415" t="str">
        <f>Attendance!A465</f>
        <v/>
      </c>
      <c r="H465" s="420" t="str">
        <f>IFERROR(__xludf.DUMMYFUNCTION("REGEXREPLACE(F465, ""\d+$"", """")"),"")</f>
        <v/>
      </c>
    </row>
    <row r="466" ht="22.5" customHeight="1">
      <c r="A466" s="417" t="str">
        <f>VLOOKUP(F466, Employees!$A$2:$C957, 3, FALSE)</f>
        <v>#N/A</v>
      </c>
      <c r="B466" s="418">
        <f>100000 / (DAY(EOMONTH(Attendance!A466,0)) - 4)</f>
        <v>3703.703704</v>
      </c>
      <c r="C466" s="417" t="str">
        <f>MAX(0, Attendance!C466 - TIME(9, 0, 0)) * 24 * A466</f>
        <v>#N/A</v>
      </c>
      <c r="D466" s="419" t="str">
        <f>MAX(0, Attendance!D466 - TIME(18, 0, 0)) * 24 * 1.5 * A466</f>
        <v>#N/A</v>
      </c>
      <c r="E466" s="418">
        <f>IF(AND(Attendance!E466&lt;&gt;"Friday", Attendance!C466&lt;&gt;""), B466, 0)</f>
        <v>0</v>
      </c>
      <c r="F466" s="420" t="str">
        <f>Attendance!B466</f>
        <v/>
      </c>
      <c r="G466" s="415" t="str">
        <f>Attendance!A466</f>
        <v/>
      </c>
      <c r="H466" s="420" t="str">
        <f>IFERROR(__xludf.DUMMYFUNCTION("REGEXREPLACE(F466, ""\d+$"", """")"),"")</f>
        <v/>
      </c>
    </row>
    <row r="467" ht="22.5" customHeight="1">
      <c r="A467" s="417" t="str">
        <f>VLOOKUP(F467, Employees!$A$2:$C957, 3, FALSE)</f>
        <v>#N/A</v>
      </c>
      <c r="B467" s="418">
        <f>100000 / (DAY(EOMONTH(Attendance!A467,0)) - 4)</f>
        <v>3703.703704</v>
      </c>
      <c r="C467" s="417" t="str">
        <f>MAX(0, Attendance!C467 - TIME(9, 0, 0)) * 24 * A467</f>
        <v>#N/A</v>
      </c>
      <c r="D467" s="419" t="str">
        <f>MAX(0, Attendance!D467 - TIME(18, 0, 0)) * 24 * 1.5 * A467</f>
        <v>#N/A</v>
      </c>
      <c r="E467" s="418">
        <f>IF(AND(Attendance!E467&lt;&gt;"Friday", Attendance!C467&lt;&gt;""), B467, 0)</f>
        <v>0</v>
      </c>
      <c r="F467" s="420" t="str">
        <f>Attendance!B467</f>
        <v/>
      </c>
      <c r="G467" s="415" t="str">
        <f>Attendance!A467</f>
        <v/>
      </c>
      <c r="H467" s="420" t="str">
        <f>IFERROR(__xludf.DUMMYFUNCTION("REGEXREPLACE(F467, ""\d+$"", """")"),"")</f>
        <v/>
      </c>
    </row>
    <row r="468" ht="22.5" customHeight="1">
      <c r="A468" s="417" t="str">
        <f>VLOOKUP(F468, Employees!$A$2:$C957, 3, FALSE)</f>
        <v>#N/A</v>
      </c>
      <c r="B468" s="418">
        <f>100000 / (DAY(EOMONTH(Attendance!A468,0)) - 4)</f>
        <v>3703.703704</v>
      </c>
      <c r="C468" s="417" t="str">
        <f>MAX(0, Attendance!C468 - TIME(9, 0, 0)) * 24 * A468</f>
        <v>#N/A</v>
      </c>
      <c r="D468" s="419" t="str">
        <f>MAX(0, Attendance!D468 - TIME(18, 0, 0)) * 24 * 1.5 * A468</f>
        <v>#N/A</v>
      </c>
      <c r="E468" s="418">
        <f>IF(AND(Attendance!E468&lt;&gt;"Friday", Attendance!C468&lt;&gt;""), B468, 0)</f>
        <v>0</v>
      </c>
      <c r="F468" s="420" t="str">
        <f>Attendance!B468</f>
        <v/>
      </c>
      <c r="G468" s="415" t="str">
        <f>Attendance!A468</f>
        <v/>
      </c>
      <c r="H468" s="420" t="str">
        <f>IFERROR(__xludf.DUMMYFUNCTION("REGEXREPLACE(F468, ""\d+$"", """")"),"")</f>
        <v/>
      </c>
    </row>
    <row r="469" ht="22.5" customHeight="1">
      <c r="A469" s="417" t="str">
        <f>VLOOKUP(F469, Employees!$A$2:$C957, 3, FALSE)</f>
        <v>#N/A</v>
      </c>
      <c r="B469" s="418">
        <f>100000 / (DAY(EOMONTH(Attendance!A469,0)) - 4)</f>
        <v>3703.703704</v>
      </c>
      <c r="C469" s="417" t="str">
        <f>MAX(0, Attendance!C469 - TIME(9, 0, 0)) * 24 * A469</f>
        <v>#N/A</v>
      </c>
      <c r="D469" s="419" t="str">
        <f>MAX(0, Attendance!D469 - TIME(18, 0, 0)) * 24 * 1.5 * A469</f>
        <v>#N/A</v>
      </c>
      <c r="E469" s="418">
        <f>IF(AND(Attendance!E469&lt;&gt;"Friday", Attendance!C469&lt;&gt;""), B469, 0)</f>
        <v>0</v>
      </c>
      <c r="F469" s="420" t="str">
        <f>Attendance!B469</f>
        <v/>
      </c>
      <c r="G469" s="415" t="str">
        <f>Attendance!A469</f>
        <v/>
      </c>
      <c r="H469" s="420" t="str">
        <f>IFERROR(__xludf.DUMMYFUNCTION("REGEXREPLACE(F469, ""\d+$"", """")"),"")</f>
        <v/>
      </c>
    </row>
    <row r="470" ht="22.5" customHeight="1">
      <c r="A470" s="417" t="str">
        <f>VLOOKUP(F470, Employees!$A$2:$C957, 3, FALSE)</f>
        <v>#N/A</v>
      </c>
      <c r="B470" s="418">
        <f>100000 / (DAY(EOMONTH(Attendance!A470,0)) - 4)</f>
        <v>3703.703704</v>
      </c>
      <c r="C470" s="417" t="str">
        <f>MAX(0, Attendance!C470 - TIME(9, 0, 0)) * 24 * A470</f>
        <v>#N/A</v>
      </c>
      <c r="D470" s="419" t="str">
        <f>MAX(0, Attendance!D470 - TIME(18, 0, 0)) * 24 * 1.5 * A470</f>
        <v>#N/A</v>
      </c>
      <c r="E470" s="418">
        <f>IF(AND(Attendance!E470&lt;&gt;"Friday", Attendance!C470&lt;&gt;""), B470, 0)</f>
        <v>0</v>
      </c>
      <c r="F470" s="420" t="str">
        <f>Attendance!B470</f>
        <v/>
      </c>
      <c r="G470" s="415" t="str">
        <f>Attendance!A470</f>
        <v/>
      </c>
      <c r="H470" s="420" t="str">
        <f>IFERROR(__xludf.DUMMYFUNCTION("REGEXREPLACE(F470, ""\d+$"", """")"),"")</f>
        <v/>
      </c>
    </row>
    <row r="471" ht="22.5" customHeight="1">
      <c r="A471" s="417" t="str">
        <f>VLOOKUP(F471, Employees!$A$2:$C957, 3, FALSE)</f>
        <v>#N/A</v>
      </c>
      <c r="B471" s="418">
        <f>100000 / (DAY(EOMONTH(Attendance!A471,0)) - 4)</f>
        <v>3703.703704</v>
      </c>
      <c r="C471" s="417" t="str">
        <f>MAX(0, Attendance!C471 - TIME(9, 0, 0)) * 24 * A471</f>
        <v>#N/A</v>
      </c>
      <c r="D471" s="419" t="str">
        <f>MAX(0, Attendance!D471 - TIME(18, 0, 0)) * 24 * 1.5 * A471</f>
        <v>#N/A</v>
      </c>
      <c r="E471" s="418">
        <f>IF(AND(Attendance!E471&lt;&gt;"Friday", Attendance!C471&lt;&gt;""), B471, 0)</f>
        <v>0</v>
      </c>
      <c r="F471" s="420" t="str">
        <f>Attendance!B471</f>
        <v/>
      </c>
      <c r="G471" s="415" t="str">
        <f>Attendance!A471</f>
        <v/>
      </c>
      <c r="H471" s="420" t="str">
        <f>IFERROR(__xludf.DUMMYFUNCTION("REGEXREPLACE(F471, ""\d+$"", """")"),"")</f>
        <v/>
      </c>
    </row>
    <row r="472" ht="22.5" customHeight="1">
      <c r="A472" s="417" t="str">
        <f>VLOOKUP(F472, Employees!$A$2:$C957, 3, FALSE)</f>
        <v>#N/A</v>
      </c>
      <c r="B472" s="418">
        <f>100000 / (DAY(EOMONTH(Attendance!A472,0)) - 4)</f>
        <v>3703.703704</v>
      </c>
      <c r="C472" s="417" t="str">
        <f>MAX(0, Attendance!C472 - TIME(9, 0, 0)) * 24 * A472</f>
        <v>#N/A</v>
      </c>
      <c r="D472" s="419" t="str">
        <f>MAX(0, Attendance!D472 - TIME(18, 0, 0)) * 24 * 1.5 * A472</f>
        <v>#N/A</v>
      </c>
      <c r="E472" s="418">
        <f>IF(AND(Attendance!E472&lt;&gt;"Friday", Attendance!C472&lt;&gt;""), B472, 0)</f>
        <v>0</v>
      </c>
      <c r="F472" s="420" t="str">
        <f>Attendance!B472</f>
        <v/>
      </c>
      <c r="G472" s="415" t="str">
        <f>Attendance!A472</f>
        <v/>
      </c>
      <c r="H472" s="420" t="str">
        <f>IFERROR(__xludf.DUMMYFUNCTION("REGEXREPLACE(F472, ""\d+$"", """")"),"")</f>
        <v/>
      </c>
    </row>
    <row r="473" ht="22.5" customHeight="1">
      <c r="A473" s="417" t="str">
        <f>VLOOKUP(F473, Employees!$A$2:$C957, 3, FALSE)</f>
        <v>#N/A</v>
      </c>
      <c r="B473" s="418">
        <f>100000 / (DAY(EOMONTH(Attendance!A473,0)) - 4)</f>
        <v>3703.703704</v>
      </c>
      <c r="C473" s="417" t="str">
        <f>MAX(0, Attendance!C473 - TIME(9, 0, 0)) * 24 * A473</f>
        <v>#N/A</v>
      </c>
      <c r="D473" s="419" t="str">
        <f>MAX(0, Attendance!D473 - TIME(18, 0, 0)) * 24 * 1.5 * A473</f>
        <v>#N/A</v>
      </c>
      <c r="E473" s="418">
        <f>IF(AND(Attendance!E473&lt;&gt;"Friday", Attendance!C473&lt;&gt;""), B473, 0)</f>
        <v>0</v>
      </c>
      <c r="F473" s="420" t="str">
        <f>Attendance!B473</f>
        <v/>
      </c>
      <c r="G473" s="415" t="str">
        <f>Attendance!A473</f>
        <v/>
      </c>
      <c r="H473" s="420" t="str">
        <f>IFERROR(__xludf.DUMMYFUNCTION("REGEXREPLACE(F473, ""\d+$"", """")"),"")</f>
        <v/>
      </c>
    </row>
    <row r="474" ht="22.5" customHeight="1">
      <c r="A474" s="417" t="str">
        <f>VLOOKUP(F474, Employees!$A$2:$C957, 3, FALSE)</f>
        <v>#N/A</v>
      </c>
      <c r="B474" s="418">
        <f>100000 / (DAY(EOMONTH(Attendance!A474,0)) - 4)</f>
        <v>3703.703704</v>
      </c>
      <c r="C474" s="417" t="str">
        <f>MAX(0, Attendance!C474 - TIME(9, 0, 0)) * 24 * A474</f>
        <v>#N/A</v>
      </c>
      <c r="D474" s="419" t="str">
        <f>MAX(0, Attendance!D474 - TIME(18, 0, 0)) * 24 * 1.5 * A474</f>
        <v>#N/A</v>
      </c>
      <c r="E474" s="418">
        <f>IF(AND(Attendance!E474&lt;&gt;"Friday", Attendance!C474&lt;&gt;""), B474, 0)</f>
        <v>0</v>
      </c>
      <c r="F474" s="420" t="str">
        <f>Attendance!B474</f>
        <v/>
      </c>
      <c r="G474" s="415" t="str">
        <f>Attendance!A474</f>
        <v/>
      </c>
      <c r="H474" s="420" t="str">
        <f>IFERROR(__xludf.DUMMYFUNCTION("REGEXREPLACE(F474, ""\d+$"", """")"),"")</f>
        <v/>
      </c>
    </row>
    <row r="475" ht="22.5" customHeight="1">
      <c r="A475" s="417" t="str">
        <f>VLOOKUP(F475, Employees!$A$2:$C957, 3, FALSE)</f>
        <v>#N/A</v>
      </c>
      <c r="B475" s="418">
        <f>100000 / (DAY(EOMONTH(Attendance!A475,0)) - 4)</f>
        <v>3703.703704</v>
      </c>
      <c r="C475" s="417" t="str">
        <f>MAX(0, Attendance!C475 - TIME(9, 0, 0)) * 24 * A475</f>
        <v>#N/A</v>
      </c>
      <c r="D475" s="419" t="str">
        <f>MAX(0, Attendance!D475 - TIME(18, 0, 0)) * 24 * 1.5 * A475</f>
        <v>#N/A</v>
      </c>
      <c r="E475" s="418">
        <f>IF(AND(Attendance!E475&lt;&gt;"Friday", Attendance!C475&lt;&gt;""), B475, 0)</f>
        <v>0</v>
      </c>
      <c r="F475" s="420" t="str">
        <f>Attendance!B475</f>
        <v/>
      </c>
      <c r="G475" s="415" t="str">
        <f>Attendance!A475</f>
        <v/>
      </c>
      <c r="H475" s="420" t="str">
        <f>IFERROR(__xludf.DUMMYFUNCTION("REGEXREPLACE(F475, ""\d+$"", """")"),"")</f>
        <v/>
      </c>
    </row>
    <row r="476" ht="22.5" customHeight="1">
      <c r="A476" s="417" t="str">
        <f>VLOOKUP(F476, Employees!$A$2:$C957, 3, FALSE)</f>
        <v>#N/A</v>
      </c>
      <c r="B476" s="418">
        <f>100000 / (DAY(EOMONTH(Attendance!A476,0)) - 4)</f>
        <v>3703.703704</v>
      </c>
      <c r="C476" s="417" t="str">
        <f>MAX(0, Attendance!C476 - TIME(9, 0, 0)) * 24 * A476</f>
        <v>#N/A</v>
      </c>
      <c r="D476" s="419" t="str">
        <f>MAX(0, Attendance!D476 - TIME(18, 0, 0)) * 24 * 1.5 * A476</f>
        <v>#N/A</v>
      </c>
      <c r="E476" s="418">
        <f>IF(AND(Attendance!E476&lt;&gt;"Friday", Attendance!C476&lt;&gt;""), B476, 0)</f>
        <v>0</v>
      </c>
      <c r="F476" s="420" t="str">
        <f>Attendance!B476</f>
        <v/>
      </c>
      <c r="G476" s="415" t="str">
        <f>Attendance!A476</f>
        <v/>
      </c>
      <c r="H476" s="420" t="str">
        <f>IFERROR(__xludf.DUMMYFUNCTION("REGEXREPLACE(F476, ""\d+$"", """")"),"")</f>
        <v/>
      </c>
    </row>
    <row r="477" ht="22.5" customHeight="1">
      <c r="A477" s="417" t="str">
        <f>VLOOKUP(F477, Employees!$A$2:$C957, 3, FALSE)</f>
        <v>#N/A</v>
      </c>
      <c r="B477" s="418">
        <f>100000 / (DAY(EOMONTH(Attendance!A477,0)) - 4)</f>
        <v>3703.703704</v>
      </c>
      <c r="C477" s="417" t="str">
        <f>MAX(0, Attendance!C477 - TIME(9, 0, 0)) * 24 * A477</f>
        <v>#N/A</v>
      </c>
      <c r="D477" s="419" t="str">
        <f>MAX(0, Attendance!D477 - TIME(18, 0, 0)) * 24 * 1.5 * A477</f>
        <v>#N/A</v>
      </c>
      <c r="E477" s="418">
        <f>IF(AND(Attendance!E477&lt;&gt;"Friday", Attendance!C477&lt;&gt;""), B477, 0)</f>
        <v>0</v>
      </c>
      <c r="F477" s="420" t="str">
        <f>Attendance!B477</f>
        <v/>
      </c>
      <c r="G477" s="415" t="str">
        <f>Attendance!A477</f>
        <v/>
      </c>
      <c r="H477" s="420" t="str">
        <f>IFERROR(__xludf.DUMMYFUNCTION("REGEXREPLACE(F477, ""\d+$"", """")"),"")</f>
        <v/>
      </c>
    </row>
    <row r="478" ht="22.5" customHeight="1">
      <c r="A478" s="417" t="str">
        <f>VLOOKUP(F478, Employees!$A$2:$C957, 3, FALSE)</f>
        <v>#N/A</v>
      </c>
      <c r="B478" s="418">
        <f>100000 / (DAY(EOMONTH(Attendance!A478,0)) - 4)</f>
        <v>3703.703704</v>
      </c>
      <c r="C478" s="417" t="str">
        <f>MAX(0, Attendance!C478 - TIME(9, 0, 0)) * 24 * A478</f>
        <v>#N/A</v>
      </c>
      <c r="D478" s="419" t="str">
        <f>MAX(0, Attendance!D478 - TIME(18, 0, 0)) * 24 * 1.5 * A478</f>
        <v>#N/A</v>
      </c>
      <c r="E478" s="418">
        <f>IF(AND(Attendance!E478&lt;&gt;"Friday", Attendance!C478&lt;&gt;""), B478, 0)</f>
        <v>0</v>
      </c>
      <c r="F478" s="420" t="str">
        <f>Attendance!B478</f>
        <v/>
      </c>
      <c r="G478" s="415" t="str">
        <f>Attendance!A478</f>
        <v/>
      </c>
      <c r="H478" s="420" t="str">
        <f>IFERROR(__xludf.DUMMYFUNCTION("REGEXREPLACE(F478, ""\d+$"", """")"),"")</f>
        <v/>
      </c>
    </row>
    <row r="479" ht="22.5" customHeight="1">
      <c r="A479" s="417" t="str">
        <f>VLOOKUP(F479, Employees!$A$2:$C957, 3, FALSE)</f>
        <v>#N/A</v>
      </c>
      <c r="B479" s="418">
        <f>100000 / (DAY(EOMONTH(Attendance!A479,0)) - 4)</f>
        <v>3703.703704</v>
      </c>
      <c r="C479" s="417" t="str">
        <f>MAX(0, Attendance!C479 - TIME(9, 0, 0)) * 24 * A479</f>
        <v>#N/A</v>
      </c>
      <c r="D479" s="419" t="str">
        <f>MAX(0, Attendance!D479 - TIME(18, 0, 0)) * 24 * 1.5 * A479</f>
        <v>#N/A</v>
      </c>
      <c r="E479" s="418">
        <f>IF(AND(Attendance!E479&lt;&gt;"Friday", Attendance!C479&lt;&gt;""), B479, 0)</f>
        <v>0</v>
      </c>
      <c r="F479" s="420" t="str">
        <f>Attendance!B479</f>
        <v/>
      </c>
      <c r="G479" s="415" t="str">
        <f>Attendance!A479</f>
        <v/>
      </c>
      <c r="H479" s="420" t="str">
        <f>IFERROR(__xludf.DUMMYFUNCTION("REGEXREPLACE(F479, ""\d+$"", """")"),"")</f>
        <v/>
      </c>
    </row>
    <row r="480" ht="22.5" customHeight="1">
      <c r="A480" s="417" t="str">
        <f>VLOOKUP(F480, Employees!$A$2:$C957, 3, FALSE)</f>
        <v>#N/A</v>
      </c>
      <c r="B480" s="418">
        <f>100000 / (DAY(EOMONTH(Attendance!A480,0)) - 4)</f>
        <v>3703.703704</v>
      </c>
      <c r="C480" s="417" t="str">
        <f>MAX(0, Attendance!C480 - TIME(9, 0, 0)) * 24 * A480</f>
        <v>#N/A</v>
      </c>
      <c r="D480" s="419" t="str">
        <f>MAX(0, Attendance!D480 - TIME(18, 0, 0)) * 24 * 1.5 * A480</f>
        <v>#N/A</v>
      </c>
      <c r="E480" s="418">
        <f>IF(AND(Attendance!E480&lt;&gt;"Friday", Attendance!C480&lt;&gt;""), B480, 0)</f>
        <v>0</v>
      </c>
      <c r="F480" s="420" t="str">
        <f>Attendance!B480</f>
        <v/>
      </c>
      <c r="G480" s="415" t="str">
        <f>Attendance!A480</f>
        <v/>
      </c>
      <c r="H480" s="420" t="str">
        <f>IFERROR(__xludf.DUMMYFUNCTION("REGEXREPLACE(F480, ""\d+$"", """")"),"")</f>
        <v/>
      </c>
    </row>
    <row r="481" ht="22.5" customHeight="1">
      <c r="A481" s="417" t="str">
        <f>VLOOKUP(F481, Employees!$A$2:$C957, 3, FALSE)</f>
        <v>#N/A</v>
      </c>
      <c r="B481" s="418">
        <f>100000 / (DAY(EOMONTH(Attendance!A481,0)) - 4)</f>
        <v>3703.703704</v>
      </c>
      <c r="C481" s="417" t="str">
        <f>MAX(0, Attendance!C481 - TIME(9, 0, 0)) * 24 * A481</f>
        <v>#N/A</v>
      </c>
      <c r="D481" s="419" t="str">
        <f>MAX(0, Attendance!D481 - TIME(18, 0, 0)) * 24 * 1.5 * A481</f>
        <v>#N/A</v>
      </c>
      <c r="E481" s="418">
        <f>IF(AND(Attendance!E481&lt;&gt;"Friday", Attendance!C481&lt;&gt;""), B481, 0)</f>
        <v>0</v>
      </c>
      <c r="F481" s="420" t="str">
        <f>Attendance!B481</f>
        <v/>
      </c>
      <c r="G481" s="415" t="str">
        <f>Attendance!A481</f>
        <v/>
      </c>
      <c r="H481" s="420" t="str">
        <f>IFERROR(__xludf.DUMMYFUNCTION("REGEXREPLACE(F481, ""\d+$"", """")"),"")</f>
        <v/>
      </c>
    </row>
    <row r="482" ht="22.5" customHeight="1">
      <c r="A482" s="417" t="str">
        <f>VLOOKUP(F482, Employees!$A$2:$C957, 3, FALSE)</f>
        <v>#N/A</v>
      </c>
      <c r="B482" s="418">
        <f>100000 / (DAY(EOMONTH(Attendance!A482,0)) - 4)</f>
        <v>3703.703704</v>
      </c>
      <c r="C482" s="417" t="str">
        <f>MAX(0, Attendance!C482 - TIME(9, 0, 0)) * 24 * A482</f>
        <v>#N/A</v>
      </c>
      <c r="D482" s="419" t="str">
        <f>MAX(0, Attendance!D482 - TIME(18, 0, 0)) * 24 * 1.5 * A482</f>
        <v>#N/A</v>
      </c>
      <c r="E482" s="418">
        <f>IF(AND(Attendance!E482&lt;&gt;"Friday", Attendance!C482&lt;&gt;""), B482, 0)</f>
        <v>0</v>
      </c>
      <c r="F482" s="420" t="str">
        <f>Attendance!B482</f>
        <v/>
      </c>
      <c r="G482" s="415" t="str">
        <f>Attendance!A482</f>
        <v/>
      </c>
      <c r="H482" s="420" t="str">
        <f>IFERROR(__xludf.DUMMYFUNCTION("REGEXREPLACE(F482, ""\d+$"", """")"),"")</f>
        <v/>
      </c>
    </row>
    <row r="483" ht="22.5" customHeight="1">
      <c r="A483" s="417" t="str">
        <f>VLOOKUP(F483, Employees!$A$2:$C957, 3, FALSE)</f>
        <v>#N/A</v>
      </c>
      <c r="B483" s="418">
        <f>100000 / (DAY(EOMONTH(Attendance!A483,0)) - 4)</f>
        <v>3703.703704</v>
      </c>
      <c r="C483" s="417" t="str">
        <f>MAX(0, Attendance!C483 - TIME(9, 0, 0)) * 24 * A483</f>
        <v>#N/A</v>
      </c>
      <c r="D483" s="419" t="str">
        <f>MAX(0, Attendance!D483 - TIME(18, 0, 0)) * 24 * 1.5 * A483</f>
        <v>#N/A</v>
      </c>
      <c r="E483" s="418">
        <f>IF(AND(Attendance!E483&lt;&gt;"Friday", Attendance!C483&lt;&gt;""), B483, 0)</f>
        <v>0</v>
      </c>
      <c r="F483" s="420" t="str">
        <f>Attendance!B483</f>
        <v/>
      </c>
      <c r="G483" s="415" t="str">
        <f>Attendance!A483</f>
        <v/>
      </c>
      <c r="H483" s="420" t="str">
        <f>IFERROR(__xludf.DUMMYFUNCTION("REGEXREPLACE(F483, ""\d+$"", """")"),"")</f>
        <v/>
      </c>
    </row>
    <row r="484" ht="22.5" customHeight="1">
      <c r="A484" s="417" t="str">
        <f>VLOOKUP(F484, Employees!$A$2:$C957, 3, FALSE)</f>
        <v>#N/A</v>
      </c>
      <c r="B484" s="418">
        <f>100000 / (DAY(EOMONTH(Attendance!A484,0)) - 4)</f>
        <v>3703.703704</v>
      </c>
      <c r="C484" s="417" t="str">
        <f>MAX(0, Attendance!C484 - TIME(9, 0, 0)) * 24 * A484</f>
        <v>#N/A</v>
      </c>
      <c r="D484" s="419" t="str">
        <f>MAX(0, Attendance!D484 - TIME(18, 0, 0)) * 24 * 1.5 * A484</f>
        <v>#N/A</v>
      </c>
      <c r="E484" s="418">
        <f>IF(AND(Attendance!E484&lt;&gt;"Friday", Attendance!C484&lt;&gt;""), B484, 0)</f>
        <v>0</v>
      </c>
      <c r="F484" s="420" t="str">
        <f>Attendance!B484</f>
        <v/>
      </c>
      <c r="G484" s="415" t="str">
        <f>Attendance!A484</f>
        <v/>
      </c>
      <c r="H484" s="420" t="str">
        <f>IFERROR(__xludf.DUMMYFUNCTION("REGEXREPLACE(F484, ""\d+$"", """")"),"")</f>
        <v/>
      </c>
    </row>
    <row r="485" ht="22.5" customHeight="1">
      <c r="A485" s="417" t="str">
        <f>VLOOKUP(F485, Employees!$A$2:$C957, 3, FALSE)</f>
        <v>#N/A</v>
      </c>
      <c r="B485" s="418">
        <f>100000 / (DAY(EOMONTH(Attendance!A485,0)) - 4)</f>
        <v>3703.703704</v>
      </c>
      <c r="C485" s="417" t="str">
        <f>MAX(0, Attendance!C485 - TIME(9, 0, 0)) * 24 * A485</f>
        <v>#N/A</v>
      </c>
      <c r="D485" s="419" t="str">
        <f>MAX(0, Attendance!D485 - TIME(18, 0, 0)) * 24 * 1.5 * A485</f>
        <v>#N/A</v>
      </c>
      <c r="E485" s="418">
        <f>IF(AND(Attendance!E485&lt;&gt;"Friday", Attendance!C485&lt;&gt;""), B485, 0)</f>
        <v>0</v>
      </c>
      <c r="F485" s="420" t="str">
        <f>Attendance!B485</f>
        <v/>
      </c>
      <c r="G485" s="415" t="str">
        <f>Attendance!A485</f>
        <v/>
      </c>
      <c r="H485" s="420" t="str">
        <f>IFERROR(__xludf.DUMMYFUNCTION("REGEXREPLACE(F485, ""\d+$"", """")"),"")</f>
        <v/>
      </c>
    </row>
    <row r="486" ht="22.5" customHeight="1">
      <c r="A486" s="417" t="str">
        <f>VLOOKUP(F486, Employees!$A$2:$C957, 3, FALSE)</f>
        <v>#N/A</v>
      </c>
      <c r="B486" s="418">
        <f>100000 / (DAY(EOMONTH(Attendance!A486,0)) - 4)</f>
        <v>3703.703704</v>
      </c>
      <c r="C486" s="417" t="str">
        <f>MAX(0, Attendance!C486 - TIME(9, 0, 0)) * 24 * A486</f>
        <v>#N/A</v>
      </c>
      <c r="D486" s="419" t="str">
        <f>MAX(0, Attendance!D486 - TIME(18, 0, 0)) * 24 * 1.5 * A486</f>
        <v>#N/A</v>
      </c>
      <c r="E486" s="418">
        <f>IF(AND(Attendance!E486&lt;&gt;"Friday", Attendance!C486&lt;&gt;""), B486, 0)</f>
        <v>0</v>
      </c>
      <c r="F486" s="420" t="str">
        <f>Attendance!B486</f>
        <v/>
      </c>
      <c r="G486" s="415" t="str">
        <f>Attendance!A486</f>
        <v/>
      </c>
      <c r="H486" s="420" t="str">
        <f>IFERROR(__xludf.DUMMYFUNCTION("REGEXREPLACE(F486, ""\d+$"", """")"),"")</f>
        <v/>
      </c>
    </row>
    <row r="487" ht="22.5" customHeight="1">
      <c r="A487" s="417" t="str">
        <f>VLOOKUP(F487, Employees!$A$2:$C957, 3, FALSE)</f>
        <v>#N/A</v>
      </c>
      <c r="B487" s="418">
        <f>100000 / (DAY(EOMONTH(Attendance!A487,0)) - 4)</f>
        <v>3703.703704</v>
      </c>
      <c r="C487" s="417" t="str">
        <f>MAX(0, Attendance!C487 - TIME(9, 0, 0)) * 24 * A487</f>
        <v>#N/A</v>
      </c>
      <c r="D487" s="419" t="str">
        <f>MAX(0, Attendance!D487 - TIME(18, 0, 0)) * 24 * 1.5 * A487</f>
        <v>#N/A</v>
      </c>
      <c r="E487" s="418">
        <f>IF(AND(Attendance!E487&lt;&gt;"Friday", Attendance!C487&lt;&gt;""), B487, 0)</f>
        <v>0</v>
      </c>
      <c r="F487" s="420" t="str">
        <f>Attendance!B487</f>
        <v/>
      </c>
      <c r="G487" s="415" t="str">
        <f>Attendance!A487</f>
        <v/>
      </c>
      <c r="H487" s="420" t="str">
        <f>IFERROR(__xludf.DUMMYFUNCTION("REGEXREPLACE(F487, ""\d+$"", """")"),"")</f>
        <v/>
      </c>
    </row>
    <row r="488" ht="22.5" customHeight="1">
      <c r="A488" s="417" t="str">
        <f>VLOOKUP(F488, Employees!$A$2:$C957, 3, FALSE)</f>
        <v>#N/A</v>
      </c>
      <c r="B488" s="418">
        <f>100000 / (DAY(EOMONTH(Attendance!A488,0)) - 4)</f>
        <v>3703.703704</v>
      </c>
      <c r="C488" s="417" t="str">
        <f>MAX(0, Attendance!C488 - TIME(9, 0, 0)) * 24 * A488</f>
        <v>#N/A</v>
      </c>
      <c r="D488" s="419" t="str">
        <f>MAX(0, Attendance!D488 - TIME(18, 0, 0)) * 24 * 1.5 * A488</f>
        <v>#N/A</v>
      </c>
      <c r="E488" s="418">
        <f>IF(AND(Attendance!E488&lt;&gt;"Friday", Attendance!C488&lt;&gt;""), B488, 0)</f>
        <v>0</v>
      </c>
      <c r="F488" s="420" t="str">
        <f>Attendance!B488</f>
        <v/>
      </c>
      <c r="G488" s="415" t="str">
        <f>Attendance!A488</f>
        <v/>
      </c>
      <c r="H488" s="420" t="str">
        <f>IFERROR(__xludf.DUMMYFUNCTION("REGEXREPLACE(F488, ""\d+$"", """")"),"")</f>
        <v/>
      </c>
    </row>
    <row r="489" ht="22.5" customHeight="1">
      <c r="A489" s="417" t="str">
        <f>VLOOKUP(F489, Employees!$A$2:$C957, 3, FALSE)</f>
        <v>#N/A</v>
      </c>
      <c r="B489" s="418">
        <f>100000 / (DAY(EOMONTH(Attendance!A489,0)) - 4)</f>
        <v>3703.703704</v>
      </c>
      <c r="C489" s="417" t="str">
        <f>MAX(0, Attendance!C489 - TIME(9, 0, 0)) * 24 * A489</f>
        <v>#N/A</v>
      </c>
      <c r="D489" s="419" t="str">
        <f>MAX(0, Attendance!D489 - TIME(18, 0, 0)) * 24 * 1.5 * A489</f>
        <v>#N/A</v>
      </c>
      <c r="E489" s="418">
        <f>IF(AND(Attendance!E489&lt;&gt;"Friday", Attendance!C489&lt;&gt;""), B489, 0)</f>
        <v>0</v>
      </c>
      <c r="F489" s="420" t="str">
        <f>Attendance!B489</f>
        <v/>
      </c>
      <c r="G489" s="415" t="str">
        <f>Attendance!A489</f>
        <v/>
      </c>
      <c r="H489" s="420" t="str">
        <f>IFERROR(__xludf.DUMMYFUNCTION("REGEXREPLACE(F489, ""\d+$"", """")"),"")</f>
        <v/>
      </c>
    </row>
    <row r="490" ht="22.5" customHeight="1">
      <c r="A490" s="417" t="str">
        <f>VLOOKUP(F490, Employees!$A$2:$C957, 3, FALSE)</f>
        <v>#N/A</v>
      </c>
      <c r="B490" s="418">
        <f>100000 / (DAY(EOMONTH(Attendance!A490,0)) - 4)</f>
        <v>3703.703704</v>
      </c>
      <c r="C490" s="417" t="str">
        <f>MAX(0, Attendance!C490 - TIME(9, 0, 0)) * 24 * A490</f>
        <v>#N/A</v>
      </c>
      <c r="D490" s="419" t="str">
        <f>MAX(0, Attendance!D490 - TIME(18, 0, 0)) * 24 * 1.5 * A490</f>
        <v>#N/A</v>
      </c>
      <c r="E490" s="418">
        <f>IF(AND(Attendance!E490&lt;&gt;"Friday", Attendance!C490&lt;&gt;""), B490, 0)</f>
        <v>0</v>
      </c>
      <c r="F490" s="420" t="str">
        <f>Attendance!B490</f>
        <v/>
      </c>
      <c r="G490" s="415" t="str">
        <f>Attendance!A490</f>
        <v/>
      </c>
      <c r="H490" s="420" t="str">
        <f>IFERROR(__xludf.DUMMYFUNCTION("REGEXREPLACE(F490, ""\d+$"", """")"),"")</f>
        <v/>
      </c>
    </row>
    <row r="491" ht="22.5" customHeight="1">
      <c r="A491" s="417" t="str">
        <f>VLOOKUP(F491, Employees!$A$2:$C957, 3, FALSE)</f>
        <v>#N/A</v>
      </c>
      <c r="B491" s="418">
        <f>100000 / (DAY(EOMONTH(Attendance!A491,0)) - 4)</f>
        <v>3703.703704</v>
      </c>
      <c r="C491" s="417" t="str">
        <f>MAX(0, Attendance!C491 - TIME(9, 0, 0)) * 24 * A491</f>
        <v>#N/A</v>
      </c>
      <c r="D491" s="419" t="str">
        <f>MAX(0, Attendance!D491 - TIME(18, 0, 0)) * 24 * 1.5 * A491</f>
        <v>#N/A</v>
      </c>
      <c r="E491" s="418">
        <f>IF(AND(Attendance!E491&lt;&gt;"Friday", Attendance!C491&lt;&gt;""), B491, 0)</f>
        <v>0</v>
      </c>
      <c r="F491" s="420" t="str">
        <f>Attendance!B491</f>
        <v/>
      </c>
      <c r="G491" s="415" t="str">
        <f>Attendance!A491</f>
        <v/>
      </c>
      <c r="H491" s="420" t="str">
        <f>IFERROR(__xludf.DUMMYFUNCTION("REGEXREPLACE(F491, ""\d+$"", """")"),"")</f>
        <v/>
      </c>
    </row>
    <row r="492" ht="22.5" customHeight="1">
      <c r="A492" s="417" t="str">
        <f>VLOOKUP(F492, Employees!$A$2:$C957, 3, FALSE)</f>
        <v>#N/A</v>
      </c>
      <c r="B492" s="418">
        <f>100000 / (DAY(EOMONTH(Attendance!A492,0)) - 4)</f>
        <v>3703.703704</v>
      </c>
      <c r="C492" s="417" t="str">
        <f>MAX(0, Attendance!C492 - TIME(9, 0, 0)) * 24 * A492</f>
        <v>#N/A</v>
      </c>
      <c r="D492" s="419" t="str">
        <f>MAX(0, Attendance!D492 - TIME(18, 0, 0)) * 24 * 1.5 * A492</f>
        <v>#N/A</v>
      </c>
      <c r="E492" s="418">
        <f>IF(AND(Attendance!E492&lt;&gt;"Friday", Attendance!C492&lt;&gt;""), B492, 0)</f>
        <v>0</v>
      </c>
      <c r="F492" s="420" t="str">
        <f>Attendance!B492</f>
        <v/>
      </c>
      <c r="G492" s="415" t="str">
        <f>Attendance!A492</f>
        <v/>
      </c>
      <c r="H492" s="420" t="str">
        <f>IFERROR(__xludf.DUMMYFUNCTION("REGEXREPLACE(F492, ""\d+$"", """")"),"")</f>
        <v/>
      </c>
    </row>
    <row r="493" ht="22.5" customHeight="1">
      <c r="A493" s="417" t="str">
        <f>VLOOKUP(F493, Employees!$A$2:$C957, 3, FALSE)</f>
        <v>#N/A</v>
      </c>
      <c r="B493" s="418">
        <f>100000 / (DAY(EOMONTH(Attendance!A493,0)) - 4)</f>
        <v>3703.703704</v>
      </c>
      <c r="C493" s="417" t="str">
        <f>MAX(0, Attendance!C493 - TIME(9, 0, 0)) * 24 * A493</f>
        <v>#N/A</v>
      </c>
      <c r="D493" s="419" t="str">
        <f>MAX(0, Attendance!D493 - TIME(18, 0, 0)) * 24 * 1.5 * A493</f>
        <v>#N/A</v>
      </c>
      <c r="E493" s="418">
        <f>IF(AND(Attendance!E493&lt;&gt;"Friday", Attendance!C493&lt;&gt;""), B493, 0)</f>
        <v>0</v>
      </c>
      <c r="F493" s="420" t="str">
        <f>Attendance!B493</f>
        <v/>
      </c>
      <c r="G493" s="415" t="str">
        <f>Attendance!A493</f>
        <v/>
      </c>
      <c r="H493" s="420" t="str">
        <f>IFERROR(__xludf.DUMMYFUNCTION("REGEXREPLACE(F493, ""\d+$"", """")"),"")</f>
        <v/>
      </c>
    </row>
    <row r="494" ht="22.5" customHeight="1">
      <c r="A494" s="417" t="str">
        <f>VLOOKUP(F494, Employees!$A$2:$C957, 3, FALSE)</f>
        <v>#N/A</v>
      </c>
      <c r="B494" s="418">
        <f>100000 / (DAY(EOMONTH(Attendance!A494,0)) - 4)</f>
        <v>3703.703704</v>
      </c>
      <c r="C494" s="417" t="str">
        <f>MAX(0, Attendance!C494 - TIME(9, 0, 0)) * 24 * A494</f>
        <v>#N/A</v>
      </c>
      <c r="D494" s="419" t="str">
        <f>MAX(0, Attendance!D494 - TIME(18, 0, 0)) * 24 * 1.5 * A494</f>
        <v>#N/A</v>
      </c>
      <c r="E494" s="418">
        <f>IF(AND(Attendance!E494&lt;&gt;"Friday", Attendance!C494&lt;&gt;""), B494, 0)</f>
        <v>0</v>
      </c>
      <c r="F494" s="420" t="str">
        <f>Attendance!B494</f>
        <v/>
      </c>
      <c r="G494" s="415" t="str">
        <f>Attendance!A494</f>
        <v/>
      </c>
      <c r="H494" s="420" t="str">
        <f>IFERROR(__xludf.DUMMYFUNCTION("REGEXREPLACE(F494, ""\d+$"", """")"),"")</f>
        <v/>
      </c>
    </row>
    <row r="495" ht="22.5" customHeight="1">
      <c r="A495" s="417" t="str">
        <f>VLOOKUP(F495, Employees!$A$2:$C957, 3, FALSE)</f>
        <v>#N/A</v>
      </c>
      <c r="B495" s="418">
        <f>100000 / (DAY(EOMONTH(Attendance!A495,0)) - 4)</f>
        <v>3703.703704</v>
      </c>
      <c r="C495" s="417" t="str">
        <f>MAX(0, Attendance!C495 - TIME(9, 0, 0)) * 24 * A495</f>
        <v>#N/A</v>
      </c>
      <c r="D495" s="419" t="str">
        <f>MAX(0, Attendance!D495 - TIME(18, 0, 0)) * 24 * 1.5 * A495</f>
        <v>#N/A</v>
      </c>
      <c r="E495" s="418">
        <f>IF(AND(Attendance!E495&lt;&gt;"Friday", Attendance!C495&lt;&gt;""), B495, 0)</f>
        <v>0</v>
      </c>
      <c r="F495" s="420" t="str">
        <f>Attendance!B495</f>
        <v/>
      </c>
      <c r="G495" s="415" t="str">
        <f>Attendance!A495</f>
        <v/>
      </c>
      <c r="H495" s="420" t="str">
        <f>IFERROR(__xludf.DUMMYFUNCTION("REGEXREPLACE(F495, ""\d+$"", """")"),"")</f>
        <v/>
      </c>
    </row>
    <row r="496" ht="22.5" customHeight="1">
      <c r="A496" s="417" t="str">
        <f>VLOOKUP(F496, Employees!$A$2:$C957, 3, FALSE)</f>
        <v>#N/A</v>
      </c>
      <c r="B496" s="418">
        <f>100000 / (DAY(EOMONTH(Attendance!A496,0)) - 4)</f>
        <v>3703.703704</v>
      </c>
      <c r="C496" s="417" t="str">
        <f>MAX(0, Attendance!C496 - TIME(9, 0, 0)) * 24 * A496</f>
        <v>#N/A</v>
      </c>
      <c r="D496" s="419" t="str">
        <f>MAX(0, Attendance!D496 - TIME(18, 0, 0)) * 24 * 1.5 * A496</f>
        <v>#N/A</v>
      </c>
      <c r="E496" s="418">
        <f>IF(AND(Attendance!E496&lt;&gt;"Friday", Attendance!C496&lt;&gt;""), B496, 0)</f>
        <v>0</v>
      </c>
      <c r="F496" s="420" t="str">
        <f>Attendance!B496</f>
        <v/>
      </c>
      <c r="G496" s="415" t="str">
        <f>Attendance!A496</f>
        <v/>
      </c>
      <c r="H496" s="420" t="str">
        <f>IFERROR(__xludf.DUMMYFUNCTION("REGEXREPLACE(F496, ""\d+$"", """")"),"")</f>
        <v/>
      </c>
    </row>
    <row r="497" ht="22.5" customHeight="1">
      <c r="A497" s="417" t="str">
        <f>VLOOKUP(F497, Employees!$A$2:$C957, 3, FALSE)</f>
        <v>#N/A</v>
      </c>
      <c r="B497" s="418">
        <f>100000 / (DAY(EOMONTH(Attendance!A497,0)) - 4)</f>
        <v>3703.703704</v>
      </c>
      <c r="C497" s="417" t="str">
        <f>MAX(0, Attendance!C497 - TIME(9, 0, 0)) * 24 * A497</f>
        <v>#N/A</v>
      </c>
      <c r="D497" s="419" t="str">
        <f>MAX(0, Attendance!D497 - TIME(18, 0, 0)) * 24 * 1.5 * A497</f>
        <v>#N/A</v>
      </c>
      <c r="E497" s="418">
        <f>IF(AND(Attendance!E497&lt;&gt;"Friday", Attendance!C497&lt;&gt;""), B497, 0)</f>
        <v>0</v>
      </c>
      <c r="F497" s="420" t="str">
        <f>Attendance!B497</f>
        <v/>
      </c>
      <c r="G497" s="415" t="str">
        <f>Attendance!A497</f>
        <v/>
      </c>
      <c r="H497" s="420" t="str">
        <f>IFERROR(__xludf.DUMMYFUNCTION("REGEXREPLACE(F497, ""\d+$"", """")"),"")</f>
        <v/>
      </c>
    </row>
    <row r="498" ht="22.5" customHeight="1">
      <c r="A498" s="417" t="str">
        <f>VLOOKUP(F498, Employees!$A$2:$C957, 3, FALSE)</f>
        <v>#N/A</v>
      </c>
      <c r="B498" s="418">
        <f>100000 / (DAY(EOMONTH(Attendance!A498,0)) - 4)</f>
        <v>3703.703704</v>
      </c>
      <c r="C498" s="417" t="str">
        <f>MAX(0, Attendance!C498 - TIME(9, 0, 0)) * 24 * A498</f>
        <v>#N/A</v>
      </c>
      <c r="D498" s="419" t="str">
        <f>MAX(0, Attendance!D498 - TIME(18, 0, 0)) * 24 * 1.5 * A498</f>
        <v>#N/A</v>
      </c>
      <c r="E498" s="418">
        <f>IF(AND(Attendance!E498&lt;&gt;"Friday", Attendance!C498&lt;&gt;""), B498, 0)</f>
        <v>0</v>
      </c>
      <c r="F498" s="420" t="str">
        <f>Attendance!B498</f>
        <v/>
      </c>
      <c r="G498" s="415" t="str">
        <f>Attendance!A498</f>
        <v/>
      </c>
      <c r="H498" s="420" t="str">
        <f>IFERROR(__xludf.DUMMYFUNCTION("REGEXREPLACE(F498, ""\d+$"", """")"),"")</f>
        <v/>
      </c>
    </row>
    <row r="499" ht="22.5" customHeight="1">
      <c r="A499" s="417" t="str">
        <f>VLOOKUP(F499, Employees!$A$2:$C957, 3, FALSE)</f>
        <v>#N/A</v>
      </c>
      <c r="B499" s="418">
        <f>100000 / (DAY(EOMONTH(Attendance!A499,0)) - 4)</f>
        <v>3703.703704</v>
      </c>
      <c r="C499" s="417" t="str">
        <f>MAX(0, Attendance!C499 - TIME(9, 0, 0)) * 24 * A499</f>
        <v>#N/A</v>
      </c>
      <c r="D499" s="419" t="str">
        <f>MAX(0, Attendance!D499 - TIME(18, 0, 0)) * 24 * 1.5 * A499</f>
        <v>#N/A</v>
      </c>
      <c r="E499" s="418">
        <f>IF(AND(Attendance!E499&lt;&gt;"Friday", Attendance!C499&lt;&gt;""), B499, 0)</f>
        <v>0</v>
      </c>
      <c r="F499" s="420" t="str">
        <f>Attendance!B499</f>
        <v/>
      </c>
      <c r="G499" s="415" t="str">
        <f>Attendance!A499</f>
        <v/>
      </c>
      <c r="H499" s="420" t="str">
        <f>IFERROR(__xludf.DUMMYFUNCTION("REGEXREPLACE(F499, ""\d+$"", """")"),"")</f>
        <v/>
      </c>
    </row>
    <row r="500" ht="22.5" customHeight="1">
      <c r="A500" s="417" t="str">
        <f>VLOOKUP(F500, Employees!$A$2:$C957, 3, FALSE)</f>
        <v>#N/A</v>
      </c>
      <c r="B500" s="418">
        <f>100000 / (DAY(EOMONTH(Attendance!A500,0)) - 4)</f>
        <v>3703.703704</v>
      </c>
      <c r="C500" s="417" t="str">
        <f>MAX(0, Attendance!C500 - TIME(9, 0, 0)) * 24 * A500</f>
        <v>#N/A</v>
      </c>
      <c r="D500" s="419" t="str">
        <f>MAX(0, Attendance!D500 - TIME(18, 0, 0)) * 24 * 1.5 * A500</f>
        <v>#N/A</v>
      </c>
      <c r="E500" s="418">
        <f>IF(AND(Attendance!E500&lt;&gt;"Friday", Attendance!C500&lt;&gt;""), B500, 0)</f>
        <v>0</v>
      </c>
      <c r="F500" s="420" t="str">
        <f>Attendance!B500</f>
        <v/>
      </c>
      <c r="G500" s="415" t="str">
        <f>Attendance!A500</f>
        <v/>
      </c>
      <c r="H500" s="420" t="str">
        <f>IFERROR(__xludf.DUMMYFUNCTION("REGEXREPLACE(F500, ""\d+$"", """")"),"")</f>
        <v/>
      </c>
    </row>
    <row r="501" ht="22.5" customHeight="1">
      <c r="A501" s="417" t="str">
        <f>VLOOKUP(F501, Employees!$A$2:$C957, 3, FALSE)</f>
        <v>#N/A</v>
      </c>
      <c r="B501" s="418">
        <f>100000 / (DAY(EOMONTH(Attendance!A501,0)) - 4)</f>
        <v>3703.703704</v>
      </c>
      <c r="C501" s="417" t="str">
        <f>MAX(0, Attendance!C501 - TIME(9, 0, 0)) * 24 * A501</f>
        <v>#N/A</v>
      </c>
      <c r="D501" s="419" t="str">
        <f>MAX(0, Attendance!D501 - TIME(18, 0, 0)) * 24 * 1.5 * A501</f>
        <v>#N/A</v>
      </c>
      <c r="E501" s="418">
        <f>IF(AND(Attendance!E501&lt;&gt;"Friday", Attendance!C501&lt;&gt;""), B501, 0)</f>
        <v>0</v>
      </c>
      <c r="F501" s="420" t="str">
        <f>Attendance!B501</f>
        <v/>
      </c>
      <c r="G501" s="415" t="str">
        <f>Attendance!A501</f>
        <v/>
      </c>
      <c r="H501" s="420" t="str">
        <f>IFERROR(__xludf.DUMMYFUNCTION("REGEXREPLACE(F501, ""\d+$"", """")"),"")</f>
        <v/>
      </c>
    </row>
    <row r="502" ht="22.5" customHeight="1">
      <c r="A502" s="417" t="str">
        <f>VLOOKUP(F502, Employees!$A$2:$C957, 3, FALSE)</f>
        <v>#N/A</v>
      </c>
      <c r="B502" s="418">
        <f>100000 / (DAY(EOMONTH(Attendance!A502,0)) - 4)</f>
        <v>3703.703704</v>
      </c>
      <c r="C502" s="417" t="str">
        <f>MAX(0, Attendance!C502 - TIME(9, 0, 0)) * 24 * A502</f>
        <v>#N/A</v>
      </c>
      <c r="D502" s="419" t="str">
        <f>MAX(0, Attendance!D502 - TIME(18, 0, 0)) * 24 * 1.5 * A502</f>
        <v>#N/A</v>
      </c>
      <c r="E502" s="418">
        <f>IF(AND(Attendance!E502&lt;&gt;"Friday", Attendance!C502&lt;&gt;""), B502, 0)</f>
        <v>0</v>
      </c>
      <c r="F502" s="420" t="str">
        <f>Attendance!B502</f>
        <v/>
      </c>
      <c r="G502" s="415" t="str">
        <f>Attendance!A502</f>
        <v/>
      </c>
      <c r="H502" s="420" t="str">
        <f>IFERROR(__xludf.DUMMYFUNCTION("REGEXREPLACE(F502, ""\d+$"", """")"),"")</f>
        <v/>
      </c>
    </row>
    <row r="503" ht="22.5" customHeight="1">
      <c r="A503" s="417" t="str">
        <f>VLOOKUP(F503, Employees!$A$2:$C957, 3, FALSE)</f>
        <v>#N/A</v>
      </c>
      <c r="B503" s="418">
        <f>100000 / (DAY(EOMONTH(Attendance!A503,0)) - 4)</f>
        <v>3703.703704</v>
      </c>
      <c r="C503" s="417" t="str">
        <f>MAX(0, Attendance!C503 - TIME(9, 0, 0)) * 24 * A503</f>
        <v>#N/A</v>
      </c>
      <c r="D503" s="419" t="str">
        <f>MAX(0, Attendance!D503 - TIME(18, 0, 0)) * 24 * 1.5 * A503</f>
        <v>#N/A</v>
      </c>
      <c r="E503" s="418">
        <f>IF(AND(Attendance!E503&lt;&gt;"Friday", Attendance!C503&lt;&gt;""), B503, 0)</f>
        <v>0</v>
      </c>
      <c r="F503" s="420" t="str">
        <f>Attendance!B503</f>
        <v/>
      </c>
      <c r="G503" s="415" t="str">
        <f>Attendance!A503</f>
        <v/>
      </c>
      <c r="H503" s="420" t="str">
        <f>IFERROR(__xludf.DUMMYFUNCTION("REGEXREPLACE(F503, ""\d+$"", """")"),"")</f>
        <v/>
      </c>
    </row>
    <row r="504" ht="22.5" customHeight="1">
      <c r="A504" s="417" t="str">
        <f>VLOOKUP(F504, Employees!$A$2:$C957, 3, FALSE)</f>
        <v>#N/A</v>
      </c>
      <c r="B504" s="418">
        <f>100000 / (DAY(EOMONTH(Attendance!A504,0)) - 4)</f>
        <v>3703.703704</v>
      </c>
      <c r="C504" s="417" t="str">
        <f>MAX(0, Attendance!C504 - TIME(9, 0, 0)) * 24 * A504</f>
        <v>#N/A</v>
      </c>
      <c r="D504" s="419" t="str">
        <f>MAX(0, Attendance!D504 - TIME(18, 0, 0)) * 24 * 1.5 * A504</f>
        <v>#N/A</v>
      </c>
      <c r="E504" s="418">
        <f>IF(AND(Attendance!E504&lt;&gt;"Friday", Attendance!C504&lt;&gt;""), B504, 0)</f>
        <v>0</v>
      </c>
      <c r="F504" s="420" t="str">
        <f>Attendance!B504</f>
        <v/>
      </c>
      <c r="G504" s="415" t="str">
        <f>Attendance!A504</f>
        <v/>
      </c>
      <c r="H504" s="420" t="str">
        <f>IFERROR(__xludf.DUMMYFUNCTION("REGEXREPLACE(F504, ""\d+$"", """")"),"")</f>
        <v/>
      </c>
    </row>
    <row r="505" ht="22.5" customHeight="1">
      <c r="A505" s="417" t="str">
        <f>VLOOKUP(F505, Employees!$A$2:$C957, 3, FALSE)</f>
        <v>#N/A</v>
      </c>
      <c r="B505" s="418">
        <f>100000 / (DAY(EOMONTH(Attendance!A505,0)) - 4)</f>
        <v>3703.703704</v>
      </c>
      <c r="C505" s="417" t="str">
        <f>MAX(0, Attendance!C505 - TIME(9, 0, 0)) * 24 * A505</f>
        <v>#N/A</v>
      </c>
      <c r="D505" s="419" t="str">
        <f>MAX(0, Attendance!D505 - TIME(18, 0, 0)) * 24 * 1.5 * A505</f>
        <v>#N/A</v>
      </c>
      <c r="E505" s="418">
        <f>IF(AND(Attendance!E505&lt;&gt;"Friday", Attendance!C505&lt;&gt;""), B505, 0)</f>
        <v>0</v>
      </c>
      <c r="F505" s="420" t="str">
        <f>Attendance!B505</f>
        <v/>
      </c>
      <c r="G505" s="415" t="str">
        <f>Attendance!A505</f>
        <v/>
      </c>
      <c r="H505" s="420" t="str">
        <f>IFERROR(__xludf.DUMMYFUNCTION("REGEXREPLACE(F505, ""\d+$"", """")"),"")</f>
        <v/>
      </c>
    </row>
    <row r="506" ht="22.5" customHeight="1">
      <c r="A506" s="417" t="str">
        <f>VLOOKUP(F506, Employees!$A$2:$C957, 3, FALSE)</f>
        <v>#N/A</v>
      </c>
      <c r="B506" s="418">
        <f>100000 / (DAY(EOMONTH(Attendance!A506,0)) - 4)</f>
        <v>3703.703704</v>
      </c>
      <c r="C506" s="417" t="str">
        <f>MAX(0, Attendance!C506 - TIME(9, 0, 0)) * 24 * A506</f>
        <v>#N/A</v>
      </c>
      <c r="D506" s="419" t="str">
        <f>MAX(0, Attendance!D506 - TIME(18, 0, 0)) * 24 * 1.5 * A506</f>
        <v>#N/A</v>
      </c>
      <c r="E506" s="418">
        <f>IF(AND(Attendance!E506&lt;&gt;"Friday", Attendance!C506&lt;&gt;""), B506, 0)</f>
        <v>0</v>
      </c>
      <c r="F506" s="420" t="str">
        <f>Attendance!B506</f>
        <v/>
      </c>
      <c r="G506" s="415" t="str">
        <f>Attendance!A506</f>
        <v/>
      </c>
      <c r="H506" s="420" t="str">
        <f>IFERROR(__xludf.DUMMYFUNCTION("REGEXREPLACE(F506, ""\d+$"", """")"),"")</f>
        <v/>
      </c>
    </row>
    <row r="507" ht="22.5" customHeight="1">
      <c r="A507" s="417" t="str">
        <f>VLOOKUP(F507, Employees!$A$2:$C957, 3, FALSE)</f>
        <v>#N/A</v>
      </c>
      <c r="B507" s="418">
        <f>100000 / (DAY(EOMONTH(Attendance!A507,0)) - 4)</f>
        <v>3703.703704</v>
      </c>
      <c r="C507" s="417" t="str">
        <f>MAX(0, Attendance!C507 - TIME(9, 0, 0)) * 24 * A507</f>
        <v>#N/A</v>
      </c>
      <c r="D507" s="419" t="str">
        <f>MAX(0, Attendance!D507 - TIME(18, 0, 0)) * 24 * 1.5 * A507</f>
        <v>#N/A</v>
      </c>
      <c r="E507" s="418">
        <f>IF(AND(Attendance!E507&lt;&gt;"Friday", Attendance!C507&lt;&gt;""), B507, 0)</f>
        <v>0</v>
      </c>
      <c r="F507" s="420" t="str">
        <f>Attendance!B507</f>
        <v/>
      </c>
      <c r="G507" s="415" t="str">
        <f>Attendance!A507</f>
        <v/>
      </c>
      <c r="H507" s="420" t="str">
        <f>IFERROR(__xludf.DUMMYFUNCTION("REGEXREPLACE(F507, ""\d+$"", """")"),"")</f>
        <v/>
      </c>
    </row>
    <row r="508" ht="22.5" customHeight="1">
      <c r="A508" s="417" t="str">
        <f>VLOOKUP(F508, Employees!$A$2:$C957, 3, FALSE)</f>
        <v>#N/A</v>
      </c>
      <c r="B508" s="418">
        <f>100000 / (DAY(EOMONTH(Attendance!A508,0)) - 4)</f>
        <v>3703.703704</v>
      </c>
      <c r="C508" s="417" t="str">
        <f>MAX(0, Attendance!C508 - TIME(9, 0, 0)) * 24 * A508</f>
        <v>#N/A</v>
      </c>
      <c r="D508" s="419" t="str">
        <f>MAX(0, Attendance!D508 - TIME(18, 0, 0)) * 24 * 1.5 * A508</f>
        <v>#N/A</v>
      </c>
      <c r="E508" s="418">
        <f>IF(AND(Attendance!E508&lt;&gt;"Friday", Attendance!C508&lt;&gt;""), B508, 0)</f>
        <v>0</v>
      </c>
      <c r="F508" s="420" t="str">
        <f>Attendance!B508</f>
        <v/>
      </c>
      <c r="G508" s="415" t="str">
        <f>Attendance!A508</f>
        <v/>
      </c>
      <c r="H508" s="420" t="str">
        <f>IFERROR(__xludf.DUMMYFUNCTION("REGEXREPLACE(F508, ""\d+$"", """")"),"")</f>
        <v/>
      </c>
    </row>
    <row r="509" ht="22.5" customHeight="1">
      <c r="A509" s="417" t="str">
        <f>VLOOKUP(F509, Employees!$A$2:$C957, 3, FALSE)</f>
        <v>#N/A</v>
      </c>
      <c r="B509" s="418">
        <f>100000 / (DAY(EOMONTH(Attendance!A509,0)) - 4)</f>
        <v>3703.703704</v>
      </c>
      <c r="C509" s="417" t="str">
        <f>MAX(0, Attendance!C509 - TIME(9, 0, 0)) * 24 * A509</f>
        <v>#N/A</v>
      </c>
      <c r="D509" s="419" t="str">
        <f>MAX(0, Attendance!D509 - TIME(18, 0, 0)) * 24 * 1.5 * A509</f>
        <v>#N/A</v>
      </c>
      <c r="E509" s="418">
        <f>IF(AND(Attendance!E509&lt;&gt;"Friday", Attendance!C509&lt;&gt;""), B509, 0)</f>
        <v>0</v>
      </c>
      <c r="F509" s="420" t="str">
        <f>Attendance!B509</f>
        <v/>
      </c>
      <c r="G509" s="415" t="str">
        <f>Attendance!A509</f>
        <v/>
      </c>
      <c r="H509" s="420" t="str">
        <f>IFERROR(__xludf.DUMMYFUNCTION("REGEXREPLACE(F509, ""\d+$"", """")"),"")</f>
        <v/>
      </c>
    </row>
    <row r="510" ht="22.5" customHeight="1">
      <c r="A510" s="417" t="str">
        <f>VLOOKUP(F510, Employees!$A$2:$C957, 3, FALSE)</f>
        <v>#N/A</v>
      </c>
      <c r="B510" s="418">
        <f>100000 / (DAY(EOMONTH(Attendance!A510,0)) - 4)</f>
        <v>3703.703704</v>
      </c>
      <c r="C510" s="417" t="str">
        <f>MAX(0, Attendance!C510 - TIME(9, 0, 0)) * 24 * A510</f>
        <v>#N/A</v>
      </c>
      <c r="D510" s="419" t="str">
        <f>MAX(0, Attendance!D510 - TIME(18, 0, 0)) * 24 * 1.5 * A510</f>
        <v>#N/A</v>
      </c>
      <c r="E510" s="418">
        <f>IF(AND(Attendance!E510&lt;&gt;"Friday", Attendance!C510&lt;&gt;""), B510, 0)</f>
        <v>0</v>
      </c>
      <c r="F510" s="420" t="str">
        <f>Attendance!B510</f>
        <v/>
      </c>
      <c r="G510" s="415" t="str">
        <f>Attendance!A510</f>
        <v/>
      </c>
      <c r="H510" s="420" t="str">
        <f>IFERROR(__xludf.DUMMYFUNCTION("REGEXREPLACE(F510, ""\d+$"", """")"),"")</f>
        <v/>
      </c>
    </row>
    <row r="511" ht="22.5" customHeight="1">
      <c r="A511" s="417" t="str">
        <f>VLOOKUP(F511, Employees!$A$2:$C957, 3, FALSE)</f>
        <v>#N/A</v>
      </c>
      <c r="B511" s="418">
        <f>100000 / (DAY(EOMONTH(Attendance!A511,0)) - 4)</f>
        <v>3703.703704</v>
      </c>
      <c r="C511" s="417" t="str">
        <f>MAX(0, Attendance!C511 - TIME(9, 0, 0)) * 24 * A511</f>
        <v>#N/A</v>
      </c>
      <c r="D511" s="419" t="str">
        <f>MAX(0, Attendance!D511 - TIME(18, 0, 0)) * 24 * 1.5 * A511</f>
        <v>#N/A</v>
      </c>
      <c r="E511" s="418">
        <f>IF(AND(Attendance!E511&lt;&gt;"Friday", Attendance!C511&lt;&gt;""), B511, 0)</f>
        <v>0</v>
      </c>
      <c r="F511" s="420" t="str">
        <f>Attendance!B511</f>
        <v/>
      </c>
      <c r="G511" s="415" t="str">
        <f>Attendance!A511</f>
        <v/>
      </c>
      <c r="H511" s="420" t="str">
        <f>IFERROR(__xludf.DUMMYFUNCTION("REGEXREPLACE(F511, ""\d+$"", """")"),"")</f>
        <v/>
      </c>
    </row>
    <row r="512" ht="22.5" customHeight="1">
      <c r="A512" s="417" t="str">
        <f>VLOOKUP(F512, Employees!$A$2:$C957, 3, FALSE)</f>
        <v>#N/A</v>
      </c>
      <c r="B512" s="418">
        <f>100000 / (DAY(EOMONTH(Attendance!A512,0)) - 4)</f>
        <v>3703.703704</v>
      </c>
      <c r="C512" s="417" t="str">
        <f>MAX(0, Attendance!C512 - TIME(9, 0, 0)) * 24 * A512</f>
        <v>#N/A</v>
      </c>
      <c r="D512" s="419" t="str">
        <f>MAX(0, Attendance!D512 - TIME(18, 0, 0)) * 24 * 1.5 * A512</f>
        <v>#N/A</v>
      </c>
      <c r="E512" s="418">
        <f>IF(AND(Attendance!E512&lt;&gt;"Friday", Attendance!C512&lt;&gt;""), B512, 0)</f>
        <v>0</v>
      </c>
      <c r="F512" s="420" t="str">
        <f>Attendance!B512</f>
        <v/>
      </c>
      <c r="G512" s="415" t="str">
        <f>Attendance!A512</f>
        <v/>
      </c>
      <c r="H512" s="420" t="str">
        <f>IFERROR(__xludf.DUMMYFUNCTION("REGEXREPLACE(F512, ""\d+$"", """")"),"")</f>
        <v/>
      </c>
    </row>
    <row r="513" ht="22.5" customHeight="1">
      <c r="A513" s="417" t="str">
        <f>VLOOKUP(F513, Employees!$A$2:$C957, 3, FALSE)</f>
        <v>#N/A</v>
      </c>
      <c r="B513" s="418">
        <f>100000 / (DAY(EOMONTH(Attendance!A513,0)) - 4)</f>
        <v>3703.703704</v>
      </c>
      <c r="C513" s="417" t="str">
        <f>MAX(0, Attendance!C513 - TIME(9, 0, 0)) * 24 * A513</f>
        <v>#N/A</v>
      </c>
      <c r="D513" s="419" t="str">
        <f>MAX(0, Attendance!D513 - TIME(18, 0, 0)) * 24 * 1.5 * A513</f>
        <v>#N/A</v>
      </c>
      <c r="E513" s="418">
        <f>IF(AND(Attendance!E513&lt;&gt;"Friday", Attendance!C513&lt;&gt;""), B513, 0)</f>
        <v>0</v>
      </c>
      <c r="F513" s="420" t="str">
        <f>Attendance!B513</f>
        <v/>
      </c>
      <c r="G513" s="415" t="str">
        <f>Attendance!A513</f>
        <v/>
      </c>
      <c r="H513" s="420" t="str">
        <f>IFERROR(__xludf.DUMMYFUNCTION("REGEXREPLACE(F513, ""\d+$"", """")"),"")</f>
        <v/>
      </c>
    </row>
    <row r="514" ht="22.5" customHeight="1">
      <c r="A514" s="417" t="str">
        <f>VLOOKUP(F514, Employees!$A$2:$C957, 3, FALSE)</f>
        <v>#N/A</v>
      </c>
      <c r="B514" s="418">
        <f>100000 / (DAY(EOMONTH(Attendance!A514,0)) - 4)</f>
        <v>3703.703704</v>
      </c>
      <c r="C514" s="417" t="str">
        <f>MAX(0, Attendance!C514 - TIME(9, 0, 0)) * 24 * A514</f>
        <v>#N/A</v>
      </c>
      <c r="D514" s="419" t="str">
        <f>MAX(0, Attendance!D514 - TIME(18, 0, 0)) * 24 * 1.5 * A514</f>
        <v>#N/A</v>
      </c>
      <c r="E514" s="418">
        <f>IF(AND(Attendance!E514&lt;&gt;"Friday", Attendance!C514&lt;&gt;""), B514, 0)</f>
        <v>0</v>
      </c>
      <c r="F514" s="420" t="str">
        <f>Attendance!B514</f>
        <v/>
      </c>
      <c r="G514" s="415" t="str">
        <f>Attendance!A514</f>
        <v/>
      </c>
      <c r="H514" s="420" t="str">
        <f>IFERROR(__xludf.DUMMYFUNCTION("REGEXREPLACE(F514, ""\d+$"", """")"),"")</f>
        <v/>
      </c>
    </row>
    <row r="515" ht="22.5" customHeight="1">
      <c r="A515" s="417" t="str">
        <f>VLOOKUP(F515, Employees!$A$2:$C957, 3, FALSE)</f>
        <v>#N/A</v>
      </c>
      <c r="B515" s="418">
        <f>100000 / (DAY(EOMONTH(Attendance!A515,0)) - 4)</f>
        <v>3703.703704</v>
      </c>
      <c r="C515" s="417" t="str">
        <f>MAX(0, Attendance!C515 - TIME(9, 0, 0)) * 24 * A515</f>
        <v>#N/A</v>
      </c>
      <c r="D515" s="419" t="str">
        <f>MAX(0, Attendance!D515 - TIME(18, 0, 0)) * 24 * 1.5 * A515</f>
        <v>#N/A</v>
      </c>
      <c r="E515" s="418">
        <f>IF(AND(Attendance!E515&lt;&gt;"Friday", Attendance!C515&lt;&gt;""), B515, 0)</f>
        <v>0</v>
      </c>
      <c r="F515" s="420" t="str">
        <f>Attendance!B515</f>
        <v/>
      </c>
      <c r="G515" s="415" t="str">
        <f>Attendance!A515</f>
        <v/>
      </c>
      <c r="H515" s="420" t="str">
        <f>IFERROR(__xludf.DUMMYFUNCTION("REGEXREPLACE(F515, ""\d+$"", """")"),"")</f>
        <v/>
      </c>
    </row>
    <row r="516" ht="22.5" customHeight="1">
      <c r="A516" s="417" t="str">
        <f>VLOOKUP(F516, Employees!$A$2:$C957, 3, FALSE)</f>
        <v>#N/A</v>
      </c>
      <c r="B516" s="418">
        <f>100000 / (DAY(EOMONTH(Attendance!A516,0)) - 4)</f>
        <v>3703.703704</v>
      </c>
      <c r="C516" s="417" t="str">
        <f>MAX(0, Attendance!C516 - TIME(9, 0, 0)) * 24 * A516</f>
        <v>#N/A</v>
      </c>
      <c r="D516" s="419" t="str">
        <f>MAX(0, Attendance!D516 - TIME(18, 0, 0)) * 24 * 1.5 * A516</f>
        <v>#N/A</v>
      </c>
      <c r="E516" s="418">
        <f>IF(AND(Attendance!E516&lt;&gt;"Friday", Attendance!C516&lt;&gt;""), B516, 0)</f>
        <v>0</v>
      </c>
      <c r="F516" s="420" t="str">
        <f>Attendance!B516</f>
        <v/>
      </c>
      <c r="G516" s="415" t="str">
        <f>Attendance!A516</f>
        <v/>
      </c>
      <c r="H516" s="420" t="str">
        <f>IFERROR(__xludf.DUMMYFUNCTION("REGEXREPLACE(F516, ""\d+$"", """")"),"")</f>
        <v/>
      </c>
    </row>
    <row r="517" ht="22.5" customHeight="1">
      <c r="A517" s="417" t="str">
        <f>VLOOKUP(F517, Employees!$A$2:$C957, 3, FALSE)</f>
        <v>#N/A</v>
      </c>
      <c r="B517" s="418">
        <f>100000 / (DAY(EOMONTH(Attendance!A517,0)) - 4)</f>
        <v>3703.703704</v>
      </c>
      <c r="C517" s="417" t="str">
        <f>MAX(0, Attendance!C517 - TIME(9, 0, 0)) * 24 * A517</f>
        <v>#N/A</v>
      </c>
      <c r="D517" s="419" t="str">
        <f>MAX(0, Attendance!D517 - TIME(18, 0, 0)) * 24 * 1.5 * A517</f>
        <v>#N/A</v>
      </c>
      <c r="E517" s="418">
        <f>IF(AND(Attendance!E517&lt;&gt;"Friday", Attendance!C517&lt;&gt;""), B517, 0)</f>
        <v>0</v>
      </c>
      <c r="F517" s="420" t="str">
        <f>Attendance!B517</f>
        <v/>
      </c>
      <c r="G517" s="415" t="str">
        <f>Attendance!A517</f>
        <v/>
      </c>
      <c r="H517" s="420" t="str">
        <f>IFERROR(__xludf.DUMMYFUNCTION("REGEXREPLACE(F517, ""\d+$"", """")"),"")</f>
        <v/>
      </c>
    </row>
    <row r="518" ht="22.5" customHeight="1">
      <c r="A518" s="417" t="str">
        <f>VLOOKUP(F518, Employees!$A$2:$C957, 3, FALSE)</f>
        <v>#N/A</v>
      </c>
      <c r="B518" s="418">
        <f>100000 / (DAY(EOMONTH(Attendance!A518,0)) - 4)</f>
        <v>3703.703704</v>
      </c>
      <c r="C518" s="417" t="str">
        <f>MAX(0, Attendance!C518 - TIME(9, 0, 0)) * 24 * A518</f>
        <v>#N/A</v>
      </c>
      <c r="D518" s="419" t="str">
        <f>MAX(0, Attendance!D518 - TIME(18, 0, 0)) * 24 * 1.5 * A518</f>
        <v>#N/A</v>
      </c>
      <c r="E518" s="418">
        <f>IF(AND(Attendance!E518&lt;&gt;"Friday", Attendance!C518&lt;&gt;""), B518, 0)</f>
        <v>0</v>
      </c>
      <c r="F518" s="420" t="str">
        <f>Attendance!B518</f>
        <v/>
      </c>
      <c r="G518" s="415" t="str">
        <f>Attendance!A518</f>
        <v/>
      </c>
      <c r="H518" s="420" t="str">
        <f>IFERROR(__xludf.DUMMYFUNCTION("REGEXREPLACE(F518, ""\d+$"", """")"),"")</f>
        <v/>
      </c>
    </row>
    <row r="519" ht="22.5" customHeight="1">
      <c r="A519" s="417" t="str">
        <f>VLOOKUP(F519, Employees!$A$2:$C957, 3, FALSE)</f>
        <v>#N/A</v>
      </c>
      <c r="B519" s="418">
        <f>100000 / (DAY(EOMONTH(Attendance!A519,0)) - 4)</f>
        <v>3703.703704</v>
      </c>
      <c r="C519" s="417" t="str">
        <f>MAX(0, Attendance!C519 - TIME(9, 0, 0)) * 24 * A519</f>
        <v>#N/A</v>
      </c>
      <c r="D519" s="419" t="str">
        <f>MAX(0, Attendance!D519 - TIME(18, 0, 0)) * 24 * 1.5 * A519</f>
        <v>#N/A</v>
      </c>
      <c r="E519" s="418">
        <f>IF(AND(Attendance!E519&lt;&gt;"Friday", Attendance!C519&lt;&gt;""), B519, 0)</f>
        <v>0</v>
      </c>
      <c r="F519" s="420" t="str">
        <f>Attendance!B519</f>
        <v/>
      </c>
      <c r="G519" s="415" t="str">
        <f>Attendance!A519</f>
        <v/>
      </c>
      <c r="H519" s="420" t="str">
        <f>IFERROR(__xludf.DUMMYFUNCTION("REGEXREPLACE(F519, ""\d+$"", """")"),"")</f>
        <v/>
      </c>
    </row>
    <row r="520" ht="22.5" customHeight="1">
      <c r="A520" s="417" t="str">
        <f>VLOOKUP(F520, Employees!$A$2:$C957, 3, FALSE)</f>
        <v>#N/A</v>
      </c>
      <c r="B520" s="418">
        <f>100000 / (DAY(EOMONTH(Attendance!A520,0)) - 4)</f>
        <v>3703.703704</v>
      </c>
      <c r="C520" s="417" t="str">
        <f>MAX(0, Attendance!C520 - TIME(9, 0, 0)) * 24 * A520</f>
        <v>#N/A</v>
      </c>
      <c r="D520" s="419" t="str">
        <f>MAX(0, Attendance!D520 - TIME(18, 0, 0)) * 24 * 1.5 * A520</f>
        <v>#N/A</v>
      </c>
      <c r="E520" s="418">
        <f>IF(AND(Attendance!E520&lt;&gt;"Friday", Attendance!C520&lt;&gt;""), B520, 0)</f>
        <v>0</v>
      </c>
      <c r="F520" s="420" t="str">
        <f>Attendance!B520</f>
        <v/>
      </c>
      <c r="G520" s="415" t="str">
        <f>Attendance!A520</f>
        <v/>
      </c>
      <c r="H520" s="420" t="str">
        <f>IFERROR(__xludf.DUMMYFUNCTION("REGEXREPLACE(F520, ""\d+$"", """")"),"")</f>
        <v/>
      </c>
    </row>
    <row r="521" ht="22.5" customHeight="1">
      <c r="A521" s="417" t="str">
        <f>VLOOKUP(F521, Employees!$A$2:$C957, 3, FALSE)</f>
        <v>#N/A</v>
      </c>
      <c r="B521" s="418">
        <f>100000 / (DAY(EOMONTH(Attendance!A521,0)) - 4)</f>
        <v>3703.703704</v>
      </c>
      <c r="C521" s="417" t="str">
        <f>MAX(0, Attendance!C521 - TIME(9, 0, 0)) * 24 * A521</f>
        <v>#N/A</v>
      </c>
      <c r="D521" s="419" t="str">
        <f>MAX(0, Attendance!D521 - TIME(18, 0, 0)) * 24 * 1.5 * A521</f>
        <v>#N/A</v>
      </c>
      <c r="E521" s="418">
        <f>IF(AND(Attendance!E521&lt;&gt;"Friday", Attendance!C521&lt;&gt;""), B521, 0)</f>
        <v>0</v>
      </c>
      <c r="F521" s="420" t="str">
        <f>Attendance!B521</f>
        <v/>
      </c>
      <c r="G521" s="415" t="str">
        <f>Attendance!A521</f>
        <v/>
      </c>
      <c r="H521" s="420" t="str">
        <f>IFERROR(__xludf.DUMMYFUNCTION("REGEXREPLACE(F521, ""\d+$"", """")"),"")</f>
        <v/>
      </c>
    </row>
    <row r="522" ht="22.5" customHeight="1">
      <c r="A522" s="417" t="str">
        <f>VLOOKUP(F522, Employees!$A$2:$C957, 3, FALSE)</f>
        <v>#N/A</v>
      </c>
      <c r="B522" s="418">
        <f>100000 / (DAY(EOMONTH(Attendance!A522,0)) - 4)</f>
        <v>3703.703704</v>
      </c>
      <c r="C522" s="417" t="str">
        <f>MAX(0, Attendance!C522 - TIME(9, 0, 0)) * 24 * A522</f>
        <v>#N/A</v>
      </c>
      <c r="D522" s="419" t="str">
        <f>MAX(0, Attendance!D522 - TIME(18, 0, 0)) * 24 * 1.5 * A522</f>
        <v>#N/A</v>
      </c>
      <c r="E522" s="418">
        <f>IF(AND(Attendance!E522&lt;&gt;"Friday", Attendance!C522&lt;&gt;""), B522, 0)</f>
        <v>0</v>
      </c>
      <c r="F522" s="420" t="str">
        <f>Attendance!B522</f>
        <v/>
      </c>
      <c r="G522" s="415" t="str">
        <f>Attendance!A522</f>
        <v/>
      </c>
      <c r="H522" s="420" t="str">
        <f>IFERROR(__xludf.DUMMYFUNCTION("REGEXREPLACE(F522, ""\d+$"", """")"),"")</f>
        <v/>
      </c>
    </row>
    <row r="523" ht="22.5" customHeight="1">
      <c r="A523" s="417" t="str">
        <f>VLOOKUP(F523, Employees!$A$2:$C957, 3, FALSE)</f>
        <v>#N/A</v>
      </c>
      <c r="B523" s="418">
        <f>100000 / (DAY(EOMONTH(Attendance!A523,0)) - 4)</f>
        <v>3703.703704</v>
      </c>
      <c r="C523" s="417" t="str">
        <f>MAX(0, Attendance!C523 - TIME(9, 0, 0)) * 24 * A523</f>
        <v>#N/A</v>
      </c>
      <c r="D523" s="419" t="str">
        <f>MAX(0, Attendance!D523 - TIME(18, 0, 0)) * 24 * 1.5 * A523</f>
        <v>#N/A</v>
      </c>
      <c r="E523" s="418">
        <f>IF(AND(Attendance!E523&lt;&gt;"Friday", Attendance!C523&lt;&gt;""), B523, 0)</f>
        <v>0</v>
      </c>
      <c r="F523" s="420" t="str">
        <f>Attendance!B523</f>
        <v/>
      </c>
      <c r="G523" s="415" t="str">
        <f>Attendance!A523</f>
        <v/>
      </c>
      <c r="H523" s="420" t="str">
        <f>IFERROR(__xludf.DUMMYFUNCTION("REGEXREPLACE(F523, ""\d+$"", """")"),"")</f>
        <v/>
      </c>
    </row>
    <row r="524" ht="22.5" customHeight="1">
      <c r="A524" s="417" t="str">
        <f>VLOOKUP(F524, Employees!$A$2:$C957, 3, FALSE)</f>
        <v>#N/A</v>
      </c>
      <c r="B524" s="418">
        <f>100000 / (DAY(EOMONTH(Attendance!A524,0)) - 4)</f>
        <v>3703.703704</v>
      </c>
      <c r="C524" s="417" t="str">
        <f>MAX(0, Attendance!C524 - TIME(9, 0, 0)) * 24 * A524</f>
        <v>#N/A</v>
      </c>
      <c r="D524" s="419" t="str">
        <f>MAX(0, Attendance!D524 - TIME(18, 0, 0)) * 24 * 1.5 * A524</f>
        <v>#N/A</v>
      </c>
      <c r="E524" s="418">
        <f>IF(AND(Attendance!E524&lt;&gt;"Friday", Attendance!C524&lt;&gt;""), B524, 0)</f>
        <v>0</v>
      </c>
      <c r="F524" s="420" t="str">
        <f>Attendance!B524</f>
        <v/>
      </c>
      <c r="G524" s="415" t="str">
        <f>Attendance!A524</f>
        <v/>
      </c>
      <c r="H524" s="420" t="str">
        <f>IFERROR(__xludf.DUMMYFUNCTION("REGEXREPLACE(F524, ""\d+$"", """")"),"")</f>
        <v/>
      </c>
    </row>
    <row r="525" ht="22.5" customHeight="1">
      <c r="A525" s="417" t="str">
        <f>VLOOKUP(F525, Employees!$A$2:$C957, 3, FALSE)</f>
        <v>#N/A</v>
      </c>
      <c r="B525" s="418">
        <f>100000 / (DAY(EOMONTH(Attendance!A525,0)) - 4)</f>
        <v>3703.703704</v>
      </c>
      <c r="C525" s="417" t="str">
        <f>MAX(0, Attendance!C525 - TIME(9, 0, 0)) * 24 * A525</f>
        <v>#N/A</v>
      </c>
      <c r="D525" s="419" t="str">
        <f>MAX(0, Attendance!D525 - TIME(18, 0, 0)) * 24 * 1.5 * A525</f>
        <v>#N/A</v>
      </c>
      <c r="E525" s="418">
        <f>IF(AND(Attendance!E525&lt;&gt;"Friday", Attendance!C525&lt;&gt;""), B525, 0)</f>
        <v>0</v>
      </c>
      <c r="F525" s="420" t="str">
        <f>Attendance!B525</f>
        <v/>
      </c>
      <c r="G525" s="415" t="str">
        <f>Attendance!A525</f>
        <v/>
      </c>
      <c r="H525" s="420" t="str">
        <f>IFERROR(__xludf.DUMMYFUNCTION("REGEXREPLACE(F525, ""\d+$"", """")"),"")</f>
        <v/>
      </c>
    </row>
    <row r="526" ht="22.5" customHeight="1">
      <c r="A526" s="417" t="str">
        <f>VLOOKUP(F526, Employees!$A$2:$C957, 3, FALSE)</f>
        <v>#N/A</v>
      </c>
      <c r="B526" s="418">
        <f>100000 / (DAY(EOMONTH(Attendance!A526,0)) - 4)</f>
        <v>3703.703704</v>
      </c>
      <c r="C526" s="417" t="str">
        <f>MAX(0, Attendance!C526 - TIME(9, 0, 0)) * 24 * A526</f>
        <v>#N/A</v>
      </c>
      <c r="D526" s="419" t="str">
        <f>MAX(0, Attendance!D526 - TIME(18, 0, 0)) * 24 * 1.5 * A526</f>
        <v>#N/A</v>
      </c>
      <c r="E526" s="418">
        <f>IF(AND(Attendance!E526&lt;&gt;"Friday", Attendance!C526&lt;&gt;""), B526, 0)</f>
        <v>0</v>
      </c>
      <c r="F526" s="420" t="str">
        <f>Attendance!B526</f>
        <v/>
      </c>
      <c r="G526" s="415" t="str">
        <f>Attendance!A526</f>
        <v/>
      </c>
      <c r="H526" s="420" t="str">
        <f>IFERROR(__xludf.DUMMYFUNCTION("REGEXREPLACE(F526, ""\d+$"", """")"),"")</f>
        <v/>
      </c>
    </row>
    <row r="527" ht="22.5" customHeight="1">
      <c r="A527" s="417" t="str">
        <f>VLOOKUP(F527, Employees!$A$2:$C957, 3, FALSE)</f>
        <v>#N/A</v>
      </c>
      <c r="B527" s="418">
        <f>100000 / (DAY(EOMONTH(Attendance!A527,0)) - 4)</f>
        <v>3703.703704</v>
      </c>
      <c r="C527" s="417" t="str">
        <f>MAX(0, Attendance!C527 - TIME(9, 0, 0)) * 24 * A527</f>
        <v>#N/A</v>
      </c>
      <c r="D527" s="419" t="str">
        <f>MAX(0, Attendance!D527 - TIME(18, 0, 0)) * 24 * 1.5 * A527</f>
        <v>#N/A</v>
      </c>
      <c r="E527" s="418">
        <f>IF(AND(Attendance!E527&lt;&gt;"Friday", Attendance!C527&lt;&gt;""), B527, 0)</f>
        <v>0</v>
      </c>
      <c r="F527" s="420" t="str">
        <f>Attendance!B527</f>
        <v/>
      </c>
      <c r="G527" s="415" t="str">
        <f>Attendance!A527</f>
        <v/>
      </c>
      <c r="H527" s="420" t="str">
        <f>IFERROR(__xludf.DUMMYFUNCTION("REGEXREPLACE(F527, ""\d+$"", """")"),"")</f>
        <v/>
      </c>
    </row>
    <row r="528" ht="22.5" customHeight="1">
      <c r="A528" s="417" t="str">
        <f>VLOOKUP(F528, Employees!$A$2:$C957, 3, FALSE)</f>
        <v>#N/A</v>
      </c>
      <c r="B528" s="418">
        <f>100000 / (DAY(EOMONTH(Attendance!A528,0)) - 4)</f>
        <v>3703.703704</v>
      </c>
      <c r="C528" s="417" t="str">
        <f>MAX(0, Attendance!C528 - TIME(9, 0, 0)) * 24 * A528</f>
        <v>#N/A</v>
      </c>
      <c r="D528" s="419" t="str">
        <f>MAX(0, Attendance!D528 - TIME(18, 0, 0)) * 24 * 1.5 * A528</f>
        <v>#N/A</v>
      </c>
      <c r="E528" s="418">
        <f>IF(AND(Attendance!E528&lt;&gt;"Friday", Attendance!C528&lt;&gt;""), B528, 0)</f>
        <v>0</v>
      </c>
      <c r="F528" s="420" t="str">
        <f>Attendance!B528</f>
        <v/>
      </c>
      <c r="G528" s="415" t="str">
        <f>Attendance!A528</f>
        <v/>
      </c>
      <c r="H528" s="420" t="str">
        <f>IFERROR(__xludf.DUMMYFUNCTION("REGEXREPLACE(F528, ""\d+$"", """")"),"")</f>
        <v/>
      </c>
    </row>
    <row r="529" ht="22.5" customHeight="1">
      <c r="A529" s="417" t="str">
        <f>VLOOKUP(F529, Employees!$A$2:$C957, 3, FALSE)</f>
        <v>#N/A</v>
      </c>
      <c r="B529" s="418">
        <f>100000 / (DAY(EOMONTH(Attendance!A529,0)) - 4)</f>
        <v>3703.703704</v>
      </c>
      <c r="C529" s="417" t="str">
        <f>MAX(0, Attendance!C529 - TIME(9, 0, 0)) * 24 * A529</f>
        <v>#N/A</v>
      </c>
      <c r="D529" s="419" t="str">
        <f>MAX(0, Attendance!D529 - TIME(18, 0, 0)) * 24 * 1.5 * A529</f>
        <v>#N/A</v>
      </c>
      <c r="E529" s="418">
        <f>IF(AND(Attendance!E529&lt;&gt;"Friday", Attendance!C529&lt;&gt;""), B529, 0)</f>
        <v>0</v>
      </c>
      <c r="F529" s="420" t="str">
        <f>Attendance!B529</f>
        <v/>
      </c>
      <c r="G529" s="415" t="str">
        <f>Attendance!A529</f>
        <v/>
      </c>
      <c r="H529" s="420" t="str">
        <f>IFERROR(__xludf.DUMMYFUNCTION("REGEXREPLACE(F529, ""\d+$"", """")"),"")</f>
        <v/>
      </c>
    </row>
    <row r="530" ht="22.5" customHeight="1">
      <c r="A530" s="417" t="str">
        <f>VLOOKUP(F530, Employees!$A$2:$C957, 3, FALSE)</f>
        <v>#N/A</v>
      </c>
      <c r="B530" s="418">
        <f>100000 / (DAY(EOMONTH(Attendance!A530,0)) - 4)</f>
        <v>3703.703704</v>
      </c>
      <c r="C530" s="417" t="str">
        <f>MAX(0, Attendance!C530 - TIME(9, 0, 0)) * 24 * A530</f>
        <v>#N/A</v>
      </c>
      <c r="D530" s="419" t="str">
        <f>MAX(0, Attendance!D530 - TIME(18, 0, 0)) * 24 * 1.5 * A530</f>
        <v>#N/A</v>
      </c>
      <c r="E530" s="418">
        <f>IF(AND(Attendance!E530&lt;&gt;"Friday", Attendance!C530&lt;&gt;""), B530, 0)</f>
        <v>0</v>
      </c>
      <c r="F530" s="420" t="str">
        <f>Attendance!B530</f>
        <v/>
      </c>
      <c r="G530" s="415" t="str">
        <f>Attendance!A530</f>
        <v/>
      </c>
      <c r="H530" s="420" t="str">
        <f>IFERROR(__xludf.DUMMYFUNCTION("REGEXREPLACE(F530, ""\d+$"", """")"),"")</f>
        <v/>
      </c>
    </row>
    <row r="531" ht="22.5" customHeight="1">
      <c r="A531" s="417" t="str">
        <f>VLOOKUP(F531, Employees!$A$2:$C957, 3, FALSE)</f>
        <v>#N/A</v>
      </c>
      <c r="B531" s="418">
        <f>100000 / (DAY(EOMONTH(Attendance!A531,0)) - 4)</f>
        <v>3703.703704</v>
      </c>
      <c r="C531" s="417" t="str">
        <f>MAX(0, Attendance!C531 - TIME(9, 0, 0)) * 24 * A531</f>
        <v>#N/A</v>
      </c>
      <c r="D531" s="419" t="str">
        <f>MAX(0, Attendance!D531 - TIME(18, 0, 0)) * 24 * 1.5 * A531</f>
        <v>#N/A</v>
      </c>
      <c r="E531" s="418">
        <f>IF(AND(Attendance!E531&lt;&gt;"Friday", Attendance!C531&lt;&gt;""), B531, 0)</f>
        <v>0</v>
      </c>
      <c r="F531" s="420" t="str">
        <f>Attendance!B531</f>
        <v/>
      </c>
      <c r="G531" s="415" t="str">
        <f>Attendance!A531</f>
        <v/>
      </c>
      <c r="H531" s="420" t="str">
        <f>IFERROR(__xludf.DUMMYFUNCTION("REGEXREPLACE(F531, ""\d+$"", """")"),"")</f>
        <v/>
      </c>
    </row>
    <row r="532" ht="22.5" customHeight="1">
      <c r="A532" s="417" t="str">
        <f>VLOOKUP(F532, Employees!$A$2:$C957, 3, FALSE)</f>
        <v>#N/A</v>
      </c>
      <c r="B532" s="418">
        <f>100000 / (DAY(EOMONTH(Attendance!A532,0)) - 4)</f>
        <v>3703.703704</v>
      </c>
      <c r="C532" s="417" t="str">
        <f>MAX(0, Attendance!C532 - TIME(9, 0, 0)) * 24 * A532</f>
        <v>#N/A</v>
      </c>
      <c r="D532" s="419" t="str">
        <f>MAX(0, Attendance!D532 - TIME(18, 0, 0)) * 24 * 1.5 * A532</f>
        <v>#N/A</v>
      </c>
      <c r="E532" s="418">
        <f>IF(AND(Attendance!E532&lt;&gt;"Friday", Attendance!C532&lt;&gt;""), B532, 0)</f>
        <v>0</v>
      </c>
      <c r="F532" s="420" t="str">
        <f>Attendance!B532</f>
        <v/>
      </c>
      <c r="G532" s="415" t="str">
        <f>Attendance!A532</f>
        <v/>
      </c>
      <c r="H532" s="420" t="str">
        <f>IFERROR(__xludf.DUMMYFUNCTION("REGEXREPLACE(F532, ""\d+$"", """")"),"")</f>
        <v/>
      </c>
    </row>
    <row r="533" ht="22.5" customHeight="1">
      <c r="A533" s="417" t="str">
        <f>VLOOKUP(F533, Employees!$A$2:$C957, 3, FALSE)</f>
        <v>#N/A</v>
      </c>
      <c r="B533" s="418">
        <f>100000 / (DAY(EOMONTH(Attendance!A533,0)) - 4)</f>
        <v>3703.703704</v>
      </c>
      <c r="C533" s="417" t="str">
        <f>MAX(0, Attendance!C533 - TIME(9, 0, 0)) * 24 * A533</f>
        <v>#N/A</v>
      </c>
      <c r="D533" s="419" t="str">
        <f>MAX(0, Attendance!D533 - TIME(18, 0, 0)) * 24 * 1.5 * A533</f>
        <v>#N/A</v>
      </c>
      <c r="E533" s="418">
        <f>IF(AND(Attendance!E533&lt;&gt;"Friday", Attendance!C533&lt;&gt;""), B533, 0)</f>
        <v>0</v>
      </c>
      <c r="F533" s="420" t="str">
        <f>Attendance!B533</f>
        <v/>
      </c>
      <c r="G533" s="415" t="str">
        <f>Attendance!A533</f>
        <v/>
      </c>
      <c r="H533" s="420" t="str">
        <f>IFERROR(__xludf.DUMMYFUNCTION("REGEXREPLACE(F533, ""\d+$"", """")"),"")</f>
        <v/>
      </c>
    </row>
    <row r="534" ht="22.5" customHeight="1">
      <c r="A534" s="417" t="str">
        <f>VLOOKUP(F534, Employees!$A$2:$C957, 3, FALSE)</f>
        <v>#N/A</v>
      </c>
      <c r="B534" s="418">
        <f>100000 / (DAY(EOMONTH(Attendance!A534,0)) - 4)</f>
        <v>3703.703704</v>
      </c>
      <c r="C534" s="417" t="str">
        <f>MAX(0, Attendance!C534 - TIME(9, 0, 0)) * 24 * A534</f>
        <v>#N/A</v>
      </c>
      <c r="D534" s="419" t="str">
        <f>MAX(0, Attendance!D534 - TIME(18, 0, 0)) * 24 * 1.5 * A534</f>
        <v>#N/A</v>
      </c>
      <c r="E534" s="418">
        <f>IF(AND(Attendance!E534&lt;&gt;"Friday", Attendance!C534&lt;&gt;""), B534, 0)</f>
        <v>0</v>
      </c>
      <c r="F534" s="420" t="str">
        <f>Attendance!B534</f>
        <v/>
      </c>
      <c r="G534" s="415" t="str">
        <f>Attendance!A534</f>
        <v/>
      </c>
      <c r="H534" s="420" t="str">
        <f>IFERROR(__xludf.DUMMYFUNCTION("REGEXREPLACE(F534, ""\d+$"", """")"),"")</f>
        <v/>
      </c>
    </row>
    <row r="535" ht="22.5" customHeight="1">
      <c r="A535" s="417" t="str">
        <f>VLOOKUP(F535, Employees!$A$2:$C957, 3, FALSE)</f>
        <v>#N/A</v>
      </c>
      <c r="B535" s="418">
        <f>100000 / (DAY(EOMONTH(Attendance!A535,0)) - 4)</f>
        <v>3703.703704</v>
      </c>
      <c r="C535" s="417" t="str">
        <f>MAX(0, Attendance!C535 - TIME(9, 0, 0)) * 24 * A535</f>
        <v>#N/A</v>
      </c>
      <c r="D535" s="419" t="str">
        <f>MAX(0, Attendance!D535 - TIME(18, 0, 0)) * 24 * 1.5 * A535</f>
        <v>#N/A</v>
      </c>
      <c r="E535" s="418">
        <f>IF(AND(Attendance!E535&lt;&gt;"Friday", Attendance!C535&lt;&gt;""), B535, 0)</f>
        <v>0</v>
      </c>
      <c r="F535" s="420" t="str">
        <f>Attendance!B535</f>
        <v/>
      </c>
      <c r="G535" s="415" t="str">
        <f>Attendance!A535</f>
        <v/>
      </c>
      <c r="H535" s="420" t="str">
        <f>IFERROR(__xludf.DUMMYFUNCTION("REGEXREPLACE(F535, ""\d+$"", """")"),"")</f>
        <v/>
      </c>
    </row>
    <row r="536" ht="22.5" customHeight="1">
      <c r="A536" s="417" t="str">
        <f>VLOOKUP(F536, Employees!$A$2:$C957, 3, FALSE)</f>
        <v>#N/A</v>
      </c>
      <c r="B536" s="418">
        <f>100000 / (DAY(EOMONTH(Attendance!A536,0)) - 4)</f>
        <v>3703.703704</v>
      </c>
      <c r="C536" s="417" t="str">
        <f>MAX(0, Attendance!C536 - TIME(9, 0, 0)) * 24 * A536</f>
        <v>#N/A</v>
      </c>
      <c r="D536" s="419" t="str">
        <f>MAX(0, Attendance!D536 - TIME(18, 0, 0)) * 24 * 1.5 * A536</f>
        <v>#N/A</v>
      </c>
      <c r="E536" s="418">
        <f>IF(AND(Attendance!E536&lt;&gt;"Friday", Attendance!C536&lt;&gt;""), B536, 0)</f>
        <v>0</v>
      </c>
      <c r="F536" s="420" t="str">
        <f>Attendance!B536</f>
        <v/>
      </c>
      <c r="G536" s="415" t="str">
        <f>Attendance!A536</f>
        <v/>
      </c>
      <c r="H536" s="420" t="str">
        <f>IFERROR(__xludf.DUMMYFUNCTION("REGEXREPLACE(F536, ""\d+$"", """")"),"")</f>
        <v/>
      </c>
    </row>
    <row r="537" ht="22.5" customHeight="1">
      <c r="A537" s="417" t="str">
        <f>VLOOKUP(F537, Employees!$A$2:$C957, 3, FALSE)</f>
        <v>#N/A</v>
      </c>
      <c r="B537" s="418">
        <f>100000 / (DAY(EOMONTH(Attendance!A537,0)) - 4)</f>
        <v>3703.703704</v>
      </c>
      <c r="C537" s="417" t="str">
        <f>MAX(0, Attendance!C537 - TIME(9, 0, 0)) * 24 * A537</f>
        <v>#N/A</v>
      </c>
      <c r="D537" s="419" t="str">
        <f>MAX(0, Attendance!D537 - TIME(18, 0, 0)) * 24 * 1.5 * A537</f>
        <v>#N/A</v>
      </c>
      <c r="E537" s="418">
        <f>IF(AND(Attendance!E537&lt;&gt;"Friday", Attendance!C537&lt;&gt;""), B537, 0)</f>
        <v>0</v>
      </c>
      <c r="F537" s="420" t="str">
        <f>Attendance!B537</f>
        <v/>
      </c>
      <c r="G537" s="415" t="str">
        <f>Attendance!A537</f>
        <v/>
      </c>
      <c r="H537" s="420" t="str">
        <f>IFERROR(__xludf.DUMMYFUNCTION("REGEXREPLACE(F537, ""\d+$"", """")"),"")</f>
        <v/>
      </c>
    </row>
    <row r="538" ht="22.5" customHeight="1">
      <c r="A538" s="417" t="str">
        <f>VLOOKUP(F538, Employees!$A$2:$C957, 3, FALSE)</f>
        <v>#N/A</v>
      </c>
      <c r="B538" s="418">
        <f>100000 / (DAY(EOMONTH(Attendance!A538,0)) - 4)</f>
        <v>3703.703704</v>
      </c>
      <c r="C538" s="417" t="str">
        <f>MAX(0, Attendance!C538 - TIME(9, 0, 0)) * 24 * A538</f>
        <v>#N/A</v>
      </c>
      <c r="D538" s="419" t="str">
        <f>MAX(0, Attendance!D538 - TIME(18, 0, 0)) * 24 * 1.5 * A538</f>
        <v>#N/A</v>
      </c>
      <c r="E538" s="418">
        <f>IF(AND(Attendance!E538&lt;&gt;"Friday", Attendance!C538&lt;&gt;""), B538, 0)</f>
        <v>0</v>
      </c>
      <c r="F538" s="420" t="str">
        <f>Attendance!B538</f>
        <v/>
      </c>
      <c r="G538" s="415" t="str">
        <f>Attendance!A538</f>
        <v/>
      </c>
      <c r="H538" s="420" t="str">
        <f>IFERROR(__xludf.DUMMYFUNCTION("REGEXREPLACE(F538, ""\d+$"", """")"),"")</f>
        <v/>
      </c>
    </row>
    <row r="539" ht="22.5" customHeight="1">
      <c r="A539" s="417" t="str">
        <f>VLOOKUP(F539, Employees!$A$2:$C957, 3, FALSE)</f>
        <v>#N/A</v>
      </c>
      <c r="B539" s="418">
        <f>100000 / (DAY(EOMONTH(Attendance!A539,0)) - 4)</f>
        <v>3703.703704</v>
      </c>
      <c r="C539" s="417" t="str">
        <f>MAX(0, Attendance!C539 - TIME(9, 0, 0)) * 24 * A539</f>
        <v>#N/A</v>
      </c>
      <c r="D539" s="419" t="str">
        <f>MAX(0, Attendance!D539 - TIME(18, 0, 0)) * 24 * 1.5 * A539</f>
        <v>#N/A</v>
      </c>
      <c r="E539" s="418">
        <f>IF(AND(Attendance!E539&lt;&gt;"Friday", Attendance!C539&lt;&gt;""), B539, 0)</f>
        <v>0</v>
      </c>
      <c r="F539" s="420" t="str">
        <f>Attendance!B539</f>
        <v/>
      </c>
      <c r="G539" s="415" t="str">
        <f>Attendance!A539</f>
        <v/>
      </c>
      <c r="H539" s="420" t="str">
        <f>IFERROR(__xludf.DUMMYFUNCTION("REGEXREPLACE(F539, ""\d+$"", """")"),"")</f>
        <v/>
      </c>
    </row>
    <row r="540" ht="22.5" customHeight="1">
      <c r="A540" s="417" t="str">
        <f>VLOOKUP(F540, Employees!$A$2:$C957, 3, FALSE)</f>
        <v>#N/A</v>
      </c>
      <c r="B540" s="418">
        <f>100000 / (DAY(EOMONTH(Attendance!A540,0)) - 4)</f>
        <v>3703.703704</v>
      </c>
      <c r="C540" s="417" t="str">
        <f>MAX(0, Attendance!C540 - TIME(9, 0, 0)) * 24 * A540</f>
        <v>#N/A</v>
      </c>
      <c r="D540" s="419" t="str">
        <f>MAX(0, Attendance!D540 - TIME(18, 0, 0)) * 24 * 1.5 * A540</f>
        <v>#N/A</v>
      </c>
      <c r="E540" s="418">
        <f>IF(AND(Attendance!E540&lt;&gt;"Friday", Attendance!C540&lt;&gt;""), B540, 0)</f>
        <v>0</v>
      </c>
      <c r="F540" s="420" t="str">
        <f>Attendance!B540</f>
        <v/>
      </c>
      <c r="G540" s="415" t="str">
        <f>Attendance!A540</f>
        <v/>
      </c>
      <c r="H540" s="420" t="str">
        <f>IFERROR(__xludf.DUMMYFUNCTION("REGEXREPLACE(F540, ""\d+$"", """")"),"")</f>
        <v/>
      </c>
    </row>
    <row r="541" ht="22.5" customHeight="1">
      <c r="A541" s="417" t="str">
        <f>VLOOKUP(F541, Employees!$A$2:$C957, 3, FALSE)</f>
        <v>#N/A</v>
      </c>
      <c r="B541" s="418">
        <f>100000 / (DAY(EOMONTH(Attendance!A541,0)) - 4)</f>
        <v>3703.703704</v>
      </c>
      <c r="C541" s="417" t="str">
        <f>MAX(0, Attendance!C541 - TIME(9, 0, 0)) * 24 * A541</f>
        <v>#N/A</v>
      </c>
      <c r="D541" s="419" t="str">
        <f>MAX(0, Attendance!D541 - TIME(18, 0, 0)) * 24 * 1.5 * A541</f>
        <v>#N/A</v>
      </c>
      <c r="E541" s="418">
        <f>IF(AND(Attendance!E541&lt;&gt;"Friday", Attendance!C541&lt;&gt;""), B541, 0)</f>
        <v>0</v>
      </c>
      <c r="F541" s="420" t="str">
        <f>Attendance!B541</f>
        <v/>
      </c>
      <c r="G541" s="415" t="str">
        <f>Attendance!A541</f>
        <v/>
      </c>
      <c r="H541" s="420" t="str">
        <f>IFERROR(__xludf.DUMMYFUNCTION("REGEXREPLACE(F541, ""\d+$"", """")"),"")</f>
        <v/>
      </c>
    </row>
    <row r="542" ht="22.5" customHeight="1">
      <c r="A542" s="417" t="str">
        <f>VLOOKUP(F542, Employees!$A$2:$C957, 3, FALSE)</f>
        <v>#N/A</v>
      </c>
      <c r="B542" s="418">
        <f>100000 / (DAY(EOMONTH(Attendance!A542,0)) - 4)</f>
        <v>3703.703704</v>
      </c>
      <c r="C542" s="417" t="str">
        <f>MAX(0, Attendance!C542 - TIME(9, 0, 0)) * 24 * A542</f>
        <v>#N/A</v>
      </c>
      <c r="D542" s="419" t="str">
        <f>MAX(0, Attendance!D542 - TIME(18, 0, 0)) * 24 * 1.5 * A542</f>
        <v>#N/A</v>
      </c>
      <c r="E542" s="418">
        <f>IF(AND(Attendance!E542&lt;&gt;"Friday", Attendance!C542&lt;&gt;""), B542, 0)</f>
        <v>0</v>
      </c>
      <c r="F542" s="420" t="str">
        <f>Attendance!B542</f>
        <v/>
      </c>
      <c r="G542" s="415" t="str">
        <f>Attendance!A542</f>
        <v/>
      </c>
      <c r="H542" s="420" t="str">
        <f>IFERROR(__xludf.DUMMYFUNCTION("REGEXREPLACE(F542, ""\d+$"", """")"),"")</f>
        <v/>
      </c>
    </row>
    <row r="543" ht="22.5" customHeight="1">
      <c r="A543" s="417" t="str">
        <f>VLOOKUP(F543, Employees!$A$2:$C957, 3, FALSE)</f>
        <v>#N/A</v>
      </c>
      <c r="B543" s="418">
        <f>100000 / (DAY(EOMONTH(Attendance!A543,0)) - 4)</f>
        <v>3703.703704</v>
      </c>
      <c r="C543" s="417" t="str">
        <f>MAX(0, Attendance!C543 - TIME(9, 0, 0)) * 24 * A543</f>
        <v>#N/A</v>
      </c>
      <c r="D543" s="419" t="str">
        <f>MAX(0, Attendance!D543 - TIME(18, 0, 0)) * 24 * 1.5 * A543</f>
        <v>#N/A</v>
      </c>
      <c r="E543" s="418">
        <f>IF(AND(Attendance!E543&lt;&gt;"Friday", Attendance!C543&lt;&gt;""), B543, 0)</f>
        <v>0</v>
      </c>
      <c r="F543" s="420" t="str">
        <f>Attendance!B543</f>
        <v/>
      </c>
      <c r="G543" s="415" t="str">
        <f>Attendance!A543</f>
        <v/>
      </c>
      <c r="H543" s="420" t="str">
        <f>IFERROR(__xludf.DUMMYFUNCTION("REGEXREPLACE(F543, ""\d+$"", """")"),"")</f>
        <v/>
      </c>
    </row>
    <row r="544" ht="22.5" customHeight="1">
      <c r="A544" s="417" t="str">
        <f>VLOOKUP(F544, Employees!$A$2:$C957, 3, FALSE)</f>
        <v>#N/A</v>
      </c>
      <c r="B544" s="418">
        <f>100000 / (DAY(EOMONTH(Attendance!A544,0)) - 4)</f>
        <v>3703.703704</v>
      </c>
      <c r="C544" s="417" t="str">
        <f>MAX(0, Attendance!C544 - TIME(9, 0, 0)) * 24 * A544</f>
        <v>#N/A</v>
      </c>
      <c r="D544" s="419" t="str">
        <f>MAX(0, Attendance!D544 - TIME(18, 0, 0)) * 24 * 1.5 * A544</f>
        <v>#N/A</v>
      </c>
      <c r="E544" s="418">
        <f>IF(AND(Attendance!E544&lt;&gt;"Friday", Attendance!C544&lt;&gt;""), B544, 0)</f>
        <v>0</v>
      </c>
      <c r="F544" s="420" t="str">
        <f>Attendance!B544</f>
        <v/>
      </c>
      <c r="G544" s="415" t="str">
        <f>Attendance!A544</f>
        <v/>
      </c>
      <c r="H544" s="420" t="str">
        <f>IFERROR(__xludf.DUMMYFUNCTION("REGEXREPLACE(F544, ""\d+$"", """")"),"")</f>
        <v/>
      </c>
    </row>
    <row r="545" ht="22.5" customHeight="1">
      <c r="A545" s="417" t="str">
        <f>VLOOKUP(F545, Employees!$A$2:$C957, 3, FALSE)</f>
        <v>#N/A</v>
      </c>
      <c r="B545" s="418">
        <f>100000 / (DAY(EOMONTH(Attendance!A545,0)) - 4)</f>
        <v>3703.703704</v>
      </c>
      <c r="C545" s="417" t="str">
        <f>MAX(0, Attendance!C545 - TIME(9, 0, 0)) * 24 * A545</f>
        <v>#N/A</v>
      </c>
      <c r="D545" s="419" t="str">
        <f>MAX(0, Attendance!D545 - TIME(18, 0, 0)) * 24 * 1.5 * A545</f>
        <v>#N/A</v>
      </c>
      <c r="E545" s="418">
        <f>IF(AND(Attendance!E545&lt;&gt;"Friday", Attendance!C545&lt;&gt;""), B545, 0)</f>
        <v>0</v>
      </c>
      <c r="F545" s="420" t="str">
        <f>Attendance!B545</f>
        <v/>
      </c>
      <c r="G545" s="415" t="str">
        <f>Attendance!A545</f>
        <v/>
      </c>
      <c r="H545" s="420" t="str">
        <f>IFERROR(__xludf.DUMMYFUNCTION("REGEXREPLACE(F545, ""\d+$"", """")"),"")</f>
        <v/>
      </c>
    </row>
    <row r="546" ht="22.5" customHeight="1">
      <c r="A546" s="417" t="str">
        <f>VLOOKUP(F546, Employees!$A$2:$C957, 3, FALSE)</f>
        <v>#N/A</v>
      </c>
      <c r="B546" s="418">
        <f>100000 / (DAY(EOMONTH(Attendance!A546,0)) - 4)</f>
        <v>3703.703704</v>
      </c>
      <c r="C546" s="417" t="str">
        <f>MAX(0, Attendance!C546 - TIME(9, 0, 0)) * 24 * A546</f>
        <v>#N/A</v>
      </c>
      <c r="D546" s="419" t="str">
        <f>MAX(0, Attendance!D546 - TIME(18, 0, 0)) * 24 * 1.5 * A546</f>
        <v>#N/A</v>
      </c>
      <c r="E546" s="418">
        <f>IF(AND(Attendance!E546&lt;&gt;"Friday", Attendance!C546&lt;&gt;""), B546, 0)</f>
        <v>0</v>
      </c>
      <c r="F546" s="420" t="str">
        <f>Attendance!B546</f>
        <v/>
      </c>
      <c r="G546" s="415" t="str">
        <f>Attendance!A546</f>
        <v/>
      </c>
      <c r="H546" s="420" t="str">
        <f>IFERROR(__xludf.DUMMYFUNCTION("REGEXREPLACE(F546, ""\d+$"", """")"),"")</f>
        <v/>
      </c>
    </row>
    <row r="547" ht="22.5" customHeight="1">
      <c r="A547" s="417" t="str">
        <f>VLOOKUP(F547, Employees!$A$2:$C957, 3, FALSE)</f>
        <v>#N/A</v>
      </c>
      <c r="B547" s="418">
        <f>100000 / (DAY(EOMONTH(Attendance!A547,0)) - 4)</f>
        <v>3703.703704</v>
      </c>
      <c r="C547" s="417" t="str">
        <f>MAX(0, Attendance!C547 - TIME(9, 0, 0)) * 24 * A547</f>
        <v>#N/A</v>
      </c>
      <c r="D547" s="419" t="str">
        <f>MAX(0, Attendance!D547 - TIME(18, 0, 0)) * 24 * 1.5 * A547</f>
        <v>#N/A</v>
      </c>
      <c r="E547" s="418">
        <f>IF(AND(Attendance!E547&lt;&gt;"Friday", Attendance!C547&lt;&gt;""), B547, 0)</f>
        <v>0</v>
      </c>
      <c r="F547" s="420" t="str">
        <f>Attendance!B547</f>
        <v/>
      </c>
      <c r="G547" s="415" t="str">
        <f>Attendance!A547</f>
        <v/>
      </c>
      <c r="H547" s="420" t="str">
        <f>IFERROR(__xludf.DUMMYFUNCTION("REGEXREPLACE(F547, ""\d+$"", """")"),"")</f>
        <v/>
      </c>
    </row>
    <row r="548" ht="22.5" customHeight="1">
      <c r="A548" s="417" t="str">
        <f>VLOOKUP(F548, Employees!$A$2:$C957, 3, FALSE)</f>
        <v>#N/A</v>
      </c>
      <c r="B548" s="418">
        <f>100000 / (DAY(EOMONTH(Attendance!A548,0)) - 4)</f>
        <v>3703.703704</v>
      </c>
      <c r="C548" s="417" t="str">
        <f>MAX(0, Attendance!C548 - TIME(9, 0, 0)) * 24 * A548</f>
        <v>#N/A</v>
      </c>
      <c r="D548" s="419" t="str">
        <f>MAX(0, Attendance!D548 - TIME(18, 0, 0)) * 24 * 1.5 * A548</f>
        <v>#N/A</v>
      </c>
      <c r="E548" s="418">
        <f>IF(AND(Attendance!E548&lt;&gt;"Friday", Attendance!C548&lt;&gt;""), B548, 0)</f>
        <v>0</v>
      </c>
      <c r="F548" s="420" t="str">
        <f>Attendance!B548</f>
        <v/>
      </c>
      <c r="G548" s="415" t="str">
        <f>Attendance!A548</f>
        <v/>
      </c>
      <c r="H548" s="420" t="str">
        <f>IFERROR(__xludf.DUMMYFUNCTION("REGEXREPLACE(F548, ""\d+$"", """")"),"")</f>
        <v/>
      </c>
    </row>
    <row r="549" ht="22.5" customHeight="1">
      <c r="A549" s="417" t="str">
        <f>VLOOKUP(F549, Employees!$A$2:$C957, 3, FALSE)</f>
        <v>#N/A</v>
      </c>
      <c r="B549" s="418">
        <f>100000 / (DAY(EOMONTH(Attendance!A549,0)) - 4)</f>
        <v>3703.703704</v>
      </c>
      <c r="C549" s="417" t="str">
        <f>MAX(0, Attendance!C549 - TIME(9, 0, 0)) * 24 * A549</f>
        <v>#N/A</v>
      </c>
      <c r="D549" s="419" t="str">
        <f>MAX(0, Attendance!D549 - TIME(18, 0, 0)) * 24 * 1.5 * A549</f>
        <v>#N/A</v>
      </c>
      <c r="E549" s="418">
        <f>IF(AND(Attendance!E549&lt;&gt;"Friday", Attendance!C549&lt;&gt;""), B549, 0)</f>
        <v>0</v>
      </c>
      <c r="F549" s="420" t="str">
        <f>Attendance!B549</f>
        <v/>
      </c>
      <c r="G549" s="415" t="str">
        <f>Attendance!A549</f>
        <v/>
      </c>
      <c r="H549" s="420" t="str">
        <f>IFERROR(__xludf.DUMMYFUNCTION("REGEXREPLACE(F549, ""\d+$"", """")"),"")</f>
        <v/>
      </c>
    </row>
    <row r="550" ht="22.5" customHeight="1">
      <c r="A550" s="417" t="str">
        <f>VLOOKUP(F550, Employees!$A$2:$C957, 3, FALSE)</f>
        <v>#N/A</v>
      </c>
      <c r="B550" s="418">
        <f>100000 / (DAY(EOMONTH(Attendance!A550,0)) - 4)</f>
        <v>3703.703704</v>
      </c>
      <c r="C550" s="417" t="str">
        <f>MAX(0, Attendance!C550 - TIME(9, 0, 0)) * 24 * A550</f>
        <v>#N/A</v>
      </c>
      <c r="D550" s="419" t="str">
        <f>MAX(0, Attendance!D550 - TIME(18, 0, 0)) * 24 * 1.5 * A550</f>
        <v>#N/A</v>
      </c>
      <c r="E550" s="418">
        <f>IF(AND(Attendance!E550&lt;&gt;"Friday", Attendance!C550&lt;&gt;""), B550, 0)</f>
        <v>0</v>
      </c>
      <c r="F550" s="420" t="str">
        <f>Attendance!B550</f>
        <v/>
      </c>
      <c r="G550" s="415" t="str">
        <f>Attendance!A550</f>
        <v/>
      </c>
      <c r="H550" s="420" t="str">
        <f>IFERROR(__xludf.DUMMYFUNCTION("REGEXREPLACE(F550, ""\d+$"", """")"),"")</f>
        <v/>
      </c>
    </row>
    <row r="551" ht="22.5" customHeight="1">
      <c r="A551" s="417" t="str">
        <f>VLOOKUP(F551, Employees!$A$2:$C957, 3, FALSE)</f>
        <v>#N/A</v>
      </c>
      <c r="B551" s="418">
        <f>100000 / (DAY(EOMONTH(Attendance!A551,0)) - 4)</f>
        <v>3703.703704</v>
      </c>
      <c r="C551" s="417" t="str">
        <f>MAX(0, Attendance!C551 - TIME(9, 0, 0)) * 24 * A551</f>
        <v>#N/A</v>
      </c>
      <c r="D551" s="419" t="str">
        <f>MAX(0, Attendance!D551 - TIME(18, 0, 0)) * 24 * 1.5 * A551</f>
        <v>#N/A</v>
      </c>
      <c r="E551" s="418">
        <f>IF(AND(Attendance!E551&lt;&gt;"Friday", Attendance!C551&lt;&gt;""), B551, 0)</f>
        <v>0</v>
      </c>
      <c r="F551" s="420" t="str">
        <f>Attendance!B551</f>
        <v/>
      </c>
      <c r="G551" s="415" t="str">
        <f>Attendance!A551</f>
        <v/>
      </c>
      <c r="H551" s="420" t="str">
        <f>IFERROR(__xludf.DUMMYFUNCTION("REGEXREPLACE(F551, ""\d+$"", """")"),"")</f>
        <v/>
      </c>
    </row>
    <row r="552" ht="22.5" customHeight="1">
      <c r="A552" s="417" t="str">
        <f>VLOOKUP(F552, Employees!$A$2:$C957, 3, FALSE)</f>
        <v>#N/A</v>
      </c>
      <c r="B552" s="418">
        <f>100000 / (DAY(EOMONTH(Attendance!A552,0)) - 4)</f>
        <v>3703.703704</v>
      </c>
      <c r="C552" s="417" t="str">
        <f>MAX(0, Attendance!C552 - TIME(9, 0, 0)) * 24 * A552</f>
        <v>#N/A</v>
      </c>
      <c r="D552" s="419" t="str">
        <f>MAX(0, Attendance!D552 - TIME(18, 0, 0)) * 24 * 1.5 * A552</f>
        <v>#N/A</v>
      </c>
      <c r="E552" s="418">
        <f>IF(AND(Attendance!E552&lt;&gt;"Friday", Attendance!C552&lt;&gt;""), B552, 0)</f>
        <v>0</v>
      </c>
      <c r="F552" s="420" t="str">
        <f>Attendance!B552</f>
        <v/>
      </c>
      <c r="G552" s="415" t="str">
        <f>Attendance!A552</f>
        <v/>
      </c>
      <c r="H552" s="420" t="str">
        <f>IFERROR(__xludf.DUMMYFUNCTION("REGEXREPLACE(F552, ""\d+$"", """")"),"")</f>
        <v/>
      </c>
    </row>
    <row r="553" ht="22.5" customHeight="1">
      <c r="A553" s="417" t="str">
        <f>VLOOKUP(F553, Employees!$A$2:$C957, 3, FALSE)</f>
        <v>#N/A</v>
      </c>
      <c r="B553" s="418">
        <f>100000 / (DAY(EOMONTH(Attendance!A553,0)) - 4)</f>
        <v>3703.703704</v>
      </c>
      <c r="C553" s="417" t="str">
        <f>MAX(0, Attendance!C553 - TIME(9, 0, 0)) * 24 * A553</f>
        <v>#N/A</v>
      </c>
      <c r="D553" s="419" t="str">
        <f>MAX(0, Attendance!D553 - TIME(18, 0, 0)) * 24 * 1.5 * A553</f>
        <v>#N/A</v>
      </c>
      <c r="E553" s="418">
        <f>IF(AND(Attendance!E553&lt;&gt;"Friday", Attendance!C553&lt;&gt;""), B553, 0)</f>
        <v>0</v>
      </c>
      <c r="F553" s="420" t="str">
        <f>Attendance!B553</f>
        <v/>
      </c>
      <c r="G553" s="415" t="str">
        <f>Attendance!A553</f>
        <v/>
      </c>
      <c r="H553" s="420" t="str">
        <f>IFERROR(__xludf.DUMMYFUNCTION("REGEXREPLACE(F553, ""\d+$"", """")"),"")</f>
        <v/>
      </c>
    </row>
    <row r="554" ht="22.5" customHeight="1">
      <c r="A554" s="417" t="str">
        <f>VLOOKUP(F554, Employees!$A$2:$C957, 3, FALSE)</f>
        <v>#N/A</v>
      </c>
      <c r="B554" s="418">
        <f>100000 / (DAY(EOMONTH(Attendance!A554,0)) - 4)</f>
        <v>3703.703704</v>
      </c>
      <c r="C554" s="417" t="str">
        <f>MAX(0, Attendance!C554 - TIME(9, 0, 0)) * 24 * A554</f>
        <v>#N/A</v>
      </c>
      <c r="D554" s="419" t="str">
        <f>MAX(0, Attendance!D554 - TIME(18, 0, 0)) * 24 * 1.5 * A554</f>
        <v>#N/A</v>
      </c>
      <c r="E554" s="418">
        <f>IF(AND(Attendance!E554&lt;&gt;"Friday", Attendance!C554&lt;&gt;""), B554, 0)</f>
        <v>0</v>
      </c>
      <c r="F554" s="420" t="str">
        <f>Attendance!B554</f>
        <v/>
      </c>
      <c r="G554" s="415" t="str">
        <f>Attendance!A554</f>
        <v/>
      </c>
      <c r="H554" s="420" t="str">
        <f>IFERROR(__xludf.DUMMYFUNCTION("REGEXREPLACE(F554, ""\d+$"", """")"),"")</f>
        <v/>
      </c>
    </row>
    <row r="555" ht="22.5" customHeight="1">
      <c r="A555" s="417" t="str">
        <f>VLOOKUP(F555, Employees!$A$2:$C957, 3, FALSE)</f>
        <v>#N/A</v>
      </c>
      <c r="B555" s="418">
        <f>100000 / (DAY(EOMONTH(Attendance!A555,0)) - 4)</f>
        <v>3703.703704</v>
      </c>
      <c r="C555" s="417" t="str">
        <f>MAX(0, Attendance!C555 - TIME(9, 0, 0)) * 24 * A555</f>
        <v>#N/A</v>
      </c>
      <c r="D555" s="419" t="str">
        <f>MAX(0, Attendance!D555 - TIME(18, 0, 0)) * 24 * 1.5 * A555</f>
        <v>#N/A</v>
      </c>
      <c r="E555" s="418">
        <f>IF(AND(Attendance!E555&lt;&gt;"Friday", Attendance!C555&lt;&gt;""), B555, 0)</f>
        <v>0</v>
      </c>
      <c r="F555" s="420" t="str">
        <f>Attendance!B555</f>
        <v/>
      </c>
      <c r="G555" s="415" t="str">
        <f>Attendance!A555</f>
        <v/>
      </c>
      <c r="H555" s="420" t="str">
        <f>IFERROR(__xludf.DUMMYFUNCTION("REGEXREPLACE(F555, ""\d+$"", """")"),"")</f>
        <v/>
      </c>
    </row>
    <row r="556" ht="22.5" customHeight="1">
      <c r="A556" s="417" t="str">
        <f>VLOOKUP(F556, Employees!$A$2:$C957, 3, FALSE)</f>
        <v>#N/A</v>
      </c>
      <c r="B556" s="418">
        <f>100000 / (DAY(EOMONTH(Attendance!A556,0)) - 4)</f>
        <v>3703.703704</v>
      </c>
      <c r="C556" s="417" t="str">
        <f>MAX(0, Attendance!C556 - TIME(9, 0, 0)) * 24 * A556</f>
        <v>#N/A</v>
      </c>
      <c r="D556" s="419" t="str">
        <f>MAX(0, Attendance!D556 - TIME(18, 0, 0)) * 24 * 1.5 * A556</f>
        <v>#N/A</v>
      </c>
      <c r="E556" s="418">
        <f>IF(AND(Attendance!E556&lt;&gt;"Friday", Attendance!C556&lt;&gt;""), B556, 0)</f>
        <v>0</v>
      </c>
      <c r="F556" s="420" t="str">
        <f>Attendance!B556</f>
        <v/>
      </c>
      <c r="G556" s="415" t="str">
        <f>Attendance!A556</f>
        <v/>
      </c>
      <c r="H556" s="420" t="str">
        <f>IFERROR(__xludf.DUMMYFUNCTION("REGEXREPLACE(F556, ""\d+$"", """")"),"")</f>
        <v/>
      </c>
    </row>
    <row r="557" ht="22.5" customHeight="1">
      <c r="A557" s="417" t="str">
        <f>VLOOKUP(F557, Employees!$A$2:$C957, 3, FALSE)</f>
        <v>#N/A</v>
      </c>
      <c r="B557" s="418">
        <f>100000 / (DAY(EOMONTH(Attendance!A557,0)) - 4)</f>
        <v>3703.703704</v>
      </c>
      <c r="C557" s="417" t="str">
        <f>MAX(0, Attendance!C557 - TIME(9, 0, 0)) * 24 * A557</f>
        <v>#N/A</v>
      </c>
      <c r="D557" s="419" t="str">
        <f>MAX(0, Attendance!D557 - TIME(18, 0, 0)) * 24 * 1.5 * A557</f>
        <v>#N/A</v>
      </c>
      <c r="E557" s="418">
        <f>IF(AND(Attendance!E557&lt;&gt;"Friday", Attendance!C557&lt;&gt;""), B557, 0)</f>
        <v>0</v>
      </c>
      <c r="F557" s="420" t="str">
        <f>Attendance!B557</f>
        <v/>
      </c>
      <c r="G557" s="415" t="str">
        <f>Attendance!A557</f>
        <v/>
      </c>
      <c r="H557" s="420" t="str">
        <f>IFERROR(__xludf.DUMMYFUNCTION("REGEXREPLACE(F557, ""\d+$"", """")"),"")</f>
        <v/>
      </c>
    </row>
    <row r="558" ht="22.5" customHeight="1">
      <c r="A558" s="417" t="str">
        <f>VLOOKUP(F558, Employees!$A$2:$C957, 3, FALSE)</f>
        <v>#N/A</v>
      </c>
      <c r="B558" s="418">
        <f>100000 / (DAY(EOMONTH(Attendance!A558,0)) - 4)</f>
        <v>3703.703704</v>
      </c>
      <c r="C558" s="417" t="str">
        <f>MAX(0, Attendance!C558 - TIME(9, 0, 0)) * 24 * A558</f>
        <v>#N/A</v>
      </c>
      <c r="D558" s="419" t="str">
        <f>MAX(0, Attendance!D558 - TIME(18, 0, 0)) * 24 * 1.5 * A558</f>
        <v>#N/A</v>
      </c>
      <c r="E558" s="418">
        <f>IF(AND(Attendance!E558&lt;&gt;"Friday", Attendance!C558&lt;&gt;""), B558, 0)</f>
        <v>0</v>
      </c>
      <c r="F558" s="420" t="str">
        <f>Attendance!B558</f>
        <v/>
      </c>
      <c r="G558" s="415" t="str">
        <f>Attendance!A558</f>
        <v/>
      </c>
      <c r="H558" s="420" t="str">
        <f>IFERROR(__xludf.DUMMYFUNCTION("REGEXREPLACE(F558, ""\d+$"", """")"),"")</f>
        <v/>
      </c>
    </row>
    <row r="559" ht="22.5" customHeight="1">
      <c r="A559" s="417" t="str">
        <f>VLOOKUP(F559, Employees!$A$2:$C957, 3, FALSE)</f>
        <v>#N/A</v>
      </c>
      <c r="B559" s="418">
        <f>100000 / (DAY(EOMONTH(Attendance!A559,0)) - 4)</f>
        <v>3703.703704</v>
      </c>
      <c r="C559" s="417" t="str">
        <f>MAX(0, Attendance!C559 - TIME(9, 0, 0)) * 24 * A559</f>
        <v>#N/A</v>
      </c>
      <c r="D559" s="419" t="str">
        <f>MAX(0, Attendance!D559 - TIME(18, 0, 0)) * 24 * 1.5 * A559</f>
        <v>#N/A</v>
      </c>
      <c r="E559" s="418">
        <f>IF(AND(Attendance!E559&lt;&gt;"Friday", Attendance!C559&lt;&gt;""), B559, 0)</f>
        <v>0</v>
      </c>
      <c r="F559" s="420" t="str">
        <f>Attendance!B559</f>
        <v/>
      </c>
      <c r="G559" s="415" t="str">
        <f>Attendance!A559</f>
        <v/>
      </c>
      <c r="H559" s="420" t="str">
        <f>IFERROR(__xludf.DUMMYFUNCTION("REGEXREPLACE(F559, ""\d+$"", """")"),"")</f>
        <v/>
      </c>
    </row>
    <row r="560" ht="22.5" customHeight="1">
      <c r="A560" s="417" t="str">
        <f>VLOOKUP(F560, Employees!$A$2:$C957, 3, FALSE)</f>
        <v>#N/A</v>
      </c>
      <c r="B560" s="418">
        <f>100000 / (DAY(EOMONTH(Attendance!A560,0)) - 4)</f>
        <v>3703.703704</v>
      </c>
      <c r="C560" s="417" t="str">
        <f>MAX(0, Attendance!C560 - TIME(9, 0, 0)) * 24 * A560</f>
        <v>#N/A</v>
      </c>
      <c r="D560" s="419" t="str">
        <f>MAX(0, Attendance!D560 - TIME(18, 0, 0)) * 24 * 1.5 * A560</f>
        <v>#N/A</v>
      </c>
      <c r="E560" s="418">
        <f>IF(AND(Attendance!E560&lt;&gt;"Friday", Attendance!C560&lt;&gt;""), B560, 0)</f>
        <v>0</v>
      </c>
      <c r="F560" s="420" t="str">
        <f>Attendance!B560</f>
        <v/>
      </c>
      <c r="G560" s="415" t="str">
        <f>Attendance!A560</f>
        <v/>
      </c>
      <c r="H560" s="420" t="str">
        <f>IFERROR(__xludf.DUMMYFUNCTION("REGEXREPLACE(F560, ""\d+$"", """")"),"")</f>
        <v/>
      </c>
    </row>
    <row r="561" ht="22.5" customHeight="1">
      <c r="A561" s="417" t="str">
        <f>VLOOKUP(F561, Employees!$A$2:$C957, 3, FALSE)</f>
        <v>#N/A</v>
      </c>
      <c r="B561" s="418">
        <f>100000 / (DAY(EOMONTH(Attendance!A561,0)) - 4)</f>
        <v>3703.703704</v>
      </c>
      <c r="C561" s="417" t="str">
        <f>MAX(0, Attendance!C561 - TIME(9, 0, 0)) * 24 * A561</f>
        <v>#N/A</v>
      </c>
      <c r="D561" s="419" t="str">
        <f>MAX(0, Attendance!D561 - TIME(18, 0, 0)) * 24 * 1.5 * A561</f>
        <v>#N/A</v>
      </c>
      <c r="E561" s="418">
        <f>IF(AND(Attendance!E561&lt;&gt;"Friday", Attendance!C561&lt;&gt;""), B561, 0)</f>
        <v>0</v>
      </c>
      <c r="F561" s="420" t="str">
        <f>Attendance!B561</f>
        <v/>
      </c>
      <c r="G561" s="415" t="str">
        <f>Attendance!A561</f>
        <v/>
      </c>
      <c r="H561" s="420" t="str">
        <f>IFERROR(__xludf.DUMMYFUNCTION("REGEXREPLACE(F561, ""\d+$"", """")"),"")</f>
        <v/>
      </c>
    </row>
    <row r="562" ht="22.5" customHeight="1">
      <c r="A562" s="417" t="str">
        <f>VLOOKUP(F562, Employees!$A$2:$C957, 3, FALSE)</f>
        <v>#N/A</v>
      </c>
      <c r="B562" s="418">
        <f>100000 / (DAY(EOMONTH(Attendance!A562,0)) - 4)</f>
        <v>3703.703704</v>
      </c>
      <c r="C562" s="417" t="str">
        <f>MAX(0, Attendance!C562 - TIME(9, 0, 0)) * 24 * A562</f>
        <v>#N/A</v>
      </c>
      <c r="D562" s="419" t="str">
        <f>MAX(0, Attendance!D562 - TIME(18, 0, 0)) * 24 * 1.5 * A562</f>
        <v>#N/A</v>
      </c>
      <c r="E562" s="418">
        <f>IF(AND(Attendance!E562&lt;&gt;"Friday", Attendance!C562&lt;&gt;""), B562, 0)</f>
        <v>0</v>
      </c>
      <c r="F562" s="420" t="str">
        <f>Attendance!B562</f>
        <v/>
      </c>
      <c r="G562" s="415" t="str">
        <f>Attendance!A562</f>
        <v/>
      </c>
      <c r="H562" s="420" t="str">
        <f>IFERROR(__xludf.DUMMYFUNCTION("REGEXREPLACE(F562, ""\d+$"", """")"),"")</f>
        <v/>
      </c>
    </row>
    <row r="563" ht="22.5" customHeight="1">
      <c r="A563" s="417" t="str">
        <f>VLOOKUP(F563, Employees!$A$2:$C957, 3, FALSE)</f>
        <v>#N/A</v>
      </c>
      <c r="B563" s="418">
        <f>100000 / (DAY(EOMONTH(Attendance!A563,0)) - 4)</f>
        <v>3703.703704</v>
      </c>
      <c r="C563" s="417" t="str">
        <f>MAX(0, Attendance!C563 - TIME(9, 0, 0)) * 24 * A563</f>
        <v>#N/A</v>
      </c>
      <c r="D563" s="419" t="str">
        <f>MAX(0, Attendance!D563 - TIME(18, 0, 0)) * 24 * 1.5 * A563</f>
        <v>#N/A</v>
      </c>
      <c r="E563" s="418">
        <f>IF(AND(Attendance!E563&lt;&gt;"Friday", Attendance!C563&lt;&gt;""), B563, 0)</f>
        <v>0</v>
      </c>
      <c r="F563" s="420" t="str">
        <f>Attendance!B563</f>
        <v/>
      </c>
      <c r="G563" s="415" t="str">
        <f>Attendance!A563</f>
        <v/>
      </c>
      <c r="H563" s="420" t="str">
        <f>IFERROR(__xludf.DUMMYFUNCTION("REGEXREPLACE(F563, ""\d+$"", """")"),"")</f>
        <v/>
      </c>
    </row>
    <row r="564" ht="22.5" customHeight="1">
      <c r="A564" s="417" t="str">
        <f>VLOOKUP(F564, Employees!$A$2:$C957, 3, FALSE)</f>
        <v>#N/A</v>
      </c>
      <c r="B564" s="418">
        <f>100000 / (DAY(EOMONTH(Attendance!A564,0)) - 4)</f>
        <v>3703.703704</v>
      </c>
      <c r="C564" s="417" t="str">
        <f>MAX(0, Attendance!C564 - TIME(9, 0, 0)) * 24 * A564</f>
        <v>#N/A</v>
      </c>
      <c r="D564" s="419" t="str">
        <f>MAX(0, Attendance!D564 - TIME(18, 0, 0)) * 24 * 1.5 * A564</f>
        <v>#N/A</v>
      </c>
      <c r="E564" s="418">
        <f>IF(AND(Attendance!E564&lt;&gt;"Friday", Attendance!C564&lt;&gt;""), B564, 0)</f>
        <v>0</v>
      </c>
      <c r="F564" s="420" t="str">
        <f>Attendance!B564</f>
        <v/>
      </c>
      <c r="G564" s="415" t="str">
        <f>Attendance!A564</f>
        <v/>
      </c>
      <c r="H564" s="420" t="str">
        <f>IFERROR(__xludf.DUMMYFUNCTION("REGEXREPLACE(F564, ""\d+$"", """")"),"")</f>
        <v/>
      </c>
    </row>
    <row r="565" ht="22.5" customHeight="1">
      <c r="A565" s="417" t="str">
        <f>VLOOKUP(F565, Employees!$A$2:$C957, 3, FALSE)</f>
        <v>#N/A</v>
      </c>
      <c r="B565" s="418">
        <f>100000 / (DAY(EOMONTH(Attendance!A565,0)) - 4)</f>
        <v>3703.703704</v>
      </c>
      <c r="C565" s="417" t="str">
        <f>MAX(0, Attendance!C565 - TIME(9, 0, 0)) * 24 * A565</f>
        <v>#N/A</v>
      </c>
      <c r="D565" s="419" t="str">
        <f>MAX(0, Attendance!D565 - TIME(18, 0, 0)) * 24 * 1.5 * A565</f>
        <v>#N/A</v>
      </c>
      <c r="E565" s="418">
        <f>IF(AND(Attendance!E565&lt;&gt;"Friday", Attendance!C565&lt;&gt;""), B565, 0)</f>
        <v>0</v>
      </c>
      <c r="F565" s="420" t="str">
        <f>Attendance!B565</f>
        <v/>
      </c>
      <c r="G565" s="415" t="str">
        <f>Attendance!A565</f>
        <v/>
      </c>
      <c r="H565" s="420" t="str">
        <f>IFERROR(__xludf.DUMMYFUNCTION("REGEXREPLACE(F565, ""\d+$"", """")"),"")</f>
        <v/>
      </c>
    </row>
    <row r="566" ht="22.5" customHeight="1">
      <c r="A566" s="417" t="str">
        <f>VLOOKUP(F566, Employees!$A$2:$C957, 3, FALSE)</f>
        <v>#N/A</v>
      </c>
      <c r="B566" s="418">
        <f>100000 / (DAY(EOMONTH(Attendance!A566,0)) - 4)</f>
        <v>3703.703704</v>
      </c>
      <c r="C566" s="417" t="str">
        <f>MAX(0, Attendance!C566 - TIME(9, 0, 0)) * 24 * A566</f>
        <v>#N/A</v>
      </c>
      <c r="D566" s="419" t="str">
        <f>MAX(0, Attendance!D566 - TIME(18, 0, 0)) * 24 * 1.5 * A566</f>
        <v>#N/A</v>
      </c>
      <c r="E566" s="418">
        <f>IF(AND(Attendance!E566&lt;&gt;"Friday", Attendance!C566&lt;&gt;""), B566, 0)</f>
        <v>0</v>
      </c>
      <c r="F566" s="420" t="str">
        <f>Attendance!B566</f>
        <v/>
      </c>
      <c r="G566" s="415" t="str">
        <f>Attendance!A566</f>
        <v/>
      </c>
      <c r="H566" s="420" t="str">
        <f>IFERROR(__xludf.DUMMYFUNCTION("REGEXREPLACE(F566, ""\d+$"", """")"),"")</f>
        <v/>
      </c>
    </row>
    <row r="567" ht="22.5" customHeight="1">
      <c r="A567" s="417" t="str">
        <f>VLOOKUP(F567, Employees!$A$2:$C957, 3, FALSE)</f>
        <v>#N/A</v>
      </c>
      <c r="B567" s="418">
        <f>100000 / (DAY(EOMONTH(Attendance!A567,0)) - 4)</f>
        <v>3703.703704</v>
      </c>
      <c r="C567" s="417" t="str">
        <f>MAX(0, Attendance!C567 - TIME(9, 0, 0)) * 24 * A567</f>
        <v>#N/A</v>
      </c>
      <c r="D567" s="419" t="str">
        <f>MAX(0, Attendance!D567 - TIME(18, 0, 0)) * 24 * 1.5 * A567</f>
        <v>#N/A</v>
      </c>
      <c r="E567" s="418">
        <f>IF(AND(Attendance!E567&lt;&gt;"Friday", Attendance!C567&lt;&gt;""), B567, 0)</f>
        <v>0</v>
      </c>
      <c r="F567" s="420" t="str">
        <f>Attendance!B567</f>
        <v/>
      </c>
      <c r="G567" s="415" t="str">
        <f>Attendance!A567</f>
        <v/>
      </c>
      <c r="H567" s="420" t="str">
        <f>IFERROR(__xludf.DUMMYFUNCTION("REGEXREPLACE(F567, ""\d+$"", """")"),"")</f>
        <v/>
      </c>
    </row>
    <row r="568" ht="22.5" customHeight="1">
      <c r="A568" s="417" t="str">
        <f>VLOOKUP(F568, Employees!$A$2:$C957, 3, FALSE)</f>
        <v>#N/A</v>
      </c>
      <c r="B568" s="418">
        <f>100000 / (DAY(EOMONTH(Attendance!A568,0)) - 4)</f>
        <v>3703.703704</v>
      </c>
      <c r="C568" s="417" t="str">
        <f>MAX(0, Attendance!C568 - TIME(9, 0, 0)) * 24 * A568</f>
        <v>#N/A</v>
      </c>
      <c r="D568" s="419" t="str">
        <f>MAX(0, Attendance!D568 - TIME(18, 0, 0)) * 24 * 1.5 * A568</f>
        <v>#N/A</v>
      </c>
      <c r="E568" s="418">
        <f>IF(AND(Attendance!E568&lt;&gt;"Friday", Attendance!C568&lt;&gt;""), B568, 0)</f>
        <v>0</v>
      </c>
      <c r="F568" s="420" t="str">
        <f>Attendance!B568</f>
        <v/>
      </c>
      <c r="G568" s="415" t="str">
        <f>Attendance!A568</f>
        <v/>
      </c>
      <c r="H568" s="420" t="str">
        <f>IFERROR(__xludf.DUMMYFUNCTION("REGEXREPLACE(F568, ""\d+$"", """")"),"")</f>
        <v/>
      </c>
    </row>
    <row r="569" ht="22.5" customHeight="1">
      <c r="A569" s="417" t="str">
        <f>VLOOKUP(F569, Employees!$A$2:$C957, 3, FALSE)</f>
        <v>#N/A</v>
      </c>
      <c r="B569" s="418">
        <f>100000 / (DAY(EOMONTH(Attendance!A569,0)) - 4)</f>
        <v>3703.703704</v>
      </c>
      <c r="C569" s="417" t="str">
        <f>MAX(0, Attendance!C569 - TIME(9, 0, 0)) * 24 * A569</f>
        <v>#N/A</v>
      </c>
      <c r="D569" s="419" t="str">
        <f>MAX(0, Attendance!D569 - TIME(18, 0, 0)) * 24 * 1.5 * A569</f>
        <v>#N/A</v>
      </c>
      <c r="E569" s="418">
        <f>IF(AND(Attendance!E569&lt;&gt;"Friday", Attendance!C569&lt;&gt;""), B569, 0)</f>
        <v>0</v>
      </c>
      <c r="F569" s="420" t="str">
        <f>Attendance!B569</f>
        <v/>
      </c>
      <c r="G569" s="415" t="str">
        <f>Attendance!A569</f>
        <v/>
      </c>
      <c r="H569" s="420" t="str">
        <f>IFERROR(__xludf.DUMMYFUNCTION("REGEXREPLACE(F569, ""\d+$"", """")"),"")</f>
        <v/>
      </c>
    </row>
    <row r="570" ht="22.5" customHeight="1">
      <c r="A570" s="417" t="str">
        <f>VLOOKUP(F570, Employees!$A$2:$C957, 3, FALSE)</f>
        <v>#N/A</v>
      </c>
      <c r="B570" s="418">
        <f>100000 / (DAY(EOMONTH(Attendance!A570,0)) - 4)</f>
        <v>3703.703704</v>
      </c>
      <c r="C570" s="417" t="str">
        <f>MAX(0, Attendance!C570 - TIME(9, 0, 0)) * 24 * A570</f>
        <v>#N/A</v>
      </c>
      <c r="D570" s="419" t="str">
        <f>MAX(0, Attendance!D570 - TIME(18, 0, 0)) * 24 * 1.5 * A570</f>
        <v>#N/A</v>
      </c>
      <c r="E570" s="418">
        <f>IF(AND(Attendance!E570&lt;&gt;"Friday", Attendance!C570&lt;&gt;""), B570, 0)</f>
        <v>0</v>
      </c>
      <c r="F570" s="420" t="str">
        <f>Attendance!B570</f>
        <v/>
      </c>
      <c r="G570" s="415" t="str">
        <f>Attendance!A570</f>
        <v/>
      </c>
      <c r="H570" s="420" t="str">
        <f>IFERROR(__xludf.DUMMYFUNCTION("REGEXREPLACE(F570, ""\d+$"", """")"),"")</f>
        <v/>
      </c>
    </row>
    <row r="571" ht="22.5" customHeight="1">
      <c r="A571" s="417" t="str">
        <f>VLOOKUP(F571, Employees!$A$2:$C957, 3, FALSE)</f>
        <v>#N/A</v>
      </c>
      <c r="B571" s="418">
        <f>100000 / (DAY(EOMONTH(Attendance!A571,0)) - 4)</f>
        <v>3703.703704</v>
      </c>
      <c r="C571" s="417" t="str">
        <f>MAX(0, Attendance!C571 - TIME(9, 0, 0)) * 24 * A571</f>
        <v>#N/A</v>
      </c>
      <c r="D571" s="419" t="str">
        <f>MAX(0, Attendance!D571 - TIME(18, 0, 0)) * 24 * 1.5 * A571</f>
        <v>#N/A</v>
      </c>
      <c r="E571" s="418">
        <f>IF(AND(Attendance!E571&lt;&gt;"Friday", Attendance!C571&lt;&gt;""), B571, 0)</f>
        <v>0</v>
      </c>
      <c r="F571" s="420" t="str">
        <f>Attendance!B571</f>
        <v/>
      </c>
      <c r="G571" s="415" t="str">
        <f>Attendance!A571</f>
        <v/>
      </c>
      <c r="H571" s="420" t="str">
        <f>IFERROR(__xludf.DUMMYFUNCTION("REGEXREPLACE(F571, ""\d+$"", """")"),"")</f>
        <v/>
      </c>
    </row>
    <row r="572" ht="22.5" customHeight="1">
      <c r="A572" s="417" t="str">
        <f>VLOOKUP(F572, Employees!$A$2:$C957, 3, FALSE)</f>
        <v>#N/A</v>
      </c>
      <c r="B572" s="418">
        <f>100000 / (DAY(EOMONTH(Attendance!A572,0)) - 4)</f>
        <v>3703.703704</v>
      </c>
      <c r="C572" s="417" t="str">
        <f>MAX(0, Attendance!C572 - TIME(9, 0, 0)) * 24 * A572</f>
        <v>#N/A</v>
      </c>
      <c r="D572" s="419" t="str">
        <f>MAX(0, Attendance!D572 - TIME(18, 0, 0)) * 24 * 1.5 * A572</f>
        <v>#N/A</v>
      </c>
      <c r="E572" s="418">
        <f>IF(AND(Attendance!E572&lt;&gt;"Friday", Attendance!C572&lt;&gt;""), B572, 0)</f>
        <v>0</v>
      </c>
      <c r="F572" s="420" t="str">
        <f>Attendance!B572</f>
        <v/>
      </c>
      <c r="G572" s="415" t="str">
        <f>Attendance!A572</f>
        <v/>
      </c>
      <c r="H572" s="420" t="str">
        <f>IFERROR(__xludf.DUMMYFUNCTION("REGEXREPLACE(F572, ""\d+$"", """")"),"")</f>
        <v/>
      </c>
    </row>
    <row r="573" ht="22.5" customHeight="1">
      <c r="A573" s="417" t="str">
        <f>VLOOKUP(F573, Employees!$A$2:$C957, 3, FALSE)</f>
        <v>#N/A</v>
      </c>
      <c r="B573" s="418">
        <f>100000 / (DAY(EOMONTH(Attendance!A573,0)) - 4)</f>
        <v>3703.703704</v>
      </c>
      <c r="C573" s="417" t="str">
        <f>MAX(0, Attendance!C573 - TIME(9, 0, 0)) * 24 * A573</f>
        <v>#N/A</v>
      </c>
      <c r="D573" s="419" t="str">
        <f>MAX(0, Attendance!D573 - TIME(18, 0, 0)) * 24 * 1.5 * A573</f>
        <v>#N/A</v>
      </c>
      <c r="E573" s="418">
        <f>IF(AND(Attendance!E573&lt;&gt;"Friday", Attendance!C573&lt;&gt;""), B573, 0)</f>
        <v>0</v>
      </c>
      <c r="F573" s="420" t="str">
        <f>Attendance!B573</f>
        <v/>
      </c>
      <c r="G573" s="415" t="str">
        <f>Attendance!A573</f>
        <v/>
      </c>
      <c r="H573" s="420" t="str">
        <f>IFERROR(__xludf.DUMMYFUNCTION("REGEXREPLACE(F573, ""\d+$"", """")"),"")</f>
        <v/>
      </c>
    </row>
    <row r="574" ht="22.5" customHeight="1">
      <c r="A574" s="417" t="str">
        <f>VLOOKUP(F574, Employees!$A$2:$C957, 3, FALSE)</f>
        <v>#N/A</v>
      </c>
      <c r="B574" s="418">
        <f>100000 / (DAY(EOMONTH(Attendance!A574,0)) - 4)</f>
        <v>3703.703704</v>
      </c>
      <c r="C574" s="417" t="str">
        <f>MAX(0, Attendance!C574 - TIME(9, 0, 0)) * 24 * A574</f>
        <v>#N/A</v>
      </c>
      <c r="D574" s="419" t="str">
        <f>MAX(0, Attendance!D574 - TIME(18, 0, 0)) * 24 * 1.5 * A574</f>
        <v>#N/A</v>
      </c>
      <c r="E574" s="418">
        <f>IF(AND(Attendance!E574&lt;&gt;"Friday", Attendance!C574&lt;&gt;""), B574, 0)</f>
        <v>0</v>
      </c>
      <c r="F574" s="420" t="str">
        <f>Attendance!B574</f>
        <v/>
      </c>
      <c r="G574" s="415" t="str">
        <f>Attendance!A574</f>
        <v/>
      </c>
      <c r="H574" s="420" t="str">
        <f>IFERROR(__xludf.DUMMYFUNCTION("REGEXREPLACE(F574, ""\d+$"", """")"),"")</f>
        <v/>
      </c>
    </row>
    <row r="575" ht="22.5" customHeight="1">
      <c r="A575" s="417" t="str">
        <f>VLOOKUP(F575, Employees!$A$2:$C957, 3, FALSE)</f>
        <v>#N/A</v>
      </c>
      <c r="B575" s="418">
        <f>100000 / (DAY(EOMONTH(Attendance!A575,0)) - 4)</f>
        <v>3703.703704</v>
      </c>
      <c r="C575" s="417" t="str">
        <f>MAX(0, Attendance!C575 - TIME(9, 0, 0)) * 24 * A575</f>
        <v>#N/A</v>
      </c>
      <c r="D575" s="419" t="str">
        <f>MAX(0, Attendance!D575 - TIME(18, 0, 0)) * 24 * 1.5 * A575</f>
        <v>#N/A</v>
      </c>
      <c r="E575" s="418">
        <f>IF(AND(Attendance!E575&lt;&gt;"Friday", Attendance!C575&lt;&gt;""), B575, 0)</f>
        <v>0</v>
      </c>
      <c r="F575" s="420" t="str">
        <f>Attendance!B575</f>
        <v/>
      </c>
      <c r="G575" s="415" t="str">
        <f>Attendance!A575</f>
        <v/>
      </c>
      <c r="H575" s="420" t="str">
        <f>IFERROR(__xludf.DUMMYFUNCTION("REGEXREPLACE(F575, ""\d+$"", """")"),"")</f>
        <v/>
      </c>
    </row>
    <row r="576" ht="22.5" customHeight="1">
      <c r="A576" s="417" t="str">
        <f>VLOOKUP(F576, Employees!$A$2:$C957, 3, FALSE)</f>
        <v>#N/A</v>
      </c>
      <c r="B576" s="418">
        <f>100000 / (DAY(EOMONTH(Attendance!A576,0)) - 4)</f>
        <v>3703.703704</v>
      </c>
      <c r="C576" s="417" t="str">
        <f>MAX(0, Attendance!C576 - TIME(9, 0, 0)) * 24 * A576</f>
        <v>#N/A</v>
      </c>
      <c r="D576" s="419" t="str">
        <f>MAX(0, Attendance!D576 - TIME(18, 0, 0)) * 24 * 1.5 * A576</f>
        <v>#N/A</v>
      </c>
      <c r="E576" s="418">
        <f>IF(AND(Attendance!E576&lt;&gt;"Friday", Attendance!C576&lt;&gt;""), B576, 0)</f>
        <v>0</v>
      </c>
      <c r="F576" s="420" t="str">
        <f>Attendance!B576</f>
        <v/>
      </c>
      <c r="G576" s="415" t="str">
        <f>Attendance!A576</f>
        <v/>
      </c>
      <c r="H576" s="420" t="str">
        <f>IFERROR(__xludf.DUMMYFUNCTION("REGEXREPLACE(F576, ""\d+$"", """")"),"")</f>
        <v/>
      </c>
    </row>
    <row r="577" ht="22.5" customHeight="1">
      <c r="A577" s="417" t="str">
        <f>VLOOKUP(F577, Employees!$A$2:$C957, 3, FALSE)</f>
        <v>#N/A</v>
      </c>
      <c r="B577" s="418">
        <f>100000 / (DAY(EOMONTH(Attendance!A577,0)) - 4)</f>
        <v>3703.703704</v>
      </c>
      <c r="C577" s="417" t="str">
        <f>MAX(0, Attendance!C577 - TIME(9, 0, 0)) * 24 * A577</f>
        <v>#N/A</v>
      </c>
      <c r="D577" s="419" t="str">
        <f>MAX(0, Attendance!D577 - TIME(18, 0, 0)) * 24 * 1.5 * A577</f>
        <v>#N/A</v>
      </c>
      <c r="E577" s="418">
        <f>IF(AND(Attendance!E577&lt;&gt;"Friday", Attendance!C577&lt;&gt;""), B577, 0)</f>
        <v>0</v>
      </c>
      <c r="F577" s="420" t="str">
        <f>Attendance!B577</f>
        <v/>
      </c>
      <c r="G577" s="415" t="str">
        <f>Attendance!A577</f>
        <v/>
      </c>
      <c r="H577" s="420" t="str">
        <f>IFERROR(__xludf.DUMMYFUNCTION("REGEXREPLACE(F577, ""\d+$"", """")"),"")</f>
        <v/>
      </c>
    </row>
    <row r="578" ht="22.5" customHeight="1">
      <c r="A578" s="417" t="str">
        <f>VLOOKUP(F578, Employees!$A$2:$C957, 3, FALSE)</f>
        <v>#N/A</v>
      </c>
      <c r="B578" s="418">
        <f>100000 / (DAY(EOMONTH(Attendance!A578,0)) - 4)</f>
        <v>3703.703704</v>
      </c>
      <c r="C578" s="417" t="str">
        <f>MAX(0, Attendance!C578 - TIME(9, 0, 0)) * 24 * A578</f>
        <v>#N/A</v>
      </c>
      <c r="D578" s="419" t="str">
        <f>MAX(0, Attendance!D578 - TIME(18, 0, 0)) * 24 * 1.5 * A578</f>
        <v>#N/A</v>
      </c>
      <c r="E578" s="418">
        <f>IF(AND(Attendance!E578&lt;&gt;"Friday", Attendance!C578&lt;&gt;""), B578, 0)</f>
        <v>0</v>
      </c>
      <c r="F578" s="420" t="str">
        <f>Attendance!B578</f>
        <v/>
      </c>
      <c r="G578" s="415" t="str">
        <f>Attendance!A578</f>
        <v/>
      </c>
      <c r="H578" s="420" t="str">
        <f>IFERROR(__xludf.DUMMYFUNCTION("REGEXREPLACE(F578, ""\d+$"", """")"),"")</f>
        <v/>
      </c>
    </row>
    <row r="579" ht="22.5" customHeight="1">
      <c r="A579" s="417" t="str">
        <f>VLOOKUP(F579, Employees!$A$2:$C957, 3, FALSE)</f>
        <v>#N/A</v>
      </c>
      <c r="B579" s="418">
        <f>100000 / (DAY(EOMONTH(Attendance!A579,0)) - 4)</f>
        <v>3703.703704</v>
      </c>
      <c r="C579" s="417" t="str">
        <f>MAX(0, Attendance!C579 - TIME(9, 0, 0)) * 24 * A579</f>
        <v>#N/A</v>
      </c>
      <c r="D579" s="419" t="str">
        <f>MAX(0, Attendance!D579 - TIME(18, 0, 0)) * 24 * 1.5 * A579</f>
        <v>#N/A</v>
      </c>
      <c r="E579" s="418">
        <f>IF(AND(Attendance!E579&lt;&gt;"Friday", Attendance!C579&lt;&gt;""), B579, 0)</f>
        <v>0</v>
      </c>
      <c r="F579" s="420" t="str">
        <f>Attendance!B579</f>
        <v/>
      </c>
      <c r="G579" s="415" t="str">
        <f>Attendance!A579</f>
        <v/>
      </c>
      <c r="H579" s="420" t="str">
        <f>IFERROR(__xludf.DUMMYFUNCTION("REGEXREPLACE(F579, ""\d+$"", """")"),"")</f>
        <v/>
      </c>
    </row>
    <row r="580" ht="22.5" customHeight="1">
      <c r="A580" s="417" t="str">
        <f>VLOOKUP(F580, Employees!$A$2:$C957, 3, FALSE)</f>
        <v>#N/A</v>
      </c>
      <c r="B580" s="418">
        <f>100000 / (DAY(EOMONTH(Attendance!A580,0)) - 4)</f>
        <v>3703.703704</v>
      </c>
      <c r="C580" s="417" t="str">
        <f>MAX(0, Attendance!C580 - TIME(9, 0, 0)) * 24 * A580</f>
        <v>#N/A</v>
      </c>
      <c r="D580" s="419" t="str">
        <f>MAX(0, Attendance!D580 - TIME(18, 0, 0)) * 24 * 1.5 * A580</f>
        <v>#N/A</v>
      </c>
      <c r="E580" s="418">
        <f>IF(AND(Attendance!E580&lt;&gt;"Friday", Attendance!C580&lt;&gt;""), B580, 0)</f>
        <v>0</v>
      </c>
      <c r="F580" s="420" t="str">
        <f>Attendance!B580</f>
        <v/>
      </c>
      <c r="G580" s="415" t="str">
        <f>Attendance!A580</f>
        <v/>
      </c>
      <c r="H580" s="420" t="str">
        <f>IFERROR(__xludf.DUMMYFUNCTION("REGEXREPLACE(F580, ""\d+$"", """")"),"")</f>
        <v/>
      </c>
    </row>
    <row r="581" ht="22.5" customHeight="1">
      <c r="A581" s="417" t="str">
        <f>VLOOKUP(F581, Employees!$A$2:$C957, 3, FALSE)</f>
        <v>#N/A</v>
      </c>
      <c r="B581" s="418">
        <f>100000 / (DAY(EOMONTH(Attendance!A581,0)) - 4)</f>
        <v>3703.703704</v>
      </c>
      <c r="C581" s="417" t="str">
        <f>MAX(0, Attendance!C581 - TIME(9, 0, 0)) * 24 * A581</f>
        <v>#N/A</v>
      </c>
      <c r="D581" s="419" t="str">
        <f>MAX(0, Attendance!D581 - TIME(18, 0, 0)) * 24 * 1.5 * A581</f>
        <v>#N/A</v>
      </c>
      <c r="E581" s="418">
        <f>IF(AND(Attendance!E581&lt;&gt;"Friday", Attendance!C581&lt;&gt;""), B581, 0)</f>
        <v>0</v>
      </c>
      <c r="F581" s="420" t="str">
        <f>Attendance!B581</f>
        <v/>
      </c>
      <c r="G581" s="415" t="str">
        <f>Attendance!A581</f>
        <v/>
      </c>
      <c r="H581" s="420" t="str">
        <f>IFERROR(__xludf.DUMMYFUNCTION("REGEXREPLACE(F581, ""\d+$"", """")"),"")</f>
        <v/>
      </c>
    </row>
    <row r="582" ht="22.5" customHeight="1">
      <c r="A582" s="417" t="str">
        <f>VLOOKUP(F582, Employees!$A$2:$C957, 3, FALSE)</f>
        <v>#N/A</v>
      </c>
      <c r="B582" s="418">
        <f>100000 / (DAY(EOMONTH(Attendance!A582,0)) - 4)</f>
        <v>3703.703704</v>
      </c>
      <c r="C582" s="417" t="str">
        <f>MAX(0, Attendance!C582 - TIME(9, 0, 0)) * 24 * A582</f>
        <v>#N/A</v>
      </c>
      <c r="D582" s="419" t="str">
        <f>MAX(0, Attendance!D582 - TIME(18, 0, 0)) * 24 * 1.5 * A582</f>
        <v>#N/A</v>
      </c>
      <c r="E582" s="418">
        <f>IF(AND(Attendance!E582&lt;&gt;"Friday", Attendance!C582&lt;&gt;""), B582, 0)</f>
        <v>0</v>
      </c>
      <c r="F582" s="420" t="str">
        <f>Attendance!B582</f>
        <v/>
      </c>
      <c r="G582" s="415" t="str">
        <f>Attendance!A582</f>
        <v/>
      </c>
      <c r="H582" s="420" t="str">
        <f>IFERROR(__xludf.DUMMYFUNCTION("REGEXREPLACE(F582, ""\d+$"", """")"),"")</f>
        <v/>
      </c>
    </row>
    <row r="583" ht="22.5" customHeight="1">
      <c r="A583" s="417" t="str">
        <f>VLOOKUP(F583, Employees!$A$2:$C957, 3, FALSE)</f>
        <v>#N/A</v>
      </c>
      <c r="B583" s="418">
        <f>100000 / (DAY(EOMONTH(Attendance!A583,0)) - 4)</f>
        <v>3703.703704</v>
      </c>
      <c r="C583" s="417" t="str">
        <f>MAX(0, Attendance!C583 - TIME(9, 0, 0)) * 24 * A583</f>
        <v>#N/A</v>
      </c>
      <c r="D583" s="419" t="str">
        <f>MAX(0, Attendance!D583 - TIME(18, 0, 0)) * 24 * 1.5 * A583</f>
        <v>#N/A</v>
      </c>
      <c r="E583" s="418">
        <f>IF(AND(Attendance!E583&lt;&gt;"Friday", Attendance!C583&lt;&gt;""), B583, 0)</f>
        <v>0</v>
      </c>
      <c r="F583" s="420" t="str">
        <f>Attendance!B583</f>
        <v/>
      </c>
      <c r="G583" s="415" t="str">
        <f>Attendance!A583</f>
        <v/>
      </c>
      <c r="H583" s="420" t="str">
        <f>IFERROR(__xludf.DUMMYFUNCTION("REGEXREPLACE(F583, ""\d+$"", """")"),"")</f>
        <v/>
      </c>
    </row>
    <row r="584" ht="22.5" customHeight="1">
      <c r="A584" s="417" t="str">
        <f>VLOOKUP(F584, Employees!$A$2:$C957, 3, FALSE)</f>
        <v>#N/A</v>
      </c>
      <c r="B584" s="418">
        <f>100000 / (DAY(EOMONTH(Attendance!A584,0)) - 4)</f>
        <v>3703.703704</v>
      </c>
      <c r="C584" s="417" t="str">
        <f>MAX(0, Attendance!C584 - TIME(9, 0, 0)) * 24 * A584</f>
        <v>#N/A</v>
      </c>
      <c r="D584" s="419" t="str">
        <f>MAX(0, Attendance!D584 - TIME(18, 0, 0)) * 24 * 1.5 * A584</f>
        <v>#N/A</v>
      </c>
      <c r="E584" s="418">
        <f>IF(AND(Attendance!E584&lt;&gt;"Friday", Attendance!C584&lt;&gt;""), B584, 0)</f>
        <v>0</v>
      </c>
      <c r="F584" s="420" t="str">
        <f>Attendance!B584</f>
        <v/>
      </c>
      <c r="G584" s="415" t="str">
        <f>Attendance!A584</f>
        <v/>
      </c>
      <c r="H584" s="420" t="str">
        <f>IFERROR(__xludf.DUMMYFUNCTION("REGEXREPLACE(F584, ""\d+$"", """")"),"")</f>
        <v/>
      </c>
    </row>
    <row r="585" ht="22.5" customHeight="1">
      <c r="A585" s="417" t="str">
        <f>VLOOKUP(F585, Employees!$A$2:$C957, 3, FALSE)</f>
        <v>#N/A</v>
      </c>
      <c r="B585" s="418">
        <f>100000 / (DAY(EOMONTH(Attendance!A585,0)) - 4)</f>
        <v>3703.703704</v>
      </c>
      <c r="C585" s="417" t="str">
        <f>MAX(0, Attendance!C585 - TIME(9, 0, 0)) * 24 * A585</f>
        <v>#N/A</v>
      </c>
      <c r="D585" s="419" t="str">
        <f>MAX(0, Attendance!D585 - TIME(18, 0, 0)) * 24 * 1.5 * A585</f>
        <v>#N/A</v>
      </c>
      <c r="E585" s="418">
        <f>IF(AND(Attendance!E585&lt;&gt;"Friday", Attendance!C585&lt;&gt;""), B585, 0)</f>
        <v>0</v>
      </c>
      <c r="F585" s="420" t="str">
        <f>Attendance!B585</f>
        <v/>
      </c>
      <c r="G585" s="415" t="str">
        <f>Attendance!A585</f>
        <v/>
      </c>
      <c r="H585" s="420" t="str">
        <f>IFERROR(__xludf.DUMMYFUNCTION("REGEXREPLACE(F585, ""\d+$"", """")"),"")</f>
        <v/>
      </c>
    </row>
    <row r="586" ht="22.5" customHeight="1">
      <c r="A586" s="417" t="str">
        <f>VLOOKUP(F586, Employees!$A$2:$C957, 3, FALSE)</f>
        <v>#N/A</v>
      </c>
      <c r="B586" s="418">
        <f>100000 / (DAY(EOMONTH(Attendance!A586,0)) - 4)</f>
        <v>3703.703704</v>
      </c>
      <c r="C586" s="417" t="str">
        <f>MAX(0, Attendance!C586 - TIME(9, 0, 0)) * 24 * A586</f>
        <v>#N/A</v>
      </c>
      <c r="D586" s="419" t="str">
        <f>MAX(0, Attendance!D586 - TIME(18, 0, 0)) * 24 * 1.5 * A586</f>
        <v>#N/A</v>
      </c>
      <c r="E586" s="418">
        <f>IF(AND(Attendance!E586&lt;&gt;"Friday", Attendance!C586&lt;&gt;""), B586, 0)</f>
        <v>0</v>
      </c>
      <c r="F586" s="420" t="str">
        <f>Attendance!B586</f>
        <v/>
      </c>
      <c r="G586" s="415" t="str">
        <f>Attendance!A586</f>
        <v/>
      </c>
      <c r="H586" s="420" t="str">
        <f>IFERROR(__xludf.DUMMYFUNCTION("REGEXREPLACE(F586, ""\d+$"", """")"),"")</f>
        <v/>
      </c>
    </row>
    <row r="587" ht="22.5" customHeight="1">
      <c r="A587" s="417" t="str">
        <f>VLOOKUP(F587, Employees!$A$2:$C957, 3, FALSE)</f>
        <v>#N/A</v>
      </c>
      <c r="B587" s="418">
        <f>100000 / (DAY(EOMONTH(Attendance!A587,0)) - 4)</f>
        <v>3703.703704</v>
      </c>
      <c r="C587" s="417" t="str">
        <f>MAX(0, Attendance!C587 - TIME(9, 0, 0)) * 24 * A587</f>
        <v>#N/A</v>
      </c>
      <c r="D587" s="419" t="str">
        <f>MAX(0, Attendance!D587 - TIME(18, 0, 0)) * 24 * 1.5 * A587</f>
        <v>#N/A</v>
      </c>
      <c r="E587" s="418">
        <f>IF(AND(Attendance!E587&lt;&gt;"Friday", Attendance!C587&lt;&gt;""), B587, 0)</f>
        <v>0</v>
      </c>
      <c r="F587" s="420" t="str">
        <f>Attendance!B587</f>
        <v/>
      </c>
      <c r="G587" s="415" t="str">
        <f>Attendance!A587</f>
        <v/>
      </c>
      <c r="H587" s="420" t="str">
        <f>IFERROR(__xludf.DUMMYFUNCTION("REGEXREPLACE(F587, ""\d+$"", """")"),"")</f>
        <v/>
      </c>
    </row>
    <row r="588" ht="22.5" customHeight="1">
      <c r="A588" s="417" t="str">
        <f>VLOOKUP(F588, Employees!$A$2:$C957, 3, FALSE)</f>
        <v>#N/A</v>
      </c>
      <c r="B588" s="418">
        <f>100000 / (DAY(EOMONTH(Attendance!A588,0)) - 4)</f>
        <v>3703.703704</v>
      </c>
      <c r="C588" s="417" t="str">
        <f>MAX(0, Attendance!C588 - TIME(9, 0, 0)) * 24 * A588</f>
        <v>#N/A</v>
      </c>
      <c r="D588" s="419" t="str">
        <f>MAX(0, Attendance!D588 - TIME(18, 0, 0)) * 24 * 1.5 * A588</f>
        <v>#N/A</v>
      </c>
      <c r="E588" s="418">
        <f>IF(AND(Attendance!E588&lt;&gt;"Friday", Attendance!C588&lt;&gt;""), B588, 0)</f>
        <v>0</v>
      </c>
      <c r="F588" s="420" t="str">
        <f>Attendance!B588</f>
        <v/>
      </c>
      <c r="G588" s="415" t="str">
        <f>Attendance!A588</f>
        <v/>
      </c>
      <c r="H588" s="420" t="str">
        <f>IFERROR(__xludf.DUMMYFUNCTION("REGEXREPLACE(F588, ""\d+$"", """")"),"")</f>
        <v/>
      </c>
    </row>
    <row r="589" ht="22.5" customHeight="1">
      <c r="A589" s="417" t="str">
        <f>VLOOKUP(F589, Employees!$A$2:$C957, 3, FALSE)</f>
        <v>#N/A</v>
      </c>
      <c r="B589" s="418">
        <f>100000 / (DAY(EOMONTH(Attendance!A589,0)) - 4)</f>
        <v>3703.703704</v>
      </c>
      <c r="C589" s="417" t="str">
        <f>MAX(0, Attendance!C589 - TIME(9, 0, 0)) * 24 * A589</f>
        <v>#N/A</v>
      </c>
      <c r="D589" s="419" t="str">
        <f>MAX(0, Attendance!D589 - TIME(18, 0, 0)) * 24 * 1.5 * A589</f>
        <v>#N/A</v>
      </c>
      <c r="E589" s="418">
        <f>IF(AND(Attendance!E589&lt;&gt;"Friday", Attendance!C589&lt;&gt;""), B589, 0)</f>
        <v>0</v>
      </c>
      <c r="F589" s="420" t="str">
        <f>Attendance!B589</f>
        <v/>
      </c>
      <c r="G589" s="415" t="str">
        <f>Attendance!A589</f>
        <v/>
      </c>
      <c r="H589" s="420" t="str">
        <f>IFERROR(__xludf.DUMMYFUNCTION("REGEXREPLACE(F589, ""\d+$"", """")"),"")</f>
        <v/>
      </c>
    </row>
    <row r="590" ht="22.5" customHeight="1">
      <c r="A590" s="417" t="str">
        <f>VLOOKUP(F590, Employees!$A$2:$C957, 3, FALSE)</f>
        <v>#N/A</v>
      </c>
      <c r="B590" s="418">
        <f>100000 / (DAY(EOMONTH(Attendance!A590,0)) - 4)</f>
        <v>3703.703704</v>
      </c>
      <c r="C590" s="417" t="str">
        <f>MAX(0, Attendance!C590 - TIME(9, 0, 0)) * 24 * A590</f>
        <v>#N/A</v>
      </c>
      <c r="D590" s="419" t="str">
        <f>MAX(0, Attendance!D590 - TIME(18, 0, 0)) * 24 * 1.5 * A590</f>
        <v>#N/A</v>
      </c>
      <c r="E590" s="418">
        <f>IF(AND(Attendance!E590&lt;&gt;"Friday", Attendance!C590&lt;&gt;""), B590, 0)</f>
        <v>0</v>
      </c>
      <c r="F590" s="420" t="str">
        <f>Attendance!B590</f>
        <v/>
      </c>
      <c r="G590" s="415" t="str">
        <f>Attendance!A590</f>
        <v/>
      </c>
      <c r="H590" s="420" t="str">
        <f>IFERROR(__xludf.DUMMYFUNCTION("REGEXREPLACE(F590, ""\d+$"", """")"),"")</f>
        <v/>
      </c>
    </row>
    <row r="591" ht="22.5" customHeight="1">
      <c r="A591" s="417" t="str">
        <f>VLOOKUP(F591, Employees!$A$2:$C957, 3, FALSE)</f>
        <v>#N/A</v>
      </c>
      <c r="B591" s="418">
        <f>100000 / (DAY(EOMONTH(Attendance!A591,0)) - 4)</f>
        <v>3703.703704</v>
      </c>
      <c r="C591" s="417" t="str">
        <f>MAX(0, Attendance!C591 - TIME(9, 0, 0)) * 24 * A591</f>
        <v>#N/A</v>
      </c>
      <c r="D591" s="419" t="str">
        <f>MAX(0, Attendance!D591 - TIME(18, 0, 0)) * 24 * 1.5 * A591</f>
        <v>#N/A</v>
      </c>
      <c r="E591" s="418">
        <f>IF(AND(Attendance!E591&lt;&gt;"Friday", Attendance!C591&lt;&gt;""), B591, 0)</f>
        <v>0</v>
      </c>
      <c r="F591" s="420" t="str">
        <f>Attendance!B591</f>
        <v/>
      </c>
      <c r="G591" s="415" t="str">
        <f>Attendance!A591</f>
        <v/>
      </c>
      <c r="H591" s="420" t="str">
        <f>IFERROR(__xludf.DUMMYFUNCTION("REGEXREPLACE(F591, ""\d+$"", """")"),"")</f>
        <v/>
      </c>
    </row>
    <row r="592" ht="22.5" customHeight="1">
      <c r="A592" s="417" t="str">
        <f>VLOOKUP(F592, Employees!$A$2:$C957, 3, FALSE)</f>
        <v>#N/A</v>
      </c>
      <c r="B592" s="418">
        <f>100000 / (DAY(EOMONTH(Attendance!A592,0)) - 4)</f>
        <v>3703.703704</v>
      </c>
      <c r="C592" s="417" t="str">
        <f>MAX(0, Attendance!C592 - TIME(9, 0, 0)) * 24 * A592</f>
        <v>#N/A</v>
      </c>
      <c r="D592" s="419" t="str">
        <f>MAX(0, Attendance!D592 - TIME(18, 0, 0)) * 24 * 1.5 * A592</f>
        <v>#N/A</v>
      </c>
      <c r="E592" s="418">
        <f>IF(AND(Attendance!E592&lt;&gt;"Friday", Attendance!C592&lt;&gt;""), B592, 0)</f>
        <v>0</v>
      </c>
      <c r="F592" s="420" t="str">
        <f>Attendance!B592</f>
        <v/>
      </c>
      <c r="G592" s="415" t="str">
        <f>Attendance!A592</f>
        <v/>
      </c>
      <c r="H592" s="420" t="str">
        <f>IFERROR(__xludf.DUMMYFUNCTION("REGEXREPLACE(F592, ""\d+$"", """")"),"")</f>
        <v/>
      </c>
    </row>
    <row r="593" ht="22.5" customHeight="1">
      <c r="A593" s="417" t="str">
        <f>VLOOKUP(F593, Employees!$A$2:$C957, 3, FALSE)</f>
        <v>#N/A</v>
      </c>
      <c r="B593" s="418">
        <f>100000 / (DAY(EOMONTH(Attendance!A593,0)) - 4)</f>
        <v>3703.703704</v>
      </c>
      <c r="C593" s="417" t="str">
        <f>MAX(0, Attendance!C593 - TIME(9, 0, 0)) * 24 * A593</f>
        <v>#N/A</v>
      </c>
      <c r="D593" s="419" t="str">
        <f>MAX(0, Attendance!D593 - TIME(18, 0, 0)) * 24 * 1.5 * A593</f>
        <v>#N/A</v>
      </c>
      <c r="E593" s="418">
        <f>IF(AND(Attendance!E593&lt;&gt;"Friday", Attendance!C593&lt;&gt;""), B593, 0)</f>
        <v>0</v>
      </c>
      <c r="F593" s="420" t="str">
        <f>Attendance!B593</f>
        <v/>
      </c>
      <c r="G593" s="415" t="str">
        <f>Attendance!A593</f>
        <v/>
      </c>
      <c r="H593" s="420" t="str">
        <f>IFERROR(__xludf.DUMMYFUNCTION("REGEXREPLACE(F593, ""\d+$"", """")"),"")</f>
        <v/>
      </c>
    </row>
    <row r="594" ht="22.5" customHeight="1">
      <c r="A594" s="417" t="str">
        <f>VLOOKUP(F594, Employees!$A$2:$C957, 3, FALSE)</f>
        <v>#N/A</v>
      </c>
      <c r="B594" s="418">
        <f>100000 / (DAY(EOMONTH(Attendance!A594,0)) - 4)</f>
        <v>3703.703704</v>
      </c>
      <c r="C594" s="417" t="str">
        <f>MAX(0, Attendance!C594 - TIME(9, 0, 0)) * 24 * A594</f>
        <v>#N/A</v>
      </c>
      <c r="D594" s="419" t="str">
        <f>MAX(0, Attendance!D594 - TIME(18, 0, 0)) * 24 * 1.5 * A594</f>
        <v>#N/A</v>
      </c>
      <c r="E594" s="418">
        <f>IF(AND(Attendance!E594&lt;&gt;"Friday", Attendance!C594&lt;&gt;""), B594, 0)</f>
        <v>0</v>
      </c>
      <c r="F594" s="420" t="str">
        <f>Attendance!B594</f>
        <v/>
      </c>
      <c r="G594" s="415" t="str">
        <f>Attendance!A594</f>
        <v/>
      </c>
      <c r="H594" s="420" t="str">
        <f>IFERROR(__xludf.DUMMYFUNCTION("REGEXREPLACE(F594, ""\d+$"", """")"),"")</f>
        <v/>
      </c>
    </row>
    <row r="595" ht="22.5" customHeight="1">
      <c r="A595" s="417" t="str">
        <f>VLOOKUP(F595, Employees!$A$2:$C957, 3, FALSE)</f>
        <v>#N/A</v>
      </c>
      <c r="B595" s="418">
        <f>100000 / (DAY(EOMONTH(Attendance!A595,0)) - 4)</f>
        <v>3703.703704</v>
      </c>
      <c r="C595" s="417" t="str">
        <f>MAX(0, Attendance!C595 - TIME(9, 0, 0)) * 24 * A595</f>
        <v>#N/A</v>
      </c>
      <c r="D595" s="419" t="str">
        <f>MAX(0, Attendance!D595 - TIME(18, 0, 0)) * 24 * 1.5 * A595</f>
        <v>#N/A</v>
      </c>
      <c r="E595" s="418">
        <f>IF(AND(Attendance!E595&lt;&gt;"Friday", Attendance!C595&lt;&gt;""), B595, 0)</f>
        <v>0</v>
      </c>
      <c r="F595" s="420" t="str">
        <f>Attendance!B595</f>
        <v/>
      </c>
      <c r="G595" s="415" t="str">
        <f>Attendance!A595</f>
        <v/>
      </c>
      <c r="H595" s="420" t="str">
        <f>IFERROR(__xludf.DUMMYFUNCTION("REGEXREPLACE(F595, ""\d+$"", """")"),"")</f>
        <v/>
      </c>
    </row>
    <row r="596" ht="22.5" customHeight="1">
      <c r="A596" s="417" t="str">
        <f>VLOOKUP(F596, Employees!$A$2:$C957, 3, FALSE)</f>
        <v>#N/A</v>
      </c>
      <c r="B596" s="418">
        <f>100000 / (DAY(EOMONTH(Attendance!A596,0)) - 4)</f>
        <v>3703.703704</v>
      </c>
      <c r="C596" s="417" t="str">
        <f>MAX(0, Attendance!C596 - TIME(9, 0, 0)) * 24 * A596</f>
        <v>#N/A</v>
      </c>
      <c r="D596" s="419" t="str">
        <f>MAX(0, Attendance!D596 - TIME(18, 0, 0)) * 24 * 1.5 * A596</f>
        <v>#N/A</v>
      </c>
      <c r="E596" s="418">
        <f>IF(AND(Attendance!E596&lt;&gt;"Friday", Attendance!C596&lt;&gt;""), B596, 0)</f>
        <v>0</v>
      </c>
      <c r="F596" s="420" t="str">
        <f>Attendance!B596</f>
        <v/>
      </c>
      <c r="G596" s="415" t="str">
        <f>Attendance!A596</f>
        <v/>
      </c>
      <c r="H596" s="420" t="str">
        <f>IFERROR(__xludf.DUMMYFUNCTION("REGEXREPLACE(F596, ""\d+$"", """")"),"")</f>
        <v/>
      </c>
    </row>
    <row r="597" ht="22.5" customHeight="1">
      <c r="A597" s="417" t="str">
        <f>VLOOKUP(F597, Employees!$A$2:$C957, 3, FALSE)</f>
        <v>#N/A</v>
      </c>
      <c r="B597" s="418">
        <f>100000 / (DAY(EOMONTH(Attendance!A597,0)) - 4)</f>
        <v>3703.703704</v>
      </c>
      <c r="C597" s="417" t="str">
        <f>MAX(0, Attendance!C597 - TIME(9, 0, 0)) * 24 * A597</f>
        <v>#N/A</v>
      </c>
      <c r="D597" s="419" t="str">
        <f>MAX(0, Attendance!D597 - TIME(18, 0, 0)) * 24 * 1.5 * A597</f>
        <v>#N/A</v>
      </c>
      <c r="E597" s="418">
        <f>IF(AND(Attendance!E597&lt;&gt;"Friday", Attendance!C597&lt;&gt;""), B597, 0)</f>
        <v>0</v>
      </c>
      <c r="F597" s="420" t="str">
        <f>Attendance!B597</f>
        <v/>
      </c>
      <c r="G597" s="415" t="str">
        <f>Attendance!A597</f>
        <v/>
      </c>
      <c r="H597" s="420" t="str">
        <f>IFERROR(__xludf.DUMMYFUNCTION("REGEXREPLACE(F597, ""\d+$"", """")"),"")</f>
        <v/>
      </c>
    </row>
    <row r="598" ht="22.5" customHeight="1">
      <c r="A598" s="417" t="str">
        <f>VLOOKUP(F598, Employees!$A$2:$C957, 3, FALSE)</f>
        <v>#N/A</v>
      </c>
      <c r="B598" s="418">
        <f>100000 / (DAY(EOMONTH(Attendance!A598,0)) - 4)</f>
        <v>3703.703704</v>
      </c>
      <c r="C598" s="417" t="str">
        <f>MAX(0, Attendance!C598 - TIME(9, 0, 0)) * 24 * A598</f>
        <v>#N/A</v>
      </c>
      <c r="D598" s="419" t="str">
        <f>MAX(0, Attendance!D598 - TIME(18, 0, 0)) * 24 * 1.5 * A598</f>
        <v>#N/A</v>
      </c>
      <c r="E598" s="418">
        <f>IF(AND(Attendance!E598&lt;&gt;"Friday", Attendance!C598&lt;&gt;""), B598, 0)</f>
        <v>0</v>
      </c>
      <c r="F598" s="420" t="str">
        <f>Attendance!B598</f>
        <v/>
      </c>
      <c r="G598" s="415" t="str">
        <f>Attendance!A598</f>
        <v/>
      </c>
      <c r="H598" s="420" t="str">
        <f>IFERROR(__xludf.DUMMYFUNCTION("REGEXREPLACE(F598, ""\d+$"", """")"),"")</f>
        <v/>
      </c>
    </row>
    <row r="599" ht="22.5" customHeight="1">
      <c r="A599" s="417" t="str">
        <f>VLOOKUP(F599, Employees!$A$2:$C957, 3, FALSE)</f>
        <v>#N/A</v>
      </c>
      <c r="B599" s="418">
        <f>100000 / (DAY(EOMONTH(Attendance!A599,0)) - 4)</f>
        <v>3703.703704</v>
      </c>
      <c r="C599" s="417" t="str">
        <f>MAX(0, Attendance!C599 - TIME(9, 0, 0)) * 24 * A599</f>
        <v>#N/A</v>
      </c>
      <c r="D599" s="419" t="str">
        <f>MAX(0, Attendance!D599 - TIME(18, 0, 0)) * 24 * 1.5 * A599</f>
        <v>#N/A</v>
      </c>
      <c r="E599" s="418">
        <f>IF(AND(Attendance!E599&lt;&gt;"Friday", Attendance!C599&lt;&gt;""), B599, 0)</f>
        <v>0</v>
      </c>
      <c r="F599" s="420" t="str">
        <f>Attendance!B599</f>
        <v/>
      </c>
      <c r="G599" s="415" t="str">
        <f>Attendance!A599</f>
        <v/>
      </c>
      <c r="H599" s="420" t="str">
        <f>IFERROR(__xludf.DUMMYFUNCTION("REGEXREPLACE(F599, ""\d+$"", """")"),"")</f>
        <v/>
      </c>
    </row>
    <row r="600" ht="22.5" customHeight="1">
      <c r="A600" s="417" t="str">
        <f>VLOOKUP(F600, Employees!$A$2:$C957, 3, FALSE)</f>
        <v>#N/A</v>
      </c>
      <c r="B600" s="418">
        <f>100000 / (DAY(EOMONTH(Attendance!A600,0)) - 4)</f>
        <v>3703.703704</v>
      </c>
      <c r="C600" s="417" t="str">
        <f>MAX(0, Attendance!C600 - TIME(9, 0, 0)) * 24 * A600</f>
        <v>#N/A</v>
      </c>
      <c r="D600" s="419" t="str">
        <f>MAX(0, Attendance!D600 - TIME(18, 0, 0)) * 24 * 1.5 * A600</f>
        <v>#N/A</v>
      </c>
      <c r="E600" s="418">
        <f>IF(AND(Attendance!E600&lt;&gt;"Friday", Attendance!C600&lt;&gt;""), B600, 0)</f>
        <v>0</v>
      </c>
      <c r="F600" s="420" t="str">
        <f>Attendance!B600</f>
        <v/>
      </c>
      <c r="G600" s="415" t="str">
        <f>Attendance!A600</f>
        <v/>
      </c>
      <c r="H600" s="420" t="str">
        <f>IFERROR(__xludf.DUMMYFUNCTION("REGEXREPLACE(F600, ""\d+$"", """")"),"")</f>
        <v/>
      </c>
    </row>
    <row r="601" ht="22.5" customHeight="1">
      <c r="A601" s="417" t="str">
        <f>VLOOKUP(F601, Employees!$A$2:$C957, 3, FALSE)</f>
        <v>#N/A</v>
      </c>
      <c r="B601" s="418">
        <f>100000 / (DAY(EOMONTH(Attendance!A601,0)) - 4)</f>
        <v>3703.703704</v>
      </c>
      <c r="C601" s="417" t="str">
        <f>MAX(0, Attendance!C601 - TIME(9, 0, 0)) * 24 * A601</f>
        <v>#N/A</v>
      </c>
      <c r="D601" s="419" t="str">
        <f>MAX(0, Attendance!D601 - TIME(18, 0, 0)) * 24 * 1.5 * A601</f>
        <v>#N/A</v>
      </c>
      <c r="E601" s="418">
        <f>IF(AND(Attendance!E601&lt;&gt;"Friday", Attendance!C601&lt;&gt;""), B601, 0)</f>
        <v>0</v>
      </c>
      <c r="F601" s="420" t="str">
        <f>Attendance!B601</f>
        <v/>
      </c>
      <c r="G601" s="415" t="str">
        <f>Attendance!A601</f>
        <v/>
      </c>
      <c r="H601" s="420" t="str">
        <f>IFERROR(__xludf.DUMMYFUNCTION("REGEXREPLACE(F601, ""\d+$"", """")"),"")</f>
        <v/>
      </c>
    </row>
    <row r="602" ht="22.5" customHeight="1">
      <c r="A602" s="417" t="str">
        <f>VLOOKUP(F602, Employees!$A$2:$C957, 3, FALSE)</f>
        <v>#N/A</v>
      </c>
      <c r="B602" s="418">
        <f>100000 / (DAY(EOMONTH(Attendance!A602,0)) - 4)</f>
        <v>3703.703704</v>
      </c>
      <c r="C602" s="417" t="str">
        <f>MAX(0, Attendance!C602 - TIME(9, 0, 0)) * 24 * A602</f>
        <v>#N/A</v>
      </c>
      <c r="D602" s="419" t="str">
        <f>MAX(0, Attendance!D602 - TIME(18, 0, 0)) * 24 * 1.5 * A602</f>
        <v>#N/A</v>
      </c>
      <c r="E602" s="418">
        <f>IF(AND(Attendance!E602&lt;&gt;"Friday", Attendance!C602&lt;&gt;""), B602, 0)</f>
        <v>0</v>
      </c>
      <c r="F602" s="420" t="str">
        <f>Attendance!B602</f>
        <v/>
      </c>
      <c r="G602" s="415" t="str">
        <f>Attendance!A602</f>
        <v/>
      </c>
      <c r="H602" s="420" t="str">
        <f>IFERROR(__xludf.DUMMYFUNCTION("REGEXREPLACE(F602, ""\d+$"", """")"),"")</f>
        <v/>
      </c>
    </row>
    <row r="603" ht="22.5" customHeight="1">
      <c r="A603" s="417" t="str">
        <f>VLOOKUP(F603, Employees!$A$2:$C957, 3, FALSE)</f>
        <v>#N/A</v>
      </c>
      <c r="B603" s="418">
        <f>100000 / (DAY(EOMONTH(Attendance!A603,0)) - 4)</f>
        <v>3703.703704</v>
      </c>
      <c r="C603" s="417" t="str">
        <f>MAX(0, Attendance!C603 - TIME(9, 0, 0)) * 24 * A603</f>
        <v>#N/A</v>
      </c>
      <c r="D603" s="419" t="str">
        <f>MAX(0, Attendance!D603 - TIME(18, 0, 0)) * 24 * 1.5 * A603</f>
        <v>#N/A</v>
      </c>
      <c r="E603" s="418">
        <f>IF(AND(Attendance!E603&lt;&gt;"Friday", Attendance!C603&lt;&gt;""), B603, 0)</f>
        <v>0</v>
      </c>
      <c r="F603" s="420" t="str">
        <f>Attendance!B603</f>
        <v/>
      </c>
      <c r="G603" s="415" t="str">
        <f>Attendance!A603</f>
        <v/>
      </c>
      <c r="H603" s="420" t="str">
        <f>IFERROR(__xludf.DUMMYFUNCTION("REGEXREPLACE(F603, ""\d+$"", """")"),"")</f>
        <v/>
      </c>
    </row>
    <row r="604" ht="22.5" customHeight="1">
      <c r="A604" s="417" t="str">
        <f>VLOOKUP(F604, Employees!$A$2:$C957, 3, FALSE)</f>
        <v>#N/A</v>
      </c>
      <c r="B604" s="418">
        <f>100000 / (DAY(EOMONTH(Attendance!A604,0)) - 4)</f>
        <v>3703.703704</v>
      </c>
      <c r="C604" s="417" t="str">
        <f>MAX(0, Attendance!C604 - TIME(9, 0, 0)) * 24 * A604</f>
        <v>#N/A</v>
      </c>
      <c r="D604" s="419" t="str">
        <f>MAX(0, Attendance!D604 - TIME(18, 0, 0)) * 24 * 1.5 * A604</f>
        <v>#N/A</v>
      </c>
      <c r="E604" s="418">
        <f>IF(AND(Attendance!E604&lt;&gt;"Friday", Attendance!C604&lt;&gt;""), B604, 0)</f>
        <v>0</v>
      </c>
      <c r="F604" s="420" t="str">
        <f>Attendance!B604</f>
        <v/>
      </c>
      <c r="G604" s="415" t="str">
        <f>Attendance!A604</f>
        <v/>
      </c>
      <c r="H604" s="420" t="str">
        <f>IFERROR(__xludf.DUMMYFUNCTION("REGEXREPLACE(F604, ""\d+$"", """")"),"")</f>
        <v/>
      </c>
    </row>
    <row r="605" ht="22.5" customHeight="1">
      <c r="A605" s="417" t="str">
        <f>VLOOKUP(F605, Employees!$A$2:$C957, 3, FALSE)</f>
        <v>#N/A</v>
      </c>
      <c r="B605" s="418">
        <f>100000 / (DAY(EOMONTH(Attendance!A605,0)) - 4)</f>
        <v>3703.703704</v>
      </c>
      <c r="C605" s="417" t="str">
        <f>MAX(0, Attendance!C605 - TIME(9, 0, 0)) * 24 * A605</f>
        <v>#N/A</v>
      </c>
      <c r="D605" s="419" t="str">
        <f>MAX(0, Attendance!D605 - TIME(18, 0, 0)) * 24 * 1.5 * A605</f>
        <v>#N/A</v>
      </c>
      <c r="E605" s="418">
        <f>IF(AND(Attendance!E605&lt;&gt;"Friday", Attendance!C605&lt;&gt;""), B605, 0)</f>
        <v>0</v>
      </c>
      <c r="F605" s="420" t="str">
        <f>Attendance!B605</f>
        <v/>
      </c>
      <c r="G605" s="415" t="str">
        <f>Attendance!A605</f>
        <v/>
      </c>
      <c r="H605" s="420" t="str">
        <f>IFERROR(__xludf.DUMMYFUNCTION("REGEXREPLACE(F605, ""\d+$"", """")"),"")</f>
        <v/>
      </c>
    </row>
    <row r="606" ht="22.5" customHeight="1">
      <c r="A606" s="417" t="str">
        <f>VLOOKUP(F606, Employees!$A$2:$C957, 3, FALSE)</f>
        <v>#N/A</v>
      </c>
      <c r="B606" s="418">
        <f>100000 / (DAY(EOMONTH(Attendance!A606,0)) - 4)</f>
        <v>3703.703704</v>
      </c>
      <c r="C606" s="417" t="str">
        <f>MAX(0, Attendance!C606 - TIME(9, 0, 0)) * 24 * A606</f>
        <v>#N/A</v>
      </c>
      <c r="D606" s="419" t="str">
        <f>MAX(0, Attendance!D606 - TIME(18, 0, 0)) * 24 * 1.5 * A606</f>
        <v>#N/A</v>
      </c>
      <c r="E606" s="418">
        <f>IF(AND(Attendance!E606&lt;&gt;"Friday", Attendance!C606&lt;&gt;""), B606, 0)</f>
        <v>0</v>
      </c>
      <c r="F606" s="420" t="str">
        <f>Attendance!B606</f>
        <v/>
      </c>
      <c r="G606" s="415" t="str">
        <f>Attendance!A606</f>
        <v/>
      </c>
      <c r="H606" s="420" t="str">
        <f>IFERROR(__xludf.DUMMYFUNCTION("REGEXREPLACE(F606, ""\d+$"", """")"),"")</f>
        <v/>
      </c>
    </row>
    <row r="607" ht="22.5" customHeight="1">
      <c r="A607" s="417" t="str">
        <f>VLOOKUP(F607, Employees!$A$2:$C957, 3, FALSE)</f>
        <v>#N/A</v>
      </c>
      <c r="B607" s="418">
        <f>100000 / (DAY(EOMONTH(Attendance!A607,0)) - 4)</f>
        <v>3703.703704</v>
      </c>
      <c r="C607" s="417" t="str">
        <f>MAX(0, Attendance!C607 - TIME(9, 0, 0)) * 24 * A607</f>
        <v>#N/A</v>
      </c>
      <c r="D607" s="419" t="str">
        <f>MAX(0, Attendance!D607 - TIME(18, 0, 0)) * 24 * 1.5 * A607</f>
        <v>#N/A</v>
      </c>
      <c r="E607" s="418">
        <f>IF(AND(Attendance!E607&lt;&gt;"Friday", Attendance!C607&lt;&gt;""), B607, 0)</f>
        <v>0</v>
      </c>
      <c r="F607" s="420" t="str">
        <f>Attendance!B607</f>
        <v/>
      </c>
      <c r="G607" s="415" t="str">
        <f>Attendance!A607</f>
        <v/>
      </c>
      <c r="H607" s="420" t="str">
        <f>IFERROR(__xludf.DUMMYFUNCTION("REGEXREPLACE(F607, ""\d+$"", """")"),"")</f>
        <v/>
      </c>
    </row>
    <row r="608" ht="22.5" customHeight="1">
      <c r="A608" s="417" t="str">
        <f>VLOOKUP(F608, Employees!$A$2:$C957, 3, FALSE)</f>
        <v>#N/A</v>
      </c>
      <c r="B608" s="418">
        <f>100000 / (DAY(EOMONTH(Attendance!A608,0)) - 4)</f>
        <v>3703.703704</v>
      </c>
      <c r="C608" s="417" t="str">
        <f>MAX(0, Attendance!C608 - TIME(9, 0, 0)) * 24 * A608</f>
        <v>#N/A</v>
      </c>
      <c r="D608" s="419" t="str">
        <f>MAX(0, Attendance!D608 - TIME(18, 0, 0)) * 24 * 1.5 * A608</f>
        <v>#N/A</v>
      </c>
      <c r="E608" s="418">
        <f>IF(AND(Attendance!E608&lt;&gt;"Friday", Attendance!C608&lt;&gt;""), B608, 0)</f>
        <v>0</v>
      </c>
      <c r="F608" s="420" t="str">
        <f>Attendance!B608</f>
        <v/>
      </c>
      <c r="G608" s="415" t="str">
        <f>Attendance!A608</f>
        <v/>
      </c>
      <c r="H608" s="420" t="str">
        <f>IFERROR(__xludf.DUMMYFUNCTION("REGEXREPLACE(F608, ""\d+$"", """")"),"")</f>
        <v/>
      </c>
    </row>
    <row r="609" ht="22.5" customHeight="1">
      <c r="A609" s="417" t="str">
        <f>VLOOKUP(F609, Employees!$A$2:$C957, 3, FALSE)</f>
        <v>#N/A</v>
      </c>
      <c r="B609" s="418">
        <f>100000 / (DAY(EOMONTH(Attendance!A609,0)) - 4)</f>
        <v>3703.703704</v>
      </c>
      <c r="C609" s="417" t="str">
        <f>MAX(0, Attendance!C609 - TIME(9, 0, 0)) * 24 * A609</f>
        <v>#N/A</v>
      </c>
      <c r="D609" s="419" t="str">
        <f>MAX(0, Attendance!D609 - TIME(18, 0, 0)) * 24 * 1.5 * A609</f>
        <v>#N/A</v>
      </c>
      <c r="E609" s="418">
        <f>IF(AND(Attendance!E609&lt;&gt;"Friday", Attendance!C609&lt;&gt;""), B609, 0)</f>
        <v>0</v>
      </c>
      <c r="F609" s="420" t="str">
        <f>Attendance!B609</f>
        <v/>
      </c>
      <c r="G609" s="415" t="str">
        <f>Attendance!A609</f>
        <v/>
      </c>
      <c r="H609" s="420" t="str">
        <f>IFERROR(__xludf.DUMMYFUNCTION("REGEXREPLACE(F609, ""\d+$"", """")"),"")</f>
        <v/>
      </c>
    </row>
    <row r="610" ht="22.5" customHeight="1">
      <c r="A610" s="417" t="str">
        <f>VLOOKUP(F610, Employees!$A$2:$C957, 3, FALSE)</f>
        <v>#N/A</v>
      </c>
      <c r="B610" s="418">
        <f>100000 / (DAY(EOMONTH(Attendance!A610,0)) - 4)</f>
        <v>3703.703704</v>
      </c>
      <c r="C610" s="417" t="str">
        <f>MAX(0, Attendance!C610 - TIME(9, 0, 0)) * 24 * A610</f>
        <v>#N/A</v>
      </c>
      <c r="D610" s="419" t="str">
        <f>MAX(0, Attendance!D610 - TIME(18, 0, 0)) * 24 * 1.5 * A610</f>
        <v>#N/A</v>
      </c>
      <c r="E610" s="418">
        <f>IF(AND(Attendance!E610&lt;&gt;"Friday", Attendance!C610&lt;&gt;""), B610, 0)</f>
        <v>0</v>
      </c>
      <c r="F610" s="420" t="str">
        <f>Attendance!B610</f>
        <v/>
      </c>
      <c r="G610" s="415" t="str">
        <f>Attendance!A610</f>
        <v/>
      </c>
      <c r="H610" s="420" t="str">
        <f>IFERROR(__xludf.DUMMYFUNCTION("REGEXREPLACE(F610, ""\d+$"", """")"),"")</f>
        <v/>
      </c>
    </row>
    <row r="611" ht="22.5" customHeight="1">
      <c r="A611" s="417" t="str">
        <f>VLOOKUP(F611, Employees!$A$2:$C957, 3, FALSE)</f>
        <v>#N/A</v>
      </c>
      <c r="B611" s="418">
        <f>100000 / (DAY(EOMONTH(Attendance!A611,0)) - 4)</f>
        <v>3703.703704</v>
      </c>
      <c r="C611" s="417" t="str">
        <f>MAX(0, Attendance!C611 - TIME(9, 0, 0)) * 24 * A611</f>
        <v>#N/A</v>
      </c>
      <c r="D611" s="419" t="str">
        <f>MAX(0, Attendance!D611 - TIME(18, 0, 0)) * 24 * 1.5 * A611</f>
        <v>#N/A</v>
      </c>
      <c r="E611" s="418">
        <f>IF(AND(Attendance!E611&lt;&gt;"Friday", Attendance!C611&lt;&gt;""), B611, 0)</f>
        <v>0</v>
      </c>
      <c r="F611" s="420" t="str">
        <f>Attendance!B611</f>
        <v/>
      </c>
      <c r="G611" s="415" t="str">
        <f>Attendance!A611</f>
        <v/>
      </c>
      <c r="H611" s="420" t="str">
        <f>IFERROR(__xludf.DUMMYFUNCTION("REGEXREPLACE(F611, ""\d+$"", """")"),"")</f>
        <v/>
      </c>
    </row>
    <row r="612" ht="22.5" customHeight="1">
      <c r="A612" s="417" t="str">
        <f>VLOOKUP(F612, Employees!$A$2:$C957, 3, FALSE)</f>
        <v>#N/A</v>
      </c>
      <c r="B612" s="418">
        <f>100000 / (DAY(EOMONTH(Attendance!A612,0)) - 4)</f>
        <v>3703.703704</v>
      </c>
      <c r="C612" s="417" t="str">
        <f>MAX(0, Attendance!C612 - TIME(9, 0, 0)) * 24 * A612</f>
        <v>#N/A</v>
      </c>
      <c r="D612" s="419" t="str">
        <f>MAX(0, Attendance!D612 - TIME(18, 0, 0)) * 24 * 1.5 * A612</f>
        <v>#N/A</v>
      </c>
      <c r="E612" s="418">
        <f>IF(AND(Attendance!E612&lt;&gt;"Friday", Attendance!C612&lt;&gt;""), B612, 0)</f>
        <v>0</v>
      </c>
      <c r="F612" s="420" t="str">
        <f>Attendance!B612</f>
        <v/>
      </c>
      <c r="G612" s="415" t="str">
        <f>Attendance!A612</f>
        <v/>
      </c>
      <c r="H612" s="420" t="str">
        <f>IFERROR(__xludf.DUMMYFUNCTION("REGEXREPLACE(F612, ""\d+$"", """")"),"")</f>
        <v/>
      </c>
    </row>
    <row r="613" ht="22.5" customHeight="1">
      <c r="A613" s="417" t="str">
        <f>VLOOKUP(F613, Employees!$A$2:$C957, 3, FALSE)</f>
        <v>#N/A</v>
      </c>
      <c r="B613" s="418">
        <f>100000 / (DAY(EOMONTH(Attendance!A613,0)) - 4)</f>
        <v>3703.703704</v>
      </c>
      <c r="C613" s="417" t="str">
        <f>MAX(0, Attendance!C613 - TIME(9, 0, 0)) * 24 * A613</f>
        <v>#N/A</v>
      </c>
      <c r="D613" s="419" t="str">
        <f>MAX(0, Attendance!D613 - TIME(18, 0, 0)) * 24 * 1.5 * A613</f>
        <v>#N/A</v>
      </c>
      <c r="E613" s="418">
        <f>IF(AND(Attendance!E613&lt;&gt;"Friday", Attendance!C613&lt;&gt;""), B613, 0)</f>
        <v>0</v>
      </c>
      <c r="F613" s="420" t="str">
        <f>Attendance!B613</f>
        <v/>
      </c>
      <c r="G613" s="415" t="str">
        <f>Attendance!A613</f>
        <v/>
      </c>
      <c r="H613" s="420" t="str">
        <f>IFERROR(__xludf.DUMMYFUNCTION("REGEXREPLACE(F613, ""\d+$"", """")"),"")</f>
        <v/>
      </c>
    </row>
    <row r="614" ht="22.5" customHeight="1">
      <c r="A614" s="417" t="str">
        <f>VLOOKUP(F614, Employees!$A$2:$C957, 3, FALSE)</f>
        <v>#N/A</v>
      </c>
      <c r="B614" s="418">
        <f>100000 / (DAY(EOMONTH(Attendance!A614,0)) - 4)</f>
        <v>3703.703704</v>
      </c>
      <c r="C614" s="417" t="str">
        <f>MAX(0, Attendance!C614 - TIME(9, 0, 0)) * 24 * A614</f>
        <v>#N/A</v>
      </c>
      <c r="D614" s="419" t="str">
        <f>MAX(0, Attendance!D614 - TIME(18, 0, 0)) * 24 * 1.5 * A614</f>
        <v>#N/A</v>
      </c>
      <c r="E614" s="418">
        <f>IF(AND(Attendance!E614&lt;&gt;"Friday", Attendance!C614&lt;&gt;""), B614, 0)</f>
        <v>0</v>
      </c>
      <c r="F614" s="420" t="str">
        <f>Attendance!B614</f>
        <v/>
      </c>
      <c r="G614" s="415" t="str">
        <f>Attendance!A614</f>
        <v/>
      </c>
      <c r="H614" s="420" t="str">
        <f>IFERROR(__xludf.DUMMYFUNCTION("REGEXREPLACE(F614, ""\d+$"", """")"),"")</f>
        <v/>
      </c>
    </row>
    <row r="615" ht="22.5" customHeight="1">
      <c r="A615" s="417" t="str">
        <f>VLOOKUP(F615, Employees!$A$2:$C957, 3, FALSE)</f>
        <v>#N/A</v>
      </c>
      <c r="B615" s="418">
        <f>100000 / (DAY(EOMONTH(Attendance!A615,0)) - 4)</f>
        <v>3703.703704</v>
      </c>
      <c r="C615" s="417" t="str">
        <f>MAX(0, Attendance!C615 - TIME(9, 0, 0)) * 24 * A615</f>
        <v>#N/A</v>
      </c>
      <c r="D615" s="419" t="str">
        <f>MAX(0, Attendance!D615 - TIME(18, 0, 0)) * 24 * 1.5 * A615</f>
        <v>#N/A</v>
      </c>
      <c r="E615" s="418">
        <f>IF(AND(Attendance!E615&lt;&gt;"Friday", Attendance!C615&lt;&gt;""), B615, 0)</f>
        <v>0</v>
      </c>
      <c r="F615" s="420" t="str">
        <f>Attendance!B615</f>
        <v/>
      </c>
      <c r="G615" s="415" t="str">
        <f>Attendance!A615</f>
        <v/>
      </c>
      <c r="H615" s="420" t="str">
        <f>IFERROR(__xludf.DUMMYFUNCTION("REGEXREPLACE(F615, ""\d+$"", """")"),"")</f>
        <v/>
      </c>
    </row>
    <row r="616" ht="22.5" customHeight="1">
      <c r="A616" s="417" t="str">
        <f>VLOOKUP(F616, Employees!$A$2:$C957, 3, FALSE)</f>
        <v>#N/A</v>
      </c>
      <c r="B616" s="418">
        <f>100000 / (DAY(EOMONTH(Attendance!A616,0)) - 4)</f>
        <v>3703.703704</v>
      </c>
      <c r="C616" s="417" t="str">
        <f>MAX(0, Attendance!C616 - TIME(9, 0, 0)) * 24 * A616</f>
        <v>#N/A</v>
      </c>
      <c r="D616" s="419" t="str">
        <f>MAX(0, Attendance!D616 - TIME(18, 0, 0)) * 24 * 1.5 * A616</f>
        <v>#N/A</v>
      </c>
      <c r="E616" s="418">
        <f>IF(AND(Attendance!E616&lt;&gt;"Friday", Attendance!C616&lt;&gt;""), B616, 0)</f>
        <v>0</v>
      </c>
      <c r="F616" s="420" t="str">
        <f>Attendance!B616</f>
        <v/>
      </c>
      <c r="G616" s="415" t="str">
        <f>Attendance!A616</f>
        <v/>
      </c>
      <c r="H616" s="420" t="str">
        <f>IFERROR(__xludf.DUMMYFUNCTION("REGEXREPLACE(F616, ""\d+$"", """")"),"")</f>
        <v/>
      </c>
    </row>
    <row r="617" ht="22.5" customHeight="1">
      <c r="A617" s="417" t="str">
        <f>VLOOKUP(F617, Employees!$A$2:$C957, 3, FALSE)</f>
        <v>#N/A</v>
      </c>
      <c r="B617" s="418">
        <f>100000 / (DAY(EOMONTH(Attendance!A617,0)) - 4)</f>
        <v>3703.703704</v>
      </c>
      <c r="C617" s="417" t="str">
        <f>MAX(0, Attendance!C617 - TIME(9, 0, 0)) * 24 * A617</f>
        <v>#N/A</v>
      </c>
      <c r="D617" s="419" t="str">
        <f>MAX(0, Attendance!D617 - TIME(18, 0, 0)) * 24 * 1.5 * A617</f>
        <v>#N/A</v>
      </c>
      <c r="E617" s="418">
        <f>IF(AND(Attendance!E617&lt;&gt;"Friday", Attendance!C617&lt;&gt;""), B617, 0)</f>
        <v>0</v>
      </c>
      <c r="F617" s="420" t="str">
        <f>Attendance!B617</f>
        <v/>
      </c>
      <c r="G617" s="415" t="str">
        <f>Attendance!A617</f>
        <v/>
      </c>
      <c r="H617" s="420" t="str">
        <f>IFERROR(__xludf.DUMMYFUNCTION("REGEXREPLACE(F617, ""\d+$"", """")"),"")</f>
        <v/>
      </c>
    </row>
    <row r="618" ht="22.5" customHeight="1">
      <c r="A618" s="417" t="str">
        <f>VLOOKUP(F618, Employees!$A$2:$C957, 3, FALSE)</f>
        <v>#N/A</v>
      </c>
      <c r="B618" s="418">
        <f>100000 / (DAY(EOMONTH(Attendance!A618,0)) - 4)</f>
        <v>3703.703704</v>
      </c>
      <c r="C618" s="417" t="str">
        <f>MAX(0, Attendance!C618 - TIME(9, 0, 0)) * 24 * A618</f>
        <v>#N/A</v>
      </c>
      <c r="D618" s="419" t="str">
        <f>MAX(0, Attendance!D618 - TIME(18, 0, 0)) * 24 * 1.5 * A618</f>
        <v>#N/A</v>
      </c>
      <c r="E618" s="418">
        <f>IF(AND(Attendance!E618&lt;&gt;"Friday", Attendance!C618&lt;&gt;""), B618, 0)</f>
        <v>0</v>
      </c>
      <c r="F618" s="420" t="str">
        <f>Attendance!B618</f>
        <v/>
      </c>
      <c r="G618" s="415" t="str">
        <f>Attendance!A618</f>
        <v/>
      </c>
      <c r="H618" s="420" t="str">
        <f>IFERROR(__xludf.DUMMYFUNCTION("REGEXREPLACE(F618, ""\d+$"", """")"),"")</f>
        <v/>
      </c>
    </row>
    <row r="619" ht="22.5" customHeight="1">
      <c r="A619" s="417" t="str">
        <f>VLOOKUP(F619, Employees!$A$2:$C957, 3, FALSE)</f>
        <v>#N/A</v>
      </c>
      <c r="B619" s="418">
        <f>100000 / (DAY(EOMONTH(Attendance!A619,0)) - 4)</f>
        <v>3703.703704</v>
      </c>
      <c r="C619" s="417" t="str">
        <f>MAX(0, Attendance!C619 - TIME(9, 0, 0)) * 24 * A619</f>
        <v>#N/A</v>
      </c>
      <c r="D619" s="419" t="str">
        <f>MAX(0, Attendance!D619 - TIME(18, 0, 0)) * 24 * 1.5 * A619</f>
        <v>#N/A</v>
      </c>
      <c r="E619" s="418">
        <f>IF(AND(Attendance!E619&lt;&gt;"Friday", Attendance!C619&lt;&gt;""), B619, 0)</f>
        <v>0</v>
      </c>
      <c r="F619" s="420" t="str">
        <f>Attendance!B619</f>
        <v/>
      </c>
      <c r="G619" s="415" t="str">
        <f>Attendance!A619</f>
        <v/>
      </c>
      <c r="H619" s="420" t="str">
        <f>IFERROR(__xludf.DUMMYFUNCTION("REGEXREPLACE(F619, ""\d+$"", """")"),"")</f>
        <v/>
      </c>
    </row>
    <row r="620" ht="22.5" customHeight="1">
      <c r="A620" s="417" t="str">
        <f>VLOOKUP(F620, Employees!$A$2:$C957, 3, FALSE)</f>
        <v>#N/A</v>
      </c>
      <c r="B620" s="418">
        <f>100000 / (DAY(EOMONTH(Attendance!A620,0)) - 4)</f>
        <v>3703.703704</v>
      </c>
      <c r="C620" s="417" t="str">
        <f>MAX(0, Attendance!C620 - TIME(9, 0, 0)) * 24 * A620</f>
        <v>#N/A</v>
      </c>
      <c r="D620" s="419" t="str">
        <f>MAX(0, Attendance!D620 - TIME(18, 0, 0)) * 24 * 1.5 * A620</f>
        <v>#N/A</v>
      </c>
      <c r="E620" s="418">
        <f>IF(AND(Attendance!E620&lt;&gt;"Friday", Attendance!C620&lt;&gt;""), B620, 0)</f>
        <v>0</v>
      </c>
      <c r="F620" s="420" t="str">
        <f>Attendance!B620</f>
        <v/>
      </c>
      <c r="G620" s="415" t="str">
        <f>Attendance!A620</f>
        <v/>
      </c>
      <c r="H620" s="420" t="str">
        <f>IFERROR(__xludf.DUMMYFUNCTION("REGEXREPLACE(F620, ""\d+$"", """")"),"")</f>
        <v/>
      </c>
    </row>
    <row r="621" ht="22.5" customHeight="1">
      <c r="A621" s="417" t="str">
        <f>VLOOKUP(F621, Employees!$A$2:$C957, 3, FALSE)</f>
        <v>#N/A</v>
      </c>
      <c r="B621" s="418">
        <f>100000 / (DAY(EOMONTH(Attendance!A621,0)) - 4)</f>
        <v>3703.703704</v>
      </c>
      <c r="C621" s="417" t="str">
        <f>MAX(0, Attendance!C621 - TIME(9, 0, 0)) * 24 * A621</f>
        <v>#N/A</v>
      </c>
      <c r="D621" s="419" t="str">
        <f>MAX(0, Attendance!D621 - TIME(18, 0, 0)) * 24 * 1.5 * A621</f>
        <v>#N/A</v>
      </c>
      <c r="E621" s="418">
        <f>IF(AND(Attendance!E621&lt;&gt;"Friday", Attendance!C621&lt;&gt;""), B621, 0)</f>
        <v>0</v>
      </c>
      <c r="F621" s="420" t="str">
        <f>Attendance!B621</f>
        <v/>
      </c>
      <c r="G621" s="415" t="str">
        <f>Attendance!A621</f>
        <v/>
      </c>
      <c r="H621" s="420" t="str">
        <f>IFERROR(__xludf.DUMMYFUNCTION("REGEXREPLACE(F621, ""\d+$"", """")"),"")</f>
        <v/>
      </c>
    </row>
    <row r="622" ht="22.5" customHeight="1">
      <c r="A622" s="417" t="str">
        <f>VLOOKUP(F622, Employees!$A$2:$C957, 3, FALSE)</f>
        <v>#N/A</v>
      </c>
      <c r="B622" s="418">
        <f>100000 / (DAY(EOMONTH(Attendance!A622,0)) - 4)</f>
        <v>3703.703704</v>
      </c>
      <c r="C622" s="417" t="str">
        <f>MAX(0, Attendance!C622 - TIME(9, 0, 0)) * 24 * A622</f>
        <v>#N/A</v>
      </c>
      <c r="D622" s="419" t="str">
        <f>MAX(0, Attendance!D622 - TIME(18, 0, 0)) * 24 * 1.5 * A622</f>
        <v>#N/A</v>
      </c>
      <c r="E622" s="418">
        <f>IF(AND(Attendance!E622&lt;&gt;"Friday", Attendance!C622&lt;&gt;""), B622, 0)</f>
        <v>0</v>
      </c>
      <c r="F622" s="420" t="str">
        <f>Attendance!B622</f>
        <v/>
      </c>
      <c r="G622" s="415" t="str">
        <f>Attendance!A622</f>
        <v/>
      </c>
      <c r="H622" s="420" t="str">
        <f>IFERROR(__xludf.DUMMYFUNCTION("REGEXREPLACE(F622, ""\d+$"", """")"),"")</f>
        <v/>
      </c>
    </row>
    <row r="623" ht="22.5" customHeight="1">
      <c r="A623" s="417" t="str">
        <f>VLOOKUP(F623, Employees!$A$2:$C957, 3, FALSE)</f>
        <v>#N/A</v>
      </c>
      <c r="B623" s="418">
        <f>100000 / (DAY(EOMONTH(Attendance!A623,0)) - 4)</f>
        <v>3703.703704</v>
      </c>
      <c r="C623" s="417" t="str">
        <f>MAX(0, Attendance!C623 - TIME(9, 0, 0)) * 24 * A623</f>
        <v>#N/A</v>
      </c>
      <c r="D623" s="419" t="str">
        <f>MAX(0, Attendance!D623 - TIME(18, 0, 0)) * 24 * 1.5 * A623</f>
        <v>#N/A</v>
      </c>
      <c r="E623" s="418">
        <f>IF(AND(Attendance!E623&lt;&gt;"Friday", Attendance!C623&lt;&gt;""), B623, 0)</f>
        <v>0</v>
      </c>
      <c r="F623" s="420" t="str">
        <f>Attendance!B623</f>
        <v/>
      </c>
      <c r="G623" s="415" t="str">
        <f>Attendance!A623</f>
        <v/>
      </c>
      <c r="H623" s="420" t="str">
        <f>IFERROR(__xludf.DUMMYFUNCTION("REGEXREPLACE(F623, ""\d+$"", """")"),"")</f>
        <v/>
      </c>
    </row>
    <row r="624" ht="22.5" customHeight="1">
      <c r="A624" s="417" t="str">
        <f>VLOOKUP(F624, Employees!$A$2:$C957, 3, FALSE)</f>
        <v>#N/A</v>
      </c>
      <c r="B624" s="418">
        <f>100000 / (DAY(EOMONTH(Attendance!A624,0)) - 4)</f>
        <v>3703.703704</v>
      </c>
      <c r="C624" s="417" t="str">
        <f>MAX(0, Attendance!C624 - TIME(9, 0, 0)) * 24 * A624</f>
        <v>#N/A</v>
      </c>
      <c r="D624" s="419" t="str">
        <f>MAX(0, Attendance!D624 - TIME(18, 0, 0)) * 24 * 1.5 * A624</f>
        <v>#N/A</v>
      </c>
      <c r="E624" s="418">
        <f>IF(AND(Attendance!E624&lt;&gt;"Friday", Attendance!C624&lt;&gt;""), B624, 0)</f>
        <v>0</v>
      </c>
      <c r="F624" s="420" t="str">
        <f>Attendance!B624</f>
        <v/>
      </c>
      <c r="G624" s="415" t="str">
        <f>Attendance!A624</f>
        <v/>
      </c>
      <c r="H624" s="420" t="str">
        <f>IFERROR(__xludf.DUMMYFUNCTION("REGEXREPLACE(F624, ""\d+$"", """")"),"")</f>
        <v/>
      </c>
    </row>
    <row r="625" ht="22.5" customHeight="1">
      <c r="A625" s="417" t="str">
        <f>VLOOKUP(F625, Employees!$A$2:$C957, 3, FALSE)</f>
        <v>#N/A</v>
      </c>
      <c r="B625" s="418">
        <f>100000 / (DAY(EOMONTH(Attendance!A625,0)) - 4)</f>
        <v>3703.703704</v>
      </c>
      <c r="C625" s="417" t="str">
        <f>MAX(0, Attendance!C625 - TIME(9, 0, 0)) * 24 * A625</f>
        <v>#N/A</v>
      </c>
      <c r="D625" s="419" t="str">
        <f>MAX(0, Attendance!D625 - TIME(18, 0, 0)) * 24 * 1.5 * A625</f>
        <v>#N/A</v>
      </c>
      <c r="E625" s="418">
        <f>IF(AND(Attendance!E625&lt;&gt;"Friday", Attendance!C625&lt;&gt;""), B625, 0)</f>
        <v>0</v>
      </c>
      <c r="F625" s="420" t="str">
        <f>Attendance!B625</f>
        <v/>
      </c>
      <c r="G625" s="415" t="str">
        <f>Attendance!A625</f>
        <v/>
      </c>
      <c r="H625" s="420" t="str">
        <f>IFERROR(__xludf.DUMMYFUNCTION("REGEXREPLACE(F625, ""\d+$"", """")"),"")</f>
        <v/>
      </c>
    </row>
    <row r="626" ht="22.5" customHeight="1">
      <c r="A626" s="417" t="str">
        <f>VLOOKUP(F626, Employees!$A$2:$C957, 3, FALSE)</f>
        <v>#N/A</v>
      </c>
      <c r="B626" s="418">
        <f>100000 / (DAY(EOMONTH(Attendance!A626,0)) - 4)</f>
        <v>3703.703704</v>
      </c>
      <c r="C626" s="417" t="str">
        <f>MAX(0, Attendance!C626 - TIME(9, 0, 0)) * 24 * A626</f>
        <v>#N/A</v>
      </c>
      <c r="D626" s="419" t="str">
        <f>MAX(0, Attendance!D626 - TIME(18, 0, 0)) * 24 * 1.5 * A626</f>
        <v>#N/A</v>
      </c>
      <c r="E626" s="418">
        <f>IF(AND(Attendance!E626&lt;&gt;"Friday", Attendance!C626&lt;&gt;""), B626, 0)</f>
        <v>0</v>
      </c>
      <c r="F626" s="420" t="str">
        <f>Attendance!B626</f>
        <v/>
      </c>
      <c r="G626" s="415" t="str">
        <f>Attendance!A626</f>
        <v/>
      </c>
      <c r="H626" s="420" t="str">
        <f>IFERROR(__xludf.DUMMYFUNCTION("REGEXREPLACE(F626, ""\d+$"", """")"),"")</f>
        <v/>
      </c>
    </row>
    <row r="627" ht="22.5" customHeight="1">
      <c r="A627" s="417" t="str">
        <f>VLOOKUP(F627, Employees!$A$2:$C957, 3, FALSE)</f>
        <v>#N/A</v>
      </c>
      <c r="B627" s="418">
        <f>100000 / (DAY(EOMONTH(Attendance!A627,0)) - 4)</f>
        <v>3703.703704</v>
      </c>
      <c r="C627" s="417" t="str">
        <f>MAX(0, Attendance!C627 - TIME(9, 0, 0)) * 24 * A627</f>
        <v>#N/A</v>
      </c>
      <c r="D627" s="419" t="str">
        <f>MAX(0, Attendance!D627 - TIME(18, 0, 0)) * 24 * 1.5 * A627</f>
        <v>#N/A</v>
      </c>
      <c r="E627" s="418">
        <f>IF(AND(Attendance!E627&lt;&gt;"Friday", Attendance!C627&lt;&gt;""), B627, 0)</f>
        <v>0</v>
      </c>
      <c r="F627" s="420" t="str">
        <f>Attendance!B627</f>
        <v/>
      </c>
      <c r="G627" s="415" t="str">
        <f>Attendance!A627</f>
        <v/>
      </c>
      <c r="H627" s="420" t="str">
        <f>IFERROR(__xludf.DUMMYFUNCTION("REGEXREPLACE(F627, ""\d+$"", """")"),"")</f>
        <v/>
      </c>
    </row>
    <row r="628" ht="22.5" customHeight="1">
      <c r="A628" s="417" t="str">
        <f>VLOOKUP(F628, Employees!$A$2:$C957, 3, FALSE)</f>
        <v>#N/A</v>
      </c>
      <c r="B628" s="418">
        <f>100000 / (DAY(EOMONTH(Attendance!A628,0)) - 4)</f>
        <v>3703.703704</v>
      </c>
      <c r="C628" s="417" t="str">
        <f>MAX(0, Attendance!C628 - TIME(9, 0, 0)) * 24 * A628</f>
        <v>#N/A</v>
      </c>
      <c r="D628" s="419" t="str">
        <f>MAX(0, Attendance!D628 - TIME(18, 0, 0)) * 24 * 1.5 * A628</f>
        <v>#N/A</v>
      </c>
      <c r="E628" s="418">
        <f>IF(AND(Attendance!E628&lt;&gt;"Friday", Attendance!C628&lt;&gt;""), B628, 0)</f>
        <v>0</v>
      </c>
      <c r="F628" s="420" t="str">
        <f>Attendance!B628</f>
        <v/>
      </c>
      <c r="G628" s="415" t="str">
        <f>Attendance!A628</f>
        <v/>
      </c>
      <c r="H628" s="420" t="str">
        <f>IFERROR(__xludf.DUMMYFUNCTION("REGEXREPLACE(F628, ""\d+$"", """")"),"")</f>
        <v/>
      </c>
    </row>
    <row r="629" ht="22.5" customHeight="1">
      <c r="A629" s="417" t="str">
        <f>VLOOKUP(F629, Employees!$A$2:$C957, 3, FALSE)</f>
        <v>#N/A</v>
      </c>
      <c r="B629" s="418">
        <f>100000 / (DAY(EOMONTH(Attendance!A629,0)) - 4)</f>
        <v>3703.703704</v>
      </c>
      <c r="C629" s="417" t="str">
        <f>MAX(0, Attendance!C629 - TIME(9, 0, 0)) * 24 * A629</f>
        <v>#N/A</v>
      </c>
      <c r="D629" s="419" t="str">
        <f>MAX(0, Attendance!D629 - TIME(18, 0, 0)) * 24 * 1.5 * A629</f>
        <v>#N/A</v>
      </c>
      <c r="E629" s="418">
        <f>IF(AND(Attendance!E629&lt;&gt;"Friday", Attendance!C629&lt;&gt;""), B629, 0)</f>
        <v>0</v>
      </c>
      <c r="F629" s="420" t="str">
        <f>Attendance!B629</f>
        <v/>
      </c>
      <c r="G629" s="415" t="str">
        <f>Attendance!A629</f>
        <v/>
      </c>
      <c r="H629" s="420" t="str">
        <f>IFERROR(__xludf.DUMMYFUNCTION("REGEXREPLACE(F629, ""\d+$"", """")"),"")</f>
        <v/>
      </c>
    </row>
    <row r="630" ht="22.5" customHeight="1">
      <c r="A630" s="417" t="str">
        <f>VLOOKUP(F630, Employees!$A$2:$C957, 3, FALSE)</f>
        <v>#N/A</v>
      </c>
      <c r="B630" s="418">
        <f>100000 / (DAY(EOMONTH(Attendance!A630,0)) - 4)</f>
        <v>3703.703704</v>
      </c>
      <c r="C630" s="417" t="str">
        <f>MAX(0, Attendance!C630 - TIME(9, 0, 0)) * 24 * A630</f>
        <v>#N/A</v>
      </c>
      <c r="D630" s="419" t="str">
        <f>MAX(0, Attendance!D630 - TIME(18, 0, 0)) * 24 * 1.5 * A630</f>
        <v>#N/A</v>
      </c>
      <c r="E630" s="418">
        <f>IF(AND(Attendance!E630&lt;&gt;"Friday", Attendance!C630&lt;&gt;""), B630, 0)</f>
        <v>0</v>
      </c>
      <c r="F630" s="420" t="str">
        <f>Attendance!B630</f>
        <v/>
      </c>
      <c r="G630" s="415" t="str">
        <f>Attendance!A630</f>
        <v/>
      </c>
      <c r="H630" s="420" t="str">
        <f>IFERROR(__xludf.DUMMYFUNCTION("REGEXREPLACE(F630, ""\d+$"", """")"),"")</f>
        <v/>
      </c>
    </row>
    <row r="631" ht="22.5" customHeight="1">
      <c r="A631" s="417" t="str">
        <f>VLOOKUP(F631, Employees!$A$2:$C957, 3, FALSE)</f>
        <v>#N/A</v>
      </c>
      <c r="B631" s="418">
        <f>100000 / (DAY(EOMONTH(Attendance!A631,0)) - 4)</f>
        <v>3703.703704</v>
      </c>
      <c r="C631" s="417" t="str">
        <f>MAX(0, Attendance!C631 - TIME(9, 0, 0)) * 24 * A631</f>
        <v>#N/A</v>
      </c>
      <c r="D631" s="419" t="str">
        <f>MAX(0, Attendance!D631 - TIME(18, 0, 0)) * 24 * 1.5 * A631</f>
        <v>#N/A</v>
      </c>
      <c r="E631" s="418">
        <f>IF(AND(Attendance!E631&lt;&gt;"Friday", Attendance!C631&lt;&gt;""), B631, 0)</f>
        <v>0</v>
      </c>
      <c r="F631" s="420" t="str">
        <f>Attendance!B631</f>
        <v/>
      </c>
      <c r="G631" s="415" t="str">
        <f>Attendance!A631</f>
        <v/>
      </c>
      <c r="H631" s="420" t="str">
        <f>IFERROR(__xludf.DUMMYFUNCTION("REGEXREPLACE(F631, ""\d+$"", """")"),"")</f>
        <v/>
      </c>
    </row>
    <row r="632" ht="22.5" customHeight="1">
      <c r="A632" s="417" t="str">
        <f>VLOOKUP(F632, Employees!$A$2:$C957, 3, FALSE)</f>
        <v>#N/A</v>
      </c>
      <c r="B632" s="418">
        <f>100000 / (DAY(EOMONTH(Attendance!A632,0)) - 4)</f>
        <v>3703.703704</v>
      </c>
      <c r="C632" s="417" t="str">
        <f>MAX(0, Attendance!C632 - TIME(9, 0, 0)) * 24 * A632</f>
        <v>#N/A</v>
      </c>
      <c r="D632" s="419" t="str">
        <f>MAX(0, Attendance!D632 - TIME(18, 0, 0)) * 24 * 1.5 * A632</f>
        <v>#N/A</v>
      </c>
      <c r="E632" s="418">
        <f>IF(AND(Attendance!E632&lt;&gt;"Friday", Attendance!C632&lt;&gt;""), B632, 0)</f>
        <v>0</v>
      </c>
      <c r="F632" s="420" t="str">
        <f>Attendance!B632</f>
        <v/>
      </c>
      <c r="G632" s="415" t="str">
        <f>Attendance!A632</f>
        <v/>
      </c>
      <c r="H632" s="420" t="str">
        <f>IFERROR(__xludf.DUMMYFUNCTION("REGEXREPLACE(F632, ""\d+$"", """")"),"")</f>
        <v/>
      </c>
    </row>
    <row r="633" ht="22.5" customHeight="1">
      <c r="A633" s="417" t="str">
        <f>VLOOKUP(F633, Employees!$A$2:$C957, 3, FALSE)</f>
        <v>#N/A</v>
      </c>
      <c r="B633" s="418">
        <f>100000 / (DAY(EOMONTH(Attendance!A633,0)) - 4)</f>
        <v>3703.703704</v>
      </c>
      <c r="C633" s="417" t="str">
        <f>MAX(0, Attendance!C633 - TIME(9, 0, 0)) * 24 * A633</f>
        <v>#N/A</v>
      </c>
      <c r="D633" s="419" t="str">
        <f>MAX(0, Attendance!D633 - TIME(18, 0, 0)) * 24 * 1.5 * A633</f>
        <v>#N/A</v>
      </c>
      <c r="E633" s="418">
        <f>IF(AND(Attendance!E633&lt;&gt;"Friday", Attendance!C633&lt;&gt;""), B633, 0)</f>
        <v>0</v>
      </c>
      <c r="F633" s="420" t="str">
        <f>Attendance!B633</f>
        <v/>
      </c>
      <c r="G633" s="415" t="str">
        <f>Attendance!A633</f>
        <v/>
      </c>
      <c r="H633" s="420" t="str">
        <f>IFERROR(__xludf.DUMMYFUNCTION("REGEXREPLACE(F633, ""\d+$"", """")"),"")</f>
        <v/>
      </c>
    </row>
    <row r="634" ht="22.5" customHeight="1">
      <c r="A634" s="417" t="str">
        <f>VLOOKUP(F634, Employees!$A$2:$C957, 3, FALSE)</f>
        <v>#N/A</v>
      </c>
      <c r="B634" s="418">
        <f>100000 / (DAY(EOMONTH(Attendance!A634,0)) - 4)</f>
        <v>3703.703704</v>
      </c>
      <c r="C634" s="417" t="str">
        <f>MAX(0, Attendance!C634 - TIME(9, 0, 0)) * 24 * A634</f>
        <v>#N/A</v>
      </c>
      <c r="D634" s="419" t="str">
        <f>MAX(0, Attendance!D634 - TIME(18, 0, 0)) * 24 * 1.5 * A634</f>
        <v>#N/A</v>
      </c>
      <c r="E634" s="418">
        <f>IF(AND(Attendance!E634&lt;&gt;"Friday", Attendance!C634&lt;&gt;""), B634, 0)</f>
        <v>0</v>
      </c>
      <c r="F634" s="420" t="str">
        <f>Attendance!B634</f>
        <v/>
      </c>
      <c r="G634" s="415" t="str">
        <f>Attendance!A634</f>
        <v/>
      </c>
      <c r="H634" s="420" t="str">
        <f>IFERROR(__xludf.DUMMYFUNCTION("REGEXREPLACE(F634, ""\d+$"", """")"),"")</f>
        <v/>
      </c>
    </row>
    <row r="635" ht="22.5" customHeight="1">
      <c r="A635" s="417" t="str">
        <f>VLOOKUP(F635, Employees!$A$2:$C957, 3, FALSE)</f>
        <v>#N/A</v>
      </c>
      <c r="B635" s="418">
        <f>100000 / (DAY(EOMONTH(Attendance!A635,0)) - 4)</f>
        <v>3703.703704</v>
      </c>
      <c r="C635" s="417" t="str">
        <f>MAX(0, Attendance!C635 - TIME(9, 0, 0)) * 24 * A635</f>
        <v>#N/A</v>
      </c>
      <c r="D635" s="419" t="str">
        <f>MAX(0, Attendance!D635 - TIME(18, 0, 0)) * 24 * 1.5 * A635</f>
        <v>#N/A</v>
      </c>
      <c r="E635" s="418">
        <f>IF(AND(Attendance!E635&lt;&gt;"Friday", Attendance!C635&lt;&gt;""), B635, 0)</f>
        <v>0</v>
      </c>
      <c r="F635" s="420" t="str">
        <f>Attendance!B635</f>
        <v/>
      </c>
      <c r="G635" s="415" t="str">
        <f>Attendance!A635</f>
        <v/>
      </c>
      <c r="H635" s="420" t="str">
        <f>IFERROR(__xludf.DUMMYFUNCTION("REGEXREPLACE(F635, ""\d+$"", """")"),"")</f>
        <v/>
      </c>
    </row>
    <row r="636" ht="22.5" customHeight="1">
      <c r="A636" s="417" t="str">
        <f>VLOOKUP(F636, Employees!$A$2:$C957, 3, FALSE)</f>
        <v>#N/A</v>
      </c>
      <c r="B636" s="418">
        <f>100000 / (DAY(EOMONTH(Attendance!A636,0)) - 4)</f>
        <v>3703.703704</v>
      </c>
      <c r="C636" s="417" t="str">
        <f>MAX(0, Attendance!C636 - TIME(9, 0, 0)) * 24 * A636</f>
        <v>#N/A</v>
      </c>
      <c r="D636" s="419" t="str">
        <f>MAX(0, Attendance!D636 - TIME(18, 0, 0)) * 24 * 1.5 * A636</f>
        <v>#N/A</v>
      </c>
      <c r="E636" s="418">
        <f>IF(AND(Attendance!E636&lt;&gt;"Friday", Attendance!C636&lt;&gt;""), B636, 0)</f>
        <v>0</v>
      </c>
      <c r="F636" s="420" t="str">
        <f>Attendance!B636</f>
        <v/>
      </c>
      <c r="G636" s="415" t="str">
        <f>Attendance!A636</f>
        <v/>
      </c>
      <c r="H636" s="420" t="str">
        <f>IFERROR(__xludf.DUMMYFUNCTION("REGEXREPLACE(F636, ""\d+$"", """")"),"")</f>
        <v/>
      </c>
    </row>
    <row r="637" ht="22.5" customHeight="1">
      <c r="A637" s="417" t="str">
        <f>VLOOKUP(F637, Employees!$A$2:$C957, 3, FALSE)</f>
        <v>#N/A</v>
      </c>
      <c r="B637" s="418">
        <f>100000 / (DAY(EOMONTH(Attendance!A637,0)) - 4)</f>
        <v>3703.703704</v>
      </c>
      <c r="C637" s="417" t="str">
        <f>MAX(0, Attendance!C637 - TIME(9, 0, 0)) * 24 * A637</f>
        <v>#N/A</v>
      </c>
      <c r="D637" s="419" t="str">
        <f>MAX(0, Attendance!D637 - TIME(18, 0, 0)) * 24 * 1.5 * A637</f>
        <v>#N/A</v>
      </c>
      <c r="E637" s="418">
        <f>IF(AND(Attendance!E637&lt;&gt;"Friday", Attendance!C637&lt;&gt;""), B637, 0)</f>
        <v>0</v>
      </c>
      <c r="F637" s="420" t="str">
        <f>Attendance!B637</f>
        <v/>
      </c>
      <c r="G637" s="415" t="str">
        <f>Attendance!A637</f>
        <v/>
      </c>
      <c r="H637" s="420" t="str">
        <f>IFERROR(__xludf.DUMMYFUNCTION("REGEXREPLACE(F637, ""\d+$"", """")"),"")</f>
        <v/>
      </c>
    </row>
    <row r="638" ht="22.5" customHeight="1">
      <c r="A638" s="417" t="str">
        <f>VLOOKUP(F638, Employees!$A$2:$C957, 3, FALSE)</f>
        <v>#N/A</v>
      </c>
      <c r="B638" s="418">
        <f>100000 / (DAY(EOMONTH(Attendance!A638,0)) - 4)</f>
        <v>3703.703704</v>
      </c>
      <c r="C638" s="417" t="str">
        <f>MAX(0, Attendance!C638 - TIME(9, 0, 0)) * 24 * A638</f>
        <v>#N/A</v>
      </c>
      <c r="D638" s="419" t="str">
        <f>MAX(0, Attendance!D638 - TIME(18, 0, 0)) * 24 * 1.5 * A638</f>
        <v>#N/A</v>
      </c>
      <c r="E638" s="418">
        <f>IF(AND(Attendance!E638&lt;&gt;"Friday", Attendance!C638&lt;&gt;""), B638, 0)</f>
        <v>0</v>
      </c>
      <c r="F638" s="420" t="str">
        <f>Attendance!B638</f>
        <v/>
      </c>
      <c r="G638" s="415" t="str">
        <f>Attendance!A638</f>
        <v/>
      </c>
      <c r="H638" s="420" t="str">
        <f>IFERROR(__xludf.DUMMYFUNCTION("REGEXREPLACE(F638, ""\d+$"", """")"),"")</f>
        <v/>
      </c>
    </row>
    <row r="639" ht="22.5" customHeight="1">
      <c r="A639" s="417" t="str">
        <f>VLOOKUP(F639, Employees!$A$2:$C957, 3, FALSE)</f>
        <v>#N/A</v>
      </c>
      <c r="B639" s="418">
        <f>100000 / (DAY(EOMONTH(Attendance!A639,0)) - 4)</f>
        <v>3703.703704</v>
      </c>
      <c r="C639" s="417" t="str">
        <f>MAX(0, Attendance!C639 - TIME(9, 0, 0)) * 24 * A639</f>
        <v>#N/A</v>
      </c>
      <c r="D639" s="419" t="str">
        <f>MAX(0, Attendance!D639 - TIME(18, 0, 0)) * 24 * 1.5 * A639</f>
        <v>#N/A</v>
      </c>
      <c r="E639" s="418">
        <f>IF(AND(Attendance!E639&lt;&gt;"Friday", Attendance!C639&lt;&gt;""), B639, 0)</f>
        <v>0</v>
      </c>
      <c r="F639" s="420" t="str">
        <f>Attendance!B639</f>
        <v/>
      </c>
      <c r="G639" s="415" t="str">
        <f>Attendance!A639</f>
        <v/>
      </c>
      <c r="H639" s="420" t="str">
        <f>IFERROR(__xludf.DUMMYFUNCTION("REGEXREPLACE(F639, ""\d+$"", """")"),"")</f>
        <v/>
      </c>
    </row>
    <row r="640" ht="22.5" customHeight="1">
      <c r="A640" s="417" t="str">
        <f>VLOOKUP(F640, Employees!$A$2:$C957, 3, FALSE)</f>
        <v>#N/A</v>
      </c>
      <c r="B640" s="418">
        <f>100000 / (DAY(EOMONTH(Attendance!A640,0)) - 4)</f>
        <v>3703.703704</v>
      </c>
      <c r="C640" s="417" t="str">
        <f>MAX(0, Attendance!C640 - TIME(9, 0, 0)) * 24 * A640</f>
        <v>#N/A</v>
      </c>
      <c r="D640" s="419" t="str">
        <f>MAX(0, Attendance!D640 - TIME(18, 0, 0)) * 24 * 1.5 * A640</f>
        <v>#N/A</v>
      </c>
      <c r="E640" s="418">
        <f>IF(AND(Attendance!E640&lt;&gt;"Friday", Attendance!C640&lt;&gt;""), B640, 0)</f>
        <v>0</v>
      </c>
      <c r="F640" s="420" t="str">
        <f>Attendance!B640</f>
        <v/>
      </c>
      <c r="G640" s="415" t="str">
        <f>Attendance!A640</f>
        <v/>
      </c>
      <c r="H640" s="420" t="str">
        <f>IFERROR(__xludf.DUMMYFUNCTION("REGEXREPLACE(F640, ""\d+$"", """")"),"")</f>
        <v/>
      </c>
    </row>
    <row r="641" ht="22.5" customHeight="1">
      <c r="A641" s="417" t="str">
        <f>VLOOKUP(F641, Employees!$A$2:$C957, 3, FALSE)</f>
        <v>#N/A</v>
      </c>
      <c r="B641" s="418">
        <f>100000 / (DAY(EOMONTH(Attendance!A641,0)) - 4)</f>
        <v>3703.703704</v>
      </c>
      <c r="C641" s="417" t="str">
        <f>MAX(0, Attendance!C641 - TIME(9, 0, 0)) * 24 * A641</f>
        <v>#N/A</v>
      </c>
      <c r="D641" s="419" t="str">
        <f>MAX(0, Attendance!D641 - TIME(18, 0, 0)) * 24 * 1.5 * A641</f>
        <v>#N/A</v>
      </c>
      <c r="E641" s="418">
        <f>IF(AND(Attendance!E641&lt;&gt;"Friday", Attendance!C641&lt;&gt;""), B641, 0)</f>
        <v>0</v>
      </c>
      <c r="F641" s="420" t="str">
        <f>Attendance!B641</f>
        <v/>
      </c>
      <c r="G641" s="415" t="str">
        <f>Attendance!A641</f>
        <v/>
      </c>
      <c r="H641" s="420" t="str">
        <f>IFERROR(__xludf.DUMMYFUNCTION("REGEXREPLACE(F641, ""\d+$"", """")"),"")</f>
        <v/>
      </c>
    </row>
    <row r="642" ht="22.5" customHeight="1">
      <c r="A642" s="417" t="str">
        <f>VLOOKUP(F642, Employees!$A$2:$C957, 3, FALSE)</f>
        <v>#N/A</v>
      </c>
      <c r="B642" s="418">
        <f>100000 / (DAY(EOMONTH(Attendance!A642,0)) - 4)</f>
        <v>3703.703704</v>
      </c>
      <c r="C642" s="417" t="str">
        <f>MAX(0, Attendance!C642 - TIME(9, 0, 0)) * 24 * A642</f>
        <v>#N/A</v>
      </c>
      <c r="D642" s="419" t="str">
        <f>MAX(0, Attendance!D642 - TIME(18, 0, 0)) * 24 * 1.5 * A642</f>
        <v>#N/A</v>
      </c>
      <c r="E642" s="418">
        <f>IF(AND(Attendance!E642&lt;&gt;"Friday", Attendance!C642&lt;&gt;""), B642, 0)</f>
        <v>0</v>
      </c>
      <c r="F642" s="420" t="str">
        <f>Attendance!B642</f>
        <v/>
      </c>
      <c r="G642" s="415" t="str">
        <f>Attendance!A642</f>
        <v/>
      </c>
      <c r="H642" s="420" t="str">
        <f>IFERROR(__xludf.DUMMYFUNCTION("REGEXREPLACE(F642, ""\d+$"", """")"),"")</f>
        <v/>
      </c>
    </row>
    <row r="643" ht="22.5" customHeight="1">
      <c r="A643" s="417" t="str">
        <f>VLOOKUP(F643, Employees!$A$2:$C957, 3, FALSE)</f>
        <v>#N/A</v>
      </c>
      <c r="B643" s="418">
        <f>100000 / (DAY(EOMONTH(Attendance!A643,0)) - 4)</f>
        <v>3703.703704</v>
      </c>
      <c r="C643" s="417" t="str">
        <f>MAX(0, Attendance!C643 - TIME(9, 0, 0)) * 24 * A643</f>
        <v>#N/A</v>
      </c>
      <c r="D643" s="419" t="str">
        <f>MAX(0, Attendance!D643 - TIME(18, 0, 0)) * 24 * 1.5 * A643</f>
        <v>#N/A</v>
      </c>
      <c r="E643" s="418">
        <f>IF(AND(Attendance!E643&lt;&gt;"Friday", Attendance!C643&lt;&gt;""), B643, 0)</f>
        <v>0</v>
      </c>
      <c r="F643" s="420" t="str">
        <f>Attendance!B643</f>
        <v/>
      </c>
      <c r="G643" s="415" t="str">
        <f>Attendance!A643</f>
        <v/>
      </c>
      <c r="H643" s="420" t="str">
        <f>IFERROR(__xludf.DUMMYFUNCTION("REGEXREPLACE(F643, ""\d+$"", """")"),"")</f>
        <v/>
      </c>
    </row>
    <row r="644" ht="22.5" customHeight="1">
      <c r="A644" s="417" t="str">
        <f>VLOOKUP(F644, Employees!$A$2:$C957, 3, FALSE)</f>
        <v>#N/A</v>
      </c>
      <c r="B644" s="418">
        <f>100000 / (DAY(EOMONTH(Attendance!A644,0)) - 4)</f>
        <v>3703.703704</v>
      </c>
      <c r="C644" s="417" t="str">
        <f>MAX(0, Attendance!C644 - TIME(9, 0, 0)) * 24 * A644</f>
        <v>#N/A</v>
      </c>
      <c r="D644" s="419" t="str">
        <f>MAX(0, Attendance!D644 - TIME(18, 0, 0)) * 24 * 1.5 * A644</f>
        <v>#N/A</v>
      </c>
      <c r="E644" s="418">
        <f>IF(AND(Attendance!E644&lt;&gt;"Friday", Attendance!C644&lt;&gt;""), B644, 0)</f>
        <v>0</v>
      </c>
      <c r="F644" s="420" t="str">
        <f>Attendance!B644</f>
        <v/>
      </c>
      <c r="G644" s="415" t="str">
        <f>Attendance!A644</f>
        <v/>
      </c>
      <c r="H644" s="420" t="str">
        <f>IFERROR(__xludf.DUMMYFUNCTION("REGEXREPLACE(F644, ""\d+$"", """")"),"")</f>
        <v/>
      </c>
    </row>
    <row r="645" ht="22.5" customHeight="1">
      <c r="A645" s="417" t="str">
        <f>VLOOKUP(F645, Employees!$A$2:$C957, 3, FALSE)</f>
        <v>#N/A</v>
      </c>
      <c r="B645" s="418">
        <f>100000 / (DAY(EOMONTH(Attendance!A645,0)) - 4)</f>
        <v>3703.703704</v>
      </c>
      <c r="C645" s="417" t="str">
        <f>MAX(0, Attendance!C645 - TIME(9, 0, 0)) * 24 * A645</f>
        <v>#N/A</v>
      </c>
      <c r="D645" s="419" t="str">
        <f>MAX(0, Attendance!D645 - TIME(18, 0, 0)) * 24 * 1.5 * A645</f>
        <v>#N/A</v>
      </c>
      <c r="E645" s="418">
        <f>IF(AND(Attendance!E645&lt;&gt;"Friday", Attendance!C645&lt;&gt;""), B645, 0)</f>
        <v>0</v>
      </c>
      <c r="F645" s="420" t="str">
        <f>Attendance!B645</f>
        <v/>
      </c>
      <c r="G645" s="415" t="str">
        <f>Attendance!A645</f>
        <v/>
      </c>
      <c r="H645" s="420" t="str">
        <f>IFERROR(__xludf.DUMMYFUNCTION("REGEXREPLACE(F645, ""\d+$"", """")"),"")</f>
        <v/>
      </c>
    </row>
    <row r="646" ht="22.5" customHeight="1">
      <c r="A646" s="417" t="str">
        <f>VLOOKUP(F646, Employees!$A$2:$C957, 3, FALSE)</f>
        <v>#N/A</v>
      </c>
      <c r="B646" s="418">
        <f>100000 / (DAY(EOMONTH(Attendance!A646,0)) - 4)</f>
        <v>3703.703704</v>
      </c>
      <c r="C646" s="417" t="str">
        <f>MAX(0, Attendance!C646 - TIME(9, 0, 0)) * 24 * A646</f>
        <v>#N/A</v>
      </c>
      <c r="D646" s="419" t="str">
        <f>MAX(0, Attendance!D646 - TIME(18, 0, 0)) * 24 * 1.5 * A646</f>
        <v>#N/A</v>
      </c>
      <c r="E646" s="418">
        <f>IF(AND(Attendance!E646&lt;&gt;"Friday", Attendance!C646&lt;&gt;""), B646, 0)</f>
        <v>0</v>
      </c>
      <c r="F646" s="420" t="str">
        <f>Attendance!B646</f>
        <v/>
      </c>
      <c r="G646" s="415" t="str">
        <f>Attendance!A646</f>
        <v/>
      </c>
      <c r="H646" s="420" t="str">
        <f>IFERROR(__xludf.DUMMYFUNCTION("REGEXREPLACE(F646, ""\d+$"", """")"),"")</f>
        <v/>
      </c>
    </row>
    <row r="647" ht="22.5" customHeight="1">
      <c r="A647" s="417" t="str">
        <f>VLOOKUP(F647, Employees!$A$2:$C957, 3, FALSE)</f>
        <v>#N/A</v>
      </c>
      <c r="B647" s="418">
        <f>100000 / (DAY(EOMONTH(Attendance!A647,0)) - 4)</f>
        <v>3703.703704</v>
      </c>
      <c r="C647" s="417" t="str">
        <f>MAX(0, Attendance!C647 - TIME(9, 0, 0)) * 24 * A647</f>
        <v>#N/A</v>
      </c>
      <c r="D647" s="419" t="str">
        <f>MAX(0, Attendance!D647 - TIME(18, 0, 0)) * 24 * 1.5 * A647</f>
        <v>#N/A</v>
      </c>
      <c r="E647" s="418">
        <f>IF(AND(Attendance!E647&lt;&gt;"Friday", Attendance!C647&lt;&gt;""), B647, 0)</f>
        <v>0</v>
      </c>
      <c r="F647" s="420" t="str">
        <f>Attendance!B647</f>
        <v/>
      </c>
      <c r="G647" s="415" t="str">
        <f>Attendance!A647</f>
        <v/>
      </c>
      <c r="H647" s="420" t="str">
        <f>IFERROR(__xludf.DUMMYFUNCTION("REGEXREPLACE(F647, ""\d+$"", """")"),"")</f>
        <v/>
      </c>
    </row>
    <row r="648" ht="22.5" customHeight="1">
      <c r="A648" s="417" t="str">
        <f>VLOOKUP(F648, Employees!$A$2:$C957, 3, FALSE)</f>
        <v>#N/A</v>
      </c>
      <c r="B648" s="418">
        <f>100000 / (DAY(EOMONTH(Attendance!A648,0)) - 4)</f>
        <v>3703.703704</v>
      </c>
      <c r="C648" s="417" t="str">
        <f>MAX(0, Attendance!C648 - TIME(9, 0, 0)) * 24 * A648</f>
        <v>#N/A</v>
      </c>
      <c r="D648" s="419" t="str">
        <f>MAX(0, Attendance!D648 - TIME(18, 0, 0)) * 24 * 1.5 * A648</f>
        <v>#N/A</v>
      </c>
      <c r="E648" s="418">
        <f>IF(AND(Attendance!E648&lt;&gt;"Friday", Attendance!C648&lt;&gt;""), B648, 0)</f>
        <v>0</v>
      </c>
      <c r="F648" s="420" t="str">
        <f>Attendance!B648</f>
        <v/>
      </c>
      <c r="G648" s="415" t="str">
        <f>Attendance!A648</f>
        <v/>
      </c>
      <c r="H648" s="420" t="str">
        <f>IFERROR(__xludf.DUMMYFUNCTION("REGEXREPLACE(F648, ""\d+$"", """")"),"")</f>
        <v/>
      </c>
    </row>
    <row r="649" ht="22.5" customHeight="1">
      <c r="A649" s="417" t="str">
        <f>VLOOKUP(F649, Employees!$A$2:$C957, 3, FALSE)</f>
        <v>#N/A</v>
      </c>
      <c r="B649" s="418">
        <f>100000 / (DAY(EOMONTH(Attendance!A649,0)) - 4)</f>
        <v>3703.703704</v>
      </c>
      <c r="C649" s="417" t="str">
        <f>MAX(0, Attendance!C649 - TIME(9, 0, 0)) * 24 * A649</f>
        <v>#N/A</v>
      </c>
      <c r="D649" s="419" t="str">
        <f>MAX(0, Attendance!D649 - TIME(18, 0, 0)) * 24 * 1.5 * A649</f>
        <v>#N/A</v>
      </c>
      <c r="E649" s="418">
        <f>IF(AND(Attendance!E649&lt;&gt;"Friday", Attendance!C649&lt;&gt;""), B649, 0)</f>
        <v>0</v>
      </c>
      <c r="F649" s="420" t="str">
        <f>Attendance!B649</f>
        <v/>
      </c>
      <c r="G649" s="415" t="str">
        <f>Attendance!A649</f>
        <v/>
      </c>
      <c r="H649" s="420" t="str">
        <f>IFERROR(__xludf.DUMMYFUNCTION("REGEXREPLACE(F649, ""\d+$"", """")"),"")</f>
        <v/>
      </c>
    </row>
    <row r="650" ht="22.5" customHeight="1">
      <c r="A650" s="417" t="str">
        <f>VLOOKUP(F650, Employees!$A$2:$C957, 3, FALSE)</f>
        <v>#N/A</v>
      </c>
      <c r="B650" s="418">
        <f>100000 / (DAY(EOMONTH(Attendance!A650,0)) - 4)</f>
        <v>3703.703704</v>
      </c>
      <c r="C650" s="417" t="str">
        <f>MAX(0, Attendance!C650 - TIME(9, 0, 0)) * 24 * A650</f>
        <v>#N/A</v>
      </c>
      <c r="D650" s="419" t="str">
        <f>MAX(0, Attendance!D650 - TIME(18, 0, 0)) * 24 * 1.5 * A650</f>
        <v>#N/A</v>
      </c>
      <c r="E650" s="418">
        <f>IF(AND(Attendance!E650&lt;&gt;"Friday", Attendance!C650&lt;&gt;""), B650, 0)</f>
        <v>0</v>
      </c>
      <c r="F650" s="420" t="str">
        <f>Attendance!B650</f>
        <v/>
      </c>
      <c r="G650" s="415" t="str">
        <f>Attendance!A650</f>
        <v/>
      </c>
      <c r="H650" s="420" t="str">
        <f>IFERROR(__xludf.DUMMYFUNCTION("REGEXREPLACE(F650, ""\d+$"", """")"),"")</f>
        <v/>
      </c>
    </row>
    <row r="651" ht="22.5" customHeight="1">
      <c r="A651" s="417" t="str">
        <f>VLOOKUP(F651, Employees!$A$2:$C957, 3, FALSE)</f>
        <v>#N/A</v>
      </c>
      <c r="B651" s="418">
        <f>100000 / (DAY(EOMONTH(Attendance!A651,0)) - 4)</f>
        <v>3703.703704</v>
      </c>
      <c r="C651" s="417" t="str">
        <f>MAX(0, Attendance!C651 - TIME(9, 0, 0)) * 24 * A651</f>
        <v>#N/A</v>
      </c>
      <c r="D651" s="419" t="str">
        <f>MAX(0, Attendance!D651 - TIME(18, 0, 0)) * 24 * 1.5 * A651</f>
        <v>#N/A</v>
      </c>
      <c r="E651" s="418">
        <f>IF(AND(Attendance!E651&lt;&gt;"Friday", Attendance!C651&lt;&gt;""), B651, 0)</f>
        <v>0</v>
      </c>
      <c r="F651" s="420" t="str">
        <f>Attendance!B651</f>
        <v/>
      </c>
      <c r="G651" s="415" t="str">
        <f>Attendance!A651</f>
        <v/>
      </c>
      <c r="H651" s="420" t="str">
        <f>IFERROR(__xludf.DUMMYFUNCTION("REGEXREPLACE(F651, ""\d+$"", """")"),"")</f>
        <v/>
      </c>
    </row>
    <row r="652" ht="22.5" customHeight="1">
      <c r="A652" s="417" t="str">
        <f>VLOOKUP(F652, Employees!$A$2:$C957, 3, FALSE)</f>
        <v>#N/A</v>
      </c>
      <c r="B652" s="418">
        <f>100000 / (DAY(EOMONTH(Attendance!A652,0)) - 4)</f>
        <v>3703.703704</v>
      </c>
      <c r="C652" s="417" t="str">
        <f>MAX(0, Attendance!C652 - TIME(9, 0, 0)) * 24 * A652</f>
        <v>#N/A</v>
      </c>
      <c r="D652" s="419" t="str">
        <f>MAX(0, Attendance!D652 - TIME(18, 0, 0)) * 24 * 1.5 * A652</f>
        <v>#N/A</v>
      </c>
      <c r="E652" s="418">
        <f>IF(AND(Attendance!E652&lt;&gt;"Friday", Attendance!C652&lt;&gt;""), B652, 0)</f>
        <v>0</v>
      </c>
      <c r="F652" s="420" t="str">
        <f>Attendance!B652</f>
        <v/>
      </c>
      <c r="G652" s="415" t="str">
        <f>Attendance!A652</f>
        <v/>
      </c>
      <c r="H652" s="420" t="str">
        <f>IFERROR(__xludf.DUMMYFUNCTION("REGEXREPLACE(F652, ""\d+$"", """")"),"")</f>
        <v/>
      </c>
    </row>
    <row r="653" ht="22.5" customHeight="1">
      <c r="A653" s="417" t="str">
        <f>VLOOKUP(F653, Employees!$A$2:$C957, 3, FALSE)</f>
        <v>#N/A</v>
      </c>
      <c r="B653" s="418">
        <f>100000 / (DAY(EOMONTH(Attendance!A653,0)) - 4)</f>
        <v>3703.703704</v>
      </c>
      <c r="C653" s="417" t="str">
        <f>MAX(0, Attendance!C653 - TIME(9, 0, 0)) * 24 * A653</f>
        <v>#N/A</v>
      </c>
      <c r="D653" s="419" t="str">
        <f>MAX(0, Attendance!D653 - TIME(18, 0, 0)) * 24 * 1.5 * A653</f>
        <v>#N/A</v>
      </c>
      <c r="E653" s="418">
        <f>IF(AND(Attendance!E653&lt;&gt;"Friday", Attendance!C653&lt;&gt;""), B653, 0)</f>
        <v>0</v>
      </c>
      <c r="F653" s="420" t="str">
        <f>Attendance!B653</f>
        <v/>
      </c>
      <c r="G653" s="415" t="str">
        <f>Attendance!A653</f>
        <v/>
      </c>
      <c r="H653" s="420" t="str">
        <f>IFERROR(__xludf.DUMMYFUNCTION("REGEXREPLACE(F653, ""\d+$"", """")"),"")</f>
        <v/>
      </c>
    </row>
    <row r="654" ht="22.5" customHeight="1">
      <c r="A654" s="417" t="str">
        <f>VLOOKUP(F654, Employees!$A$2:$C957, 3, FALSE)</f>
        <v>#N/A</v>
      </c>
      <c r="B654" s="418">
        <f>100000 / (DAY(EOMONTH(Attendance!A654,0)) - 4)</f>
        <v>3703.703704</v>
      </c>
      <c r="C654" s="417" t="str">
        <f>MAX(0, Attendance!C654 - TIME(9, 0, 0)) * 24 * A654</f>
        <v>#N/A</v>
      </c>
      <c r="D654" s="419" t="str">
        <f>MAX(0, Attendance!D654 - TIME(18, 0, 0)) * 24 * 1.5 * A654</f>
        <v>#N/A</v>
      </c>
      <c r="E654" s="418">
        <f>IF(AND(Attendance!E654&lt;&gt;"Friday", Attendance!C654&lt;&gt;""), B654, 0)</f>
        <v>0</v>
      </c>
      <c r="F654" s="420" t="str">
        <f>Attendance!B654</f>
        <v/>
      </c>
      <c r="G654" s="415" t="str">
        <f>Attendance!A654</f>
        <v/>
      </c>
      <c r="H654" s="420" t="str">
        <f>IFERROR(__xludf.DUMMYFUNCTION("REGEXREPLACE(F654, ""\d+$"", """")"),"")</f>
        <v/>
      </c>
    </row>
    <row r="655" ht="22.5" customHeight="1">
      <c r="A655" s="417" t="str">
        <f>VLOOKUP(F655, Employees!$A$2:$C957, 3, FALSE)</f>
        <v>#N/A</v>
      </c>
      <c r="B655" s="418">
        <f>100000 / (DAY(EOMONTH(Attendance!A655,0)) - 4)</f>
        <v>3703.703704</v>
      </c>
      <c r="C655" s="417" t="str">
        <f>MAX(0, Attendance!C655 - TIME(9, 0, 0)) * 24 * A655</f>
        <v>#N/A</v>
      </c>
      <c r="D655" s="419" t="str">
        <f>MAX(0, Attendance!D655 - TIME(18, 0, 0)) * 24 * 1.5 * A655</f>
        <v>#N/A</v>
      </c>
      <c r="E655" s="418">
        <f>IF(AND(Attendance!E655&lt;&gt;"Friday", Attendance!C655&lt;&gt;""), B655, 0)</f>
        <v>0</v>
      </c>
      <c r="F655" s="420" t="str">
        <f>Attendance!B655</f>
        <v/>
      </c>
      <c r="G655" s="415" t="str">
        <f>Attendance!A655</f>
        <v/>
      </c>
      <c r="H655" s="420" t="str">
        <f>IFERROR(__xludf.DUMMYFUNCTION("REGEXREPLACE(F655, ""\d+$"", """")"),"")</f>
        <v/>
      </c>
    </row>
    <row r="656" ht="22.5" customHeight="1">
      <c r="A656" s="417" t="str">
        <f>VLOOKUP(F656, Employees!$A$2:$C957, 3, FALSE)</f>
        <v>#N/A</v>
      </c>
      <c r="B656" s="418">
        <f>100000 / (DAY(EOMONTH(Attendance!A656,0)) - 4)</f>
        <v>3703.703704</v>
      </c>
      <c r="C656" s="417" t="str">
        <f>MAX(0, Attendance!C656 - TIME(9, 0, 0)) * 24 * A656</f>
        <v>#N/A</v>
      </c>
      <c r="D656" s="419" t="str">
        <f>MAX(0, Attendance!D656 - TIME(18, 0, 0)) * 24 * 1.5 * A656</f>
        <v>#N/A</v>
      </c>
      <c r="E656" s="418">
        <f>IF(AND(Attendance!E656&lt;&gt;"Friday", Attendance!C656&lt;&gt;""), B656, 0)</f>
        <v>0</v>
      </c>
      <c r="F656" s="420" t="str">
        <f>Attendance!B656</f>
        <v/>
      </c>
      <c r="G656" s="415" t="str">
        <f>Attendance!A656</f>
        <v/>
      </c>
      <c r="H656" s="420" t="str">
        <f>IFERROR(__xludf.DUMMYFUNCTION("REGEXREPLACE(F656, ""\d+$"", """")"),"")</f>
        <v/>
      </c>
    </row>
    <row r="657" ht="22.5" customHeight="1">
      <c r="A657" s="417" t="str">
        <f>VLOOKUP(F657, Employees!$A$2:$C957, 3, FALSE)</f>
        <v>#N/A</v>
      </c>
      <c r="B657" s="418">
        <f>100000 / (DAY(EOMONTH(Attendance!A657,0)) - 4)</f>
        <v>3703.703704</v>
      </c>
      <c r="C657" s="417" t="str">
        <f>MAX(0, Attendance!C657 - TIME(9, 0, 0)) * 24 * A657</f>
        <v>#N/A</v>
      </c>
      <c r="D657" s="419" t="str">
        <f>MAX(0, Attendance!D657 - TIME(18, 0, 0)) * 24 * 1.5 * A657</f>
        <v>#N/A</v>
      </c>
      <c r="E657" s="418">
        <f>IF(AND(Attendance!E657&lt;&gt;"Friday", Attendance!C657&lt;&gt;""), B657, 0)</f>
        <v>0</v>
      </c>
      <c r="F657" s="420" t="str">
        <f>Attendance!B657</f>
        <v/>
      </c>
      <c r="G657" s="415" t="str">
        <f>Attendance!A657</f>
        <v/>
      </c>
      <c r="H657" s="420" t="str">
        <f>IFERROR(__xludf.DUMMYFUNCTION("REGEXREPLACE(F657, ""\d+$"", """")"),"")</f>
        <v/>
      </c>
    </row>
    <row r="658" ht="22.5" customHeight="1">
      <c r="A658" s="417" t="str">
        <f>VLOOKUP(F658, Employees!$A$2:$C957, 3, FALSE)</f>
        <v>#N/A</v>
      </c>
      <c r="B658" s="418">
        <f>100000 / (DAY(EOMONTH(Attendance!A658,0)) - 4)</f>
        <v>3703.703704</v>
      </c>
      <c r="C658" s="417" t="str">
        <f>MAX(0, Attendance!C658 - TIME(9, 0, 0)) * 24 * A658</f>
        <v>#N/A</v>
      </c>
      <c r="D658" s="419" t="str">
        <f>MAX(0, Attendance!D658 - TIME(18, 0, 0)) * 24 * 1.5 * A658</f>
        <v>#N/A</v>
      </c>
      <c r="E658" s="418">
        <f>IF(AND(Attendance!E658&lt;&gt;"Friday", Attendance!C658&lt;&gt;""), B658, 0)</f>
        <v>0</v>
      </c>
      <c r="F658" s="420" t="str">
        <f>Attendance!B658</f>
        <v/>
      </c>
      <c r="G658" s="415" t="str">
        <f>Attendance!A658</f>
        <v/>
      </c>
      <c r="H658" s="420" t="str">
        <f>IFERROR(__xludf.DUMMYFUNCTION("REGEXREPLACE(F658, ""\d+$"", """")"),"")</f>
        <v/>
      </c>
    </row>
    <row r="659" ht="22.5" customHeight="1">
      <c r="A659" s="417" t="str">
        <f>VLOOKUP(F659, Employees!$A$2:$C957, 3, FALSE)</f>
        <v>#N/A</v>
      </c>
      <c r="B659" s="418">
        <f>100000 / (DAY(EOMONTH(Attendance!A659,0)) - 4)</f>
        <v>3703.703704</v>
      </c>
      <c r="C659" s="417" t="str">
        <f>MAX(0, Attendance!C659 - TIME(9, 0, 0)) * 24 * A659</f>
        <v>#N/A</v>
      </c>
      <c r="D659" s="419" t="str">
        <f>MAX(0, Attendance!D659 - TIME(18, 0, 0)) * 24 * 1.5 * A659</f>
        <v>#N/A</v>
      </c>
      <c r="E659" s="418">
        <f>IF(AND(Attendance!E659&lt;&gt;"Friday", Attendance!C659&lt;&gt;""), B659, 0)</f>
        <v>0</v>
      </c>
      <c r="F659" s="420" t="str">
        <f>Attendance!B659</f>
        <v/>
      </c>
      <c r="G659" s="415" t="str">
        <f>Attendance!A659</f>
        <v/>
      </c>
      <c r="H659" s="420" t="str">
        <f>IFERROR(__xludf.DUMMYFUNCTION("REGEXREPLACE(F659, ""\d+$"", """")"),"")</f>
        <v/>
      </c>
    </row>
    <row r="660" ht="22.5" customHeight="1">
      <c r="A660" s="417" t="str">
        <f>VLOOKUP(F660, Employees!$A$2:$C957, 3, FALSE)</f>
        <v>#N/A</v>
      </c>
      <c r="B660" s="418">
        <f>100000 / (DAY(EOMONTH(Attendance!A660,0)) - 4)</f>
        <v>3703.703704</v>
      </c>
      <c r="C660" s="417" t="str">
        <f>MAX(0, Attendance!C660 - TIME(9, 0, 0)) * 24 * A660</f>
        <v>#N/A</v>
      </c>
      <c r="D660" s="419" t="str">
        <f>MAX(0, Attendance!D660 - TIME(18, 0, 0)) * 24 * 1.5 * A660</f>
        <v>#N/A</v>
      </c>
      <c r="E660" s="418">
        <f>IF(AND(Attendance!E660&lt;&gt;"Friday", Attendance!C660&lt;&gt;""), B660, 0)</f>
        <v>0</v>
      </c>
      <c r="F660" s="420" t="str">
        <f>Attendance!B660</f>
        <v/>
      </c>
      <c r="G660" s="415" t="str">
        <f>Attendance!A660</f>
        <v/>
      </c>
      <c r="H660" s="420" t="str">
        <f>IFERROR(__xludf.DUMMYFUNCTION("REGEXREPLACE(F660, ""\d+$"", """")"),"")</f>
        <v/>
      </c>
    </row>
    <row r="661" ht="22.5" customHeight="1">
      <c r="A661" s="417" t="str">
        <f>VLOOKUP(F661, Employees!$A$2:$C957, 3, FALSE)</f>
        <v>#N/A</v>
      </c>
      <c r="B661" s="418">
        <f>100000 / (DAY(EOMONTH(Attendance!A661,0)) - 4)</f>
        <v>3703.703704</v>
      </c>
      <c r="C661" s="417" t="str">
        <f>MAX(0, Attendance!C661 - TIME(9, 0, 0)) * 24 * A661</f>
        <v>#N/A</v>
      </c>
      <c r="D661" s="419" t="str">
        <f>MAX(0, Attendance!D661 - TIME(18, 0, 0)) * 24 * 1.5 * A661</f>
        <v>#N/A</v>
      </c>
      <c r="E661" s="418">
        <f>IF(AND(Attendance!E661&lt;&gt;"Friday", Attendance!C661&lt;&gt;""), B661, 0)</f>
        <v>0</v>
      </c>
      <c r="F661" s="420" t="str">
        <f>Attendance!B661</f>
        <v/>
      </c>
      <c r="G661" s="415" t="str">
        <f>Attendance!A661</f>
        <v/>
      </c>
      <c r="H661" s="420" t="str">
        <f>IFERROR(__xludf.DUMMYFUNCTION("REGEXREPLACE(F661, ""\d+$"", """")"),"")</f>
        <v/>
      </c>
    </row>
    <row r="662" ht="22.5" customHeight="1">
      <c r="A662" s="417" t="str">
        <f>VLOOKUP(F662, Employees!$A$2:$C957, 3, FALSE)</f>
        <v>#N/A</v>
      </c>
      <c r="B662" s="418">
        <f>100000 / (DAY(EOMONTH(Attendance!A662,0)) - 4)</f>
        <v>3703.703704</v>
      </c>
      <c r="C662" s="417" t="str">
        <f>MAX(0, Attendance!C662 - TIME(9, 0, 0)) * 24 * A662</f>
        <v>#N/A</v>
      </c>
      <c r="D662" s="419" t="str">
        <f>MAX(0, Attendance!D662 - TIME(18, 0, 0)) * 24 * 1.5 * A662</f>
        <v>#N/A</v>
      </c>
      <c r="E662" s="418">
        <f>IF(AND(Attendance!E662&lt;&gt;"Friday", Attendance!C662&lt;&gt;""), B662, 0)</f>
        <v>0</v>
      </c>
      <c r="F662" s="420" t="str">
        <f>Attendance!B662</f>
        <v/>
      </c>
      <c r="G662" s="415" t="str">
        <f>Attendance!A662</f>
        <v/>
      </c>
      <c r="H662" s="420" t="str">
        <f>IFERROR(__xludf.DUMMYFUNCTION("REGEXREPLACE(F662, ""\d+$"", """")"),"")</f>
        <v/>
      </c>
    </row>
    <row r="663" ht="22.5" customHeight="1">
      <c r="A663" s="417" t="str">
        <f>VLOOKUP(F663, Employees!$A$2:$C957, 3, FALSE)</f>
        <v>#N/A</v>
      </c>
      <c r="B663" s="418">
        <f>100000 / (DAY(EOMONTH(Attendance!A663,0)) - 4)</f>
        <v>3703.703704</v>
      </c>
      <c r="C663" s="417" t="str">
        <f>MAX(0, Attendance!C663 - TIME(9, 0, 0)) * 24 * A663</f>
        <v>#N/A</v>
      </c>
      <c r="D663" s="419" t="str">
        <f>MAX(0, Attendance!D663 - TIME(18, 0, 0)) * 24 * 1.5 * A663</f>
        <v>#N/A</v>
      </c>
      <c r="E663" s="418">
        <f>IF(AND(Attendance!E663&lt;&gt;"Friday", Attendance!C663&lt;&gt;""), B663, 0)</f>
        <v>0</v>
      </c>
      <c r="F663" s="420" t="str">
        <f>Attendance!B663</f>
        <v/>
      </c>
      <c r="G663" s="415" t="str">
        <f>Attendance!A663</f>
        <v/>
      </c>
      <c r="H663" s="420" t="str">
        <f>IFERROR(__xludf.DUMMYFUNCTION("REGEXREPLACE(F663, ""\d+$"", """")"),"")</f>
        <v/>
      </c>
    </row>
    <row r="664" ht="22.5" customHeight="1">
      <c r="A664" s="417" t="str">
        <f>VLOOKUP(F664, Employees!$A$2:$C957, 3, FALSE)</f>
        <v>#N/A</v>
      </c>
      <c r="B664" s="418">
        <f>100000 / (DAY(EOMONTH(Attendance!A664,0)) - 4)</f>
        <v>3703.703704</v>
      </c>
      <c r="C664" s="417" t="str">
        <f>MAX(0, Attendance!C664 - TIME(9, 0, 0)) * 24 * A664</f>
        <v>#N/A</v>
      </c>
      <c r="D664" s="419" t="str">
        <f>MAX(0, Attendance!D664 - TIME(18, 0, 0)) * 24 * 1.5 * A664</f>
        <v>#N/A</v>
      </c>
      <c r="E664" s="418">
        <f>IF(AND(Attendance!E664&lt;&gt;"Friday", Attendance!C664&lt;&gt;""), B664, 0)</f>
        <v>0</v>
      </c>
      <c r="F664" s="420" t="str">
        <f>Attendance!B664</f>
        <v/>
      </c>
      <c r="G664" s="415" t="str">
        <f>Attendance!A664</f>
        <v/>
      </c>
      <c r="H664" s="420" t="str">
        <f>IFERROR(__xludf.DUMMYFUNCTION("REGEXREPLACE(F664, ""\d+$"", """")"),"")</f>
        <v/>
      </c>
    </row>
    <row r="665" ht="22.5" customHeight="1">
      <c r="A665" s="417" t="str">
        <f>VLOOKUP(F665, Employees!$A$2:$C957, 3, FALSE)</f>
        <v>#N/A</v>
      </c>
      <c r="B665" s="418">
        <f>100000 / (DAY(EOMONTH(Attendance!A665,0)) - 4)</f>
        <v>3703.703704</v>
      </c>
      <c r="C665" s="417" t="str">
        <f>MAX(0, Attendance!C665 - TIME(9, 0, 0)) * 24 * A665</f>
        <v>#N/A</v>
      </c>
      <c r="D665" s="419" t="str">
        <f>MAX(0, Attendance!D665 - TIME(18, 0, 0)) * 24 * 1.5 * A665</f>
        <v>#N/A</v>
      </c>
      <c r="E665" s="418">
        <f>IF(AND(Attendance!E665&lt;&gt;"Friday", Attendance!C665&lt;&gt;""), B665, 0)</f>
        <v>0</v>
      </c>
      <c r="F665" s="420" t="str">
        <f>Attendance!B665</f>
        <v/>
      </c>
      <c r="G665" s="415" t="str">
        <f>Attendance!A665</f>
        <v/>
      </c>
      <c r="H665" s="420" t="str">
        <f>IFERROR(__xludf.DUMMYFUNCTION("REGEXREPLACE(F665, ""\d+$"", """")"),"")</f>
        <v/>
      </c>
    </row>
    <row r="666" ht="22.5" customHeight="1">
      <c r="A666" s="417" t="str">
        <f>VLOOKUP(F666, Employees!$A$2:$C957, 3, FALSE)</f>
        <v>#N/A</v>
      </c>
      <c r="B666" s="418">
        <f>100000 / (DAY(EOMONTH(Attendance!A666,0)) - 4)</f>
        <v>3703.703704</v>
      </c>
      <c r="C666" s="417" t="str">
        <f>MAX(0, Attendance!C666 - TIME(9, 0, 0)) * 24 * A666</f>
        <v>#N/A</v>
      </c>
      <c r="D666" s="419" t="str">
        <f>MAX(0, Attendance!D666 - TIME(18, 0, 0)) * 24 * 1.5 * A666</f>
        <v>#N/A</v>
      </c>
      <c r="E666" s="418">
        <f>IF(AND(Attendance!E666&lt;&gt;"Friday", Attendance!C666&lt;&gt;""), B666, 0)</f>
        <v>0</v>
      </c>
      <c r="F666" s="420" t="str">
        <f>Attendance!B666</f>
        <v/>
      </c>
      <c r="G666" s="415" t="str">
        <f>Attendance!A666</f>
        <v/>
      </c>
      <c r="H666" s="420" t="str">
        <f>IFERROR(__xludf.DUMMYFUNCTION("REGEXREPLACE(F666, ""\d+$"", """")"),"")</f>
        <v/>
      </c>
    </row>
    <row r="667" ht="22.5" customHeight="1">
      <c r="A667" s="417" t="str">
        <f>VLOOKUP(F667, Employees!$A$2:$C957, 3, FALSE)</f>
        <v>#N/A</v>
      </c>
      <c r="B667" s="418">
        <f>100000 / (DAY(EOMONTH(Attendance!A667,0)) - 4)</f>
        <v>3703.703704</v>
      </c>
      <c r="C667" s="417" t="str">
        <f>MAX(0, Attendance!C667 - TIME(9, 0, 0)) * 24 * A667</f>
        <v>#N/A</v>
      </c>
      <c r="D667" s="419" t="str">
        <f>MAX(0, Attendance!D667 - TIME(18, 0, 0)) * 24 * 1.5 * A667</f>
        <v>#N/A</v>
      </c>
      <c r="E667" s="418">
        <f>IF(AND(Attendance!E667&lt;&gt;"Friday", Attendance!C667&lt;&gt;""), B667, 0)</f>
        <v>0</v>
      </c>
      <c r="F667" s="420" t="str">
        <f>Attendance!B667</f>
        <v/>
      </c>
      <c r="G667" s="415" t="str">
        <f>Attendance!A667</f>
        <v/>
      </c>
      <c r="H667" s="420" t="str">
        <f>IFERROR(__xludf.DUMMYFUNCTION("REGEXREPLACE(F667, ""\d+$"", """")"),"")</f>
        <v/>
      </c>
    </row>
    <row r="668" ht="22.5" customHeight="1">
      <c r="A668" s="417" t="str">
        <f>VLOOKUP(F668, Employees!$A$2:$C957, 3, FALSE)</f>
        <v>#N/A</v>
      </c>
      <c r="B668" s="418">
        <f>100000 / (DAY(EOMONTH(Attendance!A668,0)) - 4)</f>
        <v>3703.703704</v>
      </c>
      <c r="C668" s="417" t="str">
        <f>MAX(0, Attendance!C668 - TIME(9, 0, 0)) * 24 * A668</f>
        <v>#N/A</v>
      </c>
      <c r="D668" s="419" t="str">
        <f>MAX(0, Attendance!D668 - TIME(18, 0, 0)) * 24 * 1.5 * A668</f>
        <v>#N/A</v>
      </c>
      <c r="E668" s="418">
        <f>IF(AND(Attendance!E668&lt;&gt;"Friday", Attendance!C668&lt;&gt;""), B668, 0)</f>
        <v>0</v>
      </c>
      <c r="F668" s="420" t="str">
        <f>Attendance!B668</f>
        <v/>
      </c>
      <c r="G668" s="415" t="str">
        <f>Attendance!A668</f>
        <v/>
      </c>
      <c r="H668" s="420" t="str">
        <f>IFERROR(__xludf.DUMMYFUNCTION("REGEXREPLACE(F668, ""\d+$"", """")"),"")</f>
        <v/>
      </c>
    </row>
    <row r="669" ht="22.5" customHeight="1">
      <c r="A669" s="417" t="str">
        <f>VLOOKUP(F669, Employees!$A$2:$C957, 3, FALSE)</f>
        <v>#N/A</v>
      </c>
      <c r="B669" s="418">
        <f>100000 / (DAY(EOMONTH(Attendance!A669,0)) - 4)</f>
        <v>3703.703704</v>
      </c>
      <c r="C669" s="417" t="str">
        <f>MAX(0, Attendance!C669 - TIME(9, 0, 0)) * 24 * A669</f>
        <v>#N/A</v>
      </c>
      <c r="D669" s="419" t="str">
        <f>MAX(0, Attendance!D669 - TIME(18, 0, 0)) * 24 * 1.5 * A669</f>
        <v>#N/A</v>
      </c>
      <c r="E669" s="418">
        <f>IF(AND(Attendance!E669&lt;&gt;"Friday", Attendance!C669&lt;&gt;""), B669, 0)</f>
        <v>0</v>
      </c>
      <c r="F669" s="420" t="str">
        <f>Attendance!B669</f>
        <v/>
      </c>
      <c r="G669" s="415" t="str">
        <f>Attendance!A669</f>
        <v/>
      </c>
      <c r="H669" s="420" t="str">
        <f>IFERROR(__xludf.DUMMYFUNCTION("REGEXREPLACE(F669, ""\d+$"", """")"),"")</f>
        <v/>
      </c>
    </row>
    <row r="670" ht="22.5" customHeight="1">
      <c r="A670" s="417" t="str">
        <f>VLOOKUP(F670, Employees!$A$2:$C957, 3, FALSE)</f>
        <v>#N/A</v>
      </c>
      <c r="B670" s="418">
        <f>100000 / (DAY(EOMONTH(Attendance!A670,0)) - 4)</f>
        <v>3703.703704</v>
      </c>
      <c r="C670" s="417" t="str">
        <f>MAX(0, Attendance!C670 - TIME(9, 0, 0)) * 24 * A670</f>
        <v>#N/A</v>
      </c>
      <c r="D670" s="419" t="str">
        <f>MAX(0, Attendance!D670 - TIME(18, 0, 0)) * 24 * 1.5 * A670</f>
        <v>#N/A</v>
      </c>
      <c r="E670" s="418">
        <f>IF(AND(Attendance!E670&lt;&gt;"Friday", Attendance!C670&lt;&gt;""), B670, 0)</f>
        <v>0</v>
      </c>
      <c r="F670" s="420" t="str">
        <f>Attendance!B670</f>
        <v/>
      </c>
      <c r="G670" s="415" t="str">
        <f>Attendance!A670</f>
        <v/>
      </c>
      <c r="H670" s="420" t="str">
        <f>IFERROR(__xludf.DUMMYFUNCTION("REGEXREPLACE(F670, ""\d+$"", """")"),"")</f>
        <v/>
      </c>
    </row>
    <row r="671" ht="22.5" customHeight="1">
      <c r="A671" s="417" t="str">
        <f>VLOOKUP(F671, Employees!$A$2:$C957, 3, FALSE)</f>
        <v>#N/A</v>
      </c>
      <c r="B671" s="418">
        <f>100000 / (DAY(EOMONTH(Attendance!A671,0)) - 4)</f>
        <v>3703.703704</v>
      </c>
      <c r="C671" s="417" t="str">
        <f>MAX(0, Attendance!C671 - TIME(9, 0, 0)) * 24 * A671</f>
        <v>#N/A</v>
      </c>
      <c r="D671" s="419" t="str">
        <f>MAX(0, Attendance!D671 - TIME(18, 0, 0)) * 24 * 1.5 * A671</f>
        <v>#N/A</v>
      </c>
      <c r="E671" s="418">
        <f>IF(AND(Attendance!E671&lt;&gt;"Friday", Attendance!C671&lt;&gt;""), B671, 0)</f>
        <v>0</v>
      </c>
      <c r="F671" s="420" t="str">
        <f>Attendance!B671</f>
        <v/>
      </c>
      <c r="G671" s="415" t="str">
        <f>Attendance!A671</f>
        <v/>
      </c>
      <c r="H671" s="420" t="str">
        <f>IFERROR(__xludf.DUMMYFUNCTION("REGEXREPLACE(F671, ""\d+$"", """")"),"")</f>
        <v/>
      </c>
    </row>
    <row r="672" ht="22.5" customHeight="1">
      <c r="A672" s="417" t="str">
        <f>VLOOKUP(F672, Employees!$A$2:$C957, 3, FALSE)</f>
        <v>#N/A</v>
      </c>
      <c r="B672" s="418">
        <f>100000 / (DAY(EOMONTH(Attendance!A672,0)) - 4)</f>
        <v>3703.703704</v>
      </c>
      <c r="C672" s="417" t="str">
        <f>MAX(0, Attendance!C672 - TIME(9, 0, 0)) * 24 * A672</f>
        <v>#N/A</v>
      </c>
      <c r="D672" s="419" t="str">
        <f>MAX(0, Attendance!D672 - TIME(18, 0, 0)) * 24 * 1.5 * A672</f>
        <v>#N/A</v>
      </c>
      <c r="E672" s="418">
        <f>IF(AND(Attendance!E672&lt;&gt;"Friday", Attendance!C672&lt;&gt;""), B672, 0)</f>
        <v>0</v>
      </c>
      <c r="F672" s="420" t="str">
        <f>Attendance!B672</f>
        <v/>
      </c>
      <c r="G672" s="415" t="str">
        <f>Attendance!A672</f>
        <v/>
      </c>
      <c r="H672" s="420" t="str">
        <f>IFERROR(__xludf.DUMMYFUNCTION("REGEXREPLACE(F672, ""\d+$"", """")"),"")</f>
        <v/>
      </c>
    </row>
    <row r="673" ht="22.5" customHeight="1">
      <c r="A673" s="417" t="str">
        <f>VLOOKUP(F673, Employees!$A$2:$C957, 3, FALSE)</f>
        <v>#N/A</v>
      </c>
      <c r="B673" s="418">
        <f>100000 / (DAY(EOMONTH(Attendance!A673,0)) - 4)</f>
        <v>3703.703704</v>
      </c>
      <c r="C673" s="417" t="str">
        <f>MAX(0, Attendance!C673 - TIME(9, 0, 0)) * 24 * A673</f>
        <v>#N/A</v>
      </c>
      <c r="D673" s="419" t="str">
        <f>MAX(0, Attendance!D673 - TIME(18, 0, 0)) * 24 * 1.5 * A673</f>
        <v>#N/A</v>
      </c>
      <c r="E673" s="418">
        <f>IF(AND(Attendance!E673&lt;&gt;"Friday", Attendance!C673&lt;&gt;""), B673, 0)</f>
        <v>0</v>
      </c>
      <c r="F673" s="420" t="str">
        <f>Attendance!B673</f>
        <v/>
      </c>
      <c r="G673" s="415" t="str">
        <f>Attendance!A673</f>
        <v/>
      </c>
      <c r="H673" s="420" t="str">
        <f>IFERROR(__xludf.DUMMYFUNCTION("REGEXREPLACE(F673, ""\d+$"", """")"),"")</f>
        <v/>
      </c>
    </row>
    <row r="674" ht="22.5" customHeight="1">
      <c r="A674" s="417" t="str">
        <f>VLOOKUP(F674, Employees!$A$2:$C957, 3, FALSE)</f>
        <v>#N/A</v>
      </c>
      <c r="B674" s="418">
        <f>100000 / (DAY(EOMONTH(Attendance!A674,0)) - 4)</f>
        <v>3703.703704</v>
      </c>
      <c r="C674" s="417" t="str">
        <f>MAX(0, Attendance!C674 - TIME(9, 0, 0)) * 24 * A674</f>
        <v>#N/A</v>
      </c>
      <c r="D674" s="419" t="str">
        <f>MAX(0, Attendance!D674 - TIME(18, 0, 0)) * 24 * 1.5 * A674</f>
        <v>#N/A</v>
      </c>
      <c r="E674" s="418">
        <f>IF(AND(Attendance!E674&lt;&gt;"Friday", Attendance!C674&lt;&gt;""), B674, 0)</f>
        <v>0</v>
      </c>
      <c r="F674" s="420" t="str">
        <f>Attendance!B674</f>
        <v/>
      </c>
      <c r="G674" s="415" t="str">
        <f>Attendance!A674</f>
        <v/>
      </c>
      <c r="H674" s="420" t="str">
        <f>IFERROR(__xludf.DUMMYFUNCTION("REGEXREPLACE(F674, ""\d+$"", """")"),"")</f>
        <v/>
      </c>
    </row>
    <row r="675" ht="22.5" customHeight="1">
      <c r="A675" s="417" t="str">
        <f>VLOOKUP(F675, Employees!$A$2:$C957, 3, FALSE)</f>
        <v>#N/A</v>
      </c>
      <c r="B675" s="418">
        <f>100000 / (DAY(EOMONTH(Attendance!A675,0)) - 4)</f>
        <v>3703.703704</v>
      </c>
      <c r="C675" s="417" t="str">
        <f>MAX(0, Attendance!C675 - TIME(9, 0, 0)) * 24 * A675</f>
        <v>#N/A</v>
      </c>
      <c r="D675" s="419" t="str">
        <f>MAX(0, Attendance!D675 - TIME(18, 0, 0)) * 24 * 1.5 * A675</f>
        <v>#N/A</v>
      </c>
      <c r="E675" s="418">
        <f>IF(AND(Attendance!E675&lt;&gt;"Friday", Attendance!C675&lt;&gt;""), B675, 0)</f>
        <v>0</v>
      </c>
      <c r="F675" s="420" t="str">
        <f>Attendance!B675</f>
        <v/>
      </c>
      <c r="G675" s="415" t="str">
        <f>Attendance!A675</f>
        <v/>
      </c>
      <c r="H675" s="420" t="str">
        <f>IFERROR(__xludf.DUMMYFUNCTION("REGEXREPLACE(F675, ""\d+$"", """")"),"")</f>
        <v/>
      </c>
    </row>
    <row r="676" ht="22.5" customHeight="1">
      <c r="A676" s="417" t="str">
        <f>VLOOKUP(F676, Employees!$A$2:$C957, 3, FALSE)</f>
        <v>#N/A</v>
      </c>
      <c r="B676" s="418">
        <f>100000 / (DAY(EOMONTH(Attendance!A676,0)) - 4)</f>
        <v>3703.703704</v>
      </c>
      <c r="C676" s="417" t="str">
        <f>MAX(0, Attendance!C676 - TIME(9, 0, 0)) * 24 * A676</f>
        <v>#N/A</v>
      </c>
      <c r="D676" s="419" t="str">
        <f>MAX(0, Attendance!D676 - TIME(18, 0, 0)) * 24 * 1.5 * A676</f>
        <v>#N/A</v>
      </c>
      <c r="E676" s="418">
        <f>IF(AND(Attendance!E676&lt;&gt;"Friday", Attendance!C676&lt;&gt;""), B676, 0)</f>
        <v>0</v>
      </c>
      <c r="F676" s="420" t="str">
        <f>Attendance!B676</f>
        <v/>
      </c>
      <c r="G676" s="415" t="str">
        <f>Attendance!A676</f>
        <v/>
      </c>
      <c r="H676" s="420" t="str">
        <f>IFERROR(__xludf.DUMMYFUNCTION("REGEXREPLACE(F676, ""\d+$"", """")"),"")</f>
        <v/>
      </c>
    </row>
    <row r="677" ht="22.5" customHeight="1">
      <c r="A677" s="417" t="str">
        <f>VLOOKUP(F677, Employees!$A$2:$C957, 3, FALSE)</f>
        <v>#N/A</v>
      </c>
      <c r="B677" s="418">
        <f>100000 / (DAY(EOMONTH(Attendance!A677,0)) - 4)</f>
        <v>3703.703704</v>
      </c>
      <c r="C677" s="417" t="str">
        <f>MAX(0, Attendance!C677 - TIME(9, 0, 0)) * 24 * A677</f>
        <v>#N/A</v>
      </c>
      <c r="D677" s="419" t="str">
        <f>MAX(0, Attendance!D677 - TIME(18, 0, 0)) * 24 * 1.5 * A677</f>
        <v>#N/A</v>
      </c>
      <c r="E677" s="418">
        <f>IF(AND(Attendance!E677&lt;&gt;"Friday", Attendance!C677&lt;&gt;""), B677, 0)</f>
        <v>0</v>
      </c>
      <c r="F677" s="420" t="str">
        <f>Attendance!B677</f>
        <v/>
      </c>
      <c r="G677" s="415" t="str">
        <f>Attendance!A677</f>
        <v/>
      </c>
      <c r="H677" s="420" t="str">
        <f>IFERROR(__xludf.DUMMYFUNCTION("REGEXREPLACE(F677, ""\d+$"", """")"),"")</f>
        <v/>
      </c>
    </row>
    <row r="678" ht="22.5" customHeight="1">
      <c r="A678" s="417" t="str">
        <f>VLOOKUP(F678, Employees!$A$2:$C957, 3, FALSE)</f>
        <v>#N/A</v>
      </c>
      <c r="B678" s="418">
        <f>100000 / (DAY(EOMONTH(Attendance!A678,0)) - 4)</f>
        <v>3703.703704</v>
      </c>
      <c r="C678" s="417" t="str">
        <f>MAX(0, Attendance!C678 - TIME(9, 0, 0)) * 24 * A678</f>
        <v>#N/A</v>
      </c>
      <c r="D678" s="419" t="str">
        <f>MAX(0, Attendance!D678 - TIME(18, 0, 0)) * 24 * 1.5 * A678</f>
        <v>#N/A</v>
      </c>
      <c r="E678" s="418">
        <f>IF(AND(Attendance!E678&lt;&gt;"Friday", Attendance!C678&lt;&gt;""), B678, 0)</f>
        <v>0</v>
      </c>
      <c r="F678" s="420" t="str">
        <f>Attendance!B678</f>
        <v/>
      </c>
      <c r="G678" s="415" t="str">
        <f>Attendance!A678</f>
        <v/>
      </c>
      <c r="H678" s="420" t="str">
        <f>IFERROR(__xludf.DUMMYFUNCTION("REGEXREPLACE(F678, ""\d+$"", """")"),"")</f>
        <v/>
      </c>
    </row>
    <row r="679" ht="22.5" customHeight="1">
      <c r="A679" s="417" t="str">
        <f>VLOOKUP(F679, Employees!$A$2:$C957, 3, FALSE)</f>
        <v>#N/A</v>
      </c>
      <c r="B679" s="418">
        <f>100000 / (DAY(EOMONTH(Attendance!A679,0)) - 4)</f>
        <v>3703.703704</v>
      </c>
      <c r="C679" s="417" t="str">
        <f>MAX(0, Attendance!C679 - TIME(9, 0, 0)) * 24 * A679</f>
        <v>#N/A</v>
      </c>
      <c r="D679" s="419" t="str">
        <f>MAX(0, Attendance!D679 - TIME(18, 0, 0)) * 24 * 1.5 * A679</f>
        <v>#N/A</v>
      </c>
      <c r="E679" s="418">
        <f>IF(AND(Attendance!E679&lt;&gt;"Friday", Attendance!C679&lt;&gt;""), B679, 0)</f>
        <v>0</v>
      </c>
      <c r="F679" s="420" t="str">
        <f>Attendance!B679</f>
        <v/>
      </c>
      <c r="G679" s="415" t="str">
        <f>Attendance!A679</f>
        <v/>
      </c>
      <c r="H679" s="420" t="str">
        <f>IFERROR(__xludf.DUMMYFUNCTION("REGEXREPLACE(F679, ""\d+$"", """")"),"")</f>
        <v/>
      </c>
    </row>
    <row r="680" ht="22.5" customHeight="1">
      <c r="A680" s="417" t="str">
        <f>VLOOKUP(F680, Employees!$A$2:$C957, 3, FALSE)</f>
        <v>#N/A</v>
      </c>
      <c r="B680" s="418">
        <f>100000 / (DAY(EOMONTH(Attendance!A680,0)) - 4)</f>
        <v>3703.703704</v>
      </c>
      <c r="C680" s="417" t="str">
        <f>MAX(0, Attendance!C680 - TIME(9, 0, 0)) * 24 * A680</f>
        <v>#N/A</v>
      </c>
      <c r="D680" s="419" t="str">
        <f>MAX(0, Attendance!D680 - TIME(18, 0, 0)) * 24 * 1.5 * A680</f>
        <v>#N/A</v>
      </c>
      <c r="E680" s="418">
        <f>IF(AND(Attendance!E680&lt;&gt;"Friday", Attendance!C680&lt;&gt;""), B680, 0)</f>
        <v>0</v>
      </c>
      <c r="F680" s="420" t="str">
        <f>Attendance!B680</f>
        <v/>
      </c>
      <c r="G680" s="415" t="str">
        <f>Attendance!A680</f>
        <v/>
      </c>
      <c r="H680" s="420" t="str">
        <f>IFERROR(__xludf.DUMMYFUNCTION("REGEXREPLACE(F680, ""\d+$"", """")"),"")</f>
        <v/>
      </c>
    </row>
    <row r="681" ht="22.5" customHeight="1">
      <c r="A681" s="417" t="str">
        <f>VLOOKUP(F681, Employees!$A$2:$C957, 3, FALSE)</f>
        <v>#N/A</v>
      </c>
      <c r="B681" s="418">
        <f>100000 / (DAY(EOMONTH(Attendance!A681,0)) - 4)</f>
        <v>3703.703704</v>
      </c>
      <c r="C681" s="417" t="str">
        <f>MAX(0, Attendance!C681 - TIME(9, 0, 0)) * 24 * A681</f>
        <v>#N/A</v>
      </c>
      <c r="D681" s="419" t="str">
        <f>MAX(0, Attendance!D681 - TIME(18, 0, 0)) * 24 * 1.5 * A681</f>
        <v>#N/A</v>
      </c>
      <c r="E681" s="418">
        <f>IF(AND(Attendance!E681&lt;&gt;"Friday", Attendance!C681&lt;&gt;""), B681, 0)</f>
        <v>0</v>
      </c>
      <c r="F681" s="420" t="str">
        <f>Attendance!B681</f>
        <v/>
      </c>
      <c r="G681" s="415" t="str">
        <f>Attendance!A681</f>
        <v/>
      </c>
      <c r="H681" s="420" t="str">
        <f>IFERROR(__xludf.DUMMYFUNCTION("REGEXREPLACE(F681, ""\d+$"", """")"),"")</f>
        <v/>
      </c>
    </row>
    <row r="682" ht="22.5" customHeight="1">
      <c r="A682" s="417" t="str">
        <f>VLOOKUP(F682, Employees!$A$2:$C957, 3, FALSE)</f>
        <v>#N/A</v>
      </c>
      <c r="B682" s="418">
        <f>100000 / (DAY(EOMONTH(Attendance!A682,0)) - 4)</f>
        <v>3703.703704</v>
      </c>
      <c r="C682" s="417" t="str">
        <f>MAX(0, Attendance!C682 - TIME(9, 0, 0)) * 24 * A682</f>
        <v>#N/A</v>
      </c>
      <c r="D682" s="419" t="str">
        <f>MAX(0, Attendance!D682 - TIME(18, 0, 0)) * 24 * 1.5 * A682</f>
        <v>#N/A</v>
      </c>
      <c r="E682" s="418">
        <f>IF(AND(Attendance!E682&lt;&gt;"Friday", Attendance!C682&lt;&gt;""), B682, 0)</f>
        <v>0</v>
      </c>
      <c r="F682" s="420" t="str">
        <f>Attendance!B682</f>
        <v/>
      </c>
      <c r="G682" s="415" t="str">
        <f>Attendance!A682</f>
        <v/>
      </c>
      <c r="H682" s="420" t="str">
        <f>IFERROR(__xludf.DUMMYFUNCTION("REGEXREPLACE(F682, ""\d+$"", """")"),"")</f>
        <v/>
      </c>
    </row>
    <row r="683" ht="22.5" customHeight="1">
      <c r="A683" s="417" t="str">
        <f>VLOOKUP(F683, Employees!$A$2:$C957, 3, FALSE)</f>
        <v>#N/A</v>
      </c>
      <c r="B683" s="418">
        <f>100000 / (DAY(EOMONTH(Attendance!A683,0)) - 4)</f>
        <v>3703.703704</v>
      </c>
      <c r="C683" s="417" t="str">
        <f>MAX(0, Attendance!C683 - TIME(9, 0, 0)) * 24 * A683</f>
        <v>#N/A</v>
      </c>
      <c r="D683" s="419" t="str">
        <f>MAX(0, Attendance!D683 - TIME(18, 0, 0)) * 24 * 1.5 * A683</f>
        <v>#N/A</v>
      </c>
      <c r="E683" s="418">
        <f>IF(AND(Attendance!E683&lt;&gt;"Friday", Attendance!C683&lt;&gt;""), B683, 0)</f>
        <v>0</v>
      </c>
      <c r="F683" s="420" t="str">
        <f>Attendance!B683</f>
        <v/>
      </c>
      <c r="G683" s="415" t="str">
        <f>Attendance!A683</f>
        <v/>
      </c>
      <c r="H683" s="420" t="str">
        <f>IFERROR(__xludf.DUMMYFUNCTION("REGEXREPLACE(F683, ""\d+$"", """")"),"")</f>
        <v/>
      </c>
    </row>
    <row r="684" ht="22.5" customHeight="1">
      <c r="A684" s="417" t="str">
        <f>VLOOKUP(F684, Employees!$A$2:$C957, 3, FALSE)</f>
        <v>#N/A</v>
      </c>
      <c r="B684" s="418">
        <f>100000 / (DAY(EOMONTH(Attendance!A684,0)) - 4)</f>
        <v>3703.703704</v>
      </c>
      <c r="C684" s="417" t="str">
        <f>MAX(0, Attendance!C684 - TIME(9, 0, 0)) * 24 * A684</f>
        <v>#N/A</v>
      </c>
      <c r="D684" s="419" t="str">
        <f>MAX(0, Attendance!D684 - TIME(18, 0, 0)) * 24 * 1.5 * A684</f>
        <v>#N/A</v>
      </c>
      <c r="E684" s="418">
        <f>IF(AND(Attendance!E684&lt;&gt;"Friday", Attendance!C684&lt;&gt;""), B684, 0)</f>
        <v>0</v>
      </c>
      <c r="F684" s="420" t="str">
        <f>Attendance!B684</f>
        <v/>
      </c>
      <c r="G684" s="415" t="str">
        <f>Attendance!A684</f>
        <v/>
      </c>
      <c r="H684" s="420" t="str">
        <f>IFERROR(__xludf.DUMMYFUNCTION("REGEXREPLACE(F684, ""\d+$"", """")"),"")</f>
        <v/>
      </c>
    </row>
    <row r="685" ht="22.5" customHeight="1">
      <c r="A685" s="417" t="str">
        <f>VLOOKUP(F685, Employees!$A$2:$C957, 3, FALSE)</f>
        <v>#N/A</v>
      </c>
      <c r="B685" s="418">
        <f>100000 / (DAY(EOMONTH(Attendance!A685,0)) - 4)</f>
        <v>3703.703704</v>
      </c>
      <c r="C685" s="417" t="str">
        <f>MAX(0, Attendance!C685 - TIME(9, 0, 0)) * 24 * A685</f>
        <v>#N/A</v>
      </c>
      <c r="D685" s="419" t="str">
        <f>MAX(0, Attendance!D685 - TIME(18, 0, 0)) * 24 * 1.5 * A685</f>
        <v>#N/A</v>
      </c>
      <c r="E685" s="418">
        <f>IF(AND(Attendance!E685&lt;&gt;"Friday", Attendance!C685&lt;&gt;""), B685, 0)</f>
        <v>0</v>
      </c>
      <c r="F685" s="420" t="str">
        <f>Attendance!B685</f>
        <v/>
      </c>
      <c r="G685" s="415" t="str">
        <f>Attendance!A685</f>
        <v/>
      </c>
      <c r="H685" s="420" t="str">
        <f>IFERROR(__xludf.DUMMYFUNCTION("REGEXREPLACE(F685, ""\d+$"", """")"),"")</f>
        <v/>
      </c>
    </row>
    <row r="686" ht="22.5" customHeight="1">
      <c r="A686" s="417" t="str">
        <f>VLOOKUP(F686, Employees!$A$2:$C957, 3, FALSE)</f>
        <v>#N/A</v>
      </c>
      <c r="B686" s="418">
        <f>100000 / (DAY(EOMONTH(Attendance!A686,0)) - 4)</f>
        <v>3703.703704</v>
      </c>
      <c r="C686" s="417" t="str">
        <f>MAX(0, Attendance!C686 - TIME(9, 0, 0)) * 24 * A686</f>
        <v>#N/A</v>
      </c>
      <c r="D686" s="419" t="str">
        <f>MAX(0, Attendance!D686 - TIME(18, 0, 0)) * 24 * 1.5 * A686</f>
        <v>#N/A</v>
      </c>
      <c r="E686" s="418">
        <f>IF(AND(Attendance!E686&lt;&gt;"Friday", Attendance!C686&lt;&gt;""), B686, 0)</f>
        <v>0</v>
      </c>
      <c r="F686" s="420" t="str">
        <f>Attendance!B686</f>
        <v/>
      </c>
      <c r="G686" s="415" t="str">
        <f>Attendance!A686</f>
        <v/>
      </c>
      <c r="H686" s="420" t="str">
        <f>IFERROR(__xludf.DUMMYFUNCTION("REGEXREPLACE(F686, ""\d+$"", """")"),"")</f>
        <v/>
      </c>
    </row>
    <row r="687" ht="22.5" customHeight="1">
      <c r="A687" s="417" t="str">
        <f>VLOOKUP(F687, Employees!$A$2:$C957, 3, FALSE)</f>
        <v>#N/A</v>
      </c>
      <c r="B687" s="418">
        <f>100000 / (DAY(EOMONTH(Attendance!A687,0)) - 4)</f>
        <v>3703.703704</v>
      </c>
      <c r="C687" s="417" t="str">
        <f>MAX(0, Attendance!C687 - TIME(9, 0, 0)) * 24 * A687</f>
        <v>#N/A</v>
      </c>
      <c r="D687" s="419" t="str">
        <f>MAX(0, Attendance!D687 - TIME(18, 0, 0)) * 24 * 1.5 * A687</f>
        <v>#N/A</v>
      </c>
      <c r="E687" s="418">
        <f>IF(AND(Attendance!E687&lt;&gt;"Friday", Attendance!C687&lt;&gt;""), B687, 0)</f>
        <v>0</v>
      </c>
      <c r="F687" s="420" t="str">
        <f>Attendance!B687</f>
        <v/>
      </c>
      <c r="G687" s="415" t="str">
        <f>Attendance!A687</f>
        <v/>
      </c>
      <c r="H687" s="420" t="str">
        <f>IFERROR(__xludf.DUMMYFUNCTION("REGEXREPLACE(F687, ""\d+$"", """")"),"")</f>
        <v/>
      </c>
    </row>
    <row r="688" ht="22.5" customHeight="1">
      <c r="A688" s="417" t="str">
        <f>VLOOKUP(F688, Employees!$A$2:$C957, 3, FALSE)</f>
        <v>#N/A</v>
      </c>
      <c r="B688" s="418">
        <f>100000 / (DAY(EOMONTH(Attendance!A688,0)) - 4)</f>
        <v>3703.703704</v>
      </c>
      <c r="C688" s="417" t="str">
        <f>MAX(0, Attendance!C688 - TIME(9, 0, 0)) * 24 * A688</f>
        <v>#N/A</v>
      </c>
      <c r="D688" s="419" t="str">
        <f>MAX(0, Attendance!D688 - TIME(18, 0, 0)) * 24 * 1.5 * A688</f>
        <v>#N/A</v>
      </c>
      <c r="E688" s="418">
        <f>IF(AND(Attendance!E688&lt;&gt;"Friday", Attendance!C688&lt;&gt;""), B688, 0)</f>
        <v>0</v>
      </c>
      <c r="F688" s="420" t="str">
        <f>Attendance!B688</f>
        <v/>
      </c>
      <c r="G688" s="415" t="str">
        <f>Attendance!A688</f>
        <v/>
      </c>
      <c r="H688" s="420" t="str">
        <f>IFERROR(__xludf.DUMMYFUNCTION("REGEXREPLACE(F688, ""\d+$"", """")"),"")</f>
        <v/>
      </c>
    </row>
    <row r="689" ht="22.5" customHeight="1">
      <c r="A689" s="417" t="str">
        <f>VLOOKUP(F689, Employees!$A$2:$C957, 3, FALSE)</f>
        <v>#N/A</v>
      </c>
      <c r="B689" s="418">
        <f>100000 / (DAY(EOMONTH(Attendance!A689,0)) - 4)</f>
        <v>3703.703704</v>
      </c>
      <c r="C689" s="417" t="str">
        <f>MAX(0, Attendance!C689 - TIME(9, 0, 0)) * 24 * A689</f>
        <v>#N/A</v>
      </c>
      <c r="D689" s="419" t="str">
        <f>MAX(0, Attendance!D689 - TIME(18, 0, 0)) * 24 * 1.5 * A689</f>
        <v>#N/A</v>
      </c>
      <c r="E689" s="418">
        <f>IF(AND(Attendance!E689&lt;&gt;"Friday", Attendance!C689&lt;&gt;""), B689, 0)</f>
        <v>0</v>
      </c>
      <c r="F689" s="420" t="str">
        <f>Attendance!B689</f>
        <v/>
      </c>
      <c r="G689" s="415" t="str">
        <f>Attendance!A689</f>
        <v/>
      </c>
      <c r="H689" s="420" t="str">
        <f>IFERROR(__xludf.DUMMYFUNCTION("REGEXREPLACE(F689, ""\d+$"", """")"),"")</f>
        <v/>
      </c>
    </row>
    <row r="690" ht="22.5" customHeight="1">
      <c r="A690" s="417" t="str">
        <f>VLOOKUP(F690, Employees!$A$2:$C957, 3, FALSE)</f>
        <v>#N/A</v>
      </c>
      <c r="B690" s="418">
        <f>100000 / (DAY(EOMONTH(Attendance!A690,0)) - 4)</f>
        <v>3703.703704</v>
      </c>
      <c r="C690" s="417" t="str">
        <f>MAX(0, Attendance!C690 - TIME(9, 0, 0)) * 24 * A690</f>
        <v>#N/A</v>
      </c>
      <c r="D690" s="419" t="str">
        <f>MAX(0, Attendance!D690 - TIME(18, 0, 0)) * 24 * 1.5 * A690</f>
        <v>#N/A</v>
      </c>
      <c r="E690" s="418">
        <f>IF(AND(Attendance!E690&lt;&gt;"Friday", Attendance!C690&lt;&gt;""), B690, 0)</f>
        <v>0</v>
      </c>
      <c r="F690" s="420" t="str">
        <f>Attendance!B690</f>
        <v/>
      </c>
      <c r="G690" s="415" t="str">
        <f>Attendance!A690</f>
        <v/>
      </c>
      <c r="H690" s="420" t="str">
        <f>IFERROR(__xludf.DUMMYFUNCTION("REGEXREPLACE(F690, ""\d+$"", """")"),"")</f>
        <v/>
      </c>
    </row>
    <row r="691" ht="22.5" customHeight="1">
      <c r="A691" s="417" t="str">
        <f>VLOOKUP(F691, Employees!$A$2:$C957, 3, FALSE)</f>
        <v>#N/A</v>
      </c>
      <c r="B691" s="418">
        <f>100000 / (DAY(EOMONTH(Attendance!A691,0)) - 4)</f>
        <v>3703.703704</v>
      </c>
      <c r="C691" s="417" t="str">
        <f>MAX(0, Attendance!C691 - TIME(9, 0, 0)) * 24 * A691</f>
        <v>#N/A</v>
      </c>
      <c r="D691" s="419" t="str">
        <f>MAX(0, Attendance!D691 - TIME(18, 0, 0)) * 24 * 1.5 * A691</f>
        <v>#N/A</v>
      </c>
      <c r="E691" s="418">
        <f>IF(AND(Attendance!E691&lt;&gt;"Friday", Attendance!C691&lt;&gt;""), B691, 0)</f>
        <v>0</v>
      </c>
      <c r="F691" s="420" t="str">
        <f>Attendance!B691</f>
        <v/>
      </c>
      <c r="G691" s="415" t="str">
        <f>Attendance!A691</f>
        <v/>
      </c>
      <c r="H691" s="420" t="str">
        <f>IFERROR(__xludf.DUMMYFUNCTION("REGEXREPLACE(F691, ""\d+$"", """")"),"")</f>
        <v/>
      </c>
    </row>
    <row r="692" ht="22.5" customHeight="1">
      <c r="A692" s="417" t="str">
        <f>VLOOKUP(F692, Employees!$A$2:$C957, 3, FALSE)</f>
        <v>#N/A</v>
      </c>
      <c r="B692" s="418">
        <f>100000 / (DAY(EOMONTH(Attendance!A692,0)) - 4)</f>
        <v>3703.703704</v>
      </c>
      <c r="C692" s="417" t="str">
        <f>MAX(0, Attendance!C692 - TIME(9, 0, 0)) * 24 * A692</f>
        <v>#N/A</v>
      </c>
      <c r="D692" s="419" t="str">
        <f>MAX(0, Attendance!D692 - TIME(18, 0, 0)) * 24 * 1.5 * A692</f>
        <v>#N/A</v>
      </c>
      <c r="E692" s="418">
        <f>IF(AND(Attendance!E692&lt;&gt;"Friday", Attendance!C692&lt;&gt;""), B692, 0)</f>
        <v>0</v>
      </c>
      <c r="F692" s="420" t="str">
        <f>Attendance!B692</f>
        <v/>
      </c>
      <c r="G692" s="415" t="str">
        <f>Attendance!A692</f>
        <v/>
      </c>
      <c r="H692" s="420" t="str">
        <f>IFERROR(__xludf.DUMMYFUNCTION("REGEXREPLACE(F692, ""\d+$"", """")"),"")</f>
        <v/>
      </c>
    </row>
    <row r="693" ht="22.5" customHeight="1">
      <c r="A693" s="417" t="str">
        <f>VLOOKUP(F693, Employees!$A$2:$C957, 3, FALSE)</f>
        <v>#N/A</v>
      </c>
      <c r="B693" s="418">
        <f>100000 / (DAY(EOMONTH(Attendance!A693,0)) - 4)</f>
        <v>3703.703704</v>
      </c>
      <c r="C693" s="417" t="str">
        <f>MAX(0, Attendance!C693 - TIME(9, 0, 0)) * 24 * A693</f>
        <v>#N/A</v>
      </c>
      <c r="D693" s="419" t="str">
        <f>MAX(0, Attendance!D693 - TIME(18, 0, 0)) * 24 * 1.5 * A693</f>
        <v>#N/A</v>
      </c>
      <c r="E693" s="418">
        <f>IF(AND(Attendance!E693&lt;&gt;"Friday", Attendance!C693&lt;&gt;""), B693, 0)</f>
        <v>0</v>
      </c>
      <c r="F693" s="420" t="str">
        <f>Attendance!B693</f>
        <v/>
      </c>
      <c r="G693" s="415" t="str">
        <f>Attendance!A693</f>
        <v/>
      </c>
      <c r="H693" s="420" t="str">
        <f>IFERROR(__xludf.DUMMYFUNCTION("REGEXREPLACE(F693, ""\d+$"", """")"),"")</f>
        <v/>
      </c>
    </row>
    <row r="694" ht="22.5" customHeight="1">
      <c r="A694" s="417" t="str">
        <f>VLOOKUP(F694, Employees!$A$2:$C957, 3, FALSE)</f>
        <v>#N/A</v>
      </c>
      <c r="B694" s="418">
        <f>100000 / (DAY(EOMONTH(Attendance!A694,0)) - 4)</f>
        <v>3703.703704</v>
      </c>
      <c r="C694" s="417" t="str">
        <f>MAX(0, Attendance!C694 - TIME(9, 0, 0)) * 24 * A694</f>
        <v>#N/A</v>
      </c>
      <c r="D694" s="419" t="str">
        <f>MAX(0, Attendance!D694 - TIME(18, 0, 0)) * 24 * 1.5 * A694</f>
        <v>#N/A</v>
      </c>
      <c r="E694" s="418">
        <f>IF(AND(Attendance!E694&lt;&gt;"Friday", Attendance!C694&lt;&gt;""), B694, 0)</f>
        <v>0</v>
      </c>
      <c r="F694" s="420" t="str">
        <f>Attendance!B694</f>
        <v/>
      </c>
      <c r="G694" s="415" t="str">
        <f>Attendance!A694</f>
        <v/>
      </c>
      <c r="H694" s="420" t="str">
        <f>IFERROR(__xludf.DUMMYFUNCTION("REGEXREPLACE(F694, ""\d+$"", """")"),"")</f>
        <v/>
      </c>
    </row>
    <row r="695" ht="22.5" customHeight="1">
      <c r="A695" s="417" t="str">
        <f>VLOOKUP(F695, Employees!$A$2:$C957, 3, FALSE)</f>
        <v>#N/A</v>
      </c>
      <c r="B695" s="418">
        <f>100000 / (DAY(EOMONTH(Attendance!A695,0)) - 4)</f>
        <v>3703.703704</v>
      </c>
      <c r="C695" s="417" t="str">
        <f>MAX(0, Attendance!C695 - TIME(9, 0, 0)) * 24 * A695</f>
        <v>#N/A</v>
      </c>
      <c r="D695" s="419" t="str">
        <f>MAX(0, Attendance!D695 - TIME(18, 0, 0)) * 24 * 1.5 * A695</f>
        <v>#N/A</v>
      </c>
      <c r="E695" s="418">
        <f>IF(AND(Attendance!E695&lt;&gt;"Friday", Attendance!C695&lt;&gt;""), B695, 0)</f>
        <v>0</v>
      </c>
      <c r="F695" s="420" t="str">
        <f>Attendance!B695</f>
        <v/>
      </c>
      <c r="G695" s="415" t="str">
        <f>Attendance!A695</f>
        <v/>
      </c>
      <c r="H695" s="420" t="str">
        <f>IFERROR(__xludf.DUMMYFUNCTION("REGEXREPLACE(F695, ""\d+$"", """")"),"")</f>
        <v/>
      </c>
    </row>
    <row r="696" ht="22.5" customHeight="1">
      <c r="A696" s="417" t="str">
        <f>VLOOKUP(F696, Employees!$A$2:$C957, 3, FALSE)</f>
        <v>#N/A</v>
      </c>
      <c r="B696" s="418">
        <f>100000 / (DAY(EOMONTH(Attendance!A696,0)) - 4)</f>
        <v>3703.703704</v>
      </c>
      <c r="C696" s="417" t="str">
        <f>MAX(0, Attendance!C696 - TIME(9, 0, 0)) * 24 * A696</f>
        <v>#N/A</v>
      </c>
      <c r="D696" s="419" t="str">
        <f>MAX(0, Attendance!D696 - TIME(18, 0, 0)) * 24 * 1.5 * A696</f>
        <v>#N/A</v>
      </c>
      <c r="E696" s="418">
        <f>IF(AND(Attendance!E696&lt;&gt;"Friday", Attendance!C696&lt;&gt;""), B696, 0)</f>
        <v>0</v>
      </c>
      <c r="F696" s="420" t="str">
        <f>Attendance!B696</f>
        <v/>
      </c>
      <c r="G696" s="415" t="str">
        <f>Attendance!A696</f>
        <v/>
      </c>
      <c r="H696" s="420" t="str">
        <f>IFERROR(__xludf.DUMMYFUNCTION("REGEXREPLACE(F696, ""\d+$"", """")"),"")</f>
        <v/>
      </c>
    </row>
    <row r="697" ht="22.5" customHeight="1">
      <c r="A697" s="417" t="str">
        <f>VLOOKUP(F697, Employees!$A$2:$C957, 3, FALSE)</f>
        <v>#N/A</v>
      </c>
      <c r="B697" s="418">
        <f>100000 / (DAY(EOMONTH(Attendance!A697,0)) - 4)</f>
        <v>3703.703704</v>
      </c>
      <c r="C697" s="417" t="str">
        <f>MAX(0, Attendance!C697 - TIME(9, 0, 0)) * 24 * A697</f>
        <v>#N/A</v>
      </c>
      <c r="D697" s="419" t="str">
        <f>MAX(0, Attendance!D697 - TIME(18, 0, 0)) * 24 * 1.5 * A697</f>
        <v>#N/A</v>
      </c>
      <c r="E697" s="418">
        <f>IF(AND(Attendance!E697&lt;&gt;"Friday", Attendance!C697&lt;&gt;""), B697, 0)</f>
        <v>0</v>
      </c>
      <c r="F697" s="420" t="str">
        <f>Attendance!B697</f>
        <v/>
      </c>
      <c r="G697" s="415" t="str">
        <f>Attendance!A697</f>
        <v/>
      </c>
      <c r="H697" s="420" t="str">
        <f>IFERROR(__xludf.DUMMYFUNCTION("REGEXREPLACE(F697, ""\d+$"", """")"),"")</f>
        <v/>
      </c>
    </row>
    <row r="698" ht="22.5" customHeight="1">
      <c r="A698" s="417" t="str">
        <f>VLOOKUP(F698, Employees!$A$2:$C957, 3, FALSE)</f>
        <v>#N/A</v>
      </c>
      <c r="B698" s="418">
        <f>100000 / (DAY(EOMONTH(Attendance!A698,0)) - 4)</f>
        <v>3703.703704</v>
      </c>
      <c r="C698" s="417" t="str">
        <f>MAX(0, Attendance!C698 - TIME(9, 0, 0)) * 24 * A698</f>
        <v>#N/A</v>
      </c>
      <c r="D698" s="419" t="str">
        <f>MAX(0, Attendance!D698 - TIME(18, 0, 0)) * 24 * 1.5 * A698</f>
        <v>#N/A</v>
      </c>
      <c r="E698" s="418">
        <f>IF(AND(Attendance!E698&lt;&gt;"Friday", Attendance!C698&lt;&gt;""), B698, 0)</f>
        <v>0</v>
      </c>
      <c r="F698" s="420" t="str">
        <f>Attendance!B698</f>
        <v/>
      </c>
      <c r="G698" s="415" t="str">
        <f>Attendance!A698</f>
        <v/>
      </c>
      <c r="H698" s="420" t="str">
        <f>IFERROR(__xludf.DUMMYFUNCTION("REGEXREPLACE(F698, ""\d+$"", """")"),"")</f>
        <v/>
      </c>
    </row>
    <row r="699" ht="22.5" customHeight="1">
      <c r="A699" s="417" t="str">
        <f>VLOOKUP(F699, Employees!$A$2:$C957, 3, FALSE)</f>
        <v>#N/A</v>
      </c>
      <c r="B699" s="418">
        <f>100000 / (DAY(EOMONTH(Attendance!A699,0)) - 4)</f>
        <v>3703.703704</v>
      </c>
      <c r="C699" s="417" t="str">
        <f>MAX(0, Attendance!C699 - TIME(9, 0, 0)) * 24 * A699</f>
        <v>#N/A</v>
      </c>
      <c r="D699" s="419" t="str">
        <f>MAX(0, Attendance!D699 - TIME(18, 0, 0)) * 24 * 1.5 * A699</f>
        <v>#N/A</v>
      </c>
      <c r="E699" s="418">
        <f>IF(AND(Attendance!E699&lt;&gt;"Friday", Attendance!C699&lt;&gt;""), B699, 0)</f>
        <v>0</v>
      </c>
      <c r="F699" s="420" t="str">
        <f>Attendance!B699</f>
        <v/>
      </c>
      <c r="G699" s="415" t="str">
        <f>Attendance!A699</f>
        <v/>
      </c>
      <c r="H699" s="420" t="str">
        <f>IFERROR(__xludf.DUMMYFUNCTION("REGEXREPLACE(F699, ""\d+$"", """")"),"")</f>
        <v/>
      </c>
    </row>
    <row r="700" ht="22.5" customHeight="1">
      <c r="A700" s="417" t="str">
        <f>VLOOKUP(F700, Employees!$A$2:$C957, 3, FALSE)</f>
        <v>#N/A</v>
      </c>
      <c r="B700" s="418">
        <f>100000 / (DAY(EOMONTH(Attendance!A700,0)) - 4)</f>
        <v>3703.703704</v>
      </c>
      <c r="C700" s="417" t="str">
        <f>MAX(0, Attendance!C700 - TIME(9, 0, 0)) * 24 * A700</f>
        <v>#N/A</v>
      </c>
      <c r="D700" s="419" t="str">
        <f>MAX(0, Attendance!D700 - TIME(18, 0, 0)) * 24 * 1.5 * A700</f>
        <v>#N/A</v>
      </c>
      <c r="E700" s="418">
        <f>IF(AND(Attendance!E700&lt;&gt;"Friday", Attendance!C700&lt;&gt;""), B700, 0)</f>
        <v>0</v>
      </c>
      <c r="F700" s="420" t="str">
        <f>Attendance!B700</f>
        <v/>
      </c>
      <c r="G700" s="415" t="str">
        <f>Attendance!A700</f>
        <v/>
      </c>
      <c r="H700" s="420" t="str">
        <f>IFERROR(__xludf.DUMMYFUNCTION("REGEXREPLACE(F700, ""\d+$"", """")"),"")</f>
        <v/>
      </c>
    </row>
    <row r="701" ht="22.5" customHeight="1">
      <c r="A701" s="417" t="str">
        <f>VLOOKUP(F701, Employees!$A$2:$C957, 3, FALSE)</f>
        <v>#N/A</v>
      </c>
      <c r="B701" s="418">
        <f>100000 / (DAY(EOMONTH(Attendance!A701,0)) - 4)</f>
        <v>3703.703704</v>
      </c>
      <c r="C701" s="417" t="str">
        <f>MAX(0, Attendance!C701 - TIME(9, 0, 0)) * 24 * A701</f>
        <v>#N/A</v>
      </c>
      <c r="D701" s="419" t="str">
        <f>MAX(0, Attendance!D701 - TIME(18, 0, 0)) * 24 * 1.5 * A701</f>
        <v>#N/A</v>
      </c>
      <c r="E701" s="418">
        <f>IF(AND(Attendance!E701&lt;&gt;"Friday", Attendance!C701&lt;&gt;""), B701, 0)</f>
        <v>0</v>
      </c>
      <c r="F701" s="420" t="str">
        <f>Attendance!B701</f>
        <v/>
      </c>
      <c r="G701" s="415" t="str">
        <f>Attendance!A701</f>
        <v/>
      </c>
      <c r="H701" s="420" t="str">
        <f>IFERROR(__xludf.DUMMYFUNCTION("REGEXREPLACE(F701, ""\d+$"", """")"),"")</f>
        <v/>
      </c>
    </row>
    <row r="702" ht="22.5" customHeight="1">
      <c r="A702" s="417" t="str">
        <f>VLOOKUP(F702, Employees!$A$2:$C957, 3, FALSE)</f>
        <v>#N/A</v>
      </c>
      <c r="B702" s="418">
        <f>100000 / (DAY(EOMONTH(Attendance!A702,0)) - 4)</f>
        <v>3703.703704</v>
      </c>
      <c r="C702" s="417" t="str">
        <f>MAX(0, Attendance!C702 - TIME(9, 0, 0)) * 24 * A702</f>
        <v>#N/A</v>
      </c>
      <c r="D702" s="419" t="str">
        <f>MAX(0, Attendance!D702 - TIME(18, 0, 0)) * 24 * 1.5 * A702</f>
        <v>#N/A</v>
      </c>
      <c r="E702" s="418">
        <f>IF(AND(Attendance!E702&lt;&gt;"Friday", Attendance!C702&lt;&gt;""), B702, 0)</f>
        <v>0</v>
      </c>
      <c r="F702" s="420" t="str">
        <f>Attendance!B702</f>
        <v/>
      </c>
      <c r="G702" s="415" t="str">
        <f>Attendance!A702</f>
        <v/>
      </c>
      <c r="H702" s="420" t="str">
        <f>IFERROR(__xludf.DUMMYFUNCTION("REGEXREPLACE(F702, ""\d+$"", """")"),"")</f>
        <v/>
      </c>
    </row>
    <row r="703" ht="22.5" customHeight="1">
      <c r="A703" s="417" t="str">
        <f>VLOOKUP(F703, Employees!$A$2:$C957, 3, FALSE)</f>
        <v>#N/A</v>
      </c>
      <c r="B703" s="418">
        <f>100000 / (DAY(EOMONTH(Attendance!A703,0)) - 4)</f>
        <v>3703.703704</v>
      </c>
      <c r="C703" s="417" t="str">
        <f>MAX(0, Attendance!C703 - TIME(9, 0, 0)) * 24 * A703</f>
        <v>#N/A</v>
      </c>
      <c r="D703" s="419" t="str">
        <f>MAX(0, Attendance!D703 - TIME(18, 0, 0)) * 24 * 1.5 * A703</f>
        <v>#N/A</v>
      </c>
      <c r="E703" s="418">
        <f>IF(AND(Attendance!E703&lt;&gt;"Friday", Attendance!C703&lt;&gt;""), B703, 0)</f>
        <v>0</v>
      </c>
      <c r="F703" s="420" t="str">
        <f>Attendance!B703</f>
        <v/>
      </c>
      <c r="G703" s="415" t="str">
        <f>Attendance!A703</f>
        <v/>
      </c>
      <c r="H703" s="420" t="str">
        <f>IFERROR(__xludf.DUMMYFUNCTION("REGEXREPLACE(F703, ""\d+$"", """")"),"")</f>
        <v/>
      </c>
    </row>
    <row r="704" ht="22.5" customHeight="1">
      <c r="A704" s="417" t="str">
        <f>VLOOKUP(F704, Employees!$A$2:$C957, 3, FALSE)</f>
        <v>#N/A</v>
      </c>
      <c r="B704" s="418">
        <f>100000 / (DAY(EOMONTH(Attendance!A704,0)) - 4)</f>
        <v>3703.703704</v>
      </c>
      <c r="C704" s="417" t="str">
        <f>MAX(0, Attendance!C704 - TIME(9, 0, 0)) * 24 * A704</f>
        <v>#N/A</v>
      </c>
      <c r="D704" s="419" t="str">
        <f>MAX(0, Attendance!D704 - TIME(18, 0, 0)) * 24 * 1.5 * A704</f>
        <v>#N/A</v>
      </c>
      <c r="E704" s="418">
        <f>IF(AND(Attendance!E704&lt;&gt;"Friday", Attendance!C704&lt;&gt;""), B704, 0)</f>
        <v>0</v>
      </c>
      <c r="F704" s="420" t="str">
        <f>Attendance!B704</f>
        <v/>
      </c>
      <c r="G704" s="415" t="str">
        <f>Attendance!A704</f>
        <v/>
      </c>
      <c r="H704" s="420" t="str">
        <f>IFERROR(__xludf.DUMMYFUNCTION("REGEXREPLACE(F704, ""\d+$"", """")"),"")</f>
        <v/>
      </c>
    </row>
    <row r="705" ht="22.5" customHeight="1">
      <c r="A705" s="417" t="str">
        <f>VLOOKUP(F705, Employees!$A$2:$C957, 3, FALSE)</f>
        <v>#N/A</v>
      </c>
      <c r="B705" s="418">
        <f>100000 / (DAY(EOMONTH(Attendance!A705,0)) - 4)</f>
        <v>3703.703704</v>
      </c>
      <c r="C705" s="417" t="str">
        <f>MAX(0, Attendance!C705 - TIME(9, 0, 0)) * 24 * A705</f>
        <v>#N/A</v>
      </c>
      <c r="D705" s="419" t="str">
        <f>MAX(0, Attendance!D705 - TIME(18, 0, 0)) * 24 * 1.5 * A705</f>
        <v>#N/A</v>
      </c>
      <c r="E705" s="418">
        <f>IF(AND(Attendance!E705&lt;&gt;"Friday", Attendance!C705&lt;&gt;""), B705, 0)</f>
        <v>0</v>
      </c>
      <c r="F705" s="420" t="str">
        <f>Attendance!B705</f>
        <v/>
      </c>
      <c r="G705" s="415" t="str">
        <f>Attendance!A705</f>
        <v/>
      </c>
      <c r="H705" s="420" t="str">
        <f>IFERROR(__xludf.DUMMYFUNCTION("REGEXREPLACE(F705, ""\d+$"", """")"),"")</f>
        <v/>
      </c>
    </row>
    <row r="706" ht="22.5" customHeight="1">
      <c r="A706" s="417" t="str">
        <f>VLOOKUP(F706, Employees!$A$2:$C957, 3, FALSE)</f>
        <v>#N/A</v>
      </c>
      <c r="B706" s="418">
        <f>100000 / (DAY(EOMONTH(Attendance!A706,0)) - 4)</f>
        <v>3703.703704</v>
      </c>
      <c r="C706" s="417" t="str">
        <f>MAX(0, Attendance!C706 - TIME(9, 0, 0)) * 24 * A706</f>
        <v>#N/A</v>
      </c>
      <c r="D706" s="419" t="str">
        <f>MAX(0, Attendance!D706 - TIME(18, 0, 0)) * 24 * 1.5 * A706</f>
        <v>#N/A</v>
      </c>
      <c r="E706" s="418">
        <f>IF(AND(Attendance!E706&lt;&gt;"Friday", Attendance!C706&lt;&gt;""), B706, 0)</f>
        <v>0</v>
      </c>
      <c r="F706" s="420" t="str">
        <f>Attendance!B706</f>
        <v/>
      </c>
      <c r="G706" s="415" t="str">
        <f>Attendance!A706</f>
        <v/>
      </c>
      <c r="H706" s="420" t="str">
        <f>IFERROR(__xludf.DUMMYFUNCTION("REGEXREPLACE(F706, ""\d+$"", """")"),"")</f>
        <v/>
      </c>
    </row>
    <row r="707" ht="22.5" customHeight="1">
      <c r="A707" s="417" t="str">
        <f>VLOOKUP(F707, Employees!$A$2:$C957, 3, FALSE)</f>
        <v>#N/A</v>
      </c>
      <c r="B707" s="418">
        <f>100000 / (DAY(EOMONTH(Attendance!A707,0)) - 4)</f>
        <v>3703.703704</v>
      </c>
      <c r="C707" s="417" t="str">
        <f>MAX(0, Attendance!C707 - TIME(9, 0, 0)) * 24 * A707</f>
        <v>#N/A</v>
      </c>
      <c r="D707" s="419" t="str">
        <f>MAX(0, Attendance!D707 - TIME(18, 0, 0)) * 24 * 1.5 * A707</f>
        <v>#N/A</v>
      </c>
      <c r="E707" s="418">
        <f>IF(AND(Attendance!E707&lt;&gt;"Friday", Attendance!C707&lt;&gt;""), B707, 0)</f>
        <v>0</v>
      </c>
      <c r="F707" s="420" t="str">
        <f>Attendance!B707</f>
        <v/>
      </c>
      <c r="G707" s="415" t="str">
        <f>Attendance!A707</f>
        <v/>
      </c>
      <c r="H707" s="420" t="str">
        <f>IFERROR(__xludf.DUMMYFUNCTION("REGEXREPLACE(F707, ""\d+$"", """")"),"")</f>
        <v/>
      </c>
    </row>
    <row r="708" ht="22.5" customHeight="1">
      <c r="A708" s="417" t="str">
        <f>VLOOKUP(F708, Employees!$A$2:$C957, 3, FALSE)</f>
        <v>#N/A</v>
      </c>
      <c r="B708" s="418">
        <f>100000 / (DAY(EOMONTH(Attendance!A708,0)) - 4)</f>
        <v>3703.703704</v>
      </c>
      <c r="C708" s="417" t="str">
        <f>MAX(0, Attendance!C708 - TIME(9, 0, 0)) * 24 * A708</f>
        <v>#N/A</v>
      </c>
      <c r="D708" s="419" t="str">
        <f>MAX(0, Attendance!D708 - TIME(18, 0, 0)) * 24 * 1.5 * A708</f>
        <v>#N/A</v>
      </c>
      <c r="E708" s="418">
        <f>IF(AND(Attendance!E708&lt;&gt;"Friday", Attendance!C708&lt;&gt;""), B708, 0)</f>
        <v>0</v>
      </c>
      <c r="F708" s="420" t="str">
        <f>Attendance!B708</f>
        <v/>
      </c>
      <c r="G708" s="415" t="str">
        <f>Attendance!A708</f>
        <v/>
      </c>
      <c r="H708" s="420" t="str">
        <f>IFERROR(__xludf.DUMMYFUNCTION("REGEXREPLACE(F708, ""\d+$"", """")"),"")</f>
        <v/>
      </c>
    </row>
    <row r="709" ht="22.5" customHeight="1">
      <c r="A709" s="417" t="str">
        <f>VLOOKUP(F709, Employees!$A$2:$C957, 3, FALSE)</f>
        <v>#N/A</v>
      </c>
      <c r="B709" s="418">
        <f>100000 / (DAY(EOMONTH(Attendance!A709,0)) - 4)</f>
        <v>3703.703704</v>
      </c>
      <c r="C709" s="417" t="str">
        <f>MAX(0, Attendance!C709 - TIME(9, 0, 0)) * 24 * A709</f>
        <v>#N/A</v>
      </c>
      <c r="D709" s="419" t="str">
        <f>MAX(0, Attendance!D709 - TIME(18, 0, 0)) * 24 * 1.5 * A709</f>
        <v>#N/A</v>
      </c>
      <c r="E709" s="418">
        <f>IF(AND(Attendance!E709&lt;&gt;"Friday", Attendance!C709&lt;&gt;""), B709, 0)</f>
        <v>0</v>
      </c>
      <c r="F709" s="420" t="str">
        <f>Attendance!B709</f>
        <v/>
      </c>
      <c r="G709" s="415" t="str">
        <f>Attendance!A709</f>
        <v/>
      </c>
      <c r="H709" s="420" t="str">
        <f>IFERROR(__xludf.DUMMYFUNCTION("REGEXREPLACE(F709, ""\d+$"", """")"),"")</f>
        <v/>
      </c>
    </row>
    <row r="710" ht="22.5" customHeight="1">
      <c r="A710" s="417" t="str">
        <f>VLOOKUP(F710, Employees!$A$2:$C957, 3, FALSE)</f>
        <v>#N/A</v>
      </c>
      <c r="B710" s="418">
        <f>100000 / (DAY(EOMONTH(Attendance!A710,0)) - 4)</f>
        <v>3703.703704</v>
      </c>
      <c r="C710" s="417" t="str">
        <f>MAX(0, Attendance!C710 - TIME(9, 0, 0)) * 24 * A710</f>
        <v>#N/A</v>
      </c>
      <c r="D710" s="419" t="str">
        <f>MAX(0, Attendance!D710 - TIME(18, 0, 0)) * 24 * 1.5 * A710</f>
        <v>#N/A</v>
      </c>
      <c r="E710" s="418">
        <f>IF(AND(Attendance!E710&lt;&gt;"Friday", Attendance!C710&lt;&gt;""), B710, 0)</f>
        <v>0</v>
      </c>
      <c r="F710" s="420" t="str">
        <f>Attendance!B710</f>
        <v/>
      </c>
      <c r="G710" s="415" t="str">
        <f>Attendance!A710</f>
        <v/>
      </c>
      <c r="H710" s="420" t="str">
        <f>IFERROR(__xludf.DUMMYFUNCTION("REGEXREPLACE(F710, ""\d+$"", """")"),"")</f>
        <v/>
      </c>
    </row>
    <row r="711" ht="22.5" customHeight="1">
      <c r="A711" s="417" t="str">
        <f>VLOOKUP(F711, Employees!$A$2:$C957, 3, FALSE)</f>
        <v>#N/A</v>
      </c>
      <c r="B711" s="418">
        <f>100000 / (DAY(EOMONTH(Attendance!A711,0)) - 4)</f>
        <v>3703.703704</v>
      </c>
      <c r="C711" s="417" t="str">
        <f>MAX(0, Attendance!C711 - TIME(9, 0, 0)) * 24 * A711</f>
        <v>#N/A</v>
      </c>
      <c r="D711" s="419" t="str">
        <f>MAX(0, Attendance!D711 - TIME(18, 0, 0)) * 24 * 1.5 * A711</f>
        <v>#N/A</v>
      </c>
      <c r="E711" s="418">
        <f>IF(AND(Attendance!E711&lt;&gt;"Friday", Attendance!C711&lt;&gt;""), B711, 0)</f>
        <v>0</v>
      </c>
      <c r="F711" s="420" t="str">
        <f>Attendance!B711</f>
        <v/>
      </c>
      <c r="G711" s="415" t="str">
        <f>Attendance!A711</f>
        <v/>
      </c>
      <c r="H711" s="420" t="str">
        <f>IFERROR(__xludf.DUMMYFUNCTION("REGEXREPLACE(F711, ""\d+$"", """")"),"")</f>
        <v/>
      </c>
    </row>
    <row r="712" ht="22.5" customHeight="1">
      <c r="A712" s="417" t="str">
        <f>VLOOKUP(F712, Employees!$A$2:$C957, 3, FALSE)</f>
        <v>#N/A</v>
      </c>
      <c r="B712" s="418">
        <f>100000 / (DAY(EOMONTH(Attendance!A712,0)) - 4)</f>
        <v>3703.703704</v>
      </c>
      <c r="C712" s="417" t="str">
        <f>MAX(0, Attendance!C712 - TIME(9, 0, 0)) * 24 * A712</f>
        <v>#N/A</v>
      </c>
      <c r="D712" s="419" t="str">
        <f>MAX(0, Attendance!D712 - TIME(18, 0, 0)) * 24 * 1.5 * A712</f>
        <v>#N/A</v>
      </c>
      <c r="E712" s="418">
        <f>IF(AND(Attendance!E712&lt;&gt;"Friday", Attendance!C712&lt;&gt;""), B712, 0)</f>
        <v>0</v>
      </c>
      <c r="F712" s="420" t="str">
        <f>Attendance!B712</f>
        <v/>
      </c>
      <c r="G712" s="415" t="str">
        <f>Attendance!A712</f>
        <v/>
      </c>
      <c r="H712" s="420" t="str">
        <f>IFERROR(__xludf.DUMMYFUNCTION("REGEXREPLACE(F712, ""\d+$"", """")"),"")</f>
        <v/>
      </c>
    </row>
    <row r="713" ht="22.5" customHeight="1">
      <c r="A713" s="417" t="str">
        <f>VLOOKUP(F713, Employees!$A$2:$C957, 3, FALSE)</f>
        <v>#N/A</v>
      </c>
      <c r="B713" s="418">
        <f>100000 / (DAY(EOMONTH(Attendance!A713,0)) - 4)</f>
        <v>3703.703704</v>
      </c>
      <c r="C713" s="417" t="str">
        <f>MAX(0, Attendance!C713 - TIME(9, 0, 0)) * 24 * A713</f>
        <v>#N/A</v>
      </c>
      <c r="D713" s="419" t="str">
        <f>MAX(0, Attendance!D713 - TIME(18, 0, 0)) * 24 * 1.5 * A713</f>
        <v>#N/A</v>
      </c>
      <c r="E713" s="418">
        <f>IF(AND(Attendance!E713&lt;&gt;"Friday", Attendance!C713&lt;&gt;""), B713, 0)</f>
        <v>0</v>
      </c>
      <c r="F713" s="420" t="str">
        <f>Attendance!B713</f>
        <v/>
      </c>
      <c r="G713" s="415" t="str">
        <f>Attendance!A713</f>
        <v/>
      </c>
      <c r="H713" s="420" t="str">
        <f>IFERROR(__xludf.DUMMYFUNCTION("REGEXREPLACE(F713, ""\d+$"", """")"),"")</f>
        <v/>
      </c>
    </row>
    <row r="714" ht="22.5" customHeight="1">
      <c r="A714" s="417" t="str">
        <f>VLOOKUP(F714, Employees!$A$2:$C957, 3, FALSE)</f>
        <v>#N/A</v>
      </c>
      <c r="B714" s="418">
        <f>100000 / (DAY(EOMONTH(Attendance!A714,0)) - 4)</f>
        <v>3703.703704</v>
      </c>
      <c r="C714" s="417" t="str">
        <f>MAX(0, Attendance!C714 - TIME(9, 0, 0)) * 24 * A714</f>
        <v>#N/A</v>
      </c>
      <c r="D714" s="419" t="str">
        <f>MAX(0, Attendance!D714 - TIME(18, 0, 0)) * 24 * 1.5 * A714</f>
        <v>#N/A</v>
      </c>
      <c r="E714" s="418">
        <f>IF(AND(Attendance!E714&lt;&gt;"Friday", Attendance!C714&lt;&gt;""), B714, 0)</f>
        <v>0</v>
      </c>
      <c r="F714" s="420" t="str">
        <f>Attendance!B714</f>
        <v/>
      </c>
      <c r="G714" s="415" t="str">
        <f>Attendance!A714</f>
        <v/>
      </c>
      <c r="H714" s="420" t="str">
        <f>IFERROR(__xludf.DUMMYFUNCTION("REGEXREPLACE(F714, ""\d+$"", """")"),"")</f>
        <v/>
      </c>
    </row>
    <row r="715" ht="22.5" customHeight="1">
      <c r="A715" s="417" t="str">
        <f>VLOOKUP(F715, Employees!$A$2:$C957, 3, FALSE)</f>
        <v>#N/A</v>
      </c>
      <c r="B715" s="418">
        <f>100000 / (DAY(EOMONTH(Attendance!A715,0)) - 4)</f>
        <v>3703.703704</v>
      </c>
      <c r="C715" s="417" t="str">
        <f>MAX(0, Attendance!C715 - TIME(9, 0, 0)) * 24 * A715</f>
        <v>#N/A</v>
      </c>
      <c r="D715" s="419" t="str">
        <f>MAX(0, Attendance!D715 - TIME(18, 0, 0)) * 24 * 1.5 * A715</f>
        <v>#N/A</v>
      </c>
      <c r="E715" s="418">
        <f>IF(AND(Attendance!E715&lt;&gt;"Friday", Attendance!C715&lt;&gt;""), B715, 0)</f>
        <v>0</v>
      </c>
      <c r="F715" s="420" t="str">
        <f>Attendance!B715</f>
        <v/>
      </c>
      <c r="G715" s="415" t="str">
        <f>Attendance!A715</f>
        <v/>
      </c>
      <c r="H715" s="420" t="str">
        <f>IFERROR(__xludf.DUMMYFUNCTION("REGEXREPLACE(F715, ""\d+$"", """")"),"")</f>
        <v/>
      </c>
    </row>
    <row r="716" ht="22.5" customHeight="1">
      <c r="A716" s="417" t="str">
        <f>VLOOKUP(F716, Employees!$A$2:$C957, 3, FALSE)</f>
        <v>#N/A</v>
      </c>
      <c r="B716" s="418">
        <f>100000 / (DAY(EOMONTH(Attendance!A716,0)) - 4)</f>
        <v>3703.703704</v>
      </c>
      <c r="C716" s="417" t="str">
        <f>MAX(0, Attendance!C716 - TIME(9, 0, 0)) * 24 * A716</f>
        <v>#N/A</v>
      </c>
      <c r="D716" s="419" t="str">
        <f>MAX(0, Attendance!D716 - TIME(18, 0, 0)) * 24 * 1.5 * A716</f>
        <v>#N/A</v>
      </c>
      <c r="E716" s="418">
        <f>IF(AND(Attendance!E716&lt;&gt;"Friday", Attendance!C716&lt;&gt;""), B716, 0)</f>
        <v>0</v>
      </c>
      <c r="F716" s="420" t="str">
        <f>Attendance!B716</f>
        <v/>
      </c>
      <c r="G716" s="415" t="str">
        <f>Attendance!A716</f>
        <v/>
      </c>
      <c r="H716" s="420" t="str">
        <f>IFERROR(__xludf.DUMMYFUNCTION("REGEXREPLACE(F716, ""\d+$"", """")"),"")</f>
        <v/>
      </c>
    </row>
    <row r="717" ht="22.5" customHeight="1">
      <c r="A717" s="417" t="str">
        <f>VLOOKUP(F717, Employees!$A$2:$C957, 3, FALSE)</f>
        <v>#N/A</v>
      </c>
      <c r="B717" s="418">
        <f>100000 / (DAY(EOMONTH(Attendance!A717,0)) - 4)</f>
        <v>3703.703704</v>
      </c>
      <c r="C717" s="417" t="str">
        <f>MAX(0, Attendance!C717 - TIME(9, 0, 0)) * 24 * A717</f>
        <v>#N/A</v>
      </c>
      <c r="D717" s="419" t="str">
        <f>MAX(0, Attendance!D717 - TIME(18, 0, 0)) * 24 * 1.5 * A717</f>
        <v>#N/A</v>
      </c>
      <c r="E717" s="418">
        <f>IF(AND(Attendance!E717&lt;&gt;"Friday", Attendance!C717&lt;&gt;""), B717, 0)</f>
        <v>0</v>
      </c>
      <c r="F717" s="420" t="str">
        <f>Attendance!B717</f>
        <v/>
      </c>
      <c r="G717" s="415" t="str">
        <f>Attendance!A717</f>
        <v/>
      </c>
      <c r="H717" s="420" t="str">
        <f>IFERROR(__xludf.DUMMYFUNCTION("REGEXREPLACE(F717, ""\d+$"", """")"),"")</f>
        <v/>
      </c>
    </row>
    <row r="718" ht="22.5" customHeight="1">
      <c r="A718" s="417" t="str">
        <f>VLOOKUP(F718, Employees!$A$2:$C957, 3, FALSE)</f>
        <v>#N/A</v>
      </c>
      <c r="B718" s="418">
        <f>100000 / (DAY(EOMONTH(Attendance!A718,0)) - 4)</f>
        <v>3703.703704</v>
      </c>
      <c r="C718" s="417" t="str">
        <f>MAX(0, Attendance!C718 - TIME(9, 0, 0)) * 24 * A718</f>
        <v>#N/A</v>
      </c>
      <c r="D718" s="419" t="str">
        <f>MAX(0, Attendance!D718 - TIME(18, 0, 0)) * 24 * 1.5 * A718</f>
        <v>#N/A</v>
      </c>
      <c r="E718" s="418">
        <f>IF(AND(Attendance!E718&lt;&gt;"Friday", Attendance!C718&lt;&gt;""), B718, 0)</f>
        <v>0</v>
      </c>
      <c r="F718" s="420" t="str">
        <f>Attendance!B718</f>
        <v/>
      </c>
      <c r="G718" s="415" t="str">
        <f>Attendance!A718</f>
        <v/>
      </c>
      <c r="H718" s="420" t="str">
        <f>IFERROR(__xludf.DUMMYFUNCTION("REGEXREPLACE(F718, ""\d+$"", """")"),"")</f>
        <v/>
      </c>
    </row>
    <row r="719" ht="22.5" customHeight="1">
      <c r="A719" s="417" t="str">
        <f>VLOOKUP(F719, Employees!$A$2:$C957, 3, FALSE)</f>
        <v>#N/A</v>
      </c>
      <c r="B719" s="418">
        <f>100000 / (DAY(EOMONTH(Attendance!A719,0)) - 4)</f>
        <v>3703.703704</v>
      </c>
      <c r="C719" s="417" t="str">
        <f>MAX(0, Attendance!C719 - TIME(9, 0, 0)) * 24 * A719</f>
        <v>#N/A</v>
      </c>
      <c r="D719" s="419" t="str">
        <f>MAX(0, Attendance!D719 - TIME(18, 0, 0)) * 24 * 1.5 * A719</f>
        <v>#N/A</v>
      </c>
      <c r="E719" s="418">
        <f>IF(AND(Attendance!E719&lt;&gt;"Friday", Attendance!C719&lt;&gt;""), B719, 0)</f>
        <v>0</v>
      </c>
      <c r="F719" s="420" t="str">
        <f>Attendance!B719</f>
        <v/>
      </c>
      <c r="G719" s="415" t="str">
        <f>Attendance!A719</f>
        <v/>
      </c>
      <c r="H719" s="420" t="str">
        <f>IFERROR(__xludf.DUMMYFUNCTION("REGEXREPLACE(F719, ""\d+$"", """")"),"")</f>
        <v/>
      </c>
    </row>
    <row r="720" ht="22.5" customHeight="1">
      <c r="A720" s="417" t="str">
        <f>VLOOKUP(F720, Employees!$A$2:$C957, 3, FALSE)</f>
        <v>#N/A</v>
      </c>
      <c r="B720" s="418">
        <f>100000 / (DAY(EOMONTH(Attendance!A720,0)) - 4)</f>
        <v>3703.703704</v>
      </c>
      <c r="C720" s="417" t="str">
        <f>MAX(0, Attendance!C720 - TIME(9, 0, 0)) * 24 * A720</f>
        <v>#N/A</v>
      </c>
      <c r="D720" s="419" t="str">
        <f>MAX(0, Attendance!D720 - TIME(18, 0, 0)) * 24 * 1.5 * A720</f>
        <v>#N/A</v>
      </c>
      <c r="E720" s="418">
        <f>IF(AND(Attendance!E720&lt;&gt;"Friday", Attendance!C720&lt;&gt;""), B720, 0)</f>
        <v>0</v>
      </c>
      <c r="F720" s="420" t="str">
        <f>Attendance!B720</f>
        <v/>
      </c>
      <c r="G720" s="415" t="str">
        <f>Attendance!A720</f>
        <v/>
      </c>
      <c r="H720" s="420" t="str">
        <f>IFERROR(__xludf.DUMMYFUNCTION("REGEXREPLACE(F720, ""\d+$"", """")"),"")</f>
        <v/>
      </c>
    </row>
    <row r="721" ht="22.5" customHeight="1">
      <c r="A721" s="417" t="str">
        <f>VLOOKUP(F721, Employees!$A$2:$C957, 3, FALSE)</f>
        <v>#N/A</v>
      </c>
      <c r="B721" s="418">
        <f>100000 / (DAY(EOMONTH(Attendance!A721,0)) - 4)</f>
        <v>3703.703704</v>
      </c>
      <c r="C721" s="417" t="str">
        <f>MAX(0, Attendance!C721 - TIME(9, 0, 0)) * 24 * A721</f>
        <v>#N/A</v>
      </c>
      <c r="D721" s="419" t="str">
        <f>MAX(0, Attendance!D721 - TIME(18, 0, 0)) * 24 * 1.5 * A721</f>
        <v>#N/A</v>
      </c>
      <c r="E721" s="418">
        <f>IF(AND(Attendance!E721&lt;&gt;"Friday", Attendance!C721&lt;&gt;""), B721, 0)</f>
        <v>0</v>
      </c>
      <c r="F721" s="420" t="str">
        <f>Attendance!B721</f>
        <v/>
      </c>
      <c r="G721" s="415" t="str">
        <f>Attendance!A721</f>
        <v/>
      </c>
      <c r="H721" s="420" t="str">
        <f>IFERROR(__xludf.DUMMYFUNCTION("REGEXREPLACE(F721, ""\d+$"", """")"),"")</f>
        <v/>
      </c>
    </row>
    <row r="722" ht="22.5" customHeight="1">
      <c r="A722" s="417" t="str">
        <f>VLOOKUP(F722, Employees!$A$2:$C957, 3, FALSE)</f>
        <v>#N/A</v>
      </c>
      <c r="B722" s="418">
        <f>100000 / (DAY(EOMONTH(Attendance!A722,0)) - 4)</f>
        <v>3703.703704</v>
      </c>
      <c r="C722" s="417" t="str">
        <f>MAX(0, Attendance!C722 - TIME(9, 0, 0)) * 24 * A722</f>
        <v>#N/A</v>
      </c>
      <c r="D722" s="419" t="str">
        <f>MAX(0, Attendance!D722 - TIME(18, 0, 0)) * 24 * 1.5 * A722</f>
        <v>#N/A</v>
      </c>
      <c r="E722" s="418">
        <f>IF(AND(Attendance!E722&lt;&gt;"Friday", Attendance!C722&lt;&gt;""), B722, 0)</f>
        <v>0</v>
      </c>
      <c r="F722" s="420" t="str">
        <f>Attendance!B722</f>
        <v/>
      </c>
      <c r="G722" s="415" t="str">
        <f>Attendance!A722</f>
        <v/>
      </c>
      <c r="H722" s="420" t="str">
        <f>IFERROR(__xludf.DUMMYFUNCTION("REGEXREPLACE(F722, ""\d+$"", """")"),"")</f>
        <v/>
      </c>
    </row>
    <row r="723" ht="22.5" customHeight="1">
      <c r="A723" s="417" t="str">
        <f>VLOOKUP(F723, Employees!$A$2:$C957, 3, FALSE)</f>
        <v>#N/A</v>
      </c>
      <c r="B723" s="418">
        <f>100000 / (DAY(EOMONTH(Attendance!A723,0)) - 4)</f>
        <v>3703.703704</v>
      </c>
      <c r="C723" s="417" t="str">
        <f>MAX(0, Attendance!C723 - TIME(9, 0, 0)) * 24 * A723</f>
        <v>#N/A</v>
      </c>
      <c r="D723" s="419" t="str">
        <f>MAX(0, Attendance!D723 - TIME(18, 0, 0)) * 24 * 1.5 * A723</f>
        <v>#N/A</v>
      </c>
      <c r="E723" s="418">
        <f>IF(AND(Attendance!E723&lt;&gt;"Friday", Attendance!C723&lt;&gt;""), B723, 0)</f>
        <v>0</v>
      </c>
      <c r="F723" s="420" t="str">
        <f>Attendance!B723</f>
        <v/>
      </c>
      <c r="G723" s="415" t="str">
        <f>Attendance!A723</f>
        <v/>
      </c>
      <c r="H723" s="420" t="str">
        <f>IFERROR(__xludf.DUMMYFUNCTION("REGEXREPLACE(F723, ""\d+$"", """")"),"")</f>
        <v/>
      </c>
    </row>
    <row r="724" ht="22.5" customHeight="1">
      <c r="A724" s="417" t="str">
        <f>VLOOKUP(F724, Employees!$A$2:$C957, 3, FALSE)</f>
        <v>#N/A</v>
      </c>
      <c r="B724" s="418">
        <f>100000 / (DAY(EOMONTH(Attendance!A724,0)) - 4)</f>
        <v>3703.703704</v>
      </c>
      <c r="C724" s="417" t="str">
        <f>MAX(0, Attendance!C724 - TIME(9, 0, 0)) * 24 * A724</f>
        <v>#N/A</v>
      </c>
      <c r="D724" s="419" t="str">
        <f>MAX(0, Attendance!D724 - TIME(18, 0, 0)) * 24 * 1.5 * A724</f>
        <v>#N/A</v>
      </c>
      <c r="E724" s="418">
        <f>IF(AND(Attendance!E724&lt;&gt;"Friday", Attendance!C724&lt;&gt;""), B724, 0)</f>
        <v>0</v>
      </c>
      <c r="F724" s="420" t="str">
        <f>Attendance!B724</f>
        <v/>
      </c>
      <c r="G724" s="415" t="str">
        <f>Attendance!A724</f>
        <v/>
      </c>
      <c r="H724" s="420" t="str">
        <f>IFERROR(__xludf.DUMMYFUNCTION("REGEXREPLACE(F724, ""\d+$"", """")"),"")</f>
        <v/>
      </c>
    </row>
    <row r="725" ht="22.5" customHeight="1">
      <c r="A725" s="417" t="str">
        <f>VLOOKUP(F725, Employees!$A$2:$C957, 3, FALSE)</f>
        <v>#N/A</v>
      </c>
      <c r="B725" s="418">
        <f>100000 / (DAY(EOMONTH(Attendance!A725,0)) - 4)</f>
        <v>3703.703704</v>
      </c>
      <c r="C725" s="417" t="str">
        <f>MAX(0, Attendance!C725 - TIME(9, 0, 0)) * 24 * A725</f>
        <v>#N/A</v>
      </c>
      <c r="D725" s="419" t="str">
        <f>MAX(0, Attendance!D725 - TIME(18, 0, 0)) * 24 * 1.5 * A725</f>
        <v>#N/A</v>
      </c>
      <c r="E725" s="418">
        <f>IF(AND(Attendance!E725&lt;&gt;"Friday", Attendance!C725&lt;&gt;""), B725, 0)</f>
        <v>0</v>
      </c>
      <c r="F725" s="420" t="str">
        <f>Attendance!B725</f>
        <v/>
      </c>
      <c r="G725" s="415" t="str">
        <f>Attendance!A725</f>
        <v/>
      </c>
      <c r="H725" s="420" t="str">
        <f>IFERROR(__xludf.DUMMYFUNCTION("REGEXREPLACE(F725, ""\d+$"", """")"),"")</f>
        <v/>
      </c>
    </row>
    <row r="726" ht="22.5" customHeight="1">
      <c r="A726" s="417" t="str">
        <f>VLOOKUP(F726, Employees!$A$2:$C957, 3, FALSE)</f>
        <v>#N/A</v>
      </c>
      <c r="B726" s="418">
        <f>100000 / (DAY(EOMONTH(Attendance!A726,0)) - 4)</f>
        <v>3703.703704</v>
      </c>
      <c r="C726" s="417" t="str">
        <f>MAX(0, Attendance!C726 - TIME(9, 0, 0)) * 24 * A726</f>
        <v>#N/A</v>
      </c>
      <c r="D726" s="419" t="str">
        <f>MAX(0, Attendance!D726 - TIME(18, 0, 0)) * 24 * 1.5 * A726</f>
        <v>#N/A</v>
      </c>
      <c r="E726" s="418">
        <f>IF(AND(Attendance!E726&lt;&gt;"Friday", Attendance!C726&lt;&gt;""), B726, 0)</f>
        <v>0</v>
      </c>
      <c r="F726" s="420" t="str">
        <f>Attendance!B726</f>
        <v/>
      </c>
      <c r="G726" s="415" t="str">
        <f>Attendance!A726</f>
        <v/>
      </c>
      <c r="H726" s="420" t="str">
        <f>IFERROR(__xludf.DUMMYFUNCTION("REGEXREPLACE(F726, ""\d+$"", """")"),"")</f>
        <v/>
      </c>
    </row>
    <row r="727" ht="22.5" customHeight="1">
      <c r="A727" s="417" t="str">
        <f>VLOOKUP(F727, Employees!$A$2:$C957, 3, FALSE)</f>
        <v>#N/A</v>
      </c>
      <c r="B727" s="418">
        <f>100000 / (DAY(EOMONTH(Attendance!A727,0)) - 4)</f>
        <v>3703.703704</v>
      </c>
      <c r="C727" s="417" t="str">
        <f>MAX(0, Attendance!C727 - TIME(9, 0, 0)) * 24 * A727</f>
        <v>#N/A</v>
      </c>
      <c r="D727" s="419" t="str">
        <f>MAX(0, Attendance!D727 - TIME(18, 0, 0)) * 24 * 1.5 * A727</f>
        <v>#N/A</v>
      </c>
      <c r="E727" s="418">
        <f>IF(AND(Attendance!E727&lt;&gt;"Friday", Attendance!C727&lt;&gt;""), B727, 0)</f>
        <v>0</v>
      </c>
      <c r="F727" s="420" t="str">
        <f>Attendance!B727</f>
        <v/>
      </c>
      <c r="G727" s="415" t="str">
        <f>Attendance!A727</f>
        <v/>
      </c>
      <c r="H727" s="420" t="str">
        <f>IFERROR(__xludf.DUMMYFUNCTION("REGEXREPLACE(F727, ""\d+$"", """")"),"")</f>
        <v/>
      </c>
    </row>
    <row r="728" ht="22.5" customHeight="1">
      <c r="A728" s="417" t="str">
        <f>VLOOKUP(F728, Employees!$A$2:$C957, 3, FALSE)</f>
        <v>#N/A</v>
      </c>
      <c r="B728" s="418">
        <f>100000 / (DAY(EOMONTH(Attendance!A728,0)) - 4)</f>
        <v>3703.703704</v>
      </c>
      <c r="C728" s="417" t="str">
        <f>MAX(0, Attendance!C728 - TIME(9, 0, 0)) * 24 * A728</f>
        <v>#N/A</v>
      </c>
      <c r="D728" s="419" t="str">
        <f>MAX(0, Attendance!D728 - TIME(18, 0, 0)) * 24 * 1.5 * A728</f>
        <v>#N/A</v>
      </c>
      <c r="E728" s="418">
        <f>IF(AND(Attendance!E728&lt;&gt;"Friday", Attendance!C728&lt;&gt;""), B728, 0)</f>
        <v>0</v>
      </c>
      <c r="F728" s="420" t="str">
        <f>Attendance!B728</f>
        <v/>
      </c>
      <c r="G728" s="415" t="str">
        <f>Attendance!A728</f>
        <v/>
      </c>
      <c r="H728" s="420" t="str">
        <f>IFERROR(__xludf.DUMMYFUNCTION("REGEXREPLACE(F728, ""\d+$"", """")"),"")</f>
        <v/>
      </c>
    </row>
    <row r="729" ht="22.5" customHeight="1">
      <c r="A729" s="417" t="str">
        <f>VLOOKUP(F729, Employees!$A$2:$C957, 3, FALSE)</f>
        <v>#N/A</v>
      </c>
      <c r="B729" s="418">
        <f>100000 / (DAY(EOMONTH(Attendance!A729,0)) - 4)</f>
        <v>3703.703704</v>
      </c>
      <c r="C729" s="417" t="str">
        <f>MAX(0, Attendance!C729 - TIME(9, 0, 0)) * 24 * A729</f>
        <v>#N/A</v>
      </c>
      <c r="D729" s="419" t="str">
        <f>MAX(0, Attendance!D729 - TIME(18, 0, 0)) * 24 * 1.5 * A729</f>
        <v>#N/A</v>
      </c>
      <c r="E729" s="418">
        <f>IF(AND(Attendance!E729&lt;&gt;"Friday", Attendance!C729&lt;&gt;""), B729, 0)</f>
        <v>0</v>
      </c>
      <c r="F729" s="420" t="str">
        <f>Attendance!B729</f>
        <v/>
      </c>
      <c r="G729" s="415" t="str">
        <f>Attendance!A729</f>
        <v/>
      </c>
      <c r="H729" s="420" t="str">
        <f>IFERROR(__xludf.DUMMYFUNCTION("REGEXREPLACE(F729, ""\d+$"", """")"),"")</f>
        <v/>
      </c>
    </row>
    <row r="730" ht="22.5" customHeight="1">
      <c r="A730" s="417" t="str">
        <f>VLOOKUP(F730, Employees!$A$2:$C957, 3, FALSE)</f>
        <v>#N/A</v>
      </c>
      <c r="B730" s="418">
        <f>100000 / (DAY(EOMONTH(Attendance!A730,0)) - 4)</f>
        <v>3703.703704</v>
      </c>
      <c r="C730" s="417" t="str">
        <f>MAX(0, Attendance!C730 - TIME(9, 0, 0)) * 24 * A730</f>
        <v>#N/A</v>
      </c>
      <c r="D730" s="419" t="str">
        <f>MAX(0, Attendance!D730 - TIME(18, 0, 0)) * 24 * 1.5 * A730</f>
        <v>#N/A</v>
      </c>
      <c r="E730" s="418">
        <f>IF(AND(Attendance!E730&lt;&gt;"Friday", Attendance!C730&lt;&gt;""), B730, 0)</f>
        <v>0</v>
      </c>
      <c r="F730" s="420" t="str">
        <f>Attendance!B730</f>
        <v/>
      </c>
      <c r="G730" s="415" t="str">
        <f>Attendance!A730</f>
        <v/>
      </c>
      <c r="H730" s="420" t="str">
        <f>IFERROR(__xludf.DUMMYFUNCTION("REGEXREPLACE(F730, ""\d+$"", """")"),"")</f>
        <v/>
      </c>
    </row>
    <row r="731" ht="22.5" customHeight="1">
      <c r="A731" s="417" t="str">
        <f>VLOOKUP(F731, Employees!$A$2:$C957, 3, FALSE)</f>
        <v>#N/A</v>
      </c>
      <c r="B731" s="418">
        <f>100000 / (DAY(EOMONTH(Attendance!A731,0)) - 4)</f>
        <v>3703.703704</v>
      </c>
      <c r="C731" s="417" t="str">
        <f>MAX(0, Attendance!C731 - TIME(9, 0, 0)) * 24 * A731</f>
        <v>#N/A</v>
      </c>
      <c r="D731" s="419" t="str">
        <f>MAX(0, Attendance!D731 - TIME(18, 0, 0)) * 24 * 1.5 * A731</f>
        <v>#N/A</v>
      </c>
      <c r="E731" s="418">
        <f>IF(AND(Attendance!E731&lt;&gt;"Friday", Attendance!C731&lt;&gt;""), B731, 0)</f>
        <v>0</v>
      </c>
      <c r="F731" s="420" t="str">
        <f>Attendance!B731</f>
        <v/>
      </c>
      <c r="G731" s="415" t="str">
        <f>Attendance!A731</f>
        <v/>
      </c>
      <c r="H731" s="420" t="str">
        <f>IFERROR(__xludf.DUMMYFUNCTION("REGEXREPLACE(F731, ""\d+$"", """")"),"")</f>
        <v/>
      </c>
    </row>
    <row r="732" ht="22.5" customHeight="1">
      <c r="A732" s="417" t="str">
        <f>VLOOKUP(F732, Employees!$A$2:$C957, 3, FALSE)</f>
        <v>#N/A</v>
      </c>
      <c r="B732" s="418">
        <f>100000 / (DAY(EOMONTH(Attendance!A732,0)) - 4)</f>
        <v>3703.703704</v>
      </c>
      <c r="C732" s="417" t="str">
        <f>MAX(0, Attendance!C732 - TIME(9, 0, 0)) * 24 * A732</f>
        <v>#N/A</v>
      </c>
      <c r="D732" s="419" t="str">
        <f>MAX(0, Attendance!D732 - TIME(18, 0, 0)) * 24 * 1.5 * A732</f>
        <v>#N/A</v>
      </c>
      <c r="E732" s="418">
        <f>IF(AND(Attendance!E732&lt;&gt;"Friday", Attendance!C732&lt;&gt;""), B732, 0)</f>
        <v>0</v>
      </c>
      <c r="F732" s="420" t="str">
        <f>Attendance!B732</f>
        <v/>
      </c>
      <c r="G732" s="415" t="str">
        <f>Attendance!A732</f>
        <v/>
      </c>
      <c r="H732" s="420" t="str">
        <f>IFERROR(__xludf.DUMMYFUNCTION("REGEXREPLACE(F732, ""\d+$"", """")"),"")</f>
        <v/>
      </c>
    </row>
    <row r="733" ht="22.5" customHeight="1">
      <c r="A733" s="417" t="str">
        <f>VLOOKUP(F733, Employees!$A$2:$C957, 3, FALSE)</f>
        <v>#N/A</v>
      </c>
      <c r="B733" s="418">
        <f>100000 / (DAY(EOMONTH(Attendance!A733,0)) - 4)</f>
        <v>3703.703704</v>
      </c>
      <c r="C733" s="417" t="str">
        <f>MAX(0, Attendance!C733 - TIME(9, 0, 0)) * 24 * A733</f>
        <v>#N/A</v>
      </c>
      <c r="D733" s="419" t="str">
        <f>MAX(0, Attendance!D733 - TIME(18, 0, 0)) * 24 * 1.5 * A733</f>
        <v>#N/A</v>
      </c>
      <c r="E733" s="418">
        <f>IF(AND(Attendance!E733&lt;&gt;"Friday", Attendance!C733&lt;&gt;""), B733, 0)</f>
        <v>0</v>
      </c>
      <c r="F733" s="420" t="str">
        <f>Attendance!B733</f>
        <v/>
      </c>
      <c r="G733" s="415" t="str">
        <f>Attendance!A733</f>
        <v/>
      </c>
      <c r="H733" s="420" t="str">
        <f>IFERROR(__xludf.DUMMYFUNCTION("REGEXREPLACE(F733, ""\d+$"", """")"),"")</f>
        <v/>
      </c>
    </row>
    <row r="734" ht="22.5" customHeight="1">
      <c r="A734" s="417" t="str">
        <f>VLOOKUP(F734, Employees!$A$2:$C957, 3, FALSE)</f>
        <v>#N/A</v>
      </c>
      <c r="B734" s="418">
        <f>100000 / (DAY(EOMONTH(Attendance!A734,0)) - 4)</f>
        <v>3703.703704</v>
      </c>
      <c r="C734" s="417" t="str">
        <f>MAX(0, Attendance!C734 - TIME(9, 0, 0)) * 24 * A734</f>
        <v>#N/A</v>
      </c>
      <c r="D734" s="419" t="str">
        <f>MAX(0, Attendance!D734 - TIME(18, 0, 0)) * 24 * 1.5 * A734</f>
        <v>#N/A</v>
      </c>
      <c r="E734" s="418">
        <f>IF(AND(Attendance!E734&lt;&gt;"Friday", Attendance!C734&lt;&gt;""), B734, 0)</f>
        <v>0</v>
      </c>
      <c r="F734" s="420" t="str">
        <f>Attendance!B734</f>
        <v/>
      </c>
      <c r="G734" s="415" t="str">
        <f>Attendance!A734</f>
        <v/>
      </c>
      <c r="H734" s="420" t="str">
        <f>IFERROR(__xludf.DUMMYFUNCTION("REGEXREPLACE(F734, ""\d+$"", """")"),"")</f>
        <v/>
      </c>
    </row>
    <row r="735" ht="22.5" customHeight="1">
      <c r="A735" s="417" t="str">
        <f>VLOOKUP(F735, Employees!$A$2:$C957, 3, FALSE)</f>
        <v>#N/A</v>
      </c>
      <c r="B735" s="418">
        <f>100000 / (DAY(EOMONTH(Attendance!A735,0)) - 4)</f>
        <v>3703.703704</v>
      </c>
      <c r="C735" s="417" t="str">
        <f>MAX(0, Attendance!C735 - TIME(9, 0, 0)) * 24 * A735</f>
        <v>#N/A</v>
      </c>
      <c r="D735" s="419" t="str">
        <f>MAX(0, Attendance!D735 - TIME(18, 0, 0)) * 24 * 1.5 * A735</f>
        <v>#N/A</v>
      </c>
      <c r="E735" s="418">
        <f>IF(AND(Attendance!E735&lt;&gt;"Friday", Attendance!C735&lt;&gt;""), B735, 0)</f>
        <v>0</v>
      </c>
      <c r="F735" s="420" t="str">
        <f>Attendance!B735</f>
        <v/>
      </c>
      <c r="G735" s="415" t="str">
        <f>Attendance!A735</f>
        <v/>
      </c>
      <c r="H735" s="420" t="str">
        <f>IFERROR(__xludf.DUMMYFUNCTION("REGEXREPLACE(F735, ""\d+$"", """")"),"")</f>
        <v/>
      </c>
    </row>
    <row r="736" ht="22.5" customHeight="1">
      <c r="A736" s="417" t="str">
        <f>VLOOKUP(F736, Employees!$A$2:$C957, 3, FALSE)</f>
        <v>#N/A</v>
      </c>
      <c r="B736" s="418">
        <f>100000 / (DAY(EOMONTH(Attendance!A736,0)) - 4)</f>
        <v>3703.703704</v>
      </c>
      <c r="C736" s="417" t="str">
        <f>MAX(0, Attendance!C736 - TIME(9, 0, 0)) * 24 * A736</f>
        <v>#N/A</v>
      </c>
      <c r="D736" s="419" t="str">
        <f>MAX(0, Attendance!D736 - TIME(18, 0, 0)) * 24 * 1.5 * A736</f>
        <v>#N/A</v>
      </c>
      <c r="E736" s="418">
        <f>IF(AND(Attendance!E736&lt;&gt;"Friday", Attendance!C736&lt;&gt;""), B736, 0)</f>
        <v>0</v>
      </c>
      <c r="F736" s="420" t="str">
        <f>Attendance!B736</f>
        <v/>
      </c>
      <c r="G736" s="415" t="str">
        <f>Attendance!A736</f>
        <v/>
      </c>
      <c r="H736" s="420" t="str">
        <f>IFERROR(__xludf.DUMMYFUNCTION("REGEXREPLACE(F736, ""\d+$"", """")"),"")</f>
        <v/>
      </c>
    </row>
    <row r="737" ht="22.5" customHeight="1">
      <c r="A737" s="417" t="str">
        <f>VLOOKUP(F737, Employees!$A$2:$C957, 3, FALSE)</f>
        <v>#N/A</v>
      </c>
      <c r="B737" s="418">
        <f>100000 / (DAY(EOMONTH(Attendance!A737,0)) - 4)</f>
        <v>3703.703704</v>
      </c>
      <c r="C737" s="417" t="str">
        <f>MAX(0, Attendance!C737 - TIME(9, 0, 0)) * 24 * A737</f>
        <v>#N/A</v>
      </c>
      <c r="D737" s="419" t="str">
        <f>MAX(0, Attendance!D737 - TIME(18, 0, 0)) * 24 * 1.5 * A737</f>
        <v>#N/A</v>
      </c>
      <c r="E737" s="418">
        <f>IF(AND(Attendance!E737&lt;&gt;"Friday", Attendance!C737&lt;&gt;""), B737, 0)</f>
        <v>0</v>
      </c>
      <c r="F737" s="420" t="str">
        <f>Attendance!B737</f>
        <v/>
      </c>
      <c r="G737" s="415" t="str">
        <f>Attendance!A737</f>
        <v/>
      </c>
      <c r="H737" s="420" t="str">
        <f>IFERROR(__xludf.DUMMYFUNCTION("REGEXREPLACE(F737, ""\d+$"", """")"),"")</f>
        <v/>
      </c>
    </row>
    <row r="738" ht="22.5" customHeight="1">
      <c r="A738" s="417" t="str">
        <f>VLOOKUP(F738, Employees!$A$2:$C957, 3, FALSE)</f>
        <v>#N/A</v>
      </c>
      <c r="B738" s="418">
        <f>100000 / (DAY(EOMONTH(Attendance!A738,0)) - 4)</f>
        <v>3703.703704</v>
      </c>
      <c r="C738" s="417" t="str">
        <f>MAX(0, Attendance!C738 - TIME(9, 0, 0)) * 24 * A738</f>
        <v>#N/A</v>
      </c>
      <c r="D738" s="419" t="str">
        <f>MAX(0, Attendance!D738 - TIME(18, 0, 0)) * 24 * 1.5 * A738</f>
        <v>#N/A</v>
      </c>
      <c r="E738" s="418">
        <f>IF(AND(Attendance!E738&lt;&gt;"Friday", Attendance!C738&lt;&gt;""), B738, 0)</f>
        <v>0</v>
      </c>
      <c r="F738" s="420" t="str">
        <f>Attendance!B738</f>
        <v/>
      </c>
      <c r="G738" s="415" t="str">
        <f>Attendance!A738</f>
        <v/>
      </c>
      <c r="H738" s="420" t="str">
        <f>IFERROR(__xludf.DUMMYFUNCTION("REGEXREPLACE(F738, ""\d+$"", """")"),"")</f>
        <v/>
      </c>
    </row>
    <row r="739" ht="22.5" customHeight="1">
      <c r="A739" s="417" t="str">
        <f>VLOOKUP(F739, Employees!$A$2:$C957, 3, FALSE)</f>
        <v>#N/A</v>
      </c>
      <c r="B739" s="418">
        <f>100000 / (DAY(EOMONTH(Attendance!A739,0)) - 4)</f>
        <v>3703.703704</v>
      </c>
      <c r="C739" s="417" t="str">
        <f>MAX(0, Attendance!C739 - TIME(9, 0, 0)) * 24 * A739</f>
        <v>#N/A</v>
      </c>
      <c r="D739" s="419" t="str">
        <f>MAX(0, Attendance!D739 - TIME(18, 0, 0)) * 24 * 1.5 * A739</f>
        <v>#N/A</v>
      </c>
      <c r="E739" s="418">
        <f>IF(AND(Attendance!E739&lt;&gt;"Friday", Attendance!C739&lt;&gt;""), B739, 0)</f>
        <v>0</v>
      </c>
      <c r="F739" s="420" t="str">
        <f>Attendance!B739</f>
        <v/>
      </c>
      <c r="G739" s="415" t="str">
        <f>Attendance!A739</f>
        <v/>
      </c>
      <c r="H739" s="420" t="str">
        <f>IFERROR(__xludf.DUMMYFUNCTION("REGEXREPLACE(F739, ""\d+$"", """")"),"")</f>
        <v/>
      </c>
    </row>
    <row r="740" ht="22.5" customHeight="1">
      <c r="A740" s="417" t="str">
        <f>VLOOKUP(F740, Employees!$A$2:$C957, 3, FALSE)</f>
        <v>#N/A</v>
      </c>
      <c r="B740" s="418">
        <f>100000 / (DAY(EOMONTH(Attendance!A740,0)) - 4)</f>
        <v>3703.703704</v>
      </c>
      <c r="C740" s="417" t="str">
        <f>MAX(0, Attendance!C740 - TIME(9, 0, 0)) * 24 * A740</f>
        <v>#N/A</v>
      </c>
      <c r="D740" s="419" t="str">
        <f>MAX(0, Attendance!D740 - TIME(18, 0, 0)) * 24 * 1.5 * A740</f>
        <v>#N/A</v>
      </c>
      <c r="E740" s="418">
        <f>IF(AND(Attendance!E740&lt;&gt;"Friday", Attendance!C740&lt;&gt;""), B740, 0)</f>
        <v>0</v>
      </c>
      <c r="F740" s="420" t="str">
        <f>Attendance!B740</f>
        <v/>
      </c>
      <c r="G740" s="415" t="str">
        <f>Attendance!A740</f>
        <v/>
      </c>
      <c r="H740" s="420" t="str">
        <f>IFERROR(__xludf.DUMMYFUNCTION("REGEXREPLACE(F740, ""\d+$"", """")"),"")</f>
        <v/>
      </c>
    </row>
    <row r="741" ht="22.5" customHeight="1">
      <c r="A741" s="417" t="str">
        <f>VLOOKUP(F741, Employees!$A$2:$C957, 3, FALSE)</f>
        <v>#N/A</v>
      </c>
      <c r="B741" s="418">
        <f>100000 / (DAY(EOMONTH(Attendance!A741,0)) - 4)</f>
        <v>3703.703704</v>
      </c>
      <c r="C741" s="417" t="str">
        <f>MAX(0, Attendance!C741 - TIME(9, 0, 0)) * 24 * A741</f>
        <v>#N/A</v>
      </c>
      <c r="D741" s="419" t="str">
        <f>MAX(0, Attendance!D741 - TIME(18, 0, 0)) * 24 * 1.5 * A741</f>
        <v>#N/A</v>
      </c>
      <c r="E741" s="418">
        <f>IF(AND(Attendance!E741&lt;&gt;"Friday", Attendance!C741&lt;&gt;""), B741, 0)</f>
        <v>0</v>
      </c>
      <c r="F741" s="420" t="str">
        <f>Attendance!B741</f>
        <v/>
      </c>
      <c r="G741" s="415" t="str">
        <f>Attendance!A741</f>
        <v/>
      </c>
      <c r="H741" s="420" t="str">
        <f>IFERROR(__xludf.DUMMYFUNCTION("REGEXREPLACE(F741, ""\d+$"", """")"),"")</f>
        <v/>
      </c>
    </row>
    <row r="742" ht="22.5" customHeight="1">
      <c r="A742" s="417" t="str">
        <f>VLOOKUP(F742, Employees!$A$2:$C957, 3, FALSE)</f>
        <v>#N/A</v>
      </c>
      <c r="B742" s="418">
        <f>100000 / (DAY(EOMONTH(Attendance!A742,0)) - 4)</f>
        <v>3703.703704</v>
      </c>
      <c r="C742" s="417" t="str">
        <f>MAX(0, Attendance!C742 - TIME(9, 0, 0)) * 24 * A742</f>
        <v>#N/A</v>
      </c>
      <c r="D742" s="419" t="str">
        <f>MAX(0, Attendance!D742 - TIME(18, 0, 0)) * 24 * 1.5 * A742</f>
        <v>#N/A</v>
      </c>
      <c r="E742" s="418">
        <f>IF(AND(Attendance!E742&lt;&gt;"Friday", Attendance!C742&lt;&gt;""), B742, 0)</f>
        <v>0</v>
      </c>
      <c r="F742" s="420" t="str">
        <f>Attendance!B742</f>
        <v/>
      </c>
      <c r="G742" s="415" t="str">
        <f>Attendance!A742</f>
        <v/>
      </c>
      <c r="H742" s="420" t="str">
        <f>IFERROR(__xludf.DUMMYFUNCTION("REGEXREPLACE(F742, ""\d+$"", """")"),"")</f>
        <v/>
      </c>
    </row>
    <row r="743" ht="22.5" customHeight="1">
      <c r="A743" s="417" t="str">
        <f>VLOOKUP(F743, Employees!$A$2:$C957, 3, FALSE)</f>
        <v>#N/A</v>
      </c>
      <c r="B743" s="418">
        <f>100000 / (DAY(EOMONTH(Attendance!A743,0)) - 4)</f>
        <v>3703.703704</v>
      </c>
      <c r="C743" s="417" t="str">
        <f>MAX(0, Attendance!C743 - TIME(9, 0, 0)) * 24 * A743</f>
        <v>#N/A</v>
      </c>
      <c r="D743" s="419" t="str">
        <f>MAX(0, Attendance!D743 - TIME(18, 0, 0)) * 24 * 1.5 * A743</f>
        <v>#N/A</v>
      </c>
      <c r="E743" s="418">
        <f>IF(AND(Attendance!E743&lt;&gt;"Friday", Attendance!C743&lt;&gt;""), B743, 0)</f>
        <v>0</v>
      </c>
      <c r="F743" s="420" t="str">
        <f>Attendance!B743</f>
        <v/>
      </c>
      <c r="G743" s="415" t="str">
        <f>Attendance!A743</f>
        <v/>
      </c>
      <c r="H743" s="420" t="str">
        <f>IFERROR(__xludf.DUMMYFUNCTION("REGEXREPLACE(F743, ""\d+$"", """")"),"")</f>
        <v/>
      </c>
    </row>
    <row r="744" ht="22.5" customHeight="1">
      <c r="A744" s="417" t="str">
        <f>VLOOKUP(F744, Employees!$A$2:$C957, 3, FALSE)</f>
        <v>#N/A</v>
      </c>
      <c r="B744" s="418">
        <f>100000 / (DAY(EOMONTH(Attendance!A744,0)) - 4)</f>
        <v>3703.703704</v>
      </c>
      <c r="C744" s="417" t="str">
        <f>MAX(0, Attendance!C744 - TIME(9, 0, 0)) * 24 * A744</f>
        <v>#N/A</v>
      </c>
      <c r="D744" s="419" t="str">
        <f>MAX(0, Attendance!D744 - TIME(18, 0, 0)) * 24 * 1.5 * A744</f>
        <v>#N/A</v>
      </c>
      <c r="E744" s="418">
        <f>IF(AND(Attendance!E744&lt;&gt;"Friday", Attendance!C744&lt;&gt;""), B744, 0)</f>
        <v>0</v>
      </c>
      <c r="F744" s="420" t="str">
        <f>Attendance!B744</f>
        <v/>
      </c>
      <c r="G744" s="415" t="str">
        <f>Attendance!A744</f>
        <v/>
      </c>
      <c r="H744" s="420" t="str">
        <f>IFERROR(__xludf.DUMMYFUNCTION("REGEXREPLACE(F744, ""\d+$"", """")"),"")</f>
        <v/>
      </c>
    </row>
    <row r="745" ht="22.5" customHeight="1">
      <c r="A745" s="417" t="str">
        <f>VLOOKUP(F745, Employees!$A$2:$C957, 3, FALSE)</f>
        <v>#N/A</v>
      </c>
      <c r="B745" s="418">
        <f>100000 / (DAY(EOMONTH(Attendance!A745,0)) - 4)</f>
        <v>3703.703704</v>
      </c>
      <c r="C745" s="417" t="str">
        <f>MAX(0, Attendance!C745 - TIME(9, 0, 0)) * 24 * A745</f>
        <v>#N/A</v>
      </c>
      <c r="D745" s="419" t="str">
        <f>MAX(0, Attendance!D745 - TIME(18, 0, 0)) * 24 * 1.5 * A745</f>
        <v>#N/A</v>
      </c>
      <c r="E745" s="418">
        <f>IF(AND(Attendance!E745&lt;&gt;"Friday", Attendance!C745&lt;&gt;""), B745, 0)</f>
        <v>0</v>
      </c>
      <c r="F745" s="420" t="str">
        <f>Attendance!B745</f>
        <v/>
      </c>
      <c r="G745" s="415" t="str">
        <f>Attendance!A745</f>
        <v/>
      </c>
      <c r="H745" s="420" t="str">
        <f>IFERROR(__xludf.DUMMYFUNCTION("REGEXREPLACE(F745, ""\d+$"", """")"),"")</f>
        <v/>
      </c>
    </row>
    <row r="746" ht="22.5" customHeight="1">
      <c r="A746" s="417" t="str">
        <f>VLOOKUP(F746, Employees!$A$2:$C957, 3, FALSE)</f>
        <v>#N/A</v>
      </c>
      <c r="B746" s="418">
        <f>100000 / (DAY(EOMONTH(Attendance!A746,0)) - 4)</f>
        <v>3703.703704</v>
      </c>
      <c r="C746" s="417" t="str">
        <f>MAX(0, Attendance!C746 - TIME(9, 0, 0)) * 24 * A746</f>
        <v>#N/A</v>
      </c>
      <c r="D746" s="419" t="str">
        <f>MAX(0, Attendance!D746 - TIME(18, 0, 0)) * 24 * 1.5 * A746</f>
        <v>#N/A</v>
      </c>
      <c r="E746" s="418">
        <f>IF(AND(Attendance!E746&lt;&gt;"Friday", Attendance!C746&lt;&gt;""), B746, 0)</f>
        <v>0</v>
      </c>
      <c r="F746" s="420" t="str">
        <f>Attendance!B746</f>
        <v/>
      </c>
      <c r="G746" s="415" t="str">
        <f>Attendance!A746</f>
        <v/>
      </c>
      <c r="H746" s="420" t="str">
        <f>IFERROR(__xludf.DUMMYFUNCTION("REGEXREPLACE(F746, ""\d+$"", """")"),"")</f>
        <v/>
      </c>
    </row>
    <row r="747" ht="22.5" customHeight="1">
      <c r="A747" s="417" t="str">
        <f>VLOOKUP(F747, Employees!$A$2:$C957, 3, FALSE)</f>
        <v>#N/A</v>
      </c>
      <c r="B747" s="418">
        <f>100000 / (DAY(EOMONTH(Attendance!A747,0)) - 4)</f>
        <v>3703.703704</v>
      </c>
      <c r="C747" s="417" t="str">
        <f>MAX(0, Attendance!C747 - TIME(9, 0, 0)) * 24 * A747</f>
        <v>#N/A</v>
      </c>
      <c r="D747" s="419" t="str">
        <f>MAX(0, Attendance!D747 - TIME(18, 0, 0)) * 24 * 1.5 * A747</f>
        <v>#N/A</v>
      </c>
      <c r="E747" s="418">
        <f>IF(AND(Attendance!E747&lt;&gt;"Friday", Attendance!C747&lt;&gt;""), B747, 0)</f>
        <v>0</v>
      </c>
      <c r="F747" s="420" t="str">
        <f>Attendance!B747</f>
        <v/>
      </c>
      <c r="G747" s="415" t="str">
        <f>Attendance!A747</f>
        <v/>
      </c>
      <c r="H747" s="420" t="str">
        <f>IFERROR(__xludf.DUMMYFUNCTION("REGEXREPLACE(F747, ""\d+$"", """")"),"")</f>
        <v/>
      </c>
    </row>
    <row r="748" ht="22.5" customHeight="1">
      <c r="A748" s="417" t="str">
        <f>VLOOKUP(F748, Employees!$A$2:$C957, 3, FALSE)</f>
        <v>#N/A</v>
      </c>
      <c r="B748" s="418">
        <f>100000 / (DAY(EOMONTH(Attendance!A748,0)) - 4)</f>
        <v>3703.703704</v>
      </c>
      <c r="C748" s="417" t="str">
        <f>MAX(0, Attendance!C748 - TIME(9, 0, 0)) * 24 * A748</f>
        <v>#N/A</v>
      </c>
      <c r="D748" s="419" t="str">
        <f>MAX(0, Attendance!D748 - TIME(18, 0, 0)) * 24 * 1.5 * A748</f>
        <v>#N/A</v>
      </c>
      <c r="E748" s="418">
        <f>IF(AND(Attendance!E748&lt;&gt;"Friday", Attendance!C748&lt;&gt;""), B748, 0)</f>
        <v>0</v>
      </c>
      <c r="F748" s="420" t="str">
        <f>Attendance!B748</f>
        <v/>
      </c>
      <c r="G748" s="415" t="str">
        <f>Attendance!A748</f>
        <v/>
      </c>
      <c r="H748" s="420" t="str">
        <f>IFERROR(__xludf.DUMMYFUNCTION("REGEXREPLACE(F748, ""\d+$"", """")"),"")</f>
        <v/>
      </c>
    </row>
    <row r="749" ht="22.5" customHeight="1">
      <c r="A749" s="417" t="str">
        <f>VLOOKUP(F749, Employees!$A$2:$C957, 3, FALSE)</f>
        <v>#N/A</v>
      </c>
      <c r="B749" s="418">
        <f>100000 / (DAY(EOMONTH(Attendance!A749,0)) - 4)</f>
        <v>3703.703704</v>
      </c>
      <c r="C749" s="417" t="str">
        <f>MAX(0, Attendance!C749 - TIME(9, 0, 0)) * 24 * A749</f>
        <v>#N/A</v>
      </c>
      <c r="D749" s="419" t="str">
        <f>MAX(0, Attendance!D749 - TIME(18, 0, 0)) * 24 * 1.5 * A749</f>
        <v>#N/A</v>
      </c>
      <c r="E749" s="418">
        <f>IF(AND(Attendance!E749&lt;&gt;"Friday", Attendance!C749&lt;&gt;""), B749, 0)</f>
        <v>0</v>
      </c>
      <c r="F749" s="420" t="str">
        <f>Attendance!B749</f>
        <v/>
      </c>
      <c r="G749" s="415" t="str">
        <f>Attendance!A749</f>
        <v/>
      </c>
      <c r="H749" s="420" t="str">
        <f>IFERROR(__xludf.DUMMYFUNCTION("REGEXREPLACE(F749, ""\d+$"", """")"),"")</f>
        <v/>
      </c>
    </row>
    <row r="750" ht="22.5" customHeight="1">
      <c r="A750" s="417" t="str">
        <f>VLOOKUP(F750, Employees!$A$2:$C957, 3, FALSE)</f>
        <v>#N/A</v>
      </c>
      <c r="B750" s="418">
        <f>100000 / (DAY(EOMONTH(Attendance!A750,0)) - 4)</f>
        <v>3703.703704</v>
      </c>
      <c r="C750" s="417" t="str">
        <f>MAX(0, Attendance!C750 - TIME(9, 0, 0)) * 24 * A750</f>
        <v>#N/A</v>
      </c>
      <c r="D750" s="419" t="str">
        <f>MAX(0, Attendance!D750 - TIME(18, 0, 0)) * 24 * 1.5 * A750</f>
        <v>#N/A</v>
      </c>
      <c r="E750" s="418">
        <f>IF(AND(Attendance!E750&lt;&gt;"Friday", Attendance!C750&lt;&gt;""), B750, 0)</f>
        <v>0</v>
      </c>
      <c r="F750" s="420" t="str">
        <f>Attendance!B750</f>
        <v/>
      </c>
      <c r="G750" s="415" t="str">
        <f>Attendance!A750</f>
        <v/>
      </c>
      <c r="H750" s="420" t="str">
        <f>IFERROR(__xludf.DUMMYFUNCTION("REGEXREPLACE(F750, ""\d+$"", """")"),"")</f>
        <v/>
      </c>
    </row>
    <row r="751" ht="22.5" customHeight="1">
      <c r="A751" s="417" t="str">
        <f>VLOOKUP(F751, Employees!$A$2:$C957, 3, FALSE)</f>
        <v>#N/A</v>
      </c>
      <c r="B751" s="418">
        <f>100000 / (DAY(EOMONTH(Attendance!A751,0)) - 4)</f>
        <v>3703.703704</v>
      </c>
      <c r="C751" s="417" t="str">
        <f>MAX(0, Attendance!C751 - TIME(9, 0, 0)) * 24 * A751</f>
        <v>#N/A</v>
      </c>
      <c r="D751" s="419" t="str">
        <f>MAX(0, Attendance!D751 - TIME(18, 0, 0)) * 24 * 1.5 * A751</f>
        <v>#N/A</v>
      </c>
      <c r="E751" s="418">
        <f>IF(AND(Attendance!E751&lt;&gt;"Friday", Attendance!C751&lt;&gt;""), B751, 0)</f>
        <v>0</v>
      </c>
      <c r="F751" s="420" t="str">
        <f>Attendance!B751</f>
        <v/>
      </c>
      <c r="G751" s="415" t="str">
        <f>Attendance!A751</f>
        <v/>
      </c>
      <c r="H751" s="420" t="str">
        <f>IFERROR(__xludf.DUMMYFUNCTION("REGEXREPLACE(F751, ""\d+$"", """")"),"")</f>
        <v/>
      </c>
    </row>
    <row r="752" ht="22.5" customHeight="1">
      <c r="A752" s="417" t="str">
        <f>VLOOKUP(F752, Employees!$A$2:$C957, 3, FALSE)</f>
        <v>#N/A</v>
      </c>
      <c r="B752" s="418">
        <f>100000 / (DAY(EOMONTH(Attendance!A752,0)) - 4)</f>
        <v>3703.703704</v>
      </c>
      <c r="C752" s="417" t="str">
        <f>MAX(0, Attendance!C752 - TIME(9, 0, 0)) * 24 * A752</f>
        <v>#N/A</v>
      </c>
      <c r="D752" s="419" t="str">
        <f>MAX(0, Attendance!D752 - TIME(18, 0, 0)) * 24 * 1.5 * A752</f>
        <v>#N/A</v>
      </c>
      <c r="E752" s="418">
        <f>IF(AND(Attendance!E752&lt;&gt;"Friday", Attendance!C752&lt;&gt;""), B752, 0)</f>
        <v>0</v>
      </c>
      <c r="F752" s="420" t="str">
        <f>Attendance!B752</f>
        <v/>
      </c>
      <c r="G752" s="415" t="str">
        <f>Attendance!A752</f>
        <v/>
      </c>
      <c r="H752" s="420" t="str">
        <f>IFERROR(__xludf.DUMMYFUNCTION("REGEXREPLACE(F752, ""\d+$"", """")"),"")</f>
        <v/>
      </c>
    </row>
    <row r="753" ht="22.5" customHeight="1">
      <c r="A753" s="417" t="str">
        <f>VLOOKUP(F753, Employees!$A$2:$C957, 3, FALSE)</f>
        <v>#N/A</v>
      </c>
      <c r="B753" s="418">
        <f>100000 / (DAY(EOMONTH(Attendance!A753,0)) - 4)</f>
        <v>3703.703704</v>
      </c>
      <c r="C753" s="417" t="str">
        <f>MAX(0, Attendance!C753 - TIME(9, 0, 0)) * 24 * A753</f>
        <v>#N/A</v>
      </c>
      <c r="D753" s="419" t="str">
        <f>MAX(0, Attendance!D753 - TIME(18, 0, 0)) * 24 * 1.5 * A753</f>
        <v>#N/A</v>
      </c>
      <c r="E753" s="418">
        <f>IF(AND(Attendance!E753&lt;&gt;"Friday", Attendance!C753&lt;&gt;""), B753, 0)</f>
        <v>0</v>
      </c>
      <c r="F753" s="420" t="str">
        <f>Attendance!B753</f>
        <v/>
      </c>
      <c r="G753" s="415" t="str">
        <f>Attendance!A753</f>
        <v/>
      </c>
      <c r="H753" s="420" t="str">
        <f>IFERROR(__xludf.DUMMYFUNCTION("REGEXREPLACE(F753, ""\d+$"", """")"),"")</f>
        <v/>
      </c>
    </row>
    <row r="754" ht="22.5" customHeight="1">
      <c r="A754" s="417" t="str">
        <f>VLOOKUP(F754, Employees!$A$2:$C957, 3, FALSE)</f>
        <v>#N/A</v>
      </c>
      <c r="B754" s="418">
        <f>100000 / (DAY(EOMONTH(Attendance!A754,0)) - 4)</f>
        <v>3703.703704</v>
      </c>
      <c r="C754" s="417" t="str">
        <f>MAX(0, Attendance!C754 - TIME(9, 0, 0)) * 24 * A754</f>
        <v>#N/A</v>
      </c>
      <c r="D754" s="419" t="str">
        <f>MAX(0, Attendance!D754 - TIME(18, 0, 0)) * 24 * 1.5 * A754</f>
        <v>#N/A</v>
      </c>
      <c r="E754" s="418">
        <f>IF(AND(Attendance!E754&lt;&gt;"Friday", Attendance!C754&lt;&gt;""), B754, 0)</f>
        <v>0</v>
      </c>
      <c r="F754" s="420" t="str">
        <f>Attendance!B754</f>
        <v/>
      </c>
      <c r="G754" s="415" t="str">
        <f>Attendance!A754</f>
        <v/>
      </c>
      <c r="H754" s="420" t="str">
        <f>IFERROR(__xludf.DUMMYFUNCTION("REGEXREPLACE(F754, ""\d+$"", """")"),"")</f>
        <v/>
      </c>
    </row>
    <row r="755" ht="22.5" customHeight="1">
      <c r="A755" s="417" t="str">
        <f>VLOOKUP(F755, Employees!$A$2:$C957, 3, FALSE)</f>
        <v>#N/A</v>
      </c>
      <c r="B755" s="418">
        <f>100000 / (DAY(EOMONTH(Attendance!A755,0)) - 4)</f>
        <v>3703.703704</v>
      </c>
      <c r="C755" s="417" t="str">
        <f>MAX(0, Attendance!C755 - TIME(9, 0, 0)) * 24 * A755</f>
        <v>#N/A</v>
      </c>
      <c r="D755" s="419" t="str">
        <f>MAX(0, Attendance!D755 - TIME(18, 0, 0)) * 24 * 1.5 * A755</f>
        <v>#N/A</v>
      </c>
      <c r="E755" s="418">
        <f>IF(AND(Attendance!E755&lt;&gt;"Friday", Attendance!C755&lt;&gt;""), B755, 0)</f>
        <v>0</v>
      </c>
      <c r="F755" s="420" t="str">
        <f>Attendance!B755</f>
        <v/>
      </c>
      <c r="G755" s="415" t="str">
        <f>Attendance!A755</f>
        <v/>
      </c>
      <c r="H755" s="420" t="str">
        <f>IFERROR(__xludf.DUMMYFUNCTION("REGEXREPLACE(F755, ""\d+$"", """")"),"")</f>
        <v/>
      </c>
    </row>
    <row r="756" ht="22.5" customHeight="1">
      <c r="A756" s="417" t="str">
        <f>VLOOKUP(F756, Employees!$A$2:$C957, 3, FALSE)</f>
        <v>#N/A</v>
      </c>
      <c r="B756" s="418">
        <f>100000 / (DAY(EOMONTH(Attendance!A756,0)) - 4)</f>
        <v>3703.703704</v>
      </c>
      <c r="C756" s="417" t="str">
        <f>MAX(0, Attendance!C756 - TIME(9, 0, 0)) * 24 * A756</f>
        <v>#N/A</v>
      </c>
      <c r="D756" s="419" t="str">
        <f>MAX(0, Attendance!D756 - TIME(18, 0, 0)) * 24 * 1.5 * A756</f>
        <v>#N/A</v>
      </c>
      <c r="E756" s="418">
        <f>IF(AND(Attendance!E756&lt;&gt;"Friday", Attendance!C756&lt;&gt;""), B756, 0)</f>
        <v>0</v>
      </c>
      <c r="F756" s="420" t="str">
        <f>Attendance!B756</f>
        <v/>
      </c>
      <c r="G756" s="415" t="str">
        <f>Attendance!A756</f>
        <v/>
      </c>
      <c r="H756" s="420" t="str">
        <f>IFERROR(__xludf.DUMMYFUNCTION("REGEXREPLACE(F756, ""\d+$"", """")"),"")</f>
        <v/>
      </c>
    </row>
    <row r="757" ht="22.5" customHeight="1">
      <c r="A757" s="417" t="str">
        <f>VLOOKUP(F757, Employees!$A$2:$C957, 3, FALSE)</f>
        <v>#N/A</v>
      </c>
      <c r="B757" s="418">
        <f>100000 / (DAY(EOMONTH(Attendance!A757,0)) - 4)</f>
        <v>3703.703704</v>
      </c>
      <c r="C757" s="417" t="str">
        <f>MAX(0, Attendance!C757 - TIME(9, 0, 0)) * 24 * A757</f>
        <v>#N/A</v>
      </c>
      <c r="D757" s="419" t="str">
        <f>MAX(0, Attendance!D757 - TIME(18, 0, 0)) * 24 * 1.5 * A757</f>
        <v>#N/A</v>
      </c>
      <c r="E757" s="418">
        <f>IF(AND(Attendance!E757&lt;&gt;"Friday", Attendance!C757&lt;&gt;""), B757, 0)</f>
        <v>0</v>
      </c>
      <c r="F757" s="420" t="str">
        <f>Attendance!B757</f>
        <v/>
      </c>
      <c r="G757" s="415" t="str">
        <f>Attendance!A757</f>
        <v/>
      </c>
      <c r="H757" s="420" t="str">
        <f>IFERROR(__xludf.DUMMYFUNCTION("REGEXREPLACE(F757, ""\d+$"", """")"),"")</f>
        <v/>
      </c>
    </row>
    <row r="758" ht="22.5" customHeight="1">
      <c r="A758" s="417" t="str">
        <f>VLOOKUP(F758, Employees!$A$2:$C957, 3, FALSE)</f>
        <v>#N/A</v>
      </c>
      <c r="B758" s="418">
        <f>100000 / (DAY(EOMONTH(Attendance!A758,0)) - 4)</f>
        <v>3703.703704</v>
      </c>
      <c r="C758" s="417" t="str">
        <f>MAX(0, Attendance!C758 - TIME(9, 0, 0)) * 24 * A758</f>
        <v>#N/A</v>
      </c>
      <c r="D758" s="419" t="str">
        <f>MAX(0, Attendance!D758 - TIME(18, 0, 0)) * 24 * 1.5 * A758</f>
        <v>#N/A</v>
      </c>
      <c r="E758" s="418">
        <f>IF(AND(Attendance!E758&lt;&gt;"Friday", Attendance!C758&lt;&gt;""), B758, 0)</f>
        <v>0</v>
      </c>
      <c r="F758" s="420" t="str">
        <f>Attendance!B758</f>
        <v/>
      </c>
      <c r="G758" s="415" t="str">
        <f>Attendance!A758</f>
        <v/>
      </c>
      <c r="H758" s="420" t="str">
        <f>IFERROR(__xludf.DUMMYFUNCTION("REGEXREPLACE(F758, ""\d+$"", """")"),"")</f>
        <v/>
      </c>
    </row>
    <row r="759" ht="22.5" customHeight="1">
      <c r="A759" s="417" t="str">
        <f>VLOOKUP(F759, Employees!$A$2:$C957, 3, FALSE)</f>
        <v>#N/A</v>
      </c>
      <c r="B759" s="418">
        <f>100000 / (DAY(EOMONTH(Attendance!A759,0)) - 4)</f>
        <v>3703.703704</v>
      </c>
      <c r="C759" s="417" t="str">
        <f>MAX(0, Attendance!C759 - TIME(9, 0, 0)) * 24 * A759</f>
        <v>#N/A</v>
      </c>
      <c r="D759" s="419" t="str">
        <f>MAX(0, Attendance!D759 - TIME(18, 0, 0)) * 24 * 1.5 * A759</f>
        <v>#N/A</v>
      </c>
      <c r="E759" s="418">
        <f>IF(AND(Attendance!E759&lt;&gt;"Friday", Attendance!C759&lt;&gt;""), B759, 0)</f>
        <v>0</v>
      </c>
      <c r="F759" s="420" t="str">
        <f>Attendance!B759</f>
        <v/>
      </c>
      <c r="G759" s="415" t="str">
        <f>Attendance!A759</f>
        <v/>
      </c>
      <c r="H759" s="420" t="str">
        <f>IFERROR(__xludf.DUMMYFUNCTION("REGEXREPLACE(F759, ""\d+$"", """")"),"")</f>
        <v/>
      </c>
    </row>
    <row r="760" ht="22.5" customHeight="1">
      <c r="A760" s="417" t="str">
        <f>VLOOKUP(F760, Employees!$A$2:$C957, 3, FALSE)</f>
        <v>#N/A</v>
      </c>
      <c r="B760" s="418">
        <f>100000 / (DAY(EOMONTH(Attendance!A760,0)) - 4)</f>
        <v>3703.703704</v>
      </c>
      <c r="C760" s="417" t="str">
        <f>MAX(0, Attendance!C760 - TIME(9, 0, 0)) * 24 * A760</f>
        <v>#N/A</v>
      </c>
      <c r="D760" s="419" t="str">
        <f>MAX(0, Attendance!D760 - TIME(18, 0, 0)) * 24 * 1.5 * A760</f>
        <v>#N/A</v>
      </c>
      <c r="E760" s="418">
        <f>IF(AND(Attendance!E760&lt;&gt;"Friday", Attendance!C760&lt;&gt;""), B760, 0)</f>
        <v>0</v>
      </c>
      <c r="F760" s="420" t="str">
        <f>Attendance!B760</f>
        <v/>
      </c>
      <c r="G760" s="415" t="str">
        <f>Attendance!A760</f>
        <v/>
      </c>
      <c r="H760" s="420" t="str">
        <f>IFERROR(__xludf.DUMMYFUNCTION("REGEXREPLACE(F760, ""\d+$"", """")"),"")</f>
        <v/>
      </c>
    </row>
    <row r="761" ht="22.5" customHeight="1">
      <c r="A761" s="417" t="str">
        <f>VLOOKUP(F761, Employees!$A$2:$C957, 3, FALSE)</f>
        <v>#N/A</v>
      </c>
      <c r="B761" s="418">
        <f>100000 / (DAY(EOMONTH(Attendance!A761,0)) - 4)</f>
        <v>3703.703704</v>
      </c>
      <c r="C761" s="417" t="str">
        <f>MAX(0, Attendance!C761 - TIME(9, 0, 0)) * 24 * A761</f>
        <v>#N/A</v>
      </c>
      <c r="D761" s="419" t="str">
        <f>MAX(0, Attendance!D761 - TIME(18, 0, 0)) * 24 * 1.5 * A761</f>
        <v>#N/A</v>
      </c>
      <c r="E761" s="418">
        <f>IF(AND(Attendance!E761&lt;&gt;"Friday", Attendance!C761&lt;&gt;""), B761, 0)</f>
        <v>0</v>
      </c>
      <c r="F761" s="420" t="str">
        <f>Attendance!B761</f>
        <v/>
      </c>
      <c r="G761" s="415" t="str">
        <f>Attendance!A761</f>
        <v/>
      </c>
      <c r="H761" s="420" t="str">
        <f>IFERROR(__xludf.DUMMYFUNCTION("REGEXREPLACE(F761, ""\d+$"", """")"),"")</f>
        <v/>
      </c>
    </row>
    <row r="762" ht="22.5" customHeight="1">
      <c r="A762" s="417" t="str">
        <f>VLOOKUP(F762, Employees!$A$2:$C957, 3, FALSE)</f>
        <v>#N/A</v>
      </c>
      <c r="B762" s="418">
        <f>100000 / (DAY(EOMONTH(Attendance!A762,0)) - 4)</f>
        <v>3703.703704</v>
      </c>
      <c r="C762" s="417" t="str">
        <f>MAX(0, Attendance!C762 - TIME(9, 0, 0)) * 24 * A762</f>
        <v>#N/A</v>
      </c>
      <c r="D762" s="419" t="str">
        <f>MAX(0, Attendance!D762 - TIME(18, 0, 0)) * 24 * 1.5 * A762</f>
        <v>#N/A</v>
      </c>
      <c r="E762" s="418">
        <f>IF(AND(Attendance!E762&lt;&gt;"Friday", Attendance!C762&lt;&gt;""), B762, 0)</f>
        <v>0</v>
      </c>
      <c r="F762" s="420" t="str">
        <f>Attendance!B762</f>
        <v/>
      </c>
      <c r="G762" s="415" t="str">
        <f>Attendance!A762</f>
        <v/>
      </c>
      <c r="H762" s="420" t="str">
        <f>IFERROR(__xludf.DUMMYFUNCTION("REGEXREPLACE(F762, ""\d+$"", """")"),"")</f>
        <v/>
      </c>
    </row>
    <row r="763" ht="22.5" customHeight="1">
      <c r="A763" s="417" t="str">
        <f>VLOOKUP(F763, Employees!$A$2:$C957, 3, FALSE)</f>
        <v>#N/A</v>
      </c>
      <c r="B763" s="418">
        <f>100000 / (DAY(EOMONTH(Attendance!A763,0)) - 4)</f>
        <v>3703.703704</v>
      </c>
      <c r="C763" s="417" t="str">
        <f>MAX(0, Attendance!C763 - TIME(9, 0, 0)) * 24 * A763</f>
        <v>#N/A</v>
      </c>
      <c r="D763" s="419" t="str">
        <f>MAX(0, Attendance!D763 - TIME(18, 0, 0)) * 24 * 1.5 * A763</f>
        <v>#N/A</v>
      </c>
      <c r="E763" s="418">
        <f>IF(AND(Attendance!E763&lt;&gt;"Friday", Attendance!C763&lt;&gt;""), B763, 0)</f>
        <v>0</v>
      </c>
      <c r="F763" s="420" t="str">
        <f>Attendance!B763</f>
        <v/>
      </c>
      <c r="G763" s="415" t="str">
        <f>Attendance!A763</f>
        <v/>
      </c>
      <c r="H763" s="420" t="str">
        <f>IFERROR(__xludf.DUMMYFUNCTION("REGEXREPLACE(F763, ""\d+$"", """")"),"")</f>
        <v/>
      </c>
    </row>
    <row r="764" ht="22.5" customHeight="1">
      <c r="A764" s="417" t="str">
        <f>VLOOKUP(F764, Employees!$A$2:$C957, 3, FALSE)</f>
        <v>#N/A</v>
      </c>
      <c r="B764" s="418">
        <f>100000 / (DAY(EOMONTH(Attendance!A764,0)) - 4)</f>
        <v>3703.703704</v>
      </c>
      <c r="C764" s="417" t="str">
        <f>MAX(0, Attendance!C764 - TIME(9, 0, 0)) * 24 * A764</f>
        <v>#N/A</v>
      </c>
      <c r="D764" s="419" t="str">
        <f>MAX(0, Attendance!D764 - TIME(18, 0, 0)) * 24 * 1.5 * A764</f>
        <v>#N/A</v>
      </c>
      <c r="E764" s="418">
        <f>IF(AND(Attendance!E764&lt;&gt;"Friday", Attendance!C764&lt;&gt;""), B764, 0)</f>
        <v>0</v>
      </c>
      <c r="F764" s="420" t="str">
        <f>Attendance!B764</f>
        <v/>
      </c>
      <c r="G764" s="415" t="str">
        <f>Attendance!A764</f>
        <v/>
      </c>
      <c r="H764" s="420" t="str">
        <f>IFERROR(__xludf.DUMMYFUNCTION("REGEXREPLACE(F764, ""\d+$"", """")"),"")</f>
        <v/>
      </c>
    </row>
    <row r="765" ht="22.5" customHeight="1">
      <c r="A765" s="417" t="str">
        <f>VLOOKUP(F765, Employees!$A$2:$C957, 3, FALSE)</f>
        <v>#N/A</v>
      </c>
      <c r="B765" s="418">
        <f>100000 / (DAY(EOMONTH(Attendance!A765,0)) - 4)</f>
        <v>3703.703704</v>
      </c>
      <c r="C765" s="417" t="str">
        <f>MAX(0, Attendance!C765 - TIME(9, 0, 0)) * 24 * A765</f>
        <v>#N/A</v>
      </c>
      <c r="D765" s="419" t="str">
        <f>MAX(0, Attendance!D765 - TIME(18, 0, 0)) * 24 * 1.5 * A765</f>
        <v>#N/A</v>
      </c>
      <c r="E765" s="418">
        <f>IF(AND(Attendance!E765&lt;&gt;"Friday", Attendance!C765&lt;&gt;""), B765, 0)</f>
        <v>0</v>
      </c>
      <c r="F765" s="420" t="str">
        <f>Attendance!B765</f>
        <v/>
      </c>
      <c r="G765" s="415" t="str">
        <f>Attendance!A765</f>
        <v/>
      </c>
      <c r="H765" s="420" t="str">
        <f>IFERROR(__xludf.DUMMYFUNCTION("REGEXREPLACE(F765, ""\d+$"", """")"),"")</f>
        <v/>
      </c>
    </row>
    <row r="766" ht="22.5" customHeight="1">
      <c r="A766" s="417" t="str">
        <f>VLOOKUP(F766, Employees!$A$2:$C957, 3, FALSE)</f>
        <v>#N/A</v>
      </c>
      <c r="B766" s="418">
        <f>100000 / (DAY(EOMONTH(Attendance!A766,0)) - 4)</f>
        <v>3703.703704</v>
      </c>
      <c r="C766" s="417" t="str">
        <f>MAX(0, Attendance!C766 - TIME(9, 0, 0)) * 24 * A766</f>
        <v>#N/A</v>
      </c>
      <c r="D766" s="419" t="str">
        <f>MAX(0, Attendance!D766 - TIME(18, 0, 0)) * 24 * 1.5 * A766</f>
        <v>#N/A</v>
      </c>
      <c r="E766" s="418">
        <f>IF(AND(Attendance!E766&lt;&gt;"Friday", Attendance!C766&lt;&gt;""), B766, 0)</f>
        <v>0</v>
      </c>
      <c r="F766" s="420" t="str">
        <f>Attendance!B766</f>
        <v/>
      </c>
      <c r="G766" s="415" t="str">
        <f>Attendance!A766</f>
        <v/>
      </c>
      <c r="H766" s="420" t="str">
        <f>IFERROR(__xludf.DUMMYFUNCTION("REGEXREPLACE(F766, ""\d+$"", """")"),"")</f>
        <v/>
      </c>
    </row>
    <row r="767" ht="22.5" customHeight="1">
      <c r="A767" s="417" t="str">
        <f>VLOOKUP(F767, Employees!$A$2:$C957, 3, FALSE)</f>
        <v>#N/A</v>
      </c>
      <c r="B767" s="418">
        <f>100000 / (DAY(EOMONTH(Attendance!A767,0)) - 4)</f>
        <v>3703.703704</v>
      </c>
      <c r="C767" s="417" t="str">
        <f>MAX(0, Attendance!C767 - TIME(9, 0, 0)) * 24 * A767</f>
        <v>#N/A</v>
      </c>
      <c r="D767" s="419" t="str">
        <f>MAX(0, Attendance!D767 - TIME(18, 0, 0)) * 24 * 1.5 * A767</f>
        <v>#N/A</v>
      </c>
      <c r="E767" s="418">
        <f>IF(AND(Attendance!E767&lt;&gt;"Friday", Attendance!C767&lt;&gt;""), B767, 0)</f>
        <v>0</v>
      </c>
      <c r="F767" s="420" t="str">
        <f>Attendance!B767</f>
        <v/>
      </c>
      <c r="G767" s="415" t="str">
        <f>Attendance!A767</f>
        <v/>
      </c>
      <c r="H767" s="420" t="str">
        <f>IFERROR(__xludf.DUMMYFUNCTION("REGEXREPLACE(F767, ""\d+$"", """")"),"")</f>
        <v/>
      </c>
    </row>
    <row r="768" ht="22.5" customHeight="1">
      <c r="A768" s="417" t="str">
        <f>VLOOKUP(F768, Employees!$A$2:$C957, 3, FALSE)</f>
        <v>#N/A</v>
      </c>
      <c r="B768" s="418">
        <f>100000 / (DAY(EOMONTH(Attendance!A768,0)) - 4)</f>
        <v>3703.703704</v>
      </c>
      <c r="C768" s="417" t="str">
        <f>MAX(0, Attendance!C768 - TIME(9, 0, 0)) * 24 * A768</f>
        <v>#N/A</v>
      </c>
      <c r="D768" s="419" t="str">
        <f>MAX(0, Attendance!D768 - TIME(18, 0, 0)) * 24 * 1.5 * A768</f>
        <v>#N/A</v>
      </c>
      <c r="E768" s="418">
        <f>IF(AND(Attendance!E768&lt;&gt;"Friday", Attendance!C768&lt;&gt;""), B768, 0)</f>
        <v>0</v>
      </c>
      <c r="F768" s="420" t="str">
        <f>Attendance!B768</f>
        <v/>
      </c>
      <c r="G768" s="415" t="str">
        <f>Attendance!A768</f>
        <v/>
      </c>
      <c r="H768" s="420" t="str">
        <f>IFERROR(__xludf.DUMMYFUNCTION("REGEXREPLACE(F768, ""\d+$"", """")"),"")</f>
        <v/>
      </c>
    </row>
    <row r="769" ht="22.5" customHeight="1">
      <c r="A769" s="417" t="str">
        <f>VLOOKUP(F769, Employees!$A$2:$C957, 3, FALSE)</f>
        <v>#N/A</v>
      </c>
      <c r="B769" s="418">
        <f>100000 / (DAY(EOMONTH(Attendance!A769,0)) - 4)</f>
        <v>3703.703704</v>
      </c>
      <c r="C769" s="417" t="str">
        <f>MAX(0, Attendance!C769 - TIME(9, 0, 0)) * 24 * A769</f>
        <v>#N/A</v>
      </c>
      <c r="D769" s="419" t="str">
        <f>MAX(0, Attendance!D769 - TIME(18, 0, 0)) * 24 * 1.5 * A769</f>
        <v>#N/A</v>
      </c>
      <c r="E769" s="418">
        <f>IF(AND(Attendance!E769&lt;&gt;"Friday", Attendance!C769&lt;&gt;""), B769, 0)</f>
        <v>0</v>
      </c>
      <c r="F769" s="420" t="str">
        <f>Attendance!B769</f>
        <v/>
      </c>
      <c r="G769" s="415" t="str">
        <f>Attendance!A769</f>
        <v/>
      </c>
      <c r="H769" s="420" t="str">
        <f>IFERROR(__xludf.DUMMYFUNCTION("REGEXREPLACE(F769, ""\d+$"", """")"),"")</f>
        <v/>
      </c>
    </row>
    <row r="770" ht="22.5" customHeight="1">
      <c r="A770" s="417" t="str">
        <f>VLOOKUP(F770, Employees!$A$2:$C957, 3, FALSE)</f>
        <v>#N/A</v>
      </c>
      <c r="B770" s="418">
        <f>100000 / (DAY(EOMONTH(Attendance!A770,0)) - 4)</f>
        <v>3703.703704</v>
      </c>
      <c r="C770" s="417" t="str">
        <f>MAX(0, Attendance!C770 - TIME(9, 0, 0)) * 24 * A770</f>
        <v>#N/A</v>
      </c>
      <c r="D770" s="419" t="str">
        <f>MAX(0, Attendance!D770 - TIME(18, 0, 0)) * 24 * 1.5 * A770</f>
        <v>#N/A</v>
      </c>
      <c r="E770" s="418">
        <f>IF(AND(Attendance!E770&lt;&gt;"Friday", Attendance!C770&lt;&gt;""), B770, 0)</f>
        <v>0</v>
      </c>
      <c r="F770" s="420" t="str">
        <f>Attendance!B770</f>
        <v/>
      </c>
      <c r="G770" s="415" t="str">
        <f>Attendance!A770</f>
        <v/>
      </c>
      <c r="H770" s="420" t="str">
        <f>IFERROR(__xludf.DUMMYFUNCTION("REGEXREPLACE(F770, ""\d+$"", """")"),"")</f>
        <v/>
      </c>
    </row>
    <row r="771" ht="22.5" customHeight="1">
      <c r="A771" s="417" t="str">
        <f>VLOOKUP(F771, Employees!$A$2:$C957, 3, FALSE)</f>
        <v>#N/A</v>
      </c>
      <c r="B771" s="418">
        <f>100000 / (DAY(EOMONTH(Attendance!A771,0)) - 4)</f>
        <v>3703.703704</v>
      </c>
      <c r="C771" s="417" t="str">
        <f>MAX(0, Attendance!C771 - TIME(9, 0, 0)) * 24 * A771</f>
        <v>#N/A</v>
      </c>
      <c r="D771" s="419" t="str">
        <f>MAX(0, Attendance!D771 - TIME(18, 0, 0)) * 24 * 1.5 * A771</f>
        <v>#N/A</v>
      </c>
      <c r="E771" s="418">
        <f>IF(AND(Attendance!E771&lt;&gt;"Friday", Attendance!C771&lt;&gt;""), B771, 0)</f>
        <v>0</v>
      </c>
      <c r="F771" s="420" t="str">
        <f>Attendance!B771</f>
        <v/>
      </c>
      <c r="G771" s="415" t="str">
        <f>Attendance!A771</f>
        <v/>
      </c>
      <c r="H771" s="420" t="str">
        <f>IFERROR(__xludf.DUMMYFUNCTION("REGEXREPLACE(F771, ""\d+$"", """")"),"")</f>
        <v/>
      </c>
    </row>
    <row r="772" ht="22.5" customHeight="1">
      <c r="A772" s="417" t="str">
        <f>VLOOKUP(F772, Employees!$A$2:$C957, 3, FALSE)</f>
        <v>#N/A</v>
      </c>
      <c r="B772" s="418">
        <f>100000 / (DAY(EOMONTH(Attendance!A772,0)) - 4)</f>
        <v>3703.703704</v>
      </c>
      <c r="C772" s="417" t="str">
        <f>MAX(0, Attendance!C772 - TIME(9, 0, 0)) * 24 * A772</f>
        <v>#N/A</v>
      </c>
      <c r="D772" s="419" t="str">
        <f>MAX(0, Attendance!D772 - TIME(18, 0, 0)) * 24 * 1.5 * A772</f>
        <v>#N/A</v>
      </c>
      <c r="E772" s="418">
        <f>IF(AND(Attendance!E772&lt;&gt;"Friday", Attendance!C772&lt;&gt;""), B772, 0)</f>
        <v>0</v>
      </c>
      <c r="F772" s="420" t="str">
        <f>Attendance!B772</f>
        <v/>
      </c>
      <c r="G772" s="415" t="str">
        <f>Attendance!A772</f>
        <v/>
      </c>
      <c r="H772" s="420" t="str">
        <f>IFERROR(__xludf.DUMMYFUNCTION("REGEXREPLACE(F772, ""\d+$"", """")"),"")</f>
        <v/>
      </c>
    </row>
    <row r="773" ht="22.5" customHeight="1">
      <c r="A773" s="417" t="str">
        <f>VLOOKUP(F773, Employees!$A$2:$C957, 3, FALSE)</f>
        <v>#N/A</v>
      </c>
      <c r="B773" s="418">
        <f>100000 / (DAY(EOMONTH(Attendance!A773,0)) - 4)</f>
        <v>3703.703704</v>
      </c>
      <c r="C773" s="417" t="str">
        <f>MAX(0, Attendance!C773 - TIME(9, 0, 0)) * 24 * A773</f>
        <v>#N/A</v>
      </c>
      <c r="D773" s="419" t="str">
        <f>MAX(0, Attendance!D773 - TIME(18, 0, 0)) * 24 * 1.5 * A773</f>
        <v>#N/A</v>
      </c>
      <c r="E773" s="418">
        <f>IF(AND(Attendance!E773&lt;&gt;"Friday", Attendance!C773&lt;&gt;""), B773, 0)</f>
        <v>0</v>
      </c>
      <c r="F773" s="420" t="str">
        <f>Attendance!B773</f>
        <v/>
      </c>
      <c r="G773" s="415" t="str">
        <f>Attendance!A773</f>
        <v/>
      </c>
      <c r="H773" s="420" t="str">
        <f>IFERROR(__xludf.DUMMYFUNCTION("REGEXREPLACE(F773, ""\d+$"", """")"),"")</f>
        <v/>
      </c>
    </row>
    <row r="774" ht="22.5" customHeight="1">
      <c r="A774" s="417" t="str">
        <f>VLOOKUP(F774, Employees!$A$2:$C957, 3, FALSE)</f>
        <v>#N/A</v>
      </c>
      <c r="B774" s="418">
        <f>100000 / (DAY(EOMONTH(Attendance!A774,0)) - 4)</f>
        <v>3703.703704</v>
      </c>
      <c r="C774" s="417" t="str">
        <f>MAX(0, Attendance!C774 - TIME(9, 0, 0)) * 24 * A774</f>
        <v>#N/A</v>
      </c>
      <c r="D774" s="419" t="str">
        <f>MAX(0, Attendance!D774 - TIME(18, 0, 0)) * 24 * 1.5 * A774</f>
        <v>#N/A</v>
      </c>
      <c r="E774" s="418">
        <f>IF(AND(Attendance!E774&lt;&gt;"Friday", Attendance!C774&lt;&gt;""), B774, 0)</f>
        <v>0</v>
      </c>
      <c r="F774" s="420" t="str">
        <f>Attendance!B774</f>
        <v/>
      </c>
      <c r="G774" s="415" t="str">
        <f>Attendance!A774</f>
        <v/>
      </c>
      <c r="H774" s="420" t="str">
        <f>IFERROR(__xludf.DUMMYFUNCTION("REGEXREPLACE(F774, ""\d+$"", """")"),"")</f>
        <v/>
      </c>
    </row>
    <row r="775" ht="22.5" customHeight="1">
      <c r="A775" s="417" t="str">
        <f>VLOOKUP(F775, Employees!$A$2:$C957, 3, FALSE)</f>
        <v>#N/A</v>
      </c>
      <c r="B775" s="418">
        <f>100000 / (DAY(EOMONTH(Attendance!A775,0)) - 4)</f>
        <v>3703.703704</v>
      </c>
      <c r="C775" s="417" t="str">
        <f>MAX(0, Attendance!C775 - TIME(9, 0, 0)) * 24 * A775</f>
        <v>#N/A</v>
      </c>
      <c r="D775" s="419" t="str">
        <f>MAX(0, Attendance!D775 - TIME(18, 0, 0)) * 24 * 1.5 * A775</f>
        <v>#N/A</v>
      </c>
      <c r="E775" s="418">
        <f>IF(AND(Attendance!E775&lt;&gt;"Friday", Attendance!C775&lt;&gt;""), B775, 0)</f>
        <v>0</v>
      </c>
      <c r="F775" s="420" t="str">
        <f>Attendance!B775</f>
        <v/>
      </c>
      <c r="G775" s="415" t="str">
        <f>Attendance!A775</f>
        <v/>
      </c>
      <c r="H775" s="420" t="str">
        <f>IFERROR(__xludf.DUMMYFUNCTION("REGEXREPLACE(F775, ""\d+$"", """")"),"")</f>
        <v/>
      </c>
    </row>
    <row r="776" ht="22.5" customHeight="1">
      <c r="A776" s="417" t="str">
        <f>VLOOKUP(F776, Employees!$A$2:$C957, 3, FALSE)</f>
        <v>#N/A</v>
      </c>
      <c r="B776" s="418">
        <f>100000 / (DAY(EOMONTH(Attendance!A776,0)) - 4)</f>
        <v>3703.703704</v>
      </c>
      <c r="C776" s="417" t="str">
        <f>MAX(0, Attendance!C776 - TIME(9, 0, 0)) * 24 * A776</f>
        <v>#N/A</v>
      </c>
      <c r="D776" s="419" t="str">
        <f>MAX(0, Attendance!D776 - TIME(18, 0, 0)) * 24 * 1.5 * A776</f>
        <v>#N/A</v>
      </c>
      <c r="E776" s="418">
        <f>IF(AND(Attendance!E776&lt;&gt;"Friday", Attendance!C776&lt;&gt;""), B776, 0)</f>
        <v>0</v>
      </c>
      <c r="F776" s="420" t="str">
        <f>Attendance!B776</f>
        <v/>
      </c>
      <c r="G776" s="415" t="str">
        <f>Attendance!A776</f>
        <v/>
      </c>
      <c r="H776" s="420" t="str">
        <f>IFERROR(__xludf.DUMMYFUNCTION("REGEXREPLACE(F776, ""\d+$"", """")"),"")</f>
        <v/>
      </c>
    </row>
    <row r="777" ht="22.5" customHeight="1">
      <c r="A777" s="417" t="str">
        <f>VLOOKUP(F777, Employees!$A$2:$C957, 3, FALSE)</f>
        <v>#N/A</v>
      </c>
      <c r="B777" s="418">
        <f>100000 / (DAY(EOMONTH(Attendance!A777,0)) - 4)</f>
        <v>3703.703704</v>
      </c>
      <c r="C777" s="417" t="str">
        <f>MAX(0, Attendance!C777 - TIME(9, 0, 0)) * 24 * A777</f>
        <v>#N/A</v>
      </c>
      <c r="D777" s="419" t="str">
        <f>MAX(0, Attendance!D777 - TIME(18, 0, 0)) * 24 * 1.5 * A777</f>
        <v>#N/A</v>
      </c>
      <c r="E777" s="418">
        <f>IF(AND(Attendance!E777&lt;&gt;"Friday", Attendance!C777&lt;&gt;""), B777, 0)</f>
        <v>0</v>
      </c>
      <c r="F777" s="420" t="str">
        <f>Attendance!B777</f>
        <v/>
      </c>
      <c r="G777" s="415" t="str">
        <f>Attendance!A777</f>
        <v/>
      </c>
      <c r="H777" s="420" t="str">
        <f>IFERROR(__xludf.DUMMYFUNCTION("REGEXREPLACE(F777, ""\d+$"", """")"),"")</f>
        <v/>
      </c>
    </row>
    <row r="778" ht="22.5" customHeight="1">
      <c r="A778" s="417" t="str">
        <f>VLOOKUP(F778, Employees!$A$2:$C957, 3, FALSE)</f>
        <v>#N/A</v>
      </c>
      <c r="B778" s="418">
        <f>100000 / (DAY(EOMONTH(Attendance!A778,0)) - 4)</f>
        <v>3703.703704</v>
      </c>
      <c r="C778" s="417" t="str">
        <f>MAX(0, Attendance!C778 - TIME(9, 0, 0)) * 24 * A778</f>
        <v>#N/A</v>
      </c>
      <c r="D778" s="419" t="str">
        <f>MAX(0, Attendance!D778 - TIME(18, 0, 0)) * 24 * 1.5 * A778</f>
        <v>#N/A</v>
      </c>
      <c r="E778" s="418">
        <f>IF(AND(Attendance!E778&lt;&gt;"Friday", Attendance!C778&lt;&gt;""), B778, 0)</f>
        <v>0</v>
      </c>
      <c r="F778" s="420" t="str">
        <f>Attendance!B778</f>
        <v/>
      </c>
      <c r="G778" s="415" t="str">
        <f>Attendance!A778</f>
        <v/>
      </c>
      <c r="H778" s="420" t="str">
        <f>IFERROR(__xludf.DUMMYFUNCTION("REGEXREPLACE(F778, ""\d+$"", """")"),"")</f>
        <v/>
      </c>
    </row>
    <row r="779" ht="22.5" customHeight="1">
      <c r="A779" s="417" t="str">
        <f>VLOOKUP(F779, Employees!$A$2:$C957, 3, FALSE)</f>
        <v>#N/A</v>
      </c>
      <c r="B779" s="418">
        <f>100000 / (DAY(EOMONTH(Attendance!A779,0)) - 4)</f>
        <v>3703.703704</v>
      </c>
      <c r="C779" s="417" t="str">
        <f>MAX(0, Attendance!C779 - TIME(9, 0, 0)) * 24 * A779</f>
        <v>#N/A</v>
      </c>
      <c r="D779" s="419" t="str">
        <f>MAX(0, Attendance!D779 - TIME(18, 0, 0)) * 24 * 1.5 * A779</f>
        <v>#N/A</v>
      </c>
      <c r="E779" s="418">
        <f>IF(AND(Attendance!E779&lt;&gt;"Friday", Attendance!C779&lt;&gt;""), B779, 0)</f>
        <v>0</v>
      </c>
      <c r="F779" s="420" t="str">
        <f>Attendance!B779</f>
        <v/>
      </c>
      <c r="G779" s="415" t="str">
        <f>Attendance!A779</f>
        <v/>
      </c>
      <c r="H779" s="420" t="str">
        <f>IFERROR(__xludf.DUMMYFUNCTION("REGEXREPLACE(F779, ""\d+$"", """")"),"")</f>
        <v/>
      </c>
    </row>
    <row r="780" ht="22.5" customHeight="1">
      <c r="A780" s="417" t="str">
        <f>VLOOKUP(F780, Employees!$A$2:$C957, 3, FALSE)</f>
        <v>#N/A</v>
      </c>
      <c r="B780" s="418">
        <f>100000 / (DAY(EOMONTH(Attendance!A780,0)) - 4)</f>
        <v>3703.703704</v>
      </c>
      <c r="C780" s="417" t="str">
        <f>MAX(0, Attendance!C780 - TIME(9, 0, 0)) * 24 * A780</f>
        <v>#N/A</v>
      </c>
      <c r="D780" s="419" t="str">
        <f>MAX(0, Attendance!D780 - TIME(18, 0, 0)) * 24 * 1.5 * A780</f>
        <v>#N/A</v>
      </c>
      <c r="E780" s="418">
        <f>IF(AND(Attendance!E780&lt;&gt;"Friday", Attendance!C780&lt;&gt;""), B780, 0)</f>
        <v>0</v>
      </c>
      <c r="F780" s="420" t="str">
        <f>Attendance!B780</f>
        <v/>
      </c>
      <c r="G780" s="415" t="str">
        <f>Attendance!A780</f>
        <v/>
      </c>
      <c r="H780" s="420" t="str">
        <f>IFERROR(__xludf.DUMMYFUNCTION("REGEXREPLACE(F780, ""\d+$"", """")"),"")</f>
        <v/>
      </c>
    </row>
    <row r="781" ht="22.5" customHeight="1">
      <c r="A781" s="417" t="str">
        <f>VLOOKUP(F781, Employees!$A$2:$C957, 3, FALSE)</f>
        <v>#N/A</v>
      </c>
      <c r="B781" s="418">
        <f>100000 / (DAY(EOMONTH(Attendance!A781,0)) - 4)</f>
        <v>3703.703704</v>
      </c>
      <c r="C781" s="417" t="str">
        <f>MAX(0, Attendance!C781 - TIME(9, 0, 0)) * 24 * A781</f>
        <v>#N/A</v>
      </c>
      <c r="D781" s="419" t="str">
        <f>MAX(0, Attendance!D781 - TIME(18, 0, 0)) * 24 * 1.5 * A781</f>
        <v>#N/A</v>
      </c>
      <c r="E781" s="418">
        <f>IF(AND(Attendance!E781&lt;&gt;"Friday", Attendance!C781&lt;&gt;""), B781, 0)</f>
        <v>0</v>
      </c>
      <c r="F781" s="420" t="str">
        <f>Attendance!B781</f>
        <v/>
      </c>
      <c r="G781" s="415" t="str">
        <f>Attendance!A781</f>
        <v/>
      </c>
      <c r="H781" s="420" t="str">
        <f>IFERROR(__xludf.DUMMYFUNCTION("REGEXREPLACE(F781, ""\d+$"", """")"),"")</f>
        <v/>
      </c>
    </row>
    <row r="782" ht="22.5" customHeight="1">
      <c r="A782" s="417" t="str">
        <f>VLOOKUP(F782, Employees!$A$2:$C957, 3, FALSE)</f>
        <v>#N/A</v>
      </c>
      <c r="B782" s="418">
        <f>100000 / (DAY(EOMONTH(Attendance!A782,0)) - 4)</f>
        <v>3703.703704</v>
      </c>
      <c r="C782" s="417" t="str">
        <f>MAX(0, Attendance!C782 - TIME(9, 0, 0)) * 24 * A782</f>
        <v>#N/A</v>
      </c>
      <c r="D782" s="419" t="str">
        <f>MAX(0, Attendance!D782 - TIME(18, 0, 0)) * 24 * 1.5 * A782</f>
        <v>#N/A</v>
      </c>
      <c r="E782" s="418">
        <f>IF(AND(Attendance!E782&lt;&gt;"Friday", Attendance!C782&lt;&gt;""), B782, 0)</f>
        <v>0</v>
      </c>
      <c r="F782" s="420" t="str">
        <f>Attendance!B782</f>
        <v/>
      </c>
      <c r="G782" s="415" t="str">
        <f>Attendance!A782</f>
        <v/>
      </c>
      <c r="H782" s="420" t="str">
        <f>IFERROR(__xludf.DUMMYFUNCTION("REGEXREPLACE(F782, ""\d+$"", """")"),"")</f>
        <v/>
      </c>
    </row>
    <row r="783" ht="22.5" customHeight="1">
      <c r="A783" s="417" t="str">
        <f>VLOOKUP(F783, Employees!$A$2:$C957, 3, FALSE)</f>
        <v>#N/A</v>
      </c>
      <c r="B783" s="418">
        <f>100000 / (DAY(EOMONTH(Attendance!A783,0)) - 4)</f>
        <v>3703.703704</v>
      </c>
      <c r="C783" s="417" t="str">
        <f>MAX(0, Attendance!C783 - TIME(9, 0, 0)) * 24 * A783</f>
        <v>#N/A</v>
      </c>
      <c r="D783" s="419" t="str">
        <f>MAX(0, Attendance!D783 - TIME(18, 0, 0)) * 24 * 1.5 * A783</f>
        <v>#N/A</v>
      </c>
      <c r="E783" s="418">
        <f>IF(AND(Attendance!E783&lt;&gt;"Friday", Attendance!C783&lt;&gt;""), B783, 0)</f>
        <v>0</v>
      </c>
      <c r="F783" s="420" t="str">
        <f>Attendance!B783</f>
        <v/>
      </c>
      <c r="G783" s="415" t="str">
        <f>Attendance!A783</f>
        <v/>
      </c>
      <c r="H783" s="420" t="str">
        <f>IFERROR(__xludf.DUMMYFUNCTION("REGEXREPLACE(F783, ""\d+$"", """")"),"")</f>
        <v/>
      </c>
    </row>
    <row r="784" ht="22.5" customHeight="1">
      <c r="A784" s="417" t="str">
        <f>VLOOKUP(F784, Employees!$A$2:$C957, 3, FALSE)</f>
        <v>#N/A</v>
      </c>
      <c r="B784" s="418">
        <f>100000 / (DAY(EOMONTH(Attendance!A784,0)) - 4)</f>
        <v>3703.703704</v>
      </c>
      <c r="C784" s="417" t="str">
        <f>MAX(0, Attendance!C784 - TIME(9, 0, 0)) * 24 * A784</f>
        <v>#N/A</v>
      </c>
      <c r="D784" s="419" t="str">
        <f>MAX(0, Attendance!D784 - TIME(18, 0, 0)) * 24 * 1.5 * A784</f>
        <v>#N/A</v>
      </c>
      <c r="E784" s="418">
        <f>IF(AND(Attendance!E784&lt;&gt;"Friday", Attendance!C784&lt;&gt;""), B784, 0)</f>
        <v>0</v>
      </c>
      <c r="F784" s="420" t="str">
        <f>Attendance!B784</f>
        <v/>
      </c>
      <c r="G784" s="415" t="str">
        <f>Attendance!A784</f>
        <v/>
      </c>
      <c r="H784" s="420" t="str">
        <f>IFERROR(__xludf.DUMMYFUNCTION("REGEXREPLACE(F784, ""\d+$"", """")"),"")</f>
        <v/>
      </c>
    </row>
    <row r="785" ht="22.5" customHeight="1">
      <c r="A785" s="417" t="str">
        <f>VLOOKUP(F785, Employees!$A$2:$C957, 3, FALSE)</f>
        <v>#N/A</v>
      </c>
      <c r="B785" s="418">
        <f>100000 / (DAY(EOMONTH(Attendance!A785,0)) - 4)</f>
        <v>3703.703704</v>
      </c>
      <c r="C785" s="417" t="str">
        <f>MAX(0, Attendance!C785 - TIME(9, 0, 0)) * 24 * A785</f>
        <v>#N/A</v>
      </c>
      <c r="D785" s="419" t="str">
        <f>MAX(0, Attendance!D785 - TIME(18, 0, 0)) * 24 * 1.5 * A785</f>
        <v>#N/A</v>
      </c>
      <c r="E785" s="418">
        <f>IF(AND(Attendance!E785&lt;&gt;"Friday", Attendance!C785&lt;&gt;""), B785, 0)</f>
        <v>0</v>
      </c>
      <c r="F785" s="420" t="str">
        <f>Attendance!B785</f>
        <v/>
      </c>
      <c r="G785" s="415" t="str">
        <f>Attendance!A785</f>
        <v/>
      </c>
      <c r="H785" s="420" t="str">
        <f>IFERROR(__xludf.DUMMYFUNCTION("REGEXREPLACE(F785, ""\d+$"", """")"),"")</f>
        <v/>
      </c>
    </row>
    <row r="786" ht="22.5" customHeight="1">
      <c r="A786" s="417" t="str">
        <f>VLOOKUP(F786, Employees!$A$2:$C957, 3, FALSE)</f>
        <v>#N/A</v>
      </c>
      <c r="B786" s="418">
        <f>100000 / (DAY(EOMONTH(Attendance!A786,0)) - 4)</f>
        <v>3703.703704</v>
      </c>
      <c r="C786" s="417" t="str">
        <f>MAX(0, Attendance!C786 - TIME(9, 0, 0)) * 24 * A786</f>
        <v>#N/A</v>
      </c>
      <c r="D786" s="419" t="str">
        <f>MAX(0, Attendance!D786 - TIME(18, 0, 0)) * 24 * 1.5 * A786</f>
        <v>#N/A</v>
      </c>
      <c r="E786" s="418">
        <f>IF(AND(Attendance!E786&lt;&gt;"Friday", Attendance!C786&lt;&gt;""), B786, 0)</f>
        <v>0</v>
      </c>
      <c r="F786" s="420" t="str">
        <f>Attendance!B786</f>
        <v/>
      </c>
      <c r="G786" s="415" t="str">
        <f>Attendance!A786</f>
        <v/>
      </c>
      <c r="H786" s="420" t="str">
        <f>IFERROR(__xludf.DUMMYFUNCTION("REGEXREPLACE(F786, ""\d+$"", """")"),"")</f>
        <v/>
      </c>
    </row>
    <row r="787" ht="22.5" customHeight="1">
      <c r="A787" s="417" t="str">
        <f>VLOOKUP(F787, Employees!$A$2:$C957, 3, FALSE)</f>
        <v>#N/A</v>
      </c>
      <c r="B787" s="418">
        <f>100000 / (DAY(EOMONTH(Attendance!A787,0)) - 4)</f>
        <v>3703.703704</v>
      </c>
      <c r="C787" s="417" t="str">
        <f>MAX(0, Attendance!C787 - TIME(9, 0, 0)) * 24 * A787</f>
        <v>#N/A</v>
      </c>
      <c r="D787" s="419" t="str">
        <f>MAX(0, Attendance!D787 - TIME(18, 0, 0)) * 24 * 1.5 * A787</f>
        <v>#N/A</v>
      </c>
      <c r="E787" s="418">
        <f>IF(AND(Attendance!E787&lt;&gt;"Friday", Attendance!C787&lt;&gt;""), B787, 0)</f>
        <v>0</v>
      </c>
      <c r="F787" s="420" t="str">
        <f>Attendance!B787</f>
        <v/>
      </c>
      <c r="G787" s="415" t="str">
        <f>Attendance!A787</f>
        <v/>
      </c>
      <c r="H787" s="420" t="str">
        <f>IFERROR(__xludf.DUMMYFUNCTION("REGEXREPLACE(F787, ""\d+$"", """")"),"")</f>
        <v/>
      </c>
    </row>
    <row r="788" ht="22.5" customHeight="1">
      <c r="A788" s="417" t="str">
        <f>VLOOKUP(F788, Employees!$A$2:$C957, 3, FALSE)</f>
        <v>#N/A</v>
      </c>
      <c r="B788" s="418">
        <f>100000 / (DAY(EOMONTH(Attendance!A788,0)) - 4)</f>
        <v>3703.703704</v>
      </c>
      <c r="C788" s="417" t="str">
        <f>MAX(0, Attendance!C788 - TIME(9, 0, 0)) * 24 * A788</f>
        <v>#N/A</v>
      </c>
      <c r="D788" s="419" t="str">
        <f>MAX(0, Attendance!D788 - TIME(18, 0, 0)) * 24 * 1.5 * A788</f>
        <v>#N/A</v>
      </c>
      <c r="E788" s="418">
        <f>IF(AND(Attendance!E788&lt;&gt;"Friday", Attendance!C788&lt;&gt;""), B788, 0)</f>
        <v>0</v>
      </c>
      <c r="F788" s="420" t="str">
        <f>Attendance!B788</f>
        <v/>
      </c>
      <c r="G788" s="415" t="str">
        <f>Attendance!A788</f>
        <v/>
      </c>
      <c r="H788" s="420" t="str">
        <f>IFERROR(__xludf.DUMMYFUNCTION("REGEXREPLACE(F788, ""\d+$"", """")"),"")</f>
        <v/>
      </c>
    </row>
    <row r="789" ht="22.5" customHeight="1">
      <c r="A789" s="417" t="str">
        <f>VLOOKUP(F789, Employees!$A$2:$C957, 3, FALSE)</f>
        <v>#N/A</v>
      </c>
      <c r="B789" s="418">
        <f>100000 / (DAY(EOMONTH(Attendance!A789,0)) - 4)</f>
        <v>3703.703704</v>
      </c>
      <c r="C789" s="417" t="str">
        <f>MAX(0, Attendance!C789 - TIME(9, 0, 0)) * 24 * A789</f>
        <v>#N/A</v>
      </c>
      <c r="D789" s="419" t="str">
        <f>MAX(0, Attendance!D789 - TIME(18, 0, 0)) * 24 * 1.5 * A789</f>
        <v>#N/A</v>
      </c>
      <c r="E789" s="418">
        <f>IF(AND(Attendance!E789&lt;&gt;"Friday", Attendance!C789&lt;&gt;""), B789, 0)</f>
        <v>0</v>
      </c>
      <c r="F789" s="420" t="str">
        <f>Attendance!B789</f>
        <v/>
      </c>
      <c r="G789" s="415" t="str">
        <f>Attendance!A789</f>
        <v/>
      </c>
      <c r="H789" s="420" t="str">
        <f>IFERROR(__xludf.DUMMYFUNCTION("REGEXREPLACE(F789, ""\d+$"", """")"),"")</f>
        <v/>
      </c>
    </row>
    <row r="790" ht="22.5" customHeight="1">
      <c r="A790" s="417" t="str">
        <f>VLOOKUP(F790, Employees!$A$2:$C957, 3, FALSE)</f>
        <v>#N/A</v>
      </c>
      <c r="B790" s="418">
        <f>100000 / (DAY(EOMONTH(Attendance!A790,0)) - 4)</f>
        <v>3703.703704</v>
      </c>
      <c r="C790" s="417" t="str">
        <f>MAX(0, Attendance!C790 - TIME(9, 0, 0)) * 24 * A790</f>
        <v>#N/A</v>
      </c>
      <c r="D790" s="419" t="str">
        <f>MAX(0, Attendance!D790 - TIME(18, 0, 0)) * 24 * 1.5 * A790</f>
        <v>#N/A</v>
      </c>
      <c r="E790" s="418">
        <f>IF(AND(Attendance!E790&lt;&gt;"Friday", Attendance!C790&lt;&gt;""), B790, 0)</f>
        <v>0</v>
      </c>
      <c r="F790" s="420" t="str">
        <f>Attendance!B790</f>
        <v/>
      </c>
      <c r="G790" s="415" t="str">
        <f>Attendance!A790</f>
        <v/>
      </c>
      <c r="H790" s="420" t="str">
        <f>IFERROR(__xludf.DUMMYFUNCTION("REGEXREPLACE(F790, ""\d+$"", """")"),"")</f>
        <v/>
      </c>
    </row>
    <row r="791" ht="22.5" customHeight="1">
      <c r="A791" s="417" t="str">
        <f>VLOOKUP(F791, Employees!$A$2:$C957, 3, FALSE)</f>
        <v>#N/A</v>
      </c>
      <c r="B791" s="418">
        <f>100000 / (DAY(EOMONTH(Attendance!A791,0)) - 4)</f>
        <v>3703.703704</v>
      </c>
      <c r="C791" s="417" t="str">
        <f>MAX(0, Attendance!C791 - TIME(9, 0, 0)) * 24 * A791</f>
        <v>#N/A</v>
      </c>
      <c r="D791" s="419" t="str">
        <f>MAX(0, Attendance!D791 - TIME(18, 0, 0)) * 24 * 1.5 * A791</f>
        <v>#N/A</v>
      </c>
      <c r="E791" s="418">
        <f>IF(AND(Attendance!E791&lt;&gt;"Friday", Attendance!C791&lt;&gt;""), B791, 0)</f>
        <v>0</v>
      </c>
      <c r="F791" s="420" t="str">
        <f>Attendance!B791</f>
        <v/>
      </c>
      <c r="G791" s="415" t="str">
        <f>Attendance!A791</f>
        <v/>
      </c>
      <c r="H791" s="420" t="str">
        <f>IFERROR(__xludf.DUMMYFUNCTION("REGEXREPLACE(F791, ""\d+$"", """")"),"")</f>
        <v/>
      </c>
    </row>
    <row r="792" ht="22.5" customHeight="1">
      <c r="A792" s="417" t="str">
        <f>VLOOKUP(F792, Employees!$A$2:$C957, 3, FALSE)</f>
        <v>#N/A</v>
      </c>
      <c r="B792" s="418">
        <f>100000 / (DAY(EOMONTH(Attendance!A792,0)) - 4)</f>
        <v>3703.703704</v>
      </c>
      <c r="C792" s="417" t="str">
        <f>MAX(0, Attendance!C792 - TIME(9, 0, 0)) * 24 * A792</f>
        <v>#N/A</v>
      </c>
      <c r="D792" s="419" t="str">
        <f>MAX(0, Attendance!D792 - TIME(18, 0, 0)) * 24 * 1.5 * A792</f>
        <v>#N/A</v>
      </c>
      <c r="E792" s="418">
        <f>IF(AND(Attendance!E792&lt;&gt;"Friday", Attendance!C792&lt;&gt;""), B792, 0)</f>
        <v>0</v>
      </c>
      <c r="F792" s="420" t="str">
        <f>Attendance!B792</f>
        <v/>
      </c>
      <c r="G792" s="415" t="str">
        <f>Attendance!A792</f>
        <v/>
      </c>
      <c r="H792" s="420" t="str">
        <f>IFERROR(__xludf.DUMMYFUNCTION("REGEXREPLACE(F792, ""\d+$"", """")"),"")</f>
        <v/>
      </c>
    </row>
    <row r="793" ht="22.5" customHeight="1">
      <c r="A793" s="417" t="str">
        <f>VLOOKUP(F793, Employees!$A$2:$C957, 3, FALSE)</f>
        <v>#N/A</v>
      </c>
      <c r="B793" s="418">
        <f>100000 / (DAY(EOMONTH(Attendance!A793,0)) - 4)</f>
        <v>3703.703704</v>
      </c>
      <c r="C793" s="417" t="str">
        <f>MAX(0, Attendance!C793 - TIME(9, 0, 0)) * 24 * A793</f>
        <v>#N/A</v>
      </c>
      <c r="D793" s="419" t="str">
        <f>MAX(0, Attendance!D793 - TIME(18, 0, 0)) * 24 * 1.5 * A793</f>
        <v>#N/A</v>
      </c>
      <c r="E793" s="418">
        <f>IF(AND(Attendance!E793&lt;&gt;"Friday", Attendance!C793&lt;&gt;""), B793, 0)</f>
        <v>0</v>
      </c>
      <c r="F793" s="420" t="str">
        <f>Attendance!B793</f>
        <v/>
      </c>
      <c r="G793" s="415" t="str">
        <f>Attendance!A793</f>
        <v/>
      </c>
      <c r="H793" s="420" t="str">
        <f>IFERROR(__xludf.DUMMYFUNCTION("REGEXREPLACE(F793, ""\d+$"", """")"),"")</f>
        <v/>
      </c>
    </row>
    <row r="794" ht="22.5" customHeight="1">
      <c r="A794" s="417" t="str">
        <f>VLOOKUP(F794, Employees!$A$2:$C957, 3, FALSE)</f>
        <v>#N/A</v>
      </c>
      <c r="B794" s="418">
        <f>100000 / (DAY(EOMONTH(Attendance!A794,0)) - 4)</f>
        <v>3703.703704</v>
      </c>
      <c r="C794" s="417" t="str">
        <f>MAX(0, Attendance!C794 - TIME(9, 0, 0)) * 24 * A794</f>
        <v>#N/A</v>
      </c>
      <c r="D794" s="419" t="str">
        <f>MAX(0, Attendance!D794 - TIME(18, 0, 0)) * 24 * 1.5 * A794</f>
        <v>#N/A</v>
      </c>
      <c r="E794" s="418">
        <f>IF(AND(Attendance!E794&lt;&gt;"Friday", Attendance!C794&lt;&gt;""), B794, 0)</f>
        <v>0</v>
      </c>
      <c r="F794" s="420" t="str">
        <f>Attendance!B794</f>
        <v/>
      </c>
      <c r="G794" s="415" t="str">
        <f>Attendance!A794</f>
        <v/>
      </c>
      <c r="H794" s="420" t="str">
        <f>IFERROR(__xludf.DUMMYFUNCTION("REGEXREPLACE(F794, ""\d+$"", """")"),"")</f>
        <v/>
      </c>
    </row>
    <row r="795" ht="22.5" customHeight="1">
      <c r="A795" s="417" t="str">
        <f>VLOOKUP(F795, Employees!$A$2:$C957, 3, FALSE)</f>
        <v>#N/A</v>
      </c>
      <c r="B795" s="418">
        <f>100000 / (DAY(EOMONTH(Attendance!A795,0)) - 4)</f>
        <v>3703.703704</v>
      </c>
      <c r="C795" s="417" t="str">
        <f>MAX(0, Attendance!C795 - TIME(9, 0, 0)) * 24 * A795</f>
        <v>#N/A</v>
      </c>
      <c r="D795" s="419" t="str">
        <f>MAX(0, Attendance!D795 - TIME(18, 0, 0)) * 24 * 1.5 * A795</f>
        <v>#N/A</v>
      </c>
      <c r="E795" s="418">
        <f>IF(AND(Attendance!E795&lt;&gt;"Friday", Attendance!C795&lt;&gt;""), B795, 0)</f>
        <v>0</v>
      </c>
      <c r="F795" s="420" t="str">
        <f>Attendance!B795</f>
        <v/>
      </c>
      <c r="G795" s="415" t="str">
        <f>Attendance!A795</f>
        <v/>
      </c>
      <c r="H795" s="420" t="str">
        <f>IFERROR(__xludf.DUMMYFUNCTION("REGEXREPLACE(F795, ""\d+$"", """")"),"")</f>
        <v/>
      </c>
    </row>
    <row r="796" ht="22.5" customHeight="1">
      <c r="A796" s="417" t="str">
        <f>VLOOKUP(F796, Employees!$A$2:$C957, 3, FALSE)</f>
        <v>#N/A</v>
      </c>
      <c r="B796" s="418">
        <f>100000 / (DAY(EOMONTH(Attendance!A796,0)) - 4)</f>
        <v>3703.703704</v>
      </c>
      <c r="C796" s="417" t="str">
        <f>MAX(0, Attendance!C796 - TIME(9, 0, 0)) * 24 * A796</f>
        <v>#N/A</v>
      </c>
      <c r="D796" s="419" t="str">
        <f>MAX(0, Attendance!D796 - TIME(18, 0, 0)) * 24 * 1.5 * A796</f>
        <v>#N/A</v>
      </c>
      <c r="E796" s="418">
        <f>IF(AND(Attendance!E796&lt;&gt;"Friday", Attendance!C796&lt;&gt;""), B796, 0)</f>
        <v>0</v>
      </c>
      <c r="F796" s="420" t="str">
        <f>Attendance!B796</f>
        <v/>
      </c>
      <c r="G796" s="415" t="str">
        <f>Attendance!A796</f>
        <v/>
      </c>
      <c r="H796" s="420" t="str">
        <f>IFERROR(__xludf.DUMMYFUNCTION("REGEXREPLACE(F796, ""\d+$"", """")"),"")</f>
        <v/>
      </c>
    </row>
    <row r="797" ht="22.5" customHeight="1">
      <c r="A797" s="417" t="str">
        <f>VLOOKUP(F797, Employees!$A$2:$C957, 3, FALSE)</f>
        <v>#N/A</v>
      </c>
      <c r="B797" s="418">
        <f>100000 / (DAY(EOMONTH(Attendance!A797,0)) - 4)</f>
        <v>3703.703704</v>
      </c>
      <c r="C797" s="417" t="str">
        <f>MAX(0, Attendance!C797 - TIME(9, 0, 0)) * 24 * A797</f>
        <v>#N/A</v>
      </c>
      <c r="D797" s="419" t="str">
        <f>MAX(0, Attendance!D797 - TIME(18, 0, 0)) * 24 * 1.5 * A797</f>
        <v>#N/A</v>
      </c>
      <c r="E797" s="418">
        <f>IF(AND(Attendance!E797&lt;&gt;"Friday", Attendance!C797&lt;&gt;""), B797, 0)</f>
        <v>0</v>
      </c>
      <c r="F797" s="420" t="str">
        <f>Attendance!B797</f>
        <v/>
      </c>
      <c r="G797" s="415" t="str">
        <f>Attendance!A797</f>
        <v/>
      </c>
      <c r="H797" s="420" t="str">
        <f>IFERROR(__xludf.DUMMYFUNCTION("REGEXREPLACE(F797, ""\d+$"", """")"),"")</f>
        <v/>
      </c>
    </row>
    <row r="798" ht="22.5" customHeight="1">
      <c r="A798" s="417" t="str">
        <f>VLOOKUP(F798, Employees!$A$2:$C957, 3, FALSE)</f>
        <v>#N/A</v>
      </c>
      <c r="B798" s="418">
        <f>100000 / (DAY(EOMONTH(Attendance!A798,0)) - 4)</f>
        <v>3703.703704</v>
      </c>
      <c r="C798" s="417" t="str">
        <f>MAX(0, Attendance!C798 - TIME(9, 0, 0)) * 24 * A798</f>
        <v>#N/A</v>
      </c>
      <c r="D798" s="419" t="str">
        <f>MAX(0, Attendance!D798 - TIME(18, 0, 0)) * 24 * 1.5 * A798</f>
        <v>#N/A</v>
      </c>
      <c r="E798" s="418">
        <f>IF(AND(Attendance!E798&lt;&gt;"Friday", Attendance!C798&lt;&gt;""), B798, 0)</f>
        <v>0</v>
      </c>
      <c r="F798" s="420" t="str">
        <f>Attendance!B798</f>
        <v/>
      </c>
      <c r="G798" s="415" t="str">
        <f>Attendance!A798</f>
        <v/>
      </c>
      <c r="H798" s="420" t="str">
        <f>IFERROR(__xludf.DUMMYFUNCTION("REGEXREPLACE(F798, ""\d+$"", """")"),"")</f>
        <v/>
      </c>
    </row>
    <row r="799" ht="22.5" customHeight="1">
      <c r="A799" s="417" t="str">
        <f>VLOOKUP(F799, Employees!$A$2:$C957, 3, FALSE)</f>
        <v>#N/A</v>
      </c>
      <c r="B799" s="418">
        <f>100000 / (DAY(EOMONTH(Attendance!A799,0)) - 4)</f>
        <v>3703.703704</v>
      </c>
      <c r="C799" s="417" t="str">
        <f>MAX(0, Attendance!C799 - TIME(9, 0, 0)) * 24 * A799</f>
        <v>#N/A</v>
      </c>
      <c r="D799" s="419" t="str">
        <f>MAX(0, Attendance!D799 - TIME(18, 0, 0)) * 24 * 1.5 * A799</f>
        <v>#N/A</v>
      </c>
      <c r="E799" s="418">
        <f>IF(AND(Attendance!E799&lt;&gt;"Friday", Attendance!C799&lt;&gt;""), B799, 0)</f>
        <v>0</v>
      </c>
      <c r="F799" s="420" t="str">
        <f>Attendance!B799</f>
        <v/>
      </c>
      <c r="G799" s="415" t="str">
        <f>Attendance!A799</f>
        <v/>
      </c>
      <c r="H799" s="420" t="str">
        <f>IFERROR(__xludf.DUMMYFUNCTION("REGEXREPLACE(F799, ""\d+$"", """")"),"")</f>
        <v/>
      </c>
    </row>
    <row r="800" ht="22.5" customHeight="1">
      <c r="A800" s="417" t="str">
        <f>VLOOKUP(F800, Employees!$A$2:$C957, 3, FALSE)</f>
        <v>#N/A</v>
      </c>
      <c r="B800" s="418">
        <f>100000 / (DAY(EOMONTH(Attendance!A800,0)) - 4)</f>
        <v>3703.703704</v>
      </c>
      <c r="C800" s="417" t="str">
        <f>MAX(0, Attendance!C800 - TIME(9, 0, 0)) * 24 * A800</f>
        <v>#N/A</v>
      </c>
      <c r="D800" s="419" t="str">
        <f>MAX(0, Attendance!D800 - TIME(18, 0, 0)) * 24 * 1.5 * A800</f>
        <v>#N/A</v>
      </c>
      <c r="E800" s="418">
        <f>IF(AND(Attendance!E800&lt;&gt;"Friday", Attendance!C800&lt;&gt;""), B800, 0)</f>
        <v>0</v>
      </c>
      <c r="F800" s="420" t="str">
        <f>Attendance!B800</f>
        <v/>
      </c>
      <c r="G800" s="415" t="str">
        <f>Attendance!A800</f>
        <v/>
      </c>
      <c r="H800" s="420" t="str">
        <f>IFERROR(__xludf.DUMMYFUNCTION("REGEXREPLACE(F800, ""\d+$"", """")"),"")</f>
        <v/>
      </c>
    </row>
    <row r="801" ht="22.5" customHeight="1">
      <c r="A801" s="417" t="str">
        <f>VLOOKUP(F801, Employees!$A$2:$C957, 3, FALSE)</f>
        <v>#N/A</v>
      </c>
      <c r="B801" s="418">
        <f>100000 / (DAY(EOMONTH(Attendance!A801,0)) - 4)</f>
        <v>3703.703704</v>
      </c>
      <c r="C801" s="417" t="str">
        <f>MAX(0, Attendance!C801 - TIME(9, 0, 0)) * 24 * A801</f>
        <v>#N/A</v>
      </c>
      <c r="D801" s="419" t="str">
        <f>MAX(0, Attendance!D801 - TIME(18, 0, 0)) * 24 * 1.5 * A801</f>
        <v>#N/A</v>
      </c>
      <c r="E801" s="418">
        <f>IF(AND(Attendance!E801&lt;&gt;"Friday", Attendance!C801&lt;&gt;""), B801, 0)</f>
        <v>0</v>
      </c>
      <c r="F801" s="420" t="str">
        <f>Attendance!B801</f>
        <v/>
      </c>
      <c r="G801" s="415" t="str">
        <f>Attendance!A801</f>
        <v/>
      </c>
      <c r="H801" s="420" t="str">
        <f>IFERROR(__xludf.DUMMYFUNCTION("REGEXREPLACE(F801, ""\d+$"", """")"),"")</f>
        <v/>
      </c>
    </row>
    <row r="802" ht="22.5" customHeight="1">
      <c r="A802" s="417" t="str">
        <f>VLOOKUP(F802, Employees!$A$2:$C957, 3, FALSE)</f>
        <v>#N/A</v>
      </c>
      <c r="B802" s="418">
        <f>100000 / (DAY(EOMONTH(Attendance!A802,0)) - 4)</f>
        <v>3703.703704</v>
      </c>
      <c r="C802" s="417" t="str">
        <f>MAX(0, Attendance!C802 - TIME(9, 0, 0)) * 24 * A802</f>
        <v>#N/A</v>
      </c>
      <c r="D802" s="419" t="str">
        <f>MAX(0, Attendance!D802 - TIME(18, 0, 0)) * 24 * 1.5 * A802</f>
        <v>#N/A</v>
      </c>
      <c r="E802" s="418">
        <f>IF(AND(Attendance!E802&lt;&gt;"Friday", Attendance!C802&lt;&gt;""), B802, 0)</f>
        <v>0</v>
      </c>
      <c r="F802" s="420" t="str">
        <f>Attendance!B802</f>
        <v/>
      </c>
      <c r="G802" s="415" t="str">
        <f>Attendance!A802</f>
        <v/>
      </c>
      <c r="H802" s="420" t="str">
        <f>IFERROR(__xludf.DUMMYFUNCTION("REGEXREPLACE(F802, ""\d+$"", """")"),"")</f>
        <v/>
      </c>
    </row>
    <row r="803" ht="22.5" customHeight="1">
      <c r="A803" s="417" t="str">
        <f>VLOOKUP(F803, Employees!$A$2:$C957, 3, FALSE)</f>
        <v>#N/A</v>
      </c>
      <c r="B803" s="418">
        <f>100000 / (DAY(EOMONTH(Attendance!A803,0)) - 4)</f>
        <v>3703.703704</v>
      </c>
      <c r="C803" s="417" t="str">
        <f>MAX(0, Attendance!C803 - TIME(9, 0, 0)) * 24 * A803</f>
        <v>#N/A</v>
      </c>
      <c r="D803" s="419" t="str">
        <f>MAX(0, Attendance!D803 - TIME(18, 0, 0)) * 24 * 1.5 * A803</f>
        <v>#N/A</v>
      </c>
      <c r="E803" s="418">
        <f>IF(AND(Attendance!E803&lt;&gt;"Friday", Attendance!C803&lt;&gt;""), B803, 0)</f>
        <v>0</v>
      </c>
      <c r="F803" s="420" t="str">
        <f>Attendance!B803</f>
        <v/>
      </c>
      <c r="G803" s="415" t="str">
        <f>Attendance!A803</f>
        <v/>
      </c>
      <c r="H803" s="420" t="str">
        <f>IFERROR(__xludf.DUMMYFUNCTION("REGEXREPLACE(F803, ""\d+$"", """")"),"")</f>
        <v/>
      </c>
    </row>
    <row r="804" ht="22.5" customHeight="1">
      <c r="A804" s="417" t="str">
        <f>VLOOKUP(F804, Employees!$A$2:$C957, 3, FALSE)</f>
        <v>#N/A</v>
      </c>
      <c r="B804" s="418">
        <f>100000 / (DAY(EOMONTH(Attendance!A804,0)) - 4)</f>
        <v>3703.703704</v>
      </c>
      <c r="C804" s="417" t="str">
        <f>MAX(0, Attendance!C804 - TIME(9, 0, 0)) * 24 * A804</f>
        <v>#N/A</v>
      </c>
      <c r="D804" s="419" t="str">
        <f>MAX(0, Attendance!D804 - TIME(18, 0, 0)) * 24 * 1.5 * A804</f>
        <v>#N/A</v>
      </c>
      <c r="E804" s="418">
        <f>IF(AND(Attendance!E804&lt;&gt;"Friday", Attendance!C804&lt;&gt;""), B804, 0)</f>
        <v>0</v>
      </c>
      <c r="F804" s="420" t="str">
        <f>Attendance!B804</f>
        <v/>
      </c>
      <c r="G804" s="415" t="str">
        <f>Attendance!A804</f>
        <v/>
      </c>
      <c r="H804" s="420" t="str">
        <f>IFERROR(__xludf.DUMMYFUNCTION("REGEXREPLACE(F804, ""\d+$"", """")"),"")</f>
        <v/>
      </c>
    </row>
    <row r="805" ht="22.5" customHeight="1">
      <c r="A805" s="417" t="str">
        <f>VLOOKUP(F805, Employees!$A$2:$C957, 3, FALSE)</f>
        <v>#N/A</v>
      </c>
      <c r="B805" s="418">
        <f>100000 / (DAY(EOMONTH(Attendance!A805,0)) - 4)</f>
        <v>3703.703704</v>
      </c>
      <c r="C805" s="417" t="str">
        <f>MAX(0, Attendance!C805 - TIME(9, 0, 0)) * 24 * A805</f>
        <v>#N/A</v>
      </c>
      <c r="D805" s="419" t="str">
        <f>MAX(0, Attendance!D805 - TIME(18, 0, 0)) * 24 * 1.5 * A805</f>
        <v>#N/A</v>
      </c>
      <c r="E805" s="418">
        <f>IF(AND(Attendance!E805&lt;&gt;"Friday", Attendance!C805&lt;&gt;""), B805, 0)</f>
        <v>0</v>
      </c>
      <c r="F805" s="420" t="str">
        <f>Attendance!B805</f>
        <v/>
      </c>
      <c r="G805" s="415" t="str">
        <f>Attendance!A805</f>
        <v/>
      </c>
      <c r="H805" s="420" t="str">
        <f>IFERROR(__xludf.DUMMYFUNCTION("REGEXREPLACE(F805, ""\d+$"", """")"),"")</f>
        <v/>
      </c>
    </row>
    <row r="806" ht="22.5" customHeight="1">
      <c r="A806" s="417" t="str">
        <f>VLOOKUP(F806, Employees!$A$2:$C957, 3, FALSE)</f>
        <v>#N/A</v>
      </c>
      <c r="B806" s="418">
        <f>100000 / (DAY(EOMONTH(Attendance!A806,0)) - 4)</f>
        <v>3703.703704</v>
      </c>
      <c r="C806" s="417" t="str">
        <f>MAX(0, Attendance!C806 - TIME(9, 0, 0)) * 24 * A806</f>
        <v>#N/A</v>
      </c>
      <c r="D806" s="419" t="str">
        <f>MAX(0, Attendance!D806 - TIME(18, 0, 0)) * 24 * 1.5 * A806</f>
        <v>#N/A</v>
      </c>
      <c r="E806" s="418">
        <f>IF(AND(Attendance!E806&lt;&gt;"Friday", Attendance!C806&lt;&gt;""), B806, 0)</f>
        <v>0</v>
      </c>
      <c r="F806" s="420" t="str">
        <f>Attendance!B806</f>
        <v/>
      </c>
      <c r="G806" s="415" t="str">
        <f>Attendance!A806</f>
        <v/>
      </c>
      <c r="H806" s="420" t="str">
        <f>IFERROR(__xludf.DUMMYFUNCTION("REGEXREPLACE(F806, ""\d+$"", """")"),"")</f>
        <v/>
      </c>
    </row>
    <row r="807" ht="22.5" customHeight="1">
      <c r="A807" s="417" t="str">
        <f>VLOOKUP(F807, Employees!$A$2:$C957, 3, FALSE)</f>
        <v>#N/A</v>
      </c>
      <c r="B807" s="418">
        <f>100000 / (DAY(EOMONTH(Attendance!A807,0)) - 4)</f>
        <v>3703.703704</v>
      </c>
      <c r="C807" s="417" t="str">
        <f>MAX(0, Attendance!C807 - TIME(9, 0, 0)) * 24 * A807</f>
        <v>#N/A</v>
      </c>
      <c r="D807" s="419" t="str">
        <f>MAX(0, Attendance!D807 - TIME(18, 0, 0)) * 24 * 1.5 * A807</f>
        <v>#N/A</v>
      </c>
      <c r="E807" s="418">
        <f>IF(AND(Attendance!E807&lt;&gt;"Friday", Attendance!C807&lt;&gt;""), B807, 0)</f>
        <v>0</v>
      </c>
      <c r="F807" s="420" t="str">
        <f>Attendance!B807</f>
        <v/>
      </c>
      <c r="G807" s="415" t="str">
        <f>Attendance!A807</f>
        <v/>
      </c>
      <c r="H807" s="420" t="str">
        <f>IFERROR(__xludf.DUMMYFUNCTION("REGEXREPLACE(F807, ""\d+$"", """")"),"")</f>
        <v/>
      </c>
    </row>
    <row r="808" ht="22.5" customHeight="1">
      <c r="A808" s="417" t="str">
        <f>VLOOKUP(F808, Employees!$A$2:$C957, 3, FALSE)</f>
        <v>#N/A</v>
      </c>
      <c r="B808" s="418">
        <f>100000 / (DAY(EOMONTH(Attendance!A808,0)) - 4)</f>
        <v>3703.703704</v>
      </c>
      <c r="C808" s="417" t="str">
        <f>MAX(0, Attendance!C808 - TIME(9, 0, 0)) * 24 * A808</f>
        <v>#N/A</v>
      </c>
      <c r="D808" s="419" t="str">
        <f>MAX(0, Attendance!D808 - TIME(18, 0, 0)) * 24 * 1.5 * A808</f>
        <v>#N/A</v>
      </c>
      <c r="E808" s="418">
        <f>IF(AND(Attendance!E808&lt;&gt;"Friday", Attendance!C808&lt;&gt;""), B808, 0)</f>
        <v>0</v>
      </c>
      <c r="F808" s="420" t="str">
        <f>Attendance!B808</f>
        <v/>
      </c>
      <c r="G808" s="415" t="str">
        <f>Attendance!A808</f>
        <v/>
      </c>
      <c r="H808" s="420" t="str">
        <f>IFERROR(__xludf.DUMMYFUNCTION("REGEXREPLACE(F808, ""\d+$"", """")"),"")</f>
        <v/>
      </c>
    </row>
    <row r="809" ht="22.5" customHeight="1">
      <c r="A809" s="417" t="str">
        <f>VLOOKUP(F809, Employees!$A$2:$C957, 3, FALSE)</f>
        <v>#N/A</v>
      </c>
      <c r="B809" s="418">
        <f>100000 / (DAY(EOMONTH(Attendance!A809,0)) - 4)</f>
        <v>3703.703704</v>
      </c>
      <c r="C809" s="417" t="str">
        <f>MAX(0, Attendance!C809 - TIME(9, 0, 0)) * 24 * A809</f>
        <v>#N/A</v>
      </c>
      <c r="D809" s="419" t="str">
        <f>MAX(0, Attendance!D809 - TIME(18, 0, 0)) * 24 * 1.5 * A809</f>
        <v>#N/A</v>
      </c>
      <c r="E809" s="418">
        <f>IF(AND(Attendance!E809&lt;&gt;"Friday", Attendance!C809&lt;&gt;""), B809, 0)</f>
        <v>0</v>
      </c>
      <c r="F809" s="420" t="str">
        <f>Attendance!B809</f>
        <v/>
      </c>
      <c r="G809" s="415" t="str">
        <f>Attendance!A809</f>
        <v/>
      </c>
      <c r="H809" s="420" t="str">
        <f>IFERROR(__xludf.DUMMYFUNCTION("REGEXREPLACE(F809, ""\d+$"", """")"),"")</f>
        <v/>
      </c>
    </row>
    <row r="810" ht="22.5" customHeight="1">
      <c r="A810" s="417" t="str">
        <f>VLOOKUP(F810, Employees!$A$2:$C957, 3, FALSE)</f>
        <v>#N/A</v>
      </c>
      <c r="B810" s="418">
        <f>100000 / (DAY(EOMONTH(Attendance!A810,0)) - 4)</f>
        <v>3703.703704</v>
      </c>
      <c r="C810" s="417" t="str">
        <f>MAX(0, Attendance!C810 - TIME(9, 0, 0)) * 24 * A810</f>
        <v>#N/A</v>
      </c>
      <c r="D810" s="419" t="str">
        <f>MAX(0, Attendance!D810 - TIME(18, 0, 0)) * 24 * 1.5 * A810</f>
        <v>#N/A</v>
      </c>
      <c r="E810" s="418">
        <f>IF(AND(Attendance!E810&lt;&gt;"Friday", Attendance!C810&lt;&gt;""), B810, 0)</f>
        <v>0</v>
      </c>
      <c r="F810" s="420" t="str">
        <f>Attendance!B810</f>
        <v/>
      </c>
      <c r="G810" s="415" t="str">
        <f>Attendance!A810</f>
        <v/>
      </c>
      <c r="H810" s="420" t="str">
        <f>IFERROR(__xludf.DUMMYFUNCTION("REGEXREPLACE(F810, ""\d+$"", """")"),"")</f>
        <v/>
      </c>
    </row>
    <row r="811" ht="22.5" customHeight="1">
      <c r="A811" s="417" t="str">
        <f>VLOOKUP(F811, Employees!$A$2:$C957, 3, FALSE)</f>
        <v>#N/A</v>
      </c>
      <c r="B811" s="418">
        <f>100000 / (DAY(EOMONTH(Attendance!A811,0)) - 4)</f>
        <v>3703.703704</v>
      </c>
      <c r="C811" s="417" t="str">
        <f>MAX(0, Attendance!C811 - TIME(9, 0, 0)) * 24 * A811</f>
        <v>#N/A</v>
      </c>
      <c r="D811" s="419" t="str">
        <f>MAX(0, Attendance!D811 - TIME(18, 0, 0)) * 24 * 1.5 * A811</f>
        <v>#N/A</v>
      </c>
      <c r="E811" s="418">
        <f>IF(AND(Attendance!E811&lt;&gt;"Friday", Attendance!C811&lt;&gt;""), B811, 0)</f>
        <v>0</v>
      </c>
      <c r="F811" s="420" t="str">
        <f>Attendance!B811</f>
        <v/>
      </c>
      <c r="G811" s="415" t="str">
        <f>Attendance!A811</f>
        <v/>
      </c>
      <c r="H811" s="420" t="str">
        <f>IFERROR(__xludf.DUMMYFUNCTION("REGEXREPLACE(F811, ""\d+$"", """")"),"")</f>
        <v/>
      </c>
    </row>
    <row r="812" ht="22.5" customHeight="1">
      <c r="A812" s="417" t="str">
        <f>VLOOKUP(F812, Employees!$A$2:$C957, 3, FALSE)</f>
        <v>#N/A</v>
      </c>
      <c r="B812" s="418">
        <f>100000 / (DAY(EOMONTH(Attendance!A812,0)) - 4)</f>
        <v>3703.703704</v>
      </c>
      <c r="C812" s="417" t="str">
        <f>MAX(0, Attendance!C812 - TIME(9, 0, 0)) * 24 * A812</f>
        <v>#N/A</v>
      </c>
      <c r="D812" s="419" t="str">
        <f>MAX(0, Attendance!D812 - TIME(18, 0, 0)) * 24 * 1.5 * A812</f>
        <v>#N/A</v>
      </c>
      <c r="E812" s="418">
        <f>IF(AND(Attendance!E812&lt;&gt;"Friday", Attendance!C812&lt;&gt;""), B812, 0)</f>
        <v>0</v>
      </c>
      <c r="F812" s="420" t="str">
        <f>Attendance!B812</f>
        <v/>
      </c>
      <c r="G812" s="415" t="str">
        <f>Attendance!A812</f>
        <v/>
      </c>
      <c r="H812" s="420" t="str">
        <f>IFERROR(__xludf.DUMMYFUNCTION("REGEXREPLACE(F812, ""\d+$"", """")"),"")</f>
        <v/>
      </c>
    </row>
    <row r="813" ht="22.5" customHeight="1">
      <c r="A813" s="417" t="str">
        <f>VLOOKUP(F813, Employees!$A$2:$C957, 3, FALSE)</f>
        <v>#N/A</v>
      </c>
      <c r="B813" s="418">
        <f>100000 / (DAY(EOMONTH(Attendance!A813,0)) - 4)</f>
        <v>3703.703704</v>
      </c>
      <c r="C813" s="417" t="str">
        <f>MAX(0, Attendance!C813 - TIME(9, 0, 0)) * 24 * A813</f>
        <v>#N/A</v>
      </c>
      <c r="D813" s="419" t="str">
        <f>MAX(0, Attendance!D813 - TIME(18, 0, 0)) * 24 * 1.5 * A813</f>
        <v>#N/A</v>
      </c>
      <c r="E813" s="418">
        <f>IF(AND(Attendance!E813&lt;&gt;"Friday", Attendance!C813&lt;&gt;""), B813, 0)</f>
        <v>0</v>
      </c>
      <c r="F813" s="420" t="str">
        <f>Attendance!B813</f>
        <v/>
      </c>
      <c r="G813" s="415" t="str">
        <f>Attendance!A813</f>
        <v/>
      </c>
      <c r="H813" s="420" t="str">
        <f>IFERROR(__xludf.DUMMYFUNCTION("REGEXREPLACE(F813, ""\d+$"", """")"),"")</f>
        <v/>
      </c>
    </row>
    <row r="814" ht="22.5" customHeight="1">
      <c r="A814" s="417" t="str">
        <f>VLOOKUP(F814, Employees!$A$2:$C957, 3, FALSE)</f>
        <v>#N/A</v>
      </c>
      <c r="B814" s="418">
        <f>100000 / (DAY(EOMONTH(Attendance!A814,0)) - 4)</f>
        <v>3703.703704</v>
      </c>
      <c r="C814" s="417" t="str">
        <f>MAX(0, Attendance!C814 - TIME(9, 0, 0)) * 24 * A814</f>
        <v>#N/A</v>
      </c>
      <c r="D814" s="419" t="str">
        <f>MAX(0, Attendance!D814 - TIME(18, 0, 0)) * 24 * 1.5 * A814</f>
        <v>#N/A</v>
      </c>
      <c r="E814" s="418">
        <f>IF(AND(Attendance!E814&lt;&gt;"Friday", Attendance!C814&lt;&gt;""), B814, 0)</f>
        <v>0</v>
      </c>
      <c r="F814" s="420" t="str">
        <f>Attendance!B814</f>
        <v/>
      </c>
      <c r="G814" s="415" t="str">
        <f>Attendance!A814</f>
        <v/>
      </c>
      <c r="H814" s="420" t="str">
        <f>IFERROR(__xludf.DUMMYFUNCTION("REGEXREPLACE(F814, ""\d+$"", """")"),"")</f>
        <v/>
      </c>
    </row>
    <row r="815" ht="22.5" customHeight="1">
      <c r="A815" s="417" t="str">
        <f>VLOOKUP(F815, Employees!$A$2:$C957, 3, FALSE)</f>
        <v>#N/A</v>
      </c>
      <c r="B815" s="418">
        <f>100000 / (DAY(EOMONTH(Attendance!A815,0)) - 4)</f>
        <v>3703.703704</v>
      </c>
      <c r="C815" s="417" t="str">
        <f>MAX(0, Attendance!C815 - TIME(9, 0, 0)) * 24 * A815</f>
        <v>#N/A</v>
      </c>
      <c r="D815" s="419" t="str">
        <f>MAX(0, Attendance!D815 - TIME(18, 0, 0)) * 24 * 1.5 * A815</f>
        <v>#N/A</v>
      </c>
      <c r="E815" s="418">
        <f>IF(AND(Attendance!E815&lt;&gt;"Friday", Attendance!C815&lt;&gt;""), B815, 0)</f>
        <v>0</v>
      </c>
      <c r="F815" s="420" t="str">
        <f>Attendance!B815</f>
        <v/>
      </c>
      <c r="G815" s="415" t="str">
        <f>Attendance!A815</f>
        <v/>
      </c>
      <c r="H815" s="420" t="str">
        <f>IFERROR(__xludf.DUMMYFUNCTION("REGEXREPLACE(F815, ""\d+$"", """")"),"")</f>
        <v/>
      </c>
    </row>
    <row r="816" ht="22.5" customHeight="1">
      <c r="A816" s="417" t="str">
        <f>VLOOKUP(F816, Employees!$A$2:$C957, 3, FALSE)</f>
        <v>#N/A</v>
      </c>
      <c r="B816" s="418">
        <f>100000 / (DAY(EOMONTH(Attendance!A816,0)) - 4)</f>
        <v>3703.703704</v>
      </c>
      <c r="C816" s="417" t="str">
        <f>MAX(0, Attendance!C816 - TIME(9, 0, 0)) * 24 * A816</f>
        <v>#N/A</v>
      </c>
      <c r="D816" s="419" t="str">
        <f>MAX(0, Attendance!D816 - TIME(18, 0, 0)) * 24 * 1.5 * A816</f>
        <v>#N/A</v>
      </c>
      <c r="E816" s="418">
        <f>IF(AND(Attendance!E816&lt;&gt;"Friday", Attendance!C816&lt;&gt;""), B816, 0)</f>
        <v>0</v>
      </c>
      <c r="F816" s="420" t="str">
        <f>Attendance!B816</f>
        <v/>
      </c>
      <c r="G816" s="415" t="str">
        <f>Attendance!A816</f>
        <v/>
      </c>
      <c r="H816" s="420" t="str">
        <f>IFERROR(__xludf.DUMMYFUNCTION("REGEXREPLACE(F816, ""\d+$"", """")"),"")</f>
        <v/>
      </c>
    </row>
    <row r="817" ht="22.5" customHeight="1">
      <c r="A817" s="417" t="str">
        <f>VLOOKUP(F817, Employees!$A$2:$C957, 3, FALSE)</f>
        <v>#N/A</v>
      </c>
      <c r="B817" s="418">
        <f>100000 / (DAY(EOMONTH(Attendance!A817,0)) - 4)</f>
        <v>3703.703704</v>
      </c>
      <c r="C817" s="417" t="str">
        <f>MAX(0, Attendance!C817 - TIME(9, 0, 0)) * 24 * A817</f>
        <v>#N/A</v>
      </c>
      <c r="D817" s="419" t="str">
        <f>MAX(0, Attendance!D817 - TIME(18, 0, 0)) * 24 * 1.5 * A817</f>
        <v>#N/A</v>
      </c>
      <c r="E817" s="418">
        <f>IF(AND(Attendance!E817&lt;&gt;"Friday", Attendance!C817&lt;&gt;""), B817, 0)</f>
        <v>0</v>
      </c>
      <c r="F817" s="420" t="str">
        <f>Attendance!B817</f>
        <v/>
      </c>
      <c r="G817" s="415" t="str">
        <f>Attendance!A817</f>
        <v/>
      </c>
      <c r="H817" s="420" t="str">
        <f>IFERROR(__xludf.DUMMYFUNCTION("REGEXREPLACE(F817, ""\d+$"", """")"),"")</f>
        <v/>
      </c>
    </row>
    <row r="818" ht="22.5" customHeight="1">
      <c r="A818" s="417" t="str">
        <f>VLOOKUP(F818, Employees!$A$2:$C957, 3, FALSE)</f>
        <v>#N/A</v>
      </c>
      <c r="B818" s="418">
        <f>100000 / (DAY(EOMONTH(Attendance!A818,0)) - 4)</f>
        <v>3703.703704</v>
      </c>
      <c r="C818" s="417" t="str">
        <f>MAX(0, Attendance!C818 - TIME(9, 0, 0)) * 24 * A818</f>
        <v>#N/A</v>
      </c>
      <c r="D818" s="419" t="str">
        <f>MAX(0, Attendance!D818 - TIME(18, 0, 0)) * 24 * 1.5 * A818</f>
        <v>#N/A</v>
      </c>
      <c r="E818" s="418">
        <f>IF(AND(Attendance!E818&lt;&gt;"Friday", Attendance!C818&lt;&gt;""), B818, 0)</f>
        <v>0</v>
      </c>
      <c r="F818" s="420" t="str">
        <f>Attendance!B818</f>
        <v/>
      </c>
      <c r="G818" s="415" t="str">
        <f>Attendance!A818</f>
        <v/>
      </c>
      <c r="H818" s="420" t="str">
        <f>IFERROR(__xludf.DUMMYFUNCTION("REGEXREPLACE(F818, ""\d+$"", """")"),"")</f>
        <v/>
      </c>
    </row>
    <row r="819" ht="22.5" customHeight="1">
      <c r="A819" s="417" t="str">
        <f>VLOOKUP(F819, Employees!$A$2:$C957, 3, FALSE)</f>
        <v>#N/A</v>
      </c>
      <c r="B819" s="418">
        <f>100000 / (DAY(EOMONTH(Attendance!A819,0)) - 4)</f>
        <v>3703.703704</v>
      </c>
      <c r="C819" s="417" t="str">
        <f>MAX(0, Attendance!C819 - TIME(9, 0, 0)) * 24 * A819</f>
        <v>#N/A</v>
      </c>
      <c r="D819" s="419" t="str">
        <f>MAX(0, Attendance!D819 - TIME(18, 0, 0)) * 24 * 1.5 * A819</f>
        <v>#N/A</v>
      </c>
      <c r="E819" s="418">
        <f>IF(AND(Attendance!E819&lt;&gt;"Friday", Attendance!C819&lt;&gt;""), B819, 0)</f>
        <v>0</v>
      </c>
      <c r="F819" s="420" t="str">
        <f>Attendance!B819</f>
        <v/>
      </c>
      <c r="G819" s="415" t="str">
        <f>Attendance!A819</f>
        <v/>
      </c>
      <c r="H819" s="420" t="str">
        <f>IFERROR(__xludf.DUMMYFUNCTION("REGEXREPLACE(F819, ""\d+$"", """")"),"")</f>
        <v/>
      </c>
    </row>
    <row r="820" ht="22.5" customHeight="1">
      <c r="A820" s="417" t="str">
        <f>VLOOKUP(F820, Employees!$A$2:$C957, 3, FALSE)</f>
        <v>#N/A</v>
      </c>
      <c r="B820" s="418">
        <f>100000 / (DAY(EOMONTH(Attendance!A820,0)) - 4)</f>
        <v>3703.703704</v>
      </c>
      <c r="C820" s="417" t="str">
        <f>MAX(0, Attendance!C820 - TIME(9, 0, 0)) * 24 * A820</f>
        <v>#N/A</v>
      </c>
      <c r="D820" s="419" t="str">
        <f>MAX(0, Attendance!D820 - TIME(18, 0, 0)) * 24 * 1.5 * A820</f>
        <v>#N/A</v>
      </c>
      <c r="E820" s="418">
        <f>IF(AND(Attendance!E820&lt;&gt;"Friday", Attendance!C820&lt;&gt;""), B820, 0)</f>
        <v>0</v>
      </c>
      <c r="F820" s="420" t="str">
        <f>Attendance!B820</f>
        <v/>
      </c>
      <c r="G820" s="415" t="str">
        <f>Attendance!A820</f>
        <v/>
      </c>
      <c r="H820" s="420" t="str">
        <f>IFERROR(__xludf.DUMMYFUNCTION("REGEXREPLACE(F820, ""\d+$"", """")"),"")</f>
        <v/>
      </c>
    </row>
    <row r="821" ht="22.5" customHeight="1">
      <c r="A821" s="417" t="str">
        <f>VLOOKUP(F821, Employees!$A$2:$C957, 3, FALSE)</f>
        <v>#N/A</v>
      </c>
      <c r="B821" s="418">
        <f>100000 / (DAY(EOMONTH(Attendance!A821,0)) - 4)</f>
        <v>3703.703704</v>
      </c>
      <c r="C821" s="417" t="str">
        <f>MAX(0, Attendance!C821 - TIME(9, 0, 0)) * 24 * A821</f>
        <v>#N/A</v>
      </c>
      <c r="D821" s="419" t="str">
        <f>MAX(0, Attendance!D821 - TIME(18, 0, 0)) * 24 * 1.5 * A821</f>
        <v>#N/A</v>
      </c>
      <c r="E821" s="418">
        <f>IF(AND(Attendance!E821&lt;&gt;"Friday", Attendance!C821&lt;&gt;""), B821, 0)</f>
        <v>0</v>
      </c>
      <c r="F821" s="420" t="str">
        <f>Attendance!B821</f>
        <v/>
      </c>
      <c r="G821" s="415" t="str">
        <f>Attendance!A821</f>
        <v/>
      </c>
      <c r="H821" s="420" t="str">
        <f>IFERROR(__xludf.DUMMYFUNCTION("REGEXREPLACE(F821, ""\d+$"", """")"),"")</f>
        <v/>
      </c>
    </row>
    <row r="822" ht="22.5" customHeight="1">
      <c r="A822" s="417" t="str">
        <f>VLOOKUP(F822, Employees!$A$2:$C957, 3, FALSE)</f>
        <v>#N/A</v>
      </c>
      <c r="B822" s="418">
        <f>100000 / (DAY(EOMONTH(Attendance!A822,0)) - 4)</f>
        <v>3703.703704</v>
      </c>
      <c r="C822" s="417" t="str">
        <f>MAX(0, Attendance!C822 - TIME(9, 0, 0)) * 24 * A822</f>
        <v>#N/A</v>
      </c>
      <c r="D822" s="419" t="str">
        <f>MAX(0, Attendance!D822 - TIME(18, 0, 0)) * 24 * 1.5 * A822</f>
        <v>#N/A</v>
      </c>
      <c r="E822" s="418">
        <f>IF(AND(Attendance!E822&lt;&gt;"Friday", Attendance!C822&lt;&gt;""), B822, 0)</f>
        <v>0</v>
      </c>
      <c r="F822" s="420" t="str">
        <f>Attendance!B822</f>
        <v/>
      </c>
      <c r="G822" s="415" t="str">
        <f>Attendance!A822</f>
        <v/>
      </c>
      <c r="H822" s="420" t="str">
        <f>IFERROR(__xludf.DUMMYFUNCTION("REGEXREPLACE(F822, ""\d+$"", """")"),"")</f>
        <v/>
      </c>
    </row>
    <row r="823" ht="22.5" customHeight="1">
      <c r="A823" s="417" t="str">
        <f>VLOOKUP(F823, Employees!$A$2:$C957, 3, FALSE)</f>
        <v>#N/A</v>
      </c>
      <c r="B823" s="418">
        <f>100000 / (DAY(EOMONTH(Attendance!A823,0)) - 4)</f>
        <v>3703.703704</v>
      </c>
      <c r="C823" s="417" t="str">
        <f>MAX(0, Attendance!C823 - TIME(9, 0, 0)) * 24 * A823</f>
        <v>#N/A</v>
      </c>
      <c r="D823" s="419" t="str">
        <f>MAX(0, Attendance!D823 - TIME(18, 0, 0)) * 24 * 1.5 * A823</f>
        <v>#N/A</v>
      </c>
      <c r="E823" s="418">
        <f>IF(AND(Attendance!E823&lt;&gt;"Friday", Attendance!C823&lt;&gt;""), B823, 0)</f>
        <v>0</v>
      </c>
      <c r="F823" s="420" t="str">
        <f>Attendance!B823</f>
        <v/>
      </c>
      <c r="G823" s="415" t="str">
        <f>Attendance!A823</f>
        <v/>
      </c>
      <c r="H823" s="420" t="str">
        <f>IFERROR(__xludf.DUMMYFUNCTION("REGEXREPLACE(F823, ""\d+$"", """")"),"")</f>
        <v/>
      </c>
    </row>
    <row r="824" ht="22.5" customHeight="1">
      <c r="A824" s="417" t="str">
        <f>VLOOKUP(F824, Employees!$A$2:$C957, 3, FALSE)</f>
        <v>#N/A</v>
      </c>
      <c r="B824" s="418">
        <f>100000 / (DAY(EOMONTH(Attendance!A824,0)) - 4)</f>
        <v>3703.703704</v>
      </c>
      <c r="C824" s="417" t="str">
        <f>MAX(0, Attendance!C824 - TIME(9, 0, 0)) * 24 * A824</f>
        <v>#N/A</v>
      </c>
      <c r="D824" s="419" t="str">
        <f>MAX(0, Attendance!D824 - TIME(18, 0, 0)) * 24 * 1.5 * A824</f>
        <v>#N/A</v>
      </c>
      <c r="E824" s="418">
        <f>IF(AND(Attendance!E824&lt;&gt;"Friday", Attendance!C824&lt;&gt;""), B824, 0)</f>
        <v>0</v>
      </c>
      <c r="F824" s="420" t="str">
        <f>Attendance!B824</f>
        <v/>
      </c>
      <c r="G824" s="415" t="str">
        <f>Attendance!A824</f>
        <v/>
      </c>
      <c r="H824" s="420" t="str">
        <f>IFERROR(__xludf.DUMMYFUNCTION("REGEXREPLACE(F824, ""\d+$"", """")"),"")</f>
        <v/>
      </c>
    </row>
    <row r="825" ht="22.5" customHeight="1">
      <c r="A825" s="417" t="str">
        <f>VLOOKUP(F825, Employees!$A$2:$C957, 3, FALSE)</f>
        <v>#N/A</v>
      </c>
      <c r="B825" s="418">
        <f>100000 / (DAY(EOMONTH(Attendance!A825,0)) - 4)</f>
        <v>3703.703704</v>
      </c>
      <c r="C825" s="417" t="str">
        <f>MAX(0, Attendance!C825 - TIME(9, 0, 0)) * 24 * A825</f>
        <v>#N/A</v>
      </c>
      <c r="D825" s="419" t="str">
        <f>MAX(0, Attendance!D825 - TIME(18, 0, 0)) * 24 * 1.5 * A825</f>
        <v>#N/A</v>
      </c>
      <c r="E825" s="418">
        <f>IF(AND(Attendance!E825&lt;&gt;"Friday", Attendance!C825&lt;&gt;""), B825, 0)</f>
        <v>0</v>
      </c>
      <c r="F825" s="420" t="str">
        <f>Attendance!B825</f>
        <v/>
      </c>
      <c r="G825" s="415" t="str">
        <f>Attendance!A825</f>
        <v/>
      </c>
      <c r="H825" s="420" t="str">
        <f>IFERROR(__xludf.DUMMYFUNCTION("REGEXREPLACE(F825, ""\d+$"", """")"),"")</f>
        <v/>
      </c>
    </row>
    <row r="826" ht="22.5" customHeight="1">
      <c r="A826" s="417" t="str">
        <f>VLOOKUP(F826, Employees!$A$2:$C957, 3, FALSE)</f>
        <v>#N/A</v>
      </c>
      <c r="B826" s="418">
        <f>100000 / (DAY(EOMONTH(Attendance!A826,0)) - 4)</f>
        <v>3703.703704</v>
      </c>
      <c r="C826" s="417" t="str">
        <f>MAX(0, Attendance!C826 - TIME(9, 0, 0)) * 24 * A826</f>
        <v>#N/A</v>
      </c>
      <c r="D826" s="419" t="str">
        <f>MAX(0, Attendance!D826 - TIME(18, 0, 0)) * 24 * 1.5 * A826</f>
        <v>#N/A</v>
      </c>
      <c r="E826" s="418">
        <f>IF(AND(Attendance!E826&lt;&gt;"Friday", Attendance!C826&lt;&gt;""), B826, 0)</f>
        <v>0</v>
      </c>
      <c r="F826" s="420" t="str">
        <f>Attendance!B826</f>
        <v/>
      </c>
      <c r="G826" s="415" t="str">
        <f>Attendance!A826</f>
        <v/>
      </c>
      <c r="H826" s="420" t="str">
        <f>IFERROR(__xludf.DUMMYFUNCTION("REGEXREPLACE(F826, ""\d+$"", """")"),"")</f>
        <v/>
      </c>
    </row>
    <row r="827" ht="22.5" customHeight="1">
      <c r="A827" s="417" t="str">
        <f>VLOOKUP(F827, Employees!$A$2:$C957, 3, FALSE)</f>
        <v>#N/A</v>
      </c>
      <c r="B827" s="418">
        <f>100000 / (DAY(EOMONTH(Attendance!A827,0)) - 4)</f>
        <v>3703.703704</v>
      </c>
      <c r="C827" s="417" t="str">
        <f>MAX(0, Attendance!C827 - TIME(9, 0, 0)) * 24 * A827</f>
        <v>#N/A</v>
      </c>
      <c r="D827" s="419" t="str">
        <f>MAX(0, Attendance!D827 - TIME(18, 0, 0)) * 24 * 1.5 * A827</f>
        <v>#N/A</v>
      </c>
      <c r="E827" s="418">
        <f>IF(AND(Attendance!E827&lt;&gt;"Friday", Attendance!C827&lt;&gt;""), B827, 0)</f>
        <v>0</v>
      </c>
      <c r="F827" s="420" t="str">
        <f>Attendance!B827</f>
        <v/>
      </c>
      <c r="G827" s="415" t="str">
        <f>Attendance!A827</f>
        <v/>
      </c>
      <c r="H827" s="420" t="str">
        <f>IFERROR(__xludf.DUMMYFUNCTION("REGEXREPLACE(F827, ""\d+$"", """")"),"")</f>
        <v/>
      </c>
    </row>
    <row r="828" ht="22.5" customHeight="1">
      <c r="A828" s="417" t="str">
        <f>VLOOKUP(F828, Employees!$A$2:$C957, 3, FALSE)</f>
        <v>#N/A</v>
      </c>
      <c r="B828" s="418">
        <f>100000 / (DAY(EOMONTH(Attendance!A828,0)) - 4)</f>
        <v>3703.703704</v>
      </c>
      <c r="C828" s="417" t="str">
        <f>MAX(0, Attendance!C828 - TIME(9, 0, 0)) * 24 * A828</f>
        <v>#N/A</v>
      </c>
      <c r="D828" s="419" t="str">
        <f>MAX(0, Attendance!D828 - TIME(18, 0, 0)) * 24 * 1.5 * A828</f>
        <v>#N/A</v>
      </c>
      <c r="E828" s="418">
        <f>IF(AND(Attendance!E828&lt;&gt;"Friday", Attendance!C828&lt;&gt;""), B828, 0)</f>
        <v>0</v>
      </c>
      <c r="F828" s="420" t="str">
        <f>Attendance!B828</f>
        <v/>
      </c>
      <c r="G828" s="415" t="str">
        <f>Attendance!A828</f>
        <v/>
      </c>
      <c r="H828" s="420" t="str">
        <f>IFERROR(__xludf.DUMMYFUNCTION("REGEXREPLACE(F828, ""\d+$"", """")"),"")</f>
        <v/>
      </c>
    </row>
    <row r="829" ht="22.5" customHeight="1">
      <c r="A829" s="417" t="str">
        <f>VLOOKUP(F829, Employees!$A$2:$C957, 3, FALSE)</f>
        <v>#N/A</v>
      </c>
      <c r="B829" s="418">
        <f>100000 / (DAY(EOMONTH(Attendance!A829,0)) - 4)</f>
        <v>3703.703704</v>
      </c>
      <c r="C829" s="417" t="str">
        <f>MAX(0, Attendance!C829 - TIME(9, 0, 0)) * 24 * A829</f>
        <v>#N/A</v>
      </c>
      <c r="D829" s="419" t="str">
        <f>MAX(0, Attendance!D829 - TIME(18, 0, 0)) * 24 * 1.5 * A829</f>
        <v>#N/A</v>
      </c>
      <c r="E829" s="418">
        <f>IF(AND(Attendance!E829&lt;&gt;"Friday", Attendance!C829&lt;&gt;""), B829, 0)</f>
        <v>0</v>
      </c>
      <c r="F829" s="420" t="str">
        <f>Attendance!B829</f>
        <v/>
      </c>
      <c r="G829" s="415" t="str">
        <f>Attendance!A829</f>
        <v/>
      </c>
      <c r="H829" s="420" t="str">
        <f>IFERROR(__xludf.DUMMYFUNCTION("REGEXREPLACE(F829, ""\d+$"", """")"),"")</f>
        <v/>
      </c>
    </row>
    <row r="830" ht="22.5" customHeight="1">
      <c r="A830" s="417" t="str">
        <f>VLOOKUP(F830, Employees!$A$2:$C957, 3, FALSE)</f>
        <v>#N/A</v>
      </c>
      <c r="B830" s="418">
        <f>100000 / (DAY(EOMONTH(Attendance!A830,0)) - 4)</f>
        <v>3703.703704</v>
      </c>
      <c r="C830" s="417" t="str">
        <f>MAX(0, Attendance!C830 - TIME(9, 0, 0)) * 24 * A830</f>
        <v>#N/A</v>
      </c>
      <c r="D830" s="419" t="str">
        <f>MAX(0, Attendance!D830 - TIME(18, 0, 0)) * 24 * 1.5 * A830</f>
        <v>#N/A</v>
      </c>
      <c r="E830" s="418">
        <f>IF(AND(Attendance!E830&lt;&gt;"Friday", Attendance!C830&lt;&gt;""), B830, 0)</f>
        <v>0</v>
      </c>
      <c r="F830" s="420" t="str">
        <f>Attendance!B830</f>
        <v/>
      </c>
      <c r="G830" s="415" t="str">
        <f>Attendance!A830</f>
        <v/>
      </c>
      <c r="H830" s="420" t="str">
        <f>IFERROR(__xludf.DUMMYFUNCTION("REGEXREPLACE(F830, ""\d+$"", """")"),"")</f>
        <v/>
      </c>
    </row>
    <row r="831" ht="22.5" customHeight="1">
      <c r="A831" s="417" t="str">
        <f>VLOOKUP(F831, Employees!$A$2:$C957, 3, FALSE)</f>
        <v>#N/A</v>
      </c>
      <c r="B831" s="418">
        <f>100000 / (DAY(EOMONTH(Attendance!A831,0)) - 4)</f>
        <v>3703.703704</v>
      </c>
      <c r="C831" s="417" t="str">
        <f>MAX(0, Attendance!C831 - TIME(9, 0, 0)) * 24 * A831</f>
        <v>#N/A</v>
      </c>
      <c r="D831" s="419" t="str">
        <f>MAX(0, Attendance!D831 - TIME(18, 0, 0)) * 24 * 1.5 * A831</f>
        <v>#N/A</v>
      </c>
      <c r="E831" s="418">
        <f>IF(AND(Attendance!E831&lt;&gt;"Friday", Attendance!C831&lt;&gt;""), B831, 0)</f>
        <v>0</v>
      </c>
      <c r="F831" s="420" t="str">
        <f>Attendance!B831</f>
        <v/>
      </c>
      <c r="G831" s="415" t="str">
        <f>Attendance!A831</f>
        <v/>
      </c>
      <c r="H831" s="420" t="str">
        <f>IFERROR(__xludf.DUMMYFUNCTION("REGEXREPLACE(F831, ""\d+$"", """")"),"")</f>
        <v/>
      </c>
    </row>
    <row r="832" ht="22.5" customHeight="1">
      <c r="A832" s="417" t="str">
        <f>VLOOKUP(F832, Employees!$A$2:$C957, 3, FALSE)</f>
        <v>#N/A</v>
      </c>
      <c r="B832" s="418">
        <f>100000 / (DAY(EOMONTH(Attendance!A832,0)) - 4)</f>
        <v>3703.703704</v>
      </c>
      <c r="C832" s="417" t="str">
        <f>MAX(0, Attendance!C832 - TIME(9, 0, 0)) * 24 * A832</f>
        <v>#N/A</v>
      </c>
      <c r="D832" s="419" t="str">
        <f>MAX(0, Attendance!D832 - TIME(18, 0, 0)) * 24 * 1.5 * A832</f>
        <v>#N/A</v>
      </c>
      <c r="E832" s="418">
        <f>IF(AND(Attendance!E832&lt;&gt;"Friday", Attendance!C832&lt;&gt;""), B832, 0)</f>
        <v>0</v>
      </c>
      <c r="F832" s="420" t="str">
        <f>Attendance!B832</f>
        <v/>
      </c>
      <c r="G832" s="415" t="str">
        <f>Attendance!A832</f>
        <v/>
      </c>
      <c r="H832" s="420" t="str">
        <f>IFERROR(__xludf.DUMMYFUNCTION("REGEXREPLACE(F832, ""\d+$"", """")"),"")</f>
        <v/>
      </c>
    </row>
    <row r="833" ht="22.5" customHeight="1">
      <c r="A833" s="417" t="str">
        <f>VLOOKUP(F833, Employees!$A$2:$C957, 3, FALSE)</f>
        <v>#N/A</v>
      </c>
      <c r="B833" s="418">
        <f>100000 / (DAY(EOMONTH(Attendance!A833,0)) - 4)</f>
        <v>3703.703704</v>
      </c>
      <c r="C833" s="417" t="str">
        <f>MAX(0, Attendance!C833 - TIME(9, 0, 0)) * 24 * A833</f>
        <v>#N/A</v>
      </c>
      <c r="D833" s="419" t="str">
        <f>MAX(0, Attendance!D833 - TIME(18, 0, 0)) * 24 * 1.5 * A833</f>
        <v>#N/A</v>
      </c>
      <c r="E833" s="418">
        <f>IF(AND(Attendance!E833&lt;&gt;"Friday", Attendance!C833&lt;&gt;""), B833, 0)</f>
        <v>0</v>
      </c>
      <c r="F833" s="420" t="str">
        <f>Attendance!B833</f>
        <v/>
      </c>
      <c r="G833" s="415" t="str">
        <f>Attendance!A833</f>
        <v/>
      </c>
      <c r="H833" s="420" t="str">
        <f>IFERROR(__xludf.DUMMYFUNCTION("REGEXREPLACE(F833, ""\d+$"", """")"),"")</f>
        <v/>
      </c>
    </row>
    <row r="834" ht="22.5" customHeight="1">
      <c r="A834" s="417" t="str">
        <f>VLOOKUP(F834, Employees!$A$2:$C957, 3, FALSE)</f>
        <v>#N/A</v>
      </c>
      <c r="B834" s="418">
        <f>100000 / (DAY(EOMONTH(Attendance!A834,0)) - 4)</f>
        <v>3703.703704</v>
      </c>
      <c r="C834" s="417" t="str">
        <f>MAX(0, Attendance!C834 - TIME(9, 0, 0)) * 24 * A834</f>
        <v>#N/A</v>
      </c>
      <c r="D834" s="419" t="str">
        <f>MAX(0, Attendance!D834 - TIME(18, 0, 0)) * 24 * 1.5 * A834</f>
        <v>#N/A</v>
      </c>
      <c r="E834" s="418">
        <f>IF(AND(Attendance!E834&lt;&gt;"Friday", Attendance!C834&lt;&gt;""), B834, 0)</f>
        <v>0</v>
      </c>
      <c r="F834" s="420" t="str">
        <f>Attendance!B834</f>
        <v/>
      </c>
      <c r="G834" s="415" t="str">
        <f>Attendance!A834</f>
        <v/>
      </c>
      <c r="H834" s="420" t="str">
        <f>IFERROR(__xludf.DUMMYFUNCTION("REGEXREPLACE(F834, ""\d+$"", """")"),"")</f>
        <v/>
      </c>
    </row>
    <row r="835" ht="22.5" customHeight="1">
      <c r="A835" s="417" t="str">
        <f>VLOOKUP(F835, Employees!$A$2:$C957, 3, FALSE)</f>
        <v>#N/A</v>
      </c>
      <c r="B835" s="418">
        <f>100000 / (DAY(EOMONTH(Attendance!A835,0)) - 4)</f>
        <v>3703.703704</v>
      </c>
      <c r="C835" s="417" t="str">
        <f>MAX(0, Attendance!C835 - TIME(9, 0, 0)) * 24 * A835</f>
        <v>#N/A</v>
      </c>
      <c r="D835" s="419" t="str">
        <f>MAX(0, Attendance!D835 - TIME(18, 0, 0)) * 24 * 1.5 * A835</f>
        <v>#N/A</v>
      </c>
      <c r="E835" s="418">
        <f>IF(AND(Attendance!E835&lt;&gt;"Friday", Attendance!C835&lt;&gt;""), B835, 0)</f>
        <v>0</v>
      </c>
      <c r="F835" s="420" t="str">
        <f>Attendance!B835</f>
        <v/>
      </c>
      <c r="G835" s="415" t="str">
        <f>Attendance!A835</f>
        <v/>
      </c>
      <c r="H835" s="420" t="str">
        <f>IFERROR(__xludf.DUMMYFUNCTION("REGEXREPLACE(F835, ""\d+$"", """")"),"")</f>
        <v/>
      </c>
    </row>
    <row r="836" ht="22.5" customHeight="1">
      <c r="A836" s="417" t="str">
        <f>VLOOKUP(F836, Employees!$A$2:$C957, 3, FALSE)</f>
        <v>#N/A</v>
      </c>
      <c r="B836" s="418">
        <f>100000 / (DAY(EOMONTH(Attendance!A836,0)) - 4)</f>
        <v>3703.703704</v>
      </c>
      <c r="C836" s="417" t="str">
        <f>MAX(0, Attendance!C836 - TIME(9, 0, 0)) * 24 * A836</f>
        <v>#N/A</v>
      </c>
      <c r="D836" s="419" t="str">
        <f>MAX(0, Attendance!D836 - TIME(18, 0, 0)) * 24 * 1.5 * A836</f>
        <v>#N/A</v>
      </c>
      <c r="E836" s="418">
        <f>IF(AND(Attendance!E836&lt;&gt;"Friday", Attendance!C836&lt;&gt;""), B836, 0)</f>
        <v>0</v>
      </c>
      <c r="F836" s="420" t="str">
        <f>Attendance!B836</f>
        <v/>
      </c>
      <c r="G836" s="415" t="str">
        <f>Attendance!A836</f>
        <v/>
      </c>
      <c r="H836" s="420" t="str">
        <f>IFERROR(__xludf.DUMMYFUNCTION("REGEXREPLACE(F836, ""\d+$"", """")"),"")</f>
        <v/>
      </c>
    </row>
    <row r="837" ht="22.5" customHeight="1">
      <c r="A837" s="417" t="str">
        <f>VLOOKUP(F837, Employees!$A$2:$C957, 3, FALSE)</f>
        <v>#N/A</v>
      </c>
      <c r="B837" s="418">
        <f>100000 / (DAY(EOMONTH(Attendance!A837,0)) - 4)</f>
        <v>3703.703704</v>
      </c>
      <c r="C837" s="417" t="str">
        <f>MAX(0, Attendance!C837 - TIME(9, 0, 0)) * 24 * A837</f>
        <v>#N/A</v>
      </c>
      <c r="D837" s="419" t="str">
        <f>MAX(0, Attendance!D837 - TIME(18, 0, 0)) * 24 * 1.5 * A837</f>
        <v>#N/A</v>
      </c>
      <c r="E837" s="418">
        <f>IF(AND(Attendance!E837&lt;&gt;"Friday", Attendance!C837&lt;&gt;""), B837, 0)</f>
        <v>0</v>
      </c>
      <c r="F837" s="420" t="str">
        <f>Attendance!B837</f>
        <v/>
      </c>
      <c r="G837" s="415" t="str">
        <f>Attendance!A837</f>
        <v/>
      </c>
      <c r="H837" s="420" t="str">
        <f>IFERROR(__xludf.DUMMYFUNCTION("REGEXREPLACE(F837, ""\d+$"", """")"),"")</f>
        <v/>
      </c>
    </row>
    <row r="838" ht="22.5" customHeight="1">
      <c r="A838" s="417" t="str">
        <f>VLOOKUP(F838, Employees!$A$2:$C957, 3, FALSE)</f>
        <v>#N/A</v>
      </c>
      <c r="B838" s="418">
        <f>100000 / (DAY(EOMONTH(Attendance!A838,0)) - 4)</f>
        <v>3703.703704</v>
      </c>
      <c r="C838" s="417" t="str">
        <f>MAX(0, Attendance!C838 - TIME(9, 0, 0)) * 24 * A838</f>
        <v>#N/A</v>
      </c>
      <c r="D838" s="419" t="str">
        <f>MAX(0, Attendance!D838 - TIME(18, 0, 0)) * 24 * 1.5 * A838</f>
        <v>#N/A</v>
      </c>
      <c r="E838" s="418">
        <f>IF(AND(Attendance!E838&lt;&gt;"Friday", Attendance!C838&lt;&gt;""), B838, 0)</f>
        <v>0</v>
      </c>
      <c r="F838" s="420" t="str">
        <f>Attendance!B838</f>
        <v/>
      </c>
      <c r="G838" s="415" t="str">
        <f>Attendance!A838</f>
        <v/>
      </c>
      <c r="H838" s="420" t="str">
        <f>IFERROR(__xludf.DUMMYFUNCTION("REGEXREPLACE(F838, ""\d+$"", """")"),"")</f>
        <v/>
      </c>
    </row>
    <row r="839" ht="22.5" customHeight="1">
      <c r="A839" s="417" t="str">
        <f>VLOOKUP(F839, Employees!$A$2:$C957, 3, FALSE)</f>
        <v>#N/A</v>
      </c>
      <c r="B839" s="418">
        <f>100000 / (DAY(EOMONTH(Attendance!A839,0)) - 4)</f>
        <v>3703.703704</v>
      </c>
      <c r="C839" s="417" t="str">
        <f>MAX(0, Attendance!C839 - TIME(9, 0, 0)) * 24 * A839</f>
        <v>#N/A</v>
      </c>
      <c r="D839" s="419" t="str">
        <f>MAX(0, Attendance!D839 - TIME(18, 0, 0)) * 24 * 1.5 * A839</f>
        <v>#N/A</v>
      </c>
      <c r="E839" s="418">
        <f>IF(AND(Attendance!E839&lt;&gt;"Friday", Attendance!C839&lt;&gt;""), B839, 0)</f>
        <v>0</v>
      </c>
      <c r="F839" s="420" t="str">
        <f>Attendance!B839</f>
        <v/>
      </c>
      <c r="G839" s="415" t="str">
        <f>Attendance!A839</f>
        <v/>
      </c>
      <c r="H839" s="420" t="str">
        <f>IFERROR(__xludf.DUMMYFUNCTION("REGEXREPLACE(F839, ""\d+$"", """")"),"")</f>
        <v/>
      </c>
    </row>
    <row r="840" ht="22.5" customHeight="1">
      <c r="A840" s="417" t="str">
        <f>VLOOKUP(F840, Employees!$A$2:$C957, 3, FALSE)</f>
        <v>#N/A</v>
      </c>
      <c r="B840" s="418">
        <f>100000 / (DAY(EOMONTH(Attendance!A840,0)) - 4)</f>
        <v>3703.703704</v>
      </c>
      <c r="C840" s="417" t="str">
        <f>MAX(0, Attendance!C840 - TIME(9, 0, 0)) * 24 * A840</f>
        <v>#N/A</v>
      </c>
      <c r="D840" s="419" t="str">
        <f>MAX(0, Attendance!D840 - TIME(18, 0, 0)) * 24 * 1.5 * A840</f>
        <v>#N/A</v>
      </c>
      <c r="E840" s="418">
        <f>IF(AND(Attendance!E840&lt;&gt;"Friday", Attendance!C840&lt;&gt;""), B840, 0)</f>
        <v>0</v>
      </c>
      <c r="F840" s="420" t="str">
        <f>Attendance!B840</f>
        <v/>
      </c>
      <c r="G840" s="415" t="str">
        <f>Attendance!A840</f>
        <v/>
      </c>
      <c r="H840" s="420" t="str">
        <f>IFERROR(__xludf.DUMMYFUNCTION("REGEXREPLACE(F840, ""\d+$"", """")"),"")</f>
        <v/>
      </c>
    </row>
    <row r="841" ht="22.5" customHeight="1">
      <c r="A841" s="417" t="str">
        <f>VLOOKUP(F841, Employees!$A$2:$C957, 3, FALSE)</f>
        <v>#N/A</v>
      </c>
      <c r="B841" s="418">
        <f>100000 / (DAY(EOMONTH(Attendance!A841,0)) - 4)</f>
        <v>3703.703704</v>
      </c>
      <c r="C841" s="417" t="str">
        <f>MAX(0, Attendance!C841 - TIME(9, 0, 0)) * 24 * A841</f>
        <v>#N/A</v>
      </c>
      <c r="D841" s="419" t="str">
        <f>MAX(0, Attendance!D841 - TIME(18, 0, 0)) * 24 * 1.5 * A841</f>
        <v>#N/A</v>
      </c>
      <c r="E841" s="418">
        <f>IF(AND(Attendance!E841&lt;&gt;"Friday", Attendance!C841&lt;&gt;""), B841, 0)</f>
        <v>0</v>
      </c>
      <c r="F841" s="420" t="str">
        <f>Attendance!B841</f>
        <v/>
      </c>
      <c r="G841" s="415" t="str">
        <f>Attendance!A841</f>
        <v/>
      </c>
      <c r="H841" s="420" t="str">
        <f>IFERROR(__xludf.DUMMYFUNCTION("REGEXREPLACE(F841, ""\d+$"", """")"),"")</f>
        <v/>
      </c>
    </row>
    <row r="842" ht="22.5" customHeight="1">
      <c r="A842" s="417" t="str">
        <f>VLOOKUP(F842, Employees!$A$2:$C957, 3, FALSE)</f>
        <v>#N/A</v>
      </c>
      <c r="B842" s="418">
        <f>100000 / (DAY(EOMONTH(Attendance!A842,0)) - 4)</f>
        <v>3703.703704</v>
      </c>
      <c r="C842" s="417" t="str">
        <f>MAX(0, Attendance!C842 - TIME(9, 0, 0)) * 24 * A842</f>
        <v>#N/A</v>
      </c>
      <c r="D842" s="419" t="str">
        <f>MAX(0, Attendance!D842 - TIME(18, 0, 0)) * 24 * 1.5 * A842</f>
        <v>#N/A</v>
      </c>
      <c r="E842" s="418">
        <f>IF(AND(Attendance!E842&lt;&gt;"Friday", Attendance!C842&lt;&gt;""), B842, 0)</f>
        <v>0</v>
      </c>
      <c r="F842" s="420" t="str">
        <f>Attendance!B842</f>
        <v/>
      </c>
      <c r="G842" s="415" t="str">
        <f>Attendance!A842</f>
        <v/>
      </c>
      <c r="H842" s="420" t="str">
        <f>IFERROR(__xludf.DUMMYFUNCTION("REGEXREPLACE(F842, ""\d+$"", """")"),"")</f>
        <v/>
      </c>
    </row>
    <row r="843" ht="22.5" customHeight="1">
      <c r="A843" s="417" t="str">
        <f>VLOOKUP(F843, Employees!$A$2:$C957, 3, FALSE)</f>
        <v>#N/A</v>
      </c>
      <c r="B843" s="418">
        <f>100000 / (DAY(EOMONTH(Attendance!A843,0)) - 4)</f>
        <v>3703.703704</v>
      </c>
      <c r="C843" s="417" t="str">
        <f>MAX(0, Attendance!C843 - TIME(9, 0, 0)) * 24 * A843</f>
        <v>#N/A</v>
      </c>
      <c r="D843" s="419" t="str">
        <f>MAX(0, Attendance!D843 - TIME(18, 0, 0)) * 24 * 1.5 * A843</f>
        <v>#N/A</v>
      </c>
      <c r="E843" s="418">
        <f>IF(AND(Attendance!E843&lt;&gt;"Friday", Attendance!C843&lt;&gt;""), B843, 0)</f>
        <v>0</v>
      </c>
      <c r="F843" s="420" t="str">
        <f>Attendance!B843</f>
        <v/>
      </c>
      <c r="G843" s="415" t="str">
        <f>Attendance!A843</f>
        <v/>
      </c>
      <c r="H843" s="420" t="str">
        <f>IFERROR(__xludf.DUMMYFUNCTION("REGEXREPLACE(F843, ""\d+$"", """")"),"")</f>
        <v/>
      </c>
    </row>
    <row r="844" ht="22.5" customHeight="1">
      <c r="A844" s="417" t="str">
        <f>VLOOKUP(F844, Employees!$A$2:$C957, 3, FALSE)</f>
        <v>#N/A</v>
      </c>
      <c r="B844" s="418">
        <f>100000 / (DAY(EOMONTH(Attendance!A844,0)) - 4)</f>
        <v>3703.703704</v>
      </c>
      <c r="C844" s="417" t="str">
        <f>MAX(0, Attendance!C844 - TIME(9, 0, 0)) * 24 * A844</f>
        <v>#N/A</v>
      </c>
      <c r="D844" s="419" t="str">
        <f>MAX(0, Attendance!D844 - TIME(18, 0, 0)) * 24 * 1.5 * A844</f>
        <v>#N/A</v>
      </c>
      <c r="E844" s="418">
        <f>IF(AND(Attendance!E844&lt;&gt;"Friday", Attendance!C844&lt;&gt;""), B844, 0)</f>
        <v>0</v>
      </c>
      <c r="F844" s="420" t="str">
        <f>Attendance!B844</f>
        <v/>
      </c>
      <c r="G844" s="415" t="str">
        <f>Attendance!A844</f>
        <v/>
      </c>
      <c r="H844" s="420" t="str">
        <f>IFERROR(__xludf.DUMMYFUNCTION("REGEXREPLACE(F844, ""\d+$"", """")"),"")</f>
        <v/>
      </c>
    </row>
    <row r="845" ht="22.5" customHeight="1">
      <c r="A845" s="417" t="str">
        <f>VLOOKUP(F845, Employees!$A$2:$C957, 3, FALSE)</f>
        <v>#N/A</v>
      </c>
      <c r="B845" s="418">
        <f>100000 / (DAY(EOMONTH(Attendance!A845,0)) - 4)</f>
        <v>3703.703704</v>
      </c>
      <c r="C845" s="417" t="str">
        <f>MAX(0, Attendance!C845 - TIME(9, 0, 0)) * 24 * A845</f>
        <v>#N/A</v>
      </c>
      <c r="D845" s="419" t="str">
        <f>MAX(0, Attendance!D845 - TIME(18, 0, 0)) * 24 * 1.5 * A845</f>
        <v>#N/A</v>
      </c>
      <c r="E845" s="418">
        <f>IF(AND(Attendance!E845&lt;&gt;"Friday", Attendance!C845&lt;&gt;""), B845, 0)</f>
        <v>0</v>
      </c>
      <c r="F845" s="420" t="str">
        <f>Attendance!B845</f>
        <v/>
      </c>
      <c r="G845" s="415" t="str">
        <f>Attendance!A845</f>
        <v/>
      </c>
      <c r="H845" s="420" t="str">
        <f>IFERROR(__xludf.DUMMYFUNCTION("REGEXREPLACE(F845, ""\d+$"", """")"),"")</f>
        <v/>
      </c>
    </row>
    <row r="846" ht="22.5" customHeight="1">
      <c r="A846" s="417" t="str">
        <f>VLOOKUP(F846, Employees!$A$2:$C957, 3, FALSE)</f>
        <v>#N/A</v>
      </c>
      <c r="B846" s="418">
        <f>100000 / (DAY(EOMONTH(Attendance!A846,0)) - 4)</f>
        <v>3703.703704</v>
      </c>
      <c r="C846" s="417" t="str">
        <f>MAX(0, Attendance!C846 - TIME(9, 0, 0)) * 24 * A846</f>
        <v>#N/A</v>
      </c>
      <c r="D846" s="419" t="str">
        <f>MAX(0, Attendance!D846 - TIME(18, 0, 0)) * 24 * 1.5 * A846</f>
        <v>#N/A</v>
      </c>
      <c r="E846" s="418">
        <f>IF(AND(Attendance!E846&lt;&gt;"Friday", Attendance!C846&lt;&gt;""), B846, 0)</f>
        <v>0</v>
      </c>
      <c r="F846" s="420" t="str">
        <f>Attendance!B846</f>
        <v/>
      </c>
      <c r="G846" s="415" t="str">
        <f>Attendance!A846</f>
        <v/>
      </c>
      <c r="H846" s="420" t="str">
        <f>IFERROR(__xludf.DUMMYFUNCTION("REGEXREPLACE(F846, ""\d+$"", """")"),"")</f>
        <v/>
      </c>
    </row>
    <row r="847" ht="22.5" customHeight="1">
      <c r="A847" s="417" t="str">
        <f>VLOOKUP(F847, Employees!$A$2:$C957, 3, FALSE)</f>
        <v>#N/A</v>
      </c>
      <c r="B847" s="418">
        <f>100000 / (DAY(EOMONTH(Attendance!A847,0)) - 4)</f>
        <v>3703.703704</v>
      </c>
      <c r="C847" s="417" t="str">
        <f>MAX(0, Attendance!C847 - TIME(9, 0, 0)) * 24 * A847</f>
        <v>#N/A</v>
      </c>
      <c r="D847" s="419" t="str">
        <f>MAX(0, Attendance!D847 - TIME(18, 0, 0)) * 24 * 1.5 * A847</f>
        <v>#N/A</v>
      </c>
      <c r="E847" s="418">
        <f>IF(AND(Attendance!E847&lt;&gt;"Friday", Attendance!C847&lt;&gt;""), B847, 0)</f>
        <v>0</v>
      </c>
      <c r="F847" s="420" t="str">
        <f>Attendance!B847</f>
        <v/>
      </c>
      <c r="G847" s="415" t="str">
        <f>Attendance!A847</f>
        <v/>
      </c>
      <c r="H847" s="420" t="str">
        <f>IFERROR(__xludf.DUMMYFUNCTION("REGEXREPLACE(F847, ""\d+$"", """")"),"")</f>
        <v/>
      </c>
    </row>
    <row r="848" ht="22.5" customHeight="1">
      <c r="A848" s="417" t="str">
        <f>VLOOKUP(F848, Employees!$A$2:$C957, 3, FALSE)</f>
        <v>#N/A</v>
      </c>
      <c r="B848" s="418">
        <f>100000 / (DAY(EOMONTH(Attendance!A848,0)) - 4)</f>
        <v>3703.703704</v>
      </c>
      <c r="C848" s="417" t="str">
        <f>MAX(0, Attendance!C848 - TIME(9, 0, 0)) * 24 * A848</f>
        <v>#N/A</v>
      </c>
      <c r="D848" s="419" t="str">
        <f>MAX(0, Attendance!D848 - TIME(18, 0, 0)) * 24 * 1.5 * A848</f>
        <v>#N/A</v>
      </c>
      <c r="E848" s="418">
        <f>IF(AND(Attendance!E848&lt;&gt;"Friday", Attendance!C848&lt;&gt;""), B848, 0)</f>
        <v>0</v>
      </c>
      <c r="F848" s="420" t="str">
        <f>Attendance!B848</f>
        <v/>
      </c>
      <c r="G848" s="415" t="str">
        <f>Attendance!A848</f>
        <v/>
      </c>
      <c r="H848" s="420" t="str">
        <f>IFERROR(__xludf.DUMMYFUNCTION("REGEXREPLACE(F848, ""\d+$"", """")"),"")</f>
        <v/>
      </c>
    </row>
    <row r="849" ht="22.5" customHeight="1">
      <c r="A849" s="417" t="str">
        <f>VLOOKUP(F849, Employees!$A$2:$C957, 3, FALSE)</f>
        <v>#N/A</v>
      </c>
      <c r="B849" s="418">
        <f>100000 / (DAY(EOMONTH(Attendance!A849,0)) - 4)</f>
        <v>3703.703704</v>
      </c>
      <c r="C849" s="417" t="str">
        <f>MAX(0, Attendance!C849 - TIME(9, 0, 0)) * 24 * A849</f>
        <v>#N/A</v>
      </c>
      <c r="D849" s="419" t="str">
        <f>MAX(0, Attendance!D849 - TIME(18, 0, 0)) * 24 * 1.5 * A849</f>
        <v>#N/A</v>
      </c>
      <c r="E849" s="418">
        <f>IF(AND(Attendance!E849&lt;&gt;"Friday", Attendance!C849&lt;&gt;""), B849, 0)</f>
        <v>0</v>
      </c>
      <c r="F849" s="420" t="str">
        <f>Attendance!B849</f>
        <v/>
      </c>
      <c r="G849" s="415" t="str">
        <f>Attendance!A849</f>
        <v/>
      </c>
      <c r="H849" s="420" t="str">
        <f>IFERROR(__xludf.DUMMYFUNCTION("REGEXREPLACE(F849, ""\d+$"", """")"),"")</f>
        <v/>
      </c>
    </row>
    <row r="850" ht="22.5" customHeight="1">
      <c r="A850" s="417" t="str">
        <f>VLOOKUP(F850, Employees!$A$2:$C957, 3, FALSE)</f>
        <v>#N/A</v>
      </c>
      <c r="B850" s="418">
        <f>100000 / (DAY(EOMONTH(Attendance!A850,0)) - 4)</f>
        <v>3703.703704</v>
      </c>
      <c r="C850" s="417" t="str">
        <f>MAX(0, Attendance!C850 - TIME(9, 0, 0)) * 24 * A850</f>
        <v>#N/A</v>
      </c>
      <c r="D850" s="419" t="str">
        <f>MAX(0, Attendance!D850 - TIME(18, 0, 0)) * 24 * 1.5 * A850</f>
        <v>#N/A</v>
      </c>
      <c r="E850" s="418">
        <f>IF(AND(Attendance!E850&lt;&gt;"Friday", Attendance!C850&lt;&gt;""), B850, 0)</f>
        <v>0</v>
      </c>
      <c r="F850" s="420" t="str">
        <f>Attendance!B850</f>
        <v/>
      </c>
      <c r="G850" s="415" t="str">
        <f>Attendance!A850</f>
        <v/>
      </c>
      <c r="H850" s="420" t="str">
        <f>IFERROR(__xludf.DUMMYFUNCTION("REGEXREPLACE(F850, ""\d+$"", """")"),"")</f>
        <v/>
      </c>
    </row>
    <row r="851" ht="22.5" customHeight="1">
      <c r="A851" s="417" t="str">
        <f>VLOOKUP(F851, Employees!$A$2:$C957, 3, FALSE)</f>
        <v>#N/A</v>
      </c>
      <c r="B851" s="418">
        <f>100000 / (DAY(EOMONTH(Attendance!A851,0)) - 4)</f>
        <v>3703.703704</v>
      </c>
      <c r="C851" s="417" t="str">
        <f>MAX(0, Attendance!C851 - TIME(9, 0, 0)) * 24 * A851</f>
        <v>#N/A</v>
      </c>
      <c r="D851" s="419" t="str">
        <f>MAX(0, Attendance!D851 - TIME(18, 0, 0)) * 24 * 1.5 * A851</f>
        <v>#N/A</v>
      </c>
      <c r="E851" s="418">
        <f>IF(AND(Attendance!E851&lt;&gt;"Friday", Attendance!C851&lt;&gt;""), B851, 0)</f>
        <v>0</v>
      </c>
      <c r="F851" s="420" t="str">
        <f>Attendance!B851</f>
        <v/>
      </c>
      <c r="G851" s="415" t="str">
        <f>Attendance!A851</f>
        <v/>
      </c>
      <c r="H851" s="420" t="str">
        <f>IFERROR(__xludf.DUMMYFUNCTION("REGEXREPLACE(F851, ""\d+$"", """")"),"")</f>
        <v/>
      </c>
    </row>
    <row r="852" ht="22.5" customHeight="1">
      <c r="A852" s="417" t="str">
        <f>VLOOKUP(F852, Employees!$A$2:$C957, 3, FALSE)</f>
        <v>#N/A</v>
      </c>
      <c r="B852" s="418">
        <f>100000 / (DAY(EOMONTH(Attendance!A852,0)) - 4)</f>
        <v>3703.703704</v>
      </c>
      <c r="C852" s="417" t="str">
        <f>MAX(0, Attendance!C852 - TIME(9, 0, 0)) * 24 * A852</f>
        <v>#N/A</v>
      </c>
      <c r="D852" s="419" t="str">
        <f>MAX(0, Attendance!D852 - TIME(18, 0, 0)) * 24 * 1.5 * A852</f>
        <v>#N/A</v>
      </c>
      <c r="E852" s="418">
        <f>IF(AND(Attendance!E852&lt;&gt;"Friday", Attendance!C852&lt;&gt;""), B852, 0)</f>
        <v>0</v>
      </c>
      <c r="F852" s="420" t="str">
        <f>Attendance!B852</f>
        <v/>
      </c>
      <c r="G852" s="415" t="str">
        <f>Attendance!A852</f>
        <v/>
      </c>
      <c r="H852" s="420" t="str">
        <f>IFERROR(__xludf.DUMMYFUNCTION("REGEXREPLACE(F852, ""\d+$"", """")"),"")</f>
        <v/>
      </c>
    </row>
    <row r="853" ht="22.5" customHeight="1">
      <c r="A853" s="417" t="str">
        <f>VLOOKUP(F853, Employees!$A$2:$C957, 3, FALSE)</f>
        <v>#N/A</v>
      </c>
      <c r="B853" s="418">
        <f>100000 / (DAY(EOMONTH(Attendance!A853,0)) - 4)</f>
        <v>3703.703704</v>
      </c>
      <c r="C853" s="417" t="str">
        <f>MAX(0, Attendance!C853 - TIME(9, 0, 0)) * 24 * A853</f>
        <v>#N/A</v>
      </c>
      <c r="D853" s="419" t="str">
        <f>MAX(0, Attendance!D853 - TIME(18, 0, 0)) * 24 * 1.5 * A853</f>
        <v>#N/A</v>
      </c>
      <c r="E853" s="418">
        <f>IF(AND(Attendance!E853&lt;&gt;"Friday", Attendance!C853&lt;&gt;""), B853, 0)</f>
        <v>0</v>
      </c>
      <c r="F853" s="420" t="str">
        <f>Attendance!B853</f>
        <v/>
      </c>
      <c r="G853" s="415" t="str">
        <f>Attendance!A853</f>
        <v/>
      </c>
      <c r="H853" s="420" t="str">
        <f>IFERROR(__xludf.DUMMYFUNCTION("REGEXREPLACE(F853, ""\d+$"", """")"),"")</f>
        <v/>
      </c>
    </row>
    <row r="854" ht="22.5" customHeight="1">
      <c r="A854" s="417" t="str">
        <f>VLOOKUP(F854, Employees!$A$2:$C957, 3, FALSE)</f>
        <v>#N/A</v>
      </c>
      <c r="B854" s="418">
        <f>100000 / (DAY(EOMONTH(Attendance!A854,0)) - 4)</f>
        <v>3703.703704</v>
      </c>
      <c r="C854" s="417" t="str">
        <f>MAX(0, Attendance!C854 - TIME(9, 0, 0)) * 24 * A854</f>
        <v>#N/A</v>
      </c>
      <c r="D854" s="419" t="str">
        <f>MAX(0, Attendance!D854 - TIME(18, 0, 0)) * 24 * 1.5 * A854</f>
        <v>#N/A</v>
      </c>
      <c r="E854" s="418">
        <f>IF(AND(Attendance!E854&lt;&gt;"Friday", Attendance!C854&lt;&gt;""), B854, 0)</f>
        <v>0</v>
      </c>
      <c r="F854" s="420" t="str">
        <f>Attendance!B854</f>
        <v/>
      </c>
      <c r="G854" s="415" t="str">
        <f>Attendance!A854</f>
        <v/>
      </c>
      <c r="H854" s="420" t="str">
        <f>IFERROR(__xludf.DUMMYFUNCTION("REGEXREPLACE(F854, ""\d+$"", """")"),"")</f>
        <v/>
      </c>
    </row>
    <row r="855" ht="22.5" customHeight="1">
      <c r="A855" s="417" t="str">
        <f>VLOOKUP(F855, Employees!$A$2:$C957, 3, FALSE)</f>
        <v>#N/A</v>
      </c>
      <c r="B855" s="418">
        <f>100000 / (DAY(EOMONTH(Attendance!A855,0)) - 4)</f>
        <v>3703.703704</v>
      </c>
      <c r="C855" s="417" t="str">
        <f>MAX(0, Attendance!C855 - TIME(9, 0, 0)) * 24 * A855</f>
        <v>#N/A</v>
      </c>
      <c r="D855" s="419" t="str">
        <f>MAX(0, Attendance!D855 - TIME(18, 0, 0)) * 24 * 1.5 * A855</f>
        <v>#N/A</v>
      </c>
      <c r="E855" s="418">
        <f>IF(AND(Attendance!E855&lt;&gt;"Friday", Attendance!C855&lt;&gt;""), B855, 0)</f>
        <v>0</v>
      </c>
      <c r="F855" s="420" t="str">
        <f>Attendance!B855</f>
        <v/>
      </c>
      <c r="G855" s="415" t="str">
        <f>Attendance!A855</f>
        <v/>
      </c>
      <c r="H855" s="420" t="str">
        <f>IFERROR(__xludf.DUMMYFUNCTION("REGEXREPLACE(F855, ""\d+$"", """")"),"")</f>
        <v/>
      </c>
    </row>
    <row r="856" ht="22.5" customHeight="1">
      <c r="A856" s="417" t="str">
        <f>VLOOKUP(F856, Employees!$A$2:$C957, 3, FALSE)</f>
        <v>#N/A</v>
      </c>
      <c r="B856" s="418">
        <f>100000 / (DAY(EOMONTH(Attendance!A856,0)) - 4)</f>
        <v>3703.703704</v>
      </c>
      <c r="C856" s="417" t="str">
        <f>MAX(0, Attendance!C856 - TIME(9, 0, 0)) * 24 * A856</f>
        <v>#N/A</v>
      </c>
      <c r="D856" s="419" t="str">
        <f>MAX(0, Attendance!D856 - TIME(18, 0, 0)) * 24 * 1.5 * A856</f>
        <v>#N/A</v>
      </c>
      <c r="E856" s="418">
        <f>IF(AND(Attendance!E856&lt;&gt;"Friday", Attendance!C856&lt;&gt;""), B856, 0)</f>
        <v>0</v>
      </c>
      <c r="F856" s="420" t="str">
        <f>Attendance!B856</f>
        <v/>
      </c>
      <c r="G856" s="415" t="str">
        <f>Attendance!A856</f>
        <v/>
      </c>
      <c r="H856" s="420" t="str">
        <f>IFERROR(__xludf.DUMMYFUNCTION("REGEXREPLACE(F856, ""\d+$"", """")"),"")</f>
        <v/>
      </c>
    </row>
    <row r="857" ht="22.5" customHeight="1">
      <c r="A857" s="417" t="str">
        <f>VLOOKUP(F857, Employees!$A$2:$C957, 3, FALSE)</f>
        <v>#N/A</v>
      </c>
      <c r="B857" s="418">
        <f>100000 / (DAY(EOMONTH(Attendance!A857,0)) - 4)</f>
        <v>3703.703704</v>
      </c>
      <c r="C857" s="417" t="str">
        <f>MAX(0, Attendance!C857 - TIME(9, 0, 0)) * 24 * A857</f>
        <v>#N/A</v>
      </c>
      <c r="D857" s="419" t="str">
        <f>MAX(0, Attendance!D857 - TIME(18, 0, 0)) * 24 * 1.5 * A857</f>
        <v>#N/A</v>
      </c>
      <c r="E857" s="418">
        <f>IF(AND(Attendance!E857&lt;&gt;"Friday", Attendance!C857&lt;&gt;""), B857, 0)</f>
        <v>0</v>
      </c>
      <c r="F857" s="420" t="str">
        <f>Attendance!B857</f>
        <v/>
      </c>
      <c r="G857" s="415" t="str">
        <f>Attendance!A857</f>
        <v/>
      </c>
      <c r="H857" s="420" t="str">
        <f>IFERROR(__xludf.DUMMYFUNCTION("REGEXREPLACE(F857, ""\d+$"", """")"),"")</f>
        <v/>
      </c>
    </row>
    <row r="858" ht="22.5" customHeight="1">
      <c r="A858" s="417" t="str">
        <f>VLOOKUP(F858, Employees!$A$2:$C957, 3, FALSE)</f>
        <v>#N/A</v>
      </c>
      <c r="B858" s="418">
        <f>100000 / (DAY(EOMONTH(Attendance!A858,0)) - 4)</f>
        <v>3703.703704</v>
      </c>
      <c r="C858" s="417" t="str">
        <f>MAX(0, Attendance!C858 - TIME(9, 0, 0)) * 24 * A858</f>
        <v>#N/A</v>
      </c>
      <c r="D858" s="419" t="str">
        <f>MAX(0, Attendance!D858 - TIME(18, 0, 0)) * 24 * 1.5 * A858</f>
        <v>#N/A</v>
      </c>
      <c r="E858" s="418">
        <f>IF(AND(Attendance!E858&lt;&gt;"Friday", Attendance!C858&lt;&gt;""), B858, 0)</f>
        <v>0</v>
      </c>
      <c r="F858" s="420" t="str">
        <f>Attendance!B858</f>
        <v/>
      </c>
      <c r="G858" s="415" t="str">
        <f>Attendance!A858</f>
        <v/>
      </c>
      <c r="H858" s="420" t="str">
        <f>IFERROR(__xludf.DUMMYFUNCTION("REGEXREPLACE(F858, ""\d+$"", """")"),"")</f>
        <v/>
      </c>
    </row>
    <row r="859" ht="22.5" customHeight="1">
      <c r="A859" s="417" t="str">
        <f>VLOOKUP(F859, Employees!$A$2:$C957, 3, FALSE)</f>
        <v>#N/A</v>
      </c>
      <c r="B859" s="418">
        <f>100000 / (DAY(EOMONTH(Attendance!A859,0)) - 4)</f>
        <v>3703.703704</v>
      </c>
      <c r="C859" s="417" t="str">
        <f>MAX(0, Attendance!C859 - TIME(9, 0, 0)) * 24 * A859</f>
        <v>#N/A</v>
      </c>
      <c r="D859" s="419" t="str">
        <f>MAX(0, Attendance!D859 - TIME(18, 0, 0)) * 24 * 1.5 * A859</f>
        <v>#N/A</v>
      </c>
      <c r="E859" s="418">
        <f>IF(AND(Attendance!E859&lt;&gt;"Friday", Attendance!C859&lt;&gt;""), B859, 0)</f>
        <v>0</v>
      </c>
      <c r="F859" s="420" t="str">
        <f>Attendance!B859</f>
        <v/>
      </c>
      <c r="G859" s="415" t="str">
        <f>Attendance!A859</f>
        <v/>
      </c>
      <c r="H859" s="420" t="str">
        <f>IFERROR(__xludf.DUMMYFUNCTION("REGEXREPLACE(F859, ""\d+$"", """")"),"")</f>
        <v/>
      </c>
    </row>
    <row r="860" ht="22.5" customHeight="1">
      <c r="A860" s="417" t="str">
        <f>VLOOKUP(F860, Employees!$A$2:$C957, 3, FALSE)</f>
        <v>#N/A</v>
      </c>
      <c r="B860" s="418">
        <f>100000 / (DAY(EOMONTH(Attendance!A860,0)) - 4)</f>
        <v>3703.703704</v>
      </c>
      <c r="C860" s="417" t="str">
        <f>MAX(0, Attendance!C860 - TIME(9, 0, 0)) * 24 * A860</f>
        <v>#N/A</v>
      </c>
      <c r="D860" s="419" t="str">
        <f>MAX(0, Attendance!D860 - TIME(18, 0, 0)) * 24 * 1.5 * A860</f>
        <v>#N/A</v>
      </c>
      <c r="E860" s="418">
        <f>IF(AND(Attendance!E860&lt;&gt;"Friday", Attendance!C860&lt;&gt;""), B860, 0)</f>
        <v>0</v>
      </c>
      <c r="F860" s="420" t="str">
        <f>Attendance!B860</f>
        <v/>
      </c>
      <c r="G860" s="415" t="str">
        <f>Attendance!A860</f>
        <v/>
      </c>
      <c r="H860" s="420" t="str">
        <f>IFERROR(__xludf.DUMMYFUNCTION("REGEXREPLACE(F860, ""\d+$"", """")"),"")</f>
        <v/>
      </c>
    </row>
    <row r="861" ht="22.5" customHeight="1">
      <c r="A861" s="417" t="str">
        <f>VLOOKUP(F861, Employees!$A$2:$C957, 3, FALSE)</f>
        <v>#N/A</v>
      </c>
      <c r="B861" s="418">
        <f>100000 / (DAY(EOMONTH(Attendance!A861,0)) - 4)</f>
        <v>3703.703704</v>
      </c>
      <c r="C861" s="417" t="str">
        <f>MAX(0, Attendance!C861 - TIME(9, 0, 0)) * 24 * A861</f>
        <v>#N/A</v>
      </c>
      <c r="D861" s="419" t="str">
        <f>MAX(0, Attendance!D861 - TIME(18, 0, 0)) * 24 * 1.5 * A861</f>
        <v>#N/A</v>
      </c>
      <c r="E861" s="418">
        <f>IF(AND(Attendance!E861&lt;&gt;"Friday", Attendance!C861&lt;&gt;""), B861, 0)</f>
        <v>0</v>
      </c>
      <c r="F861" s="420" t="str">
        <f>Attendance!B861</f>
        <v/>
      </c>
      <c r="G861" s="415" t="str">
        <f>Attendance!A861</f>
        <v/>
      </c>
      <c r="H861" s="420" t="str">
        <f>IFERROR(__xludf.DUMMYFUNCTION("REGEXREPLACE(F861, ""\d+$"", """")"),"")</f>
        <v/>
      </c>
    </row>
    <row r="862" ht="22.5" customHeight="1">
      <c r="A862" s="417" t="str">
        <f>VLOOKUP(F862, Employees!$A$2:$C957, 3, FALSE)</f>
        <v>#N/A</v>
      </c>
      <c r="B862" s="418">
        <f>100000 / (DAY(EOMONTH(Attendance!A862,0)) - 4)</f>
        <v>3703.703704</v>
      </c>
      <c r="C862" s="417" t="str">
        <f>MAX(0, Attendance!C862 - TIME(9, 0, 0)) * 24 * A862</f>
        <v>#N/A</v>
      </c>
      <c r="D862" s="419" t="str">
        <f>MAX(0, Attendance!D862 - TIME(18, 0, 0)) * 24 * 1.5 * A862</f>
        <v>#N/A</v>
      </c>
      <c r="E862" s="418">
        <f>IF(AND(Attendance!E862&lt;&gt;"Friday", Attendance!C862&lt;&gt;""), B862, 0)</f>
        <v>0</v>
      </c>
      <c r="F862" s="420" t="str">
        <f>Attendance!B862</f>
        <v/>
      </c>
      <c r="G862" s="415" t="str">
        <f>Attendance!A862</f>
        <v/>
      </c>
      <c r="H862" s="420" t="str">
        <f>IFERROR(__xludf.DUMMYFUNCTION("REGEXREPLACE(F862, ""\d+$"", """")"),"")</f>
        <v/>
      </c>
    </row>
    <row r="863" ht="22.5" customHeight="1">
      <c r="A863" s="417" t="str">
        <f>VLOOKUP(F863, Employees!$A$2:$C957, 3, FALSE)</f>
        <v>#N/A</v>
      </c>
      <c r="B863" s="418">
        <f>100000 / (DAY(EOMONTH(Attendance!A863,0)) - 4)</f>
        <v>3703.703704</v>
      </c>
      <c r="C863" s="417" t="str">
        <f>MAX(0, Attendance!C863 - TIME(9, 0, 0)) * 24 * A863</f>
        <v>#N/A</v>
      </c>
      <c r="D863" s="419" t="str">
        <f>MAX(0, Attendance!D863 - TIME(18, 0, 0)) * 24 * 1.5 * A863</f>
        <v>#N/A</v>
      </c>
      <c r="E863" s="418">
        <f>IF(AND(Attendance!E863&lt;&gt;"Friday", Attendance!C863&lt;&gt;""), B863, 0)</f>
        <v>0</v>
      </c>
      <c r="F863" s="420" t="str">
        <f>Attendance!B863</f>
        <v/>
      </c>
      <c r="G863" s="415" t="str">
        <f>Attendance!A863</f>
        <v/>
      </c>
      <c r="H863" s="420" t="str">
        <f>IFERROR(__xludf.DUMMYFUNCTION("REGEXREPLACE(F863, ""\d+$"", """")"),"")</f>
        <v/>
      </c>
    </row>
    <row r="864" ht="22.5" customHeight="1">
      <c r="A864" s="417" t="str">
        <f>VLOOKUP(F864, Employees!$A$2:$C957, 3, FALSE)</f>
        <v>#N/A</v>
      </c>
      <c r="B864" s="418">
        <f>100000 / (DAY(EOMONTH(Attendance!A864,0)) - 4)</f>
        <v>3703.703704</v>
      </c>
      <c r="C864" s="417" t="str">
        <f>MAX(0, Attendance!C864 - TIME(9, 0, 0)) * 24 * A864</f>
        <v>#N/A</v>
      </c>
      <c r="D864" s="419" t="str">
        <f>MAX(0, Attendance!D864 - TIME(18, 0, 0)) * 24 * 1.5 * A864</f>
        <v>#N/A</v>
      </c>
      <c r="E864" s="418">
        <f>IF(AND(Attendance!E864&lt;&gt;"Friday", Attendance!C864&lt;&gt;""), B864, 0)</f>
        <v>0</v>
      </c>
      <c r="F864" s="420" t="str">
        <f>Attendance!B864</f>
        <v/>
      </c>
      <c r="G864" s="415" t="str">
        <f>Attendance!A864</f>
        <v/>
      </c>
      <c r="H864" s="420" t="str">
        <f>IFERROR(__xludf.DUMMYFUNCTION("REGEXREPLACE(F864, ""\d+$"", """")"),"")</f>
        <v/>
      </c>
    </row>
    <row r="865" ht="22.5" customHeight="1">
      <c r="A865" s="417" t="str">
        <f>VLOOKUP(F865, Employees!$A$2:$C957, 3, FALSE)</f>
        <v>#N/A</v>
      </c>
      <c r="B865" s="418">
        <f>100000 / (DAY(EOMONTH(Attendance!A865,0)) - 4)</f>
        <v>3703.703704</v>
      </c>
      <c r="C865" s="417" t="str">
        <f>MAX(0, Attendance!C865 - TIME(9, 0, 0)) * 24 * A865</f>
        <v>#N/A</v>
      </c>
      <c r="D865" s="419" t="str">
        <f>MAX(0, Attendance!D865 - TIME(18, 0, 0)) * 24 * 1.5 * A865</f>
        <v>#N/A</v>
      </c>
      <c r="E865" s="418">
        <f>IF(AND(Attendance!E865&lt;&gt;"Friday", Attendance!C865&lt;&gt;""), B865, 0)</f>
        <v>0</v>
      </c>
      <c r="F865" s="420" t="str">
        <f>Attendance!B865</f>
        <v/>
      </c>
      <c r="G865" s="415" t="str">
        <f>Attendance!A865</f>
        <v/>
      </c>
      <c r="H865" s="420" t="str">
        <f>IFERROR(__xludf.DUMMYFUNCTION("REGEXREPLACE(F865, ""\d+$"", """")"),"")</f>
        <v/>
      </c>
    </row>
    <row r="866" ht="22.5" customHeight="1">
      <c r="A866" s="417" t="str">
        <f>VLOOKUP(F866, Employees!$A$2:$C957, 3, FALSE)</f>
        <v>#N/A</v>
      </c>
      <c r="B866" s="418">
        <f>100000 / (DAY(EOMONTH(Attendance!A866,0)) - 4)</f>
        <v>3703.703704</v>
      </c>
      <c r="C866" s="417" t="str">
        <f>MAX(0, Attendance!C866 - TIME(9, 0, 0)) * 24 * A866</f>
        <v>#N/A</v>
      </c>
      <c r="D866" s="419" t="str">
        <f>MAX(0, Attendance!D866 - TIME(18, 0, 0)) * 24 * 1.5 * A866</f>
        <v>#N/A</v>
      </c>
      <c r="E866" s="418">
        <f>IF(AND(Attendance!E866&lt;&gt;"Friday", Attendance!C866&lt;&gt;""), B866, 0)</f>
        <v>0</v>
      </c>
      <c r="F866" s="420" t="str">
        <f>Attendance!B866</f>
        <v/>
      </c>
      <c r="G866" s="415" t="str">
        <f>Attendance!A866</f>
        <v/>
      </c>
      <c r="H866" s="420" t="str">
        <f>IFERROR(__xludf.DUMMYFUNCTION("REGEXREPLACE(F866, ""\d+$"", """")"),"")</f>
        <v/>
      </c>
    </row>
    <row r="867" ht="22.5" customHeight="1">
      <c r="A867" s="417" t="str">
        <f>VLOOKUP(F867, Employees!$A$2:$C957, 3, FALSE)</f>
        <v>#N/A</v>
      </c>
      <c r="B867" s="418">
        <f>100000 / (DAY(EOMONTH(Attendance!A867,0)) - 4)</f>
        <v>3703.703704</v>
      </c>
      <c r="C867" s="417" t="str">
        <f>MAX(0, Attendance!C867 - TIME(9, 0, 0)) * 24 * A867</f>
        <v>#N/A</v>
      </c>
      <c r="D867" s="419" t="str">
        <f>MAX(0, Attendance!D867 - TIME(18, 0, 0)) * 24 * 1.5 * A867</f>
        <v>#N/A</v>
      </c>
      <c r="E867" s="418">
        <f>IF(AND(Attendance!E867&lt;&gt;"Friday", Attendance!C867&lt;&gt;""), B867, 0)</f>
        <v>0</v>
      </c>
      <c r="F867" s="420" t="str">
        <f>Attendance!B867</f>
        <v/>
      </c>
      <c r="G867" s="415" t="str">
        <f>Attendance!A867</f>
        <v/>
      </c>
      <c r="H867" s="420" t="str">
        <f>IFERROR(__xludf.DUMMYFUNCTION("REGEXREPLACE(F867, ""\d+$"", """")"),"")</f>
        <v/>
      </c>
    </row>
    <row r="868" ht="22.5" customHeight="1">
      <c r="A868" s="417" t="str">
        <f>VLOOKUP(F868, Employees!$A$2:$C957, 3, FALSE)</f>
        <v>#N/A</v>
      </c>
      <c r="B868" s="418">
        <f>100000 / (DAY(EOMONTH(Attendance!A868,0)) - 4)</f>
        <v>3703.703704</v>
      </c>
      <c r="C868" s="417" t="str">
        <f>MAX(0, Attendance!C868 - TIME(9, 0, 0)) * 24 * A868</f>
        <v>#N/A</v>
      </c>
      <c r="D868" s="419" t="str">
        <f>MAX(0, Attendance!D868 - TIME(18, 0, 0)) * 24 * 1.5 * A868</f>
        <v>#N/A</v>
      </c>
      <c r="E868" s="418">
        <f>IF(AND(Attendance!E868&lt;&gt;"Friday", Attendance!C868&lt;&gt;""), B868, 0)</f>
        <v>0</v>
      </c>
      <c r="F868" s="420" t="str">
        <f>Attendance!B868</f>
        <v/>
      </c>
      <c r="G868" s="415" t="str">
        <f>Attendance!A868</f>
        <v/>
      </c>
      <c r="H868" s="420" t="str">
        <f>IFERROR(__xludf.DUMMYFUNCTION("REGEXREPLACE(F868, ""\d+$"", """")"),"")</f>
        <v/>
      </c>
    </row>
    <row r="869" ht="22.5" customHeight="1">
      <c r="A869" s="417" t="str">
        <f>VLOOKUP(F869, Employees!$A$2:$C957, 3, FALSE)</f>
        <v>#N/A</v>
      </c>
      <c r="B869" s="418">
        <f>100000 / (DAY(EOMONTH(Attendance!A869,0)) - 4)</f>
        <v>3703.703704</v>
      </c>
      <c r="C869" s="417" t="str">
        <f>MAX(0, Attendance!C869 - TIME(9, 0, 0)) * 24 * A869</f>
        <v>#N/A</v>
      </c>
      <c r="D869" s="419" t="str">
        <f>MAX(0, Attendance!D869 - TIME(18, 0, 0)) * 24 * 1.5 * A869</f>
        <v>#N/A</v>
      </c>
      <c r="E869" s="418">
        <f>IF(AND(Attendance!E869&lt;&gt;"Friday", Attendance!C869&lt;&gt;""), B869, 0)</f>
        <v>0</v>
      </c>
      <c r="F869" s="420" t="str">
        <f>Attendance!B869</f>
        <v/>
      </c>
      <c r="G869" s="415" t="str">
        <f>Attendance!A869</f>
        <v/>
      </c>
      <c r="H869" s="420" t="str">
        <f>IFERROR(__xludf.DUMMYFUNCTION("REGEXREPLACE(F869, ""\d+$"", """")"),"")</f>
        <v/>
      </c>
    </row>
    <row r="870" ht="22.5" customHeight="1">
      <c r="A870" s="417" t="str">
        <f>VLOOKUP(F870, Employees!$A$2:$C957, 3, FALSE)</f>
        <v>#N/A</v>
      </c>
      <c r="B870" s="418">
        <f>100000 / (DAY(EOMONTH(Attendance!A870,0)) - 4)</f>
        <v>3703.703704</v>
      </c>
      <c r="C870" s="417" t="str">
        <f>MAX(0, Attendance!C870 - TIME(9, 0, 0)) * 24 * A870</f>
        <v>#N/A</v>
      </c>
      <c r="D870" s="419" t="str">
        <f>MAX(0, Attendance!D870 - TIME(18, 0, 0)) * 24 * 1.5 * A870</f>
        <v>#N/A</v>
      </c>
      <c r="E870" s="418">
        <f>IF(AND(Attendance!E870&lt;&gt;"Friday", Attendance!C870&lt;&gt;""), B870, 0)</f>
        <v>0</v>
      </c>
      <c r="F870" s="420" t="str">
        <f>Attendance!B870</f>
        <v/>
      </c>
      <c r="G870" s="415" t="str">
        <f>Attendance!A870</f>
        <v/>
      </c>
      <c r="H870" s="420" t="str">
        <f>IFERROR(__xludf.DUMMYFUNCTION("REGEXREPLACE(F870, ""\d+$"", """")"),"")</f>
        <v/>
      </c>
    </row>
    <row r="871" ht="22.5" customHeight="1">
      <c r="A871" s="417" t="str">
        <f>VLOOKUP(F871, Employees!$A$2:$C957, 3, FALSE)</f>
        <v>#N/A</v>
      </c>
      <c r="B871" s="418">
        <f>100000 / (DAY(EOMONTH(Attendance!A871,0)) - 4)</f>
        <v>3703.703704</v>
      </c>
      <c r="C871" s="417" t="str">
        <f>MAX(0, Attendance!C871 - TIME(9, 0, 0)) * 24 * A871</f>
        <v>#N/A</v>
      </c>
      <c r="D871" s="419" t="str">
        <f>MAX(0, Attendance!D871 - TIME(18, 0, 0)) * 24 * 1.5 * A871</f>
        <v>#N/A</v>
      </c>
      <c r="E871" s="418">
        <f>IF(AND(Attendance!E871&lt;&gt;"Friday", Attendance!C871&lt;&gt;""), B871, 0)</f>
        <v>0</v>
      </c>
      <c r="F871" s="420" t="str">
        <f>Attendance!B871</f>
        <v/>
      </c>
      <c r="G871" s="415" t="str">
        <f>Attendance!A871</f>
        <v/>
      </c>
      <c r="H871" s="420" t="str">
        <f>IFERROR(__xludf.DUMMYFUNCTION("REGEXREPLACE(F871, ""\d+$"", """")"),"")</f>
        <v/>
      </c>
    </row>
    <row r="872" ht="22.5" customHeight="1">
      <c r="A872" s="417" t="str">
        <f>VLOOKUP(F872, Employees!$A$2:$C957, 3, FALSE)</f>
        <v>#N/A</v>
      </c>
      <c r="B872" s="418">
        <f>100000 / (DAY(EOMONTH(Attendance!A872,0)) - 4)</f>
        <v>3703.703704</v>
      </c>
      <c r="C872" s="417" t="str">
        <f>MAX(0, Attendance!C872 - TIME(9, 0, 0)) * 24 * A872</f>
        <v>#N/A</v>
      </c>
      <c r="D872" s="419" t="str">
        <f>MAX(0, Attendance!D872 - TIME(18, 0, 0)) * 24 * 1.5 * A872</f>
        <v>#N/A</v>
      </c>
      <c r="E872" s="418">
        <f>IF(AND(Attendance!E872&lt;&gt;"Friday", Attendance!C872&lt;&gt;""), B872, 0)</f>
        <v>0</v>
      </c>
      <c r="F872" s="420" t="str">
        <f>Attendance!B872</f>
        <v/>
      </c>
      <c r="G872" s="415" t="str">
        <f>Attendance!A872</f>
        <v/>
      </c>
      <c r="H872" s="420" t="str">
        <f>IFERROR(__xludf.DUMMYFUNCTION("REGEXREPLACE(F872, ""\d+$"", """")"),"")</f>
        <v/>
      </c>
    </row>
    <row r="873" ht="22.5" customHeight="1">
      <c r="A873" s="417" t="str">
        <f>VLOOKUP(F873, Employees!$A$2:$C957, 3, FALSE)</f>
        <v>#N/A</v>
      </c>
      <c r="B873" s="418">
        <f>100000 / (DAY(EOMONTH(Attendance!A873,0)) - 4)</f>
        <v>3703.703704</v>
      </c>
      <c r="C873" s="417" t="str">
        <f>MAX(0, Attendance!C873 - TIME(9, 0, 0)) * 24 * A873</f>
        <v>#N/A</v>
      </c>
      <c r="D873" s="419" t="str">
        <f>MAX(0, Attendance!D873 - TIME(18, 0, 0)) * 24 * 1.5 * A873</f>
        <v>#N/A</v>
      </c>
      <c r="E873" s="418">
        <f>IF(AND(Attendance!E873&lt;&gt;"Friday", Attendance!C873&lt;&gt;""), B873, 0)</f>
        <v>0</v>
      </c>
      <c r="F873" s="420" t="str">
        <f>Attendance!B873</f>
        <v/>
      </c>
      <c r="G873" s="415" t="str">
        <f>Attendance!A873</f>
        <v/>
      </c>
      <c r="H873" s="420" t="str">
        <f>IFERROR(__xludf.DUMMYFUNCTION("REGEXREPLACE(F873, ""\d+$"", """")"),"")</f>
        <v/>
      </c>
    </row>
    <row r="874" ht="22.5" customHeight="1">
      <c r="A874" s="417" t="str">
        <f>VLOOKUP(F874, Employees!$A$2:$C957, 3, FALSE)</f>
        <v>#N/A</v>
      </c>
      <c r="B874" s="418">
        <f>100000 / (DAY(EOMONTH(Attendance!A874,0)) - 4)</f>
        <v>3703.703704</v>
      </c>
      <c r="C874" s="417" t="str">
        <f>MAX(0, Attendance!C874 - TIME(9, 0, 0)) * 24 * A874</f>
        <v>#N/A</v>
      </c>
      <c r="D874" s="419" t="str">
        <f>MAX(0, Attendance!D874 - TIME(18, 0, 0)) * 24 * 1.5 * A874</f>
        <v>#N/A</v>
      </c>
      <c r="E874" s="418">
        <f>IF(AND(Attendance!E874&lt;&gt;"Friday", Attendance!C874&lt;&gt;""), B874, 0)</f>
        <v>0</v>
      </c>
      <c r="F874" s="420" t="str">
        <f>Attendance!B874</f>
        <v/>
      </c>
      <c r="G874" s="415" t="str">
        <f>Attendance!A874</f>
        <v/>
      </c>
      <c r="H874" s="420" t="str">
        <f>IFERROR(__xludf.DUMMYFUNCTION("REGEXREPLACE(F874, ""\d+$"", """")"),"")</f>
        <v/>
      </c>
    </row>
    <row r="875" ht="22.5" customHeight="1">
      <c r="A875" s="417" t="str">
        <f>VLOOKUP(F875, Employees!$A$2:$C957, 3, FALSE)</f>
        <v>#N/A</v>
      </c>
      <c r="B875" s="418">
        <f>100000 / (DAY(EOMONTH(Attendance!A875,0)) - 4)</f>
        <v>3703.703704</v>
      </c>
      <c r="C875" s="417" t="str">
        <f>MAX(0, Attendance!C875 - TIME(9, 0, 0)) * 24 * A875</f>
        <v>#N/A</v>
      </c>
      <c r="D875" s="419" t="str">
        <f>MAX(0, Attendance!D875 - TIME(18, 0, 0)) * 24 * 1.5 * A875</f>
        <v>#N/A</v>
      </c>
      <c r="E875" s="418">
        <f>IF(AND(Attendance!E875&lt;&gt;"Friday", Attendance!C875&lt;&gt;""), B875, 0)</f>
        <v>0</v>
      </c>
      <c r="F875" s="420" t="str">
        <f>Attendance!B875</f>
        <v/>
      </c>
      <c r="G875" s="415" t="str">
        <f>Attendance!A875</f>
        <v/>
      </c>
      <c r="H875" s="420" t="str">
        <f>IFERROR(__xludf.DUMMYFUNCTION("REGEXREPLACE(F875, ""\d+$"", """")"),"")</f>
        <v/>
      </c>
    </row>
    <row r="876" ht="22.5" customHeight="1">
      <c r="A876" s="417" t="str">
        <f>VLOOKUP(F876, Employees!$A$2:$C957, 3, FALSE)</f>
        <v>#N/A</v>
      </c>
      <c r="B876" s="418">
        <f>100000 / (DAY(EOMONTH(Attendance!A876,0)) - 4)</f>
        <v>3703.703704</v>
      </c>
      <c r="C876" s="417" t="str">
        <f>MAX(0, Attendance!C876 - TIME(9, 0, 0)) * 24 * A876</f>
        <v>#N/A</v>
      </c>
      <c r="D876" s="419" t="str">
        <f>MAX(0, Attendance!D876 - TIME(18, 0, 0)) * 24 * 1.5 * A876</f>
        <v>#N/A</v>
      </c>
      <c r="E876" s="418">
        <f>IF(AND(Attendance!E876&lt;&gt;"Friday", Attendance!C876&lt;&gt;""), B876, 0)</f>
        <v>0</v>
      </c>
      <c r="F876" s="420" t="str">
        <f>Attendance!B876</f>
        <v/>
      </c>
      <c r="G876" s="415" t="str">
        <f>Attendance!A876</f>
        <v/>
      </c>
      <c r="H876" s="420" t="str">
        <f>IFERROR(__xludf.DUMMYFUNCTION("REGEXREPLACE(F876, ""\d+$"", """")"),"")</f>
        <v/>
      </c>
    </row>
    <row r="877" ht="22.5" customHeight="1">
      <c r="A877" s="417" t="str">
        <f>VLOOKUP(F877, Employees!$A$2:$C957, 3, FALSE)</f>
        <v>#N/A</v>
      </c>
      <c r="B877" s="418">
        <f>100000 / (DAY(EOMONTH(Attendance!A877,0)) - 4)</f>
        <v>3703.703704</v>
      </c>
      <c r="C877" s="417" t="str">
        <f>MAX(0, Attendance!C877 - TIME(9, 0, 0)) * 24 * A877</f>
        <v>#N/A</v>
      </c>
      <c r="D877" s="419" t="str">
        <f>MAX(0, Attendance!D877 - TIME(18, 0, 0)) * 24 * 1.5 * A877</f>
        <v>#N/A</v>
      </c>
      <c r="E877" s="418">
        <f>IF(AND(Attendance!E877&lt;&gt;"Friday", Attendance!C877&lt;&gt;""), B877, 0)</f>
        <v>0</v>
      </c>
      <c r="F877" s="420" t="str">
        <f>Attendance!B877</f>
        <v/>
      </c>
      <c r="G877" s="415" t="str">
        <f>Attendance!A877</f>
        <v/>
      </c>
      <c r="H877" s="420" t="str">
        <f>IFERROR(__xludf.DUMMYFUNCTION("REGEXREPLACE(F877, ""\d+$"", """")"),"")</f>
        <v/>
      </c>
    </row>
    <row r="878" ht="22.5" customHeight="1">
      <c r="A878" s="417" t="str">
        <f>VLOOKUP(F878, Employees!$A$2:$C957, 3, FALSE)</f>
        <v>#N/A</v>
      </c>
      <c r="B878" s="418">
        <f>100000 / (DAY(EOMONTH(Attendance!A878,0)) - 4)</f>
        <v>3703.703704</v>
      </c>
      <c r="C878" s="417" t="str">
        <f>MAX(0, Attendance!C878 - TIME(9, 0, 0)) * 24 * A878</f>
        <v>#N/A</v>
      </c>
      <c r="D878" s="419" t="str">
        <f>MAX(0, Attendance!D878 - TIME(18, 0, 0)) * 24 * 1.5 * A878</f>
        <v>#N/A</v>
      </c>
      <c r="E878" s="418">
        <f>IF(AND(Attendance!E878&lt;&gt;"Friday", Attendance!C878&lt;&gt;""), B878, 0)</f>
        <v>0</v>
      </c>
      <c r="F878" s="420" t="str">
        <f>Attendance!B878</f>
        <v/>
      </c>
      <c r="G878" s="415" t="str">
        <f>Attendance!A878</f>
        <v/>
      </c>
      <c r="H878" s="420" t="str">
        <f>IFERROR(__xludf.DUMMYFUNCTION("REGEXREPLACE(F878, ""\d+$"", """")"),"")</f>
        <v/>
      </c>
    </row>
    <row r="879" ht="22.5" customHeight="1">
      <c r="A879" s="417" t="str">
        <f>VLOOKUP(F879, Employees!$A$2:$C957, 3, FALSE)</f>
        <v>#N/A</v>
      </c>
      <c r="B879" s="418">
        <f>100000 / (DAY(EOMONTH(Attendance!A879,0)) - 4)</f>
        <v>3703.703704</v>
      </c>
      <c r="C879" s="417" t="str">
        <f>MAX(0, Attendance!C879 - TIME(9, 0, 0)) * 24 * A879</f>
        <v>#N/A</v>
      </c>
      <c r="D879" s="419" t="str">
        <f>MAX(0, Attendance!D879 - TIME(18, 0, 0)) * 24 * 1.5 * A879</f>
        <v>#N/A</v>
      </c>
      <c r="E879" s="418">
        <f>IF(AND(Attendance!E879&lt;&gt;"Friday", Attendance!C879&lt;&gt;""), B879, 0)</f>
        <v>0</v>
      </c>
      <c r="F879" s="420" t="str">
        <f>Attendance!B879</f>
        <v/>
      </c>
      <c r="G879" s="415" t="str">
        <f>Attendance!A879</f>
        <v/>
      </c>
      <c r="H879" s="420" t="str">
        <f>IFERROR(__xludf.DUMMYFUNCTION("REGEXREPLACE(F879, ""\d+$"", """")"),"")</f>
        <v/>
      </c>
    </row>
    <row r="880" ht="22.5" customHeight="1">
      <c r="A880" s="417" t="str">
        <f>VLOOKUP(F880, Employees!$A$2:$C957, 3, FALSE)</f>
        <v>#N/A</v>
      </c>
      <c r="B880" s="418">
        <f>100000 / (DAY(EOMONTH(Attendance!A880,0)) - 4)</f>
        <v>3703.703704</v>
      </c>
      <c r="C880" s="417" t="str">
        <f>MAX(0, Attendance!C880 - TIME(9, 0, 0)) * 24 * A880</f>
        <v>#N/A</v>
      </c>
      <c r="D880" s="419" t="str">
        <f>MAX(0, Attendance!D880 - TIME(18, 0, 0)) * 24 * 1.5 * A880</f>
        <v>#N/A</v>
      </c>
      <c r="E880" s="418">
        <f>IF(AND(Attendance!E880&lt;&gt;"Friday", Attendance!C880&lt;&gt;""), B880, 0)</f>
        <v>0</v>
      </c>
      <c r="F880" s="420" t="str">
        <f>Attendance!B880</f>
        <v/>
      </c>
      <c r="G880" s="415" t="str">
        <f>Attendance!A880</f>
        <v/>
      </c>
      <c r="H880" s="420" t="str">
        <f>IFERROR(__xludf.DUMMYFUNCTION("REGEXREPLACE(F880, ""\d+$"", """")"),"")</f>
        <v/>
      </c>
    </row>
    <row r="881" ht="22.5" customHeight="1">
      <c r="A881" s="417" t="str">
        <f>VLOOKUP(F881, Employees!$A$2:$C957, 3, FALSE)</f>
        <v>#N/A</v>
      </c>
      <c r="B881" s="418">
        <f>100000 / (DAY(EOMONTH(Attendance!A881,0)) - 4)</f>
        <v>3703.703704</v>
      </c>
      <c r="C881" s="417" t="str">
        <f>MAX(0, Attendance!C881 - TIME(9, 0, 0)) * 24 * A881</f>
        <v>#N/A</v>
      </c>
      <c r="D881" s="419" t="str">
        <f>MAX(0, Attendance!D881 - TIME(18, 0, 0)) * 24 * 1.5 * A881</f>
        <v>#N/A</v>
      </c>
      <c r="E881" s="418">
        <f>IF(AND(Attendance!E881&lt;&gt;"Friday", Attendance!C881&lt;&gt;""), B881, 0)</f>
        <v>0</v>
      </c>
      <c r="F881" s="420" t="str">
        <f>Attendance!B881</f>
        <v/>
      </c>
      <c r="G881" s="415" t="str">
        <f>Attendance!A881</f>
        <v/>
      </c>
      <c r="H881" s="420" t="str">
        <f>IFERROR(__xludf.DUMMYFUNCTION("REGEXREPLACE(F881, ""\d+$"", """")"),"")</f>
        <v/>
      </c>
    </row>
    <row r="882" ht="22.5" customHeight="1">
      <c r="A882" s="417" t="str">
        <f>VLOOKUP(F882, Employees!$A$2:$C957, 3, FALSE)</f>
        <v>#N/A</v>
      </c>
      <c r="B882" s="418">
        <f>100000 / (DAY(EOMONTH(Attendance!A882,0)) - 4)</f>
        <v>3703.703704</v>
      </c>
      <c r="C882" s="417" t="str">
        <f>MAX(0, Attendance!C882 - TIME(9, 0, 0)) * 24 * A882</f>
        <v>#N/A</v>
      </c>
      <c r="D882" s="419" t="str">
        <f>MAX(0, Attendance!D882 - TIME(18, 0, 0)) * 24 * 1.5 * A882</f>
        <v>#N/A</v>
      </c>
      <c r="E882" s="418">
        <f>IF(AND(Attendance!E882&lt;&gt;"Friday", Attendance!C882&lt;&gt;""), B882, 0)</f>
        <v>0</v>
      </c>
      <c r="F882" s="420" t="str">
        <f>Attendance!B882</f>
        <v/>
      </c>
      <c r="G882" s="415" t="str">
        <f>Attendance!A882</f>
        <v/>
      </c>
      <c r="H882" s="420" t="str">
        <f>IFERROR(__xludf.DUMMYFUNCTION("REGEXREPLACE(F882, ""\d+$"", """")"),"")</f>
        <v/>
      </c>
    </row>
    <row r="883" ht="22.5" customHeight="1">
      <c r="A883" s="417" t="str">
        <f>VLOOKUP(F883, Employees!$A$2:$C957, 3, FALSE)</f>
        <v>#N/A</v>
      </c>
      <c r="B883" s="418">
        <f>100000 / (DAY(EOMONTH(Attendance!A883,0)) - 4)</f>
        <v>3703.703704</v>
      </c>
      <c r="C883" s="417" t="str">
        <f>MAX(0, Attendance!C883 - TIME(9, 0, 0)) * 24 * A883</f>
        <v>#N/A</v>
      </c>
      <c r="D883" s="419" t="str">
        <f>MAX(0, Attendance!D883 - TIME(18, 0, 0)) * 24 * 1.5 * A883</f>
        <v>#N/A</v>
      </c>
      <c r="E883" s="418">
        <f>IF(AND(Attendance!E883&lt;&gt;"Friday", Attendance!C883&lt;&gt;""), B883, 0)</f>
        <v>0</v>
      </c>
      <c r="F883" s="420" t="str">
        <f>Attendance!B883</f>
        <v/>
      </c>
      <c r="G883" s="415" t="str">
        <f>Attendance!A883</f>
        <v/>
      </c>
      <c r="H883" s="420" t="str">
        <f>IFERROR(__xludf.DUMMYFUNCTION("REGEXREPLACE(F883, ""\d+$"", """")"),"")</f>
        <v/>
      </c>
    </row>
    <row r="884" ht="22.5" customHeight="1">
      <c r="A884" s="417" t="str">
        <f>VLOOKUP(F884, Employees!$A$2:$C957, 3, FALSE)</f>
        <v>#N/A</v>
      </c>
      <c r="B884" s="418">
        <f>100000 / (DAY(EOMONTH(Attendance!A884,0)) - 4)</f>
        <v>3703.703704</v>
      </c>
      <c r="C884" s="417" t="str">
        <f>MAX(0, Attendance!C884 - TIME(9, 0, 0)) * 24 * A884</f>
        <v>#N/A</v>
      </c>
      <c r="D884" s="419" t="str">
        <f>MAX(0, Attendance!D884 - TIME(18, 0, 0)) * 24 * 1.5 * A884</f>
        <v>#N/A</v>
      </c>
      <c r="E884" s="418">
        <f>IF(AND(Attendance!E884&lt;&gt;"Friday", Attendance!C884&lt;&gt;""), B884, 0)</f>
        <v>0</v>
      </c>
      <c r="F884" s="420" t="str">
        <f>Attendance!B884</f>
        <v/>
      </c>
      <c r="G884" s="415" t="str">
        <f>Attendance!A884</f>
        <v/>
      </c>
      <c r="H884" s="420" t="str">
        <f>IFERROR(__xludf.DUMMYFUNCTION("REGEXREPLACE(F884, ""\d+$"", """")"),"")</f>
        <v/>
      </c>
    </row>
    <row r="885" ht="22.5" customHeight="1">
      <c r="A885" s="417" t="str">
        <f>VLOOKUP(F885, Employees!$A$2:$C957, 3, FALSE)</f>
        <v>#N/A</v>
      </c>
      <c r="B885" s="418">
        <f>100000 / (DAY(EOMONTH(Attendance!A885,0)) - 4)</f>
        <v>3703.703704</v>
      </c>
      <c r="C885" s="417" t="str">
        <f>MAX(0, Attendance!C885 - TIME(9, 0, 0)) * 24 * A885</f>
        <v>#N/A</v>
      </c>
      <c r="D885" s="419" t="str">
        <f>MAX(0, Attendance!D885 - TIME(18, 0, 0)) * 24 * 1.5 * A885</f>
        <v>#N/A</v>
      </c>
      <c r="E885" s="418">
        <f>IF(AND(Attendance!E885&lt;&gt;"Friday", Attendance!C885&lt;&gt;""), B885, 0)</f>
        <v>0</v>
      </c>
      <c r="F885" s="420" t="str">
        <f>Attendance!B885</f>
        <v/>
      </c>
      <c r="G885" s="415" t="str">
        <f>Attendance!A885</f>
        <v/>
      </c>
      <c r="H885" s="420" t="str">
        <f>IFERROR(__xludf.DUMMYFUNCTION("REGEXREPLACE(F885, ""\d+$"", """")"),"")</f>
        <v/>
      </c>
    </row>
    <row r="886" ht="22.5" customHeight="1">
      <c r="A886" s="417" t="str">
        <f>VLOOKUP(F886, Employees!$A$2:$C957, 3, FALSE)</f>
        <v>#N/A</v>
      </c>
      <c r="B886" s="418">
        <f>100000 / (DAY(EOMONTH(Attendance!A886,0)) - 4)</f>
        <v>3703.703704</v>
      </c>
      <c r="C886" s="417" t="str">
        <f>MAX(0, Attendance!C886 - TIME(9, 0, 0)) * 24 * A886</f>
        <v>#N/A</v>
      </c>
      <c r="D886" s="419" t="str">
        <f>MAX(0, Attendance!D886 - TIME(18, 0, 0)) * 24 * 1.5 * A886</f>
        <v>#N/A</v>
      </c>
      <c r="E886" s="418">
        <f>IF(AND(Attendance!E886&lt;&gt;"Friday", Attendance!C886&lt;&gt;""), B886, 0)</f>
        <v>0</v>
      </c>
      <c r="F886" s="420" t="str">
        <f>Attendance!B886</f>
        <v/>
      </c>
      <c r="G886" s="415" t="str">
        <f>Attendance!A886</f>
        <v/>
      </c>
      <c r="H886" s="420" t="str">
        <f>IFERROR(__xludf.DUMMYFUNCTION("REGEXREPLACE(F886, ""\d+$"", """")"),"")</f>
        <v/>
      </c>
    </row>
    <row r="887" ht="22.5" customHeight="1">
      <c r="A887" s="417" t="str">
        <f>VLOOKUP(F887, Employees!$A$2:$C957, 3, FALSE)</f>
        <v>#N/A</v>
      </c>
      <c r="B887" s="418">
        <f>100000 / (DAY(EOMONTH(Attendance!A887,0)) - 4)</f>
        <v>3703.703704</v>
      </c>
      <c r="C887" s="417" t="str">
        <f>MAX(0, Attendance!C887 - TIME(9, 0, 0)) * 24 * A887</f>
        <v>#N/A</v>
      </c>
      <c r="D887" s="419" t="str">
        <f>MAX(0, Attendance!D887 - TIME(18, 0, 0)) * 24 * 1.5 * A887</f>
        <v>#N/A</v>
      </c>
      <c r="E887" s="418">
        <f>IF(AND(Attendance!E887&lt;&gt;"Friday", Attendance!C887&lt;&gt;""), B887, 0)</f>
        <v>0</v>
      </c>
      <c r="F887" s="420" t="str">
        <f>Attendance!B887</f>
        <v/>
      </c>
      <c r="G887" s="415" t="str">
        <f>Attendance!A887</f>
        <v/>
      </c>
      <c r="H887" s="420" t="str">
        <f>IFERROR(__xludf.DUMMYFUNCTION("REGEXREPLACE(F887, ""\d+$"", """")"),"")</f>
        <v/>
      </c>
    </row>
    <row r="888" ht="22.5" customHeight="1">
      <c r="A888" s="417" t="str">
        <f>VLOOKUP(F888, Employees!$A$2:$C957, 3, FALSE)</f>
        <v>#N/A</v>
      </c>
      <c r="B888" s="418">
        <f>100000 / (DAY(EOMONTH(Attendance!A888,0)) - 4)</f>
        <v>3703.703704</v>
      </c>
      <c r="C888" s="417" t="str">
        <f>MAX(0, Attendance!C888 - TIME(9, 0, 0)) * 24 * A888</f>
        <v>#N/A</v>
      </c>
      <c r="D888" s="419" t="str">
        <f>MAX(0, Attendance!D888 - TIME(18, 0, 0)) * 24 * 1.5 * A888</f>
        <v>#N/A</v>
      </c>
      <c r="E888" s="418">
        <f>IF(AND(Attendance!E888&lt;&gt;"Friday", Attendance!C888&lt;&gt;""), B888, 0)</f>
        <v>0</v>
      </c>
      <c r="F888" s="420" t="str">
        <f>Attendance!B888</f>
        <v/>
      </c>
      <c r="G888" s="415" t="str">
        <f>Attendance!A888</f>
        <v/>
      </c>
      <c r="H888" s="420" t="str">
        <f>IFERROR(__xludf.DUMMYFUNCTION("REGEXREPLACE(F888, ""\d+$"", """")"),"")</f>
        <v/>
      </c>
    </row>
    <row r="889" ht="22.5" customHeight="1">
      <c r="A889" s="417" t="str">
        <f>VLOOKUP(F889, Employees!$A$2:$C957, 3, FALSE)</f>
        <v>#N/A</v>
      </c>
      <c r="B889" s="418">
        <f>100000 / (DAY(EOMONTH(Attendance!A889,0)) - 4)</f>
        <v>3703.703704</v>
      </c>
      <c r="C889" s="417" t="str">
        <f>MAX(0, Attendance!C889 - TIME(9, 0, 0)) * 24 * A889</f>
        <v>#N/A</v>
      </c>
      <c r="D889" s="419" t="str">
        <f>MAX(0, Attendance!D889 - TIME(18, 0, 0)) * 24 * 1.5 * A889</f>
        <v>#N/A</v>
      </c>
      <c r="E889" s="418">
        <f>IF(AND(Attendance!E889&lt;&gt;"Friday", Attendance!C889&lt;&gt;""), B889, 0)</f>
        <v>0</v>
      </c>
      <c r="F889" s="420" t="str">
        <f>Attendance!B889</f>
        <v/>
      </c>
      <c r="G889" s="415" t="str">
        <f>Attendance!A889</f>
        <v/>
      </c>
      <c r="H889" s="420" t="str">
        <f>IFERROR(__xludf.DUMMYFUNCTION("REGEXREPLACE(F889, ""\d+$"", """")"),"")</f>
        <v/>
      </c>
    </row>
    <row r="890" ht="22.5" customHeight="1">
      <c r="A890" s="417" t="str">
        <f>VLOOKUP(F890, Employees!$A$2:$C957, 3, FALSE)</f>
        <v>#N/A</v>
      </c>
      <c r="B890" s="418">
        <f>100000 / (DAY(EOMONTH(Attendance!A890,0)) - 4)</f>
        <v>3703.703704</v>
      </c>
      <c r="C890" s="417" t="str">
        <f>MAX(0, Attendance!C890 - TIME(9, 0, 0)) * 24 * A890</f>
        <v>#N/A</v>
      </c>
      <c r="D890" s="419" t="str">
        <f>MAX(0, Attendance!D890 - TIME(18, 0, 0)) * 24 * 1.5 * A890</f>
        <v>#N/A</v>
      </c>
      <c r="E890" s="418">
        <f>IF(AND(Attendance!E890&lt;&gt;"Friday", Attendance!C890&lt;&gt;""), B890, 0)</f>
        <v>0</v>
      </c>
      <c r="F890" s="420" t="str">
        <f>Attendance!B890</f>
        <v/>
      </c>
      <c r="G890" s="415" t="str">
        <f>Attendance!A890</f>
        <v/>
      </c>
      <c r="H890" s="420" t="str">
        <f>IFERROR(__xludf.DUMMYFUNCTION("REGEXREPLACE(F890, ""\d+$"", """")"),"")</f>
        <v/>
      </c>
    </row>
    <row r="891" ht="22.5" customHeight="1">
      <c r="A891" s="417" t="str">
        <f>VLOOKUP(F891, Employees!$A$2:$C957, 3, FALSE)</f>
        <v>#N/A</v>
      </c>
      <c r="B891" s="418">
        <f>100000 / (DAY(EOMONTH(Attendance!A891,0)) - 4)</f>
        <v>3703.703704</v>
      </c>
      <c r="C891" s="417" t="str">
        <f>MAX(0, Attendance!C891 - TIME(9, 0, 0)) * 24 * A891</f>
        <v>#N/A</v>
      </c>
      <c r="D891" s="419" t="str">
        <f>MAX(0, Attendance!D891 - TIME(18, 0, 0)) * 24 * 1.5 * A891</f>
        <v>#N/A</v>
      </c>
      <c r="E891" s="418">
        <f>IF(AND(Attendance!E891&lt;&gt;"Friday", Attendance!C891&lt;&gt;""), B891, 0)</f>
        <v>0</v>
      </c>
      <c r="F891" s="420" t="str">
        <f>Attendance!B891</f>
        <v/>
      </c>
      <c r="G891" s="415" t="str">
        <f>Attendance!A891</f>
        <v/>
      </c>
      <c r="H891" s="420" t="str">
        <f>IFERROR(__xludf.DUMMYFUNCTION("REGEXREPLACE(F891, ""\d+$"", """")"),"")</f>
        <v/>
      </c>
    </row>
    <row r="892" ht="22.5" customHeight="1">
      <c r="A892" s="417" t="str">
        <f>VLOOKUP(F892, Employees!$A$2:$C957, 3, FALSE)</f>
        <v>#N/A</v>
      </c>
      <c r="B892" s="418">
        <f>100000 / (DAY(EOMONTH(Attendance!A892,0)) - 4)</f>
        <v>3703.703704</v>
      </c>
      <c r="C892" s="417" t="str">
        <f>MAX(0, Attendance!C892 - TIME(9, 0, 0)) * 24 * A892</f>
        <v>#N/A</v>
      </c>
      <c r="D892" s="419" t="str">
        <f>MAX(0, Attendance!D892 - TIME(18, 0, 0)) * 24 * 1.5 * A892</f>
        <v>#N/A</v>
      </c>
      <c r="E892" s="418">
        <f>IF(AND(Attendance!E892&lt;&gt;"Friday", Attendance!C892&lt;&gt;""), B892, 0)</f>
        <v>0</v>
      </c>
      <c r="F892" s="420" t="str">
        <f>Attendance!B892</f>
        <v/>
      </c>
      <c r="G892" s="415" t="str">
        <f>Attendance!A892</f>
        <v/>
      </c>
      <c r="H892" s="420" t="str">
        <f>IFERROR(__xludf.DUMMYFUNCTION("REGEXREPLACE(F892, ""\d+$"", """")"),"")</f>
        <v/>
      </c>
    </row>
    <row r="893" ht="22.5" customHeight="1">
      <c r="A893" s="417" t="str">
        <f>VLOOKUP(F893, Employees!$A$2:$C957, 3, FALSE)</f>
        <v>#N/A</v>
      </c>
      <c r="B893" s="418">
        <f>100000 / (DAY(EOMONTH(Attendance!A893,0)) - 4)</f>
        <v>3703.703704</v>
      </c>
      <c r="C893" s="417" t="str">
        <f>MAX(0, Attendance!C893 - TIME(9, 0, 0)) * 24 * A893</f>
        <v>#N/A</v>
      </c>
      <c r="D893" s="419" t="str">
        <f>MAX(0, Attendance!D893 - TIME(18, 0, 0)) * 24 * 1.5 * A893</f>
        <v>#N/A</v>
      </c>
      <c r="E893" s="418">
        <f>IF(AND(Attendance!E893&lt;&gt;"Friday", Attendance!C893&lt;&gt;""), B893, 0)</f>
        <v>0</v>
      </c>
      <c r="F893" s="420" t="str">
        <f>Attendance!B893</f>
        <v/>
      </c>
      <c r="G893" s="415" t="str">
        <f>Attendance!A893</f>
        <v/>
      </c>
      <c r="H893" s="420" t="str">
        <f>IFERROR(__xludf.DUMMYFUNCTION("REGEXREPLACE(F893, ""\d+$"", """")"),"")</f>
        <v/>
      </c>
    </row>
    <row r="894" ht="22.5" customHeight="1">
      <c r="A894" s="417" t="str">
        <f>VLOOKUP(F894, Employees!$A$2:$C957, 3, FALSE)</f>
        <v>#N/A</v>
      </c>
      <c r="B894" s="418">
        <f>100000 / (DAY(EOMONTH(Attendance!A894,0)) - 4)</f>
        <v>3703.703704</v>
      </c>
      <c r="C894" s="417" t="str">
        <f>MAX(0, Attendance!C894 - TIME(9, 0, 0)) * 24 * A894</f>
        <v>#N/A</v>
      </c>
      <c r="D894" s="419" t="str">
        <f>MAX(0, Attendance!D894 - TIME(18, 0, 0)) * 24 * 1.5 * A894</f>
        <v>#N/A</v>
      </c>
      <c r="E894" s="418">
        <f>IF(AND(Attendance!E894&lt;&gt;"Friday", Attendance!C894&lt;&gt;""), B894, 0)</f>
        <v>0</v>
      </c>
      <c r="F894" s="420" t="str">
        <f>Attendance!B894</f>
        <v/>
      </c>
      <c r="G894" s="415" t="str">
        <f>Attendance!A894</f>
        <v/>
      </c>
      <c r="H894" s="420" t="str">
        <f>IFERROR(__xludf.DUMMYFUNCTION("REGEXREPLACE(F894, ""\d+$"", """")"),"")</f>
        <v/>
      </c>
    </row>
    <row r="895" ht="22.5" customHeight="1">
      <c r="A895" s="417" t="str">
        <f>VLOOKUP(F895, Employees!$A$2:$C957, 3, FALSE)</f>
        <v>#N/A</v>
      </c>
      <c r="B895" s="418">
        <f>100000 / (DAY(EOMONTH(Attendance!A895,0)) - 4)</f>
        <v>3703.703704</v>
      </c>
      <c r="C895" s="417" t="str">
        <f>MAX(0, Attendance!C895 - TIME(9, 0, 0)) * 24 * A895</f>
        <v>#N/A</v>
      </c>
      <c r="D895" s="419" t="str">
        <f>MAX(0, Attendance!D895 - TIME(18, 0, 0)) * 24 * 1.5 * A895</f>
        <v>#N/A</v>
      </c>
      <c r="E895" s="418">
        <f>IF(AND(Attendance!E895&lt;&gt;"Friday", Attendance!C895&lt;&gt;""), B895, 0)</f>
        <v>0</v>
      </c>
      <c r="F895" s="420" t="str">
        <f>Attendance!B895</f>
        <v/>
      </c>
      <c r="G895" s="415" t="str">
        <f>Attendance!A895</f>
        <v/>
      </c>
      <c r="H895" s="420" t="str">
        <f>IFERROR(__xludf.DUMMYFUNCTION("REGEXREPLACE(F895, ""\d+$"", """")"),"")</f>
        <v/>
      </c>
    </row>
    <row r="896" ht="22.5" customHeight="1">
      <c r="A896" s="417" t="str">
        <f>VLOOKUP(F896, Employees!$A$2:$C957, 3, FALSE)</f>
        <v>#N/A</v>
      </c>
      <c r="B896" s="418">
        <f>100000 / (DAY(EOMONTH(Attendance!A896,0)) - 4)</f>
        <v>3703.703704</v>
      </c>
      <c r="C896" s="417" t="str">
        <f>MAX(0, Attendance!C896 - TIME(9, 0, 0)) * 24 * A896</f>
        <v>#N/A</v>
      </c>
      <c r="D896" s="419" t="str">
        <f>MAX(0, Attendance!D896 - TIME(18, 0, 0)) * 24 * 1.5 * A896</f>
        <v>#N/A</v>
      </c>
      <c r="E896" s="418">
        <f>IF(AND(Attendance!E896&lt;&gt;"Friday", Attendance!C896&lt;&gt;""), B896, 0)</f>
        <v>0</v>
      </c>
      <c r="F896" s="420" t="str">
        <f>Attendance!B896</f>
        <v/>
      </c>
      <c r="G896" s="415" t="str">
        <f>Attendance!A896</f>
        <v/>
      </c>
      <c r="H896" s="420" t="str">
        <f>IFERROR(__xludf.DUMMYFUNCTION("REGEXREPLACE(F896, ""\d+$"", """")"),"")</f>
        <v/>
      </c>
    </row>
    <row r="897" ht="22.5" customHeight="1">
      <c r="A897" s="417" t="str">
        <f>VLOOKUP(F897, Employees!$A$2:$C957, 3, FALSE)</f>
        <v>#N/A</v>
      </c>
      <c r="B897" s="418">
        <f>100000 / (DAY(EOMONTH(Attendance!A897,0)) - 4)</f>
        <v>3703.703704</v>
      </c>
      <c r="C897" s="417" t="str">
        <f>MAX(0, Attendance!C897 - TIME(9, 0, 0)) * 24 * A897</f>
        <v>#N/A</v>
      </c>
      <c r="D897" s="419" t="str">
        <f>MAX(0, Attendance!D897 - TIME(18, 0, 0)) * 24 * 1.5 * A897</f>
        <v>#N/A</v>
      </c>
      <c r="E897" s="418">
        <f>IF(AND(Attendance!E897&lt;&gt;"Friday", Attendance!C897&lt;&gt;""), B897, 0)</f>
        <v>0</v>
      </c>
      <c r="F897" s="420" t="str">
        <f>Attendance!B897</f>
        <v/>
      </c>
      <c r="G897" s="415" t="str">
        <f>Attendance!A897</f>
        <v/>
      </c>
      <c r="H897" s="420" t="str">
        <f>IFERROR(__xludf.DUMMYFUNCTION("REGEXREPLACE(F897, ""\d+$"", """")"),"")</f>
        <v/>
      </c>
    </row>
    <row r="898" ht="22.5" customHeight="1">
      <c r="A898" s="417" t="str">
        <f>VLOOKUP(F898, Employees!$A$2:$C957, 3, FALSE)</f>
        <v>#N/A</v>
      </c>
      <c r="B898" s="418">
        <f>100000 / (DAY(EOMONTH(Attendance!A898,0)) - 4)</f>
        <v>3703.703704</v>
      </c>
      <c r="C898" s="417" t="str">
        <f>MAX(0, Attendance!C898 - TIME(9, 0, 0)) * 24 * A898</f>
        <v>#N/A</v>
      </c>
      <c r="D898" s="419" t="str">
        <f>MAX(0, Attendance!D898 - TIME(18, 0, 0)) * 24 * 1.5 * A898</f>
        <v>#N/A</v>
      </c>
      <c r="E898" s="418">
        <f>IF(AND(Attendance!E898&lt;&gt;"Friday", Attendance!C898&lt;&gt;""), B898, 0)</f>
        <v>0</v>
      </c>
      <c r="F898" s="420" t="str">
        <f>Attendance!B898</f>
        <v/>
      </c>
      <c r="G898" s="415" t="str">
        <f>Attendance!A898</f>
        <v/>
      </c>
      <c r="H898" s="420" t="str">
        <f>IFERROR(__xludf.DUMMYFUNCTION("REGEXREPLACE(F898, ""\d+$"", """")"),"")</f>
        <v/>
      </c>
    </row>
    <row r="899" ht="22.5" customHeight="1">
      <c r="A899" s="417" t="str">
        <f>VLOOKUP(F899, Employees!$A$2:$C957, 3, FALSE)</f>
        <v>#N/A</v>
      </c>
      <c r="B899" s="418">
        <f>100000 / (DAY(EOMONTH(Attendance!A899,0)) - 4)</f>
        <v>3703.703704</v>
      </c>
      <c r="C899" s="417" t="str">
        <f>MAX(0, Attendance!C899 - TIME(9, 0, 0)) * 24 * A899</f>
        <v>#N/A</v>
      </c>
      <c r="D899" s="419" t="str">
        <f>MAX(0, Attendance!D899 - TIME(18, 0, 0)) * 24 * 1.5 * A899</f>
        <v>#N/A</v>
      </c>
      <c r="E899" s="418">
        <f>IF(AND(Attendance!E899&lt;&gt;"Friday", Attendance!C899&lt;&gt;""), B899, 0)</f>
        <v>0</v>
      </c>
      <c r="F899" s="420" t="str">
        <f>Attendance!B899</f>
        <v/>
      </c>
      <c r="G899" s="415" t="str">
        <f>Attendance!A899</f>
        <v/>
      </c>
      <c r="H899" s="420" t="str">
        <f>IFERROR(__xludf.DUMMYFUNCTION("REGEXREPLACE(F899, ""\d+$"", """")"),"")</f>
        <v/>
      </c>
    </row>
    <row r="900" ht="22.5" customHeight="1">
      <c r="A900" s="417" t="str">
        <f>VLOOKUP(F900, Employees!$A$2:$C957, 3, FALSE)</f>
        <v>#N/A</v>
      </c>
      <c r="B900" s="418">
        <f>100000 / (DAY(EOMONTH(Attendance!A900,0)) - 4)</f>
        <v>3703.703704</v>
      </c>
      <c r="C900" s="417" t="str">
        <f>MAX(0, Attendance!C900 - TIME(9, 0, 0)) * 24 * A900</f>
        <v>#N/A</v>
      </c>
      <c r="D900" s="419" t="str">
        <f>MAX(0, Attendance!D900 - TIME(18, 0, 0)) * 24 * 1.5 * A900</f>
        <v>#N/A</v>
      </c>
      <c r="E900" s="418">
        <f>IF(AND(Attendance!E900&lt;&gt;"Friday", Attendance!C900&lt;&gt;""), B900, 0)</f>
        <v>0</v>
      </c>
      <c r="F900" s="420" t="str">
        <f>Attendance!B900</f>
        <v/>
      </c>
      <c r="G900" s="415" t="str">
        <f>Attendance!A900</f>
        <v/>
      </c>
      <c r="H900" s="420" t="str">
        <f>IFERROR(__xludf.DUMMYFUNCTION("REGEXREPLACE(F900, ""\d+$"", """")"),"")</f>
        <v/>
      </c>
    </row>
    <row r="901" ht="22.5" customHeight="1">
      <c r="A901" s="417" t="str">
        <f>VLOOKUP(F901, Employees!$A$2:$C957, 3, FALSE)</f>
        <v>#N/A</v>
      </c>
      <c r="B901" s="418">
        <f>100000 / (DAY(EOMONTH(Attendance!A901,0)) - 4)</f>
        <v>3703.703704</v>
      </c>
      <c r="C901" s="417" t="str">
        <f>MAX(0, Attendance!C901 - TIME(9, 0, 0)) * 24 * A901</f>
        <v>#N/A</v>
      </c>
      <c r="D901" s="419" t="str">
        <f>MAX(0, Attendance!D901 - TIME(18, 0, 0)) * 24 * 1.5 * A901</f>
        <v>#N/A</v>
      </c>
      <c r="E901" s="418">
        <f>IF(AND(Attendance!E901&lt;&gt;"Friday", Attendance!C901&lt;&gt;""), B901, 0)</f>
        <v>0</v>
      </c>
      <c r="F901" s="420" t="str">
        <f>Attendance!B901</f>
        <v/>
      </c>
      <c r="G901" s="415" t="str">
        <f>Attendance!A901</f>
        <v/>
      </c>
      <c r="H901" s="420" t="str">
        <f>IFERROR(__xludf.DUMMYFUNCTION("REGEXREPLACE(F901, ""\d+$"", """")"),"")</f>
        <v/>
      </c>
    </row>
    <row r="902" ht="22.5" customHeight="1">
      <c r="A902" s="417" t="str">
        <f>VLOOKUP(F902, Employees!$A$2:$C957, 3, FALSE)</f>
        <v>#N/A</v>
      </c>
      <c r="B902" s="418">
        <f>100000 / (DAY(EOMONTH(Attendance!A902,0)) - 4)</f>
        <v>3703.703704</v>
      </c>
      <c r="C902" s="417" t="str">
        <f>MAX(0, Attendance!C902 - TIME(9, 0, 0)) * 24 * A902</f>
        <v>#N/A</v>
      </c>
      <c r="D902" s="419" t="str">
        <f>MAX(0, Attendance!D902 - TIME(18, 0, 0)) * 24 * 1.5 * A902</f>
        <v>#N/A</v>
      </c>
      <c r="E902" s="418">
        <f>IF(AND(Attendance!E902&lt;&gt;"Friday", Attendance!C902&lt;&gt;""), B902, 0)</f>
        <v>0</v>
      </c>
      <c r="F902" s="420" t="str">
        <f>Attendance!B902</f>
        <v/>
      </c>
      <c r="G902" s="415" t="str">
        <f>Attendance!A902</f>
        <v/>
      </c>
      <c r="H902" s="420" t="str">
        <f>IFERROR(__xludf.DUMMYFUNCTION("REGEXREPLACE(F902, ""\d+$"", """")"),"")</f>
        <v/>
      </c>
    </row>
    <row r="903" ht="22.5" customHeight="1">
      <c r="A903" s="417" t="str">
        <f>VLOOKUP(F903, Employees!$A$2:$C957, 3, FALSE)</f>
        <v>#N/A</v>
      </c>
      <c r="B903" s="418">
        <f>100000 / (DAY(EOMONTH(Attendance!A903,0)) - 4)</f>
        <v>3703.703704</v>
      </c>
      <c r="C903" s="417" t="str">
        <f>MAX(0, Attendance!C903 - TIME(9, 0, 0)) * 24 * A903</f>
        <v>#N/A</v>
      </c>
      <c r="D903" s="419" t="str">
        <f>MAX(0, Attendance!D903 - TIME(18, 0, 0)) * 24 * 1.5 * A903</f>
        <v>#N/A</v>
      </c>
      <c r="E903" s="418">
        <f>IF(AND(Attendance!E903&lt;&gt;"Friday", Attendance!C903&lt;&gt;""), B903, 0)</f>
        <v>0</v>
      </c>
      <c r="F903" s="420" t="str">
        <f>Attendance!B903</f>
        <v/>
      </c>
      <c r="G903" s="415" t="str">
        <f>Attendance!A903</f>
        <v/>
      </c>
      <c r="H903" s="420" t="str">
        <f>IFERROR(__xludf.DUMMYFUNCTION("REGEXREPLACE(F903, ""\d+$"", """")"),"")</f>
        <v/>
      </c>
    </row>
    <row r="904" ht="22.5" customHeight="1">
      <c r="A904" s="417" t="str">
        <f>VLOOKUP(F904, Employees!$A$2:$C957, 3, FALSE)</f>
        <v>#N/A</v>
      </c>
      <c r="B904" s="418">
        <f>100000 / (DAY(EOMONTH(Attendance!A904,0)) - 4)</f>
        <v>3703.703704</v>
      </c>
      <c r="C904" s="417" t="str">
        <f>MAX(0, Attendance!C904 - TIME(9, 0, 0)) * 24 * A904</f>
        <v>#N/A</v>
      </c>
      <c r="D904" s="419" t="str">
        <f>MAX(0, Attendance!D904 - TIME(18, 0, 0)) * 24 * 1.5 * A904</f>
        <v>#N/A</v>
      </c>
      <c r="E904" s="418">
        <f>IF(AND(Attendance!E904&lt;&gt;"Friday", Attendance!C904&lt;&gt;""), B904, 0)</f>
        <v>0</v>
      </c>
      <c r="F904" s="420" t="str">
        <f>Attendance!B904</f>
        <v/>
      </c>
      <c r="G904" s="415" t="str">
        <f>Attendance!A904</f>
        <v/>
      </c>
      <c r="H904" s="420" t="str">
        <f>IFERROR(__xludf.DUMMYFUNCTION("REGEXREPLACE(F904, ""\d+$"", """")"),"")</f>
        <v/>
      </c>
    </row>
    <row r="905" ht="22.5" customHeight="1">
      <c r="A905" s="417" t="str">
        <f>VLOOKUP(F905, Employees!$A$2:$C957, 3, FALSE)</f>
        <v>#N/A</v>
      </c>
      <c r="B905" s="418">
        <f>100000 / (DAY(EOMONTH(Attendance!A905,0)) - 4)</f>
        <v>3703.703704</v>
      </c>
      <c r="C905" s="417" t="str">
        <f>MAX(0, Attendance!C905 - TIME(9, 0, 0)) * 24 * A905</f>
        <v>#N/A</v>
      </c>
      <c r="D905" s="419" t="str">
        <f>MAX(0, Attendance!D905 - TIME(18, 0, 0)) * 24 * 1.5 * A905</f>
        <v>#N/A</v>
      </c>
      <c r="E905" s="418">
        <f>IF(AND(Attendance!E905&lt;&gt;"Friday", Attendance!C905&lt;&gt;""), B905, 0)</f>
        <v>0</v>
      </c>
      <c r="F905" s="420" t="str">
        <f>Attendance!B905</f>
        <v/>
      </c>
      <c r="G905" s="415" t="str">
        <f>Attendance!A905</f>
        <v/>
      </c>
      <c r="H905" s="420" t="str">
        <f>IFERROR(__xludf.DUMMYFUNCTION("REGEXREPLACE(F905, ""\d+$"", """")"),"")</f>
        <v/>
      </c>
    </row>
    <row r="906" ht="22.5" customHeight="1">
      <c r="A906" s="417" t="str">
        <f>VLOOKUP(F906, Employees!$A$2:$C957, 3, FALSE)</f>
        <v>#N/A</v>
      </c>
      <c r="B906" s="418">
        <f>100000 / (DAY(EOMONTH(Attendance!A906,0)) - 4)</f>
        <v>3703.703704</v>
      </c>
      <c r="C906" s="417" t="str">
        <f>MAX(0, Attendance!C906 - TIME(9, 0, 0)) * 24 * A906</f>
        <v>#N/A</v>
      </c>
      <c r="D906" s="419" t="str">
        <f>MAX(0, Attendance!D906 - TIME(18, 0, 0)) * 24 * 1.5 * A906</f>
        <v>#N/A</v>
      </c>
      <c r="E906" s="418">
        <f>IF(AND(Attendance!E906&lt;&gt;"Friday", Attendance!C906&lt;&gt;""), B906, 0)</f>
        <v>0</v>
      </c>
      <c r="F906" s="420" t="str">
        <f>Attendance!B906</f>
        <v/>
      </c>
      <c r="G906" s="415" t="str">
        <f>Attendance!A906</f>
        <v/>
      </c>
      <c r="H906" s="420" t="str">
        <f>IFERROR(__xludf.DUMMYFUNCTION("REGEXREPLACE(F906, ""\d+$"", """")"),"")</f>
        <v/>
      </c>
    </row>
    <row r="907" ht="22.5" customHeight="1">
      <c r="A907" s="417" t="str">
        <f>VLOOKUP(F907, Employees!$A$2:$C957, 3, FALSE)</f>
        <v>#N/A</v>
      </c>
      <c r="B907" s="418">
        <f>100000 / (DAY(EOMONTH(Attendance!A907,0)) - 4)</f>
        <v>3703.703704</v>
      </c>
      <c r="C907" s="417" t="str">
        <f>MAX(0, Attendance!C907 - TIME(9, 0, 0)) * 24 * A907</f>
        <v>#N/A</v>
      </c>
      <c r="D907" s="419" t="str">
        <f>MAX(0, Attendance!D907 - TIME(18, 0, 0)) * 24 * 1.5 * A907</f>
        <v>#N/A</v>
      </c>
      <c r="E907" s="418">
        <f>IF(AND(Attendance!E907&lt;&gt;"Friday", Attendance!C907&lt;&gt;""), B907, 0)</f>
        <v>0</v>
      </c>
      <c r="F907" s="420" t="str">
        <f>Attendance!B907</f>
        <v/>
      </c>
      <c r="G907" s="415" t="str">
        <f>Attendance!A907</f>
        <v/>
      </c>
      <c r="H907" s="420" t="str">
        <f>IFERROR(__xludf.DUMMYFUNCTION("REGEXREPLACE(F907, ""\d+$"", """")"),"")</f>
        <v/>
      </c>
    </row>
    <row r="908" ht="22.5" customHeight="1">
      <c r="A908" s="417" t="str">
        <f>VLOOKUP(F908, Employees!$A$2:$C957, 3, FALSE)</f>
        <v>#N/A</v>
      </c>
      <c r="B908" s="418">
        <f>100000 / (DAY(EOMONTH(Attendance!A908,0)) - 4)</f>
        <v>3703.703704</v>
      </c>
      <c r="C908" s="417" t="str">
        <f>MAX(0, Attendance!C908 - TIME(9, 0, 0)) * 24 * A908</f>
        <v>#N/A</v>
      </c>
      <c r="D908" s="419" t="str">
        <f>MAX(0, Attendance!D908 - TIME(18, 0, 0)) * 24 * 1.5 * A908</f>
        <v>#N/A</v>
      </c>
      <c r="E908" s="418">
        <f>IF(AND(Attendance!E908&lt;&gt;"Friday", Attendance!C908&lt;&gt;""), B908, 0)</f>
        <v>0</v>
      </c>
      <c r="F908" s="420" t="str">
        <f>Attendance!B908</f>
        <v/>
      </c>
      <c r="G908" s="415" t="str">
        <f>Attendance!A908</f>
        <v/>
      </c>
      <c r="H908" s="420" t="str">
        <f>IFERROR(__xludf.DUMMYFUNCTION("REGEXREPLACE(F908, ""\d+$"", """")"),"")</f>
        <v/>
      </c>
    </row>
    <row r="909" ht="22.5" customHeight="1">
      <c r="A909" s="417" t="str">
        <f>VLOOKUP(F909, Employees!$A$2:$C957, 3, FALSE)</f>
        <v>#N/A</v>
      </c>
      <c r="B909" s="418">
        <f>100000 / (DAY(EOMONTH(Attendance!A909,0)) - 4)</f>
        <v>3703.703704</v>
      </c>
      <c r="C909" s="417" t="str">
        <f>MAX(0, Attendance!C909 - TIME(9, 0, 0)) * 24 * A909</f>
        <v>#N/A</v>
      </c>
      <c r="D909" s="419" t="str">
        <f>MAX(0, Attendance!D909 - TIME(18, 0, 0)) * 24 * 1.5 * A909</f>
        <v>#N/A</v>
      </c>
      <c r="E909" s="418">
        <f>IF(AND(Attendance!E909&lt;&gt;"Friday", Attendance!C909&lt;&gt;""), B909, 0)</f>
        <v>0</v>
      </c>
      <c r="F909" s="420" t="str">
        <f>Attendance!B909</f>
        <v/>
      </c>
      <c r="G909" s="415" t="str">
        <f>Attendance!A909</f>
        <v/>
      </c>
      <c r="H909" s="420" t="str">
        <f>IFERROR(__xludf.DUMMYFUNCTION("REGEXREPLACE(F909, ""\d+$"", """")"),"")</f>
        <v/>
      </c>
    </row>
    <row r="910" ht="22.5" customHeight="1">
      <c r="A910" s="417" t="str">
        <f>VLOOKUP(F910, Employees!$A$2:$C957, 3, FALSE)</f>
        <v>#N/A</v>
      </c>
      <c r="B910" s="418">
        <f>100000 / (DAY(EOMONTH(Attendance!A910,0)) - 4)</f>
        <v>3703.703704</v>
      </c>
      <c r="C910" s="417" t="str">
        <f>MAX(0, Attendance!C910 - TIME(9, 0, 0)) * 24 * A910</f>
        <v>#N/A</v>
      </c>
      <c r="D910" s="419" t="str">
        <f>MAX(0, Attendance!D910 - TIME(18, 0, 0)) * 24 * 1.5 * A910</f>
        <v>#N/A</v>
      </c>
      <c r="E910" s="418">
        <f>IF(AND(Attendance!E910&lt;&gt;"Friday", Attendance!C910&lt;&gt;""), B910, 0)</f>
        <v>0</v>
      </c>
      <c r="F910" s="420" t="str">
        <f>Attendance!B910</f>
        <v/>
      </c>
      <c r="G910" s="415" t="str">
        <f>Attendance!A910</f>
        <v/>
      </c>
      <c r="H910" s="420" t="str">
        <f>IFERROR(__xludf.DUMMYFUNCTION("REGEXREPLACE(F910, ""\d+$"", """")"),"")</f>
        <v/>
      </c>
    </row>
    <row r="911" ht="22.5" customHeight="1">
      <c r="A911" s="417" t="str">
        <f>VLOOKUP(F911, Employees!$A$2:$C957, 3, FALSE)</f>
        <v>#N/A</v>
      </c>
      <c r="B911" s="418">
        <f>100000 / (DAY(EOMONTH(Attendance!A911,0)) - 4)</f>
        <v>3703.703704</v>
      </c>
      <c r="C911" s="417" t="str">
        <f>MAX(0, Attendance!C911 - TIME(9, 0, 0)) * 24 * A911</f>
        <v>#N/A</v>
      </c>
      <c r="D911" s="419" t="str">
        <f>MAX(0, Attendance!D911 - TIME(18, 0, 0)) * 24 * 1.5 * A911</f>
        <v>#N/A</v>
      </c>
      <c r="E911" s="418">
        <f>IF(AND(Attendance!E911&lt;&gt;"Friday", Attendance!C911&lt;&gt;""), B911, 0)</f>
        <v>0</v>
      </c>
      <c r="F911" s="420" t="str">
        <f>Attendance!B911</f>
        <v/>
      </c>
      <c r="G911" s="415" t="str">
        <f>Attendance!A911</f>
        <v/>
      </c>
      <c r="H911" s="420" t="str">
        <f>IFERROR(__xludf.DUMMYFUNCTION("REGEXREPLACE(F911, ""\d+$"", """")"),"")</f>
        <v/>
      </c>
    </row>
    <row r="912" ht="22.5" customHeight="1">
      <c r="A912" s="417" t="str">
        <f>VLOOKUP(F912, Employees!$A$2:$C957, 3, FALSE)</f>
        <v>#N/A</v>
      </c>
      <c r="B912" s="418">
        <f>100000 / (DAY(EOMONTH(Attendance!A912,0)) - 4)</f>
        <v>3703.703704</v>
      </c>
      <c r="C912" s="417" t="str">
        <f>MAX(0, Attendance!C912 - TIME(9, 0, 0)) * 24 * A912</f>
        <v>#N/A</v>
      </c>
      <c r="D912" s="419" t="str">
        <f>MAX(0, Attendance!D912 - TIME(18, 0, 0)) * 24 * 1.5 * A912</f>
        <v>#N/A</v>
      </c>
      <c r="E912" s="418">
        <f>IF(AND(Attendance!E912&lt;&gt;"Friday", Attendance!C912&lt;&gt;""), B912, 0)</f>
        <v>0</v>
      </c>
      <c r="F912" s="420" t="str">
        <f>Attendance!B912</f>
        <v/>
      </c>
      <c r="G912" s="415" t="str">
        <f>Attendance!A912</f>
        <v/>
      </c>
      <c r="H912" s="420" t="str">
        <f>IFERROR(__xludf.DUMMYFUNCTION("REGEXREPLACE(F912, ""\d+$"", """")"),"")</f>
        <v/>
      </c>
    </row>
    <row r="913" ht="22.5" customHeight="1">
      <c r="A913" s="417" t="str">
        <f>VLOOKUP(F913, Employees!$A$2:$C957, 3, FALSE)</f>
        <v>#N/A</v>
      </c>
      <c r="B913" s="418">
        <f>100000 / (DAY(EOMONTH(Attendance!A913,0)) - 4)</f>
        <v>3703.703704</v>
      </c>
      <c r="C913" s="417" t="str">
        <f>MAX(0, Attendance!C913 - TIME(9, 0, 0)) * 24 * A913</f>
        <v>#N/A</v>
      </c>
      <c r="D913" s="419" t="str">
        <f>MAX(0, Attendance!D913 - TIME(18, 0, 0)) * 24 * 1.5 * A913</f>
        <v>#N/A</v>
      </c>
      <c r="E913" s="418">
        <f>IF(AND(Attendance!E913&lt;&gt;"Friday", Attendance!C913&lt;&gt;""), B913, 0)</f>
        <v>0</v>
      </c>
      <c r="F913" s="420" t="str">
        <f>Attendance!B913</f>
        <v/>
      </c>
      <c r="G913" s="415" t="str">
        <f>Attendance!A913</f>
        <v/>
      </c>
      <c r="H913" s="420" t="str">
        <f>IFERROR(__xludf.DUMMYFUNCTION("REGEXREPLACE(F913, ""\d+$"", """")"),"")</f>
        <v/>
      </c>
    </row>
    <row r="914" ht="22.5" customHeight="1">
      <c r="A914" s="417" t="str">
        <f>VLOOKUP(F914, Employees!$A$2:$C957, 3, FALSE)</f>
        <v>#N/A</v>
      </c>
      <c r="B914" s="418">
        <f>100000 / (DAY(EOMONTH(Attendance!A914,0)) - 4)</f>
        <v>3703.703704</v>
      </c>
      <c r="C914" s="417" t="str">
        <f>MAX(0, Attendance!C914 - TIME(9, 0, 0)) * 24 * A914</f>
        <v>#N/A</v>
      </c>
      <c r="D914" s="419" t="str">
        <f>MAX(0, Attendance!D914 - TIME(18, 0, 0)) * 24 * 1.5 * A914</f>
        <v>#N/A</v>
      </c>
      <c r="E914" s="418">
        <f>IF(AND(Attendance!E914&lt;&gt;"Friday", Attendance!C914&lt;&gt;""), B914, 0)</f>
        <v>0</v>
      </c>
      <c r="F914" s="420" t="str">
        <f>Attendance!B914</f>
        <v/>
      </c>
      <c r="G914" s="415" t="str">
        <f>Attendance!A914</f>
        <v/>
      </c>
      <c r="H914" s="420" t="str">
        <f>IFERROR(__xludf.DUMMYFUNCTION("REGEXREPLACE(F914, ""\d+$"", """")"),"")</f>
        <v/>
      </c>
    </row>
    <row r="915" ht="22.5" customHeight="1">
      <c r="A915" s="417" t="str">
        <f>VLOOKUP(F915, Employees!$A$2:$C957, 3, FALSE)</f>
        <v>#N/A</v>
      </c>
      <c r="B915" s="418">
        <f>100000 / (DAY(EOMONTH(Attendance!A915,0)) - 4)</f>
        <v>3703.703704</v>
      </c>
      <c r="C915" s="417" t="str">
        <f>MAX(0, Attendance!C915 - TIME(9, 0, 0)) * 24 * A915</f>
        <v>#N/A</v>
      </c>
      <c r="D915" s="419" t="str">
        <f>MAX(0, Attendance!D915 - TIME(18, 0, 0)) * 24 * 1.5 * A915</f>
        <v>#N/A</v>
      </c>
      <c r="E915" s="418">
        <f>IF(AND(Attendance!E915&lt;&gt;"Friday", Attendance!C915&lt;&gt;""), B915, 0)</f>
        <v>0</v>
      </c>
      <c r="F915" s="420" t="str">
        <f>Attendance!B915</f>
        <v/>
      </c>
      <c r="G915" s="415" t="str">
        <f>Attendance!A915</f>
        <v/>
      </c>
      <c r="H915" s="420" t="str">
        <f>IFERROR(__xludf.DUMMYFUNCTION("REGEXREPLACE(F915, ""\d+$"", """")"),"")</f>
        <v/>
      </c>
    </row>
    <row r="916" ht="22.5" customHeight="1">
      <c r="A916" s="417" t="str">
        <f>VLOOKUP(F916, Employees!$A$2:$C957, 3, FALSE)</f>
        <v>#N/A</v>
      </c>
      <c r="B916" s="418">
        <f>100000 / (DAY(EOMONTH(Attendance!A916,0)) - 4)</f>
        <v>3703.703704</v>
      </c>
      <c r="C916" s="417" t="str">
        <f>MAX(0, Attendance!C916 - TIME(9, 0, 0)) * 24 * A916</f>
        <v>#N/A</v>
      </c>
      <c r="D916" s="419" t="str">
        <f>MAX(0, Attendance!D916 - TIME(18, 0, 0)) * 24 * 1.5 * A916</f>
        <v>#N/A</v>
      </c>
      <c r="E916" s="418">
        <f>IF(AND(Attendance!E916&lt;&gt;"Friday", Attendance!C916&lt;&gt;""), B916, 0)</f>
        <v>0</v>
      </c>
      <c r="F916" s="420" t="str">
        <f>Attendance!B916</f>
        <v/>
      </c>
      <c r="G916" s="415" t="str">
        <f>Attendance!A916</f>
        <v/>
      </c>
      <c r="H916" s="420" t="str">
        <f>IFERROR(__xludf.DUMMYFUNCTION("REGEXREPLACE(F916, ""\d+$"", """")"),"")</f>
        <v/>
      </c>
    </row>
    <row r="917" ht="22.5" customHeight="1">
      <c r="A917" s="417" t="str">
        <f>VLOOKUP(F917, Employees!$A$2:$C957, 3, FALSE)</f>
        <v>#N/A</v>
      </c>
      <c r="B917" s="418">
        <f>100000 / (DAY(EOMONTH(Attendance!A917,0)) - 4)</f>
        <v>3703.703704</v>
      </c>
      <c r="C917" s="417" t="str">
        <f>MAX(0, Attendance!C917 - TIME(9, 0, 0)) * 24 * A917</f>
        <v>#N/A</v>
      </c>
      <c r="D917" s="419" t="str">
        <f>MAX(0, Attendance!D917 - TIME(18, 0, 0)) * 24 * 1.5 * A917</f>
        <v>#N/A</v>
      </c>
      <c r="E917" s="418">
        <f>IF(AND(Attendance!E917&lt;&gt;"Friday", Attendance!C917&lt;&gt;""), B917, 0)</f>
        <v>0</v>
      </c>
      <c r="F917" s="420" t="str">
        <f>Attendance!B917</f>
        <v/>
      </c>
      <c r="G917" s="415" t="str">
        <f>Attendance!A917</f>
        <v/>
      </c>
      <c r="H917" s="420" t="str">
        <f>IFERROR(__xludf.DUMMYFUNCTION("REGEXREPLACE(F917, ""\d+$"", """")"),"")</f>
        <v/>
      </c>
    </row>
    <row r="918" ht="22.5" customHeight="1">
      <c r="A918" s="417" t="str">
        <f>VLOOKUP(F918, Employees!$A$2:$C957, 3, FALSE)</f>
        <v>#N/A</v>
      </c>
      <c r="B918" s="418">
        <f>100000 / (DAY(EOMONTH(Attendance!A918,0)) - 4)</f>
        <v>3703.703704</v>
      </c>
      <c r="C918" s="417" t="str">
        <f>MAX(0, Attendance!C918 - TIME(9, 0, 0)) * 24 * A918</f>
        <v>#N/A</v>
      </c>
      <c r="D918" s="419" t="str">
        <f>MAX(0, Attendance!D918 - TIME(18, 0, 0)) * 24 * 1.5 * A918</f>
        <v>#N/A</v>
      </c>
      <c r="E918" s="418">
        <f>IF(AND(Attendance!E918&lt;&gt;"Friday", Attendance!C918&lt;&gt;""), B918, 0)</f>
        <v>0</v>
      </c>
      <c r="F918" s="420" t="str">
        <f>Attendance!B918</f>
        <v/>
      </c>
      <c r="G918" s="415" t="str">
        <f>Attendance!A918</f>
        <v/>
      </c>
      <c r="H918" s="420" t="str">
        <f>IFERROR(__xludf.DUMMYFUNCTION("REGEXREPLACE(F918, ""\d+$"", """")"),"")</f>
        <v/>
      </c>
    </row>
    <row r="919" ht="22.5" customHeight="1">
      <c r="A919" s="417" t="str">
        <f>VLOOKUP(F919, Employees!$A$2:$C957, 3, FALSE)</f>
        <v>#N/A</v>
      </c>
      <c r="B919" s="418">
        <f>100000 / (DAY(EOMONTH(Attendance!A919,0)) - 4)</f>
        <v>3703.703704</v>
      </c>
      <c r="C919" s="417" t="str">
        <f>MAX(0, Attendance!C919 - TIME(9, 0, 0)) * 24 * A919</f>
        <v>#N/A</v>
      </c>
      <c r="D919" s="419" t="str">
        <f>MAX(0, Attendance!D919 - TIME(18, 0, 0)) * 24 * 1.5 * A919</f>
        <v>#N/A</v>
      </c>
      <c r="E919" s="418">
        <f>IF(AND(Attendance!E919&lt;&gt;"Friday", Attendance!C919&lt;&gt;""), B919, 0)</f>
        <v>0</v>
      </c>
      <c r="F919" s="420" t="str">
        <f>Attendance!B919</f>
        <v/>
      </c>
      <c r="G919" s="415" t="str">
        <f>Attendance!A919</f>
        <v/>
      </c>
      <c r="H919" s="420" t="str">
        <f>IFERROR(__xludf.DUMMYFUNCTION("REGEXREPLACE(F919, ""\d+$"", """")"),"")</f>
        <v/>
      </c>
    </row>
    <row r="920" ht="22.5" customHeight="1">
      <c r="A920" s="417" t="str">
        <f>VLOOKUP(F920, Employees!$A$2:$C957, 3, FALSE)</f>
        <v>#N/A</v>
      </c>
      <c r="B920" s="418">
        <f>100000 / (DAY(EOMONTH(Attendance!A920,0)) - 4)</f>
        <v>3703.703704</v>
      </c>
      <c r="C920" s="417" t="str">
        <f>MAX(0, Attendance!C920 - TIME(9, 0, 0)) * 24 * A920</f>
        <v>#N/A</v>
      </c>
      <c r="D920" s="419" t="str">
        <f>MAX(0, Attendance!D920 - TIME(18, 0, 0)) * 24 * 1.5 * A920</f>
        <v>#N/A</v>
      </c>
      <c r="E920" s="418">
        <f>IF(AND(Attendance!E920&lt;&gt;"Friday", Attendance!C920&lt;&gt;""), B920, 0)</f>
        <v>0</v>
      </c>
      <c r="F920" s="420" t="str">
        <f>Attendance!B920</f>
        <v/>
      </c>
      <c r="G920" s="415" t="str">
        <f>Attendance!A920</f>
        <v/>
      </c>
      <c r="H920" s="420" t="str">
        <f>IFERROR(__xludf.DUMMYFUNCTION("REGEXREPLACE(F920, ""\d+$"", """")"),"")</f>
        <v/>
      </c>
    </row>
    <row r="921" ht="22.5" customHeight="1">
      <c r="A921" s="417" t="str">
        <f>VLOOKUP(F921, Employees!$A$2:$C957, 3, FALSE)</f>
        <v>#N/A</v>
      </c>
      <c r="B921" s="418">
        <f>100000 / (DAY(EOMONTH(Attendance!A921,0)) - 4)</f>
        <v>3703.703704</v>
      </c>
      <c r="C921" s="417" t="str">
        <f>MAX(0, Attendance!C921 - TIME(9, 0, 0)) * 24 * A921</f>
        <v>#N/A</v>
      </c>
      <c r="D921" s="419" t="str">
        <f>MAX(0, Attendance!D921 - TIME(18, 0, 0)) * 24 * 1.5 * A921</f>
        <v>#N/A</v>
      </c>
      <c r="E921" s="418">
        <f>IF(AND(Attendance!E921&lt;&gt;"Friday", Attendance!C921&lt;&gt;""), B921, 0)</f>
        <v>0</v>
      </c>
      <c r="F921" s="420" t="str">
        <f>Attendance!B921</f>
        <v/>
      </c>
      <c r="G921" s="415" t="str">
        <f>Attendance!A921</f>
        <v/>
      </c>
      <c r="H921" s="420" t="str">
        <f>IFERROR(__xludf.DUMMYFUNCTION("REGEXREPLACE(F921, ""\d+$"", """")"),"")</f>
        <v/>
      </c>
    </row>
    <row r="922" ht="22.5" customHeight="1">
      <c r="A922" s="417" t="str">
        <f>VLOOKUP(F922, Employees!$A$2:$C957, 3, FALSE)</f>
        <v>#N/A</v>
      </c>
      <c r="B922" s="418">
        <f>100000 / (DAY(EOMONTH(Attendance!A922,0)) - 4)</f>
        <v>3703.703704</v>
      </c>
      <c r="C922" s="417" t="str">
        <f>MAX(0, Attendance!C922 - TIME(9, 0, 0)) * 24 * A922</f>
        <v>#N/A</v>
      </c>
      <c r="D922" s="419" t="str">
        <f>MAX(0, Attendance!D922 - TIME(18, 0, 0)) * 24 * 1.5 * A922</f>
        <v>#N/A</v>
      </c>
      <c r="E922" s="418">
        <f>IF(AND(Attendance!E922&lt;&gt;"Friday", Attendance!C922&lt;&gt;""), B922, 0)</f>
        <v>0</v>
      </c>
      <c r="F922" s="420" t="str">
        <f>Attendance!B922</f>
        <v/>
      </c>
      <c r="G922" s="415" t="str">
        <f>Attendance!A922</f>
        <v/>
      </c>
      <c r="H922" s="420" t="str">
        <f>IFERROR(__xludf.DUMMYFUNCTION("REGEXREPLACE(F922, ""\d+$"", """")"),"")</f>
        <v/>
      </c>
    </row>
    <row r="923" ht="22.5" customHeight="1">
      <c r="A923" s="417" t="str">
        <f>VLOOKUP(F923, Employees!$A$2:$C957, 3, FALSE)</f>
        <v>#N/A</v>
      </c>
      <c r="B923" s="418">
        <f>100000 / (DAY(EOMONTH(Attendance!A923,0)) - 4)</f>
        <v>3703.703704</v>
      </c>
      <c r="C923" s="417" t="str">
        <f>MAX(0, Attendance!C923 - TIME(9, 0, 0)) * 24 * A923</f>
        <v>#N/A</v>
      </c>
      <c r="D923" s="419" t="str">
        <f>MAX(0, Attendance!D923 - TIME(18, 0, 0)) * 24 * 1.5 * A923</f>
        <v>#N/A</v>
      </c>
      <c r="E923" s="418">
        <f>IF(AND(Attendance!E923&lt;&gt;"Friday", Attendance!C923&lt;&gt;""), B923, 0)</f>
        <v>0</v>
      </c>
      <c r="F923" s="420" t="str">
        <f>Attendance!B923</f>
        <v/>
      </c>
      <c r="G923" s="415" t="str">
        <f>Attendance!A923</f>
        <v/>
      </c>
      <c r="H923" s="420" t="str">
        <f>IFERROR(__xludf.DUMMYFUNCTION("REGEXREPLACE(F923, ""\d+$"", """")"),"")</f>
        <v/>
      </c>
    </row>
    <row r="924" ht="22.5" customHeight="1">
      <c r="A924" s="417" t="str">
        <f>VLOOKUP(F924, Employees!$A$2:$C957, 3, FALSE)</f>
        <v>#N/A</v>
      </c>
      <c r="B924" s="418">
        <f>100000 / (DAY(EOMONTH(Attendance!A924,0)) - 4)</f>
        <v>3703.703704</v>
      </c>
      <c r="C924" s="417" t="str">
        <f>MAX(0, Attendance!C924 - TIME(9, 0, 0)) * 24 * A924</f>
        <v>#N/A</v>
      </c>
      <c r="D924" s="419" t="str">
        <f>MAX(0, Attendance!D924 - TIME(18, 0, 0)) * 24 * 1.5 * A924</f>
        <v>#N/A</v>
      </c>
      <c r="E924" s="418">
        <f>IF(AND(Attendance!E924&lt;&gt;"Friday", Attendance!C924&lt;&gt;""), B924, 0)</f>
        <v>0</v>
      </c>
      <c r="F924" s="420" t="str">
        <f>Attendance!B924</f>
        <v/>
      </c>
      <c r="G924" s="415" t="str">
        <f>Attendance!A924</f>
        <v/>
      </c>
      <c r="H924" s="420" t="str">
        <f>IFERROR(__xludf.DUMMYFUNCTION("REGEXREPLACE(F924, ""\d+$"", """")"),"")</f>
        <v/>
      </c>
    </row>
    <row r="925" ht="22.5" customHeight="1">
      <c r="A925" s="417" t="str">
        <f>VLOOKUP(F925, Employees!$A$2:$C957, 3, FALSE)</f>
        <v>#N/A</v>
      </c>
      <c r="B925" s="418">
        <f>100000 / (DAY(EOMONTH(Attendance!A925,0)) - 4)</f>
        <v>3703.703704</v>
      </c>
      <c r="C925" s="417" t="str">
        <f>MAX(0, Attendance!C925 - TIME(9, 0, 0)) * 24 * A925</f>
        <v>#N/A</v>
      </c>
      <c r="D925" s="419" t="str">
        <f>MAX(0, Attendance!D925 - TIME(18, 0, 0)) * 24 * 1.5 * A925</f>
        <v>#N/A</v>
      </c>
      <c r="E925" s="418">
        <f>IF(AND(Attendance!E925&lt;&gt;"Friday", Attendance!C925&lt;&gt;""), B925, 0)</f>
        <v>0</v>
      </c>
      <c r="F925" s="420" t="str">
        <f>Attendance!B925</f>
        <v/>
      </c>
      <c r="G925" s="415" t="str">
        <f>Attendance!A925</f>
        <v/>
      </c>
      <c r="H925" s="420" t="str">
        <f>IFERROR(__xludf.DUMMYFUNCTION("REGEXREPLACE(F925, ""\d+$"", """")"),"")</f>
        <v/>
      </c>
    </row>
    <row r="926" ht="22.5" customHeight="1">
      <c r="A926" s="417" t="str">
        <f>VLOOKUP(F926, Employees!$A$2:$C957, 3, FALSE)</f>
        <v>#N/A</v>
      </c>
      <c r="B926" s="418">
        <f>100000 / (DAY(EOMONTH(Attendance!A926,0)) - 4)</f>
        <v>3703.703704</v>
      </c>
      <c r="C926" s="417" t="str">
        <f>MAX(0, Attendance!C926 - TIME(9, 0, 0)) * 24 * A926</f>
        <v>#N/A</v>
      </c>
      <c r="D926" s="419" t="str">
        <f>MAX(0, Attendance!D926 - TIME(18, 0, 0)) * 24 * 1.5 * A926</f>
        <v>#N/A</v>
      </c>
      <c r="E926" s="418">
        <f>IF(AND(Attendance!E926&lt;&gt;"Friday", Attendance!C926&lt;&gt;""), B926, 0)</f>
        <v>0</v>
      </c>
      <c r="F926" s="420" t="str">
        <f>Attendance!B926</f>
        <v/>
      </c>
      <c r="G926" s="415" t="str">
        <f>Attendance!A926</f>
        <v/>
      </c>
      <c r="H926" s="420" t="str">
        <f>IFERROR(__xludf.DUMMYFUNCTION("REGEXREPLACE(F926, ""\d+$"", """")"),"")</f>
        <v/>
      </c>
    </row>
    <row r="927" ht="22.5" customHeight="1">
      <c r="A927" s="417" t="str">
        <f>VLOOKUP(F927, Employees!$A$2:$C957, 3, FALSE)</f>
        <v>#N/A</v>
      </c>
      <c r="B927" s="418">
        <f>100000 / (DAY(EOMONTH(Attendance!A927,0)) - 4)</f>
        <v>3703.703704</v>
      </c>
      <c r="C927" s="417" t="str">
        <f>MAX(0, Attendance!C927 - TIME(9, 0, 0)) * 24 * A927</f>
        <v>#N/A</v>
      </c>
      <c r="D927" s="419" t="str">
        <f>MAX(0, Attendance!D927 - TIME(18, 0, 0)) * 24 * 1.5 * A927</f>
        <v>#N/A</v>
      </c>
      <c r="E927" s="418">
        <f>IF(AND(Attendance!E927&lt;&gt;"Friday", Attendance!C927&lt;&gt;""), B927, 0)</f>
        <v>0</v>
      </c>
      <c r="F927" s="420" t="str">
        <f>Attendance!B927</f>
        <v/>
      </c>
      <c r="G927" s="415" t="str">
        <f>Attendance!A927</f>
        <v/>
      </c>
      <c r="H927" s="420" t="str">
        <f>IFERROR(__xludf.DUMMYFUNCTION("REGEXREPLACE(F927, ""\d+$"", """")"),"")</f>
        <v/>
      </c>
    </row>
    <row r="928" ht="22.5" customHeight="1">
      <c r="A928" s="417" t="str">
        <f>VLOOKUP(F928, Employees!$A$2:$C957, 3, FALSE)</f>
        <v>#N/A</v>
      </c>
      <c r="B928" s="418">
        <f>100000 / (DAY(EOMONTH(Attendance!A928,0)) - 4)</f>
        <v>3703.703704</v>
      </c>
      <c r="C928" s="417" t="str">
        <f>MAX(0, Attendance!C928 - TIME(9, 0, 0)) * 24 * A928</f>
        <v>#N/A</v>
      </c>
      <c r="D928" s="419" t="str">
        <f>MAX(0, Attendance!D928 - TIME(18, 0, 0)) * 24 * 1.5 * A928</f>
        <v>#N/A</v>
      </c>
      <c r="E928" s="418">
        <f>IF(AND(Attendance!E928&lt;&gt;"Friday", Attendance!C928&lt;&gt;""), B928, 0)</f>
        <v>0</v>
      </c>
      <c r="F928" s="420" t="str">
        <f>Attendance!B928</f>
        <v/>
      </c>
      <c r="G928" s="415" t="str">
        <f>Attendance!A928</f>
        <v/>
      </c>
      <c r="H928" s="420" t="str">
        <f>IFERROR(__xludf.DUMMYFUNCTION("REGEXREPLACE(F928, ""\d+$"", """")"),"")</f>
        <v/>
      </c>
    </row>
    <row r="929" ht="22.5" customHeight="1">
      <c r="A929" s="417" t="str">
        <f>VLOOKUP(F929, Employees!$A$2:$C957, 3, FALSE)</f>
        <v>#N/A</v>
      </c>
      <c r="B929" s="418">
        <f>100000 / (DAY(EOMONTH(Attendance!A929,0)) - 4)</f>
        <v>3703.703704</v>
      </c>
      <c r="C929" s="417" t="str">
        <f>MAX(0, Attendance!C929 - TIME(9, 0, 0)) * 24 * A929</f>
        <v>#N/A</v>
      </c>
      <c r="D929" s="419" t="str">
        <f>MAX(0, Attendance!D929 - TIME(18, 0, 0)) * 24 * 1.5 * A929</f>
        <v>#N/A</v>
      </c>
      <c r="E929" s="418">
        <f>IF(AND(Attendance!E929&lt;&gt;"Friday", Attendance!C929&lt;&gt;""), B929, 0)</f>
        <v>0</v>
      </c>
      <c r="F929" s="420" t="str">
        <f>Attendance!B929</f>
        <v/>
      </c>
      <c r="G929" s="415" t="str">
        <f>Attendance!A929</f>
        <v/>
      </c>
      <c r="H929" s="420" t="str">
        <f>IFERROR(__xludf.DUMMYFUNCTION("REGEXREPLACE(F929, ""\d+$"", """")"),"")</f>
        <v/>
      </c>
    </row>
    <row r="930" ht="22.5" customHeight="1">
      <c r="A930" s="417" t="str">
        <f>VLOOKUP(F930, Employees!$A$2:$C957, 3, FALSE)</f>
        <v>#N/A</v>
      </c>
      <c r="B930" s="418">
        <f>100000 / (DAY(EOMONTH(Attendance!A930,0)) - 4)</f>
        <v>3703.703704</v>
      </c>
      <c r="C930" s="417" t="str">
        <f>MAX(0, Attendance!C930 - TIME(9, 0, 0)) * 24 * A930</f>
        <v>#N/A</v>
      </c>
      <c r="D930" s="419" t="str">
        <f>MAX(0, Attendance!D930 - TIME(18, 0, 0)) * 24 * 1.5 * A930</f>
        <v>#N/A</v>
      </c>
      <c r="E930" s="418">
        <f>IF(AND(Attendance!E930&lt;&gt;"Friday", Attendance!C930&lt;&gt;""), B930, 0)</f>
        <v>0</v>
      </c>
      <c r="F930" s="420" t="str">
        <f>Attendance!B930</f>
        <v/>
      </c>
      <c r="G930" s="415" t="str">
        <f>Attendance!A930</f>
        <v/>
      </c>
      <c r="H930" s="420" t="str">
        <f>IFERROR(__xludf.DUMMYFUNCTION("REGEXREPLACE(F930, ""\d+$"", """")"),"")</f>
        <v/>
      </c>
    </row>
    <row r="931" ht="22.5" customHeight="1">
      <c r="A931" s="417" t="str">
        <f>VLOOKUP(F931, Employees!$A$2:$C957, 3, FALSE)</f>
        <v>#N/A</v>
      </c>
      <c r="B931" s="418">
        <f>100000 / (DAY(EOMONTH(Attendance!A931,0)) - 4)</f>
        <v>3703.703704</v>
      </c>
      <c r="C931" s="417" t="str">
        <f>MAX(0, Attendance!C931 - TIME(9, 0, 0)) * 24 * A931</f>
        <v>#N/A</v>
      </c>
      <c r="D931" s="419" t="str">
        <f>MAX(0, Attendance!D931 - TIME(18, 0, 0)) * 24 * 1.5 * A931</f>
        <v>#N/A</v>
      </c>
      <c r="E931" s="418">
        <f>IF(AND(Attendance!E931&lt;&gt;"Friday", Attendance!C931&lt;&gt;""), B931, 0)</f>
        <v>0</v>
      </c>
      <c r="F931" s="420" t="str">
        <f>Attendance!B931</f>
        <v/>
      </c>
      <c r="G931" s="415" t="str">
        <f>Attendance!A931</f>
        <v/>
      </c>
      <c r="H931" s="420" t="str">
        <f>IFERROR(__xludf.DUMMYFUNCTION("REGEXREPLACE(F931, ""\d+$"", """")"),"")</f>
        <v/>
      </c>
    </row>
    <row r="932" ht="22.5" customHeight="1">
      <c r="A932" s="417" t="str">
        <f>VLOOKUP(F932, Employees!$A$2:$C957, 3, FALSE)</f>
        <v>#N/A</v>
      </c>
      <c r="B932" s="418">
        <f>100000 / (DAY(EOMONTH(Attendance!A932,0)) - 4)</f>
        <v>3703.703704</v>
      </c>
      <c r="C932" s="417" t="str">
        <f>MAX(0, Attendance!C932 - TIME(9, 0, 0)) * 24 * A932</f>
        <v>#N/A</v>
      </c>
      <c r="D932" s="419" t="str">
        <f>MAX(0, Attendance!D932 - TIME(18, 0, 0)) * 24 * 1.5 * A932</f>
        <v>#N/A</v>
      </c>
      <c r="E932" s="418">
        <f>IF(AND(Attendance!E932&lt;&gt;"Friday", Attendance!C932&lt;&gt;""), B932, 0)</f>
        <v>0</v>
      </c>
      <c r="F932" s="420" t="str">
        <f>Attendance!B932</f>
        <v/>
      </c>
      <c r="G932" s="415" t="str">
        <f>Attendance!A932</f>
        <v/>
      </c>
      <c r="H932" s="420" t="str">
        <f>IFERROR(__xludf.DUMMYFUNCTION("REGEXREPLACE(F932, ""\d+$"", """")"),"")</f>
        <v/>
      </c>
    </row>
    <row r="933" ht="22.5" customHeight="1">
      <c r="A933" s="417" t="str">
        <f>VLOOKUP(F933, Employees!$A$2:$C957, 3, FALSE)</f>
        <v>#N/A</v>
      </c>
      <c r="B933" s="418">
        <f>100000 / (DAY(EOMONTH(Attendance!A933,0)) - 4)</f>
        <v>3703.703704</v>
      </c>
      <c r="C933" s="417" t="str">
        <f>MAX(0, Attendance!C933 - TIME(9, 0, 0)) * 24 * A933</f>
        <v>#N/A</v>
      </c>
      <c r="D933" s="419" t="str">
        <f>MAX(0, Attendance!D933 - TIME(18, 0, 0)) * 24 * 1.5 * A933</f>
        <v>#N/A</v>
      </c>
      <c r="E933" s="418">
        <f>IF(AND(Attendance!E933&lt;&gt;"Friday", Attendance!C933&lt;&gt;""), B933, 0)</f>
        <v>0</v>
      </c>
      <c r="F933" s="420" t="str">
        <f>Attendance!B933</f>
        <v/>
      </c>
      <c r="G933" s="415" t="str">
        <f>Attendance!A933</f>
        <v/>
      </c>
      <c r="H933" s="420" t="str">
        <f>IFERROR(__xludf.DUMMYFUNCTION("REGEXREPLACE(F933, ""\d+$"", """")"),"")</f>
        <v/>
      </c>
    </row>
    <row r="934" ht="22.5" customHeight="1">
      <c r="A934" s="417" t="str">
        <f>VLOOKUP(F934, Employees!$A$2:$C957, 3, FALSE)</f>
        <v>#N/A</v>
      </c>
      <c r="B934" s="418">
        <f>100000 / (DAY(EOMONTH(Attendance!A934,0)) - 4)</f>
        <v>3703.703704</v>
      </c>
      <c r="C934" s="417" t="str">
        <f>MAX(0, Attendance!C934 - TIME(9, 0, 0)) * 24 * A934</f>
        <v>#N/A</v>
      </c>
      <c r="D934" s="419" t="str">
        <f>MAX(0, Attendance!D934 - TIME(18, 0, 0)) * 24 * 1.5 * A934</f>
        <v>#N/A</v>
      </c>
      <c r="E934" s="418">
        <f>IF(AND(Attendance!E934&lt;&gt;"Friday", Attendance!C934&lt;&gt;""), B934, 0)</f>
        <v>0</v>
      </c>
      <c r="F934" s="420" t="str">
        <f>Attendance!B934</f>
        <v/>
      </c>
      <c r="G934" s="415" t="str">
        <f>Attendance!A934</f>
        <v/>
      </c>
      <c r="H934" s="420" t="str">
        <f>IFERROR(__xludf.DUMMYFUNCTION("REGEXREPLACE(F934, ""\d+$"", """")"),"")</f>
        <v/>
      </c>
    </row>
    <row r="935" ht="22.5" customHeight="1">
      <c r="A935" s="417" t="str">
        <f>VLOOKUP(F935, Employees!$A$2:$C957, 3, FALSE)</f>
        <v>#N/A</v>
      </c>
      <c r="B935" s="418">
        <f>100000 / (DAY(EOMONTH(Attendance!A935,0)) - 4)</f>
        <v>3703.703704</v>
      </c>
      <c r="C935" s="417" t="str">
        <f>MAX(0, Attendance!C935 - TIME(9, 0, 0)) * 24 * A935</f>
        <v>#N/A</v>
      </c>
      <c r="D935" s="419" t="str">
        <f>MAX(0, Attendance!D935 - TIME(18, 0, 0)) * 24 * 1.5 * A935</f>
        <v>#N/A</v>
      </c>
      <c r="E935" s="418">
        <f>IF(AND(Attendance!E935&lt;&gt;"Friday", Attendance!C935&lt;&gt;""), B935, 0)</f>
        <v>0</v>
      </c>
      <c r="F935" s="420" t="str">
        <f>Attendance!B935</f>
        <v/>
      </c>
      <c r="G935" s="415" t="str">
        <f>Attendance!A935</f>
        <v/>
      </c>
      <c r="H935" s="420" t="str">
        <f>IFERROR(__xludf.DUMMYFUNCTION("REGEXREPLACE(F935, ""\d+$"", """")"),"")</f>
        <v/>
      </c>
    </row>
    <row r="936" ht="22.5" customHeight="1">
      <c r="A936" s="417" t="str">
        <f>VLOOKUP(F936, Employees!$A$2:$C957, 3, FALSE)</f>
        <v>#N/A</v>
      </c>
      <c r="B936" s="418">
        <f>100000 / (DAY(EOMONTH(Attendance!A936,0)) - 4)</f>
        <v>3703.703704</v>
      </c>
      <c r="C936" s="417" t="str">
        <f>MAX(0, Attendance!C936 - TIME(9, 0, 0)) * 24 * A936</f>
        <v>#N/A</v>
      </c>
      <c r="D936" s="419" t="str">
        <f>MAX(0, Attendance!D936 - TIME(18, 0, 0)) * 24 * 1.5 * A936</f>
        <v>#N/A</v>
      </c>
      <c r="E936" s="418">
        <f>IF(AND(Attendance!E936&lt;&gt;"Friday", Attendance!C936&lt;&gt;""), B936, 0)</f>
        <v>0</v>
      </c>
      <c r="F936" s="420" t="str">
        <f>Attendance!B936</f>
        <v/>
      </c>
      <c r="G936" s="415" t="str">
        <f>Attendance!A936</f>
        <v/>
      </c>
      <c r="H936" s="420" t="str">
        <f>IFERROR(__xludf.DUMMYFUNCTION("REGEXREPLACE(F936, ""\d+$"", """")"),"")</f>
        <v/>
      </c>
    </row>
    <row r="937" ht="22.5" customHeight="1">
      <c r="A937" s="417" t="str">
        <f>VLOOKUP(F937, Employees!$A$2:$C957, 3, FALSE)</f>
        <v>#N/A</v>
      </c>
      <c r="B937" s="418">
        <f>100000 / (DAY(EOMONTH(Attendance!A937,0)) - 4)</f>
        <v>3703.703704</v>
      </c>
      <c r="C937" s="417" t="str">
        <f>MAX(0, Attendance!C937 - TIME(9, 0, 0)) * 24 * A937</f>
        <v>#N/A</v>
      </c>
      <c r="D937" s="419" t="str">
        <f>MAX(0, Attendance!D937 - TIME(18, 0, 0)) * 24 * 1.5 * A937</f>
        <v>#N/A</v>
      </c>
      <c r="E937" s="418">
        <f>IF(AND(Attendance!E937&lt;&gt;"Friday", Attendance!C937&lt;&gt;""), B937, 0)</f>
        <v>0</v>
      </c>
      <c r="F937" s="420" t="str">
        <f>Attendance!B937</f>
        <v/>
      </c>
      <c r="G937" s="415" t="str">
        <f>Attendance!A937</f>
        <v/>
      </c>
      <c r="H937" s="420" t="str">
        <f>IFERROR(__xludf.DUMMYFUNCTION("REGEXREPLACE(F937, ""\d+$"", """")"),"")</f>
        <v/>
      </c>
    </row>
    <row r="938" ht="22.5" customHeight="1">
      <c r="A938" s="417" t="str">
        <f>VLOOKUP(F938, Employees!$A$2:$C957, 3, FALSE)</f>
        <v>#N/A</v>
      </c>
      <c r="B938" s="418">
        <f>100000 / (DAY(EOMONTH(Attendance!A938,0)) - 4)</f>
        <v>3703.703704</v>
      </c>
      <c r="C938" s="417" t="str">
        <f>MAX(0, Attendance!C938 - TIME(9, 0, 0)) * 24 * A938</f>
        <v>#N/A</v>
      </c>
      <c r="D938" s="419" t="str">
        <f>MAX(0, Attendance!D938 - TIME(18, 0, 0)) * 24 * 1.5 * A938</f>
        <v>#N/A</v>
      </c>
      <c r="E938" s="418">
        <f>IF(AND(Attendance!E938&lt;&gt;"Friday", Attendance!C938&lt;&gt;""), B938, 0)</f>
        <v>0</v>
      </c>
      <c r="F938" s="420" t="str">
        <f>Attendance!B938</f>
        <v/>
      </c>
      <c r="G938" s="415" t="str">
        <f>Attendance!A938</f>
        <v/>
      </c>
      <c r="H938" s="420" t="str">
        <f>IFERROR(__xludf.DUMMYFUNCTION("REGEXREPLACE(F938, ""\d+$"", """")"),"")</f>
        <v/>
      </c>
    </row>
    <row r="939" ht="22.5" customHeight="1">
      <c r="A939" s="417" t="str">
        <f>VLOOKUP(F939, Employees!$A$2:$C957, 3, FALSE)</f>
        <v>#N/A</v>
      </c>
      <c r="B939" s="418">
        <f>100000 / (DAY(EOMONTH(Attendance!A939,0)) - 4)</f>
        <v>3703.703704</v>
      </c>
      <c r="C939" s="417" t="str">
        <f>MAX(0, Attendance!C939 - TIME(9, 0, 0)) * 24 * A939</f>
        <v>#N/A</v>
      </c>
      <c r="D939" s="419" t="str">
        <f>MAX(0, Attendance!D939 - TIME(18, 0, 0)) * 24 * 1.5 * A939</f>
        <v>#N/A</v>
      </c>
      <c r="E939" s="418">
        <f>IF(AND(Attendance!E939&lt;&gt;"Friday", Attendance!C939&lt;&gt;""), B939, 0)</f>
        <v>0</v>
      </c>
      <c r="F939" s="420" t="str">
        <f>Attendance!B939</f>
        <v/>
      </c>
      <c r="G939" s="415" t="str">
        <f>Attendance!A939</f>
        <v/>
      </c>
      <c r="H939" s="420" t="str">
        <f>IFERROR(__xludf.DUMMYFUNCTION("REGEXREPLACE(F939, ""\d+$"", """")"),"")</f>
        <v/>
      </c>
    </row>
    <row r="940" ht="22.5" customHeight="1">
      <c r="A940" s="417" t="str">
        <f>VLOOKUP(F940, Employees!$A$2:$C957, 3, FALSE)</f>
        <v>#N/A</v>
      </c>
      <c r="B940" s="418">
        <f>100000 / (DAY(EOMONTH(Attendance!A940,0)) - 4)</f>
        <v>3703.703704</v>
      </c>
      <c r="C940" s="417" t="str">
        <f>MAX(0, Attendance!C940 - TIME(9, 0, 0)) * 24 * A940</f>
        <v>#N/A</v>
      </c>
      <c r="D940" s="419" t="str">
        <f>MAX(0, Attendance!D940 - TIME(18, 0, 0)) * 24 * 1.5 * A940</f>
        <v>#N/A</v>
      </c>
      <c r="E940" s="418">
        <f>IF(AND(Attendance!E940&lt;&gt;"Friday", Attendance!C940&lt;&gt;""), B940, 0)</f>
        <v>0</v>
      </c>
      <c r="F940" s="420" t="str">
        <f>Attendance!B940</f>
        <v/>
      </c>
      <c r="G940" s="415" t="str">
        <f>Attendance!A940</f>
        <v/>
      </c>
      <c r="H940" s="420" t="str">
        <f>IFERROR(__xludf.DUMMYFUNCTION("REGEXREPLACE(F940, ""\d+$"", """")"),"")</f>
        <v/>
      </c>
    </row>
    <row r="941" ht="22.5" customHeight="1">
      <c r="A941" s="417" t="str">
        <f>VLOOKUP(F941, Employees!$A$2:$C957, 3, FALSE)</f>
        <v>#N/A</v>
      </c>
      <c r="B941" s="418">
        <f>100000 / (DAY(EOMONTH(Attendance!A941,0)) - 4)</f>
        <v>3703.703704</v>
      </c>
      <c r="C941" s="417" t="str">
        <f>MAX(0, Attendance!C941 - TIME(9, 0, 0)) * 24 * A941</f>
        <v>#N/A</v>
      </c>
      <c r="D941" s="419" t="str">
        <f>MAX(0, Attendance!D941 - TIME(18, 0, 0)) * 24 * 1.5 * A941</f>
        <v>#N/A</v>
      </c>
      <c r="E941" s="418">
        <f>IF(AND(Attendance!E941&lt;&gt;"Friday", Attendance!C941&lt;&gt;""), B941, 0)</f>
        <v>0</v>
      </c>
      <c r="F941" s="420" t="str">
        <f>Attendance!B941</f>
        <v/>
      </c>
      <c r="G941" s="415" t="str">
        <f>Attendance!A941</f>
        <v/>
      </c>
      <c r="H941" s="420" t="str">
        <f>IFERROR(__xludf.DUMMYFUNCTION("REGEXREPLACE(F941, ""\d+$"", """")"),"")</f>
        <v/>
      </c>
    </row>
    <row r="942" ht="22.5" customHeight="1">
      <c r="A942" s="417" t="str">
        <f>VLOOKUP(F942, Employees!$A$2:$C957, 3, FALSE)</f>
        <v>#N/A</v>
      </c>
      <c r="B942" s="418">
        <f>100000 / (DAY(EOMONTH(Attendance!A942,0)) - 4)</f>
        <v>3703.703704</v>
      </c>
      <c r="C942" s="417" t="str">
        <f>MAX(0, Attendance!C942 - TIME(9, 0, 0)) * 24 * A942</f>
        <v>#N/A</v>
      </c>
      <c r="D942" s="419" t="str">
        <f>MAX(0, Attendance!D942 - TIME(18, 0, 0)) * 24 * 1.5 * A942</f>
        <v>#N/A</v>
      </c>
      <c r="E942" s="418">
        <f>IF(AND(Attendance!E942&lt;&gt;"Friday", Attendance!C942&lt;&gt;""), B942, 0)</f>
        <v>0</v>
      </c>
      <c r="F942" s="420" t="str">
        <f>Attendance!B942</f>
        <v/>
      </c>
      <c r="G942" s="415" t="str">
        <f>Attendance!A942</f>
        <v/>
      </c>
      <c r="H942" s="420" t="str">
        <f>IFERROR(__xludf.DUMMYFUNCTION("REGEXREPLACE(F942, ""\d+$"", """")"),"")</f>
        <v/>
      </c>
    </row>
    <row r="943" ht="22.5" customHeight="1">
      <c r="A943" s="417" t="str">
        <f>VLOOKUP(F943, Employees!$A$2:$C957, 3, FALSE)</f>
        <v>#N/A</v>
      </c>
      <c r="B943" s="418">
        <f>100000 / (DAY(EOMONTH(Attendance!A943,0)) - 4)</f>
        <v>3703.703704</v>
      </c>
      <c r="C943" s="417" t="str">
        <f>MAX(0, Attendance!C943 - TIME(9, 0, 0)) * 24 * A943</f>
        <v>#N/A</v>
      </c>
      <c r="D943" s="419" t="str">
        <f>MAX(0, Attendance!D943 - TIME(18, 0, 0)) * 24 * 1.5 * A943</f>
        <v>#N/A</v>
      </c>
      <c r="E943" s="418">
        <f>IF(AND(Attendance!E943&lt;&gt;"Friday", Attendance!C943&lt;&gt;""), B943, 0)</f>
        <v>0</v>
      </c>
      <c r="F943" s="420" t="str">
        <f>Attendance!B943</f>
        <v/>
      </c>
      <c r="G943" s="415" t="str">
        <f>Attendance!A943</f>
        <v/>
      </c>
      <c r="H943" s="420" t="str">
        <f>IFERROR(__xludf.DUMMYFUNCTION("REGEXREPLACE(F943, ""\d+$"", """")"),"")</f>
        <v/>
      </c>
    </row>
    <row r="944" ht="22.5" customHeight="1">
      <c r="A944" s="417" t="str">
        <f>VLOOKUP(F944, Employees!$A$2:$C957, 3, FALSE)</f>
        <v>#N/A</v>
      </c>
      <c r="B944" s="418">
        <f>100000 / (DAY(EOMONTH(Attendance!A944,0)) - 4)</f>
        <v>3703.703704</v>
      </c>
      <c r="C944" s="417" t="str">
        <f>MAX(0, Attendance!C944 - TIME(9, 0, 0)) * 24 * A944</f>
        <v>#N/A</v>
      </c>
      <c r="D944" s="419" t="str">
        <f>MAX(0, Attendance!D944 - TIME(18, 0, 0)) * 24 * 1.5 * A944</f>
        <v>#N/A</v>
      </c>
      <c r="E944" s="418">
        <f>IF(AND(Attendance!E944&lt;&gt;"Friday", Attendance!C944&lt;&gt;""), B944, 0)</f>
        <v>0</v>
      </c>
      <c r="F944" s="420" t="str">
        <f>Attendance!B944</f>
        <v/>
      </c>
      <c r="G944" s="415" t="str">
        <f>Attendance!A944</f>
        <v/>
      </c>
      <c r="H944" s="420" t="str">
        <f>IFERROR(__xludf.DUMMYFUNCTION("REGEXREPLACE(F944, ""\d+$"", """")"),"")</f>
        <v/>
      </c>
    </row>
    <row r="945" ht="22.5" customHeight="1">
      <c r="A945" s="417" t="str">
        <f>VLOOKUP(F945, Employees!$A$2:$C957, 3, FALSE)</f>
        <v>#N/A</v>
      </c>
      <c r="B945" s="418">
        <f>100000 / (DAY(EOMONTH(Attendance!A945,0)) - 4)</f>
        <v>3703.703704</v>
      </c>
      <c r="C945" s="417" t="str">
        <f>MAX(0, Attendance!C945 - TIME(9, 0, 0)) * 24 * A945</f>
        <v>#N/A</v>
      </c>
      <c r="D945" s="419" t="str">
        <f>MAX(0, Attendance!D945 - TIME(18, 0, 0)) * 24 * 1.5 * A945</f>
        <v>#N/A</v>
      </c>
      <c r="E945" s="418">
        <f>IF(AND(Attendance!E945&lt;&gt;"Friday", Attendance!C945&lt;&gt;""), B945, 0)</f>
        <v>0</v>
      </c>
      <c r="F945" s="420" t="str">
        <f>Attendance!B945</f>
        <v/>
      </c>
      <c r="G945" s="415" t="str">
        <f>Attendance!A945</f>
        <v/>
      </c>
      <c r="H945" s="420" t="str">
        <f>IFERROR(__xludf.DUMMYFUNCTION("REGEXREPLACE(F945, ""\d+$"", """")"),"")</f>
        <v/>
      </c>
    </row>
    <row r="946" ht="22.5" customHeight="1">
      <c r="A946" s="417" t="str">
        <f>VLOOKUP(F946, Employees!$A$2:$C957, 3, FALSE)</f>
        <v>#N/A</v>
      </c>
      <c r="B946" s="418">
        <f>100000 / (DAY(EOMONTH(Attendance!A946,0)) - 4)</f>
        <v>3703.703704</v>
      </c>
      <c r="C946" s="417" t="str">
        <f>MAX(0, Attendance!C946 - TIME(9, 0, 0)) * 24 * A946</f>
        <v>#N/A</v>
      </c>
      <c r="D946" s="419" t="str">
        <f>MAX(0, Attendance!D946 - TIME(18, 0, 0)) * 24 * 1.5 * A946</f>
        <v>#N/A</v>
      </c>
      <c r="E946" s="418">
        <f>IF(AND(Attendance!E946&lt;&gt;"Friday", Attendance!C946&lt;&gt;""), B946, 0)</f>
        <v>0</v>
      </c>
      <c r="F946" s="420" t="str">
        <f>Attendance!B946</f>
        <v/>
      </c>
      <c r="G946" s="415" t="str">
        <f>Attendance!A946</f>
        <v/>
      </c>
      <c r="H946" s="420" t="str">
        <f>IFERROR(__xludf.DUMMYFUNCTION("REGEXREPLACE(F946, ""\d+$"", """")"),"")</f>
        <v/>
      </c>
    </row>
    <row r="947" ht="22.5" customHeight="1">
      <c r="A947" s="417" t="str">
        <f>VLOOKUP(F947, Employees!$A$2:$C957, 3, FALSE)</f>
        <v>#N/A</v>
      </c>
      <c r="B947" s="418">
        <f>100000 / (DAY(EOMONTH(Attendance!A947,0)) - 4)</f>
        <v>3703.703704</v>
      </c>
      <c r="C947" s="417" t="str">
        <f>MAX(0, Attendance!C947 - TIME(9, 0, 0)) * 24 * A947</f>
        <v>#N/A</v>
      </c>
      <c r="D947" s="419" t="str">
        <f>MAX(0, Attendance!D947 - TIME(18, 0, 0)) * 24 * 1.5 * A947</f>
        <v>#N/A</v>
      </c>
      <c r="E947" s="418">
        <f>IF(AND(Attendance!E947&lt;&gt;"Friday", Attendance!C947&lt;&gt;""), B947, 0)</f>
        <v>0</v>
      </c>
      <c r="F947" s="420" t="str">
        <f>Attendance!B947</f>
        <v/>
      </c>
      <c r="G947" s="415" t="str">
        <f>Attendance!A947</f>
        <v/>
      </c>
      <c r="H947" s="420" t="str">
        <f>IFERROR(__xludf.DUMMYFUNCTION("REGEXREPLACE(F947, ""\d+$"", """")"),"")</f>
        <v/>
      </c>
    </row>
    <row r="948" ht="22.5" customHeight="1">
      <c r="A948" s="417" t="str">
        <f>VLOOKUP(F948, Employees!$A$2:$C957, 3, FALSE)</f>
        <v>#N/A</v>
      </c>
      <c r="B948" s="418">
        <f>100000 / (DAY(EOMONTH(Attendance!A948,0)) - 4)</f>
        <v>3703.703704</v>
      </c>
      <c r="C948" s="417" t="str">
        <f>MAX(0, Attendance!C948 - TIME(9, 0, 0)) * 24 * A948</f>
        <v>#N/A</v>
      </c>
      <c r="D948" s="419" t="str">
        <f>MAX(0, Attendance!D948 - TIME(18, 0, 0)) * 24 * 1.5 * A948</f>
        <v>#N/A</v>
      </c>
      <c r="E948" s="418">
        <f>IF(AND(Attendance!E948&lt;&gt;"Friday", Attendance!C948&lt;&gt;""), B948, 0)</f>
        <v>0</v>
      </c>
      <c r="F948" s="420" t="str">
        <f>Attendance!B948</f>
        <v/>
      </c>
      <c r="G948" s="415" t="str">
        <f>Attendance!A948</f>
        <v/>
      </c>
      <c r="H948" s="420" t="str">
        <f>IFERROR(__xludf.DUMMYFUNCTION("REGEXREPLACE(F948, ""\d+$"", """")"),"")</f>
        <v/>
      </c>
    </row>
    <row r="949" ht="22.5" customHeight="1">
      <c r="A949" s="417" t="str">
        <f>VLOOKUP(F949, Employees!$A$2:$C957, 3, FALSE)</f>
        <v>#N/A</v>
      </c>
      <c r="B949" s="418">
        <f>100000 / (DAY(EOMONTH(Attendance!A949,0)) - 4)</f>
        <v>3703.703704</v>
      </c>
      <c r="C949" s="417" t="str">
        <f>MAX(0, Attendance!C949 - TIME(9, 0, 0)) * 24 * A949</f>
        <v>#N/A</v>
      </c>
      <c r="D949" s="419" t="str">
        <f>MAX(0, Attendance!D949 - TIME(18, 0, 0)) * 24 * 1.5 * A949</f>
        <v>#N/A</v>
      </c>
      <c r="E949" s="418">
        <f>IF(AND(Attendance!E949&lt;&gt;"Friday", Attendance!C949&lt;&gt;""), B949, 0)</f>
        <v>0</v>
      </c>
      <c r="F949" s="420" t="str">
        <f>Attendance!B949</f>
        <v/>
      </c>
      <c r="G949" s="415" t="str">
        <f>Attendance!A949</f>
        <v/>
      </c>
      <c r="H949" s="420" t="str">
        <f>IFERROR(__xludf.DUMMYFUNCTION("REGEXREPLACE(F949, ""\d+$"", """")"),"")</f>
        <v/>
      </c>
    </row>
    <row r="950" ht="22.5" customHeight="1">
      <c r="A950" s="417" t="str">
        <f>VLOOKUP(F950, Employees!$A$2:$C957, 3, FALSE)</f>
        <v>#N/A</v>
      </c>
      <c r="B950" s="418">
        <f>100000 / (DAY(EOMONTH(Attendance!A950,0)) - 4)</f>
        <v>3703.703704</v>
      </c>
      <c r="C950" s="417" t="str">
        <f>MAX(0, Attendance!C950 - TIME(9, 0, 0)) * 24 * A950</f>
        <v>#N/A</v>
      </c>
      <c r="D950" s="419" t="str">
        <f>MAX(0, Attendance!D950 - TIME(18, 0, 0)) * 24 * 1.5 * A950</f>
        <v>#N/A</v>
      </c>
      <c r="E950" s="418">
        <f>IF(AND(Attendance!E950&lt;&gt;"Friday", Attendance!C950&lt;&gt;""), B950, 0)</f>
        <v>0</v>
      </c>
      <c r="F950" s="420" t="str">
        <f>Attendance!B950</f>
        <v/>
      </c>
      <c r="G950" s="415" t="str">
        <f>Attendance!A950</f>
        <v/>
      </c>
      <c r="H950" s="420" t="str">
        <f>IFERROR(__xludf.DUMMYFUNCTION("REGEXREPLACE(F950, ""\d+$"", """")"),"")</f>
        <v/>
      </c>
    </row>
    <row r="951" ht="22.5" customHeight="1">
      <c r="A951" s="417" t="str">
        <f>VLOOKUP(F951, Employees!$A$2:$C957, 3, FALSE)</f>
        <v>#N/A</v>
      </c>
      <c r="B951" s="418">
        <f>100000 / (DAY(EOMONTH(Attendance!A951,0)) - 4)</f>
        <v>3703.703704</v>
      </c>
      <c r="C951" s="417" t="str">
        <f>MAX(0, Attendance!C951 - TIME(9, 0, 0)) * 24 * A951</f>
        <v>#N/A</v>
      </c>
      <c r="D951" s="419" t="str">
        <f>MAX(0, Attendance!D951 - TIME(18, 0, 0)) * 24 * 1.5 * A951</f>
        <v>#N/A</v>
      </c>
      <c r="E951" s="418">
        <f>IF(AND(Attendance!E951&lt;&gt;"Friday", Attendance!C951&lt;&gt;""), B951, 0)</f>
        <v>0</v>
      </c>
      <c r="F951" s="420" t="str">
        <f>Attendance!B951</f>
        <v/>
      </c>
      <c r="G951" s="415" t="str">
        <f>Attendance!A951</f>
        <v/>
      </c>
      <c r="H951" s="420" t="str">
        <f>IFERROR(__xludf.DUMMYFUNCTION("REGEXREPLACE(F951, ""\d+$"", """")"),"")</f>
        <v/>
      </c>
    </row>
    <row r="952" ht="22.5" customHeight="1">
      <c r="A952" s="417" t="str">
        <f>VLOOKUP(F952, Employees!$A$2:$C957, 3, FALSE)</f>
        <v>#N/A</v>
      </c>
      <c r="B952" s="418">
        <f>100000 / (DAY(EOMONTH(Attendance!A952,0)) - 4)</f>
        <v>3703.703704</v>
      </c>
      <c r="C952" s="417" t="str">
        <f>MAX(0, Attendance!C952 - TIME(9, 0, 0)) * 24 * A952</f>
        <v>#N/A</v>
      </c>
      <c r="D952" s="419" t="str">
        <f>MAX(0, Attendance!D952 - TIME(18, 0, 0)) * 24 * 1.5 * A952</f>
        <v>#N/A</v>
      </c>
      <c r="E952" s="418">
        <f>IF(AND(Attendance!E952&lt;&gt;"Friday", Attendance!C952&lt;&gt;""), B952, 0)</f>
        <v>0</v>
      </c>
      <c r="F952" s="420" t="str">
        <f>Attendance!B952</f>
        <v/>
      </c>
      <c r="G952" s="415" t="str">
        <f>Attendance!A952</f>
        <v/>
      </c>
      <c r="H952" s="420" t="str">
        <f>IFERROR(__xludf.DUMMYFUNCTION("REGEXREPLACE(F952, ""\d+$"", """")"),"")</f>
        <v/>
      </c>
    </row>
    <row r="953" ht="22.5" customHeight="1">
      <c r="A953" s="417" t="str">
        <f>VLOOKUP(F953, Employees!$A$2:$C957, 3, FALSE)</f>
        <v>#N/A</v>
      </c>
      <c r="B953" s="418">
        <f>100000 / (DAY(EOMONTH(Attendance!A953,0)) - 4)</f>
        <v>3703.703704</v>
      </c>
      <c r="C953" s="417" t="str">
        <f>MAX(0, Attendance!C953 - TIME(9, 0, 0)) * 24 * A953</f>
        <v>#N/A</v>
      </c>
      <c r="D953" s="419" t="str">
        <f>MAX(0, Attendance!D953 - TIME(18, 0, 0)) * 24 * 1.5 * A953</f>
        <v>#N/A</v>
      </c>
      <c r="E953" s="418">
        <f>IF(AND(Attendance!E953&lt;&gt;"Friday", Attendance!C953&lt;&gt;""), B953, 0)</f>
        <v>0</v>
      </c>
      <c r="F953" s="420" t="str">
        <f>Attendance!B953</f>
        <v/>
      </c>
      <c r="G953" s="415" t="str">
        <f>Attendance!A953</f>
        <v/>
      </c>
      <c r="H953" s="420" t="str">
        <f>IFERROR(__xludf.DUMMYFUNCTION("REGEXREPLACE(F953, ""\d+$"", """")"),"")</f>
        <v/>
      </c>
    </row>
    <row r="954" ht="22.5" customHeight="1">
      <c r="A954" s="417" t="str">
        <f>VLOOKUP(F954, Employees!$A$2:$C957, 3, FALSE)</f>
        <v>#N/A</v>
      </c>
      <c r="B954" s="418">
        <f>100000 / (DAY(EOMONTH(Attendance!A954,0)) - 4)</f>
        <v>3703.703704</v>
      </c>
      <c r="C954" s="417" t="str">
        <f>MAX(0, Attendance!C954 - TIME(9, 0, 0)) * 24 * A954</f>
        <v>#N/A</v>
      </c>
      <c r="D954" s="419" t="str">
        <f>MAX(0, Attendance!D954 - TIME(18, 0, 0)) * 24 * 1.5 * A954</f>
        <v>#N/A</v>
      </c>
      <c r="E954" s="418">
        <f>IF(AND(Attendance!E954&lt;&gt;"Friday", Attendance!C954&lt;&gt;""), B954, 0)</f>
        <v>0</v>
      </c>
      <c r="F954" s="420" t="str">
        <f>Attendance!B954</f>
        <v/>
      </c>
      <c r="G954" s="415" t="str">
        <f>Attendance!A954</f>
        <v/>
      </c>
      <c r="H954" s="420" t="str">
        <f>IFERROR(__xludf.DUMMYFUNCTION("REGEXREPLACE(F954, ""\d+$"", """")"),"")</f>
        <v/>
      </c>
    </row>
    <row r="955" ht="22.5" customHeight="1">
      <c r="A955" s="417" t="str">
        <f>VLOOKUP(F955, Employees!$A$2:$C957, 3, FALSE)</f>
        <v>#N/A</v>
      </c>
      <c r="B955" s="418">
        <f>100000 / (DAY(EOMONTH(Attendance!A955,0)) - 4)</f>
        <v>3703.703704</v>
      </c>
      <c r="C955" s="417" t="str">
        <f>MAX(0, Attendance!C955 - TIME(9, 0, 0)) * 24 * A955</f>
        <v>#N/A</v>
      </c>
      <c r="D955" s="419" t="str">
        <f>MAX(0, Attendance!D955 - TIME(18, 0, 0)) * 24 * 1.5 * A955</f>
        <v>#N/A</v>
      </c>
      <c r="E955" s="418">
        <f>IF(AND(Attendance!E955&lt;&gt;"Friday", Attendance!C955&lt;&gt;""), B955, 0)</f>
        <v>0</v>
      </c>
      <c r="F955" s="420" t="str">
        <f>Attendance!B955</f>
        <v/>
      </c>
      <c r="G955" s="415" t="str">
        <f>Attendance!A955</f>
        <v/>
      </c>
      <c r="H955" s="420" t="str">
        <f>IFERROR(__xludf.DUMMYFUNCTION("REGEXREPLACE(F955, ""\d+$"", """")"),"")</f>
        <v/>
      </c>
    </row>
    <row r="956" ht="22.5" customHeight="1">
      <c r="A956" s="417" t="str">
        <f>VLOOKUP(F956, Employees!$A$2:$C957, 3, FALSE)</f>
        <v>#N/A</v>
      </c>
      <c r="B956" s="418">
        <f>100000 / (DAY(EOMONTH(Attendance!A956,0)) - 4)</f>
        <v>3703.703704</v>
      </c>
      <c r="C956" s="417" t="str">
        <f>MAX(0, Attendance!C956 - TIME(9, 0, 0)) * 24 * A956</f>
        <v>#N/A</v>
      </c>
      <c r="D956" s="419" t="str">
        <f>MAX(0, Attendance!D956 - TIME(18, 0, 0)) * 24 * 1.5 * A956</f>
        <v>#N/A</v>
      </c>
      <c r="E956" s="418">
        <f>IF(AND(Attendance!E956&lt;&gt;"Friday", Attendance!C956&lt;&gt;""), B956, 0)</f>
        <v>0</v>
      </c>
      <c r="F956" s="420" t="str">
        <f>Attendance!B956</f>
        <v/>
      </c>
      <c r="G956" s="415" t="str">
        <f>Attendance!A956</f>
        <v/>
      </c>
      <c r="H956" s="420" t="str">
        <f>IFERROR(__xludf.DUMMYFUNCTION("REGEXREPLACE(F956, ""\d+$"", """")"),"")</f>
        <v/>
      </c>
    </row>
    <row r="957" ht="22.5" customHeight="1">
      <c r="A957" s="417" t="str">
        <f>VLOOKUP(F957, Employees!$A$2:$C957, 3, FALSE)</f>
        <v>#N/A</v>
      </c>
      <c r="B957" s="418">
        <f>100000 / (DAY(EOMONTH(Attendance!A957,0)) - 4)</f>
        <v>3703.703704</v>
      </c>
      <c r="C957" s="417" t="str">
        <f>MAX(0, Attendance!C957 - TIME(9, 0, 0)) * 24 * A957</f>
        <v>#N/A</v>
      </c>
      <c r="D957" s="419" t="str">
        <f>MAX(0, Attendance!D957 - TIME(18, 0, 0)) * 24 * 1.5 * A957</f>
        <v>#N/A</v>
      </c>
      <c r="E957" s="418">
        <f>IF(AND(Attendance!E957&lt;&gt;"Friday", Attendance!C957&lt;&gt;""), B957, 0)</f>
        <v>0</v>
      </c>
      <c r="F957" s="420" t="str">
        <f>Attendance!B957</f>
        <v/>
      </c>
      <c r="G957" s="415" t="str">
        <f>Attendance!A957</f>
        <v/>
      </c>
      <c r="H957" s="420" t="str">
        <f>IFERROR(__xludf.DUMMYFUNCTION("REGEXREPLACE(F957, ""\d+$"", """")"),"")</f>
        <v/>
      </c>
    </row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6.86"/>
  </cols>
  <sheetData>
    <row r="1">
      <c r="A1" s="421" t="s">
        <v>244</v>
      </c>
      <c r="B1" s="422" t="s">
        <v>266</v>
      </c>
      <c r="C1" s="423" t="s">
        <v>2</v>
      </c>
      <c r="D1" s="421" t="s">
        <v>267</v>
      </c>
    </row>
    <row r="2">
      <c r="A2" s="424" t="s">
        <v>62</v>
      </c>
      <c r="B2" s="425">
        <v>250000.0</v>
      </c>
      <c r="C2" s="426">
        <f>$B2/(Dashboard!$W$10+Dashboard!$W$12)/9</f>
        <v>925.9259259</v>
      </c>
      <c r="D2" s="427"/>
    </row>
    <row r="3">
      <c r="A3" s="424" t="s">
        <v>1</v>
      </c>
      <c r="B3" s="425">
        <v>750000.0</v>
      </c>
      <c r="C3" s="426">
        <f>$B3/(Dashboard!$W$10+Dashboard!$W$12)/9</f>
        <v>2777.777778</v>
      </c>
      <c r="D3" s="428"/>
    </row>
    <row r="4">
      <c r="A4" s="424" t="s">
        <v>64</v>
      </c>
      <c r="B4" s="425">
        <v>450000.0</v>
      </c>
      <c r="C4" s="426">
        <f>$B4/(Dashboard!$W$10+Dashboard!$W$12)/9</f>
        <v>1666.666667</v>
      </c>
      <c r="D4" s="428"/>
    </row>
    <row r="5">
      <c r="A5" s="424" t="s">
        <v>81</v>
      </c>
      <c r="B5" s="425">
        <v>550000.0</v>
      </c>
      <c r="C5" s="426">
        <f>$B5/(Dashboard!$W$10+Dashboard!$W$12)/9</f>
        <v>2037.037037</v>
      </c>
      <c r="D5" s="428"/>
    </row>
    <row r="6">
      <c r="A6" s="424" t="s">
        <v>75</v>
      </c>
      <c r="B6" s="425">
        <v>400000.0</v>
      </c>
      <c r="C6" s="426">
        <f>$B6/(Dashboard!$W$10+Dashboard!$W$12)/9</f>
        <v>1481.481481</v>
      </c>
      <c r="D6" s="286"/>
    </row>
    <row r="7">
      <c r="A7" s="424" t="s">
        <v>106</v>
      </c>
      <c r="B7" s="425">
        <v>400000.0</v>
      </c>
      <c r="C7" s="426">
        <f>$B7/(Dashboard!$W$10+Dashboard!$W$12)/9</f>
        <v>1481.481481</v>
      </c>
      <c r="D7" s="286"/>
    </row>
    <row r="8">
      <c r="A8" s="424" t="s">
        <v>58</v>
      </c>
      <c r="B8" s="425">
        <v>400000.0</v>
      </c>
      <c r="C8" s="426">
        <f>$B8/(Dashboard!$W$10+Dashboard!$W$12)/9</f>
        <v>1481.481481</v>
      </c>
      <c r="D8" s="286"/>
    </row>
    <row r="9">
      <c r="A9" s="424" t="s">
        <v>107</v>
      </c>
      <c r="B9" s="425">
        <v>400000.0</v>
      </c>
      <c r="C9" s="426">
        <f>$B9/(Dashboard!$W$10+Dashboard!$W$12)/9</f>
        <v>1481.481481</v>
      </c>
      <c r="D9" s="286"/>
    </row>
    <row r="10">
      <c r="A10" s="424" t="s">
        <v>159</v>
      </c>
      <c r="B10" s="425">
        <v>400000.0</v>
      </c>
      <c r="C10" s="426">
        <f>$B10/(Dashboard!$W$10+Dashboard!$W$12)/9</f>
        <v>1481.481481</v>
      </c>
      <c r="D10" s="286"/>
    </row>
    <row r="11">
      <c r="A11" s="429" t="s">
        <v>268</v>
      </c>
      <c r="B11" s="425">
        <v>650000.0</v>
      </c>
      <c r="C11" s="426">
        <f>$B11/(Dashboard!$W$10+Dashboard!$W$12)/9</f>
        <v>2407.407407</v>
      </c>
      <c r="D11" s="286"/>
    </row>
    <row r="12">
      <c r="A12" s="430" t="s">
        <v>105</v>
      </c>
      <c r="B12" s="425">
        <v>650000.0</v>
      </c>
      <c r="C12" s="426">
        <f>$B12/(Dashboard!$W$10+Dashboard!$W$12)/9</f>
        <v>2407.407407</v>
      </c>
      <c r="D12" s="286"/>
    </row>
    <row r="13">
      <c r="A13" s="429" t="s">
        <v>269</v>
      </c>
      <c r="B13" s="425">
        <v>650000.0</v>
      </c>
      <c r="C13" s="426">
        <f>$B13/(Dashboard!$W$10+Dashboard!$W$12)/9</f>
        <v>2407.407407</v>
      </c>
      <c r="D13" s="286"/>
    </row>
    <row r="14">
      <c r="A14" s="429" t="s">
        <v>270</v>
      </c>
      <c r="B14" s="425">
        <v>650000.0</v>
      </c>
      <c r="C14" s="426">
        <f>$B14/(Dashboard!$W$10+Dashboard!$W$12)/9</f>
        <v>2407.407407</v>
      </c>
      <c r="D14" s="286"/>
    </row>
    <row r="15">
      <c r="A15" s="429" t="s">
        <v>271</v>
      </c>
      <c r="B15" s="425">
        <v>650000.0</v>
      </c>
      <c r="C15" s="426">
        <f>$B15/(Dashboard!$W$10+Dashboard!$W$12)/9</f>
        <v>2407.407407</v>
      </c>
      <c r="D15" s="286"/>
    </row>
    <row r="16">
      <c r="A16" s="430" t="s">
        <v>272</v>
      </c>
      <c r="B16" s="425">
        <v>650000.0</v>
      </c>
      <c r="C16" s="426">
        <f>$B16/(Dashboard!$W$10+Dashboard!$W$12)/9</f>
        <v>2407.407407</v>
      </c>
      <c r="D16" s="286"/>
    </row>
    <row r="17">
      <c r="A17" s="429" t="s">
        <v>117</v>
      </c>
      <c r="B17" s="425">
        <v>650000.0</v>
      </c>
      <c r="C17" s="426">
        <f>$B17/(Dashboard!$W$10+Dashboard!$W$12)/9</f>
        <v>2407.407407</v>
      </c>
      <c r="D17" s="286"/>
    </row>
    <row r="18">
      <c r="A18" s="430" t="s">
        <v>160</v>
      </c>
      <c r="B18" s="425">
        <v>650000.0</v>
      </c>
      <c r="C18" s="426">
        <f>$B18/(Dashboard!$W$10+Dashboard!$W$12)/9</f>
        <v>2407.407407</v>
      </c>
      <c r="D18" s="286"/>
    </row>
    <row r="19">
      <c r="A19" s="430" t="s">
        <v>273</v>
      </c>
      <c r="B19" s="425">
        <v>650000.0</v>
      </c>
      <c r="C19" s="426">
        <f>$B19/(Dashboard!$W$10+Dashboard!$W$12)/9</f>
        <v>2407.407407</v>
      </c>
      <c r="D19" s="286"/>
    </row>
    <row r="20">
      <c r="A20" s="430" t="s">
        <v>121</v>
      </c>
      <c r="B20" s="425">
        <v>650000.0</v>
      </c>
      <c r="C20" s="426">
        <f>$B20/(Dashboard!$W$10+Dashboard!$W$12)/9</f>
        <v>2407.407407</v>
      </c>
      <c r="D20" s="286"/>
    </row>
    <row r="21" ht="15.75" customHeight="1">
      <c r="A21" s="286"/>
      <c r="B21" s="431"/>
      <c r="C21" s="286"/>
      <c r="D21" s="286"/>
    </row>
    <row r="22" ht="15.75" customHeight="1">
      <c r="A22" s="286"/>
      <c r="B22" s="431"/>
      <c r="C22" s="286"/>
      <c r="D22" s="286"/>
    </row>
    <row r="23" ht="15.75" customHeight="1">
      <c r="A23" s="286"/>
      <c r="B23" s="431"/>
      <c r="C23" s="286"/>
      <c r="D23" s="286"/>
    </row>
    <row r="24" ht="15.75" customHeight="1">
      <c r="A24" s="286"/>
      <c r="B24" s="431"/>
      <c r="C24" s="286"/>
      <c r="D24" s="286"/>
    </row>
    <row r="25" ht="15.75" customHeight="1">
      <c r="A25" s="286"/>
      <c r="B25" s="431"/>
      <c r="C25" s="286"/>
      <c r="D25" s="286"/>
    </row>
    <row r="26" ht="15.75" customHeight="1">
      <c r="A26" s="286"/>
      <c r="B26" s="431"/>
      <c r="C26" s="286"/>
      <c r="D26" s="286"/>
    </row>
    <row r="27" ht="15.75" customHeight="1">
      <c r="A27" s="286"/>
      <c r="B27" s="431"/>
      <c r="C27" s="286"/>
      <c r="D27" s="286"/>
    </row>
    <row r="28" ht="15.75" customHeight="1">
      <c r="A28" s="286"/>
      <c r="B28" s="431"/>
      <c r="C28" s="286"/>
      <c r="D28" s="286"/>
    </row>
    <row r="29" ht="15.75" customHeight="1">
      <c r="A29" s="286"/>
      <c r="B29" s="431"/>
      <c r="C29" s="286"/>
      <c r="D29" s="286"/>
    </row>
    <row r="30" ht="15.75" customHeight="1">
      <c r="A30" s="286"/>
      <c r="B30" s="431"/>
      <c r="C30" s="286"/>
      <c r="D30" s="286"/>
    </row>
    <row r="31" ht="15.75" customHeight="1">
      <c r="A31" s="286"/>
      <c r="B31" s="431"/>
      <c r="C31" s="286"/>
      <c r="D31" s="286"/>
    </row>
    <row r="32" ht="15.75" customHeight="1">
      <c r="A32" s="286"/>
      <c r="B32" s="431"/>
      <c r="C32" s="286"/>
      <c r="D32" s="286"/>
    </row>
    <row r="33" ht="15.75" customHeight="1">
      <c r="A33" s="286"/>
      <c r="B33" s="431"/>
      <c r="C33" s="286"/>
      <c r="D33" s="286"/>
    </row>
    <row r="34" ht="15.75" customHeight="1">
      <c r="A34" s="286"/>
      <c r="B34" s="431"/>
      <c r="C34" s="286"/>
      <c r="D34" s="286"/>
    </row>
    <row r="35" ht="15.75" customHeight="1">
      <c r="A35" s="286"/>
      <c r="B35" s="431"/>
      <c r="C35" s="286"/>
      <c r="D35" s="286"/>
    </row>
    <row r="36" ht="15.75" customHeight="1">
      <c r="A36" s="286"/>
      <c r="B36" s="431"/>
      <c r="C36" s="286"/>
      <c r="D36" s="286"/>
    </row>
    <row r="37" ht="15.75" customHeight="1">
      <c r="A37" s="286"/>
      <c r="B37" s="431"/>
      <c r="C37" s="286"/>
      <c r="D37" s="286"/>
    </row>
    <row r="38" ht="15.75" customHeight="1">
      <c r="A38" s="286"/>
      <c r="B38" s="431"/>
      <c r="C38" s="286"/>
      <c r="D38" s="286"/>
    </row>
    <row r="39" ht="15.75" customHeight="1">
      <c r="A39" s="286"/>
      <c r="B39" s="431"/>
      <c r="C39" s="286"/>
      <c r="D39" s="286"/>
    </row>
    <row r="40" ht="15.75" customHeight="1">
      <c r="A40" s="286"/>
      <c r="B40" s="431"/>
      <c r="C40" s="286"/>
      <c r="D40" s="286"/>
    </row>
    <row r="41" ht="15.75" customHeight="1">
      <c r="A41" s="286"/>
      <c r="B41" s="431"/>
      <c r="C41" s="286"/>
      <c r="D41" s="286"/>
    </row>
    <row r="42" ht="15.75" customHeight="1">
      <c r="A42" s="286"/>
      <c r="B42" s="431"/>
      <c r="C42" s="286"/>
      <c r="D42" s="286"/>
    </row>
    <row r="43" ht="15.75" customHeight="1">
      <c r="A43" s="286"/>
      <c r="B43" s="431"/>
      <c r="C43" s="286"/>
      <c r="D43" s="286"/>
    </row>
    <row r="44" ht="15.75" customHeight="1">
      <c r="A44" s="286"/>
      <c r="B44" s="431"/>
      <c r="C44" s="286"/>
      <c r="D44" s="286"/>
    </row>
    <row r="45" ht="15.75" customHeight="1">
      <c r="A45" s="286"/>
      <c r="B45" s="431"/>
      <c r="C45" s="286"/>
      <c r="D45" s="286"/>
    </row>
    <row r="46" ht="15.75" customHeight="1">
      <c r="A46" s="286"/>
      <c r="B46" s="431"/>
      <c r="C46" s="286"/>
      <c r="D46" s="286"/>
    </row>
    <row r="47" ht="15.75" customHeight="1">
      <c r="A47" s="286"/>
      <c r="B47" s="431"/>
      <c r="C47" s="286"/>
      <c r="D47" s="286"/>
    </row>
    <row r="48" ht="15.75" customHeight="1">
      <c r="A48" s="286"/>
      <c r="B48" s="431"/>
      <c r="C48" s="286"/>
      <c r="D48" s="286"/>
    </row>
    <row r="49" ht="15.75" customHeight="1">
      <c r="A49" s="286"/>
      <c r="B49" s="431"/>
      <c r="C49" s="286"/>
      <c r="D49" s="286"/>
    </row>
    <row r="50" ht="15.75" customHeight="1">
      <c r="A50" s="286"/>
      <c r="B50" s="431"/>
      <c r="C50" s="286"/>
      <c r="D50" s="286"/>
    </row>
    <row r="51" ht="15.75" customHeight="1">
      <c r="A51" s="286"/>
      <c r="B51" s="431"/>
      <c r="C51" s="286"/>
      <c r="D51" s="286"/>
    </row>
    <row r="52" ht="15.75" customHeight="1">
      <c r="A52" s="286"/>
      <c r="B52" s="431"/>
      <c r="C52" s="286"/>
      <c r="D52" s="286"/>
    </row>
    <row r="53" ht="15.75" customHeight="1">
      <c r="A53" s="286"/>
      <c r="B53" s="431"/>
      <c r="C53" s="286"/>
      <c r="D53" s="286"/>
    </row>
    <row r="54" ht="15.75" customHeight="1">
      <c r="A54" s="286"/>
      <c r="B54" s="431"/>
      <c r="C54" s="286"/>
      <c r="D54" s="286"/>
    </row>
    <row r="55" ht="15.75" customHeight="1">
      <c r="A55" s="286"/>
      <c r="B55" s="431"/>
      <c r="C55" s="286"/>
      <c r="D55" s="286"/>
    </row>
    <row r="56" ht="15.75" customHeight="1">
      <c r="A56" s="286"/>
      <c r="B56" s="431"/>
      <c r="C56" s="286"/>
      <c r="D56" s="286"/>
    </row>
    <row r="57" ht="15.75" customHeight="1">
      <c r="A57" s="286"/>
      <c r="B57" s="431"/>
      <c r="C57" s="286"/>
      <c r="D57" s="286"/>
    </row>
    <row r="58" ht="15.75" customHeight="1">
      <c r="A58" s="286"/>
      <c r="B58" s="431"/>
      <c r="C58" s="286"/>
      <c r="D58" s="286"/>
    </row>
    <row r="59" ht="15.75" customHeight="1">
      <c r="A59" s="286"/>
      <c r="B59" s="431"/>
      <c r="C59" s="286"/>
      <c r="D59" s="286"/>
    </row>
    <row r="60" ht="15.75" customHeight="1">
      <c r="A60" s="286"/>
      <c r="B60" s="431"/>
      <c r="C60" s="286"/>
      <c r="D60" s="286"/>
    </row>
    <row r="61" ht="15.75" customHeight="1">
      <c r="A61" s="286"/>
      <c r="B61" s="431"/>
      <c r="C61" s="286"/>
      <c r="D61" s="286"/>
    </row>
    <row r="62" ht="15.75" customHeight="1">
      <c r="A62" s="286"/>
      <c r="B62" s="431"/>
      <c r="C62" s="286"/>
      <c r="D62" s="286"/>
    </row>
    <row r="63" ht="15.75" customHeight="1">
      <c r="A63" s="286"/>
      <c r="B63" s="431"/>
      <c r="C63" s="286"/>
      <c r="D63" s="286"/>
    </row>
    <row r="64" ht="15.75" customHeight="1">
      <c r="A64" s="286"/>
      <c r="B64" s="431"/>
      <c r="C64" s="286"/>
      <c r="D64" s="286"/>
    </row>
    <row r="65" ht="15.75" customHeight="1">
      <c r="A65" s="286"/>
      <c r="B65" s="431"/>
      <c r="C65" s="286"/>
      <c r="D65" s="286"/>
    </row>
    <row r="66" ht="15.75" customHeight="1">
      <c r="A66" s="286"/>
      <c r="B66" s="431"/>
      <c r="C66" s="286"/>
      <c r="D66" s="286"/>
    </row>
    <row r="67" ht="15.75" customHeight="1">
      <c r="A67" s="286"/>
      <c r="B67" s="431"/>
      <c r="C67" s="286"/>
      <c r="D67" s="286"/>
    </row>
    <row r="68" ht="15.75" customHeight="1">
      <c r="A68" s="286"/>
      <c r="B68" s="431"/>
      <c r="C68" s="286"/>
      <c r="D68" s="286"/>
    </row>
    <row r="69" ht="15.75" customHeight="1">
      <c r="A69" s="286"/>
      <c r="B69" s="431"/>
      <c r="C69" s="286"/>
      <c r="D69" s="286"/>
    </row>
    <row r="70" ht="15.75" customHeight="1">
      <c r="A70" s="286"/>
      <c r="B70" s="431"/>
      <c r="C70" s="286"/>
      <c r="D70" s="286"/>
    </row>
    <row r="71" ht="15.75" customHeight="1">
      <c r="A71" s="286"/>
      <c r="B71" s="431"/>
      <c r="C71" s="286"/>
      <c r="D71" s="286"/>
    </row>
    <row r="72" ht="15.75" customHeight="1">
      <c r="A72" s="286"/>
      <c r="B72" s="431"/>
      <c r="C72" s="286"/>
      <c r="D72" s="286"/>
    </row>
    <row r="73" ht="15.75" customHeight="1">
      <c r="A73" s="286"/>
      <c r="B73" s="431"/>
      <c r="C73" s="286"/>
      <c r="D73" s="286"/>
    </row>
    <row r="74" ht="15.75" customHeight="1">
      <c r="A74" s="286"/>
      <c r="B74" s="431"/>
      <c r="C74" s="286"/>
      <c r="D74" s="286"/>
    </row>
    <row r="75" ht="15.75" customHeight="1">
      <c r="A75" s="286"/>
      <c r="B75" s="431"/>
      <c r="C75" s="286"/>
      <c r="D75" s="286"/>
    </row>
    <row r="76" ht="15.75" customHeight="1">
      <c r="A76" s="286"/>
      <c r="B76" s="431"/>
      <c r="C76" s="286"/>
      <c r="D76" s="286"/>
    </row>
    <row r="77" ht="15.75" customHeight="1">
      <c r="A77" s="286"/>
      <c r="B77" s="431"/>
      <c r="C77" s="286"/>
      <c r="D77" s="286"/>
    </row>
    <row r="78" ht="15.75" customHeight="1">
      <c r="A78" s="286"/>
      <c r="B78" s="431"/>
      <c r="C78" s="286"/>
      <c r="D78" s="286"/>
    </row>
    <row r="79" ht="15.75" customHeight="1">
      <c r="A79" s="286"/>
      <c r="B79" s="431"/>
      <c r="C79" s="286"/>
      <c r="D79" s="286"/>
    </row>
    <row r="80" ht="15.75" customHeight="1">
      <c r="A80" s="286"/>
      <c r="B80" s="431"/>
      <c r="C80" s="286"/>
      <c r="D80" s="286"/>
    </row>
    <row r="81" ht="15.75" customHeight="1">
      <c r="A81" s="286"/>
      <c r="B81" s="431"/>
      <c r="C81" s="286"/>
      <c r="D81" s="286"/>
    </row>
    <row r="82" ht="15.75" customHeight="1">
      <c r="A82" s="286"/>
      <c r="B82" s="431"/>
      <c r="C82" s="286"/>
      <c r="D82" s="286"/>
    </row>
    <row r="83" ht="15.75" customHeight="1">
      <c r="A83" s="286"/>
      <c r="B83" s="431"/>
      <c r="C83" s="286"/>
      <c r="D83" s="286"/>
    </row>
    <row r="84" ht="15.75" customHeight="1">
      <c r="A84" s="286"/>
      <c r="B84" s="431"/>
      <c r="C84" s="286"/>
      <c r="D84" s="286"/>
    </row>
    <row r="85" ht="15.75" customHeight="1">
      <c r="A85" s="286"/>
      <c r="B85" s="431"/>
      <c r="C85" s="286"/>
      <c r="D85" s="286"/>
    </row>
    <row r="86" ht="15.75" customHeight="1">
      <c r="A86" s="286"/>
      <c r="B86" s="431"/>
      <c r="C86" s="286"/>
      <c r="D86" s="286"/>
    </row>
    <row r="87" ht="15.75" customHeight="1">
      <c r="A87" s="286"/>
      <c r="B87" s="431"/>
      <c r="C87" s="286"/>
      <c r="D87" s="286"/>
    </row>
    <row r="88" ht="15.75" customHeight="1">
      <c r="A88" s="286"/>
      <c r="B88" s="431"/>
      <c r="C88" s="286"/>
      <c r="D88" s="286"/>
    </row>
    <row r="89" ht="15.75" customHeight="1">
      <c r="A89" s="286"/>
      <c r="B89" s="431"/>
      <c r="C89" s="286"/>
      <c r="D89" s="286"/>
    </row>
    <row r="90" ht="15.75" customHeight="1">
      <c r="A90" s="286"/>
      <c r="B90" s="431"/>
      <c r="C90" s="286"/>
      <c r="D90" s="286"/>
    </row>
    <row r="91" ht="15.75" customHeight="1">
      <c r="A91" s="286"/>
      <c r="B91" s="431"/>
      <c r="C91" s="286"/>
      <c r="D91" s="286"/>
    </row>
    <row r="92" ht="15.75" customHeight="1">
      <c r="A92" s="286"/>
      <c r="B92" s="431"/>
      <c r="C92" s="286"/>
      <c r="D92" s="286"/>
    </row>
    <row r="93" ht="15.75" customHeight="1">
      <c r="A93" s="286"/>
      <c r="B93" s="431"/>
      <c r="C93" s="286"/>
      <c r="D93" s="286"/>
    </row>
    <row r="94" ht="15.75" customHeight="1">
      <c r="A94" s="286"/>
      <c r="B94" s="431"/>
      <c r="C94" s="286"/>
      <c r="D94" s="286"/>
    </row>
    <row r="95" ht="15.75" customHeight="1">
      <c r="A95" s="286"/>
      <c r="B95" s="431"/>
      <c r="C95" s="286"/>
      <c r="D95" s="286"/>
    </row>
    <row r="96" ht="15.75" customHeight="1">
      <c r="A96" s="286"/>
      <c r="B96" s="431"/>
      <c r="C96" s="286"/>
      <c r="D96" s="286"/>
    </row>
    <row r="97" ht="15.75" customHeight="1">
      <c r="A97" s="286"/>
      <c r="B97" s="431"/>
      <c r="C97" s="286"/>
      <c r="D97" s="286"/>
    </row>
    <row r="98" ht="15.75" customHeight="1">
      <c r="A98" s="286"/>
      <c r="B98" s="431"/>
      <c r="C98" s="286"/>
      <c r="D98" s="286"/>
    </row>
    <row r="99" ht="15.75" customHeight="1">
      <c r="A99" s="286"/>
      <c r="B99" s="431"/>
      <c r="C99" s="286"/>
      <c r="D99" s="286"/>
    </row>
    <row r="100" ht="15.75" customHeight="1">
      <c r="A100" s="286"/>
      <c r="B100" s="431"/>
      <c r="C100" s="286"/>
      <c r="D100" s="286"/>
    </row>
    <row r="101" ht="15.75" customHeight="1">
      <c r="A101" s="286"/>
      <c r="B101" s="431"/>
      <c r="C101" s="286"/>
      <c r="D101" s="286"/>
    </row>
    <row r="102" ht="15.75" customHeight="1">
      <c r="A102" s="286"/>
      <c r="B102" s="431"/>
      <c r="C102" s="286"/>
      <c r="D102" s="286"/>
    </row>
    <row r="103" ht="15.75" customHeight="1">
      <c r="A103" s="286"/>
      <c r="B103" s="431"/>
      <c r="C103" s="286"/>
      <c r="D103" s="286"/>
    </row>
    <row r="104" ht="15.75" customHeight="1">
      <c r="A104" s="286"/>
      <c r="B104" s="431"/>
      <c r="C104" s="286"/>
      <c r="D104" s="286"/>
    </row>
    <row r="105" ht="15.75" customHeight="1">
      <c r="A105" s="286"/>
      <c r="B105" s="431"/>
      <c r="C105" s="286"/>
      <c r="D105" s="286"/>
    </row>
    <row r="106" ht="15.75" customHeight="1">
      <c r="A106" s="286"/>
      <c r="B106" s="431"/>
      <c r="C106" s="286"/>
      <c r="D106" s="286"/>
    </row>
    <row r="107" ht="15.75" customHeight="1">
      <c r="A107" s="286"/>
      <c r="B107" s="431"/>
      <c r="C107" s="286"/>
      <c r="D107" s="286"/>
    </row>
    <row r="108" ht="15.75" customHeight="1">
      <c r="A108" s="286"/>
      <c r="B108" s="431"/>
      <c r="C108" s="286"/>
      <c r="D108" s="286"/>
    </row>
    <row r="109" ht="15.75" customHeight="1">
      <c r="A109" s="286"/>
      <c r="B109" s="431"/>
      <c r="C109" s="286"/>
      <c r="D109" s="286"/>
    </row>
    <row r="110" ht="15.75" customHeight="1">
      <c r="A110" s="286"/>
      <c r="B110" s="431"/>
      <c r="C110" s="286"/>
      <c r="D110" s="286"/>
    </row>
    <row r="111" ht="15.75" customHeight="1">
      <c r="A111" s="286"/>
      <c r="B111" s="431"/>
      <c r="C111" s="286"/>
      <c r="D111" s="286"/>
    </row>
    <row r="112" ht="15.75" customHeight="1">
      <c r="A112" s="286"/>
      <c r="B112" s="431"/>
      <c r="C112" s="286"/>
      <c r="D112" s="286"/>
    </row>
    <row r="113" ht="15.75" customHeight="1">
      <c r="A113" s="286"/>
      <c r="B113" s="431"/>
      <c r="C113" s="286"/>
      <c r="D113" s="286"/>
    </row>
    <row r="114" ht="15.75" customHeight="1">
      <c r="A114" s="286"/>
      <c r="B114" s="431"/>
      <c r="C114" s="286"/>
      <c r="D114" s="286"/>
    </row>
    <row r="115" ht="15.75" customHeight="1">
      <c r="A115" s="286"/>
      <c r="B115" s="431"/>
      <c r="C115" s="286"/>
      <c r="D115" s="286"/>
    </row>
    <row r="116" ht="15.75" customHeight="1">
      <c r="A116" s="286"/>
      <c r="B116" s="431"/>
      <c r="C116" s="286"/>
      <c r="D116" s="286"/>
    </row>
    <row r="117" ht="15.75" customHeight="1">
      <c r="A117" s="286"/>
      <c r="B117" s="431"/>
      <c r="C117" s="286"/>
      <c r="D117" s="286"/>
    </row>
    <row r="118" ht="15.75" customHeight="1">
      <c r="A118" s="286"/>
      <c r="B118" s="431"/>
      <c r="C118" s="286"/>
      <c r="D118" s="286"/>
    </row>
    <row r="119" ht="15.75" customHeight="1">
      <c r="A119" s="286"/>
      <c r="B119" s="431"/>
      <c r="C119" s="286"/>
      <c r="D119" s="286"/>
    </row>
    <row r="120" ht="15.75" customHeight="1">
      <c r="A120" s="286"/>
      <c r="B120" s="431"/>
      <c r="C120" s="286"/>
      <c r="D120" s="286"/>
    </row>
    <row r="121" ht="15.75" customHeight="1">
      <c r="A121" s="286"/>
      <c r="B121" s="431"/>
      <c r="C121" s="286"/>
      <c r="D121" s="286"/>
    </row>
    <row r="122" ht="15.75" customHeight="1">
      <c r="A122" s="286"/>
      <c r="B122" s="431"/>
      <c r="C122" s="286"/>
      <c r="D122" s="286"/>
    </row>
    <row r="123" ht="15.75" customHeight="1">
      <c r="A123" s="286"/>
      <c r="B123" s="431"/>
      <c r="C123" s="286"/>
      <c r="D123" s="286"/>
    </row>
    <row r="124" ht="15.75" customHeight="1">
      <c r="A124" s="286"/>
      <c r="B124" s="431"/>
      <c r="C124" s="286"/>
      <c r="D124" s="286"/>
    </row>
    <row r="125" ht="15.75" customHeight="1">
      <c r="A125" s="286"/>
      <c r="B125" s="431"/>
      <c r="C125" s="286"/>
      <c r="D125" s="286"/>
    </row>
    <row r="126" ht="15.75" customHeight="1">
      <c r="A126" s="286"/>
      <c r="B126" s="431"/>
      <c r="C126" s="286"/>
      <c r="D126" s="286"/>
    </row>
    <row r="127" ht="15.75" customHeight="1">
      <c r="A127" s="286"/>
      <c r="B127" s="431"/>
      <c r="C127" s="286"/>
      <c r="D127" s="286"/>
    </row>
    <row r="128" ht="15.75" customHeight="1">
      <c r="A128" s="286"/>
      <c r="B128" s="431"/>
      <c r="C128" s="286"/>
      <c r="D128" s="286"/>
    </row>
    <row r="129" ht="15.75" customHeight="1">
      <c r="A129" s="286"/>
      <c r="B129" s="431"/>
      <c r="C129" s="286"/>
      <c r="D129" s="286"/>
    </row>
    <row r="130" ht="15.75" customHeight="1">
      <c r="A130" s="286"/>
      <c r="B130" s="431"/>
      <c r="C130" s="286"/>
      <c r="D130" s="286"/>
    </row>
    <row r="131" ht="15.75" customHeight="1">
      <c r="A131" s="286"/>
      <c r="B131" s="431"/>
      <c r="C131" s="286"/>
      <c r="D131" s="286"/>
    </row>
    <row r="132" ht="15.75" customHeight="1">
      <c r="A132" s="286"/>
      <c r="B132" s="431"/>
      <c r="C132" s="286"/>
      <c r="D132" s="286"/>
    </row>
    <row r="133" ht="15.75" customHeight="1">
      <c r="A133" s="286"/>
      <c r="B133" s="431"/>
      <c r="C133" s="286"/>
      <c r="D133" s="286"/>
    </row>
    <row r="134" ht="15.75" customHeight="1">
      <c r="A134" s="286"/>
      <c r="B134" s="431"/>
      <c r="C134" s="286"/>
      <c r="D134" s="286"/>
    </row>
    <row r="135" ht="15.75" customHeight="1">
      <c r="A135" s="286"/>
      <c r="B135" s="431"/>
      <c r="C135" s="286"/>
      <c r="D135" s="286"/>
    </row>
    <row r="136" ht="15.75" customHeight="1">
      <c r="A136" s="286"/>
      <c r="B136" s="431"/>
      <c r="C136" s="286"/>
      <c r="D136" s="286"/>
    </row>
    <row r="137" ht="15.75" customHeight="1">
      <c r="A137" s="286"/>
      <c r="B137" s="431"/>
      <c r="C137" s="286"/>
      <c r="D137" s="286"/>
    </row>
    <row r="138" ht="15.75" customHeight="1">
      <c r="A138" s="286"/>
      <c r="B138" s="431"/>
      <c r="C138" s="286"/>
      <c r="D138" s="286"/>
    </row>
    <row r="139" ht="15.75" customHeight="1">
      <c r="A139" s="286"/>
      <c r="B139" s="431"/>
      <c r="C139" s="286"/>
      <c r="D139" s="286"/>
    </row>
    <row r="140" ht="15.75" customHeight="1">
      <c r="A140" s="286"/>
      <c r="B140" s="431"/>
      <c r="C140" s="286"/>
      <c r="D140" s="286"/>
    </row>
    <row r="141" ht="15.75" customHeight="1">
      <c r="A141" s="286"/>
      <c r="B141" s="431"/>
      <c r="C141" s="286"/>
      <c r="D141" s="286"/>
    </row>
    <row r="142" ht="15.75" customHeight="1">
      <c r="A142" s="286"/>
      <c r="B142" s="431"/>
      <c r="C142" s="286"/>
      <c r="D142" s="286"/>
    </row>
    <row r="143" ht="15.75" customHeight="1">
      <c r="A143" s="286"/>
      <c r="B143" s="431"/>
      <c r="C143" s="286"/>
      <c r="D143" s="286"/>
    </row>
    <row r="144" ht="15.75" customHeight="1">
      <c r="A144" s="286"/>
      <c r="B144" s="431"/>
      <c r="C144" s="286"/>
      <c r="D144" s="286"/>
    </row>
    <row r="145" ht="15.75" customHeight="1">
      <c r="A145" s="286"/>
      <c r="B145" s="431"/>
      <c r="C145" s="286"/>
      <c r="D145" s="286"/>
    </row>
    <row r="146" ht="15.75" customHeight="1">
      <c r="A146" s="286"/>
      <c r="B146" s="431"/>
      <c r="C146" s="286"/>
      <c r="D146" s="286"/>
    </row>
    <row r="147" ht="15.75" customHeight="1">
      <c r="A147" s="286"/>
      <c r="B147" s="431"/>
      <c r="C147" s="286"/>
      <c r="D147" s="286"/>
    </row>
    <row r="148" ht="15.75" customHeight="1">
      <c r="A148" s="286"/>
      <c r="B148" s="431"/>
      <c r="C148" s="286"/>
      <c r="D148" s="286"/>
    </row>
    <row r="149" ht="15.75" customHeight="1">
      <c r="A149" s="286"/>
      <c r="B149" s="431"/>
      <c r="C149" s="286"/>
      <c r="D149" s="286"/>
    </row>
    <row r="150" ht="15.75" customHeight="1">
      <c r="A150" s="286"/>
      <c r="B150" s="431"/>
      <c r="C150" s="286"/>
      <c r="D150" s="286"/>
    </row>
    <row r="151" ht="15.75" customHeight="1">
      <c r="A151" s="286"/>
      <c r="B151" s="431"/>
      <c r="C151" s="286"/>
      <c r="D151" s="286"/>
    </row>
    <row r="152" ht="15.75" customHeight="1">
      <c r="A152" s="286"/>
      <c r="B152" s="431"/>
      <c r="C152" s="286"/>
      <c r="D152" s="286"/>
    </row>
    <row r="153" ht="15.75" customHeight="1">
      <c r="A153" s="286"/>
      <c r="B153" s="431"/>
      <c r="C153" s="286"/>
      <c r="D153" s="286"/>
    </row>
    <row r="154" ht="15.75" customHeight="1">
      <c r="A154" s="286"/>
      <c r="B154" s="431"/>
      <c r="C154" s="286"/>
      <c r="D154" s="286"/>
    </row>
    <row r="155" ht="15.75" customHeight="1">
      <c r="A155" s="286"/>
      <c r="B155" s="431"/>
      <c r="C155" s="286"/>
      <c r="D155" s="286"/>
    </row>
    <row r="156" ht="15.75" customHeight="1">
      <c r="A156" s="286"/>
      <c r="B156" s="431"/>
      <c r="C156" s="286"/>
      <c r="D156" s="286"/>
    </row>
    <row r="157" ht="15.75" customHeight="1">
      <c r="A157" s="286"/>
      <c r="B157" s="431"/>
      <c r="C157" s="286"/>
      <c r="D157" s="286"/>
    </row>
    <row r="158" ht="15.75" customHeight="1">
      <c r="A158" s="286"/>
      <c r="B158" s="431"/>
      <c r="C158" s="286"/>
      <c r="D158" s="286"/>
    </row>
    <row r="159" ht="15.75" customHeight="1">
      <c r="A159" s="286"/>
      <c r="B159" s="431"/>
      <c r="C159" s="286"/>
      <c r="D159" s="286"/>
    </row>
    <row r="160" ht="15.75" customHeight="1">
      <c r="A160" s="286"/>
      <c r="B160" s="431"/>
      <c r="C160" s="286"/>
      <c r="D160" s="286"/>
    </row>
    <row r="161" ht="15.75" customHeight="1">
      <c r="A161" s="286"/>
      <c r="B161" s="431"/>
      <c r="C161" s="286"/>
      <c r="D161" s="286"/>
    </row>
    <row r="162" ht="15.75" customHeight="1">
      <c r="A162" s="286"/>
      <c r="B162" s="431"/>
      <c r="C162" s="286"/>
      <c r="D162" s="286"/>
    </row>
    <row r="163" ht="15.75" customHeight="1">
      <c r="A163" s="286"/>
      <c r="B163" s="431"/>
      <c r="C163" s="286"/>
      <c r="D163" s="286"/>
    </row>
    <row r="164" ht="15.75" customHeight="1">
      <c r="A164" s="286"/>
      <c r="B164" s="431"/>
      <c r="C164" s="286"/>
      <c r="D164" s="286"/>
    </row>
    <row r="165" ht="15.75" customHeight="1">
      <c r="A165" s="286"/>
      <c r="B165" s="431"/>
      <c r="C165" s="286"/>
      <c r="D165" s="286"/>
    </row>
    <row r="166" ht="15.75" customHeight="1">
      <c r="A166" s="286"/>
      <c r="B166" s="431"/>
      <c r="C166" s="286"/>
      <c r="D166" s="286"/>
    </row>
    <row r="167" ht="15.75" customHeight="1">
      <c r="A167" s="286"/>
      <c r="B167" s="431"/>
      <c r="C167" s="286"/>
      <c r="D167" s="286"/>
    </row>
    <row r="168" ht="15.75" customHeight="1">
      <c r="A168" s="286"/>
      <c r="B168" s="431"/>
      <c r="C168" s="286"/>
      <c r="D168" s="286"/>
    </row>
    <row r="169" ht="15.75" customHeight="1">
      <c r="A169" s="286"/>
      <c r="B169" s="431"/>
      <c r="C169" s="286"/>
      <c r="D169" s="286"/>
    </row>
    <row r="170" ht="15.75" customHeight="1">
      <c r="A170" s="286"/>
      <c r="B170" s="431"/>
      <c r="C170" s="286"/>
      <c r="D170" s="286"/>
    </row>
    <row r="171" ht="15.75" customHeight="1">
      <c r="A171" s="286"/>
      <c r="B171" s="431"/>
      <c r="C171" s="286"/>
      <c r="D171" s="286"/>
    </row>
    <row r="172" ht="15.75" customHeight="1">
      <c r="A172" s="286"/>
      <c r="B172" s="431"/>
      <c r="C172" s="286"/>
      <c r="D172" s="286"/>
    </row>
    <row r="173" ht="15.75" customHeight="1">
      <c r="A173" s="286"/>
      <c r="B173" s="431"/>
      <c r="C173" s="286"/>
      <c r="D173" s="286"/>
    </row>
    <row r="174" ht="15.75" customHeight="1">
      <c r="A174" s="286"/>
      <c r="B174" s="431"/>
      <c r="C174" s="286"/>
      <c r="D174" s="286"/>
    </row>
    <row r="175" ht="15.75" customHeight="1">
      <c r="A175" s="286"/>
      <c r="B175" s="431"/>
      <c r="C175" s="286"/>
      <c r="D175" s="286"/>
    </row>
    <row r="176" ht="15.75" customHeight="1">
      <c r="A176" s="286"/>
      <c r="B176" s="431"/>
      <c r="C176" s="286"/>
      <c r="D176" s="286"/>
    </row>
    <row r="177" ht="15.75" customHeight="1">
      <c r="A177" s="286"/>
      <c r="B177" s="431"/>
      <c r="C177" s="286"/>
      <c r="D177" s="286"/>
    </row>
    <row r="178" ht="15.75" customHeight="1">
      <c r="A178" s="286"/>
      <c r="B178" s="431"/>
      <c r="C178" s="286"/>
      <c r="D178" s="286"/>
    </row>
    <row r="179" ht="15.75" customHeight="1">
      <c r="A179" s="286"/>
      <c r="B179" s="431"/>
      <c r="C179" s="286"/>
      <c r="D179" s="286"/>
    </row>
    <row r="180" ht="15.75" customHeight="1">
      <c r="A180" s="286"/>
      <c r="B180" s="431"/>
      <c r="C180" s="286"/>
      <c r="D180" s="286"/>
    </row>
    <row r="181" ht="15.75" customHeight="1">
      <c r="A181" s="286"/>
      <c r="B181" s="431"/>
      <c r="C181" s="286"/>
      <c r="D181" s="286"/>
    </row>
    <row r="182" ht="15.75" customHeight="1">
      <c r="A182" s="286"/>
      <c r="B182" s="431"/>
      <c r="C182" s="286"/>
      <c r="D182" s="286"/>
    </row>
    <row r="183" ht="15.75" customHeight="1">
      <c r="A183" s="286"/>
      <c r="B183" s="431"/>
      <c r="C183" s="286"/>
      <c r="D183" s="286"/>
    </row>
    <row r="184" ht="15.75" customHeight="1">
      <c r="A184" s="286"/>
      <c r="B184" s="431"/>
      <c r="C184" s="286"/>
      <c r="D184" s="286"/>
    </row>
    <row r="185" ht="15.75" customHeight="1">
      <c r="A185" s="286"/>
      <c r="B185" s="431"/>
      <c r="C185" s="286"/>
      <c r="D185" s="286"/>
    </row>
    <row r="186" ht="15.75" customHeight="1">
      <c r="A186" s="286"/>
      <c r="B186" s="431"/>
      <c r="C186" s="286"/>
      <c r="D186" s="286"/>
    </row>
    <row r="187" ht="15.75" customHeight="1">
      <c r="A187" s="286"/>
      <c r="B187" s="431"/>
      <c r="C187" s="286"/>
      <c r="D187" s="286"/>
    </row>
    <row r="188" ht="15.75" customHeight="1">
      <c r="A188" s="286"/>
      <c r="B188" s="431"/>
      <c r="C188" s="286"/>
      <c r="D188" s="286"/>
    </row>
    <row r="189" ht="15.75" customHeight="1">
      <c r="A189" s="286"/>
      <c r="B189" s="431"/>
      <c r="C189" s="286"/>
      <c r="D189" s="286"/>
    </row>
    <row r="190" ht="15.75" customHeight="1">
      <c r="A190" s="286"/>
      <c r="B190" s="431"/>
      <c r="C190" s="286"/>
      <c r="D190" s="286"/>
    </row>
    <row r="191" ht="15.75" customHeight="1">
      <c r="A191" s="286"/>
      <c r="B191" s="431"/>
      <c r="C191" s="286"/>
      <c r="D191" s="286"/>
    </row>
    <row r="192" ht="15.75" customHeight="1">
      <c r="A192" s="286"/>
      <c r="B192" s="431"/>
      <c r="C192" s="286"/>
      <c r="D192" s="286"/>
    </row>
    <row r="193" ht="15.75" customHeight="1">
      <c r="A193" s="286"/>
      <c r="B193" s="431"/>
      <c r="C193" s="286"/>
      <c r="D193" s="286"/>
    </row>
    <row r="194" ht="15.75" customHeight="1">
      <c r="A194" s="286"/>
      <c r="B194" s="431"/>
      <c r="C194" s="286"/>
      <c r="D194" s="286"/>
    </row>
    <row r="195" ht="15.75" customHeight="1">
      <c r="A195" s="286"/>
      <c r="B195" s="431"/>
      <c r="C195" s="286"/>
      <c r="D195" s="286"/>
    </row>
    <row r="196" ht="15.75" customHeight="1">
      <c r="A196" s="286"/>
      <c r="B196" s="431"/>
      <c r="C196" s="286"/>
      <c r="D196" s="286"/>
    </row>
    <row r="197" ht="15.75" customHeight="1">
      <c r="A197" s="286"/>
      <c r="B197" s="431"/>
      <c r="C197" s="286"/>
      <c r="D197" s="286"/>
    </row>
    <row r="198" ht="15.75" customHeight="1">
      <c r="A198" s="286"/>
      <c r="B198" s="431"/>
      <c r="C198" s="286"/>
      <c r="D198" s="286"/>
    </row>
    <row r="199" ht="15.75" customHeight="1">
      <c r="A199" s="286"/>
      <c r="B199" s="431"/>
      <c r="C199" s="286"/>
      <c r="D199" s="286"/>
    </row>
    <row r="200" ht="15.75" customHeight="1">
      <c r="A200" s="286"/>
      <c r="B200" s="431"/>
      <c r="C200" s="286"/>
      <c r="D200" s="286"/>
    </row>
    <row r="201" ht="15.75" customHeight="1">
      <c r="A201" s="286"/>
      <c r="B201" s="431"/>
      <c r="C201" s="286"/>
      <c r="D201" s="286"/>
    </row>
    <row r="202" ht="15.75" customHeight="1">
      <c r="A202" s="286"/>
      <c r="B202" s="431"/>
      <c r="C202" s="286"/>
      <c r="D202" s="286"/>
    </row>
    <row r="203" ht="15.75" customHeight="1">
      <c r="A203" s="286"/>
      <c r="B203" s="431"/>
      <c r="C203" s="286"/>
      <c r="D203" s="286"/>
    </row>
    <row r="204" ht="15.75" customHeight="1">
      <c r="A204" s="286"/>
      <c r="B204" s="431"/>
      <c r="C204" s="286"/>
      <c r="D204" s="286"/>
    </row>
    <row r="205" ht="15.75" customHeight="1">
      <c r="A205" s="286"/>
      <c r="B205" s="431"/>
      <c r="C205" s="286"/>
      <c r="D205" s="286"/>
    </row>
    <row r="206" ht="15.75" customHeight="1">
      <c r="A206" s="286"/>
      <c r="B206" s="431"/>
      <c r="C206" s="286"/>
      <c r="D206" s="286"/>
    </row>
    <row r="207" ht="15.75" customHeight="1">
      <c r="A207" s="286"/>
      <c r="B207" s="431"/>
      <c r="C207" s="286"/>
      <c r="D207" s="286"/>
    </row>
    <row r="208" ht="15.75" customHeight="1">
      <c r="A208" s="286"/>
      <c r="B208" s="431"/>
      <c r="C208" s="286"/>
      <c r="D208" s="286"/>
    </row>
    <row r="209" ht="15.75" customHeight="1">
      <c r="A209" s="286"/>
      <c r="B209" s="431"/>
      <c r="C209" s="286"/>
      <c r="D209" s="286"/>
    </row>
    <row r="210" ht="15.75" customHeight="1">
      <c r="A210" s="286"/>
      <c r="B210" s="431"/>
      <c r="C210" s="286"/>
      <c r="D210" s="286"/>
    </row>
    <row r="211" ht="15.75" customHeight="1">
      <c r="A211" s="286"/>
      <c r="B211" s="431"/>
      <c r="C211" s="286"/>
      <c r="D211" s="286"/>
    </row>
    <row r="212" ht="15.75" customHeight="1">
      <c r="A212" s="286"/>
      <c r="B212" s="431"/>
      <c r="C212" s="286"/>
      <c r="D212" s="286"/>
    </row>
    <row r="213" ht="15.75" customHeight="1">
      <c r="A213" s="286"/>
      <c r="B213" s="431"/>
      <c r="C213" s="286"/>
      <c r="D213" s="286"/>
    </row>
    <row r="214" ht="15.75" customHeight="1">
      <c r="A214" s="286"/>
      <c r="B214" s="431"/>
      <c r="C214" s="286"/>
      <c r="D214" s="286"/>
    </row>
    <row r="215" ht="15.75" customHeight="1">
      <c r="A215" s="286"/>
      <c r="B215" s="431"/>
      <c r="C215" s="286"/>
      <c r="D215" s="286"/>
    </row>
    <row r="216" ht="15.75" customHeight="1">
      <c r="A216" s="286"/>
      <c r="B216" s="431"/>
      <c r="C216" s="286"/>
      <c r="D216" s="286"/>
    </row>
    <row r="217" ht="15.75" customHeight="1">
      <c r="A217" s="286"/>
      <c r="B217" s="431"/>
      <c r="C217" s="286"/>
      <c r="D217" s="286"/>
    </row>
    <row r="218" ht="15.75" customHeight="1">
      <c r="A218" s="286"/>
      <c r="B218" s="431"/>
      <c r="C218" s="286"/>
      <c r="D218" s="286"/>
    </row>
    <row r="219" ht="15.75" customHeight="1">
      <c r="A219" s="286"/>
      <c r="B219" s="431"/>
      <c r="C219" s="286"/>
      <c r="D219" s="286"/>
    </row>
    <row r="220" ht="15.75" customHeight="1">
      <c r="A220" s="286"/>
      <c r="B220" s="431"/>
      <c r="C220" s="286"/>
      <c r="D220" s="286"/>
    </row>
    <row r="221" ht="15.75" customHeight="1">
      <c r="A221" s="286"/>
      <c r="B221" s="431"/>
      <c r="C221" s="286"/>
      <c r="D221" s="286"/>
    </row>
    <row r="222" ht="15.75" customHeight="1">
      <c r="A222" s="286"/>
      <c r="B222" s="431"/>
      <c r="C222" s="286"/>
      <c r="D222" s="286"/>
    </row>
    <row r="223" ht="15.75" customHeight="1">
      <c r="A223" s="286"/>
      <c r="B223" s="431"/>
      <c r="C223" s="286"/>
      <c r="D223" s="286"/>
    </row>
    <row r="224" ht="15.75" customHeight="1">
      <c r="A224" s="286"/>
      <c r="B224" s="431"/>
      <c r="C224" s="286"/>
      <c r="D224" s="286"/>
    </row>
    <row r="225" ht="15.75" customHeight="1">
      <c r="A225" s="286"/>
      <c r="B225" s="431"/>
      <c r="C225" s="286"/>
      <c r="D225" s="286"/>
    </row>
    <row r="226" ht="15.75" customHeight="1">
      <c r="A226" s="286"/>
      <c r="B226" s="431"/>
      <c r="C226" s="286"/>
      <c r="D226" s="286"/>
    </row>
    <row r="227" ht="15.75" customHeight="1">
      <c r="A227" s="286"/>
      <c r="B227" s="431"/>
      <c r="C227" s="286"/>
      <c r="D227" s="286"/>
    </row>
    <row r="228" ht="15.75" customHeight="1">
      <c r="A228" s="286"/>
      <c r="B228" s="431"/>
      <c r="C228" s="286"/>
      <c r="D228" s="286"/>
    </row>
    <row r="229" ht="15.75" customHeight="1">
      <c r="A229" s="286"/>
      <c r="B229" s="431"/>
      <c r="C229" s="286"/>
      <c r="D229" s="286"/>
    </row>
    <row r="230" ht="15.75" customHeight="1">
      <c r="A230" s="286"/>
      <c r="B230" s="431"/>
      <c r="C230" s="286"/>
      <c r="D230" s="286"/>
    </row>
    <row r="231" ht="15.75" customHeight="1">
      <c r="A231" s="286"/>
      <c r="B231" s="431"/>
      <c r="C231" s="286"/>
      <c r="D231" s="286"/>
    </row>
    <row r="232" ht="15.75" customHeight="1">
      <c r="A232" s="286"/>
      <c r="B232" s="431"/>
      <c r="C232" s="286"/>
      <c r="D232" s="286"/>
    </row>
    <row r="233" ht="15.75" customHeight="1">
      <c r="A233" s="286"/>
      <c r="B233" s="431"/>
      <c r="C233" s="286"/>
      <c r="D233" s="286"/>
    </row>
    <row r="234" ht="15.75" customHeight="1">
      <c r="A234" s="286"/>
      <c r="B234" s="431"/>
      <c r="C234" s="286"/>
      <c r="D234" s="286"/>
    </row>
    <row r="235" ht="15.75" customHeight="1">
      <c r="A235" s="286"/>
      <c r="B235" s="431"/>
      <c r="C235" s="286"/>
      <c r="D235" s="286"/>
    </row>
    <row r="236" ht="15.75" customHeight="1">
      <c r="A236" s="286"/>
      <c r="B236" s="431"/>
      <c r="C236" s="286"/>
      <c r="D236" s="286"/>
    </row>
    <row r="237" ht="15.75" customHeight="1">
      <c r="A237" s="286"/>
      <c r="B237" s="431"/>
      <c r="C237" s="286"/>
      <c r="D237" s="286"/>
    </row>
    <row r="238" ht="15.75" customHeight="1">
      <c r="A238" s="286"/>
      <c r="B238" s="431"/>
      <c r="C238" s="286"/>
      <c r="D238" s="286"/>
    </row>
    <row r="239" ht="15.75" customHeight="1">
      <c r="A239" s="286"/>
      <c r="B239" s="431"/>
      <c r="C239" s="286"/>
      <c r="D239" s="286"/>
    </row>
    <row r="240" ht="15.75" customHeight="1">
      <c r="A240" s="286"/>
      <c r="B240" s="431"/>
      <c r="C240" s="286"/>
      <c r="D240" s="286"/>
    </row>
    <row r="241" ht="15.75" customHeight="1">
      <c r="A241" s="286"/>
      <c r="B241" s="431"/>
      <c r="C241" s="286"/>
      <c r="D241" s="286"/>
    </row>
    <row r="242" ht="15.75" customHeight="1">
      <c r="A242" s="286"/>
      <c r="B242" s="431"/>
      <c r="C242" s="286"/>
      <c r="D242" s="286"/>
    </row>
    <row r="243" ht="15.75" customHeight="1">
      <c r="A243" s="286"/>
      <c r="B243" s="431"/>
      <c r="C243" s="286"/>
      <c r="D243" s="286"/>
    </row>
    <row r="244" ht="15.75" customHeight="1">
      <c r="A244" s="286"/>
      <c r="B244" s="431"/>
      <c r="C244" s="286"/>
      <c r="D244" s="286"/>
    </row>
    <row r="245" ht="15.75" customHeight="1">
      <c r="A245" s="286"/>
      <c r="B245" s="431"/>
      <c r="C245" s="286"/>
      <c r="D245" s="286"/>
    </row>
    <row r="246" ht="15.75" customHeight="1">
      <c r="A246" s="286"/>
      <c r="B246" s="431"/>
      <c r="C246" s="286"/>
      <c r="D246" s="286"/>
    </row>
    <row r="247" ht="15.75" customHeight="1">
      <c r="A247" s="286"/>
      <c r="B247" s="431"/>
      <c r="C247" s="286"/>
      <c r="D247" s="286"/>
    </row>
    <row r="248" ht="15.75" customHeight="1">
      <c r="A248" s="286"/>
      <c r="B248" s="431"/>
      <c r="C248" s="286"/>
      <c r="D248" s="286"/>
    </row>
    <row r="249" ht="15.75" customHeight="1">
      <c r="A249" s="286"/>
      <c r="B249" s="431"/>
      <c r="C249" s="286"/>
      <c r="D249" s="286"/>
    </row>
    <row r="250" ht="15.75" customHeight="1">
      <c r="A250" s="286"/>
      <c r="B250" s="431"/>
      <c r="C250" s="286"/>
      <c r="D250" s="286"/>
    </row>
    <row r="251" ht="15.75" customHeight="1">
      <c r="A251" s="286"/>
      <c r="B251" s="431"/>
      <c r="C251" s="286"/>
      <c r="D251" s="286"/>
    </row>
    <row r="252" ht="15.75" customHeight="1">
      <c r="A252" s="286"/>
      <c r="B252" s="431"/>
      <c r="C252" s="286"/>
      <c r="D252" s="286"/>
    </row>
    <row r="253" ht="15.75" customHeight="1">
      <c r="A253" s="286"/>
      <c r="B253" s="431"/>
      <c r="C253" s="286"/>
      <c r="D253" s="286"/>
    </row>
    <row r="254" ht="15.75" customHeight="1">
      <c r="A254" s="286"/>
      <c r="B254" s="431"/>
      <c r="C254" s="286"/>
      <c r="D254" s="286"/>
    </row>
    <row r="255" ht="15.75" customHeight="1">
      <c r="A255" s="286"/>
      <c r="B255" s="431"/>
      <c r="C255" s="286"/>
      <c r="D255" s="286"/>
    </row>
    <row r="256" ht="15.75" customHeight="1">
      <c r="A256" s="286"/>
      <c r="B256" s="431"/>
      <c r="C256" s="286"/>
      <c r="D256" s="286"/>
    </row>
    <row r="257" ht="15.75" customHeight="1">
      <c r="A257" s="286"/>
      <c r="B257" s="431"/>
      <c r="C257" s="286"/>
      <c r="D257" s="286"/>
    </row>
    <row r="258" ht="15.75" customHeight="1">
      <c r="A258" s="286"/>
      <c r="B258" s="431"/>
      <c r="C258" s="286"/>
      <c r="D258" s="286"/>
    </row>
    <row r="259" ht="15.75" customHeight="1">
      <c r="A259" s="286"/>
      <c r="B259" s="431"/>
      <c r="C259" s="286"/>
      <c r="D259" s="286"/>
    </row>
    <row r="260" ht="15.75" customHeight="1">
      <c r="A260" s="286"/>
      <c r="B260" s="431"/>
      <c r="C260" s="286"/>
      <c r="D260" s="286"/>
    </row>
    <row r="261" ht="15.75" customHeight="1">
      <c r="A261" s="286"/>
      <c r="B261" s="431"/>
      <c r="C261" s="286"/>
      <c r="D261" s="286"/>
    </row>
    <row r="262" ht="15.75" customHeight="1">
      <c r="A262" s="286"/>
      <c r="B262" s="431"/>
      <c r="C262" s="286"/>
      <c r="D262" s="286"/>
    </row>
    <row r="263" ht="15.75" customHeight="1">
      <c r="A263" s="286"/>
      <c r="B263" s="431"/>
      <c r="C263" s="286"/>
      <c r="D263" s="286"/>
    </row>
    <row r="264" ht="15.75" customHeight="1">
      <c r="A264" s="286"/>
      <c r="B264" s="431"/>
      <c r="C264" s="286"/>
      <c r="D264" s="286"/>
    </row>
    <row r="265" ht="15.75" customHeight="1">
      <c r="A265" s="286"/>
      <c r="B265" s="431"/>
      <c r="C265" s="286"/>
      <c r="D265" s="286"/>
    </row>
    <row r="266" ht="15.75" customHeight="1">
      <c r="A266" s="286"/>
      <c r="B266" s="431"/>
      <c r="C266" s="286"/>
      <c r="D266" s="286"/>
    </row>
    <row r="267" ht="15.75" customHeight="1">
      <c r="A267" s="286"/>
      <c r="B267" s="431"/>
      <c r="C267" s="286"/>
      <c r="D267" s="286"/>
    </row>
    <row r="268" ht="15.75" customHeight="1">
      <c r="A268" s="286"/>
      <c r="B268" s="431"/>
      <c r="C268" s="286"/>
      <c r="D268" s="286"/>
    </row>
    <row r="269" ht="15.75" customHeight="1">
      <c r="A269" s="286"/>
      <c r="B269" s="431"/>
      <c r="C269" s="286"/>
      <c r="D269" s="286"/>
    </row>
    <row r="270" ht="15.75" customHeight="1">
      <c r="A270" s="286"/>
      <c r="B270" s="431"/>
      <c r="C270" s="286"/>
      <c r="D270" s="286"/>
    </row>
    <row r="271" ht="15.75" customHeight="1">
      <c r="A271" s="286"/>
      <c r="B271" s="431"/>
      <c r="C271" s="286"/>
      <c r="D271" s="286"/>
    </row>
    <row r="272" ht="15.75" customHeight="1">
      <c r="A272" s="286"/>
      <c r="B272" s="431"/>
      <c r="C272" s="286"/>
      <c r="D272" s="286"/>
    </row>
    <row r="273" ht="15.75" customHeight="1">
      <c r="A273" s="286"/>
      <c r="B273" s="431"/>
      <c r="C273" s="286"/>
      <c r="D273" s="286"/>
    </row>
    <row r="274" ht="15.75" customHeight="1">
      <c r="A274" s="286"/>
      <c r="B274" s="431"/>
      <c r="C274" s="286"/>
      <c r="D274" s="286"/>
    </row>
    <row r="275" ht="15.75" customHeight="1">
      <c r="A275" s="286"/>
      <c r="B275" s="431"/>
      <c r="C275" s="286"/>
      <c r="D275" s="286"/>
    </row>
    <row r="276" ht="15.75" customHeight="1">
      <c r="A276" s="286"/>
      <c r="B276" s="431"/>
      <c r="C276" s="286"/>
      <c r="D276" s="286"/>
    </row>
    <row r="277" ht="15.75" customHeight="1">
      <c r="A277" s="286"/>
      <c r="B277" s="431"/>
      <c r="C277" s="286"/>
      <c r="D277" s="286"/>
    </row>
    <row r="278" ht="15.75" customHeight="1">
      <c r="A278" s="286"/>
      <c r="B278" s="431"/>
      <c r="C278" s="286"/>
      <c r="D278" s="286"/>
    </row>
    <row r="279" ht="15.75" customHeight="1">
      <c r="A279" s="286"/>
      <c r="B279" s="431"/>
      <c r="C279" s="286"/>
      <c r="D279" s="286"/>
    </row>
    <row r="280" ht="15.75" customHeight="1">
      <c r="A280" s="286"/>
      <c r="B280" s="431"/>
      <c r="C280" s="286"/>
      <c r="D280" s="286"/>
    </row>
    <row r="281" ht="15.75" customHeight="1">
      <c r="A281" s="286"/>
      <c r="B281" s="431"/>
      <c r="C281" s="286"/>
      <c r="D281" s="286"/>
    </row>
    <row r="282" ht="15.75" customHeight="1">
      <c r="A282" s="286"/>
      <c r="B282" s="431"/>
      <c r="C282" s="286"/>
      <c r="D282" s="286"/>
    </row>
    <row r="283" ht="15.75" customHeight="1">
      <c r="A283" s="286"/>
      <c r="B283" s="431"/>
      <c r="C283" s="286"/>
      <c r="D283" s="286"/>
    </row>
    <row r="284" ht="15.75" customHeight="1">
      <c r="A284" s="286"/>
      <c r="B284" s="431"/>
      <c r="C284" s="286"/>
      <c r="D284" s="286"/>
    </row>
    <row r="285" ht="15.75" customHeight="1">
      <c r="A285" s="286"/>
      <c r="B285" s="431"/>
      <c r="C285" s="286"/>
      <c r="D285" s="286"/>
    </row>
    <row r="286" ht="15.75" customHeight="1">
      <c r="A286" s="286"/>
      <c r="B286" s="431"/>
      <c r="C286" s="286"/>
      <c r="D286" s="286"/>
    </row>
    <row r="287" ht="15.75" customHeight="1">
      <c r="A287" s="286"/>
      <c r="B287" s="431"/>
      <c r="C287" s="286"/>
      <c r="D287" s="286"/>
    </row>
    <row r="288" ht="15.75" customHeight="1">
      <c r="A288" s="286"/>
      <c r="B288" s="431"/>
      <c r="C288" s="286"/>
      <c r="D288" s="286"/>
    </row>
    <row r="289" ht="15.75" customHeight="1">
      <c r="A289" s="286"/>
      <c r="B289" s="431"/>
      <c r="C289" s="286"/>
      <c r="D289" s="286"/>
    </row>
    <row r="290" ht="15.75" customHeight="1">
      <c r="A290" s="286"/>
      <c r="B290" s="431"/>
      <c r="C290" s="286"/>
      <c r="D290" s="286"/>
    </row>
    <row r="291" ht="15.75" customHeight="1">
      <c r="A291" s="286"/>
      <c r="B291" s="431"/>
      <c r="C291" s="286"/>
      <c r="D291" s="286"/>
    </row>
    <row r="292" ht="15.75" customHeight="1">
      <c r="A292" s="286"/>
      <c r="B292" s="431"/>
      <c r="C292" s="286"/>
      <c r="D292" s="286"/>
    </row>
    <row r="293" ht="15.75" customHeight="1">
      <c r="A293" s="286"/>
      <c r="B293" s="431"/>
      <c r="C293" s="286"/>
      <c r="D293" s="286"/>
    </row>
    <row r="294" ht="15.75" customHeight="1">
      <c r="A294" s="286"/>
      <c r="B294" s="431"/>
      <c r="C294" s="286"/>
      <c r="D294" s="286"/>
    </row>
    <row r="295" ht="15.75" customHeight="1">
      <c r="A295" s="286"/>
      <c r="B295" s="431"/>
      <c r="C295" s="286"/>
      <c r="D295" s="286"/>
    </row>
    <row r="296" ht="15.75" customHeight="1">
      <c r="A296" s="286"/>
      <c r="B296" s="431"/>
      <c r="C296" s="286"/>
      <c r="D296" s="286"/>
    </row>
    <row r="297" ht="15.75" customHeight="1">
      <c r="A297" s="286"/>
      <c r="B297" s="431"/>
      <c r="C297" s="286"/>
      <c r="D297" s="286"/>
    </row>
    <row r="298" ht="15.75" customHeight="1">
      <c r="A298" s="286"/>
      <c r="B298" s="431"/>
      <c r="C298" s="286"/>
      <c r="D298" s="286"/>
    </row>
    <row r="299" ht="15.75" customHeight="1">
      <c r="A299" s="286"/>
      <c r="B299" s="431"/>
      <c r="C299" s="286"/>
      <c r="D299" s="286"/>
    </row>
    <row r="300" ht="15.75" customHeight="1">
      <c r="A300" s="286"/>
      <c r="B300" s="431"/>
      <c r="C300" s="286"/>
      <c r="D300" s="286"/>
    </row>
    <row r="301" ht="15.75" customHeight="1">
      <c r="A301" s="286"/>
      <c r="B301" s="431"/>
      <c r="C301" s="286"/>
      <c r="D301" s="286"/>
    </row>
    <row r="302" ht="15.75" customHeight="1">
      <c r="A302" s="286"/>
      <c r="B302" s="431"/>
      <c r="C302" s="286"/>
      <c r="D302" s="286"/>
    </row>
    <row r="303" ht="15.75" customHeight="1">
      <c r="A303" s="286"/>
      <c r="B303" s="431"/>
      <c r="C303" s="286"/>
      <c r="D303" s="286"/>
    </row>
    <row r="304" ht="15.75" customHeight="1">
      <c r="A304" s="286"/>
      <c r="B304" s="431"/>
      <c r="C304" s="286"/>
      <c r="D304" s="286"/>
    </row>
    <row r="305" ht="15.75" customHeight="1">
      <c r="A305" s="286"/>
      <c r="B305" s="431"/>
      <c r="C305" s="286"/>
      <c r="D305" s="286"/>
    </row>
    <row r="306" ht="15.75" customHeight="1">
      <c r="A306" s="286"/>
      <c r="B306" s="431"/>
      <c r="C306" s="286"/>
      <c r="D306" s="286"/>
    </row>
    <row r="307" ht="15.75" customHeight="1">
      <c r="A307" s="286"/>
      <c r="B307" s="431"/>
      <c r="C307" s="286"/>
      <c r="D307" s="286"/>
    </row>
    <row r="308" ht="15.75" customHeight="1">
      <c r="A308" s="286"/>
      <c r="B308" s="431"/>
      <c r="C308" s="286"/>
      <c r="D308" s="286"/>
    </row>
    <row r="309" ht="15.75" customHeight="1">
      <c r="A309" s="286"/>
      <c r="B309" s="431"/>
      <c r="C309" s="286"/>
      <c r="D309" s="286"/>
    </row>
    <row r="310" ht="15.75" customHeight="1">
      <c r="A310" s="286"/>
      <c r="B310" s="431"/>
      <c r="C310" s="286"/>
      <c r="D310" s="286"/>
    </row>
    <row r="311" ht="15.75" customHeight="1">
      <c r="A311" s="286"/>
      <c r="B311" s="431"/>
      <c r="C311" s="286"/>
      <c r="D311" s="286"/>
    </row>
    <row r="312" ht="15.75" customHeight="1">
      <c r="A312" s="286"/>
      <c r="B312" s="431"/>
      <c r="C312" s="286"/>
      <c r="D312" s="286"/>
    </row>
    <row r="313" ht="15.75" customHeight="1">
      <c r="A313" s="286"/>
      <c r="B313" s="431"/>
      <c r="C313" s="286"/>
      <c r="D313" s="286"/>
    </row>
    <row r="314" ht="15.75" customHeight="1">
      <c r="A314" s="286"/>
      <c r="B314" s="431"/>
      <c r="C314" s="286"/>
      <c r="D314" s="286"/>
    </row>
    <row r="315" ht="15.75" customHeight="1">
      <c r="A315" s="286"/>
      <c r="B315" s="431"/>
      <c r="C315" s="286"/>
      <c r="D315" s="286"/>
    </row>
    <row r="316" ht="15.75" customHeight="1">
      <c r="A316" s="286"/>
      <c r="B316" s="431"/>
      <c r="C316" s="286"/>
      <c r="D316" s="286"/>
    </row>
    <row r="317" ht="15.75" customHeight="1">
      <c r="A317" s="286"/>
      <c r="B317" s="431"/>
      <c r="C317" s="286"/>
      <c r="D317" s="286"/>
    </row>
    <row r="318" ht="15.75" customHeight="1">
      <c r="A318" s="286"/>
      <c r="B318" s="431"/>
      <c r="C318" s="286"/>
      <c r="D318" s="286"/>
    </row>
    <row r="319" ht="15.75" customHeight="1">
      <c r="A319" s="286"/>
      <c r="B319" s="431"/>
      <c r="C319" s="286"/>
      <c r="D319" s="286"/>
    </row>
    <row r="320" ht="15.75" customHeight="1">
      <c r="A320" s="286"/>
      <c r="B320" s="431"/>
      <c r="C320" s="286"/>
      <c r="D320" s="286"/>
    </row>
    <row r="321" ht="15.75" customHeight="1">
      <c r="A321" s="286"/>
      <c r="B321" s="431"/>
      <c r="C321" s="286"/>
      <c r="D321" s="286"/>
    </row>
    <row r="322" ht="15.75" customHeight="1">
      <c r="A322" s="286"/>
      <c r="B322" s="431"/>
      <c r="C322" s="286"/>
      <c r="D322" s="286"/>
    </row>
    <row r="323" ht="15.75" customHeight="1">
      <c r="A323" s="286"/>
      <c r="B323" s="431"/>
      <c r="C323" s="286"/>
      <c r="D323" s="286"/>
    </row>
    <row r="324" ht="15.75" customHeight="1">
      <c r="A324" s="286"/>
      <c r="B324" s="431"/>
      <c r="C324" s="286"/>
      <c r="D324" s="286"/>
    </row>
    <row r="325" ht="15.75" customHeight="1">
      <c r="A325" s="286"/>
      <c r="B325" s="431"/>
      <c r="C325" s="286"/>
      <c r="D325" s="286"/>
    </row>
    <row r="326" ht="15.75" customHeight="1">
      <c r="A326" s="286"/>
      <c r="B326" s="431"/>
      <c r="C326" s="286"/>
      <c r="D326" s="286"/>
    </row>
    <row r="327" ht="15.75" customHeight="1">
      <c r="A327" s="286"/>
      <c r="B327" s="431"/>
      <c r="C327" s="286"/>
      <c r="D327" s="286"/>
    </row>
    <row r="328" ht="15.75" customHeight="1">
      <c r="A328" s="286"/>
      <c r="B328" s="431"/>
      <c r="C328" s="286"/>
      <c r="D328" s="286"/>
    </row>
    <row r="329" ht="15.75" customHeight="1">
      <c r="A329" s="286"/>
      <c r="B329" s="431"/>
      <c r="C329" s="286"/>
      <c r="D329" s="286"/>
    </row>
    <row r="330" ht="15.75" customHeight="1">
      <c r="A330" s="286"/>
      <c r="B330" s="431"/>
      <c r="C330" s="286"/>
      <c r="D330" s="286"/>
    </row>
    <row r="331" ht="15.75" customHeight="1">
      <c r="A331" s="286"/>
      <c r="B331" s="431"/>
      <c r="C331" s="286"/>
      <c r="D331" s="286"/>
    </row>
    <row r="332" ht="15.75" customHeight="1">
      <c r="A332" s="286"/>
      <c r="B332" s="431"/>
      <c r="C332" s="286"/>
      <c r="D332" s="286"/>
    </row>
    <row r="333" ht="15.75" customHeight="1">
      <c r="A333" s="286"/>
      <c r="B333" s="431"/>
      <c r="C333" s="286"/>
      <c r="D333" s="286"/>
    </row>
    <row r="334" ht="15.75" customHeight="1">
      <c r="A334" s="286"/>
      <c r="B334" s="431"/>
      <c r="C334" s="286"/>
      <c r="D334" s="286"/>
    </row>
    <row r="335" ht="15.75" customHeight="1">
      <c r="A335" s="286"/>
      <c r="B335" s="431"/>
      <c r="C335" s="286"/>
      <c r="D335" s="286"/>
    </row>
    <row r="336" ht="15.75" customHeight="1">
      <c r="A336" s="286"/>
      <c r="B336" s="431"/>
      <c r="C336" s="286"/>
      <c r="D336" s="286"/>
    </row>
    <row r="337" ht="15.75" customHeight="1">
      <c r="A337" s="286"/>
      <c r="B337" s="431"/>
      <c r="C337" s="286"/>
      <c r="D337" s="286"/>
    </row>
    <row r="338" ht="15.75" customHeight="1">
      <c r="A338" s="286"/>
      <c r="B338" s="431"/>
      <c r="C338" s="286"/>
      <c r="D338" s="286"/>
    </row>
    <row r="339" ht="15.75" customHeight="1">
      <c r="A339" s="286"/>
      <c r="B339" s="431"/>
      <c r="C339" s="286"/>
      <c r="D339" s="286"/>
    </row>
    <row r="340" ht="15.75" customHeight="1">
      <c r="A340" s="286"/>
      <c r="B340" s="431"/>
      <c r="C340" s="286"/>
      <c r="D340" s="286"/>
    </row>
    <row r="341" ht="15.75" customHeight="1">
      <c r="A341" s="286"/>
      <c r="B341" s="431"/>
      <c r="C341" s="286"/>
      <c r="D341" s="286"/>
    </row>
    <row r="342" ht="15.75" customHeight="1">
      <c r="A342" s="286"/>
      <c r="B342" s="431"/>
      <c r="C342" s="286"/>
      <c r="D342" s="286"/>
    </row>
    <row r="343" ht="15.75" customHeight="1">
      <c r="A343" s="286"/>
      <c r="B343" s="431"/>
      <c r="C343" s="286"/>
      <c r="D343" s="286"/>
    </row>
    <row r="344" ht="15.75" customHeight="1">
      <c r="A344" s="286"/>
      <c r="B344" s="431"/>
      <c r="C344" s="286"/>
      <c r="D344" s="286"/>
    </row>
    <row r="345" ht="15.75" customHeight="1">
      <c r="A345" s="286"/>
      <c r="B345" s="431"/>
      <c r="C345" s="286"/>
      <c r="D345" s="286"/>
    </row>
    <row r="346" ht="15.75" customHeight="1">
      <c r="A346" s="286"/>
      <c r="B346" s="431"/>
      <c r="C346" s="286"/>
      <c r="D346" s="286"/>
    </row>
    <row r="347" ht="15.75" customHeight="1">
      <c r="A347" s="286"/>
      <c r="B347" s="431"/>
      <c r="C347" s="286"/>
      <c r="D347" s="286"/>
    </row>
    <row r="348" ht="15.75" customHeight="1">
      <c r="A348" s="286"/>
      <c r="B348" s="431"/>
      <c r="C348" s="286"/>
      <c r="D348" s="286"/>
    </row>
    <row r="349" ht="15.75" customHeight="1">
      <c r="A349" s="286"/>
      <c r="B349" s="431"/>
      <c r="C349" s="286"/>
      <c r="D349" s="286"/>
    </row>
    <row r="350" ht="15.75" customHeight="1">
      <c r="A350" s="286"/>
      <c r="B350" s="431"/>
      <c r="C350" s="286"/>
      <c r="D350" s="286"/>
    </row>
    <row r="351" ht="15.75" customHeight="1">
      <c r="A351" s="286"/>
      <c r="B351" s="431"/>
      <c r="C351" s="286"/>
      <c r="D351" s="286"/>
    </row>
    <row r="352" ht="15.75" customHeight="1">
      <c r="A352" s="286"/>
      <c r="B352" s="431"/>
      <c r="C352" s="286"/>
      <c r="D352" s="286"/>
    </row>
    <row r="353" ht="15.75" customHeight="1">
      <c r="A353" s="286"/>
      <c r="B353" s="431"/>
      <c r="C353" s="286"/>
      <c r="D353" s="286"/>
    </row>
    <row r="354" ht="15.75" customHeight="1">
      <c r="A354" s="286"/>
      <c r="B354" s="431"/>
      <c r="C354" s="286"/>
      <c r="D354" s="286"/>
    </row>
    <row r="355" ht="15.75" customHeight="1">
      <c r="A355" s="286"/>
      <c r="B355" s="431"/>
      <c r="C355" s="286"/>
      <c r="D355" s="286"/>
    </row>
    <row r="356" ht="15.75" customHeight="1">
      <c r="A356" s="286"/>
      <c r="B356" s="431"/>
      <c r="C356" s="286"/>
      <c r="D356" s="286"/>
    </row>
    <row r="357" ht="15.75" customHeight="1">
      <c r="A357" s="286"/>
      <c r="B357" s="431"/>
      <c r="C357" s="286"/>
      <c r="D357" s="286"/>
    </row>
    <row r="358" ht="15.75" customHeight="1">
      <c r="A358" s="286"/>
      <c r="B358" s="431"/>
      <c r="C358" s="286"/>
      <c r="D358" s="286"/>
    </row>
    <row r="359" ht="15.75" customHeight="1">
      <c r="A359" s="286"/>
      <c r="B359" s="431"/>
      <c r="C359" s="286"/>
      <c r="D359" s="286"/>
    </row>
    <row r="360" ht="15.75" customHeight="1">
      <c r="A360" s="286"/>
      <c r="B360" s="431"/>
      <c r="C360" s="286"/>
      <c r="D360" s="286"/>
    </row>
    <row r="361" ht="15.75" customHeight="1">
      <c r="A361" s="286"/>
      <c r="B361" s="431"/>
      <c r="C361" s="286"/>
      <c r="D361" s="286"/>
    </row>
    <row r="362" ht="15.75" customHeight="1">
      <c r="A362" s="286"/>
      <c r="B362" s="431"/>
      <c r="C362" s="286"/>
      <c r="D362" s="286"/>
    </row>
    <row r="363" ht="15.75" customHeight="1">
      <c r="A363" s="286"/>
      <c r="B363" s="431"/>
      <c r="C363" s="286"/>
      <c r="D363" s="286"/>
    </row>
    <row r="364" ht="15.75" customHeight="1">
      <c r="A364" s="286"/>
      <c r="B364" s="431"/>
      <c r="C364" s="286"/>
      <c r="D364" s="286"/>
    </row>
    <row r="365" ht="15.75" customHeight="1">
      <c r="A365" s="286"/>
      <c r="B365" s="431"/>
      <c r="C365" s="286"/>
      <c r="D365" s="286"/>
    </row>
    <row r="366" ht="15.75" customHeight="1">
      <c r="A366" s="286"/>
      <c r="B366" s="431"/>
      <c r="C366" s="286"/>
      <c r="D366" s="286"/>
    </row>
    <row r="367" ht="15.75" customHeight="1">
      <c r="A367" s="286"/>
      <c r="B367" s="431"/>
      <c r="C367" s="286"/>
      <c r="D367" s="286"/>
    </row>
    <row r="368" ht="15.75" customHeight="1">
      <c r="A368" s="286"/>
      <c r="B368" s="431"/>
      <c r="C368" s="286"/>
      <c r="D368" s="286"/>
    </row>
    <row r="369" ht="15.75" customHeight="1">
      <c r="A369" s="286"/>
      <c r="B369" s="431"/>
      <c r="C369" s="286"/>
      <c r="D369" s="286"/>
    </row>
    <row r="370" ht="15.75" customHeight="1">
      <c r="A370" s="286"/>
      <c r="B370" s="431"/>
      <c r="C370" s="286"/>
      <c r="D370" s="286"/>
    </row>
    <row r="371" ht="15.75" customHeight="1">
      <c r="A371" s="286"/>
      <c r="B371" s="431"/>
      <c r="C371" s="286"/>
      <c r="D371" s="286"/>
    </row>
    <row r="372" ht="15.75" customHeight="1">
      <c r="A372" s="286"/>
      <c r="B372" s="431"/>
      <c r="C372" s="286"/>
      <c r="D372" s="286"/>
    </row>
    <row r="373" ht="15.75" customHeight="1">
      <c r="A373" s="286"/>
      <c r="B373" s="431"/>
      <c r="C373" s="286"/>
      <c r="D373" s="286"/>
    </row>
    <row r="374" ht="15.75" customHeight="1">
      <c r="A374" s="286"/>
      <c r="B374" s="431"/>
      <c r="C374" s="286"/>
      <c r="D374" s="286"/>
    </row>
    <row r="375" ht="15.75" customHeight="1">
      <c r="A375" s="286"/>
      <c r="B375" s="431"/>
      <c r="C375" s="286"/>
      <c r="D375" s="286"/>
    </row>
    <row r="376" ht="15.75" customHeight="1">
      <c r="A376" s="286"/>
      <c r="B376" s="431"/>
      <c r="C376" s="286"/>
      <c r="D376" s="286"/>
    </row>
    <row r="377" ht="15.75" customHeight="1">
      <c r="A377" s="286"/>
      <c r="B377" s="431"/>
      <c r="C377" s="286"/>
      <c r="D377" s="286"/>
    </row>
    <row r="378" ht="15.75" customHeight="1">
      <c r="A378" s="286"/>
      <c r="B378" s="431"/>
      <c r="C378" s="286"/>
      <c r="D378" s="286"/>
    </row>
    <row r="379" ht="15.75" customHeight="1">
      <c r="A379" s="286"/>
      <c r="B379" s="431"/>
      <c r="C379" s="286"/>
      <c r="D379" s="286"/>
    </row>
    <row r="380" ht="15.75" customHeight="1">
      <c r="A380" s="286"/>
      <c r="B380" s="431"/>
      <c r="C380" s="286"/>
      <c r="D380" s="286"/>
    </row>
    <row r="381" ht="15.75" customHeight="1">
      <c r="A381" s="286"/>
      <c r="B381" s="431"/>
      <c r="C381" s="286"/>
      <c r="D381" s="286"/>
    </row>
    <row r="382" ht="15.75" customHeight="1">
      <c r="A382" s="286"/>
      <c r="B382" s="431"/>
      <c r="C382" s="286"/>
      <c r="D382" s="286"/>
    </row>
    <row r="383" ht="15.75" customHeight="1">
      <c r="A383" s="286"/>
      <c r="B383" s="431"/>
      <c r="C383" s="286"/>
      <c r="D383" s="286"/>
    </row>
    <row r="384" ht="15.75" customHeight="1">
      <c r="A384" s="286"/>
      <c r="B384" s="431"/>
      <c r="C384" s="286"/>
      <c r="D384" s="286"/>
    </row>
    <row r="385" ht="15.75" customHeight="1">
      <c r="A385" s="286"/>
      <c r="B385" s="431"/>
      <c r="C385" s="286"/>
      <c r="D385" s="286"/>
    </row>
    <row r="386" ht="15.75" customHeight="1">
      <c r="A386" s="286"/>
      <c r="B386" s="431"/>
      <c r="C386" s="286"/>
      <c r="D386" s="286"/>
    </row>
    <row r="387" ht="15.75" customHeight="1">
      <c r="A387" s="286"/>
      <c r="B387" s="431"/>
      <c r="C387" s="286"/>
      <c r="D387" s="286"/>
    </row>
    <row r="388" ht="15.75" customHeight="1">
      <c r="A388" s="286"/>
      <c r="B388" s="431"/>
      <c r="C388" s="286"/>
      <c r="D388" s="286"/>
    </row>
    <row r="389" ht="15.75" customHeight="1">
      <c r="A389" s="286"/>
      <c r="B389" s="431"/>
      <c r="C389" s="286"/>
      <c r="D389" s="286"/>
    </row>
    <row r="390" ht="15.75" customHeight="1">
      <c r="A390" s="286"/>
      <c r="B390" s="431"/>
      <c r="C390" s="286"/>
      <c r="D390" s="286"/>
    </row>
    <row r="391" ht="15.75" customHeight="1">
      <c r="A391" s="286"/>
      <c r="B391" s="431"/>
      <c r="C391" s="286"/>
      <c r="D391" s="286"/>
    </row>
    <row r="392" ht="15.75" customHeight="1">
      <c r="A392" s="286"/>
      <c r="B392" s="431"/>
      <c r="C392" s="286"/>
      <c r="D392" s="286"/>
    </row>
    <row r="393" ht="15.75" customHeight="1">
      <c r="A393" s="286"/>
      <c r="B393" s="431"/>
      <c r="C393" s="286"/>
      <c r="D393" s="286"/>
    </row>
    <row r="394" ht="15.75" customHeight="1">
      <c r="A394" s="286"/>
      <c r="B394" s="431"/>
      <c r="C394" s="286"/>
      <c r="D394" s="286"/>
    </row>
    <row r="395" ht="15.75" customHeight="1">
      <c r="A395" s="286"/>
      <c r="B395" s="431"/>
      <c r="C395" s="286"/>
      <c r="D395" s="286"/>
    </row>
    <row r="396" ht="15.75" customHeight="1">
      <c r="A396" s="286"/>
      <c r="B396" s="431"/>
      <c r="C396" s="286"/>
      <c r="D396" s="286"/>
    </row>
    <row r="397" ht="15.75" customHeight="1">
      <c r="A397" s="286"/>
      <c r="B397" s="431"/>
      <c r="C397" s="286"/>
      <c r="D397" s="286"/>
    </row>
    <row r="398" ht="15.75" customHeight="1">
      <c r="A398" s="286"/>
      <c r="B398" s="431"/>
      <c r="C398" s="286"/>
      <c r="D398" s="286"/>
    </row>
    <row r="399" ht="15.75" customHeight="1">
      <c r="A399" s="286"/>
      <c r="B399" s="431"/>
      <c r="C399" s="286"/>
      <c r="D399" s="286"/>
    </row>
    <row r="400" ht="15.75" customHeight="1">
      <c r="A400" s="286"/>
      <c r="B400" s="431"/>
      <c r="C400" s="286"/>
      <c r="D400" s="286"/>
    </row>
    <row r="401" ht="15.75" customHeight="1">
      <c r="A401" s="286"/>
      <c r="B401" s="431"/>
      <c r="C401" s="286"/>
      <c r="D401" s="286"/>
    </row>
    <row r="402" ht="15.75" customHeight="1">
      <c r="A402" s="286"/>
      <c r="B402" s="431"/>
      <c r="C402" s="286"/>
      <c r="D402" s="286"/>
    </row>
    <row r="403" ht="15.75" customHeight="1">
      <c r="A403" s="286"/>
      <c r="B403" s="431"/>
      <c r="C403" s="286"/>
      <c r="D403" s="286"/>
    </row>
    <row r="404" ht="15.75" customHeight="1">
      <c r="A404" s="286"/>
      <c r="B404" s="431"/>
      <c r="C404" s="286"/>
      <c r="D404" s="286"/>
    </row>
    <row r="405" ht="15.75" customHeight="1">
      <c r="A405" s="286"/>
      <c r="B405" s="431"/>
      <c r="C405" s="286"/>
      <c r="D405" s="286"/>
    </row>
    <row r="406" ht="15.75" customHeight="1">
      <c r="A406" s="286"/>
      <c r="B406" s="431"/>
      <c r="C406" s="286"/>
      <c r="D406" s="286"/>
    </row>
    <row r="407" ht="15.75" customHeight="1">
      <c r="A407" s="286"/>
      <c r="B407" s="431"/>
      <c r="C407" s="286"/>
      <c r="D407" s="286"/>
    </row>
    <row r="408" ht="15.75" customHeight="1">
      <c r="A408" s="286"/>
      <c r="B408" s="431"/>
      <c r="C408" s="286"/>
      <c r="D408" s="286"/>
    </row>
    <row r="409" ht="15.75" customHeight="1">
      <c r="A409" s="286"/>
      <c r="B409" s="431"/>
      <c r="C409" s="286"/>
      <c r="D409" s="286"/>
    </row>
    <row r="410" ht="15.75" customHeight="1">
      <c r="A410" s="286"/>
      <c r="B410" s="431"/>
      <c r="C410" s="286"/>
      <c r="D410" s="286"/>
    </row>
    <row r="411" ht="15.75" customHeight="1">
      <c r="A411" s="286"/>
      <c r="B411" s="431"/>
      <c r="C411" s="286"/>
      <c r="D411" s="286"/>
    </row>
    <row r="412" ht="15.75" customHeight="1">
      <c r="A412" s="286"/>
      <c r="B412" s="431"/>
      <c r="C412" s="286"/>
      <c r="D412" s="286"/>
    </row>
    <row r="413" ht="15.75" customHeight="1">
      <c r="A413" s="286"/>
      <c r="B413" s="431"/>
      <c r="C413" s="286"/>
      <c r="D413" s="286"/>
    </row>
    <row r="414" ht="15.75" customHeight="1">
      <c r="A414" s="286"/>
      <c r="B414" s="431"/>
      <c r="C414" s="286"/>
      <c r="D414" s="286"/>
    </row>
    <row r="415" ht="15.75" customHeight="1">
      <c r="A415" s="286"/>
      <c r="B415" s="431"/>
      <c r="C415" s="286"/>
      <c r="D415" s="286"/>
    </row>
    <row r="416" ht="15.75" customHeight="1">
      <c r="A416" s="286"/>
      <c r="B416" s="431"/>
      <c r="C416" s="286"/>
      <c r="D416" s="286"/>
    </row>
    <row r="417" ht="15.75" customHeight="1">
      <c r="A417" s="286"/>
      <c r="B417" s="431"/>
      <c r="C417" s="286"/>
      <c r="D417" s="286"/>
    </row>
    <row r="418" ht="15.75" customHeight="1">
      <c r="A418" s="286"/>
      <c r="B418" s="431"/>
      <c r="C418" s="286"/>
      <c r="D418" s="286"/>
    </row>
    <row r="419" ht="15.75" customHeight="1">
      <c r="A419" s="286"/>
      <c r="B419" s="431"/>
      <c r="C419" s="286"/>
      <c r="D419" s="286"/>
    </row>
    <row r="420" ht="15.75" customHeight="1">
      <c r="A420" s="286"/>
      <c r="B420" s="431"/>
      <c r="C420" s="286"/>
      <c r="D420" s="286"/>
    </row>
    <row r="421" ht="15.75" customHeight="1">
      <c r="A421" s="286"/>
      <c r="B421" s="431"/>
      <c r="C421" s="286"/>
      <c r="D421" s="286"/>
    </row>
    <row r="422" ht="15.75" customHeight="1">
      <c r="A422" s="286"/>
      <c r="B422" s="431"/>
      <c r="C422" s="286"/>
      <c r="D422" s="286"/>
    </row>
    <row r="423" ht="15.75" customHeight="1">
      <c r="A423" s="286"/>
      <c r="B423" s="431"/>
      <c r="C423" s="286"/>
      <c r="D423" s="286"/>
    </row>
    <row r="424" ht="15.75" customHeight="1">
      <c r="A424" s="286"/>
      <c r="B424" s="431"/>
      <c r="C424" s="286"/>
      <c r="D424" s="286"/>
    </row>
    <row r="425" ht="15.75" customHeight="1">
      <c r="A425" s="286"/>
      <c r="B425" s="431"/>
      <c r="C425" s="286"/>
      <c r="D425" s="286"/>
    </row>
    <row r="426" ht="15.75" customHeight="1">
      <c r="A426" s="286"/>
      <c r="B426" s="431"/>
      <c r="C426" s="286"/>
      <c r="D426" s="286"/>
    </row>
    <row r="427" ht="15.75" customHeight="1">
      <c r="A427" s="286"/>
      <c r="B427" s="431"/>
      <c r="C427" s="286"/>
      <c r="D427" s="286"/>
    </row>
    <row r="428" ht="15.75" customHeight="1">
      <c r="A428" s="286"/>
      <c r="B428" s="431"/>
      <c r="C428" s="286"/>
      <c r="D428" s="286"/>
    </row>
    <row r="429" ht="15.75" customHeight="1">
      <c r="A429" s="286"/>
      <c r="B429" s="431"/>
      <c r="C429" s="286"/>
      <c r="D429" s="286"/>
    </row>
    <row r="430" ht="15.75" customHeight="1">
      <c r="A430" s="286"/>
      <c r="B430" s="431"/>
      <c r="C430" s="286"/>
      <c r="D430" s="286"/>
    </row>
    <row r="431" ht="15.75" customHeight="1">
      <c r="A431" s="286"/>
      <c r="B431" s="431"/>
      <c r="C431" s="286"/>
      <c r="D431" s="286"/>
    </row>
    <row r="432" ht="15.75" customHeight="1">
      <c r="A432" s="286"/>
      <c r="B432" s="431"/>
      <c r="C432" s="286"/>
      <c r="D432" s="286"/>
    </row>
    <row r="433" ht="15.75" customHeight="1">
      <c r="A433" s="286"/>
      <c r="B433" s="431"/>
      <c r="C433" s="286"/>
      <c r="D433" s="286"/>
    </row>
    <row r="434" ht="15.75" customHeight="1">
      <c r="A434" s="286"/>
      <c r="B434" s="431"/>
      <c r="C434" s="286"/>
      <c r="D434" s="286"/>
    </row>
    <row r="435" ht="15.75" customHeight="1">
      <c r="A435" s="286"/>
      <c r="B435" s="431"/>
      <c r="C435" s="286"/>
      <c r="D435" s="286"/>
    </row>
    <row r="436" ht="15.75" customHeight="1">
      <c r="A436" s="286"/>
      <c r="B436" s="431"/>
      <c r="C436" s="286"/>
      <c r="D436" s="286"/>
    </row>
    <row r="437" ht="15.75" customHeight="1">
      <c r="A437" s="286"/>
      <c r="B437" s="431"/>
      <c r="C437" s="286"/>
      <c r="D437" s="286"/>
    </row>
    <row r="438" ht="15.75" customHeight="1">
      <c r="A438" s="286"/>
      <c r="B438" s="431"/>
      <c r="C438" s="286"/>
      <c r="D438" s="286"/>
    </row>
    <row r="439" ht="15.75" customHeight="1">
      <c r="A439" s="286"/>
      <c r="B439" s="431"/>
      <c r="C439" s="286"/>
      <c r="D439" s="286"/>
    </row>
    <row r="440" ht="15.75" customHeight="1">
      <c r="A440" s="286"/>
      <c r="B440" s="431"/>
      <c r="C440" s="286"/>
      <c r="D440" s="286"/>
    </row>
    <row r="441" ht="15.75" customHeight="1">
      <c r="A441" s="286"/>
      <c r="B441" s="431"/>
      <c r="C441" s="286"/>
      <c r="D441" s="286"/>
    </row>
    <row r="442" ht="15.75" customHeight="1">
      <c r="A442" s="286"/>
      <c r="B442" s="431"/>
      <c r="C442" s="286"/>
      <c r="D442" s="286"/>
    </row>
    <row r="443" ht="15.75" customHeight="1">
      <c r="A443" s="286"/>
      <c r="B443" s="431"/>
      <c r="C443" s="286"/>
      <c r="D443" s="286"/>
    </row>
    <row r="444" ht="15.75" customHeight="1">
      <c r="A444" s="286"/>
      <c r="B444" s="431"/>
      <c r="C444" s="286"/>
      <c r="D444" s="286"/>
    </row>
    <row r="445" ht="15.75" customHeight="1">
      <c r="A445" s="286"/>
      <c r="B445" s="431"/>
      <c r="C445" s="286"/>
      <c r="D445" s="286"/>
    </row>
    <row r="446" ht="15.75" customHeight="1">
      <c r="A446" s="286"/>
      <c r="B446" s="431"/>
      <c r="C446" s="286"/>
      <c r="D446" s="286"/>
    </row>
    <row r="447" ht="15.75" customHeight="1">
      <c r="A447" s="286"/>
      <c r="B447" s="431"/>
      <c r="C447" s="286"/>
      <c r="D447" s="286"/>
    </row>
    <row r="448" ht="15.75" customHeight="1">
      <c r="A448" s="286"/>
      <c r="B448" s="431"/>
      <c r="C448" s="286"/>
      <c r="D448" s="286"/>
    </row>
    <row r="449" ht="15.75" customHeight="1">
      <c r="A449" s="286"/>
      <c r="B449" s="431"/>
      <c r="C449" s="286"/>
      <c r="D449" s="286"/>
    </row>
    <row r="450" ht="15.75" customHeight="1">
      <c r="A450" s="286"/>
      <c r="B450" s="431"/>
      <c r="C450" s="286"/>
      <c r="D450" s="286"/>
    </row>
    <row r="451" ht="15.75" customHeight="1">
      <c r="A451" s="286"/>
      <c r="B451" s="431"/>
      <c r="C451" s="286"/>
      <c r="D451" s="286"/>
    </row>
    <row r="452" ht="15.75" customHeight="1">
      <c r="A452" s="286"/>
      <c r="B452" s="431"/>
      <c r="C452" s="286"/>
      <c r="D452" s="286"/>
    </row>
    <row r="453" ht="15.75" customHeight="1">
      <c r="A453" s="286"/>
      <c r="B453" s="431"/>
      <c r="C453" s="286"/>
      <c r="D453" s="286"/>
    </row>
    <row r="454" ht="15.75" customHeight="1">
      <c r="A454" s="286"/>
      <c r="B454" s="431"/>
      <c r="C454" s="286"/>
      <c r="D454" s="286"/>
    </row>
    <row r="455" ht="15.75" customHeight="1">
      <c r="A455" s="286"/>
      <c r="B455" s="431"/>
      <c r="C455" s="286"/>
      <c r="D455" s="286"/>
    </row>
    <row r="456" ht="15.75" customHeight="1">
      <c r="A456" s="286"/>
      <c r="B456" s="431"/>
      <c r="C456" s="286"/>
      <c r="D456" s="286"/>
    </row>
    <row r="457" ht="15.75" customHeight="1">
      <c r="A457" s="286"/>
      <c r="B457" s="431"/>
      <c r="C457" s="286"/>
      <c r="D457" s="286"/>
    </row>
    <row r="458" ht="15.75" customHeight="1">
      <c r="A458" s="286"/>
      <c r="B458" s="431"/>
      <c r="C458" s="286"/>
      <c r="D458" s="286"/>
    </row>
    <row r="459" ht="15.75" customHeight="1">
      <c r="A459" s="286"/>
      <c r="B459" s="431"/>
      <c r="C459" s="286"/>
      <c r="D459" s="286"/>
    </row>
    <row r="460" ht="15.75" customHeight="1">
      <c r="A460" s="286"/>
      <c r="B460" s="431"/>
      <c r="C460" s="286"/>
      <c r="D460" s="286"/>
    </row>
    <row r="461" ht="15.75" customHeight="1">
      <c r="A461" s="286"/>
      <c r="B461" s="431"/>
      <c r="C461" s="286"/>
      <c r="D461" s="286"/>
    </row>
    <row r="462" ht="15.75" customHeight="1">
      <c r="A462" s="286"/>
      <c r="B462" s="431"/>
      <c r="C462" s="286"/>
      <c r="D462" s="286"/>
    </row>
    <row r="463" ht="15.75" customHeight="1">
      <c r="A463" s="286"/>
      <c r="B463" s="431"/>
      <c r="C463" s="286"/>
      <c r="D463" s="286"/>
    </row>
    <row r="464" ht="15.75" customHeight="1">
      <c r="A464" s="286"/>
      <c r="B464" s="431"/>
      <c r="C464" s="286"/>
      <c r="D464" s="286"/>
    </row>
    <row r="465" ht="15.75" customHeight="1">
      <c r="A465" s="286"/>
      <c r="B465" s="431"/>
      <c r="C465" s="286"/>
      <c r="D465" s="286"/>
    </row>
    <row r="466" ht="15.75" customHeight="1">
      <c r="A466" s="286"/>
      <c r="B466" s="431"/>
      <c r="C466" s="286"/>
      <c r="D466" s="286"/>
    </row>
    <row r="467" ht="15.75" customHeight="1">
      <c r="A467" s="286"/>
      <c r="B467" s="431"/>
      <c r="C467" s="286"/>
      <c r="D467" s="286"/>
    </row>
    <row r="468" ht="15.75" customHeight="1">
      <c r="A468" s="286"/>
      <c r="B468" s="431"/>
      <c r="C468" s="286"/>
      <c r="D468" s="286"/>
    </row>
    <row r="469" ht="15.75" customHeight="1">
      <c r="A469" s="286"/>
      <c r="B469" s="431"/>
      <c r="C469" s="286"/>
      <c r="D469" s="286"/>
    </row>
    <row r="470" ht="15.75" customHeight="1">
      <c r="A470" s="286"/>
      <c r="B470" s="431"/>
      <c r="C470" s="286"/>
      <c r="D470" s="286"/>
    </row>
    <row r="471" ht="15.75" customHeight="1">
      <c r="A471" s="286"/>
      <c r="B471" s="431"/>
      <c r="C471" s="286"/>
      <c r="D471" s="286"/>
    </row>
    <row r="472" ht="15.75" customHeight="1">
      <c r="A472" s="286"/>
      <c r="B472" s="431"/>
      <c r="C472" s="286"/>
      <c r="D472" s="286"/>
    </row>
    <row r="473" ht="15.75" customHeight="1">
      <c r="A473" s="286"/>
      <c r="B473" s="431"/>
      <c r="C473" s="286"/>
      <c r="D473" s="286"/>
    </row>
    <row r="474" ht="15.75" customHeight="1">
      <c r="A474" s="286"/>
      <c r="B474" s="431"/>
      <c r="C474" s="286"/>
      <c r="D474" s="286"/>
    </row>
    <row r="475" ht="15.75" customHeight="1">
      <c r="A475" s="286"/>
      <c r="B475" s="431"/>
      <c r="C475" s="286"/>
      <c r="D475" s="286"/>
    </row>
    <row r="476" ht="15.75" customHeight="1">
      <c r="A476" s="286"/>
      <c r="B476" s="431"/>
      <c r="C476" s="286"/>
      <c r="D476" s="286"/>
    </row>
    <row r="477" ht="15.75" customHeight="1">
      <c r="A477" s="286"/>
      <c r="B477" s="431"/>
      <c r="C477" s="286"/>
      <c r="D477" s="286"/>
    </row>
    <row r="478" ht="15.75" customHeight="1">
      <c r="A478" s="286"/>
      <c r="B478" s="431"/>
      <c r="C478" s="286"/>
      <c r="D478" s="286"/>
    </row>
    <row r="479" ht="15.75" customHeight="1">
      <c r="A479" s="286"/>
      <c r="B479" s="431"/>
      <c r="C479" s="286"/>
      <c r="D479" s="286"/>
    </row>
    <row r="480" ht="15.75" customHeight="1">
      <c r="A480" s="286"/>
      <c r="B480" s="431"/>
      <c r="C480" s="286"/>
      <c r="D480" s="286"/>
    </row>
    <row r="481" ht="15.75" customHeight="1">
      <c r="A481" s="286"/>
      <c r="B481" s="431"/>
      <c r="C481" s="286"/>
      <c r="D481" s="286"/>
    </row>
    <row r="482" ht="15.75" customHeight="1">
      <c r="A482" s="286"/>
      <c r="B482" s="431"/>
      <c r="C482" s="286"/>
      <c r="D482" s="286"/>
    </row>
    <row r="483" ht="15.75" customHeight="1">
      <c r="A483" s="286"/>
      <c r="B483" s="431"/>
      <c r="C483" s="286"/>
      <c r="D483" s="286"/>
    </row>
    <row r="484" ht="15.75" customHeight="1">
      <c r="A484" s="286"/>
      <c r="B484" s="431"/>
      <c r="C484" s="286"/>
      <c r="D484" s="286"/>
    </row>
    <row r="485" ht="15.75" customHeight="1">
      <c r="A485" s="286"/>
      <c r="B485" s="431"/>
      <c r="C485" s="286"/>
      <c r="D485" s="286"/>
    </row>
    <row r="486" ht="15.75" customHeight="1">
      <c r="A486" s="286"/>
      <c r="B486" s="431"/>
      <c r="C486" s="286"/>
      <c r="D486" s="286"/>
    </row>
    <row r="487" ht="15.75" customHeight="1">
      <c r="A487" s="286"/>
      <c r="B487" s="431"/>
      <c r="C487" s="286"/>
      <c r="D487" s="286"/>
    </row>
    <row r="488" ht="15.75" customHeight="1">
      <c r="A488" s="286"/>
      <c r="B488" s="431"/>
      <c r="C488" s="286"/>
      <c r="D488" s="286"/>
    </row>
    <row r="489" ht="15.75" customHeight="1">
      <c r="A489" s="286"/>
      <c r="B489" s="431"/>
      <c r="C489" s="286"/>
      <c r="D489" s="286"/>
    </row>
    <row r="490" ht="15.75" customHeight="1">
      <c r="A490" s="286"/>
      <c r="B490" s="431"/>
      <c r="C490" s="286"/>
      <c r="D490" s="286"/>
    </row>
    <row r="491" ht="15.75" customHeight="1">
      <c r="A491" s="286"/>
      <c r="B491" s="431"/>
      <c r="C491" s="286"/>
      <c r="D491" s="286"/>
    </row>
    <row r="492" ht="15.75" customHeight="1">
      <c r="A492" s="286"/>
      <c r="B492" s="431"/>
      <c r="C492" s="286"/>
      <c r="D492" s="286"/>
    </row>
    <row r="493" ht="15.75" customHeight="1">
      <c r="A493" s="286"/>
      <c r="B493" s="431"/>
      <c r="C493" s="286"/>
      <c r="D493" s="286"/>
    </row>
    <row r="494" ht="15.75" customHeight="1">
      <c r="A494" s="286"/>
      <c r="B494" s="431"/>
      <c r="C494" s="286"/>
      <c r="D494" s="286"/>
    </row>
    <row r="495" ht="15.75" customHeight="1">
      <c r="A495" s="286"/>
      <c r="B495" s="431"/>
      <c r="C495" s="286"/>
      <c r="D495" s="286"/>
    </row>
    <row r="496" ht="15.75" customHeight="1">
      <c r="A496" s="286"/>
      <c r="B496" s="431"/>
      <c r="C496" s="286"/>
      <c r="D496" s="286"/>
    </row>
    <row r="497" ht="15.75" customHeight="1">
      <c r="A497" s="286"/>
      <c r="B497" s="431"/>
      <c r="C497" s="286"/>
      <c r="D497" s="286"/>
    </row>
    <row r="498" ht="15.75" customHeight="1">
      <c r="A498" s="286"/>
      <c r="B498" s="431"/>
      <c r="C498" s="286"/>
      <c r="D498" s="286"/>
    </row>
    <row r="499" ht="15.75" customHeight="1">
      <c r="A499" s="286"/>
      <c r="B499" s="431"/>
      <c r="C499" s="286"/>
      <c r="D499" s="286"/>
    </row>
    <row r="500" ht="15.75" customHeight="1">
      <c r="A500" s="286"/>
      <c r="B500" s="431"/>
      <c r="C500" s="286"/>
      <c r="D500" s="286"/>
    </row>
    <row r="501" ht="15.75" customHeight="1">
      <c r="A501" s="286"/>
      <c r="B501" s="431"/>
      <c r="C501" s="286"/>
      <c r="D501" s="286"/>
    </row>
    <row r="502" ht="15.75" customHeight="1">
      <c r="A502" s="286"/>
      <c r="B502" s="431"/>
      <c r="C502" s="286"/>
      <c r="D502" s="286"/>
    </row>
    <row r="503" ht="15.75" customHeight="1">
      <c r="A503" s="286"/>
      <c r="B503" s="431"/>
      <c r="C503" s="286"/>
      <c r="D503" s="286"/>
    </row>
    <row r="504" ht="15.75" customHeight="1">
      <c r="A504" s="286"/>
      <c r="B504" s="431"/>
      <c r="C504" s="286"/>
      <c r="D504" s="286"/>
    </row>
    <row r="505" ht="15.75" customHeight="1">
      <c r="A505" s="286"/>
      <c r="B505" s="431"/>
      <c r="C505" s="286"/>
      <c r="D505" s="286"/>
    </row>
    <row r="506" ht="15.75" customHeight="1">
      <c r="A506" s="286"/>
      <c r="B506" s="431"/>
      <c r="C506" s="286"/>
      <c r="D506" s="286"/>
    </row>
    <row r="507" ht="15.75" customHeight="1">
      <c r="A507" s="286"/>
      <c r="B507" s="431"/>
      <c r="C507" s="286"/>
      <c r="D507" s="286"/>
    </row>
    <row r="508" ht="15.75" customHeight="1">
      <c r="A508" s="286"/>
      <c r="B508" s="431"/>
      <c r="C508" s="286"/>
      <c r="D508" s="286"/>
    </row>
    <row r="509" ht="15.75" customHeight="1">
      <c r="A509" s="286"/>
      <c r="B509" s="431"/>
      <c r="C509" s="286"/>
      <c r="D509" s="286"/>
    </row>
    <row r="510" ht="15.75" customHeight="1">
      <c r="A510" s="286"/>
      <c r="B510" s="431"/>
      <c r="C510" s="286"/>
      <c r="D510" s="286"/>
    </row>
    <row r="511" ht="15.75" customHeight="1">
      <c r="A511" s="286"/>
      <c r="B511" s="431"/>
      <c r="C511" s="286"/>
      <c r="D511" s="286"/>
    </row>
    <row r="512" ht="15.75" customHeight="1">
      <c r="A512" s="286"/>
      <c r="B512" s="431"/>
      <c r="C512" s="286"/>
      <c r="D512" s="286"/>
    </row>
    <row r="513" ht="15.75" customHeight="1">
      <c r="A513" s="286"/>
      <c r="B513" s="431"/>
      <c r="C513" s="286"/>
      <c r="D513" s="286"/>
    </row>
    <row r="514" ht="15.75" customHeight="1">
      <c r="A514" s="286"/>
      <c r="B514" s="431"/>
      <c r="C514" s="286"/>
      <c r="D514" s="286"/>
    </row>
    <row r="515" ht="15.75" customHeight="1">
      <c r="A515" s="286"/>
      <c r="B515" s="431"/>
      <c r="C515" s="286"/>
      <c r="D515" s="286"/>
    </row>
    <row r="516" ht="15.75" customHeight="1">
      <c r="A516" s="286"/>
      <c r="B516" s="431"/>
      <c r="C516" s="286"/>
      <c r="D516" s="286"/>
    </row>
    <row r="517" ht="15.75" customHeight="1">
      <c r="A517" s="286"/>
      <c r="B517" s="431"/>
      <c r="C517" s="286"/>
      <c r="D517" s="286"/>
    </row>
    <row r="518" ht="15.75" customHeight="1">
      <c r="A518" s="286"/>
      <c r="B518" s="431"/>
      <c r="C518" s="286"/>
      <c r="D518" s="286"/>
    </row>
    <row r="519" ht="15.75" customHeight="1">
      <c r="A519" s="286"/>
      <c r="B519" s="431"/>
      <c r="C519" s="286"/>
      <c r="D519" s="286"/>
    </row>
    <row r="520" ht="15.75" customHeight="1">
      <c r="A520" s="286"/>
      <c r="B520" s="431"/>
      <c r="C520" s="286"/>
      <c r="D520" s="286"/>
    </row>
    <row r="521" ht="15.75" customHeight="1">
      <c r="A521" s="286"/>
      <c r="B521" s="431"/>
      <c r="C521" s="286"/>
      <c r="D521" s="286"/>
    </row>
    <row r="522" ht="15.75" customHeight="1">
      <c r="A522" s="286"/>
      <c r="B522" s="431"/>
      <c r="C522" s="286"/>
      <c r="D522" s="286"/>
    </row>
    <row r="523" ht="15.75" customHeight="1">
      <c r="A523" s="286"/>
      <c r="B523" s="431"/>
      <c r="C523" s="286"/>
      <c r="D523" s="286"/>
    </row>
    <row r="524" ht="15.75" customHeight="1">
      <c r="A524" s="286"/>
      <c r="B524" s="431"/>
      <c r="C524" s="286"/>
      <c r="D524" s="286"/>
    </row>
    <row r="525" ht="15.75" customHeight="1">
      <c r="A525" s="286"/>
      <c r="B525" s="431"/>
      <c r="C525" s="286"/>
      <c r="D525" s="286"/>
    </row>
    <row r="526" ht="15.75" customHeight="1">
      <c r="A526" s="286"/>
      <c r="B526" s="431"/>
      <c r="C526" s="286"/>
      <c r="D526" s="286"/>
    </row>
    <row r="527" ht="15.75" customHeight="1">
      <c r="A527" s="286"/>
      <c r="B527" s="431"/>
      <c r="C527" s="286"/>
      <c r="D527" s="286"/>
    </row>
    <row r="528" ht="15.75" customHeight="1">
      <c r="A528" s="286"/>
      <c r="B528" s="431"/>
      <c r="C528" s="286"/>
      <c r="D528" s="286"/>
    </row>
    <row r="529" ht="15.75" customHeight="1">
      <c r="A529" s="286"/>
      <c r="B529" s="431"/>
      <c r="C529" s="286"/>
      <c r="D529" s="286"/>
    </row>
    <row r="530" ht="15.75" customHeight="1">
      <c r="A530" s="286"/>
      <c r="B530" s="431"/>
      <c r="C530" s="286"/>
      <c r="D530" s="286"/>
    </row>
    <row r="531" ht="15.75" customHeight="1">
      <c r="A531" s="286"/>
      <c r="B531" s="431"/>
      <c r="C531" s="286"/>
      <c r="D531" s="286"/>
    </row>
    <row r="532" ht="15.75" customHeight="1">
      <c r="A532" s="286"/>
      <c r="B532" s="431"/>
      <c r="C532" s="286"/>
      <c r="D532" s="286"/>
    </row>
    <row r="533" ht="15.75" customHeight="1">
      <c r="A533" s="286"/>
      <c r="B533" s="431"/>
      <c r="C533" s="286"/>
      <c r="D533" s="286"/>
    </row>
    <row r="534" ht="15.75" customHeight="1">
      <c r="A534" s="286"/>
      <c r="B534" s="431"/>
      <c r="C534" s="286"/>
      <c r="D534" s="286"/>
    </row>
    <row r="535" ht="15.75" customHeight="1">
      <c r="A535" s="286"/>
      <c r="B535" s="431"/>
      <c r="C535" s="286"/>
      <c r="D535" s="286"/>
    </row>
    <row r="536" ht="15.75" customHeight="1">
      <c r="A536" s="286"/>
      <c r="B536" s="431"/>
      <c r="C536" s="286"/>
      <c r="D536" s="286"/>
    </row>
    <row r="537" ht="15.75" customHeight="1">
      <c r="A537" s="286"/>
      <c r="B537" s="431"/>
      <c r="C537" s="286"/>
      <c r="D537" s="286"/>
    </row>
    <row r="538" ht="15.75" customHeight="1">
      <c r="A538" s="286"/>
      <c r="B538" s="431"/>
      <c r="C538" s="286"/>
      <c r="D538" s="286"/>
    </row>
    <row r="539" ht="15.75" customHeight="1">
      <c r="A539" s="286"/>
      <c r="B539" s="431"/>
      <c r="C539" s="286"/>
      <c r="D539" s="286"/>
    </row>
    <row r="540" ht="15.75" customHeight="1">
      <c r="A540" s="286"/>
      <c r="B540" s="431"/>
      <c r="C540" s="286"/>
      <c r="D540" s="286"/>
    </row>
    <row r="541" ht="15.75" customHeight="1">
      <c r="A541" s="286"/>
      <c r="B541" s="431"/>
      <c r="C541" s="286"/>
      <c r="D541" s="286"/>
    </row>
    <row r="542" ht="15.75" customHeight="1">
      <c r="A542" s="286"/>
      <c r="B542" s="431"/>
      <c r="C542" s="286"/>
      <c r="D542" s="286"/>
    </row>
    <row r="543" ht="15.75" customHeight="1">
      <c r="A543" s="286"/>
      <c r="B543" s="431"/>
      <c r="C543" s="286"/>
      <c r="D543" s="286"/>
    </row>
    <row r="544" ht="15.75" customHeight="1">
      <c r="A544" s="286"/>
      <c r="B544" s="431"/>
      <c r="C544" s="286"/>
      <c r="D544" s="286"/>
    </row>
    <row r="545" ht="15.75" customHeight="1">
      <c r="A545" s="286"/>
      <c r="B545" s="431"/>
      <c r="C545" s="286"/>
      <c r="D545" s="286"/>
    </row>
    <row r="546" ht="15.75" customHeight="1">
      <c r="A546" s="286"/>
      <c r="B546" s="431"/>
      <c r="C546" s="286"/>
      <c r="D546" s="286"/>
    </row>
    <row r="547" ht="15.75" customHeight="1">
      <c r="A547" s="286"/>
      <c r="B547" s="431"/>
      <c r="C547" s="286"/>
      <c r="D547" s="286"/>
    </row>
    <row r="548" ht="15.75" customHeight="1">
      <c r="A548" s="286"/>
      <c r="B548" s="431"/>
      <c r="C548" s="286"/>
      <c r="D548" s="286"/>
    </row>
    <row r="549" ht="15.75" customHeight="1">
      <c r="A549" s="286"/>
      <c r="B549" s="431"/>
      <c r="C549" s="286"/>
      <c r="D549" s="286"/>
    </row>
    <row r="550" ht="15.75" customHeight="1">
      <c r="A550" s="286"/>
      <c r="B550" s="431"/>
      <c r="C550" s="286"/>
      <c r="D550" s="286"/>
    </row>
    <row r="551" ht="15.75" customHeight="1">
      <c r="A551" s="286"/>
      <c r="B551" s="431"/>
      <c r="C551" s="286"/>
      <c r="D551" s="286"/>
    </row>
    <row r="552" ht="15.75" customHeight="1">
      <c r="A552" s="286"/>
      <c r="B552" s="431"/>
      <c r="C552" s="286"/>
      <c r="D552" s="286"/>
    </row>
    <row r="553" ht="15.75" customHeight="1">
      <c r="A553" s="286"/>
      <c r="B553" s="431"/>
      <c r="C553" s="286"/>
      <c r="D553" s="286"/>
    </row>
    <row r="554" ht="15.75" customHeight="1">
      <c r="A554" s="286"/>
      <c r="B554" s="431"/>
      <c r="C554" s="286"/>
      <c r="D554" s="286"/>
    </row>
    <row r="555" ht="15.75" customHeight="1">
      <c r="A555" s="286"/>
      <c r="B555" s="431"/>
      <c r="C555" s="286"/>
      <c r="D555" s="286"/>
    </row>
    <row r="556" ht="15.75" customHeight="1">
      <c r="A556" s="286"/>
      <c r="B556" s="431"/>
      <c r="C556" s="286"/>
      <c r="D556" s="286"/>
    </row>
    <row r="557" ht="15.75" customHeight="1">
      <c r="A557" s="286"/>
      <c r="B557" s="431"/>
      <c r="C557" s="286"/>
      <c r="D557" s="286"/>
    </row>
    <row r="558" ht="15.75" customHeight="1">
      <c r="A558" s="286"/>
      <c r="B558" s="431"/>
      <c r="C558" s="286"/>
      <c r="D558" s="286"/>
    </row>
    <row r="559" ht="15.75" customHeight="1">
      <c r="A559" s="286"/>
      <c r="B559" s="431"/>
      <c r="C559" s="286"/>
      <c r="D559" s="286"/>
    </row>
    <row r="560" ht="15.75" customHeight="1">
      <c r="A560" s="286"/>
      <c r="B560" s="431"/>
      <c r="C560" s="286"/>
      <c r="D560" s="286"/>
    </row>
    <row r="561" ht="15.75" customHeight="1">
      <c r="A561" s="286"/>
      <c r="B561" s="431"/>
      <c r="C561" s="286"/>
      <c r="D561" s="286"/>
    </row>
    <row r="562" ht="15.75" customHeight="1">
      <c r="A562" s="286"/>
      <c r="B562" s="431"/>
      <c r="C562" s="286"/>
      <c r="D562" s="286"/>
    </row>
    <row r="563" ht="15.75" customHeight="1">
      <c r="A563" s="286"/>
      <c r="B563" s="431"/>
      <c r="C563" s="286"/>
      <c r="D563" s="286"/>
    </row>
    <row r="564" ht="15.75" customHeight="1">
      <c r="A564" s="286"/>
      <c r="B564" s="431"/>
      <c r="C564" s="286"/>
      <c r="D564" s="286"/>
    </row>
    <row r="565" ht="15.75" customHeight="1">
      <c r="A565" s="286"/>
      <c r="B565" s="431"/>
      <c r="C565" s="286"/>
      <c r="D565" s="286"/>
    </row>
    <row r="566" ht="15.75" customHeight="1">
      <c r="A566" s="286"/>
      <c r="B566" s="431"/>
      <c r="C566" s="286"/>
      <c r="D566" s="286"/>
    </row>
    <row r="567" ht="15.75" customHeight="1">
      <c r="A567" s="286"/>
      <c r="B567" s="431"/>
      <c r="C567" s="286"/>
      <c r="D567" s="286"/>
    </row>
    <row r="568" ht="15.75" customHeight="1">
      <c r="A568" s="286"/>
      <c r="B568" s="431"/>
      <c r="C568" s="286"/>
      <c r="D568" s="286"/>
    </row>
    <row r="569" ht="15.75" customHeight="1">
      <c r="A569" s="286"/>
      <c r="B569" s="431"/>
      <c r="C569" s="286"/>
      <c r="D569" s="286"/>
    </row>
    <row r="570" ht="15.75" customHeight="1">
      <c r="A570" s="286"/>
      <c r="B570" s="431"/>
      <c r="C570" s="286"/>
      <c r="D570" s="286"/>
    </row>
    <row r="571" ht="15.75" customHeight="1">
      <c r="A571" s="286"/>
      <c r="B571" s="431"/>
      <c r="C571" s="286"/>
      <c r="D571" s="286"/>
    </row>
    <row r="572" ht="15.75" customHeight="1">
      <c r="A572" s="286"/>
      <c r="B572" s="431"/>
      <c r="C572" s="286"/>
      <c r="D572" s="286"/>
    </row>
    <row r="573" ht="15.75" customHeight="1">
      <c r="A573" s="286"/>
      <c r="B573" s="431"/>
      <c r="C573" s="286"/>
      <c r="D573" s="286"/>
    </row>
    <row r="574" ht="15.75" customHeight="1">
      <c r="A574" s="286"/>
      <c r="B574" s="431"/>
      <c r="C574" s="286"/>
      <c r="D574" s="286"/>
    </row>
    <row r="575" ht="15.75" customHeight="1">
      <c r="A575" s="286"/>
      <c r="B575" s="431"/>
      <c r="C575" s="286"/>
      <c r="D575" s="286"/>
    </row>
    <row r="576" ht="15.75" customHeight="1">
      <c r="A576" s="286"/>
      <c r="B576" s="431"/>
      <c r="C576" s="286"/>
      <c r="D576" s="286"/>
    </row>
    <row r="577" ht="15.75" customHeight="1">
      <c r="A577" s="286"/>
      <c r="B577" s="431"/>
      <c r="C577" s="286"/>
      <c r="D577" s="286"/>
    </row>
    <row r="578" ht="15.75" customHeight="1">
      <c r="A578" s="286"/>
      <c r="B578" s="431"/>
      <c r="C578" s="286"/>
      <c r="D578" s="286"/>
    </row>
    <row r="579" ht="15.75" customHeight="1">
      <c r="A579" s="286"/>
      <c r="B579" s="431"/>
      <c r="C579" s="286"/>
      <c r="D579" s="286"/>
    </row>
    <row r="580" ht="15.75" customHeight="1">
      <c r="A580" s="286"/>
      <c r="B580" s="431"/>
      <c r="C580" s="286"/>
      <c r="D580" s="286"/>
    </row>
    <row r="581" ht="15.75" customHeight="1">
      <c r="A581" s="286"/>
      <c r="B581" s="431"/>
      <c r="C581" s="286"/>
      <c r="D581" s="286"/>
    </row>
    <row r="582" ht="15.75" customHeight="1">
      <c r="A582" s="286"/>
      <c r="B582" s="431"/>
      <c r="C582" s="286"/>
      <c r="D582" s="286"/>
    </row>
    <row r="583" ht="15.75" customHeight="1">
      <c r="A583" s="286"/>
      <c r="B583" s="431"/>
      <c r="C583" s="286"/>
      <c r="D583" s="286"/>
    </row>
    <row r="584" ht="15.75" customHeight="1">
      <c r="A584" s="286"/>
      <c r="B584" s="431"/>
      <c r="C584" s="286"/>
      <c r="D584" s="286"/>
    </row>
    <row r="585" ht="15.75" customHeight="1">
      <c r="A585" s="286"/>
      <c r="B585" s="431"/>
      <c r="C585" s="286"/>
      <c r="D585" s="286"/>
    </row>
    <row r="586" ht="15.75" customHeight="1">
      <c r="A586" s="286"/>
      <c r="B586" s="431"/>
      <c r="C586" s="286"/>
      <c r="D586" s="286"/>
    </row>
    <row r="587" ht="15.75" customHeight="1">
      <c r="A587" s="286"/>
      <c r="B587" s="431"/>
      <c r="C587" s="286"/>
      <c r="D587" s="286"/>
    </row>
    <row r="588" ht="15.75" customHeight="1">
      <c r="A588" s="286"/>
      <c r="B588" s="431"/>
      <c r="C588" s="286"/>
      <c r="D588" s="286"/>
    </row>
    <row r="589" ht="15.75" customHeight="1">
      <c r="A589" s="286"/>
      <c r="B589" s="431"/>
      <c r="C589" s="286"/>
      <c r="D589" s="286"/>
    </row>
    <row r="590" ht="15.75" customHeight="1">
      <c r="A590" s="286"/>
      <c r="B590" s="431"/>
      <c r="C590" s="286"/>
      <c r="D590" s="286"/>
    </row>
    <row r="591" ht="15.75" customHeight="1">
      <c r="A591" s="286"/>
      <c r="B591" s="431"/>
      <c r="C591" s="286"/>
      <c r="D591" s="286"/>
    </row>
    <row r="592" ht="15.75" customHeight="1">
      <c r="A592" s="286"/>
      <c r="B592" s="431"/>
      <c r="C592" s="286"/>
      <c r="D592" s="286"/>
    </row>
    <row r="593" ht="15.75" customHeight="1">
      <c r="A593" s="286"/>
      <c r="B593" s="431"/>
      <c r="C593" s="286"/>
      <c r="D593" s="286"/>
    </row>
    <row r="594" ht="15.75" customHeight="1">
      <c r="A594" s="286"/>
      <c r="B594" s="431"/>
      <c r="C594" s="286"/>
      <c r="D594" s="286"/>
    </row>
    <row r="595" ht="15.75" customHeight="1">
      <c r="A595" s="286"/>
      <c r="B595" s="431"/>
      <c r="C595" s="286"/>
      <c r="D595" s="286"/>
    </row>
    <row r="596" ht="15.75" customHeight="1">
      <c r="A596" s="286"/>
      <c r="B596" s="431"/>
      <c r="C596" s="286"/>
      <c r="D596" s="286"/>
    </row>
    <row r="597" ht="15.75" customHeight="1">
      <c r="A597" s="286"/>
      <c r="B597" s="431"/>
      <c r="C597" s="286"/>
      <c r="D597" s="286"/>
    </row>
    <row r="598" ht="15.75" customHeight="1">
      <c r="A598" s="286"/>
      <c r="B598" s="431"/>
      <c r="C598" s="286"/>
      <c r="D598" s="286"/>
    </row>
    <row r="599" ht="15.75" customHeight="1">
      <c r="A599" s="286"/>
      <c r="B599" s="431"/>
      <c r="C599" s="286"/>
      <c r="D599" s="286"/>
    </row>
    <row r="600" ht="15.75" customHeight="1">
      <c r="A600" s="286"/>
      <c r="B600" s="431"/>
      <c r="C600" s="286"/>
      <c r="D600" s="286"/>
    </row>
    <row r="601" ht="15.75" customHeight="1">
      <c r="A601" s="286"/>
      <c r="B601" s="431"/>
      <c r="C601" s="286"/>
      <c r="D601" s="286"/>
    </row>
    <row r="602" ht="15.75" customHeight="1">
      <c r="A602" s="286"/>
      <c r="B602" s="431"/>
      <c r="C602" s="286"/>
      <c r="D602" s="286"/>
    </row>
    <row r="603" ht="15.75" customHeight="1">
      <c r="A603" s="286"/>
      <c r="B603" s="431"/>
      <c r="C603" s="286"/>
      <c r="D603" s="286"/>
    </row>
    <row r="604" ht="15.75" customHeight="1">
      <c r="A604" s="286"/>
      <c r="B604" s="431"/>
      <c r="C604" s="286"/>
      <c r="D604" s="286"/>
    </row>
    <row r="605" ht="15.75" customHeight="1">
      <c r="A605" s="286"/>
      <c r="B605" s="431"/>
      <c r="C605" s="286"/>
      <c r="D605" s="286"/>
    </row>
    <row r="606" ht="15.75" customHeight="1">
      <c r="A606" s="286"/>
      <c r="B606" s="431"/>
      <c r="C606" s="286"/>
      <c r="D606" s="286"/>
    </row>
    <row r="607" ht="15.75" customHeight="1">
      <c r="A607" s="286"/>
      <c r="B607" s="431"/>
      <c r="C607" s="286"/>
      <c r="D607" s="286"/>
    </row>
    <row r="608" ht="15.75" customHeight="1">
      <c r="A608" s="286"/>
      <c r="B608" s="431"/>
      <c r="C608" s="286"/>
      <c r="D608" s="286"/>
    </row>
    <row r="609" ht="15.75" customHeight="1">
      <c r="A609" s="286"/>
      <c r="B609" s="431"/>
      <c r="C609" s="286"/>
      <c r="D609" s="286"/>
    </row>
    <row r="610" ht="15.75" customHeight="1">
      <c r="A610" s="286"/>
      <c r="B610" s="431"/>
      <c r="C610" s="286"/>
      <c r="D610" s="286"/>
    </row>
    <row r="611" ht="15.75" customHeight="1">
      <c r="A611" s="286"/>
      <c r="B611" s="431"/>
      <c r="C611" s="286"/>
      <c r="D611" s="286"/>
    </row>
    <row r="612" ht="15.75" customHeight="1">
      <c r="A612" s="286"/>
      <c r="B612" s="431"/>
      <c r="C612" s="286"/>
      <c r="D612" s="286"/>
    </row>
    <row r="613" ht="15.75" customHeight="1">
      <c r="A613" s="286"/>
      <c r="B613" s="431"/>
      <c r="C613" s="286"/>
      <c r="D613" s="286"/>
    </row>
    <row r="614" ht="15.75" customHeight="1">
      <c r="A614" s="286"/>
      <c r="B614" s="431"/>
      <c r="C614" s="286"/>
      <c r="D614" s="286"/>
    </row>
    <row r="615" ht="15.75" customHeight="1">
      <c r="A615" s="286"/>
      <c r="B615" s="431"/>
      <c r="C615" s="286"/>
      <c r="D615" s="286"/>
    </row>
    <row r="616" ht="15.75" customHeight="1">
      <c r="A616" s="286"/>
      <c r="B616" s="431"/>
      <c r="C616" s="286"/>
      <c r="D616" s="286"/>
    </row>
    <row r="617" ht="15.75" customHeight="1">
      <c r="A617" s="286"/>
      <c r="B617" s="431"/>
      <c r="C617" s="286"/>
      <c r="D617" s="286"/>
    </row>
    <row r="618" ht="15.75" customHeight="1">
      <c r="A618" s="286"/>
      <c r="B618" s="431"/>
      <c r="C618" s="286"/>
      <c r="D618" s="286"/>
    </row>
    <row r="619" ht="15.75" customHeight="1">
      <c r="A619" s="286"/>
      <c r="B619" s="431"/>
      <c r="C619" s="286"/>
      <c r="D619" s="286"/>
    </row>
    <row r="620" ht="15.75" customHeight="1">
      <c r="A620" s="286"/>
      <c r="B620" s="431"/>
      <c r="C620" s="286"/>
      <c r="D620" s="286"/>
    </row>
    <row r="621" ht="15.75" customHeight="1">
      <c r="A621" s="286"/>
      <c r="B621" s="431"/>
      <c r="C621" s="286"/>
      <c r="D621" s="286"/>
    </row>
    <row r="622" ht="15.75" customHeight="1">
      <c r="A622" s="286"/>
      <c r="B622" s="431"/>
      <c r="C622" s="286"/>
      <c r="D622" s="286"/>
    </row>
    <row r="623" ht="15.75" customHeight="1">
      <c r="A623" s="286"/>
      <c r="B623" s="431"/>
      <c r="C623" s="286"/>
      <c r="D623" s="286"/>
    </row>
    <row r="624" ht="15.75" customHeight="1">
      <c r="A624" s="286"/>
      <c r="B624" s="431"/>
      <c r="C624" s="286"/>
      <c r="D624" s="286"/>
    </row>
    <row r="625" ht="15.75" customHeight="1">
      <c r="A625" s="286"/>
      <c r="B625" s="431"/>
      <c r="C625" s="286"/>
      <c r="D625" s="286"/>
    </row>
    <row r="626" ht="15.75" customHeight="1">
      <c r="A626" s="286"/>
      <c r="B626" s="431"/>
      <c r="C626" s="286"/>
      <c r="D626" s="286"/>
    </row>
    <row r="627" ht="15.75" customHeight="1">
      <c r="A627" s="286"/>
      <c r="B627" s="431"/>
      <c r="C627" s="286"/>
      <c r="D627" s="286"/>
    </row>
    <row r="628" ht="15.75" customHeight="1">
      <c r="A628" s="286"/>
      <c r="B628" s="431"/>
      <c r="C628" s="286"/>
      <c r="D628" s="286"/>
    </row>
    <row r="629" ht="15.75" customHeight="1">
      <c r="A629" s="286"/>
      <c r="B629" s="431"/>
      <c r="C629" s="286"/>
      <c r="D629" s="286"/>
    </row>
    <row r="630" ht="15.75" customHeight="1">
      <c r="A630" s="286"/>
      <c r="B630" s="431"/>
      <c r="C630" s="286"/>
      <c r="D630" s="286"/>
    </row>
    <row r="631" ht="15.75" customHeight="1">
      <c r="A631" s="286"/>
      <c r="B631" s="431"/>
      <c r="C631" s="286"/>
      <c r="D631" s="286"/>
    </row>
    <row r="632" ht="15.75" customHeight="1">
      <c r="A632" s="286"/>
      <c r="B632" s="431"/>
      <c r="C632" s="286"/>
      <c r="D632" s="286"/>
    </row>
    <row r="633" ht="15.75" customHeight="1">
      <c r="A633" s="286"/>
      <c r="B633" s="431"/>
      <c r="C633" s="286"/>
      <c r="D633" s="286"/>
    </row>
    <row r="634" ht="15.75" customHeight="1">
      <c r="A634" s="286"/>
      <c r="B634" s="431"/>
      <c r="C634" s="286"/>
      <c r="D634" s="286"/>
    </row>
    <row r="635" ht="15.75" customHeight="1">
      <c r="A635" s="286"/>
      <c r="B635" s="431"/>
      <c r="C635" s="286"/>
      <c r="D635" s="286"/>
    </row>
    <row r="636" ht="15.75" customHeight="1">
      <c r="A636" s="286"/>
      <c r="B636" s="431"/>
      <c r="C636" s="286"/>
      <c r="D636" s="286"/>
    </row>
    <row r="637" ht="15.75" customHeight="1">
      <c r="A637" s="286"/>
      <c r="B637" s="431"/>
      <c r="C637" s="286"/>
      <c r="D637" s="286"/>
    </row>
    <row r="638" ht="15.75" customHeight="1">
      <c r="A638" s="286"/>
      <c r="B638" s="431"/>
      <c r="C638" s="286"/>
      <c r="D638" s="286"/>
    </row>
    <row r="639" ht="15.75" customHeight="1">
      <c r="A639" s="286"/>
      <c r="B639" s="431"/>
      <c r="C639" s="286"/>
      <c r="D639" s="286"/>
    </row>
    <row r="640" ht="15.75" customHeight="1">
      <c r="A640" s="286"/>
      <c r="B640" s="431"/>
      <c r="C640" s="286"/>
      <c r="D640" s="286"/>
    </row>
    <row r="641" ht="15.75" customHeight="1">
      <c r="A641" s="286"/>
      <c r="B641" s="431"/>
      <c r="C641" s="286"/>
      <c r="D641" s="286"/>
    </row>
    <row r="642" ht="15.75" customHeight="1">
      <c r="A642" s="286"/>
      <c r="B642" s="431"/>
      <c r="C642" s="286"/>
      <c r="D642" s="286"/>
    </row>
    <row r="643" ht="15.75" customHeight="1">
      <c r="A643" s="286"/>
      <c r="B643" s="431"/>
      <c r="C643" s="286"/>
      <c r="D643" s="286"/>
    </row>
    <row r="644" ht="15.75" customHeight="1">
      <c r="A644" s="286"/>
      <c r="B644" s="431"/>
      <c r="C644" s="286"/>
      <c r="D644" s="286"/>
    </row>
    <row r="645" ht="15.75" customHeight="1">
      <c r="A645" s="286"/>
      <c r="B645" s="431"/>
      <c r="C645" s="286"/>
      <c r="D645" s="286"/>
    </row>
    <row r="646" ht="15.75" customHeight="1">
      <c r="A646" s="286"/>
      <c r="B646" s="431"/>
      <c r="C646" s="286"/>
      <c r="D646" s="286"/>
    </row>
    <row r="647" ht="15.75" customHeight="1">
      <c r="A647" s="286"/>
      <c r="B647" s="431"/>
      <c r="C647" s="286"/>
      <c r="D647" s="286"/>
    </row>
    <row r="648" ht="15.75" customHeight="1">
      <c r="A648" s="286"/>
      <c r="B648" s="431"/>
      <c r="C648" s="286"/>
      <c r="D648" s="286"/>
    </row>
    <row r="649" ht="15.75" customHeight="1">
      <c r="A649" s="286"/>
      <c r="B649" s="431"/>
      <c r="C649" s="286"/>
      <c r="D649" s="286"/>
    </row>
    <row r="650" ht="15.75" customHeight="1">
      <c r="A650" s="286"/>
      <c r="B650" s="431"/>
      <c r="C650" s="286"/>
      <c r="D650" s="286"/>
    </row>
    <row r="651" ht="15.75" customHeight="1">
      <c r="A651" s="286"/>
      <c r="B651" s="431"/>
      <c r="C651" s="286"/>
      <c r="D651" s="286"/>
    </row>
    <row r="652" ht="15.75" customHeight="1">
      <c r="A652" s="286"/>
      <c r="B652" s="431"/>
      <c r="C652" s="286"/>
      <c r="D652" s="286"/>
    </row>
    <row r="653" ht="15.75" customHeight="1">
      <c r="A653" s="286"/>
      <c r="B653" s="431"/>
      <c r="C653" s="286"/>
      <c r="D653" s="286"/>
    </row>
    <row r="654" ht="15.75" customHeight="1">
      <c r="A654" s="286"/>
      <c r="B654" s="431"/>
      <c r="C654" s="286"/>
      <c r="D654" s="286"/>
    </row>
    <row r="655" ht="15.75" customHeight="1">
      <c r="A655" s="286"/>
      <c r="B655" s="431"/>
      <c r="C655" s="286"/>
      <c r="D655" s="286"/>
    </row>
    <row r="656" ht="15.75" customHeight="1">
      <c r="A656" s="286"/>
      <c r="B656" s="431"/>
      <c r="C656" s="286"/>
      <c r="D656" s="286"/>
    </row>
    <row r="657" ht="15.75" customHeight="1">
      <c r="A657" s="286"/>
      <c r="B657" s="431"/>
      <c r="C657" s="286"/>
      <c r="D657" s="286"/>
    </row>
    <row r="658" ht="15.75" customHeight="1">
      <c r="A658" s="286"/>
      <c r="B658" s="431"/>
      <c r="C658" s="286"/>
      <c r="D658" s="286"/>
    </row>
    <row r="659" ht="15.75" customHeight="1">
      <c r="A659" s="286"/>
      <c r="B659" s="431"/>
      <c r="C659" s="286"/>
      <c r="D659" s="286"/>
    </row>
    <row r="660" ht="15.75" customHeight="1">
      <c r="A660" s="286"/>
      <c r="B660" s="431"/>
      <c r="C660" s="286"/>
      <c r="D660" s="286"/>
    </row>
    <row r="661" ht="15.75" customHeight="1">
      <c r="A661" s="286"/>
      <c r="B661" s="431"/>
      <c r="C661" s="286"/>
      <c r="D661" s="286"/>
    </row>
    <row r="662" ht="15.75" customHeight="1">
      <c r="A662" s="286"/>
      <c r="B662" s="431"/>
      <c r="C662" s="286"/>
      <c r="D662" s="286"/>
    </row>
    <row r="663" ht="15.75" customHeight="1">
      <c r="A663" s="286"/>
      <c r="B663" s="431"/>
      <c r="C663" s="286"/>
      <c r="D663" s="286"/>
    </row>
    <row r="664" ht="15.75" customHeight="1">
      <c r="A664" s="286"/>
      <c r="B664" s="431"/>
      <c r="C664" s="286"/>
      <c r="D664" s="286"/>
    </row>
    <row r="665" ht="15.75" customHeight="1">
      <c r="A665" s="286"/>
      <c r="B665" s="431"/>
      <c r="C665" s="286"/>
      <c r="D665" s="286"/>
    </row>
    <row r="666" ht="15.75" customHeight="1">
      <c r="A666" s="286"/>
      <c r="B666" s="431"/>
      <c r="C666" s="286"/>
      <c r="D666" s="286"/>
    </row>
    <row r="667" ht="15.75" customHeight="1">
      <c r="A667" s="286"/>
      <c r="B667" s="431"/>
      <c r="C667" s="286"/>
      <c r="D667" s="286"/>
    </row>
    <row r="668" ht="15.75" customHeight="1">
      <c r="A668" s="286"/>
      <c r="B668" s="431"/>
      <c r="C668" s="286"/>
      <c r="D668" s="286"/>
    </row>
    <row r="669" ht="15.75" customHeight="1">
      <c r="A669" s="286"/>
      <c r="B669" s="431"/>
      <c r="C669" s="286"/>
      <c r="D669" s="286"/>
    </row>
    <row r="670" ht="15.75" customHeight="1">
      <c r="A670" s="286"/>
      <c r="B670" s="431"/>
      <c r="C670" s="286"/>
      <c r="D670" s="286"/>
    </row>
    <row r="671" ht="15.75" customHeight="1">
      <c r="A671" s="286"/>
      <c r="B671" s="431"/>
      <c r="C671" s="286"/>
      <c r="D671" s="286"/>
    </row>
    <row r="672" ht="15.75" customHeight="1">
      <c r="A672" s="286"/>
      <c r="B672" s="431"/>
      <c r="C672" s="286"/>
      <c r="D672" s="286"/>
    </row>
    <row r="673" ht="15.75" customHeight="1">
      <c r="A673" s="286"/>
      <c r="B673" s="431"/>
      <c r="C673" s="286"/>
      <c r="D673" s="286"/>
    </row>
    <row r="674" ht="15.75" customHeight="1">
      <c r="A674" s="286"/>
      <c r="B674" s="431"/>
      <c r="C674" s="286"/>
      <c r="D674" s="286"/>
    </row>
    <row r="675" ht="15.75" customHeight="1">
      <c r="A675" s="286"/>
      <c r="B675" s="431"/>
      <c r="C675" s="286"/>
      <c r="D675" s="286"/>
    </row>
    <row r="676" ht="15.75" customHeight="1">
      <c r="A676" s="286"/>
      <c r="B676" s="431"/>
      <c r="C676" s="286"/>
      <c r="D676" s="286"/>
    </row>
    <row r="677" ht="15.75" customHeight="1">
      <c r="A677" s="286"/>
      <c r="B677" s="431"/>
      <c r="C677" s="286"/>
      <c r="D677" s="286"/>
    </row>
    <row r="678" ht="15.75" customHeight="1">
      <c r="A678" s="286"/>
      <c r="B678" s="431"/>
      <c r="C678" s="286"/>
      <c r="D678" s="286"/>
    </row>
    <row r="679" ht="15.75" customHeight="1">
      <c r="A679" s="286"/>
      <c r="B679" s="431"/>
      <c r="C679" s="286"/>
      <c r="D679" s="286"/>
    </row>
    <row r="680" ht="15.75" customHeight="1">
      <c r="A680" s="286"/>
      <c r="B680" s="431"/>
      <c r="C680" s="286"/>
      <c r="D680" s="286"/>
    </row>
    <row r="681" ht="15.75" customHeight="1">
      <c r="A681" s="286"/>
      <c r="B681" s="431"/>
      <c r="C681" s="286"/>
      <c r="D681" s="286"/>
    </row>
    <row r="682" ht="15.75" customHeight="1">
      <c r="A682" s="286"/>
      <c r="B682" s="431"/>
      <c r="C682" s="286"/>
      <c r="D682" s="286"/>
    </row>
    <row r="683" ht="15.75" customHeight="1">
      <c r="A683" s="286"/>
      <c r="B683" s="431"/>
      <c r="C683" s="286"/>
      <c r="D683" s="286"/>
    </row>
    <row r="684" ht="15.75" customHeight="1">
      <c r="A684" s="286"/>
      <c r="B684" s="431"/>
      <c r="C684" s="286"/>
      <c r="D684" s="286"/>
    </row>
    <row r="685" ht="15.75" customHeight="1">
      <c r="A685" s="286"/>
      <c r="B685" s="431"/>
      <c r="C685" s="286"/>
      <c r="D685" s="286"/>
    </row>
    <row r="686" ht="15.75" customHeight="1">
      <c r="A686" s="286"/>
      <c r="B686" s="431"/>
      <c r="C686" s="286"/>
      <c r="D686" s="286"/>
    </row>
    <row r="687" ht="15.75" customHeight="1">
      <c r="A687" s="286"/>
      <c r="B687" s="431"/>
      <c r="C687" s="286"/>
      <c r="D687" s="286"/>
    </row>
    <row r="688" ht="15.75" customHeight="1">
      <c r="A688" s="286"/>
      <c r="B688" s="431"/>
      <c r="C688" s="286"/>
      <c r="D688" s="286"/>
    </row>
    <row r="689" ht="15.75" customHeight="1">
      <c r="A689" s="286"/>
      <c r="B689" s="431"/>
      <c r="C689" s="286"/>
      <c r="D689" s="286"/>
    </row>
    <row r="690" ht="15.75" customHeight="1">
      <c r="A690" s="286"/>
      <c r="B690" s="431"/>
      <c r="C690" s="286"/>
      <c r="D690" s="286"/>
    </row>
    <row r="691" ht="15.75" customHeight="1">
      <c r="A691" s="286"/>
      <c r="B691" s="431"/>
      <c r="C691" s="286"/>
      <c r="D691" s="286"/>
    </row>
    <row r="692" ht="15.75" customHeight="1">
      <c r="A692" s="286"/>
      <c r="B692" s="431"/>
      <c r="C692" s="286"/>
      <c r="D692" s="286"/>
    </row>
    <row r="693" ht="15.75" customHeight="1">
      <c r="A693" s="286"/>
      <c r="B693" s="431"/>
      <c r="C693" s="286"/>
      <c r="D693" s="286"/>
    </row>
    <row r="694" ht="15.75" customHeight="1">
      <c r="A694" s="286"/>
      <c r="B694" s="431"/>
      <c r="C694" s="286"/>
      <c r="D694" s="286"/>
    </row>
    <row r="695" ht="15.75" customHeight="1">
      <c r="A695" s="286"/>
      <c r="B695" s="431"/>
      <c r="C695" s="286"/>
      <c r="D695" s="286"/>
    </row>
    <row r="696" ht="15.75" customHeight="1">
      <c r="A696" s="286"/>
      <c r="B696" s="431"/>
      <c r="C696" s="286"/>
      <c r="D696" s="286"/>
    </row>
    <row r="697" ht="15.75" customHeight="1">
      <c r="A697" s="286"/>
      <c r="B697" s="431"/>
      <c r="C697" s="286"/>
      <c r="D697" s="286"/>
    </row>
    <row r="698" ht="15.75" customHeight="1">
      <c r="A698" s="286"/>
      <c r="B698" s="431"/>
      <c r="C698" s="286"/>
      <c r="D698" s="286"/>
    </row>
    <row r="699" ht="15.75" customHeight="1">
      <c r="A699" s="286"/>
      <c r="B699" s="431"/>
      <c r="C699" s="286"/>
      <c r="D699" s="286"/>
    </row>
    <row r="700" ht="15.75" customHeight="1">
      <c r="A700" s="286"/>
      <c r="B700" s="431"/>
      <c r="C700" s="286"/>
      <c r="D700" s="286"/>
    </row>
    <row r="701" ht="15.75" customHeight="1">
      <c r="A701" s="286"/>
      <c r="B701" s="431"/>
      <c r="C701" s="286"/>
      <c r="D701" s="286"/>
    </row>
    <row r="702" ht="15.75" customHeight="1">
      <c r="A702" s="286"/>
      <c r="B702" s="431"/>
      <c r="C702" s="286"/>
      <c r="D702" s="286"/>
    </row>
    <row r="703" ht="15.75" customHeight="1">
      <c r="A703" s="286"/>
      <c r="B703" s="431"/>
      <c r="C703" s="286"/>
      <c r="D703" s="286"/>
    </row>
    <row r="704" ht="15.75" customHeight="1">
      <c r="A704" s="286"/>
      <c r="B704" s="431"/>
      <c r="C704" s="286"/>
      <c r="D704" s="286"/>
    </row>
    <row r="705" ht="15.75" customHeight="1">
      <c r="A705" s="286"/>
      <c r="B705" s="431"/>
      <c r="C705" s="286"/>
      <c r="D705" s="286"/>
    </row>
    <row r="706" ht="15.75" customHeight="1">
      <c r="A706" s="286"/>
      <c r="B706" s="431"/>
      <c r="C706" s="286"/>
      <c r="D706" s="286"/>
    </row>
    <row r="707" ht="15.75" customHeight="1">
      <c r="A707" s="286"/>
      <c r="B707" s="431"/>
      <c r="C707" s="286"/>
      <c r="D707" s="286"/>
    </row>
    <row r="708" ht="15.75" customHeight="1">
      <c r="A708" s="286"/>
      <c r="B708" s="431"/>
      <c r="C708" s="286"/>
      <c r="D708" s="286"/>
    </row>
    <row r="709" ht="15.75" customHeight="1">
      <c r="A709" s="286"/>
      <c r="B709" s="431"/>
      <c r="C709" s="286"/>
      <c r="D709" s="286"/>
    </row>
    <row r="710" ht="15.75" customHeight="1">
      <c r="A710" s="286"/>
      <c r="B710" s="431"/>
      <c r="C710" s="286"/>
      <c r="D710" s="286"/>
    </row>
    <row r="711" ht="15.75" customHeight="1">
      <c r="A711" s="286"/>
      <c r="B711" s="431"/>
      <c r="C711" s="286"/>
      <c r="D711" s="286"/>
    </row>
    <row r="712" ht="15.75" customHeight="1">
      <c r="A712" s="286"/>
      <c r="B712" s="431"/>
      <c r="C712" s="286"/>
      <c r="D712" s="286"/>
    </row>
    <row r="713" ht="15.75" customHeight="1">
      <c r="A713" s="286"/>
      <c r="B713" s="431"/>
      <c r="C713" s="286"/>
      <c r="D713" s="286"/>
    </row>
    <row r="714" ht="15.75" customHeight="1">
      <c r="A714" s="286"/>
      <c r="B714" s="431"/>
      <c r="C714" s="286"/>
      <c r="D714" s="286"/>
    </row>
    <row r="715" ht="15.75" customHeight="1">
      <c r="A715" s="286"/>
      <c r="B715" s="431"/>
      <c r="C715" s="286"/>
      <c r="D715" s="286"/>
    </row>
    <row r="716" ht="15.75" customHeight="1">
      <c r="A716" s="286"/>
      <c r="B716" s="431"/>
      <c r="C716" s="286"/>
      <c r="D716" s="286"/>
    </row>
    <row r="717" ht="15.75" customHeight="1">
      <c r="A717" s="286"/>
      <c r="B717" s="431"/>
      <c r="C717" s="286"/>
      <c r="D717" s="286"/>
    </row>
    <row r="718" ht="15.75" customHeight="1">
      <c r="A718" s="286"/>
      <c r="B718" s="431"/>
      <c r="C718" s="286"/>
      <c r="D718" s="286"/>
    </row>
    <row r="719" ht="15.75" customHeight="1">
      <c r="A719" s="286"/>
      <c r="B719" s="431"/>
      <c r="C719" s="286"/>
      <c r="D719" s="286"/>
    </row>
    <row r="720" ht="15.75" customHeight="1">
      <c r="A720" s="286"/>
      <c r="B720" s="431"/>
      <c r="C720" s="286"/>
      <c r="D720" s="286"/>
    </row>
    <row r="721" ht="15.75" customHeight="1">
      <c r="A721" s="286"/>
      <c r="B721" s="431"/>
      <c r="C721" s="286"/>
      <c r="D721" s="286"/>
    </row>
    <row r="722" ht="15.75" customHeight="1">
      <c r="A722" s="286"/>
      <c r="B722" s="431"/>
      <c r="C722" s="286"/>
      <c r="D722" s="286"/>
    </row>
    <row r="723" ht="15.75" customHeight="1">
      <c r="A723" s="286"/>
      <c r="B723" s="431"/>
      <c r="C723" s="286"/>
      <c r="D723" s="286"/>
    </row>
    <row r="724" ht="15.75" customHeight="1">
      <c r="A724" s="286"/>
      <c r="B724" s="431"/>
      <c r="C724" s="286"/>
      <c r="D724" s="286"/>
    </row>
    <row r="725" ht="15.75" customHeight="1">
      <c r="A725" s="286"/>
      <c r="B725" s="431"/>
      <c r="C725" s="286"/>
      <c r="D725" s="286"/>
    </row>
    <row r="726" ht="15.75" customHeight="1">
      <c r="A726" s="286"/>
      <c r="B726" s="431"/>
      <c r="C726" s="286"/>
      <c r="D726" s="286"/>
    </row>
    <row r="727" ht="15.75" customHeight="1">
      <c r="A727" s="286"/>
      <c r="B727" s="431"/>
      <c r="C727" s="286"/>
      <c r="D727" s="286"/>
    </row>
    <row r="728" ht="15.75" customHeight="1">
      <c r="A728" s="286"/>
      <c r="B728" s="431"/>
      <c r="C728" s="286"/>
      <c r="D728" s="286"/>
    </row>
    <row r="729" ht="15.75" customHeight="1">
      <c r="A729" s="286"/>
      <c r="B729" s="431"/>
      <c r="C729" s="286"/>
      <c r="D729" s="286"/>
    </row>
    <row r="730" ht="15.75" customHeight="1">
      <c r="A730" s="286"/>
      <c r="B730" s="431"/>
      <c r="C730" s="286"/>
      <c r="D730" s="286"/>
    </row>
    <row r="731" ht="15.75" customHeight="1">
      <c r="A731" s="286"/>
      <c r="B731" s="431"/>
      <c r="C731" s="286"/>
      <c r="D731" s="286"/>
    </row>
    <row r="732" ht="15.75" customHeight="1">
      <c r="A732" s="286"/>
      <c r="B732" s="431"/>
      <c r="C732" s="286"/>
      <c r="D732" s="286"/>
    </row>
    <row r="733" ht="15.75" customHeight="1">
      <c r="A733" s="286"/>
      <c r="B733" s="431"/>
      <c r="C733" s="286"/>
      <c r="D733" s="286"/>
    </row>
    <row r="734" ht="15.75" customHeight="1">
      <c r="A734" s="286"/>
      <c r="B734" s="431"/>
      <c r="C734" s="286"/>
      <c r="D734" s="286"/>
    </row>
    <row r="735" ht="15.75" customHeight="1">
      <c r="A735" s="286"/>
      <c r="B735" s="431"/>
      <c r="C735" s="286"/>
      <c r="D735" s="286"/>
    </row>
    <row r="736" ht="15.75" customHeight="1">
      <c r="A736" s="286"/>
      <c r="B736" s="431"/>
      <c r="C736" s="286"/>
      <c r="D736" s="286"/>
    </row>
    <row r="737" ht="15.75" customHeight="1">
      <c r="A737" s="286"/>
      <c r="B737" s="431"/>
      <c r="C737" s="286"/>
      <c r="D737" s="286"/>
    </row>
    <row r="738" ht="15.75" customHeight="1">
      <c r="A738" s="286"/>
      <c r="B738" s="431"/>
      <c r="C738" s="286"/>
      <c r="D738" s="286"/>
    </row>
    <row r="739" ht="15.75" customHeight="1">
      <c r="A739" s="286"/>
      <c r="B739" s="431"/>
      <c r="C739" s="286"/>
      <c r="D739" s="286"/>
    </row>
    <row r="740" ht="15.75" customHeight="1">
      <c r="A740" s="286"/>
      <c r="B740" s="431"/>
      <c r="C740" s="286"/>
      <c r="D740" s="286"/>
    </row>
    <row r="741" ht="15.75" customHeight="1">
      <c r="A741" s="286"/>
      <c r="B741" s="431"/>
      <c r="C741" s="286"/>
      <c r="D741" s="286"/>
    </row>
    <row r="742" ht="15.75" customHeight="1">
      <c r="A742" s="286"/>
      <c r="B742" s="431"/>
      <c r="C742" s="286"/>
      <c r="D742" s="286"/>
    </row>
    <row r="743" ht="15.75" customHeight="1">
      <c r="A743" s="286"/>
      <c r="B743" s="431"/>
      <c r="C743" s="286"/>
      <c r="D743" s="286"/>
    </row>
    <row r="744" ht="15.75" customHeight="1">
      <c r="A744" s="286"/>
      <c r="B744" s="431"/>
      <c r="C744" s="286"/>
      <c r="D744" s="286"/>
    </row>
    <row r="745" ht="15.75" customHeight="1">
      <c r="A745" s="286"/>
      <c r="B745" s="431"/>
      <c r="C745" s="286"/>
      <c r="D745" s="286"/>
    </row>
    <row r="746" ht="15.75" customHeight="1">
      <c r="A746" s="286"/>
      <c r="B746" s="431"/>
      <c r="C746" s="286"/>
      <c r="D746" s="286"/>
    </row>
    <row r="747" ht="15.75" customHeight="1">
      <c r="A747" s="286"/>
      <c r="B747" s="431"/>
      <c r="C747" s="286"/>
      <c r="D747" s="286"/>
    </row>
    <row r="748" ht="15.75" customHeight="1">
      <c r="A748" s="286"/>
      <c r="B748" s="431"/>
      <c r="C748" s="286"/>
      <c r="D748" s="286"/>
    </row>
    <row r="749" ht="15.75" customHeight="1">
      <c r="A749" s="286"/>
      <c r="B749" s="431"/>
      <c r="C749" s="286"/>
      <c r="D749" s="286"/>
    </row>
    <row r="750" ht="15.75" customHeight="1">
      <c r="A750" s="286"/>
      <c r="B750" s="431"/>
      <c r="C750" s="286"/>
      <c r="D750" s="286"/>
    </row>
    <row r="751" ht="15.75" customHeight="1">
      <c r="A751" s="286"/>
      <c r="B751" s="431"/>
      <c r="C751" s="286"/>
      <c r="D751" s="286"/>
    </row>
    <row r="752" ht="15.75" customHeight="1">
      <c r="A752" s="286"/>
      <c r="B752" s="431"/>
      <c r="C752" s="286"/>
      <c r="D752" s="286"/>
    </row>
    <row r="753" ht="15.75" customHeight="1">
      <c r="A753" s="286"/>
      <c r="B753" s="431"/>
      <c r="C753" s="286"/>
      <c r="D753" s="286"/>
    </row>
    <row r="754" ht="15.75" customHeight="1">
      <c r="A754" s="286"/>
      <c r="B754" s="431"/>
      <c r="C754" s="286"/>
      <c r="D754" s="286"/>
    </row>
    <row r="755" ht="15.75" customHeight="1">
      <c r="A755" s="286"/>
      <c r="B755" s="431"/>
      <c r="C755" s="286"/>
      <c r="D755" s="286"/>
    </row>
    <row r="756" ht="15.75" customHeight="1">
      <c r="A756" s="286"/>
      <c r="B756" s="431"/>
      <c r="C756" s="286"/>
      <c r="D756" s="286"/>
    </row>
    <row r="757" ht="15.75" customHeight="1">
      <c r="A757" s="286"/>
      <c r="B757" s="431"/>
      <c r="C757" s="286"/>
      <c r="D757" s="286"/>
    </row>
    <row r="758" ht="15.75" customHeight="1">
      <c r="A758" s="286"/>
      <c r="B758" s="431"/>
      <c r="C758" s="286"/>
      <c r="D758" s="286"/>
    </row>
    <row r="759" ht="15.75" customHeight="1">
      <c r="A759" s="286"/>
      <c r="B759" s="431"/>
      <c r="C759" s="286"/>
      <c r="D759" s="286"/>
    </row>
    <row r="760" ht="15.75" customHeight="1">
      <c r="A760" s="286"/>
      <c r="B760" s="431"/>
      <c r="C760" s="286"/>
      <c r="D760" s="286"/>
    </row>
    <row r="761" ht="15.75" customHeight="1">
      <c r="A761" s="286"/>
      <c r="B761" s="431"/>
      <c r="C761" s="286"/>
      <c r="D761" s="286"/>
    </row>
    <row r="762" ht="15.75" customHeight="1">
      <c r="A762" s="286"/>
      <c r="B762" s="431"/>
      <c r="C762" s="286"/>
      <c r="D762" s="286"/>
    </row>
    <row r="763" ht="15.75" customHeight="1">
      <c r="A763" s="286"/>
      <c r="B763" s="431"/>
      <c r="C763" s="286"/>
      <c r="D763" s="286"/>
    </row>
    <row r="764" ht="15.75" customHeight="1">
      <c r="A764" s="286"/>
      <c r="B764" s="431"/>
      <c r="C764" s="286"/>
      <c r="D764" s="286"/>
    </row>
    <row r="765" ht="15.75" customHeight="1">
      <c r="A765" s="286"/>
      <c r="B765" s="431"/>
      <c r="C765" s="286"/>
      <c r="D765" s="286"/>
    </row>
    <row r="766" ht="15.75" customHeight="1">
      <c r="A766" s="286"/>
      <c r="B766" s="431"/>
      <c r="C766" s="286"/>
      <c r="D766" s="286"/>
    </row>
    <row r="767" ht="15.75" customHeight="1">
      <c r="A767" s="286"/>
      <c r="B767" s="431"/>
      <c r="C767" s="286"/>
      <c r="D767" s="286"/>
    </row>
    <row r="768" ht="15.75" customHeight="1">
      <c r="A768" s="286"/>
      <c r="B768" s="431"/>
      <c r="C768" s="286"/>
      <c r="D768" s="286"/>
    </row>
    <row r="769" ht="15.75" customHeight="1">
      <c r="A769" s="286"/>
      <c r="B769" s="431"/>
      <c r="C769" s="286"/>
      <c r="D769" s="286"/>
    </row>
    <row r="770" ht="15.75" customHeight="1">
      <c r="A770" s="286"/>
      <c r="B770" s="431"/>
      <c r="C770" s="286"/>
      <c r="D770" s="286"/>
    </row>
    <row r="771" ht="15.75" customHeight="1">
      <c r="A771" s="286"/>
      <c r="B771" s="431"/>
      <c r="C771" s="286"/>
      <c r="D771" s="286"/>
    </row>
    <row r="772" ht="15.75" customHeight="1">
      <c r="A772" s="286"/>
      <c r="B772" s="431"/>
      <c r="C772" s="286"/>
      <c r="D772" s="286"/>
    </row>
    <row r="773" ht="15.75" customHeight="1">
      <c r="A773" s="286"/>
      <c r="B773" s="431"/>
      <c r="C773" s="286"/>
      <c r="D773" s="286"/>
    </row>
    <row r="774" ht="15.75" customHeight="1">
      <c r="A774" s="286"/>
      <c r="B774" s="431"/>
      <c r="C774" s="286"/>
      <c r="D774" s="286"/>
    </row>
    <row r="775" ht="15.75" customHeight="1">
      <c r="A775" s="286"/>
      <c r="B775" s="431"/>
      <c r="C775" s="286"/>
      <c r="D775" s="286"/>
    </row>
    <row r="776" ht="15.75" customHeight="1">
      <c r="A776" s="286"/>
      <c r="B776" s="431"/>
      <c r="C776" s="286"/>
      <c r="D776" s="286"/>
    </row>
    <row r="777" ht="15.75" customHeight="1">
      <c r="A777" s="286"/>
      <c r="B777" s="431"/>
      <c r="C777" s="286"/>
      <c r="D777" s="286"/>
    </row>
    <row r="778" ht="15.75" customHeight="1">
      <c r="A778" s="286"/>
      <c r="B778" s="431"/>
      <c r="C778" s="286"/>
      <c r="D778" s="286"/>
    </row>
    <row r="779" ht="15.75" customHeight="1">
      <c r="A779" s="286"/>
      <c r="B779" s="431"/>
      <c r="C779" s="286"/>
      <c r="D779" s="286"/>
    </row>
    <row r="780" ht="15.75" customHeight="1">
      <c r="A780" s="286"/>
      <c r="B780" s="431"/>
      <c r="C780" s="286"/>
      <c r="D780" s="286"/>
    </row>
    <row r="781" ht="15.75" customHeight="1">
      <c r="A781" s="286"/>
      <c r="B781" s="431"/>
      <c r="C781" s="286"/>
      <c r="D781" s="286"/>
    </row>
    <row r="782" ht="15.75" customHeight="1">
      <c r="A782" s="286"/>
      <c r="B782" s="431"/>
      <c r="C782" s="286"/>
      <c r="D782" s="286"/>
    </row>
    <row r="783" ht="15.75" customHeight="1">
      <c r="A783" s="286"/>
      <c r="B783" s="431"/>
      <c r="C783" s="286"/>
      <c r="D783" s="286"/>
    </row>
    <row r="784" ht="15.75" customHeight="1">
      <c r="A784" s="286"/>
      <c r="B784" s="431"/>
      <c r="C784" s="286"/>
      <c r="D784" s="286"/>
    </row>
    <row r="785" ht="15.75" customHeight="1">
      <c r="A785" s="286"/>
      <c r="B785" s="431"/>
      <c r="C785" s="286"/>
      <c r="D785" s="286"/>
    </row>
    <row r="786" ht="15.75" customHeight="1">
      <c r="A786" s="286"/>
      <c r="B786" s="431"/>
      <c r="C786" s="286"/>
      <c r="D786" s="286"/>
    </row>
    <row r="787" ht="15.75" customHeight="1">
      <c r="A787" s="286"/>
      <c r="B787" s="431"/>
      <c r="C787" s="286"/>
      <c r="D787" s="286"/>
    </row>
    <row r="788" ht="15.75" customHeight="1">
      <c r="A788" s="286"/>
      <c r="B788" s="431"/>
      <c r="C788" s="286"/>
      <c r="D788" s="286"/>
    </row>
    <row r="789" ht="15.75" customHeight="1">
      <c r="A789" s="286"/>
      <c r="B789" s="431"/>
      <c r="C789" s="286"/>
      <c r="D789" s="286"/>
    </row>
    <row r="790" ht="15.75" customHeight="1">
      <c r="A790" s="286"/>
      <c r="B790" s="431"/>
      <c r="C790" s="286"/>
      <c r="D790" s="286"/>
    </row>
    <row r="791" ht="15.75" customHeight="1">
      <c r="A791" s="286"/>
      <c r="B791" s="431"/>
      <c r="C791" s="286"/>
      <c r="D791" s="286"/>
    </row>
    <row r="792" ht="15.75" customHeight="1">
      <c r="A792" s="286"/>
      <c r="B792" s="431"/>
      <c r="C792" s="286"/>
      <c r="D792" s="286"/>
    </row>
    <row r="793" ht="15.75" customHeight="1">
      <c r="A793" s="286"/>
      <c r="B793" s="431"/>
      <c r="C793" s="286"/>
      <c r="D793" s="286"/>
    </row>
    <row r="794" ht="15.75" customHeight="1">
      <c r="A794" s="286"/>
      <c r="B794" s="431"/>
      <c r="C794" s="286"/>
      <c r="D794" s="286"/>
    </row>
    <row r="795" ht="15.75" customHeight="1">
      <c r="A795" s="286"/>
      <c r="B795" s="431"/>
      <c r="C795" s="286"/>
      <c r="D795" s="286"/>
    </row>
    <row r="796" ht="15.75" customHeight="1">
      <c r="A796" s="286"/>
      <c r="B796" s="431"/>
      <c r="C796" s="286"/>
      <c r="D796" s="286"/>
    </row>
    <row r="797" ht="15.75" customHeight="1">
      <c r="A797" s="286"/>
      <c r="B797" s="431"/>
      <c r="C797" s="286"/>
      <c r="D797" s="286"/>
    </row>
    <row r="798" ht="15.75" customHeight="1">
      <c r="A798" s="286"/>
      <c r="B798" s="431"/>
      <c r="C798" s="286"/>
      <c r="D798" s="286"/>
    </row>
    <row r="799" ht="15.75" customHeight="1">
      <c r="A799" s="286"/>
      <c r="B799" s="431"/>
      <c r="C799" s="286"/>
      <c r="D799" s="286"/>
    </row>
    <row r="800" ht="15.75" customHeight="1">
      <c r="A800" s="286"/>
      <c r="B800" s="431"/>
      <c r="C800" s="286"/>
      <c r="D800" s="286"/>
    </row>
    <row r="801" ht="15.75" customHeight="1">
      <c r="A801" s="286"/>
      <c r="B801" s="431"/>
      <c r="C801" s="286"/>
      <c r="D801" s="286"/>
    </row>
    <row r="802" ht="15.75" customHeight="1">
      <c r="A802" s="286"/>
      <c r="B802" s="431"/>
      <c r="C802" s="286"/>
      <c r="D802" s="286"/>
    </row>
    <row r="803" ht="15.75" customHeight="1">
      <c r="A803" s="286"/>
      <c r="B803" s="431"/>
      <c r="C803" s="286"/>
      <c r="D803" s="286"/>
    </row>
    <row r="804" ht="15.75" customHeight="1">
      <c r="A804" s="286"/>
      <c r="B804" s="431"/>
      <c r="C804" s="286"/>
      <c r="D804" s="286"/>
    </row>
    <row r="805" ht="15.75" customHeight="1">
      <c r="A805" s="286"/>
      <c r="B805" s="431"/>
      <c r="C805" s="286"/>
      <c r="D805" s="286"/>
    </row>
    <row r="806" ht="15.75" customHeight="1">
      <c r="A806" s="286"/>
      <c r="B806" s="431"/>
      <c r="C806" s="286"/>
      <c r="D806" s="286"/>
    </row>
    <row r="807" ht="15.75" customHeight="1">
      <c r="A807" s="286"/>
      <c r="B807" s="431"/>
      <c r="C807" s="286"/>
      <c r="D807" s="286"/>
    </row>
    <row r="808" ht="15.75" customHeight="1">
      <c r="A808" s="286"/>
      <c r="B808" s="431"/>
      <c r="C808" s="286"/>
      <c r="D808" s="286"/>
    </row>
    <row r="809" ht="15.75" customHeight="1">
      <c r="A809" s="286"/>
      <c r="B809" s="431"/>
      <c r="C809" s="286"/>
      <c r="D809" s="286"/>
    </row>
    <row r="810" ht="15.75" customHeight="1">
      <c r="A810" s="286"/>
      <c r="B810" s="431"/>
      <c r="C810" s="286"/>
      <c r="D810" s="286"/>
    </row>
    <row r="811" ht="15.75" customHeight="1">
      <c r="A811" s="286"/>
      <c r="B811" s="431"/>
      <c r="C811" s="286"/>
      <c r="D811" s="286"/>
    </row>
    <row r="812" ht="15.75" customHeight="1">
      <c r="A812" s="286"/>
      <c r="B812" s="431"/>
      <c r="C812" s="286"/>
      <c r="D812" s="286"/>
    </row>
    <row r="813" ht="15.75" customHeight="1">
      <c r="A813" s="286"/>
      <c r="B813" s="431"/>
      <c r="C813" s="286"/>
      <c r="D813" s="286"/>
    </row>
    <row r="814" ht="15.75" customHeight="1">
      <c r="A814" s="286"/>
      <c r="B814" s="431"/>
      <c r="C814" s="286"/>
      <c r="D814" s="286"/>
    </row>
    <row r="815" ht="15.75" customHeight="1">
      <c r="A815" s="286"/>
      <c r="B815" s="431"/>
      <c r="C815" s="286"/>
      <c r="D815" s="286"/>
    </row>
    <row r="816" ht="15.75" customHeight="1">
      <c r="A816" s="286"/>
      <c r="B816" s="431"/>
      <c r="C816" s="286"/>
      <c r="D816" s="286"/>
    </row>
    <row r="817" ht="15.75" customHeight="1">
      <c r="A817" s="286"/>
      <c r="B817" s="431"/>
      <c r="C817" s="286"/>
      <c r="D817" s="286"/>
    </row>
    <row r="818" ht="15.75" customHeight="1">
      <c r="A818" s="286"/>
      <c r="B818" s="431"/>
      <c r="C818" s="286"/>
      <c r="D818" s="286"/>
    </row>
    <row r="819" ht="15.75" customHeight="1">
      <c r="A819" s="286"/>
      <c r="B819" s="431"/>
      <c r="C819" s="286"/>
      <c r="D819" s="286"/>
    </row>
    <row r="820" ht="15.75" customHeight="1">
      <c r="A820" s="286"/>
      <c r="B820" s="431"/>
      <c r="C820" s="286"/>
      <c r="D820" s="286"/>
    </row>
    <row r="821" ht="15.75" customHeight="1">
      <c r="A821" s="286"/>
      <c r="B821" s="431"/>
      <c r="C821" s="286"/>
      <c r="D821" s="286"/>
    </row>
    <row r="822" ht="15.75" customHeight="1">
      <c r="A822" s="286"/>
      <c r="B822" s="431"/>
      <c r="C822" s="286"/>
      <c r="D822" s="286"/>
    </row>
    <row r="823" ht="15.75" customHeight="1">
      <c r="A823" s="286"/>
      <c r="B823" s="431"/>
      <c r="C823" s="286"/>
      <c r="D823" s="286"/>
    </row>
    <row r="824" ht="15.75" customHeight="1">
      <c r="A824" s="286"/>
      <c r="B824" s="431"/>
      <c r="C824" s="286"/>
      <c r="D824" s="286"/>
    </row>
    <row r="825" ht="15.75" customHeight="1">
      <c r="A825" s="286"/>
      <c r="B825" s="431"/>
      <c r="C825" s="286"/>
      <c r="D825" s="286"/>
    </row>
    <row r="826" ht="15.75" customHeight="1">
      <c r="A826" s="286"/>
      <c r="B826" s="431"/>
      <c r="C826" s="286"/>
      <c r="D826" s="286"/>
    </row>
    <row r="827" ht="15.75" customHeight="1">
      <c r="A827" s="286"/>
      <c r="B827" s="431"/>
      <c r="C827" s="286"/>
      <c r="D827" s="286"/>
    </row>
    <row r="828" ht="15.75" customHeight="1">
      <c r="A828" s="286"/>
      <c r="B828" s="431"/>
      <c r="C828" s="286"/>
      <c r="D828" s="286"/>
    </row>
    <row r="829" ht="15.75" customHeight="1">
      <c r="A829" s="286"/>
      <c r="B829" s="431"/>
      <c r="C829" s="286"/>
      <c r="D829" s="286"/>
    </row>
    <row r="830" ht="15.75" customHeight="1">
      <c r="A830" s="286"/>
      <c r="B830" s="431"/>
      <c r="C830" s="286"/>
      <c r="D830" s="286"/>
    </row>
    <row r="831" ht="15.75" customHeight="1">
      <c r="A831" s="286"/>
      <c r="B831" s="431"/>
      <c r="C831" s="286"/>
      <c r="D831" s="286"/>
    </row>
    <row r="832" ht="15.75" customHeight="1">
      <c r="A832" s="286"/>
      <c r="B832" s="431"/>
      <c r="C832" s="286"/>
      <c r="D832" s="286"/>
    </row>
    <row r="833" ht="15.75" customHeight="1">
      <c r="A833" s="286"/>
      <c r="B833" s="431"/>
      <c r="C833" s="286"/>
      <c r="D833" s="286"/>
    </row>
    <row r="834" ht="15.75" customHeight="1">
      <c r="A834" s="286"/>
      <c r="B834" s="431"/>
      <c r="C834" s="286"/>
      <c r="D834" s="286"/>
    </row>
    <row r="835" ht="15.75" customHeight="1">
      <c r="A835" s="286"/>
      <c r="B835" s="431"/>
      <c r="C835" s="286"/>
      <c r="D835" s="286"/>
    </row>
    <row r="836" ht="15.75" customHeight="1">
      <c r="A836" s="286"/>
      <c r="B836" s="431"/>
      <c r="C836" s="286"/>
      <c r="D836" s="286"/>
    </row>
    <row r="837" ht="15.75" customHeight="1">
      <c r="A837" s="286"/>
      <c r="B837" s="431"/>
      <c r="C837" s="286"/>
      <c r="D837" s="286"/>
    </row>
    <row r="838" ht="15.75" customHeight="1">
      <c r="A838" s="286"/>
      <c r="B838" s="431"/>
      <c r="C838" s="286"/>
      <c r="D838" s="286"/>
    </row>
    <row r="839" ht="15.75" customHeight="1">
      <c r="A839" s="286"/>
      <c r="B839" s="431"/>
      <c r="C839" s="286"/>
      <c r="D839" s="286"/>
    </row>
    <row r="840" ht="15.75" customHeight="1">
      <c r="A840" s="286"/>
      <c r="B840" s="431"/>
      <c r="C840" s="286"/>
      <c r="D840" s="286"/>
    </row>
    <row r="841" ht="15.75" customHeight="1">
      <c r="A841" s="286"/>
      <c r="B841" s="431"/>
      <c r="C841" s="286"/>
      <c r="D841" s="286"/>
    </row>
    <row r="842" ht="15.75" customHeight="1">
      <c r="A842" s="286"/>
      <c r="B842" s="431"/>
      <c r="C842" s="286"/>
      <c r="D842" s="286"/>
    </row>
    <row r="843" ht="15.75" customHeight="1">
      <c r="A843" s="286"/>
      <c r="B843" s="431"/>
      <c r="C843" s="286"/>
      <c r="D843" s="286"/>
    </row>
    <row r="844" ht="15.75" customHeight="1">
      <c r="A844" s="286"/>
      <c r="B844" s="431"/>
      <c r="C844" s="286"/>
      <c r="D844" s="286"/>
    </row>
    <row r="845" ht="15.75" customHeight="1">
      <c r="A845" s="286"/>
      <c r="B845" s="431"/>
      <c r="C845" s="286"/>
      <c r="D845" s="286"/>
    </row>
    <row r="846" ht="15.75" customHeight="1">
      <c r="A846" s="286"/>
      <c r="B846" s="431"/>
      <c r="C846" s="286"/>
      <c r="D846" s="286"/>
    </row>
    <row r="847" ht="15.75" customHeight="1">
      <c r="A847" s="286"/>
      <c r="B847" s="431"/>
      <c r="C847" s="286"/>
      <c r="D847" s="286"/>
    </row>
    <row r="848" ht="15.75" customHeight="1">
      <c r="A848" s="286"/>
      <c r="B848" s="431"/>
      <c r="C848" s="286"/>
      <c r="D848" s="286"/>
    </row>
    <row r="849" ht="15.75" customHeight="1">
      <c r="A849" s="286"/>
      <c r="B849" s="431"/>
      <c r="C849" s="286"/>
      <c r="D849" s="286"/>
    </row>
    <row r="850" ht="15.75" customHeight="1">
      <c r="A850" s="286"/>
      <c r="B850" s="431"/>
      <c r="C850" s="286"/>
      <c r="D850" s="286"/>
    </row>
    <row r="851" ht="15.75" customHeight="1">
      <c r="A851" s="286"/>
      <c r="B851" s="431"/>
      <c r="C851" s="286"/>
      <c r="D851" s="286"/>
    </row>
    <row r="852" ht="15.75" customHeight="1">
      <c r="A852" s="286"/>
      <c r="B852" s="431"/>
      <c r="C852" s="286"/>
      <c r="D852" s="286"/>
    </row>
    <row r="853" ht="15.75" customHeight="1">
      <c r="A853" s="286"/>
      <c r="B853" s="431"/>
      <c r="C853" s="286"/>
      <c r="D853" s="286"/>
    </row>
    <row r="854" ht="15.75" customHeight="1">
      <c r="A854" s="286"/>
      <c r="B854" s="431"/>
      <c r="C854" s="286"/>
      <c r="D854" s="286"/>
    </row>
    <row r="855" ht="15.75" customHeight="1">
      <c r="A855" s="286"/>
      <c r="B855" s="431"/>
      <c r="C855" s="286"/>
      <c r="D855" s="286"/>
    </row>
    <row r="856" ht="15.75" customHeight="1">
      <c r="A856" s="286"/>
      <c r="B856" s="431"/>
      <c r="C856" s="286"/>
      <c r="D856" s="286"/>
    </row>
    <row r="857" ht="15.75" customHeight="1">
      <c r="A857" s="286"/>
      <c r="B857" s="431"/>
      <c r="C857" s="286"/>
      <c r="D857" s="286"/>
    </row>
    <row r="858" ht="15.75" customHeight="1">
      <c r="A858" s="286"/>
      <c r="B858" s="431"/>
      <c r="C858" s="286"/>
      <c r="D858" s="286"/>
    </row>
    <row r="859" ht="15.75" customHeight="1">
      <c r="A859" s="286"/>
      <c r="B859" s="431"/>
      <c r="C859" s="286"/>
      <c r="D859" s="286"/>
    </row>
    <row r="860" ht="15.75" customHeight="1">
      <c r="A860" s="286"/>
      <c r="B860" s="431"/>
      <c r="C860" s="286"/>
      <c r="D860" s="286"/>
    </row>
    <row r="861" ht="15.75" customHeight="1">
      <c r="A861" s="286"/>
      <c r="B861" s="431"/>
      <c r="C861" s="286"/>
      <c r="D861" s="286"/>
    </row>
    <row r="862" ht="15.75" customHeight="1">
      <c r="A862" s="286"/>
      <c r="B862" s="431"/>
      <c r="C862" s="286"/>
      <c r="D862" s="286"/>
    </row>
    <row r="863" ht="15.75" customHeight="1">
      <c r="A863" s="286"/>
      <c r="B863" s="431"/>
      <c r="C863" s="286"/>
      <c r="D863" s="286"/>
    </row>
    <row r="864" ht="15.75" customHeight="1">
      <c r="A864" s="286"/>
      <c r="B864" s="431"/>
      <c r="C864" s="286"/>
      <c r="D864" s="286"/>
    </row>
    <row r="865" ht="15.75" customHeight="1">
      <c r="A865" s="286"/>
      <c r="B865" s="431"/>
      <c r="C865" s="286"/>
      <c r="D865" s="286"/>
    </row>
    <row r="866" ht="15.75" customHeight="1">
      <c r="A866" s="286"/>
      <c r="B866" s="431"/>
      <c r="C866" s="286"/>
      <c r="D866" s="286"/>
    </row>
    <row r="867" ht="15.75" customHeight="1">
      <c r="A867" s="286"/>
      <c r="B867" s="431"/>
      <c r="C867" s="286"/>
      <c r="D867" s="286"/>
    </row>
    <row r="868" ht="15.75" customHeight="1">
      <c r="A868" s="286"/>
      <c r="B868" s="431"/>
      <c r="C868" s="286"/>
      <c r="D868" s="286"/>
    </row>
    <row r="869" ht="15.75" customHeight="1">
      <c r="A869" s="286"/>
      <c r="B869" s="431"/>
      <c r="C869" s="286"/>
      <c r="D869" s="286"/>
    </row>
    <row r="870" ht="15.75" customHeight="1">
      <c r="A870" s="286"/>
      <c r="B870" s="431"/>
      <c r="C870" s="286"/>
      <c r="D870" s="286"/>
    </row>
    <row r="871" ht="15.75" customHeight="1">
      <c r="A871" s="286"/>
      <c r="B871" s="431"/>
      <c r="C871" s="286"/>
      <c r="D871" s="286"/>
    </row>
    <row r="872" ht="15.75" customHeight="1">
      <c r="A872" s="286"/>
      <c r="B872" s="431"/>
      <c r="C872" s="286"/>
      <c r="D872" s="286"/>
    </row>
    <row r="873" ht="15.75" customHeight="1">
      <c r="A873" s="286"/>
      <c r="B873" s="431"/>
      <c r="C873" s="286"/>
      <c r="D873" s="286"/>
    </row>
    <row r="874" ht="15.75" customHeight="1">
      <c r="A874" s="286"/>
      <c r="B874" s="431"/>
      <c r="C874" s="286"/>
      <c r="D874" s="286"/>
    </row>
    <row r="875" ht="15.75" customHeight="1">
      <c r="A875" s="286"/>
      <c r="B875" s="431"/>
      <c r="C875" s="286"/>
      <c r="D875" s="286"/>
    </row>
    <row r="876" ht="15.75" customHeight="1">
      <c r="A876" s="286"/>
      <c r="B876" s="431"/>
      <c r="C876" s="286"/>
      <c r="D876" s="286"/>
    </row>
    <row r="877" ht="15.75" customHeight="1">
      <c r="A877" s="286"/>
      <c r="B877" s="431"/>
      <c r="C877" s="286"/>
      <c r="D877" s="286"/>
    </row>
    <row r="878" ht="15.75" customHeight="1">
      <c r="A878" s="286"/>
      <c r="B878" s="431"/>
      <c r="C878" s="286"/>
      <c r="D878" s="286"/>
    </row>
    <row r="879" ht="15.75" customHeight="1">
      <c r="A879" s="286"/>
      <c r="B879" s="431"/>
      <c r="C879" s="286"/>
      <c r="D879" s="286"/>
    </row>
    <row r="880" ht="15.75" customHeight="1">
      <c r="A880" s="286"/>
      <c r="B880" s="431"/>
      <c r="C880" s="286"/>
      <c r="D880" s="286"/>
    </row>
    <row r="881" ht="15.75" customHeight="1">
      <c r="A881" s="286"/>
      <c r="B881" s="431"/>
      <c r="C881" s="286"/>
      <c r="D881" s="286"/>
    </row>
    <row r="882" ht="15.75" customHeight="1">
      <c r="A882" s="286"/>
      <c r="B882" s="431"/>
      <c r="C882" s="286"/>
      <c r="D882" s="286"/>
    </row>
    <row r="883" ht="15.75" customHeight="1">
      <c r="A883" s="286"/>
      <c r="B883" s="431"/>
      <c r="C883" s="286"/>
      <c r="D883" s="286"/>
    </row>
    <row r="884" ht="15.75" customHeight="1">
      <c r="A884" s="286"/>
      <c r="B884" s="431"/>
      <c r="C884" s="286"/>
      <c r="D884" s="286"/>
    </row>
    <row r="885" ht="15.75" customHeight="1">
      <c r="A885" s="286"/>
      <c r="B885" s="431"/>
      <c r="C885" s="286"/>
      <c r="D885" s="286"/>
    </row>
    <row r="886" ht="15.75" customHeight="1">
      <c r="A886" s="286"/>
      <c r="B886" s="431"/>
      <c r="C886" s="286"/>
      <c r="D886" s="286"/>
    </row>
    <row r="887" ht="15.75" customHeight="1">
      <c r="A887" s="286"/>
      <c r="B887" s="431"/>
      <c r="C887" s="286"/>
      <c r="D887" s="286"/>
    </row>
    <row r="888" ht="15.75" customHeight="1">
      <c r="A888" s="286"/>
      <c r="B888" s="431"/>
      <c r="C888" s="286"/>
      <c r="D888" s="286"/>
    </row>
    <row r="889" ht="15.75" customHeight="1">
      <c r="A889" s="286"/>
      <c r="B889" s="431"/>
      <c r="C889" s="286"/>
      <c r="D889" s="286"/>
    </row>
    <row r="890" ht="15.75" customHeight="1">
      <c r="A890" s="286"/>
      <c r="B890" s="431"/>
      <c r="C890" s="286"/>
      <c r="D890" s="286"/>
    </row>
    <row r="891" ht="15.75" customHeight="1">
      <c r="A891" s="286"/>
      <c r="B891" s="431"/>
      <c r="C891" s="286"/>
      <c r="D891" s="286"/>
    </row>
    <row r="892" ht="15.75" customHeight="1">
      <c r="A892" s="286"/>
      <c r="B892" s="431"/>
      <c r="C892" s="286"/>
      <c r="D892" s="286"/>
    </row>
    <row r="893" ht="15.75" customHeight="1">
      <c r="A893" s="286"/>
      <c r="B893" s="431"/>
      <c r="C893" s="286"/>
      <c r="D893" s="286"/>
    </row>
    <row r="894" ht="15.75" customHeight="1">
      <c r="A894" s="286"/>
      <c r="B894" s="431"/>
      <c r="C894" s="286"/>
      <c r="D894" s="286"/>
    </row>
    <row r="895" ht="15.75" customHeight="1">
      <c r="A895" s="286"/>
      <c r="B895" s="431"/>
      <c r="C895" s="286"/>
      <c r="D895" s="286"/>
    </row>
    <row r="896" ht="15.75" customHeight="1">
      <c r="A896" s="286"/>
      <c r="B896" s="431"/>
      <c r="C896" s="286"/>
      <c r="D896" s="286"/>
    </row>
    <row r="897" ht="15.75" customHeight="1">
      <c r="A897" s="286"/>
      <c r="B897" s="431"/>
      <c r="C897" s="286"/>
      <c r="D897" s="286"/>
    </row>
    <row r="898" ht="15.75" customHeight="1">
      <c r="A898" s="286"/>
      <c r="B898" s="431"/>
      <c r="C898" s="286"/>
      <c r="D898" s="286"/>
    </row>
    <row r="899" ht="15.75" customHeight="1">
      <c r="A899" s="286"/>
      <c r="B899" s="431"/>
      <c r="C899" s="286"/>
      <c r="D899" s="286"/>
    </row>
    <row r="900" ht="15.75" customHeight="1">
      <c r="A900" s="286"/>
      <c r="B900" s="431"/>
      <c r="C900" s="286"/>
      <c r="D900" s="286"/>
    </row>
    <row r="901" ht="15.75" customHeight="1">
      <c r="A901" s="286"/>
      <c r="B901" s="431"/>
      <c r="C901" s="286"/>
      <c r="D901" s="286"/>
    </row>
    <row r="902" ht="15.75" customHeight="1">
      <c r="A902" s="286"/>
      <c r="B902" s="431"/>
      <c r="C902" s="286"/>
      <c r="D902" s="286"/>
    </row>
    <row r="903" ht="15.75" customHeight="1">
      <c r="A903" s="286"/>
      <c r="B903" s="431"/>
      <c r="C903" s="286"/>
      <c r="D903" s="286"/>
    </row>
    <row r="904" ht="15.75" customHeight="1">
      <c r="A904" s="286"/>
      <c r="B904" s="431"/>
      <c r="C904" s="286"/>
      <c r="D904" s="286"/>
    </row>
    <row r="905" ht="15.75" customHeight="1">
      <c r="A905" s="286"/>
      <c r="B905" s="431"/>
      <c r="C905" s="286"/>
      <c r="D905" s="286"/>
    </row>
    <row r="906" ht="15.75" customHeight="1">
      <c r="A906" s="286"/>
      <c r="B906" s="431"/>
      <c r="C906" s="286"/>
      <c r="D906" s="286"/>
    </row>
    <row r="907" ht="15.75" customHeight="1">
      <c r="A907" s="286"/>
      <c r="B907" s="431"/>
      <c r="C907" s="286"/>
      <c r="D907" s="286"/>
    </row>
    <row r="908" ht="15.75" customHeight="1">
      <c r="A908" s="286"/>
      <c r="B908" s="431"/>
      <c r="C908" s="286"/>
      <c r="D908" s="286"/>
    </row>
    <row r="909" ht="15.75" customHeight="1">
      <c r="A909" s="286"/>
      <c r="B909" s="431"/>
      <c r="C909" s="286"/>
      <c r="D909" s="286"/>
    </row>
    <row r="910" ht="15.75" customHeight="1">
      <c r="A910" s="286"/>
      <c r="B910" s="431"/>
      <c r="C910" s="286"/>
      <c r="D910" s="286"/>
    </row>
    <row r="911" ht="15.75" customHeight="1">
      <c r="A911" s="286"/>
      <c r="B911" s="431"/>
      <c r="C911" s="286"/>
      <c r="D911" s="286"/>
    </row>
    <row r="912" ht="15.75" customHeight="1">
      <c r="A912" s="286"/>
      <c r="B912" s="431"/>
      <c r="C912" s="286"/>
      <c r="D912" s="286"/>
    </row>
    <row r="913" ht="15.75" customHeight="1">
      <c r="A913" s="286"/>
      <c r="B913" s="431"/>
      <c r="C913" s="286"/>
      <c r="D913" s="286"/>
    </row>
    <row r="914" ht="15.75" customHeight="1">
      <c r="A914" s="286"/>
      <c r="B914" s="431"/>
      <c r="C914" s="286"/>
      <c r="D914" s="286"/>
    </row>
    <row r="915" ht="15.75" customHeight="1">
      <c r="A915" s="286"/>
      <c r="B915" s="431"/>
      <c r="C915" s="286"/>
      <c r="D915" s="286"/>
    </row>
    <row r="916" ht="15.75" customHeight="1">
      <c r="A916" s="286"/>
      <c r="B916" s="431"/>
      <c r="C916" s="286"/>
      <c r="D916" s="286"/>
    </row>
    <row r="917" ht="15.75" customHeight="1">
      <c r="A917" s="286"/>
      <c r="B917" s="431"/>
      <c r="C917" s="286"/>
      <c r="D917" s="286"/>
    </row>
    <row r="918" ht="15.75" customHeight="1">
      <c r="A918" s="286"/>
      <c r="B918" s="431"/>
      <c r="C918" s="286"/>
      <c r="D918" s="286"/>
    </row>
    <row r="919" ht="15.75" customHeight="1">
      <c r="A919" s="286"/>
      <c r="B919" s="431"/>
      <c r="C919" s="286"/>
      <c r="D919" s="286"/>
    </row>
    <row r="920" ht="15.75" customHeight="1">
      <c r="A920" s="286"/>
      <c r="B920" s="431"/>
      <c r="C920" s="286"/>
      <c r="D920" s="286"/>
    </row>
    <row r="921" ht="15.75" customHeight="1">
      <c r="A921" s="286"/>
      <c r="B921" s="431"/>
      <c r="C921" s="286"/>
      <c r="D921" s="286"/>
    </row>
    <row r="922" ht="15.75" customHeight="1">
      <c r="A922" s="286"/>
      <c r="B922" s="431"/>
      <c r="C922" s="286"/>
      <c r="D922" s="286"/>
    </row>
    <row r="923" ht="15.75" customHeight="1">
      <c r="A923" s="286"/>
      <c r="B923" s="431"/>
      <c r="C923" s="286"/>
      <c r="D923" s="286"/>
    </row>
    <row r="924" ht="15.75" customHeight="1">
      <c r="A924" s="286"/>
      <c r="B924" s="431"/>
      <c r="C924" s="286"/>
      <c r="D924" s="286"/>
    </row>
    <row r="925" ht="15.75" customHeight="1">
      <c r="A925" s="286"/>
      <c r="B925" s="431"/>
      <c r="C925" s="286"/>
      <c r="D925" s="286"/>
    </row>
    <row r="926" ht="15.75" customHeight="1">
      <c r="A926" s="286"/>
      <c r="B926" s="431"/>
      <c r="C926" s="286"/>
      <c r="D926" s="286"/>
    </row>
    <row r="927" ht="15.75" customHeight="1">
      <c r="A927" s="286"/>
      <c r="B927" s="431"/>
      <c r="C927" s="286"/>
      <c r="D927" s="286"/>
    </row>
    <row r="928" ht="15.75" customHeight="1">
      <c r="A928" s="286"/>
      <c r="B928" s="431"/>
      <c r="C928" s="286"/>
      <c r="D928" s="286"/>
    </row>
    <row r="929" ht="15.75" customHeight="1">
      <c r="A929" s="286"/>
      <c r="B929" s="431"/>
      <c r="C929" s="286"/>
      <c r="D929" s="286"/>
    </row>
    <row r="930" ht="15.75" customHeight="1">
      <c r="A930" s="286"/>
      <c r="B930" s="431"/>
      <c r="C930" s="286"/>
      <c r="D930" s="286"/>
    </row>
    <row r="931" ht="15.75" customHeight="1">
      <c r="A931" s="286"/>
      <c r="B931" s="431"/>
      <c r="C931" s="286"/>
      <c r="D931" s="286"/>
    </row>
    <row r="932" ht="15.75" customHeight="1">
      <c r="A932" s="286"/>
      <c r="B932" s="431"/>
      <c r="C932" s="286"/>
      <c r="D932" s="286"/>
    </row>
    <row r="933" ht="15.75" customHeight="1">
      <c r="A933" s="286"/>
      <c r="B933" s="431"/>
      <c r="C933" s="286"/>
      <c r="D933" s="286"/>
    </row>
    <row r="934" ht="15.75" customHeight="1">
      <c r="A934" s="286"/>
      <c r="B934" s="431"/>
      <c r="C934" s="286"/>
      <c r="D934" s="286"/>
    </row>
    <row r="935" ht="15.75" customHeight="1">
      <c r="A935" s="286"/>
      <c r="B935" s="431"/>
      <c r="C935" s="286"/>
      <c r="D935" s="286"/>
    </row>
    <row r="936" ht="15.75" customHeight="1">
      <c r="A936" s="286"/>
      <c r="B936" s="431"/>
      <c r="C936" s="286"/>
      <c r="D936" s="286"/>
    </row>
    <row r="937" ht="15.75" customHeight="1">
      <c r="A937" s="286"/>
      <c r="B937" s="431"/>
      <c r="C937" s="286"/>
      <c r="D937" s="286"/>
    </row>
    <row r="938" ht="15.75" customHeight="1">
      <c r="A938" s="286"/>
      <c r="B938" s="431"/>
      <c r="C938" s="286"/>
      <c r="D938" s="286"/>
    </row>
    <row r="939" ht="15.75" customHeight="1">
      <c r="A939" s="286"/>
      <c r="B939" s="431"/>
      <c r="C939" s="286"/>
      <c r="D939" s="286"/>
    </row>
    <row r="940" ht="15.75" customHeight="1">
      <c r="A940" s="286"/>
      <c r="B940" s="431"/>
      <c r="C940" s="286"/>
      <c r="D940" s="286"/>
    </row>
    <row r="941" ht="15.75" customHeight="1">
      <c r="A941" s="286"/>
      <c r="B941" s="431"/>
      <c r="C941" s="286"/>
      <c r="D941" s="286"/>
    </row>
    <row r="942" ht="15.75" customHeight="1">
      <c r="A942" s="286"/>
      <c r="B942" s="431"/>
      <c r="C942" s="286"/>
      <c r="D942" s="286"/>
    </row>
    <row r="943" ht="15.75" customHeight="1">
      <c r="A943" s="286"/>
      <c r="B943" s="431"/>
      <c r="C943" s="286"/>
      <c r="D943" s="286"/>
    </row>
    <row r="944" ht="15.75" customHeight="1">
      <c r="A944" s="286"/>
      <c r="B944" s="431"/>
      <c r="C944" s="286"/>
      <c r="D944" s="286"/>
    </row>
    <row r="945" ht="15.75" customHeight="1">
      <c r="A945" s="286"/>
      <c r="B945" s="431"/>
      <c r="C945" s="286"/>
      <c r="D945" s="286"/>
    </row>
    <row r="946" ht="15.75" customHeight="1">
      <c r="A946" s="286"/>
      <c r="B946" s="431"/>
      <c r="C946" s="286"/>
      <c r="D946" s="286"/>
    </row>
    <row r="947" ht="15.75" customHeight="1">
      <c r="A947" s="286"/>
      <c r="B947" s="431"/>
      <c r="C947" s="286"/>
      <c r="D947" s="286"/>
    </row>
    <row r="948" ht="15.75" customHeight="1">
      <c r="A948" s="286"/>
      <c r="B948" s="431"/>
      <c r="C948" s="286"/>
      <c r="D948" s="286"/>
    </row>
    <row r="949" ht="15.75" customHeight="1">
      <c r="A949" s="286"/>
      <c r="B949" s="431"/>
      <c r="C949" s="286"/>
      <c r="D949" s="286"/>
    </row>
    <row r="950" ht="15.75" customHeight="1">
      <c r="A950" s="286"/>
      <c r="B950" s="431"/>
      <c r="C950" s="286"/>
      <c r="D950" s="286"/>
    </row>
    <row r="951" ht="15.75" customHeight="1">
      <c r="A951" s="286"/>
      <c r="B951" s="431"/>
      <c r="C951" s="286"/>
      <c r="D951" s="286"/>
    </row>
    <row r="952" ht="15.75" customHeight="1">
      <c r="A952" s="286"/>
      <c r="B952" s="431"/>
      <c r="C952" s="286"/>
      <c r="D952" s="286"/>
    </row>
    <row r="953" ht="15.75" customHeight="1">
      <c r="A953" s="286"/>
      <c r="B953" s="431"/>
      <c r="C953" s="286"/>
      <c r="D953" s="286"/>
    </row>
    <row r="954" ht="15.75" customHeight="1">
      <c r="A954" s="286"/>
      <c r="B954" s="431"/>
      <c r="C954" s="286"/>
      <c r="D954" s="286"/>
    </row>
    <row r="955" ht="15.75" customHeight="1">
      <c r="A955" s="286"/>
      <c r="B955" s="431"/>
      <c r="C955" s="286"/>
      <c r="D955" s="286"/>
    </row>
    <row r="956" ht="15.75" customHeight="1">
      <c r="A956" s="286"/>
      <c r="B956" s="431"/>
      <c r="C956" s="286"/>
      <c r="D956" s="286"/>
    </row>
    <row r="957" ht="15.75" customHeight="1">
      <c r="A957" s="286"/>
      <c r="B957" s="431"/>
      <c r="C957" s="286"/>
      <c r="D957" s="286"/>
    </row>
    <row r="958" ht="15.75" customHeight="1">
      <c r="A958" s="286"/>
      <c r="B958" s="431"/>
      <c r="C958" s="286"/>
      <c r="D958" s="286"/>
    </row>
    <row r="959" ht="15.75" customHeight="1">
      <c r="A959" s="286"/>
      <c r="B959" s="431"/>
      <c r="C959" s="286"/>
      <c r="D959" s="286"/>
    </row>
    <row r="960" ht="15.75" customHeight="1">
      <c r="A960" s="286"/>
      <c r="B960" s="431"/>
      <c r="C960" s="286"/>
      <c r="D960" s="286"/>
    </row>
    <row r="961" ht="15.75" customHeight="1">
      <c r="A961" s="286"/>
      <c r="B961" s="431"/>
      <c r="C961" s="286"/>
      <c r="D961" s="286"/>
    </row>
    <row r="962" ht="15.75" customHeight="1">
      <c r="A962" s="286"/>
      <c r="B962" s="431"/>
      <c r="C962" s="286"/>
      <c r="D962" s="286"/>
    </row>
    <row r="963" ht="15.75" customHeight="1">
      <c r="A963" s="286"/>
      <c r="B963" s="431"/>
      <c r="C963" s="286"/>
      <c r="D963" s="286"/>
    </row>
    <row r="964" ht="15.75" customHeight="1">
      <c r="A964" s="286"/>
      <c r="B964" s="431"/>
      <c r="C964" s="286"/>
      <c r="D964" s="286"/>
    </row>
    <row r="965" ht="15.75" customHeight="1">
      <c r="A965" s="286"/>
      <c r="B965" s="431"/>
      <c r="C965" s="286"/>
      <c r="D965" s="286"/>
    </row>
    <row r="966" ht="15.75" customHeight="1">
      <c r="A966" s="286"/>
      <c r="B966" s="431"/>
      <c r="C966" s="286"/>
      <c r="D966" s="286"/>
    </row>
    <row r="967" ht="15.75" customHeight="1">
      <c r="A967" s="286"/>
      <c r="B967" s="431"/>
      <c r="C967" s="286"/>
      <c r="D967" s="286"/>
    </row>
    <row r="968" ht="15.75" customHeight="1">
      <c r="A968" s="286"/>
      <c r="B968" s="431"/>
      <c r="C968" s="286"/>
      <c r="D968" s="286"/>
    </row>
    <row r="969" ht="15.75" customHeight="1">
      <c r="A969" s="286"/>
      <c r="B969" s="431"/>
      <c r="C969" s="286"/>
      <c r="D969" s="286"/>
    </row>
    <row r="970" ht="15.75" customHeight="1">
      <c r="A970" s="286"/>
      <c r="B970" s="431"/>
      <c r="C970" s="286"/>
      <c r="D970" s="286"/>
    </row>
    <row r="971" ht="15.75" customHeight="1">
      <c r="A971" s="286"/>
      <c r="B971" s="431"/>
      <c r="C971" s="286"/>
      <c r="D971" s="286"/>
    </row>
    <row r="972" ht="15.75" customHeight="1">
      <c r="A972" s="286"/>
      <c r="B972" s="431"/>
      <c r="C972" s="286"/>
      <c r="D972" s="286"/>
    </row>
    <row r="973" ht="15.75" customHeight="1">
      <c r="A973" s="286"/>
      <c r="B973" s="431"/>
      <c r="C973" s="286"/>
      <c r="D973" s="286"/>
    </row>
    <row r="974" ht="15.75" customHeight="1">
      <c r="A974" s="286"/>
      <c r="B974" s="431"/>
      <c r="C974" s="286"/>
      <c r="D974" s="286"/>
    </row>
    <row r="975" ht="15.75" customHeight="1">
      <c r="A975" s="286"/>
      <c r="B975" s="431"/>
      <c r="C975" s="286"/>
      <c r="D975" s="286"/>
    </row>
    <row r="976" ht="15.75" customHeight="1">
      <c r="A976" s="286"/>
      <c r="B976" s="431"/>
      <c r="C976" s="286"/>
      <c r="D976" s="286"/>
    </row>
    <row r="977" ht="15.75" customHeight="1">
      <c r="A977" s="286"/>
      <c r="B977" s="431"/>
      <c r="C977" s="286"/>
      <c r="D977" s="286"/>
    </row>
    <row r="978" ht="15.75" customHeight="1">
      <c r="A978" s="286"/>
      <c r="B978" s="431"/>
      <c r="C978" s="286"/>
      <c r="D978" s="286"/>
    </row>
    <row r="979" ht="15.75" customHeight="1">
      <c r="A979" s="286"/>
      <c r="B979" s="431"/>
      <c r="C979" s="286"/>
      <c r="D979" s="286"/>
    </row>
    <row r="980" ht="15.75" customHeight="1">
      <c r="A980" s="286"/>
      <c r="B980" s="431"/>
      <c r="C980" s="286"/>
      <c r="D980" s="286"/>
    </row>
    <row r="981" ht="15.75" customHeight="1">
      <c r="A981" s="286"/>
      <c r="B981" s="431"/>
      <c r="C981" s="286"/>
      <c r="D981" s="286"/>
    </row>
    <row r="982" ht="15.75" customHeight="1">
      <c r="A982" s="286"/>
      <c r="B982" s="431"/>
      <c r="C982" s="286"/>
      <c r="D982" s="286"/>
    </row>
    <row r="983" ht="15.75" customHeight="1">
      <c r="A983" s="286"/>
      <c r="B983" s="431"/>
      <c r="C983" s="286"/>
      <c r="D983" s="286"/>
    </row>
    <row r="984" ht="15.75" customHeight="1">
      <c r="A984" s="286"/>
      <c r="B984" s="431"/>
      <c r="C984" s="286"/>
      <c r="D984" s="286"/>
    </row>
    <row r="985" ht="15.75" customHeight="1">
      <c r="A985" s="286"/>
      <c r="B985" s="431"/>
      <c r="C985" s="286"/>
      <c r="D985" s="286"/>
    </row>
    <row r="986" ht="15.75" customHeight="1">
      <c r="A986" s="286"/>
      <c r="B986" s="431"/>
      <c r="C986" s="286"/>
      <c r="D986" s="286"/>
    </row>
    <row r="987" ht="15.75" customHeight="1">
      <c r="A987" s="286"/>
      <c r="B987" s="431"/>
      <c r="C987" s="286"/>
      <c r="D987" s="286"/>
    </row>
    <row r="988" ht="15.75" customHeight="1">
      <c r="A988" s="286"/>
      <c r="B988" s="431"/>
      <c r="C988" s="286"/>
      <c r="D988" s="286"/>
    </row>
    <row r="989" ht="15.75" customHeight="1">
      <c r="A989" s="286"/>
      <c r="B989" s="431"/>
      <c r="C989" s="286"/>
      <c r="D989" s="286"/>
    </row>
    <row r="990" ht="15.75" customHeight="1">
      <c r="A990" s="286"/>
      <c r="B990" s="431"/>
      <c r="C990" s="286"/>
      <c r="D990" s="286"/>
    </row>
    <row r="991" ht="15.75" customHeight="1">
      <c r="A991" s="286"/>
      <c r="B991" s="431"/>
      <c r="C991" s="286"/>
      <c r="D991" s="286"/>
    </row>
    <row r="992" ht="15.75" customHeight="1">
      <c r="A992" s="286"/>
      <c r="B992" s="431"/>
      <c r="C992" s="286"/>
      <c r="D992" s="286"/>
    </row>
    <row r="993" ht="15.75" customHeight="1">
      <c r="A993" s="286"/>
      <c r="B993" s="431"/>
      <c r="C993" s="286"/>
      <c r="D993" s="286"/>
    </row>
    <row r="994" ht="15.75" customHeight="1">
      <c r="A994" s="286"/>
      <c r="B994" s="431"/>
      <c r="C994" s="286"/>
      <c r="D994" s="286"/>
    </row>
    <row r="995" ht="15.75" customHeight="1">
      <c r="A995" s="286"/>
      <c r="B995" s="431"/>
      <c r="C995" s="286"/>
      <c r="D995" s="286"/>
    </row>
    <row r="996" ht="15.75" customHeight="1">
      <c r="A996" s="286"/>
      <c r="B996" s="431"/>
      <c r="C996" s="286"/>
      <c r="D996" s="286"/>
    </row>
    <row r="997" ht="15.75" customHeight="1">
      <c r="A997" s="286"/>
      <c r="B997" s="431"/>
      <c r="C997" s="286"/>
      <c r="D997" s="286"/>
    </row>
    <row r="998" ht="15.75" customHeight="1">
      <c r="A998" s="286"/>
      <c r="B998" s="431"/>
      <c r="C998" s="286"/>
      <c r="D998" s="286"/>
    </row>
    <row r="999" ht="15.75" customHeight="1">
      <c r="A999" s="286"/>
      <c r="B999" s="431"/>
      <c r="C999" s="286"/>
      <c r="D999" s="286"/>
    </row>
    <row r="1000" ht="15.75" customHeight="1">
      <c r="A1000" s="286"/>
      <c r="B1000" s="431"/>
      <c r="C1000" s="286"/>
      <c r="D1000" s="286"/>
    </row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16.57"/>
    <col customWidth="1" min="3" max="7" width="8.71"/>
    <col customWidth="1" min="8" max="8" width="43.43"/>
  </cols>
  <sheetData>
    <row r="1">
      <c r="A1" s="432" t="s">
        <v>274</v>
      </c>
    </row>
    <row r="2" ht="30.75" customHeight="1">
      <c r="B2" s="237">
        <v>3.0</v>
      </c>
    </row>
    <row r="3">
      <c r="A3" s="433" t="s">
        <v>275</v>
      </c>
      <c r="B3" s="434" t="s">
        <v>64</v>
      </c>
    </row>
    <row r="4">
      <c r="A4" s="433" t="s">
        <v>266</v>
      </c>
      <c r="B4" s="435">
        <f t="array" ref="B4">IFERROR(XLOOKUP(B3, Employees!A:A, Employees!B:B), 0)</f>
        <v>450000</v>
      </c>
    </row>
    <row r="5">
      <c r="A5" s="433" t="s">
        <v>276</v>
      </c>
      <c r="B5" s="435">
        <f>IF(OR(B2="", B3=""), 0, SUMIFS(Calculations!C:C, Calculations!F:F, B3 &amp; B2))</f>
        <v>0</v>
      </c>
    </row>
    <row r="6">
      <c r="A6" s="433" t="s">
        <v>277</v>
      </c>
      <c r="B6" s="435">
        <f>IF(OR(B2="", B3=""), 0, SUMIFS(Calculations!D:D, Calculations!F:F, B3 &amp; B2))</f>
        <v>0</v>
      </c>
    </row>
    <row r="7">
      <c r="A7" s="433" t="s">
        <v>278</v>
      </c>
      <c r="B7" s="435">
        <f>IF(OR(B2="", B3=""), 0, SUMIFS(Calculations!E:E, Calculations!F:F, B3 &amp; B2))</f>
        <v>0</v>
      </c>
    </row>
    <row r="8">
      <c r="A8" s="433" t="s">
        <v>267</v>
      </c>
      <c r="B8" s="435" t="str">
        <f>IF(OR(B2="", B3=""), 0, SUMIFS(#REF!, Attendance!B:B, B3, Attendance!F:F, B2))</f>
        <v>#N/A</v>
      </c>
    </row>
    <row r="9">
      <c r="A9" s="433" t="s">
        <v>279</v>
      </c>
      <c r="B9" s="435" t="str">
        <f>B4 - B5 + B6 + B7 - B8</f>
        <v>#N/A</v>
      </c>
    </row>
    <row r="10">
      <c r="B10" s="436"/>
    </row>
  </sheetData>
  <dataValidations>
    <dataValidation type="list" allowBlank="1" showDropDown="1" showErrorMessage="1" sqref="B2">
      <formula1>"1,2,3,4,5,6,7,8,9,10,11,12"</formula1>
    </dataValidation>
    <dataValidation type="list" allowBlank="1" showDropDown="1" showErrorMessage="1" sqref="B3">
      <formula1>"حسين سالم,حيدر يافوز,خضر عبد الخالق,علي الباكستاني,حيدر المحاسب,عبدالله هاشم,حيدر محمد"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14" width="17.29"/>
  </cols>
  <sheetData>
    <row r="1" ht="25.5" customHeight="1">
      <c r="A1" s="437" t="s">
        <v>0</v>
      </c>
      <c r="B1" s="438" t="s">
        <v>280</v>
      </c>
      <c r="C1" s="439" t="s">
        <v>3</v>
      </c>
      <c r="D1" s="439" t="s">
        <v>241</v>
      </c>
      <c r="E1" s="439" t="s">
        <v>13</v>
      </c>
      <c r="F1" s="439" t="s">
        <v>281</v>
      </c>
      <c r="G1" s="439" t="s">
        <v>12</v>
      </c>
      <c r="H1" s="439" t="s">
        <v>282</v>
      </c>
      <c r="I1" s="439" t="s">
        <v>6</v>
      </c>
      <c r="J1" s="439" t="s">
        <v>14</v>
      </c>
      <c r="K1" s="440" t="s">
        <v>283</v>
      </c>
      <c r="L1" s="440" t="s">
        <v>284</v>
      </c>
      <c r="M1" s="440" t="s">
        <v>17</v>
      </c>
      <c r="N1" s="439" t="s">
        <v>285</v>
      </c>
    </row>
    <row r="2" ht="22.5" customHeight="1">
      <c r="A2" s="441" t="s">
        <v>81</v>
      </c>
      <c r="B2" s="442">
        <v>46113.0</v>
      </c>
      <c r="C2" s="443">
        <v>550000.0</v>
      </c>
      <c r="D2" s="443">
        <v>0.0</v>
      </c>
      <c r="E2" s="443">
        <v>633000.0</v>
      </c>
      <c r="F2" s="444">
        <v>2648.1481481481387</v>
      </c>
      <c r="G2" s="443">
        <v>150000.0</v>
      </c>
      <c r="H2" s="445">
        <v>34615.38461538462</v>
      </c>
      <c r="I2" s="445">
        <v>0.0</v>
      </c>
      <c r="J2" s="445">
        <v>11067.9012345679</v>
      </c>
      <c r="K2" s="445">
        <v>173812.91547958215</v>
      </c>
      <c r="L2" s="446">
        <f>K2-D2-G2-M2-E2+N2</f>
        <v>-459187.0845</v>
      </c>
      <c r="M2" s="445">
        <v>250000.0</v>
      </c>
      <c r="N2" s="445">
        <v>400000.0</v>
      </c>
    </row>
  </sheetData>
  <drawing r:id="rId1"/>
</worksheet>
</file>