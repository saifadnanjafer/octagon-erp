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Workplan" sheetId="1" state="visible" r:id="rId3"/>
    <sheet name="Budget" sheetId="2" state="visible" r:id="rId4"/>
    <sheet name="Sheet2" sheetId="3" state="hidden"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13" authorId="0">
      <text>
        <r>
          <rPr>
            <sz val="10"/>
            <rFont val="Arial"/>
            <family val="2"/>
          </rPr>
          <t xml:space="preserve">Verify: actual equipment costs against supplier quotes — workshop covers any overage</t>
        </r>
      </text>
    </comment>
    <comment ref="F15" authorId="0">
      <text>
        <r>
          <rPr>
            <sz val="10"/>
            <rFont val="Arial"/>
            <family val="2"/>
          </rPr>
          <t xml:space="preserve">Verify: actual shipping &amp; customs fees</t>
        </r>
      </text>
    </comment>
    <comment ref="F17" authorId="0">
      <text>
        <r>
          <rPr>
            <sz val="10"/>
            <rFont val="Arial"/>
            <family val="2"/>
          </rPr>
          <t xml:space="preserve">Verify: actual infrastructure setup costs</t>
        </r>
      </text>
    </comment>
  </commentList>
</comments>
</file>

<file path=xl/sharedStrings.xml><?xml version="1.0" encoding="utf-8"?>
<sst xmlns="http://schemas.openxmlformats.org/spreadsheetml/2006/main" count="223" uniqueCount="134">
  <si>
    <t xml:space="preserve">Project Workplan — Basrah Circular Manufacturing Lab</t>
  </si>
  <si>
    <t xml:space="preserve">Please complete the table below, ensuring that the implementation period does not exceed 24 months. An example is provided in italics for your reference (please delete this). </t>
  </si>
  <si>
    <t xml:space="preserve">Once you have completed this table, please proceed to the next tab (project budget).</t>
  </si>
  <si>
    <t xml:space="preserve">Project Outputs (add/delete as necessary)</t>
  </si>
  <si>
    <t xml:space="preserve">Indicators</t>
  </si>
  <si>
    <t xml:space="preserve">Activities</t>
  </si>
  <si>
    <t xml:space="preserve">Timeline (Year 1)</t>
  </si>
  <si>
    <t xml:space="preserve">Timeline (Year 2) 
(if applicable)</t>
  </si>
  <si>
    <t xml:space="preserve">Q1</t>
  </si>
  <si>
    <t xml:space="preserve">Q2</t>
  </si>
  <si>
    <t xml:space="preserve">Q3</t>
  </si>
  <si>
    <t xml:space="preserve">Q4</t>
  </si>
  <si>
    <t xml:space="preserve">Note: only include activities to be supported by Youth4Climate here.</t>
  </si>
  <si>
    <t xml:space="preserve">Project Output 1:
Plastic Recycling &amp; Manufacturing Line Established
(Months 1–3)
— Funded by Youth4Climate —</t>
  </si>
  <si>
    <t xml:space="preserve">Baseline: No plastic processing infrastructure currently exists in the workshop or in Basrah at this scale.
Target: Full recycling and production line operational by Month 3 — shredder, extruder/injection system, compression press, large-format 3D printer, design workstation, and UPS all installed, calibrated, and producing at up to 500 kg/month processing capacity.
Means of verification: Equipment purchase receipts and customs documents; photo and video documentation of installation and first production runs; monthly processing logs (kg in / kg processed by method); calibration reports for each machine.</t>
  </si>
  <si>
    <t xml:space="preserve">Activity 1.1. Procurement of recycling &amp; production equipment (shredder, extruder/injection, compression press, large-format 3D printer, design workstation, UPS)</t>
  </si>
  <si>
    <t xml:space="preserve">X</t>
  </si>
  <si>
    <t xml:space="preserve">Activity 1.2. Installation, electrical setup, ventilation, safety systems, and material handling infrastructure</t>
  </si>
  <si>
    <t xml:space="preserve">Activity 1.3. Process calibration, first material grading tests, and first production runs</t>
  </si>
  <si>
    <t xml:space="preserve">Project Output 2:
Youth Team Trained, Products Developed, &amp; Sales Operations Running
(Months 3–24)
— Funded by Workshop (in-kind) —</t>
  </si>
  <si>
    <t xml:space="preserve">Baseline: 0 youth currently employed in plastic recycling or design-led circular manufacturing in Basrah.
Target: Youth team grows from 1 to 6 members over the 24-month period (added every 2 months); minimum 4 product lines (furniture + modular pieces) launched by Month 6; revenue-positive operations by Month 12; workshop fully self-sustaining by Month 18.
Means of verification: Employment contracts and training records; product portfolio and prototype documentation; monthly sales records (B2B and B2C); customer feedback logs; quarterly financial reports.</t>
  </si>
  <si>
    <t xml:space="preserve">Activity 2.1. Recruit and train the youth team incrementally on equipment, digital fabrication, and design</t>
  </si>
  <si>
    <t xml:space="preserve">Activity 2.2. Design and prototype furniture &amp; modular products; refine material grading system</t>
  </si>
  <si>
    <t xml:space="preserve">Activity 2.3. Launch product sales (B2B and B2C); collect feedback; iterate on price and quality</t>
  </si>
  <si>
    <t xml:space="preserve">Project Output 3:
Points-Based Community Collection System Operational
(Months 2–24)
— Funded by Workshop (in-kind) —</t>
  </si>
  <si>
    <t xml:space="preserve">Baseline: No formal plastic collection mechanism in the target Basrah neighborhoods; informal collection is fragmented and unrecognized.
Target: 100+ residents enrolled in the points system by Month 12; 3–5 active collection points across the city; minimum 6 community awareness events; waste collectors integrated into a transparent supply chain.
Means of verification: Resident enrollment records; monthly collection logs by site; signed partnership document with Basrah Municipality; event attendance records; quarterly community feedback summaries.</t>
  </si>
  <si>
    <t xml:space="preserve">Activity 3.1. Establish collection points &amp; partnership protocols with Basrah Municipality</t>
  </si>
  <si>
    <t xml:space="preserve">Activity 3.2. Launch points-based collection system &amp; resident awareness campaign</t>
  </si>
  <si>
    <t xml:space="preserve">Activity 3.3. Conduct community events: school visits, university tours, open workshop days</t>
  </si>
  <si>
    <t xml:space="preserve">Project Output 4:
Public Design-Led Showroom Operational
(Months 7–24)
— Funded by Workshop (in-kind) —</t>
  </si>
  <si>
    <t xml:space="preserve">Baseline: No public-facing space exists in Basrah to showcase recycled-plastic furniture or design-led circular products.
Target: Showroom opens publicly by Month 9; minimum 50 visitors in opening month; minimum 10 product lines on display; direct sales channel becomes a primary revenue stream by Month 12; integration of live production demonstrations and educational tours.
Means of verification: Opening-event documentation; visitor logs and footfall counts; direct sales receipts from showroom; customer testimonials; photo/video documentation; press coverage.</t>
  </si>
  <si>
    <t xml:space="preserve">Activity 4.1. Renovate and prepare physical space for showroom (interior, lighting, displays)</t>
  </si>
  <si>
    <t xml:space="preserve">Activity 4.2. Install product displays; populate first product lines; run soft launch</t>
  </si>
  <si>
    <t xml:space="preserve">Activity 4.3. Public opening event; ongoing operations and direct sales</t>
  </si>
  <si>
    <t xml:space="preserve">Project Budget (USD) — Basrah Circular Manufacturing Lab</t>
  </si>
  <si>
    <t xml:space="preserve">Important Note: The implementation period cannot exceed 24 months - the budget timeline can be adjusted based on the actual implementation timeline. The budget must be provided in US Dollars. </t>
  </si>
  <si>
    <t xml:space="preserve">Proposals with budgets in other currencies or exceeding the maximum of USD 30,000 (for the portion requested from Youth4Climate) will be disqualified.</t>
  </si>
  <si>
    <t xml:space="preserve">If other sources of funding are referenced in the budget, please make sure it is clear which part of the budget would be covered by Youth4Climate and which part would be covered through co-financing. </t>
  </si>
  <si>
    <t xml:space="preserve">You may be asked to provide evidence of any sources of co-funding referenced in your budget or proposal.</t>
  </si>
  <si>
    <t xml:space="preserve">The proposed budget cannot be changed following submissions. All possible costs should be considered as part of the submitted budget, such as taxes and customs fees.</t>
  </si>
  <si>
    <t xml:space="preserve">Outputs*</t>
  </si>
  <si>
    <t xml:space="preserve">Description**</t>
  </si>
  <si>
    <t xml:space="preserve">Cost per unit</t>
  </si>
  <si>
    <t xml:space="preserve">total number of units</t>
  </si>
  <si>
    <t xml:space="preserve">Q1 (Year 1)</t>
  </si>
  <si>
    <t xml:space="preserve">Q1 (Year 2)</t>
  </si>
  <si>
    <t xml:space="preserve">Total (USD)</t>
  </si>
  <si>
    <t xml:space="preserve">Comments - please add any necessary clarification (e.g. travel to-from etc.) For equipment please provide as exact a description for each type of item to be purchased.</t>
  </si>
  <si>
    <t xml:space="preserve">OUTPUT 1
Recycling &amp; Manufacturing Line — Equipment &amp; Shipping
(Months 1–3)
FUNDED BY Y4C</t>
  </si>
  <si>
    <t xml:space="preserve">Project-related travel</t>
  </si>
  <si>
    <t xml:space="preserve">Contractual Services</t>
  </si>
  <si>
    <t xml:space="preserve">Staff salaries</t>
  </si>
  <si>
    <t xml:space="preserve">Communications &amp; Knowledge Management</t>
  </si>
  <si>
    <t xml:space="preserve">Equipment</t>
  </si>
  <si>
    <t xml:space="preserve">Six core equipment items (all delivered &amp; installed in Q1):
• Industrial plastic shredder ($3,500)
• Plastic extruder + injection moulding system ($5,500)
• Compression press for sheet/panel production ($4,000)
• Large-format 3D printer for furniture-scale recycled-plastic printing ($8,500)
• Design workstation: high-spec PC + GPU + monitors + dedicated PSU ($4,000)
• UPS / power conditioning system for the large-format 3D printer ($1,500)
Average ~$4,500 per item × 6 = $27,000. All core to the recycling-to-product pipeline.</t>
  </si>
  <si>
    <t xml:space="preserve">Local Transportation</t>
  </si>
  <si>
    <t xml:space="preserve">Shipping Costs</t>
  </si>
  <si>
    <t xml:space="preserve">International freight, customs clearance, and last-mile delivery for imported recycling and production equipment. All items shipped in Q1 setup phase.</t>
  </si>
  <si>
    <t xml:space="preserve">Rental costs</t>
  </si>
  <si>
    <t xml:space="preserve">Other: Infrastructure Setup (electrical, ventilation, safety, racks)</t>
  </si>
  <si>
    <t xml:space="preserve">One-time infrastructure investment during equipment installation:
• 3-phase industrial electrical wiring upgrade
• Industrial ventilation system (fume capture for extrusion/processing)
• Fire-safety equipment (extinguishers, alarms)
• Material handling racks and sorting station
• Personal Protective Equipment (PPE) for the team</t>
  </si>
  <si>
    <t xml:space="preserve">TOTALS OUTPUT 1</t>
  </si>
  <si>
    <t xml:space="preserve">OUTPUT 2
Recycling Line — Infrastructure &amp; Spare Parts
(Months 1–24)
FUNDED BY Y4C</t>
  </si>
  <si>
    <t xml:space="preserve">Other: Spare Parts &amp; Consumables (for equipment maintenance over 24 months)</t>
  </si>
  <si>
    <t xml:space="preserve">Spare parts and consumables for installed equipment over the 24-month operations period:
• Shredder blades and screens (replacement set)
• 3D printer nozzles and extrusion components
• Injection moulding consumables
• Filters for ventilation/water-capture system
• Lubricants and basic maintenance supplies
Note: Most major parts can be fabricated in-house using existing CNC/laser/3D-printing capability — this $500 covers consumables only.</t>
  </si>
  <si>
    <t xml:space="preserve">TOTALS OUTPUT 2</t>
  </si>
  <si>
    <t xml:space="preserve">Y4C GRAND TOTAL (USD)</t>
  </si>
  <si>
    <t xml:space="preserve">*Please add Outputs as appropriate in line with your proposal</t>
  </si>
  <si>
    <t xml:space="preserve">** Please use , modify or add fields as appropriate, if field is not needed, please delete. Note that the following types of expenditures will not be considered eligible:</t>
  </si>
  <si>
    <t xml:space="preserve">Overhead costs not directly related to the implementation of the project; </t>
  </si>
  <si>
    <t xml:space="preserve"> WORKSHOP IN-KIND CO-FINANCING — covering Outputs 2, 3, and 4 (Operations, Community, Showroom)</t>
  </si>
  <si>
    <t xml:space="preserve">Output Coverage</t>
  </si>
  <si>
    <t xml:space="preserve">In-Kind Item / Description</t>
  </si>
  <si>
    <t xml:space="preserve">Cost per month</t>
  </si>
  <si>
    <t xml:space="preserve"># of months</t>
  </si>
  <si>
    <t xml:space="preserve">Comments / Source of Funds</t>
  </si>
  <si>
    <t xml:space="preserve">Output 2,3,4</t>
  </si>
  <si>
    <t xml:space="preserve">Workshop rent (existing 11-year-old engineering workshop space)</t>
  </si>
  <si>
    <t xml:space="preserve">$500/month × 24 months. Workshop covers existing space lease.</t>
  </si>
  <si>
    <t xml:space="preserve">Utilities — electricity, water, internet</t>
  </si>
  <si>
    <t xml:space="preserve">Industrial 3-phase electricity ($250/mo) + water + internet + miscellaneous utilities ($150/mo) = $400/month × 24 months.</t>
  </si>
  <si>
    <t xml:space="preserve">Marketing, communications, social media, signage</t>
  </si>
  <si>
    <t xml:space="preserve">Continuous marketing investment: social media production (Instagram/TikTok/Facebook), signage at collection points, photography/video, school-visit materials, paid promotion. $1,000/month × 24 months.</t>
  </si>
  <si>
    <t xml:space="preserve">Output 2,4</t>
  </si>
  <si>
    <t xml:space="preserve">Software subscriptions, online training, design tool licenses</t>
  </si>
  <si>
    <t xml:space="preserve">CAD software licenses, design tool subscriptions, online courses for the youth team (Coursera/Udemy/specialized fabrication courses), specialized AI tools for design and production planning. $250/month × 24 months.</t>
  </si>
  <si>
    <t xml:space="preserve">Output 2</t>
  </si>
  <si>
    <t xml:space="preserve">Molds &amp; additional production tooling (custom moulds, jigs, dies)</t>
  </si>
  <si>
    <t xml:space="preserve">Custom moulds, jigs, dies, and additional production tooling required as product lines diversify. Begins month 3 when production starts. $1,000/month × 22 months.</t>
  </si>
  <si>
    <t xml:space="preserve">Youth team salaries (growing: +1 every 2 months, cap at 6)</t>
  </si>
  <si>
    <t xml:space="preserve">avg ~5</t>
  </si>
  <si>
    <t xml:space="preserve">Youth team salaries at $450/person/month. Hiring grows by 1 person every 2 months, capped at 6. Q1: 4 person-months ($1,800), Q2: 8 PM ($3,600), Q3: 12 PM ($5,400), Q4: 16 PM ($7,200), Y2 stable: 18 PM/quarter ($8,100 each). Total: $51,300.</t>
  </si>
  <si>
    <t xml:space="preserve">Senior partner stipends — transport &amp; food only (Saif + Abdul Rahman)</t>
  </si>
  <si>
    <t xml:space="preserve">Modest stipend covering transport and food only — $200/month per senior partner × 2 partners × 24 months. Saif and Abdul Rahman commit their time as project leadership without taking full salaries.</t>
  </si>
  <si>
    <t xml:space="preserve">Output 3</t>
  </si>
  <si>
    <t xml:space="preserve">Local transportation — plastic collection logistics</t>
  </si>
  <si>
    <t xml:space="preserve">Pickups from collection points across Basrah, deliveries from waste collectors, finished-product deliveries to early customers. $200/month × 24 months.</t>
  </si>
  <si>
    <t xml:space="preserve">Output 4</t>
  </si>
  <si>
    <t xml:space="preserve">Public showroom — setup + ongoing operations (rent, electricity, staff, displays)</t>
  </si>
  <si>
    <t xml:space="preserve">Public showroom opens Month 7-9 (Q3 Y1). One-time setup ($5,000): renovation, displays, lighting, opening event. Ongoing operations ($2,500/month): showroom-specific rent, additional electricity, showroom attendant staff, ongoing display refresh, marketing for showroom. Total: $50,000.</t>
  </si>
  <si>
    <t xml:space="preserve">TOTAL WORKSHOP IN-KIND CO-FINANCING</t>
  </si>
  <si>
    <t xml:space="preserve"> PROJECTED REVENUE — Production sales (60% of monthly output × ~$10/kg average)</t>
  </si>
  <si>
    <t xml:space="preserve">Revenue Stream</t>
  </si>
  <si>
    <t xml:space="preserve">Notes</t>
  </si>
  <si>
    <t xml:space="preserve">Avg $/kg</t>
  </si>
  <si>
    <t xml:space="preserve">% sold</t>
  </si>
  <si>
    <t xml:space="preserve">Q1 (Y1)</t>
  </si>
  <si>
    <t xml:space="preserve">Q1 (Y2)</t>
  </si>
  <si>
    <t xml:space="preserve">Calculation</t>
  </si>
  <si>
    <t xml:space="preserve">Production Sales</t>
  </si>
  <si>
    <t xml:space="preserve">Recycled-plastic furniture &amp; modular products</t>
  </si>
  <si>
    <t xml:space="preserve">60%</t>
  </si>
  <si>
    <t xml:space="preserve">Q1: Production starts month 3 only (500 kg total). Q2-Q4 Y1: ~1,500 kg/quarter. Y2: scaling to ~2,500 kg/quarter. 60% sold @ $10/kg avg. Total Y1+Y2: $90,000.</t>
  </si>
  <si>
    <t xml:space="preserve">Showroom Direct Sales</t>
  </si>
  <si>
    <t xml:space="preserve">Premium-priced finished products (from M7)</t>
  </si>
  <si>
    <t xml:space="preserve">+25%</t>
  </si>
  <si>
    <t xml:space="preserve">on showroom items</t>
  </si>
  <si>
    <t xml:space="preserve">Premium retail pricing on finished products sold directly through the showroom — adds margin on top of base production sales. Starts Month 9 (showroom opening).</t>
  </si>
  <si>
    <t xml:space="preserve">TOTAL PROJECTED REVENUE</t>
  </si>
  <si>
    <t xml:space="preserve"> PROJECT VALUE SUMMARY (24 months)</t>
  </si>
  <si>
    <t xml:space="preserve">Funding Source / Component</t>
  </si>
  <si>
    <t xml:space="preserve">1. Y4C Grant Request</t>
  </si>
  <si>
    <t xml:space="preserve">Fully covers Output 1 (Recycling Line — Equipment, Shipping, Infrastructure, Spare Parts)</t>
  </si>
  <si>
    <t xml:space="preserve">2. Workshop In-Kind Co-Financing</t>
  </si>
  <si>
    <t xml:space="preserve">Workshop covers Outputs 2, 3, 4: rent, utilities, marketing, salaries, molds, showroom, etc.</t>
  </si>
  <si>
    <t xml:space="preserve">3. Projected Self-Generated Revenue (24 months)</t>
  </si>
  <si>
    <t xml:space="preserve">Recovers ~50–60% of operations cost; project becomes self-sustaining by Month 18</t>
  </si>
  <si>
    <t xml:space="preserve">TOTAL PROJECT VALUE / INVESTMENT (24 months)</t>
  </si>
  <si>
    <t xml:space="preserve">Total ecosystem value generated by this $30K Y4C grant</t>
  </si>
  <si>
    <t xml:space="preserve">★  KEY FACT  ★    Every $1 of Y4C funding leverages approximately $6–7 of additional workshop investment + revenue — delivering total project value 6–7× the grant size, plus a self-sustaining business by Month 18.</t>
  </si>
  <si>
    <t xml:space="preserve">Home-based Expertise</t>
  </si>
  <si>
    <t xml:space="preserve">Yes</t>
  </si>
  <si>
    <t xml:space="preserve">Mostly</t>
  </si>
  <si>
    <t xml:space="preserve">No</t>
  </si>
</sst>
</file>

<file path=xl/styles.xml><?xml version="1.0" encoding="utf-8"?>
<styleSheet xmlns="http://schemas.openxmlformats.org/spreadsheetml/2006/main">
  <numFmts count="6">
    <numFmt numFmtId="164" formatCode="General"/>
    <numFmt numFmtId="165" formatCode="_(* #,##0.00_);_(* \(#,##0.00\);_(* \-??_);_(@_)"/>
    <numFmt numFmtId="166" formatCode="@"/>
    <numFmt numFmtId="167" formatCode="#,##0.00_ ;[RED]\-#,##0.00\ "/>
    <numFmt numFmtId="168" formatCode="\$#,##0;&quot;($&quot;#,##0\);\-"/>
    <numFmt numFmtId="169" formatCode="General"/>
  </numFmts>
  <fonts count="28">
    <font>
      <sz val="11"/>
      <color theme="1"/>
      <name val="Calibri"/>
      <family val="2"/>
      <charset val="1"/>
    </font>
    <font>
      <sz val="10"/>
      <name val="Arial"/>
      <family val="0"/>
    </font>
    <font>
      <sz val="10"/>
      <name val="Arial"/>
      <family val="0"/>
    </font>
    <font>
      <sz val="10"/>
      <name val="Arial"/>
      <family val="0"/>
    </font>
    <font>
      <b val="true"/>
      <sz val="10"/>
      <name val="Arial Unicode MS"/>
      <family val="2"/>
      <charset val="1"/>
    </font>
    <font>
      <sz val="11"/>
      <name val="Verdana"/>
      <family val="2"/>
      <charset val="1"/>
    </font>
    <font>
      <sz val="10"/>
      <name val="Arial Unicode MS"/>
      <family val="2"/>
      <charset val="1"/>
    </font>
    <font>
      <sz val="11"/>
      <name val="Arial"/>
      <family val="1"/>
      <charset val="1"/>
    </font>
    <font>
      <b val="true"/>
      <sz val="20"/>
      <color theme="1"/>
      <name val="Calibri"/>
      <family val="2"/>
      <charset val="1"/>
    </font>
    <font>
      <sz val="11"/>
      <name val="Calibri"/>
      <family val="2"/>
      <charset val="1"/>
    </font>
    <font>
      <b val="true"/>
      <sz val="10"/>
      <color rgb="FF2A0F56"/>
      <name val="Open Sans"/>
      <family val="2"/>
      <charset val="1"/>
    </font>
    <font>
      <sz val="11"/>
      <color rgb="FF000000"/>
      <name val="Calibri"/>
      <family val="2"/>
      <charset val="1"/>
    </font>
    <font>
      <b val="true"/>
      <sz val="10"/>
      <color rgb="FF000000"/>
      <name val="Arial"/>
      <family val="0"/>
      <charset val="1"/>
    </font>
    <font>
      <sz val="10"/>
      <color rgb="FF000000"/>
      <name val="Arial"/>
      <family val="0"/>
      <charset val="1"/>
    </font>
    <font>
      <i val="true"/>
      <sz val="10"/>
      <color rgb="FF000000"/>
      <name val="Open Sans"/>
      <family val="2"/>
      <charset val="1"/>
    </font>
    <font>
      <b val="true"/>
      <sz val="24"/>
      <name val="Calibri"/>
      <family val="2"/>
      <charset val="1"/>
    </font>
    <font>
      <b val="true"/>
      <sz val="14"/>
      <name val="Calibri"/>
      <family val="2"/>
      <charset val="1"/>
    </font>
    <font>
      <b val="true"/>
      <sz val="11"/>
      <name val="Calibri"/>
      <family val="2"/>
      <charset val="1"/>
    </font>
    <font>
      <b val="true"/>
      <sz val="12"/>
      <color rgb="FFFFFFFF"/>
      <name val="Arial"/>
      <family val="0"/>
      <charset val="1"/>
    </font>
    <font>
      <sz val="12"/>
      <color rgb="FF000000"/>
      <name val="Calibri"/>
      <family val="2"/>
      <charset val="1"/>
    </font>
    <font>
      <sz val="12"/>
      <name val="Calibri"/>
      <family val="2"/>
      <charset val="1"/>
    </font>
    <font>
      <sz val="10"/>
      <color rgb="FF0000FF"/>
      <name val="Arial"/>
      <family val="0"/>
      <charset val="1"/>
    </font>
    <font>
      <b val="true"/>
      <sz val="12"/>
      <name val="Calibri"/>
      <family val="2"/>
      <charset val="1"/>
    </font>
    <font>
      <b val="true"/>
      <sz val="11"/>
      <color rgb="FFFFFFFF"/>
      <name val="Arial"/>
      <family val="0"/>
      <charset val="1"/>
    </font>
    <font>
      <i val="true"/>
      <sz val="9"/>
      <color rgb="FF595959"/>
      <name val="Arial"/>
      <family val="0"/>
      <charset val="1"/>
    </font>
    <font>
      <b val="true"/>
      <i val="true"/>
      <sz val="11"/>
      <color rgb="FF000000"/>
      <name val="Arial"/>
      <family val="0"/>
      <charset val="1"/>
    </font>
    <font>
      <sz val="10"/>
      <name val="Arial"/>
      <family val="2"/>
    </font>
    <font>
      <b val="true"/>
      <sz val="11"/>
      <color rgb="FFFFFFFF"/>
      <name val="Calibri"/>
      <family val="2"/>
      <charset val="1"/>
    </font>
  </fonts>
  <fills count="15">
    <fill>
      <patternFill patternType="none"/>
    </fill>
    <fill>
      <patternFill patternType="gray125"/>
    </fill>
    <fill>
      <patternFill patternType="solid">
        <fgColor rgb="FFFFFF00"/>
        <bgColor rgb="FFFFFF00"/>
      </patternFill>
    </fill>
    <fill>
      <patternFill patternType="solid">
        <fgColor rgb="FFBDD7EE"/>
        <bgColor rgb="FFC6E0B4"/>
      </patternFill>
    </fill>
    <fill>
      <patternFill patternType="solid">
        <fgColor rgb="FFC6E0B4"/>
        <bgColor rgb="FFBDD7EE"/>
      </patternFill>
    </fill>
    <fill>
      <patternFill patternType="solid">
        <fgColor rgb="FF1F4E78"/>
        <bgColor rgb="FF203764"/>
      </patternFill>
    </fill>
    <fill>
      <patternFill patternType="solid">
        <fgColor rgb="FFFFF2CC"/>
        <bgColor rgb="FFFCE4D6"/>
      </patternFill>
    </fill>
    <fill>
      <patternFill patternType="solid">
        <fgColor theme="8" tint="0.7999"/>
        <bgColor rgb="FFE2EFDA"/>
      </patternFill>
    </fill>
    <fill>
      <patternFill patternType="solid">
        <fgColor rgb="FF548235"/>
        <bgColor rgb="FF339966"/>
      </patternFill>
    </fill>
    <fill>
      <patternFill patternType="solid">
        <fgColor rgb="FFE2EFDA"/>
        <bgColor rgb="FFDEEBF7"/>
      </patternFill>
    </fill>
    <fill>
      <patternFill patternType="solid">
        <fgColor rgb="FFC00000"/>
        <bgColor rgb="FF800000"/>
      </patternFill>
    </fill>
    <fill>
      <patternFill patternType="solid">
        <fgColor rgb="FFF4B084"/>
        <bgColor rgb="FFFFD966"/>
      </patternFill>
    </fill>
    <fill>
      <patternFill patternType="solid">
        <fgColor rgb="FFFCE4D6"/>
        <bgColor rgb="FFFFF2CC"/>
      </patternFill>
    </fill>
    <fill>
      <patternFill patternType="solid">
        <fgColor rgb="FFFFD966"/>
        <bgColor rgb="FFF4B084"/>
      </patternFill>
    </fill>
    <fill>
      <patternFill patternType="solid">
        <fgColor rgb="FF203764"/>
        <bgColor rgb="FF1F4E78"/>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4"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6"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true" applyAlignment="true" applyProtection="false">
      <alignment horizontal="center" vertical="top" textRotation="0" wrapText="false" indent="0" shrinkToFit="false"/>
      <protection locked="true" hidden="false"/>
    </xf>
    <xf numFmtId="166" fontId="16" fillId="2" borderId="0" xfId="0" applyFont="true" applyBorder="false" applyAlignment="true" applyProtection="false">
      <alignment horizontal="general" vertical="center" textRotation="0" wrapText="false" indent="0" shrinkToFit="false"/>
      <protection locked="true" hidden="false"/>
    </xf>
    <xf numFmtId="164" fontId="17" fillId="0" borderId="3" xfId="0" applyFont="true" applyBorder="true" applyAlignment="true" applyProtection="false">
      <alignment horizontal="general" vertical="center" textRotation="0" wrapText="false" indent="0" shrinkToFit="false"/>
      <protection locked="true" hidden="false"/>
    </xf>
    <xf numFmtId="164" fontId="9" fillId="0" borderId="4" xfId="0" applyFont="true" applyBorder="true" applyAlignment="true" applyProtection="false">
      <alignment horizontal="general" vertical="top" textRotation="0" wrapText="false" indent="0" shrinkToFit="false"/>
      <protection locked="true" hidden="false"/>
    </xf>
    <xf numFmtId="164" fontId="17" fillId="0" borderId="4" xfId="0" applyFont="true" applyBorder="true" applyAlignment="true" applyProtection="false">
      <alignment horizontal="center" vertical="center" textRotation="0" wrapText="false" indent="0" shrinkToFit="false"/>
      <protection locked="true" hidden="false"/>
    </xf>
    <xf numFmtId="166" fontId="18" fillId="5" borderId="5"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8" fillId="5" borderId="6" xfId="0" applyFont="true" applyBorder="true" applyAlignment="true" applyProtection="false">
      <alignment horizontal="center" vertical="center" textRotation="0" wrapText="true" indent="0" shrinkToFit="false"/>
      <protection locked="true" hidden="false"/>
    </xf>
    <xf numFmtId="166" fontId="12" fillId="3" borderId="7" xfId="0" applyFont="true" applyBorder="true" applyAlignment="true" applyProtection="false">
      <alignment horizontal="center" vertical="center" textRotation="0" wrapText="true" indent="0" shrinkToFit="false"/>
      <protection locked="true" hidden="false"/>
    </xf>
    <xf numFmtId="167" fontId="19" fillId="0" borderId="1" xfId="0" applyFont="true" applyBorder="true" applyAlignment="true" applyProtection="false">
      <alignment horizontal="justify" vertical="center" textRotation="0" wrapText="true" indent="0" shrinkToFit="false"/>
      <protection locked="true" hidden="false"/>
    </xf>
    <xf numFmtId="168" fontId="20" fillId="0" borderId="1" xfId="0" applyFont="true" applyBorder="true" applyAlignment="true" applyProtection="false">
      <alignment horizontal="general" vertical="center" textRotation="0" wrapText="false" indent="0" shrinkToFit="false"/>
      <protection locked="true" hidden="false"/>
    </xf>
    <xf numFmtId="164" fontId="9" fillId="0" borderId="6" xfId="0" applyFont="true" applyBorder="true" applyAlignment="true" applyProtection="false">
      <alignment horizontal="left" vertical="top" textRotation="0" wrapText="true" indent="0" shrinkToFit="false"/>
      <protection locked="true" hidden="false"/>
    </xf>
    <xf numFmtId="167" fontId="19" fillId="0" borderId="1" xfId="0" applyFont="true" applyBorder="true" applyAlignment="true" applyProtection="false">
      <alignment horizontal="left" vertical="center" textRotation="0" wrapText="true" indent="0" shrinkToFit="false"/>
      <protection locked="true" hidden="false"/>
    </xf>
    <xf numFmtId="168" fontId="21" fillId="0" borderId="1" xfId="0" applyFont="true" applyBorder="true" applyAlignment="true" applyProtection="false">
      <alignment horizontal="justify" vertical="center" textRotation="0" wrapText="true" indent="0" shrinkToFit="false"/>
      <protection locked="true" hidden="false"/>
    </xf>
    <xf numFmtId="168" fontId="21" fillId="6" borderId="1" xfId="0" applyFont="true" applyBorder="true" applyAlignment="true" applyProtection="false">
      <alignment horizontal="general" vertical="center" textRotation="0" wrapText="false" indent="0" shrinkToFit="false"/>
      <protection locked="true" hidden="false"/>
    </xf>
    <xf numFmtId="164" fontId="21" fillId="0" borderId="6" xfId="0" applyFont="true" applyBorder="true" applyAlignment="true" applyProtection="false">
      <alignment horizontal="left" vertical="top" textRotation="0" wrapText="true" indent="0" shrinkToFit="false"/>
      <protection locked="true" hidden="false"/>
    </xf>
    <xf numFmtId="167" fontId="21" fillId="0" borderId="1" xfId="0" applyFont="true" applyBorder="true" applyAlignment="true" applyProtection="false">
      <alignment horizontal="justify"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7" fontId="20" fillId="0" borderId="1" xfId="0" applyFont="true" applyBorder="true" applyAlignment="true" applyProtection="false">
      <alignment horizontal="general" vertical="center" textRotation="0" wrapText="false" indent="0" shrinkToFit="false"/>
      <protection locked="true" hidden="false"/>
    </xf>
    <xf numFmtId="167" fontId="12" fillId="3" borderId="5" xfId="0" applyFont="true" applyBorder="true" applyAlignment="true" applyProtection="false">
      <alignment horizontal="left" vertical="center" textRotation="0" wrapText="false" indent="0" shrinkToFit="false"/>
      <protection locked="true" hidden="false"/>
    </xf>
    <xf numFmtId="167" fontId="22" fillId="7" borderId="1" xfId="0" applyFont="true" applyBorder="true" applyAlignment="true" applyProtection="false">
      <alignment horizontal="center" vertical="center" textRotation="0" wrapText="false" indent="0" shrinkToFit="false"/>
      <protection locked="true" hidden="false"/>
    </xf>
    <xf numFmtId="168" fontId="12" fillId="3" borderId="1" xfId="0" applyFont="true" applyBorder="true" applyAlignment="true" applyProtection="false">
      <alignment horizontal="right" vertical="center" textRotation="0" wrapText="false" indent="0" shrinkToFit="false"/>
      <protection locked="true" hidden="false"/>
    </xf>
    <xf numFmtId="164" fontId="9" fillId="7" borderId="6" xfId="0" applyFont="true" applyBorder="true" applyAlignment="true" applyProtection="false">
      <alignment horizontal="left" vertical="top" textRotation="0" wrapText="true" indent="0" shrinkToFit="false"/>
      <protection locked="true" hidden="false"/>
    </xf>
    <xf numFmtId="168" fontId="21" fillId="0" borderId="1"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7" fontId="12" fillId="3" borderId="8" xfId="0" applyFont="true" applyBorder="true" applyAlignment="true" applyProtection="false">
      <alignment horizontal="left" vertical="center" textRotation="0" wrapText="false" indent="0" shrinkToFit="false"/>
      <protection locked="true" hidden="false"/>
    </xf>
    <xf numFmtId="167" fontId="22" fillId="7" borderId="9" xfId="0" applyFont="true" applyBorder="true" applyAlignment="true" applyProtection="false">
      <alignment horizontal="center" vertical="center" textRotation="0" wrapText="false" indent="0" shrinkToFit="false"/>
      <protection locked="true" hidden="false"/>
    </xf>
    <xf numFmtId="168" fontId="12" fillId="3" borderId="9" xfId="0" applyFont="true" applyBorder="true" applyAlignment="true" applyProtection="false">
      <alignment horizontal="right" vertical="center" textRotation="0" wrapText="false" indent="0" shrinkToFit="false"/>
      <protection locked="true" hidden="false"/>
    </xf>
    <xf numFmtId="166" fontId="20" fillId="0" borderId="5" xfId="0" applyFont="true" applyBorder="true" applyAlignment="true" applyProtection="false">
      <alignment horizontal="center" vertical="bottom" textRotation="0" wrapText="false" indent="0" shrinkToFit="false"/>
      <protection locked="true" hidden="false"/>
    </xf>
    <xf numFmtId="167" fontId="23" fillId="5" borderId="8" xfId="0" applyFont="true" applyBorder="true" applyAlignment="true" applyProtection="false">
      <alignment horizontal="center" vertical="center" textRotation="0" wrapText="false" indent="0" shrinkToFit="false"/>
      <protection locked="true" hidden="false"/>
    </xf>
    <xf numFmtId="168" fontId="23" fillId="5" borderId="9" xfId="0" applyFont="true" applyBorder="true" applyAlignment="true" applyProtection="false">
      <alignment horizontal="center" vertical="center" textRotation="0" wrapText="false" indent="0" shrinkToFit="false"/>
      <protection locked="true" hidden="false"/>
    </xf>
    <xf numFmtId="166" fontId="9" fillId="2"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left" vertical="top" textRotation="0" wrapText="false" indent="4" shrinkToFit="false"/>
      <protection locked="true" hidden="false"/>
    </xf>
    <xf numFmtId="164" fontId="18" fillId="8" borderId="0" xfId="0" applyFont="true" applyBorder="true" applyAlignment="true" applyProtection="false">
      <alignment horizontal="center" vertical="center" textRotation="0" wrapText="false" indent="0" shrinkToFit="false"/>
      <protection locked="true" hidden="false"/>
    </xf>
    <xf numFmtId="164" fontId="23" fillId="4" borderId="0" xfId="0" applyFont="true" applyBorder="false" applyAlignment="true" applyProtection="false">
      <alignment horizontal="center" vertical="center" textRotation="0" wrapText="true" indent="0" shrinkToFit="false"/>
      <protection locked="true" hidden="false"/>
    </xf>
    <xf numFmtId="164" fontId="13" fillId="9"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left" vertical="top" textRotation="0" wrapText="false" indent="4" shrinkToFit="false"/>
      <protection locked="true" hidden="false"/>
    </xf>
    <xf numFmtId="168" fontId="21" fillId="2" borderId="0" xfId="0" applyFont="true" applyBorder="false" applyAlignment="true" applyProtection="false">
      <alignment horizontal="general" vertical="top" textRotation="0" wrapText="false" indent="0" shrinkToFit="false"/>
      <protection locked="true" hidden="false"/>
    </xf>
    <xf numFmtId="164" fontId="21" fillId="2" borderId="0" xfId="0" applyFont="true" applyBorder="false" applyAlignment="true" applyProtection="false">
      <alignment horizontal="general" vertical="top" textRotation="0" wrapText="false" indent="0" shrinkToFit="false"/>
      <protection locked="true" hidden="false"/>
    </xf>
    <xf numFmtId="168" fontId="21" fillId="2" borderId="0" xfId="0" applyFont="true" applyBorder="false" applyAlignment="true" applyProtection="false">
      <alignment horizontal="right" vertical="center" textRotation="0" wrapText="false" indent="0" shrinkToFit="false"/>
      <protection locked="true" hidden="false"/>
    </xf>
    <xf numFmtId="168" fontId="21" fillId="9" borderId="0" xfId="0" applyFont="true" applyBorder="false" applyAlignment="true" applyProtection="false">
      <alignment horizontal="right" vertical="center" textRotation="0" wrapText="false" indent="0" shrinkToFit="false"/>
      <protection locked="true" hidden="false"/>
    </xf>
    <xf numFmtId="169" fontId="0"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left" vertical="top" textRotation="0" wrapText="true" indent="0" shrinkToFit="false"/>
      <protection locked="true" hidden="false"/>
    </xf>
    <xf numFmtId="164" fontId="13" fillId="9" borderId="0" xfId="0" applyFont="true" applyBorder="false" applyAlignment="true" applyProtection="false">
      <alignment horizontal="left" vertical="top" textRotation="0" wrapText="false" indent="4" shrinkToFit="false"/>
      <protection locked="true" hidden="false"/>
    </xf>
    <xf numFmtId="168" fontId="21" fillId="9" borderId="0" xfId="0" applyFont="true" applyBorder="false" applyAlignment="false" applyProtection="false">
      <alignment horizontal="general" vertical="bottom" textRotation="0" wrapText="false" indent="0" shrinkToFit="false"/>
      <protection locked="true" hidden="false"/>
    </xf>
    <xf numFmtId="164" fontId="21" fillId="9" borderId="0" xfId="0" applyFont="true" applyBorder="false" applyAlignment="false" applyProtection="false">
      <alignment horizontal="general" vertical="bottom" textRotation="0" wrapText="false" indent="0" shrinkToFit="false"/>
      <protection locked="true" hidden="false"/>
    </xf>
    <xf numFmtId="164" fontId="23" fillId="8" borderId="0" xfId="0" applyFont="true" applyBorder="true" applyAlignment="true" applyProtection="false">
      <alignment horizontal="center" vertical="center" textRotation="0" wrapText="false" indent="0" shrinkToFit="false"/>
      <protection locked="true" hidden="false"/>
    </xf>
    <xf numFmtId="169" fontId="23" fillId="8" borderId="0" xfId="0" applyFont="true" applyBorder="false" applyAlignment="true" applyProtection="false">
      <alignment horizontal="center" vertical="center" textRotation="0" wrapText="false" indent="0" shrinkToFit="false"/>
      <protection locked="true" hidden="false"/>
    </xf>
    <xf numFmtId="164" fontId="18" fillId="10" borderId="0" xfId="0" applyFont="true" applyBorder="true" applyAlignment="true" applyProtection="false">
      <alignment horizontal="center" vertical="center" textRotation="0" wrapText="false" indent="0" shrinkToFit="false"/>
      <protection locked="true" hidden="false"/>
    </xf>
    <xf numFmtId="164" fontId="23" fillId="11" borderId="0" xfId="0" applyFont="true" applyBorder="false" applyAlignment="true" applyProtection="false">
      <alignment horizontal="center" vertical="center" textRotation="0" wrapText="true" indent="0" shrinkToFit="false"/>
      <protection locked="true" hidden="false"/>
    </xf>
    <xf numFmtId="164" fontId="13" fillId="12" borderId="0" xfId="0" applyFont="true" applyBorder="false" applyAlignment="false" applyProtection="false">
      <alignment horizontal="general" vertical="bottom" textRotation="0" wrapText="false" indent="0" shrinkToFit="false"/>
      <protection locked="true" hidden="false"/>
    </xf>
    <xf numFmtId="168" fontId="21" fillId="12" borderId="0" xfId="0" applyFont="true" applyBorder="false" applyAlignment="true" applyProtection="false">
      <alignment horizontal="right" vertical="center" textRotation="0" wrapText="fals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4" fontId="0" fillId="12" borderId="0" xfId="0" applyFont="true" applyBorder="false" applyAlignment="true" applyProtection="false">
      <alignment horizontal="left" vertical="top" textRotation="0" wrapText="true" indent="0" shrinkToFit="false"/>
      <protection locked="true" hidden="false"/>
    </xf>
    <xf numFmtId="164" fontId="23" fillId="10" borderId="0" xfId="0" applyFont="true" applyBorder="true" applyAlignment="true" applyProtection="false">
      <alignment horizontal="center" vertical="center" textRotation="0" wrapText="false" indent="0" shrinkToFit="false"/>
      <protection locked="true" hidden="false"/>
    </xf>
    <xf numFmtId="168" fontId="23" fillId="10" borderId="0" xfId="0" applyFont="true" applyBorder="false" applyAlignment="true" applyProtection="false">
      <alignment horizontal="center" vertical="center" textRotation="0" wrapText="false" indent="0" shrinkToFit="false"/>
      <protection locked="true" hidden="false"/>
    </xf>
    <xf numFmtId="164" fontId="18" fillId="13" borderId="0" xfId="0" applyFont="true" applyBorder="true" applyAlignment="true" applyProtection="false">
      <alignment horizontal="center" vertical="center" textRotation="0" wrapText="false" indent="0" shrinkToFit="false"/>
      <protection locked="true" hidden="false"/>
    </xf>
    <xf numFmtId="164" fontId="23" fillId="13" borderId="0" xfId="0" applyFont="true" applyBorder="true" applyAlignment="true" applyProtection="false">
      <alignment horizontal="center" vertical="center" textRotation="0" wrapText="true" indent="0" shrinkToFit="false"/>
      <protection locked="true" hidden="false"/>
    </xf>
    <xf numFmtId="164" fontId="23" fillId="13" borderId="0" xfId="0" applyFont="true" applyBorder="fals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left" vertical="top" textRotation="0" wrapText="true" indent="0" shrinkToFit="false"/>
      <protection locked="true" hidden="false"/>
    </xf>
    <xf numFmtId="168" fontId="12" fillId="6" borderId="0" xfId="0" applyFont="true" applyBorder="false" applyAlignment="true" applyProtection="false">
      <alignment horizontal="right" vertical="center" textRotation="0" wrapText="false" indent="0" shrinkToFit="false"/>
      <protection locked="true" hidden="false"/>
    </xf>
    <xf numFmtId="164" fontId="24" fillId="6" borderId="0" xfId="0" applyFont="true" applyBorder="false" applyAlignment="true" applyProtection="false">
      <alignment horizontal="left" vertical="top" textRotation="0" wrapText="true" indent="0" shrinkToFit="false"/>
      <protection locked="true" hidden="false"/>
    </xf>
    <xf numFmtId="164" fontId="25" fillId="13"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27" fillId="14" borderId="1"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Comma 2 2" xfId="20"/>
    <cellStyle name="Normal 2" xfId="21"/>
    <cellStyle name="Normal 2 2" xfId="22"/>
    <cellStyle name="Normal 4" xfId="23"/>
    <cellStyle name="Normal 5" xfId="24"/>
  </cellStyles>
  <colors>
    <indexedColors>
      <rgbColor rgb="FF000000"/>
      <rgbColor rgb="FFFFFFFF"/>
      <rgbColor rgb="FFC00000"/>
      <rgbColor rgb="FF00FF00"/>
      <rgbColor rgb="FF0000FF"/>
      <rgbColor rgb="FFFFFF00"/>
      <rgbColor rgb="FFFF00FF"/>
      <rgbColor rgb="FF00FFFF"/>
      <rgbColor rgb="FF800000"/>
      <rgbColor rgb="FF008000"/>
      <rgbColor rgb="FF2A0F56"/>
      <rgbColor rgb="FF548235"/>
      <rgbColor rgb="FF800080"/>
      <rgbColor rgb="FF008080"/>
      <rgbColor rgb="FFC6E0B4"/>
      <rgbColor rgb="FF808080"/>
      <rgbColor rgb="FF9999FF"/>
      <rgbColor rgb="FF993366"/>
      <rgbColor rgb="FFFFF2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4B084"/>
      <rgbColor rgb="FFCC99FF"/>
      <rgbColor rgb="FFFFD966"/>
      <rgbColor rgb="FF3366FF"/>
      <rgbColor rgb="FF33CCCC"/>
      <rgbColor rgb="FF99CC00"/>
      <rgbColor rgb="FFFFCC00"/>
      <rgbColor rgb="FFFF9900"/>
      <rgbColor rgb="FFFF6600"/>
      <rgbColor rgb="FF595959"/>
      <rgbColor rgb="FF969696"/>
      <rgbColor rgb="FF203764"/>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N21"/>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P11" activeCellId="0" sqref="P11"/>
    </sheetView>
  </sheetViews>
  <sheetFormatPr defaultColWidth="8.859375" defaultRowHeight="15" zeroHeight="false" outlineLevelRow="0" outlineLevelCol="0"/>
  <cols>
    <col collapsed="false" customWidth="true" hidden="false" outlineLevel="0" max="3" min="3" style="0" width="32"/>
    <col collapsed="false" customWidth="true" hidden="false" outlineLevel="0" max="5" min="4" style="0" width="45"/>
    <col collapsed="false" customWidth="true" hidden="false" outlineLevel="0" max="13" min="6" style="0" width="6.51"/>
  </cols>
  <sheetData>
    <row r="1" customFormat="false" ht="25.5" hidden="false" customHeight="true" outlineLevel="0" collapsed="false">
      <c r="C1" s="1" t="s">
        <v>0</v>
      </c>
      <c r="D1" s="1"/>
      <c r="E1" s="1"/>
      <c r="F1" s="1"/>
      <c r="G1" s="1"/>
      <c r="H1" s="1"/>
      <c r="I1" s="1"/>
    </row>
    <row r="2" customFormat="false" ht="15" hidden="false" customHeight="false" outlineLevel="0" collapsed="false">
      <c r="C2" s="2" t="s">
        <v>1</v>
      </c>
      <c r="D2" s="2"/>
      <c r="E2" s="2"/>
      <c r="F2" s="2"/>
      <c r="G2" s="2"/>
      <c r="H2" s="2"/>
      <c r="I2" s="2"/>
      <c r="J2" s="3"/>
      <c r="K2" s="3"/>
      <c r="L2" s="3"/>
      <c r="M2" s="3"/>
      <c r="N2" s="3"/>
    </row>
    <row r="3" customFormat="false" ht="15" hidden="false" customHeight="false" outlineLevel="0" collapsed="false">
      <c r="C3" s="2" t="s">
        <v>2</v>
      </c>
      <c r="D3" s="4"/>
      <c r="E3" s="4"/>
      <c r="F3" s="4"/>
      <c r="G3" s="2"/>
      <c r="H3" s="2"/>
      <c r="I3" s="2"/>
    </row>
    <row r="4" customFormat="false" ht="15" hidden="false" customHeight="true" outlineLevel="0" collapsed="false">
      <c r="C4" s="5" t="s">
        <v>3</v>
      </c>
      <c r="D4" s="6" t="s">
        <v>4</v>
      </c>
      <c r="E4" s="6" t="s">
        <v>5</v>
      </c>
      <c r="F4" s="6" t="s">
        <v>6</v>
      </c>
      <c r="G4" s="6"/>
      <c r="H4" s="6"/>
      <c r="I4" s="6"/>
      <c r="J4" s="5" t="s">
        <v>7</v>
      </c>
      <c r="K4" s="5"/>
      <c r="L4" s="5"/>
      <c r="M4" s="5"/>
    </row>
    <row r="5" customFormat="false" ht="15" hidden="false" customHeight="false" outlineLevel="0" collapsed="false">
      <c r="C5" s="5"/>
      <c r="D5" s="5"/>
      <c r="E5" s="5"/>
      <c r="F5" s="6"/>
      <c r="G5" s="6"/>
      <c r="H5" s="6"/>
      <c r="I5" s="6"/>
      <c r="J5" s="5"/>
      <c r="K5" s="5"/>
      <c r="L5" s="5"/>
      <c r="M5" s="5"/>
    </row>
    <row r="6" customFormat="false" ht="15" hidden="false" customHeight="false" outlineLevel="0" collapsed="false">
      <c r="C6" s="5"/>
      <c r="D6" s="5"/>
      <c r="E6" s="5"/>
      <c r="F6" s="6"/>
      <c r="G6" s="6"/>
      <c r="H6" s="6"/>
      <c r="I6" s="6"/>
      <c r="J6" s="5"/>
      <c r="K6" s="5"/>
      <c r="L6" s="5"/>
      <c r="M6" s="5"/>
    </row>
    <row r="7" customFormat="false" ht="15" hidden="false" customHeight="false" outlineLevel="0" collapsed="false">
      <c r="C7" s="5"/>
      <c r="D7" s="5"/>
      <c r="E7" s="5"/>
      <c r="F7" s="6" t="s">
        <v>8</v>
      </c>
      <c r="G7" s="6" t="s">
        <v>9</v>
      </c>
      <c r="H7" s="6" t="s">
        <v>10</v>
      </c>
      <c r="I7" s="6" t="s">
        <v>11</v>
      </c>
      <c r="J7" s="6" t="s">
        <v>8</v>
      </c>
      <c r="K7" s="6" t="s">
        <v>9</v>
      </c>
      <c r="L7" s="6" t="s">
        <v>10</v>
      </c>
      <c r="M7" s="6" t="s">
        <v>11</v>
      </c>
    </row>
    <row r="8" customFormat="false" ht="15" hidden="false" customHeight="false" outlineLevel="0" collapsed="false">
      <c r="C8" s="5"/>
      <c r="D8" s="5"/>
      <c r="E8" s="6"/>
      <c r="F8" s="6"/>
      <c r="G8" s="6"/>
      <c r="H8" s="6"/>
      <c r="I8" s="6"/>
      <c r="J8" s="6"/>
      <c r="K8" s="6"/>
      <c r="L8" s="6"/>
      <c r="M8" s="6"/>
    </row>
    <row r="9" customFormat="false" ht="40.5" hidden="false" customHeight="true" outlineLevel="0" collapsed="false">
      <c r="C9" s="5"/>
      <c r="D9" s="5"/>
      <c r="E9" s="7" t="s">
        <v>12</v>
      </c>
      <c r="F9" s="6"/>
      <c r="G9" s="6"/>
      <c r="H9" s="6"/>
      <c r="I9" s="6"/>
      <c r="J9" s="6"/>
      <c r="K9" s="6"/>
      <c r="L9" s="6"/>
      <c r="M9" s="6"/>
    </row>
    <row r="10" customFormat="false" ht="75" hidden="false" customHeight="true" outlineLevel="0" collapsed="false">
      <c r="C10" s="8" t="s">
        <v>13</v>
      </c>
      <c r="D10" s="9" t="s">
        <v>14</v>
      </c>
      <c r="E10" s="10" t="s">
        <v>15</v>
      </c>
      <c r="F10" s="11" t="s">
        <v>16</v>
      </c>
      <c r="G10" s="12"/>
      <c r="H10" s="12"/>
      <c r="I10" s="12"/>
      <c r="J10" s="12"/>
      <c r="K10" s="12"/>
      <c r="L10" s="12"/>
      <c r="M10" s="12"/>
    </row>
    <row r="11" customFormat="false" ht="75" hidden="false" customHeight="true" outlineLevel="0" collapsed="false">
      <c r="C11" s="8"/>
      <c r="D11" s="8"/>
      <c r="E11" s="9" t="s">
        <v>17</v>
      </c>
      <c r="F11" s="13" t="s">
        <v>16</v>
      </c>
      <c r="G11" s="13" t="s">
        <v>16</v>
      </c>
      <c r="H11" s="13" t="s">
        <v>16</v>
      </c>
      <c r="I11" s="14"/>
      <c r="J11" s="14"/>
      <c r="K11" s="14"/>
      <c r="L11" s="14"/>
      <c r="M11" s="14"/>
    </row>
    <row r="12" customFormat="false" ht="75" hidden="false" customHeight="true" outlineLevel="0" collapsed="false">
      <c r="C12" s="8"/>
      <c r="D12" s="8"/>
      <c r="E12" s="9" t="s">
        <v>18</v>
      </c>
      <c r="F12" s="13" t="s">
        <v>16</v>
      </c>
      <c r="G12" s="14"/>
      <c r="H12" s="14"/>
      <c r="I12" s="14"/>
      <c r="J12" s="14"/>
      <c r="K12" s="14"/>
      <c r="L12" s="14"/>
      <c r="M12" s="14"/>
    </row>
    <row r="13" customFormat="false" ht="75" hidden="false" customHeight="true" outlineLevel="0" collapsed="false">
      <c r="C13" s="15" t="s">
        <v>19</v>
      </c>
      <c r="D13" s="9" t="s">
        <v>20</v>
      </c>
      <c r="E13" s="10" t="s">
        <v>21</v>
      </c>
      <c r="F13" s="11" t="s">
        <v>16</v>
      </c>
      <c r="G13" s="11" t="s">
        <v>16</v>
      </c>
      <c r="H13" s="11" t="s">
        <v>16</v>
      </c>
      <c r="I13" s="11" t="s">
        <v>16</v>
      </c>
      <c r="J13" s="11" t="s">
        <v>16</v>
      </c>
      <c r="K13" s="11" t="s">
        <v>16</v>
      </c>
      <c r="L13" s="11" t="s">
        <v>16</v>
      </c>
      <c r="M13" s="11" t="s">
        <v>16</v>
      </c>
    </row>
    <row r="14" customFormat="false" ht="75" hidden="false" customHeight="true" outlineLevel="0" collapsed="false">
      <c r="C14" s="15"/>
      <c r="D14" s="15"/>
      <c r="E14" s="9" t="s">
        <v>22</v>
      </c>
      <c r="F14" s="14"/>
      <c r="G14" s="13" t="s">
        <v>16</v>
      </c>
      <c r="H14" s="13" t="s">
        <v>16</v>
      </c>
      <c r="I14" s="13" t="s">
        <v>16</v>
      </c>
      <c r="J14" s="13" t="s">
        <v>16</v>
      </c>
      <c r="K14" s="13" t="s">
        <v>16</v>
      </c>
      <c r="L14" s="13" t="s">
        <v>16</v>
      </c>
      <c r="M14" s="13" t="s">
        <v>16</v>
      </c>
    </row>
    <row r="15" customFormat="false" ht="75" hidden="false" customHeight="true" outlineLevel="0" collapsed="false">
      <c r="C15" s="15"/>
      <c r="D15" s="15"/>
      <c r="E15" s="9" t="s">
        <v>23</v>
      </c>
      <c r="F15" s="14"/>
      <c r="G15" s="13" t="s">
        <v>16</v>
      </c>
      <c r="H15" s="13" t="s">
        <v>16</v>
      </c>
      <c r="I15" s="13" t="s">
        <v>16</v>
      </c>
      <c r="J15" s="13" t="s">
        <v>16</v>
      </c>
      <c r="K15" s="13" t="s">
        <v>16</v>
      </c>
      <c r="L15" s="13" t="s">
        <v>16</v>
      </c>
      <c r="M15" s="13" t="s">
        <v>16</v>
      </c>
    </row>
    <row r="16" customFormat="false" ht="75" hidden="false" customHeight="true" outlineLevel="0" collapsed="false">
      <c r="C16" s="15" t="s">
        <v>24</v>
      </c>
      <c r="D16" s="9" t="s">
        <v>25</v>
      </c>
      <c r="E16" s="10" t="s">
        <v>26</v>
      </c>
      <c r="F16" s="11" t="s">
        <v>16</v>
      </c>
      <c r="G16" s="11" t="s">
        <v>16</v>
      </c>
      <c r="H16" s="12"/>
      <c r="I16" s="12"/>
      <c r="J16" s="12"/>
      <c r="K16" s="12"/>
      <c r="L16" s="12"/>
      <c r="M16" s="12"/>
    </row>
    <row r="17" customFormat="false" ht="75" hidden="false" customHeight="true" outlineLevel="0" collapsed="false">
      <c r="C17" s="15"/>
      <c r="D17" s="15"/>
      <c r="E17" s="9" t="s">
        <v>27</v>
      </c>
      <c r="F17" s="14"/>
      <c r="G17" s="13" t="s">
        <v>16</v>
      </c>
      <c r="H17" s="13" t="s">
        <v>16</v>
      </c>
      <c r="I17" s="13" t="s">
        <v>16</v>
      </c>
      <c r="J17" s="13" t="s">
        <v>16</v>
      </c>
      <c r="K17" s="13" t="s">
        <v>16</v>
      </c>
      <c r="L17" s="13" t="s">
        <v>16</v>
      </c>
      <c r="M17" s="13" t="s">
        <v>16</v>
      </c>
    </row>
    <row r="18" customFormat="false" ht="75" hidden="false" customHeight="true" outlineLevel="0" collapsed="false">
      <c r="C18" s="15"/>
      <c r="D18" s="15"/>
      <c r="E18" s="9" t="s">
        <v>28</v>
      </c>
      <c r="F18" s="14"/>
      <c r="G18" s="14"/>
      <c r="H18" s="13" t="s">
        <v>16</v>
      </c>
      <c r="I18" s="13" t="s">
        <v>16</v>
      </c>
      <c r="J18" s="13" t="s">
        <v>16</v>
      </c>
      <c r="K18" s="13" t="s">
        <v>16</v>
      </c>
      <c r="L18" s="13" t="s">
        <v>16</v>
      </c>
      <c r="M18" s="13" t="s">
        <v>16</v>
      </c>
    </row>
    <row r="19" customFormat="false" ht="75" hidden="false" customHeight="true" outlineLevel="0" collapsed="false">
      <c r="C19" s="16" t="s">
        <v>29</v>
      </c>
      <c r="D19" s="17" t="s">
        <v>30</v>
      </c>
      <c r="E19" s="18" t="s">
        <v>31</v>
      </c>
      <c r="H19" s="19" t="s">
        <v>16</v>
      </c>
    </row>
    <row r="20" customFormat="false" ht="75" hidden="false" customHeight="true" outlineLevel="0" collapsed="false">
      <c r="C20" s="16"/>
      <c r="D20" s="16"/>
      <c r="E20" s="18" t="s">
        <v>32</v>
      </c>
      <c r="H20" s="19" t="s">
        <v>16</v>
      </c>
    </row>
    <row r="21" customFormat="false" ht="75" hidden="false" customHeight="true" outlineLevel="0" collapsed="false">
      <c r="C21" s="16"/>
      <c r="D21" s="16"/>
      <c r="E21" s="18" t="s">
        <v>33</v>
      </c>
      <c r="H21" s="19" t="s">
        <v>16</v>
      </c>
      <c r="I21" s="19" t="s">
        <v>16</v>
      </c>
      <c r="J21" s="19" t="s">
        <v>16</v>
      </c>
      <c r="K21" s="19" t="s">
        <v>16</v>
      </c>
      <c r="L21" s="19" t="s">
        <v>16</v>
      </c>
      <c r="M21" s="19" t="s">
        <v>16</v>
      </c>
    </row>
  </sheetData>
  <mergeCells count="22">
    <mergeCell ref="C1:I1"/>
    <mergeCell ref="C4:C9"/>
    <mergeCell ref="D4:D9"/>
    <mergeCell ref="E4:E8"/>
    <mergeCell ref="F4:I6"/>
    <mergeCell ref="J4:M6"/>
    <mergeCell ref="F7:F9"/>
    <mergeCell ref="G7:G9"/>
    <mergeCell ref="H7:H9"/>
    <mergeCell ref="I7:I9"/>
    <mergeCell ref="J7:J9"/>
    <mergeCell ref="K7:K9"/>
    <mergeCell ref="L7:L9"/>
    <mergeCell ref="M7:M9"/>
    <mergeCell ref="C10:C12"/>
    <mergeCell ref="D10:D12"/>
    <mergeCell ref="C13:C15"/>
    <mergeCell ref="D13:D15"/>
    <mergeCell ref="C16:C18"/>
    <mergeCell ref="D16:D18"/>
    <mergeCell ref="C19:C21"/>
    <mergeCell ref="D19:D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68"/>
  <sheetViews>
    <sheetView showFormulas="false" showGridLines="true" showRowColHeaders="true" showZeros="true" rightToLeft="false" tabSelected="true" showOutlineSymbols="true" defaultGridColor="true" view="normal" topLeftCell="A1" colorId="64" zoomScale="89" zoomScaleNormal="89"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H3" activeCellId="0" sqref="H3"/>
    </sheetView>
  </sheetViews>
  <sheetFormatPr defaultColWidth="8.859375" defaultRowHeight="15" zeroHeight="false" outlineLevelRow="0" outlineLevelCol="0"/>
  <cols>
    <col collapsed="false" customWidth="false" hidden="false" outlineLevel="0" max="1" min="1" style="20" width="8.86"/>
    <col collapsed="false" customWidth="true" hidden="false" outlineLevel="0" max="2" min="2" style="21" width="22"/>
    <col collapsed="false" customWidth="true" hidden="false" outlineLevel="0" max="3" min="3" style="22" width="36"/>
    <col collapsed="false" customWidth="true" hidden="false" outlineLevel="0" max="4" min="4" style="22" width="11"/>
    <col collapsed="false" customWidth="true" hidden="false" outlineLevel="0" max="5" min="5" style="22" width="12"/>
    <col collapsed="false" customWidth="true" hidden="false" outlineLevel="0" max="13" min="6" style="20" width="11"/>
    <col collapsed="false" customWidth="true" hidden="false" outlineLevel="0" max="14" min="14" style="20" width="14"/>
    <col collapsed="false" customWidth="true" hidden="false" outlineLevel="0" max="15" min="15" style="20" width="60"/>
    <col collapsed="false" customWidth="false" hidden="false" outlineLevel="0" max="29" min="16" style="20" width="8.86"/>
    <col collapsed="false" customWidth="true" hidden="false" outlineLevel="0" max="30" min="30" style="20" width="34"/>
    <col collapsed="false" customWidth="false" hidden="false" outlineLevel="0" max="16384" min="31" style="20" width="8.86"/>
  </cols>
  <sheetData>
    <row r="1" customFormat="false" ht="30.75" hidden="false" customHeight="true" outlineLevel="0" collapsed="false">
      <c r="B1" s="23" t="s">
        <v>34</v>
      </c>
      <c r="C1" s="23"/>
      <c r="D1" s="23"/>
      <c r="E1" s="23"/>
      <c r="F1" s="23"/>
      <c r="G1" s="23"/>
      <c r="H1" s="23"/>
      <c r="I1" s="23"/>
      <c r="J1" s="23"/>
      <c r="K1" s="23"/>
      <c r="L1" s="23"/>
      <c r="M1" s="23"/>
      <c r="N1" s="23"/>
    </row>
    <row r="2" customFormat="false" ht="18.75" hidden="false" customHeight="true" outlineLevel="0" collapsed="false">
      <c r="B2" s="24" t="s">
        <v>35</v>
      </c>
      <c r="C2" s="4"/>
      <c r="D2" s="4"/>
      <c r="E2" s="4"/>
      <c r="F2" s="2"/>
      <c r="G2" s="2"/>
      <c r="H2" s="2"/>
      <c r="I2" s="2"/>
      <c r="J2" s="2"/>
      <c r="K2" s="2"/>
      <c r="L2" s="2"/>
    </row>
    <row r="3" customFormat="false" ht="18.75" hidden="false" customHeight="true" outlineLevel="0" collapsed="false">
      <c r="B3" s="24" t="s">
        <v>36</v>
      </c>
      <c r="C3" s="4"/>
      <c r="D3" s="4"/>
      <c r="E3" s="4"/>
      <c r="F3" s="2"/>
      <c r="G3" s="2"/>
      <c r="H3" s="2"/>
      <c r="I3" s="2"/>
      <c r="J3" s="2"/>
      <c r="K3" s="2"/>
      <c r="L3" s="2"/>
    </row>
    <row r="4" customFormat="false" ht="18.75" hidden="false" customHeight="true" outlineLevel="0" collapsed="false">
      <c r="B4" s="24" t="s">
        <v>37</v>
      </c>
      <c r="C4" s="4"/>
      <c r="D4" s="4"/>
      <c r="E4" s="4"/>
      <c r="F4" s="2"/>
      <c r="G4" s="2"/>
      <c r="H4" s="2"/>
      <c r="I4" s="2"/>
      <c r="J4" s="2"/>
      <c r="K4" s="2"/>
      <c r="L4" s="2"/>
    </row>
    <row r="5" customFormat="false" ht="18.75" hidden="false" customHeight="true" outlineLevel="0" collapsed="false">
      <c r="B5" s="24" t="s">
        <v>38</v>
      </c>
      <c r="C5" s="4"/>
      <c r="D5" s="4"/>
      <c r="E5" s="4"/>
      <c r="F5" s="2"/>
      <c r="G5" s="2"/>
      <c r="H5" s="2"/>
      <c r="I5" s="2"/>
      <c r="J5" s="2"/>
      <c r="K5" s="2"/>
      <c r="L5" s="2"/>
    </row>
    <row r="6" customFormat="false" ht="18.75" hidden="false" customHeight="true" outlineLevel="0" collapsed="false">
      <c r="B6" s="24" t="s">
        <v>39</v>
      </c>
      <c r="C6" s="4"/>
      <c r="D6" s="4"/>
      <c r="E6" s="4"/>
      <c r="F6" s="2"/>
      <c r="G6" s="2"/>
      <c r="H6" s="2"/>
      <c r="I6" s="2"/>
      <c r="J6" s="2"/>
      <c r="K6" s="2"/>
      <c r="L6" s="2"/>
    </row>
    <row r="7" customFormat="false" ht="15" hidden="false" customHeight="false" outlineLevel="0" collapsed="false">
      <c r="B7" s="25"/>
      <c r="C7" s="26"/>
      <c r="D7" s="26"/>
      <c r="E7" s="26"/>
      <c r="F7" s="27"/>
      <c r="G7" s="27"/>
      <c r="H7" s="27"/>
      <c r="I7" s="27"/>
      <c r="J7" s="27"/>
      <c r="K7" s="27"/>
      <c r="L7" s="27"/>
      <c r="M7" s="27"/>
      <c r="N7" s="27"/>
    </row>
    <row r="8" customFormat="false" ht="31.5" hidden="false" customHeight="true" outlineLevel="0" collapsed="false">
      <c r="B8" s="28" t="s">
        <v>40</v>
      </c>
      <c r="C8" s="29" t="s">
        <v>41</v>
      </c>
      <c r="D8" s="29" t="s">
        <v>42</v>
      </c>
      <c r="E8" s="29" t="s">
        <v>43</v>
      </c>
      <c r="F8" s="29" t="s">
        <v>44</v>
      </c>
      <c r="G8" s="29" t="s">
        <v>9</v>
      </c>
      <c r="H8" s="29" t="s">
        <v>10</v>
      </c>
      <c r="I8" s="29" t="s">
        <v>11</v>
      </c>
      <c r="J8" s="29" t="s">
        <v>45</v>
      </c>
      <c r="K8" s="29" t="s">
        <v>9</v>
      </c>
      <c r="L8" s="29" t="s">
        <v>10</v>
      </c>
      <c r="M8" s="29" t="s">
        <v>11</v>
      </c>
      <c r="N8" s="29" t="s">
        <v>46</v>
      </c>
      <c r="O8" s="30" t="s">
        <v>47</v>
      </c>
    </row>
    <row r="9" customFormat="false" ht="60" hidden="false" customHeight="true" outlineLevel="0" collapsed="false">
      <c r="B9" s="31" t="s">
        <v>48</v>
      </c>
      <c r="C9" s="32" t="s">
        <v>49</v>
      </c>
      <c r="D9" s="32"/>
      <c r="E9" s="32"/>
      <c r="F9" s="33" t="n">
        <v>0</v>
      </c>
      <c r="G9" s="33" t="n">
        <v>0</v>
      </c>
      <c r="H9" s="33" t="n">
        <v>0</v>
      </c>
      <c r="I9" s="33" t="n">
        <v>0</v>
      </c>
      <c r="J9" s="33" t="n">
        <v>0</v>
      </c>
      <c r="K9" s="33" t="n">
        <v>0</v>
      </c>
      <c r="L9" s="33" t="n">
        <v>0</v>
      </c>
      <c r="M9" s="33" t="n">
        <v>0</v>
      </c>
      <c r="N9" s="33" t="n">
        <f aca="false">F9+G9+H9+I9+J9+K9+L9+M9</f>
        <v>0</v>
      </c>
      <c r="O9" s="34"/>
    </row>
    <row r="10" customFormat="false" ht="60" hidden="false" customHeight="true" outlineLevel="0" collapsed="false">
      <c r="B10" s="31"/>
      <c r="C10" s="32" t="s">
        <v>50</v>
      </c>
      <c r="D10" s="32"/>
      <c r="E10" s="32"/>
      <c r="F10" s="33" t="n">
        <v>0</v>
      </c>
      <c r="G10" s="33" t="n">
        <v>0</v>
      </c>
      <c r="H10" s="33" t="n">
        <v>0</v>
      </c>
      <c r="I10" s="33" t="n">
        <v>0</v>
      </c>
      <c r="J10" s="33" t="n">
        <v>0</v>
      </c>
      <c r="K10" s="33" t="n">
        <v>0</v>
      </c>
      <c r="L10" s="33" t="n">
        <v>0</v>
      </c>
      <c r="M10" s="33" t="n">
        <v>0</v>
      </c>
      <c r="N10" s="33" t="n">
        <f aca="false">F10+G10+H10+I10+J10+K10+L10+M10</f>
        <v>0</v>
      </c>
      <c r="O10" s="34"/>
    </row>
    <row r="11" customFormat="false" ht="60" hidden="false" customHeight="true" outlineLevel="0" collapsed="false">
      <c r="B11" s="31"/>
      <c r="C11" s="32" t="s">
        <v>51</v>
      </c>
      <c r="D11" s="32"/>
      <c r="E11" s="32"/>
      <c r="F11" s="33" t="n">
        <v>0</v>
      </c>
      <c r="G11" s="33" t="n">
        <v>0</v>
      </c>
      <c r="H11" s="33" t="n">
        <v>0</v>
      </c>
      <c r="I11" s="33" t="n">
        <v>0</v>
      </c>
      <c r="J11" s="33" t="n">
        <v>0</v>
      </c>
      <c r="K11" s="33" t="n">
        <v>0</v>
      </c>
      <c r="L11" s="33" t="n">
        <v>0</v>
      </c>
      <c r="M11" s="33" t="n">
        <v>0</v>
      </c>
      <c r="N11" s="33" t="n">
        <f aca="false">F11+G11+H11+I11+J11+K11+L11+M11</f>
        <v>0</v>
      </c>
      <c r="O11" s="34"/>
    </row>
    <row r="12" customFormat="false" ht="60" hidden="false" customHeight="true" outlineLevel="0" collapsed="false">
      <c r="B12" s="31"/>
      <c r="C12" s="35" t="s">
        <v>52</v>
      </c>
      <c r="D12" s="32"/>
      <c r="E12" s="32"/>
      <c r="F12" s="33" t="n">
        <v>0</v>
      </c>
      <c r="G12" s="33" t="n">
        <v>0</v>
      </c>
      <c r="H12" s="33" t="n">
        <v>0</v>
      </c>
      <c r="I12" s="33" t="n">
        <v>0</v>
      </c>
      <c r="J12" s="33" t="n">
        <v>0</v>
      </c>
      <c r="K12" s="33" t="n">
        <v>0</v>
      </c>
      <c r="L12" s="33" t="n">
        <v>0</v>
      </c>
      <c r="M12" s="33" t="n">
        <v>0</v>
      </c>
      <c r="N12" s="33" t="n">
        <f aca="false">F12+G12+H12+I12+J12+K12+L12+M12</f>
        <v>0</v>
      </c>
      <c r="O12" s="34"/>
    </row>
    <row r="13" customFormat="false" ht="60" hidden="false" customHeight="true" outlineLevel="0" collapsed="false">
      <c r="B13" s="31"/>
      <c r="C13" s="32" t="s">
        <v>53</v>
      </c>
      <c r="D13" s="36" t="n">
        <v>4500</v>
      </c>
      <c r="E13" s="36" t="n">
        <v>6</v>
      </c>
      <c r="F13" s="37" t="n">
        <v>27000</v>
      </c>
      <c r="G13" s="33" t="n">
        <v>0</v>
      </c>
      <c r="H13" s="33" t="n">
        <v>0</v>
      </c>
      <c r="I13" s="33" t="n">
        <v>0</v>
      </c>
      <c r="J13" s="33" t="n">
        <v>0</v>
      </c>
      <c r="K13" s="33" t="n">
        <v>0</v>
      </c>
      <c r="L13" s="33" t="n">
        <v>0</v>
      </c>
      <c r="M13" s="33" t="n">
        <v>0</v>
      </c>
      <c r="N13" s="33" t="n">
        <f aca="false">F13+G13+H13+I13+J13+K13+L13+M13</f>
        <v>27000</v>
      </c>
      <c r="O13" s="38" t="s">
        <v>54</v>
      </c>
    </row>
    <row r="14" customFormat="false" ht="60" hidden="false" customHeight="true" outlineLevel="0" collapsed="false">
      <c r="B14" s="31"/>
      <c r="C14" s="32" t="s">
        <v>55</v>
      </c>
      <c r="D14" s="32"/>
      <c r="E14" s="32"/>
      <c r="F14" s="33" t="n">
        <v>0</v>
      </c>
      <c r="G14" s="33" t="n">
        <v>0</v>
      </c>
      <c r="H14" s="33" t="n">
        <v>0</v>
      </c>
      <c r="I14" s="33" t="n">
        <v>0</v>
      </c>
      <c r="J14" s="33" t="n">
        <v>0</v>
      </c>
      <c r="K14" s="33" t="n">
        <v>0</v>
      </c>
      <c r="L14" s="33" t="n">
        <v>0</v>
      </c>
      <c r="M14" s="33" t="n">
        <v>0</v>
      </c>
      <c r="N14" s="33" t="n">
        <f aca="false">F14+G14+H14+I14+J14+K14+L14+M14</f>
        <v>0</v>
      </c>
      <c r="O14" s="34"/>
    </row>
    <row r="15" customFormat="false" ht="60" hidden="false" customHeight="true" outlineLevel="0" collapsed="false">
      <c r="B15" s="31"/>
      <c r="C15" s="32" t="s">
        <v>56</v>
      </c>
      <c r="D15" s="32"/>
      <c r="E15" s="32"/>
      <c r="F15" s="37" t="n">
        <v>1000</v>
      </c>
      <c r="G15" s="33" t="n">
        <v>0</v>
      </c>
      <c r="H15" s="33" t="n">
        <v>0</v>
      </c>
      <c r="I15" s="33" t="n">
        <v>0</v>
      </c>
      <c r="J15" s="33" t="n">
        <v>0</v>
      </c>
      <c r="K15" s="33" t="n">
        <v>0</v>
      </c>
      <c r="L15" s="33" t="n">
        <v>0</v>
      </c>
      <c r="M15" s="33" t="n">
        <v>0</v>
      </c>
      <c r="N15" s="33" t="n">
        <f aca="false">F15+G15+H15+I15+J15+K15+L15+M15</f>
        <v>1000</v>
      </c>
      <c r="O15" s="38" t="s">
        <v>57</v>
      </c>
    </row>
    <row r="16" customFormat="false" ht="60" hidden="false" customHeight="true" outlineLevel="0" collapsed="false">
      <c r="B16" s="31"/>
      <c r="C16" s="32" t="s">
        <v>58</v>
      </c>
      <c r="D16" s="32"/>
      <c r="E16" s="32"/>
      <c r="F16" s="33" t="n">
        <v>0</v>
      </c>
      <c r="G16" s="33" t="n">
        <v>0</v>
      </c>
      <c r="H16" s="33" t="n">
        <v>0</v>
      </c>
      <c r="I16" s="33" t="n">
        <v>0</v>
      </c>
      <c r="J16" s="33" t="n">
        <v>0</v>
      </c>
      <c r="K16" s="33" t="n">
        <v>0</v>
      </c>
      <c r="L16" s="33" t="n">
        <v>0</v>
      </c>
      <c r="M16" s="33" t="n">
        <v>0</v>
      </c>
      <c r="N16" s="33" t="n">
        <f aca="false">F16+G16+H16+I16+J16+K16+L16+M16</f>
        <v>0</v>
      </c>
      <c r="O16" s="34"/>
    </row>
    <row r="17" customFormat="false" ht="60" hidden="false" customHeight="true" outlineLevel="0" collapsed="false">
      <c r="B17" s="31"/>
      <c r="C17" s="39" t="s">
        <v>59</v>
      </c>
      <c r="D17" s="40"/>
      <c r="E17" s="40"/>
      <c r="F17" s="37" t="n">
        <v>1500</v>
      </c>
      <c r="G17" s="33" t="n">
        <v>0</v>
      </c>
      <c r="H17" s="33" t="n">
        <v>0</v>
      </c>
      <c r="I17" s="33" t="n">
        <v>0</v>
      </c>
      <c r="J17" s="33" t="n">
        <v>0</v>
      </c>
      <c r="K17" s="33" t="n">
        <v>0</v>
      </c>
      <c r="L17" s="33" t="n">
        <v>0</v>
      </c>
      <c r="M17" s="33" t="n">
        <v>0</v>
      </c>
      <c r="N17" s="33" t="n">
        <f aca="false">F17+G17+H17+I17+J17+K17+L17+M17</f>
        <v>1500</v>
      </c>
      <c r="O17" s="38" t="s">
        <v>60</v>
      </c>
    </row>
    <row r="18" customFormat="false" ht="60" hidden="false" customHeight="true" outlineLevel="0" collapsed="false">
      <c r="B18" s="31"/>
      <c r="C18" s="32"/>
      <c r="D18" s="32"/>
      <c r="E18" s="32"/>
      <c r="F18" s="41"/>
      <c r="G18" s="41"/>
      <c r="H18" s="41"/>
      <c r="I18" s="41"/>
      <c r="J18" s="41"/>
      <c r="K18" s="41"/>
      <c r="L18" s="41"/>
      <c r="M18" s="41"/>
      <c r="N18" s="41"/>
      <c r="O18" s="34"/>
    </row>
    <row r="19" customFormat="false" ht="60" hidden="false" customHeight="true" outlineLevel="0" collapsed="false">
      <c r="B19" s="42" t="s">
        <v>61</v>
      </c>
      <c r="C19" s="43"/>
      <c r="D19" s="43"/>
      <c r="E19" s="43"/>
      <c r="F19" s="44" t="n">
        <f aca="false">SUM(F9:F18)</f>
        <v>29500</v>
      </c>
      <c r="G19" s="44" t="n">
        <f aca="false">SUM(G9:G18)</f>
        <v>0</v>
      </c>
      <c r="H19" s="44" t="n">
        <f aca="false">SUM(H9:H18)</f>
        <v>0</v>
      </c>
      <c r="I19" s="44" t="n">
        <f aca="false">SUM(I9:I18)</f>
        <v>0</v>
      </c>
      <c r="J19" s="44" t="n">
        <f aca="false">SUM(J9:J18)</f>
        <v>0</v>
      </c>
      <c r="K19" s="44" t="n">
        <f aca="false">SUM(K9:K18)</f>
        <v>0</v>
      </c>
      <c r="L19" s="44" t="n">
        <f aca="false">SUM(L9:L18)</f>
        <v>0</v>
      </c>
      <c r="M19" s="44" t="n">
        <f aca="false">SUM(M9:M18)</f>
        <v>0</v>
      </c>
      <c r="N19" s="44" t="n">
        <f aca="false">SUM(N9:N18)</f>
        <v>29500</v>
      </c>
      <c r="O19" s="45"/>
    </row>
    <row r="20" customFormat="false" ht="60" hidden="false" customHeight="true" outlineLevel="0" collapsed="false">
      <c r="B20" s="31" t="s">
        <v>62</v>
      </c>
      <c r="C20" s="32" t="s">
        <v>49</v>
      </c>
      <c r="D20" s="32"/>
      <c r="E20" s="32"/>
      <c r="F20" s="33" t="n">
        <v>0</v>
      </c>
      <c r="G20" s="33" t="n">
        <v>0</v>
      </c>
      <c r="H20" s="33" t="n">
        <v>0</v>
      </c>
      <c r="I20" s="33" t="n">
        <v>0</v>
      </c>
      <c r="J20" s="33" t="n">
        <v>0</v>
      </c>
      <c r="K20" s="33" t="n">
        <v>0</v>
      </c>
      <c r="L20" s="33" t="n">
        <v>0</v>
      </c>
      <c r="M20" s="33" t="n">
        <v>0</v>
      </c>
      <c r="N20" s="33" t="n">
        <f aca="false">F20+G20+H20+I20+J20+K20+L20+M20</f>
        <v>0</v>
      </c>
      <c r="O20" s="34"/>
    </row>
    <row r="21" customFormat="false" ht="60" hidden="false" customHeight="true" outlineLevel="0" collapsed="false">
      <c r="B21" s="31"/>
      <c r="C21" s="32" t="s">
        <v>50</v>
      </c>
      <c r="D21" s="32"/>
      <c r="E21" s="32"/>
      <c r="F21" s="33" t="n">
        <v>0</v>
      </c>
      <c r="G21" s="33" t="n">
        <v>0</v>
      </c>
      <c r="H21" s="33" t="n">
        <v>0</v>
      </c>
      <c r="I21" s="33" t="n">
        <v>0</v>
      </c>
      <c r="J21" s="33" t="n">
        <v>0</v>
      </c>
      <c r="K21" s="33" t="n">
        <v>0</v>
      </c>
      <c r="L21" s="33" t="n">
        <v>0</v>
      </c>
      <c r="M21" s="33" t="n">
        <v>0</v>
      </c>
      <c r="N21" s="33" t="n">
        <f aca="false">F21+G21+H21+I21+J21+K21+L21+M21</f>
        <v>0</v>
      </c>
      <c r="O21" s="34"/>
    </row>
    <row r="22" customFormat="false" ht="60" hidden="false" customHeight="true" outlineLevel="0" collapsed="false">
      <c r="B22" s="31"/>
      <c r="C22" s="32" t="s">
        <v>51</v>
      </c>
      <c r="D22" s="32"/>
      <c r="E22" s="32"/>
      <c r="F22" s="33" t="n">
        <v>0</v>
      </c>
      <c r="G22" s="33" t="n">
        <v>0</v>
      </c>
      <c r="H22" s="33" t="n">
        <v>0</v>
      </c>
      <c r="I22" s="33" t="n">
        <v>0</v>
      </c>
      <c r="J22" s="33" t="n">
        <v>0</v>
      </c>
      <c r="K22" s="33" t="n">
        <v>0</v>
      </c>
      <c r="L22" s="33" t="n">
        <v>0</v>
      </c>
      <c r="M22" s="33" t="n">
        <v>0</v>
      </c>
      <c r="N22" s="33" t="n">
        <f aca="false">F22+G22+H22+I22+J22+K22+L22+M22</f>
        <v>0</v>
      </c>
      <c r="O22" s="34"/>
    </row>
    <row r="23" customFormat="false" ht="60" hidden="false" customHeight="true" outlineLevel="0" collapsed="false">
      <c r="B23" s="31"/>
      <c r="C23" s="35" t="s">
        <v>52</v>
      </c>
      <c r="D23" s="32"/>
      <c r="E23" s="32"/>
      <c r="F23" s="33" t="n">
        <v>0</v>
      </c>
      <c r="G23" s="33" t="n">
        <v>0</v>
      </c>
      <c r="H23" s="33" t="n">
        <v>0</v>
      </c>
      <c r="I23" s="33" t="n">
        <v>0</v>
      </c>
      <c r="J23" s="33" t="n">
        <v>0</v>
      </c>
      <c r="K23" s="33" t="n">
        <v>0</v>
      </c>
      <c r="L23" s="33" t="n">
        <v>0</v>
      </c>
      <c r="M23" s="33" t="n">
        <v>0</v>
      </c>
      <c r="N23" s="33" t="n">
        <f aca="false">F23+G23+H23+I23+J23+K23+L23+M23</f>
        <v>0</v>
      </c>
      <c r="O23" s="34"/>
    </row>
    <row r="24" customFormat="false" ht="60" hidden="false" customHeight="true" outlineLevel="0" collapsed="false">
      <c r="B24" s="31"/>
      <c r="C24" s="32" t="s">
        <v>53</v>
      </c>
      <c r="D24" s="32"/>
      <c r="E24" s="32"/>
      <c r="F24" s="33" t="n">
        <v>0</v>
      </c>
      <c r="G24" s="33" t="n">
        <v>0</v>
      </c>
      <c r="H24" s="33" t="n">
        <v>0</v>
      </c>
      <c r="I24" s="33" t="n">
        <v>0</v>
      </c>
      <c r="J24" s="33" t="n">
        <v>0</v>
      </c>
      <c r="K24" s="33" t="n">
        <v>0</v>
      </c>
      <c r="L24" s="33" t="n">
        <v>0</v>
      </c>
      <c r="M24" s="33" t="n">
        <v>0</v>
      </c>
      <c r="N24" s="33" t="n">
        <f aca="false">F24+G24+H24+I24+J24+K24+L24+M24</f>
        <v>0</v>
      </c>
      <c r="O24" s="34"/>
    </row>
    <row r="25" customFormat="false" ht="60" hidden="false" customHeight="true" outlineLevel="0" collapsed="false">
      <c r="B25" s="31"/>
      <c r="C25" s="32" t="s">
        <v>55</v>
      </c>
      <c r="D25" s="32"/>
      <c r="E25" s="32"/>
      <c r="F25" s="33" t="n">
        <v>0</v>
      </c>
      <c r="G25" s="33" t="n">
        <v>0</v>
      </c>
      <c r="H25" s="33" t="n">
        <v>0</v>
      </c>
      <c r="I25" s="33" t="n">
        <v>0</v>
      </c>
      <c r="J25" s="33" t="n">
        <v>0</v>
      </c>
      <c r="K25" s="33" t="n">
        <v>0</v>
      </c>
      <c r="L25" s="33" t="n">
        <v>0</v>
      </c>
      <c r="M25" s="33" t="n">
        <v>0</v>
      </c>
      <c r="N25" s="33" t="n">
        <f aca="false">F25+G25+H25+I25+J25+K25+L25+M25</f>
        <v>0</v>
      </c>
      <c r="O25" s="34"/>
    </row>
    <row r="26" customFormat="false" ht="60" hidden="false" customHeight="true" outlineLevel="0" collapsed="false">
      <c r="B26" s="31"/>
      <c r="C26" s="32" t="s">
        <v>56</v>
      </c>
      <c r="D26" s="32"/>
      <c r="E26" s="32"/>
      <c r="F26" s="33" t="n">
        <v>0</v>
      </c>
      <c r="G26" s="33" t="n">
        <v>0</v>
      </c>
      <c r="H26" s="33" t="n">
        <v>0</v>
      </c>
      <c r="I26" s="33" t="n">
        <v>0</v>
      </c>
      <c r="J26" s="33" t="n">
        <v>0</v>
      </c>
      <c r="K26" s="33" t="n">
        <v>0</v>
      </c>
      <c r="L26" s="33" t="n">
        <v>0</v>
      </c>
      <c r="M26" s="33" t="n">
        <v>0</v>
      </c>
      <c r="N26" s="33" t="n">
        <f aca="false">F26+G26+H26+I26+J26+K26+L26+M26</f>
        <v>0</v>
      </c>
      <c r="O26" s="34"/>
    </row>
    <row r="27" customFormat="false" ht="60" hidden="false" customHeight="true" outlineLevel="0" collapsed="false">
      <c r="B27" s="31"/>
      <c r="C27" s="32" t="s">
        <v>58</v>
      </c>
      <c r="D27" s="32"/>
      <c r="E27" s="32"/>
      <c r="F27" s="33" t="n">
        <v>0</v>
      </c>
      <c r="G27" s="33" t="n">
        <v>0</v>
      </c>
      <c r="H27" s="33" t="n">
        <v>0</v>
      </c>
      <c r="I27" s="33" t="n">
        <v>0</v>
      </c>
      <c r="J27" s="33" t="n">
        <v>0</v>
      </c>
      <c r="K27" s="33" t="n">
        <v>0</v>
      </c>
      <c r="L27" s="33" t="n">
        <v>0</v>
      </c>
      <c r="M27" s="33" t="n">
        <v>0</v>
      </c>
      <c r="N27" s="33" t="n">
        <f aca="false">F27+G27+H27+I27+J27+K27+L27+M27</f>
        <v>0</v>
      </c>
      <c r="O27" s="34"/>
    </row>
    <row r="28" customFormat="false" ht="60" hidden="false" customHeight="true" outlineLevel="0" collapsed="false">
      <c r="B28" s="31"/>
      <c r="C28" s="39" t="s">
        <v>63</v>
      </c>
      <c r="D28" s="40"/>
      <c r="E28" s="40"/>
      <c r="F28" s="33" t="n">
        <v>0</v>
      </c>
      <c r="G28" s="33" t="n">
        <v>0</v>
      </c>
      <c r="H28" s="33" t="n">
        <v>0</v>
      </c>
      <c r="I28" s="46" t="n">
        <v>100</v>
      </c>
      <c r="J28" s="46" t="n">
        <v>100</v>
      </c>
      <c r="K28" s="46" t="n">
        <v>100</v>
      </c>
      <c r="L28" s="46" t="n">
        <v>100</v>
      </c>
      <c r="M28" s="46" t="n">
        <v>100</v>
      </c>
      <c r="N28" s="33" t="n">
        <f aca="false">F28+G28+H28+I28+J28+K28+L28+M28</f>
        <v>500</v>
      </c>
      <c r="O28" s="38" t="s">
        <v>64</v>
      </c>
    </row>
    <row r="29" customFormat="false" ht="60" hidden="false" customHeight="true" outlineLevel="0" collapsed="false">
      <c r="B29" s="31"/>
      <c r="C29" s="32"/>
      <c r="D29" s="32"/>
      <c r="E29" s="32"/>
      <c r="F29" s="41"/>
      <c r="G29" s="41"/>
      <c r="H29" s="41"/>
      <c r="I29" s="41"/>
      <c r="J29" s="41"/>
      <c r="K29" s="41"/>
      <c r="L29" s="41"/>
      <c r="M29" s="41"/>
      <c r="N29" s="41"/>
      <c r="O29" s="47"/>
    </row>
    <row r="30" customFormat="false" ht="60" hidden="false" customHeight="true" outlineLevel="0" collapsed="false">
      <c r="B30" s="48" t="s">
        <v>65</v>
      </c>
      <c r="C30" s="48"/>
      <c r="D30" s="49"/>
      <c r="E30" s="49"/>
      <c r="F30" s="50" t="n">
        <f aca="false">SUM(F20:F28)</f>
        <v>0</v>
      </c>
      <c r="G30" s="50" t="n">
        <f aca="false">SUM(G20:G28)</f>
        <v>0</v>
      </c>
      <c r="H30" s="50" t="n">
        <f aca="false">SUM(H20:H28)</f>
        <v>0</v>
      </c>
      <c r="I30" s="50" t="n">
        <f aca="false">SUM(I20:I28)</f>
        <v>100</v>
      </c>
      <c r="J30" s="50" t="n">
        <f aca="false">SUM(J20:J28)</f>
        <v>100</v>
      </c>
      <c r="K30" s="50" t="n">
        <f aca="false">SUM(K20:K28)</f>
        <v>100</v>
      </c>
      <c r="L30" s="50" t="n">
        <f aca="false">SUM(L20:L28)</f>
        <v>100</v>
      </c>
      <c r="M30" s="50" t="n">
        <f aca="false">SUM(M20:M28)</f>
        <v>100</v>
      </c>
      <c r="N30" s="50" t="n">
        <f aca="false">SUM(N20:N28)</f>
        <v>500</v>
      </c>
      <c r="O30" s="47"/>
    </row>
    <row r="31" customFormat="false" ht="15.75" hidden="false" customHeight="true" outlineLevel="0" collapsed="false">
      <c r="B31" s="51"/>
      <c r="C31" s="32"/>
      <c r="D31" s="32"/>
      <c r="E31" s="32"/>
      <c r="F31" s="41"/>
      <c r="G31" s="41"/>
      <c r="H31" s="41"/>
      <c r="I31" s="41"/>
      <c r="J31" s="41"/>
      <c r="K31" s="41"/>
      <c r="L31" s="41"/>
      <c r="M31" s="41"/>
      <c r="N31" s="41"/>
      <c r="O31" s="47"/>
    </row>
    <row r="32" customFormat="false" ht="15.75" hidden="false" customHeight="true" outlineLevel="0" collapsed="false">
      <c r="B32" s="51"/>
      <c r="C32" s="32"/>
      <c r="D32" s="32"/>
      <c r="E32" s="32"/>
      <c r="F32" s="41"/>
      <c r="G32" s="41"/>
      <c r="H32" s="41"/>
      <c r="I32" s="41"/>
      <c r="J32" s="41"/>
      <c r="K32" s="41"/>
      <c r="L32" s="41"/>
      <c r="M32" s="41"/>
      <c r="N32" s="41"/>
      <c r="O32" s="47"/>
    </row>
    <row r="33" customFormat="false" ht="15.75" hidden="false" customHeight="true" outlineLevel="0" collapsed="false">
      <c r="B33" s="51"/>
      <c r="C33" s="32"/>
      <c r="D33" s="32"/>
      <c r="E33" s="32"/>
      <c r="F33" s="41"/>
      <c r="G33" s="41"/>
      <c r="H33" s="41"/>
      <c r="I33" s="41"/>
      <c r="J33" s="41"/>
      <c r="K33" s="41"/>
      <c r="L33" s="41"/>
      <c r="M33" s="41"/>
      <c r="N33" s="41"/>
      <c r="O33" s="47"/>
    </row>
    <row r="34" customFormat="false" ht="27.75" hidden="false" customHeight="true" outlineLevel="0" collapsed="false">
      <c r="B34" s="52" t="s">
        <v>66</v>
      </c>
      <c r="C34" s="52"/>
      <c r="D34" s="49"/>
      <c r="E34" s="49"/>
      <c r="F34" s="53" t="n">
        <f aca="false">SUM(F19+F30)</f>
        <v>29500</v>
      </c>
      <c r="G34" s="53" t="n">
        <f aca="false">SUM(G19+G30)</f>
        <v>0</v>
      </c>
      <c r="H34" s="53" t="n">
        <f aca="false">SUM(H19+H30)</f>
        <v>0</v>
      </c>
      <c r="I34" s="53" t="n">
        <f aca="false">SUM(I19+I30)</f>
        <v>100</v>
      </c>
      <c r="J34" s="53" t="n">
        <f aca="false">SUM(J19+J30)</f>
        <v>100</v>
      </c>
      <c r="K34" s="53" t="n">
        <f aca="false">SUM(K19+K30)</f>
        <v>100</v>
      </c>
      <c r="L34" s="53" t="n">
        <f aca="false">SUM(L19+L30)</f>
        <v>100</v>
      </c>
      <c r="M34" s="53" t="n">
        <f aca="false">SUM(M19+M30)</f>
        <v>100</v>
      </c>
      <c r="N34" s="53" t="n">
        <f aca="false">SUM(F34:M34)</f>
        <v>30000</v>
      </c>
      <c r="O34" s="47"/>
    </row>
    <row r="36" customFormat="false" ht="92.25" hidden="false" customHeight="true" outlineLevel="0" collapsed="false">
      <c r="B36" s="54" t="s">
        <v>67</v>
      </c>
      <c r="C36" s="55" t="s">
        <v>68</v>
      </c>
      <c r="D36" s="56"/>
      <c r="E36" s="56"/>
    </row>
    <row r="37" customFormat="false" ht="15" hidden="false" customHeight="false" outlineLevel="0" collapsed="false">
      <c r="C37" s="57" t="s">
        <v>69</v>
      </c>
      <c r="D37" s="4"/>
      <c r="E37" s="4"/>
      <c r="F37" s="2"/>
      <c r="G37" s="2"/>
    </row>
    <row r="38" customFormat="false" ht="27.75" hidden="false" customHeight="true" outlineLevel="0" collapsed="false">
      <c r="B38" s="58" t="s">
        <v>70</v>
      </c>
      <c r="C38" s="58"/>
      <c r="D38" s="58"/>
      <c r="E38" s="58"/>
      <c r="F38" s="58"/>
      <c r="G38" s="58"/>
      <c r="H38" s="58"/>
      <c r="I38" s="58"/>
      <c r="J38" s="58"/>
      <c r="K38" s="58"/>
      <c r="L38" s="58"/>
      <c r="M38" s="58"/>
      <c r="N38" s="58"/>
      <c r="O38" s="58"/>
    </row>
    <row r="39" customFormat="false" ht="31.5" hidden="false" customHeight="true" outlineLevel="0" collapsed="false">
      <c r="B39" s="59" t="s">
        <v>71</v>
      </c>
      <c r="C39" s="59" t="s">
        <v>72</v>
      </c>
      <c r="D39" s="59" t="s">
        <v>73</v>
      </c>
      <c r="E39" s="59" t="s">
        <v>74</v>
      </c>
      <c r="F39" s="59" t="s">
        <v>44</v>
      </c>
      <c r="G39" s="59" t="s">
        <v>9</v>
      </c>
      <c r="H39" s="59" t="s">
        <v>10</v>
      </c>
      <c r="I39" s="59" t="s">
        <v>11</v>
      </c>
      <c r="J39" s="59" t="s">
        <v>45</v>
      </c>
      <c r="K39" s="59" t="s">
        <v>9</v>
      </c>
      <c r="L39" s="59" t="s">
        <v>10</v>
      </c>
      <c r="M39" s="59" t="s">
        <v>11</v>
      </c>
      <c r="N39" s="59" t="s">
        <v>46</v>
      </c>
      <c r="O39" s="59" t="s">
        <v>75</v>
      </c>
    </row>
    <row r="40" customFormat="false" ht="54.75" hidden="false" customHeight="true" outlineLevel="0" collapsed="false">
      <c r="B40" s="60" t="s">
        <v>76</v>
      </c>
      <c r="C40" s="61" t="s">
        <v>77</v>
      </c>
      <c r="D40" s="62" t="n">
        <v>500</v>
      </c>
      <c r="E40" s="63" t="n">
        <v>24</v>
      </c>
      <c r="F40" s="64" t="n">
        <v>1500</v>
      </c>
      <c r="G40" s="64" t="n">
        <v>1500</v>
      </c>
      <c r="H40" s="65" t="n">
        <v>1500</v>
      </c>
      <c r="I40" s="65" t="n">
        <v>1500</v>
      </c>
      <c r="J40" s="65" t="n">
        <v>1500</v>
      </c>
      <c r="K40" s="65" t="n">
        <v>1500</v>
      </c>
      <c r="L40" s="65" t="n">
        <v>1500</v>
      </c>
      <c r="M40" s="65" t="n">
        <v>1500</v>
      </c>
      <c r="N40" s="66" t="n">
        <f aca="false">F40+G40+H40+I40+J40+K40+L40+M40</f>
        <v>12000</v>
      </c>
      <c r="O40" s="67" t="s">
        <v>78</v>
      </c>
    </row>
    <row r="41" customFormat="false" ht="54.75" hidden="false" customHeight="true" outlineLevel="0" collapsed="false">
      <c r="B41" s="60" t="s">
        <v>76</v>
      </c>
      <c r="C41" s="61" t="s">
        <v>79</v>
      </c>
      <c r="D41" s="62" t="n">
        <v>400</v>
      </c>
      <c r="E41" s="63" t="n">
        <v>24</v>
      </c>
      <c r="F41" s="64" t="n">
        <v>1200</v>
      </c>
      <c r="G41" s="64" t="n">
        <v>1200</v>
      </c>
      <c r="H41" s="65" t="n">
        <v>1200</v>
      </c>
      <c r="I41" s="65" t="n">
        <v>1200</v>
      </c>
      <c r="J41" s="65" t="n">
        <v>1200</v>
      </c>
      <c r="K41" s="65" t="n">
        <v>1200</v>
      </c>
      <c r="L41" s="65" t="n">
        <v>1200</v>
      </c>
      <c r="M41" s="65" t="n">
        <v>1200</v>
      </c>
      <c r="N41" s="66" t="n">
        <f aca="false">F41+G41+H41+I41+J41+K41+L41+M41</f>
        <v>9600</v>
      </c>
      <c r="O41" s="67" t="s">
        <v>80</v>
      </c>
    </row>
    <row r="42" customFormat="false" ht="54.75" hidden="false" customHeight="true" outlineLevel="0" collapsed="false">
      <c r="B42" s="60" t="s">
        <v>76</v>
      </c>
      <c r="C42" s="61" t="s">
        <v>81</v>
      </c>
      <c r="D42" s="62" t="n">
        <v>1000</v>
      </c>
      <c r="E42" s="63" t="n">
        <v>24</v>
      </c>
      <c r="F42" s="64" t="n">
        <v>3000</v>
      </c>
      <c r="G42" s="64" t="n">
        <v>3000</v>
      </c>
      <c r="H42" s="65" t="n">
        <v>3000</v>
      </c>
      <c r="I42" s="65" t="n">
        <v>3000</v>
      </c>
      <c r="J42" s="65" t="n">
        <v>3000</v>
      </c>
      <c r="K42" s="65" t="n">
        <v>3000</v>
      </c>
      <c r="L42" s="65" t="n">
        <v>3000</v>
      </c>
      <c r="M42" s="65" t="n">
        <v>3000</v>
      </c>
      <c r="N42" s="66" t="n">
        <f aca="false">F42+G42+H42+I42+J42+K42+L42+M42</f>
        <v>24000</v>
      </c>
      <c r="O42" s="67" t="s">
        <v>82</v>
      </c>
    </row>
    <row r="43" customFormat="false" ht="54.75" hidden="false" customHeight="true" outlineLevel="0" collapsed="false">
      <c r="B43" s="60" t="s">
        <v>83</v>
      </c>
      <c r="C43" s="68" t="s">
        <v>84</v>
      </c>
      <c r="D43" s="69" t="n">
        <v>250</v>
      </c>
      <c r="E43" s="70" t="n">
        <v>24</v>
      </c>
      <c r="F43" s="65" t="n">
        <v>750</v>
      </c>
      <c r="G43" s="65" t="n">
        <v>750</v>
      </c>
      <c r="H43" s="65" t="n">
        <v>750</v>
      </c>
      <c r="I43" s="65" t="n">
        <v>750</v>
      </c>
      <c r="J43" s="65" t="n">
        <v>750</v>
      </c>
      <c r="K43" s="65" t="n">
        <v>750</v>
      </c>
      <c r="L43" s="65" t="n">
        <v>750</v>
      </c>
      <c r="M43" s="65" t="n">
        <v>750</v>
      </c>
      <c r="N43" s="66" t="n">
        <f aca="false">F43+G43+H43+I43+J43+K43+L43+M43</f>
        <v>6000</v>
      </c>
      <c r="O43" s="67" t="s">
        <v>85</v>
      </c>
    </row>
    <row r="44" customFormat="false" ht="54.75" hidden="false" customHeight="true" outlineLevel="0" collapsed="false">
      <c r="B44" s="60" t="s">
        <v>86</v>
      </c>
      <c r="C44" s="68" t="s">
        <v>87</v>
      </c>
      <c r="D44" s="69" t="n">
        <v>1000</v>
      </c>
      <c r="E44" s="70" t="n">
        <v>22</v>
      </c>
      <c r="F44" s="65" t="n">
        <v>1000</v>
      </c>
      <c r="G44" s="65" t="n">
        <v>3000</v>
      </c>
      <c r="H44" s="65" t="n">
        <v>3000</v>
      </c>
      <c r="I44" s="65" t="n">
        <v>3000</v>
      </c>
      <c r="J44" s="65" t="n">
        <v>3000</v>
      </c>
      <c r="K44" s="65" t="n">
        <v>3000</v>
      </c>
      <c r="L44" s="65" t="n">
        <v>3000</v>
      </c>
      <c r="M44" s="65" t="n">
        <v>3000</v>
      </c>
      <c r="N44" s="66" t="n">
        <f aca="false">F44+G44+H44+I44+J44+K44+L44+M44</f>
        <v>22000</v>
      </c>
      <c r="O44" s="67" t="s">
        <v>88</v>
      </c>
    </row>
    <row r="45" customFormat="false" ht="54.75" hidden="false" customHeight="true" outlineLevel="0" collapsed="false">
      <c r="B45" s="60" t="s">
        <v>86</v>
      </c>
      <c r="C45" s="68" t="s">
        <v>89</v>
      </c>
      <c r="D45" s="69" t="n">
        <v>450</v>
      </c>
      <c r="E45" s="66" t="s">
        <v>90</v>
      </c>
      <c r="F45" s="65" t="n">
        <v>1800</v>
      </c>
      <c r="G45" s="65" t="n">
        <v>3600</v>
      </c>
      <c r="H45" s="65" t="n">
        <v>5850</v>
      </c>
      <c r="I45" s="65" t="n">
        <v>7650</v>
      </c>
      <c r="J45" s="65" t="n">
        <v>8100</v>
      </c>
      <c r="K45" s="65" t="n">
        <v>8100</v>
      </c>
      <c r="L45" s="65" t="n">
        <v>8100</v>
      </c>
      <c r="M45" s="65" t="n">
        <v>8100</v>
      </c>
      <c r="N45" s="66" t="n">
        <f aca="false">F45+G45+H45+I45+J45+K45+L45+M45</f>
        <v>51300</v>
      </c>
      <c r="O45" s="67" t="s">
        <v>91</v>
      </c>
    </row>
    <row r="46" customFormat="false" ht="54.75" hidden="false" customHeight="true" outlineLevel="0" collapsed="false">
      <c r="B46" s="60" t="s">
        <v>86</v>
      </c>
      <c r="C46" s="68" t="s">
        <v>92</v>
      </c>
      <c r="D46" s="69" t="n">
        <v>400</v>
      </c>
      <c r="E46" s="70" t="n">
        <v>24</v>
      </c>
      <c r="F46" s="65" t="n">
        <v>1200</v>
      </c>
      <c r="G46" s="65" t="n">
        <v>1200</v>
      </c>
      <c r="H46" s="65" t="n">
        <v>1200</v>
      </c>
      <c r="I46" s="65" t="n">
        <v>1200</v>
      </c>
      <c r="J46" s="65" t="n">
        <v>1200</v>
      </c>
      <c r="K46" s="65" t="n">
        <v>1200</v>
      </c>
      <c r="L46" s="65" t="n">
        <v>1200</v>
      </c>
      <c r="M46" s="65" t="n">
        <v>1200</v>
      </c>
      <c r="N46" s="66" t="n">
        <f aca="false">F46+G46+H46+I46+J46+K46+L46+M46</f>
        <v>9600</v>
      </c>
      <c r="O46" s="67" t="s">
        <v>93</v>
      </c>
    </row>
    <row r="47" customFormat="false" ht="54.75" hidden="false" customHeight="true" outlineLevel="0" collapsed="false">
      <c r="B47" s="60" t="s">
        <v>94</v>
      </c>
      <c r="C47" s="68" t="s">
        <v>95</v>
      </c>
      <c r="D47" s="69" t="n">
        <v>200</v>
      </c>
      <c r="E47" s="70" t="n">
        <v>24</v>
      </c>
      <c r="F47" s="65" t="n">
        <v>600</v>
      </c>
      <c r="G47" s="65" t="n">
        <v>600</v>
      </c>
      <c r="H47" s="65" t="n">
        <v>600</v>
      </c>
      <c r="I47" s="65" t="n">
        <v>600</v>
      </c>
      <c r="J47" s="65" t="n">
        <v>600</v>
      </c>
      <c r="K47" s="65" t="n">
        <v>600</v>
      </c>
      <c r="L47" s="65" t="n">
        <v>600</v>
      </c>
      <c r="M47" s="65" t="n">
        <v>600</v>
      </c>
      <c r="N47" s="66" t="n">
        <f aca="false">F47+G47+H47+I47+J47+K47+L47+M47</f>
        <v>4800</v>
      </c>
      <c r="O47" s="67" t="s">
        <v>96</v>
      </c>
    </row>
    <row r="48" customFormat="false" ht="54.75" hidden="false" customHeight="true" outlineLevel="0" collapsed="false">
      <c r="B48" s="60" t="s">
        <v>97</v>
      </c>
      <c r="C48" s="60" t="s">
        <v>98</v>
      </c>
      <c r="D48" s="69" t="n">
        <v>2500</v>
      </c>
      <c r="E48" s="70" t="n">
        <v>18</v>
      </c>
      <c r="F48" s="65" t="n">
        <v>0</v>
      </c>
      <c r="G48" s="65" t="n">
        <v>0</v>
      </c>
      <c r="H48" s="65" t="n">
        <v>12500</v>
      </c>
      <c r="I48" s="65" t="n">
        <v>7500</v>
      </c>
      <c r="J48" s="65" t="n">
        <v>7500</v>
      </c>
      <c r="K48" s="65" t="n">
        <v>7500</v>
      </c>
      <c r="L48" s="65" t="n">
        <v>7500</v>
      </c>
      <c r="M48" s="65" t="n">
        <v>7500</v>
      </c>
      <c r="N48" s="66" t="n">
        <f aca="false">F48+G48+H48+I48+J48+K48+L48+M48</f>
        <v>50000</v>
      </c>
      <c r="O48" s="67" t="s">
        <v>99</v>
      </c>
    </row>
    <row r="50" customFormat="false" ht="27.75" hidden="false" customHeight="true" outlineLevel="0" collapsed="false">
      <c r="B50" s="71" t="s">
        <v>100</v>
      </c>
      <c r="C50" s="71"/>
      <c r="D50" s="71"/>
      <c r="E50" s="71"/>
      <c r="F50" s="72" t="n">
        <f aca="false">SUM(F40:F48)</f>
        <v>11050</v>
      </c>
      <c r="G50" s="72" t="n">
        <f aca="false">SUM(G40:G48)</f>
        <v>14850</v>
      </c>
      <c r="H50" s="72" t="n">
        <f aca="false">SUM(H40:H48)</f>
        <v>29600</v>
      </c>
      <c r="I50" s="72" t="n">
        <f aca="false">SUM(I40:I48)</f>
        <v>26400</v>
      </c>
      <c r="J50" s="72" t="n">
        <f aca="false">SUM(J40:J48)</f>
        <v>26850</v>
      </c>
      <c r="K50" s="72" t="n">
        <f aca="false">SUM(K40:K48)</f>
        <v>26850</v>
      </c>
      <c r="L50" s="72" t="n">
        <f aca="false">SUM(L40:L48)</f>
        <v>26850</v>
      </c>
      <c r="M50" s="72" t="n">
        <f aca="false">SUM(M40:M48)</f>
        <v>26850</v>
      </c>
      <c r="N50" s="72" t="n">
        <f aca="false">SUM(N40:N48)</f>
        <v>189300</v>
      </c>
    </row>
    <row r="53" customFormat="false" ht="27.75" hidden="false" customHeight="true" outlineLevel="0" collapsed="false">
      <c r="B53" s="73" t="s">
        <v>101</v>
      </c>
      <c r="C53" s="73"/>
      <c r="D53" s="73"/>
      <c r="E53" s="73"/>
      <c r="F53" s="73"/>
      <c r="G53" s="73"/>
      <c r="H53" s="73"/>
      <c r="I53" s="73"/>
      <c r="J53" s="73"/>
      <c r="K53" s="73"/>
      <c r="L53" s="73"/>
      <c r="M53" s="73"/>
      <c r="N53" s="73"/>
      <c r="O53" s="73"/>
    </row>
    <row r="54" customFormat="false" ht="31.5" hidden="false" customHeight="true" outlineLevel="0" collapsed="false">
      <c r="B54" s="74" t="s">
        <v>102</v>
      </c>
      <c r="C54" s="74" t="s">
        <v>103</v>
      </c>
      <c r="D54" s="74" t="s">
        <v>104</v>
      </c>
      <c r="E54" s="74" t="s">
        <v>105</v>
      </c>
      <c r="F54" s="74" t="s">
        <v>106</v>
      </c>
      <c r="G54" s="74" t="s">
        <v>9</v>
      </c>
      <c r="H54" s="74" t="s">
        <v>10</v>
      </c>
      <c r="I54" s="74" t="s">
        <v>11</v>
      </c>
      <c r="J54" s="74" t="s">
        <v>107</v>
      </c>
      <c r="K54" s="74" t="s">
        <v>9</v>
      </c>
      <c r="L54" s="74" t="s">
        <v>10</v>
      </c>
      <c r="M54" s="74" t="s">
        <v>11</v>
      </c>
      <c r="N54" s="74" t="s">
        <v>46</v>
      </c>
      <c r="O54" s="74" t="s">
        <v>108</v>
      </c>
    </row>
    <row r="55" customFormat="false" ht="49.5" hidden="false" customHeight="true" outlineLevel="0" collapsed="false">
      <c r="B55" s="75" t="s">
        <v>109</v>
      </c>
      <c r="C55" s="75" t="s">
        <v>110</v>
      </c>
      <c r="D55" s="76" t="n">
        <v>10</v>
      </c>
      <c r="E55" s="75" t="s">
        <v>111</v>
      </c>
      <c r="F55" s="76" t="n">
        <v>3000</v>
      </c>
      <c r="G55" s="76" t="n">
        <v>9000</v>
      </c>
      <c r="H55" s="76" t="n">
        <v>9000</v>
      </c>
      <c r="I55" s="76" t="n">
        <v>9000</v>
      </c>
      <c r="J55" s="76" t="n">
        <v>15000</v>
      </c>
      <c r="K55" s="76" t="n">
        <v>15000</v>
      </c>
      <c r="L55" s="76" t="n">
        <v>15000</v>
      </c>
      <c r="M55" s="76" t="n">
        <v>15000</v>
      </c>
      <c r="N55" s="77" t="n">
        <f aca="false">F55+G55+H55+I55+J55+K55+L55+M55</f>
        <v>90000</v>
      </c>
      <c r="O55" s="78" t="s">
        <v>112</v>
      </c>
    </row>
    <row r="56" customFormat="false" ht="49.5" hidden="false" customHeight="true" outlineLevel="0" collapsed="false">
      <c r="B56" s="75" t="s">
        <v>113</v>
      </c>
      <c r="C56" s="75" t="s">
        <v>114</v>
      </c>
      <c r="D56" s="75" t="s">
        <v>115</v>
      </c>
      <c r="E56" s="75" t="s">
        <v>116</v>
      </c>
      <c r="F56" s="76" t="n">
        <v>0</v>
      </c>
      <c r="G56" s="76" t="n">
        <v>0</v>
      </c>
      <c r="H56" s="76" t="n">
        <v>1500</v>
      </c>
      <c r="I56" s="76" t="n">
        <v>3000</v>
      </c>
      <c r="J56" s="76" t="n">
        <v>4000</v>
      </c>
      <c r="K56" s="76" t="n">
        <v>4000</v>
      </c>
      <c r="L56" s="76" t="n">
        <v>4000</v>
      </c>
      <c r="M56" s="76" t="n">
        <v>4000</v>
      </c>
      <c r="N56" s="77" t="n">
        <f aca="false">F56+G56+H56+I56+J56+K56+L56+M56</f>
        <v>20500</v>
      </c>
      <c r="O56" s="78" t="s">
        <v>117</v>
      </c>
    </row>
    <row r="58" customFormat="false" ht="27.75" hidden="false" customHeight="true" outlineLevel="0" collapsed="false">
      <c r="B58" s="79" t="s">
        <v>118</v>
      </c>
      <c r="C58" s="79"/>
      <c r="D58" s="79"/>
      <c r="E58" s="79"/>
      <c r="F58" s="80" t="n">
        <f aca="false">SUM(F55:F56)</f>
        <v>3000</v>
      </c>
      <c r="G58" s="80" t="n">
        <f aca="false">SUM(G55:G56)</f>
        <v>9000</v>
      </c>
      <c r="H58" s="80" t="n">
        <f aca="false">SUM(H55:H56)</f>
        <v>10500</v>
      </c>
      <c r="I58" s="80" t="n">
        <f aca="false">SUM(I55:I56)</f>
        <v>12000</v>
      </c>
      <c r="J58" s="80" t="n">
        <f aca="false">SUM(J55:J56)</f>
        <v>19000</v>
      </c>
      <c r="K58" s="80" t="n">
        <f aca="false">SUM(K55:K56)</f>
        <v>19000</v>
      </c>
      <c r="L58" s="80" t="n">
        <f aca="false">SUM(L55:L56)</f>
        <v>19000</v>
      </c>
      <c r="M58" s="80" t="n">
        <f aca="false">SUM(M55:M56)</f>
        <v>19000</v>
      </c>
      <c r="N58" s="80" t="n">
        <f aca="false">SUM(N55:N56)</f>
        <v>110500</v>
      </c>
    </row>
    <row r="61" customFormat="false" ht="27.75" hidden="false" customHeight="true" outlineLevel="0" collapsed="false">
      <c r="B61" s="81" t="s">
        <v>119</v>
      </c>
      <c r="C61" s="81"/>
      <c r="D61" s="81"/>
      <c r="E61" s="81"/>
      <c r="F61" s="81"/>
      <c r="G61" s="81"/>
      <c r="H61" s="81"/>
      <c r="I61" s="81"/>
      <c r="J61" s="81"/>
      <c r="K61" s="81"/>
      <c r="L61" s="81"/>
      <c r="M61" s="81"/>
      <c r="N61" s="81"/>
      <c r="O61" s="81"/>
    </row>
    <row r="62" customFormat="false" ht="24" hidden="false" customHeight="true" outlineLevel="0" collapsed="false">
      <c r="B62" s="82" t="s">
        <v>120</v>
      </c>
      <c r="C62" s="82"/>
      <c r="D62" s="82"/>
      <c r="E62" s="82"/>
      <c r="F62" s="82"/>
      <c r="G62" s="82"/>
      <c r="H62" s="82"/>
      <c r="I62" s="82"/>
      <c r="J62" s="82"/>
      <c r="K62" s="82"/>
      <c r="L62" s="82"/>
      <c r="M62" s="82"/>
      <c r="N62" s="83" t="s">
        <v>46</v>
      </c>
      <c r="O62" s="83" t="s">
        <v>103</v>
      </c>
    </row>
    <row r="63" customFormat="false" ht="30" hidden="false" customHeight="true" outlineLevel="0" collapsed="false">
      <c r="B63" s="84" t="s">
        <v>121</v>
      </c>
      <c r="C63" s="84"/>
      <c r="D63" s="84"/>
      <c r="E63" s="84"/>
      <c r="F63" s="84"/>
      <c r="G63" s="84"/>
      <c r="H63" s="84"/>
      <c r="I63" s="84"/>
      <c r="J63" s="84"/>
      <c r="K63" s="84"/>
      <c r="L63" s="84"/>
      <c r="M63" s="84"/>
      <c r="N63" s="85" t="n">
        <f aca="false">N34</f>
        <v>30000</v>
      </c>
      <c r="O63" s="86" t="s">
        <v>122</v>
      </c>
    </row>
    <row r="64" customFormat="false" ht="30" hidden="false" customHeight="true" outlineLevel="0" collapsed="false">
      <c r="B64" s="84" t="s">
        <v>123</v>
      </c>
      <c r="C64" s="84"/>
      <c r="D64" s="84"/>
      <c r="E64" s="84"/>
      <c r="F64" s="84"/>
      <c r="G64" s="84"/>
      <c r="H64" s="84"/>
      <c r="I64" s="84"/>
      <c r="J64" s="84"/>
      <c r="K64" s="84"/>
      <c r="L64" s="84"/>
      <c r="M64" s="84"/>
      <c r="N64" s="85" t="n">
        <f aca="false">N50</f>
        <v>189300</v>
      </c>
      <c r="O64" s="86" t="s">
        <v>124</v>
      </c>
    </row>
    <row r="65" customFormat="false" ht="30" hidden="false" customHeight="true" outlineLevel="0" collapsed="false">
      <c r="B65" s="84" t="s">
        <v>125</v>
      </c>
      <c r="C65" s="84"/>
      <c r="D65" s="84"/>
      <c r="E65" s="84"/>
      <c r="F65" s="84"/>
      <c r="G65" s="84"/>
      <c r="H65" s="84"/>
      <c r="I65" s="84"/>
      <c r="J65" s="84"/>
      <c r="K65" s="84"/>
      <c r="L65" s="84"/>
      <c r="M65" s="84"/>
      <c r="N65" s="85" t="n">
        <f aca="false">N58</f>
        <v>110500</v>
      </c>
      <c r="O65" s="86" t="s">
        <v>126</v>
      </c>
    </row>
    <row r="66" customFormat="false" ht="30" hidden="false" customHeight="true" outlineLevel="0" collapsed="false">
      <c r="B66" s="79" t="s">
        <v>127</v>
      </c>
      <c r="C66" s="79"/>
      <c r="D66" s="79"/>
      <c r="E66" s="79"/>
      <c r="F66" s="79"/>
      <c r="G66" s="79"/>
      <c r="H66" s="79"/>
      <c r="I66" s="79"/>
      <c r="J66" s="79"/>
      <c r="K66" s="79"/>
      <c r="L66" s="79"/>
      <c r="M66" s="79"/>
      <c r="N66" s="80" t="n">
        <f aca="false">N63+N64+N65</f>
        <v>329800</v>
      </c>
      <c r="O66" s="86" t="s">
        <v>128</v>
      </c>
    </row>
    <row r="68" customFormat="false" ht="30" hidden="false" customHeight="true" outlineLevel="0" collapsed="false">
      <c r="B68" s="87" t="s">
        <v>129</v>
      </c>
      <c r="C68" s="87"/>
      <c r="D68" s="87"/>
      <c r="E68" s="87"/>
      <c r="F68" s="87"/>
      <c r="G68" s="87"/>
      <c r="H68" s="87"/>
      <c r="I68" s="87"/>
      <c r="J68" s="87"/>
      <c r="K68" s="87"/>
      <c r="L68" s="87"/>
      <c r="M68" s="87"/>
      <c r="N68" s="87"/>
      <c r="O68" s="87"/>
    </row>
  </sheetData>
  <mergeCells count="16">
    <mergeCell ref="B1:N1"/>
    <mergeCell ref="B9:B18"/>
    <mergeCell ref="B20:B29"/>
    <mergeCell ref="B30:C30"/>
    <mergeCell ref="B34:C34"/>
    <mergeCell ref="B38:O38"/>
    <mergeCell ref="B50:E50"/>
    <mergeCell ref="B53:O53"/>
    <mergeCell ref="B58:E58"/>
    <mergeCell ref="B61:O61"/>
    <mergeCell ref="B62:M62"/>
    <mergeCell ref="B63:M63"/>
    <mergeCell ref="B64:M64"/>
    <mergeCell ref="B65:M65"/>
    <mergeCell ref="B66:M66"/>
    <mergeCell ref="B68:O6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1" activeCellId="0" sqref="A21"/>
    </sheetView>
  </sheetViews>
  <sheetFormatPr defaultColWidth="8.859375" defaultRowHeight="15" zeroHeight="false" outlineLevelRow="0" outlineLevelCol="0"/>
  <cols>
    <col collapsed="false" customWidth="true" hidden="false" outlineLevel="0" max="1" min="1" style="0" width="26.42"/>
    <col collapsed="false" customWidth="true" hidden="false" outlineLevel="0" max="2" min="2" style="0" width="59.29"/>
  </cols>
  <sheetData>
    <row r="1" customFormat="false" ht="15" hidden="false" customHeight="false" outlineLevel="0" collapsed="false">
      <c r="A1" s="88"/>
      <c r="B1" s="88"/>
    </row>
    <row r="2" customFormat="false" ht="15" hidden="false" customHeight="false" outlineLevel="0" collapsed="false">
      <c r="A2" s="88"/>
      <c r="B2" s="88"/>
    </row>
    <row r="3" customFormat="false" ht="15.75" hidden="false" customHeight="true" outlineLevel="0" collapsed="false">
      <c r="A3" s="89" t="s">
        <v>130</v>
      </c>
      <c r="B3" s="88"/>
    </row>
    <row r="4" customFormat="false" ht="15" hidden="false" customHeight="false" outlineLevel="0" collapsed="false">
      <c r="A4" s="88" t="s">
        <v>131</v>
      </c>
      <c r="B4" s="88"/>
    </row>
    <row r="5" customFormat="false" ht="15" hidden="false" customHeight="false" outlineLevel="0" collapsed="false">
      <c r="A5" s="88" t="s">
        <v>132</v>
      </c>
      <c r="B5" s="88"/>
    </row>
    <row r="6" customFormat="false" ht="15" hidden="false" customHeight="false" outlineLevel="0" collapsed="false">
      <c r="A6" s="88" t="s">
        <v>133</v>
      </c>
      <c r="B6" s="88"/>
    </row>
    <row r="7" customFormat="false" ht="15" hidden="false" customHeight="false" outlineLevel="0" collapsed="false">
      <c r="A7" s="90"/>
      <c r="B7" s="88"/>
    </row>
    <row r="8" customFormat="false" ht="15" hidden="false" customHeight="false" outlineLevel="0" collapsed="false">
      <c r="A8" s="88"/>
      <c r="B8" s="88"/>
    </row>
    <row r="9" customFormat="false" ht="15" hidden="false" customHeight="false" outlineLevel="0" collapsed="false">
      <c r="A9" s="88"/>
      <c r="B9" s="88"/>
    </row>
    <row r="10" customFormat="false" ht="15" hidden="false" customHeight="false" outlineLevel="0" collapsed="false">
      <c r="A10" s="8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2019-11-08T19:44:55Z</dcterms:created>
  <dc:creator>Allison Towle</dc:creator>
  <dc:description/>
  <dc:language>en-US</dc:language>
  <cp:lastModifiedBy>Roxani Roushas</cp:lastModifiedBy>
  <dcterms:modified xsi:type="dcterms:W3CDTF">2026-04-30T17:38:25Z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0x0101002B74FC62178A4C40BB155D4CAAF60BC6</vt:lpwstr>
  </property>
  <property fmtid="{D5CDD505-2E9C-101B-9397-08002B2CF9AE}" pid="3" name="MediaServiceImageTags">
    <vt:lpwstr/>
  </property>
</Properties>
</file>