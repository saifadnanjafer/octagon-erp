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حظور" sheetId="1" r:id="rId5"/>
  </sheets>
  <definedNames/>
  <calcPr/>
</workbook>
</file>

<file path=xl/sharedStrings.xml><?xml version="1.0" encoding="utf-8"?>
<sst xmlns="http://schemas.openxmlformats.org/spreadsheetml/2006/main" count="202" uniqueCount="32">
  <si>
    <t xml:space="preserve">تاريخ  </t>
  </si>
  <si>
    <t xml:space="preserve">اليوم </t>
  </si>
  <si>
    <t>الحضور</t>
  </si>
  <si>
    <t>الاضافي</t>
  </si>
  <si>
    <t>الراتب بالساعات</t>
  </si>
  <si>
    <t>الراتب الاسمي</t>
  </si>
  <si>
    <t>القطوعات و الغرامات</t>
  </si>
  <si>
    <t>المكافئات و البدلات</t>
  </si>
  <si>
    <t>الاجمالي</t>
  </si>
  <si>
    <t>الكلي</t>
  </si>
  <si>
    <t>المستلم</t>
  </si>
  <si>
    <t>حضور</t>
  </si>
  <si>
    <t>اضافي</t>
  </si>
  <si>
    <t>دخول</t>
  </si>
  <si>
    <t>خروج</t>
  </si>
  <si>
    <t>الاسم</t>
  </si>
  <si>
    <t>حيدر المحاسب</t>
  </si>
  <si>
    <t>x</t>
  </si>
  <si>
    <t>X</t>
  </si>
  <si>
    <t>يوسف يعقوب</t>
  </si>
  <si>
    <t>عبد الرضا عقيل</t>
  </si>
  <si>
    <t>0.1</t>
  </si>
  <si>
    <t>حيدر يافوز</t>
  </si>
  <si>
    <t>1.75</t>
  </si>
  <si>
    <t xml:space="preserve">أنوار كريم جواد  </t>
  </si>
  <si>
    <t>سراج عدنان</t>
  </si>
  <si>
    <t>علي الكهربائي</t>
  </si>
  <si>
    <t>4.75</t>
  </si>
  <si>
    <t>0.5</t>
  </si>
  <si>
    <t>وليد</t>
  </si>
  <si>
    <t>4.76</t>
  </si>
  <si>
    <t>0.6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</si>
</sst>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"/>
    <numFmt numFmtId="165" formatCode="#,##0;(#,##0)"/>
    <numFmt numFmtId="166" formatCode="ddd"/>
    <numFmt numFmtId="167" formatCode="#,##0.0"/>
    <numFmt numFmtId="168" formatCode="m.d"/>
  </numFmts>
  <fonts count="23">
    <font>
      <sz val="10.0"/>
      <color rgb="FF000000"/>
      <name val="Arial"/>
      <scheme val="minor"/>
    </font>
    <font>
      <b/>
      <sz val="10.0"/>
      <color rgb="FF303F9F"/>
      <name val="Roboto"/>
    </font>
    <font>
      <b/>
      <color rgb="FF303F9F"/>
      <name val="Roboto"/>
    </font>
    <font/>
    <font>
      <i/>
      <sz val="10.0"/>
      <color rgb="FF6772AD"/>
      <name val="Roboto"/>
    </font>
    <font>
      <b/>
      <sz val="12.0"/>
      <color rgb="FF0000FF"/>
      <name val="Roboto"/>
    </font>
    <font>
      <b/>
      <sz val="10.0"/>
      <color rgb="FF6772AD"/>
      <name val="Roboto"/>
    </font>
    <font>
      <b/>
      <color rgb="FF6772AD"/>
      <name val="Roboto"/>
    </font>
    <font>
      <b/>
      <sz val="12.0"/>
      <color rgb="FFFFFFFF"/>
      <name val="Roboto"/>
    </font>
    <font>
      <b/>
      <sz val="12.0"/>
      <color rgb="FF000000"/>
      <name val="Roboto"/>
    </font>
    <font>
      <sz val="12.0"/>
      <color rgb="FFFFFFFF"/>
      <name val="Roboto"/>
    </font>
    <font>
      <b/>
      <i/>
      <color rgb="FFC5CAE9"/>
      <name val="Roboto"/>
    </font>
    <font>
      <b/>
      <sz val="11.0"/>
      <color rgb="FF000000"/>
      <name val="Roboto"/>
    </font>
    <font>
      <b/>
      <sz val="11.0"/>
      <color rgb="FF0000FF"/>
      <name val="Roboto"/>
    </font>
    <font>
      <b/>
      <i/>
      <sz val="10.0"/>
      <color rgb="FF6772AD"/>
      <name val="Roboto"/>
    </font>
    <font>
      <color theme="1"/>
      <name val="Calibri"/>
    </font>
    <font>
      <b/>
      <sz val="12.0"/>
      <color rgb="FF6772AD"/>
      <name val="Roboto"/>
    </font>
    <font>
      <b/>
      <sz val="13.0"/>
      <color rgb="FF000000"/>
      <name val="Roboto"/>
    </font>
    <font>
      <b/>
      <sz val="13.0"/>
      <color theme="1"/>
      <name val="Roboto"/>
    </font>
    <font>
      <b/>
      <sz val="13.0"/>
      <color rgb="FFB45F06"/>
      <name val="Roboto"/>
    </font>
    <font>
      <b/>
      <sz val="14.0"/>
      <color theme="1"/>
      <name val="Roboto"/>
    </font>
    <font>
      <b/>
      <sz val="14.0"/>
      <color rgb="FF434343"/>
      <name val="Roboto"/>
    </font>
    <font>
      <b/>
      <sz val="10.0"/>
      <color theme="1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CFE2F3"/>
        <bgColor rgb="FFCFE2F3"/>
      </patternFill>
    </fill>
  </fills>
  <borders count="15">
    <border/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bottom style="thin">
        <color rgb="FFC5CAE9"/>
      </bottom>
    </border>
    <border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right style="thick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1" fillId="0" fontId="2" numFmtId="164" xfId="0" applyAlignment="1" applyBorder="1" applyFont="1" applyNumberFormat="1">
      <alignment horizontal="center" readingOrder="0" vertical="bottom"/>
    </xf>
    <xf borderId="2" fillId="0" fontId="2" numFmtId="164" xfId="0" applyAlignment="1" applyBorder="1" applyFont="1" applyNumberFormat="1">
      <alignment horizontal="center" readingOrder="0" vertical="bottom"/>
    </xf>
    <xf borderId="2" fillId="0" fontId="2" numFmtId="164" xfId="0" applyAlignment="1" applyBorder="1" applyFont="1" applyNumberFormat="1">
      <alignment horizontal="center" vertical="bottom"/>
    </xf>
    <xf borderId="3" fillId="0" fontId="2" numFmtId="164" xfId="0" applyAlignment="1" applyBorder="1" applyFont="1" applyNumberFormat="1">
      <alignment horizontal="center" vertical="bottom"/>
    </xf>
    <xf borderId="1" fillId="0" fontId="3" numFmtId="0" xfId="0" applyBorder="1" applyFont="1"/>
    <xf borderId="0" fillId="0" fontId="2" numFmtId="164" xfId="0" applyAlignment="1" applyFont="1" applyNumberFormat="1">
      <alignment horizontal="center" vertical="bottom"/>
    </xf>
    <xf borderId="4" fillId="2" fontId="1" numFmtId="0" xfId="0" applyAlignment="1" applyBorder="1" applyFill="1" applyFont="1">
      <alignment horizontal="left" readingOrder="0" shrinkToFit="0" vertical="bottom" wrapText="0"/>
    </xf>
    <xf borderId="0" fillId="2" fontId="1" numFmtId="0" xfId="0" applyAlignment="1" applyFont="1">
      <alignment horizontal="left" readingOrder="0" shrinkToFit="0" vertical="bottom" wrapText="0"/>
    </xf>
    <xf borderId="2" fillId="2" fontId="2" numFmtId="164" xfId="0" applyAlignment="1" applyBorder="1" applyFont="1" applyNumberFormat="1">
      <alignment horizontal="center" readingOrder="0" vertical="bottom"/>
    </xf>
    <xf borderId="5" fillId="0" fontId="4" numFmtId="0" xfId="0" applyAlignment="1" applyBorder="1" applyFont="1">
      <alignment horizontal="left" readingOrder="0" shrinkToFit="0" vertical="top" wrapText="1"/>
    </xf>
    <xf borderId="0" fillId="0" fontId="5" numFmtId="165" xfId="0" applyAlignment="1" applyFont="1" applyNumberFormat="1">
      <alignment horizontal="center" readingOrder="0" shrinkToFit="0" vertical="top" wrapText="1"/>
    </xf>
    <xf borderId="1" fillId="0" fontId="6" numFmtId="166" xfId="0" applyAlignment="1" applyBorder="1" applyFont="1" applyNumberFormat="1">
      <alignment horizontal="center" readingOrder="0" vertical="top"/>
    </xf>
    <xf borderId="2" fillId="0" fontId="6" numFmtId="166" xfId="0" applyAlignment="1" applyBorder="1" applyFont="1" applyNumberFormat="1">
      <alignment horizontal="center" readingOrder="0" vertical="top"/>
    </xf>
    <xf borderId="2" fillId="0" fontId="7" numFmtId="166" xfId="0" applyAlignment="1" applyBorder="1" applyFont="1" applyNumberFormat="1">
      <alignment horizontal="center" vertical="top"/>
    </xf>
    <xf borderId="3" fillId="0" fontId="7" numFmtId="166" xfId="0" applyAlignment="1" applyBorder="1" applyFont="1" applyNumberFormat="1">
      <alignment horizontal="center" vertical="top"/>
    </xf>
    <xf borderId="0" fillId="0" fontId="7" numFmtId="166" xfId="0" applyAlignment="1" applyFont="1" applyNumberFormat="1">
      <alignment horizontal="center" vertical="top"/>
    </xf>
    <xf borderId="4" fillId="2" fontId="5" numFmtId="165" xfId="0" applyAlignment="1" applyBorder="1" applyFont="1" applyNumberFormat="1">
      <alignment horizontal="center" readingOrder="0" shrinkToFit="0" vertical="top" wrapText="1"/>
    </xf>
    <xf borderId="0" fillId="3" fontId="8" numFmtId="0" xfId="0" applyAlignment="1" applyFill="1" applyFont="1">
      <alignment horizontal="center" readingOrder="0" shrinkToFit="0" vertical="center" wrapText="1"/>
    </xf>
    <xf borderId="0" fillId="3" fontId="9" numFmtId="0" xfId="0" applyAlignment="1" applyFont="1">
      <alignment horizontal="center" readingOrder="0" shrinkToFit="0" vertical="center" wrapText="1"/>
    </xf>
    <xf borderId="0" fillId="0" fontId="5" numFmtId="165" xfId="0" applyAlignment="1" applyFont="1" applyNumberFormat="1">
      <alignment horizontal="center" readingOrder="0" shrinkToFit="0" vertical="center" wrapText="1"/>
    </xf>
    <xf borderId="2" fillId="2" fontId="6" numFmtId="166" xfId="0" applyAlignment="1" applyBorder="1" applyFont="1" applyNumberFormat="1">
      <alignment horizontal="center" readingOrder="0" vertical="top"/>
    </xf>
    <xf borderId="0" fillId="3" fontId="10" numFmtId="0" xfId="0" applyAlignment="1" applyFont="1">
      <alignment readingOrder="0" vertical="bottom"/>
    </xf>
    <xf borderId="1" fillId="3" fontId="11" numFmtId="0" xfId="0" applyAlignment="1" applyBorder="1" applyFont="1">
      <alignment horizontal="left" vertical="center"/>
    </xf>
    <xf borderId="2" fillId="3" fontId="11" numFmtId="0" xfId="0" applyAlignment="1" applyBorder="1" applyFont="1">
      <alignment horizontal="left" vertical="center"/>
    </xf>
    <xf borderId="2" fillId="3" fontId="12" numFmtId="0" xfId="0" applyAlignment="1" applyBorder="1" applyFont="1">
      <alignment horizontal="center" readingOrder="0" vertical="center"/>
    </xf>
    <xf borderId="2" fillId="4" fontId="13" numFmtId="0" xfId="0" applyAlignment="1" applyBorder="1" applyFill="1" applyFont="1">
      <alignment horizontal="center" readingOrder="0" vertical="center"/>
    </xf>
    <xf borderId="4" fillId="2" fontId="10" numFmtId="0" xfId="0" applyAlignment="1" applyBorder="1" applyFont="1">
      <alignment readingOrder="0" vertical="bottom"/>
    </xf>
    <xf borderId="0" fillId="3" fontId="11" numFmtId="0" xfId="0" applyAlignment="1" applyFont="1">
      <alignment horizontal="left" vertical="center"/>
    </xf>
    <xf borderId="0" fillId="0" fontId="4" numFmtId="0" xfId="0" applyAlignment="1" applyFont="1">
      <alignment horizontal="left" readingOrder="0" shrinkToFit="0" vertical="top" wrapText="1"/>
    </xf>
    <xf borderId="6" fillId="0" fontId="14" numFmtId="0" xfId="0" applyAlignment="1" applyBorder="1" applyFont="1">
      <alignment horizontal="center" readingOrder="0" shrinkToFit="0" vertical="top" wrapText="1"/>
    </xf>
    <xf borderId="7" fillId="0" fontId="14" numFmtId="0" xfId="0" applyAlignment="1" applyBorder="1" applyFont="1">
      <alignment horizontal="center" readingOrder="0" shrinkToFit="0" vertical="top" wrapText="1"/>
    </xf>
    <xf borderId="7" fillId="0" fontId="15" numFmtId="0" xfId="0" applyAlignment="1" applyBorder="1" applyFont="1">
      <alignment vertical="top"/>
    </xf>
    <xf borderId="0" fillId="2" fontId="5" numFmtId="165" xfId="0" applyAlignment="1" applyFont="1" applyNumberFormat="1">
      <alignment horizontal="center" readingOrder="0" shrinkToFit="0" vertical="top" wrapText="1"/>
    </xf>
    <xf borderId="2" fillId="0" fontId="14" numFmtId="0" xfId="0" applyAlignment="1" applyBorder="1" applyFont="1">
      <alignment horizontal="center" readingOrder="0" shrinkToFit="0" vertical="top" wrapText="1"/>
    </xf>
    <xf borderId="0" fillId="0" fontId="14" numFmtId="0" xfId="0" applyAlignment="1" applyFont="1">
      <alignment horizontal="center" readingOrder="0" shrinkToFit="0" vertical="top" wrapText="1"/>
    </xf>
    <xf borderId="0" fillId="2" fontId="14" numFmtId="0" xfId="0" applyAlignment="1" applyFont="1">
      <alignment horizontal="center" readingOrder="0" shrinkToFit="0" vertical="top" wrapText="1"/>
    </xf>
    <xf borderId="0" fillId="0" fontId="16" numFmtId="4" xfId="0" applyAlignment="1" applyFont="1" applyNumberFormat="1">
      <alignment horizontal="center" readingOrder="0" shrinkToFit="0" vertical="top" wrapText="1"/>
    </xf>
    <xf borderId="8" fillId="0" fontId="17" numFmtId="0" xfId="0" applyAlignment="1" applyBorder="1" applyFont="1">
      <alignment horizontal="center" readingOrder="0" vertical="center"/>
    </xf>
    <xf borderId="9" fillId="0" fontId="17" numFmtId="0" xfId="0" applyAlignment="1" applyBorder="1" applyFont="1">
      <alignment horizontal="center" readingOrder="0" shrinkToFit="0" vertical="center" wrapText="1"/>
    </xf>
    <xf borderId="9" fillId="0" fontId="17" numFmtId="0" xfId="0" applyAlignment="1" applyBorder="1" applyFont="1">
      <alignment horizontal="center" readingOrder="0" vertical="center"/>
    </xf>
    <xf borderId="8" fillId="0" fontId="18" numFmtId="0" xfId="0" applyAlignment="1" applyBorder="1" applyFont="1">
      <alignment horizontal="center" readingOrder="0" vertical="center"/>
    </xf>
    <xf borderId="8" fillId="0" fontId="19" numFmtId="0" xfId="0" applyAlignment="1" applyBorder="1" applyFont="1">
      <alignment horizontal="center" readingOrder="0" vertical="center"/>
    </xf>
    <xf borderId="8" fillId="0" fontId="18" numFmtId="0" xfId="0" applyAlignment="1" applyBorder="1" applyFont="1">
      <alignment horizontal="center" readingOrder="0" vertical="center"/>
    </xf>
    <xf borderId="8" fillId="0" fontId="18" numFmtId="0" xfId="0" applyAlignment="1" applyBorder="1" applyFont="1">
      <alignment horizontal="center" readingOrder="0" vertical="center"/>
    </xf>
    <xf borderId="8" fillId="0" fontId="20" numFmtId="0" xfId="0" applyAlignment="1" applyBorder="1" applyFont="1">
      <alignment horizontal="center" readingOrder="0" vertical="center"/>
    </xf>
    <xf borderId="8" fillId="5" fontId="18" numFmtId="0" xfId="0" applyAlignment="1" applyBorder="1" applyFill="1" applyFont="1">
      <alignment horizontal="center" readingOrder="0" vertical="center"/>
    </xf>
    <xf borderId="8" fillId="6" fontId="18" numFmtId="0" xfId="0" applyAlignment="1" applyBorder="1" applyFill="1" applyFont="1">
      <alignment horizontal="center" readingOrder="0" vertical="center"/>
    </xf>
    <xf borderId="8" fillId="5" fontId="18" numFmtId="3" xfId="0" applyAlignment="1" applyBorder="1" applyFont="1" applyNumberFormat="1">
      <alignment horizontal="center" readingOrder="0" vertical="center"/>
    </xf>
    <xf borderId="8" fillId="0" fontId="18" numFmtId="3" xfId="0" applyAlignment="1" applyBorder="1" applyFont="1" applyNumberFormat="1">
      <alignment horizontal="center" readingOrder="0" vertical="center"/>
    </xf>
    <xf borderId="8" fillId="6" fontId="18" numFmtId="3" xfId="0" applyAlignment="1" applyBorder="1" applyFont="1" applyNumberFormat="1">
      <alignment horizontal="center" readingOrder="0" vertical="center"/>
    </xf>
    <xf borderId="9" fillId="0" fontId="18" numFmtId="3" xfId="0" applyAlignment="1" applyBorder="1" applyFont="1" applyNumberFormat="1">
      <alignment horizontal="center" readingOrder="0" vertical="center"/>
    </xf>
    <xf borderId="10" fillId="6" fontId="18" numFmtId="3" xfId="0" applyAlignment="1" applyBorder="1" applyFont="1" applyNumberFormat="1">
      <alignment horizontal="center" readingOrder="0" vertical="center"/>
    </xf>
    <xf borderId="11" fillId="2" fontId="17" numFmtId="3" xfId="0" applyAlignment="1" applyBorder="1" applyFont="1" applyNumberFormat="1">
      <alignment horizontal="center" readingOrder="0" vertical="center"/>
    </xf>
    <xf borderId="4" fillId="0" fontId="17" numFmtId="3" xfId="0" applyAlignment="1" applyBorder="1" applyFont="1" applyNumberFormat="1">
      <alignment horizontal="center" readingOrder="0" vertical="center"/>
    </xf>
    <xf borderId="12" fillId="0" fontId="21" numFmtId="3" xfId="0" applyAlignment="1" applyBorder="1" applyFont="1" applyNumberFormat="1">
      <alignment horizontal="center" readingOrder="0" shrinkToFit="0" vertical="center" wrapText="1"/>
    </xf>
    <xf borderId="4" fillId="0" fontId="17" numFmtId="3" xfId="0" applyAlignment="1" applyBorder="1" applyFont="1" applyNumberFormat="1">
      <alignment horizontal="center" readingOrder="0" vertical="center"/>
    </xf>
    <xf borderId="4" fillId="2" fontId="17" numFmtId="3" xfId="0" applyAlignment="1" applyBorder="1" applyFont="1" applyNumberFormat="1">
      <alignment horizontal="center" readingOrder="0" vertical="center"/>
    </xf>
    <xf borderId="8" fillId="2" fontId="22" numFmtId="0" xfId="0" applyAlignment="1" applyBorder="1" applyFont="1">
      <alignment horizontal="center" readingOrder="0" vertical="center"/>
    </xf>
    <xf borderId="8" fillId="0" fontId="18" numFmtId="167" xfId="0" applyAlignment="1" applyBorder="1" applyFont="1" applyNumberFormat="1">
      <alignment horizontal="center" readingOrder="0" vertical="center"/>
    </xf>
    <xf borderId="8" fillId="0" fontId="18" numFmtId="3" xfId="0" applyAlignment="1" applyBorder="1" applyFont="1" applyNumberFormat="1">
      <alignment horizontal="center" readingOrder="0" vertical="center"/>
    </xf>
    <xf borderId="8" fillId="6" fontId="18" numFmtId="0" xfId="0" applyAlignment="1" applyBorder="1" applyFont="1">
      <alignment horizontal="center" readingOrder="0" vertical="center"/>
    </xf>
    <xf borderId="8" fillId="5" fontId="18" numFmtId="0" xfId="0" applyAlignment="1" applyBorder="1" applyFont="1">
      <alignment horizontal="center" readingOrder="0" vertical="center"/>
    </xf>
    <xf borderId="8" fillId="5" fontId="18" numFmtId="3" xfId="0" applyAlignment="1" applyBorder="1" applyFont="1" applyNumberFormat="1">
      <alignment horizontal="center" readingOrder="0" vertical="center"/>
    </xf>
    <xf borderId="8" fillId="0" fontId="18" numFmtId="3" xfId="0" applyAlignment="1" applyBorder="1" applyFont="1" applyNumberFormat="1">
      <alignment horizontal="center" readingOrder="0" vertical="center"/>
    </xf>
    <xf borderId="8" fillId="6" fontId="18" numFmtId="3" xfId="0" applyAlignment="1" applyBorder="1" applyFont="1" applyNumberFormat="1">
      <alignment horizontal="center" readingOrder="0" vertical="center"/>
    </xf>
    <xf borderId="9" fillId="0" fontId="18" numFmtId="3" xfId="0" applyAlignment="1" applyBorder="1" applyFont="1" applyNumberFormat="1">
      <alignment horizontal="center" readingOrder="0" vertical="center"/>
    </xf>
    <xf borderId="10" fillId="6" fontId="18" numFmtId="3" xfId="0" applyAlignment="1" applyBorder="1" applyFont="1" applyNumberFormat="1">
      <alignment horizontal="center" readingOrder="0" vertical="center"/>
    </xf>
    <xf borderId="13" fillId="0" fontId="17" numFmtId="0" xfId="0" applyAlignment="1" applyBorder="1" applyFont="1">
      <alignment horizontal="center" readingOrder="0" vertical="center"/>
    </xf>
    <xf borderId="9" fillId="0" fontId="17" numFmtId="3" xfId="0" applyAlignment="1" applyBorder="1" applyFont="1" applyNumberFormat="1">
      <alignment horizontal="center" readingOrder="0" shrinkToFit="0" vertical="center" wrapText="1"/>
    </xf>
    <xf borderId="8" fillId="0" fontId="18" numFmtId="4" xfId="0" applyAlignment="1" applyBorder="1" applyFont="1" applyNumberFormat="1">
      <alignment horizontal="center" readingOrder="0" vertical="center"/>
    </xf>
    <xf borderId="8" fillId="0" fontId="18" numFmtId="4" xfId="0" applyAlignment="1" applyBorder="1" applyFont="1" applyNumberFormat="1">
      <alignment horizontal="center" readingOrder="0" vertical="center"/>
    </xf>
    <xf borderId="8" fillId="0" fontId="18" numFmtId="4" xfId="0" applyAlignment="1" applyBorder="1" applyFont="1" applyNumberFormat="1">
      <alignment horizontal="center" readingOrder="0" vertical="center"/>
    </xf>
    <xf borderId="8" fillId="6" fontId="18" numFmtId="4" xfId="0" applyAlignment="1" applyBorder="1" applyFont="1" applyNumberFormat="1">
      <alignment horizontal="center" readingOrder="0" vertical="center"/>
    </xf>
    <xf borderId="8" fillId="6" fontId="18" numFmtId="4" xfId="0" applyAlignment="1" applyBorder="1" applyFont="1" applyNumberFormat="1">
      <alignment horizontal="center" readingOrder="0" vertical="center"/>
    </xf>
    <xf borderId="8" fillId="5" fontId="18" numFmtId="4" xfId="0" applyAlignment="1" applyBorder="1" applyFont="1" applyNumberFormat="1">
      <alignment horizontal="center" readingOrder="0" vertical="center"/>
    </xf>
    <xf borderId="12" fillId="3" fontId="21" numFmtId="3" xfId="0" applyAlignment="1" applyBorder="1" applyFont="1" applyNumberFormat="1">
      <alignment horizontal="center" readingOrder="0" shrinkToFit="0" vertical="center" wrapText="1"/>
    </xf>
    <xf borderId="14" fillId="0" fontId="17" numFmtId="0" xfId="0" applyAlignment="1" applyBorder="1" applyFont="1">
      <alignment horizontal="center" readingOrder="0" vertical="center"/>
    </xf>
    <xf borderId="8" fillId="0" fontId="17" numFmtId="0" xfId="0" applyAlignment="1" applyBorder="1" applyFont="1">
      <alignment horizontal="center" readingOrder="0" vertical="center"/>
    </xf>
    <xf borderId="8" fillId="0" fontId="18" numFmtId="168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>
        <color rgb="FF0000FF"/>
      </font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>
        <color rgb="FF000000"/>
      </font>
      <fill>
        <patternFill patternType="solid">
          <fgColor rgb="FFFFFFFF"/>
          <bgColor rgb="FFFFFFFF"/>
        </patternFill>
      </fill>
      <border/>
    </dxf>
    <dxf>
      <font>
        <color rgb="FFFF00FF"/>
      </font>
      <fill>
        <patternFill patternType="solid">
          <fgColor rgb="FFFFFFFF"/>
          <bgColor rgb="FFFFFFFF"/>
        </patternFill>
      </fill>
      <border/>
    </dxf>
    <dxf>
      <font>
        <color rgb="FFFF0000"/>
      </font>
      <fill>
        <patternFill patternType="solid">
          <fgColor rgb="FFFFFFFF"/>
          <bgColor rgb="FFFFFFFF"/>
        </patternFill>
      </fill>
      <border/>
    </dxf>
  </dxfs>
  <tableStyles count="1">
    <tableStyle count="2" pivot="0" name="الحظور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0:JB13" displayName="Table_1" name="Table_1" id="1">
  <tableColumns count="26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</tableColumns>
  <tableStyleInfo name="الحظور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14.13"/>
    <col customWidth="1" min="2" max="2" width="8.13"/>
    <col customWidth="1" min="3" max="3" width="7.75"/>
    <col customWidth="1" hidden="1" min="4" max="33" width="8.5"/>
    <col customWidth="1" hidden="1" min="34" max="34" width="7.25"/>
    <col customWidth="1" hidden="1" min="35" max="35" width="7.75"/>
    <col customWidth="1" hidden="1" min="36" max="65" width="8.5"/>
    <col customWidth="1" min="66" max="66" width="8.5"/>
    <col customWidth="1" min="67" max="69" width="4.5"/>
    <col customWidth="1" min="70" max="70" width="8.5"/>
    <col customWidth="1" min="71" max="73" width="4.5"/>
    <col customWidth="1" min="74" max="74" width="8.5"/>
    <col customWidth="1" min="75" max="77" width="4.5"/>
    <col customWidth="1" min="78" max="78" width="8.5"/>
    <col customWidth="1" min="79" max="81" width="4.5"/>
    <col customWidth="1" min="82" max="82" width="8.5"/>
    <col customWidth="1" min="83" max="85" width="4.5"/>
    <col customWidth="1" min="86" max="86" width="8.5"/>
    <col customWidth="1" min="87" max="89" width="4.5"/>
    <col customWidth="1" min="90" max="90" width="8.5"/>
    <col customWidth="1" min="91" max="93" width="4.5"/>
    <col customWidth="1" min="94" max="94" width="8.5"/>
    <col customWidth="1" min="95" max="97" width="4.5"/>
    <col customWidth="1" min="98" max="98" width="8.5"/>
    <col customWidth="1" min="99" max="101" width="4.5"/>
    <col customWidth="1" min="102" max="102" width="8.5"/>
    <col customWidth="1" min="103" max="105" width="4.5"/>
    <col customWidth="1" min="106" max="106" width="8.5"/>
    <col customWidth="1" min="107" max="109" width="4.5"/>
    <col customWidth="1" min="110" max="110" width="8.5"/>
    <col customWidth="1" min="111" max="113" width="4.5"/>
    <col customWidth="1" min="114" max="114" width="8.5"/>
    <col customWidth="1" min="115" max="117" width="4.5"/>
    <col customWidth="1" min="118" max="118" width="8.5"/>
    <col customWidth="1" min="119" max="121" width="4.5"/>
    <col customWidth="1" min="122" max="122" width="8.5"/>
    <col customWidth="1" min="123" max="125" width="4.5"/>
    <col customWidth="1" min="126" max="126" width="8.5"/>
    <col customWidth="1" min="127" max="129" width="4.5"/>
    <col customWidth="1" min="130" max="130" width="9.75"/>
    <col customWidth="1" min="131" max="133" width="4.5"/>
    <col customWidth="1" min="134" max="134" width="9.75"/>
    <col customWidth="1" min="135" max="137" width="4.5"/>
    <col customWidth="1" min="138" max="138" width="9.75"/>
    <col customWidth="1" min="139" max="141" width="4.5"/>
    <col customWidth="1" min="142" max="142" width="9.75"/>
    <col customWidth="1" min="143" max="145" width="4.5"/>
    <col customWidth="1" min="146" max="146" width="9.75"/>
    <col customWidth="1" min="147" max="149" width="4.5"/>
    <col customWidth="1" min="150" max="150" width="9.75"/>
    <col customWidth="1" min="151" max="153" width="4.5"/>
    <col customWidth="1" min="154" max="154" width="9.75"/>
    <col customWidth="1" min="155" max="157" width="4.5"/>
    <col customWidth="1" min="158" max="158" width="9.75"/>
    <col customWidth="1" min="159" max="161" width="4.5"/>
    <col customWidth="1" min="162" max="162" width="9.75"/>
    <col customWidth="1" min="163" max="165" width="4.5"/>
    <col customWidth="1" min="166" max="166" width="9.75"/>
    <col customWidth="1" min="167" max="169" width="4.5"/>
    <col customWidth="1" min="170" max="170" width="9.75"/>
    <col customWidth="1" min="171" max="173" width="4.5"/>
    <col customWidth="1" min="174" max="174" width="9.75"/>
    <col customWidth="1" min="175" max="177" width="4.5"/>
    <col customWidth="1" min="178" max="178" width="9.75"/>
    <col customWidth="1" min="179" max="181" width="4.5"/>
    <col customWidth="1" min="182" max="182" width="9.75"/>
    <col customWidth="1" min="183" max="185" width="4.5"/>
    <col customWidth="1" min="186" max="186" width="9.75"/>
    <col customWidth="1" min="187" max="189" width="4.5"/>
    <col customWidth="1" min="190" max="190" width="2.88"/>
    <col customWidth="1" min="191" max="191" width="12.75"/>
    <col customWidth="1" min="192" max="192" width="17.13"/>
    <col customWidth="1" min="193" max="193" width="16.0"/>
    <col customWidth="1" min="194" max="194" width="17.75"/>
    <col customWidth="1" min="195" max="195" width="16.0"/>
    <col customWidth="1" min="196" max="196" width="18.0"/>
    <col customWidth="1" min="197" max="197" width="17.0"/>
    <col customWidth="1" min="198" max="198" width="2.75"/>
    <col customWidth="1" hidden="1" min="199" max="199" width="4.38"/>
    <col customWidth="1" hidden="1" min="200" max="200" width="3.88"/>
    <col customWidth="1" hidden="1" min="201" max="201" width="4.38"/>
    <col customWidth="1" hidden="1" min="202" max="202" width="4.0"/>
    <col customWidth="1" hidden="1" min="203" max="204" width="3.63"/>
    <col customWidth="1" hidden="1" min="205" max="205" width="4.0"/>
    <col customWidth="1" hidden="1" min="206" max="206" width="4.38"/>
    <col customWidth="1" hidden="1" min="207" max="207" width="3.88"/>
    <col customWidth="1" hidden="1" min="208" max="209" width="4.5"/>
    <col customWidth="1" hidden="1" min="210" max="229" width="4.88"/>
    <col customWidth="1" hidden="1" min="230" max="230" width="0.75"/>
    <col customWidth="1" hidden="1" min="231" max="261" width="4.88"/>
    <col customWidth="1" hidden="1" min="262" max="262" width="0.75"/>
  </cols>
  <sheetData>
    <row r="1" ht="20.25" customHeight="1">
      <c r="A1" s="1" t="s">
        <v>0</v>
      </c>
      <c r="B1" s="1"/>
      <c r="C1" s="1"/>
      <c r="D1" s="2">
        <v>45839.0</v>
      </c>
      <c r="E1" s="3">
        <v>45840.0</v>
      </c>
      <c r="F1" s="3">
        <v>45841.0</v>
      </c>
      <c r="G1" s="3">
        <v>45842.0</v>
      </c>
      <c r="H1" s="3">
        <v>45843.0</v>
      </c>
      <c r="I1" s="3">
        <v>45844.0</v>
      </c>
      <c r="J1" s="3">
        <v>45845.0</v>
      </c>
      <c r="K1" s="3">
        <v>45846.0</v>
      </c>
      <c r="L1" s="3">
        <v>45847.0</v>
      </c>
      <c r="M1" s="3">
        <v>45848.0</v>
      </c>
      <c r="N1" s="3">
        <v>45849.0</v>
      </c>
      <c r="O1" s="3">
        <v>45850.0</v>
      </c>
      <c r="P1" s="3">
        <v>45851.0</v>
      </c>
      <c r="Q1" s="3">
        <v>45852.0</v>
      </c>
      <c r="R1" s="3">
        <v>45853.0</v>
      </c>
      <c r="S1" s="3">
        <v>45854.0</v>
      </c>
      <c r="T1" s="3">
        <v>45855.0</v>
      </c>
      <c r="U1" s="3">
        <v>45856.0</v>
      </c>
      <c r="V1" s="3">
        <v>45857.0</v>
      </c>
      <c r="W1" s="3">
        <v>45858.0</v>
      </c>
      <c r="X1" s="3">
        <v>45859.0</v>
      </c>
      <c r="Y1" s="3">
        <v>45860.0</v>
      </c>
      <c r="Z1" s="3">
        <v>45861.0</v>
      </c>
      <c r="AA1" s="3">
        <v>45862.0</v>
      </c>
      <c r="AB1" s="3">
        <v>45863.0</v>
      </c>
      <c r="AC1" s="3">
        <v>45864.0</v>
      </c>
      <c r="AD1" s="3">
        <v>45865.0</v>
      </c>
      <c r="AE1" s="3">
        <v>45866.0</v>
      </c>
      <c r="AF1" s="3">
        <v>45867.0</v>
      </c>
      <c r="AG1" s="3">
        <v>45868.0</v>
      </c>
      <c r="AH1" s="3">
        <v>45869.0</v>
      </c>
      <c r="AI1" s="4">
        <v>45839.0</v>
      </c>
      <c r="AJ1" s="4">
        <v>45840.0</v>
      </c>
      <c r="AK1" s="4">
        <v>45841.0</v>
      </c>
      <c r="AL1" s="4">
        <v>45842.0</v>
      </c>
      <c r="AM1" s="4">
        <v>45843.0</v>
      </c>
      <c r="AN1" s="4">
        <v>45844.0</v>
      </c>
      <c r="AO1" s="4">
        <v>45845.0</v>
      </c>
      <c r="AP1" s="4">
        <v>45846.0</v>
      </c>
      <c r="AQ1" s="4">
        <v>45847.0</v>
      </c>
      <c r="AR1" s="4">
        <v>45848.0</v>
      </c>
      <c r="AS1" s="4">
        <v>45849.0</v>
      </c>
      <c r="AT1" s="4">
        <v>45850.0</v>
      </c>
      <c r="AU1" s="4">
        <v>45851.0</v>
      </c>
      <c r="AV1" s="4">
        <v>45852.0</v>
      </c>
      <c r="AW1" s="4">
        <v>45853.0</v>
      </c>
      <c r="AX1" s="4">
        <v>45854.0</v>
      </c>
      <c r="AY1" s="4">
        <v>45855.0</v>
      </c>
      <c r="AZ1" s="4">
        <v>45856.0</v>
      </c>
      <c r="BA1" s="4">
        <v>45857.0</v>
      </c>
      <c r="BB1" s="4">
        <v>45858.0</v>
      </c>
      <c r="BC1" s="4">
        <v>45859.0</v>
      </c>
      <c r="BD1" s="4">
        <v>45860.0</v>
      </c>
      <c r="BE1" s="4">
        <v>45861.0</v>
      </c>
      <c r="BF1" s="4">
        <v>45862.0</v>
      </c>
      <c r="BG1" s="4">
        <v>45863.0</v>
      </c>
      <c r="BH1" s="4">
        <v>45864.0</v>
      </c>
      <c r="BI1" s="4">
        <v>45865.0</v>
      </c>
      <c r="BJ1" s="4">
        <v>45866.0</v>
      </c>
      <c r="BK1" s="4">
        <v>45867.0</v>
      </c>
      <c r="BL1" s="4">
        <v>45868.0</v>
      </c>
      <c r="BM1" s="4">
        <v>45869.0</v>
      </c>
      <c r="BN1" s="5">
        <v>45870.0</v>
      </c>
      <c r="BO1" s="6"/>
      <c r="BP1" s="4"/>
      <c r="BQ1" s="4"/>
      <c r="BR1" s="5">
        <v>45871.0</v>
      </c>
      <c r="BS1" s="6"/>
      <c r="BT1" s="4"/>
      <c r="BU1" s="4"/>
      <c r="BV1" s="5">
        <v>45872.0</v>
      </c>
      <c r="BW1" s="6"/>
      <c r="BX1" s="4"/>
      <c r="BY1" s="4"/>
      <c r="BZ1" s="5">
        <v>45873.0</v>
      </c>
      <c r="CA1" s="6"/>
      <c r="CB1" s="4"/>
      <c r="CC1" s="4"/>
      <c r="CD1" s="5">
        <v>45874.0</v>
      </c>
      <c r="CE1" s="6"/>
      <c r="CF1" s="4"/>
      <c r="CG1" s="4"/>
      <c r="CH1" s="5">
        <v>45875.0</v>
      </c>
      <c r="CI1" s="6"/>
      <c r="CJ1" s="4"/>
      <c r="CK1" s="4"/>
      <c r="CL1" s="5">
        <v>45876.0</v>
      </c>
      <c r="CM1" s="6"/>
      <c r="CN1" s="4"/>
      <c r="CO1" s="4"/>
      <c r="CP1" s="5">
        <v>45877.0</v>
      </c>
      <c r="CQ1" s="6"/>
      <c r="CR1" s="4"/>
      <c r="CS1" s="4"/>
      <c r="CT1" s="5">
        <v>45878.0</v>
      </c>
      <c r="CU1" s="6"/>
      <c r="CV1" s="4"/>
      <c r="CW1" s="4"/>
      <c r="CX1" s="5">
        <v>45879.0</v>
      </c>
      <c r="CY1" s="6"/>
      <c r="CZ1" s="4"/>
      <c r="DA1" s="4"/>
      <c r="DB1" s="5">
        <v>45880.0</v>
      </c>
      <c r="DC1" s="6"/>
      <c r="DD1" s="4"/>
      <c r="DE1" s="4"/>
      <c r="DF1" s="5">
        <v>45881.0</v>
      </c>
      <c r="DG1" s="6"/>
      <c r="DH1" s="4"/>
      <c r="DI1" s="4"/>
      <c r="DJ1" s="5">
        <v>45882.0</v>
      </c>
      <c r="DK1" s="6"/>
      <c r="DL1" s="4"/>
      <c r="DM1" s="4"/>
      <c r="DN1" s="5">
        <v>45883.0</v>
      </c>
      <c r="DO1" s="6"/>
      <c r="DP1" s="4"/>
      <c r="DQ1" s="4"/>
      <c r="DR1" s="5">
        <v>45884.0</v>
      </c>
      <c r="DS1" s="6"/>
      <c r="DT1" s="4"/>
      <c r="DU1" s="4"/>
      <c r="DV1" s="5">
        <v>45885.0</v>
      </c>
      <c r="DW1" s="6"/>
      <c r="DX1" s="4"/>
      <c r="DY1" s="4"/>
      <c r="DZ1" s="5">
        <v>45886.0</v>
      </c>
      <c r="EA1" s="6"/>
      <c r="EB1" s="4"/>
      <c r="EC1" s="4"/>
      <c r="ED1" s="5">
        <v>45887.0</v>
      </c>
      <c r="EE1" s="6"/>
      <c r="EF1" s="4"/>
      <c r="EG1" s="4"/>
      <c r="EH1" s="5">
        <v>45888.0</v>
      </c>
      <c r="EI1" s="6"/>
      <c r="EJ1" s="4"/>
      <c r="EK1" s="4"/>
      <c r="EL1" s="5">
        <v>45889.0</v>
      </c>
      <c r="EM1" s="6"/>
      <c r="EN1" s="4"/>
      <c r="EO1" s="4"/>
      <c r="EP1" s="5">
        <v>45890.0</v>
      </c>
      <c r="EQ1" s="6"/>
      <c r="ER1" s="4"/>
      <c r="ES1" s="4"/>
      <c r="ET1" s="5">
        <v>45891.0</v>
      </c>
      <c r="EU1" s="6"/>
      <c r="EV1" s="4"/>
      <c r="EW1" s="4"/>
      <c r="EX1" s="5">
        <v>45892.0</v>
      </c>
      <c r="EY1" s="6"/>
      <c r="EZ1" s="4"/>
      <c r="FA1" s="4"/>
      <c r="FB1" s="5">
        <v>45893.0</v>
      </c>
      <c r="FC1" s="6"/>
      <c r="FD1" s="4"/>
      <c r="FE1" s="4"/>
      <c r="FF1" s="5">
        <v>45894.0</v>
      </c>
      <c r="FG1" s="6"/>
      <c r="FH1" s="4"/>
      <c r="FI1" s="4"/>
      <c r="FJ1" s="5">
        <v>45895.0</v>
      </c>
      <c r="FK1" s="6"/>
      <c r="FL1" s="4"/>
      <c r="FM1" s="4"/>
      <c r="FN1" s="5">
        <v>45896.0</v>
      </c>
      <c r="FO1" s="6"/>
      <c r="FP1" s="4"/>
      <c r="FQ1" s="4"/>
      <c r="FR1" s="5">
        <v>45897.0</v>
      </c>
      <c r="FS1" s="6"/>
      <c r="FT1" s="4"/>
      <c r="FU1" s="4"/>
      <c r="FV1" s="5">
        <v>45898.0</v>
      </c>
      <c r="FW1" s="6"/>
      <c r="FX1" s="4"/>
      <c r="FY1" s="4"/>
      <c r="FZ1" s="5">
        <v>45899.0</v>
      </c>
      <c r="GA1" s="6"/>
      <c r="GB1" s="4"/>
      <c r="GC1" s="4"/>
      <c r="GD1" s="5">
        <v>45900.0</v>
      </c>
      <c r="GE1" s="6"/>
      <c r="GF1" s="7"/>
      <c r="GG1" s="7"/>
      <c r="GH1" s="8"/>
      <c r="GI1" s="9"/>
      <c r="GJ1" s="9"/>
      <c r="GK1" s="9"/>
      <c r="GL1" s="9"/>
      <c r="GM1" s="9"/>
      <c r="GN1" s="9"/>
      <c r="GO1" s="9"/>
      <c r="GP1" s="8"/>
      <c r="GQ1" s="4"/>
      <c r="GR1" s="3">
        <v>45871.0</v>
      </c>
      <c r="GS1" s="3">
        <v>45872.0</v>
      </c>
      <c r="GT1" s="3">
        <v>45873.0</v>
      </c>
      <c r="GU1" s="3">
        <v>45874.0</v>
      </c>
      <c r="GV1" s="3">
        <v>45875.0</v>
      </c>
      <c r="GW1" s="3">
        <v>45876.0</v>
      </c>
      <c r="GX1" s="3">
        <v>45877.0</v>
      </c>
      <c r="GY1" s="3">
        <v>45878.0</v>
      </c>
      <c r="GZ1" s="3">
        <v>45879.0</v>
      </c>
      <c r="HA1" s="3">
        <v>45880.0</v>
      </c>
      <c r="HB1" s="3">
        <v>45881.0</v>
      </c>
      <c r="HC1" s="3">
        <v>45882.0</v>
      </c>
      <c r="HD1" s="3">
        <v>45883.0</v>
      </c>
      <c r="HE1" s="3">
        <v>45884.0</v>
      </c>
      <c r="HF1" s="3">
        <v>45885.0</v>
      </c>
      <c r="HG1" s="3">
        <v>45886.0</v>
      </c>
      <c r="HH1" s="3">
        <v>45887.0</v>
      </c>
      <c r="HI1" s="3">
        <v>45888.0</v>
      </c>
      <c r="HJ1" s="3">
        <v>45889.0</v>
      </c>
      <c r="HK1" s="3">
        <v>45890.0</v>
      </c>
      <c r="HL1" s="3">
        <v>45891.0</v>
      </c>
      <c r="HM1" s="3">
        <v>45892.0</v>
      </c>
      <c r="HN1" s="3">
        <v>45893.0</v>
      </c>
      <c r="HO1" s="3">
        <v>45894.0</v>
      </c>
      <c r="HP1" s="3">
        <v>45895.0</v>
      </c>
      <c r="HQ1" s="3">
        <v>45896.0</v>
      </c>
      <c r="HR1" s="3">
        <v>45897.0</v>
      </c>
      <c r="HS1" s="3">
        <v>45898.0</v>
      </c>
      <c r="HT1" s="3">
        <v>45899.0</v>
      </c>
      <c r="HU1" s="3">
        <v>45900.0</v>
      </c>
      <c r="HV1" s="10"/>
      <c r="HW1" s="3">
        <v>45870.0</v>
      </c>
      <c r="HX1" s="3">
        <v>45871.0</v>
      </c>
      <c r="HY1" s="3">
        <v>45872.0</v>
      </c>
      <c r="HZ1" s="3">
        <v>45873.0</v>
      </c>
      <c r="IA1" s="3">
        <v>45874.0</v>
      </c>
      <c r="IB1" s="3">
        <v>45875.0</v>
      </c>
      <c r="IC1" s="3">
        <v>45876.0</v>
      </c>
      <c r="ID1" s="3">
        <v>45877.0</v>
      </c>
      <c r="IE1" s="3">
        <v>45878.0</v>
      </c>
      <c r="IF1" s="3">
        <v>45879.0</v>
      </c>
      <c r="IG1" s="3">
        <v>45880.0</v>
      </c>
      <c r="IH1" s="3">
        <v>45881.0</v>
      </c>
      <c r="II1" s="3">
        <v>45882.0</v>
      </c>
      <c r="IJ1" s="3">
        <v>45883.0</v>
      </c>
      <c r="IK1" s="3">
        <v>45884.0</v>
      </c>
      <c r="IL1" s="3">
        <v>45885.0</v>
      </c>
      <c r="IM1" s="3">
        <v>45886.0</v>
      </c>
      <c r="IN1" s="3">
        <v>45887.0</v>
      </c>
      <c r="IO1" s="3">
        <v>45888.0</v>
      </c>
      <c r="IP1" s="3">
        <v>45889.0</v>
      </c>
      <c r="IQ1" s="3">
        <v>45890.0</v>
      </c>
      <c r="IR1" s="3">
        <v>45891.0</v>
      </c>
      <c r="IS1" s="3">
        <v>45892.0</v>
      </c>
      <c r="IT1" s="3">
        <v>45893.0</v>
      </c>
      <c r="IU1" s="3">
        <v>45894.0</v>
      </c>
      <c r="IV1" s="3">
        <v>45895.0</v>
      </c>
      <c r="IW1" s="3">
        <v>45896.0</v>
      </c>
      <c r="IX1" s="3">
        <v>45897.0</v>
      </c>
      <c r="IY1" s="3">
        <v>45898.0</v>
      </c>
      <c r="IZ1" s="3">
        <v>45899.0</v>
      </c>
      <c r="JA1" s="3">
        <v>45900.0</v>
      </c>
      <c r="JB1" s="10"/>
    </row>
    <row r="2" ht="22.5" customHeight="1">
      <c r="A2" s="11" t="s">
        <v>1</v>
      </c>
      <c r="B2" s="12" t="s">
        <v>2</v>
      </c>
      <c r="C2" s="12" t="s">
        <v>3</v>
      </c>
      <c r="D2" s="13">
        <f t="shared" ref="D2:BN2" si="1">D1</f>
        <v>45839</v>
      </c>
      <c r="E2" s="14">
        <f t="shared" si="1"/>
        <v>45840</v>
      </c>
      <c r="F2" s="14">
        <f t="shared" si="1"/>
        <v>45841</v>
      </c>
      <c r="G2" s="14">
        <f t="shared" si="1"/>
        <v>45842</v>
      </c>
      <c r="H2" s="14">
        <f t="shared" si="1"/>
        <v>45843</v>
      </c>
      <c r="I2" s="14">
        <f t="shared" si="1"/>
        <v>45844</v>
      </c>
      <c r="J2" s="14">
        <f t="shared" si="1"/>
        <v>45845</v>
      </c>
      <c r="K2" s="14">
        <f t="shared" si="1"/>
        <v>45846</v>
      </c>
      <c r="L2" s="14">
        <f t="shared" si="1"/>
        <v>45847</v>
      </c>
      <c r="M2" s="14">
        <f t="shared" si="1"/>
        <v>45848</v>
      </c>
      <c r="N2" s="14">
        <f t="shared" si="1"/>
        <v>45849</v>
      </c>
      <c r="O2" s="14">
        <f t="shared" si="1"/>
        <v>45850</v>
      </c>
      <c r="P2" s="14">
        <f t="shared" si="1"/>
        <v>45851</v>
      </c>
      <c r="Q2" s="14">
        <f t="shared" si="1"/>
        <v>45852</v>
      </c>
      <c r="R2" s="14">
        <f t="shared" si="1"/>
        <v>45853</v>
      </c>
      <c r="S2" s="14">
        <f t="shared" si="1"/>
        <v>45854</v>
      </c>
      <c r="T2" s="14">
        <f t="shared" si="1"/>
        <v>45855</v>
      </c>
      <c r="U2" s="14">
        <f t="shared" si="1"/>
        <v>45856</v>
      </c>
      <c r="V2" s="14">
        <f t="shared" si="1"/>
        <v>45857</v>
      </c>
      <c r="W2" s="14">
        <f t="shared" si="1"/>
        <v>45858</v>
      </c>
      <c r="X2" s="14">
        <f t="shared" si="1"/>
        <v>45859</v>
      </c>
      <c r="Y2" s="14">
        <f t="shared" si="1"/>
        <v>45860</v>
      </c>
      <c r="Z2" s="14">
        <f t="shared" si="1"/>
        <v>45861</v>
      </c>
      <c r="AA2" s="14">
        <f t="shared" si="1"/>
        <v>45862</v>
      </c>
      <c r="AB2" s="14">
        <f t="shared" si="1"/>
        <v>45863</v>
      </c>
      <c r="AC2" s="14">
        <f t="shared" si="1"/>
        <v>45864</v>
      </c>
      <c r="AD2" s="14">
        <f t="shared" si="1"/>
        <v>45865</v>
      </c>
      <c r="AE2" s="14">
        <f t="shared" si="1"/>
        <v>45866</v>
      </c>
      <c r="AF2" s="14">
        <f t="shared" si="1"/>
        <v>45867</v>
      </c>
      <c r="AG2" s="14">
        <f t="shared" si="1"/>
        <v>45868</v>
      </c>
      <c r="AH2" s="14">
        <f t="shared" si="1"/>
        <v>45869</v>
      </c>
      <c r="AI2" s="15">
        <f t="shared" si="1"/>
        <v>45839</v>
      </c>
      <c r="AJ2" s="15">
        <f t="shared" si="1"/>
        <v>45840</v>
      </c>
      <c r="AK2" s="15">
        <f t="shared" si="1"/>
        <v>45841</v>
      </c>
      <c r="AL2" s="15">
        <f t="shared" si="1"/>
        <v>45842</v>
      </c>
      <c r="AM2" s="15">
        <f t="shared" si="1"/>
        <v>45843</v>
      </c>
      <c r="AN2" s="15">
        <f t="shared" si="1"/>
        <v>45844</v>
      </c>
      <c r="AO2" s="15">
        <f t="shared" si="1"/>
        <v>45845</v>
      </c>
      <c r="AP2" s="15">
        <f t="shared" si="1"/>
        <v>45846</v>
      </c>
      <c r="AQ2" s="15">
        <f t="shared" si="1"/>
        <v>45847</v>
      </c>
      <c r="AR2" s="15">
        <f t="shared" si="1"/>
        <v>45848</v>
      </c>
      <c r="AS2" s="15">
        <f t="shared" si="1"/>
        <v>45849</v>
      </c>
      <c r="AT2" s="15">
        <f t="shared" si="1"/>
        <v>45850</v>
      </c>
      <c r="AU2" s="15">
        <f t="shared" si="1"/>
        <v>45851</v>
      </c>
      <c r="AV2" s="15">
        <f t="shared" si="1"/>
        <v>45852</v>
      </c>
      <c r="AW2" s="15">
        <f t="shared" si="1"/>
        <v>45853</v>
      </c>
      <c r="AX2" s="15">
        <f t="shared" si="1"/>
        <v>45854</v>
      </c>
      <c r="AY2" s="15">
        <f t="shared" si="1"/>
        <v>45855</v>
      </c>
      <c r="AZ2" s="15">
        <f t="shared" si="1"/>
        <v>45856</v>
      </c>
      <c r="BA2" s="15">
        <f t="shared" si="1"/>
        <v>45857</v>
      </c>
      <c r="BB2" s="15">
        <f t="shared" si="1"/>
        <v>45858</v>
      </c>
      <c r="BC2" s="15">
        <f t="shared" si="1"/>
        <v>45859</v>
      </c>
      <c r="BD2" s="15">
        <f t="shared" si="1"/>
        <v>45860</v>
      </c>
      <c r="BE2" s="15">
        <f t="shared" si="1"/>
        <v>45861</v>
      </c>
      <c r="BF2" s="15">
        <f t="shared" si="1"/>
        <v>45862</v>
      </c>
      <c r="BG2" s="15">
        <f t="shared" si="1"/>
        <v>45863</v>
      </c>
      <c r="BH2" s="15">
        <f t="shared" si="1"/>
        <v>45864</v>
      </c>
      <c r="BI2" s="15">
        <f t="shared" si="1"/>
        <v>45865</v>
      </c>
      <c r="BJ2" s="15">
        <f t="shared" si="1"/>
        <v>45866</v>
      </c>
      <c r="BK2" s="15">
        <f t="shared" si="1"/>
        <v>45867</v>
      </c>
      <c r="BL2" s="15">
        <f t="shared" si="1"/>
        <v>45868</v>
      </c>
      <c r="BM2" s="15">
        <f t="shared" si="1"/>
        <v>45869</v>
      </c>
      <c r="BN2" s="16">
        <f t="shared" si="1"/>
        <v>45870</v>
      </c>
      <c r="BO2" s="6"/>
      <c r="BP2" s="15"/>
      <c r="BQ2" s="15"/>
      <c r="BR2" s="16">
        <f>BR1</f>
        <v>45871</v>
      </c>
      <c r="BS2" s="6"/>
      <c r="BT2" s="15"/>
      <c r="BU2" s="15"/>
      <c r="BV2" s="16">
        <f>BV1</f>
        <v>45872</v>
      </c>
      <c r="BW2" s="6"/>
      <c r="BX2" s="15"/>
      <c r="BY2" s="15"/>
      <c r="BZ2" s="16">
        <f>BZ1</f>
        <v>45873</v>
      </c>
      <c r="CA2" s="6"/>
      <c r="CB2" s="15"/>
      <c r="CC2" s="15"/>
      <c r="CD2" s="16">
        <f>CD1</f>
        <v>45874</v>
      </c>
      <c r="CE2" s="6"/>
      <c r="CF2" s="15"/>
      <c r="CG2" s="15"/>
      <c r="CH2" s="16">
        <f>CH1</f>
        <v>45875</v>
      </c>
      <c r="CI2" s="6"/>
      <c r="CJ2" s="15"/>
      <c r="CK2" s="15"/>
      <c r="CL2" s="16">
        <f>CL1</f>
        <v>45876</v>
      </c>
      <c r="CM2" s="6"/>
      <c r="CN2" s="15"/>
      <c r="CO2" s="15"/>
      <c r="CP2" s="16">
        <f>CP1</f>
        <v>45877</v>
      </c>
      <c r="CQ2" s="6"/>
      <c r="CR2" s="15"/>
      <c r="CS2" s="15"/>
      <c r="CT2" s="16">
        <f>CT1</f>
        <v>45878</v>
      </c>
      <c r="CU2" s="6"/>
      <c r="CV2" s="15"/>
      <c r="CW2" s="15"/>
      <c r="CX2" s="16">
        <f>CX1</f>
        <v>45879</v>
      </c>
      <c r="CY2" s="6"/>
      <c r="CZ2" s="15"/>
      <c r="DA2" s="15"/>
      <c r="DB2" s="16">
        <f>DB1</f>
        <v>45880</v>
      </c>
      <c r="DC2" s="6"/>
      <c r="DD2" s="15"/>
      <c r="DE2" s="15"/>
      <c r="DF2" s="16">
        <f>DF1</f>
        <v>45881</v>
      </c>
      <c r="DG2" s="6"/>
      <c r="DH2" s="15"/>
      <c r="DI2" s="15"/>
      <c r="DJ2" s="16">
        <f>DJ1</f>
        <v>45882</v>
      </c>
      <c r="DK2" s="6"/>
      <c r="DL2" s="15"/>
      <c r="DM2" s="15"/>
      <c r="DN2" s="16">
        <f>DN1</f>
        <v>45883</v>
      </c>
      <c r="DO2" s="6"/>
      <c r="DP2" s="15"/>
      <c r="DQ2" s="15"/>
      <c r="DR2" s="16">
        <f>DR1</f>
        <v>45884</v>
      </c>
      <c r="DS2" s="6"/>
      <c r="DT2" s="15"/>
      <c r="DU2" s="15"/>
      <c r="DV2" s="16">
        <f>DV1</f>
        <v>45885</v>
      </c>
      <c r="DW2" s="6"/>
      <c r="DX2" s="15"/>
      <c r="DY2" s="15"/>
      <c r="DZ2" s="16">
        <f>DZ1</f>
        <v>45886</v>
      </c>
      <c r="EA2" s="6"/>
      <c r="EB2" s="15"/>
      <c r="EC2" s="15"/>
      <c r="ED2" s="16">
        <f>ED1</f>
        <v>45887</v>
      </c>
      <c r="EE2" s="6"/>
      <c r="EF2" s="15"/>
      <c r="EG2" s="15"/>
      <c r="EH2" s="16">
        <f>EH1</f>
        <v>45888</v>
      </c>
      <c r="EI2" s="6"/>
      <c r="EJ2" s="15"/>
      <c r="EK2" s="15"/>
      <c r="EL2" s="16">
        <f>EL1</f>
        <v>45889</v>
      </c>
      <c r="EM2" s="6"/>
      <c r="EN2" s="15"/>
      <c r="EO2" s="15"/>
      <c r="EP2" s="16">
        <f>EP1</f>
        <v>45890</v>
      </c>
      <c r="EQ2" s="6"/>
      <c r="ER2" s="15"/>
      <c r="ES2" s="15"/>
      <c r="ET2" s="16">
        <f>ET1</f>
        <v>45891</v>
      </c>
      <c r="EU2" s="6"/>
      <c r="EV2" s="15"/>
      <c r="EW2" s="15"/>
      <c r="EX2" s="16">
        <f>EX1</f>
        <v>45892</v>
      </c>
      <c r="EY2" s="6"/>
      <c r="EZ2" s="15"/>
      <c r="FA2" s="15"/>
      <c r="FB2" s="16">
        <f>FB1</f>
        <v>45893</v>
      </c>
      <c r="FC2" s="6"/>
      <c r="FD2" s="15"/>
      <c r="FE2" s="15"/>
      <c r="FF2" s="16">
        <f>FF1</f>
        <v>45894</v>
      </c>
      <c r="FG2" s="6"/>
      <c r="FH2" s="15"/>
      <c r="FI2" s="15"/>
      <c r="FJ2" s="16">
        <f>FJ1</f>
        <v>45895</v>
      </c>
      <c r="FK2" s="6"/>
      <c r="FL2" s="15"/>
      <c r="FM2" s="15"/>
      <c r="FN2" s="16">
        <f>FN1</f>
        <v>45896</v>
      </c>
      <c r="FO2" s="6"/>
      <c r="FP2" s="15"/>
      <c r="FQ2" s="15"/>
      <c r="FR2" s="16">
        <f>FR1</f>
        <v>45897</v>
      </c>
      <c r="FS2" s="6"/>
      <c r="FT2" s="15"/>
      <c r="FU2" s="15"/>
      <c r="FV2" s="16">
        <f>FV1</f>
        <v>45898</v>
      </c>
      <c r="FW2" s="6"/>
      <c r="FX2" s="15"/>
      <c r="FY2" s="15"/>
      <c r="FZ2" s="16">
        <f>FZ1</f>
        <v>45899</v>
      </c>
      <c r="GA2" s="6"/>
      <c r="GB2" s="15"/>
      <c r="GC2" s="15"/>
      <c r="GD2" s="16">
        <f>GD1</f>
        <v>45900</v>
      </c>
      <c r="GE2" s="6"/>
      <c r="GF2" s="17"/>
      <c r="GG2" s="17"/>
      <c r="GH2" s="18"/>
      <c r="GI2" s="19" t="s">
        <v>4</v>
      </c>
      <c r="GJ2" s="20" t="s">
        <v>5</v>
      </c>
      <c r="GK2" s="21" t="s">
        <v>6</v>
      </c>
      <c r="GL2" s="21" t="s">
        <v>7</v>
      </c>
      <c r="GM2" s="21" t="s">
        <v>8</v>
      </c>
      <c r="GN2" s="21" t="s">
        <v>9</v>
      </c>
      <c r="GO2" s="21" t="s">
        <v>10</v>
      </c>
      <c r="GP2" s="18"/>
      <c r="GQ2" s="15"/>
      <c r="GR2" s="14">
        <f t="shared" ref="GR2:HU2" si="2">GR1</f>
        <v>45871</v>
      </c>
      <c r="GS2" s="14">
        <f t="shared" si="2"/>
        <v>45872</v>
      </c>
      <c r="GT2" s="14">
        <f t="shared" si="2"/>
        <v>45873</v>
      </c>
      <c r="GU2" s="14">
        <f t="shared" si="2"/>
        <v>45874</v>
      </c>
      <c r="GV2" s="14">
        <f t="shared" si="2"/>
        <v>45875</v>
      </c>
      <c r="GW2" s="14">
        <f t="shared" si="2"/>
        <v>45876</v>
      </c>
      <c r="GX2" s="14">
        <f t="shared" si="2"/>
        <v>45877</v>
      </c>
      <c r="GY2" s="14">
        <f t="shared" si="2"/>
        <v>45878</v>
      </c>
      <c r="GZ2" s="14">
        <f t="shared" si="2"/>
        <v>45879</v>
      </c>
      <c r="HA2" s="14">
        <f t="shared" si="2"/>
        <v>45880</v>
      </c>
      <c r="HB2" s="14">
        <f t="shared" si="2"/>
        <v>45881</v>
      </c>
      <c r="HC2" s="14">
        <f t="shared" si="2"/>
        <v>45882</v>
      </c>
      <c r="HD2" s="14">
        <f t="shared" si="2"/>
        <v>45883</v>
      </c>
      <c r="HE2" s="14">
        <f t="shared" si="2"/>
        <v>45884</v>
      </c>
      <c r="HF2" s="14">
        <f t="shared" si="2"/>
        <v>45885</v>
      </c>
      <c r="HG2" s="14">
        <f t="shared" si="2"/>
        <v>45886</v>
      </c>
      <c r="HH2" s="14">
        <f t="shared" si="2"/>
        <v>45887</v>
      </c>
      <c r="HI2" s="14">
        <f t="shared" si="2"/>
        <v>45888</v>
      </c>
      <c r="HJ2" s="14">
        <f t="shared" si="2"/>
        <v>45889</v>
      </c>
      <c r="HK2" s="14">
        <f t="shared" si="2"/>
        <v>45890</v>
      </c>
      <c r="HL2" s="14">
        <f t="shared" si="2"/>
        <v>45891</v>
      </c>
      <c r="HM2" s="14">
        <f t="shared" si="2"/>
        <v>45892</v>
      </c>
      <c r="HN2" s="14">
        <f t="shared" si="2"/>
        <v>45893</v>
      </c>
      <c r="HO2" s="14">
        <f t="shared" si="2"/>
        <v>45894</v>
      </c>
      <c r="HP2" s="14">
        <f t="shared" si="2"/>
        <v>45895</v>
      </c>
      <c r="HQ2" s="14">
        <f t="shared" si="2"/>
        <v>45896</v>
      </c>
      <c r="HR2" s="14">
        <f t="shared" si="2"/>
        <v>45897</v>
      </c>
      <c r="HS2" s="14">
        <f t="shared" si="2"/>
        <v>45898</v>
      </c>
      <c r="HT2" s="14">
        <f t="shared" si="2"/>
        <v>45899</v>
      </c>
      <c r="HU2" s="14">
        <f t="shared" si="2"/>
        <v>45900</v>
      </c>
      <c r="HV2" s="22"/>
      <c r="HW2" s="14">
        <f t="shared" ref="HW2:JA2" si="3">HW1</f>
        <v>45870</v>
      </c>
      <c r="HX2" s="14">
        <f t="shared" si="3"/>
        <v>45871</v>
      </c>
      <c r="HY2" s="14">
        <f t="shared" si="3"/>
        <v>45872</v>
      </c>
      <c r="HZ2" s="14">
        <f t="shared" si="3"/>
        <v>45873</v>
      </c>
      <c r="IA2" s="14">
        <f t="shared" si="3"/>
        <v>45874</v>
      </c>
      <c r="IB2" s="14">
        <f t="shared" si="3"/>
        <v>45875</v>
      </c>
      <c r="IC2" s="14">
        <f t="shared" si="3"/>
        <v>45876</v>
      </c>
      <c r="ID2" s="14">
        <f t="shared" si="3"/>
        <v>45877</v>
      </c>
      <c r="IE2" s="14">
        <f t="shared" si="3"/>
        <v>45878</v>
      </c>
      <c r="IF2" s="14">
        <f t="shared" si="3"/>
        <v>45879</v>
      </c>
      <c r="IG2" s="14">
        <f t="shared" si="3"/>
        <v>45880</v>
      </c>
      <c r="IH2" s="14">
        <f t="shared" si="3"/>
        <v>45881</v>
      </c>
      <c r="II2" s="14">
        <f t="shared" si="3"/>
        <v>45882</v>
      </c>
      <c r="IJ2" s="14">
        <f t="shared" si="3"/>
        <v>45883</v>
      </c>
      <c r="IK2" s="14">
        <f t="shared" si="3"/>
        <v>45884</v>
      </c>
      <c r="IL2" s="14">
        <f t="shared" si="3"/>
        <v>45885</v>
      </c>
      <c r="IM2" s="14">
        <f t="shared" si="3"/>
        <v>45886</v>
      </c>
      <c r="IN2" s="14">
        <f t="shared" si="3"/>
        <v>45887</v>
      </c>
      <c r="IO2" s="14">
        <f t="shared" si="3"/>
        <v>45888</v>
      </c>
      <c r="IP2" s="14">
        <f t="shared" si="3"/>
        <v>45889</v>
      </c>
      <c r="IQ2" s="14">
        <f t="shared" si="3"/>
        <v>45890</v>
      </c>
      <c r="IR2" s="14">
        <f t="shared" si="3"/>
        <v>45891</v>
      </c>
      <c r="IS2" s="14">
        <f t="shared" si="3"/>
        <v>45892</v>
      </c>
      <c r="IT2" s="14">
        <f t="shared" si="3"/>
        <v>45893</v>
      </c>
      <c r="IU2" s="14">
        <f t="shared" si="3"/>
        <v>45894</v>
      </c>
      <c r="IV2" s="14">
        <f t="shared" si="3"/>
        <v>45895</v>
      </c>
      <c r="IW2" s="14">
        <f t="shared" si="3"/>
        <v>45896</v>
      </c>
      <c r="IX2" s="14">
        <f t="shared" si="3"/>
        <v>45897</v>
      </c>
      <c r="IY2" s="14">
        <f t="shared" si="3"/>
        <v>45898</v>
      </c>
      <c r="IZ2" s="14">
        <f t="shared" si="3"/>
        <v>45899</v>
      </c>
      <c r="JA2" s="14">
        <f t="shared" si="3"/>
        <v>45900</v>
      </c>
      <c r="JB2" s="22"/>
    </row>
    <row r="3" ht="20.25" customHeight="1">
      <c r="A3" s="23"/>
      <c r="B3" s="23"/>
      <c r="C3" s="23"/>
      <c r="D3" s="24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6" t="s">
        <v>11</v>
      </c>
      <c r="BO3" s="26" t="s">
        <v>12</v>
      </c>
      <c r="BP3" s="27" t="s">
        <v>13</v>
      </c>
      <c r="BQ3" s="27" t="s">
        <v>14</v>
      </c>
      <c r="BR3" s="26" t="s">
        <v>11</v>
      </c>
      <c r="BS3" s="26" t="s">
        <v>12</v>
      </c>
      <c r="BT3" s="27" t="s">
        <v>13</v>
      </c>
      <c r="BU3" s="27" t="s">
        <v>14</v>
      </c>
      <c r="BV3" s="26" t="s">
        <v>11</v>
      </c>
      <c r="BW3" s="26" t="s">
        <v>12</v>
      </c>
      <c r="BX3" s="27" t="s">
        <v>13</v>
      </c>
      <c r="BY3" s="27" t="s">
        <v>14</v>
      </c>
      <c r="BZ3" s="26" t="s">
        <v>11</v>
      </c>
      <c r="CA3" s="26" t="s">
        <v>12</v>
      </c>
      <c r="CB3" s="27" t="s">
        <v>13</v>
      </c>
      <c r="CC3" s="27" t="s">
        <v>14</v>
      </c>
      <c r="CD3" s="26" t="s">
        <v>11</v>
      </c>
      <c r="CE3" s="26" t="s">
        <v>12</v>
      </c>
      <c r="CF3" s="27" t="s">
        <v>13</v>
      </c>
      <c r="CG3" s="27" t="s">
        <v>14</v>
      </c>
      <c r="CH3" s="26" t="s">
        <v>11</v>
      </c>
      <c r="CI3" s="26" t="s">
        <v>12</v>
      </c>
      <c r="CJ3" s="27" t="s">
        <v>13</v>
      </c>
      <c r="CK3" s="27" t="s">
        <v>14</v>
      </c>
      <c r="CL3" s="26" t="s">
        <v>11</v>
      </c>
      <c r="CM3" s="26" t="s">
        <v>12</v>
      </c>
      <c r="CN3" s="27" t="s">
        <v>13</v>
      </c>
      <c r="CO3" s="27" t="s">
        <v>14</v>
      </c>
      <c r="CP3" s="26" t="s">
        <v>11</v>
      </c>
      <c r="CQ3" s="26" t="s">
        <v>12</v>
      </c>
      <c r="CR3" s="27" t="s">
        <v>13</v>
      </c>
      <c r="CS3" s="27" t="s">
        <v>14</v>
      </c>
      <c r="CT3" s="26" t="s">
        <v>11</v>
      </c>
      <c r="CU3" s="26" t="s">
        <v>12</v>
      </c>
      <c r="CV3" s="27" t="s">
        <v>13</v>
      </c>
      <c r="CW3" s="27" t="s">
        <v>14</v>
      </c>
      <c r="CX3" s="26" t="s">
        <v>11</v>
      </c>
      <c r="CY3" s="26" t="s">
        <v>12</v>
      </c>
      <c r="CZ3" s="27" t="s">
        <v>13</v>
      </c>
      <c r="DA3" s="27" t="s">
        <v>14</v>
      </c>
      <c r="DB3" s="26" t="s">
        <v>11</v>
      </c>
      <c r="DC3" s="26" t="s">
        <v>12</v>
      </c>
      <c r="DD3" s="27" t="s">
        <v>13</v>
      </c>
      <c r="DE3" s="27" t="s">
        <v>14</v>
      </c>
      <c r="DF3" s="26" t="s">
        <v>11</v>
      </c>
      <c r="DG3" s="26" t="s">
        <v>12</v>
      </c>
      <c r="DH3" s="27" t="s">
        <v>13</v>
      </c>
      <c r="DI3" s="27" t="s">
        <v>14</v>
      </c>
      <c r="DJ3" s="26" t="s">
        <v>11</v>
      </c>
      <c r="DK3" s="26" t="s">
        <v>12</v>
      </c>
      <c r="DL3" s="27" t="s">
        <v>13</v>
      </c>
      <c r="DM3" s="27" t="s">
        <v>14</v>
      </c>
      <c r="DN3" s="26" t="s">
        <v>11</v>
      </c>
      <c r="DO3" s="26" t="s">
        <v>12</v>
      </c>
      <c r="DP3" s="27" t="s">
        <v>13</v>
      </c>
      <c r="DQ3" s="27" t="s">
        <v>14</v>
      </c>
      <c r="DR3" s="26" t="s">
        <v>11</v>
      </c>
      <c r="DS3" s="26" t="s">
        <v>12</v>
      </c>
      <c r="DT3" s="27" t="s">
        <v>13</v>
      </c>
      <c r="DU3" s="27" t="s">
        <v>14</v>
      </c>
      <c r="DV3" s="26" t="s">
        <v>11</v>
      </c>
      <c r="DW3" s="26" t="s">
        <v>12</v>
      </c>
      <c r="DX3" s="27" t="s">
        <v>13</v>
      </c>
      <c r="DY3" s="27" t="s">
        <v>14</v>
      </c>
      <c r="DZ3" s="26" t="s">
        <v>11</v>
      </c>
      <c r="EA3" s="26" t="s">
        <v>12</v>
      </c>
      <c r="EB3" s="27" t="s">
        <v>13</v>
      </c>
      <c r="EC3" s="27" t="s">
        <v>14</v>
      </c>
      <c r="ED3" s="26" t="s">
        <v>11</v>
      </c>
      <c r="EE3" s="26" t="s">
        <v>12</v>
      </c>
      <c r="EF3" s="27" t="s">
        <v>13</v>
      </c>
      <c r="EG3" s="27" t="s">
        <v>14</v>
      </c>
      <c r="EH3" s="26" t="s">
        <v>11</v>
      </c>
      <c r="EI3" s="26" t="s">
        <v>12</v>
      </c>
      <c r="EJ3" s="27" t="s">
        <v>13</v>
      </c>
      <c r="EK3" s="27" t="s">
        <v>14</v>
      </c>
      <c r="EL3" s="26" t="s">
        <v>11</v>
      </c>
      <c r="EM3" s="26" t="s">
        <v>12</v>
      </c>
      <c r="EN3" s="27" t="s">
        <v>13</v>
      </c>
      <c r="EO3" s="27" t="s">
        <v>14</v>
      </c>
      <c r="EP3" s="26" t="s">
        <v>11</v>
      </c>
      <c r="EQ3" s="26" t="s">
        <v>12</v>
      </c>
      <c r="ER3" s="27" t="s">
        <v>13</v>
      </c>
      <c r="ES3" s="27" t="s">
        <v>14</v>
      </c>
      <c r="ET3" s="26" t="s">
        <v>11</v>
      </c>
      <c r="EU3" s="26" t="s">
        <v>12</v>
      </c>
      <c r="EV3" s="27" t="s">
        <v>13</v>
      </c>
      <c r="EW3" s="27" t="s">
        <v>14</v>
      </c>
      <c r="EX3" s="26" t="s">
        <v>11</v>
      </c>
      <c r="EY3" s="26" t="s">
        <v>12</v>
      </c>
      <c r="EZ3" s="27" t="s">
        <v>13</v>
      </c>
      <c r="FA3" s="27" t="s">
        <v>14</v>
      </c>
      <c r="FB3" s="26" t="s">
        <v>11</v>
      </c>
      <c r="FC3" s="26" t="s">
        <v>12</v>
      </c>
      <c r="FD3" s="27" t="s">
        <v>13</v>
      </c>
      <c r="FE3" s="27" t="s">
        <v>14</v>
      </c>
      <c r="FF3" s="26" t="s">
        <v>11</v>
      </c>
      <c r="FG3" s="26" t="s">
        <v>12</v>
      </c>
      <c r="FH3" s="27" t="s">
        <v>13</v>
      </c>
      <c r="FI3" s="27" t="s">
        <v>14</v>
      </c>
      <c r="FJ3" s="26" t="s">
        <v>11</v>
      </c>
      <c r="FK3" s="26" t="s">
        <v>12</v>
      </c>
      <c r="FL3" s="27" t="s">
        <v>13</v>
      </c>
      <c r="FM3" s="27" t="s">
        <v>14</v>
      </c>
      <c r="FN3" s="26" t="s">
        <v>11</v>
      </c>
      <c r="FO3" s="26" t="s">
        <v>12</v>
      </c>
      <c r="FP3" s="27" t="s">
        <v>13</v>
      </c>
      <c r="FQ3" s="27" t="s">
        <v>14</v>
      </c>
      <c r="FR3" s="26" t="s">
        <v>11</v>
      </c>
      <c r="FS3" s="26" t="s">
        <v>12</v>
      </c>
      <c r="FT3" s="27" t="s">
        <v>13</v>
      </c>
      <c r="FU3" s="27" t="s">
        <v>14</v>
      </c>
      <c r="FV3" s="26" t="s">
        <v>11</v>
      </c>
      <c r="FW3" s="26" t="s">
        <v>12</v>
      </c>
      <c r="FX3" s="27" t="s">
        <v>13</v>
      </c>
      <c r="FY3" s="27" t="s">
        <v>14</v>
      </c>
      <c r="FZ3" s="26" t="s">
        <v>11</v>
      </c>
      <c r="GA3" s="26" t="s">
        <v>12</v>
      </c>
      <c r="GB3" s="27" t="s">
        <v>13</v>
      </c>
      <c r="GC3" s="27" t="s">
        <v>14</v>
      </c>
      <c r="GD3" s="26" t="s">
        <v>11</v>
      </c>
      <c r="GE3" s="26" t="s">
        <v>12</v>
      </c>
      <c r="GF3" s="27" t="s">
        <v>13</v>
      </c>
      <c r="GG3" s="27" t="s">
        <v>14</v>
      </c>
      <c r="GH3" s="28"/>
      <c r="GP3" s="28"/>
      <c r="GQ3" s="25"/>
      <c r="GR3" s="25"/>
      <c r="GS3" s="25"/>
      <c r="GT3" s="25"/>
      <c r="GU3" s="25"/>
      <c r="GV3" s="25"/>
      <c r="GW3" s="25"/>
      <c r="GX3" s="25"/>
      <c r="GY3" s="25"/>
      <c r="GZ3" s="25"/>
      <c r="HA3" s="25"/>
      <c r="HB3" s="25"/>
      <c r="HC3" s="29"/>
      <c r="HD3" s="29"/>
      <c r="HE3" s="29"/>
      <c r="HF3" s="29"/>
      <c r="HG3" s="29"/>
      <c r="HH3" s="29"/>
      <c r="HI3" s="29"/>
      <c r="HJ3" s="29"/>
      <c r="HK3" s="29"/>
      <c r="HL3" s="29"/>
      <c r="HM3" s="29"/>
      <c r="HN3" s="29"/>
      <c r="HO3" s="29"/>
      <c r="HP3" s="29"/>
      <c r="HQ3" s="29"/>
      <c r="HR3" s="29"/>
      <c r="HS3" s="29"/>
      <c r="HT3" s="29"/>
      <c r="HU3" s="29"/>
      <c r="HV3" s="29"/>
      <c r="HW3" s="29"/>
      <c r="HX3" s="29"/>
      <c r="HY3" s="29"/>
      <c r="HZ3" s="29"/>
      <c r="IA3" s="29"/>
      <c r="IB3" s="29"/>
      <c r="IC3" s="29"/>
      <c r="ID3" s="29"/>
      <c r="IE3" s="29"/>
      <c r="IF3" s="29"/>
      <c r="IG3" s="29"/>
      <c r="IH3" s="29"/>
      <c r="II3" s="29"/>
      <c r="IJ3" s="29"/>
      <c r="IK3" s="29"/>
      <c r="IL3" s="29"/>
      <c r="IM3" s="29"/>
      <c r="IN3" s="29"/>
      <c r="IO3" s="29"/>
      <c r="IP3" s="29"/>
      <c r="IQ3" s="29"/>
      <c r="IR3" s="29"/>
      <c r="IS3" s="29"/>
      <c r="IT3" s="29"/>
      <c r="IU3" s="29"/>
      <c r="IV3" s="29"/>
      <c r="IW3" s="29"/>
      <c r="IX3" s="29"/>
      <c r="IY3" s="29"/>
      <c r="IZ3" s="29"/>
      <c r="JA3" s="29"/>
      <c r="JB3" s="29"/>
    </row>
    <row r="4" ht="1.5" customHeight="1">
      <c r="A4" s="30" t="s">
        <v>15</v>
      </c>
      <c r="B4" s="12" t="s">
        <v>2</v>
      </c>
      <c r="C4" s="12" t="s">
        <v>3</v>
      </c>
      <c r="D4" s="31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3"/>
      <c r="BI4" s="33"/>
      <c r="BJ4" s="33"/>
      <c r="BK4" s="33"/>
      <c r="BL4" s="33"/>
      <c r="BM4" s="33"/>
      <c r="BN4" s="16">
        <f>BN2</f>
        <v>45870</v>
      </c>
      <c r="BO4" s="6"/>
      <c r="BP4" s="15"/>
      <c r="BQ4" s="15"/>
      <c r="BR4" s="16">
        <f>BR2</f>
        <v>45871</v>
      </c>
      <c r="BS4" s="6"/>
      <c r="BT4" s="15"/>
      <c r="BU4" s="15"/>
      <c r="BV4" s="16">
        <f>BV2</f>
        <v>45872</v>
      </c>
      <c r="BW4" s="6"/>
      <c r="BX4" s="15"/>
      <c r="BY4" s="15"/>
      <c r="BZ4" s="16">
        <f>BZ2</f>
        <v>45873</v>
      </c>
      <c r="CA4" s="6"/>
      <c r="CB4" s="15"/>
      <c r="CC4" s="15"/>
      <c r="CD4" s="16">
        <f>CD2</f>
        <v>45874</v>
      </c>
      <c r="CE4" s="6"/>
      <c r="CF4" s="15"/>
      <c r="CG4" s="15"/>
      <c r="CH4" s="16">
        <f>CH2</f>
        <v>45875</v>
      </c>
      <c r="CI4" s="6"/>
      <c r="CJ4" s="15"/>
      <c r="CK4" s="15"/>
      <c r="CL4" s="16">
        <f>CL2</f>
        <v>45876</v>
      </c>
      <c r="CM4" s="6"/>
      <c r="CN4" s="15"/>
      <c r="CO4" s="15"/>
      <c r="CP4" s="16">
        <f>CP2</f>
        <v>45877</v>
      </c>
      <c r="CQ4" s="6"/>
      <c r="CR4" s="15"/>
      <c r="CS4" s="15"/>
      <c r="CT4" s="16">
        <f>CT2</f>
        <v>45878</v>
      </c>
      <c r="CU4" s="6"/>
      <c r="CV4" s="15"/>
      <c r="CW4" s="15"/>
      <c r="CX4" s="16">
        <f>CX2</f>
        <v>45879</v>
      </c>
      <c r="CY4" s="6"/>
      <c r="CZ4" s="15"/>
      <c r="DA4" s="15"/>
      <c r="DB4" s="16">
        <f>DB2</f>
        <v>45880</v>
      </c>
      <c r="DC4" s="6"/>
      <c r="DD4" s="15"/>
      <c r="DE4" s="15"/>
      <c r="DF4" s="16">
        <f>DF2</f>
        <v>45881</v>
      </c>
      <c r="DG4" s="6"/>
      <c r="DH4" s="15"/>
      <c r="DI4" s="15"/>
      <c r="DJ4" s="16">
        <f>DJ2</f>
        <v>45882</v>
      </c>
      <c r="DK4" s="6"/>
      <c r="DL4" s="15"/>
      <c r="DM4" s="15"/>
      <c r="DN4" s="16">
        <f>DN2</f>
        <v>45883</v>
      </c>
      <c r="DO4" s="6"/>
      <c r="DP4" s="15"/>
      <c r="DQ4" s="15"/>
      <c r="DR4" s="16">
        <f>DR2</f>
        <v>45884</v>
      </c>
      <c r="DS4" s="6"/>
      <c r="DT4" s="15"/>
      <c r="DU4" s="15"/>
      <c r="DV4" s="16">
        <f>DV2</f>
        <v>45885</v>
      </c>
      <c r="DW4" s="6"/>
      <c r="DX4" s="15"/>
      <c r="DY4" s="15"/>
      <c r="DZ4" s="16">
        <f>DZ2</f>
        <v>45886</v>
      </c>
      <c r="EA4" s="6"/>
      <c r="EB4" s="15"/>
      <c r="EC4" s="15"/>
      <c r="ED4" s="16">
        <f>ED2</f>
        <v>45887</v>
      </c>
      <c r="EE4" s="6"/>
      <c r="EF4" s="15"/>
      <c r="EG4" s="15"/>
      <c r="EH4" s="16">
        <f>EH2</f>
        <v>45888</v>
      </c>
      <c r="EI4" s="6"/>
      <c r="EJ4" s="15"/>
      <c r="EK4" s="15"/>
      <c r="EL4" s="16">
        <f>EL2</f>
        <v>45889</v>
      </c>
      <c r="EM4" s="6"/>
      <c r="EN4" s="15"/>
      <c r="EO4" s="15"/>
      <c r="EP4" s="16">
        <f>EP2</f>
        <v>45890</v>
      </c>
      <c r="EQ4" s="6"/>
      <c r="ER4" s="15"/>
      <c r="ES4" s="15"/>
      <c r="ET4" s="16">
        <f>ET2</f>
        <v>45891</v>
      </c>
      <c r="EU4" s="6"/>
      <c r="EV4" s="15"/>
      <c r="EW4" s="15"/>
      <c r="EX4" s="16">
        <f>EX2</f>
        <v>45892</v>
      </c>
      <c r="EY4" s="6"/>
      <c r="EZ4" s="15"/>
      <c r="FA4" s="15"/>
      <c r="FB4" s="16">
        <f>FB2</f>
        <v>45893</v>
      </c>
      <c r="FC4" s="6"/>
      <c r="FD4" s="15"/>
      <c r="FE4" s="15"/>
      <c r="FF4" s="16">
        <f>FF2</f>
        <v>45894</v>
      </c>
      <c r="FG4" s="6"/>
      <c r="FH4" s="15"/>
      <c r="FI4" s="15"/>
      <c r="FJ4" s="16">
        <f>FJ2</f>
        <v>45895</v>
      </c>
      <c r="FK4" s="6"/>
      <c r="FL4" s="15"/>
      <c r="FM4" s="15"/>
      <c r="FN4" s="16">
        <f>FN2</f>
        <v>45896</v>
      </c>
      <c r="FO4" s="6"/>
      <c r="FP4" s="15"/>
      <c r="FQ4" s="15"/>
      <c r="FR4" s="16">
        <f>FR2</f>
        <v>45897</v>
      </c>
      <c r="FS4" s="6"/>
      <c r="FT4" s="15"/>
      <c r="FU4" s="15"/>
      <c r="FV4" s="16">
        <f>FV2</f>
        <v>45898</v>
      </c>
      <c r="FW4" s="6"/>
      <c r="FX4" s="15"/>
      <c r="FY4" s="15"/>
      <c r="FZ4" s="16">
        <f>FZ2</f>
        <v>45899</v>
      </c>
      <c r="GA4" s="6"/>
      <c r="GB4" s="15"/>
      <c r="GC4" s="15"/>
      <c r="GD4" s="16">
        <f>GD2</f>
        <v>45900</v>
      </c>
      <c r="GE4" s="6"/>
      <c r="GF4" s="17"/>
      <c r="GG4" s="17"/>
      <c r="GH4" s="34"/>
      <c r="GI4" s="12"/>
      <c r="GJ4" s="12"/>
      <c r="GK4" s="12"/>
      <c r="GL4" s="12"/>
      <c r="GM4" s="12"/>
      <c r="GN4" s="12"/>
      <c r="GO4" s="12"/>
      <c r="GP4" s="34"/>
      <c r="GQ4" s="15"/>
      <c r="GR4" s="35"/>
      <c r="GS4" s="35"/>
      <c r="GT4" s="35"/>
      <c r="GU4" s="35"/>
      <c r="GV4" s="35"/>
      <c r="GW4" s="35"/>
      <c r="GX4" s="35"/>
      <c r="GY4" s="35"/>
      <c r="GZ4" s="35"/>
      <c r="HA4" s="35"/>
      <c r="HB4" s="35"/>
      <c r="HC4" s="36"/>
      <c r="HD4" s="36"/>
      <c r="HE4" s="36"/>
      <c r="HF4" s="36"/>
      <c r="HG4" s="36"/>
      <c r="HH4" s="36"/>
      <c r="HI4" s="36"/>
      <c r="HJ4" s="36"/>
      <c r="HK4" s="36"/>
      <c r="HL4" s="36"/>
      <c r="HM4" s="36"/>
      <c r="HN4" s="36"/>
      <c r="HO4" s="36"/>
      <c r="HP4" s="36"/>
      <c r="HQ4" s="36"/>
      <c r="HR4" s="36"/>
      <c r="HS4" s="36"/>
      <c r="HT4" s="36"/>
      <c r="HU4" s="36"/>
      <c r="HV4" s="37"/>
      <c r="HW4" s="36"/>
      <c r="HX4" s="36"/>
      <c r="HY4" s="36"/>
      <c r="HZ4" s="36"/>
      <c r="IA4" s="36"/>
      <c r="IB4" s="36"/>
      <c r="IC4" s="36"/>
      <c r="ID4" s="36"/>
      <c r="IE4" s="36"/>
      <c r="IF4" s="36"/>
      <c r="IG4" s="36"/>
      <c r="IH4" s="36"/>
      <c r="II4" s="36"/>
      <c r="IJ4" s="36"/>
      <c r="IK4" s="36"/>
      <c r="IL4" s="36"/>
      <c r="IM4" s="36"/>
      <c r="IN4" s="36"/>
      <c r="IO4" s="36"/>
      <c r="IP4" s="36"/>
      <c r="IQ4" s="36"/>
      <c r="IR4" s="36"/>
      <c r="IS4" s="36"/>
      <c r="IT4" s="36"/>
      <c r="IU4" s="36"/>
      <c r="IV4" s="36"/>
      <c r="IW4" s="36"/>
      <c r="IX4" s="36"/>
      <c r="IY4" s="36"/>
      <c r="IZ4" s="36"/>
      <c r="JA4" s="36"/>
      <c r="JB4" s="37"/>
    </row>
    <row r="5" ht="1.5" customHeight="1">
      <c r="A5" s="38"/>
      <c r="B5" s="12" t="s">
        <v>2</v>
      </c>
      <c r="C5" s="12" t="s">
        <v>3</v>
      </c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  <c r="EX5" s="32"/>
      <c r="EY5" s="32"/>
      <c r="EZ5" s="32"/>
      <c r="FA5" s="32"/>
      <c r="FB5" s="32"/>
      <c r="FC5" s="32"/>
      <c r="FD5" s="32"/>
      <c r="FE5" s="32"/>
      <c r="FF5" s="32"/>
      <c r="FG5" s="32"/>
      <c r="FH5" s="32"/>
      <c r="FI5" s="32"/>
      <c r="FJ5" s="32"/>
      <c r="FK5" s="32"/>
      <c r="FL5" s="32"/>
      <c r="FM5" s="32"/>
      <c r="FN5" s="32"/>
      <c r="FO5" s="32"/>
      <c r="FP5" s="32"/>
      <c r="FQ5" s="32"/>
      <c r="FR5" s="32"/>
      <c r="FS5" s="32"/>
      <c r="FT5" s="32"/>
      <c r="FU5" s="32"/>
      <c r="FV5" s="32"/>
      <c r="FW5" s="32"/>
      <c r="FX5" s="32"/>
      <c r="FY5" s="32"/>
      <c r="FZ5" s="32"/>
      <c r="GA5" s="32"/>
      <c r="GB5" s="32"/>
      <c r="GC5" s="32"/>
      <c r="GD5" s="32"/>
      <c r="GE5" s="32"/>
      <c r="GF5" s="36"/>
      <c r="GG5" s="36"/>
      <c r="GH5" s="34"/>
      <c r="GI5" s="12"/>
      <c r="GJ5" s="12"/>
      <c r="GK5" s="12"/>
      <c r="GL5" s="12"/>
      <c r="GM5" s="12"/>
      <c r="GN5" s="12"/>
      <c r="GO5" s="12"/>
      <c r="GP5" s="34"/>
      <c r="GQ5" s="32"/>
      <c r="GR5" s="32"/>
      <c r="GS5" s="35"/>
      <c r="GT5" s="35"/>
      <c r="GU5" s="35"/>
      <c r="GV5" s="35"/>
      <c r="GW5" s="35"/>
      <c r="GX5" s="35"/>
      <c r="GY5" s="35"/>
      <c r="GZ5" s="35"/>
      <c r="HA5" s="35"/>
      <c r="HB5" s="35"/>
      <c r="HC5" s="36"/>
      <c r="HD5" s="36"/>
      <c r="HE5" s="36"/>
      <c r="HF5" s="36"/>
      <c r="HG5" s="36"/>
      <c r="HH5" s="36"/>
      <c r="HI5" s="36"/>
      <c r="HJ5" s="36"/>
      <c r="HK5" s="36"/>
      <c r="HL5" s="36"/>
      <c r="HM5" s="36"/>
      <c r="HN5" s="36"/>
      <c r="HO5" s="36"/>
      <c r="HP5" s="36"/>
      <c r="HQ5" s="36"/>
      <c r="HR5" s="36"/>
      <c r="HS5" s="36"/>
      <c r="HT5" s="36"/>
      <c r="HU5" s="36"/>
      <c r="HV5" s="37"/>
      <c r="HW5" s="36"/>
      <c r="HX5" s="36"/>
      <c r="HY5" s="36"/>
      <c r="HZ5" s="36"/>
      <c r="IA5" s="36"/>
      <c r="IB5" s="36"/>
      <c r="IC5" s="36"/>
      <c r="ID5" s="36"/>
      <c r="IE5" s="36"/>
      <c r="IF5" s="36"/>
      <c r="IG5" s="36"/>
      <c r="IH5" s="36"/>
      <c r="II5" s="36"/>
      <c r="IJ5" s="36"/>
      <c r="IK5" s="36"/>
      <c r="IL5" s="36"/>
      <c r="IM5" s="36"/>
      <c r="IN5" s="36"/>
      <c r="IO5" s="36"/>
      <c r="IP5" s="36"/>
      <c r="IQ5" s="36"/>
      <c r="IR5" s="36"/>
      <c r="IS5" s="36"/>
      <c r="IT5" s="36"/>
      <c r="IU5" s="36"/>
      <c r="IV5" s="36"/>
      <c r="IW5" s="36"/>
      <c r="IX5" s="36"/>
      <c r="IY5" s="36"/>
      <c r="IZ5" s="36"/>
      <c r="JA5" s="36"/>
      <c r="JB5" s="37"/>
    </row>
    <row r="6" ht="30.0" customHeight="1">
      <c r="A6" s="39" t="s">
        <v>16</v>
      </c>
      <c r="B6" s="40">
        <f t="shared" ref="B6:B13" si="4">SUM(BR6,BV6,BZ6,CD6,CH6,CL6,CT6,CX6,DB6,DF6,DJ6,DN6,DV6,DZ6,ED6,EH6,EL6,EP6,EX6,FB6,FF6,FJ6,FN6,FR6,FZ6,GD6,BN6,BO6,CP6,CQ6,DR6,DS6,ET6,EU6,FV6,FW6,,BN6,BO6,CP6,CQ6,DR6,DS6,ET6,EU6,FV6,FW6)+C6</f>
        <v>198.5</v>
      </c>
      <c r="C6" s="41">
        <f t="shared" ref="C6:C13" si="5">SUM(BS6,BW6,CA6,CE6,CI6,CM6,CU6,CY6,DC6,DG6,DK6,DO6,DW6,EA6,EE6,EI6,EM6,EQ6,EY6,FC6,FG6,FK6,FO6,FS6,GA6,GE6)*(1.5)</f>
        <v>10.5</v>
      </c>
      <c r="D6" s="42">
        <v>9.0</v>
      </c>
      <c r="E6" s="42">
        <v>9.0</v>
      </c>
      <c r="F6" s="42">
        <v>9.0</v>
      </c>
      <c r="G6" s="42">
        <v>20.0</v>
      </c>
      <c r="H6" s="42">
        <v>9.0</v>
      </c>
      <c r="I6" s="42" t="s">
        <v>17</v>
      </c>
      <c r="J6" s="42">
        <v>9.0</v>
      </c>
      <c r="K6" s="42">
        <v>9.0</v>
      </c>
      <c r="L6" s="42">
        <v>8.0</v>
      </c>
      <c r="M6" s="42">
        <v>9.0</v>
      </c>
      <c r="N6" s="43">
        <v>18.0</v>
      </c>
      <c r="O6" s="42">
        <v>9.0</v>
      </c>
      <c r="P6" s="42">
        <v>9.0</v>
      </c>
      <c r="Q6" s="42">
        <v>8.2</v>
      </c>
      <c r="R6" s="42">
        <v>9.0</v>
      </c>
      <c r="S6" s="42">
        <v>9.0</v>
      </c>
      <c r="T6" s="42">
        <v>6.0</v>
      </c>
      <c r="U6" s="42">
        <v>18.0</v>
      </c>
      <c r="V6" s="44"/>
      <c r="W6" s="42">
        <v>9.0</v>
      </c>
      <c r="X6" s="42">
        <v>9.0</v>
      </c>
      <c r="Y6" s="42">
        <v>9.0</v>
      </c>
      <c r="Z6" s="42">
        <v>9.0</v>
      </c>
      <c r="AA6" s="42">
        <v>9.0</v>
      </c>
      <c r="AB6" s="42">
        <v>20.0</v>
      </c>
      <c r="AC6" s="42">
        <v>9.0</v>
      </c>
      <c r="AD6" s="42">
        <v>9.0</v>
      </c>
      <c r="AE6" s="42"/>
      <c r="AF6" s="42">
        <v>7.0</v>
      </c>
      <c r="AG6" s="42">
        <v>9.0</v>
      </c>
      <c r="AH6" s="42">
        <v>9.0</v>
      </c>
      <c r="AI6" s="45"/>
      <c r="AJ6" s="45">
        <v>5.0</v>
      </c>
      <c r="AK6" s="45">
        <v>1.75</v>
      </c>
      <c r="AL6" s="45"/>
      <c r="AM6" s="44"/>
      <c r="AN6" s="44"/>
      <c r="AO6" s="45">
        <v>2.0</v>
      </c>
      <c r="AP6" s="45">
        <v>1.0</v>
      </c>
      <c r="AQ6" s="44"/>
      <c r="AR6" s="45">
        <v>0.5</v>
      </c>
      <c r="AS6" s="45"/>
      <c r="AT6" s="45">
        <v>0.25</v>
      </c>
      <c r="AU6" s="45">
        <v>5.25</v>
      </c>
      <c r="AV6" s="44"/>
      <c r="AW6" s="44"/>
      <c r="AX6" s="44"/>
      <c r="AY6" s="44"/>
      <c r="AZ6" s="42"/>
      <c r="BA6" s="44"/>
      <c r="BB6" s="42">
        <v>1.0</v>
      </c>
      <c r="BC6" s="42">
        <v>2.0</v>
      </c>
      <c r="BD6" s="42">
        <v>2.0</v>
      </c>
      <c r="BE6" s="42">
        <v>2.0</v>
      </c>
      <c r="BF6" s="42">
        <v>2.0</v>
      </c>
      <c r="BG6" s="42"/>
      <c r="BH6" s="42">
        <v>1.0</v>
      </c>
      <c r="BI6" s="42">
        <v>7.0</v>
      </c>
      <c r="BJ6" s="46">
        <v>10.0</v>
      </c>
      <c r="BK6" s="44"/>
      <c r="BL6" s="42">
        <v>1.0</v>
      </c>
      <c r="BM6" s="42">
        <v>2.0</v>
      </c>
      <c r="BN6" s="47">
        <v>10.0</v>
      </c>
      <c r="BO6" s="42">
        <v>2.0</v>
      </c>
      <c r="BP6" s="48"/>
      <c r="BQ6" s="48"/>
      <c r="BR6" s="47">
        <v>9.0</v>
      </c>
      <c r="BS6" s="42"/>
      <c r="BT6" s="48"/>
      <c r="BU6" s="48"/>
      <c r="BV6" s="47">
        <v>9.0</v>
      </c>
      <c r="BW6" s="42"/>
      <c r="BX6" s="48"/>
      <c r="BY6" s="48"/>
      <c r="BZ6" s="47">
        <v>9.0</v>
      </c>
      <c r="CA6" s="42"/>
      <c r="CB6" s="48"/>
      <c r="CC6" s="48"/>
      <c r="CD6" s="47">
        <v>9.0</v>
      </c>
      <c r="CE6" s="42"/>
      <c r="CF6" s="48"/>
      <c r="CG6" s="48"/>
      <c r="CH6" s="47"/>
      <c r="CI6" s="42"/>
      <c r="CJ6" s="48"/>
      <c r="CK6" s="48"/>
      <c r="CL6" s="47">
        <v>9.0</v>
      </c>
      <c r="CM6" s="42"/>
      <c r="CN6" s="48"/>
      <c r="CO6" s="48"/>
      <c r="CP6" s="47">
        <v>22.0</v>
      </c>
      <c r="CQ6" s="42"/>
      <c r="CR6" s="48"/>
      <c r="CS6" s="48"/>
      <c r="CT6" s="47">
        <v>9.0</v>
      </c>
      <c r="CU6" s="42">
        <v>5.0</v>
      </c>
      <c r="CV6" s="48"/>
      <c r="CW6" s="48"/>
      <c r="CX6" s="47">
        <v>7.0</v>
      </c>
      <c r="CY6" s="42"/>
      <c r="CZ6" s="48"/>
      <c r="DA6" s="48"/>
      <c r="DB6" s="47">
        <v>9.0</v>
      </c>
      <c r="DC6" s="42"/>
      <c r="DD6" s="48"/>
      <c r="DE6" s="48"/>
      <c r="DF6" s="49"/>
      <c r="DG6" s="50"/>
      <c r="DH6" s="51"/>
      <c r="DI6" s="51"/>
      <c r="DJ6" s="49"/>
      <c r="DK6" s="50"/>
      <c r="DL6" s="51"/>
      <c r="DM6" s="51"/>
      <c r="DN6" s="49"/>
      <c r="DO6" s="50"/>
      <c r="DP6" s="51"/>
      <c r="DQ6" s="51"/>
      <c r="DR6" s="49">
        <v>13.0</v>
      </c>
      <c r="DS6" s="50"/>
      <c r="DT6" s="51"/>
      <c r="DU6" s="51"/>
      <c r="DV6" s="49">
        <v>9.0</v>
      </c>
      <c r="DW6" s="50">
        <v>1.0</v>
      </c>
      <c r="DX6" s="51"/>
      <c r="DY6" s="51"/>
      <c r="DZ6" s="49">
        <v>8.0</v>
      </c>
      <c r="EA6" s="50"/>
      <c r="EB6" s="51"/>
      <c r="EC6" s="51"/>
      <c r="ED6" s="49">
        <v>7.0</v>
      </c>
      <c r="EE6" s="50">
        <v>1.0</v>
      </c>
      <c r="EF6" s="51"/>
      <c r="EG6" s="51"/>
      <c r="EH6" s="49"/>
      <c r="EI6" s="50"/>
      <c r="EJ6" s="51"/>
      <c r="EK6" s="51"/>
      <c r="EL6" s="49"/>
      <c r="EM6" s="50"/>
      <c r="EN6" s="51"/>
      <c r="EO6" s="51"/>
      <c r="EP6" s="49"/>
      <c r="EQ6" s="50"/>
      <c r="ER6" s="51"/>
      <c r="ES6" s="51"/>
      <c r="ET6" s="49"/>
      <c r="EU6" s="50"/>
      <c r="EV6" s="51"/>
      <c r="EW6" s="51"/>
      <c r="EX6" s="49"/>
      <c r="EY6" s="50"/>
      <c r="EZ6" s="51"/>
      <c r="FA6" s="51"/>
      <c r="FB6" s="49"/>
      <c r="FC6" s="50"/>
      <c r="FD6" s="51"/>
      <c r="FE6" s="51"/>
      <c r="FF6" s="49"/>
      <c r="FG6" s="50"/>
      <c r="FH6" s="51"/>
      <c r="FI6" s="51"/>
      <c r="FJ6" s="49"/>
      <c r="FK6" s="50"/>
      <c r="FL6" s="51"/>
      <c r="FM6" s="51"/>
      <c r="FN6" s="49"/>
      <c r="FO6" s="50"/>
      <c r="FP6" s="51"/>
      <c r="FQ6" s="51"/>
      <c r="FR6" s="49"/>
      <c r="FS6" s="50"/>
      <c r="FT6" s="51"/>
      <c r="FU6" s="51"/>
      <c r="FV6" s="49"/>
      <c r="FW6" s="50"/>
      <c r="FX6" s="51"/>
      <c r="FY6" s="51"/>
      <c r="FZ6" s="49"/>
      <c r="GA6" s="50"/>
      <c r="GB6" s="51"/>
      <c r="GC6" s="51"/>
      <c r="GD6" s="49"/>
      <c r="GE6" s="52"/>
      <c r="GF6" s="53"/>
      <c r="GG6" s="53"/>
      <c r="GH6" s="54"/>
      <c r="GI6" s="55">
        <f t="shared" ref="GI6:GI13" si="6">GJ6/235</f>
        <v>2765.957447</v>
      </c>
      <c r="GJ6" s="56">
        <v>650000.0</v>
      </c>
      <c r="GK6" s="55" t="str">
        <f t="shared" ref="GK6:GK13" si="7">'السلف و الغرامات'!C6</f>
        <v>#REF!</v>
      </c>
      <c r="GL6" s="57">
        <v>100000.0</v>
      </c>
      <c r="GM6" s="55" t="str">
        <f t="shared" ref="GM6:GM13" si="8">SUM(B6:C6)*(GI6)+GL6-GK6-GO6</f>
        <v>#REF!</v>
      </c>
      <c r="GN6" s="55">
        <f t="shared" ref="GN6:GN13" si="9">SUM(B6:C6)*(GI6)+GL6</f>
        <v>678085.1064</v>
      </c>
      <c r="GO6" s="57"/>
      <c r="GP6" s="58"/>
      <c r="GQ6" s="42" t="s">
        <v>18</v>
      </c>
      <c r="GR6" s="44"/>
      <c r="GS6" s="44"/>
      <c r="GT6" s="44"/>
      <c r="GU6" s="44"/>
      <c r="GV6" s="44"/>
      <c r="GW6" s="44"/>
      <c r="GX6" s="42" t="s">
        <v>18</v>
      </c>
      <c r="GY6" s="44"/>
      <c r="GZ6" s="44"/>
      <c r="HA6" s="44"/>
      <c r="HB6" s="44"/>
      <c r="HC6" s="44"/>
      <c r="HD6" s="44"/>
      <c r="HE6" s="42" t="s">
        <v>18</v>
      </c>
      <c r="HF6" s="44"/>
      <c r="HG6" s="44"/>
      <c r="HH6" s="44"/>
      <c r="HI6" s="44"/>
      <c r="HJ6" s="44"/>
      <c r="HK6" s="44"/>
      <c r="HL6" s="42" t="s">
        <v>18</v>
      </c>
      <c r="HM6" s="44"/>
      <c r="HN6" s="44"/>
      <c r="HO6" s="44"/>
      <c r="HP6" s="44"/>
      <c r="HQ6" s="44"/>
      <c r="HR6" s="44"/>
      <c r="HS6" s="42" t="s">
        <v>18</v>
      </c>
      <c r="HT6" s="44"/>
      <c r="HU6" s="44"/>
      <c r="HV6" s="59"/>
      <c r="HW6" s="44"/>
      <c r="HX6" s="44"/>
      <c r="HY6" s="44"/>
      <c r="HZ6" s="44"/>
      <c r="IA6" s="44"/>
      <c r="IB6" s="44"/>
      <c r="IC6" s="44"/>
      <c r="ID6" s="44"/>
      <c r="IE6" s="44"/>
      <c r="IF6" s="44"/>
      <c r="IG6" s="44"/>
      <c r="IH6" s="44"/>
      <c r="II6" s="44"/>
      <c r="IJ6" s="44"/>
      <c r="IK6" s="44"/>
      <c r="IL6" s="44"/>
      <c r="IM6" s="44"/>
      <c r="IN6" s="44"/>
      <c r="IO6" s="44"/>
      <c r="IP6" s="44"/>
      <c r="IQ6" s="44"/>
      <c r="IR6" s="44"/>
      <c r="IS6" s="44"/>
      <c r="IT6" s="44"/>
      <c r="IU6" s="44"/>
      <c r="IV6" s="44"/>
      <c r="IW6" s="44"/>
      <c r="IX6" s="44"/>
      <c r="IY6" s="44"/>
      <c r="IZ6" s="44"/>
      <c r="JA6" s="44"/>
      <c r="JB6" s="59"/>
    </row>
    <row r="7" ht="33.75" customHeight="1">
      <c r="A7" s="39" t="s">
        <v>19</v>
      </c>
      <c r="B7" s="40">
        <f t="shared" si="4"/>
        <v>8</v>
      </c>
      <c r="C7" s="41">
        <f t="shared" si="5"/>
        <v>0</v>
      </c>
      <c r="D7" s="50">
        <v>9.0</v>
      </c>
      <c r="E7" s="50">
        <v>9.0</v>
      </c>
      <c r="F7" s="50">
        <v>9.0</v>
      </c>
      <c r="G7" s="50">
        <v>18.0</v>
      </c>
      <c r="H7" s="50"/>
      <c r="I7" s="50" t="s">
        <v>18</v>
      </c>
      <c r="J7" s="50">
        <v>9.0</v>
      </c>
      <c r="K7" s="50">
        <v>8.0</v>
      </c>
      <c r="L7" s="50"/>
      <c r="M7" s="50">
        <v>5.0</v>
      </c>
      <c r="N7" s="60">
        <v>18.0</v>
      </c>
      <c r="O7" s="50">
        <v>9.0</v>
      </c>
      <c r="P7" s="41"/>
      <c r="Q7" s="50">
        <v>9.0</v>
      </c>
      <c r="R7" s="50"/>
      <c r="S7" s="50"/>
      <c r="T7" s="50">
        <v>8.0</v>
      </c>
      <c r="U7" s="50" t="s">
        <v>18</v>
      </c>
      <c r="V7" s="50">
        <v>9.0</v>
      </c>
      <c r="W7" s="50">
        <v>9.0</v>
      </c>
      <c r="X7" s="50">
        <v>9.0</v>
      </c>
      <c r="Y7" s="50">
        <v>9.0</v>
      </c>
      <c r="Z7" s="50">
        <v>9.0</v>
      </c>
      <c r="AA7" s="50">
        <v>9.0</v>
      </c>
      <c r="AB7" s="42">
        <v>18.0</v>
      </c>
      <c r="AC7" s="50">
        <v>9.0</v>
      </c>
      <c r="AD7" s="50">
        <v>9.0</v>
      </c>
      <c r="AE7" s="50">
        <v>9.0</v>
      </c>
      <c r="AF7" s="50">
        <v>9.0</v>
      </c>
      <c r="AG7" s="44"/>
      <c r="AH7" s="42">
        <v>9.0</v>
      </c>
      <c r="AI7" s="61"/>
      <c r="AJ7" s="61">
        <v>2.0</v>
      </c>
      <c r="AK7" s="61">
        <v>2.0</v>
      </c>
      <c r="AL7" s="61"/>
      <c r="AM7" s="61">
        <v>2.0</v>
      </c>
      <c r="AN7" s="44"/>
      <c r="AO7" s="61">
        <v>2.0</v>
      </c>
      <c r="AP7" s="44"/>
      <c r="AQ7" s="44"/>
      <c r="AR7" s="44"/>
      <c r="AS7" s="60"/>
      <c r="AT7" s="61">
        <v>5.0</v>
      </c>
      <c r="AU7" s="42">
        <v>1.0</v>
      </c>
      <c r="AV7" s="42">
        <v>2.0</v>
      </c>
      <c r="AW7" s="42">
        <v>8.0</v>
      </c>
      <c r="AX7" s="42">
        <v>1.0</v>
      </c>
      <c r="AY7" s="42">
        <v>1.0</v>
      </c>
      <c r="AZ7" s="44"/>
      <c r="BA7" s="42">
        <v>1.0</v>
      </c>
      <c r="BB7" s="42">
        <v>4.0</v>
      </c>
      <c r="BC7" s="42">
        <v>1.0</v>
      </c>
      <c r="BD7" s="42">
        <v>1.0</v>
      </c>
      <c r="BE7" s="42">
        <v>1.0</v>
      </c>
      <c r="BF7" s="42">
        <v>1.0</v>
      </c>
      <c r="BH7" s="42">
        <v>1.0</v>
      </c>
      <c r="BI7" s="42">
        <v>1.0</v>
      </c>
      <c r="BJ7" s="42">
        <v>1.0</v>
      </c>
      <c r="BK7" s="42">
        <v>1.0</v>
      </c>
      <c r="BL7" s="44"/>
      <c r="BM7" s="42">
        <v>1.0</v>
      </c>
      <c r="BN7" s="47"/>
      <c r="BO7" s="42"/>
      <c r="BP7" s="48"/>
      <c r="BQ7" s="48"/>
      <c r="BR7" s="47"/>
      <c r="BS7" s="42"/>
      <c r="BT7" s="48"/>
      <c r="BU7" s="48"/>
      <c r="BV7" s="47"/>
      <c r="BW7" s="42"/>
      <c r="BX7" s="48"/>
      <c r="BY7" s="48"/>
      <c r="BZ7" s="47"/>
      <c r="CA7" s="42"/>
      <c r="CB7" s="48"/>
      <c r="CC7" s="48"/>
      <c r="CD7" s="47"/>
      <c r="CE7" s="42"/>
      <c r="CF7" s="48"/>
      <c r="CG7" s="48"/>
      <c r="CH7" s="47"/>
      <c r="CI7" s="42"/>
      <c r="CJ7" s="48"/>
      <c r="CK7" s="48"/>
      <c r="CL7" s="47"/>
      <c r="CM7" s="42"/>
      <c r="CN7" s="48"/>
      <c r="CO7" s="48"/>
      <c r="CP7" s="47"/>
      <c r="CQ7" s="42"/>
      <c r="CR7" s="48"/>
      <c r="CS7" s="48"/>
      <c r="CT7" s="47"/>
      <c r="CU7" s="42"/>
      <c r="CV7" s="48"/>
      <c r="CW7" s="48"/>
      <c r="CX7" s="47"/>
      <c r="CY7" s="42"/>
      <c r="CZ7" s="48"/>
      <c r="DA7" s="48"/>
      <c r="DB7" s="47"/>
      <c r="DC7" s="42"/>
      <c r="DD7" s="48"/>
      <c r="DE7" s="48"/>
      <c r="DF7" s="49"/>
      <c r="DG7" s="50"/>
      <c r="DH7" s="51"/>
      <c r="DI7" s="51"/>
      <c r="DJ7" s="49"/>
      <c r="DK7" s="50"/>
      <c r="DL7" s="51"/>
      <c r="DM7" s="51"/>
      <c r="DN7" s="49"/>
      <c r="DO7" s="50"/>
      <c r="DP7" s="51"/>
      <c r="DQ7" s="51"/>
      <c r="DR7" s="49"/>
      <c r="DS7" s="50"/>
      <c r="DT7" s="51"/>
      <c r="DU7" s="51"/>
      <c r="DV7" s="49"/>
      <c r="DW7" s="50"/>
      <c r="DX7" s="51"/>
      <c r="DY7" s="51"/>
      <c r="DZ7" s="49">
        <v>8.0</v>
      </c>
      <c r="EA7" s="50"/>
      <c r="EB7" s="51"/>
      <c r="EC7" s="51"/>
      <c r="ED7" s="49"/>
      <c r="EE7" s="50"/>
      <c r="EF7" s="51"/>
      <c r="EG7" s="51"/>
      <c r="EH7" s="49"/>
      <c r="EI7" s="50"/>
      <c r="EJ7" s="51"/>
      <c r="EK7" s="51"/>
      <c r="EL7" s="49"/>
      <c r="EM7" s="50"/>
      <c r="EN7" s="51"/>
      <c r="EO7" s="51"/>
      <c r="EP7" s="49"/>
      <c r="EQ7" s="50"/>
      <c r="ER7" s="51"/>
      <c r="ES7" s="51"/>
      <c r="ET7" s="49"/>
      <c r="EU7" s="50"/>
      <c r="EV7" s="51"/>
      <c r="EW7" s="51"/>
      <c r="EX7" s="49"/>
      <c r="EY7" s="50"/>
      <c r="EZ7" s="51"/>
      <c r="FA7" s="51"/>
      <c r="FB7" s="49"/>
      <c r="FC7" s="50"/>
      <c r="FD7" s="51"/>
      <c r="FE7" s="51"/>
      <c r="FF7" s="49"/>
      <c r="FG7" s="50"/>
      <c r="FH7" s="51"/>
      <c r="FI7" s="51"/>
      <c r="FJ7" s="49"/>
      <c r="FK7" s="50"/>
      <c r="FL7" s="51"/>
      <c r="FM7" s="51"/>
      <c r="FN7" s="49"/>
      <c r="FO7" s="50"/>
      <c r="FP7" s="51"/>
      <c r="FQ7" s="51"/>
      <c r="FR7" s="49"/>
      <c r="FS7" s="50"/>
      <c r="FT7" s="51"/>
      <c r="FU7" s="51"/>
      <c r="FV7" s="49"/>
      <c r="FW7" s="50"/>
      <c r="FX7" s="51"/>
      <c r="FY7" s="51"/>
      <c r="FZ7" s="49"/>
      <c r="GA7" s="50"/>
      <c r="GB7" s="51"/>
      <c r="GC7" s="51"/>
      <c r="GD7" s="49"/>
      <c r="GE7" s="52"/>
      <c r="GF7" s="53"/>
      <c r="GG7" s="53"/>
      <c r="GH7" s="54"/>
      <c r="GI7" s="55">
        <f t="shared" si="6"/>
        <v>2978.723404</v>
      </c>
      <c r="GJ7" s="56">
        <v>700000.0</v>
      </c>
      <c r="GK7" s="55" t="str">
        <f t="shared" si="7"/>
        <v>#REF!</v>
      </c>
      <c r="GL7" s="55" t="str">
        <f t="shared" ref="GL7:GL13" si="10">#REF!</f>
        <v>#REF!</v>
      </c>
      <c r="GM7" s="55" t="str">
        <f t="shared" si="8"/>
        <v>#REF!</v>
      </c>
      <c r="GN7" s="55" t="str">
        <f t="shared" si="9"/>
        <v>#REF!</v>
      </c>
      <c r="GO7" s="55"/>
      <c r="GP7" s="58"/>
      <c r="GQ7" s="42" t="s">
        <v>18</v>
      </c>
      <c r="GR7" s="44"/>
      <c r="GS7" s="44"/>
      <c r="GT7" s="44"/>
      <c r="GU7" s="44"/>
      <c r="GV7" s="44"/>
      <c r="GW7" s="44"/>
      <c r="GX7" s="42" t="s">
        <v>18</v>
      </c>
      <c r="GY7" s="44"/>
      <c r="GZ7" s="44"/>
      <c r="HA7" s="44"/>
      <c r="HB7" s="44"/>
      <c r="HC7" s="44"/>
      <c r="HD7" s="44"/>
      <c r="HE7" s="42" t="s">
        <v>18</v>
      </c>
      <c r="HF7" s="44"/>
      <c r="HG7" s="44"/>
      <c r="HH7" s="44"/>
      <c r="HI7" s="44"/>
      <c r="HJ7" s="44"/>
      <c r="HK7" s="44"/>
      <c r="HL7" s="42" t="s">
        <v>18</v>
      </c>
      <c r="HM7" s="44"/>
      <c r="HN7" s="44"/>
      <c r="HO7" s="44"/>
      <c r="HP7" s="44"/>
      <c r="HQ7" s="44"/>
      <c r="HR7" s="44"/>
      <c r="HS7" s="42" t="s">
        <v>18</v>
      </c>
      <c r="HT7" s="44"/>
      <c r="HU7" s="44"/>
      <c r="HV7" s="59"/>
      <c r="HW7" s="44"/>
      <c r="HX7" s="44"/>
      <c r="HY7" s="44"/>
      <c r="HZ7" s="44"/>
      <c r="IA7" s="44"/>
      <c r="IB7" s="44"/>
      <c r="IC7" s="44"/>
      <c r="ID7" s="44"/>
      <c r="IE7" s="44"/>
      <c r="IF7" s="44"/>
      <c r="IG7" s="44"/>
      <c r="IH7" s="44"/>
      <c r="II7" s="44"/>
      <c r="IJ7" s="44"/>
      <c r="IK7" s="44"/>
      <c r="IL7" s="44"/>
      <c r="IM7" s="44"/>
      <c r="IN7" s="44"/>
      <c r="IO7" s="44"/>
      <c r="IP7" s="44"/>
      <c r="IQ7" s="44"/>
      <c r="IR7" s="44"/>
      <c r="IS7" s="44"/>
      <c r="IT7" s="44"/>
      <c r="IU7" s="44"/>
      <c r="IV7" s="44"/>
      <c r="IW7" s="44"/>
      <c r="IX7" s="44"/>
      <c r="IY7" s="44"/>
      <c r="IZ7" s="44"/>
      <c r="JA7" s="44"/>
      <c r="JB7" s="59"/>
    </row>
    <row r="8" ht="30.0" customHeight="1">
      <c r="A8" s="39" t="s">
        <v>20</v>
      </c>
      <c r="B8" s="40">
        <f t="shared" si="4"/>
        <v>70</v>
      </c>
      <c r="C8" s="41">
        <f t="shared" si="5"/>
        <v>0</v>
      </c>
      <c r="D8" s="42"/>
      <c r="E8" s="42">
        <v>9.0</v>
      </c>
      <c r="F8" s="42">
        <v>9.0</v>
      </c>
      <c r="G8" s="42"/>
      <c r="H8" s="42">
        <v>9.0</v>
      </c>
      <c r="I8" s="42" t="s">
        <v>18</v>
      </c>
      <c r="J8" s="42">
        <v>9.0</v>
      </c>
      <c r="K8" s="42">
        <v>9.0</v>
      </c>
      <c r="L8" s="42">
        <v>9.0</v>
      </c>
      <c r="M8" s="42">
        <v>9.0</v>
      </c>
      <c r="N8" s="45">
        <v>18.0</v>
      </c>
      <c r="O8" s="42">
        <v>9.0</v>
      </c>
      <c r="P8" s="42"/>
      <c r="Q8" s="42">
        <v>6.0</v>
      </c>
      <c r="R8" s="42">
        <v>7.0</v>
      </c>
      <c r="S8" s="42">
        <v>8.0</v>
      </c>
      <c r="T8" s="42">
        <v>7.0</v>
      </c>
      <c r="U8" s="42" t="s">
        <v>18</v>
      </c>
      <c r="V8" s="42">
        <v>9.0</v>
      </c>
      <c r="W8" s="42">
        <v>6.0</v>
      </c>
      <c r="X8" s="42">
        <v>9.0</v>
      </c>
      <c r="Y8" s="42">
        <v>9.0</v>
      </c>
      <c r="Z8" s="42">
        <v>9.0</v>
      </c>
      <c r="AA8" s="42">
        <v>9.0</v>
      </c>
      <c r="AB8" s="42">
        <v>18.0</v>
      </c>
      <c r="AC8" s="42">
        <v>9.0</v>
      </c>
      <c r="AD8" s="42">
        <v>9.0</v>
      </c>
      <c r="AE8" s="42"/>
      <c r="AF8" s="42">
        <v>8.0</v>
      </c>
      <c r="AG8" s="42">
        <v>9.0</v>
      </c>
      <c r="AH8" s="42">
        <v>9.0</v>
      </c>
      <c r="AI8" s="45"/>
      <c r="AJ8" s="45">
        <v>3.0</v>
      </c>
      <c r="AK8" s="44"/>
      <c r="AL8" s="44"/>
      <c r="AM8" s="44"/>
      <c r="AN8" s="44"/>
      <c r="AO8" s="44"/>
      <c r="AP8" s="44"/>
      <c r="AQ8" s="44"/>
      <c r="AR8" s="45">
        <v>1.0</v>
      </c>
      <c r="AS8" s="45"/>
      <c r="AT8" s="45">
        <v>2.0</v>
      </c>
      <c r="AU8" s="44"/>
      <c r="AV8" s="44"/>
      <c r="AW8" s="44"/>
      <c r="AX8" s="44"/>
      <c r="AY8" s="44"/>
      <c r="AZ8" s="44"/>
      <c r="BA8" s="42">
        <v>3.0</v>
      </c>
      <c r="BB8" s="44"/>
      <c r="BC8" s="42">
        <v>2.0</v>
      </c>
      <c r="BD8" s="42">
        <v>2.0</v>
      </c>
      <c r="BE8" s="42">
        <v>1.0</v>
      </c>
      <c r="BF8" s="42"/>
      <c r="BG8" s="42"/>
      <c r="BH8" s="42">
        <v>2.0</v>
      </c>
      <c r="BI8" s="42">
        <v>9.0</v>
      </c>
      <c r="BJ8" s="42">
        <v>11.0</v>
      </c>
      <c r="BK8" s="42">
        <v>1.0</v>
      </c>
      <c r="BL8" s="44"/>
      <c r="BM8" s="44"/>
      <c r="BN8" s="47"/>
      <c r="BO8" s="42"/>
      <c r="BP8" s="48"/>
      <c r="BQ8" s="48"/>
      <c r="BR8" s="47">
        <v>9.0</v>
      </c>
      <c r="BS8" s="42"/>
      <c r="BT8" s="48"/>
      <c r="BU8" s="48"/>
      <c r="BV8" s="47">
        <v>9.0</v>
      </c>
      <c r="BW8" s="44"/>
      <c r="BX8" s="62"/>
      <c r="BY8" s="62"/>
      <c r="BZ8" s="47">
        <v>9.0</v>
      </c>
      <c r="CA8" s="42" t="s">
        <v>21</v>
      </c>
      <c r="CB8" s="48"/>
      <c r="CC8" s="48"/>
      <c r="CD8" s="47"/>
      <c r="CE8" s="42"/>
      <c r="CF8" s="48"/>
      <c r="CG8" s="48"/>
      <c r="CH8" s="47">
        <v>9.0</v>
      </c>
      <c r="CI8" s="44"/>
      <c r="CJ8" s="62"/>
      <c r="CK8" s="62"/>
      <c r="CL8" s="47">
        <v>9.0</v>
      </c>
      <c r="CM8" s="44"/>
      <c r="CN8" s="62"/>
      <c r="CO8" s="62"/>
      <c r="CP8" s="47"/>
      <c r="CQ8" s="44"/>
      <c r="CR8" s="62"/>
      <c r="CS8" s="62"/>
      <c r="CT8" s="47">
        <v>9.0</v>
      </c>
      <c r="CU8" s="42" t="s">
        <v>21</v>
      </c>
      <c r="CV8" s="48"/>
      <c r="CW8" s="48"/>
      <c r="CX8" s="47">
        <v>7.0</v>
      </c>
      <c r="CY8" s="44"/>
      <c r="CZ8" s="62"/>
      <c r="DA8" s="62"/>
      <c r="DB8" s="63"/>
      <c r="DC8" s="44"/>
      <c r="DD8" s="62"/>
      <c r="DE8" s="62"/>
      <c r="DF8" s="64"/>
      <c r="DG8" s="65"/>
      <c r="DH8" s="66"/>
      <c r="DI8" s="66"/>
      <c r="DJ8" s="64"/>
      <c r="DK8" s="65"/>
      <c r="DL8" s="66"/>
      <c r="DM8" s="66"/>
      <c r="DN8" s="64"/>
      <c r="DO8" s="65"/>
      <c r="DP8" s="66"/>
      <c r="DQ8" s="66"/>
      <c r="DR8" s="64"/>
      <c r="DS8" s="65"/>
      <c r="DT8" s="66"/>
      <c r="DU8" s="66"/>
      <c r="DV8" s="64"/>
      <c r="DW8" s="65"/>
      <c r="DX8" s="66"/>
      <c r="DY8" s="66"/>
      <c r="DZ8" s="49">
        <v>9.0</v>
      </c>
      <c r="EA8" s="65"/>
      <c r="EB8" s="66"/>
      <c r="EC8" s="66"/>
      <c r="ED8" s="64"/>
      <c r="EE8" s="65"/>
      <c r="EF8" s="66"/>
      <c r="EG8" s="66"/>
      <c r="EH8" s="64"/>
      <c r="EI8" s="65"/>
      <c r="EJ8" s="66"/>
      <c r="EK8" s="66"/>
      <c r="EL8" s="64"/>
      <c r="EM8" s="65"/>
      <c r="EN8" s="66"/>
      <c r="EO8" s="66"/>
      <c r="EP8" s="64"/>
      <c r="EQ8" s="65"/>
      <c r="ER8" s="66"/>
      <c r="ES8" s="66"/>
      <c r="ET8" s="64"/>
      <c r="EU8" s="65"/>
      <c r="EV8" s="66"/>
      <c r="EW8" s="66"/>
      <c r="EX8" s="64"/>
      <c r="EY8" s="65"/>
      <c r="EZ8" s="66"/>
      <c r="FA8" s="66"/>
      <c r="FB8" s="64"/>
      <c r="FC8" s="65"/>
      <c r="FD8" s="66"/>
      <c r="FE8" s="66"/>
      <c r="FF8" s="64"/>
      <c r="FG8" s="65"/>
      <c r="FH8" s="66"/>
      <c r="FI8" s="66"/>
      <c r="FJ8" s="64"/>
      <c r="FK8" s="65"/>
      <c r="FL8" s="66"/>
      <c r="FM8" s="66"/>
      <c r="FN8" s="64"/>
      <c r="FO8" s="65"/>
      <c r="FP8" s="66"/>
      <c r="FQ8" s="66"/>
      <c r="FR8" s="64"/>
      <c r="FS8" s="65"/>
      <c r="FT8" s="66"/>
      <c r="FU8" s="66"/>
      <c r="FV8" s="64"/>
      <c r="FW8" s="65"/>
      <c r="FX8" s="66"/>
      <c r="FY8" s="66"/>
      <c r="FZ8" s="64"/>
      <c r="GA8" s="65"/>
      <c r="GB8" s="66"/>
      <c r="GC8" s="66"/>
      <c r="GD8" s="64"/>
      <c r="GE8" s="67"/>
      <c r="GF8" s="68"/>
      <c r="GG8" s="68"/>
      <c r="GH8" s="54"/>
      <c r="GI8" s="55">
        <f t="shared" si="6"/>
        <v>2978.723404</v>
      </c>
      <c r="GJ8" s="56">
        <v>700000.0</v>
      </c>
      <c r="GK8" s="55" t="str">
        <f t="shared" si="7"/>
        <v>#REF!</v>
      </c>
      <c r="GL8" s="55" t="str">
        <f t="shared" si="10"/>
        <v>#REF!</v>
      </c>
      <c r="GM8" s="55" t="str">
        <f t="shared" si="8"/>
        <v>#REF!</v>
      </c>
      <c r="GN8" s="55" t="str">
        <f t="shared" si="9"/>
        <v>#REF!</v>
      </c>
      <c r="GO8" s="55"/>
      <c r="GP8" s="58"/>
      <c r="GQ8" s="42" t="s">
        <v>18</v>
      </c>
      <c r="GR8" s="44"/>
      <c r="GS8" s="44"/>
      <c r="GT8" s="44"/>
      <c r="GU8" s="44"/>
      <c r="GV8" s="44"/>
      <c r="GW8" s="44"/>
      <c r="GX8" s="42" t="s">
        <v>18</v>
      </c>
      <c r="GY8" s="44"/>
      <c r="GZ8" s="44"/>
      <c r="HA8" s="44"/>
      <c r="HB8" s="44"/>
      <c r="HC8" s="44"/>
      <c r="HD8" s="44"/>
      <c r="HE8" s="42" t="s">
        <v>18</v>
      </c>
      <c r="HF8" s="44"/>
      <c r="HG8" s="44"/>
      <c r="HH8" s="44"/>
      <c r="HI8" s="44"/>
      <c r="HJ8" s="44"/>
      <c r="HK8" s="44"/>
      <c r="HL8" s="42" t="s">
        <v>18</v>
      </c>
      <c r="HM8" s="44"/>
      <c r="HN8" s="44"/>
      <c r="HO8" s="44"/>
      <c r="HP8" s="44"/>
      <c r="HQ8" s="44"/>
      <c r="HR8" s="44"/>
      <c r="HS8" s="42" t="s">
        <v>18</v>
      </c>
      <c r="HT8" s="44"/>
      <c r="HU8" s="44"/>
      <c r="HV8" s="59"/>
      <c r="HW8" s="44"/>
      <c r="HX8" s="44"/>
      <c r="HY8" s="44"/>
      <c r="HZ8" s="44"/>
      <c r="IA8" s="44"/>
      <c r="IB8" s="44"/>
      <c r="IC8" s="44"/>
      <c r="ID8" s="44"/>
      <c r="IE8" s="44"/>
      <c r="IF8" s="44"/>
      <c r="IG8" s="44"/>
      <c r="IH8" s="44"/>
      <c r="II8" s="44"/>
      <c r="IJ8" s="44"/>
      <c r="IK8" s="44"/>
      <c r="IL8" s="44"/>
      <c r="IM8" s="44"/>
      <c r="IN8" s="44"/>
      <c r="IO8" s="44"/>
      <c r="IP8" s="44"/>
      <c r="IQ8" s="44"/>
      <c r="IR8" s="44"/>
      <c r="IS8" s="44"/>
      <c r="IT8" s="44"/>
      <c r="IU8" s="44"/>
      <c r="IV8" s="44"/>
      <c r="IW8" s="44"/>
      <c r="IX8" s="44"/>
      <c r="IY8" s="44"/>
      <c r="IZ8" s="44"/>
      <c r="JA8" s="44"/>
      <c r="JB8" s="59"/>
    </row>
    <row r="9" ht="30.0" customHeight="1">
      <c r="A9" s="39" t="s">
        <v>22</v>
      </c>
      <c r="B9" s="40">
        <f t="shared" si="4"/>
        <v>99</v>
      </c>
      <c r="C9" s="41">
        <f t="shared" si="5"/>
        <v>0</v>
      </c>
      <c r="D9" s="42">
        <v>6.25</v>
      </c>
      <c r="E9" s="42">
        <v>4.0</v>
      </c>
      <c r="F9" s="42">
        <v>8.0</v>
      </c>
      <c r="G9" s="42"/>
      <c r="H9" s="42"/>
      <c r="I9" s="42" t="s">
        <v>18</v>
      </c>
      <c r="J9" s="42">
        <v>8.0</v>
      </c>
      <c r="K9" s="42">
        <v>8.0</v>
      </c>
      <c r="L9" s="42">
        <v>8.0</v>
      </c>
      <c r="M9" s="42">
        <v>9.0</v>
      </c>
      <c r="N9" s="45">
        <v>18.0</v>
      </c>
      <c r="O9" s="42">
        <v>9.0</v>
      </c>
      <c r="P9" s="42">
        <v>8.0</v>
      </c>
      <c r="Q9" s="42">
        <v>9.0</v>
      </c>
      <c r="R9" s="42">
        <v>9.0</v>
      </c>
      <c r="S9" s="42">
        <v>9.0</v>
      </c>
      <c r="T9" s="42">
        <v>9.0</v>
      </c>
      <c r="U9" s="44"/>
      <c r="V9" s="42">
        <v>9.0</v>
      </c>
      <c r="W9" s="42">
        <v>9.0</v>
      </c>
      <c r="X9" s="42">
        <v>9.0</v>
      </c>
      <c r="Y9" s="42">
        <v>9.0</v>
      </c>
      <c r="Z9" s="42">
        <v>9.0</v>
      </c>
      <c r="AA9" s="42">
        <v>9.0</v>
      </c>
      <c r="AB9" s="42">
        <v>22.0</v>
      </c>
      <c r="AC9" s="42">
        <v>9.0</v>
      </c>
      <c r="AD9" s="42"/>
      <c r="AE9" s="42"/>
      <c r="AF9" s="42"/>
      <c r="AG9" s="44"/>
      <c r="AH9" s="42">
        <v>9.0</v>
      </c>
      <c r="AI9" s="44"/>
      <c r="AJ9" s="44"/>
      <c r="AK9" s="44"/>
      <c r="AL9" s="44"/>
      <c r="AM9" s="44"/>
      <c r="AN9" s="44"/>
      <c r="AO9" s="44"/>
      <c r="AP9" s="44"/>
      <c r="AQ9" s="44"/>
      <c r="AR9" s="45">
        <v>2.0</v>
      </c>
      <c r="AS9" s="45"/>
      <c r="AT9" s="45">
        <v>3.0</v>
      </c>
      <c r="AU9" s="44"/>
      <c r="AV9" s="42">
        <v>2.0</v>
      </c>
      <c r="AW9" s="42">
        <v>3.0</v>
      </c>
      <c r="AX9" s="42" t="s">
        <v>23</v>
      </c>
      <c r="AY9" s="42">
        <v>3.0</v>
      </c>
      <c r="AZ9" s="44"/>
      <c r="BA9" s="42">
        <v>2.0</v>
      </c>
      <c r="BB9" s="44"/>
      <c r="BC9" s="42">
        <v>1.0</v>
      </c>
      <c r="BD9" s="42">
        <v>3.0</v>
      </c>
      <c r="BE9" s="42">
        <v>2.0</v>
      </c>
      <c r="BF9" s="42">
        <v>5.0</v>
      </c>
      <c r="BG9" s="42"/>
      <c r="BH9" s="42">
        <v>1.0</v>
      </c>
      <c r="BI9" s="44"/>
      <c r="BJ9" s="44"/>
      <c r="BK9" s="44"/>
      <c r="BL9" s="44"/>
      <c r="BM9" s="42">
        <v>1.0</v>
      </c>
      <c r="BN9" s="47"/>
      <c r="BO9" s="42"/>
      <c r="BP9" s="48"/>
      <c r="BQ9" s="48"/>
      <c r="BR9" s="47">
        <v>9.0</v>
      </c>
      <c r="BS9" s="42"/>
      <c r="BT9" s="48"/>
      <c r="BU9" s="48"/>
      <c r="BV9" s="47">
        <v>9.0</v>
      </c>
      <c r="BW9" s="42"/>
      <c r="BX9" s="48"/>
      <c r="BY9" s="48"/>
      <c r="BZ9" s="47">
        <v>9.0</v>
      </c>
      <c r="CA9" s="42"/>
      <c r="CB9" s="48"/>
      <c r="CC9" s="48"/>
      <c r="CD9" s="47">
        <v>9.0</v>
      </c>
      <c r="CE9" s="42"/>
      <c r="CF9" s="48"/>
      <c r="CG9" s="48"/>
      <c r="CH9" s="47">
        <v>9.0</v>
      </c>
      <c r="CI9" s="42"/>
      <c r="CJ9" s="48"/>
      <c r="CK9" s="48"/>
      <c r="CL9" s="47">
        <v>9.0</v>
      </c>
      <c r="CM9" s="42"/>
      <c r="CN9" s="48"/>
      <c r="CO9" s="48"/>
      <c r="CP9" s="47"/>
      <c r="CQ9" s="42"/>
      <c r="CR9" s="48"/>
      <c r="CS9" s="48"/>
      <c r="CT9" s="47">
        <v>9.0</v>
      </c>
      <c r="CU9" s="42"/>
      <c r="CV9" s="48"/>
      <c r="CW9" s="48"/>
      <c r="CX9" s="47">
        <v>9.0</v>
      </c>
      <c r="CY9" s="42"/>
      <c r="CZ9" s="48"/>
      <c r="DA9" s="48"/>
      <c r="DB9" s="47">
        <v>9.0</v>
      </c>
      <c r="DC9" s="42"/>
      <c r="DD9" s="48"/>
      <c r="DE9" s="48"/>
      <c r="DF9" s="49"/>
      <c r="DG9" s="50"/>
      <c r="DH9" s="51"/>
      <c r="DI9" s="51"/>
      <c r="DJ9" s="49"/>
      <c r="DK9" s="50"/>
      <c r="DL9" s="51"/>
      <c r="DM9" s="51"/>
      <c r="DN9" s="49"/>
      <c r="DO9" s="50"/>
      <c r="DP9" s="51"/>
      <c r="DQ9" s="51"/>
      <c r="DR9" s="49"/>
      <c r="DS9" s="50"/>
      <c r="DT9" s="51"/>
      <c r="DU9" s="51"/>
      <c r="DV9" s="49">
        <v>9.0</v>
      </c>
      <c r="DW9" s="50"/>
      <c r="DX9" s="51"/>
      <c r="DY9" s="51"/>
      <c r="DZ9" s="49">
        <v>9.0</v>
      </c>
      <c r="EA9" s="50"/>
      <c r="EB9" s="51"/>
      <c r="EC9" s="51"/>
      <c r="ED9" s="49"/>
      <c r="EE9" s="50"/>
      <c r="EF9" s="51"/>
      <c r="EG9" s="51"/>
      <c r="EH9" s="49"/>
      <c r="EI9" s="50"/>
      <c r="EJ9" s="51"/>
      <c r="EK9" s="51"/>
      <c r="EL9" s="49"/>
      <c r="EM9" s="50"/>
      <c r="EN9" s="51"/>
      <c r="EO9" s="51"/>
      <c r="EP9" s="49"/>
      <c r="EQ9" s="50"/>
      <c r="ER9" s="51"/>
      <c r="ES9" s="51"/>
      <c r="ET9" s="49"/>
      <c r="EU9" s="50"/>
      <c r="EV9" s="51"/>
      <c r="EW9" s="51"/>
      <c r="EX9" s="49"/>
      <c r="EY9" s="50"/>
      <c r="EZ9" s="51"/>
      <c r="FA9" s="51"/>
      <c r="FB9" s="49"/>
      <c r="FC9" s="50"/>
      <c r="FD9" s="51"/>
      <c r="FE9" s="51"/>
      <c r="FF9" s="49"/>
      <c r="FG9" s="50"/>
      <c r="FH9" s="51"/>
      <c r="FI9" s="51"/>
      <c r="FJ9" s="49"/>
      <c r="FK9" s="50"/>
      <c r="FL9" s="51"/>
      <c r="FM9" s="51"/>
      <c r="FN9" s="49"/>
      <c r="FO9" s="50"/>
      <c r="FP9" s="51"/>
      <c r="FQ9" s="51"/>
      <c r="FR9" s="49"/>
      <c r="FS9" s="50"/>
      <c r="FT9" s="51"/>
      <c r="FU9" s="51"/>
      <c r="FV9" s="49"/>
      <c r="FW9" s="50"/>
      <c r="FX9" s="51"/>
      <c r="FY9" s="51"/>
      <c r="FZ9" s="49"/>
      <c r="GA9" s="50"/>
      <c r="GB9" s="51"/>
      <c r="GC9" s="51"/>
      <c r="GD9" s="49"/>
      <c r="GE9" s="52"/>
      <c r="GF9" s="53"/>
      <c r="GG9" s="53"/>
      <c r="GH9" s="54"/>
      <c r="GI9" s="55">
        <f t="shared" si="6"/>
        <v>1595.744681</v>
      </c>
      <c r="GJ9" s="56">
        <v>375000.0</v>
      </c>
      <c r="GK9" s="55" t="str">
        <f t="shared" si="7"/>
        <v>#REF!</v>
      </c>
      <c r="GL9" s="55" t="str">
        <f t="shared" si="10"/>
        <v>#REF!</v>
      </c>
      <c r="GM9" s="55" t="str">
        <f t="shared" si="8"/>
        <v>#REF!</v>
      </c>
      <c r="GN9" s="55" t="str">
        <f t="shared" si="9"/>
        <v>#REF!</v>
      </c>
      <c r="GO9" s="55"/>
      <c r="GP9" s="58"/>
      <c r="GQ9" s="42" t="s">
        <v>18</v>
      </c>
      <c r="GR9" s="44"/>
      <c r="GS9" s="44"/>
      <c r="GT9" s="44"/>
      <c r="GU9" s="44"/>
      <c r="GV9" s="44"/>
      <c r="GW9" s="44"/>
      <c r="GX9" s="42" t="s">
        <v>18</v>
      </c>
      <c r="GY9" s="44"/>
      <c r="GZ9" s="44"/>
      <c r="HA9" s="44"/>
      <c r="HB9" s="44"/>
      <c r="HC9" s="44"/>
      <c r="HD9" s="44"/>
      <c r="HE9" s="42" t="s">
        <v>18</v>
      </c>
      <c r="HF9" s="44"/>
      <c r="HG9" s="44"/>
      <c r="HH9" s="44"/>
      <c r="HI9" s="44"/>
      <c r="HJ9" s="44"/>
      <c r="HK9" s="44"/>
      <c r="HL9" s="42" t="s">
        <v>18</v>
      </c>
      <c r="HM9" s="44"/>
      <c r="HN9" s="44"/>
      <c r="HO9" s="44"/>
      <c r="HP9" s="44"/>
      <c r="HQ9" s="44"/>
      <c r="HR9" s="44"/>
      <c r="HS9" s="42" t="s">
        <v>18</v>
      </c>
      <c r="HT9" s="44"/>
      <c r="HU9" s="44"/>
      <c r="HV9" s="59"/>
      <c r="HW9" s="44"/>
      <c r="HX9" s="44"/>
      <c r="HY9" s="44"/>
      <c r="HZ9" s="44"/>
      <c r="IA9" s="44"/>
      <c r="IB9" s="44"/>
      <c r="IC9" s="44"/>
      <c r="ID9" s="44"/>
      <c r="IE9" s="44"/>
      <c r="IF9" s="44"/>
      <c r="IG9" s="44"/>
      <c r="IH9" s="44"/>
      <c r="II9" s="44"/>
      <c r="IJ9" s="44"/>
      <c r="IK9" s="44"/>
      <c r="IL9" s="44"/>
      <c r="IM9" s="44"/>
      <c r="IN9" s="44"/>
      <c r="IO9" s="44"/>
      <c r="IP9" s="44"/>
      <c r="IQ9" s="44"/>
      <c r="IR9" s="44"/>
      <c r="IS9" s="44"/>
      <c r="IT9" s="44"/>
      <c r="IU9" s="44"/>
      <c r="IV9" s="44"/>
      <c r="IW9" s="44"/>
      <c r="IX9" s="44"/>
      <c r="IY9" s="44"/>
      <c r="IZ9" s="44"/>
      <c r="JA9" s="44"/>
      <c r="JB9" s="59"/>
    </row>
    <row r="10" ht="30.0" customHeight="1">
      <c r="A10" s="69" t="s">
        <v>24</v>
      </c>
      <c r="B10" s="70">
        <f t="shared" si="4"/>
        <v>72.5</v>
      </c>
      <c r="C10" s="41">
        <f t="shared" si="5"/>
        <v>1.5</v>
      </c>
      <c r="D10" s="42"/>
      <c r="E10" s="42"/>
      <c r="F10" s="42"/>
      <c r="G10" s="42"/>
      <c r="H10" s="42"/>
      <c r="I10" s="42" t="s">
        <v>18</v>
      </c>
      <c r="J10" s="42">
        <v>7.1</v>
      </c>
      <c r="K10" s="42">
        <v>7.1</v>
      </c>
      <c r="L10" s="42">
        <v>7.1</v>
      </c>
      <c r="M10" s="42">
        <v>7.5</v>
      </c>
      <c r="N10" s="71">
        <v>14.0</v>
      </c>
      <c r="O10" s="42">
        <v>7.6</v>
      </c>
      <c r="P10" s="42">
        <v>7.5</v>
      </c>
      <c r="Q10" s="42">
        <v>7.5</v>
      </c>
      <c r="R10" s="42">
        <v>7.0</v>
      </c>
      <c r="S10" s="72">
        <v>8.0</v>
      </c>
      <c r="T10" s="72">
        <v>9.0</v>
      </c>
      <c r="U10" s="42">
        <v>16.0</v>
      </c>
      <c r="V10" s="42">
        <v>7.0</v>
      </c>
      <c r="W10" s="72">
        <v>8.0</v>
      </c>
      <c r="X10" s="72">
        <v>7.0</v>
      </c>
      <c r="Y10" s="72">
        <v>8.0</v>
      </c>
      <c r="Z10" s="72">
        <v>7.0</v>
      </c>
      <c r="AA10" s="72">
        <v>9.0</v>
      </c>
      <c r="AB10" s="72">
        <v>18.0</v>
      </c>
      <c r="AC10" s="72"/>
      <c r="AD10" s="72">
        <v>8.0</v>
      </c>
      <c r="AE10" s="72">
        <v>7.0</v>
      </c>
      <c r="AF10" s="72">
        <v>8.0</v>
      </c>
      <c r="AG10" s="72"/>
      <c r="AH10" s="72"/>
      <c r="AI10" s="73"/>
      <c r="AJ10" s="73"/>
      <c r="AK10" s="73"/>
      <c r="AL10" s="73"/>
      <c r="AM10" s="73"/>
      <c r="AN10" s="73"/>
      <c r="AO10" s="73"/>
      <c r="AP10" s="73"/>
      <c r="AQ10" s="73"/>
      <c r="AR10" s="73"/>
      <c r="AS10" s="71"/>
      <c r="AT10" s="73"/>
      <c r="AU10" s="73"/>
      <c r="AV10" s="73"/>
      <c r="AW10" s="73"/>
      <c r="AX10" s="73"/>
      <c r="AY10" s="72">
        <v>1.0</v>
      </c>
      <c r="AZ10" s="42"/>
      <c r="BA10" s="73"/>
      <c r="BB10" s="73"/>
      <c r="BC10" s="73"/>
      <c r="BD10" s="73"/>
      <c r="BE10" s="73"/>
      <c r="BF10" s="73"/>
      <c r="BG10" s="72"/>
      <c r="BH10" s="73"/>
      <c r="BI10" s="73"/>
      <c r="BJ10" s="73"/>
      <c r="BK10" s="73"/>
      <c r="BL10" s="73"/>
      <c r="BM10" s="73"/>
      <c r="BN10" s="49">
        <v>9.0</v>
      </c>
      <c r="BO10" s="72"/>
      <c r="BP10" s="74"/>
      <c r="BQ10" s="74"/>
      <c r="BR10" s="49">
        <v>7.0</v>
      </c>
      <c r="BS10" s="72"/>
      <c r="BT10" s="74"/>
      <c r="BU10" s="74"/>
      <c r="BV10" s="49">
        <v>7.0</v>
      </c>
      <c r="BW10" s="73"/>
      <c r="BX10" s="75"/>
      <c r="BY10" s="75"/>
      <c r="BZ10" s="49">
        <v>8.0</v>
      </c>
      <c r="CA10" s="73"/>
      <c r="CB10" s="75"/>
      <c r="CC10" s="75"/>
      <c r="CD10" s="49">
        <v>7.0</v>
      </c>
      <c r="CE10" s="73"/>
      <c r="CF10" s="75"/>
      <c r="CG10" s="75"/>
      <c r="CH10" s="49">
        <v>8.0</v>
      </c>
      <c r="CI10" s="73"/>
      <c r="CJ10" s="75"/>
      <c r="CK10" s="75"/>
      <c r="CL10" s="49">
        <v>9.0</v>
      </c>
      <c r="CM10" s="50">
        <v>1.0</v>
      </c>
      <c r="CN10" s="51"/>
      <c r="CO10" s="51"/>
      <c r="CP10" s="76"/>
      <c r="CQ10" s="73"/>
      <c r="CR10" s="75"/>
      <c r="CS10" s="75"/>
      <c r="CT10" s="49">
        <v>7.0</v>
      </c>
      <c r="CU10" s="73"/>
      <c r="CV10" s="75"/>
      <c r="CW10" s="75"/>
      <c r="CX10" s="76"/>
      <c r="CY10" s="73"/>
      <c r="CZ10" s="75"/>
      <c r="DA10" s="75"/>
      <c r="DB10" s="76"/>
      <c r="DC10" s="73"/>
      <c r="DD10" s="75"/>
      <c r="DE10" s="75"/>
      <c r="DF10" s="64"/>
      <c r="DG10" s="65"/>
      <c r="DH10" s="66"/>
      <c r="DI10" s="66"/>
      <c r="DJ10" s="64"/>
      <c r="DK10" s="65"/>
      <c r="DL10" s="66"/>
      <c r="DM10" s="66"/>
      <c r="DN10" s="64"/>
      <c r="DO10" s="65"/>
      <c r="DP10" s="66"/>
      <c r="DQ10" s="66"/>
      <c r="DR10" s="64"/>
      <c r="DS10" s="65"/>
      <c r="DT10" s="66"/>
      <c r="DU10" s="66"/>
      <c r="DV10" s="64"/>
      <c r="DW10" s="65"/>
      <c r="DX10" s="66"/>
      <c r="DY10" s="66"/>
      <c r="DZ10" s="64"/>
      <c r="EA10" s="65"/>
      <c r="EB10" s="66"/>
      <c r="EC10" s="66"/>
      <c r="ED10" s="64"/>
      <c r="EE10" s="65"/>
      <c r="EF10" s="66"/>
      <c r="EG10" s="66"/>
      <c r="EH10" s="64"/>
      <c r="EI10" s="65"/>
      <c r="EJ10" s="66"/>
      <c r="EK10" s="66"/>
      <c r="EL10" s="64"/>
      <c r="EM10" s="65"/>
      <c r="EN10" s="66"/>
      <c r="EO10" s="66"/>
      <c r="EP10" s="64"/>
      <c r="EQ10" s="65"/>
      <c r="ER10" s="66"/>
      <c r="ES10" s="66"/>
      <c r="ET10" s="64"/>
      <c r="EU10" s="65"/>
      <c r="EV10" s="66"/>
      <c r="EW10" s="66"/>
      <c r="EX10" s="64"/>
      <c r="EY10" s="65"/>
      <c r="EZ10" s="66"/>
      <c r="FA10" s="66"/>
      <c r="FB10" s="64"/>
      <c r="FC10" s="65"/>
      <c r="FD10" s="66"/>
      <c r="FE10" s="66"/>
      <c r="FF10" s="64"/>
      <c r="FG10" s="65"/>
      <c r="FH10" s="66"/>
      <c r="FI10" s="66"/>
      <c r="FJ10" s="64"/>
      <c r="FK10" s="65"/>
      <c r="FL10" s="66"/>
      <c r="FM10" s="66"/>
      <c r="FN10" s="64"/>
      <c r="FO10" s="65"/>
      <c r="FP10" s="66"/>
      <c r="FQ10" s="66"/>
      <c r="FR10" s="64"/>
      <c r="FS10" s="65"/>
      <c r="FT10" s="66"/>
      <c r="FU10" s="66"/>
      <c r="FV10" s="64"/>
      <c r="FW10" s="65"/>
      <c r="FX10" s="66"/>
      <c r="FY10" s="66"/>
      <c r="FZ10" s="64"/>
      <c r="GA10" s="65"/>
      <c r="GB10" s="66"/>
      <c r="GC10" s="66"/>
      <c r="GD10" s="64"/>
      <c r="GE10" s="67"/>
      <c r="GF10" s="68"/>
      <c r="GG10" s="68"/>
      <c r="GH10" s="54"/>
      <c r="GI10" s="55">
        <f t="shared" si="6"/>
        <v>1276.595745</v>
      </c>
      <c r="GJ10" s="77">
        <v>300000.0</v>
      </c>
      <c r="GK10" s="55" t="str">
        <f t="shared" si="7"/>
        <v>#REF!</v>
      </c>
      <c r="GL10" s="55" t="str">
        <f t="shared" si="10"/>
        <v>#REF!</v>
      </c>
      <c r="GM10" s="55" t="str">
        <f t="shared" si="8"/>
        <v>#REF!</v>
      </c>
      <c r="GN10" s="55" t="str">
        <f t="shared" si="9"/>
        <v>#REF!</v>
      </c>
      <c r="GO10" s="55"/>
      <c r="GP10" s="58"/>
      <c r="GQ10" s="72" t="s">
        <v>18</v>
      </c>
      <c r="GR10" s="44"/>
      <c r="GS10" s="44"/>
      <c r="GT10" s="44"/>
      <c r="GU10" s="44"/>
      <c r="GV10" s="44"/>
      <c r="GW10" s="44"/>
      <c r="GX10" s="42" t="s">
        <v>18</v>
      </c>
      <c r="GY10" s="44"/>
      <c r="GZ10" s="44"/>
      <c r="HA10" s="44"/>
      <c r="HB10" s="44"/>
      <c r="HC10" s="44"/>
      <c r="HD10" s="44"/>
      <c r="HE10" s="42" t="s">
        <v>18</v>
      </c>
      <c r="HF10" s="44"/>
      <c r="HG10" s="44"/>
      <c r="HH10" s="44"/>
      <c r="HI10" s="44"/>
      <c r="HJ10" s="44"/>
      <c r="HK10" s="44"/>
      <c r="HL10" s="42" t="s">
        <v>18</v>
      </c>
      <c r="HM10" s="44"/>
      <c r="HN10" s="44"/>
      <c r="HO10" s="44"/>
      <c r="HP10" s="44"/>
      <c r="HQ10" s="44"/>
      <c r="HR10" s="44"/>
      <c r="HS10" s="42" t="s">
        <v>18</v>
      </c>
      <c r="HT10" s="44"/>
      <c r="HU10" s="44"/>
      <c r="HV10" s="59"/>
      <c r="HW10" s="44"/>
      <c r="HX10" s="44"/>
      <c r="HY10" s="44"/>
      <c r="HZ10" s="44"/>
      <c r="IA10" s="44"/>
      <c r="IB10" s="44"/>
      <c r="IC10" s="44"/>
      <c r="ID10" s="44"/>
      <c r="IE10" s="44"/>
      <c r="IF10" s="44"/>
      <c r="IG10" s="44"/>
      <c r="IH10" s="44"/>
      <c r="II10" s="44"/>
      <c r="IJ10" s="44"/>
      <c r="IK10" s="44"/>
      <c r="IL10" s="44"/>
      <c r="IM10" s="44"/>
      <c r="IN10" s="44"/>
      <c r="IO10" s="44"/>
      <c r="IP10" s="44"/>
      <c r="IQ10" s="44"/>
      <c r="IR10" s="44"/>
      <c r="IS10" s="44"/>
      <c r="IT10" s="44"/>
      <c r="IU10" s="44"/>
      <c r="IV10" s="44"/>
      <c r="IW10" s="44"/>
      <c r="IX10" s="44"/>
      <c r="IY10" s="44"/>
      <c r="IZ10" s="44"/>
      <c r="JA10" s="44"/>
      <c r="JB10" s="59"/>
    </row>
    <row r="11" ht="30.0" customHeight="1">
      <c r="A11" s="78" t="s">
        <v>25</v>
      </c>
      <c r="B11" s="40">
        <f t="shared" si="4"/>
        <v>92.5</v>
      </c>
      <c r="C11" s="41">
        <f t="shared" si="5"/>
        <v>4.5</v>
      </c>
      <c r="D11" s="42"/>
      <c r="E11" s="42"/>
      <c r="F11" s="42"/>
      <c r="G11" s="42"/>
      <c r="H11" s="42"/>
      <c r="I11" s="42" t="s">
        <v>18</v>
      </c>
      <c r="J11" s="42"/>
      <c r="K11" s="42"/>
      <c r="L11" s="42"/>
      <c r="M11" s="42"/>
      <c r="N11" s="45"/>
      <c r="O11" s="42"/>
      <c r="P11" s="42"/>
      <c r="Q11" s="42"/>
      <c r="R11" s="42"/>
      <c r="S11" s="42"/>
      <c r="T11" s="42"/>
      <c r="U11" s="42" t="s">
        <v>18</v>
      </c>
      <c r="V11" s="42"/>
      <c r="W11" s="42"/>
      <c r="X11" s="42"/>
      <c r="Y11" s="42"/>
      <c r="Z11" s="42"/>
      <c r="AA11" s="42"/>
      <c r="AB11" s="42" t="s">
        <v>18</v>
      </c>
      <c r="AC11" s="42"/>
      <c r="AD11" s="42"/>
      <c r="AE11" s="42"/>
      <c r="AF11" s="42"/>
      <c r="AG11" s="42"/>
      <c r="AH11" s="42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5"/>
      <c r="AT11" s="45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7"/>
      <c r="BO11" s="42"/>
      <c r="BP11" s="48"/>
      <c r="BQ11" s="48"/>
      <c r="BR11" s="47"/>
      <c r="BS11" s="42"/>
      <c r="BT11" s="48"/>
      <c r="BU11" s="48"/>
      <c r="BV11" s="47">
        <v>7.0</v>
      </c>
      <c r="BW11" s="44"/>
      <c r="BX11" s="62"/>
      <c r="BY11" s="62"/>
      <c r="BZ11" s="47">
        <v>9.0</v>
      </c>
      <c r="CA11" s="42">
        <v>1.0</v>
      </c>
      <c r="CB11" s="48"/>
      <c r="CC11" s="48"/>
      <c r="CD11" s="47">
        <v>9.0</v>
      </c>
      <c r="CE11" s="44"/>
      <c r="CF11" s="62"/>
      <c r="CG11" s="62"/>
      <c r="CH11" s="47">
        <v>9.0</v>
      </c>
      <c r="CI11" s="44"/>
      <c r="CJ11" s="62"/>
      <c r="CK11" s="62"/>
      <c r="CL11" s="47">
        <v>9.0</v>
      </c>
      <c r="CM11" s="42">
        <v>2.0</v>
      </c>
      <c r="CN11" s="48"/>
      <c r="CO11" s="48"/>
      <c r="CP11" s="63"/>
      <c r="CQ11" s="44"/>
      <c r="CR11" s="62"/>
      <c r="CS11" s="62"/>
      <c r="CT11" s="47">
        <v>9.0</v>
      </c>
      <c r="CU11" s="44"/>
      <c r="CV11" s="62"/>
      <c r="CW11" s="62"/>
      <c r="CX11" s="47">
        <v>9.0</v>
      </c>
      <c r="CY11" s="44"/>
      <c r="CZ11" s="62"/>
      <c r="DA11" s="62"/>
      <c r="DB11" s="47">
        <v>9.0</v>
      </c>
      <c r="DC11" s="44"/>
      <c r="DD11" s="62"/>
      <c r="DE11" s="62"/>
      <c r="DF11" s="64"/>
      <c r="DG11" s="65"/>
      <c r="DH11" s="66"/>
      <c r="DI11" s="66"/>
      <c r="DJ11" s="64"/>
      <c r="DK11" s="65"/>
      <c r="DL11" s="66"/>
      <c r="DM11" s="66"/>
      <c r="DN11" s="64"/>
      <c r="DO11" s="65"/>
      <c r="DP11" s="66"/>
      <c r="DQ11" s="66"/>
      <c r="DR11" s="64"/>
      <c r="DS11" s="65"/>
      <c r="DT11" s="66"/>
      <c r="DU11" s="66"/>
      <c r="DV11" s="49">
        <v>9.0</v>
      </c>
      <c r="DW11" s="65"/>
      <c r="DX11" s="66"/>
      <c r="DY11" s="66"/>
      <c r="DZ11" s="49">
        <v>9.0</v>
      </c>
      <c r="EA11" s="65"/>
      <c r="EB11" s="66"/>
      <c r="EC11" s="66"/>
      <c r="ED11" s="64"/>
      <c r="EE11" s="65"/>
      <c r="EF11" s="66"/>
      <c r="EG11" s="66"/>
      <c r="EH11" s="64"/>
      <c r="EI11" s="65"/>
      <c r="EJ11" s="66"/>
      <c r="EK11" s="66"/>
      <c r="EL11" s="64"/>
      <c r="EM11" s="65"/>
      <c r="EN11" s="66"/>
      <c r="EO11" s="66"/>
      <c r="EP11" s="64"/>
      <c r="EQ11" s="65"/>
      <c r="ER11" s="66"/>
      <c r="ES11" s="66"/>
      <c r="ET11" s="64"/>
      <c r="EU11" s="65"/>
      <c r="EV11" s="66"/>
      <c r="EW11" s="66"/>
      <c r="EX11" s="64"/>
      <c r="EY11" s="65"/>
      <c r="EZ11" s="66"/>
      <c r="FA11" s="66"/>
      <c r="FB11" s="64"/>
      <c r="FC11" s="65"/>
      <c r="FD11" s="66"/>
      <c r="FE11" s="66"/>
      <c r="FF11" s="64"/>
      <c r="FG11" s="65"/>
      <c r="FH11" s="66"/>
      <c r="FI11" s="66"/>
      <c r="FJ11" s="64"/>
      <c r="FK11" s="65"/>
      <c r="FL11" s="66"/>
      <c r="FM11" s="66"/>
      <c r="FN11" s="64"/>
      <c r="FO11" s="65"/>
      <c r="FP11" s="66"/>
      <c r="FQ11" s="66"/>
      <c r="FR11" s="64"/>
      <c r="FS11" s="65"/>
      <c r="FT11" s="66"/>
      <c r="FU11" s="66"/>
      <c r="FV11" s="64"/>
      <c r="FW11" s="65"/>
      <c r="FX11" s="66"/>
      <c r="FY11" s="66"/>
      <c r="FZ11" s="64"/>
      <c r="GA11" s="65"/>
      <c r="GB11" s="66"/>
      <c r="GC11" s="66"/>
      <c r="GD11" s="64"/>
      <c r="GE11" s="67"/>
      <c r="GF11" s="68"/>
      <c r="GG11" s="68"/>
      <c r="GH11" s="54"/>
      <c r="GI11" s="55">
        <f t="shared" si="6"/>
        <v>2553.191489</v>
      </c>
      <c r="GJ11" s="77">
        <v>600000.0</v>
      </c>
      <c r="GK11" s="55" t="str">
        <f t="shared" si="7"/>
        <v>#REF!</v>
      </c>
      <c r="GL11" s="55" t="str">
        <f t="shared" si="10"/>
        <v>#REF!</v>
      </c>
      <c r="GM11" s="55" t="str">
        <f t="shared" si="8"/>
        <v>#REF!</v>
      </c>
      <c r="GN11" s="55" t="str">
        <f t="shared" si="9"/>
        <v>#REF!</v>
      </c>
      <c r="GO11" s="55"/>
      <c r="GP11" s="58"/>
      <c r="GQ11" s="42" t="s">
        <v>18</v>
      </c>
      <c r="GR11" s="44"/>
      <c r="GS11" s="44"/>
      <c r="GT11" s="44"/>
      <c r="GU11" s="44"/>
      <c r="GV11" s="44"/>
      <c r="GW11" s="44"/>
      <c r="GX11" s="42" t="s">
        <v>18</v>
      </c>
      <c r="GY11" s="44"/>
      <c r="GZ11" s="44"/>
      <c r="HA11" s="44"/>
      <c r="HB11" s="44"/>
      <c r="HC11" s="44"/>
      <c r="HD11" s="44"/>
      <c r="HE11" s="42" t="s">
        <v>18</v>
      </c>
      <c r="HF11" s="44"/>
      <c r="HG11" s="44"/>
      <c r="HH11" s="44"/>
      <c r="HI11" s="44"/>
      <c r="HJ11" s="44"/>
      <c r="HK11" s="44"/>
      <c r="HL11" s="42" t="s">
        <v>18</v>
      </c>
      <c r="HM11" s="44"/>
      <c r="HN11" s="44"/>
      <c r="HO11" s="44"/>
      <c r="HP11" s="44"/>
      <c r="HQ11" s="44"/>
      <c r="HR11" s="44"/>
      <c r="HS11" s="42" t="s">
        <v>18</v>
      </c>
      <c r="HT11" s="44"/>
      <c r="HU11" s="44"/>
      <c r="HV11" s="59"/>
      <c r="HW11" s="44"/>
      <c r="HX11" s="44"/>
      <c r="HY11" s="44"/>
      <c r="HZ11" s="44"/>
      <c r="IA11" s="44"/>
      <c r="IB11" s="44"/>
      <c r="IC11" s="44"/>
      <c r="ID11" s="44"/>
      <c r="IE11" s="44"/>
      <c r="IF11" s="44"/>
      <c r="IG11" s="44"/>
      <c r="IH11" s="44"/>
      <c r="II11" s="44"/>
      <c r="IJ11" s="44"/>
      <c r="IK11" s="44"/>
      <c r="IL11" s="44"/>
      <c r="IM11" s="44"/>
      <c r="IN11" s="44"/>
      <c r="IO11" s="44"/>
      <c r="IP11" s="44"/>
      <c r="IQ11" s="44"/>
      <c r="IR11" s="44"/>
      <c r="IS11" s="44"/>
      <c r="IT11" s="44"/>
      <c r="IU11" s="44"/>
      <c r="IV11" s="44"/>
      <c r="IW11" s="44"/>
      <c r="IX11" s="44"/>
      <c r="IY11" s="44"/>
      <c r="IZ11" s="44"/>
      <c r="JA11" s="44"/>
      <c r="JB11" s="59"/>
    </row>
    <row r="12" ht="30.0" customHeight="1">
      <c r="A12" s="79" t="s">
        <v>26</v>
      </c>
      <c r="B12" s="40">
        <f t="shared" si="4"/>
        <v>37</v>
      </c>
      <c r="C12" s="41">
        <f t="shared" si="5"/>
        <v>0</v>
      </c>
      <c r="D12" s="42"/>
      <c r="E12" s="42"/>
      <c r="F12" s="42"/>
      <c r="G12" s="42"/>
      <c r="H12" s="42"/>
      <c r="I12" s="42" t="s">
        <v>18</v>
      </c>
      <c r="J12" s="42">
        <v>9.0</v>
      </c>
      <c r="K12" s="42">
        <v>9.0</v>
      </c>
      <c r="L12" s="42">
        <v>8.0</v>
      </c>
      <c r="M12" s="42">
        <v>9.0</v>
      </c>
      <c r="N12" s="45">
        <v>18.0</v>
      </c>
      <c r="O12" s="42">
        <v>9.0</v>
      </c>
      <c r="P12" s="42">
        <v>9.0</v>
      </c>
      <c r="Q12" s="42"/>
      <c r="R12" s="42">
        <v>9.0</v>
      </c>
      <c r="S12" s="42">
        <v>9.0</v>
      </c>
      <c r="T12" s="42">
        <v>9.0</v>
      </c>
      <c r="U12" s="44"/>
      <c r="V12" s="42">
        <v>9.0</v>
      </c>
      <c r="W12" s="42">
        <v>9.0</v>
      </c>
      <c r="X12" s="42">
        <v>9.0</v>
      </c>
      <c r="Y12" s="42">
        <v>7.0</v>
      </c>
      <c r="Z12" s="42">
        <v>9.0</v>
      </c>
      <c r="AA12" s="42">
        <v>9.0</v>
      </c>
      <c r="AB12" s="42">
        <v>18.0</v>
      </c>
      <c r="AC12" s="42">
        <v>9.0</v>
      </c>
      <c r="AD12" s="42">
        <v>9.0</v>
      </c>
      <c r="AE12" s="42">
        <v>7.0</v>
      </c>
      <c r="AF12" s="42"/>
      <c r="AG12" s="44"/>
      <c r="AH12" s="44"/>
      <c r="AI12" s="44"/>
      <c r="AJ12" s="44"/>
      <c r="AK12" s="44"/>
      <c r="AL12" s="44"/>
      <c r="AM12" s="44"/>
      <c r="AN12" s="44"/>
      <c r="AO12" s="45">
        <v>0.6</v>
      </c>
      <c r="AP12" s="45">
        <v>0.25</v>
      </c>
      <c r="AQ12" s="44"/>
      <c r="AR12" s="44"/>
      <c r="AS12" s="45"/>
      <c r="AT12" s="44"/>
      <c r="AU12" s="42">
        <v>1.0</v>
      </c>
      <c r="AV12" s="44"/>
      <c r="AW12" s="80"/>
      <c r="AX12" s="42">
        <v>2.0</v>
      </c>
      <c r="AY12" s="42" t="s">
        <v>27</v>
      </c>
      <c r="AZ12" s="44"/>
      <c r="BA12" s="42" t="s">
        <v>28</v>
      </c>
      <c r="BB12" s="42">
        <v>2.0</v>
      </c>
      <c r="BC12" s="42">
        <v>2.0</v>
      </c>
      <c r="BD12" s="44"/>
      <c r="BE12" s="44"/>
      <c r="BF12" s="42">
        <v>2.0</v>
      </c>
      <c r="BG12" s="42"/>
      <c r="BH12" s="42">
        <v>2.0</v>
      </c>
      <c r="BI12" s="42">
        <v>8.0</v>
      </c>
      <c r="BJ12" s="44"/>
      <c r="BK12" s="44"/>
      <c r="BL12" s="44"/>
      <c r="BM12" s="44"/>
      <c r="BN12" s="47"/>
      <c r="BO12" s="42"/>
      <c r="BP12" s="48"/>
      <c r="BQ12" s="48"/>
      <c r="BR12" s="47">
        <v>5.0</v>
      </c>
      <c r="BS12" s="42"/>
      <c r="BT12" s="48"/>
      <c r="BU12" s="48"/>
      <c r="BV12" s="47">
        <v>8.0</v>
      </c>
      <c r="BW12" s="44"/>
      <c r="BX12" s="62"/>
      <c r="BY12" s="62"/>
      <c r="BZ12" s="47">
        <v>7.0</v>
      </c>
      <c r="CA12" s="44"/>
      <c r="CB12" s="62"/>
      <c r="CC12" s="62"/>
      <c r="CD12" s="63"/>
      <c r="CE12" s="44"/>
      <c r="CF12" s="62"/>
      <c r="CG12" s="62"/>
      <c r="CH12" s="63"/>
      <c r="CI12" s="44"/>
      <c r="CJ12" s="62"/>
      <c r="CK12" s="62"/>
      <c r="CL12" s="63"/>
      <c r="CM12" s="44"/>
      <c r="CN12" s="62"/>
      <c r="CO12" s="62"/>
      <c r="CP12" s="63"/>
      <c r="CQ12" s="42"/>
      <c r="CR12" s="48"/>
      <c r="CS12" s="48"/>
      <c r="CT12" s="63"/>
      <c r="CU12" s="42"/>
      <c r="CV12" s="48"/>
      <c r="CW12" s="48"/>
      <c r="CX12" s="63"/>
      <c r="CY12" s="42"/>
      <c r="CZ12" s="48"/>
      <c r="DA12" s="48"/>
      <c r="DB12" s="63"/>
      <c r="DC12" s="42"/>
      <c r="DD12" s="48"/>
      <c r="DE12" s="48"/>
      <c r="DF12" s="64"/>
      <c r="DG12" s="65"/>
      <c r="DH12" s="66"/>
      <c r="DI12" s="66"/>
      <c r="DJ12" s="64"/>
      <c r="DK12" s="65"/>
      <c r="DL12" s="66"/>
      <c r="DM12" s="66"/>
      <c r="DN12" s="64"/>
      <c r="DO12" s="65"/>
      <c r="DP12" s="66"/>
      <c r="DQ12" s="66"/>
      <c r="DR12" s="49"/>
      <c r="DS12" s="50"/>
      <c r="DT12" s="51"/>
      <c r="DU12" s="51"/>
      <c r="DV12" s="49">
        <v>9.0</v>
      </c>
      <c r="DW12" s="65"/>
      <c r="DX12" s="66"/>
      <c r="DY12" s="66"/>
      <c r="DZ12" s="47">
        <v>8.0</v>
      </c>
      <c r="EA12" s="65"/>
      <c r="EB12" s="66"/>
      <c r="EC12" s="66"/>
      <c r="ED12" s="64"/>
      <c r="EE12" s="65"/>
      <c r="EF12" s="66"/>
      <c r="EG12" s="66"/>
      <c r="EH12" s="64"/>
      <c r="EI12" s="65"/>
      <c r="EJ12" s="66"/>
      <c r="EK12" s="66"/>
      <c r="EL12" s="64"/>
      <c r="EM12" s="65"/>
      <c r="EN12" s="66"/>
      <c r="EO12" s="66"/>
      <c r="EP12" s="64"/>
      <c r="EQ12" s="65"/>
      <c r="ER12" s="66"/>
      <c r="ES12" s="66"/>
      <c r="ET12" s="49"/>
      <c r="EU12" s="50"/>
      <c r="EV12" s="51"/>
      <c r="EW12" s="51"/>
      <c r="EX12" s="64"/>
      <c r="EY12" s="65"/>
      <c r="EZ12" s="66"/>
      <c r="FA12" s="66"/>
      <c r="FB12" s="64"/>
      <c r="FC12" s="65"/>
      <c r="FD12" s="66"/>
      <c r="FE12" s="66"/>
      <c r="FF12" s="64"/>
      <c r="FG12" s="65"/>
      <c r="FH12" s="66"/>
      <c r="FI12" s="66"/>
      <c r="FJ12" s="64"/>
      <c r="FK12" s="65"/>
      <c r="FL12" s="66"/>
      <c r="FM12" s="66"/>
      <c r="FN12" s="64"/>
      <c r="FO12" s="65"/>
      <c r="FP12" s="66"/>
      <c r="FQ12" s="66"/>
      <c r="FR12" s="64"/>
      <c r="FS12" s="65"/>
      <c r="FT12" s="66"/>
      <c r="FU12" s="66"/>
      <c r="FV12" s="64"/>
      <c r="FW12" s="65"/>
      <c r="FX12" s="66"/>
      <c r="FY12" s="66"/>
      <c r="FZ12" s="64"/>
      <c r="GA12" s="65"/>
      <c r="GB12" s="66"/>
      <c r="GC12" s="66"/>
      <c r="GD12" s="64"/>
      <c r="GE12" s="52"/>
      <c r="GF12" s="53"/>
      <c r="GG12" s="53"/>
      <c r="GH12" s="54"/>
      <c r="GI12" s="55">
        <f t="shared" si="6"/>
        <v>1702.12766</v>
      </c>
      <c r="GJ12" s="56">
        <v>400000.0</v>
      </c>
      <c r="GK12" s="55" t="str">
        <f t="shared" si="7"/>
        <v>#REF!</v>
      </c>
      <c r="GL12" s="55" t="str">
        <f t="shared" si="10"/>
        <v>#REF!</v>
      </c>
      <c r="GM12" s="55" t="str">
        <f t="shared" si="8"/>
        <v>#REF!</v>
      </c>
      <c r="GN12" s="55" t="str">
        <f t="shared" si="9"/>
        <v>#REF!</v>
      </c>
      <c r="GO12" s="55"/>
      <c r="GP12" s="58"/>
      <c r="GQ12" s="42" t="s">
        <v>18</v>
      </c>
      <c r="GR12" s="44"/>
      <c r="GS12" s="44"/>
      <c r="GT12" s="44"/>
      <c r="GU12" s="44"/>
      <c r="GV12" s="44"/>
      <c r="GW12" s="44"/>
      <c r="GX12" s="42" t="s">
        <v>18</v>
      </c>
      <c r="GY12" s="44"/>
      <c r="GZ12" s="44"/>
      <c r="HA12" s="44"/>
      <c r="HB12" s="44"/>
      <c r="HC12" s="44"/>
      <c r="HD12" s="44"/>
      <c r="HE12" s="42" t="s">
        <v>18</v>
      </c>
      <c r="HF12" s="44"/>
      <c r="HG12" s="44"/>
      <c r="HH12" s="44"/>
      <c r="HI12" s="44"/>
      <c r="HJ12" s="44"/>
      <c r="HK12" s="44"/>
      <c r="HL12" s="42" t="s">
        <v>18</v>
      </c>
      <c r="HM12" s="44"/>
      <c r="HN12" s="44"/>
      <c r="HO12" s="44"/>
      <c r="HP12" s="44"/>
      <c r="HQ12" s="44"/>
      <c r="HR12" s="44"/>
      <c r="HS12" s="42" t="s">
        <v>18</v>
      </c>
      <c r="HT12" s="44"/>
      <c r="HU12" s="44"/>
      <c r="HV12" s="59"/>
      <c r="HW12" s="44"/>
      <c r="HX12" s="44"/>
      <c r="HY12" s="44"/>
      <c r="HZ12" s="44"/>
      <c r="IA12" s="44"/>
      <c r="IB12" s="44"/>
      <c r="IC12" s="44"/>
      <c r="ID12" s="44"/>
      <c r="IE12" s="44"/>
      <c r="IF12" s="44"/>
      <c r="IG12" s="44"/>
      <c r="IH12" s="44"/>
      <c r="II12" s="44"/>
      <c r="IJ12" s="44"/>
      <c r="IK12" s="44"/>
      <c r="IL12" s="44"/>
      <c r="IM12" s="44"/>
      <c r="IN12" s="44"/>
      <c r="IO12" s="44"/>
      <c r="IP12" s="44"/>
      <c r="IQ12" s="44"/>
      <c r="IR12" s="44"/>
      <c r="IS12" s="44"/>
      <c r="IT12" s="44"/>
      <c r="IU12" s="44"/>
      <c r="IV12" s="44"/>
      <c r="IW12" s="44"/>
      <c r="IX12" s="44"/>
      <c r="IY12" s="44"/>
      <c r="IZ12" s="44"/>
      <c r="JA12" s="44"/>
      <c r="JB12" s="59"/>
    </row>
    <row r="13" ht="30.0" customHeight="1">
      <c r="A13" s="79" t="s">
        <v>29</v>
      </c>
      <c r="B13" s="40">
        <f t="shared" si="4"/>
        <v>92</v>
      </c>
      <c r="C13" s="41">
        <f t="shared" si="5"/>
        <v>0</v>
      </c>
      <c r="D13" s="42"/>
      <c r="E13" s="42"/>
      <c r="F13" s="42"/>
      <c r="G13" s="42"/>
      <c r="H13" s="42"/>
      <c r="I13" s="42" t="s">
        <v>18</v>
      </c>
      <c r="J13" s="42">
        <v>9.0</v>
      </c>
      <c r="K13" s="42">
        <v>9.0</v>
      </c>
      <c r="L13" s="42">
        <v>8.0</v>
      </c>
      <c r="M13" s="42">
        <v>9.0</v>
      </c>
      <c r="N13" s="45">
        <v>18.0</v>
      </c>
      <c r="O13" s="42">
        <v>9.0</v>
      </c>
      <c r="P13" s="42">
        <v>9.0</v>
      </c>
      <c r="Q13" s="42"/>
      <c r="R13" s="42">
        <v>9.0</v>
      </c>
      <c r="S13" s="42">
        <v>9.0</v>
      </c>
      <c r="T13" s="42">
        <v>9.0</v>
      </c>
      <c r="U13" s="44"/>
      <c r="V13" s="42">
        <v>9.0</v>
      </c>
      <c r="W13" s="42">
        <v>9.0</v>
      </c>
      <c r="X13" s="42">
        <v>9.0</v>
      </c>
      <c r="Y13" s="42">
        <v>7.0</v>
      </c>
      <c r="Z13" s="42">
        <v>9.0</v>
      </c>
      <c r="AA13" s="42">
        <v>9.0</v>
      </c>
      <c r="AB13" s="42">
        <v>18.0</v>
      </c>
      <c r="AC13" s="42">
        <v>9.0</v>
      </c>
      <c r="AD13" s="42">
        <v>9.0</v>
      </c>
      <c r="AE13" s="42">
        <v>7.0</v>
      </c>
      <c r="AF13" s="42"/>
      <c r="AG13" s="44"/>
      <c r="AH13" s="44"/>
      <c r="AI13" s="44"/>
      <c r="AJ13" s="44"/>
      <c r="AK13" s="44"/>
      <c r="AL13" s="44"/>
      <c r="AM13" s="44"/>
      <c r="AN13" s="44"/>
      <c r="AO13" s="45">
        <v>0.6</v>
      </c>
      <c r="AP13" s="45">
        <v>0.25</v>
      </c>
      <c r="AQ13" s="44"/>
      <c r="AR13" s="44"/>
      <c r="AS13" s="45"/>
      <c r="AT13" s="44"/>
      <c r="AU13" s="42">
        <v>1.0</v>
      </c>
      <c r="AV13" s="44"/>
      <c r="AW13" s="80"/>
      <c r="AX13" s="42">
        <v>2.0</v>
      </c>
      <c r="AY13" s="42" t="s">
        <v>30</v>
      </c>
      <c r="AZ13" s="44"/>
      <c r="BA13" s="42" t="s">
        <v>31</v>
      </c>
      <c r="BB13" s="42">
        <v>2.0</v>
      </c>
      <c r="BC13" s="42">
        <v>2.0</v>
      </c>
      <c r="BD13" s="44"/>
      <c r="BE13" s="44"/>
      <c r="BF13" s="42">
        <v>2.0</v>
      </c>
      <c r="BG13" s="42"/>
      <c r="BH13" s="42">
        <v>2.0</v>
      </c>
      <c r="BI13" s="42">
        <v>8.0</v>
      </c>
      <c r="BJ13" s="44"/>
      <c r="BK13" s="44"/>
      <c r="BL13" s="44"/>
      <c r="BM13" s="44"/>
      <c r="BN13" s="47"/>
      <c r="BO13" s="42"/>
      <c r="BP13" s="48"/>
      <c r="BQ13" s="48"/>
      <c r="BR13" s="47">
        <v>6.0</v>
      </c>
      <c r="BS13" s="42"/>
      <c r="BT13" s="48"/>
      <c r="BU13" s="48"/>
      <c r="BV13" s="47">
        <v>9.0</v>
      </c>
      <c r="BW13" s="44"/>
      <c r="BX13" s="62"/>
      <c r="BY13" s="62"/>
      <c r="BZ13" s="47">
        <v>9.0</v>
      </c>
      <c r="CA13" s="44"/>
      <c r="CB13" s="62"/>
      <c r="CC13" s="62"/>
      <c r="CD13" s="47"/>
      <c r="CE13" s="44"/>
      <c r="CF13" s="62"/>
      <c r="CG13" s="62"/>
      <c r="CH13" s="63"/>
      <c r="CI13" s="44"/>
      <c r="CJ13" s="62"/>
      <c r="CK13" s="62"/>
      <c r="CL13" s="47">
        <v>6.0</v>
      </c>
      <c r="CM13" s="44"/>
      <c r="CN13" s="62"/>
      <c r="CO13" s="62"/>
      <c r="CP13" s="47">
        <v>9.0</v>
      </c>
      <c r="CQ13" s="42"/>
      <c r="CR13" s="48"/>
      <c r="CS13" s="48"/>
      <c r="CT13" s="47">
        <v>9.0</v>
      </c>
      <c r="CU13" s="42"/>
      <c r="CV13" s="48"/>
      <c r="CW13" s="48"/>
      <c r="CX13" s="47">
        <v>9.0</v>
      </c>
      <c r="CY13" s="42"/>
      <c r="CZ13" s="48"/>
      <c r="DA13" s="48"/>
      <c r="DB13" s="47">
        <v>8.0</v>
      </c>
      <c r="DC13" s="42"/>
      <c r="DD13" s="48"/>
      <c r="DE13" s="48"/>
      <c r="DF13" s="64"/>
      <c r="DG13" s="65"/>
      <c r="DH13" s="66"/>
      <c r="DI13" s="66"/>
      <c r="DJ13" s="64"/>
      <c r="DK13" s="65"/>
      <c r="DL13" s="66"/>
      <c r="DM13" s="66"/>
      <c r="DN13" s="64"/>
      <c r="DO13" s="65"/>
      <c r="DP13" s="66"/>
      <c r="DQ13" s="66"/>
      <c r="DR13" s="49"/>
      <c r="DS13" s="50"/>
      <c r="DT13" s="51"/>
      <c r="DU13" s="51"/>
      <c r="DV13" s="47">
        <v>9.0</v>
      </c>
      <c r="DW13" s="65"/>
      <c r="DX13" s="66"/>
      <c r="DY13" s="66"/>
      <c r="DZ13" s="49">
        <v>9.0</v>
      </c>
      <c r="EA13" s="65"/>
      <c r="EB13" s="66"/>
      <c r="EC13" s="66"/>
      <c r="ED13" s="64"/>
      <c r="EE13" s="65"/>
      <c r="EF13" s="66"/>
      <c r="EG13" s="66"/>
      <c r="EH13" s="64"/>
      <c r="EI13" s="65"/>
      <c r="EJ13" s="66"/>
      <c r="EK13" s="66"/>
      <c r="EL13" s="64"/>
      <c r="EM13" s="65"/>
      <c r="EN13" s="66"/>
      <c r="EO13" s="66"/>
      <c r="EP13" s="64"/>
      <c r="EQ13" s="65"/>
      <c r="ER13" s="66"/>
      <c r="ES13" s="66"/>
      <c r="ET13" s="49"/>
      <c r="EU13" s="50"/>
      <c r="EV13" s="51"/>
      <c r="EW13" s="51"/>
      <c r="EX13" s="64"/>
      <c r="EY13" s="65"/>
      <c r="EZ13" s="66"/>
      <c r="FA13" s="66"/>
      <c r="FB13" s="64"/>
      <c r="FC13" s="65"/>
      <c r="FD13" s="66"/>
      <c r="FE13" s="66"/>
      <c r="FF13" s="64"/>
      <c r="FG13" s="65"/>
      <c r="FH13" s="66"/>
      <c r="FI13" s="66"/>
      <c r="FJ13" s="64"/>
      <c r="FK13" s="65"/>
      <c r="FL13" s="66"/>
      <c r="FM13" s="66"/>
      <c r="FN13" s="64"/>
      <c r="FO13" s="65"/>
      <c r="FP13" s="66"/>
      <c r="FQ13" s="66"/>
      <c r="FR13" s="64"/>
      <c r="FS13" s="65"/>
      <c r="FT13" s="66"/>
      <c r="FU13" s="66"/>
      <c r="FV13" s="64"/>
      <c r="FW13" s="65"/>
      <c r="FX13" s="66"/>
      <c r="FY13" s="66"/>
      <c r="FZ13" s="64"/>
      <c r="GA13" s="65"/>
      <c r="GB13" s="66"/>
      <c r="GC13" s="66"/>
      <c r="GD13" s="64"/>
      <c r="GE13" s="52"/>
      <c r="GF13" s="53"/>
      <c r="GG13" s="53"/>
      <c r="GH13" s="54"/>
      <c r="GI13" s="55">
        <f t="shared" si="6"/>
        <v>2127.659574</v>
      </c>
      <c r="GJ13" s="56">
        <v>500000.0</v>
      </c>
      <c r="GK13" s="55" t="str">
        <f t="shared" si="7"/>
        <v>#REF!</v>
      </c>
      <c r="GL13" s="55" t="str">
        <f t="shared" si="10"/>
        <v>#REF!</v>
      </c>
      <c r="GM13" s="55" t="str">
        <f t="shared" si="8"/>
        <v>#REF!</v>
      </c>
      <c r="GN13" s="55" t="str">
        <f t="shared" si="9"/>
        <v>#REF!</v>
      </c>
      <c r="GO13" s="55"/>
      <c r="GP13" s="58"/>
      <c r="GQ13" s="42"/>
      <c r="GR13" s="44"/>
      <c r="GS13" s="44"/>
      <c r="GT13" s="44"/>
      <c r="GU13" s="44"/>
      <c r="GV13" s="44"/>
      <c r="GW13" s="44"/>
      <c r="GX13" s="42"/>
      <c r="GY13" s="44"/>
      <c r="GZ13" s="44"/>
      <c r="HA13" s="44"/>
      <c r="HB13" s="44"/>
      <c r="HC13" s="44"/>
      <c r="HD13" s="44"/>
      <c r="HE13" s="42"/>
      <c r="HF13" s="44"/>
      <c r="HG13" s="44"/>
      <c r="HH13" s="44"/>
      <c r="HI13" s="44"/>
      <c r="HJ13" s="44"/>
      <c r="HK13" s="44"/>
      <c r="HL13" s="42"/>
      <c r="HM13" s="44"/>
      <c r="HN13" s="44"/>
      <c r="HO13" s="44"/>
      <c r="HP13" s="44"/>
      <c r="HQ13" s="44"/>
      <c r="HR13" s="44"/>
      <c r="HS13" s="42"/>
      <c r="HT13" s="44"/>
      <c r="HU13" s="44"/>
      <c r="HV13" s="59"/>
      <c r="HW13" s="44"/>
      <c r="HX13" s="44"/>
      <c r="HY13" s="44"/>
      <c r="HZ13" s="44"/>
      <c r="IA13" s="44"/>
      <c r="IB13" s="44"/>
      <c r="IC13" s="44"/>
      <c r="ID13" s="44"/>
      <c r="IE13" s="44"/>
      <c r="IF13" s="44"/>
      <c r="IG13" s="44"/>
      <c r="IH13" s="44"/>
      <c r="II13" s="44"/>
      <c r="IJ13" s="44"/>
      <c r="IK13" s="44"/>
      <c r="IL13" s="44"/>
      <c r="IM13" s="44"/>
      <c r="IN13" s="44"/>
      <c r="IO13" s="44"/>
      <c r="IP13" s="44"/>
      <c r="IQ13" s="44"/>
      <c r="IR13" s="44"/>
      <c r="IS13" s="44"/>
      <c r="IT13" s="44"/>
      <c r="IU13" s="44"/>
      <c r="IV13" s="44"/>
      <c r="IW13" s="44"/>
      <c r="IX13" s="44"/>
      <c r="IY13" s="44"/>
      <c r="IZ13" s="44"/>
      <c r="JA13" s="44"/>
      <c r="JB13" s="59"/>
    </row>
  </sheetData>
  <mergeCells count="100">
    <mergeCell ref="CH1:CI1"/>
    <mergeCell ref="CH2:CI2"/>
    <mergeCell ref="BN1:BO1"/>
    <mergeCell ref="BV1:BW1"/>
    <mergeCell ref="CD1:CE1"/>
    <mergeCell ref="CL1:CM1"/>
    <mergeCell ref="BN2:BO2"/>
    <mergeCell ref="BV2:BW2"/>
    <mergeCell ref="CD2:CE2"/>
    <mergeCell ref="BN4:BO4"/>
    <mergeCell ref="BR4:BS4"/>
    <mergeCell ref="BV4:BW4"/>
    <mergeCell ref="BZ4:CA4"/>
    <mergeCell ref="CD4:CE4"/>
    <mergeCell ref="CH4:CI4"/>
    <mergeCell ref="CL4:CM4"/>
    <mergeCell ref="CP4:CQ4"/>
    <mergeCell ref="CT4:CU4"/>
    <mergeCell ref="CX4:CY4"/>
    <mergeCell ref="DB4:DC4"/>
    <mergeCell ref="DF4:DG4"/>
    <mergeCell ref="DJ4:DK4"/>
    <mergeCell ref="DN4:DO4"/>
    <mergeCell ref="DR4:DS4"/>
    <mergeCell ref="DV4:DW4"/>
    <mergeCell ref="DZ4:EA4"/>
    <mergeCell ref="ED4:EE4"/>
    <mergeCell ref="EH4:EI4"/>
    <mergeCell ref="EL4:EM4"/>
    <mergeCell ref="EP4:EQ4"/>
    <mergeCell ref="FV4:FW4"/>
    <mergeCell ref="FZ4:GA4"/>
    <mergeCell ref="GD4:GE4"/>
    <mergeCell ref="ET4:EU4"/>
    <mergeCell ref="EX4:EY4"/>
    <mergeCell ref="FB4:FC4"/>
    <mergeCell ref="FF4:FG4"/>
    <mergeCell ref="FJ4:FK4"/>
    <mergeCell ref="FN4:FO4"/>
    <mergeCell ref="FR4:FS4"/>
    <mergeCell ref="EP2:EQ2"/>
    <mergeCell ref="ET2:EU2"/>
    <mergeCell ref="DN2:DO2"/>
    <mergeCell ref="DR2:DS2"/>
    <mergeCell ref="DV2:DW2"/>
    <mergeCell ref="DZ2:EA2"/>
    <mergeCell ref="ED2:EE2"/>
    <mergeCell ref="EH2:EI2"/>
    <mergeCell ref="EL2:EM2"/>
    <mergeCell ref="FJ1:FK1"/>
    <mergeCell ref="FJ2:FK2"/>
    <mergeCell ref="ET1:EU1"/>
    <mergeCell ref="EX1:EY1"/>
    <mergeCell ref="FF1:FG1"/>
    <mergeCell ref="FN1:FO1"/>
    <mergeCell ref="EX2:EY2"/>
    <mergeCell ref="FF2:FG2"/>
    <mergeCell ref="FN2:FO2"/>
    <mergeCell ref="GN2:GN3"/>
    <mergeCell ref="GO2:GO3"/>
    <mergeCell ref="FR1:FS1"/>
    <mergeCell ref="FR2:FS2"/>
    <mergeCell ref="GI2:GI3"/>
    <mergeCell ref="GJ2:GJ3"/>
    <mergeCell ref="GK2:GK3"/>
    <mergeCell ref="GL2:GL3"/>
    <mergeCell ref="GM2:GM3"/>
    <mergeCell ref="CP1:CQ1"/>
    <mergeCell ref="CT1:CU1"/>
    <mergeCell ref="CX1:CY1"/>
    <mergeCell ref="DB1:DC1"/>
    <mergeCell ref="DF1:DG1"/>
    <mergeCell ref="DJ1:DK1"/>
    <mergeCell ref="DN1:DO1"/>
    <mergeCell ref="DR1:DS1"/>
    <mergeCell ref="DV1:DW1"/>
    <mergeCell ref="DZ1:EA1"/>
    <mergeCell ref="ED1:EE1"/>
    <mergeCell ref="EH1:EI1"/>
    <mergeCell ref="EL1:EM1"/>
    <mergeCell ref="EP1:EQ1"/>
    <mergeCell ref="FV1:FW1"/>
    <mergeCell ref="FZ1:GA1"/>
    <mergeCell ref="GD1:GE1"/>
    <mergeCell ref="FV2:FW2"/>
    <mergeCell ref="FZ2:GA2"/>
    <mergeCell ref="GD2:GE2"/>
    <mergeCell ref="BR1:BS1"/>
    <mergeCell ref="BR2:BS2"/>
    <mergeCell ref="BZ1:CA1"/>
    <mergeCell ref="BZ2:CA2"/>
    <mergeCell ref="CL2:CM2"/>
    <mergeCell ref="CP2:CQ2"/>
    <mergeCell ref="CT2:CU2"/>
    <mergeCell ref="CX2:CY2"/>
    <mergeCell ref="DB2:DC2"/>
    <mergeCell ref="DF2:DG2"/>
    <mergeCell ref="DJ2:DK2"/>
    <mergeCell ref="FB1:FC1"/>
    <mergeCell ref="FB2:FC2"/>
  </mergeCells>
  <conditionalFormatting sqref="D6:O13 P6 Q6:AH13 AM6 AN6:AN13 AQ6:AQ13 AV6:GG13 GQ6:HU13 HW6:JA13 AP7:AP11 AR7 AU7:AU13 P8:P13 AK8:AM13 AO8:AO11 AI9:AJ13 AR10:AR13 AT10 AT12:AT13">
    <cfRule type="cellIs" dxfId="3" priority="1" operator="greaterThan">
      <formula>0</formula>
    </cfRule>
  </conditionalFormatting>
  <conditionalFormatting sqref="BN6:BQ13">
    <cfRule type="expression" dxfId="4" priority="2">
      <formula>"*2"</formula>
    </cfRule>
  </conditionalFormatting>
  <conditionalFormatting sqref="GK6:GO13">
    <cfRule type="cellIs" dxfId="5" priority="3" operator="between">
      <formula>500000</formula>
      <formula>99000</formula>
    </cfRule>
  </conditionalFormatting>
  <conditionalFormatting sqref="GK6:GO13">
    <cfRule type="cellIs" dxfId="6" priority="4" operator="greaterThanOrEqual">
      <formula>1000000</formula>
    </cfRule>
  </conditionalFormatting>
  <conditionalFormatting sqref="GK6:GO13">
    <cfRule type="cellIs" dxfId="7" priority="5" operator="lessThanOrEqual">
      <formula>0</formula>
    </cfRule>
  </conditionalFormatting>
  <conditionalFormatting sqref="GK6:GO13">
    <cfRule type="cellIs" dxfId="3" priority="6" operator="between">
      <formula>501000</formula>
      <formula>999000</formula>
    </cfRule>
  </conditionalFormatting>
  <drawing r:id="rId1"/>
  <tableParts count="1">
    <tablePart r:id="rId3"/>
  </tableParts>
</worksheet>
</file>