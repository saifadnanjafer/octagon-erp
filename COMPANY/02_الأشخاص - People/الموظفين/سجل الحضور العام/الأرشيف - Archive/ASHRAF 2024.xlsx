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المبيعات الكلية" sheetId="1" r:id="rId5"/>
    <sheet state="visible" name="الحركة اليومية للقاصة " sheetId="2" r:id="rId6"/>
    <sheet state="visible" name="الصرفيات " sheetId="3" r:id="rId7"/>
    <sheet state="visible" name="دائن و مدين" sheetId="4" r:id="rId8"/>
    <sheet state="visible" name="المبيعات" sheetId="5" r:id="rId9"/>
    <sheet state="visible" name="القاصة " sheetId="6" r:id="rId10"/>
    <sheet state="visible" name="cottage 2" sheetId="7" r:id="rId11"/>
    <sheet state="visible" name="cottages" sheetId="8" r:id="rId12"/>
    <sheet state="visible" name="شمس البصرة" sheetId="9" r:id="rId13"/>
    <sheet state="visible" name="متابعة طلبات حسين" sheetId="10" r:id="rId14"/>
    <sheet state="visible" name="ديون افراد حسين" sheetId="11" r:id="rId15"/>
  </sheets>
  <definedNames>
    <definedName hidden="1" localSheetId="0" name="_xlnm._FilterDatabase">' المبيعات الكلية'!$A$2:$I$75</definedName>
    <definedName hidden="1" localSheetId="2" name="_xlnm._FilterDatabase">'الصرفيات '!$A$1:$H$49</definedName>
    <definedName hidden="1" localSheetId="4" name="_xlnm._FilterDatabase">'المبيعات'!$A$1:$M$76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tc={0c830d25-fc60-43c2-9a4b-c7cd10ad2365}</author>
    <author>tc={1fbd9eec-f57a-4763-b56d-7b45d9c18f86}</author>
    <author>tc={dc633642-0a5a-4aff-846f-3b82c32f454f}</author>
    <author>tc={ee744e9d-71ba-4777-ba06-5eb837f1c80e}</author>
    <author>tc={f214481d-4497-45d6-ba4e-83864862a8d2}</author>
  </authors>
  <commentList>
    <comment authorId="0" xr:uid="{0c830d25-fc60-43c2-9a4b-c7cd10ad2365}" ref="J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ماستر
</t>
      </text>
    </comment>
    <comment authorId="1" xr:uid="{1fbd9eec-f57a-4763-b56d-7b45d9c18f86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100.000
</t>
      </text>
    </comment>
    <comment authorId="2" xr:uid="{dc633642-0a5a-4aff-846f-3b82c32f454f}" ref="J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ماستر
</t>
      </text>
    </comment>
    <comment authorId="3" xr:uid="{ee744e9d-71ba-4777-ba06-5eb837f1c80e}" ref="M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ماستر
</t>
      </text>
    </comment>
    <comment authorId="4" xr:uid="{f214481d-4497-45d6-ba4e-83864862a8d2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25.000
</t>
      </text>
    </comment>
  </commentList>
</comments>
</file>

<file path=xl/sharedStrings.xml><?xml version="1.0" encoding="utf-8"?>
<sst xmlns="http://schemas.openxmlformats.org/spreadsheetml/2006/main" count="1946" uniqueCount="538">
  <si>
    <t xml:space="preserve">اجمالي مبيعات حسين شهر 12 + متبقي ديون الاشهر السابقة </t>
  </si>
  <si>
    <t>salsman</t>
  </si>
  <si>
    <t>date</t>
  </si>
  <si>
    <t>delivrey day</t>
  </si>
  <si>
    <t>order.n</t>
  </si>
  <si>
    <t>coustmar.n</t>
  </si>
  <si>
    <t>details</t>
  </si>
  <si>
    <t>price</t>
  </si>
  <si>
    <t>extra</t>
  </si>
  <si>
    <t>Column 1</t>
  </si>
  <si>
    <t>حسين</t>
  </si>
  <si>
    <t>1\12\2024</t>
  </si>
  <si>
    <t>5\12\2024</t>
  </si>
  <si>
    <t>40#</t>
  </si>
  <si>
    <t>شمس البصرة</t>
  </si>
  <si>
    <t>بورد تغليف اسماء علي هدير</t>
  </si>
  <si>
    <t>41#</t>
  </si>
  <si>
    <t>قاعدة حلقات</t>
  </si>
  <si>
    <t>4\12\2024</t>
  </si>
  <si>
    <t>42#</t>
  </si>
  <si>
    <t>زبون مستطرق</t>
  </si>
  <si>
    <t>مبخرة + سندانة عطو ر اسل ومصطف</t>
  </si>
  <si>
    <t>راجع</t>
  </si>
  <si>
    <t>43#</t>
  </si>
  <si>
    <t>بوكس بدلة</t>
  </si>
  <si>
    <t>44#</t>
  </si>
  <si>
    <t>تعليقات كلاصات حسين ملاك بخط فارسي</t>
  </si>
  <si>
    <t>2\12\2024</t>
  </si>
  <si>
    <t>3\12</t>
  </si>
  <si>
    <t>45#</t>
  </si>
  <si>
    <t>حنان لافاسا</t>
  </si>
  <si>
    <t>بوكس مهر بيجي وجعل اسماء رقية و احمد</t>
  </si>
  <si>
    <t>46#</t>
  </si>
  <si>
    <t>اسماء</t>
  </si>
  <si>
    <t>مبخرة + علبة بخور</t>
  </si>
  <si>
    <t>47#</t>
  </si>
  <si>
    <t>48#</t>
  </si>
  <si>
    <t>قماش طبع</t>
  </si>
  <si>
    <t>49#</t>
  </si>
  <si>
    <t>جلد ابيض و الكتابة اسود</t>
  </si>
  <si>
    <t>اشرف</t>
  </si>
  <si>
    <t>4\12\20204</t>
  </si>
  <si>
    <t>زهور لمسة</t>
  </si>
  <si>
    <t>بوكسات</t>
  </si>
  <si>
    <t>واصل دخل</t>
  </si>
  <si>
    <t>6\12\2024</t>
  </si>
  <si>
    <t>50#</t>
  </si>
  <si>
    <t>بوكس مهر</t>
  </si>
  <si>
    <t>51#</t>
  </si>
  <si>
    <t>بورد تغليف اسماء فاطمة يوسف</t>
  </si>
  <si>
    <t>52#</t>
  </si>
  <si>
    <t>بوكسات تغليف</t>
  </si>
  <si>
    <t>8\12\2024</t>
  </si>
  <si>
    <t>9\12\2024</t>
  </si>
  <si>
    <t>53#</t>
  </si>
  <si>
    <t>نرجس</t>
  </si>
  <si>
    <t>10\12\2024</t>
  </si>
  <si>
    <t>54#</t>
  </si>
  <si>
    <t>ماستر</t>
  </si>
  <si>
    <t>10|122024</t>
  </si>
  <si>
    <t>55#</t>
  </si>
  <si>
    <t>حواري</t>
  </si>
  <si>
    <t>بورد تلفون</t>
  </si>
  <si>
    <t>56#</t>
  </si>
  <si>
    <t>دكان ارت</t>
  </si>
  <si>
    <t>توزيعات اكرليك ذهبي</t>
  </si>
  <si>
    <t>57#</t>
  </si>
  <si>
    <t>زبون سوشال</t>
  </si>
  <si>
    <t>16\12\2024</t>
  </si>
  <si>
    <t>58#</t>
  </si>
  <si>
    <t>بوكس ذهب</t>
  </si>
  <si>
    <t>59#</t>
  </si>
  <si>
    <t>مبخرة و علبة بخور</t>
  </si>
  <si>
    <t>60#</t>
  </si>
  <si>
    <t>علبة حلقات</t>
  </si>
  <si>
    <t>61#</t>
  </si>
  <si>
    <t>11\12\2024</t>
  </si>
  <si>
    <t>62#</t>
  </si>
  <si>
    <t>ادو ستور</t>
  </si>
  <si>
    <t>بوكس عقد قران</t>
  </si>
  <si>
    <t>15\12\2024</t>
  </si>
  <si>
    <t>63#</t>
  </si>
  <si>
    <t>65#</t>
  </si>
  <si>
    <t>بوكس جلقات</t>
  </si>
  <si>
    <t>زين كاش</t>
  </si>
  <si>
    <t>66#</t>
  </si>
  <si>
    <t>بورد تغليف</t>
  </si>
  <si>
    <t>13\12\2024</t>
  </si>
  <si>
    <t>67#</t>
  </si>
  <si>
    <t>مبخرة</t>
  </si>
  <si>
    <t>14\12\2024</t>
  </si>
  <si>
    <t>20\12\2024</t>
  </si>
  <si>
    <t>68#</t>
  </si>
  <si>
    <t>بوكس فلوس</t>
  </si>
  <si>
    <t>18\12\2024</t>
  </si>
  <si>
    <t>69#</t>
  </si>
  <si>
    <t>70#</t>
  </si>
  <si>
    <t>بورد</t>
  </si>
  <si>
    <t>يم حسين</t>
  </si>
  <si>
    <t>واصل</t>
  </si>
  <si>
    <t>71#</t>
  </si>
  <si>
    <t>105000 اشرف</t>
  </si>
  <si>
    <t>72#</t>
  </si>
  <si>
    <t>60 حسين</t>
  </si>
  <si>
    <t>22\12\2024</t>
  </si>
  <si>
    <t>73#</t>
  </si>
  <si>
    <t>19\12\2024</t>
  </si>
  <si>
    <t>1\1\2024</t>
  </si>
  <si>
    <t>74#</t>
  </si>
  <si>
    <t>75#</t>
  </si>
  <si>
    <t>احمد مشتاق</t>
  </si>
  <si>
    <t>21\12\2024</t>
  </si>
  <si>
    <t>76#</t>
  </si>
  <si>
    <t>خلفية تصوير</t>
  </si>
  <si>
    <t>77#</t>
  </si>
  <si>
    <t>مبخرة وعلبة بخور</t>
  </si>
  <si>
    <t>78#</t>
  </si>
  <si>
    <t>79#</t>
  </si>
  <si>
    <t>بوكس ذهيب</t>
  </si>
  <si>
    <t>80#</t>
  </si>
  <si>
    <t>23\12\2024</t>
  </si>
  <si>
    <t>81#</t>
  </si>
  <si>
    <t>بووكس بدلة</t>
  </si>
  <si>
    <t>82#</t>
  </si>
  <si>
    <t>بوكس دزة</t>
  </si>
  <si>
    <t>24\12\2024</t>
  </si>
  <si>
    <t>83#</t>
  </si>
  <si>
    <t>عبد الرضا</t>
  </si>
  <si>
    <t>29\11\2024</t>
  </si>
  <si>
    <t>30\11\2024</t>
  </si>
  <si>
    <t>a1</t>
  </si>
  <si>
    <t>القمة</t>
  </si>
  <si>
    <t>A2</t>
  </si>
  <si>
    <t>معهد العمران</t>
  </si>
  <si>
    <t>6\11\2024</t>
  </si>
  <si>
    <t>A3</t>
  </si>
  <si>
    <t>عقارات مريومة ورحلة الاصدقاء</t>
  </si>
  <si>
    <t>A4</t>
  </si>
  <si>
    <t>اعلان صليب</t>
  </si>
  <si>
    <t>25\12\2024</t>
  </si>
  <si>
    <t>28\12\2024</t>
  </si>
  <si>
    <t>A5</t>
  </si>
  <si>
    <t>مطبخ ام الخير</t>
  </si>
  <si>
    <t>30\12\2024</t>
  </si>
  <si>
    <t>A6</t>
  </si>
  <si>
    <t>شركة البابهار</t>
  </si>
  <si>
    <t>29\12\2024</t>
  </si>
  <si>
    <t>A8</t>
  </si>
  <si>
    <t>سنتر الدوغجي</t>
  </si>
  <si>
    <t>26\12\2024</t>
  </si>
  <si>
    <t>#84</t>
  </si>
  <si>
    <t>ستيكرات</t>
  </si>
  <si>
    <t>85#</t>
  </si>
  <si>
    <t>بوكس حلقات</t>
  </si>
  <si>
    <t>86#</t>
  </si>
  <si>
    <t>مجسمات</t>
  </si>
  <si>
    <t>27\12\2024</t>
  </si>
  <si>
    <t>87#</t>
  </si>
  <si>
    <t>88#</t>
  </si>
  <si>
    <t>89#</t>
  </si>
  <si>
    <t>صينية مهر</t>
  </si>
  <si>
    <t>90#</t>
  </si>
  <si>
    <t>صينية اكرلك</t>
  </si>
  <si>
    <t>91#</t>
  </si>
  <si>
    <t>مبخرة علبة بخولر</t>
  </si>
  <si>
    <t>92#</t>
  </si>
  <si>
    <t>بورد اية بورد اسماء</t>
  </si>
  <si>
    <t>93#</t>
  </si>
  <si>
    <t xml:space="preserve">مليكتنة </t>
  </si>
  <si>
    <t>94#</t>
  </si>
  <si>
    <t>بوكس قران</t>
  </si>
  <si>
    <t>95#</t>
  </si>
  <si>
    <t>1\1\2025</t>
  </si>
  <si>
    <t>96#</t>
  </si>
  <si>
    <t xml:space="preserve">زبون سوشال </t>
  </si>
  <si>
    <t>97#</t>
  </si>
  <si>
    <t>مبخرة علبة بخور بورد بصمة</t>
  </si>
  <si>
    <t>4\1\2024</t>
  </si>
  <si>
    <t>98#</t>
  </si>
  <si>
    <t xml:space="preserve">بوكس عقد  </t>
  </si>
  <si>
    <t>99#</t>
  </si>
  <si>
    <t>برايد ستور</t>
  </si>
  <si>
    <t>100#</t>
  </si>
  <si>
    <t>101#</t>
  </si>
  <si>
    <t>بوكس ساعة</t>
  </si>
  <si>
    <t>102#</t>
  </si>
  <si>
    <t>شريط</t>
  </si>
  <si>
    <t>103#</t>
  </si>
  <si>
    <t>6 مباخر</t>
  </si>
  <si>
    <t>104#</t>
  </si>
  <si>
    <t>بوكس عقد</t>
  </si>
  <si>
    <t>قائمة لدخل</t>
  </si>
  <si>
    <t>قائمة الخرج</t>
  </si>
  <si>
    <t>vouche.n</t>
  </si>
  <si>
    <t>valu</t>
  </si>
  <si>
    <t>detalis</t>
  </si>
  <si>
    <t>\\\</t>
  </si>
  <si>
    <t>استلام من يوسف الى حسين الى اشرف</t>
  </si>
  <si>
    <t>عبد الرضا مكافئة</t>
  </si>
  <si>
    <t>\\\\</t>
  </si>
  <si>
    <t>استلام سيف</t>
  </si>
  <si>
    <t>سلفون</t>
  </si>
  <si>
    <t>3\12\2024</t>
  </si>
  <si>
    <t>\\\\\</t>
  </si>
  <si>
    <t>استلام حسين</t>
  </si>
  <si>
    <t>اكل عمال</t>
  </si>
  <si>
    <t>بوري حديد</t>
  </si>
  <si>
    <t>اعلان علي اسطنبول</t>
  </si>
  <si>
    <t>ملكان حسين رسول</t>
  </si>
  <si>
    <t>من حسين</t>
  </si>
  <si>
    <t>سيف</t>
  </si>
  <si>
    <t>من رضا</t>
  </si>
  <si>
    <t>سيار = كلبسات</t>
  </si>
  <si>
    <t>لمسة</t>
  </si>
  <si>
    <t>صرفيات</t>
  </si>
  <si>
    <t>3\121\2024</t>
  </si>
  <si>
    <t>من معتصم</t>
  </si>
  <si>
    <t>حنان</t>
  </si>
  <si>
    <t>علي اسطنبول</t>
  </si>
  <si>
    <t>a5 عبد الرضا</t>
  </si>
  <si>
    <t>عبد الرضاa6</t>
  </si>
  <si>
    <t>دين ابن خالة سيف</t>
  </si>
  <si>
    <t>طلبية حسين</t>
  </si>
  <si>
    <t>ظ</t>
  </si>
  <si>
    <t>voucher.n</t>
  </si>
  <si>
    <t>suplayer</t>
  </si>
  <si>
    <t>oodo.number</t>
  </si>
  <si>
    <t>purchases</t>
  </si>
  <si>
    <t>salary advance</t>
  </si>
  <si>
    <t>losses</t>
  </si>
  <si>
    <t>phone.n</t>
  </si>
  <si>
    <t>الكلفة التشغيلية</t>
  </si>
  <si>
    <t>4.500.000</t>
  </si>
  <si>
    <t>947-1</t>
  </si>
  <si>
    <t>سويفت</t>
  </si>
  <si>
    <t>اصباغ</t>
  </si>
  <si>
    <t>0000\31</t>
  </si>
  <si>
    <t>الزهراء</t>
  </si>
  <si>
    <t>براغي</t>
  </si>
  <si>
    <t>نثرية</t>
  </si>
  <si>
    <t>سائق</t>
  </si>
  <si>
    <t>نقل</t>
  </si>
  <si>
    <t>نايلون</t>
  </si>
  <si>
    <t>مكافئة</t>
  </si>
  <si>
    <t>نقل اخشاب حيدر عبد الرضا</t>
  </si>
  <si>
    <t>الابرار</t>
  </si>
  <si>
    <t>مواد اعلانية</t>
  </si>
  <si>
    <t>000\132</t>
  </si>
  <si>
    <t>علاء للاصباغ</t>
  </si>
  <si>
    <t>الماجد للاخشاب</t>
  </si>
  <si>
    <t>لخشاب</t>
  </si>
  <si>
    <t>صبغ</t>
  </si>
  <si>
    <t>36369-1</t>
  </si>
  <si>
    <t>المخلص</t>
  </si>
  <si>
    <t>كهربائيات</t>
  </si>
  <si>
    <t>الكاظمي</t>
  </si>
  <si>
    <t>دفعت من سيف</t>
  </si>
  <si>
    <t>3\12\2025</t>
  </si>
  <si>
    <t>رشيد</t>
  </si>
  <si>
    <t>3\12\2026</t>
  </si>
  <si>
    <t>حيدر الصباغ</t>
  </si>
  <si>
    <t>3\12\2027</t>
  </si>
  <si>
    <t>تكسي علي كهربائي</t>
  </si>
  <si>
    <t>3\12\2028</t>
  </si>
  <si>
    <t>علي الكهربائي</t>
  </si>
  <si>
    <t>3\12\2029</t>
  </si>
  <si>
    <t>عبد الرضا سلفة</t>
  </si>
  <si>
    <t>تكاسي</t>
  </si>
  <si>
    <t>عدد 2</t>
  </si>
  <si>
    <t>قبان مع نقل</t>
  </si>
  <si>
    <t>مي</t>
  </si>
  <si>
    <t>اكل</t>
  </si>
  <si>
    <t>محمد نجار</t>
  </si>
  <si>
    <t>حيدر يافوز</t>
  </si>
  <si>
    <t>سجاد شغيل موقع</t>
  </si>
  <si>
    <t>5\12\2025</t>
  </si>
  <si>
    <t>حسين شغيل موقع</t>
  </si>
  <si>
    <t>5\12\2026</t>
  </si>
  <si>
    <t>حسين ماس</t>
  </si>
  <si>
    <t>5\12\2027</t>
  </si>
  <si>
    <t>عبد الله</t>
  </si>
  <si>
    <t>5\12\2028</t>
  </si>
  <si>
    <t>5\12\2029</t>
  </si>
  <si>
    <t>تكسي</t>
  </si>
  <si>
    <t>5\12\2030</t>
  </si>
  <si>
    <t>6\12\224</t>
  </si>
  <si>
    <t>عامل ونقل</t>
  </si>
  <si>
    <t>عامل نقل</t>
  </si>
  <si>
    <t>عدة</t>
  </si>
  <si>
    <t>نثريىة</t>
  </si>
  <si>
    <t>علي لبديري</t>
  </si>
  <si>
    <t>حديد</t>
  </si>
  <si>
    <t>مركز توتل</t>
  </si>
  <si>
    <t>توتل</t>
  </si>
  <si>
    <t>الحاج فؤاد</t>
  </si>
  <si>
    <t>علي البديسري</t>
  </si>
  <si>
    <t>الخورة</t>
  </si>
  <si>
    <t>12\12\2024</t>
  </si>
  <si>
    <t>لا6-15513</t>
  </si>
  <si>
    <t>دلتا السلام</t>
  </si>
  <si>
    <t>فؤااد يوسف</t>
  </si>
  <si>
    <t>b7-15896</t>
  </si>
  <si>
    <t>سلفة</t>
  </si>
  <si>
    <t>الماجد</t>
  </si>
  <si>
    <t>اخشاب</t>
  </si>
  <si>
    <t>لا2-16460</t>
  </si>
  <si>
    <t>رشيد سلفة</t>
  </si>
  <si>
    <t>كفوف</t>
  </si>
  <si>
    <t>00\839</t>
  </si>
  <si>
    <t>الخطاط</t>
  </si>
  <si>
    <t>فوم</t>
  </si>
  <si>
    <t>28\11\2024</t>
  </si>
  <si>
    <t>طعام موظفين لبداية الشهر</t>
  </si>
  <si>
    <t>يخصم من الرواتب</t>
  </si>
  <si>
    <t>حسين ستكرات</t>
  </si>
  <si>
    <t>سلفة يوسف</t>
  </si>
  <si>
    <t>راتب سجاد</t>
  </si>
  <si>
    <t>سجاد راتب</t>
  </si>
  <si>
    <t>تصفير حساب</t>
  </si>
  <si>
    <t>الابرار تصفير حساب</t>
  </si>
  <si>
    <t>وليد</t>
  </si>
  <si>
    <t>وليد سلفة</t>
  </si>
  <si>
    <t xml:space="preserve">سلفة عبد الرضا </t>
  </si>
  <si>
    <t>رشيد سلف</t>
  </si>
  <si>
    <t>سيف سحب قاصة</t>
  </si>
  <si>
    <t xml:space="preserve">سيف عدنان </t>
  </si>
  <si>
    <t>نقليات اشرف</t>
  </si>
  <si>
    <t>اشرف سلفة</t>
  </si>
  <si>
    <t xml:space="preserve">اشرف سلفة </t>
  </si>
  <si>
    <t xml:space="preserve">حيدر يافوز </t>
  </si>
  <si>
    <t xml:space="preserve">سلفة راتب </t>
  </si>
  <si>
    <t>يوسف سلفة</t>
  </si>
  <si>
    <t>دائن</t>
  </si>
  <si>
    <t>مدين</t>
  </si>
  <si>
    <t>salesman</t>
  </si>
  <si>
    <t>vouchar.n</t>
  </si>
  <si>
    <t>oodo.n</t>
  </si>
  <si>
    <t>costumer.n</t>
  </si>
  <si>
    <t>error</t>
  </si>
  <si>
    <t xml:space="preserve">details </t>
  </si>
  <si>
    <t>cost</t>
  </si>
  <si>
    <t>TOTAL</t>
  </si>
  <si>
    <t>amount</t>
  </si>
  <si>
    <t>customr number</t>
  </si>
  <si>
    <t>مهدي فاصلة</t>
  </si>
  <si>
    <t>بدون وصل</t>
  </si>
  <si>
    <t>ستيكرات مطبوعة</t>
  </si>
  <si>
    <t>لافته مع نصب</t>
  </si>
  <si>
    <t>صفاء خشب</t>
  </si>
  <si>
    <t>بيت الكل</t>
  </si>
  <si>
    <t>يدون وصل</t>
  </si>
  <si>
    <t>احرف فوم مع اكرلك عدد 2</t>
  </si>
  <si>
    <t>طباعة ابو العبد</t>
  </si>
  <si>
    <t>وائل الخطاط</t>
  </si>
  <si>
    <t>20000\</t>
  </si>
  <si>
    <t xml:space="preserve">اصباغ </t>
  </si>
  <si>
    <t>بنت الشيخة وائل</t>
  </si>
  <si>
    <t xml:space="preserve">باقي اعلان الصالون لزوجته </t>
  </si>
  <si>
    <t>كربلاء</t>
  </si>
  <si>
    <t>كوشة</t>
  </si>
  <si>
    <t>اديان</t>
  </si>
  <si>
    <t>من الشهر السابع</t>
  </si>
  <si>
    <t>يوسف</t>
  </si>
  <si>
    <t>محمد مظلوم</t>
  </si>
  <si>
    <t xml:space="preserve">دروع تخرج </t>
  </si>
  <si>
    <t>قصي</t>
  </si>
  <si>
    <t xml:space="preserve">اعلان كامل مع الشد قبل تلث اشهر  وهيكل حديد وتغيير انارة </t>
  </si>
  <si>
    <t>محمد ابن خالة سيف</t>
  </si>
  <si>
    <t>قط يتحملها يوسف</t>
  </si>
  <si>
    <t>nkd</t>
  </si>
  <si>
    <t>الدوخجي</t>
  </si>
  <si>
    <t>ميكا تيك</t>
  </si>
  <si>
    <t xml:space="preserve">غير مبلغ او متفق او مفوتر </t>
  </si>
  <si>
    <t xml:space="preserve">تصميم مع طباعه ستيكرات ولصقهم </t>
  </si>
  <si>
    <t>ام مريم</t>
  </si>
  <si>
    <t>تسليم يوم 15 \1</t>
  </si>
  <si>
    <t>profit</t>
  </si>
  <si>
    <t>تلف</t>
  </si>
  <si>
    <t>ملغي</t>
  </si>
  <si>
    <t>القاصة الفرعية (اشرف)</t>
  </si>
  <si>
    <t>القاصة الرئيسية ( سيف )</t>
  </si>
  <si>
    <t>قاصة فرعية 2 ( دفع الكتروني )</t>
  </si>
  <si>
    <t>التاريخ</t>
  </si>
  <si>
    <t>المبلغ</t>
  </si>
  <si>
    <t>التفاصيل</t>
  </si>
  <si>
    <t>ترحيل الى</t>
  </si>
  <si>
    <t>حساب افتتاحي</t>
  </si>
  <si>
    <t>recive</t>
  </si>
  <si>
    <t>salary</t>
  </si>
  <si>
    <t>علي النجار</t>
  </si>
  <si>
    <t>شغيل محمد النجار</t>
  </si>
  <si>
    <t>علي الصباغ</t>
  </si>
  <si>
    <t>عباس الصباغ</t>
  </si>
  <si>
    <t>12\1\2024</t>
  </si>
  <si>
    <t>صفاء تسديد</t>
  </si>
  <si>
    <t>32,000 د.ع.‏</t>
  </si>
  <si>
    <t>قفيص + صوندات</t>
  </si>
  <si>
    <t>12\2\2024</t>
  </si>
  <si>
    <t>باقي</t>
  </si>
  <si>
    <t>40,000 د.ع.‏</t>
  </si>
  <si>
    <t>صوندة رش</t>
  </si>
  <si>
    <t>12\3\2024</t>
  </si>
  <si>
    <t>35,000 د.ع.‏</t>
  </si>
  <si>
    <t>نقليات</t>
  </si>
  <si>
    <t>12\4\2024</t>
  </si>
  <si>
    <t>10,000 د.ع.‏</t>
  </si>
  <si>
    <t>دفتر + منظم</t>
  </si>
  <si>
    <t>12\5\2024</t>
  </si>
  <si>
    <t>250,000 د.ع.‏</t>
  </si>
  <si>
    <t>نجار</t>
  </si>
  <si>
    <t>12\6\2024</t>
  </si>
  <si>
    <t>287,000 د.ع.‏</t>
  </si>
  <si>
    <t>سيفتي</t>
  </si>
  <si>
    <t>12\7\2024</t>
  </si>
  <si>
    <t>820,000 د.ع.‏</t>
  </si>
  <si>
    <t>عدة مشروع</t>
  </si>
  <si>
    <t>12\8\2024</t>
  </si>
  <si>
    <t>1,680,000 د.ع.‏</t>
  </si>
  <si>
    <t>خشب</t>
  </si>
  <si>
    <t>12\9\2024</t>
  </si>
  <si>
    <t>3,285,000 د.ع.‏</t>
  </si>
  <si>
    <t>12\10\2024</t>
  </si>
  <si>
    <t>22913-1</t>
  </si>
  <si>
    <t>508,000 د.ع.‏</t>
  </si>
  <si>
    <t>45,000 د.ع.‏</t>
  </si>
  <si>
    <t>12\13\2024</t>
  </si>
  <si>
    <t>30,000 د.ع.‏</t>
  </si>
  <si>
    <t>نقليات خشب</t>
  </si>
  <si>
    <t>60,000 د.ع.‏</t>
  </si>
  <si>
    <t>20,000 د.ع.‏</t>
  </si>
  <si>
    <t>عمالة حيدر عبد الله</t>
  </si>
  <si>
    <t>78,000 د.ع.‏</t>
  </si>
  <si>
    <t>صبغ مع نقل</t>
  </si>
  <si>
    <t>24,000 د.ع.‏</t>
  </si>
  <si>
    <t>ثنر</t>
  </si>
  <si>
    <t>15,000 د.ع.‏</t>
  </si>
  <si>
    <t>قبان</t>
  </si>
  <si>
    <t>4,000 د.ع.‏</t>
  </si>
  <si>
    <t>25,000 د.ع.‏</t>
  </si>
  <si>
    <t>اجور تحميل خشب</t>
  </si>
  <si>
    <t>بنكو 12\4 12\6</t>
  </si>
  <si>
    <t>عمال علاء</t>
  </si>
  <si>
    <t>مكافئة علي كهربائي</t>
  </si>
  <si>
    <t>5,000 د.ع.‏</t>
  </si>
  <si>
    <t>فيتة</t>
  </si>
  <si>
    <t>اكل مهندس</t>
  </si>
  <si>
    <t>7\12\2024</t>
  </si>
  <si>
    <t>100,000 د.ع.‏</t>
  </si>
  <si>
    <t>بنكو</t>
  </si>
  <si>
    <t>عمال يوسف</t>
  </si>
  <si>
    <t>8,000 د.ع.‏</t>
  </si>
  <si>
    <t>نقل عمال</t>
  </si>
  <si>
    <t>بنكو مع عمال</t>
  </si>
  <si>
    <t>75,000 د.ع.‏</t>
  </si>
  <si>
    <t>7,000 د.ع.‏</t>
  </si>
  <si>
    <t>سطولة صبغ</t>
  </si>
  <si>
    <t>200,000 د.ع.‏</t>
  </si>
  <si>
    <t>حداد</t>
  </si>
  <si>
    <t>كتل</t>
  </si>
  <si>
    <t>شاي</t>
  </si>
  <si>
    <t>9\11\2024</t>
  </si>
  <si>
    <t>300,000 د.ع.‏</t>
  </si>
  <si>
    <t>صباغين تصفير حساب</t>
  </si>
  <si>
    <t>68,000 د.ع.‏</t>
  </si>
  <si>
    <t>6,000 د.ع.‏</t>
  </si>
  <si>
    <t>علي كهربائي</t>
  </si>
  <si>
    <t>225,000 د.ع.‏</t>
  </si>
  <si>
    <t>مصور</t>
  </si>
  <si>
    <t>مكافئة وليد</t>
  </si>
  <si>
    <t>14,000 د.ع.‏</t>
  </si>
  <si>
    <t>65,000 د.ع.‏</t>
  </si>
  <si>
    <t>415,000 د.ع.‏</t>
  </si>
  <si>
    <t>50,000 د.ع.‏</t>
  </si>
  <si>
    <t>تصفير حساب حدادين</t>
  </si>
  <si>
    <t>13\12\20204</t>
  </si>
  <si>
    <t>375,000 د.ع.‏</t>
  </si>
  <si>
    <t>محمد نجار تصفير حساب من 12\4 الى 12\12</t>
  </si>
  <si>
    <t>ستوتى</t>
  </si>
  <si>
    <t>85,250 د.ع.‏</t>
  </si>
  <si>
    <t>000\31</t>
  </si>
  <si>
    <t>000\321</t>
  </si>
  <si>
    <t>72,000 د.ع.‏</t>
  </si>
  <si>
    <t>علاء اصباغ</t>
  </si>
  <si>
    <t>000\164</t>
  </si>
  <si>
    <t>144,000 د.ع.‏</t>
  </si>
  <si>
    <t>303,000 د.ع.‏</t>
  </si>
  <si>
    <t>000\162</t>
  </si>
  <si>
    <t>168,000 د.ع.‏</t>
  </si>
  <si>
    <t>000\140</t>
  </si>
  <si>
    <t>36,000 د.ع.‏</t>
  </si>
  <si>
    <t>00\864</t>
  </si>
  <si>
    <t>34,000 د.ع.‏</t>
  </si>
  <si>
    <t>الغدير</t>
  </si>
  <si>
    <t>947\1</t>
  </si>
  <si>
    <t>36369\1</t>
  </si>
  <si>
    <t>901,000 د.ع.‏</t>
  </si>
  <si>
    <t>0\3415</t>
  </si>
  <si>
    <t>1,050,000 د.ع.‏</t>
  </si>
  <si>
    <t>طباعة فلكس</t>
  </si>
  <si>
    <t>19,000 د.ع.‏</t>
  </si>
  <si>
    <t>اصباغ جوتن</t>
  </si>
  <si>
    <t>148,000 د.ع.‏</t>
  </si>
  <si>
    <t>566,000 د.ع.‏</t>
  </si>
  <si>
    <t>172,000 د.ع.‏</t>
  </si>
  <si>
    <t>8\12\20214</t>
  </si>
  <si>
    <t>252,500 د.ع.‏</t>
  </si>
  <si>
    <t>23179\2</t>
  </si>
  <si>
    <t>126,000 د.ع.‏</t>
  </si>
  <si>
    <t>درع الامين</t>
  </si>
  <si>
    <t>000\301</t>
  </si>
  <si>
    <t>235,000 د.ع.‏</t>
  </si>
  <si>
    <t>براغي----</t>
  </si>
  <si>
    <t>851,500 د.ع.‏</t>
  </si>
  <si>
    <t>اخشاب الماجد</t>
  </si>
  <si>
    <t>بنكو ستوتة</t>
  </si>
  <si>
    <t>منتزه البصرة</t>
  </si>
  <si>
    <t>بلا وصل</t>
  </si>
  <si>
    <t xml:space="preserve">SUM </t>
  </si>
  <si>
    <t xml:space="preserve">ببلا وصل </t>
  </si>
  <si>
    <t>زبونت سوشال</t>
  </si>
  <si>
    <t>الطلب</t>
  </si>
  <si>
    <t>الحالة</t>
  </si>
  <si>
    <t>المسؤول</t>
  </si>
  <si>
    <t>المرحلة</t>
  </si>
  <si>
    <t>تاريخ التسليم</t>
  </si>
  <si>
    <t>ملاحظة</t>
  </si>
  <si>
    <t>بالأنتظار</t>
  </si>
  <si>
    <t>حسين, محمد رشيد</t>
  </si>
  <si>
    <t>تصميم</t>
  </si>
  <si>
    <t>قيد العمل</t>
  </si>
  <si>
    <t>قص</t>
  </si>
  <si>
    <t>ملغى</t>
  </si>
  <si>
    <t xml:space="preserve">لصق </t>
  </si>
  <si>
    <t>نقص معلومات</t>
  </si>
  <si>
    <t>تغليف وتجهيز الطلب</t>
  </si>
  <si>
    <t>جاهز للتسليم</t>
  </si>
  <si>
    <t>ارسال الطلب</t>
  </si>
  <si>
    <t>تم التوصيل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</si>
</sst>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دينار]#,##0"/>
    <numFmt numFmtId="165" formatCode="M/d/yyyy"/>
  </numFmts>
  <fonts count="1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color theme="1"/>
      <name val="Arial"/>
      <scheme val="minor"/>
    </font>
    <font>
      <sz val="26.0"/>
      <color rgb="FF000000"/>
      <name val="Calibri"/>
    </font>
    <font/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36.0"/>
      <color rgb="FF000000"/>
      <name val="Calibri"/>
    </font>
    <font>
      <sz val="48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FF0000"/>
      <name val="Calibri"/>
    </font>
    <font>
      <u/>
      <sz val="11.0"/>
      <color rgb="FF0563C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548235"/>
        <bgColor rgb="FF548235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5B9BD5"/>
        <bgColor rgb="FF5B9BD5"/>
      </patternFill>
    </fill>
    <fill>
      <patternFill patternType="solid">
        <fgColor rgb="FFC6E0B4"/>
        <bgColor rgb="FFC6E0B4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2" fontId="2" numFmtId="164" xfId="0" applyAlignment="1" applyBorder="1" applyFill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2" fillId="3" fontId="3" numFmtId="0" xfId="0" applyAlignment="1" applyBorder="1" applyFill="1" applyFont="1">
      <alignment horizontal="right" readingOrder="0" shrinkToFit="0" vertical="bottom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3" fillId="3" fontId="3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3" fontId="3" numFmtId="164" xfId="0" applyAlignment="1" applyBorder="1" applyFont="1" applyNumberFormat="1">
      <alignment horizontal="right" readingOrder="0" shrinkToFit="0" vertical="bottom" wrapText="0"/>
    </xf>
    <xf borderId="2" fillId="4" fontId="3" numFmtId="0" xfId="0" applyAlignment="1" applyBorder="1" applyFill="1" applyFont="1">
      <alignment horizontal="right" readingOrder="0"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1" fillId="4" fontId="3" numFmtId="0" xfId="0" applyAlignment="1" applyBorder="1" applyFont="1">
      <alignment horizontal="right" readingOrder="0" shrinkToFit="0" vertical="bottom" wrapText="0"/>
    </xf>
    <xf borderId="0" fillId="0" fontId="5" numFmtId="164" xfId="0" applyAlignment="1" applyFont="1" applyNumberFormat="1">
      <alignment shrinkToFit="0" vertical="center" wrapText="0"/>
    </xf>
    <xf borderId="1" fillId="4" fontId="3" numFmtId="0" xfId="0" applyAlignment="1" applyBorder="1" applyFont="1">
      <alignment horizontal="right"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2" fillId="2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164" xfId="0" applyAlignment="1" applyBorder="1" applyFont="1" applyNumberFormat="1">
      <alignment horizontal="right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2" fillId="5" fontId="3" numFmtId="0" xfId="0" applyAlignment="1" applyBorder="1" applyFill="1" applyFont="1">
      <alignment horizontal="right" readingOrder="0" shrinkToFit="0" vertical="bottom" wrapText="0"/>
    </xf>
    <xf borderId="1" fillId="5" fontId="3" numFmtId="0" xfId="0" applyAlignment="1" applyBorder="1" applyFont="1">
      <alignment horizontal="left" readingOrder="0"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1" fillId="5" fontId="3" numFmtId="164" xfId="0" applyAlignment="1" applyBorder="1" applyFont="1" applyNumberFormat="1">
      <alignment horizontal="right"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164" xfId="0" applyAlignment="1" applyBorder="1" applyFont="1" applyNumberFormat="1">
      <alignment shrinkToFit="0" vertical="bottom" wrapText="0"/>
    </xf>
    <xf borderId="1" fillId="5" fontId="3" numFmtId="0" xfId="0" applyAlignment="1" applyBorder="1" applyFont="1">
      <alignment shrinkToFit="0" vertical="bottom" wrapText="0"/>
    </xf>
    <xf borderId="1" fillId="6" fontId="3" numFmtId="164" xfId="0" applyAlignment="1" applyBorder="1" applyFill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4" fontId="3" numFmtId="164" xfId="0" applyAlignment="1" applyBorder="1" applyFont="1" applyNumberFormat="1">
      <alignment horizontal="right"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2" fillId="7" fontId="3" numFmtId="0" xfId="0" applyAlignment="1" applyBorder="1" applyFill="1" applyFont="1">
      <alignment horizontal="right" readingOrder="0" shrinkToFit="0" vertical="bottom" wrapText="0"/>
    </xf>
    <xf borderId="1" fillId="7" fontId="3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horizontal="right" readingOrder="0" shrinkToFit="0" vertical="bottom" wrapText="0"/>
    </xf>
    <xf borderId="1" fillId="7" fontId="3" numFmtId="164" xfId="0" applyAlignment="1" applyBorder="1" applyFont="1" applyNumberFormat="1">
      <alignment horizontal="right" readingOrder="0" shrinkToFit="0" vertical="bottom" wrapText="0"/>
    </xf>
    <xf borderId="0" fillId="7" fontId="3" numFmtId="0" xfId="0" applyAlignment="1" applyFont="1">
      <alignment shrinkToFit="0" vertical="bottom" wrapText="0"/>
    </xf>
    <xf borderId="0" fillId="7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6" fontId="3" numFmtId="0" xfId="0" applyAlignment="1" applyFont="1">
      <alignment horizontal="right" readingOrder="0" shrinkToFit="0" vertical="bottom" wrapText="0"/>
    </xf>
    <xf borderId="0" fillId="7" fontId="3" numFmtId="0" xfId="0" applyAlignment="1" applyFont="1">
      <alignment horizontal="right" readingOrder="0" shrinkToFit="0" vertical="bottom" wrapText="0"/>
    </xf>
    <xf borderId="0" fillId="7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2" fillId="8" fontId="3" numFmtId="0" xfId="0" applyAlignment="1" applyBorder="1" applyFill="1" applyFont="1">
      <alignment horizontal="right" readingOrder="0" shrinkToFit="0" vertical="bottom" wrapText="0"/>
    </xf>
    <xf borderId="1" fillId="8" fontId="3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ont="1">
      <alignment horizontal="right" readingOrder="0" shrinkToFit="0" vertical="bottom" wrapText="0"/>
    </xf>
    <xf borderId="1" fillId="8" fontId="3" numFmtId="164" xfId="0" applyAlignment="1" applyBorder="1" applyFont="1" applyNumberFormat="1">
      <alignment horizontal="right" readingOrder="0" shrinkToFit="0" vertical="bottom" wrapText="0"/>
    </xf>
    <xf borderId="0" fillId="8" fontId="3" numFmtId="0" xfId="0" applyAlignment="1" applyFont="1">
      <alignment shrinkToFit="0" vertical="bottom" wrapText="0"/>
    </xf>
    <xf borderId="0" fillId="8" fontId="3" numFmtId="0" xfId="0" applyAlignment="1" applyFont="1">
      <alignment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4" fillId="3" fontId="3" numFmtId="0" xfId="0" applyAlignment="1" applyBorder="1" applyFont="1">
      <alignment horizontal="right" readingOrder="0" shrinkToFit="0" vertical="bottom" wrapText="0"/>
    </xf>
    <xf borderId="4" fillId="3" fontId="3" numFmtId="0" xfId="0" applyAlignment="1" applyBorder="1" applyFont="1">
      <alignment horizontal="left" readingOrder="0" shrinkToFit="0" vertical="bottom" wrapText="0"/>
    </xf>
    <xf borderId="3" fillId="3" fontId="3" numFmtId="0" xfId="0" applyAlignment="1" applyBorder="1" applyFont="1">
      <alignment horizontal="left"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4" fillId="3" fontId="3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horizontal="left"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3" numFmtId="164" xfId="0" applyAlignment="1" applyBorder="1" applyFont="1" applyNumberForma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6" fillId="0" fontId="7" numFmtId="0" xfId="0" applyBorder="1" applyFont="1"/>
    <xf borderId="3" fillId="0" fontId="7" numFmtId="0" xfId="0" applyBorder="1" applyFont="1"/>
    <xf borderId="0" fillId="0" fontId="6" numFmtId="0" xfId="0" applyAlignment="1" applyFont="1">
      <alignment shrinkToFit="0" vertical="bottom" wrapText="0"/>
    </xf>
    <xf borderId="5" fillId="9" fontId="6" numFmtId="0" xfId="0" applyAlignment="1" applyBorder="1" applyFill="1" applyFont="1">
      <alignment horizontal="center" readingOrder="0" shrinkToFit="0" vertical="bottom" wrapText="0"/>
    </xf>
    <xf borderId="2" fillId="10" fontId="3" numFmtId="0" xfId="0" applyAlignment="1" applyBorder="1" applyFill="1" applyFont="1">
      <alignment horizontal="center" readingOrder="0" shrinkToFit="0" wrapText="0"/>
    </xf>
    <xf borderId="1" fillId="1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2" fillId="11" fontId="3" numFmtId="0" xfId="0" applyAlignment="1" applyBorder="1" applyFill="1" applyFont="1">
      <alignment horizontal="center" readingOrder="0" shrinkToFit="0" wrapText="0"/>
    </xf>
    <xf borderId="1" fillId="11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left" readingOrder="0" shrinkToFit="0" vertical="bottom" wrapText="0"/>
    </xf>
    <xf borderId="2" fillId="3" fontId="8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2" fillId="12" fontId="3" numFmtId="0" xfId="0" applyAlignment="1" applyBorder="1" applyFill="1" applyFont="1">
      <alignment horizontal="left" readingOrder="0" shrinkToFit="0" vertical="bottom" wrapText="0"/>
    </xf>
    <xf borderId="1" fillId="12" fontId="3" numFmtId="0" xfId="0" applyAlignment="1" applyBorder="1" applyFont="1">
      <alignment shrinkToFit="0" vertical="bottom" wrapText="0"/>
    </xf>
    <xf borderId="1" fillId="13" fontId="3" numFmtId="0" xfId="0" applyAlignment="1" applyBorder="1" applyFill="1" applyFont="1">
      <alignment horizontal="right" readingOrder="0" shrinkToFit="0" vertical="bottom" wrapText="0"/>
    </xf>
    <xf borderId="1" fillId="13" fontId="3" numFmtId="0" xfId="0" applyAlignment="1" applyBorder="1" applyFont="1">
      <alignment horizontal="right" readingOrder="0" shrinkToFit="0" vertical="bottom" wrapText="0"/>
    </xf>
    <xf borderId="4" fillId="3" fontId="3" numFmtId="0" xfId="0" applyAlignment="1" applyBorder="1" applyFont="1">
      <alignment horizontal="left" readingOrder="0" shrinkToFit="0" vertical="bottom" wrapText="0"/>
    </xf>
    <xf borderId="1" fillId="3" fontId="9" numFmtId="0" xfId="0" applyAlignment="1" applyBorder="1" applyFont="1">
      <alignment horizontal="left" readingOrder="0" shrinkToFit="0" vertical="bottom" wrapText="0"/>
    </xf>
    <xf borderId="1" fillId="12" fontId="3" numFmtId="0" xfId="0" applyAlignment="1" applyBorder="1" applyFont="1">
      <alignment horizontal="right" readingOrder="0" shrinkToFit="0" vertical="bottom" wrapText="0"/>
    </xf>
    <xf borderId="1" fillId="12" fontId="3" numFmtId="0" xfId="0" applyAlignment="1" applyBorder="1" applyFont="1">
      <alignment horizontal="right" readingOrder="0" shrinkToFit="0" vertical="bottom" wrapText="0"/>
    </xf>
    <xf borderId="2" fillId="3" fontId="3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horizontal="right" readingOrder="0" shrinkToFit="0" vertical="bottom" wrapText="0"/>
    </xf>
    <xf borderId="2" fillId="12" fontId="3" numFmtId="0" xfId="0" applyAlignment="1" applyBorder="1" applyFont="1">
      <alignment shrinkToFit="0" vertical="bottom" wrapText="0"/>
    </xf>
    <xf borderId="1" fillId="13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1" fillId="3" fontId="3" numFmtId="0" xfId="0" applyAlignment="1" applyBorder="1" applyFont="1">
      <alignment horizontal="left"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2" fillId="13" fontId="3" numFmtId="0" xfId="0" applyAlignment="1" applyBorder="1" applyFont="1">
      <alignment horizontal="left" readingOrder="0" shrinkToFit="0" vertical="bottom" wrapText="0"/>
    </xf>
    <xf borderId="1" fillId="13" fontId="3" numFmtId="0" xfId="0" applyAlignment="1" applyBorder="1" applyFont="1">
      <alignment shrinkToFit="0" vertical="bottom" wrapText="0"/>
    </xf>
    <xf borderId="3" fillId="13" fontId="3" numFmtId="0" xfId="0" applyAlignment="1" applyBorder="1" applyFont="1">
      <alignment horizontal="right" readingOrder="0" shrinkToFit="0" vertical="bottom" wrapText="0"/>
    </xf>
    <xf borderId="3" fillId="13" fontId="3" numFmtId="0" xfId="0" applyAlignment="1" applyBorder="1" applyFont="1">
      <alignment shrinkToFit="0" vertical="bottom" wrapText="0"/>
    </xf>
    <xf borderId="3" fillId="13" fontId="3" numFmtId="0" xfId="0" applyAlignment="1" applyBorder="1" applyFont="1">
      <alignment shrinkToFit="0" vertical="bottom" wrapText="0"/>
    </xf>
    <xf borderId="3" fillId="13" fontId="3" numFmtId="0" xfId="0" applyAlignment="1" applyBorder="1" applyFont="1">
      <alignment horizontal="right" readingOrder="0" shrinkToFit="0" vertical="bottom" wrapText="0"/>
    </xf>
    <xf borderId="1" fillId="12" fontId="3" numFmtId="0" xfId="0" applyAlignment="1" applyBorder="1" applyFont="1">
      <alignment shrinkToFit="0" vertical="bottom" wrapText="0"/>
    </xf>
    <xf borderId="1" fillId="12" fontId="3" numFmtId="0" xfId="0" applyAlignment="1" applyBorder="1" applyFont="1">
      <alignment horizontal="right" readingOrder="0" shrinkToFit="0" vertical="bottom" wrapText="0"/>
    </xf>
    <xf borderId="1" fillId="12" fontId="3" numFmtId="0" xfId="0" applyAlignment="1" applyBorder="1" applyFont="1">
      <alignment shrinkToFit="0" vertical="bottom" wrapText="0"/>
    </xf>
    <xf borderId="1" fillId="12" fontId="3" numFmtId="0" xfId="0" applyAlignment="1" applyBorder="1" applyFont="1">
      <alignment horizontal="right" readingOrder="0" shrinkToFit="0" vertical="bottom" wrapText="0"/>
    </xf>
    <xf borderId="1" fillId="13" fontId="3" numFmtId="0" xfId="0" applyAlignment="1" applyBorder="1" applyFont="1">
      <alignment horizontal="right" readingOrder="0" shrinkToFit="0" vertical="bottom" wrapText="0"/>
    </xf>
    <xf borderId="1" fillId="13" fontId="3" numFmtId="0" xfId="0" applyAlignment="1" applyBorder="1" applyFont="1">
      <alignment shrinkToFit="0" vertical="bottom" wrapText="0"/>
    </xf>
    <xf borderId="1" fillId="13" fontId="3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13" fontId="3" numFmtId="0" xfId="0" applyAlignment="1" applyBorder="1" applyFont="1">
      <alignment horizontal="left" readingOrder="0" shrinkToFit="0" vertical="bottom" wrapText="0"/>
    </xf>
    <xf borderId="2" fillId="12" fontId="3" numFmtId="0" xfId="0" applyAlignment="1" applyBorder="1" applyFont="1">
      <alignment horizontal="left" readingOrder="0" shrinkToFit="0" vertical="bottom" wrapText="0"/>
    </xf>
    <xf borderId="1" fillId="12" fontId="3" numFmtId="0" xfId="0" applyAlignment="1" applyBorder="1" applyFont="1">
      <alignment horizontal="left" readingOrder="0" shrinkToFit="0" vertical="bottom" wrapText="0"/>
    </xf>
    <xf borderId="1" fillId="13" fontId="10" numFmtId="0" xfId="0" applyAlignment="1" applyBorder="1" applyFont="1">
      <alignment horizontal="left" readingOrder="0" shrinkToFit="0" vertical="bottom" wrapText="0"/>
    </xf>
    <xf borderId="2" fillId="13" fontId="3" numFmtId="0" xfId="0" applyAlignment="1" applyBorder="1" applyFont="1">
      <alignment shrinkToFit="0" vertical="bottom" wrapText="0"/>
    </xf>
    <xf borderId="2" fillId="13" fontId="3" numFmtId="0" xfId="0" applyAlignment="1" applyBorder="1" applyFont="1">
      <alignment horizontal="left" readingOrder="0" shrinkToFit="0" vertical="bottom" wrapText="0"/>
    </xf>
    <xf borderId="1" fillId="13" fontId="3" numFmtId="0" xfId="0" applyAlignment="1" applyBorder="1" applyFont="1">
      <alignment horizontal="left" readingOrder="0" shrinkToFit="0" vertical="bottom" wrapText="0"/>
    </xf>
    <xf borderId="1" fillId="12" fontId="3" numFmtId="0" xfId="0" applyAlignment="1" applyBorder="1" applyFont="1">
      <alignment readingOrder="0" shrinkToFit="0" vertical="bottom" wrapText="0"/>
    </xf>
    <xf borderId="1" fillId="12" fontId="3" numFmtId="0" xfId="0" applyAlignment="1" applyBorder="1" applyFont="1">
      <alignment horizontal="left" readingOrder="0" shrinkToFit="0" vertical="bottom" wrapText="0"/>
    </xf>
    <xf borderId="1" fillId="13" fontId="3" numFmtId="0" xfId="0" applyAlignment="1" applyBorder="1" applyFont="1">
      <alignment readingOrder="0" shrinkToFit="0" vertical="bottom" wrapText="0"/>
    </xf>
    <xf borderId="1" fillId="13" fontId="3" numFmtId="0" xfId="0" applyAlignment="1" applyBorder="1" applyFont="1">
      <alignment readingOrder="0" shrinkToFit="0" vertical="bottom" wrapText="0"/>
    </xf>
    <xf borderId="2" fillId="12" fontId="3" numFmtId="0" xfId="0" applyAlignment="1" applyBorder="1" applyFont="1">
      <alignment readingOrder="0" shrinkToFit="0" vertical="bottom" wrapText="0"/>
    </xf>
    <xf borderId="1" fillId="12" fontId="3" numFmtId="0" xfId="0" applyAlignment="1" applyBorder="1" applyFont="1">
      <alignment readingOrder="0" shrinkToFit="0" vertical="bottom" wrapText="0"/>
    </xf>
    <xf borderId="2" fillId="13" fontId="3" numFmtId="0" xfId="0" applyAlignment="1" applyBorder="1" applyFont="1">
      <alignment readingOrder="0" shrinkToFit="0" vertical="bottom" wrapText="0"/>
    </xf>
    <xf borderId="0" fillId="5" fontId="11" numFmtId="0" xfId="0" applyAlignment="1" applyFont="1">
      <alignment horizontal="center" readingOrder="0" shrinkToFit="0" wrapText="0"/>
    </xf>
    <xf borderId="7" fillId="11" fontId="12" numFmtId="0" xfId="0" applyAlignment="1" applyBorder="1" applyFont="1">
      <alignment horizontal="center" readingOrder="0" shrinkToFit="0" wrapText="0"/>
    </xf>
    <xf borderId="7" fillId="0" fontId="7" numFmtId="0" xfId="0" applyBorder="1" applyFont="1"/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4" fillId="11" fontId="3" numFmtId="0" xfId="0" applyAlignment="1" applyBorder="1" applyFont="1">
      <alignment horizontal="center" readingOrder="0" shrinkToFit="0" wrapText="0"/>
    </xf>
    <xf borderId="3" fillId="11" fontId="3" numFmtId="0" xfId="0" applyAlignment="1" applyBorder="1" applyFont="1">
      <alignment horizontal="center" readingOrder="0" shrinkToFit="0" wrapText="0"/>
    </xf>
    <xf borderId="2" fillId="14" fontId="3" numFmtId="0" xfId="0" applyAlignment="1" applyBorder="1" applyFill="1" applyFont="1">
      <alignment horizontal="right" readingOrder="0" shrinkToFit="0" vertical="bottom" wrapText="0"/>
    </xf>
    <xf borderId="1" fillId="14" fontId="3" numFmtId="0" xfId="0" applyAlignment="1" applyBorder="1" applyFont="1">
      <alignment horizontal="left" readingOrder="0" shrinkToFit="0" vertical="bottom" wrapText="0"/>
    </xf>
    <xf borderId="1" fillId="14" fontId="3" numFmtId="0" xfId="0" applyAlignment="1" applyBorder="1" applyFont="1">
      <alignment shrinkToFit="0" vertical="bottom" wrapText="0"/>
    </xf>
    <xf borderId="1" fillId="14" fontId="3" numFmtId="0" xfId="0" applyAlignment="1" applyBorder="1" applyFont="1">
      <alignment horizontal="right" readingOrder="0" shrinkToFit="0" vertical="bottom" wrapText="0"/>
    </xf>
    <xf borderId="1" fillId="14" fontId="3" numFmtId="0" xfId="0" applyAlignment="1" applyBorder="1" applyFont="1">
      <alignment horizontal="right" readingOrder="0" shrinkToFit="0" vertical="bottom" wrapText="0"/>
    </xf>
    <xf borderId="1" fillId="14" fontId="3" numFmtId="0" xfId="0" applyAlignment="1" applyBorder="1" applyFont="1">
      <alignment readingOrder="0" shrinkToFit="0" vertical="bottom" wrapText="0"/>
    </xf>
    <xf borderId="1" fillId="14" fontId="3" numFmtId="0" xfId="0" applyAlignment="1" applyBorder="1" applyFont="1">
      <alignment readingOrder="0" shrinkToFit="0" vertical="bottom" wrapText="1"/>
    </xf>
    <xf borderId="3" fillId="14" fontId="3" numFmtId="164" xfId="0" applyAlignment="1" applyBorder="1" applyFont="1" applyNumberFormat="1">
      <alignment horizontal="right" readingOrder="0" shrinkToFit="0" vertical="bottom" wrapText="0"/>
    </xf>
    <xf borderId="0" fillId="14" fontId="3" numFmtId="164" xfId="0" applyAlignment="1" applyFont="1" applyNumberFormat="1">
      <alignment horizontal="right" readingOrder="0" shrinkToFit="0" vertical="bottom" wrapText="0"/>
    </xf>
    <xf borderId="2" fillId="15" fontId="3" numFmtId="0" xfId="0" applyAlignment="1" applyBorder="1" applyFill="1" applyFont="1">
      <alignment horizontal="left" readingOrder="0" shrinkToFit="0" vertical="bottom" wrapText="0"/>
    </xf>
    <xf borderId="1" fillId="15" fontId="13" numFmtId="0" xfId="0" applyAlignment="1" applyBorder="1" applyFont="1">
      <alignment horizontal="right" readingOrder="0" shrinkToFit="0" vertical="bottom" wrapText="0"/>
    </xf>
    <xf borderId="1" fillId="15" fontId="14" numFmtId="0" xfId="0" applyAlignment="1" applyBorder="1" applyFont="1">
      <alignment horizontal="left" readingOrder="0" shrinkToFit="0" vertical="bottom" wrapText="0"/>
    </xf>
    <xf borderId="1" fillId="15" fontId="3" numFmtId="0" xfId="0" applyAlignment="1" applyBorder="1" applyFont="1">
      <alignment horizontal="right" readingOrder="0" shrinkToFit="0" vertical="bottom" wrapText="0"/>
    </xf>
    <xf borderId="1" fillId="15" fontId="3" numFmtId="164" xfId="0" applyAlignment="1" applyBorder="1" applyFont="1" applyNumberFormat="1">
      <alignment horizontal="right" readingOrder="0" shrinkToFit="0" vertical="bottom" wrapText="0"/>
    </xf>
    <xf borderId="1" fillId="15" fontId="3" numFmtId="0" xfId="0" applyAlignment="1" applyBorder="1" applyFont="1">
      <alignment horizontal="right" readingOrder="0" shrinkToFit="0" vertical="bottom" wrapText="0"/>
    </xf>
    <xf borderId="1" fillId="14" fontId="3" numFmtId="164" xfId="0" applyAlignment="1" applyBorder="1" applyFont="1" applyNumberFormat="1">
      <alignment horizontal="right" readingOrder="0" shrinkToFit="0" vertical="bottom" wrapText="0"/>
    </xf>
    <xf borderId="0" fillId="14" fontId="3" numFmtId="0" xfId="0" applyAlignment="1" applyFont="1">
      <alignment horizontal="right" readingOrder="0" shrinkToFit="0" vertical="bottom" wrapText="0"/>
    </xf>
    <xf borderId="2" fillId="15" fontId="3" numFmtId="0" xfId="0" applyAlignment="1" applyBorder="1" applyFont="1">
      <alignment shrinkToFit="0" vertical="bottom" wrapText="0"/>
    </xf>
    <xf borderId="1" fillId="15" fontId="3" numFmtId="0" xfId="0" applyAlignment="1" applyBorder="1" applyFont="1">
      <alignment shrinkToFit="0" vertical="bottom" wrapText="0"/>
    </xf>
    <xf borderId="1" fillId="14" fontId="3" numFmtId="0" xfId="0" applyAlignment="1" applyBorder="1" applyFont="1">
      <alignment shrinkToFit="0" vertical="bottom" wrapText="1"/>
    </xf>
    <xf borderId="1" fillId="15" fontId="3" numFmtId="0" xfId="0" applyAlignment="1" applyBorder="1" applyFont="1">
      <alignment readingOrder="0" shrinkToFit="0" vertical="bottom" wrapText="0"/>
    </xf>
    <xf borderId="1" fillId="15" fontId="3" numFmtId="164" xfId="0" applyAlignment="1" applyBorder="1" applyFont="1" applyNumberFormat="1">
      <alignment readingOrder="0" shrinkToFit="0" vertical="bottom" wrapText="0"/>
    </xf>
    <xf borderId="0" fillId="14" fontId="3" numFmtId="0" xfId="0" applyAlignment="1" applyFont="1">
      <alignment horizontal="right" readingOrder="0" shrinkToFit="0" vertical="bottom" wrapText="0"/>
    </xf>
    <xf borderId="1" fillId="15" fontId="3" numFmtId="164" xfId="0" applyAlignment="1" applyBorder="1" applyFont="1" applyNumberFormat="1">
      <alignment shrinkToFit="0" vertical="bottom" wrapText="0"/>
    </xf>
    <xf borderId="1" fillId="14" fontId="3" numFmtId="0" xfId="0" applyAlignment="1" applyBorder="1" applyFont="1">
      <alignment horizontal="right" readingOrder="0" shrinkToFit="0" vertical="bottom" wrapText="1"/>
    </xf>
    <xf borderId="2" fillId="14" fontId="3" numFmtId="0" xfId="0" applyAlignment="1" applyBorder="1" applyFont="1">
      <alignment shrinkToFit="0" vertical="bottom" wrapText="0"/>
    </xf>
    <xf borderId="1" fillId="14" fontId="3" numFmtId="0" xfId="0" applyAlignment="1" applyBorder="1" applyFont="1">
      <alignment readingOrder="0" shrinkToFit="0" vertical="bottom" wrapText="0"/>
    </xf>
    <xf borderId="6" fillId="11" fontId="3" numFmtId="0" xfId="0" applyAlignment="1" applyBorder="1" applyFont="1">
      <alignment horizontal="center" readingOrder="0" shrinkToFit="0" wrapText="0"/>
    </xf>
    <xf borderId="5" fillId="11" fontId="3" numFmtId="0" xfId="0" applyAlignment="1" applyBorder="1" applyFont="1">
      <alignment horizontal="center" readingOrder="0" shrinkToFit="0" wrapText="0"/>
    </xf>
    <xf borderId="8" fillId="11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1" fillId="5" fontId="3" numFmtId="0" xfId="0" applyAlignment="1" applyBorder="1" applyFont="1">
      <alignment horizontal="left" readingOrder="0" shrinkToFit="0" vertical="bottom" wrapText="0"/>
    </xf>
    <xf borderId="1" fillId="3" fontId="3" numFmtId="164" xfId="0" applyAlignment="1" applyBorder="1" applyFont="1" applyNumberFormat="1">
      <alignment horizontal="right" readingOrder="0" shrinkToFit="0" vertical="bottom" wrapText="0"/>
    </xf>
    <xf borderId="3" fillId="3" fontId="3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4" fontId="3" numFmtId="0" xfId="0" applyAlignment="1" applyBorder="1" applyFont="1">
      <alignment horizontal="left" readingOrder="0" shrinkToFit="0" vertical="bottom" wrapText="0"/>
    </xf>
    <xf borderId="1" fillId="4" fontId="3" numFmtId="164" xfId="0" applyAlignment="1" applyBorder="1" applyFont="1" applyNumberFormat="1">
      <alignment shrinkToFit="0" vertical="bottom" wrapText="0"/>
    </xf>
    <xf borderId="1" fillId="4" fontId="3" numFmtId="0" xfId="0" applyAlignment="1" applyBorder="1" applyFont="1">
      <alignment horizontal="right" readingOrder="0" shrinkToFit="0" vertical="bottom" wrapText="0"/>
    </xf>
    <xf borderId="1" fillId="4" fontId="3" numFmtId="164" xfId="0" applyAlignment="1" applyBorder="1" applyFont="1" applyNumberFormat="1">
      <alignment horizontal="right"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164" xfId="0" applyAlignment="1" applyBorder="1" applyFont="1" applyNumberFormat="1">
      <alignment horizontal="right" readingOrder="0"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2" fontId="5" numFmtId="0" xfId="0" applyFont="1"/>
    <xf borderId="1" fillId="5" fontId="3" numFmtId="164" xfId="0" applyAlignment="1" applyBorder="1" applyFont="1" applyNumberFormat="1">
      <alignment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1" fillId="5" fontId="3" numFmtId="164" xfId="0" applyAlignment="1" applyBorder="1" applyFont="1" applyNumberFormat="1">
      <alignment horizontal="right" readingOrder="0" shrinkToFit="0" vertical="bottom" wrapText="0"/>
    </xf>
    <xf borderId="0" fillId="5" fontId="3" numFmtId="0" xfId="0" applyAlignment="1" applyFont="1">
      <alignment shrinkToFit="0" vertical="bottom" wrapText="0"/>
    </xf>
    <xf borderId="1" fillId="16" fontId="3" numFmtId="0" xfId="0" applyAlignment="1" applyBorder="1" applyFill="1" applyFont="1">
      <alignment horizontal="left" readingOrder="0" shrinkToFit="0" vertical="bottom" wrapText="0"/>
    </xf>
    <xf borderId="1" fillId="17" fontId="3" numFmtId="164" xfId="0" applyAlignment="1" applyBorder="1" applyFill="1" applyFont="1" applyNumberFormat="1">
      <alignment horizontal="right"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shrinkToFit="0" vertical="bottom" wrapText="0"/>
    </xf>
    <xf borderId="1" fillId="7" fontId="3" numFmtId="164" xfId="0" applyAlignment="1" applyBorder="1" applyFont="1" applyNumberFormat="1">
      <alignment shrinkToFit="0" vertical="bottom" wrapText="0"/>
    </xf>
    <xf borderId="1" fillId="7" fontId="3" numFmtId="0" xfId="0" applyAlignment="1" applyBorder="1" applyFont="1">
      <alignment horizontal="right" readingOrder="0" shrinkToFit="0" vertical="bottom" wrapText="0"/>
    </xf>
    <xf borderId="1" fillId="7" fontId="3" numFmtId="164" xfId="0" applyAlignment="1" applyBorder="1" applyFont="1" applyNumberFormat="1">
      <alignment horizontal="right" readingOrder="0" shrinkToFit="0" vertical="bottom" wrapText="0"/>
    </xf>
    <xf borderId="0" fillId="7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6" fontId="3" numFmtId="0" xfId="0" applyAlignment="1" applyFont="1">
      <alignment readingOrder="0" shrinkToFit="0" vertical="bottom" wrapText="0"/>
    </xf>
    <xf borderId="1" fillId="6" fontId="3" numFmtId="164" xfId="0" applyAlignment="1" applyBorder="1" applyFont="1" applyNumberFormat="1">
      <alignment horizontal="right" readingOrder="0" shrinkToFit="0" vertical="bottom" wrapText="0"/>
    </xf>
    <xf borderId="0" fillId="7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1" fillId="8" fontId="3" numFmtId="0" xfId="0" applyAlignment="1" applyBorder="1" applyFont="1">
      <alignment horizontal="left" readingOrder="0" shrinkToFit="0" vertical="bottom" wrapText="0"/>
    </xf>
    <xf borderId="1" fillId="8" fontId="3" numFmtId="164" xfId="0" applyAlignment="1" applyBorder="1" applyFont="1" applyNumberFormat="1">
      <alignment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3" numFmtId="0" xfId="0" applyAlignment="1" applyBorder="1" applyFont="1">
      <alignment horizontal="right" readingOrder="0" shrinkToFit="0" vertical="bottom" wrapText="0"/>
    </xf>
    <xf borderId="1" fillId="8" fontId="3" numFmtId="164" xfId="0" applyAlignment="1" applyBorder="1" applyFont="1" applyNumberFormat="1">
      <alignment horizontal="right" readingOrder="0" shrinkToFit="0" vertical="bottom" wrapText="0"/>
    </xf>
    <xf borderId="0" fillId="8" fontId="3" numFmtId="0" xfId="0" applyAlignment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3" fillId="3" fontId="3" numFmtId="0" xfId="0" applyAlignment="1" applyBorder="1" applyFont="1">
      <alignment horizontal="right" readingOrder="0" shrinkToFit="0" vertical="bottom" wrapText="0"/>
    </xf>
    <xf borderId="0" fillId="0" fontId="5" numFmtId="164" xfId="0" applyAlignment="1" applyFont="1" applyNumberFormat="1">
      <alignment readingOrder="0"/>
    </xf>
    <xf borderId="0" fillId="2" fontId="5" numFmtId="164" xfId="0" applyAlignment="1" applyFont="1" applyNumberFormat="1">
      <alignment readingOrder="0"/>
    </xf>
    <xf borderId="0" fillId="6" fontId="5" numFmtId="164" xfId="0" applyAlignment="1" applyFont="1" applyNumberFormat="1">
      <alignment readingOrder="0"/>
    </xf>
    <xf borderId="5" fillId="18" fontId="3" numFmtId="0" xfId="0" applyAlignment="1" applyBorder="1" applyFill="1" applyFont="1">
      <alignment horizontal="center" readingOrder="0" shrinkToFit="0" vertical="bottom" wrapText="0"/>
    </xf>
    <xf borderId="5" fillId="15" fontId="3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2" fillId="14" fontId="3" numFmtId="0" xfId="0" applyAlignment="1" applyBorder="1" applyFont="1">
      <alignment horizontal="left" readingOrder="0" shrinkToFit="0" vertical="bottom" wrapText="0"/>
    </xf>
    <xf borderId="1" fillId="14" fontId="3" numFmtId="0" xfId="0" applyAlignment="1" applyBorder="1" applyFont="1">
      <alignment horizontal="right" readingOrder="0" shrinkToFit="0" vertical="bottom" wrapText="0"/>
    </xf>
    <xf borderId="1" fillId="14" fontId="3" numFmtId="0" xfId="0" applyAlignment="1" applyBorder="1" applyFont="1">
      <alignment horizontal="right" readingOrder="0" shrinkToFit="0" vertical="bottom" wrapText="0"/>
    </xf>
    <xf borderId="1" fillId="14" fontId="3" numFmtId="0" xfId="0" applyAlignment="1" applyBorder="1" applyFont="1">
      <alignment shrinkToFit="0" vertical="bottom" wrapText="0"/>
    </xf>
    <xf borderId="2" fillId="19" fontId="3" numFmtId="0" xfId="0" applyAlignment="1" applyBorder="1" applyFill="1" applyFont="1">
      <alignment horizontal="left" readingOrder="0" shrinkToFit="0" vertical="bottom" wrapText="0"/>
    </xf>
    <xf borderId="1" fillId="19" fontId="3" numFmtId="0" xfId="0" applyAlignment="1" applyBorder="1" applyFont="1">
      <alignment shrinkToFit="0" vertical="bottom" wrapText="0"/>
    </xf>
    <xf borderId="1" fillId="19" fontId="3" numFmtId="0" xfId="0" applyAlignment="1" applyBorder="1" applyFont="1">
      <alignment horizontal="right" readingOrder="0" shrinkToFit="0" vertical="bottom" wrapText="0"/>
    </xf>
    <xf borderId="2" fillId="20" fontId="3" numFmtId="0" xfId="0" applyAlignment="1" applyBorder="1" applyFill="1" applyFont="1">
      <alignment horizontal="left" readingOrder="0" shrinkToFit="0" vertical="bottom" wrapText="0"/>
    </xf>
    <xf borderId="1" fillId="20" fontId="3" numFmtId="0" xfId="0" applyAlignment="1" applyBorder="1" applyFont="1">
      <alignment shrinkToFit="0" vertical="bottom" wrapText="0"/>
    </xf>
    <xf borderId="1" fillId="20" fontId="3" numFmtId="0" xfId="0" applyAlignment="1" applyBorder="1" applyFont="1">
      <alignment horizontal="right" readingOrder="0" shrinkToFit="0" vertical="bottom" wrapText="0"/>
    </xf>
    <xf borderId="2" fillId="19" fontId="3" numFmtId="0" xfId="0" applyAlignment="1" applyBorder="1" applyFont="1">
      <alignment shrinkToFit="0" vertical="bottom" wrapText="0"/>
    </xf>
    <xf borderId="2" fillId="20" fontId="3" numFmtId="0" xfId="0" applyAlignment="1" applyBorder="1" applyFont="1">
      <alignment shrinkToFit="0" vertical="bottom" wrapText="0"/>
    </xf>
    <xf borderId="2" fillId="14" fontId="3" numFmtId="0" xfId="0" applyAlignment="1" applyBorder="1" applyFont="1">
      <alignment shrinkToFit="0" vertical="bottom" wrapText="0"/>
    </xf>
    <xf borderId="9" fillId="21" fontId="3" numFmtId="0" xfId="0" applyAlignment="1" applyBorder="1" applyFill="1" applyFont="1">
      <alignment horizontal="center" readingOrder="0" shrinkToFit="0" wrapText="0"/>
    </xf>
    <xf borderId="10" fillId="21" fontId="3" numFmtId="0" xfId="0" applyAlignment="1" applyBorder="1" applyFont="1">
      <alignment horizontal="center" readingOrder="0" shrinkToFit="0" wrapText="0"/>
    </xf>
    <xf borderId="8" fillId="21" fontId="3" numFmtId="0" xfId="0" applyAlignment="1" applyBorder="1" applyFont="1">
      <alignment horizontal="center" readingOrder="0" shrinkToFit="0" wrapText="0"/>
    </xf>
    <xf borderId="4" fillId="22" fontId="3" numFmtId="0" xfId="0" applyAlignment="1" applyBorder="1" applyFill="1" applyFont="1">
      <alignment shrinkToFit="0" vertical="bottom" wrapText="0"/>
    </xf>
    <xf borderId="3" fillId="22" fontId="3" numFmtId="0" xfId="0" applyAlignment="1" applyBorder="1" applyFont="1">
      <alignment shrinkToFit="0" vertical="bottom" wrapText="0"/>
    </xf>
    <xf borderId="2" fillId="22" fontId="3" numFmtId="0" xfId="0" applyAlignment="1" applyBorder="1" applyFont="1">
      <alignment shrinkToFit="0" vertical="bottom" wrapText="0"/>
    </xf>
    <xf borderId="1" fillId="22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4" fillId="20" fontId="3" numFmtId="0" xfId="0" applyAlignment="1" applyBorder="1" applyFont="1">
      <alignment horizontal="left" readingOrder="0" shrinkToFit="0" vertical="bottom" wrapText="0"/>
    </xf>
    <xf borderId="3" fillId="2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readingOrder="0" shrinkToFit="0" vertical="bottom" wrapText="0"/>
    </xf>
    <xf borderId="1" fillId="20" fontId="3" numFmtId="0" xfId="0" applyAlignment="1" applyBorder="1" applyFont="1">
      <alignment shrinkToFit="0" vertical="bottom" wrapText="0"/>
    </xf>
    <xf borderId="1" fillId="20" fontId="3" numFmtId="0" xfId="0" applyAlignment="1" applyBorder="1" applyFont="1">
      <alignment horizontal="left" readingOrder="0" shrinkToFit="0" vertical="bottom" wrapText="0"/>
    </xf>
    <xf borderId="1" fillId="20" fontId="3" numFmtId="0" xfId="0" applyAlignment="1" applyBorder="1" applyFont="1">
      <alignment horizontal="right" readingOrder="0" shrinkToFit="0" vertical="bottom" wrapText="0"/>
    </xf>
    <xf borderId="1" fillId="20" fontId="3" numFmtId="0" xfId="0" applyAlignment="1" applyBorder="1" applyFont="1">
      <alignment horizontal="right" readingOrder="0" shrinkToFit="0" vertical="bottom" wrapText="0"/>
    </xf>
    <xf borderId="1" fillId="20" fontId="3" numFmtId="0" xfId="0" applyAlignment="1" applyBorder="1" applyFont="1">
      <alignment horizontal="left" readingOrder="0" shrinkToFit="0" vertical="bottom" wrapText="0"/>
    </xf>
    <xf borderId="2" fillId="20" fontId="3" numFmtId="0" xfId="0" applyAlignment="1" applyBorder="1" applyFont="1">
      <alignment shrinkToFit="0" vertical="bottom" wrapText="0"/>
    </xf>
    <xf borderId="2" fillId="20" fontId="15" numFmtId="0" xfId="0" applyAlignment="1" applyBorder="1" applyFont="1">
      <alignment horizontal="left" readingOrder="0" shrinkToFit="0" vertical="bottom" wrapText="0"/>
    </xf>
    <xf borderId="1" fillId="20" fontId="15" numFmtId="0" xfId="0" applyAlignment="1" applyBorder="1" applyFont="1">
      <alignment horizontal="left" readingOrder="0" shrinkToFit="0" vertical="bottom" wrapText="0"/>
    </xf>
    <xf borderId="1" fillId="20" fontId="15" numFmtId="0" xfId="0" applyAlignment="1" applyBorder="1" applyFont="1">
      <alignment shrinkToFit="0" vertical="bottom" wrapText="0"/>
    </xf>
    <xf borderId="1" fillId="5" fontId="16" numFmtId="0" xfId="0" applyAlignment="1" applyBorder="1" applyFont="1">
      <alignment horizontal="left" readingOrder="0" shrinkToFit="0" vertical="bottom" wrapText="0"/>
    </xf>
    <xf borderId="1" fillId="5" fontId="3" numFmtId="0" xfId="0" applyAlignment="1" applyBorder="1" applyFont="1">
      <alignment horizontal="right" readingOrder="0" shrinkToFit="0" vertical="bottom" wrapText="0"/>
    </xf>
    <xf borderId="3" fillId="5" fontId="3" numFmtId="0" xfId="0" applyAlignment="1" applyBorder="1" applyFont="1">
      <alignment horizontal="right" readingOrder="0" shrinkToFit="0" vertical="bottom" wrapText="0"/>
    </xf>
    <xf borderId="0" fillId="5" fontId="3" numFmtId="0" xfId="0" applyAlignment="1" applyFont="1">
      <alignment horizontal="right"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2" fillId="16" fontId="3" numFmtId="0" xfId="0" applyAlignment="1" applyBorder="1" applyFont="1">
      <alignment horizontal="right" readingOrder="0" shrinkToFit="0" vertical="bottom" wrapText="0"/>
    </xf>
    <xf borderId="1" fillId="16" fontId="3" numFmtId="0" xfId="0" applyAlignment="1" applyBorder="1" applyFont="1">
      <alignment shrinkToFit="0" vertical="bottom" wrapText="0"/>
    </xf>
    <xf borderId="1" fillId="16" fontId="3" numFmtId="0" xfId="0" applyAlignment="1" applyBorder="1" applyFont="1">
      <alignment horizontal="right" readingOrder="0" shrinkToFit="0" vertical="bottom" wrapText="0"/>
    </xf>
    <xf borderId="1" fillId="16" fontId="3" numFmtId="0" xfId="0" applyAlignment="1" applyBorder="1" applyFont="1">
      <alignment horizontal="right" readingOrder="0" shrinkToFit="0" vertical="bottom" wrapText="0"/>
    </xf>
    <xf borderId="0" fillId="16" fontId="3" numFmtId="0" xfId="0" applyAlignment="1" applyFont="1">
      <alignment horizontal="right" readingOrder="0" shrinkToFit="0" vertical="bottom" wrapText="0"/>
    </xf>
    <xf borderId="0" fillId="16" fontId="3" numFmtId="0" xfId="0" applyAlignment="1" applyFont="1">
      <alignment shrinkToFit="0" vertical="bottom" wrapText="0"/>
    </xf>
    <xf borderId="0" fillId="16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3" fontId="3" numFmtId="164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6">
    <tableStyle count="4" pivot="0" name=" المبيعات الكلي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صرفيات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دائن و مدين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cott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شمس البصرة-style">
      <tableStyleElement dxfId="3" type="firstRowStripe"/>
      <tableStyleElement dxfId="2" type="secondRowStripe"/>
    </tableStyle>
    <tableStyle count="4" pivot="0" name="متابعة طلبات حسين-style">
      <tableStyleElement dxfId="6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if Adnan" id="{4de09d60-f642-4e77-ba6d-2b1573ac665f}" providerId="google-sheets"/>
</x18tc:personList>
</file>

<file path=xl/tables/table1.xml><?xml version="1.0" encoding="utf-8"?>
<table xmlns="http://schemas.openxmlformats.org/spreadsheetml/2006/main" ref="A2:I75" displayName="Table3" name="Table3" id="1">
  <autoFilter ref="$A$2:$I$75"/>
  <tableColumns count="9">
    <tableColumn name="salsman" id="1"/>
    <tableColumn name="date" id="2"/>
    <tableColumn name="delivrey day" id="3"/>
    <tableColumn name="order.n" id="4"/>
    <tableColumn name="coustmar.n" id="5"/>
    <tableColumn name="details" id="6"/>
    <tableColumn name="price" id="7"/>
    <tableColumn name="extra" id="8"/>
    <tableColumn name="Column 1" id="9"/>
  </tableColumns>
  <tableStyleInfo name=" المبيعات الكلية-style" showColumnStripes="0" showFirstColumn="1" showLastColumn="1" showRowStripes="1"/>
</table>
</file>

<file path=xl/tables/table2.xml><?xml version="1.0" encoding="utf-8"?>
<table xmlns="http://schemas.openxmlformats.org/spreadsheetml/2006/main" ref="A1:H49" displayName="Table4" name="Table4" id="2">
  <autoFilter ref="$A$1:$H$49">
    <filterColumn colId="7">
      <filters/>
    </filterColumn>
  </autoFilter>
  <tableColumns count="8">
    <tableColumn name="date" id="1"/>
    <tableColumn name="voucher.n" id="2"/>
    <tableColumn name="suplayer" id="3"/>
    <tableColumn name="oodo.number" id="4"/>
    <tableColumn name="purchases" id="5"/>
    <tableColumn name="salary advance" id="6"/>
    <tableColumn name="losses" id="7"/>
    <tableColumn name="details" id="8"/>
  </tableColumns>
  <tableStyleInfo name="الصرفيات -style" showColumnStripes="0" showFirstColumn="1" showLastColumn="1" showRowStripes="1"/>
</table>
</file>

<file path=xl/tables/table3.xml><?xml version="1.0" encoding="utf-8"?>
<table xmlns="http://schemas.openxmlformats.org/spreadsheetml/2006/main" ref="A4:J25" displayName="Table1" name="Table1" id="3">
  <tableColumns count="10">
    <tableColumn name="salesman" id="1"/>
    <tableColumn name="date" id="2"/>
    <tableColumn name="vouchar.n" id="3"/>
    <tableColumn name="oodo.n" id="4"/>
    <tableColumn name="order.n" id="5"/>
    <tableColumn name="costumer.n" id="6"/>
    <tableColumn name="error" id="7"/>
    <tableColumn name="details " id="8"/>
    <tableColumn name="cost" id="9"/>
    <tableColumn name="TOTAL" id="10"/>
  </tableColumns>
  <tableStyleInfo name="دائن و مدين-style" showColumnStripes="0" showFirstColumn="1" showLastColumn="1" showRowStripes="1"/>
</table>
</file>

<file path=xl/tables/table4.xml><?xml version="1.0" encoding="utf-8"?>
<table xmlns="http://schemas.openxmlformats.org/spreadsheetml/2006/main" ref="A1:G99" displayName="Table2" name="Table2" id="4">
  <tableColumns count="7">
    <tableColumn name="date" id="1"/>
    <tableColumn name="voucher.n" id="2"/>
    <tableColumn name="recive" id="3"/>
    <tableColumn name="purchases" id="4"/>
    <tableColumn name="salary" id="5"/>
    <tableColumn name="losses" id="6"/>
    <tableColumn name="details" id="7"/>
  </tableColumns>
  <tableStyleInfo name="cottages-style" showColumnStripes="0" showFirstColumn="1" showLastColumn="1" showRowStripes="1"/>
</table>
</file>

<file path=xl/tables/table5.xml><?xml version="1.0" encoding="utf-8"?>
<table xmlns="http://schemas.openxmlformats.org/spreadsheetml/2006/main" headerRowCount="0" ref="B25:L35" displayName="Table_1" name="Table_1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شمس البصرة-style" showColumnStripes="0" showFirstColumn="1" showLastColumn="1" showRowStripes="1"/>
</table>
</file>

<file path=xl/tables/table6.xml><?xml version="1.0" encoding="utf-8"?>
<table xmlns="http://schemas.openxmlformats.org/spreadsheetml/2006/main" ref="A1:F15" displayName="طلبات_حسين_" name="طلبات_حسين_" id="6">
  <tableColumns count="6">
    <tableColumn name="الطلب" id="1"/>
    <tableColumn name="الحالة" id="2"/>
    <tableColumn name="المسؤول" id="3"/>
    <tableColumn name="المرحلة" id="4"/>
    <tableColumn name="تاريخ التسليم" id="5"/>
    <tableColumn name="ملاحظة" id="6"/>
  </tableColumns>
  <tableStyleInfo name="متابعة طلبات حسين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7" dT="2025-06-15T01:41:55.00" personId="{4de09d60-f642-4e77-ba6d-2b1573ac665f}" id="{dc633642-0a5a-4aff-846f-3b82c32f454f}" done="0">
    <x18tc:text xml:space="preserve">ماستر</x18tc:text>
  </x18tc:threadedComment>
  <x18tc:threadedComment ref="J10" dT="2025-06-15T01:42:33.00" personId="{4de09d60-f642-4e77-ba6d-2b1573ac665f}" id="{f214481d-4497-45d6-ba4e-83864862a8d2}" done="0">
    <x18tc:text xml:space="preserve">25.000</x18tc:text>
  </x18tc:threadedComment>
  <x18tc:threadedComment ref="J72" dT="2025-06-15T01:41:23.00" personId="{4de09d60-f642-4e77-ba6d-2b1573ac665f}" id="{0c830d25-fc60-43c2-9a4b-c7cd10ad2365}" done="0">
    <x18tc:text xml:space="preserve">ماستر</x18tc:text>
  </x18tc:threadedComment>
  <x18tc:threadedComment ref="J13" dT="2025-06-15T01:42:23.00" personId="{4de09d60-f642-4e77-ba6d-2b1573ac665f}" id="{1fbd9eec-f57a-4763-b56d-7b45d9c18f86}" done="0">
    <x18tc:text xml:space="preserve">100.000</x18tc:text>
  </x18tc:threadedComment>
  <x18tc:threadedComment ref="M34" dT="2025-06-15T01:42:02.00" personId="{4de09d60-f642-4e77-ba6d-2b1573ac665f}" id="{ee744e9d-71ba-4777-ba06-5eb837f1c80e}" done="0">
    <x18tc:text xml:space="preserve">ماستر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5"/>
    <col customWidth="1" min="2" max="2" width="12.5"/>
    <col customWidth="1" min="3" max="3" width="14.5"/>
    <col customWidth="1" min="4" max="4" width="6.38"/>
    <col customWidth="1" min="5" max="5" width="12.5"/>
    <col customWidth="1" min="6" max="6" width="27.75"/>
  </cols>
  <sheetData>
    <row r="1">
      <c r="A1" s="1"/>
      <c r="B1" s="1"/>
      <c r="C1" s="1"/>
      <c r="D1" s="1"/>
      <c r="E1" s="2">
        <v>5980000.0</v>
      </c>
      <c r="F1" s="3" t="s">
        <v>0</v>
      </c>
      <c r="G1" s="1"/>
      <c r="H1" s="4"/>
      <c r="I1" s="5"/>
    </row>
    <row r="2" ht="22.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</row>
    <row r="3" ht="22.5" customHeight="1">
      <c r="A3" s="9" t="s">
        <v>10</v>
      </c>
      <c r="B3" s="10" t="s">
        <v>11</v>
      </c>
      <c r="C3" s="11" t="s">
        <v>12</v>
      </c>
      <c r="D3" s="10" t="s">
        <v>13</v>
      </c>
      <c r="E3" s="12" t="s">
        <v>14</v>
      </c>
      <c r="F3" s="12" t="s">
        <v>15</v>
      </c>
      <c r="G3" s="13">
        <v>35000.0</v>
      </c>
      <c r="H3" s="14">
        <v>30000.0</v>
      </c>
      <c r="I3" s="15"/>
    </row>
    <row r="4" ht="22.5" customHeight="1">
      <c r="A4" s="9" t="s">
        <v>10</v>
      </c>
      <c r="B4" s="10" t="s">
        <v>11</v>
      </c>
      <c r="C4" s="10" t="s">
        <v>12</v>
      </c>
      <c r="D4" s="10" t="s">
        <v>16</v>
      </c>
      <c r="E4" s="12" t="s">
        <v>14</v>
      </c>
      <c r="F4" s="12" t="s">
        <v>17</v>
      </c>
      <c r="G4" s="16">
        <v>10000.0</v>
      </c>
      <c r="H4" s="14">
        <v>10000.0</v>
      </c>
      <c r="I4" s="15"/>
    </row>
    <row r="5" ht="22.5" customHeight="1">
      <c r="A5" s="17" t="s">
        <v>10</v>
      </c>
      <c r="B5" s="18" t="s">
        <v>11</v>
      </c>
      <c r="C5" s="18" t="s">
        <v>18</v>
      </c>
      <c r="D5" s="18" t="s">
        <v>19</v>
      </c>
      <c r="E5" s="19" t="s">
        <v>20</v>
      </c>
      <c r="F5" s="19" t="s">
        <v>21</v>
      </c>
      <c r="G5" s="20"/>
      <c r="H5" s="21">
        <v>175000.0</v>
      </c>
      <c r="I5" s="22" t="s">
        <v>22</v>
      </c>
    </row>
    <row r="6" ht="22.5" customHeight="1">
      <c r="A6" s="23" t="s">
        <v>10</v>
      </c>
      <c r="B6" s="24" t="s">
        <v>11</v>
      </c>
      <c r="C6" s="24" t="s">
        <v>18</v>
      </c>
      <c r="D6" s="24" t="s">
        <v>23</v>
      </c>
      <c r="E6" s="25" t="s">
        <v>20</v>
      </c>
      <c r="F6" s="25" t="s">
        <v>24</v>
      </c>
      <c r="G6" s="26">
        <v>200000.0</v>
      </c>
      <c r="H6" s="27"/>
      <c r="I6" s="28"/>
    </row>
    <row r="7" ht="22.5" customHeight="1">
      <c r="A7" s="9" t="s">
        <v>10</v>
      </c>
      <c r="B7" s="10" t="s">
        <v>11</v>
      </c>
      <c r="C7" s="10" t="s">
        <v>18</v>
      </c>
      <c r="D7" s="10" t="s">
        <v>25</v>
      </c>
      <c r="E7" s="12" t="s">
        <v>14</v>
      </c>
      <c r="F7" s="12" t="s">
        <v>26</v>
      </c>
      <c r="G7" s="16">
        <v>10000.0</v>
      </c>
      <c r="H7" s="14">
        <v>10000.0</v>
      </c>
      <c r="I7" s="15"/>
    </row>
    <row r="8" ht="22.5" customHeight="1">
      <c r="A8" s="29" t="s">
        <v>10</v>
      </c>
      <c r="B8" s="30" t="s">
        <v>27</v>
      </c>
      <c r="C8" s="30" t="s">
        <v>28</v>
      </c>
      <c r="D8" s="30" t="s">
        <v>29</v>
      </c>
      <c r="E8" s="31" t="s">
        <v>30</v>
      </c>
      <c r="F8" s="31" t="s">
        <v>31</v>
      </c>
      <c r="G8" s="32">
        <v>100000.0</v>
      </c>
      <c r="H8" s="33"/>
      <c r="I8" s="34"/>
    </row>
    <row r="9" ht="22.5" customHeight="1">
      <c r="A9" s="29" t="s">
        <v>10</v>
      </c>
      <c r="B9" s="30" t="s">
        <v>27</v>
      </c>
      <c r="C9" s="30" t="s">
        <v>27</v>
      </c>
      <c r="D9" s="30" t="s">
        <v>32</v>
      </c>
      <c r="E9" s="31" t="s">
        <v>33</v>
      </c>
      <c r="F9" s="31" t="s">
        <v>34</v>
      </c>
      <c r="G9" s="32">
        <v>60000.0</v>
      </c>
      <c r="H9" s="33"/>
      <c r="I9" s="34"/>
    </row>
    <row r="10" ht="22.5" customHeight="1">
      <c r="A10" s="9" t="s">
        <v>10</v>
      </c>
      <c r="B10" s="10" t="s">
        <v>27</v>
      </c>
      <c r="C10" s="10" t="s">
        <v>12</v>
      </c>
      <c r="D10" s="10" t="s">
        <v>35</v>
      </c>
      <c r="E10" s="12" t="s">
        <v>14</v>
      </c>
      <c r="F10" s="12" t="s">
        <v>34</v>
      </c>
      <c r="G10" s="16">
        <v>100000.0</v>
      </c>
      <c r="H10" s="14">
        <v>100000.0</v>
      </c>
      <c r="I10" s="15"/>
    </row>
    <row r="11" ht="22.5" customHeight="1">
      <c r="A11" s="9" t="s">
        <v>10</v>
      </c>
      <c r="B11" s="10" t="s">
        <v>27</v>
      </c>
      <c r="C11" s="10" t="s">
        <v>12</v>
      </c>
      <c r="D11" s="10" t="s">
        <v>36</v>
      </c>
      <c r="E11" s="12" t="s">
        <v>14</v>
      </c>
      <c r="F11" s="12" t="s">
        <v>37</v>
      </c>
      <c r="G11" s="16">
        <v>10000.0</v>
      </c>
      <c r="H11" s="14">
        <v>10000.0</v>
      </c>
      <c r="I11" s="15"/>
    </row>
    <row r="12" ht="22.5" customHeight="1">
      <c r="A12" s="9" t="s">
        <v>10</v>
      </c>
      <c r="B12" s="10" t="s">
        <v>27</v>
      </c>
      <c r="C12" s="10" t="s">
        <v>18</v>
      </c>
      <c r="D12" s="10" t="s">
        <v>38</v>
      </c>
      <c r="E12" s="12" t="s">
        <v>14</v>
      </c>
      <c r="F12" s="12" t="s">
        <v>39</v>
      </c>
      <c r="G12" s="16">
        <v>15000.0</v>
      </c>
      <c r="H12" s="14">
        <v>15000.0</v>
      </c>
      <c r="I12" s="15"/>
    </row>
    <row r="13" ht="22.5" customHeight="1">
      <c r="A13" s="23" t="s">
        <v>40</v>
      </c>
      <c r="B13" s="24" t="s">
        <v>41</v>
      </c>
      <c r="C13" s="35"/>
      <c r="D13" s="35"/>
      <c r="E13" s="25" t="s">
        <v>42</v>
      </c>
      <c r="F13" s="25" t="s">
        <v>43</v>
      </c>
      <c r="G13" s="36"/>
      <c r="H13" s="27" t="s">
        <v>44</v>
      </c>
      <c r="I13" s="28"/>
    </row>
    <row r="14" ht="22.5" customHeight="1">
      <c r="A14" s="9" t="s">
        <v>10</v>
      </c>
      <c r="B14" s="10" t="s">
        <v>12</v>
      </c>
      <c r="C14" s="10" t="s">
        <v>45</v>
      </c>
      <c r="D14" s="10" t="s">
        <v>46</v>
      </c>
      <c r="E14" s="12" t="s">
        <v>14</v>
      </c>
      <c r="F14" s="12" t="s">
        <v>47</v>
      </c>
      <c r="G14" s="16">
        <v>125000.0</v>
      </c>
      <c r="H14" s="14">
        <v>125000.0</v>
      </c>
      <c r="I14" s="15"/>
    </row>
    <row r="15" ht="22.5" customHeight="1">
      <c r="A15" s="9" t="s">
        <v>10</v>
      </c>
      <c r="B15" s="10" t="s">
        <v>12</v>
      </c>
      <c r="C15" s="10" t="s">
        <v>45</v>
      </c>
      <c r="D15" s="10" t="s">
        <v>48</v>
      </c>
      <c r="E15" s="12" t="s">
        <v>14</v>
      </c>
      <c r="F15" s="12" t="s">
        <v>49</v>
      </c>
      <c r="G15" s="16">
        <v>35000.0</v>
      </c>
      <c r="H15" s="14">
        <v>30000.0</v>
      </c>
      <c r="I15" s="15"/>
    </row>
    <row r="16" ht="22.5" customHeight="1">
      <c r="A16" s="29" t="s">
        <v>10</v>
      </c>
      <c r="B16" s="30" t="s">
        <v>45</v>
      </c>
      <c r="C16" s="37"/>
      <c r="D16" s="30" t="s">
        <v>50</v>
      </c>
      <c r="E16" s="31" t="s">
        <v>33</v>
      </c>
      <c r="F16" s="31" t="s">
        <v>51</v>
      </c>
      <c r="G16" s="32">
        <v>300000.0</v>
      </c>
      <c r="H16" s="33"/>
      <c r="I16" s="34"/>
    </row>
    <row r="17" ht="22.5" customHeight="1">
      <c r="A17" s="23" t="s">
        <v>10</v>
      </c>
      <c r="B17" s="24" t="s">
        <v>52</v>
      </c>
      <c r="C17" s="24" t="s">
        <v>53</v>
      </c>
      <c r="D17" s="24" t="s">
        <v>54</v>
      </c>
      <c r="E17" s="25" t="s">
        <v>55</v>
      </c>
      <c r="F17" s="25" t="s">
        <v>47</v>
      </c>
      <c r="G17" s="26">
        <v>125000.0</v>
      </c>
      <c r="H17" s="27" t="s">
        <v>44</v>
      </c>
      <c r="I17" s="28"/>
    </row>
    <row r="18" ht="22.5" customHeight="1">
      <c r="A18" s="9" t="s">
        <v>10</v>
      </c>
      <c r="B18" s="10" t="s">
        <v>52</v>
      </c>
      <c r="C18" s="10" t="s">
        <v>56</v>
      </c>
      <c r="D18" s="10" t="s">
        <v>57</v>
      </c>
      <c r="E18" s="12" t="s">
        <v>14</v>
      </c>
      <c r="F18" s="12" t="s">
        <v>24</v>
      </c>
      <c r="G18" s="38">
        <v>175000.0</v>
      </c>
      <c r="H18" s="39" t="s">
        <v>58</v>
      </c>
      <c r="I18" s="40"/>
    </row>
    <row r="19" ht="22.5" customHeight="1">
      <c r="A19" s="17" t="s">
        <v>10</v>
      </c>
      <c r="B19" s="18" t="s">
        <v>53</v>
      </c>
      <c r="C19" s="18" t="s">
        <v>59</v>
      </c>
      <c r="D19" s="18" t="s">
        <v>60</v>
      </c>
      <c r="E19" s="19" t="s">
        <v>61</v>
      </c>
      <c r="F19" s="19" t="s">
        <v>62</v>
      </c>
      <c r="G19" s="41">
        <v>20000.0</v>
      </c>
      <c r="H19" s="42"/>
      <c r="I19" s="43"/>
    </row>
    <row r="20" ht="22.5" customHeight="1">
      <c r="A20" s="23" t="s">
        <v>10</v>
      </c>
      <c r="B20" s="24" t="s">
        <v>53</v>
      </c>
      <c r="C20" s="35"/>
      <c r="D20" s="24" t="s">
        <v>63</v>
      </c>
      <c r="E20" s="25" t="s">
        <v>64</v>
      </c>
      <c r="F20" s="25" t="s">
        <v>65</v>
      </c>
      <c r="G20" s="26">
        <v>100000.0</v>
      </c>
      <c r="H20" s="27" t="s">
        <v>44</v>
      </c>
      <c r="I20" s="28"/>
    </row>
    <row r="21" ht="22.5" customHeight="1">
      <c r="A21" s="44" t="s">
        <v>10</v>
      </c>
      <c r="B21" s="45" t="s">
        <v>53</v>
      </c>
      <c r="C21" s="46"/>
      <c r="D21" s="45" t="s">
        <v>66</v>
      </c>
      <c r="E21" s="47" t="s">
        <v>67</v>
      </c>
      <c r="F21" s="47" t="s">
        <v>24</v>
      </c>
      <c r="G21" s="48">
        <v>175000.0</v>
      </c>
      <c r="H21" s="49"/>
      <c r="I21" s="50"/>
    </row>
    <row r="22" ht="22.5" customHeight="1">
      <c r="A22" s="44" t="s">
        <v>10</v>
      </c>
      <c r="B22" s="45" t="s">
        <v>53</v>
      </c>
      <c r="C22" s="45" t="s">
        <v>68</v>
      </c>
      <c r="D22" s="45" t="s">
        <v>69</v>
      </c>
      <c r="E22" s="47" t="s">
        <v>67</v>
      </c>
      <c r="F22" s="47" t="s">
        <v>70</v>
      </c>
      <c r="G22" s="48">
        <v>150000.0</v>
      </c>
      <c r="H22" s="49"/>
      <c r="I22" s="50"/>
    </row>
    <row r="23" ht="22.5" customHeight="1">
      <c r="A23" s="44" t="s">
        <v>10</v>
      </c>
      <c r="B23" s="45" t="s">
        <v>53</v>
      </c>
      <c r="C23" s="45" t="s">
        <v>68</v>
      </c>
      <c r="D23" s="45" t="s">
        <v>71</v>
      </c>
      <c r="E23" s="47" t="s">
        <v>67</v>
      </c>
      <c r="F23" s="47" t="s">
        <v>72</v>
      </c>
      <c r="G23" s="48">
        <v>75000.0</v>
      </c>
      <c r="H23" s="49"/>
      <c r="I23" s="50"/>
    </row>
    <row r="24" ht="22.5" customHeight="1">
      <c r="A24" s="9" t="s">
        <v>10</v>
      </c>
      <c r="B24" s="10" t="s">
        <v>53</v>
      </c>
      <c r="C24" s="10" t="s">
        <v>68</v>
      </c>
      <c r="D24" s="10" t="s">
        <v>73</v>
      </c>
      <c r="E24" s="12" t="s">
        <v>14</v>
      </c>
      <c r="F24" s="12" t="s">
        <v>74</v>
      </c>
      <c r="G24" s="16">
        <v>50000.0</v>
      </c>
      <c r="H24" s="14">
        <v>50000.0</v>
      </c>
      <c r="I24" s="15"/>
    </row>
    <row r="25" ht="22.5" customHeight="1">
      <c r="A25" s="9" t="s">
        <v>10</v>
      </c>
      <c r="B25" s="10" t="s">
        <v>53</v>
      </c>
      <c r="C25" s="10" t="s">
        <v>68</v>
      </c>
      <c r="D25" s="10" t="s">
        <v>75</v>
      </c>
      <c r="E25" s="12" t="s">
        <v>14</v>
      </c>
      <c r="F25" s="12" t="s">
        <v>72</v>
      </c>
      <c r="G25" s="16">
        <v>75000.0</v>
      </c>
      <c r="H25" s="14">
        <v>75000.0</v>
      </c>
      <c r="I25" s="15"/>
    </row>
    <row r="26" ht="22.5" customHeight="1">
      <c r="A26" s="29" t="s">
        <v>10</v>
      </c>
      <c r="B26" s="30" t="s">
        <v>56</v>
      </c>
      <c r="C26" s="30" t="s">
        <v>76</v>
      </c>
      <c r="D26" s="30" t="s">
        <v>77</v>
      </c>
      <c r="E26" s="31" t="s">
        <v>78</v>
      </c>
      <c r="F26" s="31" t="s">
        <v>79</v>
      </c>
      <c r="G26" s="32">
        <v>100000.0</v>
      </c>
      <c r="H26" s="33"/>
      <c r="I26" s="34"/>
    </row>
    <row r="27" ht="22.5" customHeight="1">
      <c r="A27" s="9" t="s">
        <v>10</v>
      </c>
      <c r="B27" s="10" t="s">
        <v>76</v>
      </c>
      <c r="C27" s="10" t="s">
        <v>80</v>
      </c>
      <c r="D27" s="10" t="s">
        <v>81</v>
      </c>
      <c r="E27" s="12" t="s">
        <v>67</v>
      </c>
      <c r="F27" s="12" t="s">
        <v>24</v>
      </c>
      <c r="G27" s="16">
        <v>150000.0</v>
      </c>
      <c r="H27" s="51"/>
      <c r="I27" s="52"/>
    </row>
    <row r="28" ht="22.5" customHeight="1">
      <c r="A28" s="9" t="s">
        <v>10</v>
      </c>
      <c r="B28" s="10" t="s">
        <v>76</v>
      </c>
      <c r="C28" s="10" t="s">
        <v>80</v>
      </c>
      <c r="D28" s="10" t="s">
        <v>82</v>
      </c>
      <c r="E28" s="12" t="s">
        <v>14</v>
      </c>
      <c r="F28" s="12" t="s">
        <v>83</v>
      </c>
      <c r="G28" s="38">
        <v>75000.0</v>
      </c>
      <c r="H28" s="39" t="s">
        <v>84</v>
      </c>
      <c r="I28" s="53"/>
    </row>
    <row r="29" ht="22.5" customHeight="1">
      <c r="A29" s="9" t="s">
        <v>10</v>
      </c>
      <c r="B29" s="10" t="s">
        <v>76</v>
      </c>
      <c r="C29" s="10" t="s">
        <v>80</v>
      </c>
      <c r="D29" s="10" t="s">
        <v>85</v>
      </c>
      <c r="E29" s="12" t="s">
        <v>14</v>
      </c>
      <c r="F29" s="12" t="s">
        <v>86</v>
      </c>
      <c r="G29" s="38">
        <v>30000.0</v>
      </c>
      <c r="H29" s="39" t="s">
        <v>84</v>
      </c>
      <c r="I29" s="53"/>
    </row>
    <row r="30" ht="22.5" customHeight="1">
      <c r="A30" s="9" t="s">
        <v>10</v>
      </c>
      <c r="B30" s="10" t="s">
        <v>87</v>
      </c>
      <c r="C30" s="10" t="s">
        <v>80</v>
      </c>
      <c r="D30" s="10" t="s">
        <v>88</v>
      </c>
      <c r="E30" s="12" t="s">
        <v>14</v>
      </c>
      <c r="F30" s="12" t="s">
        <v>89</v>
      </c>
      <c r="G30" s="16">
        <v>50000.0</v>
      </c>
      <c r="H30" s="54">
        <v>954701.0</v>
      </c>
      <c r="I30" s="27"/>
    </row>
    <row r="31" ht="22.5" customHeight="1">
      <c r="A31" s="44" t="s">
        <v>10</v>
      </c>
      <c r="B31" s="45" t="s">
        <v>90</v>
      </c>
      <c r="C31" s="45" t="s">
        <v>91</v>
      </c>
      <c r="D31" s="45" t="s">
        <v>92</v>
      </c>
      <c r="E31" s="47" t="s">
        <v>67</v>
      </c>
      <c r="F31" s="47" t="s">
        <v>93</v>
      </c>
      <c r="G31" s="48">
        <v>100000.0</v>
      </c>
      <c r="H31" s="49"/>
      <c r="I31" s="50"/>
    </row>
    <row r="32" ht="22.5" customHeight="1">
      <c r="A32" s="9" t="s">
        <v>10</v>
      </c>
      <c r="B32" s="10" t="s">
        <v>94</v>
      </c>
      <c r="C32" s="10" t="s">
        <v>94</v>
      </c>
      <c r="D32" s="10" t="s">
        <v>95</v>
      </c>
      <c r="E32" s="12" t="s">
        <v>14</v>
      </c>
      <c r="F32" s="12" t="s">
        <v>24</v>
      </c>
      <c r="G32" s="16">
        <v>200000.0</v>
      </c>
      <c r="H32" s="14">
        <v>200000.0</v>
      </c>
      <c r="I32" s="15"/>
    </row>
    <row r="33" ht="22.5" customHeight="1">
      <c r="A33" s="9" t="s">
        <v>10</v>
      </c>
      <c r="B33" s="10" t="s">
        <v>94</v>
      </c>
      <c r="C33" s="10" t="s">
        <v>94</v>
      </c>
      <c r="D33" s="10" t="s">
        <v>96</v>
      </c>
      <c r="E33" s="12" t="s">
        <v>67</v>
      </c>
      <c r="F33" s="12" t="s">
        <v>97</v>
      </c>
      <c r="G33" s="38">
        <v>40000.0</v>
      </c>
      <c r="H33" s="39" t="s">
        <v>98</v>
      </c>
      <c r="I33" s="53" t="s">
        <v>99</v>
      </c>
    </row>
    <row r="34" ht="22.5" customHeight="1">
      <c r="A34" s="9" t="s">
        <v>10</v>
      </c>
      <c r="B34" s="10" t="s">
        <v>94</v>
      </c>
      <c r="C34" s="10" t="s">
        <v>94</v>
      </c>
      <c r="D34" s="10" t="s">
        <v>100</v>
      </c>
      <c r="E34" s="12" t="s">
        <v>67</v>
      </c>
      <c r="F34" s="12" t="s">
        <v>72</v>
      </c>
      <c r="G34" s="38">
        <v>75000.0</v>
      </c>
      <c r="H34" s="39" t="s">
        <v>98</v>
      </c>
      <c r="I34" s="53" t="s">
        <v>101</v>
      </c>
    </row>
    <row r="35" ht="22.5" customHeight="1">
      <c r="A35" s="9" t="s">
        <v>10</v>
      </c>
      <c r="B35" s="10" t="s">
        <v>94</v>
      </c>
      <c r="C35" s="10" t="s">
        <v>94</v>
      </c>
      <c r="D35" s="10" t="s">
        <v>102</v>
      </c>
      <c r="E35" s="12" t="s">
        <v>67</v>
      </c>
      <c r="F35" s="12" t="s">
        <v>93</v>
      </c>
      <c r="G35" s="38">
        <v>50000.0</v>
      </c>
      <c r="H35" s="39" t="s">
        <v>98</v>
      </c>
      <c r="I35" s="55" t="s">
        <v>103</v>
      </c>
    </row>
    <row r="36" ht="22.5" customHeight="1">
      <c r="A36" s="9" t="s">
        <v>10</v>
      </c>
      <c r="B36" s="10" t="s">
        <v>94</v>
      </c>
      <c r="C36" s="10" t="s">
        <v>104</v>
      </c>
      <c r="D36" s="10" t="s">
        <v>105</v>
      </c>
      <c r="E36" s="12" t="s">
        <v>14</v>
      </c>
      <c r="F36" s="12" t="s">
        <v>24</v>
      </c>
      <c r="G36" s="16">
        <v>175000.0</v>
      </c>
      <c r="H36" s="14">
        <v>125000.0</v>
      </c>
      <c r="I36" s="15"/>
    </row>
    <row r="37" ht="22.5" customHeight="1">
      <c r="A37" s="9" t="s">
        <v>10</v>
      </c>
      <c r="B37" s="10" t="s">
        <v>106</v>
      </c>
      <c r="C37" s="10" t="s">
        <v>107</v>
      </c>
      <c r="D37" s="10" t="s">
        <v>108</v>
      </c>
      <c r="E37" s="12" t="s">
        <v>14</v>
      </c>
      <c r="F37" s="12" t="s">
        <v>86</v>
      </c>
      <c r="G37" s="16">
        <v>45000.0</v>
      </c>
      <c r="H37" s="14">
        <v>45000.0</v>
      </c>
      <c r="I37" s="15"/>
    </row>
    <row r="38" ht="22.5" customHeight="1">
      <c r="A38" s="9" t="s">
        <v>10</v>
      </c>
      <c r="B38" s="10" t="s">
        <v>106</v>
      </c>
      <c r="C38" s="10" t="s">
        <v>104</v>
      </c>
      <c r="D38" s="10" t="s">
        <v>109</v>
      </c>
      <c r="E38" s="12" t="s">
        <v>110</v>
      </c>
      <c r="F38" s="12" t="s">
        <v>47</v>
      </c>
      <c r="G38" s="16">
        <v>60000.0</v>
      </c>
      <c r="H38" s="51"/>
      <c r="I38" s="52"/>
    </row>
    <row r="39" ht="22.5" customHeight="1">
      <c r="A39" s="44" t="s">
        <v>10</v>
      </c>
      <c r="B39" s="45" t="s">
        <v>91</v>
      </c>
      <c r="C39" s="45" t="s">
        <v>111</v>
      </c>
      <c r="D39" s="45" t="s">
        <v>112</v>
      </c>
      <c r="E39" s="47" t="s">
        <v>67</v>
      </c>
      <c r="F39" s="47" t="s">
        <v>113</v>
      </c>
      <c r="G39" s="48">
        <v>75000.0</v>
      </c>
      <c r="H39" s="56"/>
      <c r="I39" s="57"/>
    </row>
    <row r="40" ht="22.5" customHeight="1">
      <c r="A40" s="29" t="s">
        <v>10</v>
      </c>
      <c r="B40" s="30" t="s">
        <v>111</v>
      </c>
      <c r="C40" s="30" t="s">
        <v>111</v>
      </c>
      <c r="D40" s="30" t="s">
        <v>114</v>
      </c>
      <c r="E40" s="31" t="s">
        <v>78</v>
      </c>
      <c r="F40" s="31" t="s">
        <v>115</v>
      </c>
      <c r="G40" s="32">
        <v>65000.0</v>
      </c>
      <c r="H40" s="33"/>
      <c r="I40" s="34"/>
    </row>
    <row r="41" ht="22.5" customHeight="1">
      <c r="A41" s="9" t="s">
        <v>10</v>
      </c>
      <c r="B41" s="10" t="s">
        <v>111</v>
      </c>
      <c r="C41" s="10" t="s">
        <v>111</v>
      </c>
      <c r="D41" s="10" t="s">
        <v>116</v>
      </c>
      <c r="E41" s="12" t="s">
        <v>14</v>
      </c>
      <c r="F41" s="12" t="s">
        <v>89</v>
      </c>
      <c r="G41" s="16">
        <v>50000.0</v>
      </c>
      <c r="H41" s="14">
        <v>50000.0</v>
      </c>
      <c r="I41" s="15"/>
    </row>
    <row r="42" ht="22.5" customHeight="1">
      <c r="A42" s="9" t="s">
        <v>10</v>
      </c>
      <c r="B42" s="10" t="s">
        <v>104</v>
      </c>
      <c r="C42" s="10" t="s">
        <v>104</v>
      </c>
      <c r="D42" s="10" t="s">
        <v>117</v>
      </c>
      <c r="E42" s="12" t="s">
        <v>14</v>
      </c>
      <c r="F42" s="12" t="s">
        <v>118</v>
      </c>
      <c r="G42" s="16">
        <v>150000.0</v>
      </c>
      <c r="H42" s="14">
        <v>150000.0</v>
      </c>
      <c r="I42" s="15"/>
    </row>
    <row r="43" ht="22.5" customHeight="1">
      <c r="A43" s="9" t="s">
        <v>10</v>
      </c>
      <c r="B43" s="10" t="s">
        <v>104</v>
      </c>
      <c r="C43" s="10" t="s">
        <v>104</v>
      </c>
      <c r="D43" s="10" t="s">
        <v>119</v>
      </c>
      <c r="E43" s="12" t="s">
        <v>14</v>
      </c>
      <c r="F43" s="12" t="s">
        <v>115</v>
      </c>
      <c r="G43" s="16">
        <v>75000.0</v>
      </c>
      <c r="H43" s="14">
        <v>75000.0</v>
      </c>
      <c r="I43" s="15"/>
    </row>
    <row r="44" ht="22.5" customHeight="1">
      <c r="A44" s="9" t="s">
        <v>10</v>
      </c>
      <c r="B44" s="10" t="s">
        <v>120</v>
      </c>
      <c r="C44" s="10" t="s">
        <v>120</v>
      </c>
      <c r="D44" s="10" t="s">
        <v>121</v>
      </c>
      <c r="E44" s="12" t="s">
        <v>14</v>
      </c>
      <c r="F44" s="12" t="s">
        <v>122</v>
      </c>
      <c r="G44" s="16">
        <v>175000.0</v>
      </c>
      <c r="H44" s="58">
        <v>175000.0</v>
      </c>
      <c r="I44" s="59"/>
    </row>
    <row r="45" ht="22.5" customHeight="1">
      <c r="A45" s="60" t="s">
        <v>10</v>
      </c>
      <c r="B45" s="61" t="s">
        <v>120</v>
      </c>
      <c r="C45" s="61" t="s">
        <v>120</v>
      </c>
      <c r="D45" s="61" t="s">
        <v>123</v>
      </c>
      <c r="E45" s="62" t="s">
        <v>67</v>
      </c>
      <c r="F45" s="62" t="s">
        <v>124</v>
      </c>
      <c r="G45" s="63">
        <v>350000.0</v>
      </c>
      <c r="H45" s="64"/>
      <c r="I45" s="65"/>
    </row>
    <row r="46" ht="22.5" customHeight="1">
      <c r="A46" s="9" t="s">
        <v>10</v>
      </c>
      <c r="B46" s="10" t="s">
        <v>120</v>
      </c>
      <c r="C46" s="10" t="s">
        <v>125</v>
      </c>
      <c r="D46" s="10" t="s">
        <v>126</v>
      </c>
      <c r="E46" s="12" t="s">
        <v>14</v>
      </c>
      <c r="F46" s="12" t="s">
        <v>89</v>
      </c>
      <c r="G46" s="16">
        <v>35000.0</v>
      </c>
      <c r="H46" s="14">
        <v>35000.0</v>
      </c>
      <c r="I46" s="15"/>
    </row>
    <row r="47" ht="22.5" customHeight="1">
      <c r="A47" s="9" t="s">
        <v>10</v>
      </c>
      <c r="B47" s="10" t="s">
        <v>120</v>
      </c>
      <c r="C47" s="10" t="s">
        <v>125</v>
      </c>
      <c r="D47" s="66">
        <v>83.0</v>
      </c>
      <c r="E47" s="12" t="s">
        <v>14</v>
      </c>
      <c r="F47" s="12" t="s">
        <v>89</v>
      </c>
      <c r="G47" s="16">
        <v>35000.0</v>
      </c>
      <c r="H47" s="14">
        <v>35000.0</v>
      </c>
      <c r="I47" s="15"/>
    </row>
    <row r="48" ht="22.5" customHeight="1">
      <c r="A48" s="9" t="s">
        <v>127</v>
      </c>
      <c r="B48" s="10" t="s">
        <v>128</v>
      </c>
      <c r="C48" s="10" t="s">
        <v>129</v>
      </c>
      <c r="D48" s="10" t="s">
        <v>130</v>
      </c>
      <c r="E48" s="12" t="s">
        <v>131</v>
      </c>
      <c r="F48" s="12" t="s">
        <v>131</v>
      </c>
      <c r="G48" s="16">
        <v>2400000.0</v>
      </c>
      <c r="H48" s="67"/>
      <c r="I48" s="68"/>
    </row>
    <row r="49" ht="22.5" customHeight="1">
      <c r="A49" s="23" t="s">
        <v>127</v>
      </c>
      <c r="B49" s="24" t="s">
        <v>128</v>
      </c>
      <c r="C49" s="24" t="s">
        <v>128</v>
      </c>
      <c r="D49" s="24" t="s">
        <v>132</v>
      </c>
      <c r="E49" s="25" t="s">
        <v>133</v>
      </c>
      <c r="F49" s="25" t="s">
        <v>133</v>
      </c>
      <c r="G49" s="26">
        <v>1675000.0</v>
      </c>
      <c r="H49" s="69"/>
      <c r="I49" s="70"/>
    </row>
    <row r="50" ht="22.5" customHeight="1">
      <c r="A50" s="23" t="s">
        <v>127</v>
      </c>
      <c r="B50" s="24" t="s">
        <v>134</v>
      </c>
      <c r="C50" s="24" t="s">
        <v>53</v>
      </c>
      <c r="D50" s="24" t="s">
        <v>135</v>
      </c>
      <c r="E50" s="25" t="s">
        <v>136</v>
      </c>
      <c r="F50" s="25" t="s">
        <v>136</v>
      </c>
      <c r="G50" s="26">
        <v>800000.0</v>
      </c>
      <c r="H50" s="69"/>
      <c r="I50" s="70"/>
    </row>
    <row r="51" ht="22.5" customHeight="1">
      <c r="A51" s="23" t="s">
        <v>127</v>
      </c>
      <c r="B51" s="24" t="s">
        <v>68</v>
      </c>
      <c r="C51" s="24" t="s">
        <v>68</v>
      </c>
      <c r="D51" s="24" t="s">
        <v>137</v>
      </c>
      <c r="E51" s="25" t="s">
        <v>138</v>
      </c>
      <c r="F51" s="25" t="s">
        <v>138</v>
      </c>
      <c r="G51" s="26">
        <v>400000.0</v>
      </c>
      <c r="H51" s="69"/>
      <c r="I51" s="70"/>
    </row>
    <row r="52" ht="22.5" customHeight="1">
      <c r="A52" s="9" t="s">
        <v>127</v>
      </c>
      <c r="B52" s="10" t="s">
        <v>139</v>
      </c>
      <c r="C52" s="10" t="s">
        <v>140</v>
      </c>
      <c r="D52" s="10" t="s">
        <v>141</v>
      </c>
      <c r="E52" s="12" t="s">
        <v>142</v>
      </c>
      <c r="F52" s="12" t="s">
        <v>142</v>
      </c>
      <c r="G52" s="16">
        <v>300000.0</v>
      </c>
      <c r="H52" s="67"/>
      <c r="I52" s="68"/>
    </row>
    <row r="53" ht="22.5" customHeight="1">
      <c r="A53" s="9" t="s">
        <v>127</v>
      </c>
      <c r="B53" s="10" t="s">
        <v>139</v>
      </c>
      <c r="C53" s="10" t="s">
        <v>143</v>
      </c>
      <c r="D53" s="10" t="s">
        <v>144</v>
      </c>
      <c r="E53" s="12" t="s">
        <v>145</v>
      </c>
      <c r="F53" s="12" t="s">
        <v>145</v>
      </c>
      <c r="G53" s="16">
        <v>845000.0</v>
      </c>
      <c r="H53" s="67"/>
      <c r="I53" s="68"/>
    </row>
    <row r="54" ht="22.5" customHeight="1">
      <c r="A54" s="29" t="s">
        <v>127</v>
      </c>
      <c r="B54" s="30" t="s">
        <v>139</v>
      </c>
      <c r="C54" s="30" t="s">
        <v>146</v>
      </c>
      <c r="D54" s="30" t="s">
        <v>147</v>
      </c>
      <c r="E54" s="31" t="s">
        <v>148</v>
      </c>
      <c r="F54" s="31" t="s">
        <v>148</v>
      </c>
      <c r="G54" s="32">
        <v>2850000.0</v>
      </c>
      <c r="H54" s="33"/>
      <c r="I54" s="34"/>
    </row>
    <row r="55" ht="22.5" customHeight="1">
      <c r="A55" s="71" t="s">
        <v>10</v>
      </c>
      <c r="B55" s="72" t="s">
        <v>149</v>
      </c>
      <c r="C55" s="73" t="s">
        <v>149</v>
      </c>
      <c r="D55" s="72" t="s">
        <v>150</v>
      </c>
      <c r="E55" s="74" t="s">
        <v>67</v>
      </c>
      <c r="F55" s="75" t="s">
        <v>151</v>
      </c>
      <c r="G55" s="13">
        <v>50000.0</v>
      </c>
      <c r="H55" s="67"/>
      <c r="I55" s="68"/>
    </row>
    <row r="56" ht="22.5" customHeight="1">
      <c r="A56" s="9" t="s">
        <v>10</v>
      </c>
      <c r="B56" s="76" t="s">
        <v>149</v>
      </c>
      <c r="C56" s="10" t="s">
        <v>149</v>
      </c>
      <c r="D56" s="76" t="s">
        <v>152</v>
      </c>
      <c r="E56" s="12" t="s">
        <v>67</v>
      </c>
      <c r="F56" s="77" t="s">
        <v>153</v>
      </c>
      <c r="G56" s="16">
        <v>50000.0</v>
      </c>
      <c r="H56" s="78">
        <v>954708.0</v>
      </c>
      <c r="I56" s="79"/>
    </row>
    <row r="57" ht="22.5" customHeight="1">
      <c r="A57" s="9" t="s">
        <v>10</v>
      </c>
      <c r="B57" s="76" t="s">
        <v>149</v>
      </c>
      <c r="C57" s="10" t="s">
        <v>149</v>
      </c>
      <c r="D57" s="76" t="s">
        <v>154</v>
      </c>
      <c r="E57" s="12" t="s">
        <v>64</v>
      </c>
      <c r="F57" s="77" t="s">
        <v>155</v>
      </c>
      <c r="G57" s="16">
        <v>185000.0</v>
      </c>
      <c r="H57" s="80"/>
      <c r="I57" s="68"/>
    </row>
    <row r="58" ht="22.5" customHeight="1">
      <c r="A58" s="9" t="s">
        <v>10</v>
      </c>
      <c r="B58" s="76" t="s">
        <v>156</v>
      </c>
      <c r="C58" s="10" t="s">
        <v>143</v>
      </c>
      <c r="D58" s="76" t="s">
        <v>157</v>
      </c>
      <c r="E58" s="12" t="s">
        <v>67</v>
      </c>
      <c r="F58" s="77" t="s">
        <v>89</v>
      </c>
      <c r="G58" s="16">
        <v>75000.0</v>
      </c>
      <c r="H58" s="78">
        <v>954708.0</v>
      </c>
      <c r="I58" s="79"/>
    </row>
    <row r="59" ht="22.5" customHeight="1">
      <c r="A59" s="9" t="s">
        <v>10</v>
      </c>
      <c r="B59" s="76" t="s">
        <v>156</v>
      </c>
      <c r="C59" s="10" t="s">
        <v>143</v>
      </c>
      <c r="D59" s="76" t="s">
        <v>158</v>
      </c>
      <c r="E59" s="12" t="s">
        <v>67</v>
      </c>
      <c r="F59" s="77" t="s">
        <v>153</v>
      </c>
      <c r="G59" s="16">
        <v>50000.0</v>
      </c>
      <c r="H59" s="81">
        <v>954709.0</v>
      </c>
      <c r="I59" s="79"/>
    </row>
    <row r="60" ht="22.5" customHeight="1">
      <c r="A60" s="9" t="s">
        <v>10</v>
      </c>
      <c r="B60" s="76" t="s">
        <v>156</v>
      </c>
      <c r="C60" s="10" t="s">
        <v>143</v>
      </c>
      <c r="D60" s="76" t="s">
        <v>159</v>
      </c>
      <c r="E60" s="12" t="s">
        <v>67</v>
      </c>
      <c r="F60" s="82" t="s">
        <v>160</v>
      </c>
      <c r="G60" s="83">
        <v>30000.0</v>
      </c>
      <c r="H60" s="80"/>
      <c r="I60" s="68"/>
    </row>
    <row r="61" ht="22.5" customHeight="1">
      <c r="A61" s="84" t="s">
        <v>10</v>
      </c>
      <c r="B61" s="85" t="s">
        <v>156</v>
      </c>
      <c r="C61" s="85" t="s">
        <v>143</v>
      </c>
      <c r="D61" s="85" t="s">
        <v>161</v>
      </c>
      <c r="E61" s="82" t="s">
        <v>67</v>
      </c>
      <c r="F61" s="82" t="s">
        <v>162</v>
      </c>
      <c r="G61" s="83">
        <v>30000.0</v>
      </c>
      <c r="H61" s="80"/>
      <c r="I61" s="68"/>
    </row>
    <row r="62" ht="22.5" customHeight="1">
      <c r="A62" s="84" t="s">
        <v>10</v>
      </c>
      <c r="B62" s="85" t="s">
        <v>156</v>
      </c>
      <c r="C62" s="85" t="s">
        <v>156</v>
      </c>
      <c r="D62" s="85" t="s">
        <v>163</v>
      </c>
      <c r="E62" s="82" t="s">
        <v>67</v>
      </c>
      <c r="F62" s="82" t="s">
        <v>164</v>
      </c>
      <c r="G62" s="83">
        <v>75000.0</v>
      </c>
      <c r="H62" s="81">
        <v>954711.0</v>
      </c>
      <c r="I62" s="79"/>
    </row>
    <row r="63" ht="22.5" customHeight="1">
      <c r="A63" s="84" t="s">
        <v>10</v>
      </c>
      <c r="B63" s="85" t="s">
        <v>156</v>
      </c>
      <c r="C63" s="85" t="s">
        <v>146</v>
      </c>
      <c r="D63" s="85" t="s">
        <v>165</v>
      </c>
      <c r="E63" s="82" t="s">
        <v>14</v>
      </c>
      <c r="F63" s="82" t="s">
        <v>166</v>
      </c>
      <c r="G63" s="83">
        <v>140000.0</v>
      </c>
      <c r="H63" s="81">
        <v>954711.0</v>
      </c>
      <c r="I63" s="79"/>
    </row>
    <row r="64" ht="22.5" customHeight="1">
      <c r="A64" s="84" t="s">
        <v>10</v>
      </c>
      <c r="B64" s="85" t="s">
        <v>156</v>
      </c>
      <c r="C64" s="85" t="s">
        <v>146</v>
      </c>
      <c r="D64" s="85" t="s">
        <v>167</v>
      </c>
      <c r="E64" s="82" t="s">
        <v>14</v>
      </c>
      <c r="F64" s="82" t="s">
        <v>168</v>
      </c>
      <c r="G64" s="83">
        <v>195000.0</v>
      </c>
      <c r="H64" s="81">
        <v>954711.0</v>
      </c>
      <c r="I64" s="79"/>
    </row>
    <row r="65" ht="22.5" customHeight="1">
      <c r="A65" s="84" t="s">
        <v>10</v>
      </c>
      <c r="B65" s="85" t="s">
        <v>156</v>
      </c>
      <c r="C65" s="85" t="s">
        <v>146</v>
      </c>
      <c r="D65" s="85" t="s">
        <v>169</v>
      </c>
      <c r="E65" s="82" t="s">
        <v>14</v>
      </c>
      <c r="F65" s="82" t="s">
        <v>170</v>
      </c>
      <c r="G65" s="83">
        <v>100000.0</v>
      </c>
      <c r="H65" s="80"/>
      <c r="I65" s="68"/>
    </row>
    <row r="66" ht="22.5" customHeight="1">
      <c r="A66" s="84" t="s">
        <v>10</v>
      </c>
      <c r="B66" s="85" t="s">
        <v>140</v>
      </c>
      <c r="C66" s="85" t="s">
        <v>146</v>
      </c>
      <c r="D66" s="85" t="s">
        <v>171</v>
      </c>
      <c r="E66" s="82" t="s">
        <v>14</v>
      </c>
      <c r="F66" s="82" t="s">
        <v>170</v>
      </c>
      <c r="G66" s="83">
        <v>40000.0</v>
      </c>
      <c r="H66" s="80"/>
      <c r="I66" s="68"/>
    </row>
    <row r="67" ht="22.5" customHeight="1">
      <c r="A67" s="84" t="s">
        <v>10</v>
      </c>
      <c r="B67" s="85" t="s">
        <v>143</v>
      </c>
      <c r="C67" s="85" t="s">
        <v>172</v>
      </c>
      <c r="D67" s="85" t="s">
        <v>173</v>
      </c>
      <c r="E67" s="82" t="s">
        <v>174</v>
      </c>
      <c r="F67" s="82" t="s">
        <v>24</v>
      </c>
      <c r="G67" s="83">
        <v>175000.0</v>
      </c>
      <c r="H67" s="80"/>
      <c r="I67" s="68"/>
    </row>
    <row r="68" ht="22.5" customHeight="1">
      <c r="A68" s="84" t="s">
        <v>10</v>
      </c>
      <c r="B68" s="85" t="s">
        <v>143</v>
      </c>
      <c r="C68" s="85" t="s">
        <v>107</v>
      </c>
      <c r="D68" s="85" t="s">
        <v>175</v>
      </c>
      <c r="E68" s="82" t="s">
        <v>14</v>
      </c>
      <c r="F68" s="82" t="s">
        <v>176</v>
      </c>
      <c r="G68" s="83">
        <v>125000.0</v>
      </c>
      <c r="H68" s="81">
        <v>954713.0</v>
      </c>
      <c r="I68" s="79"/>
    </row>
    <row r="69" ht="22.5" customHeight="1">
      <c r="A69" s="84" t="s">
        <v>10</v>
      </c>
      <c r="B69" s="85" t="s">
        <v>143</v>
      </c>
      <c r="C69" s="85" t="s">
        <v>177</v>
      </c>
      <c r="D69" s="85" t="s">
        <v>178</v>
      </c>
      <c r="E69" s="82" t="s">
        <v>67</v>
      </c>
      <c r="F69" s="82" t="s">
        <v>179</v>
      </c>
      <c r="G69" s="83">
        <v>120000.0</v>
      </c>
      <c r="H69" s="80"/>
      <c r="I69" s="68"/>
    </row>
    <row r="70" ht="22.5" customHeight="1">
      <c r="A70" s="84" t="s">
        <v>10</v>
      </c>
      <c r="B70" s="85" t="s">
        <v>143</v>
      </c>
      <c r="C70" s="85" t="s">
        <v>177</v>
      </c>
      <c r="D70" s="85" t="s">
        <v>180</v>
      </c>
      <c r="E70" s="82" t="s">
        <v>181</v>
      </c>
      <c r="F70" s="82" t="s">
        <v>153</v>
      </c>
      <c r="G70" s="83">
        <v>50000.0</v>
      </c>
      <c r="H70" s="80"/>
      <c r="I70" s="68"/>
    </row>
    <row r="71" ht="22.5" customHeight="1">
      <c r="A71" s="84" t="s">
        <v>10</v>
      </c>
      <c r="B71" s="85" t="s">
        <v>143</v>
      </c>
      <c r="C71" s="85" t="s">
        <v>177</v>
      </c>
      <c r="D71" s="85" t="s">
        <v>182</v>
      </c>
      <c r="E71" s="82" t="s">
        <v>181</v>
      </c>
      <c r="F71" s="82" t="s">
        <v>72</v>
      </c>
      <c r="G71" s="83">
        <v>65000.0</v>
      </c>
      <c r="H71" s="80"/>
      <c r="I71" s="68"/>
    </row>
    <row r="72" ht="22.5" customHeight="1">
      <c r="A72" s="84" t="s">
        <v>10</v>
      </c>
      <c r="B72" s="85" t="s">
        <v>143</v>
      </c>
      <c r="C72" s="85" t="s">
        <v>177</v>
      </c>
      <c r="D72" s="85" t="s">
        <v>183</v>
      </c>
      <c r="E72" s="82" t="s">
        <v>181</v>
      </c>
      <c r="F72" s="82" t="s">
        <v>184</v>
      </c>
      <c r="G72" s="83">
        <v>40000.0</v>
      </c>
      <c r="H72" s="80"/>
      <c r="I72" s="68"/>
    </row>
    <row r="73" ht="22.5" customHeight="1">
      <c r="A73" s="84" t="s">
        <v>10</v>
      </c>
      <c r="B73" s="85" t="s">
        <v>143</v>
      </c>
      <c r="C73" s="85" t="s">
        <v>177</v>
      </c>
      <c r="D73" s="85" t="s">
        <v>185</v>
      </c>
      <c r="E73" s="82" t="s">
        <v>181</v>
      </c>
      <c r="F73" s="82" t="s">
        <v>186</v>
      </c>
      <c r="G73" s="83">
        <v>5000.0</v>
      </c>
      <c r="H73" s="80"/>
      <c r="I73" s="68"/>
    </row>
    <row r="74" ht="22.5" customHeight="1">
      <c r="A74" s="84" t="s">
        <v>10</v>
      </c>
      <c r="B74" s="85" t="s">
        <v>143</v>
      </c>
      <c r="C74" s="85" t="s">
        <v>143</v>
      </c>
      <c r="D74" s="85" t="s">
        <v>187</v>
      </c>
      <c r="E74" s="82" t="s">
        <v>14</v>
      </c>
      <c r="F74" s="82" t="s">
        <v>188</v>
      </c>
      <c r="G74" s="83">
        <v>125000.0</v>
      </c>
      <c r="H74" s="80"/>
      <c r="I74" s="68"/>
    </row>
    <row r="75" ht="22.5" customHeight="1">
      <c r="A75" s="84" t="s">
        <v>10</v>
      </c>
      <c r="B75" s="85" t="s">
        <v>129</v>
      </c>
      <c r="C75" s="85" t="s">
        <v>107</v>
      </c>
      <c r="D75" s="85" t="s">
        <v>189</v>
      </c>
      <c r="E75" s="82" t="s">
        <v>14</v>
      </c>
      <c r="F75" s="82" t="s">
        <v>190</v>
      </c>
      <c r="G75" s="83">
        <v>150000.0</v>
      </c>
      <c r="H75" s="80"/>
      <c r="I75" s="68"/>
    </row>
  </sheetData>
  <dataValidations>
    <dataValidation type="list" allowBlank="1" showDropDown="1" showErrorMessage="1" sqref="A3:A75">
      <formula1>"حسين,اشرف,عبد الرضا"</formula1>
    </dataValidation>
    <dataValidation type="custom" allowBlank="1" showDropDown="1" sqref="G3:H75">
      <formula1>AND(ISNUMBER(G3),(NOT(OR(NOT(ISERROR(DATEVALUE(G3))), AND(ISNUMBER(G3), LEFT(CELL("format", G3))="D")))))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</cols>
  <sheetData>
    <row r="1">
      <c r="A1" s="86" t="s">
        <v>191</v>
      </c>
      <c r="B1" s="87"/>
      <c r="C1" s="87"/>
      <c r="D1" s="88"/>
      <c r="E1" s="89"/>
      <c r="F1" s="90" t="s">
        <v>192</v>
      </c>
      <c r="G1" s="87"/>
      <c r="H1" s="87"/>
      <c r="I1" s="88"/>
    </row>
    <row r="2">
      <c r="A2" s="91" t="s">
        <v>2</v>
      </c>
      <c r="B2" s="92" t="s">
        <v>193</v>
      </c>
      <c r="C2" s="92" t="s">
        <v>194</v>
      </c>
      <c r="D2" s="92" t="s">
        <v>195</v>
      </c>
      <c r="E2" s="93"/>
      <c r="F2" s="94" t="s">
        <v>2</v>
      </c>
      <c r="G2" s="95" t="s">
        <v>193</v>
      </c>
      <c r="H2" s="95" t="s">
        <v>194</v>
      </c>
      <c r="I2" s="95" t="s">
        <v>195</v>
      </c>
    </row>
    <row r="3">
      <c r="A3" s="96" t="s">
        <v>11</v>
      </c>
      <c r="B3" s="97" t="s">
        <v>196</v>
      </c>
      <c r="C3" s="98">
        <v>500000.0</v>
      </c>
      <c r="D3" s="99" t="s">
        <v>197</v>
      </c>
      <c r="E3" s="93"/>
      <c r="F3" s="100" t="s">
        <v>11</v>
      </c>
      <c r="G3" s="101"/>
      <c r="H3" s="102">
        <v>25000.0</v>
      </c>
      <c r="I3" s="103" t="s">
        <v>198</v>
      </c>
    </row>
    <row r="4">
      <c r="A4" s="104" t="s">
        <v>27</v>
      </c>
      <c r="B4" s="105" t="s">
        <v>199</v>
      </c>
      <c r="C4" s="98">
        <v>2000000.0</v>
      </c>
      <c r="D4" s="99" t="s">
        <v>200</v>
      </c>
      <c r="E4" s="93"/>
      <c r="F4" s="100" t="s">
        <v>11</v>
      </c>
      <c r="G4" s="101"/>
      <c r="H4" s="106">
        <v>15000.0</v>
      </c>
      <c r="I4" s="107" t="s">
        <v>201</v>
      </c>
    </row>
    <row r="5">
      <c r="A5" s="108" t="s">
        <v>202</v>
      </c>
      <c r="B5" s="105" t="s">
        <v>203</v>
      </c>
      <c r="C5" s="98">
        <v>500000.0</v>
      </c>
      <c r="D5" s="99" t="s">
        <v>204</v>
      </c>
      <c r="E5" s="93"/>
      <c r="F5" s="100" t="s">
        <v>11</v>
      </c>
      <c r="G5" s="101"/>
      <c r="H5" s="102">
        <v>420000.0</v>
      </c>
      <c r="I5" s="103" t="s">
        <v>205</v>
      </c>
    </row>
    <row r="6">
      <c r="A6" s="108" t="s">
        <v>202</v>
      </c>
      <c r="B6" s="105" t="s">
        <v>203</v>
      </c>
      <c r="C6" s="98">
        <v>3000000.0</v>
      </c>
      <c r="D6" s="99" t="s">
        <v>200</v>
      </c>
      <c r="E6" s="93"/>
      <c r="F6" s="100" t="s">
        <v>11</v>
      </c>
      <c r="G6" s="101"/>
      <c r="H6" s="106">
        <v>60000.0</v>
      </c>
      <c r="I6" s="107" t="s">
        <v>206</v>
      </c>
    </row>
    <row r="7">
      <c r="A7" s="108" t="s">
        <v>202</v>
      </c>
      <c r="B7" s="109"/>
      <c r="C7" s="98">
        <v>500000.0</v>
      </c>
      <c r="D7" s="99" t="s">
        <v>207</v>
      </c>
      <c r="E7" s="93"/>
      <c r="F7" s="100" t="s">
        <v>11</v>
      </c>
      <c r="G7" s="101"/>
      <c r="H7" s="102">
        <v>50000.0</v>
      </c>
      <c r="I7" s="103" t="s">
        <v>208</v>
      </c>
    </row>
    <row r="8">
      <c r="A8" s="108" t="s">
        <v>202</v>
      </c>
      <c r="B8" s="109"/>
      <c r="C8" s="98">
        <v>15000.0</v>
      </c>
      <c r="D8" s="99" t="s">
        <v>209</v>
      </c>
      <c r="E8" s="93"/>
      <c r="F8" s="100" t="s">
        <v>11</v>
      </c>
      <c r="G8" s="101"/>
      <c r="H8" s="110">
        <v>5000.0</v>
      </c>
      <c r="I8" s="107" t="s">
        <v>10</v>
      </c>
    </row>
    <row r="9">
      <c r="A9" s="108" t="s">
        <v>12</v>
      </c>
      <c r="B9" s="109"/>
      <c r="C9" s="98">
        <v>85000.0</v>
      </c>
      <c r="D9" s="99" t="s">
        <v>209</v>
      </c>
      <c r="E9" s="93"/>
      <c r="F9" s="100" t="s">
        <v>11</v>
      </c>
      <c r="G9" s="101"/>
      <c r="H9" s="102">
        <v>6000.0</v>
      </c>
      <c r="I9" s="103" t="s">
        <v>210</v>
      </c>
    </row>
    <row r="10">
      <c r="A10" s="108" t="s">
        <v>45</v>
      </c>
      <c r="B10" s="109"/>
      <c r="C10" s="98">
        <v>100000.0</v>
      </c>
      <c r="D10" s="99" t="s">
        <v>211</v>
      </c>
      <c r="E10" s="93"/>
      <c r="F10" s="111"/>
      <c r="G10" s="101"/>
      <c r="H10" s="112"/>
      <c r="I10" s="112"/>
    </row>
    <row r="11">
      <c r="A11" s="108" t="s">
        <v>106</v>
      </c>
      <c r="B11" s="109"/>
      <c r="C11" s="98">
        <v>155000.0</v>
      </c>
      <c r="D11" s="99" t="s">
        <v>209</v>
      </c>
      <c r="E11" s="93"/>
      <c r="F11" s="100" t="s">
        <v>11</v>
      </c>
      <c r="G11" s="101"/>
      <c r="H11" s="106">
        <v>25000.0</v>
      </c>
      <c r="I11" s="107" t="s">
        <v>40</v>
      </c>
    </row>
    <row r="12">
      <c r="A12" s="108" t="s">
        <v>125</v>
      </c>
      <c r="B12" s="109"/>
      <c r="C12" s="98">
        <v>350000.0</v>
      </c>
      <c r="D12" s="99" t="s">
        <v>209</v>
      </c>
      <c r="E12" s="93"/>
      <c r="F12" s="100" t="s">
        <v>11</v>
      </c>
      <c r="G12" s="101"/>
      <c r="H12" s="110">
        <v>250000.0</v>
      </c>
      <c r="I12" s="103" t="s">
        <v>10</v>
      </c>
      <c r="L12" s="113"/>
    </row>
    <row r="13">
      <c r="A13" s="108" t="s">
        <v>139</v>
      </c>
      <c r="B13" s="109"/>
      <c r="C13" s="98">
        <v>640000.0</v>
      </c>
      <c r="D13" s="99" t="s">
        <v>209</v>
      </c>
      <c r="E13" s="93"/>
      <c r="F13" s="100" t="s">
        <v>11</v>
      </c>
      <c r="G13" s="101"/>
      <c r="H13" s="106">
        <v>12000.0</v>
      </c>
      <c r="I13" s="107" t="s">
        <v>212</v>
      </c>
    </row>
    <row r="14">
      <c r="A14" s="108" t="s">
        <v>156</v>
      </c>
      <c r="B14" s="109"/>
      <c r="C14" s="98">
        <v>15000.0</v>
      </c>
      <c r="D14" s="99" t="s">
        <v>213</v>
      </c>
      <c r="E14" s="93"/>
      <c r="F14" s="100" t="s">
        <v>27</v>
      </c>
      <c r="G14" s="101"/>
      <c r="H14" s="106">
        <v>270000.0</v>
      </c>
      <c r="I14" s="107" t="s">
        <v>214</v>
      </c>
    </row>
    <row r="15">
      <c r="A15" s="108" t="s">
        <v>140</v>
      </c>
      <c r="B15" s="109"/>
      <c r="C15" s="98">
        <v>42000.0</v>
      </c>
      <c r="D15" s="99" t="s">
        <v>209</v>
      </c>
      <c r="E15" s="93"/>
      <c r="F15" s="100" t="s">
        <v>215</v>
      </c>
      <c r="G15" s="101"/>
      <c r="H15" s="106">
        <v>465000.0</v>
      </c>
      <c r="I15" s="107" t="s">
        <v>214</v>
      </c>
    </row>
    <row r="16">
      <c r="A16" s="108" t="s">
        <v>140</v>
      </c>
      <c r="B16" s="109"/>
      <c r="C16" s="98">
        <v>175000.0</v>
      </c>
      <c r="D16" s="99" t="s">
        <v>209</v>
      </c>
      <c r="E16" s="93"/>
      <c r="F16" s="111"/>
      <c r="G16" s="101"/>
      <c r="H16" s="101"/>
      <c r="I16" s="101"/>
    </row>
    <row r="17">
      <c r="A17" s="108" t="s">
        <v>140</v>
      </c>
      <c r="B17" s="109"/>
      <c r="C17" s="98">
        <v>35000.0</v>
      </c>
      <c r="D17" s="99" t="s">
        <v>216</v>
      </c>
      <c r="E17" s="93"/>
      <c r="F17" s="111"/>
      <c r="G17" s="101"/>
      <c r="H17" s="101"/>
      <c r="I17" s="101"/>
    </row>
    <row r="18">
      <c r="A18" s="108" t="s">
        <v>140</v>
      </c>
      <c r="B18" s="109"/>
      <c r="C18" s="98">
        <v>1000000.0</v>
      </c>
      <c r="D18" s="99" t="s">
        <v>217</v>
      </c>
      <c r="E18" s="93"/>
      <c r="F18" s="111"/>
      <c r="G18" s="101"/>
      <c r="H18" s="101"/>
      <c r="I18" s="101"/>
    </row>
    <row r="19">
      <c r="A19" s="108" t="s">
        <v>156</v>
      </c>
      <c r="B19" s="109"/>
      <c r="C19" s="98">
        <v>100000.0</v>
      </c>
      <c r="D19" s="99" t="s">
        <v>218</v>
      </c>
      <c r="E19" s="93"/>
      <c r="F19" s="111"/>
      <c r="G19" s="101"/>
      <c r="H19" s="101"/>
      <c r="I19" s="101"/>
    </row>
    <row r="20">
      <c r="A20" s="108" t="s">
        <v>156</v>
      </c>
      <c r="B20" s="109"/>
      <c r="C20" s="98">
        <v>190000.0</v>
      </c>
      <c r="D20" s="114" t="s">
        <v>219</v>
      </c>
      <c r="E20" s="93"/>
      <c r="F20" s="111"/>
      <c r="G20" s="101"/>
      <c r="H20" s="101"/>
      <c r="I20" s="101"/>
    </row>
    <row r="21">
      <c r="A21" s="108" t="s">
        <v>156</v>
      </c>
      <c r="B21" s="109"/>
      <c r="C21" s="98">
        <v>845000.0</v>
      </c>
      <c r="D21" s="99" t="s">
        <v>220</v>
      </c>
      <c r="E21" s="93"/>
      <c r="F21" s="111"/>
      <c r="G21" s="101"/>
      <c r="H21" s="101"/>
      <c r="I21" s="101"/>
    </row>
    <row r="22">
      <c r="A22" s="115" t="s">
        <v>140</v>
      </c>
      <c r="B22" s="109"/>
      <c r="C22" s="116">
        <v>125000.0</v>
      </c>
      <c r="D22" s="117" t="s">
        <v>221</v>
      </c>
      <c r="E22" s="93"/>
      <c r="F22" s="111"/>
      <c r="G22" s="101"/>
      <c r="H22" s="101"/>
      <c r="I22" s="101"/>
    </row>
    <row r="23">
      <c r="A23" s="115" t="s">
        <v>146</v>
      </c>
      <c r="B23" s="109"/>
      <c r="C23" s="116">
        <v>200000.0</v>
      </c>
      <c r="D23" s="117" t="s">
        <v>222</v>
      </c>
      <c r="E23" s="93"/>
      <c r="F23" s="111"/>
      <c r="G23" s="101"/>
      <c r="H23" s="101"/>
      <c r="I23" s="101"/>
    </row>
    <row r="24">
      <c r="A24" s="115"/>
      <c r="B24" s="109"/>
      <c r="C24" s="116"/>
      <c r="D24" s="117"/>
    </row>
    <row r="25">
      <c r="A25" s="115"/>
      <c r="B25" s="109"/>
      <c r="C25" s="116"/>
      <c r="D25" s="117"/>
    </row>
    <row r="26">
      <c r="A26" s="115"/>
      <c r="B26" s="109"/>
      <c r="C26" s="116"/>
      <c r="D26" s="117"/>
    </row>
    <row r="27">
      <c r="A27" s="115"/>
      <c r="B27" s="109"/>
      <c r="C27" s="116"/>
      <c r="D27" s="117"/>
    </row>
    <row r="28">
      <c r="A28" s="115"/>
      <c r="B28" s="109"/>
      <c r="C28" s="116"/>
      <c r="D28" s="117"/>
    </row>
    <row r="29">
      <c r="A29" s="115"/>
      <c r="B29" s="109"/>
      <c r="C29" s="116"/>
      <c r="D29" s="117"/>
    </row>
    <row r="30">
      <c r="A30" s="115"/>
      <c r="B30" s="109"/>
      <c r="C30" s="116"/>
      <c r="D30" s="117"/>
    </row>
    <row r="31">
      <c r="A31" s="115"/>
      <c r="B31" s="109"/>
      <c r="C31" s="116"/>
      <c r="D31" s="117"/>
    </row>
    <row r="32">
      <c r="A32" s="115"/>
      <c r="B32" s="109"/>
      <c r="C32" s="116"/>
      <c r="D32" s="117"/>
    </row>
    <row r="33">
      <c r="A33" s="115"/>
      <c r="B33" s="109"/>
      <c r="C33" s="116"/>
      <c r="D33" s="117"/>
    </row>
    <row r="34">
      <c r="A34" s="115"/>
      <c r="B34" s="109"/>
      <c r="C34" s="116"/>
      <c r="D34" s="117"/>
    </row>
    <row r="35">
      <c r="A35" s="115"/>
      <c r="B35" s="109"/>
      <c r="C35" s="116"/>
      <c r="D35" s="117"/>
    </row>
    <row r="36">
      <c r="A36" s="115"/>
      <c r="B36" s="109"/>
      <c r="C36" s="116"/>
      <c r="D36" s="117"/>
    </row>
    <row r="37">
      <c r="A37" s="115"/>
      <c r="B37" s="109"/>
      <c r="C37" s="116"/>
      <c r="D37" s="117"/>
    </row>
    <row r="38">
      <c r="A38" s="115"/>
      <c r="B38" s="109"/>
      <c r="C38" s="116"/>
      <c r="D38" s="117"/>
    </row>
    <row r="39">
      <c r="A39" s="115"/>
      <c r="B39" s="109"/>
      <c r="C39" s="116"/>
      <c r="D39" s="117"/>
    </row>
    <row r="40">
      <c r="A40" s="115"/>
      <c r="B40" s="109"/>
      <c r="C40" s="116"/>
      <c r="D40" s="117"/>
    </row>
    <row r="41">
      <c r="A41" s="115"/>
      <c r="B41" s="109"/>
      <c r="C41" s="116"/>
      <c r="D41" s="117"/>
    </row>
    <row r="42">
      <c r="A42" s="115"/>
      <c r="B42" s="109"/>
      <c r="C42" s="117" t="s">
        <v>223</v>
      </c>
      <c r="D42" s="117"/>
    </row>
    <row r="43">
      <c r="A43" s="115"/>
      <c r="B43" s="109"/>
      <c r="C43" s="116"/>
      <c r="D43" s="117"/>
    </row>
    <row r="44">
      <c r="A44" s="115"/>
      <c r="B44" s="109"/>
      <c r="C44" s="116"/>
      <c r="D44" s="117"/>
    </row>
    <row r="45">
      <c r="A45" s="115"/>
      <c r="B45" s="109"/>
      <c r="C45" s="116"/>
      <c r="D45" s="117"/>
    </row>
    <row r="46">
      <c r="A46" s="115"/>
      <c r="B46" s="109"/>
      <c r="C46" s="116"/>
      <c r="D46" s="117"/>
    </row>
  </sheetData>
  <mergeCells count="2">
    <mergeCell ref="A1:D1"/>
    <mergeCell ref="F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  <col customWidth="1" min="4" max="4" width="15.75"/>
    <col customWidth="1" min="5" max="5" width="16.25"/>
    <col customWidth="1" min="6" max="6" width="19.75"/>
    <col customWidth="1" min="8" max="8" width="19.5"/>
  </cols>
  <sheetData>
    <row r="1" ht="22.5" customHeight="1">
      <c r="A1" s="6" t="s">
        <v>2</v>
      </c>
      <c r="B1" s="6" t="s">
        <v>224</v>
      </c>
      <c r="C1" s="6" t="s">
        <v>225</v>
      </c>
      <c r="D1" s="6" t="s">
        <v>226</v>
      </c>
      <c r="E1" s="6" t="s">
        <v>227</v>
      </c>
      <c r="F1" s="6" t="s">
        <v>228</v>
      </c>
      <c r="G1" s="6" t="s">
        <v>229</v>
      </c>
      <c r="H1" s="6" t="s">
        <v>6</v>
      </c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ht="22.5" hidden="1" customHeight="1">
      <c r="A2" s="118" t="s">
        <v>11</v>
      </c>
      <c r="B2" s="119"/>
      <c r="C2" s="119"/>
      <c r="D2" s="119"/>
      <c r="E2" s="120">
        <v>25000.0</v>
      </c>
      <c r="F2" s="121"/>
      <c r="G2" s="122"/>
      <c r="H2" s="123" t="s">
        <v>198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ht="22.5" hidden="1" customHeight="1">
      <c r="A3" s="118" t="s">
        <v>11</v>
      </c>
      <c r="B3" s="124"/>
      <c r="C3" s="124"/>
      <c r="D3" s="124"/>
      <c r="E3" s="125">
        <v>15000.0</v>
      </c>
      <c r="F3" s="126"/>
      <c r="G3" s="124"/>
      <c r="H3" s="127" t="s">
        <v>201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</row>
    <row r="4" ht="22.5" hidden="1" customHeight="1">
      <c r="A4" s="118" t="s">
        <v>11</v>
      </c>
      <c r="B4" s="119"/>
      <c r="C4" s="119"/>
      <c r="D4" s="119"/>
      <c r="E4" s="128">
        <v>420000.0</v>
      </c>
      <c r="F4" s="129"/>
      <c r="G4" s="119"/>
      <c r="H4" s="130" t="s">
        <v>205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</row>
    <row r="5" ht="22.5" hidden="1" customHeight="1">
      <c r="A5" s="118" t="s">
        <v>11</v>
      </c>
      <c r="B5" s="124"/>
      <c r="C5" s="124"/>
      <c r="D5" s="124"/>
      <c r="E5" s="125">
        <v>60000.0</v>
      </c>
      <c r="F5" s="126"/>
      <c r="G5" s="124"/>
      <c r="H5" s="127" t="s">
        <v>206</v>
      </c>
      <c r="I5" s="93"/>
      <c r="J5" s="131" t="s">
        <v>225</v>
      </c>
      <c r="K5" s="132" t="s">
        <v>230</v>
      </c>
      <c r="L5" s="93"/>
      <c r="M5" s="93"/>
      <c r="N5" s="93"/>
      <c r="O5" s="93"/>
      <c r="P5" s="93"/>
      <c r="Q5" s="93"/>
      <c r="R5" s="133" t="s">
        <v>231</v>
      </c>
      <c r="S5" s="132" t="s">
        <v>232</v>
      </c>
    </row>
    <row r="6" ht="22.5" hidden="1" customHeight="1">
      <c r="A6" s="118" t="s">
        <v>11</v>
      </c>
      <c r="B6" s="119"/>
      <c r="C6" s="119"/>
      <c r="D6" s="119"/>
      <c r="E6" s="128">
        <v>50000.0</v>
      </c>
      <c r="F6" s="129"/>
      <c r="G6" s="119"/>
      <c r="H6" s="130" t="s">
        <v>208</v>
      </c>
      <c r="I6" s="93"/>
      <c r="J6" s="134"/>
      <c r="K6" s="135"/>
      <c r="L6" s="93"/>
      <c r="M6" s="93"/>
      <c r="N6" s="93"/>
      <c r="O6" s="93"/>
      <c r="P6" s="93"/>
      <c r="Q6" s="93"/>
      <c r="R6" s="134"/>
      <c r="S6" s="135"/>
    </row>
    <row r="7" ht="22.5" hidden="1" customHeight="1">
      <c r="A7" s="118" t="s">
        <v>11</v>
      </c>
      <c r="B7" s="124"/>
      <c r="C7" s="124"/>
      <c r="D7" s="124"/>
      <c r="E7" s="125">
        <v>5000.0</v>
      </c>
      <c r="F7" s="126"/>
      <c r="G7" s="124"/>
      <c r="H7" s="127" t="s">
        <v>10</v>
      </c>
      <c r="I7" s="93"/>
      <c r="J7" s="134"/>
      <c r="K7" s="135"/>
      <c r="L7" s="93"/>
      <c r="M7" s="93"/>
      <c r="N7" s="93"/>
      <c r="O7" s="93"/>
      <c r="P7" s="93"/>
      <c r="Q7" s="93"/>
      <c r="R7" s="134"/>
      <c r="S7" s="135"/>
    </row>
    <row r="8" ht="22.5" hidden="1" customHeight="1">
      <c r="A8" s="118" t="s">
        <v>11</v>
      </c>
      <c r="B8" s="119"/>
      <c r="C8" s="119"/>
      <c r="D8" s="119"/>
      <c r="E8" s="128">
        <v>6000.0</v>
      </c>
      <c r="F8" s="129"/>
      <c r="G8" s="119"/>
      <c r="H8" s="130" t="s">
        <v>210</v>
      </c>
      <c r="I8" s="93"/>
      <c r="J8" s="134"/>
      <c r="K8" s="135"/>
      <c r="L8" s="93"/>
      <c r="M8" s="93"/>
      <c r="N8" s="93"/>
      <c r="O8" s="93"/>
      <c r="P8" s="93"/>
      <c r="Q8" s="93"/>
      <c r="R8" s="134"/>
      <c r="S8" s="135"/>
    </row>
    <row r="9" ht="22.5" hidden="1" customHeight="1">
      <c r="A9" s="118" t="s">
        <v>11</v>
      </c>
      <c r="B9" s="124"/>
      <c r="C9" s="124"/>
      <c r="D9" s="124"/>
      <c r="E9" s="125">
        <v>25000.0</v>
      </c>
      <c r="F9" s="126"/>
      <c r="G9" s="124"/>
      <c r="H9" s="127" t="s">
        <v>40</v>
      </c>
      <c r="I9" s="93"/>
      <c r="J9" s="134"/>
      <c r="K9" s="135"/>
      <c r="L9" s="93"/>
      <c r="M9" s="93"/>
      <c r="N9" s="93"/>
      <c r="O9" s="93"/>
      <c r="P9" s="93"/>
      <c r="Q9" s="93"/>
      <c r="R9" s="134"/>
      <c r="S9" s="135"/>
    </row>
    <row r="10" ht="22.5" hidden="1" customHeight="1">
      <c r="A10" s="118" t="s">
        <v>11</v>
      </c>
      <c r="B10" s="119"/>
      <c r="C10" s="119"/>
      <c r="D10" s="119"/>
      <c r="E10" s="128">
        <v>250000.0</v>
      </c>
      <c r="F10" s="129"/>
      <c r="G10" s="119"/>
      <c r="H10" s="130" t="s">
        <v>10</v>
      </c>
      <c r="I10" s="93"/>
      <c r="J10" s="134"/>
      <c r="K10" s="135"/>
      <c r="L10" s="93"/>
      <c r="M10" s="93"/>
      <c r="N10" s="93"/>
      <c r="O10" s="93"/>
      <c r="P10" s="93"/>
      <c r="Q10" s="93"/>
      <c r="R10" s="93"/>
      <c r="S10" s="93"/>
    </row>
    <row r="11" ht="22.5" hidden="1" customHeight="1">
      <c r="A11" s="118" t="s">
        <v>11</v>
      </c>
      <c r="B11" s="124"/>
      <c r="C11" s="124"/>
      <c r="D11" s="124"/>
      <c r="E11" s="125">
        <v>12000.0</v>
      </c>
      <c r="F11" s="126"/>
      <c r="G11" s="124"/>
      <c r="H11" s="127" t="s">
        <v>212</v>
      </c>
      <c r="I11" s="93"/>
      <c r="J11" s="134"/>
      <c r="K11" s="135"/>
      <c r="L11" s="93"/>
      <c r="M11" s="93"/>
      <c r="N11" s="93"/>
      <c r="O11" s="93"/>
      <c r="P11" s="93"/>
      <c r="Q11" s="93"/>
      <c r="R11" s="93"/>
      <c r="S11" s="93"/>
    </row>
    <row r="12" ht="22.5" hidden="1" customHeight="1">
      <c r="A12" s="118" t="s">
        <v>27</v>
      </c>
      <c r="B12" s="136" t="s">
        <v>233</v>
      </c>
      <c r="C12" s="130" t="s">
        <v>234</v>
      </c>
      <c r="D12" s="119"/>
      <c r="E12" s="128">
        <v>45000.0</v>
      </c>
      <c r="F12" s="129"/>
      <c r="G12" s="119"/>
      <c r="H12" s="130" t="s">
        <v>235</v>
      </c>
      <c r="I12" s="93"/>
      <c r="J12" s="134"/>
      <c r="K12" s="135"/>
      <c r="L12" s="93"/>
      <c r="M12" s="93"/>
      <c r="N12" s="93"/>
      <c r="O12" s="93"/>
      <c r="P12" s="93"/>
      <c r="Q12" s="93"/>
      <c r="R12" s="93"/>
      <c r="S12" s="93"/>
    </row>
    <row r="13" ht="22.5" hidden="1" customHeight="1">
      <c r="A13" s="137" t="s">
        <v>27</v>
      </c>
      <c r="B13" s="138" t="s">
        <v>236</v>
      </c>
      <c r="C13" s="127" t="s">
        <v>237</v>
      </c>
      <c r="D13" s="124"/>
      <c r="E13" s="125">
        <v>20000.0</v>
      </c>
      <c r="F13" s="126"/>
      <c r="G13" s="124"/>
      <c r="H13" s="127" t="s">
        <v>238</v>
      </c>
      <c r="I13" s="93"/>
      <c r="J13" s="134"/>
      <c r="K13" s="135"/>
      <c r="L13" s="93"/>
      <c r="M13" s="93"/>
      <c r="N13" s="93"/>
      <c r="O13" s="93"/>
      <c r="P13" s="93"/>
      <c r="Q13" s="93"/>
      <c r="R13" s="93"/>
      <c r="S13" s="93"/>
    </row>
    <row r="14" ht="22.5" hidden="1" customHeight="1">
      <c r="A14" s="137" t="s">
        <v>27</v>
      </c>
      <c r="B14" s="130" t="s">
        <v>239</v>
      </c>
      <c r="C14" s="130" t="s">
        <v>240</v>
      </c>
      <c r="D14" s="119"/>
      <c r="E14" s="128">
        <v>30000.0</v>
      </c>
      <c r="F14" s="129"/>
      <c r="G14" s="119"/>
      <c r="H14" s="130" t="s">
        <v>241</v>
      </c>
      <c r="I14" s="93"/>
      <c r="J14" s="134"/>
      <c r="K14" s="135"/>
      <c r="L14" s="93"/>
      <c r="M14" s="93"/>
      <c r="N14" s="93"/>
      <c r="O14" s="93"/>
      <c r="P14" s="93"/>
      <c r="Q14" s="93"/>
      <c r="R14" s="93"/>
      <c r="S14" s="93"/>
    </row>
    <row r="15" ht="22.5" hidden="1" customHeight="1">
      <c r="A15" s="137" t="s">
        <v>27</v>
      </c>
      <c r="B15" s="119"/>
      <c r="C15" s="119"/>
      <c r="D15" s="119"/>
      <c r="E15" s="129"/>
      <c r="F15" s="128">
        <v>20000.0</v>
      </c>
      <c r="G15" s="119"/>
      <c r="H15" s="130" t="s">
        <v>127</v>
      </c>
      <c r="I15" s="93"/>
      <c r="J15" s="134"/>
      <c r="K15" s="135"/>
      <c r="L15" s="93"/>
      <c r="M15" s="93"/>
      <c r="N15" s="93"/>
      <c r="O15" s="93"/>
      <c r="P15" s="93"/>
      <c r="Q15" s="93"/>
      <c r="R15" s="93"/>
      <c r="S15" s="93"/>
    </row>
    <row r="16" ht="22.5" hidden="1" customHeight="1">
      <c r="A16" s="137" t="s">
        <v>27</v>
      </c>
      <c r="B16" s="130" t="s">
        <v>239</v>
      </c>
      <c r="C16" s="130" t="s">
        <v>240</v>
      </c>
      <c r="D16" s="124"/>
      <c r="E16" s="125">
        <v>60000.0</v>
      </c>
      <c r="F16" s="126"/>
      <c r="G16" s="124"/>
      <c r="H16" s="130" t="s">
        <v>241</v>
      </c>
      <c r="I16" s="93"/>
      <c r="J16" s="134"/>
      <c r="K16" s="135"/>
      <c r="L16" s="93"/>
      <c r="M16" s="93"/>
      <c r="N16" s="93"/>
      <c r="O16" s="93"/>
      <c r="P16" s="93"/>
      <c r="Q16" s="93"/>
      <c r="R16" s="93"/>
      <c r="S16" s="93"/>
    </row>
    <row r="17" ht="22.5" hidden="1" customHeight="1">
      <c r="A17" s="137" t="s">
        <v>27</v>
      </c>
      <c r="B17" s="130" t="s">
        <v>239</v>
      </c>
      <c r="C17" s="130" t="s">
        <v>242</v>
      </c>
      <c r="D17" s="119"/>
      <c r="E17" s="128">
        <v>20000.0</v>
      </c>
      <c r="F17" s="129"/>
      <c r="G17" s="119"/>
      <c r="H17" s="130" t="s">
        <v>242</v>
      </c>
      <c r="I17" s="93"/>
      <c r="J17" s="134"/>
      <c r="K17" s="135"/>
      <c r="L17" s="93"/>
      <c r="M17" s="93"/>
      <c r="N17" s="93"/>
      <c r="O17" s="93"/>
      <c r="P17" s="93"/>
      <c r="Q17" s="93"/>
      <c r="R17" s="93"/>
      <c r="S17" s="93"/>
    </row>
    <row r="18" ht="22.5" hidden="1" customHeight="1">
      <c r="A18" s="137" t="s">
        <v>27</v>
      </c>
      <c r="B18" s="127" t="s">
        <v>239</v>
      </c>
      <c r="C18" s="127" t="s">
        <v>241</v>
      </c>
      <c r="D18" s="124"/>
      <c r="E18" s="125">
        <v>10000.0</v>
      </c>
      <c r="F18" s="126"/>
      <c r="G18" s="124"/>
      <c r="H18" s="127" t="s">
        <v>241</v>
      </c>
      <c r="I18" s="93"/>
      <c r="J18" s="134"/>
      <c r="K18" s="135"/>
      <c r="L18" s="93"/>
      <c r="M18" s="93"/>
      <c r="N18" s="93"/>
      <c r="O18" s="93"/>
      <c r="P18" s="93"/>
      <c r="Q18" s="93"/>
      <c r="R18" s="93"/>
      <c r="S18" s="93"/>
    </row>
    <row r="19" ht="22.5" hidden="1" customHeight="1">
      <c r="A19" s="137" t="s">
        <v>27</v>
      </c>
      <c r="B19" s="130" t="s">
        <v>243</v>
      </c>
      <c r="C19" s="130" t="s">
        <v>243</v>
      </c>
      <c r="D19" s="119"/>
      <c r="E19" s="128">
        <v>20000.0</v>
      </c>
      <c r="F19" s="129"/>
      <c r="G19" s="119"/>
      <c r="H19" s="130" t="s">
        <v>244</v>
      </c>
      <c r="I19" s="93"/>
      <c r="J19" s="134"/>
      <c r="K19" s="135"/>
      <c r="L19" s="93"/>
      <c r="M19" s="93"/>
      <c r="N19" s="93"/>
      <c r="O19" s="93"/>
      <c r="P19" s="93"/>
      <c r="Q19" s="93"/>
      <c r="R19" s="93"/>
      <c r="S19" s="93"/>
    </row>
    <row r="20" ht="22.5" hidden="1" customHeight="1">
      <c r="A20" s="137" t="s">
        <v>27</v>
      </c>
      <c r="B20" s="125">
        <v>2981.0</v>
      </c>
      <c r="C20" s="127" t="s">
        <v>245</v>
      </c>
      <c r="D20" s="124"/>
      <c r="E20" s="125">
        <v>570000.0</v>
      </c>
      <c r="F20" s="126"/>
      <c r="G20" s="124"/>
      <c r="H20" s="127" t="s">
        <v>246</v>
      </c>
      <c r="I20" s="93"/>
      <c r="J20" s="134"/>
      <c r="K20" s="135"/>
      <c r="L20" s="93"/>
      <c r="M20" s="93"/>
      <c r="N20" s="93"/>
      <c r="O20" s="93"/>
      <c r="P20" s="93"/>
      <c r="Q20" s="93"/>
      <c r="R20" s="93"/>
      <c r="S20" s="93"/>
    </row>
    <row r="21" ht="22.5" hidden="1" customHeight="1">
      <c r="A21" s="118" t="s">
        <v>202</v>
      </c>
      <c r="B21" s="136" t="s">
        <v>247</v>
      </c>
      <c r="C21" s="130" t="s">
        <v>248</v>
      </c>
      <c r="D21" s="119"/>
      <c r="E21" s="128">
        <v>78000.0</v>
      </c>
      <c r="F21" s="129"/>
      <c r="G21" s="119"/>
      <c r="H21" s="130" t="s">
        <v>235</v>
      </c>
      <c r="I21" s="93"/>
      <c r="J21" s="134"/>
      <c r="K21" s="135"/>
      <c r="L21" s="93"/>
      <c r="M21" s="93"/>
      <c r="N21" s="93"/>
      <c r="O21" s="93"/>
      <c r="P21" s="93"/>
      <c r="Q21" s="93"/>
      <c r="R21" s="93"/>
      <c r="S21" s="93"/>
    </row>
    <row r="22" ht="22.5" hidden="1" customHeight="1">
      <c r="A22" s="118" t="s">
        <v>202</v>
      </c>
      <c r="B22" s="125">
        <v>1168.0</v>
      </c>
      <c r="C22" s="127" t="s">
        <v>249</v>
      </c>
      <c r="D22" s="124"/>
      <c r="E22" s="125">
        <v>861000.0</v>
      </c>
      <c r="F22" s="126"/>
      <c r="G22" s="124"/>
      <c r="H22" s="127" t="s">
        <v>250</v>
      </c>
      <c r="I22" s="93"/>
      <c r="J22" s="134"/>
      <c r="K22" s="135"/>
      <c r="L22" s="93"/>
      <c r="M22" s="93"/>
      <c r="N22" s="93"/>
      <c r="O22" s="93"/>
      <c r="P22" s="93"/>
      <c r="Q22" s="93"/>
      <c r="R22" s="93"/>
      <c r="S22" s="93"/>
    </row>
    <row r="23" ht="22.5" hidden="1" customHeight="1">
      <c r="A23" s="118" t="s">
        <v>202</v>
      </c>
      <c r="B23" s="139" t="s">
        <v>199</v>
      </c>
      <c r="C23" s="130" t="s">
        <v>251</v>
      </c>
      <c r="D23" s="119"/>
      <c r="E23" s="128">
        <v>50000.0</v>
      </c>
      <c r="F23" s="129"/>
      <c r="G23" s="119"/>
      <c r="H23" s="130" t="s">
        <v>251</v>
      </c>
      <c r="I23" s="93"/>
      <c r="J23" s="134"/>
      <c r="K23" s="135"/>
      <c r="L23" s="93"/>
      <c r="M23" s="93"/>
      <c r="N23" s="93"/>
      <c r="O23" s="93"/>
      <c r="P23" s="93"/>
      <c r="Q23" s="93"/>
      <c r="R23" s="93"/>
      <c r="S23" s="93"/>
    </row>
    <row r="24" ht="22.5" hidden="1" customHeight="1">
      <c r="A24" s="118" t="s">
        <v>202</v>
      </c>
      <c r="B24" s="138" t="s">
        <v>252</v>
      </c>
      <c r="C24" s="127" t="s">
        <v>253</v>
      </c>
      <c r="D24" s="124"/>
      <c r="E24" s="125">
        <v>901000.0</v>
      </c>
      <c r="F24" s="126"/>
      <c r="G24" s="124"/>
      <c r="H24" s="127" t="s">
        <v>254</v>
      </c>
      <c r="I24" s="93"/>
      <c r="J24" s="134"/>
      <c r="K24" s="135"/>
      <c r="L24" s="93"/>
      <c r="M24" s="93"/>
      <c r="N24" s="93"/>
      <c r="O24" s="93"/>
      <c r="P24" s="93"/>
      <c r="Q24" s="93"/>
      <c r="R24" s="93"/>
      <c r="S24" s="93"/>
    </row>
    <row r="25" ht="22.5" hidden="1" customHeight="1">
      <c r="A25" s="118" t="s">
        <v>202</v>
      </c>
      <c r="B25" s="128">
        <v>1130.0</v>
      </c>
      <c r="C25" s="130" t="s">
        <v>255</v>
      </c>
      <c r="D25" s="119"/>
      <c r="E25" s="128">
        <v>497000.0</v>
      </c>
      <c r="F25" s="129"/>
      <c r="G25" s="119"/>
      <c r="H25" s="130" t="s">
        <v>256</v>
      </c>
      <c r="I25" s="93"/>
      <c r="J25" s="134"/>
      <c r="K25" s="135"/>
      <c r="L25" s="93"/>
      <c r="M25" s="93"/>
      <c r="N25" s="93"/>
      <c r="O25" s="93"/>
      <c r="P25" s="93"/>
      <c r="Q25" s="93"/>
      <c r="R25" s="93"/>
      <c r="S25" s="93"/>
    </row>
    <row r="26" ht="22.5" hidden="1" customHeight="1">
      <c r="A26" s="118" t="s">
        <v>257</v>
      </c>
      <c r="B26" s="124"/>
      <c r="C26" s="124"/>
      <c r="D26" s="124"/>
      <c r="E26" s="126"/>
      <c r="F26" s="125">
        <v>5000.0</v>
      </c>
      <c r="G26" s="124"/>
      <c r="H26" s="127" t="s">
        <v>258</v>
      </c>
      <c r="I26" s="93"/>
      <c r="J26" s="134"/>
      <c r="K26" s="135"/>
      <c r="L26" s="93"/>
      <c r="M26" s="93"/>
      <c r="N26" s="93"/>
      <c r="O26" s="93"/>
      <c r="P26" s="93"/>
      <c r="Q26" s="93"/>
      <c r="R26" s="93"/>
      <c r="S26" s="93"/>
    </row>
    <row r="27" ht="22.5" hidden="1" customHeight="1">
      <c r="A27" s="118" t="s">
        <v>259</v>
      </c>
      <c r="B27" s="119"/>
      <c r="C27" s="119"/>
      <c r="D27" s="119"/>
      <c r="E27" s="129"/>
      <c r="F27" s="128">
        <v>100000.0</v>
      </c>
      <c r="G27" s="119"/>
      <c r="H27" s="130" t="s">
        <v>260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</row>
    <row r="28" ht="22.5" hidden="1" customHeight="1">
      <c r="A28" s="118" t="s">
        <v>261</v>
      </c>
      <c r="B28" s="124"/>
      <c r="C28" s="127" t="s">
        <v>262</v>
      </c>
      <c r="D28" s="124"/>
      <c r="E28" s="125">
        <v>15000.0</v>
      </c>
      <c r="F28" s="126"/>
      <c r="G28" s="124"/>
      <c r="H28" s="119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</row>
    <row r="29" ht="22.5" hidden="1" customHeight="1">
      <c r="A29" s="118" t="s">
        <v>263</v>
      </c>
      <c r="B29" s="130" t="s">
        <v>264</v>
      </c>
      <c r="C29" s="130" t="s">
        <v>243</v>
      </c>
      <c r="D29" s="119"/>
      <c r="E29" s="128">
        <v>10000.0</v>
      </c>
      <c r="F29" s="129"/>
      <c r="G29" s="119"/>
      <c r="H29" s="119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</row>
    <row r="30" ht="22.5" hidden="1" customHeight="1">
      <c r="A30" s="118" t="s">
        <v>265</v>
      </c>
      <c r="B30" s="127" t="s">
        <v>258</v>
      </c>
      <c r="C30" s="130" t="s">
        <v>243</v>
      </c>
      <c r="D30" s="124"/>
      <c r="E30" s="125">
        <v>50000.0</v>
      </c>
      <c r="F30" s="126"/>
      <c r="G30" s="124"/>
      <c r="H30" s="119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</row>
    <row r="31" ht="22.5" hidden="1" customHeight="1">
      <c r="A31" s="118" t="s">
        <v>18</v>
      </c>
      <c r="B31" s="130" t="s">
        <v>127</v>
      </c>
      <c r="C31" s="130" t="s">
        <v>241</v>
      </c>
      <c r="D31" s="119"/>
      <c r="E31" s="128">
        <v>25000.0</v>
      </c>
      <c r="F31" s="128">
        <v>150000.0</v>
      </c>
      <c r="G31" s="119"/>
      <c r="H31" s="130" t="s">
        <v>266</v>
      </c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</row>
    <row r="32" ht="22.5" hidden="1" customHeight="1">
      <c r="A32" s="137" t="s">
        <v>18</v>
      </c>
      <c r="B32" s="127" t="s">
        <v>267</v>
      </c>
      <c r="C32" s="124"/>
      <c r="D32" s="124"/>
      <c r="E32" s="125">
        <v>12000.0</v>
      </c>
      <c r="F32" s="126"/>
      <c r="G32" s="124"/>
      <c r="H32" s="124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</row>
    <row r="33" ht="22.5" hidden="1" customHeight="1">
      <c r="A33" s="118" t="s">
        <v>18</v>
      </c>
      <c r="B33" s="130" t="s">
        <v>268</v>
      </c>
      <c r="C33" s="130" t="s">
        <v>269</v>
      </c>
      <c r="D33" s="119"/>
      <c r="E33" s="128">
        <v>20000.0</v>
      </c>
      <c r="F33" s="129"/>
      <c r="G33" s="119"/>
      <c r="H33" s="119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</row>
    <row r="34" ht="22.5" hidden="1" customHeight="1">
      <c r="A34" s="137" t="s">
        <v>18</v>
      </c>
      <c r="B34" s="124"/>
      <c r="C34" s="127" t="s">
        <v>270</v>
      </c>
      <c r="D34" s="124"/>
      <c r="E34" s="125">
        <v>3000.0</v>
      </c>
      <c r="F34" s="126"/>
      <c r="G34" s="124"/>
      <c r="H34" s="124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</row>
    <row r="35" ht="22.5" hidden="1" customHeight="1">
      <c r="A35" s="118" t="s">
        <v>18</v>
      </c>
      <c r="B35" s="119"/>
      <c r="C35" s="130" t="s">
        <v>271</v>
      </c>
      <c r="D35" s="119"/>
      <c r="E35" s="128">
        <v>40000.0</v>
      </c>
      <c r="F35" s="129"/>
      <c r="G35" s="119"/>
      <c r="H35" s="119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</row>
    <row r="36" ht="22.5" hidden="1" customHeight="1">
      <c r="A36" s="137" t="s">
        <v>18</v>
      </c>
      <c r="B36" s="124"/>
      <c r="C36" s="127" t="s">
        <v>271</v>
      </c>
      <c r="D36" s="124"/>
      <c r="E36" s="125">
        <v>10000.0</v>
      </c>
      <c r="F36" s="126"/>
      <c r="G36" s="124"/>
      <c r="H36" s="124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</row>
    <row r="37" ht="22.5" hidden="1" customHeight="1">
      <c r="A37" s="118" t="s">
        <v>18</v>
      </c>
      <c r="B37" s="119"/>
      <c r="C37" s="119"/>
      <c r="D37" s="119"/>
      <c r="E37" s="129"/>
      <c r="F37" s="128">
        <v>50000.0</v>
      </c>
      <c r="G37" s="119"/>
      <c r="H37" s="130" t="s">
        <v>272</v>
      </c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</row>
    <row r="38" ht="22.5" hidden="1" customHeight="1">
      <c r="A38" s="137" t="s">
        <v>18</v>
      </c>
      <c r="B38" s="124"/>
      <c r="C38" s="124"/>
      <c r="D38" s="124"/>
      <c r="E38" s="126"/>
      <c r="F38" s="125">
        <v>150000.0</v>
      </c>
      <c r="G38" s="124"/>
      <c r="H38" s="127" t="s">
        <v>273</v>
      </c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</row>
    <row r="39" ht="22.5" hidden="1" customHeight="1">
      <c r="A39" s="118" t="s">
        <v>18</v>
      </c>
      <c r="B39" s="119"/>
      <c r="C39" s="130" t="s">
        <v>264</v>
      </c>
      <c r="D39" s="119"/>
      <c r="E39" s="129"/>
      <c r="F39" s="128">
        <v>25000.0</v>
      </c>
      <c r="G39" s="119"/>
      <c r="H39" s="130" t="s">
        <v>264</v>
      </c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</row>
    <row r="40" ht="22.5" hidden="1" customHeight="1">
      <c r="A40" s="137" t="s">
        <v>12</v>
      </c>
      <c r="B40" s="124"/>
      <c r="C40" s="127" t="s">
        <v>274</v>
      </c>
      <c r="D40" s="124"/>
      <c r="E40" s="126"/>
      <c r="F40" s="125">
        <v>12500.0</v>
      </c>
      <c r="G40" s="124"/>
      <c r="H40" s="124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</row>
    <row r="41" ht="22.5" hidden="1" customHeight="1">
      <c r="A41" s="137" t="s">
        <v>275</v>
      </c>
      <c r="B41" s="119"/>
      <c r="C41" s="130" t="s">
        <v>276</v>
      </c>
      <c r="D41" s="119"/>
      <c r="E41" s="129"/>
      <c r="F41" s="128">
        <v>12500.0</v>
      </c>
      <c r="G41" s="119"/>
      <c r="H41" s="119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</row>
    <row r="42" ht="22.5" hidden="1" customHeight="1">
      <c r="A42" s="137" t="s">
        <v>277</v>
      </c>
      <c r="B42" s="124"/>
      <c r="C42" s="127" t="s">
        <v>278</v>
      </c>
      <c r="D42" s="124"/>
      <c r="E42" s="126"/>
      <c r="F42" s="125">
        <v>50000.0</v>
      </c>
      <c r="G42" s="124"/>
      <c r="H42" s="124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</row>
    <row r="43" ht="22.5" hidden="1" customHeight="1">
      <c r="A43" s="137" t="s">
        <v>279</v>
      </c>
      <c r="B43" s="119"/>
      <c r="C43" s="130" t="s">
        <v>280</v>
      </c>
      <c r="D43" s="119"/>
      <c r="E43" s="129"/>
      <c r="F43" s="128">
        <v>10000.0</v>
      </c>
      <c r="G43" s="119"/>
      <c r="H43" s="119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</row>
    <row r="44" ht="22.5" hidden="1" customHeight="1">
      <c r="A44" s="137" t="s">
        <v>281</v>
      </c>
      <c r="B44" s="124"/>
      <c r="C44" s="127" t="s">
        <v>271</v>
      </c>
      <c r="D44" s="124"/>
      <c r="E44" s="125">
        <v>35000.0</v>
      </c>
      <c r="F44" s="126"/>
      <c r="G44" s="124"/>
      <c r="H44" s="124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</row>
    <row r="45" ht="22.5" hidden="1" customHeight="1">
      <c r="A45" s="137" t="s">
        <v>282</v>
      </c>
      <c r="B45" s="119"/>
      <c r="C45" s="130" t="s">
        <v>283</v>
      </c>
      <c r="D45" s="119"/>
      <c r="E45" s="128">
        <v>20000.0</v>
      </c>
      <c r="F45" s="129"/>
      <c r="G45" s="119"/>
      <c r="H45" s="119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</row>
    <row r="46" ht="22.5" hidden="1" customHeight="1">
      <c r="A46" s="137" t="s">
        <v>284</v>
      </c>
      <c r="B46" s="124"/>
      <c r="C46" s="127" t="s">
        <v>238</v>
      </c>
      <c r="D46" s="124"/>
      <c r="E46" s="125">
        <v>85000.0</v>
      </c>
      <c r="F46" s="126"/>
      <c r="G46" s="124"/>
      <c r="H46" s="124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</row>
    <row r="47" ht="22.5" hidden="1" customHeight="1">
      <c r="A47" s="118" t="s">
        <v>285</v>
      </c>
      <c r="B47" s="119"/>
      <c r="C47" s="130" t="s">
        <v>241</v>
      </c>
      <c r="D47" s="119"/>
      <c r="E47" s="128">
        <v>25000.0</v>
      </c>
      <c r="F47" s="129"/>
      <c r="G47" s="119"/>
      <c r="H47" s="130" t="s">
        <v>241</v>
      </c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</row>
    <row r="48" ht="22.5" hidden="1" customHeight="1">
      <c r="A48" s="137" t="s">
        <v>45</v>
      </c>
      <c r="B48" s="124"/>
      <c r="C48" s="127" t="s">
        <v>286</v>
      </c>
      <c r="D48" s="124"/>
      <c r="E48" s="125">
        <v>20000.0</v>
      </c>
      <c r="F48" s="126"/>
      <c r="G48" s="124"/>
      <c r="H48" s="127" t="s">
        <v>287</v>
      </c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</row>
    <row r="49" ht="22.5" hidden="1" customHeight="1">
      <c r="A49" s="118" t="s">
        <v>45</v>
      </c>
      <c r="B49" s="130" t="s">
        <v>288</v>
      </c>
      <c r="C49" s="130" t="s">
        <v>289</v>
      </c>
      <c r="D49" s="119"/>
      <c r="E49" s="128">
        <v>12500.0</v>
      </c>
      <c r="F49" s="129"/>
      <c r="G49" s="119"/>
      <c r="H49" s="130" t="s">
        <v>288</v>
      </c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</row>
    <row r="50">
      <c r="A50" s="111"/>
      <c r="B50" s="101"/>
      <c r="C50" s="101"/>
      <c r="D50" s="101"/>
      <c r="E50" s="101"/>
      <c r="F50" s="101"/>
      <c r="G50" s="101"/>
      <c r="H50" s="101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</row>
    <row r="51">
      <c r="A51" s="140"/>
      <c r="B51" s="112"/>
      <c r="C51" s="112"/>
      <c r="D51" s="112"/>
      <c r="E51" s="112"/>
      <c r="F51" s="112"/>
      <c r="G51" s="112"/>
      <c r="H51" s="112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</row>
    <row r="52">
      <c r="A52" s="100" t="s">
        <v>52</v>
      </c>
      <c r="B52" s="106">
        <v>1346.0</v>
      </c>
      <c r="C52" s="107" t="s">
        <v>290</v>
      </c>
      <c r="D52" s="101"/>
      <c r="E52" s="106">
        <v>78000.0</v>
      </c>
      <c r="F52" s="101"/>
      <c r="G52" s="101"/>
      <c r="H52" s="107" t="s">
        <v>291</v>
      </c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</row>
    <row r="53">
      <c r="A53" s="140"/>
      <c r="B53" s="112"/>
      <c r="C53" s="112"/>
      <c r="D53" s="112"/>
      <c r="E53" s="112"/>
      <c r="F53" s="112"/>
      <c r="G53" s="112"/>
      <c r="H53" s="112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</row>
    <row r="54">
      <c r="A54" s="100" t="s">
        <v>53</v>
      </c>
      <c r="B54" s="106">
        <v>4826.0</v>
      </c>
      <c r="C54" s="107" t="s">
        <v>292</v>
      </c>
      <c r="D54" s="101"/>
      <c r="E54" s="106">
        <v>32000.0</v>
      </c>
      <c r="F54" s="101"/>
      <c r="G54" s="101"/>
      <c r="H54" s="107" t="s">
        <v>293</v>
      </c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</row>
    <row r="55">
      <c r="A55" s="100" t="s">
        <v>53</v>
      </c>
      <c r="B55" s="106">
        <v>21888.0</v>
      </c>
      <c r="C55" s="107" t="s">
        <v>294</v>
      </c>
      <c r="D55" s="101"/>
      <c r="E55" s="106">
        <v>39000.0</v>
      </c>
      <c r="F55" s="101"/>
      <c r="G55" s="101"/>
      <c r="H55" s="107" t="s">
        <v>294</v>
      </c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</row>
    <row r="56">
      <c r="A56" s="140"/>
      <c r="B56" s="112"/>
      <c r="C56" s="112"/>
      <c r="D56" s="112"/>
      <c r="E56" s="112"/>
      <c r="F56" s="112"/>
      <c r="G56" s="112"/>
      <c r="H56" s="112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</row>
    <row r="57">
      <c r="A57" s="100" t="s">
        <v>53</v>
      </c>
      <c r="B57" s="106">
        <v>1346.0</v>
      </c>
      <c r="C57" s="101"/>
      <c r="D57" s="101"/>
      <c r="E57" s="106">
        <v>87000.0</v>
      </c>
      <c r="F57" s="101"/>
      <c r="G57" s="101"/>
      <c r="H57" s="107" t="s">
        <v>295</v>
      </c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</row>
    <row r="58">
      <c r="A58" s="141" t="s">
        <v>56</v>
      </c>
      <c r="B58" s="102">
        <v>31304.0</v>
      </c>
      <c r="C58" s="103" t="s">
        <v>296</v>
      </c>
      <c r="D58" s="112"/>
      <c r="E58" s="102">
        <v>387655.0</v>
      </c>
      <c r="F58" s="112"/>
      <c r="G58" s="112"/>
      <c r="H58" s="103" t="s">
        <v>296</v>
      </c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</row>
    <row r="59">
      <c r="A59" s="100" t="s">
        <v>56</v>
      </c>
      <c r="B59" s="106">
        <v>3119.0</v>
      </c>
      <c r="C59" s="107" t="s">
        <v>245</v>
      </c>
      <c r="D59" s="101"/>
      <c r="E59" s="106">
        <v>155000.0</v>
      </c>
      <c r="F59" s="101"/>
      <c r="G59" s="101"/>
      <c r="H59" s="107" t="s">
        <v>245</v>
      </c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</row>
    <row r="60">
      <c r="A60" s="141" t="s">
        <v>56</v>
      </c>
      <c r="B60" s="102">
        <v>31304.0</v>
      </c>
      <c r="C60" s="103" t="s">
        <v>296</v>
      </c>
      <c r="D60" s="112"/>
      <c r="E60" s="112"/>
      <c r="F60" s="112"/>
      <c r="G60" s="112"/>
      <c r="H60" s="112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</row>
    <row r="61">
      <c r="A61" s="111"/>
      <c r="B61" s="101"/>
      <c r="C61" s="101"/>
      <c r="D61" s="101"/>
      <c r="E61" s="101"/>
      <c r="F61" s="101"/>
      <c r="G61" s="101"/>
      <c r="H61" s="101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</row>
    <row r="62">
      <c r="A62" s="141" t="s">
        <v>297</v>
      </c>
      <c r="B62" s="102">
        <v>301.0</v>
      </c>
      <c r="C62" s="103" t="s">
        <v>288</v>
      </c>
      <c r="D62" s="112"/>
      <c r="E62" s="102">
        <v>23500.0</v>
      </c>
      <c r="F62" s="112"/>
      <c r="G62" s="112"/>
      <c r="H62" s="103" t="s">
        <v>288</v>
      </c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</row>
    <row r="63">
      <c r="A63" s="100" t="s">
        <v>297</v>
      </c>
      <c r="B63" s="106">
        <v>3151.0</v>
      </c>
      <c r="C63" s="107" t="s">
        <v>245</v>
      </c>
      <c r="D63" s="101"/>
      <c r="E63" s="106">
        <v>31500.0</v>
      </c>
      <c r="F63" s="101"/>
      <c r="G63" s="101"/>
      <c r="H63" s="107" t="s">
        <v>245</v>
      </c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</row>
    <row r="64">
      <c r="A64" s="141" t="s">
        <v>297</v>
      </c>
      <c r="B64" s="102">
        <v>2687.0</v>
      </c>
      <c r="C64" s="103" t="s">
        <v>245</v>
      </c>
      <c r="D64" s="112"/>
      <c r="E64" s="102">
        <v>767000.0</v>
      </c>
      <c r="F64" s="112"/>
      <c r="G64" s="112"/>
      <c r="H64" s="103" t="s">
        <v>245</v>
      </c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</row>
    <row r="65">
      <c r="A65" s="100" t="s">
        <v>297</v>
      </c>
      <c r="B65" s="107" t="s">
        <v>298</v>
      </c>
      <c r="C65" s="101"/>
      <c r="D65" s="101"/>
      <c r="E65" s="106">
        <v>70000.0</v>
      </c>
      <c r="F65" s="101"/>
      <c r="G65" s="101"/>
      <c r="H65" s="107" t="s">
        <v>299</v>
      </c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</row>
    <row r="66">
      <c r="A66" s="141" t="s">
        <v>297</v>
      </c>
      <c r="B66" s="102">
        <v>21909.0</v>
      </c>
      <c r="C66" s="112"/>
      <c r="D66" s="112"/>
      <c r="E66" s="102">
        <v>81500.0</v>
      </c>
      <c r="F66" s="112"/>
      <c r="G66" s="112"/>
      <c r="H66" s="103" t="s">
        <v>300</v>
      </c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</row>
    <row r="67">
      <c r="A67" s="111"/>
      <c r="B67" s="101"/>
      <c r="C67" s="101"/>
      <c r="D67" s="101"/>
      <c r="E67" s="101"/>
      <c r="F67" s="101"/>
      <c r="G67" s="101"/>
      <c r="H67" s="101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</row>
    <row r="68">
      <c r="A68" s="140"/>
      <c r="B68" s="112"/>
      <c r="C68" s="112"/>
      <c r="D68" s="112"/>
      <c r="E68" s="112"/>
      <c r="F68" s="112"/>
      <c r="G68" s="112"/>
      <c r="H68" s="112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</row>
    <row r="69">
      <c r="A69" s="100" t="s">
        <v>90</v>
      </c>
      <c r="B69" s="106">
        <v>3181.0</v>
      </c>
      <c r="C69" s="107" t="s">
        <v>245</v>
      </c>
      <c r="D69" s="101"/>
      <c r="E69" s="106">
        <v>169500.0</v>
      </c>
      <c r="F69" s="101"/>
      <c r="G69" s="101"/>
      <c r="H69" s="107" t="s">
        <v>245</v>
      </c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</row>
    <row r="70">
      <c r="A70" s="141" t="s">
        <v>90</v>
      </c>
      <c r="B70" s="102">
        <v>3186.0</v>
      </c>
      <c r="C70" s="103" t="s">
        <v>245</v>
      </c>
      <c r="D70" s="112"/>
      <c r="E70" s="102">
        <v>24000.0</v>
      </c>
      <c r="F70" s="112"/>
      <c r="G70" s="112"/>
      <c r="H70" s="103" t="s">
        <v>245</v>
      </c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</row>
    <row r="71">
      <c r="A71" s="100" t="s">
        <v>80</v>
      </c>
      <c r="B71" s="106">
        <v>31304.0</v>
      </c>
      <c r="C71" s="107" t="s">
        <v>296</v>
      </c>
      <c r="D71" s="101"/>
      <c r="E71" s="101"/>
      <c r="F71" s="101"/>
      <c r="G71" s="101"/>
      <c r="H71" s="107" t="s">
        <v>296</v>
      </c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</row>
    <row r="72">
      <c r="A72" s="141" t="s">
        <v>80</v>
      </c>
      <c r="B72" s="142" t="s">
        <v>301</v>
      </c>
      <c r="C72" s="103" t="s">
        <v>299</v>
      </c>
      <c r="D72" s="112"/>
      <c r="E72" s="102">
        <v>75000.0</v>
      </c>
      <c r="F72" s="112"/>
      <c r="G72" s="112"/>
      <c r="H72" s="103" t="s">
        <v>299</v>
      </c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</row>
    <row r="73">
      <c r="A73" s="100" t="s">
        <v>106</v>
      </c>
      <c r="B73" s="106"/>
      <c r="C73" s="107" t="s">
        <v>264</v>
      </c>
      <c r="D73" s="101"/>
      <c r="E73" s="143">
        <v>25000.0</v>
      </c>
      <c r="G73" s="101"/>
      <c r="H73" s="107" t="s">
        <v>302</v>
      </c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</row>
    <row r="74">
      <c r="A74" s="100" t="s">
        <v>106</v>
      </c>
      <c r="B74" s="106">
        <v>2105.0</v>
      </c>
      <c r="C74" s="107" t="s">
        <v>303</v>
      </c>
      <c r="D74" s="101"/>
      <c r="E74" s="106">
        <v>591500.0</v>
      </c>
      <c r="F74" s="101"/>
      <c r="G74" s="101"/>
      <c r="H74" s="107" t="s">
        <v>304</v>
      </c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</row>
    <row r="75">
      <c r="A75" s="141" t="s">
        <v>106</v>
      </c>
      <c r="B75" s="103" t="s">
        <v>305</v>
      </c>
      <c r="C75" s="103" t="s">
        <v>299</v>
      </c>
      <c r="D75" s="112"/>
      <c r="E75" s="102">
        <v>64000.0</v>
      </c>
      <c r="F75" s="112"/>
      <c r="G75" s="112"/>
      <c r="H75" s="103" t="s">
        <v>299</v>
      </c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</row>
    <row r="76">
      <c r="A76" s="100" t="s">
        <v>91</v>
      </c>
      <c r="B76" s="101"/>
      <c r="C76" s="107" t="s">
        <v>258</v>
      </c>
      <c r="D76" s="101"/>
      <c r="E76" s="106">
        <v>25000.0</v>
      </c>
      <c r="G76" s="101"/>
      <c r="H76" s="107" t="s">
        <v>306</v>
      </c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</row>
    <row r="77">
      <c r="A77" s="100" t="s">
        <v>91</v>
      </c>
      <c r="B77" s="101"/>
      <c r="C77" s="107" t="s">
        <v>239</v>
      </c>
      <c r="D77" s="101"/>
      <c r="E77" s="106">
        <v>10000.0</v>
      </c>
      <c r="F77" s="101"/>
      <c r="G77" s="101"/>
      <c r="H77" s="107" t="s">
        <v>239</v>
      </c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</row>
    <row r="78">
      <c r="A78" s="100" t="s">
        <v>91</v>
      </c>
      <c r="B78" s="101"/>
      <c r="C78" s="101"/>
      <c r="D78" s="101"/>
      <c r="E78" s="106">
        <v>25000.0</v>
      </c>
      <c r="G78" s="101"/>
      <c r="H78" s="107" t="s">
        <v>264</v>
      </c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</row>
    <row r="79">
      <c r="A79" s="100" t="s">
        <v>111</v>
      </c>
      <c r="B79" s="101"/>
      <c r="C79" s="107" t="s">
        <v>264</v>
      </c>
      <c r="D79" s="101"/>
      <c r="E79" s="106">
        <v>20000.0</v>
      </c>
      <c r="G79" s="101"/>
      <c r="H79" s="107" t="s">
        <v>264</v>
      </c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</row>
    <row r="80">
      <c r="A80" s="141" t="s">
        <v>91</v>
      </c>
      <c r="B80" s="103" t="s">
        <v>239</v>
      </c>
      <c r="C80" s="103" t="s">
        <v>239</v>
      </c>
      <c r="D80" s="112"/>
      <c r="E80" s="102">
        <v>5000.0</v>
      </c>
      <c r="F80" s="112"/>
      <c r="G80" s="112"/>
      <c r="H80" s="103" t="s">
        <v>307</v>
      </c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</row>
    <row r="81">
      <c r="A81" s="141" t="s">
        <v>139</v>
      </c>
      <c r="B81" s="102">
        <v>2121.0</v>
      </c>
      <c r="C81" s="103" t="s">
        <v>303</v>
      </c>
      <c r="D81" s="112"/>
      <c r="E81" s="102">
        <v>1365000.0</v>
      </c>
      <c r="F81" s="112"/>
      <c r="G81" s="112"/>
      <c r="H81" s="103" t="s">
        <v>304</v>
      </c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</row>
    <row r="82">
      <c r="A82" s="141" t="s">
        <v>139</v>
      </c>
      <c r="B82" s="112"/>
      <c r="C82" s="103" t="s">
        <v>264</v>
      </c>
      <c r="D82" s="112"/>
      <c r="E82" s="102">
        <v>50000.0</v>
      </c>
      <c r="G82" s="112"/>
      <c r="H82" s="103" t="s">
        <v>264</v>
      </c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</row>
    <row r="83">
      <c r="A83" s="141" t="s">
        <v>149</v>
      </c>
      <c r="B83" s="102">
        <v>3382.0</v>
      </c>
      <c r="C83" s="103" t="s">
        <v>245</v>
      </c>
      <c r="D83" s="112"/>
      <c r="E83" s="102">
        <v>1243000.0</v>
      </c>
      <c r="F83" s="112"/>
      <c r="G83" s="112"/>
      <c r="H83" s="103" t="s">
        <v>245</v>
      </c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</row>
    <row r="84">
      <c r="A84" s="100" t="s">
        <v>149</v>
      </c>
      <c r="B84" s="144" t="s">
        <v>308</v>
      </c>
      <c r="C84" s="107" t="s">
        <v>309</v>
      </c>
      <c r="D84" s="101"/>
      <c r="E84" s="106">
        <v>218000.0</v>
      </c>
      <c r="F84" s="101"/>
      <c r="G84" s="101"/>
      <c r="H84" s="107" t="s">
        <v>310</v>
      </c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</row>
    <row r="85">
      <c r="A85" s="141" t="s">
        <v>311</v>
      </c>
      <c r="B85" s="112"/>
      <c r="C85" s="145" t="s">
        <v>258</v>
      </c>
      <c r="D85" s="112"/>
      <c r="E85" s="112">
        <f>F85</f>
        <v>10000</v>
      </c>
      <c r="F85" s="146">
        <v>10000.0</v>
      </c>
      <c r="G85" s="112"/>
      <c r="H85" s="145" t="s">
        <v>306</v>
      </c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>
      <c r="A86" s="147" t="s">
        <v>140</v>
      </c>
      <c r="B86" s="148" t="s">
        <v>239</v>
      </c>
      <c r="C86" s="148" t="s">
        <v>222</v>
      </c>
      <c r="D86" s="101"/>
      <c r="E86" s="143">
        <v>50000.0</v>
      </c>
      <c r="F86" s="101"/>
      <c r="G86" s="101"/>
      <c r="H86" s="148" t="s">
        <v>239</v>
      </c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</row>
    <row r="87" hidden="1">
      <c r="A87" s="140"/>
      <c r="B87" s="112"/>
      <c r="C87" s="112"/>
      <c r="D87" s="112"/>
      <c r="E87" s="112"/>
      <c r="F87" s="112"/>
      <c r="G87" s="112"/>
      <c r="H87" s="112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</row>
    <row r="88" hidden="1">
      <c r="A88" s="111"/>
      <c r="B88" s="101"/>
      <c r="C88" s="101"/>
      <c r="D88" s="101"/>
      <c r="E88" s="101"/>
      <c r="F88" s="101"/>
      <c r="G88" s="101"/>
      <c r="H88" s="101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</row>
    <row r="89" hidden="1">
      <c r="A89" s="140"/>
      <c r="B89" s="112"/>
      <c r="C89" s="112"/>
      <c r="D89" s="112"/>
      <c r="E89" s="112"/>
      <c r="F89" s="112"/>
      <c r="G89" s="112"/>
      <c r="H89" s="112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  <row r="90" hidden="1">
      <c r="A90" s="111"/>
      <c r="B90" s="101"/>
      <c r="C90" s="101"/>
      <c r="D90" s="101"/>
      <c r="E90" s="101"/>
      <c r="F90" s="101"/>
      <c r="G90" s="101"/>
      <c r="H90" s="101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</row>
    <row r="91">
      <c r="A91" s="141" t="s">
        <v>140</v>
      </c>
      <c r="B91" s="103" t="s">
        <v>312</v>
      </c>
      <c r="C91" s="103" t="s">
        <v>313</v>
      </c>
      <c r="D91" s="112"/>
      <c r="E91" s="112">
        <f t="shared" ref="E91:E92" si="1">F91</f>
        <v>100000</v>
      </c>
      <c r="F91" s="102">
        <v>100000.0</v>
      </c>
      <c r="G91" s="112"/>
      <c r="H91" s="103" t="s">
        <v>313</v>
      </c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</row>
    <row r="92">
      <c r="A92" s="141" t="s">
        <v>140</v>
      </c>
      <c r="B92" s="107" t="s">
        <v>273</v>
      </c>
      <c r="C92" s="101"/>
      <c r="D92" s="101"/>
      <c r="E92" s="101">
        <f t="shared" si="1"/>
        <v>25000</v>
      </c>
      <c r="F92" s="106">
        <v>25000.0</v>
      </c>
      <c r="G92" s="101"/>
      <c r="H92" s="107" t="s">
        <v>273</v>
      </c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</row>
    <row r="93">
      <c r="A93" s="141" t="s">
        <v>140</v>
      </c>
      <c r="B93" s="112"/>
      <c r="C93" s="103" t="s">
        <v>314</v>
      </c>
      <c r="D93" s="112"/>
      <c r="E93" s="102">
        <v>250000.0</v>
      </c>
      <c r="F93" s="112"/>
      <c r="G93" s="112"/>
      <c r="H93" s="103" t="s">
        <v>314</v>
      </c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</row>
    <row r="94">
      <c r="A94" s="147" t="s">
        <v>140</v>
      </c>
      <c r="B94" s="101"/>
      <c r="C94" s="148" t="s">
        <v>315</v>
      </c>
      <c r="D94" s="101"/>
      <c r="E94" s="101">
        <f t="shared" ref="E94:E95" si="2">F94</f>
        <v>125000</v>
      </c>
      <c r="F94" s="143">
        <v>125000.0</v>
      </c>
      <c r="G94" s="101"/>
      <c r="H94" s="148" t="s">
        <v>315</v>
      </c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</row>
    <row r="95">
      <c r="A95" s="149" t="s">
        <v>140</v>
      </c>
      <c r="B95" s="112"/>
      <c r="C95" s="145" t="s">
        <v>316</v>
      </c>
      <c r="D95" s="112"/>
      <c r="E95" s="101">
        <f t="shared" si="2"/>
        <v>46000</v>
      </c>
      <c r="F95" s="146">
        <v>46000.0</v>
      </c>
      <c r="G95" s="112"/>
      <c r="H95" s="145" t="s">
        <v>317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</row>
    <row r="96">
      <c r="A96" s="147" t="s">
        <v>140</v>
      </c>
      <c r="B96" s="148" t="s">
        <v>318</v>
      </c>
      <c r="C96" s="148" t="s">
        <v>245</v>
      </c>
      <c r="D96" s="101"/>
      <c r="E96" s="143">
        <v>865000.0</v>
      </c>
      <c r="F96" s="101"/>
      <c r="G96" s="101"/>
      <c r="H96" s="148" t="s">
        <v>319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</row>
    <row r="97">
      <c r="A97" s="149" t="s">
        <v>146</v>
      </c>
      <c r="B97" s="112"/>
      <c r="C97" s="145" t="s">
        <v>320</v>
      </c>
      <c r="D97" s="112"/>
      <c r="E97" s="146">
        <f t="shared" ref="E97:E106" si="3">F97</f>
        <v>60000</v>
      </c>
      <c r="F97" s="146">
        <v>60000.0</v>
      </c>
      <c r="G97" s="112"/>
      <c r="H97" s="145" t="s">
        <v>321</v>
      </c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</row>
    <row r="98">
      <c r="A98" s="147" t="s">
        <v>146</v>
      </c>
      <c r="B98" s="101"/>
      <c r="C98" s="148" t="s">
        <v>264</v>
      </c>
      <c r="D98" s="101"/>
      <c r="E98" s="146">
        <f t="shared" si="3"/>
        <v>150000</v>
      </c>
      <c r="F98" s="143">
        <v>150000.0</v>
      </c>
      <c r="G98" s="101"/>
      <c r="H98" s="148" t="s">
        <v>302</v>
      </c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</row>
    <row r="99">
      <c r="A99" s="149" t="s">
        <v>146</v>
      </c>
      <c r="B99" s="112"/>
      <c r="C99" s="145" t="s">
        <v>266</v>
      </c>
      <c r="D99" s="112"/>
      <c r="E99" s="146">
        <f t="shared" si="3"/>
        <v>100000</v>
      </c>
      <c r="F99" s="146">
        <v>100000.0</v>
      </c>
      <c r="G99" s="112"/>
      <c r="H99" s="145" t="s">
        <v>322</v>
      </c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</row>
    <row r="100">
      <c r="A100" s="147" t="s">
        <v>143</v>
      </c>
      <c r="B100" s="101"/>
      <c r="C100" s="148" t="s">
        <v>323</v>
      </c>
      <c r="D100" s="101"/>
      <c r="E100" s="146">
        <f t="shared" si="3"/>
        <v>345000</v>
      </c>
      <c r="F100" s="143">
        <v>345000.0</v>
      </c>
      <c r="G100" s="101"/>
      <c r="H100" s="148" t="s">
        <v>306</v>
      </c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</row>
    <row r="101">
      <c r="A101" s="149" t="s">
        <v>143</v>
      </c>
      <c r="B101" s="112"/>
      <c r="C101" s="145" t="s">
        <v>323</v>
      </c>
      <c r="D101" s="112"/>
      <c r="E101" s="146">
        <f t="shared" si="3"/>
        <v>10000</v>
      </c>
      <c r="F101" s="146">
        <v>10000.0</v>
      </c>
      <c r="G101" s="112"/>
      <c r="H101" s="145" t="s">
        <v>306</v>
      </c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</row>
    <row r="102">
      <c r="A102" s="147" t="s">
        <v>143</v>
      </c>
      <c r="B102" s="101"/>
      <c r="C102" s="148" t="s">
        <v>324</v>
      </c>
      <c r="D102" s="101"/>
      <c r="E102" s="146">
        <f t="shared" si="3"/>
        <v>150000</v>
      </c>
      <c r="F102" s="143">
        <v>150000.0</v>
      </c>
      <c r="G102" s="101"/>
      <c r="H102" s="148" t="s">
        <v>325</v>
      </c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</row>
    <row r="103">
      <c r="A103" s="149" t="s">
        <v>143</v>
      </c>
      <c r="B103" s="112"/>
      <c r="C103" s="145" t="s">
        <v>326</v>
      </c>
      <c r="D103" s="112"/>
      <c r="E103" s="146">
        <f t="shared" si="3"/>
        <v>15000</v>
      </c>
      <c r="F103" s="146">
        <v>15000.0</v>
      </c>
      <c r="G103" s="112"/>
      <c r="H103" s="145" t="s">
        <v>40</v>
      </c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</row>
    <row r="104">
      <c r="A104" s="147" t="s">
        <v>129</v>
      </c>
      <c r="B104" s="101"/>
      <c r="C104" s="148" t="s">
        <v>327</v>
      </c>
      <c r="D104" s="101"/>
      <c r="E104" s="146">
        <f t="shared" si="3"/>
        <v>850000</v>
      </c>
      <c r="F104" s="143">
        <v>850000.0</v>
      </c>
      <c r="G104" s="101"/>
      <c r="H104" s="148" t="s">
        <v>328</v>
      </c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</row>
    <row r="105">
      <c r="A105" s="149" t="s">
        <v>129</v>
      </c>
      <c r="B105" s="112"/>
      <c r="C105" s="145" t="s">
        <v>329</v>
      </c>
      <c r="D105" s="112"/>
      <c r="E105" s="146">
        <f t="shared" si="3"/>
        <v>25000</v>
      </c>
      <c r="F105" s="146">
        <v>25000.0</v>
      </c>
      <c r="G105" s="112"/>
      <c r="H105" s="145" t="s">
        <v>330</v>
      </c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</row>
    <row r="106">
      <c r="A106" s="147" t="s">
        <v>129</v>
      </c>
      <c r="B106" s="101"/>
      <c r="C106" s="148" t="s">
        <v>331</v>
      </c>
      <c r="D106" s="101"/>
      <c r="E106" s="146">
        <f t="shared" si="3"/>
        <v>175000</v>
      </c>
      <c r="F106" s="143">
        <v>175000.0</v>
      </c>
      <c r="G106" s="101"/>
      <c r="H106" s="101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</row>
    <row r="107">
      <c r="A107" s="140"/>
      <c r="B107" s="112"/>
      <c r="C107" s="112"/>
      <c r="D107" s="112"/>
      <c r="E107" s="112"/>
      <c r="F107" s="112"/>
      <c r="G107" s="112"/>
      <c r="H107" s="112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</row>
    <row r="108">
      <c r="A108" s="111"/>
      <c r="B108" s="101"/>
      <c r="C108" s="101"/>
      <c r="D108" s="101"/>
      <c r="E108" s="101"/>
      <c r="F108" s="101"/>
      <c r="G108" s="101"/>
      <c r="H108" s="101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</row>
    <row r="109">
      <c r="A109" s="140"/>
      <c r="B109" s="112"/>
      <c r="C109" s="112"/>
      <c r="D109" s="112"/>
      <c r="E109" s="112"/>
      <c r="F109" s="112"/>
      <c r="G109" s="112"/>
      <c r="H109" s="112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</row>
  </sheetData>
  <dataValidations>
    <dataValidation type="custom" allowBlank="1" showDropDown="1" sqref="E2:F4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2.75"/>
    <col customWidth="1" min="6" max="6" width="16.25"/>
    <col customWidth="1" min="7" max="7" width="13.75"/>
    <col customWidth="1" min="10" max="10" width="24.25"/>
  </cols>
  <sheetData>
    <row r="1">
      <c r="A1" s="150" t="s">
        <v>332</v>
      </c>
      <c r="J1" s="93"/>
      <c r="K1" s="93"/>
      <c r="L1" s="151" t="s">
        <v>333</v>
      </c>
    </row>
    <row r="2">
      <c r="J2" s="93"/>
      <c r="K2" s="93"/>
      <c r="L2" s="152"/>
    </row>
    <row r="3">
      <c r="J3" s="153"/>
      <c r="K3" s="93"/>
      <c r="L3" s="152"/>
    </row>
    <row r="4" ht="22.5" customHeight="1">
      <c r="A4" s="6" t="s">
        <v>334</v>
      </c>
      <c r="B4" s="6" t="s">
        <v>2</v>
      </c>
      <c r="C4" s="6" t="s">
        <v>335</v>
      </c>
      <c r="D4" s="6" t="s">
        <v>336</v>
      </c>
      <c r="E4" s="6" t="s">
        <v>4</v>
      </c>
      <c r="F4" s="6" t="s">
        <v>337</v>
      </c>
      <c r="G4" s="6" t="s">
        <v>338</v>
      </c>
      <c r="H4" s="6" t="s">
        <v>339</v>
      </c>
      <c r="I4" s="6" t="s">
        <v>340</v>
      </c>
      <c r="J4" s="154" t="s">
        <v>341</v>
      </c>
      <c r="K4" s="93"/>
      <c r="L4" s="155" t="s">
        <v>2</v>
      </c>
      <c r="M4" s="156" t="s">
        <v>335</v>
      </c>
      <c r="N4" s="156" t="s">
        <v>336</v>
      </c>
      <c r="O4" s="156" t="s">
        <v>4</v>
      </c>
      <c r="P4" s="156" t="s">
        <v>225</v>
      </c>
      <c r="Q4" s="156" t="s">
        <v>342</v>
      </c>
      <c r="R4" s="156" t="s">
        <v>343</v>
      </c>
    </row>
    <row r="5" ht="22.5" customHeight="1">
      <c r="A5" s="157" t="s">
        <v>127</v>
      </c>
      <c r="B5" s="158" t="s">
        <v>11</v>
      </c>
      <c r="C5" s="159"/>
      <c r="D5" s="159"/>
      <c r="E5" s="160">
        <v>7.838408646E9</v>
      </c>
      <c r="F5" s="161" t="s">
        <v>344</v>
      </c>
      <c r="G5" s="162" t="s">
        <v>345</v>
      </c>
      <c r="H5" s="163" t="s">
        <v>346</v>
      </c>
      <c r="I5" s="164">
        <v>65000.0</v>
      </c>
      <c r="J5" s="165">
        <f>SUM(Table1[cost])</f>
        <v>4827000</v>
      </c>
      <c r="K5" s="93"/>
      <c r="L5" s="166"/>
      <c r="M5" s="167"/>
      <c r="N5" s="168"/>
      <c r="O5" s="168"/>
      <c r="P5" s="169"/>
      <c r="Q5" s="170"/>
      <c r="R5" s="171"/>
    </row>
    <row r="6" ht="22.5" customHeight="1">
      <c r="A6" s="157" t="s">
        <v>127</v>
      </c>
      <c r="B6" s="158" t="s">
        <v>11</v>
      </c>
      <c r="C6" s="159"/>
      <c r="D6" s="159"/>
      <c r="E6" s="159"/>
      <c r="F6" s="161" t="s">
        <v>344</v>
      </c>
      <c r="G6" s="162" t="s">
        <v>345</v>
      </c>
      <c r="H6" s="163" t="s">
        <v>347</v>
      </c>
      <c r="I6" s="172">
        <v>85000.0</v>
      </c>
      <c r="J6" s="173"/>
      <c r="K6" s="93"/>
      <c r="L6" s="174"/>
      <c r="M6" s="175"/>
      <c r="N6" s="175"/>
      <c r="O6" s="175"/>
      <c r="P6" s="169" t="s">
        <v>348</v>
      </c>
      <c r="Q6" s="170">
        <v>0.0</v>
      </c>
      <c r="R6" s="175"/>
    </row>
    <row r="7" ht="22.5" customHeight="1">
      <c r="A7" s="157" t="s">
        <v>127</v>
      </c>
      <c r="B7" s="158" t="s">
        <v>11</v>
      </c>
      <c r="C7" s="159"/>
      <c r="D7" s="159"/>
      <c r="E7" s="159"/>
      <c r="F7" s="161" t="s">
        <v>349</v>
      </c>
      <c r="G7" s="162" t="s">
        <v>350</v>
      </c>
      <c r="H7" s="163" t="s">
        <v>351</v>
      </c>
      <c r="I7" s="172">
        <v>250000.0</v>
      </c>
      <c r="J7" s="173"/>
      <c r="K7" s="93"/>
      <c r="L7" s="174"/>
      <c r="M7" s="175"/>
      <c r="N7" s="175"/>
      <c r="O7" s="175"/>
      <c r="P7" s="169" t="s">
        <v>352</v>
      </c>
      <c r="Q7" s="170">
        <v>30000.0</v>
      </c>
      <c r="R7" s="175"/>
    </row>
    <row r="8" ht="22.5" hidden="1" customHeight="1">
      <c r="A8" s="157" t="s">
        <v>127</v>
      </c>
      <c r="B8" s="158" t="s">
        <v>120</v>
      </c>
      <c r="C8" s="159"/>
      <c r="D8" s="159"/>
      <c r="E8" s="159"/>
      <c r="F8" s="161" t="s">
        <v>353</v>
      </c>
      <c r="G8" s="159"/>
      <c r="H8" s="176"/>
      <c r="I8" s="172" t="s">
        <v>354</v>
      </c>
      <c r="J8" s="173"/>
      <c r="K8" s="93"/>
      <c r="L8" s="174"/>
      <c r="M8" s="175"/>
      <c r="N8" s="175"/>
      <c r="O8" s="175"/>
      <c r="P8" s="177" t="s">
        <v>355</v>
      </c>
      <c r="Q8" s="178">
        <v>530000.0</v>
      </c>
      <c r="R8" s="175"/>
    </row>
    <row r="9" ht="22.5" hidden="1" customHeight="1">
      <c r="A9" s="157" t="s">
        <v>127</v>
      </c>
      <c r="B9" s="158" t="s">
        <v>11</v>
      </c>
      <c r="C9" s="159"/>
      <c r="D9" s="159"/>
      <c r="E9" s="159"/>
      <c r="F9" s="161" t="s">
        <v>356</v>
      </c>
      <c r="G9" s="159"/>
      <c r="H9" s="176"/>
      <c r="I9" s="172">
        <v>550000.0</v>
      </c>
      <c r="J9" s="179"/>
      <c r="K9" s="93"/>
      <c r="L9" s="174"/>
      <c r="M9" s="175"/>
      <c r="N9" s="175"/>
      <c r="O9" s="175"/>
      <c r="P9" s="175"/>
      <c r="Q9" s="180"/>
      <c r="R9" s="175"/>
    </row>
    <row r="10" ht="22.5" hidden="1" customHeight="1">
      <c r="A10" s="157" t="s">
        <v>127</v>
      </c>
      <c r="B10" s="158" t="s">
        <v>11</v>
      </c>
      <c r="C10" s="159"/>
      <c r="D10" s="159"/>
      <c r="E10" s="159"/>
      <c r="F10" s="161" t="s">
        <v>218</v>
      </c>
      <c r="G10" s="159"/>
      <c r="H10" s="163" t="s">
        <v>357</v>
      </c>
      <c r="I10" s="172">
        <v>100000.0</v>
      </c>
      <c r="J10" s="173"/>
      <c r="K10" s="93"/>
      <c r="L10" s="174"/>
      <c r="M10" s="175"/>
      <c r="N10" s="175"/>
      <c r="O10" s="175"/>
      <c r="P10" s="175"/>
      <c r="Q10" s="180"/>
      <c r="R10" s="175"/>
    </row>
    <row r="11" ht="22.5" hidden="1" customHeight="1">
      <c r="A11" s="157" t="s">
        <v>10</v>
      </c>
      <c r="B11" s="158" t="s">
        <v>11</v>
      </c>
      <c r="C11" s="159"/>
      <c r="D11" s="159"/>
      <c r="E11" s="160">
        <v>7.773666279E9</v>
      </c>
      <c r="F11" s="161" t="s">
        <v>358</v>
      </c>
      <c r="G11" s="159"/>
      <c r="H11" s="176"/>
      <c r="I11" s="172">
        <v>200000.0</v>
      </c>
      <c r="J11" s="173"/>
      <c r="K11" s="93"/>
      <c r="L11" s="174"/>
      <c r="M11" s="175"/>
      <c r="N11" s="175"/>
      <c r="O11" s="175"/>
      <c r="P11" s="175"/>
      <c r="Q11" s="180"/>
      <c r="R11" s="175"/>
    </row>
    <row r="12" ht="22.5" customHeight="1">
      <c r="A12" s="157" t="s">
        <v>10</v>
      </c>
      <c r="B12" s="158" t="s">
        <v>11</v>
      </c>
      <c r="C12" s="159"/>
      <c r="D12" s="159"/>
      <c r="E12" s="159"/>
      <c r="F12" s="161" t="s">
        <v>33</v>
      </c>
      <c r="G12" s="159"/>
      <c r="H12" s="163" t="s">
        <v>359</v>
      </c>
      <c r="I12" s="172">
        <v>750000.0</v>
      </c>
      <c r="J12" s="173"/>
      <c r="K12" s="93"/>
      <c r="L12" s="174"/>
      <c r="M12" s="175"/>
      <c r="N12" s="175"/>
      <c r="O12" s="175"/>
      <c r="P12" s="175"/>
      <c r="Q12" s="180"/>
      <c r="R12" s="175"/>
    </row>
    <row r="13" ht="22.5" customHeight="1">
      <c r="A13" s="157" t="s">
        <v>10</v>
      </c>
      <c r="B13" s="158" t="s">
        <v>11</v>
      </c>
      <c r="C13" s="159"/>
      <c r="D13" s="159"/>
      <c r="E13" s="160">
        <v>7.833239393E9</v>
      </c>
      <c r="F13" s="161" t="s">
        <v>360</v>
      </c>
      <c r="G13" s="161" t="s">
        <v>361</v>
      </c>
      <c r="H13" s="181"/>
      <c r="I13" s="172">
        <v>75000.0</v>
      </c>
      <c r="J13" s="173"/>
      <c r="K13" s="93"/>
      <c r="L13" s="174"/>
      <c r="M13" s="175"/>
      <c r="N13" s="175"/>
      <c r="O13" s="175"/>
      <c r="P13" s="175"/>
      <c r="Q13" s="180"/>
      <c r="R13" s="175"/>
    </row>
    <row r="14" ht="22.5" hidden="1" customHeight="1">
      <c r="A14" s="157" t="s">
        <v>362</v>
      </c>
      <c r="B14" s="158" t="s">
        <v>11</v>
      </c>
      <c r="C14" s="159"/>
      <c r="D14" s="159"/>
      <c r="E14" s="160">
        <v>7.828434345E9</v>
      </c>
      <c r="F14" s="161" t="s">
        <v>217</v>
      </c>
      <c r="G14" s="159"/>
      <c r="H14" s="176"/>
      <c r="I14" s="172">
        <v>460000.0</v>
      </c>
      <c r="J14" s="173"/>
      <c r="K14" s="93"/>
      <c r="L14" s="174"/>
      <c r="M14" s="175"/>
      <c r="N14" s="175"/>
      <c r="O14" s="175"/>
      <c r="P14" s="175"/>
      <c r="Q14" s="180"/>
      <c r="R14" s="175"/>
    </row>
    <row r="15" ht="22.5" customHeight="1">
      <c r="A15" s="157" t="s">
        <v>362</v>
      </c>
      <c r="B15" s="158" t="s">
        <v>125</v>
      </c>
      <c r="C15" s="159"/>
      <c r="D15" s="159"/>
      <c r="E15" s="160">
        <v>7.702765033E9</v>
      </c>
      <c r="F15" s="161" t="s">
        <v>363</v>
      </c>
      <c r="G15" s="161" t="s">
        <v>361</v>
      </c>
      <c r="H15" s="181" t="s">
        <v>364</v>
      </c>
      <c r="I15" s="172">
        <v>175000.0</v>
      </c>
      <c r="J15" s="173"/>
      <c r="K15" s="93"/>
      <c r="L15" s="174"/>
      <c r="M15" s="175"/>
      <c r="N15" s="175"/>
      <c r="O15" s="175"/>
      <c r="P15" s="175"/>
      <c r="Q15" s="180"/>
      <c r="R15" s="175"/>
    </row>
    <row r="16" ht="22.5" hidden="1" customHeight="1">
      <c r="A16" s="157" t="s">
        <v>362</v>
      </c>
      <c r="B16" s="158" t="s">
        <v>125</v>
      </c>
      <c r="C16" s="159"/>
      <c r="D16" s="159"/>
      <c r="E16" s="160">
        <v>7.870927339E9</v>
      </c>
      <c r="F16" s="161" t="s">
        <v>365</v>
      </c>
      <c r="G16" s="159"/>
      <c r="H16" s="163" t="s">
        <v>366</v>
      </c>
      <c r="I16" s="172">
        <v>450000.0</v>
      </c>
      <c r="J16" s="173"/>
      <c r="K16" s="93"/>
      <c r="L16" s="174"/>
      <c r="M16" s="175"/>
      <c r="N16" s="175"/>
      <c r="O16" s="175"/>
      <c r="P16" s="175"/>
      <c r="Q16" s="180"/>
      <c r="R16" s="175"/>
    </row>
    <row r="17" ht="22.5" hidden="1" customHeight="1">
      <c r="A17" s="157" t="s">
        <v>362</v>
      </c>
      <c r="B17" s="158" t="s">
        <v>120</v>
      </c>
      <c r="C17" s="159"/>
      <c r="D17" s="159"/>
      <c r="E17" s="159"/>
      <c r="F17" s="161" t="s">
        <v>367</v>
      </c>
      <c r="G17" s="161" t="s">
        <v>368</v>
      </c>
      <c r="H17" s="181"/>
      <c r="I17" s="172">
        <v>125000.0</v>
      </c>
      <c r="J17" s="173"/>
      <c r="K17" s="93"/>
      <c r="L17" s="174"/>
      <c r="M17" s="175"/>
      <c r="N17" s="175"/>
      <c r="O17" s="175"/>
      <c r="P17" s="175"/>
      <c r="Q17" s="180"/>
      <c r="R17" s="175"/>
    </row>
    <row r="18" ht="22.5" hidden="1" customHeight="1">
      <c r="A18" s="182"/>
      <c r="B18" s="158" t="s">
        <v>120</v>
      </c>
      <c r="C18" s="159"/>
      <c r="D18" s="159"/>
      <c r="E18" s="160">
        <v>7.748096218E9</v>
      </c>
      <c r="F18" s="158" t="s">
        <v>369</v>
      </c>
      <c r="G18" s="162" t="s">
        <v>345</v>
      </c>
      <c r="H18" s="163"/>
      <c r="I18" s="172">
        <v>517000.0</v>
      </c>
      <c r="J18" s="173"/>
      <c r="K18" s="93"/>
      <c r="L18" s="174"/>
      <c r="M18" s="175"/>
      <c r="N18" s="175"/>
      <c r="O18" s="175"/>
      <c r="P18" s="175"/>
      <c r="Q18" s="180"/>
      <c r="R18" s="175"/>
    </row>
    <row r="19" ht="22.5" customHeight="1">
      <c r="A19" s="157"/>
      <c r="B19" s="159"/>
      <c r="C19" s="159"/>
      <c r="D19" s="159"/>
      <c r="E19" s="159"/>
      <c r="F19" s="161"/>
      <c r="G19" s="159"/>
      <c r="H19" s="176"/>
      <c r="I19" s="172"/>
      <c r="J19" s="173"/>
      <c r="K19" s="93"/>
      <c r="L19" s="174"/>
      <c r="M19" s="175"/>
      <c r="N19" s="175"/>
      <c r="O19" s="175"/>
      <c r="P19" s="175"/>
      <c r="Q19" s="175"/>
      <c r="R19" s="175"/>
    </row>
    <row r="20" ht="22.5" hidden="1" customHeight="1">
      <c r="A20" s="157" t="s">
        <v>127</v>
      </c>
      <c r="B20" s="158" t="s">
        <v>149</v>
      </c>
      <c r="C20" s="159"/>
      <c r="D20" s="159"/>
      <c r="E20" s="159"/>
      <c r="F20" s="161" t="s">
        <v>370</v>
      </c>
      <c r="G20" s="159"/>
      <c r="H20" s="176"/>
      <c r="I20" s="172">
        <v>150000.0</v>
      </c>
      <c r="J20" s="173"/>
      <c r="K20" s="93"/>
      <c r="L20" s="174"/>
      <c r="M20" s="175"/>
      <c r="N20" s="175"/>
      <c r="O20" s="175"/>
      <c r="P20" s="175"/>
      <c r="Q20" s="175"/>
      <c r="R20" s="175"/>
    </row>
    <row r="21" ht="22.5" customHeight="1">
      <c r="A21" s="182"/>
      <c r="B21" s="159"/>
      <c r="C21" s="159"/>
      <c r="D21" s="159"/>
      <c r="E21" s="159"/>
      <c r="F21" s="162" t="s">
        <v>371</v>
      </c>
      <c r="G21" s="162" t="s">
        <v>372</v>
      </c>
      <c r="H21" s="163" t="s">
        <v>373</v>
      </c>
      <c r="I21" s="172">
        <v>400000.0</v>
      </c>
      <c r="J21" s="173"/>
      <c r="K21" s="93"/>
      <c r="L21" s="174"/>
      <c r="M21" s="175"/>
      <c r="N21" s="175"/>
      <c r="O21" s="175"/>
      <c r="P21" s="175"/>
      <c r="Q21" s="175"/>
      <c r="R21" s="175"/>
    </row>
    <row r="22" ht="22.5" customHeight="1">
      <c r="A22" s="182"/>
      <c r="B22" s="159"/>
      <c r="C22" s="159"/>
      <c r="D22" s="159"/>
      <c r="E22" s="159"/>
      <c r="F22" s="162" t="s">
        <v>374</v>
      </c>
      <c r="G22" s="183">
        <v>7.809065067E9</v>
      </c>
      <c r="H22" s="163" t="s">
        <v>375</v>
      </c>
      <c r="I22" s="172">
        <v>475000.0</v>
      </c>
      <c r="J22" s="173"/>
      <c r="K22" s="93"/>
      <c r="L22" s="174"/>
      <c r="M22" s="175"/>
      <c r="N22" s="175"/>
      <c r="O22" s="175"/>
      <c r="P22" s="175"/>
      <c r="Q22" s="175"/>
      <c r="R22" s="175"/>
    </row>
    <row r="23" ht="22.5" customHeight="1">
      <c r="A23" s="182"/>
      <c r="B23" s="159"/>
      <c r="C23" s="159"/>
      <c r="D23" s="159"/>
      <c r="E23" s="159"/>
      <c r="F23" s="159"/>
      <c r="G23" s="159"/>
      <c r="H23" s="176"/>
      <c r="I23" s="172"/>
      <c r="J23" s="173"/>
      <c r="K23" s="93"/>
      <c r="L23" s="174"/>
      <c r="M23" s="175"/>
      <c r="N23" s="175"/>
      <c r="O23" s="175"/>
      <c r="P23" s="175"/>
      <c r="Q23" s="175"/>
      <c r="R23" s="175"/>
    </row>
    <row r="24" ht="22.5" customHeight="1">
      <c r="A24" s="182"/>
      <c r="B24" s="159"/>
      <c r="C24" s="159"/>
      <c r="D24" s="159"/>
      <c r="E24" s="159"/>
      <c r="F24" s="159"/>
      <c r="G24" s="159"/>
      <c r="H24" s="176"/>
      <c r="I24" s="172"/>
      <c r="J24" s="173"/>
      <c r="K24" s="93"/>
      <c r="L24" s="174"/>
      <c r="M24" s="175"/>
      <c r="N24" s="175"/>
      <c r="O24" s="175"/>
      <c r="P24" s="175"/>
      <c r="Q24" s="175"/>
      <c r="R24" s="175"/>
    </row>
    <row r="25" ht="22.5" customHeight="1">
      <c r="A25" s="182"/>
      <c r="B25" s="159"/>
      <c r="C25" s="159"/>
      <c r="D25" s="159"/>
      <c r="E25" s="159"/>
      <c r="F25" s="163"/>
      <c r="G25" s="163"/>
      <c r="H25" s="163"/>
      <c r="I25" s="172"/>
      <c r="J25" s="173"/>
      <c r="K25" s="93"/>
      <c r="L25" s="174"/>
      <c r="M25" s="175"/>
      <c r="N25" s="175"/>
      <c r="O25" s="175"/>
      <c r="P25" s="175"/>
      <c r="Q25" s="175"/>
      <c r="R25" s="175"/>
    </row>
  </sheetData>
  <mergeCells count="2">
    <mergeCell ref="A1:I3"/>
    <mergeCell ref="L1:R3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25"/>
  </cols>
  <sheetData>
    <row r="1">
      <c r="A1" s="155" t="s">
        <v>1</v>
      </c>
      <c r="B1" s="156" t="s">
        <v>2</v>
      </c>
      <c r="C1" s="156" t="s">
        <v>3</v>
      </c>
      <c r="D1" s="156" t="s">
        <v>229</v>
      </c>
      <c r="E1" s="184" t="s">
        <v>336</v>
      </c>
      <c r="F1" s="155" t="s">
        <v>5</v>
      </c>
      <c r="G1" s="156" t="s">
        <v>6</v>
      </c>
      <c r="H1" s="156" t="s">
        <v>340</v>
      </c>
      <c r="I1" s="185" t="s">
        <v>4</v>
      </c>
      <c r="J1" s="186" t="s">
        <v>7</v>
      </c>
      <c r="K1" s="156" t="s">
        <v>376</v>
      </c>
      <c r="L1" s="153" t="s">
        <v>8</v>
      </c>
      <c r="M1" s="93"/>
      <c r="N1" s="93"/>
      <c r="O1" s="93"/>
      <c r="P1" s="93"/>
      <c r="Q1" s="93"/>
      <c r="R1" s="93"/>
      <c r="S1" s="93"/>
    </row>
    <row r="2">
      <c r="A2" s="9" t="s">
        <v>10</v>
      </c>
      <c r="B2" s="187" t="s">
        <v>11</v>
      </c>
      <c r="C2" s="105" t="s">
        <v>12</v>
      </c>
      <c r="D2" s="188"/>
      <c r="E2" s="189"/>
      <c r="F2" s="99" t="s">
        <v>14</v>
      </c>
      <c r="G2" s="99" t="s">
        <v>15</v>
      </c>
      <c r="H2" s="190">
        <v>5000.0</v>
      </c>
      <c r="I2" s="187" t="s">
        <v>13</v>
      </c>
      <c r="J2" s="191">
        <v>35000.0</v>
      </c>
      <c r="K2" s="190">
        <v>30000.0</v>
      </c>
      <c r="L2" s="192"/>
      <c r="M2" s="93"/>
      <c r="N2" s="93"/>
      <c r="O2" s="93"/>
      <c r="P2" s="93"/>
      <c r="Q2" s="93"/>
      <c r="R2" s="93"/>
      <c r="S2" s="93"/>
    </row>
    <row r="3">
      <c r="A3" s="9" t="s">
        <v>10</v>
      </c>
      <c r="B3" s="187" t="s">
        <v>11</v>
      </c>
      <c r="C3" s="187" t="s">
        <v>12</v>
      </c>
      <c r="D3" s="188"/>
      <c r="E3" s="189"/>
      <c r="F3" s="99" t="s">
        <v>14</v>
      </c>
      <c r="G3" s="99" t="s">
        <v>17</v>
      </c>
      <c r="H3" s="190">
        <v>1000.0</v>
      </c>
      <c r="I3" s="187" t="s">
        <v>16</v>
      </c>
      <c r="J3" s="190">
        <v>10000.0</v>
      </c>
      <c r="K3" s="190">
        <v>9000.0</v>
      </c>
      <c r="L3" s="192"/>
      <c r="M3" s="93"/>
      <c r="N3" s="93"/>
      <c r="O3" s="93"/>
      <c r="P3" s="93"/>
      <c r="Q3" s="93"/>
      <c r="R3" s="93"/>
      <c r="S3" s="93"/>
    </row>
    <row r="4">
      <c r="A4" s="17" t="s">
        <v>10</v>
      </c>
      <c r="B4" s="193" t="s">
        <v>11</v>
      </c>
      <c r="C4" s="193" t="s">
        <v>18</v>
      </c>
      <c r="D4" s="194"/>
      <c r="E4" s="189"/>
      <c r="F4" s="195" t="s">
        <v>20</v>
      </c>
      <c r="G4" s="195" t="s">
        <v>21</v>
      </c>
      <c r="H4" s="196">
        <v>50000.0</v>
      </c>
      <c r="I4" s="193" t="s">
        <v>19</v>
      </c>
      <c r="J4" s="196">
        <v>175000.0</v>
      </c>
      <c r="K4" s="196">
        <v>125000.0</v>
      </c>
      <c r="L4" s="197" t="s">
        <v>377</v>
      </c>
      <c r="M4" s="197" t="s">
        <v>378</v>
      </c>
      <c r="N4" s="198"/>
      <c r="O4" s="198"/>
      <c r="P4" s="198"/>
      <c r="Q4" s="198"/>
      <c r="R4" s="198"/>
      <c r="S4" s="198"/>
    </row>
    <row r="5">
      <c r="A5" s="23" t="s">
        <v>10</v>
      </c>
      <c r="B5" s="199" t="s">
        <v>11</v>
      </c>
      <c r="C5" s="199" t="s">
        <v>18</v>
      </c>
      <c r="D5" s="200"/>
      <c r="E5" s="189"/>
      <c r="F5" s="201" t="s">
        <v>20</v>
      </c>
      <c r="G5" s="201" t="s">
        <v>24</v>
      </c>
      <c r="H5" s="202">
        <v>50000.0</v>
      </c>
      <c r="I5" s="199" t="s">
        <v>23</v>
      </c>
      <c r="J5" s="202">
        <v>200000.0</v>
      </c>
      <c r="K5" s="202">
        <v>150000.0</v>
      </c>
      <c r="L5" s="203"/>
      <c r="M5" s="204"/>
      <c r="N5" s="204"/>
      <c r="O5" s="204"/>
      <c r="P5" s="204"/>
      <c r="Q5" s="204"/>
      <c r="R5" s="204"/>
      <c r="S5" s="204"/>
      <c r="T5" s="205"/>
      <c r="U5" s="205"/>
      <c r="V5" s="205"/>
      <c r="W5" s="205"/>
      <c r="X5" s="205"/>
      <c r="Y5" s="205"/>
      <c r="Z5" s="205"/>
    </row>
    <row r="6">
      <c r="A6" s="9" t="s">
        <v>10</v>
      </c>
      <c r="B6" s="187" t="s">
        <v>11</v>
      </c>
      <c r="C6" s="187" t="s">
        <v>18</v>
      </c>
      <c r="D6" s="188"/>
      <c r="E6" s="189"/>
      <c r="F6" s="99" t="s">
        <v>14</v>
      </c>
      <c r="G6" s="99" t="s">
        <v>26</v>
      </c>
      <c r="H6" s="190">
        <v>1000.0</v>
      </c>
      <c r="I6" s="187" t="s">
        <v>25</v>
      </c>
      <c r="J6" s="190">
        <v>10000.0</v>
      </c>
      <c r="K6" s="190">
        <v>9000.0</v>
      </c>
      <c r="L6" s="192">
        <v>10000.0</v>
      </c>
      <c r="M6" s="93"/>
      <c r="N6" s="93"/>
      <c r="O6" s="93"/>
      <c r="P6" s="93"/>
      <c r="Q6" s="93"/>
      <c r="R6" s="93"/>
      <c r="S6" s="93"/>
    </row>
    <row r="7">
      <c r="A7" s="29" t="s">
        <v>10</v>
      </c>
      <c r="B7" s="189" t="s">
        <v>27</v>
      </c>
      <c r="C7" s="189" t="s">
        <v>28</v>
      </c>
      <c r="D7" s="206"/>
      <c r="E7" s="189"/>
      <c r="F7" s="207" t="s">
        <v>30</v>
      </c>
      <c r="G7" s="207" t="s">
        <v>31</v>
      </c>
      <c r="H7" s="208">
        <v>25000.0</v>
      </c>
      <c r="I7" s="189" t="s">
        <v>29</v>
      </c>
      <c r="J7" s="208">
        <v>100000.0</v>
      </c>
      <c r="K7" s="208">
        <v>75000.0</v>
      </c>
      <c r="L7" s="209"/>
      <c r="M7" s="209"/>
      <c r="N7" s="209"/>
      <c r="O7" s="209"/>
      <c r="P7" s="209"/>
      <c r="Q7" s="209"/>
      <c r="R7" s="209"/>
      <c r="S7" s="209"/>
    </row>
    <row r="8">
      <c r="A8" s="29" t="s">
        <v>10</v>
      </c>
      <c r="B8" s="189" t="s">
        <v>27</v>
      </c>
      <c r="C8" s="189" t="s">
        <v>27</v>
      </c>
      <c r="D8" s="206"/>
      <c r="E8" s="189"/>
      <c r="F8" s="207" t="s">
        <v>33</v>
      </c>
      <c r="G8" s="207" t="s">
        <v>34</v>
      </c>
      <c r="H8" s="208">
        <v>10000.0</v>
      </c>
      <c r="I8" s="189" t="s">
        <v>32</v>
      </c>
      <c r="J8" s="208">
        <v>60000.0</v>
      </c>
      <c r="K8" s="208">
        <v>50000.0</v>
      </c>
      <c r="L8" s="209"/>
      <c r="M8" s="209"/>
      <c r="N8" s="209"/>
      <c r="O8" s="209"/>
      <c r="P8" s="209"/>
      <c r="Q8" s="209"/>
      <c r="R8" s="209"/>
      <c r="S8" s="209"/>
    </row>
    <row r="9">
      <c r="A9" s="9" t="s">
        <v>10</v>
      </c>
      <c r="B9" s="187" t="s">
        <v>27</v>
      </c>
      <c r="C9" s="187" t="s">
        <v>12</v>
      </c>
      <c r="D9" s="188"/>
      <c r="E9" s="189"/>
      <c r="F9" s="99" t="s">
        <v>14</v>
      </c>
      <c r="G9" s="99" t="s">
        <v>34</v>
      </c>
      <c r="H9" s="190">
        <v>25000.0</v>
      </c>
      <c r="I9" s="187" t="s">
        <v>35</v>
      </c>
      <c r="J9" s="190">
        <v>100000.0</v>
      </c>
      <c r="K9" s="190">
        <v>75000.0</v>
      </c>
      <c r="L9" s="192">
        <v>100000.0</v>
      </c>
      <c r="M9" s="93"/>
      <c r="N9" s="93"/>
      <c r="O9" s="93"/>
      <c r="P9" s="93"/>
      <c r="Q9" s="93"/>
      <c r="R9" s="93"/>
      <c r="S9" s="93"/>
    </row>
    <row r="10">
      <c r="A10" s="9" t="s">
        <v>10</v>
      </c>
      <c r="B10" s="187" t="s">
        <v>27</v>
      </c>
      <c r="C10" s="187" t="s">
        <v>12</v>
      </c>
      <c r="D10" s="188"/>
      <c r="E10" s="210"/>
      <c r="F10" s="99" t="s">
        <v>14</v>
      </c>
      <c r="G10" s="99" t="s">
        <v>37</v>
      </c>
      <c r="H10" s="190">
        <v>5000.0</v>
      </c>
      <c r="I10" s="187" t="s">
        <v>36</v>
      </c>
      <c r="J10" s="211">
        <v>10000.0</v>
      </c>
      <c r="K10" s="190">
        <v>5000.0</v>
      </c>
      <c r="L10" s="192">
        <v>10000.0</v>
      </c>
      <c r="M10" s="93"/>
      <c r="N10" s="93"/>
      <c r="O10" s="93"/>
      <c r="P10" s="93"/>
      <c r="Q10" s="93"/>
      <c r="R10" s="93"/>
      <c r="S10" s="93"/>
    </row>
    <row r="11">
      <c r="A11" s="9" t="s">
        <v>10</v>
      </c>
      <c r="B11" s="187" t="s">
        <v>27</v>
      </c>
      <c r="C11" s="187" t="s">
        <v>18</v>
      </c>
      <c r="D11" s="188"/>
      <c r="E11" s="210"/>
      <c r="F11" s="99" t="s">
        <v>14</v>
      </c>
      <c r="G11" s="99" t="s">
        <v>39</v>
      </c>
      <c r="H11" s="190">
        <v>5000.0</v>
      </c>
      <c r="I11" s="187" t="s">
        <v>38</v>
      </c>
      <c r="J11" s="190">
        <v>15000.0</v>
      </c>
      <c r="K11" s="190">
        <v>10000.0</v>
      </c>
      <c r="L11" s="192">
        <v>15000.0</v>
      </c>
      <c r="M11" s="93"/>
      <c r="N11" s="93"/>
      <c r="O11" s="93"/>
      <c r="P11" s="93"/>
      <c r="Q11" s="93"/>
      <c r="R11" s="93"/>
      <c r="S11" s="93"/>
    </row>
    <row r="12">
      <c r="A12" s="23" t="s">
        <v>40</v>
      </c>
      <c r="B12" s="199" t="s">
        <v>41</v>
      </c>
      <c r="C12" s="212"/>
      <c r="D12" s="200"/>
      <c r="E12" s="189"/>
      <c r="F12" s="201" t="s">
        <v>42</v>
      </c>
      <c r="G12" s="201" t="s">
        <v>43</v>
      </c>
      <c r="H12" s="200"/>
      <c r="I12" s="212"/>
      <c r="J12" s="200"/>
      <c r="K12" s="202">
        <v>144000.0</v>
      </c>
      <c r="L12" s="203" t="s">
        <v>44</v>
      </c>
      <c r="M12" s="204"/>
      <c r="N12" s="204"/>
      <c r="O12" s="204"/>
      <c r="P12" s="204"/>
      <c r="Q12" s="204"/>
      <c r="R12" s="204"/>
      <c r="S12" s="204"/>
      <c r="T12" s="205"/>
      <c r="U12" s="205"/>
      <c r="V12" s="205"/>
      <c r="W12" s="205"/>
      <c r="X12" s="205"/>
      <c r="Y12" s="205"/>
      <c r="Z12" s="205"/>
    </row>
    <row r="13">
      <c r="A13" s="9" t="s">
        <v>10</v>
      </c>
      <c r="B13" s="187" t="s">
        <v>12</v>
      </c>
      <c r="C13" s="187" t="s">
        <v>45</v>
      </c>
      <c r="D13" s="188"/>
      <c r="E13" s="210"/>
      <c r="F13" s="99" t="s">
        <v>14</v>
      </c>
      <c r="G13" s="99" t="s">
        <v>47</v>
      </c>
      <c r="H13" s="190">
        <v>25000.0</v>
      </c>
      <c r="I13" s="187" t="s">
        <v>46</v>
      </c>
      <c r="J13" s="211">
        <v>125000.0</v>
      </c>
      <c r="K13" s="190">
        <v>100000.0</v>
      </c>
      <c r="L13" s="192">
        <v>125000.0</v>
      </c>
      <c r="M13" s="93"/>
      <c r="N13" s="93"/>
      <c r="O13" s="93"/>
      <c r="P13" s="93"/>
      <c r="Q13" s="93"/>
      <c r="R13" s="93"/>
      <c r="S13" s="93"/>
    </row>
    <row r="14">
      <c r="A14" s="9" t="s">
        <v>10</v>
      </c>
      <c r="B14" s="187" t="s">
        <v>12</v>
      </c>
      <c r="C14" s="187" t="s">
        <v>45</v>
      </c>
      <c r="D14" s="188"/>
      <c r="E14" s="210"/>
      <c r="F14" s="99" t="s">
        <v>14</v>
      </c>
      <c r="G14" s="99" t="s">
        <v>49</v>
      </c>
      <c r="H14" s="190">
        <v>5000.0</v>
      </c>
      <c r="I14" s="187" t="s">
        <v>48</v>
      </c>
      <c r="J14" s="190">
        <v>35000.0</v>
      </c>
      <c r="K14" s="190">
        <v>30000.0</v>
      </c>
      <c r="L14" s="192">
        <v>30000.0</v>
      </c>
      <c r="M14" s="93"/>
      <c r="N14" s="93"/>
      <c r="O14" s="93"/>
      <c r="P14" s="93"/>
      <c r="Q14" s="93"/>
      <c r="R14" s="93"/>
      <c r="S14" s="93"/>
    </row>
    <row r="15">
      <c r="A15" s="29" t="s">
        <v>10</v>
      </c>
      <c r="B15" s="189" t="s">
        <v>45</v>
      </c>
      <c r="C15" s="213"/>
      <c r="D15" s="206"/>
      <c r="E15" s="187"/>
      <c r="F15" s="207" t="s">
        <v>33</v>
      </c>
      <c r="G15" s="207" t="s">
        <v>51</v>
      </c>
      <c r="H15" s="208">
        <v>35000.0</v>
      </c>
      <c r="I15" s="189" t="s">
        <v>50</v>
      </c>
      <c r="J15" s="208">
        <v>300000.0</v>
      </c>
      <c r="K15" s="208">
        <v>265000.0</v>
      </c>
      <c r="L15" s="209"/>
      <c r="M15" s="209"/>
      <c r="N15" s="209"/>
      <c r="O15" s="209"/>
      <c r="P15" s="209"/>
      <c r="Q15" s="209"/>
      <c r="R15" s="209"/>
      <c r="S15" s="209"/>
    </row>
    <row r="16">
      <c r="A16" s="23" t="s">
        <v>10</v>
      </c>
      <c r="B16" s="199" t="s">
        <v>52</v>
      </c>
      <c r="C16" s="199" t="s">
        <v>53</v>
      </c>
      <c r="D16" s="200"/>
      <c r="E16" s="187"/>
      <c r="F16" s="201" t="s">
        <v>55</v>
      </c>
      <c r="G16" s="201" t="s">
        <v>47</v>
      </c>
      <c r="H16" s="202">
        <v>25000.0</v>
      </c>
      <c r="I16" s="199" t="s">
        <v>54</v>
      </c>
      <c r="J16" s="202">
        <v>125000.0</v>
      </c>
      <c r="K16" s="202">
        <v>100000.0</v>
      </c>
      <c r="L16" s="203" t="s">
        <v>44</v>
      </c>
      <c r="M16" s="204"/>
      <c r="N16" s="204"/>
      <c r="O16" s="204"/>
      <c r="P16" s="204"/>
      <c r="Q16" s="204"/>
      <c r="R16" s="204"/>
      <c r="S16" s="204"/>
      <c r="T16" s="205"/>
      <c r="U16" s="205"/>
      <c r="V16" s="205"/>
      <c r="W16" s="205"/>
      <c r="X16" s="205"/>
      <c r="Y16" s="205"/>
      <c r="Z16" s="205"/>
    </row>
    <row r="17">
      <c r="A17" s="9" t="s">
        <v>10</v>
      </c>
      <c r="B17" s="187" t="s">
        <v>52</v>
      </c>
      <c r="C17" s="187" t="s">
        <v>56</v>
      </c>
      <c r="D17" s="188"/>
      <c r="E17" s="187"/>
      <c r="F17" s="99" t="s">
        <v>14</v>
      </c>
      <c r="G17" s="99" t="s">
        <v>24</v>
      </c>
      <c r="H17" s="190">
        <v>50000.0</v>
      </c>
      <c r="I17" s="187" t="s">
        <v>57</v>
      </c>
      <c r="J17" s="190">
        <v>175000.0</v>
      </c>
      <c r="K17" s="190">
        <v>125000.0</v>
      </c>
      <c r="L17" s="192">
        <v>175000.0</v>
      </c>
      <c r="M17" s="93"/>
      <c r="N17" s="93"/>
      <c r="O17" s="93"/>
      <c r="P17" s="93"/>
      <c r="Q17" s="93"/>
      <c r="R17" s="93"/>
      <c r="S17" s="93"/>
    </row>
    <row r="18">
      <c r="A18" s="17" t="s">
        <v>10</v>
      </c>
      <c r="B18" s="193" t="s">
        <v>53</v>
      </c>
      <c r="C18" s="193" t="s">
        <v>59</v>
      </c>
      <c r="D18" s="194"/>
      <c r="E18" s="187"/>
      <c r="F18" s="195" t="s">
        <v>61</v>
      </c>
      <c r="G18" s="195" t="s">
        <v>62</v>
      </c>
      <c r="H18" s="196">
        <v>5000.0</v>
      </c>
      <c r="I18" s="193" t="s">
        <v>60</v>
      </c>
      <c r="J18" s="196">
        <v>20000.0</v>
      </c>
      <c r="K18" s="196">
        <v>15000.0</v>
      </c>
      <c r="L18" s="198"/>
      <c r="M18" s="198"/>
      <c r="N18" s="198"/>
      <c r="O18" s="198"/>
      <c r="P18" s="198"/>
      <c r="Q18" s="198"/>
      <c r="R18" s="198"/>
      <c r="S18" s="198"/>
    </row>
    <row r="19">
      <c r="A19" s="23" t="s">
        <v>10</v>
      </c>
      <c r="B19" s="199" t="s">
        <v>53</v>
      </c>
      <c r="C19" s="212"/>
      <c r="D19" s="200"/>
      <c r="E19" s="187"/>
      <c r="F19" s="201" t="s">
        <v>64</v>
      </c>
      <c r="G19" s="201" t="s">
        <v>65</v>
      </c>
      <c r="H19" s="202">
        <v>25000.0</v>
      </c>
      <c r="I19" s="199" t="s">
        <v>63</v>
      </c>
      <c r="J19" s="202">
        <v>100000.0</v>
      </c>
      <c r="K19" s="202">
        <v>75000.0</v>
      </c>
      <c r="L19" s="203" t="s">
        <v>44</v>
      </c>
      <c r="M19" s="204"/>
      <c r="N19" s="204"/>
      <c r="O19" s="204"/>
      <c r="P19" s="204"/>
      <c r="Q19" s="204"/>
      <c r="R19" s="204"/>
      <c r="S19" s="204"/>
      <c r="T19" s="205"/>
      <c r="U19" s="205"/>
      <c r="V19" s="205"/>
      <c r="W19" s="205"/>
      <c r="X19" s="205"/>
      <c r="Y19" s="205"/>
      <c r="Z19" s="205"/>
    </row>
    <row r="20">
      <c r="A20" s="44" t="s">
        <v>10</v>
      </c>
      <c r="B20" s="214" t="s">
        <v>53</v>
      </c>
      <c r="C20" s="215"/>
      <c r="D20" s="216"/>
      <c r="E20" s="187"/>
      <c r="F20" s="217" t="s">
        <v>67</v>
      </c>
      <c r="G20" s="217" t="s">
        <v>24</v>
      </c>
      <c r="H20" s="218">
        <v>50000.0</v>
      </c>
      <c r="I20" s="214" t="s">
        <v>66</v>
      </c>
      <c r="J20" s="218">
        <v>175000.0</v>
      </c>
      <c r="K20" s="218">
        <v>125000.0</v>
      </c>
      <c r="L20" s="219"/>
      <c r="M20" s="219"/>
      <c r="N20" s="219"/>
      <c r="O20" s="219"/>
      <c r="P20" s="219"/>
      <c r="Q20" s="219"/>
      <c r="R20" s="219"/>
      <c r="S20" s="219"/>
    </row>
    <row r="21">
      <c r="A21" s="44" t="s">
        <v>10</v>
      </c>
      <c r="B21" s="214" t="s">
        <v>53</v>
      </c>
      <c r="C21" s="214" t="s">
        <v>68</v>
      </c>
      <c r="D21" s="216"/>
      <c r="E21" s="210"/>
      <c r="F21" s="217" t="s">
        <v>67</v>
      </c>
      <c r="G21" s="217" t="s">
        <v>70</v>
      </c>
      <c r="H21" s="218">
        <v>25000.0</v>
      </c>
      <c r="I21" s="214" t="s">
        <v>69</v>
      </c>
      <c r="J21" s="218">
        <v>150000.0</v>
      </c>
      <c r="K21" s="218">
        <v>125000.0</v>
      </c>
      <c r="L21" s="219"/>
      <c r="M21" s="219"/>
      <c r="N21" s="219"/>
      <c r="O21" s="219"/>
      <c r="P21" s="219"/>
      <c r="Q21" s="219"/>
      <c r="R21" s="219"/>
      <c r="S21" s="219"/>
    </row>
    <row r="22">
      <c r="A22" s="44" t="s">
        <v>10</v>
      </c>
      <c r="B22" s="214" t="s">
        <v>53</v>
      </c>
      <c r="C22" s="214" t="s">
        <v>68</v>
      </c>
      <c r="D22" s="216"/>
      <c r="E22" s="187"/>
      <c r="F22" s="217" t="s">
        <v>67</v>
      </c>
      <c r="G22" s="217" t="s">
        <v>72</v>
      </c>
      <c r="H22" s="218">
        <v>15000.0</v>
      </c>
      <c r="I22" s="214" t="s">
        <v>71</v>
      </c>
      <c r="J22" s="218">
        <v>75000.0</v>
      </c>
      <c r="K22" s="218">
        <v>60000.0</v>
      </c>
      <c r="L22" s="219"/>
      <c r="M22" s="219"/>
      <c r="N22" s="219"/>
      <c r="O22" s="219"/>
      <c r="P22" s="219"/>
      <c r="Q22" s="219"/>
      <c r="R22" s="219"/>
      <c r="S22" s="219"/>
    </row>
    <row r="23">
      <c r="A23" s="9" t="s">
        <v>10</v>
      </c>
      <c r="B23" s="187" t="s">
        <v>53</v>
      </c>
      <c r="C23" s="187" t="s">
        <v>68</v>
      </c>
      <c r="D23" s="188"/>
      <c r="E23" s="210"/>
      <c r="F23" s="99" t="s">
        <v>14</v>
      </c>
      <c r="G23" s="99" t="s">
        <v>74</v>
      </c>
      <c r="H23" s="190">
        <v>20000.0</v>
      </c>
      <c r="I23" s="187" t="s">
        <v>73</v>
      </c>
      <c r="J23" s="190">
        <v>50000.0</v>
      </c>
      <c r="K23" s="190">
        <v>30000.0</v>
      </c>
      <c r="L23" s="192">
        <v>50000.0</v>
      </c>
      <c r="M23" s="93"/>
      <c r="N23" s="93"/>
      <c r="O23" s="93"/>
      <c r="P23" s="93"/>
      <c r="Q23" s="93"/>
      <c r="R23" s="93"/>
      <c r="S23" s="93"/>
    </row>
    <row r="24">
      <c r="A24" s="9" t="s">
        <v>10</v>
      </c>
      <c r="B24" s="187" t="s">
        <v>53</v>
      </c>
      <c r="C24" s="187" t="s">
        <v>68</v>
      </c>
      <c r="D24" s="188"/>
      <c r="E24" s="98"/>
      <c r="F24" s="99" t="s">
        <v>14</v>
      </c>
      <c r="G24" s="99" t="s">
        <v>72</v>
      </c>
      <c r="H24" s="190">
        <v>15000.0</v>
      </c>
      <c r="I24" s="187" t="s">
        <v>75</v>
      </c>
      <c r="J24" s="190">
        <v>75000.0</v>
      </c>
      <c r="K24" s="190">
        <v>60000.0</v>
      </c>
      <c r="L24" s="192">
        <v>75000.0</v>
      </c>
      <c r="M24" s="93"/>
      <c r="N24" s="93"/>
      <c r="O24" s="93"/>
      <c r="P24" s="93"/>
      <c r="Q24" s="93"/>
      <c r="R24" s="93"/>
      <c r="S24" s="93"/>
    </row>
    <row r="25">
      <c r="A25" s="29" t="s">
        <v>10</v>
      </c>
      <c r="B25" s="189" t="s">
        <v>56</v>
      </c>
      <c r="C25" s="189" t="s">
        <v>76</v>
      </c>
      <c r="D25" s="206"/>
      <c r="E25" s="108"/>
      <c r="F25" s="207" t="s">
        <v>78</v>
      </c>
      <c r="G25" s="207" t="s">
        <v>79</v>
      </c>
      <c r="H25" s="208">
        <v>25000.0</v>
      </c>
      <c r="I25" s="189" t="s">
        <v>77</v>
      </c>
      <c r="J25" s="208">
        <v>100000.0</v>
      </c>
      <c r="K25" s="208">
        <v>75000.0</v>
      </c>
      <c r="L25" s="209"/>
      <c r="M25" s="209"/>
      <c r="N25" s="209"/>
      <c r="O25" s="209"/>
      <c r="P25" s="209"/>
      <c r="Q25" s="209"/>
      <c r="R25" s="209"/>
      <c r="S25" s="209"/>
    </row>
    <row r="26">
      <c r="A26" s="9" t="s">
        <v>10</v>
      </c>
      <c r="B26" s="187" t="s">
        <v>76</v>
      </c>
      <c r="C26" s="187" t="s">
        <v>80</v>
      </c>
      <c r="D26" s="188"/>
      <c r="E26" s="108"/>
      <c r="F26" s="99" t="s">
        <v>67</v>
      </c>
      <c r="G26" s="99" t="s">
        <v>24</v>
      </c>
      <c r="H26" s="190">
        <v>50000.0</v>
      </c>
      <c r="I26" s="187" t="s">
        <v>81</v>
      </c>
      <c r="J26" s="190">
        <v>150000.0</v>
      </c>
      <c r="K26" s="190">
        <v>100000.0</v>
      </c>
      <c r="L26" s="220"/>
      <c r="M26" s="220"/>
      <c r="N26" s="220"/>
      <c r="O26" s="220"/>
      <c r="P26" s="220"/>
      <c r="Q26" s="220"/>
      <c r="R26" s="220"/>
      <c r="S26" s="220"/>
    </row>
    <row r="27">
      <c r="A27" s="9" t="s">
        <v>10</v>
      </c>
      <c r="B27" s="187" t="s">
        <v>76</v>
      </c>
      <c r="C27" s="187" t="s">
        <v>80</v>
      </c>
      <c r="D27" s="188"/>
      <c r="E27" s="108"/>
      <c r="F27" s="99" t="s">
        <v>14</v>
      </c>
      <c r="G27" s="99" t="s">
        <v>83</v>
      </c>
      <c r="H27" s="190">
        <v>15000.0</v>
      </c>
      <c r="I27" s="187" t="s">
        <v>82</v>
      </c>
      <c r="J27" s="190">
        <v>75000.0</v>
      </c>
      <c r="K27" s="190">
        <v>60000.0</v>
      </c>
      <c r="L27" s="192">
        <v>75000.0</v>
      </c>
      <c r="M27" s="93"/>
      <c r="N27" s="93"/>
      <c r="O27" s="93"/>
      <c r="P27" s="93"/>
      <c r="Q27" s="93"/>
      <c r="R27" s="93"/>
      <c r="S27" s="93"/>
    </row>
    <row r="28">
      <c r="A28" s="9" t="s">
        <v>10</v>
      </c>
      <c r="B28" s="187" t="s">
        <v>76</v>
      </c>
      <c r="C28" s="187" t="s">
        <v>80</v>
      </c>
      <c r="D28" s="188"/>
      <c r="E28" s="116"/>
      <c r="F28" s="99" t="s">
        <v>14</v>
      </c>
      <c r="G28" s="99" t="s">
        <v>86</v>
      </c>
      <c r="H28" s="190">
        <v>5000.0</v>
      </c>
      <c r="I28" s="187" t="s">
        <v>85</v>
      </c>
      <c r="J28" s="190">
        <v>30000.0</v>
      </c>
      <c r="K28" s="190">
        <v>25000.0</v>
      </c>
      <c r="L28" s="192">
        <v>30000.0</v>
      </c>
      <c r="M28" s="93"/>
      <c r="N28" s="93"/>
      <c r="O28" s="93"/>
      <c r="P28" s="93"/>
      <c r="Q28" s="93"/>
      <c r="R28" s="93"/>
      <c r="S28" s="93"/>
    </row>
    <row r="29">
      <c r="A29" s="9" t="s">
        <v>10</v>
      </c>
      <c r="B29" s="187" t="s">
        <v>87</v>
      </c>
      <c r="C29" s="187" t="s">
        <v>80</v>
      </c>
      <c r="D29" s="188"/>
      <c r="E29" s="116"/>
      <c r="F29" s="99" t="s">
        <v>14</v>
      </c>
      <c r="G29" s="99" t="s">
        <v>89</v>
      </c>
      <c r="H29" s="190">
        <v>5000.0</v>
      </c>
      <c r="I29" s="187" t="s">
        <v>88</v>
      </c>
      <c r="J29" s="190">
        <v>50000.0</v>
      </c>
      <c r="K29" s="190">
        <v>45000.0</v>
      </c>
      <c r="L29" s="192">
        <v>50000.0</v>
      </c>
      <c r="M29" s="93"/>
      <c r="N29" s="93"/>
      <c r="O29" s="93"/>
      <c r="P29" s="93"/>
      <c r="Q29" s="93"/>
      <c r="R29" s="93"/>
      <c r="S29" s="93"/>
    </row>
    <row r="30">
      <c r="A30" s="44" t="s">
        <v>10</v>
      </c>
      <c r="B30" s="214" t="s">
        <v>90</v>
      </c>
      <c r="C30" s="214" t="s">
        <v>91</v>
      </c>
      <c r="D30" s="216"/>
      <c r="E30" s="116"/>
      <c r="F30" s="217" t="s">
        <v>67</v>
      </c>
      <c r="G30" s="217" t="s">
        <v>93</v>
      </c>
      <c r="H30" s="218">
        <v>15000.0</v>
      </c>
      <c r="I30" s="214" t="s">
        <v>92</v>
      </c>
      <c r="J30" s="218">
        <v>100000.0</v>
      </c>
      <c r="K30" s="218">
        <v>85000.0</v>
      </c>
      <c r="L30" s="219"/>
      <c r="M30" s="219"/>
      <c r="N30" s="219"/>
      <c r="O30" s="219"/>
      <c r="P30" s="219"/>
      <c r="Q30" s="219"/>
      <c r="R30" s="219"/>
      <c r="S30" s="219"/>
    </row>
    <row r="31">
      <c r="A31" s="9" t="s">
        <v>10</v>
      </c>
      <c r="B31" s="187" t="s">
        <v>94</v>
      </c>
      <c r="C31" s="187" t="s">
        <v>94</v>
      </c>
      <c r="D31" s="188"/>
      <c r="E31" s="116"/>
      <c r="F31" s="99" t="s">
        <v>14</v>
      </c>
      <c r="G31" s="99" t="s">
        <v>24</v>
      </c>
      <c r="H31" s="190">
        <v>50000.0</v>
      </c>
      <c r="I31" s="187" t="s">
        <v>95</v>
      </c>
      <c r="J31" s="190">
        <v>200000.0</v>
      </c>
      <c r="K31" s="190">
        <v>150000.0</v>
      </c>
      <c r="L31" s="192">
        <v>200000.0</v>
      </c>
      <c r="M31" s="93"/>
      <c r="N31" s="93"/>
      <c r="O31" s="93"/>
      <c r="P31" s="93"/>
      <c r="Q31" s="93"/>
      <c r="R31" s="93"/>
      <c r="S31" s="93"/>
    </row>
    <row r="32">
      <c r="A32" s="9" t="s">
        <v>10</v>
      </c>
      <c r="B32" s="187" t="s">
        <v>94</v>
      </c>
      <c r="C32" s="187" t="s">
        <v>94</v>
      </c>
      <c r="D32" s="188"/>
      <c r="E32" s="116"/>
      <c r="F32" s="99" t="s">
        <v>67</v>
      </c>
      <c r="G32" s="99" t="s">
        <v>97</v>
      </c>
      <c r="H32" s="190">
        <v>5000.0</v>
      </c>
      <c r="I32" s="187" t="s">
        <v>96</v>
      </c>
      <c r="J32" s="190">
        <v>40000.0</v>
      </c>
      <c r="K32" s="190">
        <v>35000.0</v>
      </c>
      <c r="L32" s="221" t="s">
        <v>98</v>
      </c>
      <c r="M32" s="222" t="s">
        <v>99</v>
      </c>
      <c r="N32" s="93"/>
      <c r="O32" s="93"/>
      <c r="P32" s="93"/>
      <c r="Q32" s="93"/>
      <c r="R32" s="93"/>
      <c r="S32" s="93"/>
    </row>
    <row r="33">
      <c r="A33" s="9" t="s">
        <v>10</v>
      </c>
      <c r="B33" s="187" t="s">
        <v>94</v>
      </c>
      <c r="C33" s="187" t="s">
        <v>94</v>
      </c>
      <c r="D33" s="188"/>
      <c r="E33" s="116"/>
      <c r="F33" s="99" t="s">
        <v>67</v>
      </c>
      <c r="G33" s="99" t="s">
        <v>72</v>
      </c>
      <c r="H33" s="190">
        <v>15000.0</v>
      </c>
      <c r="I33" s="187" t="s">
        <v>100</v>
      </c>
      <c r="J33" s="190">
        <v>75000.0</v>
      </c>
      <c r="K33" s="190">
        <v>60000.0</v>
      </c>
      <c r="L33" s="221" t="s">
        <v>98</v>
      </c>
      <c r="M33" s="222" t="s">
        <v>101</v>
      </c>
      <c r="N33" s="93"/>
      <c r="O33" s="93"/>
      <c r="P33" s="93"/>
      <c r="Q33" s="93"/>
      <c r="R33" s="93"/>
      <c r="S33" s="93"/>
    </row>
    <row r="34">
      <c r="A34" s="9" t="s">
        <v>10</v>
      </c>
      <c r="B34" s="187" t="s">
        <v>94</v>
      </c>
      <c r="C34" s="187" t="s">
        <v>94</v>
      </c>
      <c r="D34" s="188"/>
      <c r="E34" s="116"/>
      <c r="F34" s="99" t="s">
        <v>67</v>
      </c>
      <c r="G34" s="99" t="s">
        <v>93</v>
      </c>
      <c r="H34" s="190">
        <v>15000.0</v>
      </c>
      <c r="I34" s="187" t="s">
        <v>102</v>
      </c>
      <c r="J34" s="190">
        <v>50000.0</v>
      </c>
      <c r="K34" s="190">
        <v>35000.0</v>
      </c>
      <c r="L34" s="221" t="s">
        <v>98</v>
      </c>
      <c r="M34" s="223" t="s">
        <v>103</v>
      </c>
      <c r="N34" s="93"/>
      <c r="O34" s="93"/>
      <c r="P34" s="93"/>
      <c r="Q34" s="93"/>
      <c r="R34" s="93"/>
      <c r="S34" s="93"/>
    </row>
    <row r="35">
      <c r="A35" s="9" t="s">
        <v>10</v>
      </c>
      <c r="B35" s="187" t="s">
        <v>94</v>
      </c>
      <c r="C35" s="187" t="s">
        <v>104</v>
      </c>
      <c r="D35" s="188"/>
      <c r="E35" s="116"/>
      <c r="F35" s="99" t="s">
        <v>14</v>
      </c>
      <c r="G35" s="99" t="s">
        <v>24</v>
      </c>
      <c r="H35" s="190">
        <v>50000.0</v>
      </c>
      <c r="I35" s="187" t="s">
        <v>105</v>
      </c>
      <c r="J35" s="190">
        <v>175000.0</v>
      </c>
      <c r="K35" s="190">
        <v>125000.0</v>
      </c>
      <c r="L35" s="192">
        <v>125000.0</v>
      </c>
      <c r="M35" s="93"/>
      <c r="N35" s="93"/>
      <c r="O35" s="93"/>
      <c r="P35" s="93"/>
      <c r="Q35" s="93"/>
      <c r="R35" s="93"/>
      <c r="S35" s="93"/>
    </row>
    <row r="36">
      <c r="A36" s="9" t="s">
        <v>10</v>
      </c>
      <c r="B36" s="187" t="s">
        <v>106</v>
      </c>
      <c r="C36" s="187" t="s">
        <v>107</v>
      </c>
      <c r="D36" s="188"/>
      <c r="E36" s="109"/>
      <c r="F36" s="99" t="s">
        <v>14</v>
      </c>
      <c r="G36" s="99" t="s">
        <v>86</v>
      </c>
      <c r="H36" s="190">
        <v>10000.0</v>
      </c>
      <c r="I36" s="187" t="s">
        <v>108</v>
      </c>
      <c r="J36" s="190">
        <v>45000.0</v>
      </c>
      <c r="K36" s="190">
        <v>35000.0</v>
      </c>
      <c r="L36" s="192">
        <v>45000.0</v>
      </c>
      <c r="M36" s="93"/>
      <c r="N36" s="93"/>
      <c r="O36" s="93"/>
      <c r="P36" s="93"/>
      <c r="Q36" s="93"/>
      <c r="R36" s="93"/>
      <c r="S36" s="93"/>
    </row>
    <row r="37">
      <c r="A37" s="9" t="s">
        <v>10</v>
      </c>
      <c r="B37" s="187" t="s">
        <v>106</v>
      </c>
      <c r="C37" s="187" t="s">
        <v>104</v>
      </c>
      <c r="D37" s="188"/>
      <c r="E37" s="109"/>
      <c r="F37" s="99" t="s">
        <v>110</v>
      </c>
      <c r="G37" s="99" t="s">
        <v>47</v>
      </c>
      <c r="H37" s="190">
        <v>25000.0</v>
      </c>
      <c r="I37" s="187" t="s">
        <v>109</v>
      </c>
      <c r="J37" s="224">
        <v>60000.0</v>
      </c>
      <c r="K37" s="190">
        <v>35000.0</v>
      </c>
      <c r="L37" s="220"/>
      <c r="M37" s="220"/>
      <c r="N37" s="220"/>
      <c r="O37" s="220"/>
      <c r="P37" s="220"/>
      <c r="Q37" s="220"/>
      <c r="R37" s="220"/>
      <c r="S37" s="220"/>
    </row>
    <row r="38">
      <c r="A38" s="44" t="s">
        <v>10</v>
      </c>
      <c r="B38" s="214" t="s">
        <v>91</v>
      </c>
      <c r="C38" s="214" t="s">
        <v>111</v>
      </c>
      <c r="D38" s="216"/>
      <c r="E38" s="215"/>
      <c r="F38" s="217" t="s">
        <v>67</v>
      </c>
      <c r="G38" s="217" t="s">
        <v>113</v>
      </c>
      <c r="H38" s="218">
        <v>25000.0</v>
      </c>
      <c r="I38" s="214" t="s">
        <v>112</v>
      </c>
      <c r="J38" s="218">
        <v>75000.0</v>
      </c>
      <c r="K38" s="218">
        <v>50000.0</v>
      </c>
      <c r="L38" s="225"/>
      <c r="M38" s="219"/>
      <c r="N38" s="219"/>
      <c r="O38" s="219"/>
      <c r="P38" s="219"/>
      <c r="Q38" s="219"/>
      <c r="R38" s="219"/>
      <c r="S38" s="219"/>
    </row>
    <row r="39">
      <c r="A39" s="29" t="s">
        <v>10</v>
      </c>
      <c r="B39" s="189" t="s">
        <v>111</v>
      </c>
      <c r="C39" s="189" t="s">
        <v>111</v>
      </c>
      <c r="D39" s="206"/>
      <c r="E39" s="213"/>
      <c r="F39" s="207" t="s">
        <v>78</v>
      </c>
      <c r="G39" s="207" t="s">
        <v>115</v>
      </c>
      <c r="H39" s="208">
        <v>25000.0</v>
      </c>
      <c r="I39" s="189" t="s">
        <v>114</v>
      </c>
      <c r="J39" s="208">
        <v>65000.0</v>
      </c>
      <c r="K39" s="208">
        <v>40000.0</v>
      </c>
      <c r="L39" s="209"/>
      <c r="M39" s="209"/>
      <c r="N39" s="209"/>
      <c r="O39" s="209"/>
      <c r="P39" s="209"/>
      <c r="Q39" s="209"/>
      <c r="R39" s="209"/>
      <c r="S39" s="209"/>
    </row>
    <row r="40">
      <c r="A40" s="9" t="s">
        <v>10</v>
      </c>
      <c r="B40" s="187" t="s">
        <v>111</v>
      </c>
      <c r="C40" s="187" t="s">
        <v>111</v>
      </c>
      <c r="D40" s="188"/>
      <c r="E40" s="109"/>
      <c r="F40" s="99" t="s">
        <v>14</v>
      </c>
      <c r="G40" s="99" t="s">
        <v>89</v>
      </c>
      <c r="H40" s="190">
        <v>5000.0</v>
      </c>
      <c r="I40" s="187" t="s">
        <v>116</v>
      </c>
      <c r="J40" s="190">
        <v>50000.0</v>
      </c>
      <c r="K40" s="190">
        <v>45000.0</v>
      </c>
      <c r="L40" s="192">
        <v>50000.0</v>
      </c>
      <c r="M40" s="93"/>
      <c r="N40" s="93"/>
      <c r="O40" s="93"/>
      <c r="P40" s="93"/>
      <c r="Q40" s="93"/>
      <c r="R40" s="93"/>
      <c r="S40" s="93"/>
    </row>
    <row r="41">
      <c r="A41" s="9" t="s">
        <v>10</v>
      </c>
      <c r="B41" s="187" t="s">
        <v>104</v>
      </c>
      <c r="C41" s="187" t="s">
        <v>104</v>
      </c>
      <c r="D41" s="188"/>
      <c r="E41" s="109"/>
      <c r="F41" s="99" t="s">
        <v>14</v>
      </c>
      <c r="G41" s="99" t="s">
        <v>118</v>
      </c>
      <c r="H41" s="190">
        <v>25000.0</v>
      </c>
      <c r="I41" s="187" t="s">
        <v>117</v>
      </c>
      <c r="J41" s="190">
        <v>150000.0</v>
      </c>
      <c r="K41" s="190">
        <v>125000.0</v>
      </c>
      <c r="L41" s="192">
        <v>150000.0</v>
      </c>
      <c r="M41" s="93"/>
      <c r="N41" s="93"/>
      <c r="O41" s="93"/>
      <c r="P41" s="93"/>
      <c r="Q41" s="93"/>
      <c r="R41" s="93"/>
      <c r="S41" s="93"/>
    </row>
    <row r="42">
      <c r="A42" s="9" t="s">
        <v>10</v>
      </c>
      <c r="B42" s="187" t="s">
        <v>104</v>
      </c>
      <c r="C42" s="187" t="s">
        <v>104</v>
      </c>
      <c r="D42" s="188"/>
      <c r="E42" s="109"/>
      <c r="F42" s="99" t="s">
        <v>14</v>
      </c>
      <c r="G42" s="99" t="s">
        <v>115</v>
      </c>
      <c r="H42" s="190">
        <v>15000.0</v>
      </c>
      <c r="I42" s="187" t="s">
        <v>119</v>
      </c>
      <c r="J42" s="190">
        <v>75000.0</v>
      </c>
      <c r="K42" s="190">
        <v>60000.0</v>
      </c>
      <c r="L42" s="192">
        <v>75000.0</v>
      </c>
      <c r="M42" s="93"/>
      <c r="N42" s="93"/>
      <c r="O42" s="192">
        <v>75.0</v>
      </c>
      <c r="P42" s="192">
        <v>175.0</v>
      </c>
      <c r="Q42" s="192">
        <v>150.0</v>
      </c>
      <c r="R42" s="192">
        <v>100.0</v>
      </c>
      <c r="S42" s="192">
        <v>15.0</v>
      </c>
    </row>
    <row r="43">
      <c r="A43" s="9" t="s">
        <v>10</v>
      </c>
      <c r="B43" s="187" t="s">
        <v>120</v>
      </c>
      <c r="C43" s="187" t="s">
        <v>120</v>
      </c>
      <c r="D43" s="188"/>
      <c r="E43" s="109"/>
      <c r="F43" s="99" t="s">
        <v>14</v>
      </c>
      <c r="G43" s="99" t="s">
        <v>122</v>
      </c>
      <c r="H43" s="190">
        <v>50000.0</v>
      </c>
      <c r="I43" s="187" t="s">
        <v>121</v>
      </c>
      <c r="J43" s="190">
        <v>175000.0</v>
      </c>
      <c r="K43" s="190">
        <v>125000.0</v>
      </c>
      <c r="L43" s="226">
        <v>175000.0</v>
      </c>
      <c r="M43" s="220"/>
      <c r="N43" s="220"/>
      <c r="O43" s="220"/>
      <c r="P43" s="220"/>
      <c r="Q43" s="220"/>
      <c r="R43" s="220"/>
      <c r="S43" s="220"/>
    </row>
    <row r="44">
      <c r="A44" s="60" t="s">
        <v>10</v>
      </c>
      <c r="B44" s="227" t="s">
        <v>120</v>
      </c>
      <c r="C44" s="227" t="s">
        <v>120</v>
      </c>
      <c r="D44" s="228"/>
      <c r="E44" s="229"/>
      <c r="F44" s="230" t="s">
        <v>67</v>
      </c>
      <c r="G44" s="230" t="s">
        <v>124</v>
      </c>
      <c r="H44" s="231">
        <v>75000.0</v>
      </c>
      <c r="I44" s="227" t="s">
        <v>123</v>
      </c>
      <c r="J44" s="231">
        <v>350000.0</v>
      </c>
      <c r="K44" s="231">
        <v>275000.0</v>
      </c>
      <c r="L44" s="232"/>
      <c r="M44" s="232"/>
      <c r="N44" s="232"/>
      <c r="O44" s="232"/>
      <c r="P44" s="232"/>
      <c r="Q44" s="232"/>
      <c r="R44" s="232"/>
      <c r="S44" s="232"/>
    </row>
    <row r="45">
      <c r="A45" s="9" t="s">
        <v>10</v>
      </c>
      <c r="B45" s="187" t="s">
        <v>120</v>
      </c>
      <c r="C45" s="187" t="s">
        <v>125</v>
      </c>
      <c r="D45" s="188"/>
      <c r="E45" s="109"/>
      <c r="F45" s="99" t="s">
        <v>14</v>
      </c>
      <c r="G45" s="99" t="s">
        <v>89</v>
      </c>
      <c r="H45" s="190">
        <v>5000.0</v>
      </c>
      <c r="I45" s="187" t="s">
        <v>126</v>
      </c>
      <c r="J45" s="190">
        <v>35000.0</v>
      </c>
      <c r="K45" s="190">
        <v>30000.0</v>
      </c>
      <c r="L45" s="192">
        <v>35000.0</v>
      </c>
      <c r="M45" s="93"/>
      <c r="N45" s="93"/>
      <c r="O45" s="93"/>
      <c r="P45" s="93"/>
      <c r="Q45" s="93"/>
      <c r="R45" s="93"/>
      <c r="S45" s="93"/>
    </row>
    <row r="46">
      <c r="A46" s="9" t="s">
        <v>10</v>
      </c>
      <c r="B46" s="187" t="s">
        <v>120</v>
      </c>
      <c r="C46" s="187" t="s">
        <v>125</v>
      </c>
      <c r="D46" s="188"/>
      <c r="E46" s="109"/>
      <c r="F46" s="99" t="s">
        <v>14</v>
      </c>
      <c r="G46" s="99" t="s">
        <v>89</v>
      </c>
      <c r="H46" s="190">
        <v>5000.0</v>
      </c>
      <c r="I46" s="98">
        <v>83.0</v>
      </c>
      <c r="J46" s="190">
        <v>35000.0</v>
      </c>
      <c r="K46" s="190">
        <v>30000.0</v>
      </c>
      <c r="L46" s="192">
        <v>35000.0</v>
      </c>
      <c r="M46" s="93"/>
      <c r="N46" s="93"/>
      <c r="O46" s="93"/>
      <c r="P46" s="93"/>
      <c r="Q46" s="93"/>
      <c r="R46" s="93"/>
      <c r="S46" s="93"/>
    </row>
    <row r="47">
      <c r="A47" s="9" t="s">
        <v>127</v>
      </c>
      <c r="B47" s="187" t="s">
        <v>128</v>
      </c>
      <c r="C47" s="187" t="s">
        <v>129</v>
      </c>
      <c r="D47" s="188"/>
      <c r="E47" s="109"/>
      <c r="F47" s="99" t="s">
        <v>131</v>
      </c>
      <c r="G47" s="99" t="s">
        <v>131</v>
      </c>
      <c r="H47" s="190">
        <v>800000.0</v>
      </c>
      <c r="I47" s="187" t="s">
        <v>130</v>
      </c>
      <c r="J47" s="190">
        <v>2400000.0</v>
      </c>
      <c r="K47" s="190">
        <v>1600000.0</v>
      </c>
      <c r="L47" s="93"/>
      <c r="M47" s="93"/>
      <c r="N47" s="93"/>
      <c r="O47" s="93"/>
      <c r="P47" s="93"/>
      <c r="Q47" s="93"/>
      <c r="R47" s="93"/>
      <c r="S47" s="93"/>
    </row>
    <row r="48">
      <c r="A48" s="23" t="s">
        <v>127</v>
      </c>
      <c r="B48" s="199" t="s">
        <v>128</v>
      </c>
      <c r="C48" s="199" t="s">
        <v>128</v>
      </c>
      <c r="D48" s="200"/>
      <c r="E48" s="212"/>
      <c r="F48" s="201" t="s">
        <v>133</v>
      </c>
      <c r="G48" s="201" t="s">
        <v>133</v>
      </c>
      <c r="H48" s="202">
        <v>550000.0</v>
      </c>
      <c r="I48" s="199" t="s">
        <v>132</v>
      </c>
      <c r="J48" s="202">
        <v>1675000.0</v>
      </c>
      <c r="K48" s="202">
        <v>1125000.0</v>
      </c>
      <c r="L48" s="204"/>
      <c r="M48" s="204"/>
      <c r="N48" s="204"/>
      <c r="O48" s="204"/>
      <c r="P48" s="204"/>
      <c r="Q48" s="204"/>
      <c r="R48" s="204"/>
      <c r="S48" s="204"/>
    </row>
    <row r="49">
      <c r="A49" s="23" t="s">
        <v>127</v>
      </c>
      <c r="B49" s="199" t="s">
        <v>134</v>
      </c>
      <c r="C49" s="199" t="s">
        <v>53</v>
      </c>
      <c r="D49" s="200"/>
      <c r="E49" s="212"/>
      <c r="F49" s="201" t="s">
        <v>136</v>
      </c>
      <c r="G49" s="201" t="s">
        <v>136</v>
      </c>
      <c r="H49" s="202">
        <v>280000.0</v>
      </c>
      <c r="I49" s="199" t="s">
        <v>135</v>
      </c>
      <c r="J49" s="202">
        <v>800000.0</v>
      </c>
      <c r="K49" s="202">
        <v>520000.0</v>
      </c>
      <c r="L49" s="204"/>
      <c r="M49" s="204"/>
      <c r="N49" s="204"/>
      <c r="O49" s="204"/>
      <c r="P49" s="204"/>
      <c r="Q49" s="204"/>
      <c r="R49" s="204"/>
      <c r="S49" s="204"/>
    </row>
    <row r="50">
      <c r="A50" s="23" t="s">
        <v>127</v>
      </c>
      <c r="B50" s="199" t="s">
        <v>68</v>
      </c>
      <c r="C50" s="199" t="s">
        <v>68</v>
      </c>
      <c r="D50" s="200"/>
      <c r="E50" s="212"/>
      <c r="F50" s="201" t="s">
        <v>138</v>
      </c>
      <c r="G50" s="201" t="s">
        <v>138</v>
      </c>
      <c r="H50" s="202">
        <v>250000.0</v>
      </c>
      <c r="I50" s="199" t="s">
        <v>137</v>
      </c>
      <c r="J50" s="202">
        <v>400000.0</v>
      </c>
      <c r="K50" s="202">
        <v>150000.0</v>
      </c>
      <c r="L50" s="204"/>
      <c r="M50" s="204"/>
      <c r="N50" s="204"/>
      <c r="O50" s="204"/>
      <c r="P50" s="204"/>
      <c r="Q50" s="204"/>
      <c r="R50" s="204"/>
      <c r="S50" s="204"/>
    </row>
    <row r="51">
      <c r="A51" s="9" t="s">
        <v>127</v>
      </c>
      <c r="B51" s="187" t="s">
        <v>139</v>
      </c>
      <c r="C51" s="187" t="s">
        <v>140</v>
      </c>
      <c r="D51" s="188"/>
      <c r="E51" s="109"/>
      <c r="F51" s="99" t="s">
        <v>142</v>
      </c>
      <c r="G51" s="99" t="s">
        <v>142</v>
      </c>
      <c r="H51" s="190">
        <v>190000.0</v>
      </c>
      <c r="I51" s="187" t="s">
        <v>141</v>
      </c>
      <c r="J51" s="190">
        <v>300000.0</v>
      </c>
      <c r="K51" s="190">
        <v>110000.0</v>
      </c>
      <c r="L51" s="93"/>
      <c r="M51" s="93"/>
      <c r="N51" s="93"/>
      <c r="O51" s="93"/>
      <c r="P51" s="93"/>
      <c r="Q51" s="93"/>
      <c r="R51" s="93"/>
      <c r="S51" s="93"/>
    </row>
    <row r="52">
      <c r="A52" s="9" t="s">
        <v>127</v>
      </c>
      <c r="B52" s="187" t="s">
        <v>139</v>
      </c>
      <c r="C52" s="187" t="s">
        <v>143</v>
      </c>
      <c r="D52" s="188"/>
      <c r="E52" s="109"/>
      <c r="F52" s="99" t="s">
        <v>145</v>
      </c>
      <c r="G52" s="99" t="s">
        <v>145</v>
      </c>
      <c r="H52" s="190">
        <v>345000.0</v>
      </c>
      <c r="I52" s="187" t="s">
        <v>144</v>
      </c>
      <c r="J52" s="190">
        <v>845000.0</v>
      </c>
      <c r="K52" s="190">
        <v>500000.0</v>
      </c>
      <c r="L52" s="93"/>
      <c r="M52" s="93"/>
      <c r="N52" s="93"/>
      <c r="O52" s="93"/>
      <c r="P52" s="93"/>
      <c r="Q52" s="93"/>
      <c r="R52" s="93"/>
      <c r="S52" s="93"/>
    </row>
    <row r="53">
      <c r="A53" s="29" t="s">
        <v>127</v>
      </c>
      <c r="B53" s="189" t="s">
        <v>139</v>
      </c>
      <c r="C53" s="189" t="s">
        <v>146</v>
      </c>
      <c r="D53" s="206"/>
      <c r="E53" s="213"/>
      <c r="F53" s="207" t="s">
        <v>148</v>
      </c>
      <c r="G53" s="207" t="s">
        <v>148</v>
      </c>
      <c r="H53" s="208">
        <v>1220000.0</v>
      </c>
      <c r="I53" s="189" t="s">
        <v>147</v>
      </c>
      <c r="J53" s="208">
        <v>2850000.0</v>
      </c>
      <c r="K53" s="208">
        <v>1630000.0</v>
      </c>
      <c r="L53" s="209"/>
      <c r="M53" s="209"/>
      <c r="N53" s="209"/>
      <c r="O53" s="209"/>
      <c r="P53" s="209"/>
      <c r="Q53" s="209"/>
      <c r="R53" s="209"/>
      <c r="S53" s="209"/>
    </row>
    <row r="54">
      <c r="A54" s="84" t="s">
        <v>10</v>
      </c>
      <c r="B54" s="109"/>
      <c r="C54" s="109"/>
      <c r="D54" s="188"/>
      <c r="E54" s="109"/>
      <c r="F54" s="109"/>
      <c r="G54" s="109"/>
      <c r="H54" s="188"/>
      <c r="I54" s="109"/>
      <c r="J54" s="188"/>
      <c r="K54" s="190">
        <v>0.0</v>
      </c>
      <c r="L54" s="93"/>
      <c r="M54" s="93"/>
      <c r="N54" s="93"/>
      <c r="O54" s="93"/>
      <c r="P54" s="93"/>
      <c r="Q54" s="93"/>
      <c r="R54" s="93"/>
      <c r="S54" s="93"/>
    </row>
    <row r="55">
      <c r="A55" s="233"/>
      <c r="B55" s="109"/>
      <c r="C55" s="109"/>
      <c r="D55" s="188"/>
      <c r="E55" s="109"/>
      <c r="F55" s="109"/>
      <c r="G55" s="109"/>
      <c r="H55" s="188"/>
      <c r="I55" s="109"/>
      <c r="J55" s="188"/>
      <c r="K55" s="190">
        <v>0.0</v>
      </c>
      <c r="L55" s="93"/>
      <c r="M55" s="93"/>
      <c r="N55" s="93"/>
      <c r="O55" s="93"/>
      <c r="P55" s="93"/>
      <c r="Q55" s="93"/>
      <c r="R55" s="93"/>
      <c r="S55" s="93"/>
    </row>
    <row r="56">
      <c r="A56" s="104" t="s">
        <v>149</v>
      </c>
      <c r="B56" s="234" t="s">
        <v>149</v>
      </c>
      <c r="F56" s="235" t="s">
        <v>67</v>
      </c>
      <c r="G56" s="113" t="s">
        <v>151</v>
      </c>
      <c r="I56" s="234" t="s">
        <v>150</v>
      </c>
      <c r="J56" s="236">
        <v>50000.0</v>
      </c>
    </row>
    <row r="57">
      <c r="A57" s="108" t="s">
        <v>149</v>
      </c>
      <c r="B57" s="234" t="s">
        <v>149</v>
      </c>
      <c r="F57" s="99" t="s">
        <v>67</v>
      </c>
      <c r="G57" s="113" t="s">
        <v>153</v>
      </c>
      <c r="I57" s="234" t="s">
        <v>152</v>
      </c>
      <c r="J57" s="236">
        <v>50000.0</v>
      </c>
    </row>
    <row r="58">
      <c r="A58" s="108" t="s">
        <v>149</v>
      </c>
      <c r="B58" s="234" t="s">
        <v>149</v>
      </c>
      <c r="F58" s="99" t="s">
        <v>64</v>
      </c>
      <c r="G58" s="113" t="s">
        <v>155</v>
      </c>
      <c r="I58" s="234" t="s">
        <v>154</v>
      </c>
      <c r="J58" s="237">
        <v>185000.0</v>
      </c>
    </row>
    <row r="59">
      <c r="A59" s="108" t="s">
        <v>156</v>
      </c>
      <c r="B59" s="234" t="s">
        <v>143</v>
      </c>
      <c r="F59" s="99" t="s">
        <v>67</v>
      </c>
      <c r="G59" s="113" t="s">
        <v>89</v>
      </c>
      <c r="I59" s="234" t="s">
        <v>157</v>
      </c>
      <c r="J59" s="236">
        <v>75000.0</v>
      </c>
    </row>
    <row r="60">
      <c r="A60" s="108" t="s">
        <v>156</v>
      </c>
      <c r="B60" s="234" t="s">
        <v>143</v>
      </c>
      <c r="F60" s="99" t="s">
        <v>67</v>
      </c>
      <c r="G60" s="113" t="s">
        <v>153</v>
      </c>
      <c r="I60" s="234" t="s">
        <v>158</v>
      </c>
      <c r="J60" s="236">
        <v>50000.0</v>
      </c>
    </row>
    <row r="61">
      <c r="A61" s="108" t="s">
        <v>156</v>
      </c>
      <c r="B61" s="234" t="s">
        <v>143</v>
      </c>
      <c r="F61" s="99" t="s">
        <v>67</v>
      </c>
      <c r="G61" s="113" t="s">
        <v>160</v>
      </c>
      <c r="I61" s="234" t="s">
        <v>159</v>
      </c>
      <c r="J61" s="236">
        <v>30000.0</v>
      </c>
    </row>
    <row r="62">
      <c r="A62" s="116" t="s">
        <v>156</v>
      </c>
      <c r="B62" s="234" t="s">
        <v>143</v>
      </c>
      <c r="F62" s="117" t="s">
        <v>67</v>
      </c>
      <c r="G62" s="113" t="s">
        <v>162</v>
      </c>
      <c r="I62" s="234" t="s">
        <v>161</v>
      </c>
      <c r="J62" s="236">
        <v>30000.0</v>
      </c>
    </row>
    <row r="63">
      <c r="A63" s="116" t="s">
        <v>156</v>
      </c>
      <c r="B63" s="234" t="s">
        <v>156</v>
      </c>
      <c r="F63" s="117" t="s">
        <v>67</v>
      </c>
      <c r="G63" s="113" t="s">
        <v>164</v>
      </c>
      <c r="I63" s="234" t="s">
        <v>163</v>
      </c>
      <c r="J63" s="236">
        <v>75000.0</v>
      </c>
    </row>
    <row r="64">
      <c r="A64" s="116" t="s">
        <v>156</v>
      </c>
      <c r="B64" s="234" t="s">
        <v>146</v>
      </c>
      <c r="F64" s="117" t="s">
        <v>14</v>
      </c>
      <c r="G64" s="113" t="s">
        <v>166</v>
      </c>
      <c r="I64" s="234" t="s">
        <v>165</v>
      </c>
      <c r="J64" s="236">
        <v>140000.0</v>
      </c>
    </row>
    <row r="65">
      <c r="A65" s="116" t="s">
        <v>156</v>
      </c>
      <c r="B65" s="234" t="s">
        <v>146</v>
      </c>
      <c r="F65" s="117" t="s">
        <v>14</v>
      </c>
      <c r="G65" s="113" t="s">
        <v>168</v>
      </c>
      <c r="I65" s="234" t="s">
        <v>167</v>
      </c>
      <c r="J65" s="236">
        <v>195000.0</v>
      </c>
    </row>
    <row r="66">
      <c r="A66" s="116" t="s">
        <v>156</v>
      </c>
      <c r="B66" s="234" t="s">
        <v>146</v>
      </c>
      <c r="F66" s="117" t="s">
        <v>14</v>
      </c>
      <c r="G66" s="113" t="s">
        <v>170</v>
      </c>
      <c r="I66" s="234" t="s">
        <v>169</v>
      </c>
      <c r="J66" s="236">
        <v>100000.0</v>
      </c>
    </row>
    <row r="67">
      <c r="A67" s="116" t="s">
        <v>140</v>
      </c>
      <c r="B67" s="234" t="s">
        <v>146</v>
      </c>
      <c r="F67" s="117" t="s">
        <v>14</v>
      </c>
      <c r="G67" s="113" t="s">
        <v>170</v>
      </c>
      <c r="I67" s="234" t="s">
        <v>171</v>
      </c>
      <c r="J67" s="236">
        <v>40000.0</v>
      </c>
    </row>
    <row r="68">
      <c r="A68" s="116" t="s">
        <v>143</v>
      </c>
      <c r="B68" s="234" t="s">
        <v>172</v>
      </c>
      <c r="F68" s="117" t="s">
        <v>174</v>
      </c>
      <c r="G68" s="113" t="s">
        <v>24</v>
      </c>
      <c r="I68" s="234" t="s">
        <v>173</v>
      </c>
      <c r="J68" s="236">
        <v>175000.0</v>
      </c>
    </row>
    <row r="69">
      <c r="A69" s="116" t="s">
        <v>143</v>
      </c>
      <c r="B69" s="234" t="s">
        <v>107</v>
      </c>
      <c r="F69" s="117" t="s">
        <v>14</v>
      </c>
      <c r="G69" s="113" t="s">
        <v>176</v>
      </c>
      <c r="I69" s="234" t="s">
        <v>175</v>
      </c>
      <c r="J69" s="236">
        <v>125000.0</v>
      </c>
    </row>
    <row r="70">
      <c r="A70" s="116" t="s">
        <v>143</v>
      </c>
      <c r="B70" s="234" t="s">
        <v>177</v>
      </c>
      <c r="F70" s="117" t="s">
        <v>67</v>
      </c>
      <c r="G70" s="113" t="s">
        <v>179</v>
      </c>
      <c r="I70" s="234" t="s">
        <v>178</v>
      </c>
      <c r="J70" s="236">
        <v>120000.0</v>
      </c>
    </row>
    <row r="71">
      <c r="A71" s="116" t="s">
        <v>143</v>
      </c>
      <c r="B71" s="234" t="s">
        <v>177</v>
      </c>
      <c r="F71" s="117" t="s">
        <v>181</v>
      </c>
      <c r="G71" s="113" t="s">
        <v>153</v>
      </c>
      <c r="I71" s="234" t="s">
        <v>180</v>
      </c>
      <c r="J71" s="236">
        <v>50000.0</v>
      </c>
    </row>
    <row r="72">
      <c r="A72" s="116" t="s">
        <v>143</v>
      </c>
      <c r="B72" s="234" t="s">
        <v>177</v>
      </c>
      <c r="F72" s="117" t="s">
        <v>181</v>
      </c>
      <c r="G72" s="113" t="s">
        <v>72</v>
      </c>
      <c r="I72" s="234" t="s">
        <v>182</v>
      </c>
      <c r="J72" s="238">
        <v>65000.0</v>
      </c>
    </row>
    <row r="73">
      <c r="A73" s="116" t="s">
        <v>143</v>
      </c>
      <c r="B73" s="234" t="s">
        <v>177</v>
      </c>
      <c r="F73" s="117" t="s">
        <v>181</v>
      </c>
      <c r="G73" s="113" t="s">
        <v>184</v>
      </c>
      <c r="I73" s="234" t="s">
        <v>183</v>
      </c>
      <c r="J73" s="236">
        <v>40000.0</v>
      </c>
    </row>
    <row r="74">
      <c r="A74" s="116" t="s">
        <v>143</v>
      </c>
      <c r="B74" s="234" t="s">
        <v>177</v>
      </c>
      <c r="F74" s="117" t="s">
        <v>181</v>
      </c>
      <c r="G74" s="113" t="s">
        <v>186</v>
      </c>
      <c r="I74" s="234" t="s">
        <v>185</v>
      </c>
      <c r="J74" s="236">
        <v>5000.0</v>
      </c>
    </row>
    <row r="75">
      <c r="A75" s="116" t="s">
        <v>143</v>
      </c>
      <c r="B75" s="234" t="s">
        <v>143</v>
      </c>
      <c r="F75" s="117" t="s">
        <v>14</v>
      </c>
      <c r="G75" s="113" t="s">
        <v>188</v>
      </c>
      <c r="I75" s="234" t="s">
        <v>187</v>
      </c>
      <c r="J75" s="236">
        <v>125000.0</v>
      </c>
    </row>
    <row r="76">
      <c r="A76" s="116" t="s">
        <v>129</v>
      </c>
      <c r="B76" s="234" t="s">
        <v>107</v>
      </c>
      <c r="F76" s="117" t="s">
        <v>14</v>
      </c>
      <c r="G76" s="113" t="s">
        <v>190</v>
      </c>
      <c r="I76" s="234" t="s">
        <v>189</v>
      </c>
      <c r="J76" s="236">
        <v>150000.0</v>
      </c>
    </row>
  </sheetData>
  <autoFilter ref="$A$1:$M$76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9" t="s">
        <v>379</v>
      </c>
      <c r="B1" s="87"/>
      <c r="C1" s="87"/>
      <c r="D1" s="88"/>
      <c r="E1" s="93"/>
      <c r="F1" s="240" t="s">
        <v>380</v>
      </c>
      <c r="G1" s="87"/>
      <c r="H1" s="87"/>
      <c r="I1" s="88"/>
      <c r="J1" s="93"/>
      <c r="K1" s="241" t="s">
        <v>381</v>
      </c>
      <c r="L1" s="87"/>
      <c r="M1" s="87"/>
      <c r="N1" s="88"/>
      <c r="O1" s="93"/>
    </row>
    <row r="2">
      <c r="A2" s="23" t="s">
        <v>382</v>
      </c>
      <c r="B2" s="201" t="s">
        <v>383</v>
      </c>
      <c r="C2" s="201" t="s">
        <v>384</v>
      </c>
      <c r="D2" s="201" t="s">
        <v>385</v>
      </c>
      <c r="E2" s="93"/>
      <c r="F2" s="23" t="s">
        <v>382</v>
      </c>
      <c r="G2" s="201" t="s">
        <v>383</v>
      </c>
      <c r="H2" s="201" t="s">
        <v>384</v>
      </c>
      <c r="I2" s="201" t="s">
        <v>385</v>
      </c>
      <c r="J2" s="93"/>
      <c r="K2" s="23" t="s">
        <v>382</v>
      </c>
      <c r="L2" s="201" t="s">
        <v>383</v>
      </c>
      <c r="M2" s="201" t="s">
        <v>384</v>
      </c>
      <c r="N2" s="201" t="s">
        <v>385</v>
      </c>
      <c r="O2" s="93"/>
    </row>
    <row r="3">
      <c r="A3" s="242" t="s">
        <v>11</v>
      </c>
      <c r="B3" s="243">
        <v>1550000.0</v>
      </c>
      <c r="C3" s="244" t="s">
        <v>386</v>
      </c>
      <c r="D3" s="245"/>
      <c r="E3" s="93"/>
      <c r="F3" s="246" t="s">
        <v>11</v>
      </c>
      <c r="G3" s="247"/>
      <c r="H3" s="248" t="s">
        <v>386</v>
      </c>
      <c r="I3" s="247"/>
      <c r="J3" s="93"/>
      <c r="K3" s="249" t="s">
        <v>11</v>
      </c>
      <c r="L3" s="250"/>
      <c r="M3" s="251" t="s">
        <v>386</v>
      </c>
      <c r="N3" s="250"/>
      <c r="O3" s="93"/>
    </row>
    <row r="4">
      <c r="A4" s="242" t="s">
        <v>27</v>
      </c>
      <c r="B4" s="243">
        <v>1254000.0</v>
      </c>
      <c r="C4" s="245"/>
      <c r="D4" s="245"/>
      <c r="E4" s="93"/>
      <c r="F4" s="252"/>
      <c r="G4" s="247"/>
      <c r="H4" s="247"/>
      <c r="I4" s="247"/>
      <c r="J4" s="93"/>
      <c r="K4" s="253"/>
      <c r="L4" s="250"/>
      <c r="M4" s="250"/>
      <c r="N4" s="250"/>
      <c r="O4" s="93"/>
    </row>
    <row r="5">
      <c r="A5" s="254"/>
      <c r="B5" s="245"/>
      <c r="C5" s="245"/>
      <c r="D5" s="245"/>
      <c r="E5" s="93"/>
      <c r="F5" s="252"/>
      <c r="G5" s="247"/>
      <c r="H5" s="247"/>
      <c r="I5" s="247"/>
      <c r="J5" s="93"/>
      <c r="K5" s="253"/>
      <c r="L5" s="250"/>
      <c r="M5" s="250"/>
      <c r="N5" s="250"/>
      <c r="O5" s="93"/>
    </row>
    <row r="6">
      <c r="A6" s="254"/>
      <c r="B6" s="245"/>
      <c r="C6" s="245"/>
      <c r="D6" s="245"/>
      <c r="E6" s="93"/>
      <c r="F6" s="252"/>
      <c r="G6" s="247"/>
      <c r="H6" s="247"/>
      <c r="I6" s="247"/>
      <c r="J6" s="93"/>
      <c r="K6" s="253"/>
      <c r="L6" s="250"/>
      <c r="M6" s="250"/>
      <c r="N6" s="250"/>
      <c r="O6" s="93"/>
    </row>
    <row r="7">
      <c r="A7" s="254"/>
      <c r="B7" s="245"/>
      <c r="C7" s="245"/>
      <c r="D7" s="245"/>
      <c r="E7" s="93"/>
      <c r="F7" s="252"/>
      <c r="G7" s="247"/>
      <c r="H7" s="247"/>
      <c r="I7" s="247"/>
      <c r="J7" s="93"/>
      <c r="K7" s="253"/>
      <c r="L7" s="250"/>
      <c r="M7" s="250"/>
      <c r="N7" s="250"/>
      <c r="O7" s="93"/>
    </row>
    <row r="8">
      <c r="A8" s="254"/>
      <c r="B8" s="245"/>
      <c r="C8" s="245"/>
      <c r="D8" s="245"/>
      <c r="E8" s="93"/>
      <c r="F8" s="252"/>
      <c r="G8" s="247"/>
      <c r="H8" s="247"/>
      <c r="I8" s="247"/>
      <c r="J8" s="93"/>
      <c r="K8" s="253"/>
      <c r="L8" s="250"/>
      <c r="M8" s="250"/>
      <c r="N8" s="250"/>
      <c r="O8" s="93"/>
    </row>
    <row r="9">
      <c r="A9" s="254"/>
      <c r="B9" s="245"/>
      <c r="C9" s="245"/>
      <c r="D9" s="245"/>
      <c r="E9" s="93"/>
      <c r="F9" s="252"/>
      <c r="G9" s="247"/>
      <c r="H9" s="247"/>
      <c r="I9" s="247"/>
      <c r="J9" s="93"/>
      <c r="K9" s="253"/>
      <c r="L9" s="250"/>
      <c r="M9" s="250"/>
      <c r="N9" s="250"/>
      <c r="O9" s="93"/>
    </row>
    <row r="10">
      <c r="A10" s="254"/>
      <c r="B10" s="245"/>
      <c r="C10" s="245"/>
      <c r="D10" s="245"/>
      <c r="E10" s="93"/>
      <c r="F10" s="252"/>
      <c r="G10" s="247"/>
      <c r="H10" s="247"/>
      <c r="I10" s="247"/>
      <c r="J10" s="93"/>
      <c r="K10" s="253"/>
      <c r="L10" s="250"/>
      <c r="M10" s="250"/>
      <c r="N10" s="250"/>
      <c r="O10" s="93"/>
    </row>
  </sheetData>
  <mergeCells count="3">
    <mergeCell ref="A1:D1"/>
    <mergeCell ref="F1:I1"/>
    <mergeCell ref="K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5" t="s">
        <v>2</v>
      </c>
      <c r="B1" s="256" t="s">
        <v>224</v>
      </c>
      <c r="C1" s="256" t="s">
        <v>387</v>
      </c>
      <c r="D1" s="256" t="s">
        <v>227</v>
      </c>
      <c r="E1" s="256" t="s">
        <v>388</v>
      </c>
      <c r="F1" s="256" t="s">
        <v>229</v>
      </c>
      <c r="G1" s="257" t="s">
        <v>6</v>
      </c>
    </row>
    <row r="2">
      <c r="A2" s="258"/>
      <c r="B2" s="259"/>
      <c r="C2" s="259"/>
      <c r="D2" s="259"/>
      <c r="E2" s="259"/>
      <c r="F2" s="259"/>
      <c r="G2" s="259"/>
    </row>
    <row r="3">
      <c r="A3" s="260"/>
      <c r="B3" s="261"/>
      <c r="C3" s="261"/>
      <c r="D3" s="261"/>
      <c r="E3" s="261"/>
      <c r="F3" s="261"/>
      <c r="G3" s="261"/>
    </row>
    <row r="4">
      <c r="A4" s="260"/>
      <c r="B4" s="261"/>
      <c r="C4" s="261"/>
      <c r="D4" s="261"/>
      <c r="E4" s="261"/>
      <c r="F4" s="261"/>
      <c r="G4" s="261"/>
    </row>
    <row r="5">
      <c r="A5" s="260"/>
      <c r="B5" s="261"/>
      <c r="C5" s="261"/>
      <c r="D5" s="261"/>
      <c r="E5" s="261"/>
      <c r="F5" s="261"/>
      <c r="G5" s="261"/>
    </row>
    <row r="6">
      <c r="A6" s="260"/>
      <c r="B6" s="261"/>
      <c r="C6" s="261"/>
      <c r="D6" s="261"/>
      <c r="E6" s="261"/>
      <c r="F6" s="261"/>
      <c r="G6" s="261"/>
    </row>
    <row r="7">
      <c r="A7" s="260"/>
      <c r="B7" s="261"/>
      <c r="C7" s="261"/>
      <c r="D7" s="261"/>
      <c r="E7" s="261"/>
      <c r="F7" s="261"/>
      <c r="G7" s="261"/>
    </row>
    <row r="8">
      <c r="A8" s="260"/>
      <c r="B8" s="261"/>
      <c r="C8" s="261"/>
      <c r="D8" s="261"/>
      <c r="E8" s="261"/>
      <c r="F8" s="261"/>
      <c r="G8" s="261"/>
    </row>
    <row r="9">
      <c r="A9" s="260"/>
      <c r="B9" s="261"/>
      <c r="C9" s="261"/>
      <c r="D9" s="261"/>
      <c r="E9" s="261"/>
      <c r="F9" s="261"/>
      <c r="G9" s="261"/>
    </row>
    <row r="10">
      <c r="A10" s="260"/>
      <c r="B10" s="261"/>
      <c r="C10" s="261"/>
      <c r="D10" s="261"/>
      <c r="E10" s="261"/>
      <c r="F10" s="261"/>
      <c r="G10" s="261"/>
    </row>
    <row r="11">
      <c r="A11" s="260"/>
      <c r="B11" s="261"/>
      <c r="C11" s="261"/>
      <c r="D11" s="261"/>
      <c r="E11" s="261"/>
      <c r="F11" s="261"/>
      <c r="G11" s="261"/>
    </row>
    <row r="12">
      <c r="A12" s="260"/>
      <c r="B12" s="261"/>
      <c r="C12" s="261"/>
      <c r="D12" s="261"/>
      <c r="E12" s="261"/>
      <c r="F12" s="261"/>
      <c r="G12" s="261"/>
    </row>
    <row r="13">
      <c r="A13" s="260"/>
      <c r="B13" s="261"/>
      <c r="C13" s="261"/>
      <c r="D13" s="261"/>
      <c r="E13" s="261"/>
      <c r="F13" s="261"/>
      <c r="G13" s="261"/>
    </row>
    <row r="14">
      <c r="A14" s="260"/>
      <c r="B14" s="261"/>
      <c r="C14" s="261"/>
      <c r="D14" s="261"/>
      <c r="E14" s="261"/>
      <c r="F14" s="261"/>
      <c r="G14" s="261"/>
    </row>
    <row r="15">
      <c r="A15" s="260"/>
      <c r="B15" s="261"/>
      <c r="C15" s="261"/>
      <c r="D15" s="261"/>
      <c r="E15" s="261"/>
      <c r="F15" s="261"/>
      <c r="G15" s="261"/>
    </row>
    <row r="16">
      <c r="A16" s="260"/>
      <c r="B16" s="261"/>
      <c r="C16" s="261"/>
      <c r="D16" s="261"/>
      <c r="E16" s="261"/>
      <c r="F16" s="261"/>
      <c r="G16" s="261"/>
    </row>
    <row r="17">
      <c r="A17" s="260"/>
      <c r="B17" s="261"/>
      <c r="C17" s="261"/>
      <c r="D17" s="261"/>
      <c r="E17" s="261"/>
      <c r="F17" s="261"/>
      <c r="G17" s="261"/>
    </row>
    <row r="18">
      <c r="A18" s="260"/>
      <c r="B18" s="261"/>
      <c r="C18" s="261"/>
      <c r="D18" s="261"/>
      <c r="E18" s="261"/>
      <c r="F18" s="261"/>
      <c r="G18" s="261"/>
    </row>
    <row r="19">
      <c r="A19" s="260"/>
      <c r="B19" s="261"/>
      <c r="C19" s="261"/>
      <c r="D19" s="261"/>
      <c r="E19" s="261"/>
      <c r="F19" s="261"/>
      <c r="G19" s="261"/>
    </row>
    <row r="20">
      <c r="A20" s="260"/>
      <c r="B20" s="261"/>
      <c r="C20" s="261"/>
      <c r="D20" s="261"/>
      <c r="E20" s="261"/>
      <c r="F20" s="261"/>
      <c r="G20" s="261"/>
    </row>
    <row r="21">
      <c r="A21" s="260"/>
      <c r="B21" s="261"/>
      <c r="C21" s="261"/>
      <c r="D21" s="261"/>
      <c r="E21" s="261"/>
      <c r="F21" s="261"/>
      <c r="G21" s="261"/>
    </row>
    <row r="22">
      <c r="A22" s="260"/>
      <c r="B22" s="261"/>
      <c r="C22" s="261"/>
      <c r="D22" s="261"/>
      <c r="E22" s="261"/>
      <c r="F22" s="261"/>
      <c r="G22" s="261"/>
    </row>
    <row r="23">
      <c r="A23" s="260"/>
      <c r="B23" s="261"/>
      <c r="C23" s="261"/>
      <c r="D23" s="261"/>
      <c r="E23" s="261"/>
      <c r="F23" s="261"/>
      <c r="G23" s="261"/>
    </row>
    <row r="24">
      <c r="A24" s="260"/>
      <c r="B24" s="261"/>
      <c r="C24" s="261"/>
      <c r="D24" s="261"/>
      <c r="E24" s="261"/>
      <c r="F24" s="261"/>
      <c r="G24" s="261"/>
    </row>
    <row r="25">
      <c r="A25" s="260"/>
      <c r="B25" s="261"/>
      <c r="C25" s="261"/>
      <c r="D25" s="261"/>
      <c r="E25" s="261"/>
      <c r="F25" s="261"/>
      <c r="G25" s="261"/>
    </row>
    <row r="26">
      <c r="A26" s="260"/>
      <c r="B26" s="261"/>
      <c r="C26" s="261"/>
      <c r="D26" s="261"/>
      <c r="E26" s="261"/>
      <c r="F26" s="261"/>
      <c r="G26" s="261"/>
    </row>
    <row r="27">
      <c r="A27" s="260"/>
      <c r="B27" s="261"/>
      <c r="C27" s="261"/>
      <c r="D27" s="261"/>
      <c r="E27" s="261"/>
      <c r="F27" s="261"/>
      <c r="G27" s="261"/>
    </row>
    <row r="28">
      <c r="A28" s="260"/>
      <c r="B28" s="261"/>
      <c r="C28" s="261"/>
      <c r="D28" s="261"/>
      <c r="E28" s="261"/>
      <c r="F28" s="261"/>
      <c r="G28" s="261"/>
    </row>
    <row r="29">
      <c r="A29" s="260"/>
      <c r="B29" s="261"/>
      <c r="C29" s="261"/>
      <c r="D29" s="261"/>
      <c r="E29" s="261"/>
      <c r="F29" s="261"/>
      <c r="G29" s="261"/>
    </row>
    <row r="30">
      <c r="A30" s="260"/>
      <c r="B30" s="261"/>
      <c r="C30" s="261"/>
      <c r="D30" s="261"/>
      <c r="E30" s="261"/>
      <c r="F30" s="261"/>
      <c r="G30" s="261"/>
    </row>
    <row r="31">
      <c r="A31" s="260"/>
      <c r="B31" s="261"/>
      <c r="C31" s="261"/>
      <c r="D31" s="261"/>
      <c r="E31" s="261"/>
      <c r="F31" s="261"/>
      <c r="G31" s="261"/>
    </row>
    <row r="32">
      <c r="A32" s="260"/>
      <c r="B32" s="261"/>
      <c r="C32" s="261"/>
      <c r="D32" s="261"/>
      <c r="E32" s="261"/>
      <c r="F32" s="261"/>
      <c r="G32" s="261"/>
    </row>
    <row r="33">
      <c r="A33" s="260"/>
      <c r="B33" s="261"/>
      <c r="C33" s="261"/>
      <c r="D33" s="261"/>
      <c r="E33" s="261"/>
      <c r="F33" s="261"/>
      <c r="G33" s="261"/>
    </row>
    <row r="34">
      <c r="A34" s="260"/>
      <c r="B34" s="261"/>
      <c r="C34" s="261"/>
      <c r="D34" s="261"/>
      <c r="E34" s="261"/>
      <c r="F34" s="261"/>
      <c r="G34" s="261"/>
    </row>
    <row r="35">
      <c r="A35" s="260"/>
      <c r="B35" s="261"/>
      <c r="C35" s="261"/>
      <c r="D35" s="261"/>
      <c r="E35" s="261"/>
      <c r="F35" s="261"/>
      <c r="G35" s="261"/>
    </row>
    <row r="36">
      <c r="A36" s="260"/>
      <c r="B36" s="261"/>
      <c r="C36" s="261"/>
      <c r="D36" s="261"/>
      <c r="E36" s="261"/>
      <c r="F36" s="261"/>
      <c r="G36" s="261"/>
    </row>
    <row r="37">
      <c r="A37" s="260"/>
      <c r="B37" s="261"/>
      <c r="C37" s="261"/>
      <c r="D37" s="261"/>
      <c r="E37" s="261"/>
      <c r="F37" s="261"/>
      <c r="G37" s="261"/>
    </row>
    <row r="38">
      <c r="A38" s="260"/>
      <c r="B38" s="261"/>
      <c r="C38" s="261"/>
      <c r="D38" s="261"/>
      <c r="E38" s="261"/>
      <c r="F38" s="261"/>
      <c r="G38" s="261"/>
    </row>
    <row r="39">
      <c r="A39" s="260"/>
      <c r="B39" s="261"/>
      <c r="C39" s="261"/>
      <c r="D39" s="261"/>
      <c r="E39" s="261"/>
      <c r="F39" s="261"/>
      <c r="G39" s="261"/>
    </row>
    <row r="40">
      <c r="A40" s="260"/>
      <c r="B40" s="261"/>
      <c r="C40" s="261"/>
      <c r="D40" s="261"/>
      <c r="E40" s="261"/>
      <c r="F40" s="261"/>
      <c r="G40" s="261"/>
    </row>
    <row r="41">
      <c r="A41" s="260"/>
      <c r="B41" s="261"/>
      <c r="C41" s="261"/>
      <c r="D41" s="261"/>
      <c r="E41" s="261"/>
      <c r="F41" s="261"/>
      <c r="G41" s="261"/>
    </row>
    <row r="42">
      <c r="A42" s="260"/>
      <c r="B42" s="261"/>
      <c r="C42" s="261"/>
      <c r="D42" s="261"/>
      <c r="E42" s="261"/>
      <c r="F42" s="261"/>
      <c r="G42" s="261"/>
    </row>
    <row r="43">
      <c r="A43" s="260"/>
      <c r="B43" s="261"/>
      <c r="C43" s="261"/>
      <c r="D43" s="261"/>
      <c r="E43" s="261"/>
      <c r="F43" s="261"/>
      <c r="G43" s="261"/>
    </row>
    <row r="44">
      <c r="A44" s="260"/>
      <c r="B44" s="261"/>
      <c r="C44" s="261"/>
      <c r="D44" s="261"/>
      <c r="E44" s="261"/>
      <c r="F44" s="261"/>
      <c r="G44" s="261"/>
    </row>
    <row r="45">
      <c r="A45" s="260"/>
      <c r="B45" s="261"/>
      <c r="C45" s="261"/>
      <c r="D45" s="261"/>
      <c r="E45" s="261"/>
      <c r="F45" s="261"/>
      <c r="G45" s="261"/>
    </row>
    <row r="46">
      <c r="A46" s="260"/>
      <c r="B46" s="261"/>
      <c r="C46" s="261"/>
      <c r="D46" s="261"/>
      <c r="E46" s="261"/>
      <c r="F46" s="261"/>
      <c r="G46" s="261"/>
    </row>
    <row r="47">
      <c r="A47" s="260"/>
      <c r="B47" s="261"/>
      <c r="C47" s="261"/>
      <c r="D47" s="261"/>
      <c r="E47" s="261"/>
      <c r="F47" s="261"/>
      <c r="G47" s="261"/>
    </row>
    <row r="48">
      <c r="A48" s="260"/>
      <c r="B48" s="261"/>
      <c r="C48" s="261"/>
      <c r="D48" s="261"/>
      <c r="E48" s="261"/>
      <c r="F48" s="261"/>
      <c r="G48" s="261"/>
    </row>
    <row r="49">
      <c r="A49" s="260"/>
      <c r="B49" s="261"/>
      <c r="C49" s="261"/>
      <c r="D49" s="261"/>
      <c r="E49" s="261"/>
      <c r="F49" s="261"/>
      <c r="G49" s="261"/>
    </row>
    <row r="50">
      <c r="A50" s="260"/>
      <c r="B50" s="261"/>
      <c r="C50" s="261"/>
      <c r="D50" s="261"/>
      <c r="E50" s="261"/>
      <c r="F50" s="261"/>
      <c r="G50" s="261"/>
    </row>
    <row r="51">
      <c r="A51" s="260"/>
      <c r="B51" s="261"/>
      <c r="C51" s="261"/>
      <c r="D51" s="261"/>
      <c r="E51" s="261"/>
      <c r="F51" s="261"/>
      <c r="G51" s="261"/>
    </row>
    <row r="52">
      <c r="A52" s="260"/>
      <c r="B52" s="261"/>
      <c r="C52" s="261"/>
      <c r="D52" s="261"/>
      <c r="E52" s="261"/>
      <c r="F52" s="261"/>
      <c r="G52" s="261"/>
    </row>
    <row r="53">
      <c r="A53" s="260"/>
      <c r="B53" s="261"/>
      <c r="C53" s="261"/>
      <c r="D53" s="261"/>
      <c r="E53" s="261"/>
      <c r="F53" s="261"/>
      <c r="G53" s="261"/>
    </row>
    <row r="54">
      <c r="A54" s="260"/>
      <c r="B54" s="261"/>
      <c r="C54" s="261"/>
      <c r="D54" s="261"/>
      <c r="E54" s="261"/>
      <c r="F54" s="261"/>
      <c r="G54" s="261"/>
    </row>
    <row r="55">
      <c r="A55" s="260"/>
      <c r="B55" s="261"/>
      <c r="C55" s="261"/>
      <c r="D55" s="261"/>
      <c r="E55" s="261"/>
      <c r="F55" s="261"/>
      <c r="G55" s="261"/>
    </row>
    <row r="56">
      <c r="A56" s="260"/>
      <c r="B56" s="261"/>
      <c r="C56" s="261"/>
      <c r="D56" s="261"/>
      <c r="E56" s="261"/>
      <c r="F56" s="261"/>
      <c r="G56" s="261"/>
    </row>
    <row r="57">
      <c r="A57" s="260"/>
      <c r="B57" s="261"/>
      <c r="C57" s="261"/>
      <c r="D57" s="261"/>
      <c r="E57" s="261"/>
      <c r="F57" s="261"/>
      <c r="G57" s="261"/>
    </row>
    <row r="58">
      <c r="A58" s="260"/>
      <c r="B58" s="261"/>
      <c r="C58" s="261"/>
      <c r="D58" s="261"/>
      <c r="E58" s="261"/>
      <c r="F58" s="261"/>
      <c r="G58" s="261"/>
    </row>
    <row r="59">
      <c r="A59" s="260"/>
      <c r="B59" s="261"/>
      <c r="C59" s="261"/>
      <c r="D59" s="261"/>
      <c r="E59" s="261"/>
      <c r="F59" s="261"/>
      <c r="G59" s="261"/>
    </row>
    <row r="60">
      <c r="A60" s="260"/>
      <c r="B60" s="261"/>
      <c r="C60" s="261"/>
      <c r="D60" s="261"/>
      <c r="E60" s="261"/>
      <c r="F60" s="261"/>
      <c r="G60" s="261"/>
    </row>
    <row r="61">
      <c r="A61" s="260"/>
      <c r="B61" s="261"/>
      <c r="C61" s="261"/>
      <c r="D61" s="261"/>
      <c r="E61" s="261"/>
      <c r="F61" s="261"/>
      <c r="G61" s="261"/>
    </row>
    <row r="62">
      <c r="A62" s="260"/>
      <c r="B62" s="261"/>
      <c r="C62" s="261"/>
      <c r="D62" s="261"/>
      <c r="E62" s="261"/>
      <c r="F62" s="261"/>
      <c r="G62" s="261"/>
    </row>
    <row r="63">
      <c r="A63" s="260"/>
      <c r="B63" s="261"/>
      <c r="C63" s="261"/>
      <c r="D63" s="261"/>
      <c r="E63" s="261"/>
      <c r="F63" s="261"/>
      <c r="G63" s="261"/>
    </row>
    <row r="64">
      <c r="A64" s="260"/>
      <c r="B64" s="261"/>
      <c r="C64" s="261"/>
      <c r="D64" s="261"/>
      <c r="E64" s="261"/>
      <c r="F64" s="261"/>
      <c r="G64" s="261"/>
    </row>
    <row r="65">
      <c r="A65" s="260"/>
      <c r="B65" s="261"/>
      <c r="C65" s="261"/>
      <c r="D65" s="261"/>
      <c r="E65" s="261"/>
      <c r="F65" s="261"/>
      <c r="G65" s="261"/>
    </row>
    <row r="66">
      <c r="A66" s="260"/>
      <c r="B66" s="261"/>
      <c r="C66" s="261"/>
      <c r="D66" s="261"/>
      <c r="E66" s="261"/>
      <c r="F66" s="261"/>
      <c r="G66" s="261"/>
    </row>
    <row r="67">
      <c r="A67" s="260"/>
      <c r="B67" s="261"/>
      <c r="C67" s="261"/>
      <c r="D67" s="261"/>
      <c r="E67" s="261"/>
      <c r="F67" s="261"/>
      <c r="G67" s="261"/>
    </row>
    <row r="68">
      <c r="A68" s="260"/>
      <c r="B68" s="261"/>
      <c r="C68" s="261"/>
      <c r="D68" s="261"/>
      <c r="E68" s="261"/>
      <c r="F68" s="261"/>
      <c r="G68" s="261"/>
    </row>
    <row r="69">
      <c r="A69" s="260"/>
      <c r="B69" s="261"/>
      <c r="C69" s="261"/>
      <c r="D69" s="261"/>
      <c r="E69" s="261"/>
      <c r="F69" s="261"/>
      <c r="G69" s="261"/>
    </row>
    <row r="70">
      <c r="A70" s="260"/>
      <c r="B70" s="261"/>
      <c r="C70" s="261"/>
      <c r="D70" s="261"/>
      <c r="E70" s="261"/>
      <c r="F70" s="261"/>
      <c r="G70" s="261"/>
    </row>
    <row r="71">
      <c r="A71" s="260"/>
      <c r="B71" s="261"/>
      <c r="C71" s="261"/>
      <c r="D71" s="261"/>
      <c r="E71" s="261"/>
      <c r="F71" s="261"/>
      <c r="G71" s="261"/>
    </row>
    <row r="72">
      <c r="A72" s="260"/>
      <c r="B72" s="261"/>
      <c r="C72" s="261"/>
      <c r="D72" s="261"/>
      <c r="E72" s="261"/>
      <c r="F72" s="261"/>
      <c r="G72" s="261"/>
    </row>
    <row r="73">
      <c r="A73" s="260"/>
      <c r="B73" s="261"/>
      <c r="C73" s="261"/>
      <c r="D73" s="261"/>
      <c r="E73" s="261"/>
      <c r="F73" s="261"/>
      <c r="G73" s="261"/>
    </row>
    <row r="74">
      <c r="A74" s="260"/>
      <c r="B74" s="261"/>
      <c r="C74" s="261"/>
      <c r="D74" s="261"/>
      <c r="E74" s="261"/>
      <c r="F74" s="261"/>
      <c r="G74" s="261"/>
    </row>
    <row r="75">
      <c r="A75" s="260"/>
      <c r="B75" s="261"/>
      <c r="C75" s="261"/>
      <c r="D75" s="261"/>
      <c r="E75" s="261"/>
      <c r="F75" s="261"/>
      <c r="G75" s="261"/>
    </row>
    <row r="76">
      <c r="A76" s="260"/>
      <c r="B76" s="261"/>
      <c r="C76" s="261"/>
      <c r="D76" s="261"/>
      <c r="E76" s="261"/>
      <c r="F76" s="261"/>
      <c r="G76" s="261"/>
    </row>
    <row r="77">
      <c r="A77" s="260"/>
      <c r="B77" s="261"/>
      <c r="C77" s="261"/>
      <c r="D77" s="261"/>
      <c r="E77" s="261"/>
      <c r="F77" s="261"/>
      <c r="G77" s="261"/>
    </row>
    <row r="78">
      <c r="A78" s="260"/>
      <c r="B78" s="261"/>
      <c r="C78" s="261"/>
      <c r="D78" s="261"/>
      <c r="E78" s="261"/>
      <c r="F78" s="261"/>
      <c r="G78" s="261"/>
    </row>
    <row r="79">
      <c r="A79" s="260"/>
      <c r="B79" s="261"/>
      <c r="C79" s="261"/>
      <c r="D79" s="261"/>
      <c r="E79" s="261"/>
      <c r="F79" s="261"/>
      <c r="G79" s="261"/>
    </row>
    <row r="80">
      <c r="A80" s="260"/>
      <c r="B80" s="261"/>
      <c r="C80" s="261"/>
      <c r="D80" s="261"/>
      <c r="E80" s="261"/>
      <c r="F80" s="261"/>
      <c r="G80" s="261"/>
    </row>
    <row r="81">
      <c r="A81" s="260"/>
      <c r="B81" s="261"/>
      <c r="C81" s="261"/>
      <c r="D81" s="261"/>
      <c r="E81" s="261"/>
      <c r="F81" s="261"/>
      <c r="G81" s="261"/>
    </row>
    <row r="82">
      <c r="A82" s="260"/>
      <c r="B82" s="261"/>
      <c r="C82" s="261"/>
      <c r="D82" s="261"/>
      <c r="E82" s="261"/>
      <c r="F82" s="261"/>
      <c r="G82" s="261"/>
    </row>
    <row r="83">
      <c r="A83" s="260"/>
      <c r="B83" s="261"/>
      <c r="C83" s="261"/>
      <c r="D83" s="261"/>
      <c r="E83" s="261"/>
      <c r="F83" s="261"/>
      <c r="G83" s="261"/>
    </row>
    <row r="84">
      <c r="A84" s="260"/>
      <c r="B84" s="261"/>
      <c r="C84" s="261"/>
      <c r="D84" s="261"/>
      <c r="E84" s="261"/>
      <c r="F84" s="261"/>
      <c r="G84" s="261"/>
    </row>
    <row r="85">
      <c r="A85" s="260"/>
      <c r="B85" s="261"/>
      <c r="C85" s="261"/>
      <c r="D85" s="261"/>
      <c r="E85" s="261"/>
      <c r="F85" s="261"/>
      <c r="G85" s="261"/>
    </row>
    <row r="86">
      <c r="A86" s="260"/>
      <c r="B86" s="261"/>
      <c r="C86" s="261"/>
      <c r="D86" s="261"/>
      <c r="E86" s="261"/>
      <c r="F86" s="261"/>
      <c r="G86" s="261"/>
    </row>
    <row r="87">
      <c r="A87" s="260"/>
      <c r="B87" s="261"/>
      <c r="C87" s="261"/>
      <c r="D87" s="261"/>
      <c r="E87" s="261"/>
      <c r="F87" s="261"/>
      <c r="G87" s="261"/>
    </row>
    <row r="88">
      <c r="A88" s="260"/>
      <c r="B88" s="261"/>
      <c r="C88" s="261"/>
      <c r="D88" s="261"/>
      <c r="E88" s="261"/>
      <c r="F88" s="261"/>
      <c r="G88" s="261"/>
    </row>
    <row r="89">
      <c r="A89" s="260"/>
      <c r="B89" s="261"/>
      <c r="C89" s="261"/>
      <c r="D89" s="261"/>
      <c r="E89" s="261"/>
      <c r="F89" s="261"/>
      <c r="G89" s="261"/>
    </row>
    <row r="90">
      <c r="A90" s="260"/>
      <c r="B90" s="261"/>
      <c r="C90" s="261"/>
      <c r="D90" s="261"/>
      <c r="E90" s="261"/>
      <c r="F90" s="261"/>
      <c r="G90" s="261"/>
    </row>
    <row r="91">
      <c r="A91" s="260"/>
      <c r="B91" s="261"/>
      <c r="C91" s="261"/>
      <c r="D91" s="261"/>
      <c r="E91" s="261"/>
      <c r="F91" s="261"/>
      <c r="G91" s="261"/>
    </row>
    <row r="92">
      <c r="A92" s="260"/>
      <c r="B92" s="261"/>
      <c r="C92" s="261"/>
      <c r="D92" s="261"/>
      <c r="E92" s="261"/>
      <c r="F92" s="261"/>
      <c r="G92" s="261"/>
    </row>
    <row r="93">
      <c r="A93" s="260"/>
      <c r="B93" s="261"/>
      <c r="C93" s="261"/>
      <c r="D93" s="261"/>
      <c r="E93" s="261"/>
      <c r="F93" s="261"/>
      <c r="G93" s="261"/>
    </row>
    <row r="94">
      <c r="A94" s="260"/>
      <c r="B94" s="261"/>
      <c r="C94" s="261"/>
      <c r="D94" s="261"/>
      <c r="E94" s="261"/>
      <c r="F94" s="261"/>
      <c r="G94" s="261"/>
    </row>
    <row r="95">
      <c r="A95" s="260"/>
      <c r="B95" s="261"/>
      <c r="C95" s="261"/>
      <c r="D95" s="261"/>
      <c r="E95" s="261"/>
      <c r="F95" s="261"/>
      <c r="G95" s="261"/>
    </row>
    <row r="96">
      <c r="A96" s="260"/>
      <c r="B96" s="261"/>
      <c r="C96" s="261"/>
      <c r="D96" s="261"/>
      <c r="E96" s="261"/>
      <c r="F96" s="261"/>
      <c r="G96" s="261"/>
    </row>
    <row r="97">
      <c r="A97" s="260"/>
      <c r="B97" s="261"/>
      <c r="C97" s="261"/>
      <c r="D97" s="261"/>
      <c r="E97" s="261"/>
      <c r="F97" s="261"/>
      <c r="G97" s="261"/>
    </row>
    <row r="98">
      <c r="A98" s="260"/>
      <c r="B98" s="261"/>
      <c r="C98" s="261"/>
      <c r="D98" s="261"/>
      <c r="E98" s="261"/>
      <c r="F98" s="261"/>
      <c r="G98" s="261"/>
    </row>
    <row r="99">
      <c r="A99" s="260"/>
      <c r="B99" s="261"/>
      <c r="C99" s="261"/>
      <c r="D99" s="261"/>
      <c r="E99" s="261"/>
      <c r="F99" s="261"/>
      <c r="G99" s="261"/>
    </row>
    <row r="100">
      <c r="A100" s="260"/>
      <c r="B100" s="261"/>
      <c r="C100" s="261"/>
      <c r="D100" s="261"/>
      <c r="E100" s="261"/>
      <c r="F100" s="261"/>
      <c r="G100" s="261"/>
    </row>
    <row r="101">
      <c r="A101" s="260"/>
      <c r="B101" s="261"/>
      <c r="C101" s="261"/>
      <c r="D101" s="261"/>
      <c r="E101" s="261"/>
      <c r="F101" s="261"/>
      <c r="G101" s="261"/>
    </row>
    <row r="102">
      <c r="A102" s="260"/>
      <c r="B102" s="261"/>
      <c r="C102" s="261"/>
      <c r="D102" s="261"/>
      <c r="E102" s="261"/>
      <c r="F102" s="261"/>
      <c r="G102" s="261"/>
    </row>
    <row r="103">
      <c r="A103" s="260"/>
      <c r="B103" s="261"/>
      <c r="C103" s="261"/>
      <c r="D103" s="261"/>
      <c r="E103" s="261"/>
      <c r="F103" s="261"/>
      <c r="G103" s="261"/>
    </row>
    <row r="104">
      <c r="A104" s="260"/>
      <c r="B104" s="261"/>
      <c r="C104" s="261"/>
      <c r="D104" s="261"/>
      <c r="E104" s="261"/>
      <c r="F104" s="261"/>
      <c r="G104" s="261"/>
    </row>
    <row r="105">
      <c r="A105" s="260"/>
      <c r="B105" s="261"/>
      <c r="C105" s="261"/>
      <c r="D105" s="261"/>
      <c r="E105" s="261"/>
      <c r="F105" s="261"/>
      <c r="G105" s="261"/>
    </row>
    <row r="106">
      <c r="A106" s="260"/>
      <c r="B106" s="261"/>
      <c r="C106" s="261"/>
      <c r="D106" s="261"/>
      <c r="E106" s="261"/>
      <c r="F106" s="261"/>
      <c r="G106" s="261"/>
    </row>
    <row r="107">
      <c r="A107" s="260"/>
      <c r="B107" s="261"/>
      <c r="C107" s="261"/>
      <c r="D107" s="261"/>
      <c r="E107" s="261"/>
      <c r="F107" s="261"/>
      <c r="G107" s="261"/>
    </row>
    <row r="108">
      <c r="A108" s="260"/>
      <c r="B108" s="261"/>
      <c r="C108" s="261"/>
      <c r="D108" s="261"/>
      <c r="E108" s="261"/>
      <c r="F108" s="261"/>
      <c r="G108" s="261"/>
    </row>
    <row r="109">
      <c r="A109" s="260"/>
      <c r="B109" s="261"/>
      <c r="C109" s="261"/>
      <c r="D109" s="261"/>
      <c r="E109" s="261"/>
      <c r="F109" s="261"/>
      <c r="G109" s="261"/>
    </row>
    <row r="110">
      <c r="A110" s="260"/>
      <c r="B110" s="261"/>
      <c r="C110" s="261"/>
      <c r="D110" s="261"/>
      <c r="E110" s="261"/>
      <c r="F110" s="261"/>
      <c r="G110" s="261"/>
    </row>
    <row r="111">
      <c r="A111" s="260"/>
      <c r="B111" s="261"/>
      <c r="C111" s="261"/>
      <c r="D111" s="261"/>
      <c r="E111" s="261"/>
      <c r="F111" s="261"/>
      <c r="G111" s="261"/>
    </row>
    <row r="112">
      <c r="A112" s="260"/>
      <c r="B112" s="261"/>
      <c r="C112" s="261"/>
      <c r="D112" s="261"/>
      <c r="E112" s="261"/>
      <c r="F112" s="261"/>
      <c r="G112" s="261"/>
    </row>
    <row r="113">
      <c r="A113" s="260"/>
      <c r="B113" s="261"/>
      <c r="C113" s="261"/>
      <c r="D113" s="261"/>
      <c r="E113" s="261"/>
      <c r="F113" s="261"/>
      <c r="G113" s="26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2.75"/>
    <col customWidth="1" min="4" max="4" width="13.0"/>
    <col customWidth="1" min="7" max="7" width="14.38"/>
  </cols>
  <sheetData>
    <row r="1" ht="22.5" customHeight="1">
      <c r="A1" s="6" t="s">
        <v>2</v>
      </c>
      <c r="B1" s="6" t="s">
        <v>224</v>
      </c>
      <c r="C1" s="6" t="s">
        <v>387</v>
      </c>
      <c r="D1" s="6" t="s">
        <v>227</v>
      </c>
      <c r="E1" s="6" t="s">
        <v>388</v>
      </c>
      <c r="F1" s="6" t="s">
        <v>229</v>
      </c>
      <c r="G1" s="6" t="s">
        <v>6</v>
      </c>
      <c r="J1" s="133" t="s">
        <v>382</v>
      </c>
      <c r="K1" s="262" t="s">
        <v>389</v>
      </c>
      <c r="L1" s="262" t="s">
        <v>390</v>
      </c>
      <c r="M1" s="262" t="s">
        <v>391</v>
      </c>
      <c r="N1" s="262" t="s">
        <v>392</v>
      </c>
      <c r="O1" s="263"/>
      <c r="P1" s="263"/>
      <c r="Q1" s="263"/>
    </row>
    <row r="2" ht="22.5" customHeight="1">
      <c r="A2" s="264" t="s">
        <v>11</v>
      </c>
      <c r="B2" s="265"/>
      <c r="C2" s="265"/>
      <c r="D2" s="265"/>
      <c r="E2" s="265"/>
      <c r="F2" s="265"/>
      <c r="G2" s="265"/>
      <c r="J2" s="266" t="s">
        <v>393</v>
      </c>
      <c r="K2" s="135"/>
      <c r="L2" s="135"/>
      <c r="M2" s="135"/>
      <c r="N2" s="135"/>
      <c r="O2" s="135"/>
      <c r="P2" s="135"/>
      <c r="Q2" s="135"/>
      <c r="V2" s="221" t="s">
        <v>394</v>
      </c>
      <c r="W2" s="192">
        <v>6000000.0</v>
      </c>
    </row>
    <row r="3" ht="22.5" customHeight="1">
      <c r="A3" s="249" t="s">
        <v>11</v>
      </c>
      <c r="B3" s="267"/>
      <c r="C3" s="267"/>
      <c r="D3" s="268" t="s">
        <v>395</v>
      </c>
      <c r="E3" s="268"/>
      <c r="F3" s="267"/>
      <c r="G3" s="269" t="s">
        <v>396</v>
      </c>
      <c r="J3" s="266" t="s">
        <v>397</v>
      </c>
      <c r="K3" s="135"/>
      <c r="L3" s="135"/>
      <c r="M3" s="135"/>
      <c r="N3" s="135"/>
      <c r="O3" s="135"/>
      <c r="P3" s="135"/>
      <c r="Q3" s="135"/>
      <c r="V3" s="221" t="s">
        <v>398</v>
      </c>
      <c r="W3" s="192">
        <v>627000.0</v>
      </c>
    </row>
    <row r="4" ht="22.5" customHeight="1">
      <c r="A4" s="249" t="s">
        <v>11</v>
      </c>
      <c r="B4" s="267"/>
      <c r="C4" s="267"/>
      <c r="D4" s="268" t="s">
        <v>399</v>
      </c>
      <c r="E4" s="268"/>
      <c r="F4" s="267"/>
      <c r="G4" s="269" t="s">
        <v>400</v>
      </c>
      <c r="J4" s="266" t="s">
        <v>401</v>
      </c>
      <c r="K4" s="135"/>
      <c r="L4" s="135"/>
      <c r="M4" s="135"/>
      <c r="N4" s="135"/>
      <c r="O4" s="135"/>
      <c r="P4" s="135"/>
      <c r="Q4" s="135"/>
    </row>
    <row r="5" ht="22.5" customHeight="1">
      <c r="A5" s="249" t="s">
        <v>11</v>
      </c>
      <c r="B5" s="267"/>
      <c r="C5" s="267"/>
      <c r="D5" s="268" t="s">
        <v>402</v>
      </c>
      <c r="E5" s="268"/>
      <c r="F5" s="267"/>
      <c r="G5" s="269" t="s">
        <v>403</v>
      </c>
      <c r="J5" s="266" t="s">
        <v>404</v>
      </c>
      <c r="K5" s="135"/>
      <c r="L5" s="135"/>
      <c r="M5" s="135"/>
      <c r="N5" s="135"/>
      <c r="O5" s="135"/>
      <c r="P5" s="135"/>
      <c r="Q5" s="135"/>
    </row>
    <row r="6" ht="22.5" customHeight="1">
      <c r="A6" s="249" t="s">
        <v>11</v>
      </c>
      <c r="B6" s="267"/>
      <c r="C6" s="267"/>
      <c r="D6" s="268" t="s">
        <v>405</v>
      </c>
      <c r="E6" s="268"/>
      <c r="F6" s="267"/>
      <c r="G6" s="269" t="s">
        <v>406</v>
      </c>
      <c r="J6" s="266" t="s">
        <v>407</v>
      </c>
      <c r="K6" s="135"/>
      <c r="L6" s="135"/>
      <c r="M6" s="135"/>
      <c r="N6" s="135"/>
      <c r="O6" s="135"/>
      <c r="P6" s="135"/>
      <c r="Q6" s="135"/>
    </row>
    <row r="7" ht="22.5" customHeight="1">
      <c r="A7" s="249" t="s">
        <v>11</v>
      </c>
      <c r="B7" s="267"/>
      <c r="C7" s="267"/>
      <c r="D7" s="268"/>
      <c r="E7" s="268" t="s">
        <v>408</v>
      </c>
      <c r="F7" s="267"/>
      <c r="G7" s="269" t="s">
        <v>409</v>
      </c>
      <c r="J7" s="266" t="s">
        <v>410</v>
      </c>
      <c r="K7" s="135"/>
      <c r="L7" s="135"/>
      <c r="M7" s="135"/>
      <c r="N7" s="135"/>
      <c r="O7" s="135"/>
      <c r="P7" s="135"/>
      <c r="Q7" s="135"/>
    </row>
    <row r="8" ht="22.5" customHeight="1">
      <c r="A8" s="249" t="s">
        <v>11</v>
      </c>
      <c r="B8" s="267"/>
      <c r="C8" s="267"/>
      <c r="D8" s="268" t="s">
        <v>411</v>
      </c>
      <c r="E8" s="268"/>
      <c r="F8" s="267"/>
      <c r="G8" s="269" t="s">
        <v>412</v>
      </c>
      <c r="J8" s="266" t="s">
        <v>413</v>
      </c>
      <c r="K8" s="135"/>
      <c r="L8" s="135"/>
      <c r="M8" s="135"/>
      <c r="N8" s="135"/>
      <c r="O8" s="135"/>
      <c r="P8" s="135"/>
      <c r="Q8" s="135"/>
    </row>
    <row r="9" ht="22.5" customHeight="1">
      <c r="A9" s="249" t="s">
        <v>11</v>
      </c>
      <c r="B9" s="270">
        <v>21825.0</v>
      </c>
      <c r="C9" s="267"/>
      <c r="D9" s="268" t="s">
        <v>414</v>
      </c>
      <c r="E9" s="268"/>
      <c r="F9" s="267"/>
      <c r="G9" s="269" t="s">
        <v>415</v>
      </c>
      <c r="J9" s="266" t="s">
        <v>416</v>
      </c>
      <c r="K9" s="135"/>
      <c r="L9" s="135"/>
      <c r="M9" s="135"/>
      <c r="N9" s="135"/>
      <c r="O9" s="135"/>
      <c r="P9" s="135"/>
      <c r="Q9" s="135"/>
    </row>
    <row r="10" ht="22.5" customHeight="1">
      <c r="A10" s="249" t="s">
        <v>11</v>
      </c>
      <c r="B10" s="270">
        <v>2401.0</v>
      </c>
      <c r="C10" s="267"/>
      <c r="D10" s="268" t="s">
        <v>417</v>
      </c>
      <c r="E10" s="268"/>
      <c r="F10" s="267"/>
      <c r="G10" s="269" t="s">
        <v>418</v>
      </c>
      <c r="J10" s="266" t="s">
        <v>419</v>
      </c>
      <c r="K10" s="135"/>
      <c r="L10" s="135"/>
      <c r="M10" s="135"/>
      <c r="N10" s="135"/>
      <c r="O10" s="135"/>
      <c r="P10" s="135"/>
      <c r="Q10" s="135"/>
    </row>
    <row r="11" ht="22.5" customHeight="1">
      <c r="A11" s="249" t="s">
        <v>11</v>
      </c>
      <c r="B11" s="270">
        <v>937.0</v>
      </c>
      <c r="C11" s="267"/>
      <c r="D11" s="268" t="s">
        <v>420</v>
      </c>
      <c r="E11" s="268"/>
      <c r="F11" s="267"/>
      <c r="G11" s="269" t="s">
        <v>418</v>
      </c>
      <c r="J11" s="266" t="s">
        <v>421</v>
      </c>
      <c r="K11" s="135"/>
      <c r="L11" s="135"/>
      <c r="M11" s="135"/>
      <c r="N11" s="135"/>
      <c r="O11" s="135"/>
      <c r="P11" s="135"/>
      <c r="Q11" s="135"/>
    </row>
    <row r="12" ht="22.5" customHeight="1">
      <c r="A12" s="249" t="s">
        <v>11</v>
      </c>
      <c r="B12" s="271" t="s">
        <v>422</v>
      </c>
      <c r="C12" s="267"/>
      <c r="D12" s="268" t="s">
        <v>423</v>
      </c>
      <c r="E12" s="268"/>
      <c r="F12" s="267"/>
      <c r="G12" s="267"/>
      <c r="J12" s="266" t="s">
        <v>297</v>
      </c>
      <c r="K12" s="135"/>
      <c r="L12" s="135"/>
      <c r="M12" s="135"/>
      <c r="N12" s="135"/>
      <c r="O12" s="135"/>
      <c r="P12" s="135"/>
      <c r="Q12" s="135"/>
    </row>
    <row r="13" ht="22.5" customHeight="1">
      <c r="A13" s="249" t="s">
        <v>27</v>
      </c>
      <c r="B13" s="267"/>
      <c r="C13" s="267"/>
      <c r="D13" s="268" t="s">
        <v>424</v>
      </c>
      <c r="E13" s="268"/>
      <c r="F13" s="267"/>
      <c r="G13" s="269" t="s">
        <v>251</v>
      </c>
      <c r="J13" s="266" t="s">
        <v>425</v>
      </c>
      <c r="K13" s="135"/>
      <c r="L13" s="135"/>
      <c r="M13" s="135"/>
      <c r="N13" s="135"/>
      <c r="O13" s="135"/>
      <c r="P13" s="135"/>
      <c r="Q13" s="135"/>
    </row>
    <row r="14" ht="22.5" customHeight="1">
      <c r="A14" s="249" t="s">
        <v>27</v>
      </c>
      <c r="B14" s="267"/>
      <c r="C14" s="267"/>
      <c r="D14" s="268" t="s">
        <v>426</v>
      </c>
      <c r="E14" s="268"/>
      <c r="F14" s="267"/>
      <c r="G14" s="269" t="s">
        <v>427</v>
      </c>
      <c r="J14" s="134"/>
      <c r="K14" s="135"/>
      <c r="L14" s="135"/>
      <c r="M14" s="135"/>
      <c r="N14" s="135"/>
      <c r="O14" s="135"/>
      <c r="P14" s="135"/>
      <c r="Q14" s="135"/>
    </row>
    <row r="15" ht="22.5" customHeight="1">
      <c r="A15" s="249" t="s">
        <v>27</v>
      </c>
      <c r="B15" s="267"/>
      <c r="C15" s="267"/>
      <c r="D15" s="268" t="s">
        <v>428</v>
      </c>
      <c r="E15" s="268"/>
      <c r="F15" s="267"/>
      <c r="G15" s="269" t="s">
        <v>427</v>
      </c>
      <c r="J15" s="134"/>
      <c r="K15" s="135"/>
      <c r="L15" s="135"/>
      <c r="M15" s="135"/>
      <c r="N15" s="135"/>
      <c r="O15" s="135"/>
      <c r="P15" s="135"/>
      <c r="Q15" s="135"/>
    </row>
    <row r="16" ht="22.5" customHeight="1">
      <c r="A16" s="249" t="s">
        <v>27</v>
      </c>
      <c r="B16" s="267"/>
      <c r="C16" s="267"/>
      <c r="D16" s="268" t="s">
        <v>429</v>
      </c>
      <c r="E16" s="268"/>
      <c r="F16" s="267"/>
      <c r="G16" s="269" t="s">
        <v>430</v>
      </c>
      <c r="J16" s="134"/>
      <c r="K16" s="135"/>
      <c r="L16" s="135"/>
      <c r="M16" s="135"/>
      <c r="N16" s="135"/>
      <c r="O16" s="135"/>
      <c r="P16" s="135"/>
      <c r="Q16" s="135"/>
    </row>
    <row r="17" ht="22.5" customHeight="1">
      <c r="A17" s="249" t="s">
        <v>202</v>
      </c>
      <c r="B17" s="267"/>
      <c r="C17" s="267"/>
      <c r="D17" s="268" t="s">
        <v>431</v>
      </c>
      <c r="E17" s="268"/>
      <c r="F17" s="267"/>
      <c r="G17" s="269" t="s">
        <v>432</v>
      </c>
      <c r="J17" s="134"/>
      <c r="K17" s="135"/>
      <c r="L17" s="135"/>
      <c r="M17" s="135"/>
      <c r="N17" s="135"/>
      <c r="O17" s="135"/>
      <c r="P17" s="135"/>
      <c r="Q17" s="135"/>
    </row>
    <row r="18" ht="22.5" customHeight="1">
      <c r="A18" s="249" t="s">
        <v>202</v>
      </c>
      <c r="B18" s="267"/>
      <c r="C18" s="267"/>
      <c r="D18" s="268" t="s">
        <v>433</v>
      </c>
      <c r="E18" s="268"/>
      <c r="F18" s="267"/>
      <c r="G18" s="269" t="s">
        <v>434</v>
      </c>
      <c r="J18" s="134"/>
      <c r="K18" s="135"/>
      <c r="L18" s="135"/>
      <c r="M18" s="135"/>
      <c r="N18" s="135"/>
      <c r="O18" s="135"/>
      <c r="P18" s="135"/>
      <c r="Q18" s="135"/>
    </row>
    <row r="19" ht="22.5" customHeight="1">
      <c r="A19" s="249" t="s">
        <v>18</v>
      </c>
      <c r="B19" s="267"/>
      <c r="C19" s="267"/>
      <c r="D19" s="268" t="s">
        <v>435</v>
      </c>
      <c r="E19" s="268"/>
      <c r="F19" s="267"/>
      <c r="G19" s="269" t="s">
        <v>436</v>
      </c>
      <c r="J19" s="134"/>
      <c r="K19" s="135"/>
      <c r="L19" s="135"/>
      <c r="M19" s="135"/>
      <c r="N19" s="135"/>
      <c r="O19" s="135"/>
      <c r="P19" s="135"/>
      <c r="Q19" s="135"/>
    </row>
    <row r="20" ht="22.5" customHeight="1">
      <c r="A20" s="249" t="s">
        <v>18</v>
      </c>
      <c r="B20" s="267"/>
      <c r="C20" s="267"/>
      <c r="D20" s="268" t="s">
        <v>437</v>
      </c>
      <c r="E20" s="268"/>
      <c r="F20" s="267"/>
      <c r="G20" s="269" t="s">
        <v>270</v>
      </c>
      <c r="J20" s="134"/>
      <c r="K20" s="135"/>
      <c r="L20" s="135"/>
      <c r="M20" s="135"/>
      <c r="N20" s="135"/>
      <c r="O20" s="135"/>
      <c r="P20" s="135"/>
      <c r="Q20" s="135"/>
    </row>
    <row r="21" ht="22.5" customHeight="1">
      <c r="A21" s="249" t="s">
        <v>18</v>
      </c>
      <c r="B21" s="267"/>
      <c r="C21" s="267"/>
      <c r="D21" s="268" t="s">
        <v>429</v>
      </c>
      <c r="E21" s="268"/>
      <c r="F21" s="267"/>
      <c r="G21" s="269" t="s">
        <v>271</v>
      </c>
      <c r="J21" s="134"/>
      <c r="K21" s="135"/>
      <c r="L21" s="135"/>
      <c r="M21" s="135"/>
      <c r="N21" s="135"/>
      <c r="O21" s="135"/>
      <c r="P21" s="135"/>
      <c r="Q21" s="135"/>
    </row>
    <row r="22" ht="22.5" customHeight="1">
      <c r="A22" s="249" t="s">
        <v>12</v>
      </c>
      <c r="B22" s="267"/>
      <c r="C22" s="267"/>
      <c r="D22" s="268" t="s">
        <v>438</v>
      </c>
      <c r="E22" s="268"/>
      <c r="F22" s="267"/>
      <c r="G22" s="269" t="s">
        <v>238</v>
      </c>
      <c r="J22" s="134"/>
      <c r="K22" s="135"/>
      <c r="L22" s="135"/>
      <c r="M22" s="135"/>
      <c r="N22" s="135"/>
      <c r="O22" s="135"/>
      <c r="P22" s="135"/>
      <c r="Q22" s="135"/>
    </row>
    <row r="23" ht="22.5" customHeight="1">
      <c r="A23" s="249" t="s">
        <v>12</v>
      </c>
      <c r="B23" s="267"/>
      <c r="C23" s="267"/>
      <c r="D23" s="268" t="s">
        <v>435</v>
      </c>
      <c r="E23" s="268"/>
      <c r="F23" s="267"/>
      <c r="G23" s="269" t="s">
        <v>241</v>
      </c>
      <c r="J23" s="134"/>
      <c r="K23" s="135"/>
      <c r="L23" s="135"/>
      <c r="M23" s="135"/>
      <c r="N23" s="135"/>
      <c r="O23" s="135"/>
      <c r="P23" s="135"/>
      <c r="Q23" s="135"/>
    </row>
    <row r="24" ht="22.5" customHeight="1">
      <c r="A24" s="249" t="s">
        <v>12</v>
      </c>
      <c r="B24" s="267"/>
      <c r="C24" s="267"/>
      <c r="D24" s="268" t="s">
        <v>402</v>
      </c>
      <c r="E24" s="268"/>
      <c r="F24" s="267"/>
      <c r="G24" s="269" t="s">
        <v>271</v>
      </c>
      <c r="J24" s="134"/>
      <c r="K24" s="135"/>
      <c r="L24" s="135"/>
      <c r="M24" s="135"/>
      <c r="N24" s="135"/>
      <c r="O24" s="135"/>
      <c r="P24" s="135"/>
      <c r="Q24" s="135"/>
    </row>
    <row r="25" ht="22.5" customHeight="1">
      <c r="A25" s="249" t="s">
        <v>12</v>
      </c>
      <c r="B25" s="267"/>
      <c r="C25" s="267"/>
      <c r="D25" s="268" t="s">
        <v>438</v>
      </c>
      <c r="E25" s="268"/>
      <c r="F25" s="267"/>
      <c r="G25" s="269" t="s">
        <v>439</v>
      </c>
      <c r="J25" s="134"/>
      <c r="K25" s="135"/>
      <c r="L25" s="135"/>
      <c r="M25" s="135"/>
      <c r="N25" s="135"/>
      <c r="O25" s="135"/>
      <c r="P25" s="135"/>
      <c r="Q25" s="135"/>
    </row>
    <row r="26" ht="22.5" customHeight="1">
      <c r="A26" s="249" t="s">
        <v>45</v>
      </c>
      <c r="B26" s="267"/>
      <c r="C26" s="267"/>
      <c r="D26" s="268" t="s">
        <v>428</v>
      </c>
      <c r="E26" s="268"/>
      <c r="F26" s="267"/>
      <c r="G26" s="269" t="s">
        <v>440</v>
      </c>
      <c r="J26" s="134"/>
      <c r="K26" s="135"/>
      <c r="L26" s="135"/>
      <c r="M26" s="135"/>
      <c r="N26" s="135"/>
      <c r="O26" s="135"/>
      <c r="P26" s="135"/>
      <c r="Q26" s="135"/>
    </row>
    <row r="27" ht="22.5" customHeight="1">
      <c r="A27" s="249" t="s">
        <v>45</v>
      </c>
      <c r="B27" s="267"/>
      <c r="C27" s="267"/>
      <c r="D27" s="268"/>
      <c r="E27" s="268">
        <v>50000.0</v>
      </c>
      <c r="F27" s="272"/>
      <c r="G27" s="269" t="s">
        <v>441</v>
      </c>
      <c r="J27" s="134"/>
      <c r="K27" s="135"/>
      <c r="L27" s="135"/>
      <c r="M27" s="135"/>
      <c r="N27" s="135"/>
      <c r="O27" s="135"/>
      <c r="P27" s="135"/>
      <c r="Q27" s="135"/>
    </row>
    <row r="28" ht="22.5" customHeight="1">
      <c r="A28" s="249" t="s">
        <v>45</v>
      </c>
      <c r="B28" s="267"/>
      <c r="C28" s="267"/>
      <c r="D28" s="268"/>
      <c r="E28" s="268" t="s">
        <v>438</v>
      </c>
      <c r="F28" s="267"/>
      <c r="G28" s="269" t="s">
        <v>442</v>
      </c>
      <c r="J28" s="134"/>
      <c r="K28" s="135"/>
      <c r="L28" s="135"/>
      <c r="M28" s="135"/>
      <c r="N28" s="135"/>
      <c r="O28" s="135"/>
      <c r="P28" s="135"/>
      <c r="Q28" s="135"/>
    </row>
    <row r="29" ht="22.5" customHeight="1">
      <c r="A29" s="249" t="s">
        <v>45</v>
      </c>
      <c r="B29" s="267"/>
      <c r="C29" s="267"/>
      <c r="D29" s="268" t="s">
        <v>438</v>
      </c>
      <c r="E29" s="268"/>
      <c r="F29" s="267"/>
      <c r="G29" s="269" t="s">
        <v>271</v>
      </c>
      <c r="J29" s="134"/>
      <c r="K29" s="135"/>
      <c r="L29" s="135"/>
      <c r="M29" s="135"/>
      <c r="N29" s="135"/>
      <c r="O29" s="135"/>
      <c r="P29" s="135"/>
      <c r="Q29" s="135"/>
    </row>
    <row r="30" ht="22.5" customHeight="1">
      <c r="A30" s="249" t="s">
        <v>45</v>
      </c>
      <c r="B30" s="267"/>
      <c r="C30" s="267"/>
      <c r="D30" s="268" t="s">
        <v>435</v>
      </c>
      <c r="E30" s="268"/>
      <c r="F30" s="267"/>
      <c r="G30" s="269" t="s">
        <v>271</v>
      </c>
      <c r="J30" s="134"/>
      <c r="K30" s="135"/>
      <c r="L30" s="135"/>
      <c r="M30" s="135"/>
      <c r="N30" s="135"/>
      <c r="O30" s="135"/>
      <c r="P30" s="135"/>
      <c r="Q30" s="135"/>
    </row>
    <row r="31" ht="22.5" customHeight="1">
      <c r="A31" s="249" t="s">
        <v>45</v>
      </c>
      <c r="B31" s="267"/>
      <c r="C31" s="267"/>
      <c r="D31" s="268" t="s">
        <v>443</v>
      </c>
      <c r="E31" s="268"/>
      <c r="F31" s="267"/>
      <c r="G31" s="269" t="s">
        <v>444</v>
      </c>
      <c r="J31" s="134"/>
      <c r="K31" s="135"/>
      <c r="L31" s="135"/>
      <c r="M31" s="135"/>
      <c r="N31" s="135"/>
      <c r="O31" s="135"/>
      <c r="P31" s="135"/>
      <c r="Q31" s="135"/>
    </row>
    <row r="32" ht="22.5" customHeight="1">
      <c r="A32" s="249" t="s">
        <v>45</v>
      </c>
      <c r="B32" s="267"/>
      <c r="C32" s="267"/>
      <c r="D32" s="268"/>
      <c r="E32" s="268" t="s">
        <v>438</v>
      </c>
      <c r="F32" s="267"/>
      <c r="G32" s="269" t="s">
        <v>409</v>
      </c>
      <c r="J32" s="134"/>
      <c r="K32" s="135"/>
      <c r="L32" s="135"/>
      <c r="M32" s="135"/>
      <c r="N32" s="135"/>
      <c r="O32" s="135"/>
      <c r="P32" s="135"/>
      <c r="Q32" s="135"/>
    </row>
    <row r="33" ht="22.5" customHeight="1">
      <c r="A33" s="249" t="s">
        <v>45</v>
      </c>
      <c r="B33" s="267"/>
      <c r="C33" s="267"/>
      <c r="D33" s="268" t="s">
        <v>426</v>
      </c>
      <c r="E33" s="268"/>
      <c r="F33" s="267"/>
      <c r="G33" s="269" t="s">
        <v>445</v>
      </c>
      <c r="J33" s="134"/>
      <c r="K33" s="135"/>
      <c r="L33" s="135"/>
      <c r="M33" s="135"/>
      <c r="N33" s="135"/>
      <c r="O33" s="135"/>
      <c r="P33" s="135"/>
      <c r="Q33" s="135"/>
    </row>
    <row r="34" ht="22.5" customHeight="1">
      <c r="A34" s="249" t="s">
        <v>446</v>
      </c>
      <c r="B34" s="267"/>
      <c r="C34" s="267"/>
      <c r="D34" s="268" t="s">
        <v>438</v>
      </c>
      <c r="E34" s="268"/>
      <c r="F34" s="267"/>
      <c r="G34" s="269" t="s">
        <v>239</v>
      </c>
      <c r="J34" s="134"/>
      <c r="K34" s="135"/>
      <c r="L34" s="135"/>
      <c r="M34" s="135"/>
      <c r="N34" s="135"/>
      <c r="O34" s="135"/>
      <c r="P34" s="135"/>
      <c r="Q34" s="135"/>
    </row>
    <row r="35" ht="22.5" customHeight="1">
      <c r="A35" s="249" t="s">
        <v>446</v>
      </c>
      <c r="B35" s="267"/>
      <c r="C35" s="267"/>
      <c r="D35" s="268" t="s">
        <v>447</v>
      </c>
      <c r="E35" s="268"/>
      <c r="F35" s="267"/>
      <c r="G35" s="269" t="s">
        <v>448</v>
      </c>
      <c r="J35" s="134"/>
      <c r="K35" s="135"/>
      <c r="L35" s="135"/>
      <c r="M35" s="135"/>
      <c r="N35" s="135"/>
      <c r="O35" s="135"/>
      <c r="P35" s="135"/>
      <c r="Q35" s="135"/>
    </row>
    <row r="36" ht="22.5" customHeight="1">
      <c r="A36" s="249" t="s">
        <v>446</v>
      </c>
      <c r="B36" s="267"/>
      <c r="C36" s="267"/>
      <c r="D36" s="268"/>
      <c r="E36" s="268" t="s">
        <v>438</v>
      </c>
      <c r="F36" s="267"/>
      <c r="G36" s="269" t="s">
        <v>449</v>
      </c>
      <c r="J36" s="134"/>
      <c r="K36" s="135"/>
      <c r="L36" s="135"/>
      <c r="M36" s="135"/>
      <c r="N36" s="135"/>
      <c r="O36" s="135"/>
      <c r="P36" s="135"/>
      <c r="Q36" s="135"/>
    </row>
    <row r="37" ht="22.5" customHeight="1">
      <c r="A37" s="249" t="s">
        <v>446</v>
      </c>
      <c r="B37" s="267"/>
      <c r="C37" s="267"/>
      <c r="D37" s="268"/>
      <c r="E37" s="268" t="s">
        <v>438</v>
      </c>
      <c r="F37" s="267"/>
      <c r="G37" s="269" t="s">
        <v>409</v>
      </c>
    </row>
    <row r="38" ht="22.5" customHeight="1">
      <c r="A38" s="249" t="s">
        <v>446</v>
      </c>
      <c r="B38" s="267"/>
      <c r="C38" s="267"/>
      <c r="D38" s="268" t="s">
        <v>450</v>
      </c>
      <c r="E38" s="268"/>
      <c r="F38" s="267"/>
      <c r="G38" s="269" t="s">
        <v>270</v>
      </c>
    </row>
    <row r="39" ht="22.5" customHeight="1">
      <c r="A39" s="249" t="s">
        <v>446</v>
      </c>
      <c r="B39" s="267"/>
      <c r="C39" s="267"/>
      <c r="D39" s="268" t="s">
        <v>405</v>
      </c>
      <c r="E39" s="268"/>
      <c r="F39" s="272"/>
      <c r="G39" s="269" t="s">
        <v>451</v>
      </c>
    </row>
    <row r="40" ht="22.5" customHeight="1">
      <c r="A40" s="249" t="s">
        <v>52</v>
      </c>
      <c r="B40" s="267"/>
      <c r="C40" s="267"/>
      <c r="D40" s="268" t="s">
        <v>402</v>
      </c>
      <c r="E40" s="268"/>
      <c r="F40" s="267"/>
      <c r="G40" s="269" t="s">
        <v>452</v>
      </c>
    </row>
    <row r="41" ht="22.5" customHeight="1">
      <c r="A41" s="249" t="s">
        <v>52</v>
      </c>
      <c r="B41" s="267"/>
      <c r="C41" s="267"/>
      <c r="D41" s="268" t="s">
        <v>453</v>
      </c>
      <c r="E41" s="268"/>
      <c r="F41" s="267"/>
      <c r="G41" s="269" t="s">
        <v>271</v>
      </c>
    </row>
    <row r="42" ht="22.5" customHeight="1">
      <c r="A42" s="249" t="s">
        <v>52</v>
      </c>
      <c r="B42" s="267"/>
      <c r="C42" s="267"/>
      <c r="D42" s="268" t="s">
        <v>454</v>
      </c>
      <c r="E42" s="268"/>
      <c r="F42" s="267"/>
      <c r="G42" s="269" t="s">
        <v>283</v>
      </c>
    </row>
    <row r="43" ht="22.5" customHeight="1">
      <c r="A43" s="249" t="s">
        <v>52</v>
      </c>
      <c r="B43" s="267"/>
      <c r="C43" s="267"/>
      <c r="D43" s="268" t="s">
        <v>450</v>
      </c>
      <c r="E43" s="268"/>
      <c r="F43" s="267"/>
      <c r="G43" s="269" t="s">
        <v>455</v>
      </c>
    </row>
    <row r="44" ht="22.5" customHeight="1">
      <c r="A44" s="249" t="s">
        <v>52</v>
      </c>
      <c r="B44" s="267"/>
      <c r="C44" s="267"/>
      <c r="D44" s="268"/>
      <c r="E44" s="268" t="s">
        <v>456</v>
      </c>
      <c r="F44" s="267"/>
      <c r="G44" s="269" t="s">
        <v>457</v>
      </c>
    </row>
    <row r="45" ht="22.5" customHeight="1">
      <c r="A45" s="249" t="s">
        <v>52</v>
      </c>
      <c r="B45" s="267"/>
      <c r="C45" s="267"/>
      <c r="D45" s="268" t="s">
        <v>426</v>
      </c>
      <c r="E45" s="268"/>
      <c r="F45" s="267"/>
      <c r="G45" s="269" t="s">
        <v>239</v>
      </c>
    </row>
    <row r="46" ht="22.5" customHeight="1">
      <c r="A46" s="249" t="s">
        <v>52</v>
      </c>
      <c r="B46" s="267"/>
      <c r="C46" s="267"/>
      <c r="D46" s="268" t="s">
        <v>438</v>
      </c>
      <c r="E46" s="268"/>
      <c r="F46" s="267"/>
      <c r="G46" s="269" t="s">
        <v>458</v>
      </c>
    </row>
    <row r="47" ht="22.5" customHeight="1">
      <c r="A47" s="249" t="s">
        <v>52</v>
      </c>
      <c r="B47" s="267"/>
      <c r="C47" s="267"/>
      <c r="D47" s="268" t="s">
        <v>450</v>
      </c>
      <c r="E47" s="268"/>
      <c r="F47" s="267"/>
      <c r="G47" s="269" t="s">
        <v>459</v>
      </c>
    </row>
    <row r="48" ht="22.5" customHeight="1">
      <c r="A48" s="249" t="s">
        <v>460</v>
      </c>
      <c r="B48" s="267"/>
      <c r="C48" s="267"/>
      <c r="D48" s="268"/>
      <c r="E48" s="268" t="s">
        <v>461</v>
      </c>
      <c r="F48" s="267"/>
      <c r="G48" s="269" t="s">
        <v>462</v>
      </c>
    </row>
    <row r="49" ht="22.5" customHeight="1">
      <c r="A49" s="249" t="s">
        <v>53</v>
      </c>
      <c r="B49" s="267"/>
      <c r="C49" s="267"/>
      <c r="D49" s="268"/>
      <c r="E49" s="268" t="s">
        <v>438</v>
      </c>
      <c r="F49" s="267"/>
      <c r="G49" s="269" t="s">
        <v>442</v>
      </c>
    </row>
    <row r="50" ht="22.5" customHeight="1">
      <c r="A50" s="249" t="s">
        <v>53</v>
      </c>
      <c r="B50" s="267"/>
      <c r="C50" s="267"/>
      <c r="D50" s="268" t="s">
        <v>463</v>
      </c>
      <c r="E50" s="268"/>
      <c r="F50" s="267"/>
      <c r="G50" s="269" t="s">
        <v>271</v>
      </c>
    </row>
    <row r="51" ht="22.5" customHeight="1">
      <c r="A51" s="249" t="s">
        <v>53</v>
      </c>
      <c r="B51" s="267"/>
      <c r="C51" s="267"/>
      <c r="D51" s="268" t="s">
        <v>464</v>
      </c>
      <c r="E51" s="268"/>
      <c r="F51" s="267"/>
      <c r="G51" s="269" t="s">
        <v>465</v>
      </c>
    </row>
    <row r="52" ht="22.5" customHeight="1">
      <c r="A52" s="249" t="s">
        <v>53</v>
      </c>
      <c r="B52" s="267"/>
      <c r="C52" s="267"/>
      <c r="D52" s="268" t="s">
        <v>454</v>
      </c>
      <c r="E52" s="268"/>
      <c r="F52" s="267"/>
      <c r="G52" s="269" t="s">
        <v>283</v>
      </c>
    </row>
    <row r="53" ht="22.5" customHeight="1">
      <c r="A53" s="249" t="s">
        <v>53</v>
      </c>
      <c r="B53" s="267"/>
      <c r="C53" s="267"/>
      <c r="D53" s="268"/>
      <c r="E53" s="268" t="s">
        <v>447</v>
      </c>
      <c r="F53" s="267"/>
      <c r="G53" s="269" t="s">
        <v>272</v>
      </c>
    </row>
    <row r="54" ht="22.5" customHeight="1">
      <c r="A54" s="249" t="s">
        <v>53</v>
      </c>
      <c r="B54" s="267"/>
      <c r="C54" s="267"/>
      <c r="D54" s="268"/>
      <c r="E54" s="268" t="s">
        <v>447</v>
      </c>
      <c r="F54" s="267"/>
      <c r="G54" s="269" t="s">
        <v>448</v>
      </c>
    </row>
    <row r="55" ht="22.5" customHeight="1">
      <c r="A55" s="249" t="s">
        <v>56</v>
      </c>
      <c r="B55" s="267"/>
      <c r="C55" s="267"/>
      <c r="D55" s="268"/>
      <c r="E55" s="268" t="s">
        <v>466</v>
      </c>
      <c r="F55" s="267"/>
      <c r="G55" s="269" t="s">
        <v>467</v>
      </c>
    </row>
    <row r="56" ht="22.5" customHeight="1">
      <c r="A56" s="249" t="s">
        <v>56</v>
      </c>
      <c r="B56" s="267"/>
      <c r="C56" s="267"/>
      <c r="D56" s="268" t="s">
        <v>453</v>
      </c>
      <c r="E56" s="268"/>
      <c r="F56" s="267"/>
      <c r="G56" s="269" t="s">
        <v>271</v>
      </c>
    </row>
    <row r="57" ht="22.5" customHeight="1">
      <c r="A57" s="249" t="s">
        <v>56</v>
      </c>
      <c r="B57" s="267"/>
      <c r="C57" s="267"/>
      <c r="D57" s="268" t="s">
        <v>454</v>
      </c>
      <c r="E57" s="268"/>
      <c r="F57" s="267"/>
      <c r="G57" s="269" t="s">
        <v>283</v>
      </c>
    </row>
    <row r="58" ht="22.5" customHeight="1">
      <c r="A58" s="249" t="s">
        <v>56</v>
      </c>
      <c r="B58" s="267"/>
      <c r="C58" s="267"/>
      <c r="D58" s="268" t="s">
        <v>450</v>
      </c>
      <c r="E58" s="268"/>
      <c r="F58" s="267"/>
      <c r="G58" s="269" t="s">
        <v>239</v>
      </c>
    </row>
    <row r="59" ht="22.5" customHeight="1">
      <c r="A59" s="249" t="s">
        <v>56</v>
      </c>
      <c r="B59" s="267"/>
      <c r="C59" s="267"/>
      <c r="D59" s="268"/>
      <c r="E59" s="268" t="s">
        <v>438</v>
      </c>
      <c r="F59" s="267"/>
      <c r="G59" s="269" t="s">
        <v>468</v>
      </c>
    </row>
    <row r="60" ht="22.5" customHeight="1">
      <c r="A60" s="249" t="s">
        <v>76</v>
      </c>
      <c r="B60" s="267"/>
      <c r="C60" s="267"/>
      <c r="D60" s="268" t="s">
        <v>469</v>
      </c>
      <c r="E60" s="268"/>
      <c r="F60" s="267"/>
      <c r="G60" s="269" t="s">
        <v>283</v>
      </c>
    </row>
    <row r="61" ht="22.5" customHeight="1">
      <c r="A61" s="249" t="s">
        <v>76</v>
      </c>
      <c r="B61" s="267"/>
      <c r="C61" s="267"/>
      <c r="D61" s="268" t="s">
        <v>470</v>
      </c>
      <c r="E61" s="268"/>
      <c r="F61" s="267"/>
      <c r="G61" s="269" t="s">
        <v>271</v>
      </c>
    </row>
    <row r="62" ht="22.5" customHeight="1">
      <c r="A62" s="249" t="s">
        <v>76</v>
      </c>
      <c r="B62" s="267"/>
      <c r="C62" s="267"/>
      <c r="D62" s="268" t="s">
        <v>438</v>
      </c>
      <c r="E62" s="268"/>
      <c r="F62" s="267"/>
      <c r="G62" s="269" t="s">
        <v>448</v>
      </c>
    </row>
    <row r="63" ht="22.5" customHeight="1">
      <c r="A63" s="249" t="s">
        <v>297</v>
      </c>
      <c r="B63" s="267"/>
      <c r="C63" s="267"/>
      <c r="D63" s="268" t="s">
        <v>454</v>
      </c>
      <c r="E63" s="268"/>
      <c r="F63" s="267"/>
      <c r="G63" s="269" t="s">
        <v>283</v>
      </c>
    </row>
    <row r="64" ht="22.5" customHeight="1">
      <c r="A64" s="249" t="s">
        <v>297</v>
      </c>
      <c r="B64" s="267"/>
      <c r="C64" s="267"/>
      <c r="D64" s="268" t="s">
        <v>453</v>
      </c>
      <c r="E64" s="268"/>
      <c r="F64" s="267"/>
      <c r="G64" s="269" t="s">
        <v>271</v>
      </c>
    </row>
    <row r="65" ht="22.5" customHeight="1">
      <c r="A65" s="249" t="s">
        <v>297</v>
      </c>
      <c r="B65" s="267"/>
      <c r="C65" s="267"/>
      <c r="D65" s="268" t="s">
        <v>464</v>
      </c>
      <c r="E65" s="268"/>
      <c r="F65" s="267"/>
      <c r="G65" s="269" t="s">
        <v>270</v>
      </c>
    </row>
    <row r="66" ht="22.5" customHeight="1">
      <c r="A66" s="249" t="s">
        <v>297</v>
      </c>
      <c r="B66" s="267"/>
      <c r="C66" s="267"/>
      <c r="D66" s="268"/>
      <c r="E66" s="268" t="s">
        <v>471</v>
      </c>
      <c r="F66" s="267"/>
      <c r="G66" s="269" t="s">
        <v>462</v>
      </c>
    </row>
    <row r="67" ht="22.5" customHeight="1">
      <c r="A67" s="249" t="s">
        <v>297</v>
      </c>
      <c r="B67" s="267"/>
      <c r="C67" s="267"/>
      <c r="D67" s="268"/>
      <c r="E67" s="268" t="s">
        <v>472</v>
      </c>
      <c r="F67" s="267"/>
      <c r="G67" s="269" t="s">
        <v>449</v>
      </c>
    </row>
    <row r="68" ht="22.5" customHeight="1">
      <c r="A68" s="249" t="s">
        <v>297</v>
      </c>
      <c r="B68" s="267"/>
      <c r="C68" s="267"/>
      <c r="D68" s="268"/>
      <c r="E68" s="268">
        <v>775000.0</v>
      </c>
      <c r="F68" s="267"/>
      <c r="G68" s="269" t="s">
        <v>473</v>
      </c>
    </row>
    <row r="69" ht="22.5" customHeight="1">
      <c r="A69" s="249" t="s">
        <v>474</v>
      </c>
      <c r="B69" s="267"/>
      <c r="C69" s="267"/>
      <c r="D69" s="268" t="s">
        <v>454</v>
      </c>
      <c r="E69" s="268"/>
      <c r="F69" s="267"/>
      <c r="G69" s="269" t="s">
        <v>283</v>
      </c>
    </row>
    <row r="70" ht="22.5" customHeight="1">
      <c r="A70" s="249" t="s">
        <v>474</v>
      </c>
      <c r="B70" s="267"/>
      <c r="C70" s="267"/>
      <c r="D70" s="268" t="s">
        <v>428</v>
      </c>
      <c r="E70" s="268"/>
      <c r="F70" s="267"/>
      <c r="G70" s="269" t="s">
        <v>271</v>
      </c>
    </row>
    <row r="71" ht="22.5" customHeight="1">
      <c r="A71" s="249" t="s">
        <v>474</v>
      </c>
      <c r="B71" s="267"/>
      <c r="C71" s="267"/>
      <c r="D71" s="268"/>
      <c r="E71" s="268" t="s">
        <v>399</v>
      </c>
      <c r="F71" s="267"/>
      <c r="G71" s="269" t="s">
        <v>391</v>
      </c>
    </row>
    <row r="72" ht="22.5" customHeight="1">
      <c r="A72" s="249" t="s">
        <v>474</v>
      </c>
      <c r="B72" s="267"/>
      <c r="C72" s="267"/>
      <c r="D72" s="268"/>
      <c r="E72" s="268" t="s">
        <v>475</v>
      </c>
      <c r="F72" s="267"/>
      <c r="G72" s="269" t="s">
        <v>476</v>
      </c>
    </row>
    <row r="73" ht="22.5" customHeight="1">
      <c r="A73" s="249" t="s">
        <v>474</v>
      </c>
      <c r="B73" s="267"/>
      <c r="C73" s="267"/>
      <c r="D73" s="268" t="s">
        <v>438</v>
      </c>
      <c r="E73" s="268"/>
      <c r="F73" s="267"/>
      <c r="G73" s="269" t="s">
        <v>448</v>
      </c>
    </row>
    <row r="74" ht="22.5" customHeight="1">
      <c r="A74" s="249" t="s">
        <v>474</v>
      </c>
      <c r="B74" s="267"/>
      <c r="C74" s="267"/>
      <c r="D74" s="268" t="s">
        <v>429</v>
      </c>
      <c r="E74" s="268"/>
      <c r="F74" s="267"/>
      <c r="G74" s="269" t="s">
        <v>477</v>
      </c>
    </row>
    <row r="75" ht="22.5" customHeight="1">
      <c r="A75" s="249" t="s">
        <v>474</v>
      </c>
      <c r="B75" s="267"/>
      <c r="C75" s="267"/>
      <c r="D75" s="268" t="s">
        <v>426</v>
      </c>
      <c r="E75" s="268"/>
      <c r="F75" s="267"/>
      <c r="G75" s="269" t="s">
        <v>239</v>
      </c>
    </row>
    <row r="76" ht="22.5" customHeight="1">
      <c r="A76" s="249" t="s">
        <v>90</v>
      </c>
      <c r="B76" s="267"/>
      <c r="C76" s="267"/>
      <c r="D76" s="268" t="s">
        <v>454</v>
      </c>
      <c r="E76" s="268"/>
      <c r="F76" s="267"/>
      <c r="G76" s="269" t="s">
        <v>283</v>
      </c>
    </row>
    <row r="77" ht="22.5" customHeight="1">
      <c r="A77" s="249" t="s">
        <v>90</v>
      </c>
      <c r="B77" s="267"/>
      <c r="C77" s="267"/>
      <c r="D77" s="268" t="s">
        <v>438</v>
      </c>
      <c r="E77" s="268"/>
      <c r="F77" s="267"/>
      <c r="G77" s="269" t="s">
        <v>271</v>
      </c>
    </row>
    <row r="78" ht="22.5" customHeight="1">
      <c r="A78" s="249" t="s">
        <v>90</v>
      </c>
      <c r="B78" s="267"/>
      <c r="C78" s="267"/>
      <c r="D78" s="268" t="s">
        <v>435</v>
      </c>
      <c r="E78" s="268"/>
      <c r="F78" s="267"/>
      <c r="G78" s="269" t="s">
        <v>239</v>
      </c>
    </row>
    <row r="79" ht="22.5" customHeight="1">
      <c r="A79" s="249" t="s">
        <v>53</v>
      </c>
      <c r="B79" s="270">
        <v>31204.0</v>
      </c>
      <c r="C79" s="267"/>
      <c r="D79" s="268" t="s">
        <v>478</v>
      </c>
      <c r="E79" s="268"/>
      <c r="F79" s="267"/>
      <c r="G79" s="269" t="s">
        <v>296</v>
      </c>
    </row>
    <row r="80" ht="22.5" customHeight="1">
      <c r="A80" s="273" t="s">
        <v>27</v>
      </c>
      <c r="B80" s="274" t="s">
        <v>479</v>
      </c>
      <c r="C80" s="275"/>
      <c r="D80" s="268"/>
      <c r="E80" s="268"/>
      <c r="F80" s="275"/>
      <c r="G80" s="275"/>
    </row>
    <row r="81" ht="22.5" customHeight="1">
      <c r="A81" s="249" t="s">
        <v>202</v>
      </c>
      <c r="B81" s="271" t="s">
        <v>480</v>
      </c>
      <c r="C81" s="267"/>
      <c r="D81" s="268" t="s">
        <v>481</v>
      </c>
      <c r="E81" s="268"/>
      <c r="F81" s="267"/>
      <c r="G81" s="269" t="s">
        <v>482</v>
      </c>
    </row>
    <row r="82" ht="22.5" customHeight="1">
      <c r="A82" s="249" t="s">
        <v>45</v>
      </c>
      <c r="B82" s="271" t="s">
        <v>483</v>
      </c>
      <c r="C82" s="267"/>
      <c r="D82" s="268" t="s">
        <v>484</v>
      </c>
      <c r="E82" s="268"/>
      <c r="F82" s="267"/>
      <c r="G82" s="269" t="s">
        <v>482</v>
      </c>
    </row>
    <row r="83" ht="22.5" customHeight="1">
      <c r="A83" s="249" t="s">
        <v>446</v>
      </c>
      <c r="B83" s="270">
        <v>169.0</v>
      </c>
      <c r="C83" s="267"/>
      <c r="D83" s="268" t="s">
        <v>485</v>
      </c>
      <c r="E83" s="268"/>
      <c r="F83" s="267"/>
      <c r="G83" s="269" t="s">
        <v>482</v>
      </c>
    </row>
    <row r="84" ht="22.5" customHeight="1">
      <c r="A84" s="249" t="s">
        <v>446</v>
      </c>
      <c r="B84" s="271" t="s">
        <v>486</v>
      </c>
      <c r="C84" s="267"/>
      <c r="D84" s="268" t="s">
        <v>487</v>
      </c>
      <c r="E84" s="268"/>
      <c r="F84" s="267"/>
      <c r="G84" s="269" t="s">
        <v>482</v>
      </c>
    </row>
    <row r="85" ht="22.5" customHeight="1">
      <c r="A85" s="249" t="s">
        <v>18</v>
      </c>
      <c r="B85" s="271" t="s">
        <v>488</v>
      </c>
      <c r="C85" s="267"/>
      <c r="D85" s="268" t="s">
        <v>489</v>
      </c>
      <c r="E85" s="268"/>
      <c r="F85" s="267"/>
      <c r="G85" s="269" t="s">
        <v>482</v>
      </c>
    </row>
    <row r="86" ht="22.5" customHeight="1">
      <c r="A86" s="249" t="s">
        <v>52</v>
      </c>
      <c r="B86" s="271" t="s">
        <v>490</v>
      </c>
      <c r="C86" s="267"/>
      <c r="D86" s="268" t="s">
        <v>491</v>
      </c>
      <c r="E86" s="268"/>
      <c r="F86" s="267"/>
      <c r="G86" s="269" t="s">
        <v>492</v>
      </c>
    </row>
    <row r="87" ht="22.5" customHeight="1">
      <c r="A87" s="249" t="s">
        <v>27</v>
      </c>
      <c r="B87" s="271" t="s">
        <v>493</v>
      </c>
      <c r="C87" s="267"/>
      <c r="D87" s="268" t="s">
        <v>424</v>
      </c>
      <c r="E87" s="268"/>
      <c r="F87" s="267"/>
      <c r="G87" s="269" t="s">
        <v>234</v>
      </c>
    </row>
    <row r="88" ht="22.5" customHeight="1">
      <c r="A88" s="249" t="s">
        <v>27</v>
      </c>
      <c r="B88" s="271" t="s">
        <v>494</v>
      </c>
      <c r="C88" s="267"/>
      <c r="D88" s="268" t="s">
        <v>495</v>
      </c>
      <c r="E88" s="268"/>
      <c r="F88" s="267"/>
      <c r="G88" s="269" t="s">
        <v>253</v>
      </c>
    </row>
    <row r="89" ht="22.5" customHeight="1">
      <c r="A89" s="249" t="s">
        <v>12</v>
      </c>
      <c r="B89" s="271" t="s">
        <v>496</v>
      </c>
      <c r="C89" s="267"/>
      <c r="D89" s="268" t="s">
        <v>497</v>
      </c>
      <c r="E89" s="268"/>
      <c r="F89" s="267"/>
      <c r="G89" s="269" t="s">
        <v>498</v>
      </c>
    </row>
    <row r="90" ht="22.5" customHeight="1">
      <c r="A90" s="249" t="s">
        <v>76</v>
      </c>
      <c r="B90" s="270">
        <v>885736.0</v>
      </c>
      <c r="C90" s="267"/>
      <c r="D90" s="268" t="s">
        <v>499</v>
      </c>
      <c r="E90" s="268"/>
      <c r="F90" s="267"/>
      <c r="G90" s="269" t="s">
        <v>500</v>
      </c>
    </row>
    <row r="91" ht="22.5" customHeight="1">
      <c r="A91" s="249" t="s">
        <v>56</v>
      </c>
      <c r="B91" s="270">
        <v>21898.0</v>
      </c>
      <c r="C91" s="267"/>
      <c r="D91" s="268" t="s">
        <v>501</v>
      </c>
      <c r="E91" s="268"/>
      <c r="F91" s="267"/>
      <c r="G91" s="269" t="s">
        <v>294</v>
      </c>
    </row>
    <row r="92" ht="22.5" customHeight="1">
      <c r="A92" s="249" t="s">
        <v>12</v>
      </c>
      <c r="B92" s="270">
        <v>21868.0</v>
      </c>
      <c r="C92" s="267"/>
      <c r="D92" s="268" t="s">
        <v>502</v>
      </c>
      <c r="E92" s="268"/>
      <c r="F92" s="267"/>
      <c r="G92" s="269" t="s">
        <v>294</v>
      </c>
    </row>
    <row r="93" ht="22.5" customHeight="1">
      <c r="A93" s="249" t="s">
        <v>446</v>
      </c>
      <c r="B93" s="270">
        <v>21874.0</v>
      </c>
      <c r="C93" s="267"/>
      <c r="D93" s="268" t="s">
        <v>503</v>
      </c>
      <c r="E93" s="268"/>
      <c r="F93" s="267"/>
      <c r="G93" s="269" t="s">
        <v>294</v>
      </c>
    </row>
    <row r="94" ht="22.5" customHeight="1">
      <c r="A94" s="249" t="s">
        <v>504</v>
      </c>
      <c r="B94" s="270">
        <v>21883.0</v>
      </c>
      <c r="C94" s="267"/>
      <c r="D94" s="268" t="s">
        <v>505</v>
      </c>
      <c r="E94" s="268"/>
      <c r="F94" s="267"/>
      <c r="G94" s="269" t="s">
        <v>294</v>
      </c>
    </row>
    <row r="95" ht="22.5" customHeight="1">
      <c r="A95" s="249" t="s">
        <v>12</v>
      </c>
      <c r="B95" s="271" t="s">
        <v>506</v>
      </c>
      <c r="C95" s="267"/>
      <c r="D95" s="268" t="s">
        <v>507</v>
      </c>
      <c r="E95" s="268"/>
      <c r="F95" s="267"/>
      <c r="G95" s="269" t="s">
        <v>508</v>
      </c>
    </row>
    <row r="96" ht="22.5" customHeight="1">
      <c r="A96" s="249" t="s">
        <v>297</v>
      </c>
      <c r="B96" s="271" t="s">
        <v>509</v>
      </c>
      <c r="C96" s="267"/>
      <c r="D96" s="268" t="s">
        <v>510</v>
      </c>
      <c r="E96" s="268"/>
      <c r="F96" s="267"/>
      <c r="G96" s="269" t="s">
        <v>511</v>
      </c>
    </row>
    <row r="97" ht="22.5" customHeight="1">
      <c r="A97" s="249" t="s">
        <v>202</v>
      </c>
      <c r="B97" s="270">
        <v>1168.0</v>
      </c>
      <c r="C97" s="267"/>
      <c r="D97" s="268" t="s">
        <v>512</v>
      </c>
      <c r="E97" s="268"/>
      <c r="F97" s="267"/>
      <c r="G97" s="269" t="s">
        <v>513</v>
      </c>
    </row>
    <row r="98" ht="22.5" customHeight="1">
      <c r="A98" s="249" t="s">
        <v>18</v>
      </c>
      <c r="B98" s="270">
        <v>4826.0</v>
      </c>
      <c r="C98" s="267"/>
      <c r="D98" s="268" t="s">
        <v>395</v>
      </c>
      <c r="E98" s="268"/>
      <c r="F98" s="267"/>
      <c r="G98" s="269" t="s">
        <v>293</v>
      </c>
    </row>
    <row r="99" ht="22.5" customHeight="1">
      <c r="A99" s="249" t="s">
        <v>91</v>
      </c>
      <c r="B99" s="269" t="s">
        <v>514</v>
      </c>
      <c r="C99" s="267"/>
      <c r="D99" s="268" t="s">
        <v>399</v>
      </c>
      <c r="E99" s="268"/>
      <c r="F99" s="267"/>
      <c r="G99" s="269" t="s">
        <v>515</v>
      </c>
    </row>
    <row r="100">
      <c r="A100" s="253"/>
      <c r="B100" s="250"/>
      <c r="C100" s="250"/>
      <c r="D100" s="250"/>
      <c r="E100" s="250"/>
      <c r="F100" s="250"/>
      <c r="G100" s="250"/>
    </row>
    <row r="101">
      <c r="A101" s="253"/>
      <c r="B101" s="250"/>
      <c r="C101" s="250"/>
      <c r="D101" s="250"/>
      <c r="E101" s="250"/>
      <c r="F101" s="250"/>
      <c r="G101" s="250"/>
    </row>
    <row r="102">
      <c r="A102" s="253"/>
      <c r="B102" s="250"/>
      <c r="C102" s="250"/>
      <c r="D102" s="250"/>
      <c r="E102" s="250"/>
      <c r="F102" s="250"/>
      <c r="G102" s="250"/>
    </row>
    <row r="103">
      <c r="A103" s="253"/>
      <c r="B103" s="250"/>
      <c r="C103" s="250"/>
      <c r="D103" s="250"/>
      <c r="E103" s="250"/>
      <c r="F103" s="250"/>
      <c r="G103" s="250"/>
    </row>
    <row r="104">
      <c r="A104" s="253"/>
      <c r="B104" s="250"/>
      <c r="C104" s="250"/>
      <c r="D104" s="250"/>
      <c r="E104" s="250"/>
      <c r="F104" s="250"/>
      <c r="G104" s="250"/>
    </row>
    <row r="105">
      <c r="A105" s="253"/>
      <c r="B105" s="250"/>
      <c r="C105" s="250"/>
      <c r="D105" s="250"/>
      <c r="E105" s="250"/>
      <c r="F105" s="250"/>
      <c r="G105" s="250"/>
    </row>
    <row r="106">
      <c r="A106" s="253"/>
      <c r="B106" s="250"/>
      <c r="C106" s="250"/>
      <c r="D106" s="250"/>
      <c r="E106" s="250"/>
      <c r="F106" s="250"/>
      <c r="G106" s="250"/>
    </row>
    <row r="107">
      <c r="A107" s="253"/>
      <c r="B107" s="250"/>
      <c r="C107" s="250"/>
      <c r="D107" s="250"/>
      <c r="E107" s="250"/>
      <c r="F107" s="250"/>
      <c r="G107" s="250"/>
    </row>
    <row r="108">
      <c r="A108" s="253"/>
      <c r="B108" s="250"/>
      <c r="C108" s="250"/>
      <c r="D108" s="250"/>
      <c r="E108" s="250"/>
      <c r="F108" s="250"/>
      <c r="G108" s="250"/>
    </row>
    <row r="109">
      <c r="A109" s="253"/>
      <c r="B109" s="250"/>
      <c r="C109" s="250"/>
      <c r="D109" s="250"/>
      <c r="E109" s="250"/>
      <c r="F109" s="250"/>
      <c r="G109" s="250"/>
    </row>
  </sheetData>
  <dataValidations>
    <dataValidation type="list" allowBlank="1" showDropDown="1" showErrorMessage="1" sqref="A2:A99">
      <formula1>"1\12\2024,2\12\2024,3\12\2024,4\12\2024,5\12\2024,6\12\2024,7\12\2024,8\12\2024,9\11\2024,9\12\2024,10\12\2024,11\12\2024,12\12\2024,13\12\20204,14\12\2024,8\12\20214,20\12\2024"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5" t="s">
        <v>1</v>
      </c>
      <c r="B1" s="156" t="s">
        <v>2</v>
      </c>
      <c r="C1" s="156" t="s">
        <v>3</v>
      </c>
      <c r="D1" s="184" t="s">
        <v>336</v>
      </c>
      <c r="E1" s="185" t="s">
        <v>4</v>
      </c>
      <c r="F1" s="155" t="s">
        <v>5</v>
      </c>
      <c r="G1" s="156" t="s">
        <v>6</v>
      </c>
      <c r="H1" s="156" t="s">
        <v>340</v>
      </c>
      <c r="I1" s="156" t="s">
        <v>229</v>
      </c>
      <c r="J1" s="186" t="s">
        <v>7</v>
      </c>
      <c r="K1" s="156" t="s">
        <v>376</v>
      </c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</row>
    <row r="2">
      <c r="A2" s="29" t="s">
        <v>10</v>
      </c>
      <c r="B2" s="189" t="s">
        <v>11</v>
      </c>
      <c r="C2" s="276" t="s">
        <v>12</v>
      </c>
      <c r="D2" s="213"/>
      <c r="E2" s="189" t="s">
        <v>13</v>
      </c>
      <c r="F2" s="207" t="s">
        <v>67</v>
      </c>
      <c r="G2" s="207" t="s">
        <v>15</v>
      </c>
      <c r="H2" s="277">
        <v>5000.0</v>
      </c>
      <c r="I2" s="213"/>
      <c r="J2" s="278">
        <v>35000.0</v>
      </c>
      <c r="K2" s="277">
        <v>30000.0</v>
      </c>
      <c r="L2" s="279" t="s">
        <v>516</v>
      </c>
      <c r="M2" s="280" t="s">
        <v>517</v>
      </c>
      <c r="N2" s="209">
        <f>SUM(J2:J24)</f>
        <v>1445000</v>
      </c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</row>
    <row r="3">
      <c r="A3" s="29" t="s">
        <v>10</v>
      </c>
      <c r="B3" s="189" t="s">
        <v>11</v>
      </c>
      <c r="C3" s="189" t="s">
        <v>12</v>
      </c>
      <c r="D3" s="213"/>
      <c r="E3" s="189" t="s">
        <v>16</v>
      </c>
      <c r="F3" s="207" t="s">
        <v>67</v>
      </c>
      <c r="G3" s="207" t="s">
        <v>17</v>
      </c>
      <c r="H3" s="277">
        <v>1000.0</v>
      </c>
      <c r="I3" s="213"/>
      <c r="J3" s="277">
        <v>10000.0</v>
      </c>
      <c r="K3" s="277">
        <v>9000.0</v>
      </c>
      <c r="L3" s="279" t="s">
        <v>516</v>
      </c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</row>
    <row r="4">
      <c r="A4" s="29" t="s">
        <v>10</v>
      </c>
      <c r="B4" s="189" t="s">
        <v>11</v>
      </c>
      <c r="C4" s="189" t="s">
        <v>18</v>
      </c>
      <c r="D4" s="213"/>
      <c r="E4" s="189" t="s">
        <v>25</v>
      </c>
      <c r="F4" s="207" t="s">
        <v>67</v>
      </c>
      <c r="G4" s="207" t="s">
        <v>26</v>
      </c>
      <c r="H4" s="277">
        <v>1000.0</v>
      </c>
      <c r="I4" s="213"/>
      <c r="J4" s="277">
        <v>10000.0</v>
      </c>
      <c r="K4" s="277">
        <v>9000.0</v>
      </c>
      <c r="L4" s="279" t="s">
        <v>516</v>
      </c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</row>
    <row r="5">
      <c r="A5" s="29" t="s">
        <v>10</v>
      </c>
      <c r="B5" s="189" t="s">
        <v>27</v>
      </c>
      <c r="C5" s="189" t="s">
        <v>12</v>
      </c>
      <c r="D5" s="213"/>
      <c r="E5" s="189" t="s">
        <v>35</v>
      </c>
      <c r="F5" s="207" t="s">
        <v>67</v>
      </c>
      <c r="G5" s="207" t="s">
        <v>34</v>
      </c>
      <c r="H5" s="277">
        <v>25000.0</v>
      </c>
      <c r="I5" s="213"/>
      <c r="J5" s="277">
        <v>100000.0</v>
      </c>
      <c r="K5" s="277">
        <v>75000.0</v>
      </c>
      <c r="L5" s="279" t="s">
        <v>516</v>
      </c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</row>
    <row r="6">
      <c r="A6" s="29" t="s">
        <v>10</v>
      </c>
      <c r="B6" s="189" t="s">
        <v>27</v>
      </c>
      <c r="C6" s="189" t="s">
        <v>12</v>
      </c>
      <c r="D6" s="213"/>
      <c r="E6" s="189" t="s">
        <v>36</v>
      </c>
      <c r="F6" s="207" t="s">
        <v>67</v>
      </c>
      <c r="G6" s="207" t="s">
        <v>37</v>
      </c>
      <c r="H6" s="277">
        <v>5000.0</v>
      </c>
      <c r="I6" s="213"/>
      <c r="J6" s="277">
        <v>10000.0</v>
      </c>
      <c r="K6" s="277">
        <v>5000.0</v>
      </c>
      <c r="L6" s="279" t="s">
        <v>516</v>
      </c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</row>
    <row r="7">
      <c r="A7" s="29" t="s">
        <v>10</v>
      </c>
      <c r="B7" s="189" t="s">
        <v>27</v>
      </c>
      <c r="C7" s="189" t="s">
        <v>18</v>
      </c>
      <c r="D7" s="213"/>
      <c r="E7" s="189" t="s">
        <v>38</v>
      </c>
      <c r="F7" s="207" t="s">
        <v>67</v>
      </c>
      <c r="G7" s="207" t="s">
        <v>39</v>
      </c>
      <c r="H7" s="277">
        <v>5000.0</v>
      </c>
      <c r="I7" s="213"/>
      <c r="J7" s="277">
        <v>15000.0</v>
      </c>
      <c r="K7" s="277">
        <v>10000.0</v>
      </c>
      <c r="L7" s="279" t="s">
        <v>518</v>
      </c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</row>
    <row r="8">
      <c r="A8" s="29" t="s">
        <v>10</v>
      </c>
      <c r="B8" s="189" t="s">
        <v>12</v>
      </c>
      <c r="C8" s="189" t="s">
        <v>45</v>
      </c>
      <c r="D8" s="213"/>
      <c r="E8" s="189" t="s">
        <v>46</v>
      </c>
      <c r="F8" s="207" t="s">
        <v>67</v>
      </c>
      <c r="G8" s="207" t="s">
        <v>47</v>
      </c>
      <c r="H8" s="277">
        <v>25000.0</v>
      </c>
      <c r="I8" s="213"/>
      <c r="J8" s="277">
        <v>125000.0</v>
      </c>
      <c r="K8" s="277">
        <v>100000.0</v>
      </c>
      <c r="L8" s="279" t="s">
        <v>516</v>
      </c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</row>
    <row r="9">
      <c r="A9" s="29" t="s">
        <v>10</v>
      </c>
      <c r="B9" s="189" t="s">
        <v>12</v>
      </c>
      <c r="C9" s="189" t="s">
        <v>45</v>
      </c>
      <c r="D9" s="213"/>
      <c r="E9" s="189" t="s">
        <v>48</v>
      </c>
      <c r="F9" s="207" t="s">
        <v>67</v>
      </c>
      <c r="G9" s="207" t="s">
        <v>49</v>
      </c>
      <c r="H9" s="277">
        <v>5000.0</v>
      </c>
      <c r="I9" s="213"/>
      <c r="J9" s="277">
        <v>35000.0</v>
      </c>
      <c r="K9" s="277">
        <v>30000.0</v>
      </c>
      <c r="L9" s="279" t="s">
        <v>516</v>
      </c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</row>
    <row r="10" hidden="1">
      <c r="A10" s="281"/>
      <c r="B10" s="210"/>
      <c r="C10" s="210"/>
      <c r="D10" s="282"/>
      <c r="E10" s="210"/>
      <c r="F10" s="283"/>
      <c r="G10" s="283"/>
      <c r="H10" s="284"/>
      <c r="I10" s="282"/>
      <c r="J10" s="284"/>
      <c r="K10" s="284"/>
      <c r="L10" s="285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</row>
    <row r="11">
      <c r="A11" s="281" t="s">
        <v>10</v>
      </c>
      <c r="B11" s="210" t="s">
        <v>53</v>
      </c>
      <c r="C11" s="210" t="s">
        <v>68</v>
      </c>
      <c r="D11" s="282"/>
      <c r="E11" s="210" t="s">
        <v>73</v>
      </c>
      <c r="F11" s="283" t="s">
        <v>67</v>
      </c>
      <c r="G11" s="283" t="s">
        <v>74</v>
      </c>
      <c r="H11" s="284">
        <v>20000.0</v>
      </c>
      <c r="I11" s="282"/>
      <c r="J11" s="284">
        <v>50000.0</v>
      </c>
      <c r="K11" s="284">
        <v>30000.0</v>
      </c>
      <c r="L11" s="287">
        <v>784629.0</v>
      </c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</row>
    <row r="12">
      <c r="A12" s="29" t="s">
        <v>10</v>
      </c>
      <c r="B12" s="189" t="s">
        <v>53</v>
      </c>
      <c r="C12" s="189" t="s">
        <v>68</v>
      </c>
      <c r="D12" s="213"/>
      <c r="E12" s="189" t="s">
        <v>75</v>
      </c>
      <c r="F12" s="207" t="s">
        <v>67</v>
      </c>
      <c r="G12" s="207" t="s">
        <v>72</v>
      </c>
      <c r="H12" s="277">
        <v>15000.0</v>
      </c>
      <c r="I12" s="213"/>
      <c r="J12" s="277">
        <v>75000.0</v>
      </c>
      <c r="K12" s="277">
        <v>60000.0</v>
      </c>
      <c r="L12" s="279" t="s">
        <v>516</v>
      </c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</row>
    <row r="13" hidden="1">
      <c r="A13" s="281"/>
      <c r="B13" s="210"/>
      <c r="C13" s="210"/>
      <c r="D13" s="282"/>
      <c r="E13" s="210"/>
      <c r="F13" s="283"/>
      <c r="G13" s="283"/>
      <c r="H13" s="284"/>
      <c r="I13" s="282"/>
      <c r="J13" s="284"/>
      <c r="K13" s="284"/>
      <c r="L13" s="285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</row>
    <row r="14" hidden="1">
      <c r="A14" s="281"/>
      <c r="B14" s="210"/>
      <c r="C14" s="210"/>
      <c r="D14" s="282"/>
      <c r="E14" s="210"/>
      <c r="F14" s="283"/>
      <c r="G14" s="283"/>
      <c r="H14" s="284"/>
      <c r="I14" s="282"/>
      <c r="J14" s="284"/>
      <c r="K14" s="284"/>
      <c r="L14" s="285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</row>
    <row r="15">
      <c r="A15" s="9" t="s">
        <v>10</v>
      </c>
      <c r="B15" s="187" t="s">
        <v>87</v>
      </c>
      <c r="C15" s="187" t="s">
        <v>80</v>
      </c>
      <c r="D15" s="109"/>
      <c r="E15" s="187" t="s">
        <v>88</v>
      </c>
      <c r="F15" s="99" t="s">
        <v>67</v>
      </c>
      <c r="G15" s="99" t="s">
        <v>89</v>
      </c>
      <c r="H15" s="98">
        <v>5000.0</v>
      </c>
      <c r="I15" s="109"/>
      <c r="J15" s="98">
        <v>50000.0</v>
      </c>
      <c r="K15" s="98">
        <v>45000.0</v>
      </c>
      <c r="L15" s="192">
        <v>784628.0</v>
      </c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</row>
    <row r="16">
      <c r="A16" s="9" t="s">
        <v>10</v>
      </c>
      <c r="B16" s="187" t="s">
        <v>94</v>
      </c>
      <c r="C16" s="187" t="s">
        <v>94</v>
      </c>
      <c r="D16" s="109"/>
      <c r="E16" s="187" t="s">
        <v>95</v>
      </c>
      <c r="F16" s="99" t="s">
        <v>67</v>
      </c>
      <c r="G16" s="99" t="s">
        <v>24</v>
      </c>
      <c r="H16" s="98">
        <v>50000.0</v>
      </c>
      <c r="I16" s="109"/>
      <c r="J16" s="98">
        <v>200000.0</v>
      </c>
      <c r="K16" s="98">
        <v>150000.0</v>
      </c>
      <c r="L16" s="192">
        <v>784630.0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</row>
    <row r="17">
      <c r="A17" s="9" t="s">
        <v>10</v>
      </c>
      <c r="B17" s="187" t="s">
        <v>94</v>
      </c>
      <c r="C17" s="187" t="s">
        <v>104</v>
      </c>
      <c r="D17" s="109"/>
      <c r="E17" s="187" t="s">
        <v>105</v>
      </c>
      <c r="F17" s="99" t="s">
        <v>67</v>
      </c>
      <c r="G17" s="99" t="s">
        <v>24</v>
      </c>
      <c r="H17" s="98">
        <v>50000.0</v>
      </c>
      <c r="I17" s="109"/>
      <c r="J17" s="98">
        <v>175000.0</v>
      </c>
      <c r="K17" s="98">
        <v>125000.0</v>
      </c>
      <c r="L17" s="192">
        <v>954704.0</v>
      </c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</row>
    <row r="18">
      <c r="A18" s="9" t="s">
        <v>10</v>
      </c>
      <c r="B18" s="187" t="s">
        <v>106</v>
      </c>
      <c r="C18" s="187" t="s">
        <v>107</v>
      </c>
      <c r="D18" s="109"/>
      <c r="E18" s="187" t="s">
        <v>108</v>
      </c>
      <c r="F18" s="99" t="s">
        <v>519</v>
      </c>
      <c r="G18" s="99" t="s">
        <v>86</v>
      </c>
      <c r="H18" s="98">
        <v>10000.0</v>
      </c>
      <c r="I18" s="109"/>
      <c r="J18" s="98">
        <v>45000.0</v>
      </c>
      <c r="K18" s="98">
        <v>35000.0</v>
      </c>
      <c r="L18" s="192">
        <v>954705.0</v>
      </c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</row>
    <row r="19">
      <c r="A19" s="9" t="s">
        <v>10</v>
      </c>
      <c r="B19" s="187" t="s">
        <v>111</v>
      </c>
      <c r="C19" s="187" t="s">
        <v>111</v>
      </c>
      <c r="D19" s="109"/>
      <c r="E19" s="187" t="s">
        <v>116</v>
      </c>
      <c r="F19" s="99" t="s">
        <v>67</v>
      </c>
      <c r="G19" s="99" t="s">
        <v>89</v>
      </c>
      <c r="H19" s="98">
        <v>5000.0</v>
      </c>
      <c r="I19" s="109"/>
      <c r="J19" s="98">
        <v>50000.0</v>
      </c>
      <c r="K19" s="98">
        <v>45000.0</v>
      </c>
      <c r="L19" s="192">
        <v>954701.0</v>
      </c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</row>
    <row r="20">
      <c r="A20" s="9" t="s">
        <v>10</v>
      </c>
      <c r="B20" s="187" t="s">
        <v>104</v>
      </c>
      <c r="C20" s="187" t="s">
        <v>104</v>
      </c>
      <c r="D20" s="109"/>
      <c r="E20" s="187" t="s">
        <v>117</v>
      </c>
      <c r="F20" s="99" t="s">
        <v>67</v>
      </c>
      <c r="G20" s="99" t="s">
        <v>118</v>
      </c>
      <c r="H20" s="98">
        <v>25000.0</v>
      </c>
      <c r="I20" s="109"/>
      <c r="J20" s="98">
        <v>150000.0</v>
      </c>
      <c r="K20" s="98">
        <v>125000.0</v>
      </c>
      <c r="L20" s="226">
        <v>684634.0</v>
      </c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</row>
    <row r="21">
      <c r="A21" s="281" t="s">
        <v>10</v>
      </c>
      <c r="B21" s="210" t="s">
        <v>104</v>
      </c>
      <c r="C21" s="210" t="s">
        <v>104</v>
      </c>
      <c r="D21" s="282"/>
      <c r="E21" s="210" t="s">
        <v>119</v>
      </c>
      <c r="F21" s="283" t="s">
        <v>67</v>
      </c>
      <c r="G21" s="283" t="s">
        <v>115</v>
      </c>
      <c r="H21" s="284">
        <v>15000.0</v>
      </c>
      <c r="I21" s="282"/>
      <c r="J21" s="284">
        <v>75000.0</v>
      </c>
      <c r="K21" s="284">
        <v>60000.0</v>
      </c>
      <c r="L21" s="287">
        <v>684634.0</v>
      </c>
      <c r="M21" s="286"/>
      <c r="N21" s="286"/>
      <c r="O21" s="287">
        <v>75.0</v>
      </c>
      <c r="P21" s="287">
        <v>175.0</v>
      </c>
      <c r="Q21" s="287">
        <v>150.0</v>
      </c>
      <c r="R21" s="287">
        <v>100.0</v>
      </c>
      <c r="S21" s="287">
        <v>15.0</v>
      </c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</row>
    <row r="22">
      <c r="A22" s="9" t="s">
        <v>10</v>
      </c>
      <c r="B22" s="187" t="s">
        <v>120</v>
      </c>
      <c r="C22" s="187" t="s">
        <v>120</v>
      </c>
      <c r="D22" s="109"/>
      <c r="E22" s="187" t="s">
        <v>121</v>
      </c>
      <c r="F22" s="99" t="s">
        <v>67</v>
      </c>
      <c r="G22" s="99" t="s">
        <v>122</v>
      </c>
      <c r="H22" s="98">
        <v>50000.0</v>
      </c>
      <c r="I22" s="109"/>
      <c r="J22" s="98">
        <v>165000.0</v>
      </c>
      <c r="K22" s="98">
        <v>125000.0</v>
      </c>
      <c r="L22" s="226">
        <v>729350.0</v>
      </c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</row>
    <row r="23">
      <c r="A23" s="281" t="s">
        <v>10</v>
      </c>
      <c r="B23" s="210" t="s">
        <v>120</v>
      </c>
      <c r="C23" s="210" t="s">
        <v>125</v>
      </c>
      <c r="D23" s="282"/>
      <c r="E23" s="210" t="s">
        <v>126</v>
      </c>
      <c r="F23" s="283" t="s">
        <v>67</v>
      </c>
      <c r="G23" s="283" t="s">
        <v>89</v>
      </c>
      <c r="H23" s="284">
        <v>5000.0</v>
      </c>
      <c r="I23" s="282"/>
      <c r="J23" s="284">
        <v>35000.0</v>
      </c>
      <c r="K23" s="284">
        <v>30000.0</v>
      </c>
      <c r="L23" s="287">
        <v>784635.0</v>
      </c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</row>
    <row r="24">
      <c r="A24" s="9" t="s">
        <v>10</v>
      </c>
      <c r="B24" s="187" t="s">
        <v>120</v>
      </c>
      <c r="C24" s="187" t="s">
        <v>125</v>
      </c>
      <c r="D24" s="109"/>
      <c r="E24" s="98">
        <v>83.0</v>
      </c>
      <c r="F24" s="99" t="s">
        <v>67</v>
      </c>
      <c r="G24" s="99" t="s">
        <v>89</v>
      </c>
      <c r="H24" s="98">
        <v>5000.0</v>
      </c>
      <c r="I24" s="109"/>
      <c r="J24" s="98">
        <v>35000.0</v>
      </c>
      <c r="K24" s="98">
        <v>30000.0</v>
      </c>
      <c r="L24" s="287">
        <v>784635.0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</row>
    <row r="25">
      <c r="A25" s="9" t="s">
        <v>10</v>
      </c>
      <c r="B25" s="108" t="s">
        <v>156</v>
      </c>
      <c r="C25" s="187" t="s">
        <v>143</v>
      </c>
      <c r="D25" s="109"/>
      <c r="E25" s="108" t="s">
        <v>157</v>
      </c>
      <c r="F25" s="99" t="s">
        <v>67</v>
      </c>
      <c r="G25" s="9" t="s">
        <v>89</v>
      </c>
      <c r="H25" s="190">
        <v>10000.0</v>
      </c>
      <c r="I25" s="188"/>
      <c r="J25" s="190">
        <v>75000.0</v>
      </c>
      <c r="K25" s="190">
        <v>65000.0</v>
      </c>
      <c r="L25" s="288">
        <v>954708.0</v>
      </c>
    </row>
    <row r="26">
      <c r="A26" s="9" t="s">
        <v>10</v>
      </c>
      <c r="B26" s="108" t="s">
        <v>156</v>
      </c>
      <c r="C26" s="187" t="s">
        <v>143</v>
      </c>
      <c r="D26" s="109"/>
      <c r="E26" s="108" t="s">
        <v>157</v>
      </c>
      <c r="F26" s="99" t="s">
        <v>67</v>
      </c>
      <c r="G26" s="9" t="s">
        <v>89</v>
      </c>
      <c r="H26" s="190">
        <v>10000.0</v>
      </c>
      <c r="I26" s="188"/>
      <c r="J26" s="190">
        <v>75000.0</v>
      </c>
      <c r="K26" s="190">
        <v>65000.0</v>
      </c>
      <c r="L26" s="288">
        <v>954708.0</v>
      </c>
    </row>
    <row r="27">
      <c r="A27" s="9" t="s">
        <v>10</v>
      </c>
      <c r="B27" s="108" t="s">
        <v>156</v>
      </c>
      <c r="C27" s="187" t="s">
        <v>143</v>
      </c>
      <c r="D27" s="109"/>
      <c r="E27" s="108" t="s">
        <v>158</v>
      </c>
      <c r="F27" s="99" t="s">
        <v>67</v>
      </c>
      <c r="G27" s="9" t="s">
        <v>153</v>
      </c>
      <c r="H27" s="190">
        <v>10000.0</v>
      </c>
      <c r="I27" s="188"/>
      <c r="J27" s="190">
        <v>50000.0</v>
      </c>
      <c r="K27" s="190">
        <v>40000.0</v>
      </c>
      <c r="L27" s="289">
        <v>954709.0</v>
      </c>
    </row>
    <row r="28">
      <c r="A28" s="9" t="s">
        <v>10</v>
      </c>
      <c r="B28" s="116" t="s">
        <v>156</v>
      </c>
      <c r="C28" s="116" t="s">
        <v>156</v>
      </c>
      <c r="D28" s="109"/>
      <c r="E28" s="116" t="s">
        <v>163</v>
      </c>
      <c r="F28" s="117" t="s">
        <v>67</v>
      </c>
      <c r="G28" s="117" t="s">
        <v>164</v>
      </c>
      <c r="H28" s="290">
        <v>10000.0</v>
      </c>
      <c r="I28" s="188"/>
      <c r="J28" s="290">
        <v>75000.0</v>
      </c>
      <c r="K28" s="190">
        <v>0.0</v>
      </c>
      <c r="L28" s="291">
        <v>954711.0</v>
      </c>
    </row>
    <row r="29">
      <c r="A29" s="9" t="s">
        <v>10</v>
      </c>
      <c r="B29" s="116" t="s">
        <v>156</v>
      </c>
      <c r="C29" s="116" t="s">
        <v>146</v>
      </c>
      <c r="D29" s="109"/>
      <c r="E29" s="116" t="s">
        <v>165</v>
      </c>
      <c r="F29" s="117" t="s">
        <v>67</v>
      </c>
      <c r="G29" s="117" t="s">
        <v>166</v>
      </c>
      <c r="H29" s="290">
        <v>25000.0</v>
      </c>
      <c r="I29" s="188"/>
      <c r="J29" s="290">
        <v>140000.0</v>
      </c>
      <c r="K29" s="190">
        <v>0.0</v>
      </c>
      <c r="L29" s="291">
        <v>954711.0</v>
      </c>
    </row>
    <row r="30">
      <c r="A30" s="9" t="s">
        <v>10</v>
      </c>
      <c r="B30" s="116" t="s">
        <v>156</v>
      </c>
      <c r="C30" s="116" t="s">
        <v>146</v>
      </c>
      <c r="D30" s="109"/>
      <c r="E30" s="116" t="s">
        <v>167</v>
      </c>
      <c r="F30" s="117" t="s">
        <v>67</v>
      </c>
      <c r="G30" s="117" t="s">
        <v>168</v>
      </c>
      <c r="H30" s="290">
        <v>30000.0</v>
      </c>
      <c r="I30" s="188"/>
      <c r="J30" s="290">
        <v>195000.0</v>
      </c>
      <c r="K30" s="190">
        <v>0.0</v>
      </c>
      <c r="L30" s="291">
        <v>954711.0</v>
      </c>
    </row>
    <row r="31">
      <c r="A31" s="9" t="s">
        <v>10</v>
      </c>
      <c r="B31" s="116" t="s">
        <v>156</v>
      </c>
      <c r="C31" s="116" t="s">
        <v>146</v>
      </c>
      <c r="D31" s="109"/>
      <c r="E31" s="116" t="s">
        <v>169</v>
      </c>
      <c r="F31" s="117" t="s">
        <v>67</v>
      </c>
      <c r="G31" s="117" t="s">
        <v>170</v>
      </c>
      <c r="H31" s="290">
        <v>25000.0</v>
      </c>
      <c r="I31" s="188"/>
      <c r="J31" s="290">
        <v>100000.0</v>
      </c>
      <c r="K31" s="190">
        <v>0.0</v>
      </c>
      <c r="L31" s="291">
        <v>954711.0</v>
      </c>
    </row>
    <row r="32">
      <c r="A32" s="9" t="s">
        <v>10</v>
      </c>
      <c r="B32" s="116" t="s">
        <v>140</v>
      </c>
      <c r="C32" s="116" t="s">
        <v>146</v>
      </c>
      <c r="D32" s="109"/>
      <c r="E32" s="116" t="s">
        <v>171</v>
      </c>
      <c r="F32" s="117" t="s">
        <v>67</v>
      </c>
      <c r="G32" s="117" t="s">
        <v>170</v>
      </c>
      <c r="H32" s="290">
        <v>10000.0</v>
      </c>
      <c r="I32" s="188"/>
      <c r="J32" s="290">
        <v>40000.0</v>
      </c>
      <c r="K32" s="190">
        <v>0.0</v>
      </c>
      <c r="L32" s="291">
        <v>954711.0</v>
      </c>
    </row>
    <row r="33">
      <c r="A33" s="9" t="s">
        <v>10</v>
      </c>
      <c r="B33" s="116" t="s">
        <v>143</v>
      </c>
      <c r="C33" s="116" t="s">
        <v>107</v>
      </c>
      <c r="D33" s="109"/>
      <c r="E33" s="116" t="s">
        <v>175</v>
      </c>
      <c r="F33" s="117" t="s">
        <v>67</v>
      </c>
      <c r="G33" s="117" t="s">
        <v>176</v>
      </c>
      <c r="H33" s="290">
        <v>25000.0</v>
      </c>
      <c r="I33" s="188"/>
      <c r="J33" s="290">
        <v>125000.0</v>
      </c>
      <c r="K33" s="190">
        <v>0.0</v>
      </c>
      <c r="L33" s="289">
        <v>954713.0</v>
      </c>
    </row>
    <row r="34">
      <c r="A34" s="9" t="s">
        <v>10</v>
      </c>
      <c r="B34" s="116" t="s">
        <v>143</v>
      </c>
      <c r="C34" s="116" t="s">
        <v>143</v>
      </c>
      <c r="D34" s="109"/>
      <c r="E34" s="116" t="s">
        <v>187</v>
      </c>
      <c r="F34" s="117" t="s">
        <v>14</v>
      </c>
      <c r="G34" s="117" t="s">
        <v>188</v>
      </c>
      <c r="H34" s="290">
        <v>50000.0</v>
      </c>
      <c r="I34" s="188"/>
      <c r="J34" s="290">
        <v>125000.0</v>
      </c>
      <c r="K34" s="190">
        <v>0.0</v>
      </c>
      <c r="L34" s="291">
        <v>784627.0</v>
      </c>
    </row>
    <row r="35">
      <c r="A35" s="9" t="s">
        <v>10</v>
      </c>
      <c r="B35" s="116" t="s">
        <v>129</v>
      </c>
      <c r="C35" s="116" t="s">
        <v>107</v>
      </c>
      <c r="D35" s="109"/>
      <c r="E35" s="116" t="s">
        <v>189</v>
      </c>
      <c r="F35" s="117" t="s">
        <v>14</v>
      </c>
      <c r="G35" s="117" t="s">
        <v>190</v>
      </c>
      <c r="H35" s="290">
        <v>25000.0</v>
      </c>
      <c r="I35" s="188"/>
      <c r="J35" s="290">
        <v>150000.0</v>
      </c>
      <c r="K35" s="190">
        <v>0.0</v>
      </c>
      <c r="L35" s="291">
        <v>784634.0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292" t="s">
        <v>520</v>
      </c>
      <c r="B1" s="292" t="s">
        <v>521</v>
      </c>
      <c r="C1" s="292" t="s">
        <v>522</v>
      </c>
      <c r="D1" s="292" t="s">
        <v>523</v>
      </c>
      <c r="E1" s="292" t="s">
        <v>524</v>
      </c>
      <c r="F1" s="292" t="s">
        <v>525</v>
      </c>
    </row>
    <row r="2" ht="22.5" customHeight="1">
      <c r="A2" s="293"/>
      <c r="B2" s="294" t="s">
        <v>526</v>
      </c>
      <c r="C2" s="295" t="s">
        <v>527</v>
      </c>
      <c r="D2" s="294" t="s">
        <v>528</v>
      </c>
      <c r="E2" s="296"/>
      <c r="F2" s="293"/>
    </row>
    <row r="3" ht="22.5" customHeight="1">
      <c r="A3" s="293"/>
      <c r="B3" s="294" t="s">
        <v>529</v>
      </c>
      <c r="C3" s="297"/>
      <c r="D3" s="294" t="s">
        <v>530</v>
      </c>
      <c r="E3" s="296"/>
      <c r="F3" s="293"/>
    </row>
    <row r="4" ht="22.5" customHeight="1">
      <c r="A4" s="293"/>
      <c r="B4" s="294" t="s">
        <v>531</v>
      </c>
      <c r="C4" s="297"/>
      <c r="D4" s="294" t="s">
        <v>532</v>
      </c>
      <c r="E4" s="296"/>
      <c r="F4" s="293"/>
    </row>
    <row r="5" ht="22.5" customHeight="1">
      <c r="A5" s="293"/>
      <c r="B5" s="294" t="s">
        <v>533</v>
      </c>
      <c r="C5" s="297"/>
      <c r="D5" s="294" t="s">
        <v>534</v>
      </c>
      <c r="E5" s="296"/>
      <c r="F5" s="293"/>
    </row>
    <row r="6" ht="22.5" customHeight="1">
      <c r="A6" s="293"/>
      <c r="B6" s="294" t="s">
        <v>535</v>
      </c>
      <c r="C6" s="297"/>
      <c r="D6" s="294" t="s">
        <v>536</v>
      </c>
      <c r="E6" s="296"/>
      <c r="F6" s="293"/>
    </row>
    <row r="7" ht="22.5" customHeight="1">
      <c r="A7" s="293"/>
      <c r="B7" s="294" t="s">
        <v>537</v>
      </c>
      <c r="C7" s="297"/>
      <c r="D7" s="298"/>
      <c r="E7" s="296"/>
      <c r="F7" s="293"/>
    </row>
    <row r="8" ht="22.5" customHeight="1">
      <c r="A8" s="293"/>
      <c r="B8" s="294"/>
      <c r="C8" s="297"/>
      <c r="D8" s="298"/>
      <c r="E8" s="296"/>
      <c r="F8" s="293"/>
    </row>
    <row r="9" ht="22.5" customHeight="1">
      <c r="A9" s="293"/>
      <c r="B9" s="298"/>
      <c r="C9" s="297"/>
      <c r="D9" s="298"/>
      <c r="E9" s="296"/>
      <c r="F9" s="293"/>
    </row>
    <row r="10" ht="22.5" customHeight="1">
      <c r="A10" s="293"/>
      <c r="B10" s="298"/>
      <c r="C10" s="297"/>
      <c r="D10" s="298"/>
      <c r="E10" s="296"/>
      <c r="F10" s="293"/>
    </row>
    <row r="11" ht="22.5" customHeight="1">
      <c r="A11" s="293"/>
      <c r="B11" s="298"/>
      <c r="C11" s="297"/>
      <c r="D11" s="298"/>
      <c r="E11" s="296"/>
      <c r="F11" s="293"/>
    </row>
    <row r="12" ht="22.5" customHeight="1">
      <c r="A12" s="293"/>
      <c r="B12" s="298"/>
      <c r="C12" s="297"/>
      <c r="D12" s="298"/>
      <c r="E12" s="296"/>
      <c r="F12" s="293"/>
    </row>
    <row r="13" ht="22.5" customHeight="1">
      <c r="A13" s="293"/>
      <c r="B13" s="298"/>
      <c r="C13" s="297"/>
      <c r="D13" s="298"/>
      <c r="E13" s="296"/>
      <c r="F13" s="293"/>
    </row>
    <row r="14" ht="22.5" customHeight="1">
      <c r="A14" s="293"/>
      <c r="B14" s="298"/>
      <c r="C14" s="297"/>
      <c r="D14" s="298"/>
      <c r="E14" s="296"/>
      <c r="F14" s="293"/>
    </row>
    <row r="15" ht="22.5" customHeight="1">
      <c r="A15" s="293"/>
      <c r="B15" s="298"/>
      <c r="C15" s="297"/>
      <c r="D15" s="298"/>
      <c r="E15" s="296"/>
      <c r="F15" s="293"/>
    </row>
  </sheetData>
  <dataValidations>
    <dataValidation type="list" allowBlank="1" sqref="B2:B15">
      <formula1>"بالأنتظار,قيد العمل,ملغى,نقص معلومات,جاهز للتسليم,تم التوصيل"</formula1>
    </dataValidation>
    <dataValidation type="list" allowBlank="1" sqref="D2:D15">
      <formula1>"تصميم,قص,لصق ,تغليف وتجهيز الطلب,ارسال الطلب"</formula1>
    </dataValidation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C2:C15">
      <formula1>"حسين,محمد رشيد,وليد,معتصم"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5" t="s">
        <v>1</v>
      </c>
      <c r="B1" s="156" t="s">
        <v>2</v>
      </c>
      <c r="C1" s="156" t="s">
        <v>3</v>
      </c>
      <c r="D1" s="184" t="s">
        <v>336</v>
      </c>
      <c r="E1" s="185" t="s">
        <v>4</v>
      </c>
      <c r="F1" s="155" t="s">
        <v>5</v>
      </c>
      <c r="G1" s="156" t="s">
        <v>6</v>
      </c>
      <c r="H1" s="156" t="s">
        <v>340</v>
      </c>
      <c r="I1" s="156" t="s">
        <v>229</v>
      </c>
      <c r="J1" s="186" t="s">
        <v>7</v>
      </c>
      <c r="K1" s="156" t="s">
        <v>376</v>
      </c>
    </row>
    <row r="2">
      <c r="A2" s="29" t="s">
        <v>10</v>
      </c>
      <c r="B2" s="189" t="s">
        <v>111</v>
      </c>
      <c r="C2" s="189" t="s">
        <v>111</v>
      </c>
      <c r="D2" s="213"/>
      <c r="E2" s="189" t="s">
        <v>114</v>
      </c>
      <c r="F2" s="207" t="s">
        <v>78</v>
      </c>
      <c r="G2" s="207" t="s">
        <v>115</v>
      </c>
      <c r="H2" s="277">
        <v>25000.0</v>
      </c>
      <c r="I2" s="213"/>
      <c r="J2" s="278">
        <v>65000.0</v>
      </c>
      <c r="K2" s="277">
        <v>40000.0</v>
      </c>
    </row>
    <row r="3">
      <c r="A3" s="29" t="s">
        <v>10</v>
      </c>
      <c r="B3" s="189" t="s">
        <v>56</v>
      </c>
      <c r="C3" s="189" t="s">
        <v>76</v>
      </c>
      <c r="D3" s="213"/>
      <c r="E3" s="189" t="s">
        <v>77</v>
      </c>
      <c r="F3" s="207" t="s">
        <v>78</v>
      </c>
      <c r="G3" s="207" t="s">
        <v>79</v>
      </c>
      <c r="H3" s="277">
        <v>25000.0</v>
      </c>
      <c r="I3" s="213"/>
      <c r="J3" s="277">
        <v>100000.0</v>
      </c>
      <c r="K3" s="277">
        <v>75000.0</v>
      </c>
    </row>
    <row r="4">
      <c r="A4" s="29" t="s">
        <v>10</v>
      </c>
      <c r="B4" s="189" t="s">
        <v>27</v>
      </c>
      <c r="C4" s="189" t="s">
        <v>28</v>
      </c>
      <c r="D4" s="213"/>
      <c r="E4" s="189" t="s">
        <v>29</v>
      </c>
      <c r="F4" s="207" t="s">
        <v>30</v>
      </c>
      <c r="G4" s="207" t="s">
        <v>31</v>
      </c>
      <c r="H4" s="277">
        <v>25000.0</v>
      </c>
      <c r="I4" s="213"/>
      <c r="J4" s="277">
        <v>100000.0</v>
      </c>
      <c r="K4" s="277">
        <v>75000.0</v>
      </c>
    </row>
  </sheetData>
  <drawing r:id="rId1"/>
</worksheet>
</file>