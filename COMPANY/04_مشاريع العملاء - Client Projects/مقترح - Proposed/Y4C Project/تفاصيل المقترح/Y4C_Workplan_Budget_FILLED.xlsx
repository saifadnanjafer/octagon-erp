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Workplan" sheetId="1" state="visible" r:id="rId1"/>
    <sheet xmlns:r="http://schemas.openxmlformats.org/officeDocument/2006/relationships" name="Budget" sheetId="2" state="visible" r:id="rId2"/>
    <sheet xmlns:r="http://schemas.openxmlformats.org/officeDocument/2006/relationships" name="Sheet2" sheetId="3" state="hidden" r:id="rId3"/>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0_ ;[RED]\-#,##0.00\ "/>
    <numFmt numFmtId="165" formatCode="_(* #,##0.00_);_(* \(#,##0.00\);_(* \-??_);_(@_)"/>
  </numFmts>
  <fonts count="24">
    <font>
      <name val="Calibri"/>
      <charset val="1"/>
      <family val="2"/>
      <color theme="1"/>
      <sz val="11"/>
    </font>
    <font>
      <name val="Arial"/>
      <family val="0"/>
      <sz val="10"/>
    </font>
    <font>
      <name val="Arial"/>
      <family val="0"/>
      <sz val="10"/>
    </font>
    <font>
      <name val="Arial"/>
      <family val="0"/>
      <sz val="10"/>
    </font>
    <font>
      <name val="Arial Unicode MS"/>
      <charset val="1"/>
      <family val="2"/>
      <b val="1"/>
      <sz val="10"/>
    </font>
    <font>
      <name val="Verdana"/>
      <charset val="1"/>
      <family val="2"/>
      <sz val="11"/>
    </font>
    <font>
      <name val="Arial Unicode MS"/>
      <charset val="1"/>
      <family val="2"/>
      <sz val="10"/>
    </font>
    <font>
      <name val="Arial"/>
      <charset val="1"/>
      <family val="1"/>
      <sz val="11"/>
    </font>
    <font>
      <name val="Calibri"/>
      <charset val="1"/>
      <family val="2"/>
      <b val="1"/>
      <color theme="1"/>
      <sz val="20"/>
    </font>
    <font>
      <name val="Calibri"/>
      <charset val="1"/>
      <family val="2"/>
      <sz val="11"/>
    </font>
    <font>
      <name val="Open Sans"/>
      <charset val="1"/>
      <family val="2"/>
      <b val="1"/>
      <color rgb="FF2A0F56"/>
      <sz val="10"/>
    </font>
    <font>
      <name val="Calibri"/>
      <charset val="1"/>
      <family val="2"/>
      <color rgb="FF000000"/>
      <sz val="11"/>
    </font>
    <font>
      <name val="Open Sans"/>
      <charset val="1"/>
      <family val="2"/>
      <color rgb="FF000000"/>
      <sz val="10"/>
    </font>
    <font>
      <name val="Open Sans"/>
      <charset val="1"/>
      <family val="2"/>
      <i val="1"/>
      <color rgb="FF000000"/>
      <sz val="10"/>
    </font>
    <font>
      <name val="Arial"/>
      <charset val="1"/>
      <family val="0"/>
      <b val="1"/>
      <color rgb="FF000000"/>
      <sz val="10"/>
    </font>
    <font>
      <name val="Calibri"/>
      <charset val="1"/>
      <family val="2"/>
      <b val="1"/>
      <sz val="24"/>
    </font>
    <font>
      <name val="Calibri"/>
      <charset val="1"/>
      <family val="2"/>
      <b val="1"/>
      <sz val="14"/>
    </font>
    <font>
      <name val="Calibri"/>
      <charset val="1"/>
      <family val="2"/>
      <b val="1"/>
      <sz val="11"/>
    </font>
    <font>
      <name val="Calibri"/>
      <charset val="1"/>
      <family val="2"/>
      <sz val="12"/>
    </font>
    <font>
      <name val="Calibri"/>
      <charset val="1"/>
      <family val="2"/>
      <b val="1"/>
      <sz val="12"/>
    </font>
    <font>
      <name val="Arial"/>
      <charset val="1"/>
      <family val="0"/>
      <b val="1"/>
      <color rgb="FF000000"/>
      <sz val="11"/>
    </font>
    <font>
      <name val="Calibri"/>
      <charset val="1"/>
      <family val="2"/>
      <color rgb="FF000000"/>
      <sz val="12"/>
    </font>
    <font>
      <name val="Arial"/>
      <charset val="1"/>
      <family val="0"/>
      <color rgb="FF0000FF"/>
      <sz val="10"/>
    </font>
    <font>
      <name val="Calibri"/>
      <charset val="1"/>
      <family val="2"/>
      <b val="1"/>
      <color rgb="FFFFFFFF"/>
      <sz val="11"/>
    </font>
  </fonts>
  <fills count="8">
    <fill>
      <patternFill/>
    </fill>
    <fill>
      <patternFill patternType="gray125"/>
    </fill>
    <fill>
      <patternFill patternType="solid">
        <fgColor rgb="FFFFFF00"/>
        <bgColor rgb="FFFFFF00"/>
      </patternFill>
    </fill>
    <fill>
      <patternFill patternType="solid">
        <fgColor theme="9" tint="0.5999"/>
        <bgColor rgb="FFCCFFCC"/>
      </patternFill>
    </fill>
    <fill>
      <patternFill patternType="solid">
        <fgColor rgb="FFFFFF99"/>
        <bgColor rgb="FFFFFFCC"/>
      </patternFill>
    </fill>
    <fill>
      <patternFill patternType="solid">
        <fgColor theme="8" tint="0.7999000000000001"/>
        <bgColor rgb="FFCCFFFF"/>
      </patternFill>
    </fill>
    <fill>
      <patternFill patternType="solid">
        <fgColor rgb="FF203764"/>
        <bgColor rgb="FF333333"/>
      </patternFill>
    </fill>
    <fill>
      <patternFill patternType="solid">
        <fgColor rgb="00FFF2CC"/>
      </patternFill>
    </fill>
  </fills>
  <borders count="22">
    <border>
      <left/>
      <right/>
      <top/>
      <bottom/>
      <diagonal/>
    </border>
    <border>
      <left style="thin"/>
      <right style="thin"/>
      <top style="thin"/>
      <bottom style="thin"/>
      <diagonal/>
    </border>
    <border>
      <left style="thin"/>
      <right style="thin"/>
      <top style="thin"/>
      <bottom/>
      <diagonal/>
    </border>
    <border>
      <left style="medium"/>
      <right style="thin"/>
      <top style="medium"/>
      <bottom style="thin"/>
      <diagonal/>
    </border>
    <border>
      <left style="thin"/>
      <right style="thin"/>
      <top style="medium"/>
      <bottom style="thin"/>
      <diagonal/>
    </border>
    <border>
      <left style="medium"/>
      <right style="thin"/>
      <top style="thin"/>
      <bottom style="thin"/>
      <diagonal/>
    </border>
    <border>
      <left style="thin"/>
      <right style="medium"/>
      <top style="thin"/>
      <bottom style="thin"/>
      <diagonal/>
    </border>
    <border>
      <left style="medium"/>
      <right style="thin"/>
      <top/>
      <bottom style="thin"/>
      <diagonal/>
    </border>
    <border>
      <left style="medium"/>
      <right style="thin"/>
      <top style="thin"/>
      <bottom style="medium"/>
      <diagonal/>
    </border>
    <border>
      <left style="thin"/>
      <right style="thin"/>
      <top style="thin"/>
      <bottom style="medium"/>
      <diagonal/>
    </border>
    <border>
      <left style="thin"/>
      <right/>
      <top/>
      <bottom/>
      <diagonal/>
    </border>
    <border>
      <left style="thin"/>
      <right style="thin"/>
      <top/>
      <bottom/>
      <diagonal/>
    </border>
    <border>
      <left style="thin"/>
      <right style="thin"/>
      <top/>
      <bottom style="thin"/>
      <diagonal/>
    </border>
    <border>
      <left/>
      <right/>
      <top style="thin"/>
      <bottom/>
      <diagonal/>
    </border>
    <border>
      <left/>
      <right style="thin"/>
      <top style="thin"/>
      <bottom/>
      <diagonal/>
    </border>
    <border>
      <left/>
      <right style="thin"/>
      <top/>
      <bottom/>
      <diagonal/>
    </border>
    <border>
      <left style="thin"/>
      <right/>
      <top/>
      <bottom style="thin"/>
      <diagonal/>
    </border>
    <border>
      <left/>
      <right/>
      <top/>
      <bottom style="thin"/>
      <diagonal/>
    </border>
    <border>
      <left/>
      <right style="thin"/>
      <top/>
      <bottom style="thin"/>
      <diagonal/>
    </border>
    <border>
      <left style="medium"/>
      <right/>
      <top/>
      <bottom/>
      <diagonal/>
    </border>
    <border>
      <left style="medium"/>
      <right style="thin"/>
      <top/>
      <bottom/>
      <diagonal/>
    </border>
    <border>
      <left/>
      <right style="thin"/>
      <top style="thin"/>
      <bottom style="medium"/>
      <diagonal/>
    </border>
  </borders>
  <cellStyleXfs count="11">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165" fontId="4" fillId="0" borderId="0" applyAlignment="1">
      <alignment horizontal="general" vertical="bottom"/>
    </xf>
    <xf numFmtId="0" fontId="5" fillId="0" borderId="0" applyAlignment="1">
      <alignment horizontal="general" vertical="bottom"/>
    </xf>
    <xf numFmtId="0" fontId="6" fillId="0" borderId="0" applyAlignment="1">
      <alignment horizontal="general" vertical="bottom"/>
    </xf>
    <xf numFmtId="0" fontId="0" fillId="0" borderId="0" applyAlignment="1">
      <alignment horizontal="general" vertical="bottom"/>
    </xf>
    <xf numFmtId="0" fontId="7" fillId="0" borderId="0" applyAlignment="1">
      <alignment horizontal="general" vertical="bottom"/>
    </xf>
  </cellStyleXfs>
  <cellXfs count="1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8" fillId="0" borderId="0" applyAlignment="1" pivotButton="0" quotePrefix="0" xfId="0">
      <alignment horizontal="center" vertical="center"/>
    </xf>
    <xf numFmtId="0" fontId="9" fillId="2" borderId="0" applyAlignment="1" pivotButton="0" quotePrefix="0" xfId="0">
      <alignment horizontal="general" vertical="center"/>
    </xf>
    <xf numFmtId="0" fontId="0" fillId="2" borderId="0" applyAlignment="1" pivotButton="0" quotePrefix="0" xfId="0">
      <alignment horizontal="general" vertical="bottom"/>
    </xf>
    <xf numFmtId="0" fontId="9" fillId="2" borderId="0" applyAlignment="1" pivotButton="0" quotePrefix="0" xfId="0">
      <alignment horizontal="general" vertical="top"/>
    </xf>
    <xf numFmtId="0" fontId="10" fillId="0" borderId="1" applyAlignment="1" pivotButton="0" quotePrefix="0" xfId="0">
      <alignment horizontal="center" vertical="center" wrapText="1"/>
    </xf>
    <xf numFmtId="0" fontId="10" fillId="0" borderId="1" applyAlignment="1" pivotButton="0" quotePrefix="0" xfId="0">
      <alignment horizontal="center" vertical="center"/>
    </xf>
    <xf numFmtId="0" fontId="11" fillId="2" borderId="1" applyAlignment="1" pivotButton="0" quotePrefix="0" xfId="0">
      <alignment horizontal="general" vertical="center" wrapText="1"/>
    </xf>
    <xf numFmtId="0" fontId="12" fillId="0" borderId="1" applyAlignment="1" pivotButton="0" quotePrefix="0" xfId="0">
      <alignment horizontal="left" vertical="top" wrapText="1"/>
    </xf>
    <xf numFmtId="0" fontId="13" fillId="0" borderId="1" applyAlignment="1" pivotButton="0" quotePrefix="0" xfId="0">
      <alignment horizontal="left" vertical="top" wrapText="1"/>
    </xf>
    <xf numFmtId="0" fontId="12" fillId="0" borderId="2" applyAlignment="1" pivotButton="0" quotePrefix="0" xfId="0">
      <alignment horizontal="left" vertical="top" wrapText="1"/>
    </xf>
    <xf numFmtId="0" fontId="14" fillId="0" borderId="2" applyAlignment="1" pivotButton="0" quotePrefix="0" xfId="0">
      <alignment horizontal="center" vertical="center" wrapText="1"/>
    </xf>
    <xf numFmtId="0" fontId="13" fillId="0" borderId="2" applyAlignment="1" pivotButton="0" quotePrefix="0" xfId="0">
      <alignment horizontal="center" vertical="center"/>
    </xf>
    <xf numFmtId="0" fontId="13" fillId="0" borderId="1" applyAlignment="1" pivotButton="0" quotePrefix="0" xfId="0">
      <alignment horizontal="center" vertical="center"/>
    </xf>
    <xf numFmtId="0" fontId="14" fillId="0" borderId="1" applyAlignment="1" pivotButton="0" quotePrefix="0" xfId="0">
      <alignment horizontal="center" vertical="center" wrapText="1"/>
    </xf>
    <xf numFmtId="0" fontId="9" fillId="0" borderId="0" applyAlignment="1" pivotButton="0" quotePrefix="0" xfId="0">
      <alignment horizontal="general" vertical="center"/>
    </xf>
    <xf numFmtId="49" fontId="9" fillId="0" borderId="0" applyAlignment="1" pivotButton="0" quotePrefix="0" xfId="0">
      <alignment horizontal="general" vertical="center"/>
    </xf>
    <xf numFmtId="0" fontId="9" fillId="0" borderId="0" applyAlignment="1" pivotButton="0" quotePrefix="0" xfId="0">
      <alignment horizontal="general" vertical="top"/>
    </xf>
    <xf numFmtId="0" fontId="15" fillId="0" borderId="0" applyAlignment="1" pivotButton="0" quotePrefix="0" xfId="0">
      <alignment horizontal="center" vertical="top"/>
    </xf>
    <xf numFmtId="49" fontId="16" fillId="2" borderId="0" applyAlignment="1" pivotButton="0" quotePrefix="0" xfId="0">
      <alignment horizontal="general" vertical="center"/>
    </xf>
    <xf numFmtId="0" fontId="17" fillId="0" borderId="3" applyAlignment="1" pivotButton="0" quotePrefix="0" xfId="0">
      <alignment horizontal="general" vertical="center"/>
    </xf>
    <xf numFmtId="0" fontId="9" fillId="0" borderId="4" applyAlignment="1" pivotButton="0" quotePrefix="0" xfId="0">
      <alignment horizontal="general" vertical="top"/>
    </xf>
    <xf numFmtId="0" fontId="17" fillId="0" borderId="4" applyAlignment="1" pivotButton="0" quotePrefix="0" xfId="0">
      <alignment horizontal="center" vertical="center"/>
    </xf>
    <xf numFmtId="49" fontId="18" fillId="3" borderId="5" applyAlignment="1" pivotButton="0" quotePrefix="0" xfId="0">
      <alignment horizontal="center" vertical="center" wrapText="1"/>
    </xf>
    <xf numFmtId="0" fontId="18" fillId="3" borderId="1" applyAlignment="1" pivotButton="0" quotePrefix="0" xfId="0">
      <alignment horizontal="center" vertical="center"/>
    </xf>
    <xf numFmtId="0" fontId="18" fillId="3" borderId="1" applyAlignment="1" pivotButton="0" quotePrefix="0" xfId="0">
      <alignment horizontal="center" vertical="center" wrapText="1"/>
    </xf>
    <xf numFmtId="0" fontId="19" fillId="3" borderId="1" applyAlignment="1" pivotButton="0" quotePrefix="0" xfId="0">
      <alignment horizontal="center" vertical="center"/>
    </xf>
    <xf numFmtId="0" fontId="17" fillId="3" borderId="6" applyAlignment="1" pivotButton="0" quotePrefix="0" xfId="0">
      <alignment horizontal="general" vertical="center" wrapText="1"/>
    </xf>
    <xf numFmtId="49" fontId="20" fillId="4" borderId="7" applyAlignment="1" pivotButton="0" quotePrefix="0" xfId="0">
      <alignment horizontal="center" vertical="center" wrapText="1"/>
    </xf>
    <xf numFmtId="164" fontId="21" fillId="0" borderId="1" applyAlignment="1" pivotButton="0" quotePrefix="0" xfId="0">
      <alignment horizontal="justify" vertical="center" wrapText="1"/>
    </xf>
    <xf numFmtId="164" fontId="18" fillId="0" borderId="1" applyAlignment="1" pivotButton="0" quotePrefix="0" xfId="0">
      <alignment horizontal="general" vertical="center"/>
    </xf>
    <xf numFmtId="0" fontId="9" fillId="0" borderId="6" applyAlignment="1" pivotButton="0" quotePrefix="0" xfId="0">
      <alignment horizontal="left" vertical="top" wrapText="1"/>
    </xf>
    <xf numFmtId="164" fontId="21" fillId="0" borderId="1" applyAlignment="1" pivotButton="0" quotePrefix="0" xfId="0">
      <alignment horizontal="left" vertical="center" wrapText="1"/>
    </xf>
    <xf numFmtId="164" fontId="22" fillId="0" borderId="1" applyAlignment="1" pivotButton="0" quotePrefix="0" xfId="0">
      <alignment horizontal="justify" vertical="center" wrapText="1"/>
    </xf>
    <xf numFmtId="164" fontId="22" fillId="0" borderId="1" applyAlignment="1" pivotButton="0" quotePrefix="0" xfId="0">
      <alignment horizontal="general" vertical="center"/>
    </xf>
    <xf numFmtId="0" fontId="22" fillId="0" borderId="6" applyAlignment="1" pivotButton="0" quotePrefix="0" xfId="0">
      <alignment horizontal="left" vertical="top" wrapText="1"/>
    </xf>
    <xf numFmtId="0" fontId="9" fillId="0" borderId="1" applyAlignment="1" pivotButton="0" quotePrefix="0" xfId="0">
      <alignment horizontal="general" vertical="center"/>
    </xf>
    <xf numFmtId="164" fontId="19" fillId="5" borderId="5" applyAlignment="1" pivotButton="0" quotePrefix="0" xfId="0">
      <alignment horizontal="left" vertical="center"/>
    </xf>
    <xf numFmtId="164" fontId="19" fillId="5" borderId="1" applyAlignment="1" pivotButton="0" quotePrefix="0" xfId="0">
      <alignment horizontal="center" vertical="center"/>
    </xf>
    <xf numFmtId="164" fontId="14" fillId="5" borderId="1" applyAlignment="1" pivotButton="0" quotePrefix="0" xfId="0">
      <alignment horizontal="right" vertical="center"/>
    </xf>
    <xf numFmtId="0" fontId="9" fillId="5" borderId="6" applyAlignment="1" pivotButton="0" quotePrefix="0" xfId="0">
      <alignment horizontal="left" vertical="top" wrapText="1"/>
    </xf>
    <xf numFmtId="164" fontId="19" fillId="5" borderId="8" applyAlignment="1" pivotButton="0" quotePrefix="0" xfId="0">
      <alignment horizontal="left" vertical="center"/>
    </xf>
    <xf numFmtId="164" fontId="19" fillId="5" borderId="9" applyAlignment="1" pivotButton="0" quotePrefix="0" xfId="0">
      <alignment horizontal="center" vertical="center"/>
    </xf>
    <xf numFmtId="164" fontId="14" fillId="5" borderId="9" applyAlignment="1" pivotButton="0" quotePrefix="0" xfId="0">
      <alignment horizontal="right" vertical="center"/>
    </xf>
    <xf numFmtId="49" fontId="18" fillId="0" borderId="5" applyAlignment="1" pivotButton="0" quotePrefix="0" xfId="0">
      <alignment horizontal="center" vertical="bottom"/>
    </xf>
    <xf numFmtId="49" fontId="9" fillId="2" borderId="0" applyAlignment="1" pivotButton="0" quotePrefix="0" xfId="0">
      <alignment horizontal="general" vertical="top" wrapText="1"/>
    </xf>
    <xf numFmtId="0" fontId="9" fillId="2" borderId="0" applyAlignment="1" pivotButton="0" quotePrefix="0" xfId="0">
      <alignment horizontal="general" vertical="top" wrapText="1"/>
    </xf>
    <xf numFmtId="0" fontId="9" fillId="0" borderId="0" applyAlignment="1" pivotButton="0" quotePrefix="0" xfId="0">
      <alignment horizontal="general" vertical="top" wrapText="1"/>
    </xf>
    <xf numFmtId="0" fontId="9" fillId="2" borderId="0" applyAlignment="1" pivotButton="0" quotePrefix="0" xfId="0">
      <alignment horizontal="left" vertical="top" indent="4"/>
    </xf>
    <xf numFmtId="0" fontId="9" fillId="0" borderId="0" applyAlignment="1" pivotButton="0" quotePrefix="0" xfId="0">
      <alignment horizontal="left" vertical="top" indent="4"/>
    </xf>
    <xf numFmtId="0" fontId="11" fillId="0" borderId="0" applyAlignment="1" pivotButton="0" quotePrefix="0" xfId="0">
      <alignment horizontal="general" vertical="bottom"/>
    </xf>
    <xf numFmtId="0" fontId="23" fillId="6" borderId="1" applyAlignment="1" pivotButton="0" quotePrefix="0" xfId="0">
      <alignment horizontal="left" vertical="top" wrapText="1"/>
    </xf>
    <xf numFmtId="0" fontId="23" fillId="0" borderId="0"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8" fillId="0" borderId="0" applyAlignment="1" pivotButton="0" quotePrefix="0" xfId="0">
      <alignment horizontal="center" vertical="center"/>
    </xf>
    <xf numFmtId="0" fontId="9" fillId="2" borderId="0" applyAlignment="1" pivotButton="0" quotePrefix="0" xfId="0">
      <alignment horizontal="general" vertical="center"/>
    </xf>
    <xf numFmtId="0" fontId="0" fillId="2" borderId="0" applyAlignment="1" pivotButton="0" quotePrefix="0" xfId="0">
      <alignment horizontal="general" vertical="bottom"/>
    </xf>
    <xf numFmtId="0" fontId="9" fillId="2" borderId="0" applyAlignment="1" pivotButton="0" quotePrefix="0" xfId="0">
      <alignment horizontal="general" vertical="top"/>
    </xf>
    <xf numFmtId="0" fontId="10" fillId="0" borderId="1" applyAlignment="1" pivotButton="0" quotePrefix="0" xfId="0">
      <alignment horizontal="center" vertical="center" wrapText="1"/>
    </xf>
    <xf numFmtId="0" fontId="10" fillId="0" borderId="1" applyAlignment="1" pivotButton="0" quotePrefix="0" xfId="0">
      <alignment horizontal="center" vertical="center"/>
    </xf>
    <xf numFmtId="0" fontId="0" fillId="0" borderId="13" pivotButton="0" quotePrefix="0" xfId="0"/>
    <xf numFmtId="0" fontId="0" fillId="0" borderId="14" pivotButton="0" quotePrefix="0" xfId="0"/>
    <xf numFmtId="0" fontId="0" fillId="0" borderId="11" pivotButton="0" quotePrefix="0" xfId="0"/>
    <xf numFmtId="0" fontId="0" fillId="0" borderId="10"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2" pivotButton="0" quotePrefix="0" xfId="0"/>
    <xf numFmtId="0" fontId="11" fillId="2" borderId="1" applyAlignment="1" pivotButton="0" quotePrefix="0" xfId="0">
      <alignment horizontal="general" vertical="center" wrapText="1"/>
    </xf>
    <xf numFmtId="0" fontId="12" fillId="0" borderId="1" applyAlignment="1" pivotButton="0" quotePrefix="0" xfId="0">
      <alignment horizontal="left" vertical="top" wrapText="1"/>
    </xf>
    <xf numFmtId="0" fontId="13" fillId="0" borderId="1" applyAlignment="1" pivotButton="0" quotePrefix="0" xfId="0">
      <alignment horizontal="left" vertical="top" wrapText="1"/>
    </xf>
    <xf numFmtId="0" fontId="12" fillId="0" borderId="2" applyAlignment="1" pivotButton="0" quotePrefix="0" xfId="0">
      <alignment horizontal="left" vertical="top" wrapText="1"/>
    </xf>
    <xf numFmtId="0" fontId="14" fillId="0" borderId="2" applyAlignment="1" pivotButton="0" quotePrefix="0" xfId="0">
      <alignment horizontal="center" vertical="center" wrapText="1"/>
    </xf>
    <xf numFmtId="0" fontId="13" fillId="0" borderId="2" applyAlignment="1" pivotButton="0" quotePrefix="0" xfId="0">
      <alignment horizontal="center" vertical="center"/>
    </xf>
    <xf numFmtId="0" fontId="13" fillId="0" borderId="1" applyAlignment="1" pivotButton="0" quotePrefix="0" xfId="0">
      <alignment horizontal="center" vertical="center"/>
    </xf>
    <xf numFmtId="0" fontId="14" fillId="0" borderId="1" applyAlignment="1" pivotButton="0" quotePrefix="0" xfId="0">
      <alignment horizontal="center" vertical="center" wrapText="1"/>
    </xf>
    <xf numFmtId="0" fontId="9" fillId="0" borderId="0" applyAlignment="1" pivotButton="0" quotePrefix="0" xfId="0">
      <alignment horizontal="general" vertical="center"/>
    </xf>
    <xf numFmtId="49" fontId="9" fillId="0" borderId="0" applyAlignment="1" pivotButton="0" quotePrefix="0" xfId="0">
      <alignment horizontal="general" vertical="center"/>
    </xf>
    <xf numFmtId="0" fontId="9" fillId="0" borderId="0" applyAlignment="1" pivotButton="0" quotePrefix="0" xfId="0">
      <alignment horizontal="general" vertical="top"/>
    </xf>
    <xf numFmtId="0" fontId="15" fillId="0" borderId="0" applyAlignment="1" pivotButton="0" quotePrefix="0" xfId="0">
      <alignment horizontal="center" vertical="top"/>
    </xf>
    <xf numFmtId="49" fontId="16" fillId="2" borderId="0" applyAlignment="1" pivotButton="0" quotePrefix="0" xfId="0">
      <alignment horizontal="general" vertical="center"/>
    </xf>
    <xf numFmtId="0" fontId="17" fillId="0" borderId="3" applyAlignment="1" pivotButton="0" quotePrefix="0" xfId="0">
      <alignment horizontal="general" vertical="center"/>
    </xf>
    <xf numFmtId="0" fontId="9" fillId="0" borderId="4" applyAlignment="1" pivotButton="0" quotePrefix="0" xfId="0">
      <alignment horizontal="general" vertical="top"/>
    </xf>
    <xf numFmtId="0" fontId="17" fillId="0" borderId="4" applyAlignment="1" pivotButton="0" quotePrefix="0" xfId="0">
      <alignment horizontal="center" vertical="center"/>
    </xf>
    <xf numFmtId="49" fontId="18" fillId="3" borderId="5" applyAlignment="1" pivotButton="0" quotePrefix="0" xfId="0">
      <alignment horizontal="center" vertical="center" wrapText="1"/>
    </xf>
    <xf numFmtId="0" fontId="18" fillId="3" borderId="1" applyAlignment="1" pivotButton="0" quotePrefix="0" xfId="0">
      <alignment horizontal="center" vertical="center"/>
    </xf>
    <xf numFmtId="0" fontId="18" fillId="3" borderId="1" applyAlignment="1" pivotButton="0" quotePrefix="0" xfId="0">
      <alignment horizontal="center" vertical="center" wrapText="1"/>
    </xf>
    <xf numFmtId="0" fontId="19" fillId="3" borderId="1" applyAlignment="1" pivotButton="0" quotePrefix="0" xfId="0">
      <alignment horizontal="center" vertical="center"/>
    </xf>
    <xf numFmtId="0" fontId="17" fillId="3" borderId="6" applyAlignment="1" pivotButton="0" quotePrefix="0" xfId="0">
      <alignment horizontal="general" vertical="center" wrapText="1"/>
    </xf>
    <xf numFmtId="49" fontId="20" fillId="4" borderId="7" applyAlignment="1" pivotButton="0" quotePrefix="0" xfId="0">
      <alignment horizontal="center" vertical="center" wrapText="1"/>
    </xf>
    <xf numFmtId="164" fontId="21" fillId="0" borderId="1" applyAlignment="1" pivotButton="0" quotePrefix="0" xfId="0">
      <alignment horizontal="justify" vertical="center" wrapText="1"/>
    </xf>
    <xf numFmtId="164" fontId="18" fillId="0" borderId="1" applyAlignment="1" pivotButton="0" quotePrefix="0" xfId="0">
      <alignment horizontal="general" vertical="center"/>
    </xf>
    <xf numFmtId="0" fontId="9" fillId="0" borderId="6" applyAlignment="1" pivotButton="0" quotePrefix="0" xfId="0">
      <alignment horizontal="left" vertical="top" wrapText="1"/>
    </xf>
    <xf numFmtId="0" fontId="0" fillId="0" borderId="20" pivotButton="0" quotePrefix="0" xfId="0"/>
    <xf numFmtId="164" fontId="21" fillId="0" borderId="1" applyAlignment="1" pivotButton="0" quotePrefix="0" xfId="0">
      <alignment horizontal="left" vertical="center" wrapText="1"/>
    </xf>
    <xf numFmtId="164" fontId="22" fillId="0" borderId="1" applyAlignment="1" pivotButton="0" quotePrefix="0" xfId="0">
      <alignment horizontal="justify" vertical="center" wrapText="1"/>
    </xf>
    <xf numFmtId="164" fontId="22" fillId="7" borderId="1" applyAlignment="1" pivotButton="0" quotePrefix="0" xfId="0">
      <alignment horizontal="general" vertical="center"/>
    </xf>
    <xf numFmtId="0" fontId="22" fillId="0" borderId="6" applyAlignment="1" pivotButton="0" quotePrefix="0" xfId="0">
      <alignment horizontal="left" vertical="top" wrapText="1"/>
    </xf>
    <xf numFmtId="0" fontId="9" fillId="0" borderId="1" applyAlignment="1" pivotButton="0" quotePrefix="0" xfId="0">
      <alignment horizontal="general" vertical="center"/>
    </xf>
    <xf numFmtId="0" fontId="0" fillId="0" borderId="7" pivotButton="0" quotePrefix="0" xfId="0"/>
    <xf numFmtId="164" fontId="19" fillId="5" borderId="5" applyAlignment="1" pivotButton="0" quotePrefix="0" xfId="0">
      <alignment horizontal="left" vertical="center"/>
    </xf>
    <xf numFmtId="164" fontId="19" fillId="5" borderId="1" applyAlignment="1" pivotButton="0" quotePrefix="0" xfId="0">
      <alignment horizontal="center" vertical="center"/>
    </xf>
    <xf numFmtId="164" fontId="14" fillId="5" borderId="1" applyAlignment="1" pivotButton="0" quotePrefix="0" xfId="0">
      <alignment horizontal="right" vertical="center"/>
    </xf>
    <xf numFmtId="0" fontId="9" fillId="5" borderId="6" applyAlignment="1" pivotButton="0" quotePrefix="0" xfId="0">
      <alignment horizontal="left" vertical="top" wrapText="1"/>
    </xf>
    <xf numFmtId="164" fontId="22" fillId="0" borderId="1" applyAlignment="1" pivotButton="0" quotePrefix="0" xfId="0">
      <alignment horizontal="general" vertical="center"/>
    </xf>
    <xf numFmtId="164" fontId="19" fillId="5" borderId="8" applyAlignment="1" pivotButton="0" quotePrefix="0" xfId="0">
      <alignment horizontal="left" vertical="center"/>
    </xf>
    <xf numFmtId="0" fontId="0" fillId="0" borderId="21" pivotButton="0" quotePrefix="0" xfId="0"/>
    <xf numFmtId="164" fontId="19" fillId="5" borderId="9" applyAlignment="1" pivotButton="0" quotePrefix="0" xfId="0">
      <alignment horizontal="center" vertical="center"/>
    </xf>
    <xf numFmtId="164" fontId="14" fillId="5" borderId="9" applyAlignment="1" pivotButton="0" quotePrefix="0" xfId="0">
      <alignment horizontal="right" vertical="center"/>
    </xf>
    <xf numFmtId="49" fontId="18" fillId="0" borderId="5" applyAlignment="1" pivotButton="0" quotePrefix="0" xfId="0">
      <alignment horizontal="center" vertical="bottom"/>
    </xf>
    <xf numFmtId="49" fontId="9" fillId="2" borderId="0" applyAlignment="1" pivotButton="0" quotePrefix="0" xfId="0">
      <alignment horizontal="general" vertical="top" wrapText="1"/>
    </xf>
    <xf numFmtId="0" fontId="9" fillId="2" borderId="0" applyAlignment="1" pivotButton="0" quotePrefix="0" xfId="0">
      <alignment horizontal="general" vertical="top" wrapText="1"/>
    </xf>
    <xf numFmtId="0" fontId="9" fillId="0" borderId="0" applyAlignment="1" pivotButton="0" quotePrefix="0" xfId="0">
      <alignment horizontal="general" vertical="top" wrapText="1"/>
    </xf>
    <xf numFmtId="0" fontId="9" fillId="2" borderId="0" applyAlignment="1" pivotButton="0" quotePrefix="0" xfId="0">
      <alignment horizontal="left" vertical="top" indent="4"/>
    </xf>
    <xf numFmtId="0" fontId="9" fillId="0" borderId="0" applyAlignment="1" pivotButton="0" quotePrefix="0" xfId="0">
      <alignment horizontal="left" vertical="top" indent="4"/>
    </xf>
    <xf numFmtId="0" fontId="11" fillId="0" borderId="0" applyAlignment="1" pivotButton="0" quotePrefix="0" xfId="0">
      <alignment horizontal="general" vertical="bottom"/>
    </xf>
    <xf numFmtId="0" fontId="23" fillId="6" borderId="1" applyAlignment="1" pivotButton="0" quotePrefix="0" xfId="0">
      <alignment horizontal="left" vertical="top" wrapText="1"/>
    </xf>
    <xf numFmtId="0" fontId="23" fillId="0" borderId="0" applyAlignment="1" pivotButton="0" quotePrefix="0" xfId="0">
      <alignment horizontal="left" vertical="top" wrapText="1"/>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Comma 2 2" xfId="6"/>
    <cellStyle name="Normal 2" xfId="7"/>
    <cellStyle name="Normal 2 2" xfId="8"/>
    <cellStyle name="Normal 4" xfId="9"/>
    <cellStyle name="Normal 5" xfId="10"/>
  </cellStyles>
  <colors>
    <indexedColors>
      <rgbColor rgb="FF000000"/>
      <rgbColor rgb="FFFFFFFF"/>
      <rgbColor rgb="FFFF0000"/>
      <rgbColor rgb="FF00FF00"/>
      <rgbColor rgb="FF0000FF"/>
      <rgbColor rgb="FFFFFF00"/>
      <rgbColor rgb="FFFF00FF"/>
      <rgbColor rgb="FF00FFFF"/>
      <rgbColor rgb="FF800000"/>
      <rgbColor rgb="FF008000"/>
      <rgbColor rgb="FF2A0F56"/>
      <rgbColor rgb="FF808000"/>
      <rgbColor rgb="FF800080"/>
      <rgbColor rgb="FF008080"/>
      <rgbColor rgb="FFC5E0B4"/>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2037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Note</author>
  </authors>
  <commentList>
    <comment ref="F13" authorId="0" shapeId="0">
      <text>
        <t>Verify: actual Q1 equipment spend based on real quotes</t>
      </text>
    </comment>
    <comment ref="G13" authorId="0" shapeId="0">
      <text>
        <t>Verify: actual Q2 equipment spend based on real quotes</t>
      </text>
    </comment>
    <comment ref="F15" authorId="0" shapeId="0">
      <text>
        <t>Verify: actual shipping/customs fees</t>
      </text>
    </comment>
    <comment ref="G15" authorId="0" shapeId="0">
      <text>
        <t>Verify: actual shipping/customs fees</t>
      </text>
    </comment>
    <comment ref="G17" authorId="0" shapeId="0">
      <text>
        <t>Verify: actual infrastructure setup costs (electrical, ventilation, safety)</t>
      </text>
    </comment>
    <comment ref="G21" authorId="0" shapeId="0">
      <text>
        <t>Optional — can be reallocated if specialized consulting not needed</t>
      </text>
    </comment>
    <comment ref="H21" authorId="0" shapeId="0">
      <text>
        <t>Optional — can be reallocated if specialized consulting not needed</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C1:N18"/>
  <sheetViews>
    <sheetView showFormulas="0" showGridLines="1" showRowColHeaders="1" showZeros="1" rightToLeft="0" tabSelected="0" showOutlineSymbols="1" defaultGridColor="1" view="normal" topLeftCell="A1" colorId="64" zoomScale="125" zoomScaleNormal="125" zoomScalePageLayoutView="100" workbookViewId="0">
      <selection pane="topLeft" activeCell="P11" activeCellId="0" sqref="P11"/>
    </sheetView>
  </sheetViews>
  <sheetFormatPr baseColWidth="8" defaultColWidth="8.859375" defaultRowHeight="15" zeroHeight="0" outlineLevelRow="0"/>
  <cols>
    <col width="28" customWidth="1" style="54" min="3" max="3"/>
    <col width="42" customWidth="1" style="54" min="4" max="5"/>
    <col width="6" customWidth="1" style="54" min="6" max="13"/>
  </cols>
  <sheetData>
    <row r="1" ht="25.5" customHeight="1" s="55">
      <c r="C1" s="56" t="inlineStr">
        <is>
          <t>Project Workplan</t>
        </is>
      </c>
    </row>
    <row r="2" ht="15" customHeight="1" s="55">
      <c r="C2" s="57" t="inlineStr">
        <is>
          <t xml:space="preserve">Please complete the table below, ensuring that the implementation period does not exceed 24 months. An example is provided in italics for your reference (please delete this). </t>
        </is>
      </c>
      <c r="D2" s="57" t="n"/>
      <c r="E2" s="57" t="n"/>
      <c r="F2" s="57" t="n"/>
      <c r="G2" s="57" t="n"/>
      <c r="H2" s="57" t="n"/>
      <c r="I2" s="57" t="n"/>
      <c r="J2" s="58" t="n"/>
      <c r="K2" s="58" t="n"/>
      <c r="L2" s="58" t="n"/>
      <c r="M2" s="58" t="n"/>
      <c r="N2" s="58" t="n"/>
    </row>
    <row r="3" ht="15" customHeight="1" s="55">
      <c r="C3" s="57" t="inlineStr">
        <is>
          <t>Once you have completed this table, please proceed to the next tab (project budget).</t>
        </is>
      </c>
      <c r="D3" s="59" t="n"/>
      <c r="E3" s="59" t="n"/>
      <c r="F3" s="59" t="n"/>
      <c r="G3" s="57" t="n"/>
      <c r="H3" s="57" t="n"/>
      <c r="I3" s="57" t="n"/>
    </row>
    <row r="4" ht="15" customHeight="1" s="55">
      <c r="C4" s="60" t="inlineStr">
        <is>
          <t>Project Outputs (add/delete as necessary)</t>
        </is>
      </c>
      <c r="D4" s="61" t="inlineStr">
        <is>
          <t>Indicators</t>
        </is>
      </c>
      <c r="E4" s="61" t="inlineStr">
        <is>
          <t>Activities</t>
        </is>
      </c>
      <c r="F4" s="61" t="inlineStr">
        <is>
          <t>Timeline (Year 1)</t>
        </is>
      </c>
      <c r="G4" s="62" t="n"/>
      <c r="H4" s="62" t="n"/>
      <c r="I4" s="63" t="n"/>
      <c r="J4" s="60" t="inlineStr">
        <is>
          <t>Timeline (Year 2) 
(if applicable)</t>
        </is>
      </c>
      <c r="K4" s="62" t="n"/>
      <c r="L4" s="62" t="n"/>
      <c r="M4" s="63" t="n"/>
    </row>
    <row r="5" ht="15" customHeight="1" s="55">
      <c r="C5" s="64" t="n"/>
      <c r="D5" s="64" t="n"/>
      <c r="E5" s="64" t="n"/>
      <c r="F5" s="65" t="n"/>
      <c r="I5" s="66" t="n"/>
      <c r="J5" s="65" t="n"/>
      <c r="M5" s="66" t="n"/>
    </row>
    <row r="6" ht="15" customHeight="1" s="55">
      <c r="C6" s="64" t="n"/>
      <c r="D6" s="64" t="n"/>
      <c r="E6" s="64" t="n"/>
      <c r="F6" s="67" t="n"/>
      <c r="G6" s="68" t="n"/>
      <c r="H6" s="68" t="n"/>
      <c r="I6" s="69" t="n"/>
      <c r="J6" s="67" t="n"/>
      <c r="K6" s="68" t="n"/>
      <c r="L6" s="68" t="n"/>
      <c r="M6" s="69" t="n"/>
    </row>
    <row r="7" ht="15" customHeight="1" s="55">
      <c r="C7" s="64" t="n"/>
      <c r="D7" s="64" t="n"/>
      <c r="E7" s="64" t="n"/>
      <c r="F7" s="61" t="inlineStr">
        <is>
          <t>Q1</t>
        </is>
      </c>
      <c r="G7" s="61" t="inlineStr">
        <is>
          <t>Q2</t>
        </is>
      </c>
      <c r="H7" s="61" t="inlineStr">
        <is>
          <t>Q3</t>
        </is>
      </c>
      <c r="I7" s="61" t="inlineStr">
        <is>
          <t>Q4</t>
        </is>
      </c>
      <c r="J7" s="61" t="inlineStr">
        <is>
          <t>Q1</t>
        </is>
      </c>
      <c r="K7" s="61" t="inlineStr">
        <is>
          <t>Q2</t>
        </is>
      </c>
      <c r="L7" s="61" t="inlineStr">
        <is>
          <t>Q3</t>
        </is>
      </c>
      <c r="M7" s="61" t="inlineStr">
        <is>
          <t>Q4</t>
        </is>
      </c>
    </row>
    <row r="8" ht="15" customHeight="1" s="55">
      <c r="C8" s="64" t="n"/>
      <c r="D8" s="64" t="n"/>
      <c r="E8" s="70" t="n"/>
      <c r="F8" s="64" t="n"/>
      <c r="G8" s="64" t="n"/>
      <c r="H8" s="64" t="n"/>
      <c r="I8" s="64" t="n"/>
      <c r="J8" s="64" t="n"/>
      <c r="K8" s="64" t="n"/>
      <c r="L8" s="64" t="n"/>
      <c r="M8" s="64" t="n"/>
    </row>
    <row r="9" ht="40.5" customHeight="1" s="55">
      <c r="C9" s="70" t="n"/>
      <c r="D9" s="70" t="n"/>
      <c r="E9" s="71" t="inlineStr">
        <is>
          <t>Note: only include activities to be supported by Youth4Climate here.</t>
        </is>
      </c>
      <c r="F9" s="70" t="n"/>
      <c r="G9" s="70" t="n"/>
      <c r="H9" s="70" t="n"/>
      <c r="I9" s="70" t="n"/>
      <c r="J9" s="70" t="n"/>
      <c r="K9" s="70" t="n"/>
      <c r="L9" s="70" t="n"/>
      <c r="M9" s="70" t="n"/>
    </row>
    <row r="10" ht="79.5" customHeight="1" s="55">
      <c r="C10" s="72" t="inlineStr">
        <is>
          <t>Project Output 1:
Plastic Recycling &amp; Manufacturing Line Established inside the workshop</t>
        </is>
      </c>
      <c r="D10" s="73" t="inlineStr">
        <is>
          <t>Baseline: No plastic processing infrastructure currently exists in the workshop or in Basrah at this scale.
Target: Full recycling and production line operational by Month 12 — shredder, extruder/injection system, compression press, and large-format 3D printer all installed, calibrated, and producing at up to 500 kg/month processing capacity.
Means of verification: Equipment purchase receipts and customs documents; photo/video documentation of installation and first production runs; monthly processing logs (kg in, kg processed, by method); calibration reports for each machine.</t>
        </is>
      </c>
      <c r="E10" s="74" t="inlineStr">
        <is>
          <t>Activity 1.1. Procurement of recycling equipment (shredder, extruder/injection system, compression press, large-format 3D printer)</t>
        </is>
      </c>
      <c r="F10" s="75" t="inlineStr">
        <is>
          <t>X</t>
        </is>
      </c>
      <c r="G10" s="75" t="inlineStr">
        <is>
          <t>X</t>
        </is>
      </c>
      <c r="H10" s="76" t="n"/>
      <c r="I10" s="76" t="n"/>
      <c r="J10" s="76" t="n"/>
      <c r="K10" s="76" t="n"/>
      <c r="L10" s="76" t="n"/>
      <c r="M10" s="76" t="n"/>
    </row>
    <row r="11" ht="79.5" customHeight="1" s="55">
      <c r="C11" s="64" t="n"/>
      <c r="D11" s="64" t="n"/>
      <c r="E11" s="72" t="inlineStr">
        <is>
          <t>Activity 1.2. Installation of equipment, electrical setup, ventilation, safety systems, and material handling</t>
        </is>
      </c>
      <c r="F11" s="77" t="n"/>
      <c r="G11" s="78" t="inlineStr">
        <is>
          <t>X</t>
        </is>
      </c>
      <c r="H11" s="78" t="inlineStr">
        <is>
          <t>X</t>
        </is>
      </c>
      <c r="I11" s="77" t="n"/>
      <c r="J11" s="77" t="n"/>
      <c r="K11" s="77" t="n"/>
      <c r="L11" s="77" t="n"/>
      <c r="M11" s="77" t="n"/>
    </row>
    <row r="12" ht="79.5" customHeight="1" s="55">
      <c r="C12" s="70" t="n"/>
      <c r="D12" s="70" t="n"/>
      <c r="E12" s="72" t="inlineStr">
        <is>
          <t>Activity 1.3. Process calibration, development of material classification system, and first production runs</t>
        </is>
      </c>
      <c r="F12" s="77" t="n"/>
      <c r="G12" s="77" t="n"/>
      <c r="H12" s="78" t="inlineStr">
        <is>
          <t>X</t>
        </is>
      </c>
      <c r="I12" s="78" t="inlineStr">
        <is>
          <t>X</t>
        </is>
      </c>
      <c r="J12" s="77" t="n"/>
      <c r="K12" s="77" t="n"/>
      <c r="L12" s="77" t="n"/>
      <c r="M12" s="77" t="n"/>
    </row>
    <row r="13" ht="79.5" customHeight="1" s="55">
      <c r="C13" s="72" t="inlineStr">
        <is>
          <t>Project Output 2:
Youth Team Trained, Products Developed, and Revenue-Generating Operations Established</t>
        </is>
      </c>
      <c r="D13" s="72" t="inlineStr">
        <is>
          <t>Baseline: 0 youth currently employed in plastic recycling or design-led circular manufacturing in Basrah.
Target: 3–4 young Iraqis employed full-time on the production line; 10+ apprentices trained over 24 months; minimum 4 product lines (furniture + modular pieces) launched; revenue-positive operations by Month 18.
Means of verification: Employment contracts and training records; product portfolio and prototype documentation; monthly sales records (B2B and B2C); customer feedback logs; financial reports.</t>
        </is>
      </c>
      <c r="E13" s="74" t="inlineStr">
        <is>
          <t>Activity 2.1. Recruit and train the youth team on equipment, digital fabrication, and product development</t>
        </is>
      </c>
      <c r="F13" s="76" t="n"/>
      <c r="G13" s="75" t="inlineStr">
        <is>
          <t>X</t>
        </is>
      </c>
      <c r="H13" s="75" t="inlineStr">
        <is>
          <t>X</t>
        </is>
      </c>
      <c r="I13" s="75" t="inlineStr">
        <is>
          <t>X</t>
        </is>
      </c>
      <c r="J13" s="75" t="inlineStr">
        <is>
          <t>X</t>
        </is>
      </c>
      <c r="K13" s="75" t="inlineStr">
        <is>
          <t>X</t>
        </is>
      </c>
      <c r="L13" s="76" t="n"/>
      <c r="M13" s="76" t="n"/>
    </row>
    <row r="14" ht="79.5" customHeight="1" s="55">
      <c r="C14" s="64" t="n"/>
      <c r="D14" s="64" t="n"/>
      <c r="E14" s="72" t="inlineStr">
        <is>
          <t>Activity 2.2. Design and prototype furniture and modular products; refine material grading system</t>
        </is>
      </c>
      <c r="F14" s="77" t="n"/>
      <c r="G14" s="77" t="n"/>
      <c r="H14" s="78" t="inlineStr">
        <is>
          <t>X</t>
        </is>
      </c>
      <c r="I14" s="78" t="inlineStr">
        <is>
          <t>X</t>
        </is>
      </c>
      <c r="J14" s="78" t="inlineStr">
        <is>
          <t>X</t>
        </is>
      </c>
      <c r="K14" s="78" t="inlineStr">
        <is>
          <t>X</t>
        </is>
      </c>
      <c r="L14" s="78" t="inlineStr">
        <is>
          <t>X</t>
        </is>
      </c>
      <c r="M14" s="77" t="n"/>
    </row>
    <row r="15" ht="79.5" customHeight="1" s="55">
      <c r="C15" s="70" t="n"/>
      <c r="D15" s="70" t="n"/>
      <c r="E15" s="72" t="inlineStr">
        <is>
          <t>Activity 2.3. Launch product sales (B2B and B2C); collect customer feedback; iterate on design and pricing</t>
        </is>
      </c>
      <c r="F15" s="77" t="n"/>
      <c r="G15" s="77" t="n"/>
      <c r="H15" s="77" t="n"/>
      <c r="I15" s="78" t="inlineStr">
        <is>
          <t>X</t>
        </is>
      </c>
      <c r="J15" s="78" t="inlineStr">
        <is>
          <t>X</t>
        </is>
      </c>
      <c r="K15" s="78" t="inlineStr">
        <is>
          <t>X</t>
        </is>
      </c>
      <c r="L15" s="78" t="inlineStr">
        <is>
          <t>X</t>
        </is>
      </c>
      <c r="M15" s="78" t="inlineStr">
        <is>
          <t>X</t>
        </is>
      </c>
    </row>
    <row r="16" ht="79.5" customHeight="1" s="55">
      <c r="C16" s="72" t="inlineStr">
        <is>
          <t>Project Output 3:
Points-Based Community Collection System Operational with Active Resident Participation</t>
        </is>
      </c>
      <c r="D16" s="72" t="inlineStr">
        <is>
          <t>Baseline: No formal plastic collection mechanism in the target Basrah neighborhoods; informal collection is fragmented and unrecognized.
Target: 100+ residents enrolled in the points system by Month 12; 3–5 active collection points across the city; minimum 6 community awareness events (school visits, open workshop days); waste collectors integrated into a transparent supply chain.
Means of verification: Resident enrollment records; monthly collection logs by site; signed partnership document with Basrah Municipality; event attendance records; quarterly community feedback summaries; photo documentation.</t>
        </is>
      </c>
      <c r="E16" s="74" t="inlineStr">
        <is>
          <t>Activity 3.1. Establish collection points and partnership protocols with Basrah Municipality</t>
        </is>
      </c>
      <c r="F16" s="76" t="n"/>
      <c r="G16" s="75" t="inlineStr">
        <is>
          <t>X</t>
        </is>
      </c>
      <c r="H16" s="75" t="inlineStr">
        <is>
          <t>X</t>
        </is>
      </c>
      <c r="I16" s="76" t="n"/>
      <c r="J16" s="76" t="n"/>
      <c r="K16" s="76" t="n"/>
      <c r="L16" s="76" t="n"/>
      <c r="M16" s="76" t="n"/>
    </row>
    <row r="17" ht="79.5" customHeight="1" s="55">
      <c r="C17" s="64" t="n"/>
      <c r="D17" s="64" t="n"/>
      <c r="E17" s="72" t="inlineStr">
        <is>
          <t>Activity 3.2. Launch points-based collection system and resident awareness campaign</t>
        </is>
      </c>
      <c r="F17" s="77" t="n"/>
      <c r="G17" s="77" t="n"/>
      <c r="H17" s="78" t="inlineStr">
        <is>
          <t>X</t>
        </is>
      </c>
      <c r="I17" s="78" t="inlineStr">
        <is>
          <t>X</t>
        </is>
      </c>
      <c r="J17" s="78" t="inlineStr">
        <is>
          <t>X</t>
        </is>
      </c>
      <c r="K17" s="78" t="inlineStr">
        <is>
          <t>X</t>
        </is>
      </c>
      <c r="L17" s="77" t="n"/>
      <c r="M17" s="77" t="n"/>
    </row>
    <row r="18" ht="79.5" customHeight="1" s="55">
      <c r="C18" s="70" t="n"/>
      <c r="D18" s="70" t="n"/>
      <c r="E18" s="72" t="inlineStr">
        <is>
          <t>Activity 3.3. Conduct community events: school visits, university tours, open workshop days</t>
        </is>
      </c>
      <c r="F18" s="77" t="n"/>
      <c r="G18" s="77" t="n"/>
      <c r="H18" s="77" t="n"/>
      <c r="I18" s="78" t="inlineStr">
        <is>
          <t>X</t>
        </is>
      </c>
      <c r="J18" s="78" t="inlineStr">
        <is>
          <t>X</t>
        </is>
      </c>
      <c r="K18" s="78" t="inlineStr">
        <is>
          <t>X</t>
        </is>
      </c>
      <c r="L18" s="78" t="inlineStr">
        <is>
          <t>X</t>
        </is>
      </c>
      <c r="M18" s="78" t="inlineStr">
        <is>
          <t>X</t>
        </is>
      </c>
    </row>
  </sheetData>
  <mergeCells count="20">
    <mergeCell ref="J4:M6"/>
    <mergeCell ref="H7:H9"/>
    <mergeCell ref="J7:J9"/>
    <mergeCell ref="C13:C15"/>
    <mergeCell ref="C4:C9"/>
    <mergeCell ref="K7:K9"/>
    <mergeCell ref="D10:D12"/>
    <mergeCell ref="F4:I6"/>
    <mergeCell ref="D4:D9"/>
    <mergeCell ref="F7:F9"/>
    <mergeCell ref="L7:L9"/>
    <mergeCell ref="E4:E8"/>
    <mergeCell ref="C1:I1"/>
    <mergeCell ref="C10:C12"/>
    <mergeCell ref="G7:G9"/>
    <mergeCell ref="I7:I9"/>
    <mergeCell ref="C16:C18"/>
    <mergeCell ref="M7:M9"/>
    <mergeCell ref="D13:D15"/>
    <mergeCell ref="D16:D18"/>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1:O47"/>
  <sheetViews>
    <sheetView showFormulas="0" showGridLines="1" showRowColHeaders="1" showZeros="1" rightToLeft="0" tabSelected="1" showOutlineSymbols="1" defaultGridColor="1" view="normal" topLeftCell="A1" colorId="64" zoomScale="89" zoomScaleNormal="89" zoomScalePageLayoutView="100" workbookViewId="0">
      <selection pane="topLeft" activeCell="H3" activeCellId="0" sqref="H3"/>
    </sheetView>
  </sheetViews>
  <sheetFormatPr baseColWidth="8" defaultColWidth="8.859375" defaultRowHeight="15" zeroHeight="0" outlineLevelRow="0"/>
  <cols>
    <col width="8.859999999999999" customWidth="1" style="79" min="1" max="1"/>
    <col width="18" customWidth="1" style="80" min="2" max="2"/>
    <col width="32" customWidth="1" style="81" min="3" max="3"/>
    <col width="11" customWidth="1" style="81" min="4" max="5"/>
    <col width="10" customWidth="1" style="79" min="6" max="13"/>
    <col width="13" customWidth="1" style="79" min="14" max="14"/>
    <col width="55" customWidth="1" style="79" min="15" max="15"/>
    <col width="8.859999999999999" customWidth="1" style="79" min="16" max="29"/>
    <col width="34" customWidth="1" style="79" min="30" max="30"/>
    <col width="8.859999999999999" customWidth="1" style="79" min="31" max="16384"/>
  </cols>
  <sheetData>
    <row r="1" ht="30.75" customHeight="1" s="55">
      <c r="B1" s="82" t="inlineStr">
        <is>
          <t>Project Budget (USD)</t>
        </is>
      </c>
    </row>
    <row r="2" ht="18.75" customHeight="1" s="55">
      <c r="B2" s="83" t="inlineStr">
        <is>
          <t xml:space="preserve">Important Note: The implementation period cannot exceed 24 months - the budget timeline can be adjusted based on the actual implementation timeline. The budget must be provided in US Dollars. </t>
        </is>
      </c>
      <c r="C2" s="59" t="n"/>
      <c r="D2" s="59" t="n"/>
      <c r="E2" s="59" t="n"/>
      <c r="F2" s="57" t="n"/>
      <c r="G2" s="57" t="n"/>
      <c r="H2" s="57" t="n"/>
      <c r="I2" s="57" t="n"/>
      <c r="J2" s="57" t="n"/>
      <c r="K2" s="57" t="n"/>
      <c r="L2" s="57" t="n"/>
    </row>
    <row r="3" ht="18.75" customHeight="1" s="55">
      <c r="B3" s="83" t="inlineStr">
        <is>
          <t>Proposals with budgets in other currencies or exceeding the maximum of USD 30,000 (for the portion requested from Youth4Climate) will be disqualified.</t>
        </is>
      </c>
      <c r="C3" s="59" t="n"/>
      <c r="D3" s="59" t="n"/>
      <c r="E3" s="59" t="n"/>
      <c r="F3" s="57" t="n"/>
      <c r="G3" s="57" t="n"/>
      <c r="H3" s="57" t="n"/>
      <c r="I3" s="57" t="n"/>
      <c r="J3" s="57" t="n"/>
      <c r="K3" s="57" t="n"/>
      <c r="L3" s="57" t="n"/>
    </row>
    <row r="4" ht="18.75" customHeight="1" s="55">
      <c r="B4" s="83" t="inlineStr">
        <is>
          <t xml:space="preserve">If other sources of funding are referenced in the budget, please make sure it is clear which part of the budget would be covered by Youth4Climate and which part would be covered through co-financing. </t>
        </is>
      </c>
      <c r="C4" s="59" t="n"/>
      <c r="D4" s="59" t="n"/>
      <c r="E4" s="59" t="n"/>
      <c r="F4" s="57" t="n"/>
      <c r="G4" s="57" t="n"/>
      <c r="H4" s="57" t="n"/>
      <c r="I4" s="57" t="n"/>
      <c r="J4" s="57" t="n"/>
      <c r="K4" s="57" t="n"/>
      <c r="L4" s="57" t="n"/>
    </row>
    <row r="5" ht="18.75" customHeight="1" s="55">
      <c r="B5" s="83" t="inlineStr">
        <is>
          <t>You may be asked to provide evidence of any sources of co-funding referenced in your budget or proposal.</t>
        </is>
      </c>
      <c r="C5" s="59" t="n"/>
      <c r="D5" s="59" t="n"/>
      <c r="E5" s="59" t="n"/>
      <c r="F5" s="57" t="n"/>
      <c r="G5" s="57" t="n"/>
      <c r="H5" s="57" t="n"/>
      <c r="I5" s="57" t="n"/>
      <c r="J5" s="57" t="n"/>
      <c r="K5" s="57" t="n"/>
      <c r="L5" s="57" t="n"/>
    </row>
    <row r="6" ht="18.75" customHeight="1" s="55">
      <c r="B6" s="83" t="inlineStr">
        <is>
          <t>The proposed budget cannot be changed following submissions. All possible costs should be considered as part of the submitted budget, such as taxes and customs fees.</t>
        </is>
      </c>
      <c r="C6" s="59" t="n"/>
      <c r="D6" s="59" t="n"/>
      <c r="E6" s="59" t="n"/>
      <c r="F6" s="57" t="n"/>
      <c r="G6" s="57" t="n"/>
      <c r="H6" s="57" t="n"/>
      <c r="I6" s="57" t="n"/>
      <c r="J6" s="57" t="n"/>
      <c r="K6" s="57" t="n"/>
      <c r="L6" s="57" t="n"/>
    </row>
    <row r="7" ht="15" customHeight="1" s="55">
      <c r="B7" s="84" t="n"/>
      <c r="C7" s="85" t="n"/>
      <c r="D7" s="85" t="n"/>
      <c r="E7" s="85" t="n"/>
      <c r="F7" s="86" t="n"/>
      <c r="G7" s="86" t="n"/>
      <c r="H7" s="86" t="n"/>
      <c r="I7" s="86" t="n"/>
      <c r="J7" s="86" t="n"/>
      <c r="K7" s="86" t="n"/>
      <c r="L7" s="86" t="n"/>
      <c r="M7" s="86" t="n"/>
      <c r="N7" s="86" t="n"/>
    </row>
    <row r="8" ht="105.75" customHeight="1" s="55">
      <c r="B8" s="87" t="inlineStr">
        <is>
          <t>Outputs*</t>
        </is>
      </c>
      <c r="C8" s="88" t="inlineStr">
        <is>
          <t>Description**</t>
        </is>
      </c>
      <c r="D8" s="88" t="inlineStr">
        <is>
          <t>Cost per unit</t>
        </is>
      </c>
      <c r="E8" s="89" t="inlineStr">
        <is>
          <t>total number of units</t>
        </is>
      </c>
      <c r="F8" s="88" t="inlineStr">
        <is>
          <t>Q1 (Year 1)</t>
        </is>
      </c>
      <c r="G8" s="88" t="inlineStr">
        <is>
          <t>Q2</t>
        </is>
      </c>
      <c r="H8" s="88" t="inlineStr">
        <is>
          <t>Q3</t>
        </is>
      </c>
      <c r="I8" s="88" t="inlineStr">
        <is>
          <t>Q4</t>
        </is>
      </c>
      <c r="J8" s="88" t="inlineStr">
        <is>
          <t>Q1 (Year 2)</t>
        </is>
      </c>
      <c r="K8" s="88" t="inlineStr">
        <is>
          <t>Q2</t>
        </is>
      </c>
      <c r="L8" s="88" t="inlineStr">
        <is>
          <t>Q3</t>
        </is>
      </c>
      <c r="M8" s="88" t="inlineStr">
        <is>
          <t>Q4</t>
        </is>
      </c>
      <c r="N8" s="90" t="inlineStr">
        <is>
          <t>Total (USD)</t>
        </is>
      </c>
      <c r="O8" s="91" t="inlineStr">
        <is>
          <t>Comments - please add any necessary clarification (e.g. travel to-from etc.) For equipment please provide as exact a description for each type of item to be purchased.</t>
        </is>
      </c>
    </row>
    <row r="9" ht="60" customHeight="1" s="55">
      <c r="B9" s="92" t="inlineStr">
        <is>
          <t>OUTPUT 1
Recycling &amp; Manufacturing Line Established</t>
        </is>
      </c>
      <c r="C9" s="93" t="inlineStr">
        <is>
          <t>Project-related travel</t>
        </is>
      </c>
      <c r="D9" s="93" t="n"/>
      <c r="E9" s="93" t="n"/>
      <c r="F9" s="94" t="n">
        <v>0</v>
      </c>
      <c r="G9" s="94" t="n">
        <v>0</v>
      </c>
      <c r="H9" s="94" t="n">
        <v>0</v>
      </c>
      <c r="I9" s="94" t="n">
        <v>0</v>
      </c>
      <c r="J9" s="94" t="n">
        <v>0</v>
      </c>
      <c r="K9" s="94" t="n">
        <v>0</v>
      </c>
      <c r="L9" s="94" t="n">
        <v>0</v>
      </c>
      <c r="M9" s="94" t="n">
        <v>0</v>
      </c>
      <c r="N9" s="94">
        <f>F9+G9+H9+I9+J9+K9+L9+M9</f>
        <v/>
      </c>
      <c r="O9" s="95" t="n"/>
    </row>
    <row r="10" ht="60" customHeight="1" s="55">
      <c r="B10" s="96" t="n"/>
      <c r="C10" s="93" t="inlineStr">
        <is>
          <t>Contractual Services</t>
        </is>
      </c>
      <c r="D10" s="93" t="n"/>
      <c r="E10" s="93" t="n"/>
      <c r="F10" s="94" t="n">
        <v>0</v>
      </c>
      <c r="G10" s="94" t="n">
        <v>0</v>
      </c>
      <c r="H10" s="94" t="n">
        <v>0</v>
      </c>
      <c r="I10" s="94" t="n">
        <v>0</v>
      </c>
      <c r="J10" s="94" t="n">
        <v>0</v>
      </c>
      <c r="K10" s="94" t="n">
        <v>0</v>
      </c>
      <c r="L10" s="94" t="n">
        <v>0</v>
      </c>
      <c r="M10" s="94" t="n">
        <v>0</v>
      </c>
      <c r="N10" s="94">
        <f>F10+G10+H10+I10+J10+K10+L10+M10</f>
        <v/>
      </c>
      <c r="O10" s="95" t="n"/>
    </row>
    <row r="11" ht="60" customHeight="1" s="55">
      <c r="B11" s="96" t="n"/>
      <c r="C11" s="93" t="inlineStr">
        <is>
          <t>Staff salaries</t>
        </is>
      </c>
      <c r="D11" s="93" t="n"/>
      <c r="E11" s="93" t="n"/>
      <c r="F11" s="94" t="n">
        <v>0</v>
      </c>
      <c r="G11" s="94" t="n">
        <v>0</v>
      </c>
      <c r="H11" s="94" t="n">
        <v>0</v>
      </c>
      <c r="I11" s="94" t="n">
        <v>0</v>
      </c>
      <c r="J11" s="94" t="n">
        <v>0</v>
      </c>
      <c r="K11" s="94" t="n">
        <v>0</v>
      </c>
      <c r="L11" s="94" t="n">
        <v>0</v>
      </c>
      <c r="M11" s="94" t="n">
        <v>0</v>
      </c>
      <c r="N11" s="94">
        <f>F11+G11+H11+I11+J11+K11+L11+M11</f>
        <v/>
      </c>
      <c r="O11" s="95" t="n"/>
    </row>
    <row r="12" ht="60" customHeight="1" s="55">
      <c r="B12" s="96" t="n"/>
      <c r="C12" s="97" t="inlineStr">
        <is>
          <t>Communications &amp; Knowledge Management</t>
        </is>
      </c>
      <c r="D12" s="93" t="n"/>
      <c r="E12" s="93" t="n"/>
      <c r="F12" s="94" t="n">
        <v>0</v>
      </c>
      <c r="G12" s="94" t="n">
        <v>0</v>
      </c>
      <c r="H12" s="94" t="n">
        <v>0</v>
      </c>
      <c r="I12" s="94" t="n">
        <v>0</v>
      </c>
      <c r="J12" s="94" t="n">
        <v>0</v>
      </c>
      <c r="K12" s="94" t="n">
        <v>0</v>
      </c>
      <c r="L12" s="94" t="n">
        <v>0</v>
      </c>
      <c r="M12" s="94" t="n">
        <v>0</v>
      </c>
      <c r="N12" s="94">
        <f>F12+G12+H12+I12+J12+K12+L12+M12</f>
        <v/>
      </c>
      <c r="O12" s="95" t="n"/>
    </row>
    <row r="13" ht="60" customHeight="1" s="55">
      <c r="B13" s="96" t="n"/>
      <c r="C13" s="93" t="inlineStr">
        <is>
          <t>Equipment</t>
        </is>
      </c>
      <c r="D13" s="98" t="n">
        <v>4500</v>
      </c>
      <c r="E13" s="98" t="n">
        <v>4</v>
      </c>
      <c r="F13" s="99" t="n">
        <v>9000</v>
      </c>
      <c r="G13" s="99" t="n">
        <v>9000</v>
      </c>
      <c r="H13" s="94" t="n">
        <v>0</v>
      </c>
      <c r="I13" s="94" t="n">
        <v>0</v>
      </c>
      <c r="J13" s="94" t="n">
        <v>0</v>
      </c>
      <c r="K13" s="94" t="n">
        <v>0</v>
      </c>
      <c r="L13" s="94" t="n">
        <v>0</v>
      </c>
      <c r="M13" s="94" t="n">
        <v>0</v>
      </c>
      <c r="N13" s="94">
        <f>F13+G13+H13+I13+J13+K13+L13+M13</f>
        <v/>
      </c>
      <c r="O13" s="100" t="inlineStr">
        <is>
          <t>Four core equipment items: (1) Industrial plastic shredder (~$3,500); (2) Plastic extruder + injection moulding system (~$5,500); (3) Compression press for sheet/panel production (~$4,000); (4) Large-format 3D printer for furniture-scale recycled-plastic printing (~$5,000). Average ~$4,500 per item × 4 = $18,000. All four are core to the recycling-to-product pipeline.</t>
        </is>
      </c>
    </row>
    <row r="14" ht="60" customHeight="1" s="55">
      <c r="B14" s="96" t="n"/>
      <c r="C14" s="93" t="inlineStr">
        <is>
          <t>Local Transportation</t>
        </is>
      </c>
      <c r="D14" s="93" t="n"/>
      <c r="E14" s="93" t="n"/>
      <c r="F14" s="94" t="n">
        <v>0</v>
      </c>
      <c r="G14" s="94" t="n">
        <v>0</v>
      </c>
      <c r="H14" s="94" t="n">
        <v>0</v>
      </c>
      <c r="I14" s="94" t="n">
        <v>0</v>
      </c>
      <c r="J14" s="94" t="n">
        <v>0</v>
      </c>
      <c r="K14" s="94" t="n">
        <v>0</v>
      </c>
      <c r="L14" s="94" t="n">
        <v>0</v>
      </c>
      <c r="M14" s="94" t="n">
        <v>0</v>
      </c>
      <c r="N14" s="94">
        <f>F14+G14+H14+I14+J14+K14+L14+M14</f>
        <v/>
      </c>
      <c r="O14" s="95" t="n"/>
    </row>
    <row r="15" ht="60" customHeight="1" s="55">
      <c r="B15" s="96" t="n"/>
      <c r="C15" s="93" t="inlineStr">
        <is>
          <t>Shipping Costs</t>
        </is>
      </c>
      <c r="D15" s="93" t="n"/>
      <c r="E15" s="93" t="n"/>
      <c r="F15" s="99" t="n">
        <v>500</v>
      </c>
      <c r="G15" s="99" t="n">
        <v>500</v>
      </c>
      <c r="H15" s="94" t="n">
        <v>0</v>
      </c>
      <c r="I15" s="94" t="n">
        <v>0</v>
      </c>
      <c r="J15" s="94" t="n">
        <v>0</v>
      </c>
      <c r="K15" s="94" t="n">
        <v>0</v>
      </c>
      <c r="L15" s="94" t="n">
        <v>0</v>
      </c>
      <c r="M15" s="94" t="n">
        <v>0</v>
      </c>
      <c r="N15" s="94">
        <f>F15+G15+H15+I15+J15+K15+L15+M15</f>
        <v/>
      </c>
      <c r="O15" s="100" t="inlineStr">
        <is>
          <t>International freight, customs clearance, and last-mile delivery for imported recycling equipment.</t>
        </is>
      </c>
    </row>
    <row r="16" ht="60" customHeight="1" s="55">
      <c r="B16" s="96" t="n"/>
      <c r="C16" s="93" t="inlineStr">
        <is>
          <t>Rental costs</t>
        </is>
      </c>
      <c r="D16" s="93" t="n"/>
      <c r="E16" s="93" t="n"/>
      <c r="F16" s="94" t="n">
        <v>0</v>
      </c>
      <c r="G16" s="94" t="n">
        <v>0</v>
      </c>
      <c r="H16" s="94" t="n">
        <v>0</v>
      </c>
      <c r="I16" s="94" t="n">
        <v>0</v>
      </c>
      <c r="J16" s="94" t="n">
        <v>0</v>
      </c>
      <c r="K16" s="94" t="n">
        <v>0</v>
      </c>
      <c r="L16" s="94" t="n">
        <v>0</v>
      </c>
      <c r="M16" s="94" t="n">
        <v>0</v>
      </c>
      <c r="N16" s="94">
        <f>F16+G16+H16+I16+J16+K16+L16+M16</f>
        <v/>
      </c>
      <c r="O16" s="95" t="n"/>
    </row>
    <row r="17" ht="60" customHeight="1" s="55">
      <c r="B17" s="96" t="n"/>
      <c r="C17" s="98" t="inlineStr">
        <is>
          <t>Other: Infrastructure &amp; Installation</t>
        </is>
      </c>
      <c r="D17" s="101" t="n"/>
      <c r="E17" s="101" t="n"/>
      <c r="F17" s="94" t="n">
        <v>0</v>
      </c>
      <c r="G17" s="99" t="n">
        <v>3000</v>
      </c>
      <c r="H17" s="94" t="n">
        <v>0</v>
      </c>
      <c r="I17" s="94" t="n">
        <v>0</v>
      </c>
      <c r="J17" s="94" t="n">
        <v>0</v>
      </c>
      <c r="K17" s="94" t="n">
        <v>0</v>
      </c>
      <c r="L17" s="94" t="n">
        <v>0</v>
      </c>
      <c r="M17" s="94" t="n">
        <v>0</v>
      </c>
      <c r="N17" s="94">
        <f>F17+G17+H17+I17+J17+K17+L17+M17</f>
        <v/>
      </c>
      <c r="O17" s="100" t="inlineStr">
        <is>
          <t>Electrical setup (3-phase wiring for industrial machines), industrial ventilation system, fire-safety equipment, material handling racks, sorting station, PPE for the team. One-time setup during equipment installation phase.</t>
        </is>
      </c>
    </row>
    <row r="18" ht="60" customHeight="1" s="55">
      <c r="B18" s="102" t="n"/>
      <c r="C18" s="93" t="n"/>
      <c r="D18" s="93" t="n"/>
      <c r="E18" s="93" t="n"/>
      <c r="F18" s="94" t="n"/>
      <c r="G18" s="94" t="n"/>
      <c r="H18" s="94" t="n"/>
      <c r="I18" s="94" t="n"/>
      <c r="J18" s="94" t="n"/>
      <c r="K18" s="94" t="n"/>
      <c r="L18" s="94" t="n"/>
      <c r="M18" s="94" t="n"/>
      <c r="N18" s="94" t="n"/>
      <c r="O18" s="95" t="n"/>
    </row>
    <row r="19" ht="60" customHeight="1" s="55">
      <c r="B19" s="103" t="inlineStr">
        <is>
          <t>TOTALS OUTPUT 1</t>
        </is>
      </c>
      <c r="C19" s="104" t="n"/>
      <c r="D19" s="104" t="n"/>
      <c r="E19" s="104" t="n"/>
      <c r="F19" s="105">
        <f>SUM(F9:F18)</f>
        <v/>
      </c>
      <c r="G19" s="105">
        <f>SUM(G9:G18)</f>
        <v/>
      </c>
      <c r="H19" s="105">
        <f>SUM(H9:H18)</f>
        <v/>
      </c>
      <c r="I19" s="105">
        <f>SUM(I9:I18)</f>
        <v/>
      </c>
      <c r="J19" s="105">
        <f>SUM(J9:J18)</f>
        <v/>
      </c>
      <c r="K19" s="105">
        <f>SUM(K9:K18)</f>
        <v/>
      </c>
      <c r="L19" s="105">
        <f>SUM(L9:L18)</f>
        <v/>
      </c>
      <c r="M19" s="105">
        <f>SUM(M9:M18)</f>
        <v/>
      </c>
      <c r="N19" s="105">
        <f>SUM(N9:N18)</f>
        <v/>
      </c>
      <c r="O19" s="106" t="n"/>
    </row>
    <row r="20" ht="60" customHeight="1" s="55">
      <c r="B20" s="92" t="inlineStr">
        <is>
          <t>OUTPUT 2
Youth Training, Operations &amp; Community Engagement</t>
        </is>
      </c>
      <c r="C20" s="93" t="inlineStr">
        <is>
          <t>Project-related travel</t>
        </is>
      </c>
      <c r="D20" s="93" t="n"/>
      <c r="E20" s="93" t="n"/>
      <c r="F20" s="107" t="n">
        <v>100</v>
      </c>
      <c r="G20" s="107" t="n">
        <v>100</v>
      </c>
      <c r="H20" s="107" t="n">
        <v>100</v>
      </c>
      <c r="I20" s="107" t="n">
        <v>100</v>
      </c>
      <c r="J20" s="107" t="n">
        <v>100</v>
      </c>
      <c r="K20" s="94" t="n">
        <v>0</v>
      </c>
      <c r="L20" s="94" t="n">
        <v>0</v>
      </c>
      <c r="M20" s="94" t="n">
        <v>0</v>
      </c>
      <c r="N20" s="94">
        <f>F20+G20+H20+I20+J20+K20+L20+M20</f>
        <v/>
      </c>
      <c r="O20" s="100" t="inlineStr">
        <is>
          <t>Travel within Iraq for partnership meetings (Basrah Municipality, peer workshops in Baghdad/Mosul for replication learning).</t>
        </is>
      </c>
    </row>
    <row r="21" ht="60" customHeight="1" s="55">
      <c r="B21" s="96" t="n"/>
      <c r="C21" s="93" t="inlineStr">
        <is>
          <t>Contractual Services</t>
        </is>
      </c>
      <c r="D21" s="93" t="n"/>
      <c r="E21" s="93" t="n"/>
      <c r="F21" s="94" t="n">
        <v>0</v>
      </c>
      <c r="G21" s="99" t="n">
        <v>500</v>
      </c>
      <c r="H21" s="99" t="n">
        <v>500</v>
      </c>
      <c r="I21" s="94" t="n">
        <v>0</v>
      </c>
      <c r="J21" s="94" t="n">
        <v>0</v>
      </c>
      <c r="K21" s="94" t="n">
        <v>0</v>
      </c>
      <c r="L21" s="94" t="n">
        <v>0</v>
      </c>
      <c r="M21" s="94" t="n">
        <v>0</v>
      </c>
      <c r="N21" s="94">
        <f>F21+G21+H21+I21+J21+K21+L21+M21</f>
        <v/>
      </c>
      <c r="O21" s="100" t="inlineStr">
        <is>
          <t>Specialized short-term consulting on plastic recycling processes, material grading, and product safety standards.</t>
        </is>
      </c>
    </row>
    <row r="22" ht="60" customHeight="1" s="55">
      <c r="B22" s="96" t="n"/>
      <c r="C22" s="93" t="inlineStr">
        <is>
          <t>Staff salaries</t>
        </is>
      </c>
      <c r="D22" s="93" t="n"/>
      <c r="E22" s="93" t="n"/>
      <c r="F22" s="94" t="n">
        <v>0</v>
      </c>
      <c r="G22" s="107" t="n">
        <v>500</v>
      </c>
      <c r="H22" s="107" t="n">
        <v>500</v>
      </c>
      <c r="I22" s="107" t="n">
        <v>500</v>
      </c>
      <c r="J22" s="107" t="n">
        <v>500</v>
      </c>
      <c r="K22" s="107" t="n">
        <v>500</v>
      </c>
      <c r="L22" s="107" t="n">
        <v>500</v>
      </c>
      <c r="M22" s="107" t="n">
        <v>500</v>
      </c>
      <c r="N22" s="94">
        <f>F22+G22+H22+I22+J22+K22+L22+M22</f>
        <v/>
      </c>
      <c r="O22" s="100" t="inlineStr">
        <is>
          <t>Stipend for 3–4 youth team members (recycling-line operators, 3D modeller/operator, design assistant). Modest stipend top-up — workshop already covers main operating costs from existing revenue, so this grant support helps the youth team during ramp-up without making them grant-dependent.</t>
        </is>
      </c>
    </row>
    <row r="23" ht="60" customHeight="1" s="55">
      <c r="B23" s="96" t="n"/>
      <c r="C23" s="97" t="inlineStr">
        <is>
          <t>Communications &amp; Knowledge Management</t>
        </is>
      </c>
      <c r="D23" s="93" t="n"/>
      <c r="E23" s="93" t="n"/>
      <c r="F23" s="107" t="n">
        <v>250</v>
      </c>
      <c r="G23" s="107" t="n">
        <v>300</v>
      </c>
      <c r="H23" s="107" t="n">
        <v>350</v>
      </c>
      <c r="I23" s="107" t="n">
        <v>300</v>
      </c>
      <c r="J23" s="107" t="n">
        <v>250</v>
      </c>
      <c r="K23" s="107" t="n">
        <v>200</v>
      </c>
      <c r="L23" s="107" t="n">
        <v>200</v>
      </c>
      <c r="M23" s="107" t="n">
        <v>150</v>
      </c>
      <c r="N23" s="94">
        <f>F23+G23+H23+I23+J23+K23+L23+M23</f>
        <v/>
      </c>
      <c r="O23" s="100" t="inlineStr">
        <is>
          <t>Awareness materials (posters, signage at collection points), social media content production (Instagram/TikTok/Facebook), school visit materials, photography/video documentation of process and products, annual public impact report (Arabic + English), open documentation for replication.</t>
        </is>
      </c>
    </row>
    <row r="24" ht="60" customHeight="1" s="55">
      <c r="B24" s="96" t="n"/>
      <c r="C24" s="93" t="inlineStr">
        <is>
          <t>Equipment</t>
        </is>
      </c>
      <c r="D24" s="93" t="n"/>
      <c r="E24" s="93" t="n"/>
      <c r="F24" s="94" t="n">
        <v>0</v>
      </c>
      <c r="G24" s="94" t="n">
        <v>0</v>
      </c>
      <c r="H24" s="94" t="n">
        <v>0</v>
      </c>
      <c r="I24" s="94" t="n">
        <v>0</v>
      </c>
      <c r="J24" s="94" t="n">
        <v>0</v>
      </c>
      <c r="K24" s="94" t="n">
        <v>0</v>
      </c>
      <c r="L24" s="94" t="n">
        <v>0</v>
      </c>
      <c r="M24" s="94" t="n">
        <v>0</v>
      </c>
      <c r="N24" s="94">
        <f>F24+G24+H24+I24+J24+K24+L24+M24</f>
        <v/>
      </c>
      <c r="O24" s="95" t="n"/>
    </row>
    <row r="25" ht="60" customHeight="1" s="55">
      <c r="B25" s="96" t="n"/>
      <c r="C25" s="93" t="inlineStr">
        <is>
          <t>Local Transportation</t>
        </is>
      </c>
      <c r="D25" s="93" t="n"/>
      <c r="E25" s="93" t="n"/>
      <c r="F25" s="94" t="n">
        <v>0</v>
      </c>
      <c r="G25" s="94" t="n">
        <v>0</v>
      </c>
      <c r="H25" s="107" t="n">
        <v>100</v>
      </c>
      <c r="I25" s="107" t="n">
        <v>100</v>
      </c>
      <c r="J25" s="107" t="n">
        <v>100</v>
      </c>
      <c r="K25" s="107" t="n">
        <v>100</v>
      </c>
      <c r="L25" s="107" t="n">
        <v>50</v>
      </c>
      <c r="M25" s="107" t="n">
        <v>50</v>
      </c>
      <c r="N25" s="94">
        <f>F25+G25+H25+I25+J25+K25+L25+M25</f>
        <v/>
      </c>
      <c r="O25" s="100" t="inlineStr">
        <is>
          <t>Plastic collection logistics within Basrah — pickups from collection points, deliveries from waste collectors, finished-product deliveries to early customers.</t>
        </is>
      </c>
    </row>
    <row r="26" ht="60" customHeight="1" s="55">
      <c r="B26" s="96" t="n"/>
      <c r="C26" s="93" t="inlineStr">
        <is>
          <t>Shipping Costs</t>
        </is>
      </c>
      <c r="D26" s="93" t="n"/>
      <c r="E26" s="93" t="n"/>
      <c r="F26" s="94" t="n">
        <v>0</v>
      </c>
      <c r="G26" s="94" t="n">
        <v>0</v>
      </c>
      <c r="H26" s="94" t="n">
        <v>0</v>
      </c>
      <c r="I26" s="94" t="n">
        <v>0</v>
      </c>
      <c r="J26" s="94" t="n">
        <v>0</v>
      </c>
      <c r="K26" s="94" t="n">
        <v>0</v>
      </c>
      <c r="L26" s="94" t="n">
        <v>0</v>
      </c>
      <c r="M26" s="94" t="n">
        <v>0</v>
      </c>
      <c r="N26" s="94">
        <f>F26+G26+H26+I26+J26+K26+L26+M26</f>
        <v/>
      </c>
      <c r="O26" s="95" t="n"/>
    </row>
    <row r="27" ht="60" customHeight="1" s="55">
      <c r="B27" s="96" t="n"/>
      <c r="C27" s="93" t="inlineStr">
        <is>
          <t>Rental costs</t>
        </is>
      </c>
      <c r="D27" s="93" t="n"/>
      <c r="E27" s="93" t="n"/>
      <c r="F27" s="94" t="n">
        <v>0</v>
      </c>
      <c r="G27" s="94" t="n">
        <v>0</v>
      </c>
      <c r="H27" s="94" t="n">
        <v>0</v>
      </c>
      <c r="I27" s="94" t="n">
        <v>0</v>
      </c>
      <c r="J27" s="94" t="n">
        <v>0</v>
      </c>
      <c r="K27" s="94" t="n">
        <v>0</v>
      </c>
      <c r="L27" s="94" t="n">
        <v>0</v>
      </c>
      <c r="M27" s="94" t="n">
        <v>0</v>
      </c>
      <c r="N27" s="94">
        <f>F27+G27+H27+I27+J27+K27+L27+M27</f>
        <v/>
      </c>
      <c r="O27" s="95" t="n"/>
    </row>
    <row r="28" ht="60" customHeight="1" s="55">
      <c r="B28" s="96" t="n"/>
      <c r="C28" s="98" t="inlineStr">
        <is>
          <t>Other: Consumables &amp; Spare Parts</t>
        </is>
      </c>
      <c r="D28" s="101" t="n"/>
      <c r="E28" s="101" t="n"/>
      <c r="F28" s="94" t="n">
        <v>0</v>
      </c>
      <c r="G28" s="94" t="n">
        <v>0</v>
      </c>
      <c r="H28" s="107" t="n">
        <v>100</v>
      </c>
      <c r="I28" s="107" t="n">
        <v>100</v>
      </c>
      <c r="J28" s="107" t="n">
        <v>100</v>
      </c>
      <c r="K28" s="107" t="n">
        <v>100</v>
      </c>
      <c r="L28" s="107" t="n">
        <v>100</v>
      </c>
      <c r="M28" s="94" t="n">
        <v>0</v>
      </c>
      <c r="N28" s="94">
        <f>F28+G28+H28+I28+J28+K28+L28+M28</f>
        <v/>
      </c>
      <c r="O28" s="100" t="inlineStr">
        <is>
          <t>Cleaning agents, water-capture filters, shredder blades and screens, 3D printer nozzles, lubricants, basic spare parts. Most major parts can be fabricated in-house using existing CNC/laser/3D-printing capability.</t>
        </is>
      </c>
    </row>
    <row r="29" ht="15.75" customHeight="1" s="55">
      <c r="B29" s="102" t="n"/>
      <c r="C29" s="93" t="n"/>
      <c r="D29" s="93" t="n"/>
      <c r="E29" s="93" t="n"/>
      <c r="F29" s="94" t="n"/>
      <c r="G29" s="94" t="n"/>
      <c r="H29" s="94" t="n"/>
      <c r="I29" s="94" t="n"/>
      <c r="J29" s="94" t="n"/>
      <c r="K29" s="94" t="n"/>
      <c r="L29" s="94" t="n"/>
      <c r="M29" s="94" t="n"/>
      <c r="N29" s="94" t="n"/>
    </row>
    <row r="30" ht="15.75" customHeight="1" s="55">
      <c r="B30" s="108" t="inlineStr">
        <is>
          <t>TOTALS OUTPUT 2</t>
        </is>
      </c>
      <c r="C30" s="109" t="n"/>
      <c r="D30" s="110" t="n"/>
      <c r="E30" s="110" t="n"/>
      <c r="F30" s="111">
        <f>SUM(F20:F28)</f>
        <v/>
      </c>
      <c r="G30" s="111">
        <f>SUM(G20:G28)</f>
        <v/>
      </c>
      <c r="H30" s="111">
        <f>SUM(H20:H28)</f>
        <v/>
      </c>
      <c r="I30" s="111">
        <f>SUM(I20:I28)</f>
        <v/>
      </c>
      <c r="J30" s="111">
        <f>SUM(J20:J28)</f>
        <v/>
      </c>
      <c r="K30" s="111">
        <f>SUM(K20:K28)</f>
        <v/>
      </c>
      <c r="L30" s="111">
        <f>SUM(L20:L28)</f>
        <v/>
      </c>
      <c r="M30" s="111">
        <f>SUM(M20:M28)</f>
        <v/>
      </c>
      <c r="N30" s="111">
        <f>SUM(N20:N28)</f>
        <v/>
      </c>
    </row>
    <row r="31" ht="15.75" customHeight="1" s="55">
      <c r="B31" s="112" t="n"/>
      <c r="C31" s="93" t="n"/>
      <c r="D31" s="93" t="n"/>
      <c r="E31" s="93" t="n"/>
      <c r="F31" s="94" t="n"/>
      <c r="G31" s="94" t="n"/>
      <c r="H31" s="94" t="n"/>
      <c r="I31" s="94" t="n"/>
      <c r="J31" s="94" t="n"/>
      <c r="K31" s="94" t="n"/>
      <c r="L31" s="94" t="n"/>
      <c r="M31" s="94" t="n"/>
      <c r="N31" s="94" t="n"/>
    </row>
    <row r="32" ht="15.75" customHeight="1" s="55">
      <c r="B32" s="112" t="n"/>
      <c r="C32" s="93" t="n"/>
      <c r="D32" s="93" t="n"/>
      <c r="E32" s="93" t="n"/>
      <c r="F32" s="94" t="n"/>
      <c r="G32" s="94" t="n"/>
      <c r="H32" s="94" t="n"/>
      <c r="I32" s="94" t="n"/>
      <c r="J32" s="94" t="n"/>
      <c r="K32" s="94" t="n"/>
      <c r="L32" s="94" t="n"/>
      <c r="M32" s="94" t="n"/>
      <c r="N32" s="94" t="n"/>
    </row>
    <row r="33" ht="15.75" customHeight="1" s="55">
      <c r="B33" s="112" t="n"/>
      <c r="C33" s="93" t="n"/>
      <c r="D33" s="93" t="n"/>
      <c r="E33" s="93" t="n"/>
      <c r="F33" s="94" t="n"/>
      <c r="G33" s="94" t="n"/>
      <c r="H33" s="94" t="n"/>
      <c r="I33" s="94" t="n"/>
      <c r="J33" s="94" t="n"/>
      <c r="K33" s="94" t="n"/>
      <c r="L33" s="94" t="n"/>
      <c r="M33" s="94" t="n"/>
      <c r="N33" s="94" t="n"/>
    </row>
    <row r="34" ht="15.75" customHeight="1" s="55">
      <c r="B34" s="108" t="inlineStr">
        <is>
          <t>GRAND TOTALS (USD)</t>
        </is>
      </c>
      <c r="C34" s="109" t="n"/>
      <c r="D34" s="110" t="n"/>
      <c r="E34" s="110" t="n"/>
      <c r="F34" s="111">
        <f>SUM(F19+F30)</f>
        <v/>
      </c>
      <c r="G34" s="111">
        <f>SUM(G19+G30)</f>
        <v/>
      </c>
      <c r="H34" s="111">
        <f>SUM(H19+H30)</f>
        <v/>
      </c>
      <c r="I34" s="111">
        <f>SUM(I19+I30)</f>
        <v/>
      </c>
      <c r="J34" s="111">
        <f>SUM(J19+J30)</f>
        <v/>
      </c>
      <c r="K34" s="111">
        <f>SUM(K19+K30)</f>
        <v/>
      </c>
      <c r="L34" s="111">
        <f>SUM(L19+L30)</f>
        <v/>
      </c>
      <c r="M34" s="111">
        <f>SUM(M19+M30)</f>
        <v/>
      </c>
      <c r="N34" s="111">
        <f>SUM(F34:M34)</f>
        <v/>
      </c>
    </row>
    <row r="36" ht="92.25" customHeight="1" s="55">
      <c r="B36" s="113" t="inlineStr">
        <is>
          <t>*Please add Outputs as appropriate in line with your proposal</t>
        </is>
      </c>
      <c r="C36" s="114" t="inlineStr">
        <is>
          <t>** Please use , modify or add fields as appropriate, if field is not needed, please delete. Note that the following types of expenditures will not be considered eligible:</t>
        </is>
      </c>
      <c r="D36" s="115" t="n"/>
      <c r="E36" s="115" t="n"/>
    </row>
    <row r="37" ht="15" customHeight="1" s="55">
      <c r="C37" s="116" t="inlineStr">
        <is>
          <t xml:space="preserve">Overhead costs not directly related to the implementation of the project; </t>
        </is>
      </c>
      <c r="D37" s="59" t="n"/>
      <c r="E37" s="59" t="n"/>
      <c r="F37" s="57" t="n"/>
      <c r="G37" s="57" t="n"/>
    </row>
    <row r="38" ht="15" customHeight="1" s="55">
      <c r="C38" s="116" t="inlineStr">
        <is>
          <t xml:space="preserve">Interest or debt owed to any third party; </t>
        </is>
      </c>
      <c r="D38" s="59" t="n"/>
      <c r="E38" s="59" t="n"/>
      <c r="F38" s="57" t="n"/>
      <c r="G38" s="57" t="n"/>
    </row>
    <row r="39" ht="15" customHeight="1" s="55">
      <c r="C39" s="116" t="inlineStr">
        <is>
          <t xml:space="preserve">Expenditures and provisions for possible future losses or debts; </t>
        </is>
      </c>
      <c r="D39" s="59" t="n"/>
      <c r="E39" s="59" t="n"/>
      <c r="F39" s="57" t="n"/>
      <c r="G39" s="57" t="n"/>
    </row>
    <row r="40" ht="15" customHeight="1" s="55">
      <c r="C40" s="116" t="inlineStr">
        <is>
          <t xml:space="preserve">Items already financed through another similar scheme, program or institution, financial awards; </t>
        </is>
      </c>
      <c r="D40" s="59" t="n"/>
      <c r="E40" s="59" t="n"/>
      <c r="F40" s="57" t="n"/>
      <c r="G40" s="57" t="n"/>
    </row>
    <row r="41" ht="15" customHeight="1" s="55">
      <c r="C41" s="116" t="inlineStr">
        <is>
          <t>Bank and currency exchange expenses, losses, fees and penalties.</t>
        </is>
      </c>
      <c r="D41" s="59" t="n"/>
      <c r="E41" s="59" t="n"/>
      <c r="F41" s="57" t="n"/>
      <c r="G41" s="57" t="n"/>
    </row>
    <row r="42" ht="15" customHeight="1" s="55">
      <c r="C42" s="116" t="n"/>
      <c r="D42" s="59" t="n"/>
      <c r="E42" s="59" t="n"/>
      <c r="F42" s="57" t="n"/>
      <c r="G42" s="57" t="n"/>
    </row>
    <row r="43" ht="15" customHeight="1" s="55">
      <c r="C43" s="117" t="n"/>
    </row>
    <row r="44" ht="15" customHeight="1" s="55">
      <c r="C44" s="117" t="n"/>
    </row>
    <row r="45" ht="15" customHeight="1" s="55">
      <c r="C45" s="117" t="n"/>
    </row>
    <row r="46" ht="15" customHeight="1" s="55">
      <c r="C46" s="117" t="n"/>
    </row>
    <row r="47" ht="15" customHeight="1" s="55">
      <c r="C47" s="117" t="n"/>
    </row>
  </sheetData>
  <mergeCells count="5">
    <mergeCell ref="B30:C30"/>
    <mergeCell ref="B1:N1"/>
    <mergeCell ref="B9:B18"/>
    <mergeCell ref="B34:C34"/>
    <mergeCell ref="B20:B29"/>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B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1" activeCellId="0" sqref="A21"/>
    </sheetView>
  </sheetViews>
  <sheetFormatPr baseColWidth="8" defaultColWidth="8.859375" defaultRowHeight="15" zeroHeight="0" outlineLevelRow="0"/>
  <cols>
    <col width="26.42" customWidth="1" style="54" min="1" max="1"/>
    <col width="59.29" customWidth="1" style="54" min="2" max="2"/>
  </cols>
  <sheetData>
    <row r="1" ht="15" customHeight="1" s="55">
      <c r="A1" s="118" t="n"/>
      <c r="B1" s="118" t="n"/>
    </row>
    <row r="2" ht="15" customHeight="1" s="55">
      <c r="A2" s="118" t="n"/>
      <c r="B2" s="118" t="n"/>
    </row>
    <row r="3" ht="15.75" customHeight="1" s="55">
      <c r="A3" s="119" t="inlineStr">
        <is>
          <t>Home-based Expertise</t>
        </is>
      </c>
      <c r="B3" s="118" t="n"/>
    </row>
    <row r="4" ht="15" customHeight="1" s="55">
      <c r="A4" s="118" t="inlineStr">
        <is>
          <t>Yes</t>
        </is>
      </c>
      <c r="B4" s="118" t="n"/>
    </row>
    <row r="5" ht="15" customHeight="1" s="55">
      <c r="A5" s="118" t="inlineStr">
        <is>
          <t>Mostly</t>
        </is>
      </c>
      <c r="B5" s="118" t="n"/>
    </row>
    <row r="6" ht="15" customHeight="1" s="55">
      <c r="A6" s="118" t="inlineStr">
        <is>
          <t>No</t>
        </is>
      </c>
      <c r="B6" s="118" t="n"/>
    </row>
    <row r="7" ht="15" customHeight="1" s="55">
      <c r="A7" s="120" t="n"/>
      <c r="B7" s="118" t="n"/>
    </row>
    <row r="8" ht="15" customHeight="1" s="55">
      <c r="A8" s="118" t="n"/>
      <c r="B8" s="118" t="n"/>
    </row>
    <row r="9" ht="15" customHeight="1" s="55">
      <c r="A9" s="118" t="n"/>
      <c r="B9" s="118" t="n"/>
    </row>
    <row r="10" ht="15" customHeight="1" s="55">
      <c r="A10" s="118"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Allison Towle</dc:creator>
  <dc:language xmlns:dc="http://purl.org/dc/elements/1.1/">en-US</dc:language>
  <dcterms:created xmlns:dcterms="http://purl.org/dc/terms/" xmlns:xsi="http://www.w3.org/2001/XMLSchema-instance" xsi:type="dcterms:W3CDTF">2019-11-08T19:44:55Z</dcterms:created>
  <dcterms:modified xmlns:dcterms="http://purl.org/dc/terms/" xmlns:xsi="http://www.w3.org/2001/XMLSchema-instance" xsi:type="dcterms:W3CDTF">2026-04-29T16:58:01Z</dcterms:modified>
  <cp:lastModifiedBy>Roxani Roushas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0x0101002B74FC62178A4C40BB155D4CAAF60BC6</vt:lpwstr>
  </property>
  <property name="MediaServiceImageTags" fmtid="{D5CDD505-2E9C-101B-9397-08002B2CF9AE}" pid="3">
    <vt:lpwstr xmlns:vt="http://schemas.openxmlformats.org/officeDocument/2006/docPropsVTypes"/>
  </property>
</Properties>
</file>