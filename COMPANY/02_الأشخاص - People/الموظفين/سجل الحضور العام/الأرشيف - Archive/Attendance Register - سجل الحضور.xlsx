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الرواتب" sheetId="1" r:id="rId5"/>
    <sheet state="hidden" name="Sheet10" sheetId="2" r:id="rId6"/>
    <sheet state="hidden" name="Sheet9" sheetId="3" r:id="rId7"/>
    <sheet state="hidden" name="Sheet11" sheetId="4" r:id="rId8"/>
    <sheet state="hidden" name="جدول الخصومات " sheetId="5" r:id="rId9"/>
    <sheet state="hidden" name="Sheet13" sheetId="6" r:id="rId10"/>
    <sheet state="visible" name="الحظور" sheetId="7" r:id="rId11"/>
    <sheet state="visible" name="salary calculations" sheetId="8" r:id="rId12"/>
    <sheet state="visible" name="رواتب شهر السابع" sheetId="9" r:id="rId13"/>
    <sheet state="visible" name="رواتب شهر السادس" sheetId="10" r:id="rId14"/>
    <sheet state="visible" name="السلف و الغرامات" sheetId="11" r:id="rId15"/>
    <sheet state="visible" name="٧ السلف و الغرامات" sheetId="12" r:id="rId16"/>
    <sheet state="visible" name="الحضور 1" sheetId="13" r:id="rId17"/>
    <sheet state="visible" name="رواتب جديد" sheetId="14" r:id="rId1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tc={45c17137-aede-496c-9bb7-14794a5b5bb1}</author>
    <author>tc={49dbdb25-f415-499d-bf0d-af3571f8774b}</author>
    <author>tc={4a159546-c564-4c45-a713-79e4f56dc988}</author>
    <author>tc={c7c6f38a-915a-44e5-98bb-6ea76e1a3d62}</author>
    <author>tc={d506eb9b-ac37-4652-ae7e-cdb4b3fddff5}</author>
    <author>tc={e1d332c9-31f1-45f9-8b30-2e93acf69940}</author>
    <author>tc={e4e6cac7-2c65-4fba-aaa6-064ec0c3c5af}</author>
    <author>tc={f71a4284-59a1-4a46-bebb-d9cf943fe77c}</author>
    <author>tc={fc2f01dc-5ef3-46ae-8413-098c0640e757}</author>
  </authors>
  <commentList>
    <comment authorId="0" xr:uid="{45c17137-aede-496c-9bb7-14794a5b5b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عقوبة مزدوجة غياب يومين
</t>
      </text>
    </comment>
    <comment authorId="1" xr:uid="{49dbdb25-f415-499d-bf0d-af3571f8774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 ينة 4 ملم
</t>
      </text>
    </comment>
    <comment authorId="2" xr:uid="{4a159546-c564-4c45-a713-79e4f56dc98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سلفة
</t>
      </text>
    </comment>
    <comment authorId="3" xr:uid="{c7c6f38a-915a-44e5-98bb-6ea76e1a3d62}" ref="I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جاي بس ما باصم
</t>
      </text>
    </comment>
    <comment authorId="4" xr:uid="{d506eb9b-ac37-4652-ae7e-cdb4b3fddff5}" ref="JJ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خصم 12
</t>
      </text>
    </comment>
    <comment authorId="5" xr:uid="{e1d332c9-31f1-45f9-8b30-2e93acf6994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برينة 4 ملم
</t>
      </text>
    </comment>
    <comment authorId="6" xr:uid="{e4e6cac7-2c65-4fba-aaa6-064ec0c3c5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بوكس خطأ و تم الرفض
</t>
      </text>
    </comment>
    <comment authorId="7" xr:uid="{f71a4284-59a1-4a46-bebb-d9cf943fe77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برينة 4 ملم و عدم اطفاء المكينة
</t>
      </text>
    </comment>
    <comment authorId="8" xr:uid="{fc2f01dc-5ef3-46ae-8413-098c0640e7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برينة 4 ملم عدم اطفاء المكينة
Reply:
	Marked as resolved
Reply:
	Re-opened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tc={0e6325a0-360d-456f-bba8-2c2b6866cd9a}</author>
    <author>tc={276b6b1f-ad64-4674-b8cb-f7cf8c78b3e6}</author>
    <author>tc={38abf503-5f09-4ba2-b8b0-3245a0d0154a}</author>
    <author>tc={3908e5c0-df3f-4cdb-8656-7729076d823d}</author>
    <author>tc={71b3afd3-62ef-45a2-8f8b-f0627082a12f}</author>
    <author>tc={bb73c614-b548-4aef-8506-8c6fb155f697}</author>
    <author>tc={bb865a29-c78f-482f-a5c0-129bb1a55eda}</author>
    <author>tc={d3e5fe75-86c2-4d11-879b-9f4439a4f9d2}</author>
  </authors>
  <commentList>
    <comment authorId="0" xr:uid="{0e6325a0-360d-456f-bba8-2c2b6866cd9a}" ref="BY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
</t>
      </text>
    </comment>
    <comment authorId="1" xr:uid="{276b6b1f-ad64-4674-b8cb-f7cf8c78b3e6}" ref="E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خصم قيمة 20 ساعه اي يومام
</t>
      </text>
    </comment>
    <comment authorId="2" xr:uid="{38abf503-5f09-4ba2-b8b0-3245a0d0154a}" ref="Y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برينه
</t>
      </text>
    </comment>
    <comment authorId="3" xr:uid="{3908e5c0-df3f-4cdb-8656-7729076d823d}" ref="BY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
</t>
      </text>
    </comment>
    <comment authorId="4" xr:uid="{71b3afd3-62ef-45a2-8f8b-f0627082a12f}" ref="BY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
</t>
      </text>
    </comment>
    <comment authorId="5" xr:uid="{bb73c614-b548-4aef-8506-8c6fb155f697}" ref="E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 بدون سبب
</t>
      </text>
    </comment>
    <comment authorId="6" xr:uid="{bb865a29-c78f-482f-a5c0-129bb1a55eda}" ref="E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غياب بدون سييي
</t>
      </text>
    </comment>
    <comment authorId="7" xr:uid="{d3e5fe75-86c2-4d11-879b-9f4439a4f9d2}" ref="F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سلفة
</t>
      </text>
    </comment>
  </commentList>
</comments>
</file>

<file path=xl/sharedStrings.xml><?xml version="1.0" encoding="utf-8"?>
<sst xmlns="http://schemas.openxmlformats.org/spreadsheetml/2006/main" count="834" uniqueCount="92">
  <si>
    <t>الرواتب</t>
  </si>
  <si>
    <t>الموظف</t>
  </si>
  <si>
    <t>الراتب الأسمي بالساعات</t>
  </si>
  <si>
    <t>الراتب الأسمي</t>
  </si>
  <si>
    <t>الساعات الاضافيه</t>
  </si>
  <si>
    <t>الحوافز</t>
  </si>
  <si>
    <t xml:space="preserve">القطوعات </t>
  </si>
  <si>
    <t>المستلم</t>
  </si>
  <si>
    <t>الأجمالي</t>
  </si>
  <si>
    <t>يوسف يعقوب</t>
  </si>
  <si>
    <t>يونس يعقوب</t>
  </si>
  <si>
    <t>منتظر عبد الكريم</t>
  </si>
  <si>
    <t>حيدر الصباغ</t>
  </si>
  <si>
    <t xml:space="preserve">حيدر الكهربائي </t>
  </si>
  <si>
    <t>علي الكهربائي</t>
  </si>
  <si>
    <t>اسماعيل</t>
  </si>
  <si>
    <t>علي هادي</t>
  </si>
  <si>
    <t>نبيل</t>
  </si>
  <si>
    <t>حسين</t>
  </si>
  <si>
    <t>محمد</t>
  </si>
  <si>
    <t>محمد السوري</t>
  </si>
  <si>
    <t>عبد الرضا عقيل</t>
  </si>
  <si>
    <t>سجاد</t>
  </si>
  <si>
    <t>معتصم</t>
  </si>
  <si>
    <t>عبدالله الصباغ</t>
  </si>
  <si>
    <t>علي جزيره</t>
  </si>
  <si>
    <t>اشرف الادقاني</t>
  </si>
  <si>
    <t>التكرار</t>
  </si>
  <si>
    <t>قيمة الخصم</t>
  </si>
  <si>
    <t>hhg</t>
  </si>
  <si>
    <t xml:space="preserve"> </t>
  </si>
  <si>
    <t xml:space="preserve">تاريخ  </t>
  </si>
  <si>
    <t>الساعات</t>
  </si>
  <si>
    <t xml:space="preserve">اليوم </t>
  </si>
  <si>
    <t>الحضور</t>
  </si>
  <si>
    <t>الاضافي</t>
  </si>
  <si>
    <t>الاضافية</t>
  </si>
  <si>
    <t>الاسم</t>
  </si>
  <si>
    <t>حيدر المحاسب</t>
  </si>
  <si>
    <t>x</t>
  </si>
  <si>
    <t>9,5</t>
  </si>
  <si>
    <t>مجاز</t>
  </si>
  <si>
    <t>محمد رشيد</t>
  </si>
  <si>
    <t>6,3</t>
  </si>
  <si>
    <t>وليد</t>
  </si>
  <si>
    <t>X</t>
  </si>
  <si>
    <t>حيدر يافوز</t>
  </si>
  <si>
    <t xml:space="preserve">أنوار كريم جواد  </t>
  </si>
  <si>
    <t>حسين مصطفى</t>
  </si>
  <si>
    <t>Task</t>
  </si>
  <si>
    <t>Hourly Rate (IQD)</t>
  </si>
  <si>
    <t>Hours Worked</t>
  </si>
  <si>
    <t>Checkbox (Selected)</t>
  </si>
  <si>
    <t>Subtotal (IQD)</t>
  </si>
  <si>
    <t>Column 1</t>
  </si>
  <si>
    <t>حضور</t>
  </si>
  <si>
    <t>مسؤولية</t>
  </si>
  <si>
    <t>خطورة</t>
  </si>
  <si>
    <t>نقل</t>
  </si>
  <si>
    <t>طعام</t>
  </si>
  <si>
    <t>موقع خارجي</t>
  </si>
  <si>
    <t>خطورة خارجية</t>
  </si>
  <si>
    <t>حدادة</t>
  </si>
  <si>
    <t>صبغ</t>
  </si>
  <si>
    <t>نجارة</t>
  </si>
  <si>
    <t>تشغيل مكائن</t>
  </si>
  <si>
    <t>تصميم</t>
  </si>
  <si>
    <t>بدل سكن</t>
  </si>
  <si>
    <t>إدارة</t>
  </si>
  <si>
    <t>إشراف</t>
  </si>
  <si>
    <t>حسابات</t>
  </si>
  <si>
    <t>إدارة زبائن</t>
  </si>
  <si>
    <t>كهربائيات</t>
  </si>
  <si>
    <t>مخصص اضافي</t>
  </si>
  <si>
    <t>الإجمالي</t>
  </si>
  <si>
    <t>زززز</t>
  </si>
  <si>
    <t xml:space="preserve">TIME </t>
  </si>
  <si>
    <t xml:space="preserve">كرار رمضان </t>
  </si>
  <si>
    <t xml:space="preserve">ديون </t>
  </si>
  <si>
    <t xml:space="preserve">  </t>
  </si>
  <si>
    <t>الشهر</t>
  </si>
  <si>
    <t>السابق</t>
  </si>
  <si>
    <t xml:space="preserve">المجموع </t>
  </si>
  <si>
    <t>واردات سيف عدنان</t>
  </si>
  <si>
    <t>يوسف يعقوب قرض</t>
  </si>
  <si>
    <t>haidermudher28@gmail.com</t>
  </si>
  <si>
    <t xml:space="preserve"> 
</t>
  </si>
  <si>
    <t xml:space="preserve">
</t>
  </si>
  <si>
    <t>الساعات الشهرية</t>
  </si>
  <si>
    <t>الراتب الاسمي  بالساعات</t>
  </si>
  <si>
    <t>النقل + الطعام + حافز الالتزالم</t>
  </si>
  <si>
    <t>الساعات الاضافية و ايام العطل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</si>
</sst>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din]#,##0"/>
    <numFmt numFmtId="165" formatCode="m/d"/>
    <numFmt numFmtId="166" formatCode="#,##0;(#,##0)"/>
    <numFmt numFmtId="167" formatCode="ddd"/>
    <numFmt numFmtId="168" formatCode="#,##0.0"/>
  </numFmts>
  <fonts count="71">
    <font>
      <sz val="10.0"/>
      <color rgb="FF000000"/>
      <name val="Verdana"/>
      <scheme val="minor"/>
    </font>
    <font>
      <sz val="12.0"/>
      <color rgb="FFC5CAE9"/>
      <name val="Roboto"/>
    </font>
    <font>
      <sz val="12.0"/>
      <color rgb="FFC5CAE9"/>
      <name val="Roboto Condensed"/>
    </font>
    <font>
      <sz val="18.0"/>
      <color rgb="FFFFFFFF"/>
      <name val="Roboto"/>
    </font>
    <font>
      <b/>
      <sz val="20.0"/>
      <color rgb="FFFFFFFF"/>
      <name val="Roboto"/>
    </font>
    <font/>
    <font>
      <color rgb="FF303F9F"/>
      <name val="Roboto"/>
    </font>
    <font>
      <i/>
      <color rgb="FF303F9F"/>
      <name val="Roboto"/>
    </font>
    <font>
      <b/>
      <sz val="13.0"/>
      <color rgb="FF303F9F"/>
      <name val="Roboto"/>
    </font>
    <font>
      <b/>
      <i/>
      <sz val="13.0"/>
      <color rgb="FF303F9F"/>
      <name val="Roboto"/>
    </font>
    <font>
      <b/>
      <sz val="17.0"/>
      <color rgb="FF303F9F"/>
      <name val="Roboto"/>
    </font>
    <font>
      <sz val="10.0"/>
      <color rgb="FF434343"/>
      <name val="Roboto"/>
    </font>
    <font>
      <sz val="10.0"/>
      <color theme="1"/>
      <name val="Roboto"/>
    </font>
    <font>
      <b/>
      <sz val="10.0"/>
      <color theme="1"/>
      <name val="Roboto"/>
    </font>
    <font>
      <color theme="1"/>
      <name val="Verdana"/>
      <scheme val="minor"/>
    </font>
    <font>
      <sz val="12.0"/>
      <color rgb="FFFFFFFF"/>
      <name val="Roboto"/>
    </font>
    <font>
      <b/>
      <i/>
      <color rgb="FFC5CAE9"/>
      <name val="Roboto Condensed"/>
    </font>
    <font>
      <b/>
      <i/>
      <color rgb="FFC5CAE9"/>
      <name val="Roboto"/>
    </font>
    <font>
      <b/>
      <i/>
      <color rgb="FFFF0000"/>
      <name val="Roboto"/>
    </font>
    <font>
      <b/>
      <sz val="10.0"/>
      <color rgb="FF303F9F"/>
      <name val="Roboto"/>
    </font>
    <font>
      <b/>
      <color rgb="FF303F9F"/>
      <name val="Roboto"/>
    </font>
    <font>
      <b/>
      <color rgb="FFFF0000"/>
      <name val="Roboto"/>
    </font>
    <font>
      <i/>
      <sz val="10.0"/>
      <color rgb="FF6772AD"/>
      <name val="Roboto"/>
    </font>
    <font>
      <b/>
      <sz val="12.0"/>
      <color rgb="FF0000FF"/>
      <name val="Roboto"/>
    </font>
    <font>
      <b/>
      <sz val="10.0"/>
      <color rgb="FF6772AD"/>
      <name val="Roboto"/>
    </font>
    <font>
      <b/>
      <sz val="10.0"/>
      <color rgb="FFFF0000"/>
      <name val="Roboto"/>
    </font>
    <font>
      <b/>
      <color rgb="FF6772AD"/>
      <name val="Roboto"/>
    </font>
    <font>
      <b/>
      <i/>
      <sz val="10.0"/>
      <color rgb="FF6772AD"/>
      <name val="Roboto"/>
    </font>
    <font>
      <color theme="1"/>
      <name val="Calibri"/>
    </font>
    <font>
      <b/>
      <sz val="12.0"/>
      <color rgb="FF6772AD"/>
      <name val="Roboto"/>
    </font>
    <font>
      <b/>
      <sz val="13.0"/>
      <color rgb="FF0000FF"/>
      <name val="Roboto"/>
    </font>
    <font>
      <b/>
      <sz val="13.0"/>
      <color rgb="FF666666"/>
      <name val="Roboto"/>
    </font>
    <font>
      <b/>
      <sz val="13.0"/>
      <color rgb="FFFF0000"/>
      <name val="Roboto"/>
    </font>
    <font>
      <b/>
      <sz val="13.0"/>
      <color theme="1"/>
      <name val="Roboto"/>
    </font>
    <font>
      <b/>
      <sz val="13.0"/>
      <color rgb="FF000000"/>
      <name val="Roboto"/>
    </font>
    <font>
      <b/>
      <sz val="13.0"/>
      <color rgb="FF000000"/>
      <name val="Verdana"/>
      <scheme val="minor"/>
    </font>
    <font>
      <b/>
      <sz val="13.0"/>
      <color theme="1"/>
      <name val="Verdana"/>
      <scheme val="minor"/>
    </font>
    <font>
      <b/>
      <sz val="10.0"/>
      <color rgb="FF1C4587"/>
      <name val="Roboto"/>
    </font>
    <font>
      <b/>
      <sz val="11.0"/>
      <color theme="1"/>
      <name val="Calibri"/>
    </font>
    <font>
      <b/>
      <color theme="1"/>
      <name val="Verdana"/>
      <scheme val="minor"/>
    </font>
    <font>
      <sz val="11.0"/>
      <color theme="1"/>
      <name val="Verdana"/>
      <scheme val="minor"/>
    </font>
    <font>
      <color rgb="FFC5CAE9"/>
      <name val="Roboto Condensed"/>
    </font>
    <font>
      <sz val="14.0"/>
      <color rgb="FFC5CAE9"/>
      <name val="Roboto"/>
    </font>
    <font>
      <b/>
      <sz val="14.0"/>
      <color rgb="FFC5CAE9"/>
      <name val="Roboto"/>
    </font>
    <font>
      <b/>
      <color rgb="FFFFFFFF"/>
      <name val="Roboto"/>
    </font>
    <font>
      <sz val="14.0"/>
      <color rgb="FFFFFFFF"/>
      <name val="Roboto"/>
    </font>
    <font>
      <b/>
      <sz val="14.0"/>
      <color rgb="FFFFFFFF"/>
      <name val="Roboto"/>
    </font>
    <font>
      <sz val="14.0"/>
      <color rgb="FF303F9F"/>
      <name val="Roboto"/>
    </font>
    <font>
      <b/>
      <sz val="14.0"/>
      <color rgb="FF303F9F"/>
      <name val="Roboto"/>
    </font>
    <font>
      <sz val="14.0"/>
      <color rgb="FF434343"/>
      <name val="Roboto"/>
    </font>
    <font>
      <b/>
      <sz val="14.0"/>
      <color rgb="FF434343"/>
      <name val="Roboto"/>
    </font>
    <font>
      <b/>
      <sz val="14.0"/>
      <color rgb="FF000000"/>
      <name val="Roboto"/>
    </font>
    <font>
      <b/>
      <sz val="14.0"/>
      <color theme="1"/>
      <name val="Roboto"/>
    </font>
    <font>
      <b/>
      <sz val="11.0"/>
      <color rgb="FF0000FF"/>
      <name val="Roboto"/>
    </font>
    <font>
      <b/>
      <sz val="11.0"/>
      <color rgb="FF434343"/>
      <name val="Roboto"/>
    </font>
    <font>
      <b/>
      <sz val="11.0"/>
      <color rgb="FF000000"/>
      <name val="Roboto"/>
    </font>
    <font>
      <b/>
      <sz val="11.0"/>
      <color theme="1"/>
      <name val="Roboto"/>
    </font>
    <font>
      <b/>
      <sz val="12.0"/>
      <color rgb="FFFFFFFF"/>
      <name val="Roboto"/>
    </font>
    <font>
      <i/>
      <color rgb="FFC5CAE9"/>
      <name val="Roboto"/>
    </font>
    <font>
      <b/>
      <color theme="1"/>
      <name val="Calibri"/>
    </font>
    <font>
      <b/>
      <sz val="12.0"/>
      <color rgb="FF000000"/>
      <name val="Roboto"/>
    </font>
    <font>
      <sz val="10.0"/>
      <color rgb="FF6772AD"/>
      <name val="Roboto"/>
    </font>
    <font>
      <b/>
      <color rgb="FF1C4587"/>
      <name val="Roboto"/>
    </font>
    <font>
      <b/>
      <color rgb="FF38761D"/>
      <name val="Roboto"/>
    </font>
    <font>
      <b/>
      <color rgb="FF0000FF"/>
      <name val="Roboto"/>
    </font>
    <font>
      <b/>
      <color theme="1"/>
      <name val="Roboto"/>
    </font>
    <font>
      <color theme="1"/>
      <name val="Roboto"/>
    </font>
    <font>
      <b/>
      <color rgb="FFCC0000"/>
      <name val="Roboto"/>
    </font>
    <font>
      <b/>
      <color rgb="FF000000"/>
      <name val="Roboto"/>
    </font>
    <font>
      <sz val="11.0"/>
      <color theme="1"/>
      <name val="Roboto"/>
    </font>
    <font>
      <u/>
      <sz val="12.0"/>
      <color rgb="FFFFFFFF"/>
      <name val="Roboto"/>
    </font>
  </fonts>
  <fills count="20">
    <fill>
      <patternFill patternType="none"/>
    </fill>
    <fill>
      <patternFill patternType="lightGray"/>
    </fill>
    <fill>
      <patternFill patternType="solid">
        <fgColor rgb="FF2A3990"/>
        <bgColor rgb="FF2A3990"/>
      </patternFill>
    </fill>
    <fill>
      <patternFill patternType="solid">
        <fgColor rgb="FFE8EAF6"/>
        <bgColor rgb="FFE8EAF6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</fills>
  <borders count="23">
    <border/>
    <border>
      <bottom style="thin">
        <color rgb="FF303F9F"/>
      </bottom>
    </border>
    <border>
      <right style="thin">
        <color rgb="FFC5CAE9"/>
      </righ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bottom style="thin">
        <color rgb="FFC5CAE9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n">
        <color rgb="FFFFFFFF"/>
      </right>
      <top style="thin">
        <color rgb="FFFFFFFF"/>
      </top>
      <bottom style="thin">
        <color rgb="FFC5CAE9"/>
      </bottom>
    </border>
    <border>
      <right style="thin">
        <color rgb="FFFFFFFF"/>
      </right>
      <top style="thin">
        <color rgb="FFFFFFFF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2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left" readingOrder="0"/>
    </xf>
    <xf borderId="1" fillId="2" fontId="3" numFmtId="0" xfId="0" applyAlignment="1" applyBorder="1" applyFont="1">
      <alignment vertical="top"/>
    </xf>
    <xf borderId="1" fillId="2" fontId="4" numFmtId="0" xfId="0" applyAlignment="1" applyBorder="1" applyFont="1">
      <alignment horizontal="center" readingOrder="0" vertical="top"/>
    </xf>
    <xf borderId="1" fillId="0" fontId="5" numFmtId="0" xfId="0" applyBorder="1" applyFont="1"/>
    <xf borderId="0" fillId="2" fontId="3" numFmtId="0" xfId="0" applyAlignment="1" applyFont="1">
      <alignment vertical="top"/>
    </xf>
    <xf borderId="0" fillId="3" fontId="6" numFmtId="0" xfId="0" applyAlignment="1" applyFill="1" applyFont="1">
      <alignment shrinkToFit="0" vertical="bottom" wrapText="0"/>
    </xf>
    <xf borderId="0" fillId="3" fontId="7" numFmtId="0" xfId="0" applyAlignment="1" applyFont="1">
      <alignment horizontal="left" readingOrder="0" shrinkToFit="0" vertical="bottom" wrapText="0"/>
    </xf>
    <xf borderId="0" fillId="3" fontId="8" numFmtId="0" xfId="0" applyAlignment="1" applyFont="1">
      <alignment shrinkToFit="0" vertical="top" wrapText="0"/>
    </xf>
    <xf borderId="0" fillId="3" fontId="9" numFmtId="0" xfId="0" applyAlignment="1" applyFont="1">
      <alignment horizontal="left" readingOrder="0" shrinkToFit="0" vertical="top" wrapText="0"/>
    </xf>
    <xf borderId="0" fillId="3" fontId="10" numFmtId="0" xfId="0" applyAlignment="1" applyFont="1">
      <alignment horizontal="center" readingOrder="0" shrinkToFit="0" vertical="top" wrapText="0"/>
    </xf>
    <xf borderId="0" fillId="3" fontId="10" numFmtId="0" xfId="0" applyAlignment="1" applyFont="1">
      <alignment horizontal="center" readingOrder="0" shrinkToFit="0" vertical="top" wrapText="1"/>
    </xf>
    <xf borderId="0" fillId="0" fontId="11" numFmtId="0" xfId="0" applyFont="1"/>
    <xf borderId="0" fillId="0" fontId="11" numFmtId="0" xfId="0" applyAlignment="1" applyFont="1">
      <alignment horizontal="left"/>
    </xf>
    <xf borderId="0" fillId="4" fontId="11" numFmtId="0" xfId="0" applyFill="1" applyFont="1"/>
    <xf borderId="0" fillId="4" fontId="12" numFmtId="0" xfId="0" applyAlignment="1" applyFont="1">
      <alignment readingOrder="0" vertical="center"/>
    </xf>
    <xf borderId="2" fillId="0" fontId="13" numFmtId="0" xfId="0" applyAlignment="1" applyBorder="1" applyFont="1">
      <alignment readingOrder="0" vertical="center"/>
    </xf>
    <xf borderId="3" fillId="0" fontId="11" numFmtId="164" xfId="0" applyAlignment="1" applyBorder="1" applyFont="1" applyNumberFormat="1">
      <alignment readingOrder="0"/>
    </xf>
    <xf borderId="3" fillId="0" fontId="11" numFmtId="164" xfId="0" applyBorder="1" applyFont="1" applyNumberFormat="1"/>
    <xf borderId="3" fillId="0" fontId="11" numFmtId="0" xfId="0" applyBorder="1" applyFont="1"/>
    <xf borderId="3" fillId="0" fontId="11" numFmtId="164" xfId="0" applyBorder="1" applyFont="1" applyNumberFormat="1"/>
    <xf borderId="0" fillId="4" fontId="11" numFmtId="0" xfId="0" applyAlignment="1" applyFont="1">
      <alignment vertical="bottom"/>
    </xf>
    <xf borderId="3" fillId="0" fontId="11" numFmtId="0" xfId="0" applyAlignment="1" applyBorder="1" applyFont="1">
      <alignment vertical="bottom"/>
    </xf>
    <xf borderId="0" fillId="0" fontId="12" numFmtId="0" xfId="0" applyAlignment="1" applyFont="1">
      <alignment readingOrder="0" vertical="center"/>
    </xf>
    <xf borderId="0" fillId="0" fontId="11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2" fontId="15" numFmtId="0" xfId="0" applyAlignment="1" applyFont="1">
      <alignment readingOrder="0" vertical="bottom"/>
    </xf>
    <xf borderId="4" fillId="2" fontId="16" numFmtId="0" xfId="0" applyAlignment="1" applyBorder="1" applyFont="1">
      <alignment horizontal="left" vertical="center"/>
    </xf>
    <xf borderId="5" fillId="2" fontId="16" numFmtId="0" xfId="0" applyAlignment="1" applyBorder="1" applyFont="1">
      <alignment horizontal="left" vertical="center"/>
    </xf>
    <xf borderId="6" fillId="0" fontId="5" numFmtId="0" xfId="0" applyBorder="1" applyFont="1"/>
    <xf borderId="7" fillId="0" fontId="5" numFmtId="0" xfId="0" applyBorder="1" applyFont="1"/>
    <xf borderId="4" fillId="2" fontId="17" numFmtId="0" xfId="0" applyAlignment="1" applyBorder="1" applyFont="1">
      <alignment horizontal="left" vertical="center"/>
    </xf>
    <xf borderId="4" fillId="2" fontId="18" numFmtId="0" xfId="0" applyAlignment="1" applyBorder="1" applyFont="1">
      <alignment horizontal="left" vertical="center"/>
    </xf>
    <xf borderId="4" fillId="2" fontId="17" numFmtId="0" xfId="0" applyAlignment="1" applyBorder="1" applyFont="1">
      <alignment horizontal="left" readingOrder="0" vertical="center"/>
    </xf>
    <xf borderId="4" fillId="5" fontId="17" numFmtId="0" xfId="0" applyAlignment="1" applyBorder="1" applyFill="1" applyFont="1">
      <alignment horizontal="left" vertical="center"/>
    </xf>
    <xf borderId="5" fillId="6" fontId="17" numFmtId="0" xfId="0" applyAlignment="1" applyBorder="1" applyFill="1" applyFont="1">
      <alignment horizontal="left" vertical="center"/>
    </xf>
    <xf borderId="7" fillId="6" fontId="17" numFmtId="0" xfId="0" applyAlignment="1" applyBorder="1" applyFont="1">
      <alignment horizontal="left" vertical="center"/>
    </xf>
    <xf borderId="4" fillId="6" fontId="17" numFmtId="0" xfId="0" applyAlignment="1" applyBorder="1" applyFont="1">
      <alignment horizontal="left" vertical="center"/>
    </xf>
    <xf borderId="0" fillId="0" fontId="19" numFmtId="0" xfId="0" applyAlignment="1" applyFont="1">
      <alignment horizontal="left" readingOrder="0" shrinkToFit="0" vertical="bottom" wrapText="0"/>
    </xf>
    <xf borderId="4" fillId="0" fontId="20" numFmtId="165" xfId="0" applyAlignment="1" applyBorder="1" applyFont="1" applyNumberFormat="1">
      <alignment horizontal="center" readingOrder="0" vertical="bottom"/>
    </xf>
    <xf borderId="4" fillId="0" fontId="21" numFmtId="165" xfId="0" applyAlignment="1" applyBorder="1" applyFont="1" applyNumberFormat="1">
      <alignment horizontal="center" readingOrder="0" vertical="bottom"/>
    </xf>
    <xf borderId="4" fillId="5" fontId="20" numFmtId="165" xfId="0" applyAlignment="1" applyBorder="1" applyFont="1" applyNumberForma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5" fillId="5" fontId="20" numFmtId="165" xfId="0" applyAlignment="1" applyBorder="1" applyFont="1" applyNumberFormat="1">
      <alignment horizontal="center" readingOrder="0" vertical="bottom"/>
    </xf>
    <xf borderId="7" fillId="0" fontId="20" numFmtId="165" xfId="0" applyAlignment="1" applyBorder="1" applyFont="1" applyNumberFormat="1">
      <alignment horizontal="center" readingOrder="0" vertical="bottom"/>
    </xf>
    <xf borderId="7" fillId="0" fontId="20" numFmtId="165" xfId="0" applyAlignment="1" applyBorder="1" applyFont="1" applyNumberFormat="1">
      <alignment horizontal="center" vertical="bottom"/>
    </xf>
    <xf borderId="4" fillId="0" fontId="20" numFmtId="165" xfId="0" applyAlignment="1" applyBorder="1" applyFont="1" applyNumberFormat="1">
      <alignment horizontal="center" vertical="bottom"/>
    </xf>
    <xf borderId="0" fillId="0" fontId="22" numFmtId="0" xfId="0" applyAlignment="1" applyFont="1">
      <alignment horizontal="left" readingOrder="0" shrinkToFit="0" vertical="top" wrapText="1"/>
    </xf>
    <xf borderId="8" fillId="0" fontId="22" numFmtId="0" xfId="0" applyAlignment="1" applyBorder="1" applyFont="1">
      <alignment horizontal="left" readingOrder="0" shrinkToFit="0" vertical="top" wrapText="1"/>
    </xf>
    <xf borderId="0" fillId="0" fontId="23" numFmtId="166" xfId="0" applyAlignment="1" applyFont="1" applyNumberFormat="1">
      <alignment horizontal="center" readingOrder="0" shrinkToFit="0" vertical="top" wrapText="1"/>
    </xf>
    <xf borderId="4" fillId="0" fontId="24" numFmtId="167" xfId="0" applyAlignment="1" applyBorder="1" applyFont="1" applyNumberFormat="1">
      <alignment horizontal="center" readingOrder="0" vertical="top"/>
    </xf>
    <xf borderId="4" fillId="0" fontId="25" numFmtId="167" xfId="0" applyAlignment="1" applyBorder="1" applyFont="1" applyNumberFormat="1">
      <alignment horizontal="center" readingOrder="0" vertical="top"/>
    </xf>
    <xf borderId="4" fillId="5" fontId="24" numFmtId="167" xfId="0" applyAlignment="1" applyBorder="1" applyFont="1" applyNumberFormat="1">
      <alignment horizontal="center" readingOrder="0" vertical="top"/>
    </xf>
    <xf borderId="4" fillId="0" fontId="24" numFmtId="0" xfId="0" applyAlignment="1" applyBorder="1" applyFont="1">
      <alignment horizontal="center" readingOrder="0" vertical="top"/>
    </xf>
    <xf borderId="5" fillId="5" fontId="24" numFmtId="167" xfId="0" applyAlignment="1" applyBorder="1" applyFont="1" applyNumberFormat="1">
      <alignment horizontal="center" readingOrder="0" vertical="top"/>
    </xf>
    <xf borderId="7" fillId="0" fontId="24" numFmtId="167" xfId="0" applyAlignment="1" applyBorder="1" applyFont="1" applyNumberFormat="1">
      <alignment horizontal="center" readingOrder="0" vertical="top"/>
    </xf>
    <xf borderId="7" fillId="0" fontId="26" numFmtId="167" xfId="0" applyAlignment="1" applyBorder="1" applyFont="1" applyNumberFormat="1">
      <alignment horizontal="center" vertical="top"/>
    </xf>
    <xf borderId="4" fillId="0" fontId="26" numFmtId="167" xfId="0" applyAlignment="1" applyBorder="1" applyFont="1" applyNumberFormat="1">
      <alignment horizontal="center" vertical="top"/>
    </xf>
    <xf borderId="4" fillId="0" fontId="27" numFmtId="0" xfId="0" applyAlignment="1" applyBorder="1" applyFont="1">
      <alignment horizontal="center" readingOrder="0" shrinkToFit="0" vertical="top" wrapText="1"/>
    </xf>
    <xf borderId="4" fillId="5" fontId="27" numFmtId="0" xfId="0" applyAlignment="1" applyBorder="1" applyFont="1">
      <alignment horizontal="center" readingOrder="0" shrinkToFit="0" vertical="top" wrapText="1"/>
    </xf>
    <xf borderId="9" fillId="5" fontId="27" numFmtId="0" xfId="0" applyAlignment="1" applyBorder="1" applyFont="1">
      <alignment horizontal="center" readingOrder="0" shrinkToFit="0" vertical="top" wrapText="1"/>
    </xf>
    <xf borderId="9" fillId="0" fontId="27" numFmtId="0" xfId="0" applyAlignment="1" applyBorder="1" applyFont="1">
      <alignment horizontal="center" readingOrder="0" shrinkToFit="0" vertical="top" wrapText="1"/>
    </xf>
    <xf borderId="10" fillId="5" fontId="27" numFmtId="0" xfId="0" applyAlignment="1" applyBorder="1" applyFont="1">
      <alignment horizontal="center" readingOrder="0" shrinkToFit="0" vertical="top" wrapText="1"/>
    </xf>
    <xf borderId="11" fillId="0" fontId="27" numFmtId="0" xfId="0" applyAlignment="1" applyBorder="1" applyFont="1">
      <alignment horizontal="center" readingOrder="0" shrinkToFit="0" vertical="top" wrapText="1"/>
    </xf>
    <xf borderId="11" fillId="0" fontId="28" numFmtId="0" xfId="0" applyAlignment="1" applyBorder="1" applyFont="1">
      <alignment vertical="top"/>
    </xf>
    <xf borderId="9" fillId="0" fontId="28" numFmtId="0" xfId="0" applyAlignment="1" applyBorder="1" applyFont="1">
      <alignment vertical="top"/>
    </xf>
    <xf borderId="0" fillId="0" fontId="29" numFmtId="4" xfId="0" applyAlignment="1" applyFont="1" applyNumberFormat="1">
      <alignment horizontal="center" readingOrder="0" shrinkToFit="0" vertical="top" wrapText="1"/>
    </xf>
    <xf borderId="5" fillId="0" fontId="27" numFmtId="0" xfId="0" applyAlignment="1" applyBorder="1" applyFont="1">
      <alignment horizontal="center" readingOrder="0" shrinkToFit="0" vertical="top" wrapText="1"/>
    </xf>
    <xf borderId="0" fillId="5" fontId="27" numFmtId="0" xfId="0" applyAlignment="1" applyFont="1">
      <alignment horizontal="center" readingOrder="0" shrinkToFit="0" vertical="top" wrapText="1"/>
    </xf>
    <xf borderId="0" fillId="0" fontId="27" numFmtId="0" xfId="0" applyAlignment="1" applyFont="1">
      <alignment horizontal="center" readingOrder="0" shrinkToFit="0" vertical="top" wrapText="1"/>
    </xf>
    <xf borderId="12" fillId="0" fontId="23" numFmtId="166" xfId="0" applyAlignment="1" applyBorder="1" applyFont="1" applyNumberFormat="1">
      <alignment horizontal="center" readingOrder="0" vertical="center"/>
    </xf>
    <xf borderId="12" fillId="0" fontId="30" numFmtId="0" xfId="0" applyAlignment="1" applyBorder="1" applyFont="1">
      <alignment horizontal="center" readingOrder="0" vertical="center"/>
    </xf>
    <xf borderId="13" fillId="0" fontId="30" numFmtId="0" xfId="0" applyAlignment="1" applyBorder="1" applyFont="1">
      <alignment horizontal="center" readingOrder="0" vertical="center"/>
    </xf>
    <xf borderId="7" fillId="0" fontId="31" numFmtId="0" xfId="0" applyAlignment="1" applyBorder="1" applyFont="1">
      <alignment horizontal="center" readingOrder="0" vertical="center"/>
    </xf>
    <xf borderId="4" fillId="0" fontId="31" numFmtId="0" xfId="0" applyAlignment="1" applyBorder="1" applyFont="1">
      <alignment horizontal="center" readingOrder="0" vertical="center"/>
    </xf>
    <xf borderId="4" fillId="0" fontId="32" numFmtId="0" xfId="0" applyAlignment="1" applyBorder="1" applyFont="1">
      <alignment horizontal="center" readingOrder="0" vertical="center"/>
    </xf>
    <xf borderId="4" fillId="0" fontId="33" numFmtId="0" xfId="0" applyAlignment="1" applyBorder="1" applyFont="1">
      <alignment horizontal="center" vertical="center"/>
    </xf>
    <xf borderId="4" fillId="0" fontId="32" numFmtId="0" xfId="0" applyAlignment="1" applyBorder="1" applyFont="1">
      <alignment horizontal="center" vertical="center"/>
    </xf>
    <xf borderId="4" fillId="0" fontId="33" numFmtId="0" xfId="0" applyAlignment="1" applyBorder="1" applyFont="1">
      <alignment horizontal="center" readingOrder="0" vertical="center"/>
    </xf>
    <xf borderId="4" fillId="7" fontId="34" numFmtId="0" xfId="0" applyAlignment="1" applyBorder="1" applyFill="1" applyFont="1">
      <alignment horizontal="center" readingOrder="0" vertical="center"/>
    </xf>
    <xf borderId="4" fillId="8" fontId="35" numFmtId="0" xfId="0" applyAlignment="1" applyBorder="1" applyFill="1" applyFont="1">
      <alignment readingOrder="0"/>
    </xf>
    <xf borderId="4" fillId="8" fontId="34" numFmtId="0" xfId="0" applyAlignment="1" applyBorder="1" applyFont="1">
      <alignment horizontal="center" readingOrder="0" vertical="center"/>
    </xf>
    <xf borderId="4" fillId="5" fontId="34" numFmtId="0" xfId="0" applyAlignment="1" applyBorder="1" applyFont="1">
      <alignment horizontal="center" readingOrder="0" vertical="center"/>
    </xf>
    <xf borderId="4" fillId="9" fontId="33" numFmtId="0" xfId="0" applyAlignment="1" applyBorder="1" applyFill="1" applyFont="1">
      <alignment horizontal="center" readingOrder="0" vertical="center"/>
    </xf>
    <xf borderId="4" fillId="10" fontId="33" numFmtId="0" xfId="0" applyAlignment="1" applyBorder="1" applyFill="1" applyFont="1">
      <alignment horizontal="center" readingOrder="0" vertical="center"/>
    </xf>
    <xf borderId="4" fillId="11" fontId="33" numFmtId="0" xfId="0" applyAlignment="1" applyBorder="1" applyFill="1" applyFont="1">
      <alignment horizontal="center" readingOrder="0" vertical="center"/>
    </xf>
    <xf borderId="5" fillId="9" fontId="33" numFmtId="0" xfId="0" applyAlignment="1" applyBorder="1" applyFont="1">
      <alignment horizontal="center" readingOrder="0" vertical="center"/>
    </xf>
    <xf borderId="0" fillId="5" fontId="33" numFmtId="0" xfId="0" applyAlignment="1" applyFont="1">
      <alignment horizontal="center" readingOrder="0" vertical="center"/>
    </xf>
    <xf borderId="12" fillId="0" fontId="33" numFmtId="0" xfId="0" applyAlignment="1" applyBorder="1" applyFont="1">
      <alignment horizontal="center" readingOrder="0" vertical="center"/>
    </xf>
    <xf borderId="12" fillId="0" fontId="33" numFmtId="3" xfId="0" applyAlignment="1" applyBorder="1" applyFont="1" applyNumberFormat="1">
      <alignment horizontal="center" readingOrder="0" vertical="center"/>
    </xf>
    <xf borderId="0" fillId="5" fontId="33" numFmtId="0" xfId="0" applyAlignment="1" applyFont="1">
      <alignment horizontal="center" readingOrder="0" vertical="center"/>
    </xf>
    <xf borderId="12" fillId="0" fontId="33" numFmtId="0" xfId="0" applyAlignment="1" applyBorder="1" applyFont="1">
      <alignment horizontal="center" readingOrder="0" vertical="center"/>
    </xf>
    <xf borderId="13" fillId="5" fontId="33" numFmtId="0" xfId="0" applyAlignment="1" applyBorder="1" applyFont="1">
      <alignment horizontal="center" readingOrder="0" vertical="center"/>
    </xf>
    <xf borderId="12" fillId="0" fontId="33" numFmtId="0" xfId="0" applyAlignment="1" applyBorder="1" applyFont="1">
      <alignment horizontal="center" readingOrder="0" vertical="center"/>
    </xf>
    <xf borderId="12" fillId="0" fontId="33" numFmtId="0" xfId="0" applyAlignment="1" applyBorder="1" applyFont="1">
      <alignment horizontal="center" readingOrder="0" vertical="center"/>
    </xf>
    <xf borderId="12" fillId="5" fontId="13" numFmtId="0" xfId="0" applyAlignment="1" applyBorder="1" applyFont="1">
      <alignment horizontal="center" readingOrder="0" vertical="center"/>
    </xf>
    <xf borderId="12" fillId="0" fontId="13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12" fillId="0" fontId="23" numFmtId="166" xfId="0" applyAlignment="1" applyBorder="1" applyFont="1" applyNumberFormat="1">
      <alignment horizontal="center" readingOrder="0" vertical="center"/>
    </xf>
    <xf borderId="13" fillId="0" fontId="30" numFmtId="3" xfId="0" applyAlignment="1" applyBorder="1" applyFont="1" applyNumberFormat="1">
      <alignment horizontal="center" readingOrder="0" vertical="center"/>
    </xf>
    <xf borderId="12" fillId="0" fontId="30" numFmtId="3" xfId="0" applyAlignment="1" applyBorder="1" applyFont="1" applyNumberFormat="1">
      <alignment horizontal="center" readingOrder="0" vertical="center"/>
    </xf>
    <xf borderId="4" fillId="0" fontId="31" numFmtId="4" xfId="0" applyAlignment="1" applyBorder="1" applyFont="1" applyNumberFormat="1">
      <alignment horizontal="center" readingOrder="0" vertical="center"/>
    </xf>
    <xf borderId="4" fillId="0" fontId="32" numFmtId="4" xfId="0" applyAlignment="1" applyBorder="1" applyFont="1" applyNumberFormat="1">
      <alignment horizontal="center" readingOrder="0" vertical="center"/>
    </xf>
    <xf borderId="4" fillId="12" fontId="33" numFmtId="0" xfId="0" applyAlignment="1" applyBorder="1" applyFill="1" applyFont="1">
      <alignment horizontal="center" readingOrder="0" vertical="center"/>
    </xf>
    <xf borderId="4" fillId="13" fontId="33" numFmtId="0" xfId="0" applyAlignment="1" applyBorder="1" applyFill="1" applyFont="1">
      <alignment horizontal="center" readingOrder="0" vertical="center"/>
    </xf>
    <xf borderId="4" fillId="7" fontId="34" numFmtId="3" xfId="0" applyAlignment="1" applyBorder="1" applyFont="1" applyNumberFormat="1">
      <alignment horizontal="center" readingOrder="0" vertical="center"/>
    </xf>
    <xf borderId="4" fillId="5" fontId="34" numFmtId="3" xfId="0" applyAlignment="1" applyBorder="1" applyFont="1" applyNumberFormat="1">
      <alignment horizontal="center" readingOrder="0" vertical="center"/>
    </xf>
    <xf borderId="4" fillId="9" fontId="33" numFmtId="3" xfId="0" applyAlignment="1" applyBorder="1" applyFont="1" applyNumberFormat="1">
      <alignment horizontal="center" readingOrder="0" vertical="center"/>
    </xf>
    <xf borderId="5" fillId="9" fontId="33" numFmtId="3" xfId="0" applyAlignment="1" applyBorder="1" applyFont="1" applyNumberFormat="1">
      <alignment horizontal="center" readingOrder="0" vertical="center"/>
    </xf>
    <xf borderId="0" fillId="5" fontId="33" numFmtId="3" xfId="0" applyAlignment="1" applyFont="1" applyNumberFormat="1">
      <alignment horizontal="center" readingOrder="0" vertical="center"/>
    </xf>
    <xf borderId="13" fillId="5" fontId="33" numFmtId="3" xfId="0" applyAlignment="1" applyBorder="1" applyFont="1" applyNumberFormat="1">
      <alignment horizontal="center" readingOrder="0" vertical="center"/>
    </xf>
    <xf borderId="12" fillId="0" fontId="33" numFmtId="3" xfId="0" applyAlignment="1" applyBorder="1" applyFont="1" applyNumberFormat="1">
      <alignment horizontal="center" readingOrder="0" vertical="center"/>
    </xf>
    <xf borderId="12" fillId="0" fontId="33" numFmtId="168" xfId="0" applyAlignment="1" applyBorder="1" applyFont="1" applyNumberFormat="1">
      <alignment horizontal="center" readingOrder="0" vertical="center"/>
    </xf>
    <xf borderId="12" fillId="5" fontId="13" numFmtId="3" xfId="0" applyAlignment="1" applyBorder="1" applyFont="1" applyNumberFormat="1">
      <alignment horizontal="center" readingOrder="0" vertical="center"/>
    </xf>
    <xf borderId="12" fillId="0" fontId="13" numFmtId="3" xfId="0" applyAlignment="1" applyBorder="1" applyFont="1" applyNumberFormat="1">
      <alignment horizontal="center" readingOrder="0" vertical="center"/>
    </xf>
    <xf borderId="7" fillId="0" fontId="13" numFmtId="3" xfId="0" applyAlignment="1" applyBorder="1" applyFont="1" applyNumberFormat="1">
      <alignment horizontal="center" readingOrder="0" vertical="center"/>
    </xf>
    <xf borderId="4" fillId="0" fontId="13" numFmtId="3" xfId="0" applyAlignment="1" applyBorder="1" applyFont="1" applyNumberFormat="1">
      <alignment horizontal="center" readingOrder="0" vertical="center"/>
    </xf>
    <xf borderId="12" fillId="0" fontId="23" numFmtId="0" xfId="0" applyAlignment="1" applyBorder="1" applyFont="1">
      <alignment horizontal="center" readingOrder="0" vertical="center"/>
    </xf>
    <xf borderId="7" fillId="0" fontId="31" numFmtId="4" xfId="0" applyAlignment="1" applyBorder="1" applyFont="1" applyNumberFormat="1">
      <alignment horizontal="center" readingOrder="0" vertical="center"/>
    </xf>
    <xf borderId="4" fillId="0" fontId="31" numFmtId="4" xfId="0" applyAlignment="1" applyBorder="1" applyFont="1" applyNumberFormat="1">
      <alignment horizontal="center" readingOrder="0" vertical="center"/>
    </xf>
    <xf borderId="4" fillId="14" fontId="31" numFmtId="4" xfId="0" applyAlignment="1" applyBorder="1" applyFill="1" applyFont="1" applyNumberFormat="1">
      <alignment horizontal="center" readingOrder="0" vertical="center"/>
    </xf>
    <xf borderId="4" fillId="0" fontId="36" numFmtId="0" xfId="0" applyBorder="1" applyFont="1"/>
    <xf borderId="4" fillId="7" fontId="34" numFmtId="0" xfId="0" applyAlignment="1" applyBorder="1" applyFont="1">
      <alignment horizontal="center" readingOrder="0" vertical="center"/>
    </xf>
    <xf borderId="13" fillId="5" fontId="33" numFmtId="0" xfId="0" applyAlignment="1" applyBorder="1" applyFont="1">
      <alignment horizontal="center" readingOrder="0" vertical="center"/>
    </xf>
    <xf borderId="12" fillId="5" fontId="13" numFmtId="0" xfId="0" applyAlignment="1" applyBorder="1" applyFont="1">
      <alignment horizontal="center" readingOrder="0" vertical="center"/>
    </xf>
    <xf borderId="12" fillId="0" fontId="13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 vertical="center"/>
    </xf>
    <xf borderId="12" fillId="0" fontId="23" numFmtId="0" xfId="0" applyAlignment="1" applyBorder="1" applyFont="1">
      <alignment horizontal="center" readingOrder="0" vertical="center"/>
    </xf>
    <xf borderId="12" fillId="0" fontId="30" numFmtId="0" xfId="0" applyAlignment="1" applyBorder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12" fillId="0" fontId="23" numFmtId="0" xfId="0" applyAlignment="1" applyBorder="1" applyFont="1">
      <alignment horizontal="center" readingOrder="0" vertical="top"/>
    </xf>
    <xf borderId="12" fillId="0" fontId="30" numFmtId="0" xfId="0" applyAlignment="1" applyBorder="1" applyFont="1">
      <alignment horizontal="center" readingOrder="0" vertical="top"/>
    </xf>
    <xf borderId="7" fillId="0" fontId="31" numFmtId="4" xfId="0" applyAlignment="1" applyBorder="1" applyFont="1" applyNumberFormat="1">
      <alignment horizontal="center" readingOrder="0" vertical="top"/>
    </xf>
    <xf borderId="4" fillId="0" fontId="31" numFmtId="4" xfId="0" applyAlignment="1" applyBorder="1" applyFont="1" applyNumberFormat="1">
      <alignment horizontal="center" readingOrder="0" vertical="top"/>
    </xf>
    <xf borderId="4" fillId="0" fontId="31" numFmtId="4" xfId="0" applyAlignment="1" applyBorder="1" applyFont="1" applyNumberFormat="1">
      <alignment horizontal="center" readingOrder="0" vertical="top"/>
    </xf>
    <xf borderId="4" fillId="0" fontId="32" numFmtId="0" xfId="0" applyAlignment="1" applyBorder="1" applyFont="1">
      <alignment horizontal="center" readingOrder="0" vertical="top"/>
    </xf>
    <xf borderId="4" fillId="0" fontId="31" numFmtId="0" xfId="0" applyAlignment="1" applyBorder="1" applyFont="1">
      <alignment horizontal="center" readingOrder="0" vertical="top"/>
    </xf>
    <xf borderId="4" fillId="0" fontId="33" numFmtId="0" xfId="0" applyAlignment="1" applyBorder="1" applyFont="1">
      <alignment horizontal="center" readingOrder="0" vertical="top"/>
    </xf>
    <xf borderId="4" fillId="12" fontId="33" numFmtId="0" xfId="0" applyAlignment="1" applyBorder="1" applyFont="1">
      <alignment horizontal="center" readingOrder="0" vertical="top"/>
    </xf>
    <xf borderId="4" fillId="4" fontId="33" numFmtId="0" xfId="0" applyAlignment="1" applyBorder="1" applyFont="1">
      <alignment horizontal="center" readingOrder="0" vertical="top"/>
    </xf>
    <xf borderId="4" fillId="0" fontId="36" numFmtId="0" xfId="0" applyAlignment="1" applyBorder="1" applyFont="1">
      <alignment vertical="top"/>
    </xf>
    <xf borderId="4" fillId="0" fontId="36" numFmtId="0" xfId="0" applyAlignment="1" applyBorder="1" applyFont="1">
      <alignment readingOrder="0" vertical="top"/>
    </xf>
    <xf borderId="4" fillId="13" fontId="33" numFmtId="0" xfId="0" applyAlignment="1" applyBorder="1" applyFont="1">
      <alignment horizontal="center" readingOrder="0" vertical="top"/>
    </xf>
    <xf borderId="4" fillId="7" fontId="34" numFmtId="0" xfId="0" applyAlignment="1" applyBorder="1" applyFont="1">
      <alignment horizontal="center" readingOrder="0" vertical="top"/>
    </xf>
    <xf borderId="4" fillId="7" fontId="35" numFmtId="0" xfId="0" applyAlignment="1" applyBorder="1" applyFont="1">
      <alignment readingOrder="0" vertical="top"/>
    </xf>
    <xf borderId="4" fillId="5" fontId="34" numFmtId="0" xfId="0" applyAlignment="1" applyBorder="1" applyFont="1">
      <alignment horizontal="center" readingOrder="0" vertical="top"/>
    </xf>
    <xf borderId="4" fillId="9" fontId="33" numFmtId="0" xfId="0" applyAlignment="1" applyBorder="1" applyFont="1">
      <alignment horizontal="center" readingOrder="0" vertical="top"/>
    </xf>
    <xf borderId="5" fillId="9" fontId="33" numFmtId="0" xfId="0" applyAlignment="1" applyBorder="1" applyFont="1">
      <alignment horizontal="center" readingOrder="0" vertical="top"/>
    </xf>
    <xf borderId="0" fillId="5" fontId="33" numFmtId="0" xfId="0" applyAlignment="1" applyFont="1">
      <alignment horizontal="center" readingOrder="0" vertical="top"/>
    </xf>
    <xf borderId="12" fillId="0" fontId="33" numFmtId="0" xfId="0" applyAlignment="1" applyBorder="1" applyFont="1">
      <alignment horizontal="center" readingOrder="0" vertical="top"/>
    </xf>
    <xf borderId="14" fillId="0" fontId="33" numFmtId="0" xfId="0" applyAlignment="1" applyBorder="1" applyFont="1">
      <alignment horizontal="center" readingOrder="0" vertical="top"/>
    </xf>
    <xf borderId="13" fillId="5" fontId="33" numFmtId="0" xfId="0" applyAlignment="1" applyBorder="1" applyFont="1">
      <alignment horizontal="center" readingOrder="0" vertical="top"/>
    </xf>
    <xf borderId="12" fillId="0" fontId="33" numFmtId="0" xfId="0" applyAlignment="1" applyBorder="1" applyFont="1">
      <alignment horizontal="center" readingOrder="0" vertical="top"/>
    </xf>
    <xf borderId="12" fillId="5" fontId="13" numFmtId="0" xfId="0" applyAlignment="1" applyBorder="1" applyFont="1">
      <alignment horizontal="center" readingOrder="0" vertical="top"/>
    </xf>
    <xf borderId="12" fillId="0" fontId="13" numFmtId="0" xfId="0" applyAlignment="1" applyBorder="1" applyFont="1">
      <alignment horizontal="center" readingOrder="0" vertical="top"/>
    </xf>
    <xf borderId="7" fillId="0" fontId="13" numFmtId="0" xfId="0" applyAlignment="1" applyBorder="1" applyFont="1">
      <alignment horizontal="center" readingOrder="0" vertical="top"/>
    </xf>
    <xf borderId="4" fillId="0" fontId="13" numFmtId="0" xfId="0" applyAlignment="1" applyBorder="1" applyFont="1">
      <alignment horizontal="center" readingOrder="0" vertical="top"/>
    </xf>
    <xf borderId="4" fillId="12" fontId="32" numFmtId="0" xfId="0" applyAlignment="1" applyBorder="1" applyFont="1">
      <alignment horizontal="center" readingOrder="0" vertical="center"/>
    </xf>
    <xf borderId="13" fillId="0" fontId="33" numFmtId="0" xfId="0" applyAlignment="1" applyBorder="1" applyFont="1">
      <alignment horizontal="center" readingOrder="0" vertical="center"/>
    </xf>
    <xf borderId="15" fillId="0" fontId="33" numFmtId="0" xfId="0" applyAlignment="1" applyBorder="1" applyFont="1">
      <alignment horizontal="center" readingOrder="0" vertical="center"/>
    </xf>
    <xf borderId="4" fillId="4" fontId="33" numFmtId="0" xfId="0" applyAlignment="1" applyBorder="1" applyFont="1">
      <alignment horizontal="center" readingOrder="0" vertical="center"/>
    </xf>
    <xf borderId="16" fillId="0" fontId="33" numFmtId="0" xfId="0" applyAlignment="1" applyBorder="1" applyFont="1">
      <alignment horizontal="center" readingOrder="0" vertical="center"/>
    </xf>
    <xf borderId="4" fillId="0" fontId="36" numFmtId="0" xfId="0" applyAlignment="1" applyBorder="1" applyFont="1">
      <alignment readingOrder="0"/>
    </xf>
    <xf borderId="4" fillId="9" fontId="33" numFmtId="0" xfId="0" applyAlignment="1" applyBorder="1" applyFont="1">
      <alignment horizontal="center" vertical="center"/>
    </xf>
    <xf borderId="5" fillId="9" fontId="33" numFmtId="0" xfId="0" applyAlignment="1" applyBorder="1" applyFont="1">
      <alignment horizontal="center" vertical="center"/>
    </xf>
    <xf borderId="0" fillId="5" fontId="33" numFmtId="0" xfId="0" applyAlignment="1" applyFont="1">
      <alignment horizontal="center" vertical="center"/>
    </xf>
    <xf borderId="12" fillId="5" fontId="13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0" fillId="0" fontId="23" numFmtId="0" xfId="0" applyAlignment="1" applyFont="1">
      <alignment horizontal="center" readingOrder="0" vertical="center"/>
    </xf>
    <xf borderId="17" fillId="0" fontId="37" numFmtId="0" xfId="0" applyAlignment="1" applyBorder="1" applyFont="1">
      <alignment horizontal="center" readingOrder="0" vertical="center"/>
    </xf>
    <xf borderId="0" fillId="0" fontId="31" numFmtId="0" xfId="0" applyAlignment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0" fontId="32" numFmtId="0" xfId="0" applyAlignment="1" applyFont="1">
      <alignment horizontal="center" vertical="center"/>
    </xf>
    <xf borderId="0" fillId="7" fontId="34" numFmtId="0" xfId="0" applyAlignment="1" applyFont="1">
      <alignment horizontal="center" readingOrder="0" vertical="center"/>
    </xf>
    <xf borderId="0" fillId="5" fontId="34" numFmtId="0" xfId="0" applyAlignment="1" applyFont="1">
      <alignment horizontal="center" readingOrder="0" vertical="center"/>
    </xf>
    <xf borderId="0" fillId="9" fontId="33" numFmtId="0" xfId="0" applyAlignment="1" applyFont="1">
      <alignment horizontal="center" readingOrder="0" vertical="center"/>
    </xf>
    <xf borderId="0" fillId="9" fontId="33" numFmtId="0" xfId="0" applyAlignment="1" applyFont="1">
      <alignment horizontal="center" vertical="center"/>
    </xf>
    <xf borderId="0" fillId="0" fontId="33" numFmtId="0" xfId="0" applyAlignment="1" applyFont="1">
      <alignment horizontal="center" readingOrder="0" vertical="center"/>
    </xf>
    <xf borderId="0" fillId="0" fontId="33" numFmtId="3" xfId="0" applyAlignment="1" applyFont="1" applyNumberFormat="1">
      <alignment horizontal="center" readingOrder="0" vertical="center"/>
    </xf>
    <xf borderId="0" fillId="5" fontId="13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30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 shrinkToFit="0" vertical="top" wrapText="0"/>
    </xf>
    <xf borderId="0" fillId="0" fontId="38" numFmtId="0" xfId="0" applyAlignment="1" applyFont="1">
      <alignment horizontal="center" readingOrder="0" shrinkToFit="0" vertical="top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Font="1"/>
    <xf borderId="0" fillId="0" fontId="39" numFmtId="0" xfId="0" applyAlignment="1" applyFont="1">
      <alignment shrinkToFit="0" vertical="center" wrapText="0"/>
    </xf>
    <xf borderId="0" fillId="0" fontId="39" numFmtId="0" xfId="0" applyAlignment="1" applyFont="1">
      <alignment shrinkToFit="0" vertical="center" wrapText="0"/>
    </xf>
    <xf borderId="0" fillId="0" fontId="39" numFmtId="0" xfId="0" applyAlignment="1" applyFont="1">
      <alignment shrinkToFit="0" vertical="center" wrapText="0"/>
    </xf>
    <xf borderId="0" fillId="0" fontId="40" numFmtId="0" xfId="0" applyAlignment="1" applyFont="1">
      <alignment horizontal="center" readingOrder="0" shrinkToFit="0" vertical="center" wrapText="0"/>
    </xf>
    <xf borderId="0" fillId="2" fontId="41" numFmtId="0" xfId="0" applyAlignment="1" applyFont="1">
      <alignment horizontal="left" readingOrder="0"/>
    </xf>
    <xf borderId="0" fillId="2" fontId="42" numFmtId="0" xfId="0" applyFont="1"/>
    <xf borderId="0" fillId="2" fontId="43" numFmtId="0" xfId="0" applyFont="1"/>
    <xf borderId="18" fillId="2" fontId="44" numFmtId="0" xfId="0" applyAlignment="1" applyBorder="1" applyFont="1">
      <alignment horizontal="center" readingOrder="0" vertical="top"/>
    </xf>
    <xf borderId="18" fillId="2" fontId="45" numFmtId="0" xfId="0" applyAlignment="1" applyBorder="1" applyFont="1">
      <alignment vertical="top"/>
    </xf>
    <xf borderId="1" fillId="2" fontId="45" numFmtId="0" xfId="0" applyAlignment="1" applyBorder="1" applyFont="1">
      <alignment vertical="top"/>
    </xf>
    <xf borderId="0" fillId="2" fontId="45" numFmtId="0" xfId="0" applyAlignment="1" applyFont="1">
      <alignment vertical="top"/>
    </xf>
    <xf borderId="0" fillId="2" fontId="46" numFmtId="0" xfId="0" applyAlignment="1" applyFont="1">
      <alignment vertical="top"/>
    </xf>
    <xf borderId="0" fillId="3" fontId="47" numFmtId="0" xfId="0" applyAlignment="1" applyFont="1">
      <alignment shrinkToFit="0" vertical="bottom" wrapText="0"/>
    </xf>
    <xf borderId="0" fillId="3" fontId="48" numFmtId="0" xfId="0" applyAlignment="1" applyFont="1">
      <alignment shrinkToFit="0" vertical="bottom" wrapText="0"/>
    </xf>
    <xf borderId="0" fillId="3" fontId="48" numFmtId="0" xfId="0" applyAlignment="1" applyFont="1">
      <alignment horizontal="center" readingOrder="0" shrinkToFit="0" vertical="top" wrapText="1"/>
    </xf>
    <xf borderId="0" fillId="3" fontId="48" numFmtId="0" xfId="0" applyAlignment="1" applyFont="1">
      <alignment horizontal="center" readingOrder="0" shrinkToFit="0" vertical="top" wrapText="0"/>
    </xf>
    <xf borderId="0" fillId="0" fontId="49" numFmtId="0" xfId="0" applyFont="1"/>
    <xf borderId="0" fillId="0" fontId="49" numFmtId="0" xfId="0" applyAlignment="1" applyFont="1">
      <alignment readingOrder="0"/>
    </xf>
    <xf borderId="19" fillId="0" fontId="23" numFmtId="0" xfId="0" applyAlignment="1" applyBorder="1" applyFont="1">
      <alignment horizontal="center" readingOrder="0" vertical="center"/>
    </xf>
    <xf borderId="19" fillId="0" fontId="50" numFmtId="164" xfId="0" applyAlignment="1" applyBorder="1" applyFont="1" applyNumberFormat="1">
      <alignment horizontal="center" readingOrder="0"/>
    </xf>
    <xf borderId="19" fillId="0" fontId="51" numFmtId="3" xfId="0" applyAlignment="1" applyBorder="1" applyFont="1" applyNumberFormat="1">
      <alignment horizontal="center" readingOrder="0" vertical="center"/>
    </xf>
    <xf borderId="19" fillId="0" fontId="50" numFmtId="164" xfId="0" applyAlignment="1" applyBorder="1" applyFont="1" applyNumberFormat="1">
      <alignment horizontal="center"/>
    </xf>
    <xf borderId="19" fillId="0" fontId="50" numFmtId="164" xfId="0" applyAlignment="1" applyBorder="1" applyFont="1" applyNumberFormat="1">
      <alignment horizontal="center" readingOrder="0" vertical="center"/>
    </xf>
    <xf borderId="19" fillId="0" fontId="50" numFmtId="0" xfId="0" applyAlignment="1" applyBorder="1" applyFont="1">
      <alignment horizontal="center" readingOrder="0" vertical="center"/>
    </xf>
    <xf borderId="19" fillId="0" fontId="23" numFmtId="0" xfId="0" applyAlignment="1" applyBorder="1" applyFont="1">
      <alignment horizontal="center" readingOrder="0" vertical="top"/>
    </xf>
    <xf borderId="19" fillId="4" fontId="23" numFmtId="0" xfId="0" applyAlignment="1" applyBorder="1" applyFont="1">
      <alignment horizontal="center" readingOrder="0" vertical="center"/>
    </xf>
    <xf borderId="19" fillId="11" fontId="23" numFmtId="0" xfId="0" applyAlignment="1" applyBorder="1" applyFont="1">
      <alignment horizontal="center" readingOrder="0" vertical="center"/>
    </xf>
    <xf borderId="19" fillId="11" fontId="50" numFmtId="164" xfId="0" applyAlignment="1" applyBorder="1" applyFont="1" applyNumberFormat="1">
      <alignment horizontal="center"/>
    </xf>
    <xf borderId="19" fillId="11" fontId="50" numFmtId="164" xfId="0" applyAlignment="1" applyBorder="1" applyFont="1" applyNumberFormat="1">
      <alignment horizontal="center" readingOrder="0"/>
    </xf>
    <xf borderId="19" fillId="11" fontId="50" numFmtId="0" xfId="0" applyAlignment="1" applyBorder="1" applyFont="1">
      <alignment horizontal="center" readingOrder="0" vertical="center"/>
    </xf>
    <xf borderId="19" fillId="11" fontId="52" numFmtId="164" xfId="0" applyAlignment="1" applyBorder="1" applyFont="1" applyNumberFormat="1">
      <alignment horizontal="center"/>
    </xf>
    <xf borderId="0" fillId="0" fontId="23" numFmtId="0" xfId="0" applyAlignment="1" applyFont="1">
      <alignment readingOrder="0" vertical="center"/>
    </xf>
    <xf borderId="0" fillId="0" fontId="50" numFmtId="164" xfId="0" applyAlignment="1" applyFont="1" applyNumberFormat="1">
      <alignment horizontal="center" readingOrder="0"/>
    </xf>
    <xf borderId="0" fillId="0" fontId="51" numFmtId="3" xfId="0" applyAlignment="1" applyFont="1" applyNumberFormat="1">
      <alignment horizontal="center" readingOrder="0"/>
    </xf>
    <xf borderId="0" fillId="0" fontId="50" numFmtId="164" xfId="0" applyAlignment="1" applyFont="1" applyNumberFormat="1">
      <alignment horizontal="center"/>
    </xf>
    <xf borderId="0" fillId="0" fontId="50" numFmtId="0" xfId="0" applyAlignment="1" applyFont="1">
      <alignment horizontal="center" readingOrder="0"/>
    </xf>
    <xf borderId="0" fillId="2" fontId="44" numFmtId="0" xfId="0" applyAlignment="1" applyFont="1">
      <alignment horizontal="center" readingOrder="0" vertical="top"/>
    </xf>
    <xf borderId="0" fillId="4" fontId="14" numFmtId="0" xfId="0" applyFont="1"/>
    <xf borderId="0" fillId="5" fontId="11" numFmtId="0" xfId="0" applyFont="1"/>
    <xf borderId="0" fillId="5" fontId="49" numFmtId="0" xfId="0" applyFont="1"/>
    <xf borderId="0" fillId="5" fontId="49" numFmtId="0" xfId="0" applyAlignment="1" applyFont="1">
      <alignment readingOrder="0"/>
    </xf>
    <xf borderId="0" fillId="5" fontId="50" numFmtId="0" xfId="0" applyFont="1"/>
    <xf borderId="0" fillId="5" fontId="14" numFmtId="0" xfId="0" applyFont="1"/>
    <xf borderId="0" fillId="15" fontId="53" numFmtId="0" xfId="0" applyAlignment="1" applyFill="1" applyFont="1">
      <alignment horizontal="center" readingOrder="0" vertical="center"/>
    </xf>
    <xf borderId="0" fillId="15" fontId="54" numFmtId="164" xfId="0" applyAlignment="1" applyFont="1" applyNumberFormat="1">
      <alignment horizontal="center" readingOrder="0"/>
    </xf>
    <xf borderId="0" fillId="15" fontId="55" numFmtId="3" xfId="0" applyAlignment="1" applyFont="1" applyNumberFormat="1">
      <alignment horizontal="center" readingOrder="0" vertical="center"/>
    </xf>
    <xf borderId="0" fillId="15" fontId="54" numFmtId="164" xfId="0" applyAlignment="1" applyFont="1" applyNumberFormat="1">
      <alignment horizontal="center"/>
    </xf>
    <xf borderId="0" fillId="15" fontId="54" numFmtId="164" xfId="0" applyAlignment="1" applyFont="1" applyNumberFormat="1">
      <alignment horizontal="center" readingOrder="0" vertical="center"/>
    </xf>
    <xf borderId="0" fillId="5" fontId="40" numFmtId="0" xfId="0" applyFont="1"/>
    <xf borderId="0" fillId="0" fontId="40" numFmtId="0" xfId="0" applyFont="1"/>
    <xf borderId="0" fillId="15" fontId="54" numFmtId="164" xfId="0" applyAlignment="1" applyFont="1" applyNumberFormat="1">
      <alignment horizontal="center" vertical="center"/>
    </xf>
    <xf borderId="0" fillId="0" fontId="53" numFmtId="0" xfId="0" applyAlignment="1" applyFont="1">
      <alignment horizontal="center" readingOrder="0" vertical="center"/>
    </xf>
    <xf borderId="0" fillId="0" fontId="54" numFmtId="164" xfId="0" applyAlignment="1" applyFont="1" applyNumberFormat="1">
      <alignment horizontal="center" readingOrder="0"/>
    </xf>
    <xf borderId="0" fillId="0" fontId="55" numFmtId="3" xfId="0" applyAlignment="1" applyFont="1" applyNumberFormat="1">
      <alignment horizontal="center" readingOrder="0" vertical="center"/>
    </xf>
    <xf borderId="0" fillId="0" fontId="54" numFmtId="164" xfId="0" applyAlignment="1" applyFont="1" applyNumberFormat="1">
      <alignment horizontal="center"/>
    </xf>
    <xf borderId="0" fillId="0" fontId="54" numFmtId="164" xfId="0" applyAlignment="1" applyFont="1" applyNumberFormat="1">
      <alignment horizontal="center" readingOrder="0" vertical="center"/>
    </xf>
    <xf borderId="0" fillId="16" fontId="53" numFmtId="0" xfId="0" applyAlignment="1" applyFill="1" applyFont="1">
      <alignment horizontal="center" readingOrder="0" vertical="top"/>
    </xf>
    <xf borderId="0" fillId="16" fontId="54" numFmtId="164" xfId="0" applyAlignment="1" applyFont="1" applyNumberFormat="1">
      <alignment horizontal="center" readingOrder="0"/>
    </xf>
    <xf borderId="0" fillId="16" fontId="55" numFmtId="3" xfId="0" applyAlignment="1" applyFont="1" applyNumberFormat="1">
      <alignment horizontal="center" readingOrder="0" vertical="center"/>
    </xf>
    <xf borderId="0" fillId="16" fontId="54" numFmtId="164" xfId="0" applyAlignment="1" applyFont="1" applyNumberFormat="1">
      <alignment horizontal="center"/>
    </xf>
    <xf borderId="0" fillId="16" fontId="54" numFmtId="164" xfId="0" applyAlignment="1" applyFont="1" applyNumberFormat="1">
      <alignment horizontal="center" readingOrder="0" vertical="center"/>
    </xf>
    <xf borderId="0" fillId="15" fontId="56" numFmtId="164" xfId="0" applyAlignment="1" applyFont="1" applyNumberFormat="1">
      <alignment horizontal="center"/>
    </xf>
    <xf borderId="0" fillId="6" fontId="15" numFmtId="0" xfId="0" applyAlignment="1" applyFont="1">
      <alignment readingOrder="0" vertical="bottom"/>
    </xf>
    <xf borderId="0" fillId="6" fontId="15" numFmtId="10" xfId="0" applyAlignment="1" applyFont="1" applyNumberFormat="1">
      <alignment readingOrder="0" vertical="bottom"/>
    </xf>
    <xf borderId="0" fillId="6" fontId="57" numFmtId="0" xfId="0" applyAlignment="1" applyFont="1">
      <alignment readingOrder="0" vertical="bottom"/>
    </xf>
    <xf borderId="0" fillId="6" fontId="58" numFmtId="0" xfId="0" applyAlignment="1" applyFont="1">
      <alignment horizontal="left" vertical="center"/>
    </xf>
    <xf borderId="0" fillId="6" fontId="28" numFmtId="0" xfId="0" applyFont="1"/>
    <xf borderId="0" fillId="6" fontId="28" numFmtId="10" xfId="0" applyFont="1" applyNumberFormat="1"/>
    <xf borderId="0" fillId="6" fontId="59" numFmtId="0" xfId="0" applyFont="1"/>
    <xf borderId="0" fillId="0" fontId="20" numFmtId="165" xfId="0" applyAlignment="1" applyFont="1" applyNumberFormat="1">
      <alignment horizontal="center" readingOrder="0" vertical="bottom"/>
    </xf>
    <xf borderId="0" fillId="17" fontId="60" numFmtId="0" xfId="0" applyAlignment="1" applyFill="1" applyFont="1">
      <alignment horizontal="center" readingOrder="0" vertical="center"/>
    </xf>
    <xf borderId="0" fillId="0" fontId="12" numFmtId="0" xfId="0" applyAlignment="1" applyFont="1">
      <alignment horizontal="left" readingOrder="0" vertical="top"/>
    </xf>
    <xf borderId="0" fillId="0" fontId="12" numFmtId="10" xfId="0" applyAlignment="1" applyFont="1" applyNumberFormat="1">
      <alignment horizontal="left" readingOrder="0" vertical="top"/>
    </xf>
    <xf borderId="0" fillId="0" fontId="20" numFmtId="0" xfId="0" applyAlignment="1" applyFont="1">
      <alignment horizontal="center" vertical="bottom"/>
    </xf>
    <xf borderId="0" fillId="0" fontId="61" numFmtId="167" xfId="0" applyAlignment="1" applyFont="1" applyNumberFormat="1">
      <alignment horizontal="center" readingOrder="0" vertical="top"/>
    </xf>
    <xf borderId="0" fillId="0" fontId="61" numFmtId="0" xfId="0" applyAlignment="1" applyFont="1">
      <alignment horizontal="center" readingOrder="0" vertical="top"/>
    </xf>
    <xf borderId="8" fillId="0" fontId="12" numFmtId="10" xfId="0" applyAlignment="1" applyBorder="1" applyFont="1" applyNumberFormat="1">
      <alignment horizontal="left" readingOrder="0" vertical="top"/>
    </xf>
    <xf borderId="0" fillId="0" fontId="59" numFmtId="167" xfId="0" applyAlignment="1" applyFont="1" applyNumberFormat="1">
      <alignment vertical="top"/>
    </xf>
    <xf borderId="20" fillId="4" fontId="61" numFmtId="167" xfId="0" applyAlignment="1" applyBorder="1" applyFont="1" applyNumberFormat="1">
      <alignment horizontal="center" readingOrder="0" vertical="top"/>
    </xf>
    <xf borderId="20" fillId="0" fontId="61" numFmtId="167" xfId="0" applyAlignment="1" applyBorder="1" applyFont="1" applyNumberFormat="1">
      <alignment horizontal="center" readingOrder="0" vertical="top"/>
    </xf>
    <xf borderId="20" fillId="17" fontId="60" numFmtId="0" xfId="0" applyAlignment="1" applyBorder="1" applyFont="1">
      <alignment horizontal="center" readingOrder="0" vertical="center"/>
    </xf>
    <xf borderId="0" fillId="0" fontId="13" numFmtId="0" xfId="0" applyAlignment="1" applyFont="1">
      <alignment readingOrder="0" vertical="center"/>
    </xf>
    <xf borderId="0" fillId="0" fontId="14" numFmtId="10" xfId="0" applyFont="1" applyNumberFormat="1"/>
    <xf borderId="21" fillId="0" fontId="26" numFmtId="0" xfId="0" applyAlignment="1" applyBorder="1" applyFont="1">
      <alignment horizontal="center" readingOrder="0" shrinkToFit="0" vertical="top" wrapText="1"/>
    </xf>
    <xf borderId="0" fillId="0" fontId="12" numFmtId="0" xfId="0" applyAlignment="1" applyFont="1">
      <alignment horizontal="center" readingOrder="0" vertical="center"/>
    </xf>
    <xf borderId="0" fillId="17" fontId="12" numFmtId="0" xfId="0" applyAlignment="1" applyFont="1">
      <alignment horizontal="center" readingOrder="0" vertical="center"/>
    </xf>
    <xf borderId="0" fillId="0" fontId="12" numFmtId="0" xfId="0" applyAlignment="1" applyFont="1">
      <alignment vertical="center"/>
    </xf>
    <xf borderId="22" fillId="17" fontId="62" numFmtId="164" xfId="0" applyAlignment="1" applyBorder="1" applyFont="1" applyNumberFormat="1">
      <alignment horizontal="center"/>
    </xf>
    <xf borderId="12" fillId="4" fontId="63" numFmtId="164" xfId="0" applyAlignment="1" applyBorder="1" applyFont="1" applyNumberFormat="1">
      <alignment horizontal="center" readingOrder="0"/>
    </xf>
    <xf borderId="12" fillId="4" fontId="63" numFmtId="164" xfId="0" applyAlignment="1" applyBorder="1" applyFont="1" applyNumberFormat="1">
      <alignment horizontal="center"/>
    </xf>
    <xf borderId="12" fillId="17" fontId="64" numFmtId="164" xfId="0" applyAlignment="1" applyBorder="1" applyFont="1" applyNumberFormat="1">
      <alignment horizontal="center"/>
    </xf>
    <xf borderId="12" fillId="17" fontId="64" numFmtId="164" xfId="0" applyAlignment="1" applyBorder="1" applyFont="1" applyNumberFormat="1">
      <alignment horizontal="center" readingOrder="0"/>
    </xf>
    <xf borderId="12" fillId="9" fontId="64" numFmtId="164" xfId="0" applyAlignment="1" applyBorder="1" applyFont="1" applyNumberFormat="1">
      <alignment horizontal="center"/>
    </xf>
    <xf borderId="12" fillId="17" fontId="65" numFmtId="164" xfId="0" applyAlignment="1" applyBorder="1" applyFont="1" applyNumberFormat="1">
      <alignment horizontal="center"/>
    </xf>
    <xf borderId="12" fillId="17" fontId="66" numFmtId="164" xfId="0" applyAlignment="1" applyBorder="1" applyFont="1" applyNumberFormat="1">
      <alignment horizontal="center"/>
    </xf>
    <xf borderId="12" fillId="18" fontId="63" numFmtId="164" xfId="0" applyAlignment="1" applyBorder="1" applyFill="1" applyFont="1" applyNumberFormat="1">
      <alignment horizontal="center"/>
    </xf>
    <xf borderId="12" fillId="18" fontId="63" numFmtId="164" xfId="0" applyAlignment="1" applyBorder="1" applyFont="1" applyNumberFormat="1">
      <alignment horizontal="center" readingOrder="0"/>
    </xf>
    <xf borderId="12" fillId="18" fontId="64" numFmtId="164" xfId="0" applyAlignment="1" applyBorder="1" applyFont="1" applyNumberFormat="1">
      <alignment horizontal="center"/>
    </xf>
    <xf borderId="12" fillId="18" fontId="64" numFmtId="164" xfId="0" applyAlignment="1" applyBorder="1" applyFont="1" applyNumberFormat="1">
      <alignment horizontal="center" readingOrder="0"/>
    </xf>
    <xf borderId="12" fillId="18" fontId="65" numFmtId="164" xfId="0" applyAlignment="1" applyBorder="1" applyFont="1" applyNumberFormat="1">
      <alignment horizontal="center"/>
    </xf>
    <xf borderId="12" fillId="18" fontId="66" numFmtId="164" xfId="0" applyAlignment="1" applyBorder="1" applyFont="1" applyNumberFormat="1">
      <alignment horizontal="center"/>
    </xf>
    <xf borderId="12" fillId="18" fontId="65" numFmtId="164" xfId="0" applyAlignment="1" applyBorder="1" applyFont="1" applyNumberFormat="1">
      <alignment horizontal="center" readingOrder="0"/>
    </xf>
    <xf borderId="12" fillId="9" fontId="64" numFmtId="164" xfId="0" applyAlignment="1" applyBorder="1" applyFont="1" applyNumberFormat="1">
      <alignment horizontal="center" readingOrder="0"/>
    </xf>
    <xf borderId="12" fillId="17" fontId="65" numFmtId="164" xfId="0" applyAlignment="1" applyBorder="1" applyFont="1" applyNumberFormat="1">
      <alignment horizontal="center" readingOrder="0"/>
    </xf>
    <xf borderId="12" fillId="9" fontId="67" numFmtId="164" xfId="0" applyAlignment="1" applyBorder="1" applyFont="1" applyNumberFormat="1">
      <alignment horizontal="center" readingOrder="0"/>
    </xf>
    <xf borderId="12" fillId="9" fontId="68" numFmtId="164" xfId="0" applyAlignment="1" applyBorder="1" applyFont="1" applyNumberFormat="1">
      <alignment horizontal="center" readingOrder="0"/>
    </xf>
    <xf borderId="16" fillId="18" fontId="66" numFmtId="164" xfId="0" applyAlignment="1" applyBorder="1" applyFont="1" applyNumberFormat="1">
      <alignment horizontal="center"/>
    </xf>
    <xf borderId="12" fillId="0" fontId="69" numFmtId="0" xfId="0" applyAlignment="1" applyBorder="1" applyFont="1">
      <alignment horizontal="center" shrinkToFit="0" vertical="center" wrapText="1"/>
    </xf>
    <xf borderId="16" fillId="0" fontId="56" numFmtId="0" xfId="0" applyAlignment="1" applyBorder="1" applyFont="1">
      <alignment horizontal="center" readingOrder="0" shrinkToFit="0" vertical="center" wrapText="1"/>
    </xf>
    <xf borderId="16" fillId="17" fontId="56" numFmtId="164" xfId="0" applyAlignment="1" applyBorder="1" applyFont="1" applyNumberFormat="1">
      <alignment horizontal="center" shrinkToFit="0" vertical="center" wrapText="1"/>
    </xf>
    <xf borderId="12" fillId="19" fontId="56" numFmtId="164" xfId="0" applyAlignment="1" applyBorder="1" applyFill="1" applyFont="1" applyNumberFormat="1">
      <alignment horizontal="center" readingOrder="0" shrinkToFit="0" vertical="center" wrapText="1"/>
    </xf>
    <xf borderId="12" fillId="19" fontId="56" numFmtId="164" xfId="0" applyAlignment="1" applyBorder="1" applyFont="1" applyNumberFormat="1">
      <alignment horizontal="center" shrinkToFit="0" vertical="center" wrapText="1"/>
    </xf>
    <xf borderId="12" fillId="19" fontId="69" numFmtId="164" xfId="0" applyAlignment="1" applyBorder="1" applyFont="1" applyNumberFormat="1">
      <alignment horizontal="center" readingOrder="0" shrinkToFit="0" vertical="center" wrapText="1"/>
    </xf>
    <xf borderId="12" fillId="19" fontId="69" numFmtId="164" xfId="0" applyAlignment="1" applyBorder="1" applyFont="1" applyNumberFormat="1">
      <alignment horizontal="center" shrinkToFit="0" vertical="center" wrapText="1"/>
    </xf>
    <xf borderId="12" fillId="9" fontId="69" numFmtId="164" xfId="0" applyAlignment="1" applyBorder="1" applyFont="1" applyNumberFormat="1">
      <alignment horizontal="center" shrinkToFit="0" vertical="center" wrapText="1"/>
    </xf>
    <xf borderId="16" fillId="19" fontId="69" numFmtId="164" xfId="0" applyAlignment="1" applyBorder="1" applyFont="1" applyNumberFormat="1">
      <alignment horizontal="center" shrinkToFit="0" vertical="center" wrapText="1"/>
    </xf>
    <xf borderId="12" fillId="0" fontId="56" numFmtId="0" xfId="0" applyAlignment="1" applyBorder="1" applyFont="1">
      <alignment horizontal="center" readingOrder="0" shrinkToFit="0" vertical="center" wrapText="1"/>
    </xf>
    <xf borderId="12" fillId="17" fontId="56" numFmtId="164" xfId="0" applyAlignment="1" applyBorder="1" applyFont="1" applyNumberFormat="1">
      <alignment horizontal="center" shrinkToFit="0" vertical="center" wrapText="1"/>
    </xf>
    <xf borderId="12" fillId="9" fontId="56" numFmtId="164" xfId="0" applyAlignment="1" applyBorder="1" applyFont="1" applyNumberFormat="1">
      <alignment horizontal="center" readingOrder="0" shrinkToFit="0" vertical="center" wrapText="1"/>
    </xf>
    <xf borderId="0" fillId="6" fontId="70" numFmtId="0" xfId="0" applyAlignment="1" applyFont="1">
      <alignment readingOrder="0" vertical="bottom"/>
    </xf>
    <xf borderId="0" fillId="0" fontId="19" numFmtId="0" xfId="0" applyAlignment="1" applyFont="1">
      <alignment horizontal="left" readingOrder="0" shrinkToFit="0" vertical="bottom" wrapText="0"/>
    </xf>
    <xf borderId="19" fillId="0" fontId="50" numFmtId="3" xfId="0" applyAlignment="1" applyBorder="1" applyFont="1" applyNumberFormat="1">
      <alignment horizontal="center" readingOrder="0"/>
    </xf>
    <xf borderId="19" fillId="0" fontId="50" numFmtId="3" xfId="0" applyAlignment="1" applyBorder="1" applyFont="1" applyNumberFormat="1">
      <alignment horizontal="center" readingOrder="0" vertical="center"/>
    </xf>
    <xf borderId="19" fillId="4" fontId="50" numFmtId="164" xfId="0" applyAlignment="1" applyBorder="1" applyFont="1" applyNumberFormat="1">
      <alignment horizontal="center" readingOrder="0"/>
    </xf>
    <xf borderId="19" fillId="4" fontId="50" numFmtId="164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B6D7A8"/>
          <bgColor rgb="FFB6D7A8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CC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0000"/>
      </font>
      <fill>
        <patternFill patternType="solid">
          <fgColor rgb="FFF8F9FA"/>
          <bgColor rgb="FFF8F9FA"/>
        </patternFill>
      </fill>
      <border/>
    </dxf>
    <dxf>
      <font>
        <b/>
        <color rgb="FF00FF00"/>
      </font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color rgb="FF6AA84F"/>
      </font>
      <fill>
        <patternFill patternType="solid">
          <fgColor rgb="FFFFFFFF"/>
          <bgColor rgb="FFFFFFFF"/>
        </patternFill>
      </fill>
      <border/>
    </dxf>
    <dxf>
      <font>
        <b/>
        <color rgb="FF6AA84F"/>
      </font>
      <fill>
        <patternFill patternType="solid">
          <fgColor rgb="FFF8F9FA"/>
          <bgColor rgb="FFF8F9FA"/>
        </patternFill>
      </fill>
      <border/>
    </dxf>
  </dxfs>
  <tableStyles count="27">
    <tableStyle count="2" pivot="0" name="الرواتب-style">
      <tableStyleElement dxfId="1" type="firstRowStripe"/>
      <tableStyleElement dxfId="2" type="secondRowStripe"/>
    </tableStyle>
    <tableStyle count="2" pivot="0" name="الرواتب-style 2">
      <tableStyleElement dxfId="1" type="firstRowStripe"/>
      <tableStyleElement dxfId="2" type="secondRowStripe"/>
    </tableStyle>
    <tableStyle count="2" pivot="0" name="الحظور-style">
      <tableStyleElement dxfId="1" type="firstRowStripe"/>
      <tableStyleElement dxfId="2" type="secondRowStripe"/>
    </tableStyle>
    <tableStyle count="4" pivot="0" name="salary calculations-style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2">
      <tableStyleElement dxfId="8" type="headerRow"/>
      <tableStyleElement dxfId="2" type="firstRowStripe"/>
      <tableStyleElement dxfId="2" type="secondRowStripe"/>
      <tableStyleElement dxfId="10" size="0" type="wholeTable"/>
    </tableStyle>
    <tableStyle count="4" pivot="0" name="salary calculations-style 3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4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5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6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7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8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9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0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1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2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3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4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5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6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7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8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19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4" pivot="0" name="salary calculations-style 20">
      <tableStyleElement dxfId="8" type="headerRow"/>
      <tableStyleElement dxfId="2" type="firstRowStripe"/>
      <tableStyleElement dxfId="9" type="secondRowStripe"/>
      <tableStyleElement dxfId="10" size="0" type="wholeTable"/>
    </tableStyle>
    <tableStyle count="2" pivot="0" name="رواتب شهر السابع-style">
      <tableStyleElement dxfId="1" type="firstRowStripe"/>
      <tableStyleElement dxfId="2" type="secondRowStripe"/>
    </tableStyle>
    <tableStyle count="2" pivot="0" name="السلف و الغرامات-style">
      <tableStyleElement dxfId="1" type="firstRowStripe"/>
      <tableStyleElement dxfId="2" type="secondRowStripe"/>
    </tableStyle>
    <tableStyle count="2" pivot="0" name="٧ السلف و الغرامات-style">
      <tableStyleElement dxfId="1" type="firstRowStripe"/>
      <tableStyleElement dxfId="2" type="secondRowStripe"/>
    </tableStyle>
    <tableStyle count="2" pivot="0" name="الحضور 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ider Mudher" id="{d7decbc3-4c35-4b9e-9e4f-47eee75e4cc1}" providerId="google-sheets"/>
  <x18tc:person displayName="The Workshop" id="{4fd5c8e5-f589-4093-989c-d363ee244b11}" providerId="google-sheets"/>
</x18tc:personList>
</file>

<file path=xl/tables/table1.xml><?xml version="1.0" encoding="utf-8"?>
<table xmlns="http://schemas.openxmlformats.org/spreadsheetml/2006/main" headerRowCount="0" ref="B6:B32" displayName="Table_1" name="Table_1" id="1">
  <tableColumns count="1">
    <tableColumn name="Column1" id="1"/>
  </tableColumns>
  <tableStyleInfo name="الرواتب-style" showColumnStripes="0" showFirstColumn="1" showLastColumn="1" showRowStripes="1"/>
</table>
</file>

<file path=xl/tables/table2.xml><?xml version="1.0" encoding="utf-8"?>
<table xmlns="http://schemas.openxmlformats.org/spreadsheetml/2006/main" headerRowCount="0" ref="C6:C23" displayName="Table_2" name="Table_2" id="2">
  <tableColumns count="1">
    <tableColumn name="Column1" id="1"/>
  </tableColumns>
  <tableStyleInfo name="الرواتب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4:OL16" displayName="Table_3" name="Table_3" id="3">
  <tableColumns count="40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  <tableColumn name="Column390" id="390"/>
    <tableColumn name="Column391" id="391"/>
    <tableColumn name="Column392" id="392"/>
    <tableColumn name="Column393" id="393"/>
    <tableColumn name="Column394" id="394"/>
    <tableColumn name="Column395" id="395"/>
    <tableColumn name="Column396" id="396"/>
    <tableColumn name="Column397" id="397"/>
    <tableColumn name="Column398" id="398"/>
    <tableColumn name="Column399" id="399"/>
    <tableColumn name="Column400" id="400"/>
    <tableColumn name="Column401" id="401"/>
    <tableColumn name="Column402" id="402"/>
  </tableColumns>
  <tableStyleInfo name="الحظور-style" showColumnStripes="0" showFirstColumn="1" showLastColumn="1" showRowStripes="1"/>
</table>
</file>

<file path=xl/tables/table4.xml><?xml version="1.0" encoding="utf-8"?>
<table xmlns="http://schemas.openxmlformats.org/spreadsheetml/2006/main" ref="A1:F21" displayName="يوسف_يعقوب" name="يوسف_يعقوب" id="4">
  <tableColumns count="6">
    <tableColumn name="Task" id="1"/>
    <tableColumn name="Hourly Rate (IQD)" id="2"/>
    <tableColumn name="Hours Worked" id="3"/>
    <tableColumn name="Checkbox (Selected)" id="4"/>
    <tableColumn name="Subtotal (IQD)" id="5"/>
    <tableColumn name="Column 1" id="6"/>
  </tableColumns>
  <tableStyleInfo name="salary calculations-style" showColumnStripes="0" showFirstColumn="1" showLastColumn="1" showRowStripes="1"/>
</table>
</file>

<file path=xl/tables/table5.xml><?xml version="1.0" encoding="utf-8"?>
<table xmlns="http://schemas.openxmlformats.org/spreadsheetml/2006/main" ref="H1:L21" displayName="حيدر_مضر" name="حيدر_مضر" id="5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2" showColumnStripes="0" showFirstColumn="1" showLastColumn="1" showRowStripes="1"/>
</table>
</file>

<file path=xl/tables/table6.xml><?xml version="1.0" encoding="utf-8"?>
<table xmlns="http://schemas.openxmlformats.org/spreadsheetml/2006/main" ref="A24:E44" displayName="علي_المظفر" name="علي_المظفر" id="6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3" showColumnStripes="0" showFirstColumn="1" showLastColumn="1" showRowStripes="1"/>
</table>
</file>

<file path=xl/tables/table7.xml><?xml version="1.0" encoding="utf-8"?>
<table xmlns="http://schemas.openxmlformats.org/spreadsheetml/2006/main" ref="H24:L44" displayName="عبدالرضا_عقيل" name="عبدالرضا_عقيل" id="7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4" showColumnStripes="0" showFirstColumn="1" showLastColumn="1" showRowStripes="1"/>
</table>
</file>

<file path=xl/tables/table8.xml><?xml version="1.0" encoding="utf-8"?>
<table xmlns="http://schemas.openxmlformats.org/spreadsheetml/2006/main" ref="A47:E67" displayName="رضا_تنظيف" name="رضا_تنظيف" id="8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5" showColumnStripes="0" showFirstColumn="1" showLastColumn="1" showRowStripes="1"/>
</table>
</file>

<file path=xl/tables/table9.xml><?xml version="1.0" encoding="utf-8"?>
<table xmlns="http://schemas.openxmlformats.org/spreadsheetml/2006/main" ref="H47:L67" displayName="سجاد" name="سجاد" id="9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6" showColumnStripes="0" showFirstColumn="1" showLastColumn="1" showRowStripes="1"/>
</table>
</file>

<file path=xl/tables/table10.xml><?xml version="1.0" encoding="utf-8"?>
<table xmlns="http://schemas.openxmlformats.org/spreadsheetml/2006/main" ref="A70:E90" displayName="حيدر_الكهربائي" name="حيدر_الكهربائي" id="10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7" showColumnStripes="0" showFirstColumn="1" showLastColumn="1" showRowStripes="1"/>
</table>
</file>

<file path=xl/tables/table11.xml><?xml version="1.0" encoding="utf-8"?>
<table xmlns="http://schemas.openxmlformats.org/spreadsheetml/2006/main" ref="H70:L90" displayName="عبد_الله_صبغ" name="عبد_الله_صبغ" id="11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8" showColumnStripes="0" showFirstColumn="1" showLastColumn="1" showRowStripes="1"/>
</table>
</file>

<file path=xl/tables/table12.xml><?xml version="1.0" encoding="utf-8"?>
<table xmlns="http://schemas.openxmlformats.org/spreadsheetml/2006/main" ref="A93:E113" displayName="وليد" name="وليد" id="12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9" showColumnStripes="0" showFirstColumn="1" showLastColumn="1" showRowStripes="1"/>
</table>
</file>

<file path=xl/tables/table13.xml><?xml version="1.0" encoding="utf-8"?>
<table xmlns="http://schemas.openxmlformats.org/spreadsheetml/2006/main" ref="H93:L113" displayName="حيدر_المحاسب" name="حيدر_المحاسب" id="13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0" showColumnStripes="0" showFirstColumn="1" showLastColumn="1" showRowStripes="1"/>
</table>
</file>

<file path=xl/tables/table14.xml><?xml version="1.0" encoding="utf-8"?>
<table xmlns="http://schemas.openxmlformats.org/spreadsheetml/2006/main" ref="A116:E136" displayName="معتصم" name="معتصم" id="14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1" showColumnStripes="0" showFirstColumn="1" showLastColumn="1" showRowStripes="1"/>
</table>
</file>

<file path=xl/tables/table15.xml><?xml version="1.0" encoding="utf-8"?>
<table xmlns="http://schemas.openxmlformats.org/spreadsheetml/2006/main" ref="H116:L136" displayName="ووو" name="ووو" id="15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2" showColumnStripes="0" showFirstColumn="1" showLastColumn="1" showRowStripes="1"/>
</table>
</file>

<file path=xl/tables/table16.xml><?xml version="1.0" encoding="utf-8"?>
<table xmlns="http://schemas.openxmlformats.org/spreadsheetml/2006/main" ref="A139:E159" displayName="يوسف_ي" name="يوسف_ي" id="16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3" showColumnStripes="0" showFirstColumn="1" showLastColumn="1" showRowStripes="1"/>
</table>
</file>

<file path=xl/tables/table17.xml><?xml version="1.0" encoding="utf-8"?>
<table xmlns="http://schemas.openxmlformats.org/spreadsheetml/2006/main" ref="H139:L159" displayName="اشرف" name="اشرف" id="17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4" showColumnStripes="0" showFirstColumn="1" showLastColumn="1" showRowStripes="1"/>
</table>
</file>

<file path=xl/tables/table18.xml><?xml version="1.0" encoding="utf-8"?>
<table xmlns="http://schemas.openxmlformats.org/spreadsheetml/2006/main" ref="A162:E182" displayName="يونس_" name="يونس_" id="18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5" showColumnStripes="0" showFirstColumn="1" showLastColumn="1" showRowStripes="1"/>
</table>
</file>

<file path=xl/tables/table19.xml><?xml version="1.0" encoding="utf-8"?>
<table xmlns="http://schemas.openxmlformats.org/spreadsheetml/2006/main" ref="H162:L182" displayName="Table10" name="Table10" id="19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6" showColumnStripes="0" showFirstColumn="1" showLastColumn="1" showRowStripes="1"/>
</table>
</file>

<file path=xl/tables/table20.xml><?xml version="1.0" encoding="utf-8"?>
<table xmlns="http://schemas.openxmlformats.org/spreadsheetml/2006/main" ref="A185:E205" displayName="Table8" name="Table8" id="20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7" showColumnStripes="0" showFirstColumn="1" showLastColumn="1" showRowStripes="1"/>
</table>
</file>

<file path=xl/tables/table21.xml><?xml version="1.0" encoding="utf-8"?>
<table xmlns="http://schemas.openxmlformats.org/spreadsheetml/2006/main" ref="H185:L205" displayName="علي_عمار_" name="علي_عمار_" id="21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8" showColumnStripes="0" showFirstColumn="1" showLastColumn="1" showRowStripes="1"/>
</table>
</file>

<file path=xl/tables/table22.xml><?xml version="1.0" encoding="utf-8"?>
<table xmlns="http://schemas.openxmlformats.org/spreadsheetml/2006/main" ref="A208:E228" displayName="Table9" name="Table9" id="22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19" showColumnStripes="0" showFirstColumn="1" showLastColumn="1" showRowStripes="1"/>
</table>
</file>

<file path=xl/tables/table23.xml><?xml version="1.0" encoding="utf-8"?>
<table xmlns="http://schemas.openxmlformats.org/spreadsheetml/2006/main" ref="H208:L228" displayName="Table12" name="Table12" id="23">
  <tableColumns count="5">
    <tableColumn name="Task" id="1"/>
    <tableColumn name="Hourly Rate (IQD)" id="2"/>
    <tableColumn name="Hours Worked" id="3"/>
    <tableColumn name="Checkbox (Selected)" id="4"/>
    <tableColumn name="Subtotal (IQD)" id="5"/>
  </tableColumns>
  <tableStyleInfo name="salary calculations-style 20" showColumnStripes="0" showFirstColumn="1" showLastColumn="1" showRowStripes="1"/>
</table>
</file>

<file path=xl/tables/table24.xml><?xml version="1.0" encoding="utf-8"?>
<table xmlns="http://schemas.openxmlformats.org/spreadsheetml/2006/main" headerRowCount="0" ref="A18:A20" displayName="Table_4" name="Table_4" id="24">
  <tableColumns count="1">
    <tableColumn name="Column1" id="1"/>
  </tableColumns>
  <tableStyleInfo name="رواتب شهر السابع-style" showColumnStripes="0" showFirstColumn="1" showLastColumn="1" showRowStripes="1"/>
</table>
</file>

<file path=xl/tables/table25.xml><?xml version="1.0" encoding="utf-8"?>
<table xmlns="http://schemas.openxmlformats.org/spreadsheetml/2006/main" headerRowCount="0" ref="A5:GA18" displayName="Table_5" name="Table_5" id="25">
  <tableColumns count="18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</tableColumns>
  <tableStyleInfo name="السلف و الغرامات-style" showColumnStripes="0" showFirstColumn="1" showLastColumn="1" showRowStripes="1"/>
</table>
</file>

<file path=xl/tables/table26.xml><?xml version="1.0" encoding="utf-8"?>
<table xmlns="http://schemas.openxmlformats.org/spreadsheetml/2006/main" headerRowCount="0" ref="A5:GA18" displayName="Table_6" name="Table_6" id="26">
  <tableColumns count="18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</tableColumns>
  <tableStyleInfo name="٧ السلف و الغرامات-style" showColumnStripes="0" showFirstColumn="1" showLastColumn="1" showRowStripes="1"/>
</table>
</file>

<file path=xl/tables/table27.xml><?xml version="1.0" encoding="utf-8"?>
<table xmlns="http://schemas.openxmlformats.org/spreadsheetml/2006/main" headerRowCount="0" ref="A14:OL16" displayName="Table_7" name="Table_7" id="27">
  <tableColumns count="40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  <tableColumn name="Column86" id="86"/>
    <tableColumn name="Column87" id="87"/>
    <tableColumn name="Column88" id="88"/>
    <tableColumn name="Column89" id="89"/>
    <tableColumn name="Column90" id="90"/>
    <tableColumn name="Column91" id="91"/>
    <tableColumn name="Column92" id="92"/>
    <tableColumn name="Column93" id="93"/>
    <tableColumn name="Column94" id="94"/>
    <tableColumn name="Column95" id="95"/>
    <tableColumn name="Column96" id="96"/>
    <tableColumn name="Column97" id="97"/>
    <tableColumn name="Column98" id="98"/>
    <tableColumn name="Column99" id="99"/>
    <tableColumn name="Column100" id="100"/>
    <tableColumn name="Column101" id="101"/>
    <tableColumn name="Column102" id="102"/>
    <tableColumn name="Column103" id="103"/>
    <tableColumn name="Column104" id="104"/>
    <tableColumn name="Column105" id="105"/>
    <tableColumn name="Column106" id="106"/>
    <tableColumn name="Column107" id="107"/>
    <tableColumn name="Column108" id="108"/>
    <tableColumn name="Column109" id="109"/>
    <tableColumn name="Column110" id="110"/>
    <tableColumn name="Column111" id="111"/>
    <tableColumn name="Column112" id="112"/>
    <tableColumn name="Column113" id="113"/>
    <tableColumn name="Column114" id="114"/>
    <tableColumn name="Column115" id="115"/>
    <tableColumn name="Column116" id="116"/>
    <tableColumn name="Column117" id="117"/>
    <tableColumn name="Column118" id="118"/>
    <tableColumn name="Column119" id="119"/>
    <tableColumn name="Column120" id="120"/>
    <tableColumn name="Column121" id="121"/>
    <tableColumn name="Column122" id="122"/>
    <tableColumn name="Column123" id="123"/>
    <tableColumn name="Column124" id="124"/>
    <tableColumn name="Column125" id="125"/>
    <tableColumn name="Column126" id="126"/>
    <tableColumn name="Column127" id="127"/>
    <tableColumn name="Column128" id="128"/>
    <tableColumn name="Column129" id="129"/>
    <tableColumn name="Column130" id="130"/>
    <tableColumn name="Column131" id="131"/>
    <tableColumn name="Column132" id="132"/>
    <tableColumn name="Column133" id="133"/>
    <tableColumn name="Column134" id="134"/>
    <tableColumn name="Column135" id="135"/>
    <tableColumn name="Column136" id="136"/>
    <tableColumn name="Column137" id="137"/>
    <tableColumn name="Column138" id="138"/>
    <tableColumn name="Column139" id="139"/>
    <tableColumn name="Column140" id="140"/>
    <tableColumn name="Column141" id="141"/>
    <tableColumn name="Column142" id="142"/>
    <tableColumn name="Column143" id="143"/>
    <tableColumn name="Column144" id="144"/>
    <tableColumn name="Column145" id="145"/>
    <tableColumn name="Column146" id="146"/>
    <tableColumn name="Column147" id="147"/>
    <tableColumn name="Column148" id="148"/>
    <tableColumn name="Column149" id="149"/>
    <tableColumn name="Column150" id="150"/>
    <tableColumn name="Column151" id="151"/>
    <tableColumn name="Column152" id="152"/>
    <tableColumn name="Column153" id="153"/>
    <tableColumn name="Column154" id="154"/>
    <tableColumn name="Column155" id="155"/>
    <tableColumn name="Column156" id="156"/>
    <tableColumn name="Column157" id="157"/>
    <tableColumn name="Column158" id="158"/>
    <tableColumn name="Column159" id="159"/>
    <tableColumn name="Column160" id="160"/>
    <tableColumn name="Column161" id="161"/>
    <tableColumn name="Column162" id="162"/>
    <tableColumn name="Column163" id="163"/>
    <tableColumn name="Column164" id="164"/>
    <tableColumn name="Column165" id="165"/>
    <tableColumn name="Column166" id="166"/>
    <tableColumn name="Column167" id="167"/>
    <tableColumn name="Column168" id="168"/>
    <tableColumn name="Column169" id="169"/>
    <tableColumn name="Column170" id="170"/>
    <tableColumn name="Column171" id="171"/>
    <tableColumn name="Column172" id="172"/>
    <tableColumn name="Column173" id="173"/>
    <tableColumn name="Column174" id="174"/>
    <tableColumn name="Column175" id="175"/>
    <tableColumn name="Column176" id="176"/>
    <tableColumn name="Column177" id="177"/>
    <tableColumn name="Column178" id="178"/>
    <tableColumn name="Column179" id="179"/>
    <tableColumn name="Column180" id="180"/>
    <tableColumn name="Column181" id="181"/>
    <tableColumn name="Column182" id="182"/>
    <tableColumn name="Column183" id="183"/>
    <tableColumn name="Column184" id="184"/>
    <tableColumn name="Column185" id="185"/>
    <tableColumn name="Column186" id="186"/>
    <tableColumn name="Column187" id="187"/>
    <tableColumn name="Column188" id="188"/>
    <tableColumn name="Column189" id="189"/>
    <tableColumn name="Column190" id="190"/>
    <tableColumn name="Column191" id="191"/>
    <tableColumn name="Column192" id="192"/>
    <tableColumn name="Column193" id="193"/>
    <tableColumn name="Column194" id="194"/>
    <tableColumn name="Column195" id="195"/>
    <tableColumn name="Column196" id="196"/>
    <tableColumn name="Column197" id="197"/>
    <tableColumn name="Column198" id="198"/>
    <tableColumn name="Column199" id="199"/>
    <tableColumn name="Column200" id="200"/>
    <tableColumn name="Column201" id="201"/>
    <tableColumn name="Column202" id="202"/>
    <tableColumn name="Column203" id="203"/>
    <tableColumn name="Column204" id="204"/>
    <tableColumn name="Column205" id="205"/>
    <tableColumn name="Column206" id="206"/>
    <tableColumn name="Column207" id="207"/>
    <tableColumn name="Column208" id="208"/>
    <tableColumn name="Column209" id="209"/>
    <tableColumn name="Column210" id="210"/>
    <tableColumn name="Column211" id="211"/>
    <tableColumn name="Column212" id="212"/>
    <tableColumn name="Column213" id="213"/>
    <tableColumn name="Column214" id="214"/>
    <tableColumn name="Column215" id="215"/>
    <tableColumn name="Column216" id="216"/>
    <tableColumn name="Column217" id="217"/>
    <tableColumn name="Column218" id="218"/>
    <tableColumn name="Column219" id="219"/>
    <tableColumn name="Column220" id="220"/>
    <tableColumn name="Column221" id="221"/>
    <tableColumn name="Column222" id="222"/>
    <tableColumn name="Column223" id="223"/>
    <tableColumn name="Column224" id="224"/>
    <tableColumn name="Column225" id="225"/>
    <tableColumn name="Column226" id="226"/>
    <tableColumn name="Column227" id="227"/>
    <tableColumn name="Column228" id="228"/>
    <tableColumn name="Column229" id="229"/>
    <tableColumn name="Column230" id="230"/>
    <tableColumn name="Column231" id="231"/>
    <tableColumn name="Column232" id="232"/>
    <tableColumn name="Column233" id="233"/>
    <tableColumn name="Column234" id="234"/>
    <tableColumn name="Column235" id="235"/>
    <tableColumn name="Column236" id="236"/>
    <tableColumn name="Column237" id="237"/>
    <tableColumn name="Column238" id="238"/>
    <tableColumn name="Column239" id="239"/>
    <tableColumn name="Column240" id="240"/>
    <tableColumn name="Column241" id="241"/>
    <tableColumn name="Column242" id="242"/>
    <tableColumn name="Column243" id="243"/>
    <tableColumn name="Column244" id="244"/>
    <tableColumn name="Column245" id="245"/>
    <tableColumn name="Column246" id="246"/>
    <tableColumn name="Column247" id="247"/>
    <tableColumn name="Column248" id="248"/>
    <tableColumn name="Column249" id="249"/>
    <tableColumn name="Column250" id="250"/>
    <tableColumn name="Column251" id="251"/>
    <tableColumn name="Column252" id="252"/>
    <tableColumn name="Column253" id="253"/>
    <tableColumn name="Column254" id="254"/>
    <tableColumn name="Column255" id="255"/>
    <tableColumn name="Column256" id="256"/>
    <tableColumn name="Column257" id="257"/>
    <tableColumn name="Column258" id="258"/>
    <tableColumn name="Column259" id="259"/>
    <tableColumn name="Column260" id="260"/>
    <tableColumn name="Column261" id="261"/>
    <tableColumn name="Column262" id="262"/>
    <tableColumn name="Column263" id="263"/>
    <tableColumn name="Column264" id="264"/>
    <tableColumn name="Column265" id="265"/>
    <tableColumn name="Column266" id="266"/>
    <tableColumn name="Column267" id="267"/>
    <tableColumn name="Column268" id="268"/>
    <tableColumn name="Column269" id="269"/>
    <tableColumn name="Column270" id="270"/>
    <tableColumn name="Column271" id="271"/>
    <tableColumn name="Column272" id="272"/>
    <tableColumn name="Column273" id="273"/>
    <tableColumn name="Column274" id="274"/>
    <tableColumn name="Column275" id="275"/>
    <tableColumn name="Column276" id="276"/>
    <tableColumn name="Column277" id="277"/>
    <tableColumn name="Column278" id="278"/>
    <tableColumn name="Column279" id="279"/>
    <tableColumn name="Column280" id="280"/>
    <tableColumn name="Column281" id="281"/>
    <tableColumn name="Column282" id="282"/>
    <tableColumn name="Column283" id="283"/>
    <tableColumn name="Column284" id="284"/>
    <tableColumn name="Column285" id="285"/>
    <tableColumn name="Column286" id="286"/>
    <tableColumn name="Column287" id="287"/>
    <tableColumn name="Column288" id="288"/>
    <tableColumn name="Column289" id="289"/>
    <tableColumn name="Column290" id="290"/>
    <tableColumn name="Column291" id="291"/>
    <tableColumn name="Column292" id="292"/>
    <tableColumn name="Column293" id="293"/>
    <tableColumn name="Column294" id="294"/>
    <tableColumn name="Column295" id="295"/>
    <tableColumn name="Column296" id="296"/>
    <tableColumn name="Column297" id="297"/>
    <tableColumn name="Column298" id="298"/>
    <tableColumn name="Column299" id="299"/>
    <tableColumn name="Column300" id="300"/>
    <tableColumn name="Column301" id="301"/>
    <tableColumn name="Column302" id="302"/>
    <tableColumn name="Column303" id="303"/>
    <tableColumn name="Column304" id="304"/>
    <tableColumn name="Column305" id="305"/>
    <tableColumn name="Column306" id="306"/>
    <tableColumn name="Column307" id="307"/>
    <tableColumn name="Column308" id="308"/>
    <tableColumn name="Column309" id="309"/>
    <tableColumn name="Column310" id="310"/>
    <tableColumn name="Column311" id="311"/>
    <tableColumn name="Column312" id="312"/>
    <tableColumn name="Column313" id="313"/>
    <tableColumn name="Column314" id="314"/>
    <tableColumn name="Column315" id="315"/>
    <tableColumn name="Column316" id="316"/>
    <tableColumn name="Column317" id="317"/>
    <tableColumn name="Column318" id="318"/>
    <tableColumn name="Column319" id="319"/>
    <tableColumn name="Column320" id="320"/>
    <tableColumn name="Column321" id="321"/>
    <tableColumn name="Column322" id="322"/>
    <tableColumn name="Column323" id="323"/>
    <tableColumn name="Column324" id="324"/>
    <tableColumn name="Column325" id="325"/>
    <tableColumn name="Column326" id="326"/>
    <tableColumn name="Column327" id="327"/>
    <tableColumn name="Column328" id="328"/>
    <tableColumn name="Column329" id="329"/>
    <tableColumn name="Column330" id="330"/>
    <tableColumn name="Column331" id="331"/>
    <tableColumn name="Column332" id="332"/>
    <tableColumn name="Column333" id="333"/>
    <tableColumn name="Column334" id="334"/>
    <tableColumn name="Column335" id="335"/>
    <tableColumn name="Column336" id="336"/>
    <tableColumn name="Column337" id="337"/>
    <tableColumn name="Column338" id="338"/>
    <tableColumn name="Column339" id="339"/>
    <tableColumn name="Column340" id="340"/>
    <tableColumn name="Column341" id="341"/>
    <tableColumn name="Column342" id="342"/>
    <tableColumn name="Column343" id="343"/>
    <tableColumn name="Column344" id="344"/>
    <tableColumn name="Column345" id="345"/>
    <tableColumn name="Column346" id="346"/>
    <tableColumn name="Column347" id="347"/>
    <tableColumn name="Column348" id="348"/>
    <tableColumn name="Column349" id="349"/>
    <tableColumn name="Column350" id="350"/>
    <tableColumn name="Column351" id="351"/>
    <tableColumn name="Column352" id="352"/>
    <tableColumn name="Column353" id="353"/>
    <tableColumn name="Column354" id="354"/>
    <tableColumn name="Column355" id="355"/>
    <tableColumn name="Column356" id="356"/>
    <tableColumn name="Column357" id="357"/>
    <tableColumn name="Column358" id="358"/>
    <tableColumn name="Column359" id="359"/>
    <tableColumn name="Column360" id="360"/>
    <tableColumn name="Column361" id="361"/>
    <tableColumn name="Column362" id="362"/>
    <tableColumn name="Column363" id="363"/>
    <tableColumn name="Column364" id="364"/>
    <tableColumn name="Column365" id="365"/>
    <tableColumn name="Column366" id="366"/>
    <tableColumn name="Column367" id="367"/>
    <tableColumn name="Column368" id="368"/>
    <tableColumn name="Column369" id="369"/>
    <tableColumn name="Column370" id="370"/>
    <tableColumn name="Column371" id="371"/>
    <tableColumn name="Column372" id="372"/>
    <tableColumn name="Column373" id="373"/>
    <tableColumn name="Column374" id="374"/>
    <tableColumn name="Column375" id="375"/>
    <tableColumn name="Column376" id="376"/>
    <tableColumn name="Column377" id="377"/>
    <tableColumn name="Column378" id="378"/>
    <tableColumn name="Column379" id="379"/>
    <tableColumn name="Column380" id="380"/>
    <tableColumn name="Column381" id="381"/>
    <tableColumn name="Column382" id="382"/>
    <tableColumn name="Column383" id="383"/>
    <tableColumn name="Column384" id="384"/>
    <tableColumn name="Column385" id="385"/>
    <tableColumn name="Column386" id="386"/>
    <tableColumn name="Column387" id="387"/>
    <tableColumn name="Column388" id="388"/>
    <tableColumn name="Column389" id="389"/>
    <tableColumn name="Column390" id="390"/>
    <tableColumn name="Column391" id="391"/>
    <tableColumn name="Column392" id="392"/>
    <tableColumn name="Column393" id="393"/>
    <tableColumn name="Column394" id="394"/>
    <tableColumn name="Column395" id="395"/>
    <tableColumn name="Column396" id="396"/>
    <tableColumn name="Column397" id="397"/>
    <tableColumn name="Column398" id="398"/>
    <tableColumn name="Column399" id="399"/>
    <tableColumn name="Column400" id="400"/>
    <tableColumn name="Column401" id="401"/>
    <tableColumn name="Column402" id="402"/>
  </tableColumns>
  <tableStyleInfo name="الحضو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4CCCC"/>
      </a:lt1>
      <a:dk2>
        <a:srgbClr val="005975"/>
      </a:dk2>
      <a:lt2>
        <a:srgbClr val="F4CCCC"/>
      </a:lt2>
      <a:accent1>
        <a:srgbClr val="0000FF"/>
      </a:accent1>
      <a:accent2>
        <a:srgbClr val="0091DE"/>
      </a:accent2>
      <a:accent3>
        <a:srgbClr val="00A3FA"/>
      </a:accent3>
      <a:accent4>
        <a:srgbClr val="FFFF00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5-05T10:20:35.00" personId="{d7decbc3-4c35-4b9e-9e4f-47eee75e4cc1}" id="{4a159546-c564-4c45-a713-79e4f56dc988}" done="1">
    <x18tc:text xml:space="preserve">سلفة</x18tc:text>
  </x18tc:threadedComment>
  <x18tc:threadedComment ref="A1" dT="2025-05-05T10:54:26.00" personId="{d7decbc3-4c35-4b9e-9e4f-47eee75e4cc1}" id="{49dbdb25-f415-499d-bf0d-af3571f8774b}" done="1">
    <x18tc:text xml:space="preserve">بر ينة 4 ملم</x18tc:text>
  </x18tc:threadedComment>
  <x18tc:threadedComment ref="JJ6" dT="2025-06-07T08:52:50.00" personId="{d7decbc3-4c35-4b9e-9e4f-47eee75e4cc1}" id="{d506eb9b-ac37-4652-ae7e-cdb4b3fddff5}" done="0">
    <x18tc:text xml:space="preserve">خصم 12</x18tc:text>
  </x18tc:threadedComment>
  <x18tc:threadedComment ref="A1" dT="2025-05-05T10:13:32.00" personId="{d7decbc3-4c35-4b9e-9e4f-47eee75e4cc1}" id="{fc2f01dc-5ef3-46ae-8413-098c0640e757}" done="1">
    <x18tc:text xml:space="preserve">برينة 4 ملم عدم اطفاء المكينة</x18tc:text>
  </x18tc:threadedComment>
  <x18tc:threadedComment ref="A1" dT="2025-05-05T11:05:56.00" personId="{d7decbc3-4c35-4b9e-9e4f-47eee75e4cc1}" id="{62abb868-078a-41fd-8f43-f58121553313}" parentId="{fc2f01dc-5ef3-46ae-8413-098c0640e757}">
    <x18tc:text xml:space="preserve">Marked as resolved</x18tc:text>
  </x18tc:threadedComment>
  <x18tc:threadedComment ref="A1" dT="2025-07-15T09:12:42.00" personId="{4fd5c8e5-f589-4093-989c-d363ee244b11}" id="{1c55fb21-fb68-4a8c-89de-8536d4546bda}" parentId="{fc2f01dc-5ef3-46ae-8413-098c0640e757}">
    <x18tc:text xml:space="preserve">Re-opened</x18tc:text>
  </x18tc:threadedComment>
  <x18tc:threadedComment ref="A1" dT="2025-05-24T15:02:41.00" personId="{d7decbc3-4c35-4b9e-9e4f-47eee75e4cc1}" id="{e4e6cac7-2c65-4fba-aaa6-064ec0c3c5af}" done="1">
    <x18tc:text xml:space="preserve">بوكس خطأ و تم الرفض</x18tc:text>
  </x18tc:threadedComment>
  <x18tc:threadedComment ref="A1" dT="2025-05-05T12:10:09.00" personId="{d7decbc3-4c35-4b9e-9e4f-47eee75e4cc1}" id="{45c17137-aede-496c-9bb7-14794a5b5bb1}" done="1">
    <x18tc:text xml:space="preserve">عقوبة مزدوجة غياب يومين</x18tc:text>
  </x18tc:threadedComment>
  <x18tc:threadedComment ref="IA13" dT="2025-04-25T05:47:36.00" personId="{4fd5c8e5-f589-4093-989c-d363ee244b11}" id="{c7c6f38a-915a-44e5-98bb-6ea76e1a3d62}" done="1">
    <x18tc:text xml:space="preserve">جاي بس ما باصم</x18tc:text>
  </x18tc:threadedComment>
  <x18tc:threadedComment ref="A1" dT="2025-05-05T12:11:21.00" personId="{d7decbc3-4c35-4b9e-9e4f-47eee75e4cc1}" id="{e1d332c9-31f1-45f9-8b30-2e93acf69940}" done="0">
    <x18tc:text xml:space="preserve">برينة 4 ملم</x18tc:text>
  </x18tc:threadedComment>
  <x18tc:threadedComment ref="A1" dT="2025-05-05T10:43:05.00" personId="{d7decbc3-4c35-4b9e-9e4f-47eee75e4cc1}" id="{f71a4284-59a1-4a46-bebb-d9cf943fe77c}" done="1">
    <x18tc:text xml:space="preserve">برينة 4 ملم و عدم اطفاء المكينة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Y12" dT="2025-05-22T15:09:51.00" personId="{d7decbc3-4c35-4b9e-9e4f-47eee75e4cc1}" id="{38abf503-5f09-4ba2-b8b0-3245a0d0154a}" done="0">
    <x18tc:text xml:space="preserve">برينه</x18tc:text>
  </x18tc:threadedComment>
  <x18tc:threadedComment ref="FK8" dT="2025-05-05T10:21:11.00" personId="{d7decbc3-4c35-4b9e-9e4f-47eee75e4cc1}" id="{d3e5fe75-86c2-4d11-879b-9f4439a4f9d2}" done="1">
    <x18tc:text xml:space="preserve">سلفة</x18tc:text>
  </x18tc:threadedComment>
  <x18tc:threadedComment ref="EG13" dT="2025-04-02T05:27:57.00" personId="{d7decbc3-4c35-4b9e-9e4f-47eee75e4cc1}" id="{bb73c614-b548-4aef-8506-8c6fb155f697}" done="1">
    <x18tc:text xml:space="preserve">غياب بدون سبب</x18tc:text>
  </x18tc:threadedComment>
  <x18tc:threadedComment ref="EG10" dT="2025-04-02T05:03:26.00" personId="{d7decbc3-4c35-4b9e-9e4f-47eee75e4cc1}" id="{276b6b1f-ad64-4674-b8cb-f7cf8c78b3e6}" done="1">
    <x18tc:text xml:space="preserve">خصم قيمة 20 ساعه اي يومام</x18tc:text>
  </x18tc:threadedComment>
  <x18tc:threadedComment ref="BY8" dT="2025-07-13T12:35:58.00" personId="{d7decbc3-4c35-4b9e-9e4f-47eee75e4cc1}" id="{0e6325a0-360d-456f-bba8-2c2b6866cd9a}" done="0">
    <x18tc:text xml:space="preserve">غياب</x18tc:text>
  </x18tc:threadedComment>
  <x18tc:threadedComment ref="EG13" dT="2025-04-02T05:23:46.00" personId="{d7decbc3-4c35-4b9e-9e4f-47eee75e4cc1}" id="{bb865a29-c78f-482f-a5c0-129bb1a55eda}" done="1">
    <x18tc:text xml:space="preserve">غياب بدون سييي</x18tc:text>
  </x18tc:threadedComment>
  <x18tc:threadedComment ref="BY14" dT="2025-07-13T12:36:40.00" personId="{d7decbc3-4c35-4b9e-9e4f-47eee75e4cc1}" id="{3908e5c0-df3f-4cdb-8656-7729076d823d}" done="0">
    <x18tc:text xml:space="preserve">غياب</x18tc:text>
  </x18tc:threadedComment>
  <x18tc:threadedComment ref="BY10" dT="2025-07-13T12:36:53.00" personId="{d7decbc3-4c35-4b9e-9e4f-47eee75e4cc1}" id="{71b3afd3-62ef-45a2-8f8b-f0627082a12f}" done="0">
    <x18tc:text xml:space="preserve">غياب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table" Target="../tables/table22.xml"/><Relationship Id="rId31" Type="http://schemas.openxmlformats.org/officeDocument/2006/relationships/table" Target="../tables/table13.xml"/><Relationship Id="rId30" Type="http://schemas.openxmlformats.org/officeDocument/2006/relationships/table" Target="../tables/table12.xml"/><Relationship Id="rId41" Type="http://schemas.openxmlformats.org/officeDocument/2006/relationships/table" Target="../tables/table23.xml"/><Relationship Id="rId22" Type="http://schemas.openxmlformats.org/officeDocument/2006/relationships/table" Target="../tables/table4.xml"/><Relationship Id="rId33" Type="http://schemas.openxmlformats.org/officeDocument/2006/relationships/table" Target="../tables/table15.xml"/><Relationship Id="rId32" Type="http://schemas.openxmlformats.org/officeDocument/2006/relationships/table" Target="../tables/table14.xml"/><Relationship Id="rId24" Type="http://schemas.openxmlformats.org/officeDocument/2006/relationships/table" Target="../tables/table6.xml"/><Relationship Id="rId35" Type="http://schemas.openxmlformats.org/officeDocument/2006/relationships/table" Target="../tables/table17.xml"/><Relationship Id="rId23" Type="http://schemas.openxmlformats.org/officeDocument/2006/relationships/table" Target="../tables/table5.xml"/><Relationship Id="rId34" Type="http://schemas.openxmlformats.org/officeDocument/2006/relationships/table" Target="../tables/table16.xml"/><Relationship Id="rId1" Type="http://schemas.openxmlformats.org/officeDocument/2006/relationships/drawing" Target="../drawings/drawing8.xml"/><Relationship Id="rId26" Type="http://schemas.openxmlformats.org/officeDocument/2006/relationships/table" Target="../tables/table8.xml"/><Relationship Id="rId37" Type="http://schemas.openxmlformats.org/officeDocument/2006/relationships/table" Target="../tables/table19.xml"/><Relationship Id="rId25" Type="http://schemas.openxmlformats.org/officeDocument/2006/relationships/table" Target="../tables/table7.xml"/><Relationship Id="rId36" Type="http://schemas.openxmlformats.org/officeDocument/2006/relationships/table" Target="../tables/table18.xml"/><Relationship Id="rId28" Type="http://schemas.openxmlformats.org/officeDocument/2006/relationships/table" Target="../tables/table10.xml"/><Relationship Id="rId39" Type="http://schemas.openxmlformats.org/officeDocument/2006/relationships/table" Target="../tables/table21.xml"/><Relationship Id="rId27" Type="http://schemas.openxmlformats.org/officeDocument/2006/relationships/table" Target="../tables/table9.xml"/><Relationship Id="rId38" Type="http://schemas.openxmlformats.org/officeDocument/2006/relationships/table" Target="../tables/table20.xml"/><Relationship Id="rId29" Type="http://schemas.openxmlformats.org/officeDocument/2006/relationships/table" Target="../tables/table1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2.vml"/><Relationship Id="rId7" Type="http://schemas.openxmlformats.org/officeDocument/2006/relationships/table" Target="../tables/table2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haidermudher28@gmail.com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2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4.56"/>
    <col customWidth="1" min="2" max="2" width="2.33"/>
    <col customWidth="1" min="3" max="3" width="19.11"/>
    <col customWidth="1" min="4" max="10" width="15.33"/>
  </cols>
  <sheetData>
    <row r="1" ht="36.0" customHeight="1">
      <c r="A1" s="1"/>
      <c r="B1" s="2"/>
      <c r="D1" s="1"/>
      <c r="E1" s="1"/>
      <c r="F1" s="1"/>
      <c r="G1" s="1"/>
      <c r="H1" s="1"/>
      <c r="I1" s="1"/>
      <c r="J1" s="1"/>
    </row>
    <row r="2" ht="36.0" customHeight="1">
      <c r="A2" s="3"/>
      <c r="B2" s="4" t="s">
        <v>0</v>
      </c>
      <c r="C2" s="5"/>
      <c r="D2" s="3"/>
      <c r="E2" s="3"/>
      <c r="F2" s="6"/>
      <c r="G2" s="6"/>
      <c r="H2" s="6"/>
      <c r="I2" s="6"/>
      <c r="J2" s="6"/>
    </row>
    <row r="3" ht="24.0" customHeight="1">
      <c r="A3" s="7"/>
      <c r="B3" s="8"/>
      <c r="D3" s="7"/>
      <c r="E3" s="7"/>
      <c r="F3" s="7"/>
      <c r="G3" s="7"/>
      <c r="H3" s="7"/>
      <c r="I3" s="7"/>
      <c r="J3" s="7"/>
    </row>
    <row r="4" ht="36.0" customHeight="1">
      <c r="A4" s="9"/>
      <c r="B4" s="10"/>
      <c r="C4" s="11" t="s">
        <v>1</v>
      </c>
      <c r="D4" s="12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</row>
    <row r="5" ht="18.0" customHeight="1">
      <c r="A5" s="13"/>
      <c r="B5" s="14"/>
      <c r="C5" s="13"/>
      <c r="D5" s="13"/>
      <c r="E5" s="13"/>
      <c r="F5" s="13"/>
      <c r="G5" s="13"/>
      <c r="H5" s="13"/>
      <c r="I5" s="13"/>
      <c r="J5" s="13"/>
    </row>
    <row r="6" ht="24.0" customHeight="1">
      <c r="A6" s="15"/>
      <c r="B6" s="16"/>
      <c r="C6" s="17" t="s">
        <v>9</v>
      </c>
      <c r="D6" s="18">
        <v>2250.0</v>
      </c>
      <c r="E6" s="19" t="str">
        <f t="shared" ref="E6:E23" si="1">(#REF!)*D6</f>
        <v>#REF!</v>
      </c>
      <c r="F6" s="19" t="str">
        <f t="shared" ref="F6:F23" si="2">(#REF!)*1.25*D6</f>
        <v>#REF!</v>
      </c>
      <c r="G6" s="20"/>
      <c r="H6" s="21">
        <f>'السلف و الغرامات'!C7</f>
        <v>0</v>
      </c>
      <c r="I6" s="20"/>
      <c r="J6" s="20" t="str">
        <f t="shared" ref="J6:J23" si="3">SUM(E6:I6)-2*(H6)</f>
        <v>#REF!</v>
      </c>
    </row>
    <row r="7" ht="19.5" customHeight="1">
      <c r="A7" s="22"/>
      <c r="B7" s="16"/>
      <c r="C7" s="17" t="s">
        <v>10</v>
      </c>
      <c r="D7" s="19">
        <v>1750.0</v>
      </c>
      <c r="E7" s="19" t="str">
        <f t="shared" si="1"/>
        <v>#REF!</v>
      </c>
      <c r="F7" s="19" t="str">
        <f t="shared" si="2"/>
        <v>#REF!</v>
      </c>
      <c r="G7" s="23"/>
      <c r="H7" s="20" t="str">
        <f t="shared" ref="H7:H8" si="4">#REF!</f>
        <v>#REF!</v>
      </c>
      <c r="I7" s="23"/>
      <c r="J7" s="20" t="str">
        <f t="shared" si="3"/>
        <v>#REF!</v>
      </c>
    </row>
    <row r="8" ht="19.5" customHeight="1">
      <c r="A8" s="22"/>
      <c r="B8" s="16"/>
      <c r="C8" s="17" t="s">
        <v>11</v>
      </c>
      <c r="D8" s="19">
        <v>1750.0</v>
      </c>
      <c r="E8" s="19" t="str">
        <f t="shared" si="1"/>
        <v>#REF!</v>
      </c>
      <c r="F8" s="19" t="str">
        <f t="shared" si="2"/>
        <v>#REF!</v>
      </c>
      <c r="G8" s="23"/>
      <c r="H8" s="20" t="str">
        <f t="shared" si="4"/>
        <v>#REF!</v>
      </c>
      <c r="I8" s="23"/>
      <c r="J8" s="20" t="str">
        <f t="shared" si="3"/>
        <v>#REF!</v>
      </c>
    </row>
    <row r="9" ht="19.5" customHeight="1">
      <c r="A9" s="22"/>
      <c r="B9" s="16"/>
      <c r="C9" s="17" t="s">
        <v>12</v>
      </c>
      <c r="D9" s="19">
        <v>2000.0</v>
      </c>
      <c r="E9" s="19" t="str">
        <f t="shared" si="1"/>
        <v>#REF!</v>
      </c>
      <c r="F9" s="19" t="str">
        <f t="shared" si="2"/>
        <v>#REF!</v>
      </c>
      <c r="G9" s="23"/>
      <c r="H9" s="21">
        <f>'السلف و الغرامات'!C10</f>
        <v>35000</v>
      </c>
      <c r="I9" s="23"/>
      <c r="J9" s="20" t="str">
        <f t="shared" si="3"/>
        <v>#REF!</v>
      </c>
    </row>
    <row r="10" ht="19.5" customHeight="1">
      <c r="A10" s="22"/>
      <c r="B10" s="16"/>
      <c r="C10" s="17" t="s">
        <v>13</v>
      </c>
      <c r="D10" s="18">
        <v>2000.0</v>
      </c>
      <c r="E10" s="19" t="str">
        <f t="shared" si="1"/>
        <v>#REF!</v>
      </c>
      <c r="F10" s="19" t="str">
        <f t="shared" si="2"/>
        <v>#REF!</v>
      </c>
      <c r="G10" s="23"/>
      <c r="H10" s="21">
        <f>'السلف و الغرامات'!C13</f>
        <v>170000</v>
      </c>
      <c r="I10" s="23"/>
      <c r="J10" s="20" t="str">
        <f t="shared" si="3"/>
        <v>#REF!</v>
      </c>
    </row>
    <row r="11" ht="19.5" customHeight="1">
      <c r="A11" s="22"/>
      <c r="B11" s="16"/>
      <c r="C11" s="17" t="s">
        <v>14</v>
      </c>
      <c r="D11" s="19">
        <v>1750.0</v>
      </c>
      <c r="E11" s="19" t="str">
        <f t="shared" si="1"/>
        <v>#REF!</v>
      </c>
      <c r="F11" s="19" t="str">
        <f t="shared" si="2"/>
        <v>#REF!</v>
      </c>
      <c r="G11" s="23"/>
      <c r="H11" s="21">
        <f>'السلف و الغرامات'!C12</f>
        <v>108000</v>
      </c>
      <c r="I11" s="23"/>
      <c r="J11" s="20" t="str">
        <f t="shared" si="3"/>
        <v>#REF!</v>
      </c>
    </row>
    <row r="12" ht="19.5" customHeight="1">
      <c r="A12" s="22"/>
      <c r="B12" s="16"/>
      <c r="C12" s="17" t="s">
        <v>15</v>
      </c>
      <c r="D12" s="19">
        <v>1750.0</v>
      </c>
      <c r="E12" s="19" t="str">
        <f t="shared" si="1"/>
        <v>#REF!</v>
      </c>
      <c r="F12" s="19" t="str">
        <f t="shared" si="2"/>
        <v>#REF!</v>
      </c>
      <c r="G12" s="23"/>
      <c r="H12" s="20" t="str">
        <f t="shared" ref="H12:H16" si="5">#REF!</f>
        <v>#REF!</v>
      </c>
      <c r="I12" s="23"/>
      <c r="J12" s="20" t="str">
        <f t="shared" si="3"/>
        <v>#REF!</v>
      </c>
    </row>
    <row r="13" ht="19.5" customHeight="1">
      <c r="A13" s="22"/>
      <c r="B13" s="16"/>
      <c r="C13" s="17" t="s">
        <v>16</v>
      </c>
      <c r="D13" s="19">
        <v>1750.0</v>
      </c>
      <c r="E13" s="19" t="str">
        <f t="shared" si="1"/>
        <v>#REF!</v>
      </c>
      <c r="F13" s="19" t="str">
        <f t="shared" si="2"/>
        <v>#REF!</v>
      </c>
      <c r="G13" s="23"/>
      <c r="H13" s="20" t="str">
        <f t="shared" si="5"/>
        <v>#REF!</v>
      </c>
      <c r="I13" s="23"/>
      <c r="J13" s="20" t="str">
        <f t="shared" si="3"/>
        <v>#REF!</v>
      </c>
    </row>
    <row r="14" ht="19.5" customHeight="1">
      <c r="A14" s="22"/>
      <c r="B14" s="16"/>
      <c r="C14" s="17" t="s">
        <v>17</v>
      </c>
      <c r="D14" s="19">
        <v>1750.0</v>
      </c>
      <c r="E14" s="19" t="str">
        <f t="shared" si="1"/>
        <v>#REF!</v>
      </c>
      <c r="F14" s="19" t="str">
        <f t="shared" si="2"/>
        <v>#REF!</v>
      </c>
      <c r="G14" s="23"/>
      <c r="H14" s="20" t="str">
        <f t="shared" si="5"/>
        <v>#REF!</v>
      </c>
      <c r="I14" s="23"/>
      <c r="J14" s="20" t="str">
        <f t="shared" si="3"/>
        <v>#REF!</v>
      </c>
    </row>
    <row r="15" ht="19.5" customHeight="1">
      <c r="A15" s="22"/>
      <c r="B15" s="16"/>
      <c r="C15" s="17" t="s">
        <v>18</v>
      </c>
      <c r="D15" s="19">
        <v>1750.0</v>
      </c>
      <c r="E15" s="19" t="str">
        <f t="shared" si="1"/>
        <v>#REF!</v>
      </c>
      <c r="F15" s="19" t="str">
        <f t="shared" si="2"/>
        <v>#REF!</v>
      </c>
      <c r="G15" s="23"/>
      <c r="H15" s="20" t="str">
        <f t="shared" si="5"/>
        <v>#REF!</v>
      </c>
      <c r="I15" s="23"/>
      <c r="J15" s="20" t="str">
        <f t="shared" si="3"/>
        <v>#REF!</v>
      </c>
    </row>
    <row r="16" ht="19.5" customHeight="1">
      <c r="A16" s="22"/>
      <c r="B16" s="16"/>
      <c r="C16" s="17" t="s">
        <v>19</v>
      </c>
      <c r="D16" s="18">
        <v>2500.0</v>
      </c>
      <c r="E16" s="19" t="str">
        <f t="shared" si="1"/>
        <v>#REF!</v>
      </c>
      <c r="F16" s="19" t="str">
        <f t="shared" si="2"/>
        <v>#REF!</v>
      </c>
      <c r="G16" s="23"/>
      <c r="H16" s="20" t="str">
        <f t="shared" si="5"/>
        <v>#REF!</v>
      </c>
      <c r="I16" s="23"/>
      <c r="J16" s="20" t="str">
        <f t="shared" si="3"/>
        <v>#REF!</v>
      </c>
    </row>
    <row r="17" ht="19.5" customHeight="1">
      <c r="A17" s="22"/>
      <c r="B17" s="16"/>
      <c r="C17" s="17" t="s">
        <v>20</v>
      </c>
      <c r="D17" s="18">
        <v>1750.0</v>
      </c>
      <c r="E17" s="19" t="str">
        <f t="shared" si="1"/>
        <v>#REF!</v>
      </c>
      <c r="F17" s="19" t="str">
        <f t="shared" si="2"/>
        <v>#REF!</v>
      </c>
      <c r="G17" s="23"/>
      <c r="H17" s="21">
        <f>'السلف و الغرامات'!C9</f>
        <v>50000</v>
      </c>
      <c r="I17" s="23"/>
      <c r="J17" s="20" t="str">
        <f t="shared" si="3"/>
        <v>#REF!</v>
      </c>
    </row>
    <row r="18" ht="19.5" customHeight="1">
      <c r="A18" s="22"/>
      <c r="B18" s="16"/>
      <c r="C18" s="17" t="s">
        <v>21</v>
      </c>
      <c r="D18" s="19">
        <v>1750.0</v>
      </c>
      <c r="E18" s="19" t="str">
        <f t="shared" si="1"/>
        <v>#REF!</v>
      </c>
      <c r="F18" s="19" t="str">
        <f t="shared" si="2"/>
        <v>#REF!</v>
      </c>
      <c r="G18" s="23"/>
      <c r="H18" s="21">
        <f>'السلف و الغرامات'!C8</f>
        <v>150000</v>
      </c>
      <c r="I18" s="23"/>
      <c r="J18" s="20" t="str">
        <f t="shared" si="3"/>
        <v>#REF!</v>
      </c>
    </row>
    <row r="19" ht="19.5" customHeight="1">
      <c r="A19" s="22"/>
      <c r="B19" s="16"/>
      <c r="C19" s="17" t="s">
        <v>22</v>
      </c>
      <c r="D19" s="19">
        <v>1750.0</v>
      </c>
      <c r="E19" s="19" t="str">
        <f t="shared" si="1"/>
        <v>#REF!</v>
      </c>
      <c r="F19" s="19" t="str">
        <f t="shared" si="2"/>
        <v>#REF!</v>
      </c>
      <c r="G19" s="23"/>
      <c r="H19" s="20" t="str">
        <f t="shared" ref="H19:H23" si="6">#REF!</f>
        <v>#REF!</v>
      </c>
      <c r="I19" s="23"/>
      <c r="J19" s="20" t="str">
        <f t="shared" si="3"/>
        <v>#REF!</v>
      </c>
    </row>
    <row r="20" ht="19.5" customHeight="1">
      <c r="A20" s="22"/>
      <c r="B20" s="16"/>
      <c r="C20" s="17" t="s">
        <v>23</v>
      </c>
      <c r="D20" s="18">
        <v>1750.0</v>
      </c>
      <c r="E20" s="19" t="str">
        <f t="shared" si="1"/>
        <v>#REF!</v>
      </c>
      <c r="F20" s="19" t="str">
        <f t="shared" si="2"/>
        <v>#REF!</v>
      </c>
      <c r="G20" s="23"/>
      <c r="H20" s="20" t="str">
        <f t="shared" si="6"/>
        <v>#REF!</v>
      </c>
      <c r="I20" s="23"/>
      <c r="J20" s="20" t="str">
        <f t="shared" si="3"/>
        <v>#REF!</v>
      </c>
    </row>
    <row r="21" ht="19.5" customHeight="1">
      <c r="A21" s="22"/>
      <c r="B21" s="16"/>
      <c r="C21" s="17" t="s">
        <v>24</v>
      </c>
      <c r="D21" s="19">
        <v>1750.0</v>
      </c>
      <c r="E21" s="19" t="str">
        <f t="shared" si="1"/>
        <v>#REF!</v>
      </c>
      <c r="F21" s="19" t="str">
        <f t="shared" si="2"/>
        <v>#REF!</v>
      </c>
      <c r="G21" s="23"/>
      <c r="H21" s="20" t="str">
        <f t="shared" si="6"/>
        <v>#REF!</v>
      </c>
      <c r="I21" s="23"/>
      <c r="J21" s="20" t="str">
        <f t="shared" si="3"/>
        <v>#REF!</v>
      </c>
    </row>
    <row r="22" ht="19.5" customHeight="1">
      <c r="A22" s="22"/>
      <c r="B22" s="16"/>
      <c r="C22" s="17" t="s">
        <v>25</v>
      </c>
      <c r="D22" s="19">
        <v>1750.0</v>
      </c>
      <c r="E22" s="19" t="str">
        <f t="shared" si="1"/>
        <v>#REF!</v>
      </c>
      <c r="F22" s="19" t="str">
        <f t="shared" si="2"/>
        <v>#REF!</v>
      </c>
      <c r="G22" s="23"/>
      <c r="H22" s="20" t="str">
        <f t="shared" si="6"/>
        <v>#REF!</v>
      </c>
      <c r="I22" s="23"/>
      <c r="J22" s="20" t="str">
        <f t="shared" si="3"/>
        <v>#REF!</v>
      </c>
    </row>
    <row r="23" ht="19.5" customHeight="1">
      <c r="A23" s="22"/>
      <c r="B23" s="16"/>
      <c r="C23" s="17" t="s">
        <v>26</v>
      </c>
      <c r="D23" s="18">
        <v>3000.0</v>
      </c>
      <c r="E23" s="19" t="str">
        <f t="shared" si="1"/>
        <v>#REF!</v>
      </c>
      <c r="F23" s="19" t="str">
        <f t="shared" si="2"/>
        <v>#REF!</v>
      </c>
      <c r="G23" s="23"/>
      <c r="H23" s="20" t="str">
        <f t="shared" si="6"/>
        <v>#REF!</v>
      </c>
      <c r="I23" s="23"/>
      <c r="J23" s="20" t="str">
        <f t="shared" si="3"/>
        <v>#REF!</v>
      </c>
    </row>
    <row r="24" ht="19.5" customHeight="1">
      <c r="A24" s="22"/>
      <c r="B24" s="16"/>
      <c r="C24" s="24"/>
      <c r="D24" s="25"/>
      <c r="E24" s="25"/>
      <c r="F24" s="25"/>
      <c r="G24" s="25"/>
      <c r="H24" s="25"/>
      <c r="I24" s="25"/>
      <c r="J24" s="25"/>
    </row>
    <row r="25" ht="19.5" customHeight="1">
      <c r="A25" s="22"/>
      <c r="B25" s="16"/>
      <c r="C25" s="24"/>
      <c r="D25" s="25"/>
      <c r="E25" s="25"/>
      <c r="F25" s="25"/>
      <c r="G25" s="25"/>
      <c r="H25" s="25"/>
      <c r="I25" s="25"/>
      <c r="J25" s="25"/>
    </row>
    <row r="26" ht="19.5" customHeight="1">
      <c r="A26" s="22"/>
      <c r="B26" s="16"/>
      <c r="C26" s="24"/>
      <c r="D26" s="25"/>
      <c r="E26" s="25"/>
      <c r="F26" s="25"/>
      <c r="G26" s="25"/>
      <c r="H26" s="25"/>
      <c r="I26" s="25"/>
      <c r="J26" s="25"/>
    </row>
    <row r="27" ht="19.5" customHeight="1">
      <c r="A27" s="22"/>
      <c r="B27" s="16"/>
      <c r="C27" s="24"/>
      <c r="D27" s="25"/>
      <c r="E27" s="25"/>
      <c r="F27" s="25"/>
      <c r="G27" s="25"/>
      <c r="H27" s="25"/>
      <c r="I27" s="25"/>
      <c r="J27" s="25"/>
    </row>
    <row r="28" ht="19.5" customHeight="1">
      <c r="A28" s="22"/>
      <c r="B28" s="16"/>
      <c r="C28" s="24"/>
      <c r="D28" s="25"/>
      <c r="E28" s="25"/>
      <c r="F28" s="25"/>
      <c r="G28" s="25"/>
      <c r="H28" s="25"/>
      <c r="I28" s="25"/>
      <c r="J28" s="25"/>
    </row>
    <row r="29" ht="19.5" customHeight="1">
      <c r="A29" s="22"/>
      <c r="B29" s="16"/>
      <c r="C29" s="24"/>
      <c r="D29" s="25"/>
      <c r="E29" s="25"/>
      <c r="F29" s="25"/>
      <c r="G29" s="25"/>
      <c r="H29" s="25"/>
      <c r="I29" s="25"/>
      <c r="J29" s="25"/>
    </row>
    <row r="30" ht="19.5" customHeight="1">
      <c r="A30" s="22"/>
      <c r="B30" s="16"/>
      <c r="C30" s="24"/>
      <c r="D30" s="25"/>
      <c r="E30" s="25"/>
      <c r="F30" s="25"/>
      <c r="G30" s="25"/>
      <c r="H30" s="25"/>
      <c r="I30" s="25"/>
      <c r="J30" s="25"/>
    </row>
    <row r="31" ht="19.5" customHeight="1">
      <c r="A31" s="22"/>
      <c r="B31" s="16"/>
      <c r="C31" s="24"/>
      <c r="D31" s="25"/>
      <c r="E31" s="25"/>
      <c r="F31" s="25"/>
      <c r="G31" s="25"/>
      <c r="H31" s="25"/>
      <c r="I31" s="25"/>
      <c r="J31" s="25"/>
    </row>
    <row r="32" ht="19.5" customHeight="1">
      <c r="A32" s="22"/>
      <c r="B32" s="16"/>
      <c r="C32" s="24"/>
      <c r="D32" s="25"/>
      <c r="E32" s="25"/>
      <c r="F32" s="25"/>
      <c r="G32" s="25"/>
      <c r="H32" s="25"/>
      <c r="I32" s="25"/>
      <c r="J32" s="25"/>
    </row>
  </sheetData>
  <mergeCells count="3">
    <mergeCell ref="B1:C1"/>
    <mergeCell ref="B2:C2"/>
    <mergeCell ref="B3:C3"/>
  </mergeCell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1">
      <c r="A1" s="26" t="s">
        <v>27</v>
      </c>
      <c r="B1" s="26" t="s">
        <v>28</v>
      </c>
    </row>
    <row r="2">
      <c r="B2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1.22" defaultRowHeight="15.75"/>
  <cols>
    <col customWidth="1" hidden="1" min="1" max="1" width="9.22"/>
    <col customWidth="1" min="2" max="2" width="12.56"/>
    <col customWidth="1" min="3" max="3" width="7.22"/>
    <col customWidth="1" min="4" max="4" width="6.22"/>
    <col customWidth="1" min="5" max="16" width="4.0"/>
    <col customWidth="1" min="17" max="22" width="4.67"/>
    <col customWidth="1" min="23" max="23" width="3.89"/>
    <col customWidth="1" min="24" max="52" width="4.67"/>
    <col customWidth="1" min="53" max="53" width="4.0"/>
    <col customWidth="1" min="54" max="58" width="4.67"/>
    <col customWidth="1" min="59" max="80" width="4.89"/>
    <col customWidth="1" min="81" max="89" width="4.0"/>
    <col customWidth="1" min="90" max="110" width="4.89"/>
    <col customWidth="1" min="111" max="113" width="4.0"/>
    <col customWidth="1" min="114" max="114" width="4.67"/>
    <col customWidth="1" min="115" max="119" width="4.0"/>
    <col customWidth="1" min="120" max="141" width="4.89"/>
    <col customWidth="1" min="142" max="142" width="3.89"/>
    <col customWidth="1" min="143" max="143" width="4.67"/>
    <col customWidth="1" min="144" max="145" width="3.89"/>
    <col customWidth="1" min="146" max="146" width="3.44"/>
    <col customWidth="1" min="147" max="147" width="4.67"/>
    <col customWidth="1" min="148" max="150" width="3.89"/>
    <col customWidth="1" min="151" max="152" width="4.0"/>
    <col customWidth="1" min="153" max="153" width="4.67"/>
    <col customWidth="1" min="154" max="154" width="4.0"/>
    <col customWidth="1" min="155" max="156" width="4.67"/>
    <col customWidth="1" min="157" max="161" width="4.0"/>
    <col customWidth="1" min="162" max="162" width="4.67"/>
    <col customWidth="1" min="163" max="167" width="4.0"/>
    <col customWidth="1" min="168" max="168" width="4.67"/>
    <col customWidth="1" min="169" max="172" width="4.0"/>
    <col customWidth="1" min="173" max="173" width="3.11"/>
    <col customWidth="1" min="174" max="174" width="3.44"/>
    <col customWidth="1" min="175" max="175" width="3.89"/>
    <col customWidth="1" min="176" max="176" width="3.33"/>
    <col customWidth="1" min="177" max="178" width="3.89"/>
    <col customWidth="1" min="179" max="180" width="3.11"/>
    <col customWidth="1" min="181" max="181" width="3.44"/>
    <col customWidth="1" min="182" max="200" width="4.0"/>
    <col customWidth="1" min="201" max="201" width="3.22"/>
    <col customWidth="1" min="202" max="202" width="3.44"/>
    <col customWidth="1" min="203" max="203" width="3.89"/>
    <col customWidth="1" min="204" max="204" width="3.33"/>
    <col customWidth="1" min="205" max="205" width="3.89"/>
    <col customWidth="1" min="206" max="206" width="3.44"/>
    <col customWidth="1" min="207" max="208" width="3.89"/>
    <col customWidth="1" min="209" max="209" width="3.44"/>
    <col customWidth="1" min="210" max="231" width="4.0"/>
    <col customWidth="1" min="232" max="233" width="3.78"/>
    <col customWidth="1" min="234" max="234" width="4.44"/>
    <col customWidth="1" min="235" max="235" width="3.44"/>
    <col customWidth="1" min="236" max="237" width="4.44"/>
    <col customWidth="1" min="238" max="238" width="5.44"/>
    <col customWidth="1" min="239" max="239" width="3.44"/>
    <col customWidth="1" min="240" max="242" width="4.44"/>
    <col customWidth="1" min="243" max="243" width="4.0"/>
    <col customWidth="1" min="244" max="247" width="4.44"/>
    <col customWidth="1" min="248" max="248" width="5.44"/>
    <col customWidth="1" min="249" max="249" width="4.44"/>
    <col customWidth="1" min="250" max="250" width="4.0"/>
    <col customWidth="1" min="251" max="253" width="4.44"/>
    <col customWidth="1" min="254" max="254" width="5.44"/>
    <col customWidth="1" min="255" max="259" width="4.44"/>
    <col customWidth="1" min="260" max="260" width="4.0"/>
    <col customWidth="1" min="261" max="261" width="4.44"/>
    <col customWidth="1" min="262" max="262" width="4.33"/>
    <col customWidth="1" min="263" max="263" width="3.44"/>
    <col customWidth="1" min="264" max="266" width="4.44"/>
    <col customWidth="1" min="267" max="267" width="5.44"/>
    <col customWidth="1" min="268" max="268" width="4.44"/>
    <col customWidth="1" min="269" max="270" width="5.44"/>
    <col customWidth="1" min="271" max="271" width="3.44"/>
    <col customWidth="1" min="272" max="275" width="4.44"/>
    <col customWidth="1" min="276" max="276" width="5.44"/>
    <col customWidth="1" min="277" max="277" width="4.44"/>
    <col customWidth="1" min="278" max="278" width="4.0"/>
    <col customWidth="1" min="279" max="280" width="5.44"/>
    <col customWidth="1" min="281" max="282" width="4.44"/>
    <col customWidth="1" min="283" max="283" width="5.44"/>
    <col customWidth="1" min="284" max="284" width="4.44"/>
    <col customWidth="1" min="285" max="285" width="4.0"/>
    <col customWidth="1" min="286" max="286" width="4.44"/>
    <col customWidth="1" min="287" max="287" width="4.0"/>
    <col customWidth="1" min="288" max="288" width="4.44"/>
    <col customWidth="1" min="289" max="289" width="4.0"/>
    <col customWidth="1" min="290" max="290" width="5.44"/>
    <col customWidth="1" min="291" max="292" width="4.44"/>
    <col customWidth="1" min="293" max="293" width="4.0"/>
    <col customWidth="1" min="294" max="294" width="4.22"/>
    <col customWidth="1" min="295" max="295" width="5.0"/>
    <col customWidth="1" min="296" max="296" width="3.89"/>
    <col customWidth="1" min="297" max="297" width="6.11"/>
    <col customWidth="1" min="298" max="298" width="5.0"/>
    <col customWidth="1" min="299" max="299" width="3.89"/>
    <col customWidth="1" min="300" max="300" width="3.33"/>
    <col customWidth="1" min="301" max="301" width="3.89"/>
    <col customWidth="1" min="302" max="303" width="5.0"/>
    <col customWidth="1" min="304" max="305" width="4.0"/>
    <col customWidth="1" min="306" max="306" width="6.11"/>
    <col customWidth="1" min="307" max="309" width="5.0"/>
    <col customWidth="1" min="310" max="310" width="4.0"/>
    <col customWidth="1" min="311" max="312" width="6.11"/>
    <col customWidth="1" min="313" max="314" width="5.0"/>
    <col customWidth="1" min="315" max="315" width="4.0"/>
    <col customWidth="1" min="316" max="316" width="5.0"/>
    <col customWidth="1" min="317" max="317" width="4.0"/>
    <col customWidth="1" min="318" max="318" width="5.0"/>
    <col customWidth="1" min="319" max="319" width="4.0"/>
    <col customWidth="1" min="320" max="320" width="5.0"/>
    <col customWidth="1" min="321" max="323" width="4.0"/>
    <col customWidth="1" min="324" max="324" width="5.0"/>
    <col customWidth="1" min="325" max="325" width="4.89"/>
    <col customWidth="1" min="326" max="326" width="0.33"/>
    <col customWidth="1" min="327" max="357" width="4.56"/>
    <col customWidth="1" min="358" max="358" width="0.33"/>
    <col customWidth="1" min="359" max="389" width="4.56"/>
    <col customWidth="1" min="390" max="390" width="3.33"/>
    <col customWidth="1" min="391" max="391" width="3.89"/>
    <col customWidth="1" min="392" max="392" width="3.44"/>
    <col customWidth="1" min="393" max="393" width="3.89"/>
    <col customWidth="1" min="394" max="394" width="3.56"/>
    <col customWidth="1" min="395" max="396" width="3.22"/>
    <col customWidth="1" min="397" max="397" width="3.56"/>
    <col customWidth="1" min="398" max="398" width="3.89"/>
    <col customWidth="1" min="399" max="399" width="3.44"/>
    <col customWidth="1" min="400" max="401" width="4.0"/>
    <col customWidth="1" min="402" max="402" width="4.33"/>
  </cols>
  <sheetData>
    <row r="1" ht="20.25" customHeight="1">
      <c r="A1" s="28"/>
      <c r="B1" s="28"/>
      <c r="C1" s="28"/>
      <c r="D1" s="28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30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customize. 
"),"")</f>
        <v/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2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4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4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4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5" t="s">
        <v>29</v>
      </c>
      <c r="GM1" s="33"/>
      <c r="GN1" s="33"/>
      <c r="GO1" s="33"/>
      <c r="GP1" s="33"/>
      <c r="GQ1" s="35" t="s">
        <v>30</v>
      </c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  <c r="JB1" s="36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  <c r="JX1" s="33"/>
      <c r="JY1" s="33"/>
      <c r="JZ1" s="33"/>
      <c r="KA1" s="33"/>
      <c r="KB1" s="33"/>
      <c r="KC1" s="33"/>
      <c r="KD1" s="33"/>
      <c r="KE1" s="33"/>
      <c r="KF1" s="33"/>
      <c r="KG1" s="33"/>
      <c r="KH1" s="36"/>
      <c r="KI1" s="33"/>
      <c r="KJ1" s="33"/>
      <c r="KK1" s="33"/>
      <c r="KL1" s="33"/>
      <c r="KM1" s="33"/>
      <c r="KN1" s="33"/>
      <c r="KO1" s="33"/>
      <c r="KP1" s="33"/>
      <c r="KQ1" s="33"/>
      <c r="KR1" s="33"/>
      <c r="KS1" s="33"/>
      <c r="KT1" s="33"/>
      <c r="KU1" s="33"/>
      <c r="KV1" s="33"/>
      <c r="KW1" s="33"/>
      <c r="KX1" s="33"/>
      <c r="KY1" s="33"/>
      <c r="KZ1" s="33"/>
      <c r="LA1" s="33"/>
      <c r="LB1" s="33"/>
      <c r="LC1" s="33"/>
      <c r="LD1" s="33"/>
      <c r="LE1" s="33"/>
      <c r="LF1" s="33"/>
      <c r="LG1" s="33"/>
      <c r="LH1" s="33"/>
      <c r="LI1" s="33"/>
      <c r="LJ1" s="33"/>
      <c r="LK1" s="33"/>
      <c r="LL1" s="33"/>
      <c r="LM1" s="33"/>
      <c r="LN1" s="37"/>
      <c r="LO1" s="38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3"/>
      <c r="OB1" s="33"/>
      <c r="OC1" s="33"/>
      <c r="OD1" s="33"/>
      <c r="OE1" s="33"/>
      <c r="OF1" s="33"/>
      <c r="OG1" s="33"/>
      <c r="OH1" s="33"/>
      <c r="OI1" s="33"/>
      <c r="OJ1" s="33"/>
      <c r="OK1" s="33"/>
      <c r="OL1" s="33"/>
    </row>
    <row r="2" ht="20.25" customHeight="1">
      <c r="A2" s="40"/>
      <c r="B2" s="40" t="s">
        <v>31</v>
      </c>
      <c r="C2" s="40"/>
      <c r="D2" s="40"/>
      <c r="E2" s="41">
        <v>45521.0</v>
      </c>
      <c r="F2" s="41">
        <v>45522.0</v>
      </c>
      <c r="G2" s="41">
        <v>45523.0</v>
      </c>
      <c r="H2" s="41">
        <v>45524.0</v>
      </c>
      <c r="I2" s="41">
        <v>45525.0</v>
      </c>
      <c r="J2" s="41">
        <v>45526.0</v>
      </c>
      <c r="K2" s="41">
        <v>45527.0</v>
      </c>
      <c r="L2" s="41">
        <v>45528.0</v>
      </c>
      <c r="M2" s="41">
        <v>45529.0</v>
      </c>
      <c r="N2" s="41">
        <v>45530.0</v>
      </c>
      <c r="O2" s="41">
        <v>45531.0</v>
      </c>
      <c r="P2" s="41">
        <v>45532.0</v>
      </c>
      <c r="Q2" s="41">
        <v>45533.0</v>
      </c>
      <c r="R2" s="41">
        <v>45534.0</v>
      </c>
      <c r="S2" s="41">
        <v>45535.0</v>
      </c>
      <c r="T2" s="41">
        <v>45536.0</v>
      </c>
      <c r="U2" s="41">
        <v>45537.0</v>
      </c>
      <c r="V2" s="41">
        <v>45538.0</v>
      </c>
      <c r="W2" s="41">
        <v>45539.0</v>
      </c>
      <c r="X2" s="41">
        <v>45540.0</v>
      </c>
      <c r="Y2" s="41">
        <v>45541.0</v>
      </c>
      <c r="Z2" s="41">
        <v>45542.0</v>
      </c>
      <c r="AA2" s="41">
        <v>45543.0</v>
      </c>
      <c r="AB2" s="41">
        <v>45544.0</v>
      </c>
      <c r="AC2" s="41">
        <v>45545.0</v>
      </c>
      <c r="AD2" s="41">
        <v>45546.0</v>
      </c>
      <c r="AE2" s="41">
        <v>45547.0</v>
      </c>
      <c r="AF2" s="41">
        <v>45548.0</v>
      </c>
      <c r="AG2" s="41">
        <v>45549.0</v>
      </c>
      <c r="AH2" s="41">
        <v>45550.0</v>
      </c>
      <c r="AI2" s="41">
        <v>45551.0</v>
      </c>
      <c r="AJ2" s="41">
        <v>45552.0</v>
      </c>
      <c r="AK2" s="41">
        <v>45553.0</v>
      </c>
      <c r="AL2" s="41">
        <v>45554.0</v>
      </c>
      <c r="AM2" s="41">
        <v>45555.0</v>
      </c>
      <c r="AN2" s="41">
        <v>45556.0</v>
      </c>
      <c r="AO2" s="41">
        <v>45557.0</v>
      </c>
      <c r="AP2" s="41">
        <v>45558.0</v>
      </c>
      <c r="AQ2" s="41">
        <v>45559.0</v>
      </c>
      <c r="AR2" s="41">
        <v>45560.0</v>
      </c>
      <c r="AS2" s="41">
        <v>45561.0</v>
      </c>
      <c r="AT2" s="41">
        <v>45562.0</v>
      </c>
      <c r="AU2" s="41">
        <v>45563.0</v>
      </c>
      <c r="AV2" s="41"/>
      <c r="AW2" s="41">
        <v>45565.0</v>
      </c>
      <c r="AX2" s="41">
        <v>45566.0</v>
      </c>
      <c r="AY2" s="41">
        <v>45567.0</v>
      </c>
      <c r="AZ2" s="41">
        <v>45568.0</v>
      </c>
      <c r="BA2" s="41">
        <v>45569.0</v>
      </c>
      <c r="BB2" s="41">
        <v>45570.0</v>
      </c>
      <c r="BC2" s="41">
        <v>45571.0</v>
      </c>
      <c r="BD2" s="41">
        <v>45572.0</v>
      </c>
      <c r="BE2" s="41">
        <v>45573.0</v>
      </c>
      <c r="BF2" s="41">
        <v>45574.0</v>
      </c>
      <c r="BG2" s="41">
        <v>45575.0</v>
      </c>
      <c r="BH2" s="41">
        <v>45576.0</v>
      </c>
      <c r="BI2" s="41">
        <v>45577.0</v>
      </c>
      <c r="BJ2" s="41">
        <v>45578.0</v>
      </c>
      <c r="BK2" s="41">
        <v>45579.0</v>
      </c>
      <c r="BL2" s="41">
        <v>45580.0</v>
      </c>
      <c r="BM2" s="41">
        <v>45581.0</v>
      </c>
      <c r="BN2" s="41">
        <v>45582.0</v>
      </c>
      <c r="BO2" s="41">
        <v>45583.0</v>
      </c>
      <c r="BP2" s="41">
        <v>45584.0</v>
      </c>
      <c r="BQ2" s="41">
        <v>45585.0</v>
      </c>
      <c r="BR2" s="41">
        <v>45586.0</v>
      </c>
      <c r="BS2" s="41">
        <v>45587.0</v>
      </c>
      <c r="BT2" s="41">
        <v>45588.0</v>
      </c>
      <c r="BU2" s="42">
        <v>45589.0</v>
      </c>
      <c r="BV2" s="41">
        <v>45590.0</v>
      </c>
      <c r="BW2" s="41">
        <v>45591.0</v>
      </c>
      <c r="BX2" s="41">
        <v>45592.0</v>
      </c>
      <c r="BY2" s="41">
        <v>45593.0</v>
      </c>
      <c r="BZ2" s="41">
        <v>45594.0</v>
      </c>
      <c r="CA2" s="41">
        <v>45595.0</v>
      </c>
      <c r="CB2" s="41">
        <v>45596.0</v>
      </c>
      <c r="CC2" s="41">
        <v>45597.0</v>
      </c>
      <c r="CD2" s="41">
        <v>45598.0</v>
      </c>
      <c r="CE2" s="41">
        <v>45599.0</v>
      </c>
      <c r="CF2" s="41">
        <v>45600.0</v>
      </c>
      <c r="CG2" s="41">
        <v>45601.0</v>
      </c>
      <c r="CH2" s="41">
        <v>45602.0</v>
      </c>
      <c r="CI2" s="41">
        <v>45603.0</v>
      </c>
      <c r="CJ2" s="41">
        <v>45604.0</v>
      </c>
      <c r="CK2" s="41">
        <v>45605.0</v>
      </c>
      <c r="CL2" s="41">
        <v>45606.0</v>
      </c>
      <c r="CM2" s="41">
        <v>45607.0</v>
      </c>
      <c r="CN2" s="41">
        <v>45608.0</v>
      </c>
      <c r="CO2" s="41">
        <v>45609.0</v>
      </c>
      <c r="CP2" s="41">
        <v>45610.0</v>
      </c>
      <c r="CQ2" s="41">
        <v>45611.0</v>
      </c>
      <c r="CR2" s="41">
        <v>45612.0</v>
      </c>
      <c r="CS2" s="41">
        <v>45613.0</v>
      </c>
      <c r="CT2" s="41">
        <v>45614.0</v>
      </c>
      <c r="CU2" s="41">
        <v>45615.0</v>
      </c>
      <c r="CV2" s="41">
        <v>45616.0</v>
      </c>
      <c r="CW2" s="41">
        <v>45617.0</v>
      </c>
      <c r="CX2" s="41">
        <v>45618.0</v>
      </c>
      <c r="CY2" s="41">
        <v>45619.0</v>
      </c>
      <c r="CZ2" s="42">
        <v>45620.0</v>
      </c>
      <c r="DA2" s="41">
        <v>45621.0</v>
      </c>
      <c r="DB2" s="41">
        <v>45622.0</v>
      </c>
      <c r="DC2" s="41">
        <v>45623.0</v>
      </c>
      <c r="DD2" s="41">
        <v>45624.0</v>
      </c>
      <c r="DE2" s="41">
        <v>45625.0</v>
      </c>
      <c r="DF2" s="41">
        <v>45626.0</v>
      </c>
      <c r="DG2" s="41">
        <v>45627.0</v>
      </c>
      <c r="DH2" s="41">
        <v>45628.0</v>
      </c>
      <c r="DI2" s="41">
        <v>45629.0</v>
      </c>
      <c r="DJ2" s="41">
        <v>45630.0</v>
      </c>
      <c r="DK2" s="41">
        <v>45631.0</v>
      </c>
      <c r="DL2" s="41">
        <v>45632.0</v>
      </c>
      <c r="DM2" s="41">
        <v>45633.0</v>
      </c>
      <c r="DN2" s="41">
        <v>45634.0</v>
      </c>
      <c r="DO2" s="41">
        <v>45635.0</v>
      </c>
      <c r="DP2" s="41">
        <v>45636.0</v>
      </c>
      <c r="DQ2" s="41">
        <v>45637.0</v>
      </c>
      <c r="DR2" s="41">
        <v>45638.0</v>
      </c>
      <c r="DS2" s="41">
        <v>45639.0</v>
      </c>
      <c r="DT2" s="41">
        <v>45640.0</v>
      </c>
      <c r="DU2" s="41">
        <v>45641.0</v>
      </c>
      <c r="DV2" s="41">
        <v>45642.0</v>
      </c>
      <c r="DW2" s="41">
        <v>45643.0</v>
      </c>
      <c r="DX2" s="41">
        <v>45644.0</v>
      </c>
      <c r="DY2" s="41">
        <v>45645.0</v>
      </c>
      <c r="DZ2" s="41">
        <v>45646.0</v>
      </c>
      <c r="EA2" s="41">
        <v>45647.0</v>
      </c>
      <c r="EB2" s="41">
        <v>45648.0</v>
      </c>
      <c r="EC2" s="41">
        <v>45649.0</v>
      </c>
      <c r="ED2" s="42">
        <v>45650.0</v>
      </c>
      <c r="EE2" s="41">
        <v>45651.0</v>
      </c>
      <c r="EF2" s="41">
        <v>45652.0</v>
      </c>
      <c r="EG2" s="41">
        <v>45653.0</v>
      </c>
      <c r="EH2" s="41">
        <v>45654.0</v>
      </c>
      <c r="EI2" s="41">
        <v>45655.0</v>
      </c>
      <c r="EJ2" s="41">
        <v>45656.0</v>
      </c>
      <c r="EK2" s="41">
        <v>45657.0</v>
      </c>
      <c r="EL2" s="41">
        <v>45658.0</v>
      </c>
      <c r="EM2" s="41">
        <v>45659.0</v>
      </c>
      <c r="EN2" s="41">
        <v>45660.0</v>
      </c>
      <c r="EO2" s="41">
        <v>45661.0</v>
      </c>
      <c r="EP2" s="41">
        <v>45662.0</v>
      </c>
      <c r="EQ2" s="41">
        <v>45663.0</v>
      </c>
      <c r="ER2" s="41">
        <v>45664.0</v>
      </c>
      <c r="ES2" s="41">
        <v>45665.0</v>
      </c>
      <c r="ET2" s="41">
        <v>45666.0</v>
      </c>
      <c r="EU2" s="41">
        <v>45667.0</v>
      </c>
      <c r="EV2" s="41">
        <v>45668.0</v>
      </c>
      <c r="EW2" s="41">
        <v>45669.0</v>
      </c>
      <c r="EX2" s="41">
        <v>45670.0</v>
      </c>
      <c r="EY2" s="41">
        <v>45671.0</v>
      </c>
      <c r="EZ2" s="41">
        <v>45672.0</v>
      </c>
      <c r="FA2" s="41">
        <v>45673.0</v>
      </c>
      <c r="FB2" s="41">
        <v>45674.0</v>
      </c>
      <c r="FC2" s="41">
        <v>45675.0</v>
      </c>
      <c r="FD2" s="41">
        <v>45676.0</v>
      </c>
      <c r="FE2" s="41">
        <v>45677.0</v>
      </c>
      <c r="FF2" s="41">
        <v>45678.0</v>
      </c>
      <c r="FG2" s="41">
        <v>45679.0</v>
      </c>
      <c r="FH2" s="41">
        <v>45680.0</v>
      </c>
      <c r="FI2" s="41">
        <v>45681.0</v>
      </c>
      <c r="FJ2" s="41">
        <v>45682.0</v>
      </c>
      <c r="FK2" s="41">
        <v>45683.0</v>
      </c>
      <c r="FL2" s="41">
        <v>45684.0</v>
      </c>
      <c r="FM2" s="41">
        <v>45685.0</v>
      </c>
      <c r="FN2" s="41">
        <v>45686.0</v>
      </c>
      <c r="FO2" s="41">
        <v>45687.0</v>
      </c>
      <c r="FP2" s="41">
        <v>45688.0</v>
      </c>
      <c r="FQ2" s="41">
        <v>45689.0</v>
      </c>
      <c r="FR2" s="41">
        <v>45690.0</v>
      </c>
      <c r="FS2" s="41">
        <v>45691.0</v>
      </c>
      <c r="FT2" s="41">
        <v>45692.0</v>
      </c>
      <c r="FU2" s="41">
        <v>45693.0</v>
      </c>
      <c r="FV2" s="41">
        <v>45694.0</v>
      </c>
      <c r="FW2" s="41">
        <v>45695.0</v>
      </c>
      <c r="FX2" s="41">
        <v>45696.0</v>
      </c>
      <c r="FY2" s="41">
        <v>45697.0</v>
      </c>
      <c r="FZ2" s="41">
        <v>45698.0</v>
      </c>
      <c r="GA2" s="41">
        <v>45699.0</v>
      </c>
      <c r="GB2" s="41">
        <v>45700.0</v>
      </c>
      <c r="GC2" s="41">
        <v>45701.0</v>
      </c>
      <c r="GD2" s="41">
        <v>45702.0</v>
      </c>
      <c r="GE2" s="41">
        <v>45703.0</v>
      </c>
      <c r="GF2" s="41">
        <v>45704.0</v>
      </c>
      <c r="GG2" s="41">
        <v>45705.0</v>
      </c>
      <c r="GH2" s="41">
        <v>45706.0</v>
      </c>
      <c r="GI2" s="41">
        <v>45707.0</v>
      </c>
      <c r="GJ2" s="41">
        <v>45708.0</v>
      </c>
      <c r="GK2" s="41">
        <v>45709.0</v>
      </c>
      <c r="GL2" s="41">
        <v>45710.0</v>
      </c>
      <c r="GM2" s="41">
        <v>45711.0</v>
      </c>
      <c r="GN2" s="41">
        <v>45712.0</v>
      </c>
      <c r="GO2" s="41">
        <v>45713.0</v>
      </c>
      <c r="GP2" s="41">
        <v>45714.0</v>
      </c>
      <c r="GQ2" s="41">
        <v>45715.0</v>
      </c>
      <c r="GR2" s="41">
        <v>45716.0</v>
      </c>
      <c r="GS2" s="41">
        <v>45717.0</v>
      </c>
      <c r="GT2" s="41">
        <v>45718.0</v>
      </c>
      <c r="GU2" s="41">
        <v>45719.0</v>
      </c>
      <c r="GV2" s="41">
        <v>45720.0</v>
      </c>
      <c r="GW2" s="41">
        <v>45721.0</v>
      </c>
      <c r="GX2" s="41">
        <v>45722.0</v>
      </c>
      <c r="GY2" s="41">
        <v>45723.0</v>
      </c>
      <c r="GZ2" s="41">
        <v>45724.0</v>
      </c>
      <c r="HA2" s="41">
        <v>45725.0</v>
      </c>
      <c r="HB2" s="41">
        <v>45726.0</v>
      </c>
      <c r="HC2" s="41">
        <v>45727.0</v>
      </c>
      <c r="HD2" s="41">
        <v>45728.0</v>
      </c>
      <c r="HE2" s="41">
        <v>45729.0</v>
      </c>
      <c r="HF2" s="41">
        <v>45730.0</v>
      </c>
      <c r="HG2" s="41">
        <v>45731.0</v>
      </c>
      <c r="HH2" s="41">
        <v>45732.0</v>
      </c>
      <c r="HI2" s="41">
        <v>45733.0</v>
      </c>
      <c r="HJ2" s="41">
        <v>45734.0</v>
      </c>
      <c r="HK2" s="41">
        <v>45735.0</v>
      </c>
      <c r="HL2" s="41">
        <v>45736.0</v>
      </c>
      <c r="HM2" s="41">
        <v>45737.0</v>
      </c>
      <c r="HN2" s="41">
        <v>45738.0</v>
      </c>
      <c r="HO2" s="41">
        <v>45739.0</v>
      </c>
      <c r="HP2" s="41">
        <v>45740.0</v>
      </c>
      <c r="HQ2" s="41">
        <v>45741.0</v>
      </c>
      <c r="HR2" s="41">
        <v>45742.0</v>
      </c>
      <c r="HS2" s="41">
        <v>45743.0</v>
      </c>
      <c r="HT2" s="41">
        <v>45744.0</v>
      </c>
      <c r="HU2" s="41">
        <v>45745.0</v>
      </c>
      <c r="HV2" s="41">
        <v>45746.0</v>
      </c>
      <c r="HW2" s="41">
        <v>45747.0</v>
      </c>
      <c r="HX2" s="41">
        <v>45748.0</v>
      </c>
      <c r="HY2" s="41">
        <v>45749.0</v>
      </c>
      <c r="HZ2" s="41">
        <v>45750.0</v>
      </c>
      <c r="IA2" s="41">
        <v>45751.0</v>
      </c>
      <c r="IB2" s="41">
        <v>45752.0</v>
      </c>
      <c r="IC2" s="41">
        <v>45753.0</v>
      </c>
      <c r="ID2" s="41">
        <v>45754.0</v>
      </c>
      <c r="IE2" s="41">
        <v>45755.0</v>
      </c>
      <c r="IF2" s="41">
        <v>45756.0</v>
      </c>
      <c r="IG2" s="41">
        <v>45757.0</v>
      </c>
      <c r="IH2" s="41">
        <v>45758.0</v>
      </c>
      <c r="II2" s="41">
        <v>45759.0</v>
      </c>
      <c r="IJ2" s="41">
        <v>45760.0</v>
      </c>
      <c r="IK2" s="41">
        <v>45761.0</v>
      </c>
      <c r="IL2" s="41">
        <v>45762.0</v>
      </c>
      <c r="IM2" s="41">
        <v>45763.0</v>
      </c>
      <c r="IN2" s="41">
        <v>45764.0</v>
      </c>
      <c r="IO2" s="41">
        <v>45765.0</v>
      </c>
      <c r="IP2" s="41">
        <v>45766.0</v>
      </c>
      <c r="IQ2" s="41">
        <v>45767.0</v>
      </c>
      <c r="IR2" s="41">
        <v>45768.0</v>
      </c>
      <c r="IS2" s="41">
        <v>45769.0</v>
      </c>
      <c r="IT2" s="41">
        <v>45770.0</v>
      </c>
      <c r="IU2" s="41">
        <v>45771.0</v>
      </c>
      <c r="IV2" s="41">
        <v>45772.0</v>
      </c>
      <c r="IW2" s="41">
        <v>45773.0</v>
      </c>
      <c r="IX2" s="41">
        <v>45774.0</v>
      </c>
      <c r="IY2" s="41">
        <v>45775.0</v>
      </c>
      <c r="IZ2" s="41">
        <v>45776.0</v>
      </c>
      <c r="JA2" s="41">
        <v>45777.0</v>
      </c>
      <c r="JB2" s="43"/>
      <c r="JC2" s="41">
        <v>45778.0</v>
      </c>
      <c r="JD2" s="41">
        <v>45779.0</v>
      </c>
      <c r="JE2" s="41">
        <v>45780.0</v>
      </c>
      <c r="JF2" s="41">
        <v>45781.0</v>
      </c>
      <c r="JG2" s="41">
        <v>45782.0</v>
      </c>
      <c r="JH2" s="41">
        <v>45783.0</v>
      </c>
      <c r="JI2" s="41">
        <v>45784.0</v>
      </c>
      <c r="JJ2" s="41">
        <v>45785.0</v>
      </c>
      <c r="JK2" s="41">
        <v>45786.0</v>
      </c>
      <c r="JL2" s="41">
        <v>45787.0</v>
      </c>
      <c r="JM2" s="41">
        <v>45788.0</v>
      </c>
      <c r="JN2" s="41">
        <v>45789.0</v>
      </c>
      <c r="JO2" s="41">
        <v>45790.0</v>
      </c>
      <c r="JP2" s="41">
        <v>45791.0</v>
      </c>
      <c r="JQ2" s="41">
        <v>45792.0</v>
      </c>
      <c r="JR2" s="41">
        <v>45793.0</v>
      </c>
      <c r="JS2" s="41">
        <v>45794.0</v>
      </c>
      <c r="JT2" s="41">
        <v>45795.0</v>
      </c>
      <c r="JU2" s="41">
        <v>45796.0</v>
      </c>
      <c r="JV2" s="41">
        <v>45797.0</v>
      </c>
      <c r="JW2" s="41">
        <v>45798.0</v>
      </c>
      <c r="JX2" s="41">
        <v>45799.0</v>
      </c>
      <c r="JY2" s="41">
        <v>45800.0</v>
      </c>
      <c r="JZ2" s="41">
        <v>45801.0</v>
      </c>
      <c r="KA2" s="41">
        <v>45802.0</v>
      </c>
      <c r="KB2" s="41">
        <v>45803.0</v>
      </c>
      <c r="KC2" s="41">
        <v>45804.0</v>
      </c>
      <c r="KD2" s="41">
        <v>45805.0</v>
      </c>
      <c r="KE2" s="41">
        <v>45806.0</v>
      </c>
      <c r="KF2" s="41">
        <v>45807.0</v>
      </c>
      <c r="KG2" s="41">
        <v>45808.0</v>
      </c>
      <c r="KH2" s="43"/>
      <c r="KI2" s="41">
        <v>45809.0</v>
      </c>
      <c r="KJ2" s="41">
        <v>45810.0</v>
      </c>
      <c r="KK2" s="41">
        <v>45811.0</v>
      </c>
      <c r="KL2" s="41">
        <v>45812.0</v>
      </c>
      <c r="KM2" s="41">
        <v>45813.0</v>
      </c>
      <c r="KN2" s="41">
        <v>45814.0</v>
      </c>
      <c r="KO2" s="41">
        <v>45815.0</v>
      </c>
      <c r="KP2" s="41">
        <v>45816.0</v>
      </c>
      <c r="KQ2" s="41">
        <v>45817.0</v>
      </c>
      <c r="KR2" s="41">
        <v>45818.0</v>
      </c>
      <c r="KS2" s="41">
        <v>45819.0</v>
      </c>
      <c r="KT2" s="41">
        <v>45820.0</v>
      </c>
      <c r="KU2" s="41">
        <v>45821.0</v>
      </c>
      <c r="KV2" s="41">
        <v>45822.0</v>
      </c>
      <c r="KW2" s="41">
        <v>45823.0</v>
      </c>
      <c r="KX2" s="41">
        <v>45824.0</v>
      </c>
      <c r="KY2" s="41">
        <v>45825.0</v>
      </c>
      <c r="KZ2" s="41">
        <v>45826.0</v>
      </c>
      <c r="LA2" s="41">
        <v>45827.0</v>
      </c>
      <c r="LB2" s="41">
        <v>45828.0</v>
      </c>
      <c r="LC2" s="41">
        <v>45829.0</v>
      </c>
      <c r="LD2" s="41">
        <v>45830.0</v>
      </c>
      <c r="LE2" s="41">
        <v>45831.0</v>
      </c>
      <c r="LF2" s="41">
        <v>45832.0</v>
      </c>
      <c r="LG2" s="41">
        <v>45833.0</v>
      </c>
      <c r="LH2" s="41">
        <v>45834.0</v>
      </c>
      <c r="LI2" s="41">
        <v>45835.0</v>
      </c>
      <c r="LJ2" s="41">
        <v>45836.0</v>
      </c>
      <c r="LK2" s="41">
        <v>45837.0</v>
      </c>
      <c r="LL2" s="41">
        <v>45838.0</v>
      </c>
      <c r="LM2" s="44" t="s">
        <v>32</v>
      </c>
      <c r="LN2" s="45"/>
      <c r="LO2" s="46">
        <v>45839.0</v>
      </c>
      <c r="LP2" s="41">
        <v>45840.0</v>
      </c>
      <c r="LQ2" s="41">
        <v>45841.0</v>
      </c>
      <c r="LR2" s="41">
        <v>45842.0</v>
      </c>
      <c r="LS2" s="41">
        <v>45843.0</v>
      </c>
      <c r="LT2" s="41">
        <v>45844.0</v>
      </c>
      <c r="LU2" s="41">
        <v>45845.0</v>
      </c>
      <c r="LV2" s="41">
        <v>45846.0</v>
      </c>
      <c r="LW2" s="41">
        <v>45847.0</v>
      </c>
      <c r="LX2" s="41">
        <v>45848.0</v>
      </c>
      <c r="LY2" s="41">
        <v>45849.0</v>
      </c>
      <c r="LZ2" s="41">
        <v>45850.0</v>
      </c>
      <c r="MA2" s="41">
        <v>45851.0</v>
      </c>
      <c r="MB2" s="41">
        <v>45852.0</v>
      </c>
      <c r="MC2" s="41">
        <v>45853.0</v>
      </c>
      <c r="MD2" s="41">
        <v>45854.0</v>
      </c>
      <c r="ME2" s="41">
        <v>45855.0</v>
      </c>
      <c r="MF2" s="41">
        <v>45856.0</v>
      </c>
      <c r="MG2" s="41">
        <v>45857.0</v>
      </c>
      <c r="MH2" s="41">
        <v>45858.0</v>
      </c>
      <c r="MI2" s="41">
        <v>45859.0</v>
      </c>
      <c r="MJ2" s="41">
        <v>45860.0</v>
      </c>
      <c r="MK2" s="41">
        <v>45861.0</v>
      </c>
      <c r="ML2" s="41">
        <v>45862.0</v>
      </c>
      <c r="MM2" s="41">
        <v>45863.0</v>
      </c>
      <c r="MN2" s="41">
        <v>45864.0</v>
      </c>
      <c r="MO2" s="41">
        <v>45865.0</v>
      </c>
      <c r="MP2" s="41">
        <v>45866.0</v>
      </c>
      <c r="MQ2" s="41">
        <v>45867.0</v>
      </c>
      <c r="MR2" s="41">
        <v>45868.0</v>
      </c>
      <c r="MS2" s="41">
        <v>45869.0</v>
      </c>
      <c r="MT2" s="43"/>
      <c r="MU2" s="47">
        <v>45839.0</v>
      </c>
      <c r="MV2" s="48">
        <v>45840.0</v>
      </c>
      <c r="MW2" s="48">
        <v>45841.0</v>
      </c>
      <c r="MX2" s="48">
        <v>45842.0</v>
      </c>
      <c r="MY2" s="48">
        <v>45843.0</v>
      </c>
      <c r="MZ2" s="48">
        <v>45844.0</v>
      </c>
      <c r="NA2" s="48">
        <v>45845.0</v>
      </c>
      <c r="NB2" s="48">
        <v>45846.0</v>
      </c>
      <c r="NC2" s="48">
        <v>45847.0</v>
      </c>
      <c r="ND2" s="48">
        <v>45848.0</v>
      </c>
      <c r="NE2" s="48">
        <v>45849.0</v>
      </c>
      <c r="NF2" s="48">
        <v>45850.0</v>
      </c>
      <c r="NG2" s="48">
        <v>45851.0</v>
      </c>
      <c r="NH2" s="48">
        <v>45852.0</v>
      </c>
      <c r="NI2" s="48">
        <v>45853.0</v>
      </c>
      <c r="NJ2" s="48">
        <v>45854.0</v>
      </c>
      <c r="NK2" s="48">
        <v>45855.0</v>
      </c>
      <c r="NL2" s="48">
        <v>45856.0</v>
      </c>
      <c r="NM2" s="48">
        <v>45857.0</v>
      </c>
      <c r="NN2" s="48">
        <v>45858.0</v>
      </c>
      <c r="NO2" s="48">
        <v>45859.0</v>
      </c>
      <c r="NP2" s="48">
        <v>45860.0</v>
      </c>
      <c r="NQ2" s="48">
        <v>45861.0</v>
      </c>
      <c r="NR2" s="48">
        <v>45862.0</v>
      </c>
      <c r="NS2" s="48">
        <v>45863.0</v>
      </c>
      <c r="NT2" s="48">
        <v>45864.0</v>
      </c>
      <c r="NU2" s="48">
        <v>45865.0</v>
      </c>
      <c r="NV2" s="48">
        <v>45866.0</v>
      </c>
      <c r="NW2" s="48">
        <v>45867.0</v>
      </c>
      <c r="NX2" s="48">
        <v>45868.0</v>
      </c>
      <c r="NY2" s="48">
        <v>45869.0</v>
      </c>
      <c r="NZ2" s="36"/>
      <c r="OA2" s="41">
        <v>45901.0</v>
      </c>
      <c r="OB2" s="41">
        <v>45902.0</v>
      </c>
      <c r="OC2" s="41">
        <v>45903.0</v>
      </c>
      <c r="OD2" s="41">
        <v>45904.0</v>
      </c>
      <c r="OE2" s="41">
        <v>45905.0</v>
      </c>
      <c r="OF2" s="41">
        <v>45906.0</v>
      </c>
      <c r="OG2" s="41">
        <v>45907.0</v>
      </c>
      <c r="OH2" s="41">
        <v>45908.0</v>
      </c>
      <c r="OI2" s="41">
        <v>45909.0</v>
      </c>
      <c r="OJ2" s="41">
        <v>45910.0</v>
      </c>
      <c r="OK2" s="41">
        <v>45911.0</v>
      </c>
      <c r="OL2" s="41">
        <v>45912.0</v>
      </c>
    </row>
    <row r="3" ht="69.0" customHeight="1">
      <c r="A3" s="49"/>
      <c r="B3" s="50" t="s">
        <v>33</v>
      </c>
      <c r="C3" s="51" t="s">
        <v>34</v>
      </c>
      <c r="D3" s="51" t="s">
        <v>35</v>
      </c>
      <c r="E3" s="52">
        <f t="shared" ref="E3:JA3" si="1">E2</f>
        <v>45521</v>
      </c>
      <c r="F3" s="52">
        <f t="shared" si="1"/>
        <v>45522</v>
      </c>
      <c r="G3" s="52">
        <f t="shared" si="1"/>
        <v>45523</v>
      </c>
      <c r="H3" s="52">
        <f t="shared" si="1"/>
        <v>45524</v>
      </c>
      <c r="I3" s="52">
        <f t="shared" si="1"/>
        <v>45525</v>
      </c>
      <c r="J3" s="52">
        <f t="shared" si="1"/>
        <v>45526</v>
      </c>
      <c r="K3" s="52">
        <f t="shared" si="1"/>
        <v>45527</v>
      </c>
      <c r="L3" s="52">
        <f t="shared" si="1"/>
        <v>45528</v>
      </c>
      <c r="M3" s="52">
        <f t="shared" si="1"/>
        <v>45529</v>
      </c>
      <c r="N3" s="52">
        <f t="shared" si="1"/>
        <v>45530</v>
      </c>
      <c r="O3" s="52">
        <f t="shared" si="1"/>
        <v>45531</v>
      </c>
      <c r="P3" s="52">
        <f t="shared" si="1"/>
        <v>45532</v>
      </c>
      <c r="Q3" s="52">
        <f t="shared" si="1"/>
        <v>45533</v>
      </c>
      <c r="R3" s="52">
        <f t="shared" si="1"/>
        <v>45534</v>
      </c>
      <c r="S3" s="52">
        <f t="shared" si="1"/>
        <v>45535</v>
      </c>
      <c r="T3" s="52">
        <f t="shared" si="1"/>
        <v>45536</v>
      </c>
      <c r="U3" s="52">
        <f t="shared" si="1"/>
        <v>45537</v>
      </c>
      <c r="V3" s="52">
        <f t="shared" si="1"/>
        <v>45538</v>
      </c>
      <c r="W3" s="52">
        <f t="shared" si="1"/>
        <v>45539</v>
      </c>
      <c r="X3" s="52">
        <f t="shared" si="1"/>
        <v>45540</v>
      </c>
      <c r="Y3" s="52">
        <f t="shared" si="1"/>
        <v>45541</v>
      </c>
      <c r="Z3" s="52">
        <f t="shared" si="1"/>
        <v>45542</v>
      </c>
      <c r="AA3" s="52">
        <f t="shared" si="1"/>
        <v>45543</v>
      </c>
      <c r="AB3" s="52">
        <f t="shared" si="1"/>
        <v>45544</v>
      </c>
      <c r="AC3" s="52">
        <f t="shared" si="1"/>
        <v>45545</v>
      </c>
      <c r="AD3" s="52">
        <f t="shared" si="1"/>
        <v>45546</v>
      </c>
      <c r="AE3" s="52">
        <f t="shared" si="1"/>
        <v>45547</v>
      </c>
      <c r="AF3" s="52">
        <f t="shared" si="1"/>
        <v>45548</v>
      </c>
      <c r="AG3" s="52">
        <f t="shared" si="1"/>
        <v>45549</v>
      </c>
      <c r="AH3" s="52">
        <f t="shared" si="1"/>
        <v>45550</v>
      </c>
      <c r="AI3" s="52">
        <f t="shared" si="1"/>
        <v>45551</v>
      </c>
      <c r="AJ3" s="52">
        <f t="shared" si="1"/>
        <v>45552</v>
      </c>
      <c r="AK3" s="52">
        <f t="shared" si="1"/>
        <v>45553</v>
      </c>
      <c r="AL3" s="52">
        <f t="shared" si="1"/>
        <v>45554</v>
      </c>
      <c r="AM3" s="52">
        <f t="shared" si="1"/>
        <v>45555</v>
      </c>
      <c r="AN3" s="52">
        <f t="shared" si="1"/>
        <v>45556</v>
      </c>
      <c r="AO3" s="52">
        <f t="shared" si="1"/>
        <v>45557</v>
      </c>
      <c r="AP3" s="52">
        <f t="shared" si="1"/>
        <v>45558</v>
      </c>
      <c r="AQ3" s="52">
        <f t="shared" si="1"/>
        <v>45559</v>
      </c>
      <c r="AR3" s="52">
        <f t="shared" si="1"/>
        <v>45560</v>
      </c>
      <c r="AS3" s="52">
        <f t="shared" si="1"/>
        <v>45561</v>
      </c>
      <c r="AT3" s="52">
        <f t="shared" si="1"/>
        <v>45562</v>
      </c>
      <c r="AU3" s="52">
        <f t="shared" si="1"/>
        <v>45563</v>
      </c>
      <c r="AV3" s="52" t="str">
        <f t="shared" si="1"/>
        <v/>
      </c>
      <c r="AW3" s="52">
        <f t="shared" si="1"/>
        <v>45565</v>
      </c>
      <c r="AX3" s="52">
        <f t="shared" si="1"/>
        <v>45566</v>
      </c>
      <c r="AY3" s="52">
        <f t="shared" si="1"/>
        <v>45567</v>
      </c>
      <c r="AZ3" s="52">
        <f t="shared" si="1"/>
        <v>45568</v>
      </c>
      <c r="BA3" s="52">
        <f t="shared" si="1"/>
        <v>45569</v>
      </c>
      <c r="BB3" s="52">
        <f t="shared" si="1"/>
        <v>45570</v>
      </c>
      <c r="BC3" s="52">
        <f t="shared" si="1"/>
        <v>45571</v>
      </c>
      <c r="BD3" s="52">
        <f t="shared" si="1"/>
        <v>45572</v>
      </c>
      <c r="BE3" s="52">
        <f t="shared" si="1"/>
        <v>45573</v>
      </c>
      <c r="BF3" s="52">
        <f t="shared" si="1"/>
        <v>45574</v>
      </c>
      <c r="BG3" s="52">
        <f t="shared" si="1"/>
        <v>45575</v>
      </c>
      <c r="BH3" s="52">
        <f t="shared" si="1"/>
        <v>45576</v>
      </c>
      <c r="BI3" s="52">
        <f t="shared" si="1"/>
        <v>45577</v>
      </c>
      <c r="BJ3" s="52">
        <f t="shared" si="1"/>
        <v>45578</v>
      </c>
      <c r="BK3" s="52">
        <f t="shared" si="1"/>
        <v>45579</v>
      </c>
      <c r="BL3" s="52">
        <f t="shared" si="1"/>
        <v>45580</v>
      </c>
      <c r="BM3" s="52">
        <f t="shared" si="1"/>
        <v>45581</v>
      </c>
      <c r="BN3" s="52">
        <f t="shared" si="1"/>
        <v>45582</v>
      </c>
      <c r="BO3" s="52">
        <f t="shared" si="1"/>
        <v>45583</v>
      </c>
      <c r="BP3" s="52">
        <f t="shared" si="1"/>
        <v>45584</v>
      </c>
      <c r="BQ3" s="52">
        <f t="shared" si="1"/>
        <v>45585</v>
      </c>
      <c r="BR3" s="52">
        <f t="shared" si="1"/>
        <v>45586</v>
      </c>
      <c r="BS3" s="52">
        <f t="shared" si="1"/>
        <v>45587</v>
      </c>
      <c r="BT3" s="52">
        <f t="shared" si="1"/>
        <v>45588</v>
      </c>
      <c r="BU3" s="53">
        <f t="shared" si="1"/>
        <v>45589</v>
      </c>
      <c r="BV3" s="52">
        <f t="shared" si="1"/>
        <v>45590</v>
      </c>
      <c r="BW3" s="52">
        <f t="shared" si="1"/>
        <v>45591</v>
      </c>
      <c r="BX3" s="52">
        <f t="shared" si="1"/>
        <v>45592</v>
      </c>
      <c r="BY3" s="52">
        <f t="shared" si="1"/>
        <v>45593</v>
      </c>
      <c r="BZ3" s="52">
        <f t="shared" si="1"/>
        <v>45594</v>
      </c>
      <c r="CA3" s="52">
        <f t="shared" si="1"/>
        <v>45595</v>
      </c>
      <c r="CB3" s="52">
        <f t="shared" si="1"/>
        <v>45596</v>
      </c>
      <c r="CC3" s="52">
        <f t="shared" si="1"/>
        <v>45597</v>
      </c>
      <c r="CD3" s="52">
        <f t="shared" si="1"/>
        <v>45598</v>
      </c>
      <c r="CE3" s="52">
        <f t="shared" si="1"/>
        <v>45599</v>
      </c>
      <c r="CF3" s="52">
        <f t="shared" si="1"/>
        <v>45600</v>
      </c>
      <c r="CG3" s="52">
        <f t="shared" si="1"/>
        <v>45601</v>
      </c>
      <c r="CH3" s="52">
        <f t="shared" si="1"/>
        <v>45602</v>
      </c>
      <c r="CI3" s="52">
        <f t="shared" si="1"/>
        <v>45603</v>
      </c>
      <c r="CJ3" s="52">
        <f t="shared" si="1"/>
        <v>45604</v>
      </c>
      <c r="CK3" s="52">
        <f t="shared" si="1"/>
        <v>45605</v>
      </c>
      <c r="CL3" s="52">
        <f t="shared" si="1"/>
        <v>45606</v>
      </c>
      <c r="CM3" s="52">
        <f t="shared" si="1"/>
        <v>45607</v>
      </c>
      <c r="CN3" s="52">
        <f t="shared" si="1"/>
        <v>45608</v>
      </c>
      <c r="CO3" s="52">
        <f t="shared" si="1"/>
        <v>45609</v>
      </c>
      <c r="CP3" s="52">
        <f t="shared" si="1"/>
        <v>45610</v>
      </c>
      <c r="CQ3" s="52">
        <f t="shared" si="1"/>
        <v>45611</v>
      </c>
      <c r="CR3" s="52">
        <f t="shared" si="1"/>
        <v>45612</v>
      </c>
      <c r="CS3" s="52">
        <f t="shared" si="1"/>
        <v>45613</v>
      </c>
      <c r="CT3" s="52">
        <f t="shared" si="1"/>
        <v>45614</v>
      </c>
      <c r="CU3" s="52">
        <f t="shared" si="1"/>
        <v>45615</v>
      </c>
      <c r="CV3" s="52">
        <f t="shared" si="1"/>
        <v>45616</v>
      </c>
      <c r="CW3" s="52">
        <f t="shared" si="1"/>
        <v>45617</v>
      </c>
      <c r="CX3" s="52">
        <f t="shared" si="1"/>
        <v>45618</v>
      </c>
      <c r="CY3" s="52">
        <f t="shared" si="1"/>
        <v>45619</v>
      </c>
      <c r="CZ3" s="53">
        <f t="shared" si="1"/>
        <v>45620</v>
      </c>
      <c r="DA3" s="52">
        <f t="shared" si="1"/>
        <v>45621</v>
      </c>
      <c r="DB3" s="52">
        <f t="shared" si="1"/>
        <v>45622</v>
      </c>
      <c r="DC3" s="52">
        <f t="shared" si="1"/>
        <v>45623</v>
      </c>
      <c r="DD3" s="52">
        <f t="shared" si="1"/>
        <v>45624</v>
      </c>
      <c r="DE3" s="52">
        <f t="shared" si="1"/>
        <v>45625</v>
      </c>
      <c r="DF3" s="52">
        <f t="shared" si="1"/>
        <v>45626</v>
      </c>
      <c r="DG3" s="52">
        <f t="shared" si="1"/>
        <v>45627</v>
      </c>
      <c r="DH3" s="52">
        <f t="shared" si="1"/>
        <v>45628</v>
      </c>
      <c r="DI3" s="52">
        <f t="shared" si="1"/>
        <v>45629</v>
      </c>
      <c r="DJ3" s="52">
        <f t="shared" si="1"/>
        <v>45630</v>
      </c>
      <c r="DK3" s="52">
        <f t="shared" si="1"/>
        <v>45631</v>
      </c>
      <c r="DL3" s="52">
        <f t="shared" si="1"/>
        <v>45632</v>
      </c>
      <c r="DM3" s="52">
        <f t="shared" si="1"/>
        <v>45633</v>
      </c>
      <c r="DN3" s="52">
        <f t="shared" si="1"/>
        <v>45634</v>
      </c>
      <c r="DO3" s="52">
        <f t="shared" si="1"/>
        <v>45635</v>
      </c>
      <c r="DP3" s="52">
        <f t="shared" si="1"/>
        <v>45636</v>
      </c>
      <c r="DQ3" s="52">
        <f t="shared" si="1"/>
        <v>45637</v>
      </c>
      <c r="DR3" s="52">
        <f t="shared" si="1"/>
        <v>45638</v>
      </c>
      <c r="DS3" s="52">
        <f t="shared" si="1"/>
        <v>45639</v>
      </c>
      <c r="DT3" s="52">
        <f t="shared" si="1"/>
        <v>45640</v>
      </c>
      <c r="DU3" s="52">
        <f t="shared" si="1"/>
        <v>45641</v>
      </c>
      <c r="DV3" s="52">
        <f t="shared" si="1"/>
        <v>45642</v>
      </c>
      <c r="DW3" s="52">
        <f t="shared" si="1"/>
        <v>45643</v>
      </c>
      <c r="DX3" s="52">
        <f t="shared" si="1"/>
        <v>45644</v>
      </c>
      <c r="DY3" s="52">
        <f t="shared" si="1"/>
        <v>45645</v>
      </c>
      <c r="DZ3" s="52">
        <f t="shared" si="1"/>
        <v>45646</v>
      </c>
      <c r="EA3" s="52">
        <f t="shared" si="1"/>
        <v>45647</v>
      </c>
      <c r="EB3" s="52">
        <f t="shared" si="1"/>
        <v>45648</v>
      </c>
      <c r="EC3" s="52">
        <f t="shared" si="1"/>
        <v>45649</v>
      </c>
      <c r="ED3" s="53">
        <f t="shared" si="1"/>
        <v>45650</v>
      </c>
      <c r="EE3" s="52">
        <f t="shared" si="1"/>
        <v>45651</v>
      </c>
      <c r="EF3" s="52">
        <f t="shared" si="1"/>
        <v>45652</v>
      </c>
      <c r="EG3" s="52">
        <f t="shared" si="1"/>
        <v>45653</v>
      </c>
      <c r="EH3" s="52">
        <f t="shared" si="1"/>
        <v>45654</v>
      </c>
      <c r="EI3" s="52">
        <f t="shared" si="1"/>
        <v>45655</v>
      </c>
      <c r="EJ3" s="52">
        <f t="shared" si="1"/>
        <v>45656</v>
      </c>
      <c r="EK3" s="52">
        <f t="shared" si="1"/>
        <v>45657</v>
      </c>
      <c r="EL3" s="52">
        <f t="shared" si="1"/>
        <v>45658</v>
      </c>
      <c r="EM3" s="52">
        <f t="shared" si="1"/>
        <v>45659</v>
      </c>
      <c r="EN3" s="52">
        <f t="shared" si="1"/>
        <v>45660</v>
      </c>
      <c r="EO3" s="52">
        <f t="shared" si="1"/>
        <v>45661</v>
      </c>
      <c r="EP3" s="52">
        <f t="shared" si="1"/>
        <v>45662</v>
      </c>
      <c r="EQ3" s="52">
        <f t="shared" si="1"/>
        <v>45663</v>
      </c>
      <c r="ER3" s="52">
        <f t="shared" si="1"/>
        <v>45664</v>
      </c>
      <c r="ES3" s="52">
        <f t="shared" si="1"/>
        <v>45665</v>
      </c>
      <c r="ET3" s="52">
        <f t="shared" si="1"/>
        <v>45666</v>
      </c>
      <c r="EU3" s="52">
        <f t="shared" si="1"/>
        <v>45667</v>
      </c>
      <c r="EV3" s="52">
        <f t="shared" si="1"/>
        <v>45668</v>
      </c>
      <c r="EW3" s="52">
        <f t="shared" si="1"/>
        <v>45669</v>
      </c>
      <c r="EX3" s="52">
        <f t="shared" si="1"/>
        <v>45670</v>
      </c>
      <c r="EY3" s="52">
        <f t="shared" si="1"/>
        <v>45671</v>
      </c>
      <c r="EZ3" s="52">
        <f t="shared" si="1"/>
        <v>45672</v>
      </c>
      <c r="FA3" s="52">
        <f t="shared" si="1"/>
        <v>45673</v>
      </c>
      <c r="FB3" s="52">
        <f t="shared" si="1"/>
        <v>45674</v>
      </c>
      <c r="FC3" s="52">
        <f t="shared" si="1"/>
        <v>45675</v>
      </c>
      <c r="FD3" s="52">
        <f t="shared" si="1"/>
        <v>45676</v>
      </c>
      <c r="FE3" s="52">
        <f t="shared" si="1"/>
        <v>45677</v>
      </c>
      <c r="FF3" s="52">
        <f t="shared" si="1"/>
        <v>45678</v>
      </c>
      <c r="FG3" s="52">
        <f t="shared" si="1"/>
        <v>45679</v>
      </c>
      <c r="FH3" s="52">
        <f t="shared" si="1"/>
        <v>45680</v>
      </c>
      <c r="FI3" s="52">
        <f t="shared" si="1"/>
        <v>45681</v>
      </c>
      <c r="FJ3" s="52">
        <f t="shared" si="1"/>
        <v>45682</v>
      </c>
      <c r="FK3" s="52">
        <f t="shared" si="1"/>
        <v>45683</v>
      </c>
      <c r="FL3" s="52">
        <f t="shared" si="1"/>
        <v>45684</v>
      </c>
      <c r="FM3" s="52">
        <f t="shared" si="1"/>
        <v>45685</v>
      </c>
      <c r="FN3" s="52">
        <f t="shared" si="1"/>
        <v>45686</v>
      </c>
      <c r="FO3" s="52">
        <f t="shared" si="1"/>
        <v>45687</v>
      </c>
      <c r="FP3" s="52">
        <f t="shared" si="1"/>
        <v>45688</v>
      </c>
      <c r="FQ3" s="52">
        <f t="shared" si="1"/>
        <v>45689</v>
      </c>
      <c r="FR3" s="52">
        <f t="shared" si="1"/>
        <v>45690</v>
      </c>
      <c r="FS3" s="52">
        <f t="shared" si="1"/>
        <v>45691</v>
      </c>
      <c r="FT3" s="52">
        <f t="shared" si="1"/>
        <v>45692</v>
      </c>
      <c r="FU3" s="52">
        <f t="shared" si="1"/>
        <v>45693</v>
      </c>
      <c r="FV3" s="52">
        <f t="shared" si="1"/>
        <v>45694</v>
      </c>
      <c r="FW3" s="52">
        <f t="shared" si="1"/>
        <v>45695</v>
      </c>
      <c r="FX3" s="52">
        <f t="shared" si="1"/>
        <v>45696</v>
      </c>
      <c r="FY3" s="52">
        <f t="shared" si="1"/>
        <v>45697</v>
      </c>
      <c r="FZ3" s="52">
        <f t="shared" si="1"/>
        <v>45698</v>
      </c>
      <c r="GA3" s="52">
        <f t="shared" si="1"/>
        <v>45699</v>
      </c>
      <c r="GB3" s="52">
        <f t="shared" si="1"/>
        <v>45700</v>
      </c>
      <c r="GC3" s="52">
        <f t="shared" si="1"/>
        <v>45701</v>
      </c>
      <c r="GD3" s="52">
        <f t="shared" si="1"/>
        <v>45702</v>
      </c>
      <c r="GE3" s="52">
        <f t="shared" si="1"/>
        <v>45703</v>
      </c>
      <c r="GF3" s="52">
        <f t="shared" si="1"/>
        <v>45704</v>
      </c>
      <c r="GG3" s="52">
        <f t="shared" si="1"/>
        <v>45705</v>
      </c>
      <c r="GH3" s="52">
        <f t="shared" si="1"/>
        <v>45706</v>
      </c>
      <c r="GI3" s="52">
        <f t="shared" si="1"/>
        <v>45707</v>
      </c>
      <c r="GJ3" s="52">
        <f t="shared" si="1"/>
        <v>45708</v>
      </c>
      <c r="GK3" s="52">
        <f t="shared" si="1"/>
        <v>45709</v>
      </c>
      <c r="GL3" s="52">
        <f t="shared" si="1"/>
        <v>45710</v>
      </c>
      <c r="GM3" s="52">
        <f t="shared" si="1"/>
        <v>45711</v>
      </c>
      <c r="GN3" s="52">
        <f t="shared" si="1"/>
        <v>45712</v>
      </c>
      <c r="GO3" s="52">
        <f t="shared" si="1"/>
        <v>45713</v>
      </c>
      <c r="GP3" s="52">
        <f t="shared" si="1"/>
        <v>45714</v>
      </c>
      <c r="GQ3" s="52">
        <f t="shared" si="1"/>
        <v>45715</v>
      </c>
      <c r="GR3" s="52">
        <f t="shared" si="1"/>
        <v>45716</v>
      </c>
      <c r="GS3" s="52">
        <f t="shared" si="1"/>
        <v>45717</v>
      </c>
      <c r="GT3" s="52">
        <f t="shared" si="1"/>
        <v>45718</v>
      </c>
      <c r="GU3" s="52">
        <f t="shared" si="1"/>
        <v>45719</v>
      </c>
      <c r="GV3" s="52">
        <f t="shared" si="1"/>
        <v>45720</v>
      </c>
      <c r="GW3" s="52">
        <f t="shared" si="1"/>
        <v>45721</v>
      </c>
      <c r="GX3" s="52">
        <f t="shared" si="1"/>
        <v>45722</v>
      </c>
      <c r="GY3" s="52">
        <f t="shared" si="1"/>
        <v>45723</v>
      </c>
      <c r="GZ3" s="52">
        <f t="shared" si="1"/>
        <v>45724</v>
      </c>
      <c r="HA3" s="52">
        <f t="shared" si="1"/>
        <v>45725</v>
      </c>
      <c r="HB3" s="52">
        <f t="shared" si="1"/>
        <v>45726</v>
      </c>
      <c r="HC3" s="52">
        <f t="shared" si="1"/>
        <v>45727</v>
      </c>
      <c r="HD3" s="52">
        <f t="shared" si="1"/>
        <v>45728</v>
      </c>
      <c r="HE3" s="52">
        <f t="shared" si="1"/>
        <v>45729</v>
      </c>
      <c r="HF3" s="52">
        <f t="shared" si="1"/>
        <v>45730</v>
      </c>
      <c r="HG3" s="52">
        <f t="shared" si="1"/>
        <v>45731</v>
      </c>
      <c r="HH3" s="52">
        <f t="shared" si="1"/>
        <v>45732</v>
      </c>
      <c r="HI3" s="52">
        <f t="shared" si="1"/>
        <v>45733</v>
      </c>
      <c r="HJ3" s="52">
        <f t="shared" si="1"/>
        <v>45734</v>
      </c>
      <c r="HK3" s="52">
        <f t="shared" si="1"/>
        <v>45735</v>
      </c>
      <c r="HL3" s="52">
        <f t="shared" si="1"/>
        <v>45736</v>
      </c>
      <c r="HM3" s="52">
        <f t="shared" si="1"/>
        <v>45737</v>
      </c>
      <c r="HN3" s="52">
        <f t="shared" si="1"/>
        <v>45738</v>
      </c>
      <c r="HO3" s="52">
        <f t="shared" si="1"/>
        <v>45739</v>
      </c>
      <c r="HP3" s="52">
        <f t="shared" si="1"/>
        <v>45740</v>
      </c>
      <c r="HQ3" s="52">
        <f t="shared" si="1"/>
        <v>45741</v>
      </c>
      <c r="HR3" s="52">
        <f t="shared" si="1"/>
        <v>45742</v>
      </c>
      <c r="HS3" s="52">
        <f t="shared" si="1"/>
        <v>45743</v>
      </c>
      <c r="HT3" s="52">
        <f t="shared" si="1"/>
        <v>45744</v>
      </c>
      <c r="HU3" s="52">
        <f t="shared" si="1"/>
        <v>45745</v>
      </c>
      <c r="HV3" s="52">
        <f t="shared" si="1"/>
        <v>45746</v>
      </c>
      <c r="HW3" s="52">
        <f t="shared" si="1"/>
        <v>45747</v>
      </c>
      <c r="HX3" s="52">
        <f t="shared" si="1"/>
        <v>45748</v>
      </c>
      <c r="HY3" s="52">
        <f t="shared" si="1"/>
        <v>45749</v>
      </c>
      <c r="HZ3" s="52">
        <f t="shared" si="1"/>
        <v>45750</v>
      </c>
      <c r="IA3" s="52">
        <f t="shared" si="1"/>
        <v>45751</v>
      </c>
      <c r="IB3" s="52">
        <f t="shared" si="1"/>
        <v>45752</v>
      </c>
      <c r="IC3" s="52">
        <f t="shared" si="1"/>
        <v>45753</v>
      </c>
      <c r="ID3" s="52">
        <f t="shared" si="1"/>
        <v>45754</v>
      </c>
      <c r="IE3" s="52">
        <f t="shared" si="1"/>
        <v>45755</v>
      </c>
      <c r="IF3" s="52">
        <f t="shared" si="1"/>
        <v>45756</v>
      </c>
      <c r="IG3" s="52">
        <f t="shared" si="1"/>
        <v>45757</v>
      </c>
      <c r="IH3" s="52">
        <f t="shared" si="1"/>
        <v>45758</v>
      </c>
      <c r="II3" s="52">
        <f t="shared" si="1"/>
        <v>45759</v>
      </c>
      <c r="IJ3" s="52">
        <f t="shared" si="1"/>
        <v>45760</v>
      </c>
      <c r="IK3" s="52">
        <f t="shared" si="1"/>
        <v>45761</v>
      </c>
      <c r="IL3" s="52">
        <f t="shared" si="1"/>
        <v>45762</v>
      </c>
      <c r="IM3" s="52">
        <f t="shared" si="1"/>
        <v>45763</v>
      </c>
      <c r="IN3" s="52">
        <f t="shared" si="1"/>
        <v>45764</v>
      </c>
      <c r="IO3" s="52">
        <f t="shared" si="1"/>
        <v>45765</v>
      </c>
      <c r="IP3" s="52">
        <f t="shared" si="1"/>
        <v>45766</v>
      </c>
      <c r="IQ3" s="52">
        <f t="shared" si="1"/>
        <v>45767</v>
      </c>
      <c r="IR3" s="52">
        <f t="shared" si="1"/>
        <v>45768</v>
      </c>
      <c r="IS3" s="52">
        <f t="shared" si="1"/>
        <v>45769</v>
      </c>
      <c r="IT3" s="52">
        <f t="shared" si="1"/>
        <v>45770</v>
      </c>
      <c r="IU3" s="52">
        <f t="shared" si="1"/>
        <v>45771</v>
      </c>
      <c r="IV3" s="52">
        <f t="shared" si="1"/>
        <v>45772</v>
      </c>
      <c r="IW3" s="52">
        <f t="shared" si="1"/>
        <v>45773</v>
      </c>
      <c r="IX3" s="52">
        <f t="shared" si="1"/>
        <v>45774</v>
      </c>
      <c r="IY3" s="52">
        <f t="shared" si="1"/>
        <v>45775</v>
      </c>
      <c r="IZ3" s="52">
        <f t="shared" si="1"/>
        <v>45776</v>
      </c>
      <c r="JA3" s="52">
        <f t="shared" si="1"/>
        <v>45777</v>
      </c>
      <c r="JB3" s="54"/>
      <c r="JC3" s="52">
        <f t="shared" ref="JC3:KG3" si="2">JC2</f>
        <v>45778</v>
      </c>
      <c r="JD3" s="52">
        <f t="shared" si="2"/>
        <v>45779</v>
      </c>
      <c r="JE3" s="52">
        <f t="shared" si="2"/>
        <v>45780</v>
      </c>
      <c r="JF3" s="52">
        <f t="shared" si="2"/>
        <v>45781</v>
      </c>
      <c r="JG3" s="52">
        <f t="shared" si="2"/>
        <v>45782</v>
      </c>
      <c r="JH3" s="52">
        <f t="shared" si="2"/>
        <v>45783</v>
      </c>
      <c r="JI3" s="52">
        <f t="shared" si="2"/>
        <v>45784</v>
      </c>
      <c r="JJ3" s="52">
        <f t="shared" si="2"/>
        <v>45785</v>
      </c>
      <c r="JK3" s="52">
        <f t="shared" si="2"/>
        <v>45786</v>
      </c>
      <c r="JL3" s="52">
        <f t="shared" si="2"/>
        <v>45787</v>
      </c>
      <c r="JM3" s="52">
        <f t="shared" si="2"/>
        <v>45788</v>
      </c>
      <c r="JN3" s="52">
        <f t="shared" si="2"/>
        <v>45789</v>
      </c>
      <c r="JO3" s="52">
        <f t="shared" si="2"/>
        <v>45790</v>
      </c>
      <c r="JP3" s="52">
        <f t="shared" si="2"/>
        <v>45791</v>
      </c>
      <c r="JQ3" s="52">
        <f t="shared" si="2"/>
        <v>45792</v>
      </c>
      <c r="JR3" s="52">
        <f t="shared" si="2"/>
        <v>45793</v>
      </c>
      <c r="JS3" s="52">
        <f t="shared" si="2"/>
        <v>45794</v>
      </c>
      <c r="JT3" s="52">
        <f t="shared" si="2"/>
        <v>45795</v>
      </c>
      <c r="JU3" s="52">
        <f t="shared" si="2"/>
        <v>45796</v>
      </c>
      <c r="JV3" s="52">
        <f t="shared" si="2"/>
        <v>45797</v>
      </c>
      <c r="JW3" s="52">
        <f t="shared" si="2"/>
        <v>45798</v>
      </c>
      <c r="JX3" s="52">
        <f t="shared" si="2"/>
        <v>45799</v>
      </c>
      <c r="JY3" s="52">
        <f t="shared" si="2"/>
        <v>45800</v>
      </c>
      <c r="JZ3" s="52">
        <f t="shared" si="2"/>
        <v>45801</v>
      </c>
      <c r="KA3" s="52">
        <f t="shared" si="2"/>
        <v>45802</v>
      </c>
      <c r="KB3" s="52">
        <f t="shared" si="2"/>
        <v>45803</v>
      </c>
      <c r="KC3" s="52">
        <f t="shared" si="2"/>
        <v>45804</v>
      </c>
      <c r="KD3" s="52">
        <f t="shared" si="2"/>
        <v>45805</v>
      </c>
      <c r="KE3" s="52">
        <f t="shared" si="2"/>
        <v>45806</v>
      </c>
      <c r="KF3" s="52">
        <f t="shared" si="2"/>
        <v>45807</v>
      </c>
      <c r="KG3" s="52">
        <f t="shared" si="2"/>
        <v>45808</v>
      </c>
      <c r="KH3" s="54"/>
      <c r="KI3" s="52">
        <f t="shared" ref="KI3:LL3" si="3">KI2</f>
        <v>45809</v>
      </c>
      <c r="KJ3" s="52">
        <f t="shared" si="3"/>
        <v>45810</v>
      </c>
      <c r="KK3" s="52">
        <f t="shared" si="3"/>
        <v>45811</v>
      </c>
      <c r="KL3" s="52">
        <f t="shared" si="3"/>
        <v>45812</v>
      </c>
      <c r="KM3" s="52">
        <f t="shared" si="3"/>
        <v>45813</v>
      </c>
      <c r="KN3" s="52">
        <f t="shared" si="3"/>
        <v>45814</v>
      </c>
      <c r="KO3" s="52">
        <f t="shared" si="3"/>
        <v>45815</v>
      </c>
      <c r="KP3" s="52">
        <f t="shared" si="3"/>
        <v>45816</v>
      </c>
      <c r="KQ3" s="52">
        <f t="shared" si="3"/>
        <v>45817</v>
      </c>
      <c r="KR3" s="52">
        <f t="shared" si="3"/>
        <v>45818</v>
      </c>
      <c r="KS3" s="52">
        <f t="shared" si="3"/>
        <v>45819</v>
      </c>
      <c r="KT3" s="52">
        <f t="shared" si="3"/>
        <v>45820</v>
      </c>
      <c r="KU3" s="52">
        <f t="shared" si="3"/>
        <v>45821</v>
      </c>
      <c r="KV3" s="52">
        <f t="shared" si="3"/>
        <v>45822</v>
      </c>
      <c r="KW3" s="52">
        <f t="shared" si="3"/>
        <v>45823</v>
      </c>
      <c r="KX3" s="52">
        <f t="shared" si="3"/>
        <v>45824</v>
      </c>
      <c r="KY3" s="52">
        <f t="shared" si="3"/>
        <v>45825</v>
      </c>
      <c r="KZ3" s="52">
        <f t="shared" si="3"/>
        <v>45826</v>
      </c>
      <c r="LA3" s="52">
        <f t="shared" si="3"/>
        <v>45827</v>
      </c>
      <c r="LB3" s="52">
        <f t="shared" si="3"/>
        <v>45828</v>
      </c>
      <c r="LC3" s="52">
        <f t="shared" si="3"/>
        <v>45829</v>
      </c>
      <c r="LD3" s="52">
        <f t="shared" si="3"/>
        <v>45830</v>
      </c>
      <c r="LE3" s="52">
        <f t="shared" si="3"/>
        <v>45831</v>
      </c>
      <c r="LF3" s="52">
        <f t="shared" si="3"/>
        <v>45832</v>
      </c>
      <c r="LG3" s="52">
        <f t="shared" si="3"/>
        <v>45833</v>
      </c>
      <c r="LH3" s="52">
        <f t="shared" si="3"/>
        <v>45834</v>
      </c>
      <c r="LI3" s="52">
        <f t="shared" si="3"/>
        <v>45835</v>
      </c>
      <c r="LJ3" s="52">
        <f t="shared" si="3"/>
        <v>45836</v>
      </c>
      <c r="LK3" s="52">
        <f t="shared" si="3"/>
        <v>45837</v>
      </c>
      <c r="LL3" s="52">
        <f t="shared" si="3"/>
        <v>45838</v>
      </c>
      <c r="LM3" s="55" t="s">
        <v>36</v>
      </c>
      <c r="LN3" s="56"/>
      <c r="LO3" s="57">
        <f t="shared" ref="LO3:MS3" si="4">LO2</f>
        <v>45839</v>
      </c>
      <c r="LP3" s="52">
        <f t="shared" si="4"/>
        <v>45840</v>
      </c>
      <c r="LQ3" s="52">
        <f t="shared" si="4"/>
        <v>45841</v>
      </c>
      <c r="LR3" s="52">
        <f t="shared" si="4"/>
        <v>45842</v>
      </c>
      <c r="LS3" s="52">
        <f t="shared" si="4"/>
        <v>45843</v>
      </c>
      <c r="LT3" s="52">
        <f t="shared" si="4"/>
        <v>45844</v>
      </c>
      <c r="LU3" s="52">
        <f t="shared" si="4"/>
        <v>45845</v>
      </c>
      <c r="LV3" s="52">
        <f t="shared" si="4"/>
        <v>45846</v>
      </c>
      <c r="LW3" s="52">
        <f t="shared" si="4"/>
        <v>45847</v>
      </c>
      <c r="LX3" s="52">
        <f t="shared" si="4"/>
        <v>45848</v>
      </c>
      <c r="LY3" s="52">
        <f t="shared" si="4"/>
        <v>45849</v>
      </c>
      <c r="LZ3" s="52">
        <f t="shared" si="4"/>
        <v>45850</v>
      </c>
      <c r="MA3" s="52">
        <f t="shared" si="4"/>
        <v>45851</v>
      </c>
      <c r="MB3" s="52">
        <f t="shared" si="4"/>
        <v>45852</v>
      </c>
      <c r="MC3" s="52">
        <f t="shared" si="4"/>
        <v>45853</v>
      </c>
      <c r="MD3" s="52">
        <f t="shared" si="4"/>
        <v>45854</v>
      </c>
      <c r="ME3" s="52">
        <f t="shared" si="4"/>
        <v>45855</v>
      </c>
      <c r="MF3" s="52">
        <f t="shared" si="4"/>
        <v>45856</v>
      </c>
      <c r="MG3" s="52">
        <f t="shared" si="4"/>
        <v>45857</v>
      </c>
      <c r="MH3" s="52">
        <f t="shared" si="4"/>
        <v>45858</v>
      </c>
      <c r="MI3" s="52">
        <f t="shared" si="4"/>
        <v>45859</v>
      </c>
      <c r="MJ3" s="52">
        <f t="shared" si="4"/>
        <v>45860</v>
      </c>
      <c r="MK3" s="52">
        <f t="shared" si="4"/>
        <v>45861</v>
      </c>
      <c r="ML3" s="52">
        <f t="shared" si="4"/>
        <v>45862</v>
      </c>
      <c r="MM3" s="52">
        <f t="shared" si="4"/>
        <v>45863</v>
      </c>
      <c r="MN3" s="52">
        <f t="shared" si="4"/>
        <v>45864</v>
      </c>
      <c r="MO3" s="52">
        <f t="shared" si="4"/>
        <v>45865</v>
      </c>
      <c r="MP3" s="52">
        <f t="shared" si="4"/>
        <v>45866</v>
      </c>
      <c r="MQ3" s="52">
        <f t="shared" si="4"/>
        <v>45867</v>
      </c>
      <c r="MR3" s="52">
        <f t="shared" si="4"/>
        <v>45868</v>
      </c>
      <c r="MS3" s="52">
        <f t="shared" si="4"/>
        <v>45869</v>
      </c>
      <c r="MT3" s="54"/>
      <c r="MU3" s="58">
        <f t="shared" ref="MU3:NY3" si="5">MU2</f>
        <v>45839</v>
      </c>
      <c r="MV3" s="59">
        <f t="shared" si="5"/>
        <v>45840</v>
      </c>
      <c r="MW3" s="59">
        <f t="shared" si="5"/>
        <v>45841</v>
      </c>
      <c r="MX3" s="59">
        <f t="shared" si="5"/>
        <v>45842</v>
      </c>
      <c r="MY3" s="59">
        <f t="shared" si="5"/>
        <v>45843</v>
      </c>
      <c r="MZ3" s="59">
        <f t="shared" si="5"/>
        <v>45844</v>
      </c>
      <c r="NA3" s="59">
        <f t="shared" si="5"/>
        <v>45845</v>
      </c>
      <c r="NB3" s="59">
        <f t="shared" si="5"/>
        <v>45846</v>
      </c>
      <c r="NC3" s="59">
        <f t="shared" si="5"/>
        <v>45847</v>
      </c>
      <c r="ND3" s="59">
        <f t="shared" si="5"/>
        <v>45848</v>
      </c>
      <c r="NE3" s="59">
        <f t="shared" si="5"/>
        <v>45849</v>
      </c>
      <c r="NF3" s="59">
        <f t="shared" si="5"/>
        <v>45850</v>
      </c>
      <c r="NG3" s="59">
        <f t="shared" si="5"/>
        <v>45851</v>
      </c>
      <c r="NH3" s="59">
        <f t="shared" si="5"/>
        <v>45852</v>
      </c>
      <c r="NI3" s="59">
        <f t="shared" si="5"/>
        <v>45853</v>
      </c>
      <c r="NJ3" s="59">
        <f t="shared" si="5"/>
        <v>45854</v>
      </c>
      <c r="NK3" s="59">
        <f t="shared" si="5"/>
        <v>45855</v>
      </c>
      <c r="NL3" s="59">
        <f t="shared" si="5"/>
        <v>45856</v>
      </c>
      <c r="NM3" s="59">
        <f t="shared" si="5"/>
        <v>45857</v>
      </c>
      <c r="NN3" s="59">
        <f t="shared" si="5"/>
        <v>45858</v>
      </c>
      <c r="NO3" s="59">
        <f t="shared" si="5"/>
        <v>45859</v>
      </c>
      <c r="NP3" s="59">
        <f t="shared" si="5"/>
        <v>45860</v>
      </c>
      <c r="NQ3" s="59">
        <f t="shared" si="5"/>
        <v>45861</v>
      </c>
      <c r="NR3" s="59">
        <f t="shared" si="5"/>
        <v>45862</v>
      </c>
      <c r="NS3" s="59">
        <f t="shared" si="5"/>
        <v>45863</v>
      </c>
      <c r="NT3" s="59">
        <f t="shared" si="5"/>
        <v>45864</v>
      </c>
      <c r="NU3" s="59">
        <f t="shared" si="5"/>
        <v>45865</v>
      </c>
      <c r="NV3" s="59">
        <f t="shared" si="5"/>
        <v>45866</v>
      </c>
      <c r="NW3" s="59">
        <f t="shared" si="5"/>
        <v>45867</v>
      </c>
      <c r="NX3" s="59">
        <f t="shared" si="5"/>
        <v>45868</v>
      </c>
      <c r="NY3" s="59">
        <f t="shared" si="5"/>
        <v>45869</v>
      </c>
      <c r="NZ3" s="36"/>
      <c r="OA3" s="52">
        <f t="shared" ref="OA3:OL3" si="6">OA2</f>
        <v>45901</v>
      </c>
      <c r="OB3" s="52">
        <f t="shared" si="6"/>
        <v>45902</v>
      </c>
      <c r="OC3" s="52">
        <f t="shared" si="6"/>
        <v>45903</v>
      </c>
      <c r="OD3" s="52">
        <f t="shared" si="6"/>
        <v>45904</v>
      </c>
      <c r="OE3" s="52">
        <f t="shared" si="6"/>
        <v>45905</v>
      </c>
      <c r="OF3" s="52">
        <f t="shared" si="6"/>
        <v>45906</v>
      </c>
      <c r="OG3" s="52">
        <f t="shared" si="6"/>
        <v>45907</v>
      </c>
      <c r="OH3" s="52">
        <f t="shared" si="6"/>
        <v>45908</v>
      </c>
      <c r="OI3" s="52">
        <f t="shared" si="6"/>
        <v>45909</v>
      </c>
      <c r="OJ3" s="52">
        <f t="shared" si="6"/>
        <v>45910</v>
      </c>
      <c r="OK3" s="52">
        <f t="shared" si="6"/>
        <v>45911</v>
      </c>
      <c r="OL3" s="52">
        <f t="shared" si="6"/>
        <v>45912</v>
      </c>
    </row>
    <row r="4" ht="69.0" customHeight="1">
      <c r="A4" s="49"/>
      <c r="B4" s="49" t="s">
        <v>37</v>
      </c>
      <c r="C4" s="51" t="s">
        <v>34</v>
      </c>
      <c r="D4" s="51" t="s">
        <v>35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3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3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3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60"/>
      <c r="II4" s="60"/>
      <c r="IJ4" s="60"/>
      <c r="IK4" s="60"/>
      <c r="IL4" s="60"/>
      <c r="IM4" s="60"/>
      <c r="IN4" s="60"/>
      <c r="IO4" s="60"/>
      <c r="IP4" s="60"/>
      <c r="IQ4" s="60"/>
      <c r="IR4" s="60"/>
      <c r="IS4" s="60"/>
      <c r="IT4" s="60"/>
      <c r="IU4" s="60"/>
      <c r="IV4" s="60"/>
      <c r="IW4" s="60"/>
      <c r="IX4" s="60"/>
      <c r="IY4" s="60"/>
      <c r="IZ4" s="60"/>
      <c r="JA4" s="60"/>
      <c r="JB4" s="61"/>
      <c r="JC4" s="60"/>
      <c r="JD4" s="60"/>
      <c r="JE4" s="60"/>
      <c r="JF4" s="60"/>
      <c r="JG4" s="60"/>
      <c r="JH4" s="60"/>
      <c r="JI4" s="60"/>
      <c r="JJ4" s="60"/>
      <c r="JK4" s="60"/>
      <c r="JL4" s="60"/>
      <c r="JM4" s="60"/>
      <c r="JN4" s="60"/>
      <c r="JO4" s="60"/>
      <c r="JP4" s="60"/>
      <c r="JQ4" s="60"/>
      <c r="JR4" s="60"/>
      <c r="JS4" s="60"/>
      <c r="JT4" s="60"/>
      <c r="JU4" s="60"/>
      <c r="JV4" s="60"/>
      <c r="JW4" s="60"/>
      <c r="JX4" s="60"/>
      <c r="JY4" s="60"/>
      <c r="JZ4" s="60"/>
      <c r="KA4" s="60"/>
      <c r="KB4" s="60"/>
      <c r="KC4" s="60"/>
      <c r="KD4" s="60"/>
      <c r="KE4" s="60"/>
      <c r="KF4" s="60"/>
      <c r="KG4" s="60"/>
      <c r="KH4" s="62"/>
      <c r="KI4" s="63"/>
      <c r="KJ4" s="63"/>
      <c r="KK4" s="63"/>
      <c r="KL4" s="63"/>
      <c r="KM4" s="63"/>
      <c r="KN4" s="63"/>
      <c r="KO4" s="63"/>
      <c r="KP4" s="63"/>
      <c r="KQ4" s="63"/>
      <c r="KR4" s="63"/>
      <c r="KS4" s="63"/>
      <c r="KT4" s="63"/>
      <c r="KU4" s="63"/>
      <c r="KV4" s="63"/>
      <c r="KW4" s="63"/>
      <c r="KX4" s="63"/>
      <c r="KY4" s="63"/>
      <c r="KZ4" s="63"/>
      <c r="LA4" s="63"/>
      <c r="LB4" s="63"/>
      <c r="LC4" s="63"/>
      <c r="LD4" s="63"/>
      <c r="LE4" s="63"/>
      <c r="LF4" s="63"/>
      <c r="LG4" s="63"/>
      <c r="LH4" s="63"/>
      <c r="LI4" s="63"/>
      <c r="LJ4" s="63"/>
      <c r="LK4" s="63"/>
      <c r="LL4" s="63"/>
      <c r="LM4" s="63"/>
      <c r="LN4" s="64"/>
      <c r="LO4" s="65"/>
      <c r="LP4" s="63"/>
      <c r="LQ4" s="63"/>
      <c r="LR4" s="63"/>
      <c r="LS4" s="63"/>
      <c r="LT4" s="63"/>
      <c r="LU4" s="63"/>
      <c r="LV4" s="63"/>
      <c r="LW4" s="63"/>
      <c r="LX4" s="63"/>
      <c r="LY4" s="63"/>
      <c r="LZ4" s="63"/>
      <c r="MA4" s="63"/>
      <c r="MB4" s="63"/>
      <c r="MC4" s="63"/>
      <c r="MD4" s="63"/>
      <c r="ME4" s="63"/>
      <c r="MF4" s="63"/>
      <c r="MG4" s="63"/>
      <c r="MH4" s="63"/>
      <c r="MI4" s="63"/>
      <c r="MJ4" s="63"/>
      <c r="MK4" s="63"/>
      <c r="ML4" s="63"/>
      <c r="MM4" s="63"/>
      <c r="MN4" s="63"/>
      <c r="MO4" s="63"/>
      <c r="MP4" s="63"/>
      <c r="MQ4" s="63"/>
      <c r="MR4" s="63"/>
      <c r="MS4" s="63"/>
      <c r="MT4" s="62"/>
      <c r="MU4" s="66"/>
      <c r="MV4" s="67"/>
      <c r="MW4" s="67"/>
      <c r="MX4" s="67"/>
      <c r="MY4" s="67"/>
      <c r="MZ4" s="67"/>
      <c r="NA4" s="67"/>
      <c r="NB4" s="67"/>
      <c r="NC4" s="67"/>
      <c r="ND4" s="67"/>
      <c r="NE4" s="67"/>
      <c r="NF4" s="67"/>
      <c r="NG4" s="67"/>
      <c r="NH4" s="67"/>
      <c r="NI4" s="67"/>
      <c r="NJ4" s="67"/>
      <c r="NK4" s="67"/>
      <c r="NL4" s="67"/>
      <c r="NM4" s="67"/>
      <c r="NN4" s="67"/>
      <c r="NO4" s="67"/>
      <c r="NP4" s="67"/>
      <c r="NQ4" s="67"/>
      <c r="NR4" s="67"/>
      <c r="NS4" s="67"/>
      <c r="NT4" s="67"/>
      <c r="NU4" s="67"/>
      <c r="NV4" s="67"/>
      <c r="NW4" s="67"/>
      <c r="NX4" s="67"/>
      <c r="NY4" s="67"/>
      <c r="NZ4" s="36"/>
      <c r="OA4" s="60"/>
      <c r="OB4" s="60"/>
      <c r="OC4" s="60"/>
      <c r="OD4" s="60"/>
      <c r="OE4" s="60"/>
      <c r="OF4" s="60"/>
      <c r="OG4" s="60"/>
      <c r="OH4" s="60"/>
      <c r="OI4" s="60"/>
      <c r="OJ4" s="60"/>
      <c r="OK4" s="60"/>
      <c r="OL4" s="60"/>
    </row>
    <row r="5" ht="69.0" customHeight="1">
      <c r="A5" s="68"/>
      <c r="B5" s="68"/>
      <c r="C5" s="51" t="s">
        <v>34</v>
      </c>
      <c r="D5" s="51" t="s">
        <v>35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3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3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3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60"/>
      <c r="II5" s="60"/>
      <c r="IJ5" s="60"/>
      <c r="IK5" s="60"/>
      <c r="IL5" s="60"/>
      <c r="IM5" s="60"/>
      <c r="IN5" s="60"/>
      <c r="IO5" s="60"/>
      <c r="IP5" s="60"/>
      <c r="IQ5" s="60"/>
      <c r="IR5" s="60"/>
      <c r="IS5" s="60"/>
      <c r="IT5" s="60"/>
      <c r="IU5" s="60"/>
      <c r="IV5" s="60"/>
      <c r="IW5" s="60"/>
      <c r="IX5" s="60"/>
      <c r="IY5" s="60"/>
      <c r="IZ5" s="60"/>
      <c r="JA5" s="60"/>
      <c r="JB5" s="61"/>
      <c r="JC5" s="60"/>
      <c r="JD5" s="60"/>
      <c r="JE5" s="60"/>
      <c r="JF5" s="60"/>
      <c r="JG5" s="60"/>
      <c r="JH5" s="60"/>
      <c r="JI5" s="60"/>
      <c r="JJ5" s="60"/>
      <c r="JK5" s="60"/>
      <c r="JL5" s="60"/>
      <c r="JM5" s="60"/>
      <c r="JN5" s="60"/>
      <c r="JO5" s="60"/>
      <c r="JP5" s="60"/>
      <c r="JQ5" s="60"/>
      <c r="JR5" s="60"/>
      <c r="JS5" s="60"/>
      <c r="JT5" s="60"/>
      <c r="JU5" s="60"/>
      <c r="JV5" s="60"/>
      <c r="JW5" s="60"/>
      <c r="JX5" s="60"/>
      <c r="JY5" s="60"/>
      <c r="JZ5" s="60"/>
      <c r="KA5" s="60"/>
      <c r="KB5" s="60"/>
      <c r="KC5" s="60"/>
      <c r="KD5" s="60"/>
      <c r="KE5" s="60"/>
      <c r="KF5" s="60"/>
      <c r="KG5" s="69"/>
      <c r="KH5" s="70"/>
      <c r="KI5" s="71"/>
      <c r="KJ5" s="71"/>
      <c r="KK5" s="71"/>
      <c r="KL5" s="71"/>
      <c r="KM5" s="71"/>
      <c r="KN5" s="71"/>
      <c r="KO5" s="71"/>
      <c r="KP5" s="71"/>
      <c r="KQ5" s="71"/>
      <c r="KR5" s="71"/>
      <c r="KS5" s="71"/>
      <c r="KT5" s="71"/>
      <c r="KU5" s="71"/>
      <c r="KV5" s="71"/>
      <c r="KW5" s="71"/>
      <c r="KX5" s="71"/>
      <c r="KY5" s="71"/>
      <c r="KZ5" s="71"/>
      <c r="LA5" s="71"/>
      <c r="LB5" s="71"/>
      <c r="LC5" s="71"/>
      <c r="LD5" s="71"/>
      <c r="LE5" s="71"/>
      <c r="LF5" s="71"/>
      <c r="LG5" s="71"/>
      <c r="LH5" s="71"/>
      <c r="LI5" s="71"/>
      <c r="LJ5" s="71"/>
      <c r="LK5" s="71"/>
      <c r="LL5" s="71"/>
      <c r="LM5" s="71"/>
      <c r="LN5" s="70"/>
      <c r="LO5" s="71"/>
      <c r="LP5" s="71"/>
      <c r="LQ5" s="71"/>
      <c r="LR5" s="71"/>
      <c r="LS5" s="71"/>
      <c r="LT5" s="71"/>
      <c r="LU5" s="71"/>
      <c r="LV5" s="71"/>
      <c r="LW5" s="71"/>
      <c r="LX5" s="71"/>
      <c r="LY5" s="71"/>
      <c r="LZ5" s="71"/>
      <c r="MA5" s="71"/>
      <c r="MB5" s="71"/>
      <c r="MC5" s="71"/>
      <c r="MD5" s="71"/>
      <c r="ME5" s="71"/>
      <c r="MF5" s="71"/>
      <c r="MG5" s="71"/>
      <c r="MH5" s="71"/>
      <c r="MI5" s="71"/>
      <c r="MJ5" s="71"/>
      <c r="MK5" s="71"/>
      <c r="ML5" s="71"/>
      <c r="MM5" s="71"/>
      <c r="MN5" s="71"/>
      <c r="MO5" s="71"/>
      <c r="MP5" s="71"/>
      <c r="MQ5" s="71"/>
      <c r="MR5" s="71"/>
      <c r="MS5" s="71"/>
      <c r="MT5" s="70"/>
      <c r="MU5" s="65"/>
      <c r="MV5" s="63"/>
      <c r="MW5" s="63"/>
      <c r="MX5" s="63"/>
      <c r="MY5" s="63"/>
      <c r="MZ5" s="63"/>
      <c r="NA5" s="63"/>
      <c r="NB5" s="63"/>
      <c r="NC5" s="63"/>
      <c r="ND5" s="63"/>
      <c r="NE5" s="63"/>
      <c r="NF5" s="63"/>
      <c r="NG5" s="63"/>
      <c r="NH5" s="63"/>
      <c r="NI5" s="63"/>
      <c r="NJ5" s="63"/>
      <c r="NK5" s="63"/>
      <c r="NL5" s="63"/>
      <c r="NM5" s="63"/>
      <c r="NN5" s="63"/>
      <c r="NO5" s="63"/>
      <c r="NP5" s="63"/>
      <c r="NQ5" s="63"/>
      <c r="NR5" s="63"/>
      <c r="NS5" s="63"/>
      <c r="NT5" s="63"/>
      <c r="NU5" s="63"/>
      <c r="NV5" s="63"/>
      <c r="NW5" s="63"/>
      <c r="NX5" s="63"/>
      <c r="NY5" s="63"/>
      <c r="NZ5" s="62"/>
      <c r="OA5" s="63"/>
      <c r="OB5" s="63"/>
      <c r="OC5" s="60"/>
      <c r="OD5" s="60"/>
      <c r="OE5" s="60"/>
      <c r="OF5" s="60"/>
      <c r="OG5" s="60"/>
      <c r="OH5" s="60"/>
      <c r="OI5" s="60"/>
      <c r="OJ5" s="60"/>
      <c r="OK5" s="60"/>
      <c r="OL5" s="60"/>
    </row>
    <row r="6" ht="69.0" customHeight="1">
      <c r="A6" s="72">
        <f>sum(GW6:MR6)*3000</f>
        <v>3532950</v>
      </c>
      <c r="B6" s="73" t="s">
        <v>38</v>
      </c>
      <c r="C6" s="74">
        <f t="shared" ref="C6:C16" si="7">SUM(LO6:MS6)</f>
        <v>88.2</v>
      </c>
      <c r="D6" s="73">
        <f t="shared" ref="D6:D16" si="8">SUM(MU6:NY6)</f>
        <v>33.25</v>
      </c>
      <c r="E6" s="75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7"/>
      <c r="BV6" s="76"/>
      <c r="BW6" s="76"/>
      <c r="BX6" s="76"/>
      <c r="BY6" s="76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9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9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80"/>
      <c r="GT6" s="80"/>
      <c r="GU6" s="80"/>
      <c r="GV6" s="80"/>
      <c r="GW6" s="80">
        <v>10.0</v>
      </c>
      <c r="GX6" s="80">
        <v>10.0</v>
      </c>
      <c r="GY6" s="80">
        <v>10.0</v>
      </c>
      <c r="GZ6" s="80">
        <v>10.0</v>
      </c>
      <c r="HA6" s="80">
        <v>6.0</v>
      </c>
      <c r="HB6" s="80">
        <v>6.0</v>
      </c>
      <c r="HC6" s="80">
        <v>8.5</v>
      </c>
      <c r="HD6" s="80">
        <v>11.0</v>
      </c>
      <c r="HE6" s="80">
        <v>7.0</v>
      </c>
      <c r="HF6" s="80">
        <v>10.0</v>
      </c>
      <c r="HG6" s="80">
        <v>8.0</v>
      </c>
      <c r="HH6" s="80">
        <v>7.5</v>
      </c>
      <c r="HI6" s="80">
        <v>11.0</v>
      </c>
      <c r="HJ6" s="80">
        <v>8.5</v>
      </c>
      <c r="HK6" s="80">
        <v>7.0</v>
      </c>
      <c r="HL6" s="80">
        <v>6.0</v>
      </c>
      <c r="HM6" s="80">
        <v>7.0</v>
      </c>
      <c r="HN6" s="80">
        <v>13.0</v>
      </c>
      <c r="HO6" s="80">
        <v>10.0</v>
      </c>
      <c r="HP6" s="80">
        <v>10.5</v>
      </c>
      <c r="HQ6" s="80">
        <v>8.5</v>
      </c>
      <c r="HR6" s="80">
        <v>8.5</v>
      </c>
      <c r="HS6" s="80">
        <v>12.0</v>
      </c>
      <c r="HT6" s="80">
        <v>0.0</v>
      </c>
      <c r="HU6" s="80">
        <v>3.0</v>
      </c>
      <c r="HV6" s="80">
        <v>7.0</v>
      </c>
      <c r="HW6" s="80">
        <v>0.0</v>
      </c>
      <c r="HX6" s="81">
        <v>11.0</v>
      </c>
      <c r="HY6" s="81">
        <v>7.0</v>
      </c>
      <c r="HZ6" s="82">
        <v>10.0</v>
      </c>
      <c r="IA6" s="81">
        <v>11.0</v>
      </c>
      <c r="IB6" s="81">
        <v>11.5</v>
      </c>
      <c r="IC6" s="81">
        <v>12.5</v>
      </c>
      <c r="ID6" s="83">
        <v>9.0</v>
      </c>
      <c r="IE6" s="81">
        <v>11.0</v>
      </c>
      <c r="IF6" s="81">
        <v>13.0</v>
      </c>
      <c r="IG6" s="81">
        <v>8.0</v>
      </c>
      <c r="IH6" s="81">
        <v>0.0</v>
      </c>
      <c r="II6" s="81">
        <v>10.0</v>
      </c>
      <c r="IJ6" s="81">
        <v>11.0</v>
      </c>
      <c r="IK6" s="81">
        <v>9.0</v>
      </c>
      <c r="IL6" s="81">
        <v>13.0</v>
      </c>
      <c r="IM6" s="81">
        <v>9.0</v>
      </c>
      <c r="IN6" s="81">
        <v>10.5</v>
      </c>
      <c r="IO6" s="81">
        <v>0.0</v>
      </c>
      <c r="IP6" s="81">
        <v>10.0</v>
      </c>
      <c r="IQ6" s="81">
        <v>9.0</v>
      </c>
      <c r="IR6" s="81">
        <v>9.0</v>
      </c>
      <c r="IS6" s="81">
        <v>10.0</v>
      </c>
      <c r="IT6" s="81">
        <v>9.0</v>
      </c>
      <c r="IU6" s="81">
        <v>9.0</v>
      </c>
      <c r="IV6" s="81">
        <v>9.5</v>
      </c>
      <c r="IW6" s="81">
        <v>9.0</v>
      </c>
      <c r="IX6" s="81">
        <v>8.0</v>
      </c>
      <c r="IY6" s="81">
        <v>10.0</v>
      </c>
      <c r="IZ6" s="81">
        <v>10.0</v>
      </c>
      <c r="JA6" s="81">
        <v>13.0</v>
      </c>
      <c r="JB6" s="84"/>
      <c r="JC6" s="85">
        <v>13.0</v>
      </c>
      <c r="JD6" s="85">
        <v>6.0</v>
      </c>
      <c r="JE6" s="85">
        <v>10.0</v>
      </c>
      <c r="JF6" s="85">
        <v>9.0</v>
      </c>
      <c r="JG6" s="85">
        <v>9.0</v>
      </c>
      <c r="JH6" s="85">
        <v>8.0</v>
      </c>
      <c r="JI6" s="86">
        <v>0.0</v>
      </c>
      <c r="JJ6" s="86">
        <v>0.0</v>
      </c>
      <c r="JK6" s="87">
        <v>9.0</v>
      </c>
      <c r="JL6" s="85">
        <v>12.0</v>
      </c>
      <c r="JM6" s="85">
        <v>9.0</v>
      </c>
      <c r="JN6" s="87">
        <v>17.0</v>
      </c>
      <c r="JO6" s="85">
        <v>10.0</v>
      </c>
      <c r="JP6" s="87">
        <v>13.0</v>
      </c>
      <c r="JQ6" s="87">
        <v>15.0</v>
      </c>
      <c r="JR6" s="85">
        <v>9.0</v>
      </c>
      <c r="JS6" s="87">
        <v>14.0</v>
      </c>
      <c r="JT6" s="85">
        <v>11.0</v>
      </c>
      <c r="JU6" s="85">
        <v>10.0</v>
      </c>
      <c r="JV6" s="85">
        <v>9.0</v>
      </c>
      <c r="JW6" s="85">
        <v>11.0</v>
      </c>
      <c r="JX6" s="85">
        <v>12.0</v>
      </c>
      <c r="JY6" s="85">
        <v>10.0</v>
      </c>
      <c r="JZ6" s="85">
        <v>11.0</v>
      </c>
      <c r="KA6" s="85">
        <v>13.0</v>
      </c>
      <c r="KB6" s="85">
        <v>11.0</v>
      </c>
      <c r="KC6" s="85">
        <v>6.7</v>
      </c>
      <c r="KD6" s="85">
        <v>10.0</v>
      </c>
      <c r="KE6" s="85">
        <v>11.0</v>
      </c>
      <c r="KF6" s="85">
        <v>10.0</v>
      </c>
      <c r="KG6" s="88">
        <v>10.0</v>
      </c>
      <c r="KH6" s="89"/>
      <c r="KI6" s="90">
        <v>10.0</v>
      </c>
      <c r="KJ6" s="91">
        <v>10.0</v>
      </c>
      <c r="KK6" s="90">
        <v>10.0</v>
      </c>
      <c r="KL6" s="90">
        <v>7.0</v>
      </c>
      <c r="KM6" s="90">
        <v>10.0</v>
      </c>
      <c r="KN6" s="90">
        <v>7.0</v>
      </c>
      <c r="KO6" s="90">
        <v>2.5</v>
      </c>
      <c r="KP6" s="90">
        <v>9.0</v>
      </c>
      <c r="KQ6" s="90">
        <v>9.25</v>
      </c>
      <c r="KR6" s="90">
        <v>5.0</v>
      </c>
      <c r="KS6" s="90">
        <v>10.0</v>
      </c>
      <c r="KT6" s="90">
        <v>8.0</v>
      </c>
      <c r="KU6" s="90">
        <v>8.0</v>
      </c>
      <c r="KV6" s="90">
        <v>17.0</v>
      </c>
      <c r="KW6" s="90">
        <v>6.0</v>
      </c>
      <c r="KX6" s="90">
        <v>7.0</v>
      </c>
      <c r="KY6" s="90">
        <v>7.5</v>
      </c>
      <c r="KZ6" s="90">
        <v>10.0</v>
      </c>
      <c r="LA6" s="90">
        <v>10.0</v>
      </c>
      <c r="LB6" s="90">
        <v>6.5</v>
      </c>
      <c r="LC6" s="90">
        <v>14.0</v>
      </c>
      <c r="LD6" s="90">
        <v>9.0</v>
      </c>
      <c r="LE6" s="90">
        <v>8.0</v>
      </c>
      <c r="LF6" s="90">
        <v>12.0</v>
      </c>
      <c r="LG6" s="90">
        <v>12.0</v>
      </c>
      <c r="LH6" s="90">
        <v>3.0</v>
      </c>
      <c r="LI6" s="90" t="s">
        <v>39</v>
      </c>
      <c r="LJ6" s="90">
        <v>10.0</v>
      </c>
      <c r="LK6" s="90">
        <v>10.0</v>
      </c>
      <c r="LL6" s="90">
        <v>5.0</v>
      </c>
      <c r="LM6" s="90">
        <v>30.0</v>
      </c>
      <c r="LN6" s="92"/>
      <c r="LO6" s="90">
        <v>9.0</v>
      </c>
      <c r="LP6" s="90">
        <v>9.0</v>
      </c>
      <c r="LQ6" s="90">
        <v>9.0</v>
      </c>
      <c r="LR6" s="90"/>
      <c r="LS6" s="90"/>
      <c r="LT6" s="90"/>
      <c r="LU6" s="90">
        <v>9.0</v>
      </c>
      <c r="LV6" s="90">
        <v>9.0</v>
      </c>
      <c r="LW6" s="90">
        <v>8.0</v>
      </c>
      <c r="LX6" s="90">
        <v>9.0</v>
      </c>
      <c r="LY6" s="90"/>
      <c r="LZ6" s="90">
        <v>9.0</v>
      </c>
      <c r="MA6" s="90">
        <v>9.0</v>
      </c>
      <c r="MB6" s="90">
        <v>8.2</v>
      </c>
      <c r="MC6" s="93"/>
      <c r="MD6" s="93"/>
      <c r="ME6" s="93"/>
      <c r="MF6" s="93"/>
      <c r="MG6" s="93"/>
      <c r="MH6" s="93"/>
      <c r="MI6" s="93"/>
      <c r="MJ6" s="93"/>
      <c r="MK6" s="93"/>
      <c r="ML6" s="93"/>
      <c r="MM6" s="93"/>
      <c r="MN6" s="93"/>
      <c r="MO6" s="93"/>
      <c r="MP6" s="93"/>
      <c r="MQ6" s="93"/>
      <c r="MR6" s="93"/>
      <c r="MS6" s="93"/>
      <c r="MT6" s="94"/>
      <c r="MU6" s="95"/>
      <c r="MV6" s="96">
        <v>5.0</v>
      </c>
      <c r="MW6" s="96">
        <v>1.75</v>
      </c>
      <c r="MX6" s="96">
        <v>10.0</v>
      </c>
      <c r="MY6" s="95"/>
      <c r="MZ6" s="95"/>
      <c r="NA6" s="96">
        <v>2.0</v>
      </c>
      <c r="NB6" s="96">
        <v>1.0</v>
      </c>
      <c r="NC6" s="95"/>
      <c r="ND6" s="96">
        <v>0.5</v>
      </c>
      <c r="NE6" s="96">
        <v>7.5</v>
      </c>
      <c r="NF6" s="96">
        <v>0.25</v>
      </c>
      <c r="NG6" s="96">
        <v>5.25</v>
      </c>
      <c r="NH6" s="95"/>
      <c r="NI6" s="95"/>
      <c r="NJ6" s="95"/>
      <c r="NK6" s="95"/>
      <c r="NL6" s="95"/>
      <c r="NM6" s="95"/>
      <c r="NN6" s="95"/>
      <c r="NO6" s="95"/>
      <c r="NP6" s="95"/>
      <c r="NQ6" s="95"/>
      <c r="NR6" s="95"/>
      <c r="NS6" s="95"/>
      <c r="NT6" s="95"/>
      <c r="NU6" s="95"/>
      <c r="NV6" s="95"/>
      <c r="NW6" s="95"/>
      <c r="NX6" s="95"/>
      <c r="NY6" s="95"/>
      <c r="NZ6" s="97"/>
      <c r="OA6" s="98"/>
      <c r="OB6" s="98"/>
      <c r="OC6" s="99"/>
      <c r="OD6" s="100"/>
      <c r="OE6" s="100"/>
      <c r="OF6" s="100"/>
      <c r="OG6" s="100"/>
      <c r="OH6" s="100"/>
      <c r="OI6" s="100"/>
      <c r="OJ6" s="100"/>
      <c r="OK6" s="100"/>
      <c r="OL6" s="101"/>
    </row>
    <row r="7" ht="30.0" customHeight="1">
      <c r="A7" s="102">
        <v>6458000.0</v>
      </c>
      <c r="B7" s="73" t="s">
        <v>9</v>
      </c>
      <c r="C7" s="103">
        <f t="shared" si="7"/>
        <v>67</v>
      </c>
      <c r="D7" s="104">
        <f t="shared" si="8"/>
        <v>30.5</v>
      </c>
      <c r="E7" s="75"/>
      <c r="F7" s="76"/>
      <c r="G7" s="76"/>
      <c r="H7" s="76"/>
      <c r="I7" s="76"/>
      <c r="J7" s="76"/>
      <c r="K7" s="76"/>
      <c r="L7" s="76"/>
      <c r="M7" s="76"/>
      <c r="N7" s="76"/>
      <c r="O7" s="105"/>
      <c r="P7" s="105">
        <v>9.0</v>
      </c>
      <c r="Q7" s="105">
        <v>11.5</v>
      </c>
      <c r="R7" s="105">
        <v>11.0</v>
      </c>
      <c r="S7" s="105">
        <v>12.5</v>
      </c>
      <c r="T7" s="105">
        <v>11.5</v>
      </c>
      <c r="U7" s="105">
        <v>13.5</v>
      </c>
      <c r="V7" s="105">
        <v>18.0</v>
      </c>
      <c r="W7" s="105">
        <v>5.0</v>
      </c>
      <c r="X7" s="105">
        <v>11.5</v>
      </c>
      <c r="Y7" s="105">
        <v>14.0</v>
      </c>
      <c r="Z7" s="105">
        <v>13.0</v>
      </c>
      <c r="AA7" s="105">
        <v>22.0</v>
      </c>
      <c r="AB7" s="105">
        <v>11.0</v>
      </c>
      <c r="AC7" s="105">
        <v>5.0</v>
      </c>
      <c r="AD7" s="105">
        <v>13.5</v>
      </c>
      <c r="AE7" s="105">
        <v>20.0</v>
      </c>
      <c r="AF7" s="105"/>
      <c r="AG7" s="105">
        <v>15.0</v>
      </c>
      <c r="AH7" s="105">
        <v>16.0</v>
      </c>
      <c r="AI7" s="105">
        <v>2.0</v>
      </c>
      <c r="AJ7" s="105">
        <v>20.0</v>
      </c>
      <c r="AK7" s="105">
        <v>15.0</v>
      </c>
      <c r="AL7" s="105">
        <v>3.0</v>
      </c>
      <c r="AM7" s="105">
        <v>10.0</v>
      </c>
      <c r="AN7" s="105">
        <v>15.0</v>
      </c>
      <c r="AO7" s="105">
        <v>11.0</v>
      </c>
      <c r="AP7" s="105">
        <v>12.5</v>
      </c>
      <c r="AQ7" s="105">
        <v>13.0</v>
      </c>
      <c r="AR7" s="105">
        <v>13.0</v>
      </c>
      <c r="AS7" s="105">
        <v>11.0</v>
      </c>
      <c r="AT7" s="105">
        <v>24.0</v>
      </c>
      <c r="AU7" s="105">
        <v>5.0</v>
      </c>
      <c r="AV7" s="105">
        <v>11.0</v>
      </c>
      <c r="AW7" s="105">
        <v>15.0</v>
      </c>
      <c r="AX7" s="105">
        <v>10.3</v>
      </c>
      <c r="AY7" s="105">
        <v>5.0</v>
      </c>
      <c r="AZ7" s="105">
        <v>13.0</v>
      </c>
      <c r="BA7" s="105">
        <v>5.0</v>
      </c>
      <c r="BB7" s="105">
        <v>12.0</v>
      </c>
      <c r="BC7" s="105">
        <v>11.3</v>
      </c>
      <c r="BD7" s="105">
        <v>13.0</v>
      </c>
      <c r="BE7" s="105">
        <v>11.0</v>
      </c>
      <c r="BF7" s="105">
        <v>12.3</v>
      </c>
      <c r="BG7" s="105">
        <v>13.0</v>
      </c>
      <c r="BH7" s="105">
        <v>4.0</v>
      </c>
      <c r="BI7" s="105">
        <v>12.0</v>
      </c>
      <c r="BJ7" s="105">
        <v>13.0</v>
      </c>
      <c r="BK7" s="105">
        <v>12.0</v>
      </c>
      <c r="BL7" s="105">
        <v>7.0</v>
      </c>
      <c r="BM7" s="105"/>
      <c r="BN7" s="105"/>
      <c r="BO7" s="105"/>
      <c r="BP7" s="105"/>
      <c r="BQ7" s="105"/>
      <c r="BR7" s="105"/>
      <c r="BS7" s="105">
        <v>13.0</v>
      </c>
      <c r="BT7" s="105">
        <v>15.3</v>
      </c>
      <c r="BU7" s="106">
        <v>16.3</v>
      </c>
      <c r="BV7" s="105">
        <v>15.3</v>
      </c>
      <c r="BW7" s="105">
        <v>13.0</v>
      </c>
      <c r="BX7" s="105">
        <v>14.0</v>
      </c>
      <c r="BY7" s="105">
        <v>10.3</v>
      </c>
      <c r="BZ7" s="80">
        <v>15.0</v>
      </c>
      <c r="CA7" s="80">
        <v>12.0</v>
      </c>
      <c r="CB7" s="80">
        <v>14.0</v>
      </c>
      <c r="CC7" s="80">
        <v>9.0</v>
      </c>
      <c r="CD7" s="80">
        <v>13.0</v>
      </c>
      <c r="CE7" s="80">
        <v>12.0</v>
      </c>
      <c r="CF7" s="80">
        <v>11.3</v>
      </c>
      <c r="CG7" s="80">
        <v>14.0</v>
      </c>
      <c r="CH7" s="80">
        <v>9.0</v>
      </c>
      <c r="CI7" s="80">
        <v>11.0</v>
      </c>
      <c r="CJ7" s="80">
        <v>1.3</v>
      </c>
      <c r="CK7" s="80">
        <v>10.0</v>
      </c>
      <c r="CL7" s="80">
        <v>14.0</v>
      </c>
      <c r="CM7" s="80">
        <v>12.0</v>
      </c>
      <c r="CN7" s="80">
        <v>21.0</v>
      </c>
      <c r="CO7" s="80">
        <v>4.0</v>
      </c>
      <c r="CP7" s="80">
        <v>15.0</v>
      </c>
      <c r="CQ7" s="80">
        <v>0.0</v>
      </c>
      <c r="CR7" s="80">
        <v>6.0</v>
      </c>
      <c r="CS7" s="80">
        <v>0.0</v>
      </c>
      <c r="CT7" s="80">
        <v>9.0</v>
      </c>
      <c r="CU7" s="80">
        <v>15.0</v>
      </c>
      <c r="CV7" s="80">
        <v>0.0</v>
      </c>
      <c r="CW7" s="80">
        <v>10.0</v>
      </c>
      <c r="CX7" s="80">
        <v>10.0</v>
      </c>
      <c r="CY7" s="80">
        <v>11.0</v>
      </c>
      <c r="CZ7" s="77">
        <v>14.0</v>
      </c>
      <c r="DA7" s="80">
        <v>10.0</v>
      </c>
      <c r="DB7" s="80">
        <v>11.0</v>
      </c>
      <c r="DC7" s="80">
        <v>11.0</v>
      </c>
      <c r="DD7" s="80">
        <v>11.0</v>
      </c>
      <c r="DE7" s="80">
        <v>6.0</v>
      </c>
      <c r="DF7" s="80">
        <v>0.0</v>
      </c>
      <c r="DG7" s="80"/>
      <c r="DH7" s="80"/>
      <c r="DI7" s="80"/>
      <c r="DJ7" s="80"/>
      <c r="DK7" s="107">
        <v>6.0</v>
      </c>
      <c r="DL7" s="107">
        <v>9.0</v>
      </c>
      <c r="DM7" s="107">
        <v>8.0</v>
      </c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77"/>
      <c r="EE7" s="80"/>
      <c r="EF7" s="80"/>
      <c r="EG7" s="80"/>
      <c r="EH7" s="80">
        <v>6.0</v>
      </c>
      <c r="EI7" s="80">
        <v>5.5</v>
      </c>
      <c r="EJ7" s="80">
        <v>7.5</v>
      </c>
      <c r="EK7" s="80"/>
      <c r="EL7" s="80">
        <v>7.0</v>
      </c>
      <c r="EM7" s="80"/>
      <c r="EN7" s="80"/>
      <c r="EO7" s="80">
        <v>10.5</v>
      </c>
      <c r="EP7" s="80">
        <v>7.0</v>
      </c>
      <c r="EQ7" s="80">
        <v>8.0</v>
      </c>
      <c r="ER7" s="80">
        <v>5.0</v>
      </c>
      <c r="ES7" s="80"/>
      <c r="ET7" s="80"/>
      <c r="EU7" s="80"/>
      <c r="EV7" s="80"/>
      <c r="EW7" s="80">
        <v>10.0</v>
      </c>
      <c r="EX7" s="80">
        <v>8.0</v>
      </c>
      <c r="EY7" s="80">
        <v>11.0</v>
      </c>
      <c r="EZ7" s="80">
        <v>11.0</v>
      </c>
      <c r="FA7" s="80">
        <v>13.0</v>
      </c>
      <c r="FB7" s="80"/>
      <c r="FC7" s="80">
        <v>10.5</v>
      </c>
      <c r="FD7" s="80">
        <v>11.0</v>
      </c>
      <c r="FE7" s="80">
        <v>11.0</v>
      </c>
      <c r="FF7" s="80">
        <v>11.0</v>
      </c>
      <c r="FG7" s="80">
        <v>8.5</v>
      </c>
      <c r="FH7" s="80">
        <v>11.0</v>
      </c>
      <c r="FI7" s="80">
        <v>15.0</v>
      </c>
      <c r="FJ7" s="80">
        <v>8.0</v>
      </c>
      <c r="FK7" s="80">
        <v>10.0</v>
      </c>
      <c r="FL7" s="80">
        <v>10.0</v>
      </c>
      <c r="FM7" s="80">
        <v>10.5</v>
      </c>
      <c r="FN7" s="80">
        <v>11.5</v>
      </c>
      <c r="FO7" s="80">
        <v>10.5</v>
      </c>
      <c r="FP7" s="80">
        <v>9.0</v>
      </c>
      <c r="FQ7" s="80">
        <v>8.0</v>
      </c>
      <c r="FR7" s="80">
        <v>11.0</v>
      </c>
      <c r="FS7" s="80">
        <v>10.0</v>
      </c>
      <c r="FT7" s="80">
        <v>9.0</v>
      </c>
      <c r="FU7" s="80">
        <v>13.0</v>
      </c>
      <c r="FV7" s="80"/>
      <c r="FW7" s="80"/>
      <c r="FX7" s="80">
        <v>10.0</v>
      </c>
      <c r="FY7" s="80">
        <v>11.0</v>
      </c>
      <c r="FZ7" s="80">
        <v>7.0</v>
      </c>
      <c r="GA7" s="80">
        <v>9.0</v>
      </c>
      <c r="GB7" s="80">
        <v>8.0</v>
      </c>
      <c r="GC7" s="80">
        <v>12.0</v>
      </c>
      <c r="GD7" s="80">
        <v>14.0</v>
      </c>
      <c r="GE7" s="80">
        <v>7.5</v>
      </c>
      <c r="GF7" s="80"/>
      <c r="GG7" s="80">
        <v>10.0</v>
      </c>
      <c r="GH7" s="80">
        <v>12.0</v>
      </c>
      <c r="GI7" s="80">
        <v>9.0</v>
      </c>
      <c r="GJ7" s="80">
        <v>8.0</v>
      </c>
      <c r="GK7" s="80"/>
      <c r="GL7" s="80">
        <v>11.0</v>
      </c>
      <c r="GM7" s="80">
        <v>12.0</v>
      </c>
      <c r="GN7" s="80">
        <v>7.0</v>
      </c>
      <c r="GO7" s="80"/>
      <c r="GP7" s="80">
        <v>11.5</v>
      </c>
      <c r="GQ7" s="80">
        <v>10.0</v>
      </c>
      <c r="GR7" s="80">
        <v>16.0</v>
      </c>
      <c r="GS7" s="108">
        <v>8.0</v>
      </c>
      <c r="GT7" s="80">
        <v>6.5</v>
      </c>
      <c r="GU7" s="80">
        <v>16.0</v>
      </c>
      <c r="GV7" s="80">
        <v>6.0</v>
      </c>
      <c r="GW7" s="80">
        <v>7.0</v>
      </c>
      <c r="GX7" s="80">
        <v>9.0</v>
      </c>
      <c r="GY7" s="80">
        <v>11.5</v>
      </c>
      <c r="GZ7" s="80">
        <v>10.5</v>
      </c>
      <c r="HA7" s="80">
        <v>6.0</v>
      </c>
      <c r="HB7" s="80">
        <v>11.0</v>
      </c>
      <c r="HC7" s="80">
        <v>10.0</v>
      </c>
      <c r="HD7" s="80">
        <v>10.0</v>
      </c>
      <c r="HE7" s="80">
        <v>9.0</v>
      </c>
      <c r="HF7" s="80">
        <v>10.0</v>
      </c>
      <c r="HG7" s="80">
        <v>11.5</v>
      </c>
      <c r="HH7" s="80">
        <v>11.0</v>
      </c>
      <c r="HI7" s="80">
        <v>8.0</v>
      </c>
      <c r="HJ7" s="80" t="s">
        <v>40</v>
      </c>
      <c r="HK7" s="80">
        <v>11.0</v>
      </c>
      <c r="HL7" s="80">
        <v>9.0</v>
      </c>
      <c r="HM7" s="80"/>
      <c r="HN7" s="80">
        <v>10.5</v>
      </c>
      <c r="HO7" s="80">
        <v>10.5</v>
      </c>
      <c r="HP7" s="80">
        <v>9.0</v>
      </c>
      <c r="HQ7" s="80">
        <v>10.5</v>
      </c>
      <c r="HR7" s="80">
        <v>6.0</v>
      </c>
      <c r="HS7" s="80"/>
      <c r="HT7" s="80"/>
      <c r="HU7" s="80"/>
      <c r="HV7" s="80">
        <v>9.0</v>
      </c>
      <c r="HW7" s="80"/>
      <c r="HX7" s="81">
        <v>0.0</v>
      </c>
      <c r="HY7" s="81">
        <v>10.0</v>
      </c>
      <c r="HZ7" s="81">
        <v>13.0</v>
      </c>
      <c r="IA7" s="81">
        <v>3.0</v>
      </c>
      <c r="IB7" s="81">
        <v>9.5</v>
      </c>
      <c r="IC7" s="81">
        <v>10.5</v>
      </c>
      <c r="ID7" s="81">
        <v>11.0</v>
      </c>
      <c r="IE7" s="81">
        <v>0.0</v>
      </c>
      <c r="IF7" s="81">
        <v>0.0</v>
      </c>
      <c r="IG7" s="81">
        <v>0.0</v>
      </c>
      <c r="IH7" s="109">
        <v>10.0</v>
      </c>
      <c r="II7" s="109">
        <v>9.0</v>
      </c>
      <c r="IJ7" s="109">
        <v>11.0</v>
      </c>
      <c r="IK7" s="109">
        <v>10.5</v>
      </c>
      <c r="IL7" s="109">
        <v>7.0</v>
      </c>
      <c r="IM7" s="109">
        <v>11.0</v>
      </c>
      <c r="IN7" s="109">
        <v>12.0</v>
      </c>
      <c r="IO7" s="109">
        <v>4.0</v>
      </c>
      <c r="IP7" s="109">
        <v>10.0</v>
      </c>
      <c r="IQ7" s="109">
        <v>12.0</v>
      </c>
      <c r="IR7" s="109">
        <v>10.0</v>
      </c>
      <c r="IS7" s="109">
        <v>10.0</v>
      </c>
      <c r="IT7" s="109">
        <v>14.0</v>
      </c>
      <c r="IU7" s="109">
        <v>9.0</v>
      </c>
      <c r="IV7" s="109">
        <v>4.0</v>
      </c>
      <c r="IW7" s="109">
        <v>10.0</v>
      </c>
      <c r="IX7" s="109">
        <v>9.0</v>
      </c>
      <c r="IY7" s="109">
        <v>12.0</v>
      </c>
      <c r="IZ7" s="109">
        <v>9.0</v>
      </c>
      <c r="JA7" s="109">
        <v>8.0</v>
      </c>
      <c r="JB7" s="110"/>
      <c r="JC7" s="111">
        <v>10.0</v>
      </c>
      <c r="JD7" s="111">
        <v>10.0</v>
      </c>
      <c r="JE7" s="111">
        <v>10.0</v>
      </c>
      <c r="JF7" s="111">
        <v>10.0</v>
      </c>
      <c r="JG7" s="111">
        <v>10.0</v>
      </c>
      <c r="JH7" s="111">
        <v>11.0</v>
      </c>
      <c r="JI7" s="111">
        <v>9.0</v>
      </c>
      <c r="JJ7" s="111">
        <v>10.0</v>
      </c>
      <c r="JK7" s="111">
        <v>10.0</v>
      </c>
      <c r="JL7" s="111"/>
      <c r="JM7" s="111"/>
      <c r="JN7" s="111"/>
      <c r="JO7" s="111"/>
      <c r="JP7" s="111"/>
      <c r="JQ7" s="111"/>
      <c r="JR7" s="111">
        <v>10.0</v>
      </c>
      <c r="JS7" s="111">
        <v>17.25</v>
      </c>
      <c r="JT7" s="111">
        <v>10.0</v>
      </c>
      <c r="JU7" s="111">
        <v>12.0</v>
      </c>
      <c r="JV7" s="111">
        <v>8.75</v>
      </c>
      <c r="JW7" s="111">
        <v>10.0</v>
      </c>
      <c r="JX7" s="111">
        <v>9.0</v>
      </c>
      <c r="JY7" s="111">
        <v>10.0</v>
      </c>
      <c r="JZ7" s="85">
        <v>11.5</v>
      </c>
      <c r="KA7" s="111">
        <v>10.0</v>
      </c>
      <c r="KB7" s="85">
        <v>12.5</v>
      </c>
      <c r="KC7" s="111">
        <v>12.0</v>
      </c>
      <c r="KD7" s="111">
        <v>15.0</v>
      </c>
      <c r="KE7" s="111">
        <v>6.0</v>
      </c>
      <c r="KF7" s="111">
        <v>7.0</v>
      </c>
      <c r="KG7" s="112">
        <v>9.0</v>
      </c>
      <c r="KH7" s="113"/>
      <c r="KI7" s="90">
        <v>11.5</v>
      </c>
      <c r="KJ7" s="91">
        <v>9.0</v>
      </c>
      <c r="KK7" s="91">
        <v>10.0</v>
      </c>
      <c r="KL7" s="91">
        <v>10.0</v>
      </c>
      <c r="KM7" s="91">
        <v>10.0</v>
      </c>
      <c r="KN7" s="91" t="s">
        <v>39</v>
      </c>
      <c r="KO7" s="91">
        <v>10.0</v>
      </c>
      <c r="KP7" s="91">
        <v>10.0</v>
      </c>
      <c r="KQ7" s="91">
        <v>10.0</v>
      </c>
      <c r="KR7" s="91" t="s">
        <v>39</v>
      </c>
      <c r="KS7" s="91">
        <v>10.0</v>
      </c>
      <c r="KT7" s="91">
        <v>10.0</v>
      </c>
      <c r="KU7" s="91">
        <v>10.0</v>
      </c>
      <c r="KV7" s="91" t="s">
        <v>39</v>
      </c>
      <c r="KW7" s="91">
        <v>10.0</v>
      </c>
      <c r="KX7" s="91">
        <v>10.0</v>
      </c>
      <c r="KY7" s="91">
        <v>10.0</v>
      </c>
      <c r="KZ7" s="91" t="s">
        <v>39</v>
      </c>
      <c r="LA7" s="91">
        <v>10.0</v>
      </c>
      <c r="LB7" s="91">
        <v>10.0</v>
      </c>
      <c r="LC7" s="91">
        <v>10.0</v>
      </c>
      <c r="LD7" s="91">
        <v>10.0</v>
      </c>
      <c r="LE7" s="91">
        <v>10.0</v>
      </c>
      <c r="LF7" s="91">
        <v>10.0</v>
      </c>
      <c r="LG7" s="91">
        <v>10.0</v>
      </c>
      <c r="LH7" s="91">
        <v>10.0</v>
      </c>
      <c r="LI7" s="91">
        <v>10.0</v>
      </c>
      <c r="LJ7" s="91">
        <v>10.0</v>
      </c>
      <c r="LK7" s="91">
        <v>10.0</v>
      </c>
      <c r="LL7" s="91">
        <v>10.0</v>
      </c>
      <c r="LM7" s="91"/>
      <c r="LN7" s="113"/>
      <c r="LO7" s="91">
        <v>9.0</v>
      </c>
      <c r="LP7" s="91">
        <v>9.0</v>
      </c>
      <c r="LQ7" s="91">
        <v>9.0</v>
      </c>
      <c r="LR7" s="91"/>
      <c r="LS7" s="91">
        <v>9.0</v>
      </c>
      <c r="LT7" s="91"/>
      <c r="LU7" s="91">
        <v>9.0</v>
      </c>
      <c r="LV7" s="91">
        <v>8.0</v>
      </c>
      <c r="LW7" s="91"/>
      <c r="LX7" s="91">
        <v>5.0</v>
      </c>
      <c r="LY7" s="91"/>
      <c r="LZ7" s="91">
        <v>9.0</v>
      </c>
      <c r="MA7" s="91"/>
      <c r="MB7" s="91"/>
      <c r="MC7" s="91"/>
      <c r="MD7" s="91"/>
      <c r="ME7" s="91"/>
      <c r="MF7" s="91"/>
      <c r="MG7" s="91"/>
      <c r="MH7" s="91"/>
      <c r="MI7" s="91"/>
      <c r="MJ7" s="91"/>
      <c r="MK7" s="91"/>
      <c r="ML7" s="91"/>
      <c r="MM7" s="91"/>
      <c r="MN7" s="91"/>
      <c r="MO7" s="91"/>
      <c r="MP7" s="91"/>
      <c r="MQ7" s="91"/>
      <c r="MR7" s="93"/>
      <c r="MS7" s="93"/>
      <c r="MT7" s="114"/>
      <c r="MU7" s="115">
        <v>2.0</v>
      </c>
      <c r="MV7" s="115">
        <v>2.0</v>
      </c>
      <c r="MW7" s="115">
        <v>2.0</v>
      </c>
      <c r="MX7" s="115">
        <v>8.0</v>
      </c>
      <c r="MY7" s="115">
        <v>2.0</v>
      </c>
      <c r="MZ7" s="115"/>
      <c r="NA7" s="115">
        <v>2.0</v>
      </c>
      <c r="NB7" s="115"/>
      <c r="NC7" s="115"/>
      <c r="ND7" s="115"/>
      <c r="NE7" s="116">
        <v>7.5</v>
      </c>
      <c r="NF7" s="115">
        <v>5.0</v>
      </c>
      <c r="NG7" s="115"/>
      <c r="NH7" s="115"/>
      <c r="NI7" s="115"/>
      <c r="NJ7" s="115"/>
      <c r="NK7" s="115"/>
      <c r="NL7" s="115"/>
      <c r="NM7" s="115"/>
      <c r="NN7" s="115"/>
      <c r="NO7" s="115"/>
      <c r="NP7" s="115"/>
      <c r="NQ7" s="115"/>
      <c r="NR7" s="115"/>
      <c r="NS7" s="115"/>
      <c r="NT7" s="115"/>
      <c r="NU7" s="115"/>
      <c r="NV7" s="115"/>
      <c r="NW7" s="115"/>
      <c r="NX7" s="115"/>
      <c r="NY7" s="115"/>
      <c r="NZ7" s="117"/>
      <c r="OA7" s="118"/>
      <c r="OB7" s="118"/>
      <c r="OC7" s="119"/>
      <c r="OD7" s="120"/>
      <c r="OE7" s="120"/>
      <c r="OF7" s="120"/>
      <c r="OG7" s="120"/>
      <c r="OH7" s="120"/>
      <c r="OI7" s="120"/>
      <c r="OJ7" s="120"/>
      <c r="OK7" s="120"/>
      <c r="OL7" s="120"/>
    </row>
    <row r="8" ht="30.0" customHeight="1">
      <c r="A8" s="121"/>
      <c r="B8" s="73" t="s">
        <v>21</v>
      </c>
      <c r="C8" s="74">
        <f t="shared" si="7"/>
        <v>72</v>
      </c>
      <c r="D8" s="73">
        <f t="shared" si="8"/>
        <v>14.85</v>
      </c>
      <c r="E8" s="122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>
        <v>10.0</v>
      </c>
      <c r="AY8" s="105">
        <v>5.0</v>
      </c>
      <c r="AZ8" s="105">
        <v>12.0</v>
      </c>
      <c r="BA8" s="123"/>
      <c r="BB8" s="105">
        <v>9.3</v>
      </c>
      <c r="BC8" s="105">
        <v>9.0</v>
      </c>
      <c r="BD8" s="124">
        <v>11.0</v>
      </c>
      <c r="BE8" s="105"/>
      <c r="BF8" s="105">
        <v>9.0</v>
      </c>
      <c r="BG8" s="105"/>
      <c r="BH8" s="105"/>
      <c r="BI8" s="105"/>
      <c r="BJ8" s="105">
        <v>10.0</v>
      </c>
      <c r="BK8" s="105">
        <v>10.0</v>
      </c>
      <c r="BL8" s="105">
        <v>9.3</v>
      </c>
      <c r="BM8" s="105">
        <v>9.0</v>
      </c>
      <c r="BN8" s="105">
        <v>12.0</v>
      </c>
      <c r="BO8" s="105"/>
      <c r="BP8" s="105">
        <v>7.3</v>
      </c>
      <c r="BQ8" s="105">
        <v>9.0</v>
      </c>
      <c r="BR8" s="105">
        <v>10.3</v>
      </c>
      <c r="BS8" s="105">
        <v>9.3</v>
      </c>
      <c r="BT8" s="105"/>
      <c r="BU8" s="77">
        <v>5.0</v>
      </c>
      <c r="BV8" s="105">
        <v>12.0</v>
      </c>
      <c r="BW8" s="76">
        <v>10.3</v>
      </c>
      <c r="BX8" s="76">
        <v>10.0</v>
      </c>
      <c r="BY8" s="76">
        <v>10.3</v>
      </c>
      <c r="BZ8" s="80">
        <v>8.0</v>
      </c>
      <c r="CA8" s="80">
        <v>13.0</v>
      </c>
      <c r="CB8" s="80">
        <v>9.0</v>
      </c>
      <c r="CC8" s="80">
        <v>3.0</v>
      </c>
      <c r="CD8" s="80">
        <v>11.3</v>
      </c>
      <c r="CE8" s="80">
        <v>11.0</v>
      </c>
      <c r="CF8" s="80">
        <v>10.0</v>
      </c>
      <c r="CG8" s="80">
        <v>13.0</v>
      </c>
      <c r="CH8" s="80">
        <v>9.0</v>
      </c>
      <c r="CI8" s="80">
        <v>10.0</v>
      </c>
      <c r="CJ8" s="80"/>
      <c r="CK8" s="80">
        <v>8.3</v>
      </c>
      <c r="CL8" s="80">
        <v>8.0</v>
      </c>
      <c r="CM8" s="80">
        <v>9.0</v>
      </c>
      <c r="CN8" s="80">
        <v>12.0</v>
      </c>
      <c r="CO8" s="80">
        <v>11.0</v>
      </c>
      <c r="CP8" s="80">
        <v>0.0</v>
      </c>
      <c r="CQ8" s="80">
        <v>0.0</v>
      </c>
      <c r="CR8" s="80">
        <v>7.0</v>
      </c>
      <c r="CS8" s="80">
        <v>7.0</v>
      </c>
      <c r="CT8" s="80">
        <v>0.0</v>
      </c>
      <c r="CU8" s="80">
        <v>13.0</v>
      </c>
      <c r="CV8" s="80"/>
      <c r="CW8" s="80"/>
      <c r="CX8" s="80"/>
      <c r="CY8" s="80">
        <v>9.0</v>
      </c>
      <c r="CZ8" s="77">
        <v>8.0</v>
      </c>
      <c r="DA8" s="80">
        <v>11.3</v>
      </c>
      <c r="DB8" s="80">
        <v>9.0</v>
      </c>
      <c r="DC8" s="80">
        <v>12.0</v>
      </c>
      <c r="DD8" s="80">
        <v>12.0</v>
      </c>
      <c r="DE8" s="80">
        <v>9.15</v>
      </c>
      <c r="DF8" s="80">
        <v>11.0</v>
      </c>
      <c r="DG8" s="80">
        <v>9.0</v>
      </c>
      <c r="DH8" s="80">
        <v>10.0</v>
      </c>
      <c r="DI8" s="80">
        <v>8.0</v>
      </c>
      <c r="DJ8" s="80">
        <v>13.0</v>
      </c>
      <c r="DK8" s="80">
        <v>8.0</v>
      </c>
      <c r="DL8" s="107">
        <v>13.0</v>
      </c>
      <c r="DM8" s="107">
        <v>8.0</v>
      </c>
      <c r="DN8" s="107">
        <v>11.0</v>
      </c>
      <c r="DO8" s="107">
        <v>12.0</v>
      </c>
      <c r="DP8" s="107">
        <v>11.0</v>
      </c>
      <c r="DQ8" s="80">
        <v>8.0</v>
      </c>
      <c r="DR8" s="80">
        <v>12.0</v>
      </c>
      <c r="DS8" s="80"/>
      <c r="DT8" s="80">
        <v>11.0</v>
      </c>
      <c r="DU8" s="80">
        <v>9.5</v>
      </c>
      <c r="DV8" s="80">
        <v>11.5</v>
      </c>
      <c r="DW8" s="80">
        <v>10.0</v>
      </c>
      <c r="DX8" s="80">
        <v>9.5</v>
      </c>
      <c r="DY8" s="80">
        <v>14.0</v>
      </c>
      <c r="DZ8" s="80"/>
      <c r="EA8" s="80">
        <v>11.0</v>
      </c>
      <c r="EB8" s="80">
        <v>7.5</v>
      </c>
      <c r="EC8" s="80">
        <v>8.0</v>
      </c>
      <c r="ED8" s="77">
        <v>10.0</v>
      </c>
      <c r="EE8" s="80">
        <v>11.5</v>
      </c>
      <c r="EF8" s="80">
        <v>10.0</v>
      </c>
      <c r="EG8" s="80"/>
      <c r="EH8" s="80">
        <v>10.0</v>
      </c>
      <c r="EI8" s="80">
        <v>8.5</v>
      </c>
      <c r="EJ8" s="80">
        <v>8.0</v>
      </c>
      <c r="EK8" s="80">
        <v>8.0</v>
      </c>
      <c r="EL8" s="80"/>
      <c r="EM8" s="80">
        <v>13.5</v>
      </c>
      <c r="EN8" s="80">
        <v>10.5</v>
      </c>
      <c r="EO8" s="80">
        <v>13.5</v>
      </c>
      <c r="EP8" s="80">
        <v>9.0</v>
      </c>
      <c r="EQ8" s="80">
        <v>12.0</v>
      </c>
      <c r="ER8" s="80">
        <v>12.0</v>
      </c>
      <c r="ES8" s="80">
        <v>8.3</v>
      </c>
      <c r="ET8" s="80">
        <v>10.0</v>
      </c>
      <c r="EU8" s="80"/>
      <c r="EV8" s="80">
        <v>9.0</v>
      </c>
      <c r="EW8" s="80">
        <v>9.5</v>
      </c>
      <c r="EX8" s="80">
        <v>11.5</v>
      </c>
      <c r="EY8" s="80">
        <v>18.0</v>
      </c>
      <c r="EZ8" s="80">
        <v>6.5</v>
      </c>
      <c r="FA8" s="80">
        <v>11.0</v>
      </c>
      <c r="FB8" s="80">
        <v>3.5</v>
      </c>
      <c r="FC8" s="80">
        <v>9.0</v>
      </c>
      <c r="FD8" s="80">
        <v>10.0</v>
      </c>
      <c r="FE8" s="80">
        <v>3.0</v>
      </c>
      <c r="FF8" s="80">
        <v>12.0</v>
      </c>
      <c r="FG8" s="80">
        <v>9.0</v>
      </c>
      <c r="FH8" s="80">
        <v>9.0</v>
      </c>
      <c r="FI8" s="80"/>
      <c r="FJ8" s="80">
        <v>9.5</v>
      </c>
      <c r="FK8" s="80">
        <v>9.0</v>
      </c>
      <c r="FL8" s="80">
        <v>11.75</v>
      </c>
      <c r="FM8" s="80">
        <v>11.0</v>
      </c>
      <c r="FN8" s="80">
        <v>9.0</v>
      </c>
      <c r="FO8" s="80">
        <v>8.5</v>
      </c>
      <c r="FP8" s="125"/>
      <c r="FQ8" s="80">
        <v>8.0</v>
      </c>
      <c r="FR8" s="80">
        <v>11.0</v>
      </c>
      <c r="FS8" s="80">
        <v>9.0</v>
      </c>
      <c r="FT8" s="80">
        <v>16.0</v>
      </c>
      <c r="FU8" s="80">
        <v>8.0</v>
      </c>
      <c r="FV8" s="80">
        <v>10.0</v>
      </c>
      <c r="FW8" s="80">
        <v>10.0</v>
      </c>
      <c r="FX8" s="80">
        <v>9.0</v>
      </c>
      <c r="FY8" s="80">
        <v>10.0</v>
      </c>
      <c r="FZ8" s="80">
        <v>15.0</v>
      </c>
      <c r="GA8" s="80">
        <v>12.0</v>
      </c>
      <c r="GB8" s="80">
        <v>11.0</v>
      </c>
      <c r="GC8" s="80">
        <v>9.0</v>
      </c>
      <c r="GD8" s="80">
        <v>10.0</v>
      </c>
      <c r="GE8" s="80">
        <v>14.0</v>
      </c>
      <c r="GF8" s="80">
        <v>13.0</v>
      </c>
      <c r="GG8" s="80">
        <v>10.0</v>
      </c>
      <c r="GH8" s="80"/>
      <c r="GI8" s="80">
        <v>11.0</v>
      </c>
      <c r="GJ8" s="80">
        <v>8.0</v>
      </c>
      <c r="GK8" s="80">
        <v>11.0</v>
      </c>
      <c r="GL8" s="80">
        <v>12.0</v>
      </c>
      <c r="GM8" s="80">
        <v>9.0</v>
      </c>
      <c r="GN8" s="80">
        <v>12.0</v>
      </c>
      <c r="GO8" s="80">
        <v>16.0</v>
      </c>
      <c r="GP8" s="80">
        <v>15.0</v>
      </c>
      <c r="GQ8" s="80">
        <v>14.0</v>
      </c>
      <c r="GR8" s="80">
        <v>20.0</v>
      </c>
      <c r="GS8" s="108" t="s">
        <v>39</v>
      </c>
      <c r="GT8" s="80">
        <v>8.0</v>
      </c>
      <c r="GU8" s="80">
        <v>4.0</v>
      </c>
      <c r="GV8" s="80" t="s">
        <v>39</v>
      </c>
      <c r="GW8" s="80">
        <v>5.0</v>
      </c>
      <c r="GX8" s="80">
        <v>5.5</v>
      </c>
      <c r="GY8" s="80">
        <v>8.5</v>
      </c>
      <c r="GZ8" s="80">
        <v>3.5</v>
      </c>
      <c r="HA8" s="80" t="s">
        <v>39</v>
      </c>
      <c r="HB8" s="80">
        <v>8.0</v>
      </c>
      <c r="HC8" s="80">
        <v>12.0</v>
      </c>
      <c r="HD8" s="80">
        <v>3.0</v>
      </c>
      <c r="HE8" s="80">
        <v>11.0</v>
      </c>
      <c r="HF8" s="80" t="s">
        <v>39</v>
      </c>
      <c r="HG8" s="80">
        <v>12.0</v>
      </c>
      <c r="HH8" s="80">
        <v>12.0</v>
      </c>
      <c r="HI8" s="80">
        <v>5.0</v>
      </c>
      <c r="HJ8" s="80">
        <v>2.0</v>
      </c>
      <c r="HK8" s="80">
        <v>7.5</v>
      </c>
      <c r="HL8" s="80">
        <v>7.0</v>
      </c>
      <c r="HM8" s="80">
        <v>7.0</v>
      </c>
      <c r="HN8" s="80">
        <v>5.0</v>
      </c>
      <c r="HO8" s="80">
        <v>12.0</v>
      </c>
      <c r="HP8" s="80">
        <v>11.0</v>
      </c>
      <c r="HQ8" s="80">
        <v>4.5</v>
      </c>
      <c r="HR8" s="80" t="s">
        <v>39</v>
      </c>
      <c r="HS8" s="80">
        <v>4.5</v>
      </c>
      <c r="HT8" s="80">
        <v>6.5</v>
      </c>
      <c r="HU8" s="80">
        <v>1.5</v>
      </c>
      <c r="HV8" s="80">
        <v>5.0</v>
      </c>
      <c r="HW8" s="80" t="s">
        <v>39</v>
      </c>
      <c r="HX8" s="126" t="s">
        <v>41</v>
      </c>
      <c r="HY8" s="81">
        <v>3.0</v>
      </c>
      <c r="HZ8" s="81">
        <v>8.0</v>
      </c>
      <c r="IA8" s="81">
        <v>7.0</v>
      </c>
      <c r="IB8" s="81">
        <v>6.0</v>
      </c>
      <c r="IC8" s="81">
        <v>8.75</v>
      </c>
      <c r="ID8" s="81">
        <v>10.75</v>
      </c>
      <c r="IE8" s="81">
        <v>9.0</v>
      </c>
      <c r="IF8" s="81">
        <v>9.25</v>
      </c>
      <c r="IG8" s="81">
        <v>7.75</v>
      </c>
      <c r="IH8" s="81">
        <v>9.25</v>
      </c>
      <c r="II8" s="81">
        <v>9.5</v>
      </c>
      <c r="IJ8" s="81">
        <v>7.25</v>
      </c>
      <c r="IK8" s="81" t="s">
        <v>39</v>
      </c>
      <c r="IL8" s="81">
        <v>6.5</v>
      </c>
      <c r="IM8" s="81">
        <v>9.0</v>
      </c>
      <c r="IN8" s="81">
        <v>11.5</v>
      </c>
      <c r="IO8" s="81">
        <v>12.5</v>
      </c>
      <c r="IP8" s="81">
        <v>9.5</v>
      </c>
      <c r="IQ8" s="81">
        <v>9.0</v>
      </c>
      <c r="IR8" s="81">
        <v>9.25</v>
      </c>
      <c r="IS8" s="81">
        <v>12.5</v>
      </c>
      <c r="IT8" s="81">
        <v>10.75</v>
      </c>
      <c r="IU8" s="81">
        <v>19.0</v>
      </c>
      <c r="IV8" s="81">
        <v>3.0</v>
      </c>
      <c r="IW8" s="81">
        <v>11.0</v>
      </c>
      <c r="IX8" s="81">
        <v>6.5</v>
      </c>
      <c r="IY8" s="81">
        <v>10.0</v>
      </c>
      <c r="IZ8" s="81">
        <v>0.0</v>
      </c>
      <c r="JA8" s="81">
        <v>10.0</v>
      </c>
      <c r="JB8" s="84"/>
      <c r="JC8" s="85">
        <v>11.0</v>
      </c>
      <c r="JD8" s="85"/>
      <c r="JE8" s="85">
        <v>10.5</v>
      </c>
      <c r="JF8" s="85">
        <v>14.5</v>
      </c>
      <c r="JG8" s="85">
        <v>10.0</v>
      </c>
      <c r="JH8" s="85">
        <v>15.0</v>
      </c>
      <c r="JI8" s="85">
        <v>10.5</v>
      </c>
      <c r="JJ8" s="85">
        <v>11.0</v>
      </c>
      <c r="JK8" s="85"/>
      <c r="JL8" s="85">
        <v>12.0</v>
      </c>
      <c r="JM8" s="85">
        <v>14.0</v>
      </c>
      <c r="JN8" s="85">
        <v>10.0</v>
      </c>
      <c r="JO8" s="85">
        <v>8.0</v>
      </c>
      <c r="JP8" s="85">
        <v>2.0</v>
      </c>
      <c r="JQ8" s="85">
        <v>3.0</v>
      </c>
      <c r="JR8" s="85"/>
      <c r="JS8" s="85"/>
      <c r="JT8" s="85"/>
      <c r="JU8" s="85">
        <v>10.0</v>
      </c>
      <c r="JV8" s="85"/>
      <c r="JW8" s="85">
        <v>4.0</v>
      </c>
      <c r="JX8" s="85">
        <v>11.0</v>
      </c>
      <c r="JY8" s="85"/>
      <c r="JZ8" s="85">
        <v>11.0</v>
      </c>
      <c r="KA8" s="85">
        <v>8.5</v>
      </c>
      <c r="KB8" s="85">
        <v>8.0</v>
      </c>
      <c r="KC8" s="85">
        <v>12.0</v>
      </c>
      <c r="KD8" s="85">
        <v>14.75</v>
      </c>
      <c r="KE8" s="85">
        <v>12.5</v>
      </c>
      <c r="KF8" s="85">
        <v>11.0</v>
      </c>
      <c r="KG8" s="88">
        <v>10.0</v>
      </c>
      <c r="KH8" s="89"/>
      <c r="KI8" s="90">
        <v>16.5</v>
      </c>
      <c r="KJ8" s="91">
        <v>9.0</v>
      </c>
      <c r="KK8" s="90">
        <v>12.5</v>
      </c>
      <c r="KL8" s="90">
        <v>16.5</v>
      </c>
      <c r="KM8" s="90">
        <v>9.0</v>
      </c>
      <c r="KN8" s="90">
        <v>16.0</v>
      </c>
      <c r="KO8" s="90" t="s">
        <v>39</v>
      </c>
      <c r="KP8" s="90">
        <v>7.0</v>
      </c>
      <c r="KQ8" s="90">
        <v>14.5</v>
      </c>
      <c r="KR8" s="90">
        <v>4.5</v>
      </c>
      <c r="KS8" s="90">
        <v>13.0</v>
      </c>
      <c r="KT8" s="90">
        <v>3.0</v>
      </c>
      <c r="KU8" s="90">
        <v>5.0</v>
      </c>
      <c r="KV8" s="90">
        <v>6.5</v>
      </c>
      <c r="KW8" s="90">
        <v>8.0</v>
      </c>
      <c r="KX8" s="90" t="s">
        <v>39</v>
      </c>
      <c r="KY8" s="90">
        <v>6.5</v>
      </c>
      <c r="KZ8" s="90" t="s">
        <v>39</v>
      </c>
      <c r="LA8" s="90" t="s">
        <v>39</v>
      </c>
      <c r="LB8" s="90" t="s">
        <v>39</v>
      </c>
      <c r="LC8" s="90">
        <v>8.0</v>
      </c>
      <c r="LD8" s="90">
        <v>6.5</v>
      </c>
      <c r="LE8" s="90">
        <v>9.0</v>
      </c>
      <c r="LF8" s="90">
        <v>9.0</v>
      </c>
      <c r="LG8" s="90" t="s">
        <v>39</v>
      </c>
      <c r="LH8" s="90">
        <v>9.0</v>
      </c>
      <c r="LI8" s="90" t="s">
        <v>39</v>
      </c>
      <c r="LJ8" s="90">
        <v>11.0</v>
      </c>
      <c r="LK8" s="90">
        <v>9.5</v>
      </c>
      <c r="LL8" s="90">
        <v>5.5</v>
      </c>
      <c r="LM8" s="90">
        <v>21.0</v>
      </c>
      <c r="LN8" s="89"/>
      <c r="LO8" s="90"/>
      <c r="LP8" s="90">
        <v>9.0</v>
      </c>
      <c r="LQ8" s="90">
        <v>9.0</v>
      </c>
      <c r="LR8" s="90"/>
      <c r="LS8" s="90">
        <v>9.0</v>
      </c>
      <c r="LT8" s="90"/>
      <c r="LU8" s="90">
        <v>9.0</v>
      </c>
      <c r="LV8" s="90">
        <v>9.0</v>
      </c>
      <c r="LW8" s="90">
        <v>9.0</v>
      </c>
      <c r="LX8" s="90">
        <v>9.0</v>
      </c>
      <c r="LY8" s="90"/>
      <c r="LZ8" s="90">
        <v>9.0</v>
      </c>
      <c r="MA8" s="90"/>
      <c r="MB8" s="90"/>
      <c r="MC8" s="90"/>
      <c r="MD8" s="90"/>
      <c r="ME8" s="90"/>
      <c r="MF8" s="90"/>
      <c r="MG8" s="90"/>
      <c r="MH8" s="90"/>
      <c r="MI8" s="90"/>
      <c r="MJ8" s="90"/>
      <c r="MK8" s="90"/>
      <c r="ML8" s="90"/>
      <c r="MM8" s="90"/>
      <c r="MN8" s="90"/>
      <c r="MO8" s="90"/>
      <c r="MP8" s="90"/>
      <c r="MQ8" s="90"/>
      <c r="MR8" s="93"/>
      <c r="MS8" s="93"/>
      <c r="MT8" s="127"/>
      <c r="MU8" s="96"/>
      <c r="MV8" s="96">
        <v>3.0</v>
      </c>
      <c r="MW8" s="96"/>
      <c r="MX8" s="96"/>
      <c r="MY8" s="96"/>
      <c r="MZ8" s="96"/>
      <c r="NA8" s="96"/>
      <c r="NB8" s="96"/>
      <c r="NC8" s="96"/>
      <c r="ND8" s="96">
        <v>1.1</v>
      </c>
      <c r="NE8" s="96">
        <v>9.25</v>
      </c>
      <c r="NF8" s="96">
        <v>1.5</v>
      </c>
      <c r="NG8" s="96"/>
      <c r="NH8" s="96"/>
      <c r="NI8" s="96"/>
      <c r="NJ8" s="96"/>
      <c r="NK8" s="96"/>
      <c r="NL8" s="96"/>
      <c r="NM8" s="96"/>
      <c r="NN8" s="96"/>
      <c r="NO8" s="96"/>
      <c r="NP8" s="96"/>
      <c r="NQ8" s="96"/>
      <c r="NR8" s="96"/>
      <c r="NS8" s="96"/>
      <c r="NT8" s="96"/>
      <c r="NU8" s="96"/>
      <c r="NV8" s="96"/>
      <c r="NW8" s="96"/>
      <c r="NX8" s="96"/>
      <c r="NY8" s="96"/>
      <c r="NZ8" s="128"/>
      <c r="OA8" s="129"/>
      <c r="OB8" s="129"/>
      <c r="OC8" s="130"/>
      <c r="OD8" s="101"/>
      <c r="OE8" s="101"/>
      <c r="OF8" s="101"/>
      <c r="OG8" s="101"/>
      <c r="OH8" s="101"/>
      <c r="OI8" s="101"/>
      <c r="OJ8" s="101"/>
      <c r="OK8" s="101"/>
      <c r="OL8" s="101"/>
    </row>
    <row r="9" ht="30.0" customHeight="1">
      <c r="A9" s="131"/>
      <c r="B9" s="132" t="s">
        <v>42</v>
      </c>
      <c r="C9" s="74">
        <f t="shared" si="7"/>
        <v>0</v>
      </c>
      <c r="D9" s="73">
        <f t="shared" si="8"/>
        <v>0</v>
      </c>
      <c r="E9" s="122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>
        <v>10.0</v>
      </c>
      <c r="AS9" s="105">
        <v>10.0</v>
      </c>
      <c r="AT9" s="105">
        <v>10.0</v>
      </c>
      <c r="AU9" s="105">
        <v>12.0</v>
      </c>
      <c r="AV9" s="123"/>
      <c r="AW9" s="105">
        <v>14.0</v>
      </c>
      <c r="AX9" s="105">
        <v>11.0</v>
      </c>
      <c r="AY9" s="105">
        <v>10.0</v>
      </c>
      <c r="AZ9" s="105">
        <v>11.0</v>
      </c>
      <c r="BA9" s="123"/>
      <c r="BB9" s="105">
        <v>11.0</v>
      </c>
      <c r="BC9" s="105">
        <v>11.3</v>
      </c>
      <c r="BD9" s="105">
        <v>13.0</v>
      </c>
      <c r="BE9" s="105">
        <v>13.0</v>
      </c>
      <c r="BF9" s="105">
        <v>12.0</v>
      </c>
      <c r="BG9" s="105">
        <v>16.0</v>
      </c>
      <c r="BH9" s="105">
        <v>3.0</v>
      </c>
      <c r="BI9" s="105">
        <v>10.3</v>
      </c>
      <c r="BJ9" s="105">
        <v>13.0</v>
      </c>
      <c r="BK9" s="105">
        <v>13.0</v>
      </c>
      <c r="BL9" s="105">
        <v>16.0</v>
      </c>
      <c r="BM9" s="105">
        <v>12.0</v>
      </c>
      <c r="BN9" s="105">
        <v>13.0</v>
      </c>
      <c r="BO9" s="105">
        <v>9.0</v>
      </c>
      <c r="BP9" s="105">
        <v>13.0</v>
      </c>
      <c r="BQ9" s="105">
        <v>11.0</v>
      </c>
      <c r="BR9" s="105">
        <v>12.0</v>
      </c>
      <c r="BS9" s="105">
        <v>10.3</v>
      </c>
      <c r="BT9" s="105">
        <v>12.3</v>
      </c>
      <c r="BU9" s="77">
        <v>10.3</v>
      </c>
      <c r="BV9" s="105">
        <v>9.3</v>
      </c>
      <c r="BW9" s="76">
        <v>10.3</v>
      </c>
      <c r="BX9" s="76">
        <v>15.0</v>
      </c>
      <c r="BY9" s="76">
        <v>10.3</v>
      </c>
      <c r="BZ9" s="80">
        <v>12.0</v>
      </c>
      <c r="CA9" s="80">
        <v>12.0</v>
      </c>
      <c r="CB9" s="80">
        <v>13.3</v>
      </c>
      <c r="CC9" s="80">
        <v>9.0</v>
      </c>
      <c r="CD9" s="80">
        <v>11.3</v>
      </c>
      <c r="CE9" s="80">
        <v>11.0</v>
      </c>
      <c r="CF9" s="80">
        <v>14.0</v>
      </c>
      <c r="CG9" s="80">
        <v>14.0</v>
      </c>
      <c r="CH9" s="80" t="s">
        <v>30</v>
      </c>
      <c r="CI9" s="80">
        <v>12.3</v>
      </c>
      <c r="CJ9" s="80">
        <v>0.0</v>
      </c>
      <c r="CK9" s="80">
        <v>10.3</v>
      </c>
      <c r="CL9" s="80">
        <v>18.0</v>
      </c>
      <c r="CM9" s="80">
        <v>6.0</v>
      </c>
      <c r="CN9" s="80">
        <v>14.0</v>
      </c>
      <c r="CO9" s="80">
        <v>12.0</v>
      </c>
      <c r="CP9" s="80">
        <v>13.0</v>
      </c>
      <c r="CQ9" s="80">
        <v>6.0</v>
      </c>
      <c r="CR9" s="80">
        <v>11.0</v>
      </c>
      <c r="CS9" s="80">
        <v>11.0</v>
      </c>
      <c r="CT9" s="80">
        <v>13.3</v>
      </c>
      <c r="CU9" s="80">
        <v>10.0</v>
      </c>
      <c r="CV9" s="80">
        <v>7.0</v>
      </c>
      <c r="CW9" s="80">
        <v>7.0</v>
      </c>
      <c r="CX9" s="80">
        <v>11.0</v>
      </c>
      <c r="CY9" s="80">
        <v>10.3</v>
      </c>
      <c r="CZ9" s="77">
        <v>8.3</v>
      </c>
      <c r="DA9" s="80">
        <v>12.0</v>
      </c>
      <c r="DB9" s="80">
        <v>9.0</v>
      </c>
      <c r="DC9" s="80">
        <v>11.0</v>
      </c>
      <c r="DD9" s="80">
        <v>12.0</v>
      </c>
      <c r="DE9" s="80">
        <v>7.0</v>
      </c>
      <c r="DF9" s="80">
        <v>11.45</v>
      </c>
      <c r="DG9" s="80">
        <v>14.3</v>
      </c>
      <c r="DH9" s="80">
        <v>16.0</v>
      </c>
      <c r="DI9" s="80">
        <v>11.0</v>
      </c>
      <c r="DJ9" s="80"/>
      <c r="DK9" s="80">
        <v>14.5</v>
      </c>
      <c r="DL9" s="80">
        <v>9.5</v>
      </c>
      <c r="DM9" s="80">
        <v>8.0</v>
      </c>
      <c r="DN9" s="80">
        <v>12.0</v>
      </c>
      <c r="DO9" s="80">
        <v>10.5</v>
      </c>
      <c r="DP9" s="80">
        <v>13.0</v>
      </c>
      <c r="DQ9" s="80">
        <v>12.0</v>
      </c>
      <c r="DR9" s="80">
        <v>7.5</v>
      </c>
      <c r="DS9" s="107">
        <v>6.0</v>
      </c>
      <c r="DT9" s="80">
        <v>9.0</v>
      </c>
      <c r="DU9" s="80">
        <v>9.0</v>
      </c>
      <c r="DV9" s="80">
        <v>12.0</v>
      </c>
      <c r="DW9" s="80">
        <v>13.5</v>
      </c>
      <c r="DX9" s="80">
        <v>12.0</v>
      </c>
      <c r="DY9" s="80">
        <v>8.5</v>
      </c>
      <c r="DZ9" s="80"/>
      <c r="EA9" s="80">
        <v>16.5</v>
      </c>
      <c r="EB9" s="80">
        <v>12.0</v>
      </c>
      <c r="EC9" s="80">
        <v>12.0</v>
      </c>
      <c r="ED9" s="77">
        <v>11.0</v>
      </c>
      <c r="EE9" s="80">
        <v>12.0</v>
      </c>
      <c r="EF9" s="80">
        <v>9.5</v>
      </c>
      <c r="EG9" s="80">
        <v>11.5</v>
      </c>
      <c r="EH9" s="80">
        <v>11.5</v>
      </c>
      <c r="EI9" s="80">
        <v>11.0</v>
      </c>
      <c r="EJ9" s="80">
        <v>11.0</v>
      </c>
      <c r="EK9" s="80">
        <v>7.5</v>
      </c>
      <c r="EL9" s="80">
        <v>5.0</v>
      </c>
      <c r="EM9" s="80">
        <v>10.75</v>
      </c>
      <c r="EN9" s="80">
        <v>10.0</v>
      </c>
      <c r="EO9" s="80">
        <v>9.5</v>
      </c>
      <c r="EP9" s="80">
        <v>9.0</v>
      </c>
      <c r="EQ9" s="80">
        <v>10.75</v>
      </c>
      <c r="ER9" s="80">
        <v>12.2</v>
      </c>
      <c r="ES9" s="80">
        <v>5.0</v>
      </c>
      <c r="ET9" s="80">
        <v>12.0</v>
      </c>
      <c r="EU9" s="80">
        <v>10.0</v>
      </c>
      <c r="EV9" s="80">
        <v>9.5</v>
      </c>
      <c r="EW9" s="80">
        <v>8.75</v>
      </c>
      <c r="EX9" s="80">
        <v>10.6</v>
      </c>
      <c r="EY9" s="80">
        <v>10.25</v>
      </c>
      <c r="EZ9" s="80">
        <v>13.0</v>
      </c>
      <c r="FA9" s="80">
        <v>9.5</v>
      </c>
      <c r="FB9" s="80">
        <v>9.5</v>
      </c>
      <c r="FC9" s="80">
        <v>11.2</v>
      </c>
      <c r="FD9" s="80">
        <v>11.7</v>
      </c>
      <c r="FE9" s="80">
        <v>10.0</v>
      </c>
      <c r="FF9" s="80">
        <v>12.45</v>
      </c>
      <c r="FG9" s="80">
        <v>16.0</v>
      </c>
      <c r="FH9" s="80">
        <v>14.0</v>
      </c>
      <c r="FI9" s="80">
        <v>7.6</v>
      </c>
      <c r="FJ9" s="80"/>
      <c r="FK9" s="80">
        <v>16.0</v>
      </c>
      <c r="FL9" s="80">
        <v>11.2</v>
      </c>
      <c r="FM9" s="80">
        <v>10.0</v>
      </c>
      <c r="FN9" s="80">
        <v>11.2</v>
      </c>
      <c r="FO9" s="80">
        <v>12.0</v>
      </c>
      <c r="FP9" s="80">
        <v>9.5</v>
      </c>
      <c r="FQ9" s="80">
        <v>11.0</v>
      </c>
      <c r="FR9" s="80">
        <v>12.0</v>
      </c>
      <c r="FS9" s="80">
        <v>10.5</v>
      </c>
      <c r="FT9" s="80">
        <v>12.0</v>
      </c>
      <c r="FU9" s="80">
        <v>11.0</v>
      </c>
      <c r="FV9" s="80">
        <v>12.0</v>
      </c>
      <c r="FW9" s="80">
        <v>10.0</v>
      </c>
      <c r="FX9" s="80">
        <v>11.0</v>
      </c>
      <c r="FY9" s="80">
        <v>9.5</v>
      </c>
      <c r="FZ9" s="80">
        <v>11.0</v>
      </c>
      <c r="GA9" s="80">
        <v>10.0</v>
      </c>
      <c r="GB9" s="80">
        <v>10.5</v>
      </c>
      <c r="GC9" s="80">
        <v>13.5</v>
      </c>
      <c r="GD9" s="80">
        <v>5.0</v>
      </c>
      <c r="GE9" s="80">
        <v>14.0</v>
      </c>
      <c r="GF9" s="80">
        <v>11.0</v>
      </c>
      <c r="GG9" s="80">
        <v>10.5</v>
      </c>
      <c r="GH9" s="80">
        <v>10.0</v>
      </c>
      <c r="GI9" s="80">
        <v>10.5</v>
      </c>
      <c r="GJ9" s="80">
        <v>10.5</v>
      </c>
      <c r="GK9" s="80">
        <v>12.0</v>
      </c>
      <c r="GL9" s="80"/>
      <c r="GM9" s="80">
        <v>11.0</v>
      </c>
      <c r="GN9" s="80">
        <v>10.5</v>
      </c>
      <c r="GO9" s="80">
        <v>9.0</v>
      </c>
      <c r="GP9" s="80">
        <v>12.0</v>
      </c>
      <c r="GQ9" s="80">
        <v>116.0</v>
      </c>
      <c r="GR9" s="80"/>
      <c r="GS9" s="108">
        <v>15.0</v>
      </c>
      <c r="GT9" s="80">
        <v>10.0</v>
      </c>
      <c r="GU9" s="80">
        <v>12.0</v>
      </c>
      <c r="GV9" s="80">
        <v>9.0</v>
      </c>
      <c r="GW9" s="80">
        <v>10.5</v>
      </c>
      <c r="GX9" s="80">
        <v>8.0</v>
      </c>
      <c r="GY9" s="80">
        <v>12.5</v>
      </c>
      <c r="GZ9" s="80">
        <v>10.0</v>
      </c>
      <c r="HA9" s="80">
        <v>22.0</v>
      </c>
      <c r="HB9" s="80">
        <v>8.0</v>
      </c>
      <c r="HC9" s="80">
        <v>10.5</v>
      </c>
      <c r="HD9" s="80">
        <v>15.5</v>
      </c>
      <c r="HE9" s="80">
        <v>12.0</v>
      </c>
      <c r="HF9" s="80">
        <v>7.0</v>
      </c>
      <c r="HG9" s="80">
        <v>11.0</v>
      </c>
      <c r="HH9" s="80">
        <v>8.0</v>
      </c>
      <c r="HI9" s="80">
        <v>10.0</v>
      </c>
      <c r="HJ9" s="80">
        <v>8.5</v>
      </c>
      <c r="HK9" s="80" t="s">
        <v>39</v>
      </c>
      <c r="HL9" s="80">
        <v>4.5</v>
      </c>
      <c r="HM9" s="80">
        <v>7.0</v>
      </c>
      <c r="HN9" s="80">
        <v>9.5</v>
      </c>
      <c r="HO9" s="80">
        <v>15.0</v>
      </c>
      <c r="HP9" s="80">
        <v>7.5</v>
      </c>
      <c r="HQ9" s="80">
        <v>8.5</v>
      </c>
      <c r="HR9" s="80">
        <v>8.0</v>
      </c>
      <c r="HS9" s="80">
        <v>8.0</v>
      </c>
      <c r="HT9" s="80">
        <v>8.5</v>
      </c>
      <c r="HU9" s="80">
        <v>17.5</v>
      </c>
      <c r="HV9" s="80">
        <v>3.0</v>
      </c>
      <c r="HW9" s="80">
        <v>13.0</v>
      </c>
      <c r="HX9" s="81">
        <v>13.0</v>
      </c>
      <c r="HY9" s="81">
        <v>9.0</v>
      </c>
      <c r="HZ9" s="81">
        <v>12.0</v>
      </c>
      <c r="IA9" s="81">
        <v>11.0</v>
      </c>
      <c r="IB9" s="81">
        <v>17.0</v>
      </c>
      <c r="IC9" s="81">
        <v>6.0</v>
      </c>
      <c r="ID9" s="81">
        <v>10.5</v>
      </c>
      <c r="IE9" s="81">
        <v>10.0</v>
      </c>
      <c r="IF9" s="81">
        <v>11.0</v>
      </c>
      <c r="IG9" s="81">
        <v>5.5</v>
      </c>
      <c r="IH9" s="81">
        <v>10.5</v>
      </c>
      <c r="II9" s="81">
        <v>5.5</v>
      </c>
      <c r="IJ9" s="81">
        <v>10.0</v>
      </c>
      <c r="IK9" s="81">
        <v>11.5</v>
      </c>
      <c r="IL9" s="81">
        <v>11.0</v>
      </c>
      <c r="IM9" s="81">
        <v>9.5</v>
      </c>
      <c r="IN9" s="81">
        <v>10.25</v>
      </c>
      <c r="IO9" s="81">
        <v>9.0</v>
      </c>
      <c r="IP9" s="81">
        <v>12.0</v>
      </c>
      <c r="IQ9" s="81">
        <v>12.0</v>
      </c>
      <c r="IR9" s="81">
        <v>10.0</v>
      </c>
      <c r="IS9" s="81">
        <v>10.0</v>
      </c>
      <c r="IT9" s="81">
        <v>3.25</v>
      </c>
      <c r="IU9" s="81">
        <v>10.0</v>
      </c>
      <c r="IV9" s="81">
        <v>7.0</v>
      </c>
      <c r="IW9" s="81">
        <v>7.5</v>
      </c>
      <c r="IX9" s="81">
        <v>12.0</v>
      </c>
      <c r="IY9" s="81">
        <v>8.5</v>
      </c>
      <c r="IZ9" s="81">
        <v>9.0</v>
      </c>
      <c r="JA9" s="81">
        <v>14.5</v>
      </c>
      <c r="JB9" s="84"/>
      <c r="JC9" s="85">
        <v>2.5</v>
      </c>
      <c r="JD9" s="85">
        <v>9.0</v>
      </c>
      <c r="JE9" s="85">
        <v>8.0</v>
      </c>
      <c r="JF9" s="85">
        <v>11.5</v>
      </c>
      <c r="JG9" s="85">
        <v>9.0</v>
      </c>
      <c r="JH9" s="85"/>
      <c r="JI9" s="85">
        <v>11.25</v>
      </c>
      <c r="JJ9" s="85">
        <v>11.0</v>
      </c>
      <c r="JK9" s="85">
        <v>8.5</v>
      </c>
      <c r="JL9" s="85">
        <v>10.5</v>
      </c>
      <c r="JM9" s="85">
        <v>9.5</v>
      </c>
      <c r="JN9" s="85">
        <v>9.0</v>
      </c>
      <c r="JO9" s="85">
        <v>8.5</v>
      </c>
      <c r="JP9" s="85">
        <v>11.25</v>
      </c>
      <c r="JQ9" s="85">
        <v>8.5</v>
      </c>
      <c r="JR9" s="85">
        <v>10.0</v>
      </c>
      <c r="JS9" s="85">
        <v>7.75</v>
      </c>
      <c r="JT9" s="85">
        <v>7.5</v>
      </c>
      <c r="JU9" s="85">
        <v>9.0</v>
      </c>
      <c r="JV9" s="85">
        <v>9.0</v>
      </c>
      <c r="JW9" s="85">
        <v>8.0</v>
      </c>
      <c r="JX9" s="85">
        <v>9.25</v>
      </c>
      <c r="JY9" s="85">
        <v>7.0</v>
      </c>
      <c r="JZ9" s="85">
        <v>5.0</v>
      </c>
      <c r="KA9" s="85">
        <v>5.0</v>
      </c>
      <c r="KB9" s="85">
        <v>7.25</v>
      </c>
      <c r="KC9" s="85">
        <v>8.5</v>
      </c>
      <c r="KD9" s="85"/>
      <c r="KE9" s="85"/>
      <c r="KF9" s="85"/>
      <c r="KG9" s="88">
        <v>7.0</v>
      </c>
      <c r="KH9" s="89"/>
      <c r="KI9" s="90">
        <v>6.0</v>
      </c>
      <c r="KJ9" s="91">
        <v>4.5</v>
      </c>
      <c r="KK9" s="90">
        <v>5.0</v>
      </c>
      <c r="KL9" s="90">
        <v>8.0</v>
      </c>
      <c r="KM9" s="90">
        <v>8.5</v>
      </c>
      <c r="KN9" s="90">
        <v>8.0</v>
      </c>
      <c r="KO9" s="90" t="s">
        <v>39</v>
      </c>
      <c r="KP9" s="90">
        <v>1.0</v>
      </c>
      <c r="KQ9" s="90">
        <v>8.75</v>
      </c>
      <c r="KR9" s="90">
        <v>14.0</v>
      </c>
      <c r="KS9" s="90">
        <v>9.0</v>
      </c>
      <c r="KT9" s="90">
        <v>13.25</v>
      </c>
      <c r="KU9" s="90">
        <v>4.0</v>
      </c>
      <c r="KV9" s="90">
        <v>12.0</v>
      </c>
      <c r="KW9" s="90">
        <v>5.0</v>
      </c>
      <c r="KX9" s="90">
        <v>11.0</v>
      </c>
      <c r="KY9" s="90">
        <v>7.0</v>
      </c>
      <c r="KZ9" s="90">
        <v>6.0</v>
      </c>
      <c r="LA9" s="90">
        <v>5.0</v>
      </c>
      <c r="LB9" s="90" t="s">
        <v>39</v>
      </c>
      <c r="LC9" s="90">
        <v>1.5</v>
      </c>
      <c r="LD9" s="90">
        <v>0.0</v>
      </c>
      <c r="LE9" s="90">
        <v>0.0</v>
      </c>
      <c r="LF9" s="90">
        <v>0.0</v>
      </c>
      <c r="LG9" s="90">
        <v>0.0</v>
      </c>
      <c r="LH9" s="90">
        <v>5.0</v>
      </c>
      <c r="LI9" s="90">
        <v>8.0</v>
      </c>
      <c r="LJ9" s="90">
        <v>4.5</v>
      </c>
      <c r="LK9" s="90">
        <v>8.0</v>
      </c>
      <c r="LL9" s="90" t="s">
        <v>39</v>
      </c>
      <c r="LM9" s="90"/>
      <c r="LN9" s="89"/>
      <c r="LO9" s="90"/>
      <c r="LP9" s="133"/>
      <c r="LQ9" s="90"/>
      <c r="LR9" s="90"/>
      <c r="LS9" s="90"/>
      <c r="LT9" s="90"/>
      <c r="LU9" s="90"/>
      <c r="LV9" s="90"/>
      <c r="LW9" s="90"/>
      <c r="LX9" s="90"/>
      <c r="LY9" s="90"/>
      <c r="LZ9" s="90"/>
      <c r="MA9" s="90"/>
      <c r="MB9" s="90"/>
      <c r="MC9" s="90"/>
      <c r="MD9" s="90"/>
      <c r="ME9" s="90"/>
      <c r="MF9" s="90"/>
      <c r="MG9" s="90"/>
      <c r="MH9" s="90"/>
      <c r="MI9" s="90"/>
      <c r="MJ9" s="90"/>
      <c r="MK9" s="90"/>
      <c r="ML9" s="90"/>
      <c r="MM9" s="90"/>
      <c r="MN9" s="90"/>
      <c r="MO9" s="90"/>
      <c r="MP9" s="90"/>
      <c r="MQ9" s="90"/>
      <c r="MR9" s="93"/>
      <c r="MS9" s="93"/>
      <c r="MT9" s="127"/>
      <c r="MU9" s="96"/>
      <c r="MV9" s="96"/>
      <c r="MW9" s="96"/>
      <c r="MX9" s="96"/>
      <c r="MY9" s="96"/>
      <c r="MZ9" s="96"/>
      <c r="NA9" s="96"/>
      <c r="NB9" s="96"/>
      <c r="NC9" s="96"/>
      <c r="ND9" s="96"/>
      <c r="NE9" s="96"/>
      <c r="NF9" s="96"/>
      <c r="NG9" s="96"/>
      <c r="NH9" s="96"/>
      <c r="NI9" s="96"/>
      <c r="NJ9" s="96"/>
      <c r="NK9" s="96"/>
      <c r="NL9" s="96"/>
      <c r="NM9" s="96"/>
      <c r="NN9" s="96"/>
      <c r="NO9" s="96"/>
      <c r="NP9" s="96"/>
      <c r="NQ9" s="96"/>
      <c r="NR9" s="96"/>
      <c r="NS9" s="96"/>
      <c r="NT9" s="96"/>
      <c r="NU9" s="96"/>
      <c r="NV9" s="96"/>
      <c r="NW9" s="96"/>
      <c r="NX9" s="96"/>
      <c r="NY9" s="96"/>
      <c r="NZ9" s="128"/>
      <c r="OA9" s="129"/>
      <c r="OB9" s="129"/>
      <c r="OC9" s="130"/>
      <c r="OD9" s="101"/>
      <c r="OE9" s="101"/>
      <c r="OF9" s="101"/>
      <c r="OG9" s="101"/>
      <c r="OH9" s="101"/>
      <c r="OI9" s="101"/>
      <c r="OJ9" s="101"/>
      <c r="OK9" s="101"/>
      <c r="OL9" s="101"/>
    </row>
    <row r="10" ht="30.0" customHeight="1">
      <c r="A10" s="134"/>
      <c r="B10" s="135" t="s">
        <v>12</v>
      </c>
      <c r="C10" s="74">
        <f t="shared" si="7"/>
        <v>24.5</v>
      </c>
      <c r="D10" s="73">
        <f t="shared" si="8"/>
        <v>10.5</v>
      </c>
      <c r="E10" s="136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>
        <v>11.0</v>
      </c>
      <c r="AD10" s="137">
        <v>11.5</v>
      </c>
      <c r="AE10" s="137">
        <v>16.0</v>
      </c>
      <c r="AF10" s="137"/>
      <c r="AG10" s="137">
        <v>21.0</v>
      </c>
      <c r="AH10" s="137"/>
      <c r="AI10" s="137">
        <v>11.0</v>
      </c>
      <c r="AJ10" s="137">
        <v>12.0</v>
      </c>
      <c r="AK10" s="137">
        <v>10.5</v>
      </c>
      <c r="AL10" s="137">
        <v>9.5</v>
      </c>
      <c r="AM10" s="137">
        <v>9.5</v>
      </c>
      <c r="AN10" s="137">
        <v>9.5</v>
      </c>
      <c r="AO10" s="137">
        <v>6.5</v>
      </c>
      <c r="AP10" s="137">
        <v>10.0</v>
      </c>
      <c r="AQ10" s="137"/>
      <c r="AR10" s="137">
        <v>14.0</v>
      </c>
      <c r="AS10" s="137">
        <v>10.3</v>
      </c>
      <c r="AT10" s="137">
        <v>2.3</v>
      </c>
      <c r="AU10" s="137">
        <v>13.0</v>
      </c>
      <c r="AV10" s="137">
        <v>11.0</v>
      </c>
      <c r="AW10" s="137">
        <v>10.0</v>
      </c>
      <c r="AX10" s="138"/>
      <c r="AY10" s="137">
        <v>5.0</v>
      </c>
      <c r="AZ10" s="137">
        <v>12.0</v>
      </c>
      <c r="BA10" s="138"/>
      <c r="BB10" s="137">
        <v>9.3</v>
      </c>
      <c r="BC10" s="137">
        <v>14.0</v>
      </c>
      <c r="BD10" s="138"/>
      <c r="BE10" s="137">
        <v>12.3</v>
      </c>
      <c r="BF10" s="137">
        <v>9.0</v>
      </c>
      <c r="BG10" s="138"/>
      <c r="BH10" s="137"/>
      <c r="BI10" s="137">
        <v>14.0</v>
      </c>
      <c r="BJ10" s="137"/>
      <c r="BK10" s="137">
        <v>12.0</v>
      </c>
      <c r="BL10" s="137"/>
      <c r="BM10" s="137"/>
      <c r="BN10" s="137">
        <v>12.0</v>
      </c>
      <c r="BO10" s="137">
        <v>4.0</v>
      </c>
      <c r="BP10" s="137">
        <v>10.0</v>
      </c>
      <c r="BQ10" s="137">
        <v>10.3</v>
      </c>
      <c r="BR10" s="137">
        <v>11.0</v>
      </c>
      <c r="BS10" s="137">
        <v>8.3</v>
      </c>
      <c r="BT10" s="137">
        <v>12.0</v>
      </c>
      <c r="BU10" s="139">
        <v>11.0</v>
      </c>
      <c r="BV10" s="137">
        <v>14.0</v>
      </c>
      <c r="BW10" s="140">
        <v>5.3</v>
      </c>
      <c r="BX10" s="140"/>
      <c r="BY10" s="140">
        <v>11.0</v>
      </c>
      <c r="BZ10" s="141">
        <v>12.0</v>
      </c>
      <c r="CA10" s="141">
        <v>9.0</v>
      </c>
      <c r="CB10" s="141">
        <v>12.3</v>
      </c>
      <c r="CC10" s="141"/>
      <c r="CD10" s="141" t="s">
        <v>43</v>
      </c>
      <c r="CE10" s="141">
        <v>13.0</v>
      </c>
      <c r="CF10" s="141">
        <v>12.0</v>
      </c>
      <c r="CG10" s="141"/>
      <c r="CH10" s="141">
        <v>9.0</v>
      </c>
      <c r="CI10" s="141">
        <v>9.0</v>
      </c>
      <c r="CJ10" s="141"/>
      <c r="CK10" s="141">
        <v>11.0</v>
      </c>
      <c r="CL10" s="141">
        <v>10.0</v>
      </c>
      <c r="CM10" s="141">
        <v>11.3</v>
      </c>
      <c r="CN10" s="141">
        <v>22.0</v>
      </c>
      <c r="CO10" s="141">
        <v>10.3</v>
      </c>
      <c r="CP10" s="141">
        <v>11.0</v>
      </c>
      <c r="CQ10" s="141">
        <v>4.3</v>
      </c>
      <c r="CR10" s="141">
        <v>2.0</v>
      </c>
      <c r="CS10" s="141">
        <v>9.3</v>
      </c>
      <c r="CT10" s="141">
        <v>21.0</v>
      </c>
      <c r="CU10" s="141"/>
      <c r="CV10" s="141"/>
      <c r="CW10" s="141"/>
      <c r="CX10" s="141">
        <v>11.0</v>
      </c>
      <c r="CY10" s="141"/>
      <c r="CZ10" s="139">
        <v>9.0</v>
      </c>
      <c r="DA10" s="141">
        <v>10.0</v>
      </c>
      <c r="DB10" s="141">
        <v>9.0</v>
      </c>
      <c r="DC10" s="141">
        <v>10.0</v>
      </c>
      <c r="DD10" s="141">
        <v>11.0</v>
      </c>
      <c r="DE10" s="141"/>
      <c r="DF10" s="141">
        <v>12.0</v>
      </c>
      <c r="DG10" s="141">
        <v>9.0</v>
      </c>
      <c r="DH10" s="141">
        <v>9.0</v>
      </c>
      <c r="DI10" s="141">
        <v>9.0</v>
      </c>
      <c r="DJ10" s="141">
        <v>11.0</v>
      </c>
      <c r="DK10" s="141">
        <v>4.0</v>
      </c>
      <c r="DL10" s="141">
        <v>12.0</v>
      </c>
      <c r="DM10" s="141"/>
      <c r="DN10" s="142">
        <v>12.0</v>
      </c>
      <c r="DO10" s="142">
        <v>12.0</v>
      </c>
      <c r="DP10" s="142">
        <v>12.0</v>
      </c>
      <c r="DQ10" s="142">
        <v>12.0</v>
      </c>
      <c r="DR10" s="142">
        <v>12.0</v>
      </c>
      <c r="DS10" s="143"/>
      <c r="DT10" s="142">
        <v>13.0</v>
      </c>
      <c r="DU10" s="141">
        <v>7.0</v>
      </c>
      <c r="DV10" s="141">
        <v>8.5</v>
      </c>
      <c r="DW10" s="141">
        <v>8.0</v>
      </c>
      <c r="DX10" s="141">
        <v>7.5</v>
      </c>
      <c r="DY10" s="141"/>
      <c r="DZ10" s="141"/>
      <c r="EA10" s="141">
        <v>8.0</v>
      </c>
      <c r="EB10" s="141">
        <v>8.0</v>
      </c>
      <c r="EC10" s="141">
        <v>9.2</v>
      </c>
      <c r="ED10" s="139">
        <v>9.0</v>
      </c>
      <c r="EE10" s="141">
        <v>9.0</v>
      </c>
      <c r="EF10" s="141">
        <v>8.0</v>
      </c>
      <c r="EG10" s="141"/>
      <c r="EH10" s="141">
        <v>7.0</v>
      </c>
      <c r="EI10" s="141">
        <v>6.0</v>
      </c>
      <c r="EJ10" s="141">
        <v>7.0</v>
      </c>
      <c r="EK10" s="141">
        <v>5.0</v>
      </c>
      <c r="EL10" s="144"/>
      <c r="EM10" s="141">
        <v>8.0</v>
      </c>
      <c r="EN10" s="141">
        <v>7.0</v>
      </c>
      <c r="EO10" s="141">
        <v>9.0</v>
      </c>
      <c r="EP10" s="145">
        <v>8.5</v>
      </c>
      <c r="EQ10" s="145">
        <v>8.5</v>
      </c>
      <c r="ER10" s="141">
        <v>9.0</v>
      </c>
      <c r="ES10" s="141">
        <v>9.25</v>
      </c>
      <c r="ET10" s="141">
        <v>9.0</v>
      </c>
      <c r="EU10" s="141">
        <v>5.0</v>
      </c>
      <c r="EV10" s="141">
        <v>8.5</v>
      </c>
      <c r="EW10" s="141"/>
      <c r="EX10" s="141">
        <v>6.0</v>
      </c>
      <c r="EY10" s="141">
        <v>16.0</v>
      </c>
      <c r="EZ10" s="141"/>
      <c r="FA10" s="141">
        <v>9.0</v>
      </c>
      <c r="FB10" s="141"/>
      <c r="FC10" s="141">
        <v>10.0</v>
      </c>
      <c r="FD10" s="141">
        <v>10.0</v>
      </c>
      <c r="FE10" s="141">
        <v>8.25</v>
      </c>
      <c r="FF10" s="141">
        <v>9.5</v>
      </c>
      <c r="FG10" s="141">
        <v>8.0</v>
      </c>
      <c r="FH10" s="141">
        <v>8.5</v>
      </c>
      <c r="FI10" s="141"/>
      <c r="FJ10" s="141">
        <v>5.3</v>
      </c>
      <c r="FK10" s="141">
        <v>7.0</v>
      </c>
      <c r="FL10" s="141"/>
      <c r="FM10" s="141"/>
      <c r="FN10" s="141">
        <v>10.0</v>
      </c>
      <c r="FO10" s="141">
        <v>5.0</v>
      </c>
      <c r="FP10" s="141">
        <v>7.5</v>
      </c>
      <c r="FQ10" s="141">
        <v>9.0</v>
      </c>
      <c r="FR10" s="141">
        <v>12.0</v>
      </c>
      <c r="FS10" s="141">
        <v>9.0</v>
      </c>
      <c r="FT10" s="141"/>
      <c r="FU10" s="141">
        <v>10.0</v>
      </c>
      <c r="FV10" s="141">
        <v>8.0</v>
      </c>
      <c r="FW10" s="141"/>
      <c r="FX10" s="141">
        <v>10.0</v>
      </c>
      <c r="FY10" s="141">
        <v>11.0</v>
      </c>
      <c r="FZ10" s="141">
        <v>11.0</v>
      </c>
      <c r="GA10" s="141">
        <v>21.0</v>
      </c>
      <c r="GB10" s="141">
        <v>6.0</v>
      </c>
      <c r="GC10" s="141">
        <v>10.0</v>
      </c>
      <c r="GD10" s="141">
        <v>9.0</v>
      </c>
      <c r="GE10" s="141"/>
      <c r="GF10" s="141"/>
      <c r="GG10" s="141">
        <v>16.0</v>
      </c>
      <c r="GH10" s="141">
        <v>6.0</v>
      </c>
      <c r="GI10" s="141">
        <v>8.5</v>
      </c>
      <c r="GJ10" s="141">
        <v>5.5</v>
      </c>
      <c r="GK10" s="141">
        <v>5.5</v>
      </c>
      <c r="GL10" s="141">
        <v>9.0</v>
      </c>
      <c r="GM10" s="141">
        <v>7.5</v>
      </c>
      <c r="GN10" s="141">
        <v>15.0</v>
      </c>
      <c r="GO10" s="141">
        <v>6.0</v>
      </c>
      <c r="GP10" s="141">
        <v>8.5</v>
      </c>
      <c r="GQ10" s="141">
        <v>7.0</v>
      </c>
      <c r="GR10" s="141">
        <v>7.0</v>
      </c>
      <c r="GS10" s="146">
        <v>4.0</v>
      </c>
      <c r="GT10" s="141">
        <v>3.5</v>
      </c>
      <c r="GU10" s="141">
        <v>6.5</v>
      </c>
      <c r="GV10" s="141">
        <v>5.0</v>
      </c>
      <c r="GW10" s="141">
        <v>8.0</v>
      </c>
      <c r="GX10" s="141">
        <v>8.5</v>
      </c>
      <c r="GY10" s="141" t="s">
        <v>39</v>
      </c>
      <c r="GZ10" s="141">
        <v>11.0</v>
      </c>
      <c r="HA10" s="141">
        <v>6.0</v>
      </c>
      <c r="HB10" s="141">
        <v>7.5</v>
      </c>
      <c r="HC10" s="141">
        <v>5.5</v>
      </c>
      <c r="HD10" s="141">
        <v>7.0</v>
      </c>
      <c r="HE10" s="141">
        <v>6.5</v>
      </c>
      <c r="HF10" s="141">
        <v>16.0</v>
      </c>
      <c r="HG10" s="141">
        <v>5.5</v>
      </c>
      <c r="HH10" s="141">
        <v>5.0</v>
      </c>
      <c r="HI10" s="141">
        <v>5.0</v>
      </c>
      <c r="HJ10" s="141">
        <v>7.0</v>
      </c>
      <c r="HK10" s="141">
        <v>3.5</v>
      </c>
      <c r="HL10" s="141">
        <v>5.0</v>
      </c>
      <c r="HM10" s="141" t="s">
        <v>39</v>
      </c>
      <c r="HN10" s="141">
        <v>3.5</v>
      </c>
      <c r="HO10" s="141">
        <v>13.5</v>
      </c>
      <c r="HP10" s="141">
        <v>3.5</v>
      </c>
      <c r="HQ10" s="141">
        <v>6.0</v>
      </c>
      <c r="HR10" s="141">
        <v>6.0</v>
      </c>
      <c r="HS10" s="141" t="s">
        <v>39</v>
      </c>
      <c r="HT10" s="141">
        <v>7.0</v>
      </c>
      <c r="HU10" s="141">
        <v>5.0</v>
      </c>
      <c r="HV10" s="141">
        <v>13.0</v>
      </c>
      <c r="HW10" s="141" t="s">
        <v>39</v>
      </c>
      <c r="HX10" s="147">
        <v>0.0</v>
      </c>
      <c r="HY10" s="147">
        <v>6.0</v>
      </c>
      <c r="HZ10" s="147">
        <v>10.0</v>
      </c>
      <c r="IA10" s="147">
        <v>8.0</v>
      </c>
      <c r="IB10" s="147">
        <v>13.0</v>
      </c>
      <c r="IC10" s="147">
        <v>13.5</v>
      </c>
      <c r="ID10" s="147">
        <v>9.0</v>
      </c>
      <c r="IE10" s="147">
        <v>9.5</v>
      </c>
      <c r="IF10" s="147">
        <v>6.0</v>
      </c>
      <c r="IG10" s="147">
        <v>0.0</v>
      </c>
      <c r="IH10" s="147">
        <v>0.0</v>
      </c>
      <c r="II10" s="147">
        <v>8.0</v>
      </c>
      <c r="IJ10" s="147"/>
      <c r="IK10" s="147"/>
      <c r="IL10" s="147">
        <v>12.0</v>
      </c>
      <c r="IM10" s="147">
        <v>10.0</v>
      </c>
      <c r="IN10" s="147">
        <v>8.0</v>
      </c>
      <c r="IO10" s="147">
        <v>11.0</v>
      </c>
      <c r="IP10" s="147">
        <v>5.0</v>
      </c>
      <c r="IQ10" s="147">
        <v>12.0</v>
      </c>
      <c r="IR10" s="148">
        <v>10.5</v>
      </c>
      <c r="IS10" s="147">
        <v>4.5</v>
      </c>
      <c r="IT10" s="147">
        <v>12.0</v>
      </c>
      <c r="IU10" s="147">
        <v>8.0</v>
      </c>
      <c r="IV10" s="147">
        <v>5.0</v>
      </c>
      <c r="IW10" s="147">
        <v>13.0</v>
      </c>
      <c r="IX10" s="147">
        <v>9.0</v>
      </c>
      <c r="IY10" s="147"/>
      <c r="IZ10" s="147">
        <v>8.0</v>
      </c>
      <c r="JA10" s="147">
        <v>3.5</v>
      </c>
      <c r="JB10" s="149"/>
      <c r="JC10" s="150">
        <v>6.0</v>
      </c>
      <c r="JD10" s="150">
        <v>10.0</v>
      </c>
      <c r="JE10" s="150"/>
      <c r="JF10" s="150"/>
      <c r="JG10" s="150">
        <v>10.0</v>
      </c>
      <c r="JH10" s="150">
        <v>11.0</v>
      </c>
      <c r="JI10" s="150">
        <v>10.0</v>
      </c>
      <c r="JJ10" s="150"/>
      <c r="JK10" s="150"/>
      <c r="JL10" s="150">
        <v>12.0</v>
      </c>
      <c r="JM10" s="150">
        <v>14.5</v>
      </c>
      <c r="JN10" s="150">
        <v>9.0</v>
      </c>
      <c r="JO10" s="150">
        <v>10.0</v>
      </c>
      <c r="JP10" s="150"/>
      <c r="JQ10" s="150">
        <v>9.5</v>
      </c>
      <c r="JR10" s="150">
        <v>9.5</v>
      </c>
      <c r="JS10" s="150">
        <v>16.0</v>
      </c>
      <c r="JT10" s="150">
        <v>9.0</v>
      </c>
      <c r="JU10" s="150">
        <v>8.25</v>
      </c>
      <c r="JV10" s="150">
        <v>8.75</v>
      </c>
      <c r="JW10" s="150"/>
      <c r="JX10" s="150">
        <v>11.0</v>
      </c>
      <c r="JY10" s="150"/>
      <c r="JZ10" s="150">
        <v>10.5</v>
      </c>
      <c r="KA10" s="150">
        <v>9.0</v>
      </c>
      <c r="KB10" s="150">
        <v>10.0</v>
      </c>
      <c r="KC10" s="150"/>
      <c r="KD10" s="150">
        <v>11.0</v>
      </c>
      <c r="KE10" s="150"/>
      <c r="KF10" s="150"/>
      <c r="KG10" s="151"/>
      <c r="KH10" s="152"/>
      <c r="KI10" s="153">
        <v>8.5</v>
      </c>
      <c r="KJ10" s="91">
        <v>11.5</v>
      </c>
      <c r="KK10" s="153">
        <v>12.0</v>
      </c>
      <c r="KL10" s="153">
        <v>10.0</v>
      </c>
      <c r="KM10" s="153" t="s">
        <v>39</v>
      </c>
      <c r="KN10" s="153">
        <v>16.0</v>
      </c>
      <c r="KO10" s="154" t="s">
        <v>39</v>
      </c>
      <c r="KP10" s="153" t="s">
        <v>39</v>
      </c>
      <c r="KQ10" s="153" t="s">
        <v>39</v>
      </c>
      <c r="KR10" s="153">
        <v>9.5</v>
      </c>
      <c r="KS10" s="153">
        <v>6.0</v>
      </c>
      <c r="KT10" s="153" t="s">
        <v>39</v>
      </c>
      <c r="KU10" s="153" t="s">
        <v>39</v>
      </c>
      <c r="KV10" s="153" t="s">
        <v>39</v>
      </c>
      <c r="KW10" s="153">
        <v>5.25</v>
      </c>
      <c r="KX10" s="153">
        <v>6.5</v>
      </c>
      <c r="KY10" s="153">
        <v>9.5</v>
      </c>
      <c r="KZ10" s="153">
        <v>6.5</v>
      </c>
      <c r="LA10" s="153" t="s">
        <v>39</v>
      </c>
      <c r="LB10" s="153">
        <v>10.0</v>
      </c>
      <c r="LC10" s="153" t="s">
        <v>39</v>
      </c>
      <c r="LD10" s="153">
        <v>7.0</v>
      </c>
      <c r="LE10" s="153" t="s">
        <v>39</v>
      </c>
      <c r="LF10" s="153">
        <v>8.25</v>
      </c>
      <c r="LG10" s="153">
        <v>6.0</v>
      </c>
      <c r="LH10" s="153" t="s">
        <v>39</v>
      </c>
      <c r="LI10" s="153">
        <v>10.0</v>
      </c>
      <c r="LJ10" s="153">
        <v>7.0</v>
      </c>
      <c r="LK10" s="153" t="s">
        <v>39</v>
      </c>
      <c r="LL10" s="153" t="s">
        <v>39</v>
      </c>
      <c r="LM10" s="153">
        <v>3.4</v>
      </c>
      <c r="LN10" s="152"/>
      <c r="LO10" s="153"/>
      <c r="LP10" s="153"/>
      <c r="LQ10" s="153"/>
      <c r="LR10" s="153"/>
      <c r="LS10" s="153"/>
      <c r="LT10" s="153"/>
      <c r="LU10" s="153">
        <v>7.0</v>
      </c>
      <c r="LV10" s="90"/>
      <c r="LW10" s="153">
        <v>8.5</v>
      </c>
      <c r="LX10" s="153">
        <v>9.0</v>
      </c>
      <c r="LY10" s="153"/>
      <c r="LZ10" s="153"/>
      <c r="MA10" s="153"/>
      <c r="MB10" s="153"/>
      <c r="MC10" s="153"/>
      <c r="MD10" s="153"/>
      <c r="ME10" s="153"/>
      <c r="MF10" s="153"/>
      <c r="MG10" s="153"/>
      <c r="MH10" s="153"/>
      <c r="MI10" s="153"/>
      <c r="MJ10" s="153"/>
      <c r="MK10" s="153"/>
      <c r="ML10" s="153"/>
      <c r="MM10" s="153"/>
      <c r="MN10" s="153"/>
      <c r="MO10" s="153"/>
      <c r="MP10" s="153"/>
      <c r="MQ10" s="153"/>
      <c r="MR10" s="93"/>
      <c r="MS10" s="93"/>
      <c r="MT10" s="155"/>
      <c r="MU10" s="156"/>
      <c r="MV10" s="156"/>
      <c r="MW10" s="156"/>
      <c r="MX10" s="156"/>
      <c r="MY10" s="156"/>
      <c r="MZ10" s="156"/>
      <c r="NA10" s="156"/>
      <c r="NB10" s="156"/>
      <c r="NC10" s="156"/>
      <c r="ND10" s="156"/>
      <c r="NE10" s="156">
        <v>10.5</v>
      </c>
      <c r="NF10" s="156"/>
      <c r="NG10" s="156"/>
      <c r="NH10" s="156"/>
      <c r="NI10" s="156"/>
      <c r="NJ10" s="156"/>
      <c r="NK10" s="156"/>
      <c r="NL10" s="156"/>
      <c r="NM10" s="156"/>
      <c r="NN10" s="156"/>
      <c r="NO10" s="156"/>
      <c r="NP10" s="156"/>
      <c r="NQ10" s="156"/>
      <c r="NR10" s="156"/>
      <c r="NS10" s="156"/>
      <c r="NT10" s="156"/>
      <c r="NU10" s="156"/>
      <c r="NV10" s="156"/>
      <c r="NW10" s="156"/>
      <c r="NX10" s="156"/>
      <c r="NY10" s="156"/>
      <c r="NZ10" s="157"/>
      <c r="OA10" s="158"/>
      <c r="OB10" s="158"/>
      <c r="OC10" s="159"/>
      <c r="OD10" s="160"/>
      <c r="OE10" s="160"/>
      <c r="OF10" s="160"/>
      <c r="OG10" s="160"/>
      <c r="OH10" s="160"/>
      <c r="OI10" s="160"/>
      <c r="OJ10" s="160"/>
      <c r="OK10" s="160"/>
      <c r="OL10" s="160"/>
    </row>
    <row r="11" ht="30.0" customHeight="1">
      <c r="A11" s="121"/>
      <c r="B11" s="73" t="s">
        <v>44</v>
      </c>
      <c r="C11" s="74">
        <f t="shared" si="7"/>
        <v>52.75</v>
      </c>
      <c r="D11" s="73">
        <f t="shared" si="8"/>
        <v>0.6</v>
      </c>
      <c r="E11" s="75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7"/>
      <c r="BV11" s="76"/>
      <c r="BW11" s="76"/>
      <c r="BX11" s="76"/>
      <c r="BY11" s="76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9"/>
      <c r="DA11" s="78"/>
      <c r="DB11" s="78"/>
      <c r="DC11" s="78"/>
      <c r="DD11" s="78"/>
      <c r="DE11" s="78"/>
      <c r="DF11" s="78"/>
      <c r="DG11" s="78"/>
      <c r="DH11" s="80">
        <v>6.0</v>
      </c>
      <c r="DI11" s="80">
        <v>6.0</v>
      </c>
      <c r="DJ11" s="80">
        <v>6.0</v>
      </c>
      <c r="DK11" s="80">
        <v>6.0</v>
      </c>
      <c r="DL11" s="80">
        <v>7.0</v>
      </c>
      <c r="DM11" s="80">
        <v>8.0</v>
      </c>
      <c r="DN11" s="107">
        <v>10.0</v>
      </c>
      <c r="DO11" s="107">
        <v>10.0</v>
      </c>
      <c r="DP11" s="107">
        <v>10.0</v>
      </c>
      <c r="DQ11" s="107">
        <v>10.0</v>
      </c>
      <c r="DR11" s="107">
        <v>10.0</v>
      </c>
      <c r="DS11" s="107">
        <v>9.0</v>
      </c>
      <c r="DT11" s="107">
        <v>9.0</v>
      </c>
      <c r="DU11" s="80">
        <v>9.0</v>
      </c>
      <c r="DV11" s="80">
        <v>9.0</v>
      </c>
      <c r="DW11" s="80">
        <v>9.0</v>
      </c>
      <c r="DX11" s="80">
        <v>9.0</v>
      </c>
      <c r="DY11" s="80">
        <v>9.0</v>
      </c>
      <c r="DZ11" s="80"/>
      <c r="EA11" s="107">
        <v>12.0</v>
      </c>
      <c r="EB11" s="107">
        <v>12.0</v>
      </c>
      <c r="EC11" s="107">
        <v>12.0</v>
      </c>
      <c r="ED11" s="161">
        <v>14.0</v>
      </c>
      <c r="EE11" s="80">
        <v>8.0</v>
      </c>
      <c r="EF11" s="80">
        <v>9.0</v>
      </c>
      <c r="EG11" s="80">
        <v>14.0</v>
      </c>
      <c r="EH11" s="80">
        <v>13.0</v>
      </c>
      <c r="EI11" s="80">
        <v>11.0</v>
      </c>
      <c r="EJ11" s="80">
        <v>12.0</v>
      </c>
      <c r="EK11" s="80">
        <v>4.0</v>
      </c>
      <c r="EL11" s="80">
        <v>9.6</v>
      </c>
      <c r="EM11" s="80">
        <v>14.0</v>
      </c>
      <c r="EN11" s="80">
        <v>15.0</v>
      </c>
      <c r="EO11" s="80">
        <v>13.0</v>
      </c>
      <c r="EP11" s="80">
        <v>10.0</v>
      </c>
      <c r="EQ11" s="80">
        <v>11.2</v>
      </c>
      <c r="ER11" s="80">
        <v>13.0</v>
      </c>
      <c r="ES11" s="80">
        <v>11.5</v>
      </c>
      <c r="ET11" s="80">
        <v>13.5</v>
      </c>
      <c r="EU11" s="80">
        <v>4.5</v>
      </c>
      <c r="EV11" s="80">
        <v>9.0</v>
      </c>
      <c r="EW11" s="80">
        <v>10.25</v>
      </c>
      <c r="EX11" s="80">
        <v>11.0</v>
      </c>
      <c r="EY11" s="80">
        <v>9.75</v>
      </c>
      <c r="EZ11" s="80">
        <v>14.25</v>
      </c>
      <c r="FA11" s="80">
        <v>13.0</v>
      </c>
      <c r="FB11" s="80"/>
      <c r="FC11" s="80">
        <v>13.0</v>
      </c>
      <c r="FD11" s="80">
        <v>12.0</v>
      </c>
      <c r="FE11" s="80">
        <v>12.0</v>
      </c>
      <c r="FF11" s="80">
        <v>11.7</v>
      </c>
      <c r="FG11" s="80">
        <v>15.1</v>
      </c>
      <c r="FH11" s="80">
        <v>13.0</v>
      </c>
      <c r="FI11" s="80">
        <v>8.0</v>
      </c>
      <c r="FJ11" s="80">
        <v>10.0</v>
      </c>
      <c r="FK11" s="80">
        <v>13.0</v>
      </c>
      <c r="FL11" s="80">
        <v>10.2</v>
      </c>
      <c r="FM11" s="80">
        <v>11.0</v>
      </c>
      <c r="FN11" s="80">
        <v>11.0</v>
      </c>
      <c r="FO11" s="80">
        <v>10.0</v>
      </c>
      <c r="FP11" s="80">
        <v>11.0</v>
      </c>
      <c r="FQ11" s="80">
        <v>12.0</v>
      </c>
      <c r="FR11" s="80">
        <v>10.0</v>
      </c>
      <c r="FS11" s="80">
        <v>11.5</v>
      </c>
      <c r="FT11" s="80">
        <v>12.0</v>
      </c>
      <c r="FU11" s="80">
        <v>10.5</v>
      </c>
      <c r="FV11" s="80">
        <v>13.5</v>
      </c>
      <c r="FW11" s="80">
        <v>7.0</v>
      </c>
      <c r="FX11" s="80">
        <v>12.0</v>
      </c>
      <c r="FY11" s="80">
        <v>12.0</v>
      </c>
      <c r="FZ11" s="80">
        <v>13.5</v>
      </c>
      <c r="GA11" s="80">
        <v>11.0</v>
      </c>
      <c r="GB11" s="80">
        <v>10.0</v>
      </c>
      <c r="GC11" s="80">
        <v>8.5</v>
      </c>
      <c r="GD11" s="80">
        <v>6.5</v>
      </c>
      <c r="GE11" s="80">
        <v>12.0</v>
      </c>
      <c r="GF11" s="80">
        <v>11.0</v>
      </c>
      <c r="GG11" s="80">
        <v>10.0</v>
      </c>
      <c r="GH11" s="80">
        <v>10.0</v>
      </c>
      <c r="GI11" s="80"/>
      <c r="GJ11" s="80"/>
      <c r="GK11" s="80">
        <v>9.0</v>
      </c>
      <c r="GL11" s="80">
        <v>9.5</v>
      </c>
      <c r="GM11" s="80">
        <v>6.0</v>
      </c>
      <c r="GN11" s="80">
        <v>10.5</v>
      </c>
      <c r="GO11" s="80">
        <v>13.5</v>
      </c>
      <c r="GP11" s="80">
        <v>13.0</v>
      </c>
      <c r="GQ11" s="80">
        <v>12.0</v>
      </c>
      <c r="GR11" s="80">
        <v>12.0</v>
      </c>
      <c r="GS11" s="108">
        <v>9.5</v>
      </c>
      <c r="GT11" s="80">
        <v>9.0</v>
      </c>
      <c r="GU11" s="80">
        <v>16.0</v>
      </c>
      <c r="GV11" s="80">
        <v>9.5</v>
      </c>
      <c r="GW11" s="80">
        <v>9.5</v>
      </c>
      <c r="GX11" s="80">
        <v>6.5</v>
      </c>
      <c r="GY11" s="80">
        <v>6.5</v>
      </c>
      <c r="GZ11" s="80">
        <v>9.0</v>
      </c>
      <c r="HA11" s="80">
        <v>10.0</v>
      </c>
      <c r="HB11" s="80">
        <v>11.5</v>
      </c>
      <c r="HC11" s="80">
        <v>8.5</v>
      </c>
      <c r="HD11" s="80">
        <v>6.0</v>
      </c>
      <c r="HE11" s="80">
        <v>12.0</v>
      </c>
      <c r="HF11" s="80">
        <v>10.0</v>
      </c>
      <c r="HG11" s="80">
        <v>7.0</v>
      </c>
      <c r="HH11" s="80">
        <v>8.0</v>
      </c>
      <c r="HI11" s="80">
        <v>5.0</v>
      </c>
      <c r="HJ11" s="80">
        <v>4.5</v>
      </c>
      <c r="HK11" s="80">
        <v>10.0</v>
      </c>
      <c r="HL11" s="80">
        <v>16.5</v>
      </c>
      <c r="HM11" s="80">
        <v>6.5</v>
      </c>
      <c r="HN11" s="80">
        <v>10.0</v>
      </c>
      <c r="HO11" s="80">
        <v>8.5</v>
      </c>
      <c r="HP11" s="80">
        <v>7.0</v>
      </c>
      <c r="HQ11" s="80">
        <v>5.0</v>
      </c>
      <c r="HR11" s="80">
        <v>11.0</v>
      </c>
      <c r="HS11" s="80">
        <v>6.5</v>
      </c>
      <c r="HT11" s="80">
        <v>9.5</v>
      </c>
      <c r="HU11" s="80">
        <v>9.5</v>
      </c>
      <c r="HV11" s="80">
        <v>9.0</v>
      </c>
      <c r="HW11" s="80">
        <v>4.0</v>
      </c>
      <c r="HX11" s="81">
        <v>8.5</v>
      </c>
      <c r="HY11" s="81">
        <v>8.0</v>
      </c>
      <c r="HZ11" s="81">
        <v>10.5</v>
      </c>
      <c r="IA11" s="81">
        <v>8.5</v>
      </c>
      <c r="IB11" s="81">
        <v>11.0</v>
      </c>
      <c r="IC11" s="81">
        <v>9.5</v>
      </c>
      <c r="ID11" s="81">
        <v>11.5</v>
      </c>
      <c r="IE11" s="81">
        <v>3.0</v>
      </c>
      <c r="IF11" s="81">
        <v>15.5</v>
      </c>
      <c r="IG11" s="81">
        <v>16.0</v>
      </c>
      <c r="IH11" s="81">
        <v>9.0</v>
      </c>
      <c r="II11" s="81">
        <v>9.5</v>
      </c>
      <c r="IJ11" s="81">
        <v>9.5</v>
      </c>
      <c r="IK11" s="81">
        <v>12.0</v>
      </c>
      <c r="IL11" s="81">
        <v>14.0</v>
      </c>
      <c r="IM11" s="81">
        <v>13.5</v>
      </c>
      <c r="IN11" s="81">
        <v>14.0</v>
      </c>
      <c r="IO11" s="81">
        <v>5.0</v>
      </c>
      <c r="IP11" s="81">
        <v>8.0</v>
      </c>
      <c r="IQ11" s="81">
        <v>9.5</v>
      </c>
      <c r="IR11" s="81">
        <v>14.0</v>
      </c>
      <c r="IS11" s="81">
        <v>12.5</v>
      </c>
      <c r="IT11" s="81">
        <v>6.5</v>
      </c>
      <c r="IU11" s="81">
        <v>11.0</v>
      </c>
      <c r="IV11" s="81">
        <v>0.0</v>
      </c>
      <c r="IW11" s="81">
        <v>10.0</v>
      </c>
      <c r="IX11" s="81">
        <v>8.0</v>
      </c>
      <c r="IY11" s="81">
        <v>8.5</v>
      </c>
      <c r="IZ11" s="81">
        <v>11.0</v>
      </c>
      <c r="JA11" s="81">
        <v>13.0</v>
      </c>
      <c r="JB11" s="84"/>
      <c r="JC11" s="85">
        <v>11.0</v>
      </c>
      <c r="JD11" s="85"/>
      <c r="JE11" s="85">
        <v>8.0</v>
      </c>
      <c r="JF11" s="85">
        <v>11.5</v>
      </c>
      <c r="JG11" s="85">
        <v>6.5</v>
      </c>
      <c r="JH11" s="85">
        <v>9.0</v>
      </c>
      <c r="JI11" s="85">
        <v>6.5</v>
      </c>
      <c r="JJ11" s="85">
        <v>8.5</v>
      </c>
      <c r="JK11" s="85">
        <v>5.0</v>
      </c>
      <c r="JL11" s="85">
        <v>6.0</v>
      </c>
      <c r="JM11" s="85">
        <v>9.0</v>
      </c>
      <c r="JN11" s="85">
        <v>11.5</v>
      </c>
      <c r="JO11" s="85">
        <v>8.5</v>
      </c>
      <c r="JP11" s="85">
        <v>11.0</v>
      </c>
      <c r="JQ11" s="85">
        <v>7.0</v>
      </c>
      <c r="JR11" s="85">
        <v>7.0</v>
      </c>
      <c r="JS11" s="85">
        <v>7.0</v>
      </c>
      <c r="JT11" s="85">
        <v>9.25</v>
      </c>
      <c r="JU11" s="85">
        <v>7.0</v>
      </c>
      <c r="JV11" s="85">
        <v>7.0</v>
      </c>
      <c r="JW11" s="85">
        <v>7.0</v>
      </c>
      <c r="JX11" s="85"/>
      <c r="JY11" s="85"/>
      <c r="JZ11" s="85"/>
      <c r="KA11" s="85"/>
      <c r="KB11" s="85"/>
      <c r="KC11" s="85"/>
      <c r="KD11" s="85"/>
      <c r="KE11" s="85">
        <v>9.0</v>
      </c>
      <c r="KF11" s="85">
        <v>5.0</v>
      </c>
      <c r="KG11" s="88"/>
      <c r="KH11" s="89"/>
      <c r="KI11" s="90">
        <v>5.0</v>
      </c>
      <c r="KJ11" s="91">
        <v>5.0</v>
      </c>
      <c r="KK11" s="90">
        <v>7.0</v>
      </c>
      <c r="KL11" s="90">
        <v>8.0</v>
      </c>
      <c r="KM11" s="90">
        <v>10.0</v>
      </c>
      <c r="KN11" s="162">
        <v>9.0</v>
      </c>
      <c r="KO11" s="90">
        <v>10.0</v>
      </c>
      <c r="KP11" s="163">
        <v>7.0</v>
      </c>
      <c r="KQ11" s="90">
        <v>8.0</v>
      </c>
      <c r="KR11" s="90">
        <v>5.5</v>
      </c>
      <c r="KS11" s="90">
        <v>12.0</v>
      </c>
      <c r="KT11" s="90">
        <v>3.0</v>
      </c>
      <c r="KU11" s="90">
        <v>3.0</v>
      </c>
      <c r="KV11" s="90">
        <v>8.5</v>
      </c>
      <c r="KW11" s="90">
        <v>4.0</v>
      </c>
      <c r="KX11" s="90">
        <v>8.0</v>
      </c>
      <c r="KY11" s="90">
        <v>10.0</v>
      </c>
      <c r="KZ11" s="90">
        <v>5.0</v>
      </c>
      <c r="LA11" s="90">
        <v>9.0</v>
      </c>
      <c r="LB11" s="90">
        <v>16.5</v>
      </c>
      <c r="LC11" s="90">
        <v>8.0</v>
      </c>
      <c r="LD11" s="90">
        <v>6.0</v>
      </c>
      <c r="LE11" s="90">
        <v>9.0</v>
      </c>
      <c r="LF11" s="90">
        <v>6.0</v>
      </c>
      <c r="LG11" s="90">
        <v>15.0</v>
      </c>
      <c r="LH11" s="90">
        <v>8.0</v>
      </c>
      <c r="LI11" s="90">
        <v>7.0</v>
      </c>
      <c r="LJ11" s="90">
        <v>11.0</v>
      </c>
      <c r="LK11" s="90">
        <v>7.0</v>
      </c>
      <c r="LL11" s="90">
        <v>6.25</v>
      </c>
      <c r="LM11" s="90">
        <v>10.0</v>
      </c>
      <c r="LN11" s="89"/>
      <c r="LO11" s="90">
        <v>7.0</v>
      </c>
      <c r="LP11" s="90">
        <v>6.75</v>
      </c>
      <c r="LQ11" s="90"/>
      <c r="LR11" s="90"/>
      <c r="LS11" s="90"/>
      <c r="LT11" s="90"/>
      <c r="LU11" s="90">
        <v>9.0</v>
      </c>
      <c r="LV11" s="90">
        <v>9.0</v>
      </c>
      <c r="LW11" s="90">
        <v>7.5</v>
      </c>
      <c r="LX11" s="90">
        <v>9.0</v>
      </c>
      <c r="LY11" s="90"/>
      <c r="LZ11" s="90">
        <v>4.5</v>
      </c>
      <c r="MA11" s="90"/>
      <c r="MB11" s="90"/>
      <c r="MC11" s="90"/>
      <c r="MD11" s="90"/>
      <c r="ME11" s="90"/>
      <c r="MF11" s="90"/>
      <c r="MG11" s="90"/>
      <c r="MH11" s="90"/>
      <c r="MI11" s="90"/>
      <c r="MJ11" s="90"/>
      <c r="MK11" s="90"/>
      <c r="ML11" s="90"/>
      <c r="MM11" s="90"/>
      <c r="MN11" s="90"/>
      <c r="MO11" s="90"/>
      <c r="MP11" s="90"/>
      <c r="MQ11" s="90"/>
      <c r="MR11" s="93"/>
      <c r="MS11" s="93"/>
      <c r="MT11" s="127"/>
      <c r="MU11" s="96"/>
      <c r="MV11" s="96"/>
      <c r="MW11" s="96"/>
      <c r="MX11" s="96"/>
      <c r="MY11" s="96"/>
      <c r="MZ11" s="96"/>
      <c r="NA11" s="96"/>
      <c r="NB11" s="96"/>
      <c r="NC11" s="96"/>
      <c r="ND11" s="96"/>
      <c r="NE11" s="96"/>
      <c r="NF11" s="96">
        <v>0.6</v>
      </c>
      <c r="NG11" s="96"/>
      <c r="NH11" s="96"/>
      <c r="NI11" s="96"/>
      <c r="NJ11" s="96"/>
      <c r="NK11" s="96"/>
      <c r="NL11" s="96"/>
      <c r="NM11" s="96"/>
      <c r="NN11" s="96"/>
      <c r="NO11" s="96"/>
      <c r="NP11" s="96"/>
      <c r="NQ11" s="96"/>
      <c r="NR11" s="96"/>
      <c r="NS11" s="96"/>
      <c r="NT11" s="96"/>
      <c r="NU11" s="96"/>
      <c r="NV11" s="96"/>
      <c r="NW11" s="96"/>
      <c r="NX11" s="96"/>
      <c r="NY11" s="96"/>
      <c r="NZ11" s="128"/>
      <c r="OA11" s="129"/>
      <c r="OB11" s="129"/>
      <c r="OC11" s="130"/>
      <c r="OD11" s="101"/>
      <c r="OE11" s="101"/>
      <c r="OF11" s="101"/>
      <c r="OG11" s="101"/>
      <c r="OH11" s="101"/>
      <c r="OI11" s="101"/>
      <c r="OJ11" s="101"/>
      <c r="OK11" s="101"/>
      <c r="OL11" s="101"/>
    </row>
    <row r="12" ht="30.0" customHeight="1">
      <c r="A12" s="131"/>
      <c r="B12" s="132" t="s">
        <v>14</v>
      </c>
      <c r="C12" s="74">
        <f t="shared" si="7"/>
        <v>44</v>
      </c>
      <c r="D12" s="73">
        <f t="shared" si="8"/>
        <v>6.1</v>
      </c>
      <c r="E12" s="12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>
        <v>13.0</v>
      </c>
      <c r="AB12" s="105">
        <v>10.0</v>
      </c>
      <c r="AC12" s="105">
        <v>10.0</v>
      </c>
      <c r="AD12" s="105">
        <v>11.5</v>
      </c>
      <c r="AE12" s="105">
        <v>12.0</v>
      </c>
      <c r="AF12" s="105">
        <v>11.0</v>
      </c>
      <c r="AG12" s="105">
        <v>11.0</v>
      </c>
      <c r="AH12" s="105">
        <v>19.0</v>
      </c>
      <c r="AI12" s="105">
        <v>9.5</v>
      </c>
      <c r="AJ12" s="105">
        <v>10.5</v>
      </c>
      <c r="AK12" s="105">
        <v>9.5</v>
      </c>
      <c r="AL12" s="105">
        <v>16.0</v>
      </c>
      <c r="AM12" s="105">
        <v>10.5</v>
      </c>
      <c r="AN12" s="105">
        <v>10.0</v>
      </c>
      <c r="AO12" s="105"/>
      <c r="AP12" s="105"/>
      <c r="AQ12" s="105">
        <v>12.5</v>
      </c>
      <c r="AR12" s="105">
        <v>13.3</v>
      </c>
      <c r="AS12" s="105">
        <v>12.3</v>
      </c>
      <c r="AT12" s="105">
        <v>15.0</v>
      </c>
      <c r="AU12" s="105">
        <v>8.3</v>
      </c>
      <c r="AV12" s="105">
        <v>11.3</v>
      </c>
      <c r="AW12" s="105">
        <v>14.3</v>
      </c>
      <c r="AX12" s="105">
        <v>10.3</v>
      </c>
      <c r="AY12" s="105">
        <v>5.0</v>
      </c>
      <c r="AZ12" s="105">
        <v>14.0</v>
      </c>
      <c r="BA12" s="123"/>
      <c r="BB12" s="105">
        <v>11.3</v>
      </c>
      <c r="BC12" s="105">
        <v>11.3</v>
      </c>
      <c r="BD12" s="105">
        <v>10.0</v>
      </c>
      <c r="BE12" s="105">
        <v>11.0</v>
      </c>
      <c r="BF12" s="105">
        <v>9.0</v>
      </c>
      <c r="BG12" s="105">
        <v>12.0</v>
      </c>
      <c r="BH12" s="105"/>
      <c r="BI12" s="105">
        <v>14.0</v>
      </c>
      <c r="BJ12" s="105"/>
      <c r="BK12" s="105">
        <v>10.3</v>
      </c>
      <c r="BL12" s="105">
        <v>11.3</v>
      </c>
      <c r="BM12" s="105">
        <v>9.3</v>
      </c>
      <c r="BN12" s="105">
        <v>15.3</v>
      </c>
      <c r="BO12" s="105">
        <v>2.0</v>
      </c>
      <c r="BP12" s="105">
        <v>10.3</v>
      </c>
      <c r="BQ12" s="105">
        <v>10.3</v>
      </c>
      <c r="BR12" s="105">
        <v>10.0</v>
      </c>
      <c r="BS12" s="105">
        <v>12.3</v>
      </c>
      <c r="BT12" s="105">
        <v>10.0</v>
      </c>
      <c r="BU12" s="77">
        <v>12.3</v>
      </c>
      <c r="BV12" s="105">
        <v>12.0</v>
      </c>
      <c r="BW12" s="76"/>
      <c r="BX12" s="76">
        <v>10.0</v>
      </c>
      <c r="BY12" s="76">
        <v>11.3</v>
      </c>
      <c r="BZ12" s="80">
        <v>10.3</v>
      </c>
      <c r="CA12" s="80">
        <v>11.3</v>
      </c>
      <c r="CB12" s="80">
        <v>12.0</v>
      </c>
      <c r="CC12" s="80">
        <v>4.0</v>
      </c>
      <c r="CD12" s="80">
        <v>13.0</v>
      </c>
      <c r="CE12" s="80">
        <v>11.0</v>
      </c>
      <c r="CF12" s="80">
        <v>11.0</v>
      </c>
      <c r="CG12" s="80">
        <v>14.0</v>
      </c>
      <c r="CH12" s="80">
        <v>7.0</v>
      </c>
      <c r="CI12" s="80">
        <v>11.0</v>
      </c>
      <c r="CJ12" s="80"/>
      <c r="CK12" s="80">
        <v>11.0</v>
      </c>
      <c r="CL12" s="80">
        <v>10.0</v>
      </c>
      <c r="CM12" s="80">
        <v>10.0</v>
      </c>
      <c r="CN12" s="80">
        <v>11.0</v>
      </c>
      <c r="CO12" s="80">
        <v>11.0</v>
      </c>
      <c r="CP12" s="80">
        <v>11.0</v>
      </c>
      <c r="CQ12" s="80">
        <v>4.3</v>
      </c>
      <c r="CR12" s="80">
        <v>10.0</v>
      </c>
      <c r="CS12" s="80">
        <v>10.3</v>
      </c>
      <c r="CT12" s="80">
        <v>11.0</v>
      </c>
      <c r="CU12" s="80">
        <v>12.0</v>
      </c>
      <c r="CV12" s="80"/>
      <c r="CW12" s="80"/>
      <c r="CX12" s="80">
        <v>11.0</v>
      </c>
      <c r="CY12" s="80">
        <v>9.3</v>
      </c>
      <c r="CZ12" s="77">
        <v>10.0</v>
      </c>
      <c r="DA12" s="80">
        <v>11.3</v>
      </c>
      <c r="DB12" s="80">
        <v>10.0</v>
      </c>
      <c r="DC12" s="80">
        <v>10.3</v>
      </c>
      <c r="DD12" s="80">
        <v>12.0</v>
      </c>
      <c r="DE12" s="80">
        <v>7.3</v>
      </c>
      <c r="DF12" s="80">
        <v>11.0</v>
      </c>
      <c r="DG12" s="80">
        <v>10.3</v>
      </c>
      <c r="DH12" s="80">
        <v>10.0</v>
      </c>
      <c r="DI12" s="80">
        <v>8.3</v>
      </c>
      <c r="DJ12" s="107">
        <v>12.0</v>
      </c>
      <c r="DK12" s="107">
        <v>12.0</v>
      </c>
      <c r="DL12" s="107">
        <v>13.0</v>
      </c>
      <c r="DM12" s="107">
        <v>10.0</v>
      </c>
      <c r="DN12" s="107">
        <v>12.0</v>
      </c>
      <c r="DO12" s="107">
        <v>10.0</v>
      </c>
      <c r="DP12" s="107">
        <v>12.0</v>
      </c>
      <c r="DQ12" s="107">
        <v>13.0</v>
      </c>
      <c r="DR12" s="107">
        <v>12.0</v>
      </c>
      <c r="DS12" s="107">
        <v>15.0</v>
      </c>
      <c r="DT12" s="80">
        <v>8.0</v>
      </c>
      <c r="DU12" s="80">
        <v>12.0</v>
      </c>
      <c r="DV12" s="80"/>
      <c r="DW12" s="80">
        <v>11.0</v>
      </c>
      <c r="DX12" s="80">
        <v>12.0</v>
      </c>
      <c r="DY12" s="164">
        <v>11.0</v>
      </c>
      <c r="DZ12" s="164"/>
      <c r="EA12" s="107">
        <v>12.0</v>
      </c>
      <c r="EB12" s="107">
        <v>12.0</v>
      </c>
      <c r="EC12" s="107">
        <v>12.0</v>
      </c>
      <c r="ED12" s="161">
        <v>14.0</v>
      </c>
      <c r="EE12" s="80"/>
      <c r="EF12" s="80"/>
      <c r="EG12" s="80">
        <v>9.3</v>
      </c>
      <c r="EH12" s="80">
        <v>9.0</v>
      </c>
      <c r="EI12" s="80">
        <v>8.0</v>
      </c>
      <c r="EJ12" s="80"/>
      <c r="EK12" s="80"/>
      <c r="EL12" s="80">
        <v>6.25</v>
      </c>
      <c r="EM12" s="80">
        <v>8.0</v>
      </c>
      <c r="EN12" s="80">
        <v>10.0</v>
      </c>
      <c r="EO12" s="80">
        <v>12.0</v>
      </c>
      <c r="EP12" s="80">
        <v>9.0</v>
      </c>
      <c r="EQ12" s="80">
        <v>9.5</v>
      </c>
      <c r="ER12" s="80">
        <v>8.0</v>
      </c>
      <c r="ES12" s="80">
        <v>9.0</v>
      </c>
      <c r="ET12" s="80">
        <v>9.25</v>
      </c>
      <c r="EU12" s="80">
        <v>3.0</v>
      </c>
      <c r="EV12" s="80">
        <v>9.1</v>
      </c>
      <c r="EW12" s="80">
        <v>10.0</v>
      </c>
      <c r="EX12" s="80">
        <v>13.0</v>
      </c>
      <c r="EY12" s="80">
        <v>10.0</v>
      </c>
      <c r="EZ12" s="80">
        <v>7.5</v>
      </c>
      <c r="FA12" s="80">
        <v>13.0</v>
      </c>
      <c r="FB12" s="80"/>
      <c r="FC12" s="80">
        <v>10.5</v>
      </c>
      <c r="FD12" s="80">
        <v>12.0</v>
      </c>
      <c r="FE12" s="80">
        <v>8.0</v>
      </c>
      <c r="FF12" s="80">
        <v>10.5</v>
      </c>
      <c r="FG12" s="80">
        <v>9.0</v>
      </c>
      <c r="FH12" s="80">
        <v>10.0</v>
      </c>
      <c r="FI12" s="80">
        <v>10.5</v>
      </c>
      <c r="FJ12" s="80">
        <v>6.0</v>
      </c>
      <c r="FK12" s="80">
        <v>7.0</v>
      </c>
      <c r="FL12" s="80">
        <v>9.0</v>
      </c>
      <c r="FM12" s="80">
        <v>9.0</v>
      </c>
      <c r="FN12" s="80">
        <v>10.3</v>
      </c>
      <c r="FO12" s="80">
        <v>10.0</v>
      </c>
      <c r="FP12" s="80">
        <v>9.0</v>
      </c>
      <c r="FQ12" s="80">
        <v>9.0</v>
      </c>
      <c r="FR12" s="80">
        <v>10.0</v>
      </c>
      <c r="FS12" s="80">
        <v>9.0</v>
      </c>
      <c r="FT12" s="80">
        <v>8.0</v>
      </c>
      <c r="FU12" s="80"/>
      <c r="FV12" s="80">
        <v>10.0</v>
      </c>
      <c r="FW12" s="80">
        <v>11.0</v>
      </c>
      <c r="FX12" s="80">
        <v>12.0</v>
      </c>
      <c r="FY12" s="80">
        <v>8.0</v>
      </c>
      <c r="FZ12" s="80">
        <v>9.0</v>
      </c>
      <c r="GA12" s="80">
        <v>6.0</v>
      </c>
      <c r="GB12" s="80">
        <v>12.0</v>
      </c>
      <c r="GC12" s="80">
        <v>2.0</v>
      </c>
      <c r="GD12" s="80">
        <v>15.0</v>
      </c>
      <c r="GE12" s="80">
        <v>12.0</v>
      </c>
      <c r="GF12" s="80">
        <v>13.0</v>
      </c>
      <c r="GG12" s="80">
        <v>10.0</v>
      </c>
      <c r="GH12" s="80">
        <v>10.0</v>
      </c>
      <c r="GI12" s="80">
        <v>10.0</v>
      </c>
      <c r="GJ12" s="80">
        <v>5.5</v>
      </c>
      <c r="GK12" s="80">
        <v>11.5</v>
      </c>
      <c r="GL12" s="80">
        <v>8.0</v>
      </c>
      <c r="GM12" s="80">
        <v>7.5</v>
      </c>
      <c r="GN12" s="80">
        <v>5.5</v>
      </c>
      <c r="GO12" s="80">
        <v>6.0</v>
      </c>
      <c r="GP12" s="80">
        <v>9.25</v>
      </c>
      <c r="GQ12" s="80">
        <v>8.0</v>
      </c>
      <c r="GR12" s="80">
        <v>16.0</v>
      </c>
      <c r="GS12" s="108">
        <v>13.0</v>
      </c>
      <c r="GT12" s="80">
        <v>9.5</v>
      </c>
      <c r="GU12" s="80">
        <v>4.0</v>
      </c>
      <c r="GV12" s="80">
        <v>4.5</v>
      </c>
      <c r="GW12" s="80">
        <v>7.0</v>
      </c>
      <c r="GX12" s="80">
        <v>11.0</v>
      </c>
      <c r="GY12" s="80">
        <v>11.0</v>
      </c>
      <c r="GZ12" s="80">
        <v>4.5</v>
      </c>
      <c r="HA12" s="80">
        <v>5.5</v>
      </c>
      <c r="HB12" s="80">
        <v>8.0</v>
      </c>
      <c r="HC12" s="80">
        <v>14.0</v>
      </c>
      <c r="HD12" s="80">
        <v>8.0</v>
      </c>
      <c r="HE12" s="80">
        <v>7.0</v>
      </c>
      <c r="HF12" s="80">
        <v>8.0</v>
      </c>
      <c r="HG12" s="80">
        <v>7.0</v>
      </c>
      <c r="HH12" s="80">
        <v>7.5</v>
      </c>
      <c r="HI12" s="80">
        <v>4.5</v>
      </c>
      <c r="HJ12" s="80">
        <v>7.5</v>
      </c>
      <c r="HK12" s="80">
        <v>6.0</v>
      </c>
      <c r="HL12" s="80" t="s">
        <v>45</v>
      </c>
      <c r="HM12" s="80">
        <v>7.0</v>
      </c>
      <c r="HN12" s="80">
        <v>6.5</v>
      </c>
      <c r="HO12" s="80">
        <v>9.0</v>
      </c>
      <c r="HP12" s="80">
        <v>12.0</v>
      </c>
      <c r="HQ12" s="80">
        <v>7.0</v>
      </c>
      <c r="HR12" s="80">
        <v>6.5</v>
      </c>
      <c r="HS12" s="80">
        <v>6.5</v>
      </c>
      <c r="HT12" s="80">
        <v>4.5</v>
      </c>
      <c r="HU12" s="80">
        <v>7.5</v>
      </c>
      <c r="HV12" s="80">
        <v>4.0</v>
      </c>
      <c r="HW12" s="80" t="s">
        <v>39</v>
      </c>
      <c r="HX12" s="81">
        <v>0.0</v>
      </c>
      <c r="HY12" s="81">
        <v>8.0</v>
      </c>
      <c r="HZ12" s="81">
        <v>12.0</v>
      </c>
      <c r="IA12" s="81">
        <v>9.5</v>
      </c>
      <c r="IB12" s="81">
        <v>11.5</v>
      </c>
      <c r="IC12" s="81">
        <v>9.5</v>
      </c>
      <c r="ID12" s="81">
        <v>18.0</v>
      </c>
      <c r="IE12" s="81">
        <v>5.0</v>
      </c>
      <c r="IF12" s="81">
        <v>8.5</v>
      </c>
      <c r="IG12" s="81">
        <v>10.5</v>
      </c>
      <c r="IH12" s="81">
        <v>11.5</v>
      </c>
      <c r="II12" s="81">
        <v>10.0</v>
      </c>
      <c r="IJ12" s="81" t="s">
        <v>39</v>
      </c>
      <c r="IK12" s="81">
        <v>10.5</v>
      </c>
      <c r="IL12" s="81">
        <v>9.0</v>
      </c>
      <c r="IM12" s="81">
        <v>10.0</v>
      </c>
      <c r="IN12" s="81">
        <v>11.5</v>
      </c>
      <c r="IO12" s="81">
        <v>9.5</v>
      </c>
      <c r="IP12" s="81">
        <v>7.5</v>
      </c>
      <c r="IQ12" s="81">
        <v>10.5</v>
      </c>
      <c r="IR12" s="81">
        <v>9.5</v>
      </c>
      <c r="IS12" s="81">
        <v>9.5</v>
      </c>
      <c r="IT12" s="81">
        <v>15.0</v>
      </c>
      <c r="IU12" s="81">
        <v>17.0</v>
      </c>
      <c r="IV12" s="81" t="s">
        <v>39</v>
      </c>
      <c r="IW12" s="81">
        <v>11.0</v>
      </c>
      <c r="IX12" s="81">
        <v>12.0</v>
      </c>
      <c r="IY12" s="81">
        <v>6.5</v>
      </c>
      <c r="IZ12" s="81">
        <v>8.0</v>
      </c>
      <c r="JA12" s="81">
        <v>8.0</v>
      </c>
      <c r="JB12" s="84"/>
      <c r="JC12" s="85">
        <v>6.5</v>
      </c>
      <c r="JD12" s="85"/>
      <c r="JE12" s="85">
        <v>8.5</v>
      </c>
      <c r="JF12" s="85">
        <v>9.0</v>
      </c>
      <c r="JG12" s="85">
        <v>16.0</v>
      </c>
      <c r="JH12" s="85"/>
      <c r="JI12" s="85">
        <v>9.0</v>
      </c>
      <c r="JJ12" s="85">
        <v>12.25</v>
      </c>
      <c r="JK12" s="85"/>
      <c r="JL12" s="85">
        <v>15.5</v>
      </c>
      <c r="JM12" s="85">
        <v>17.5</v>
      </c>
      <c r="JN12" s="85"/>
      <c r="JO12" s="85">
        <v>11.0</v>
      </c>
      <c r="JP12" s="85">
        <v>4.5</v>
      </c>
      <c r="JQ12" s="85">
        <v>8.5</v>
      </c>
      <c r="JR12" s="85">
        <v>6.5</v>
      </c>
      <c r="JS12" s="85">
        <v>15.25</v>
      </c>
      <c r="JT12" s="85">
        <v>9.0</v>
      </c>
      <c r="JU12" s="85">
        <v>6.5</v>
      </c>
      <c r="JV12" s="85">
        <v>11.5</v>
      </c>
      <c r="JW12" s="85">
        <v>17.5</v>
      </c>
      <c r="JX12" s="85">
        <v>3.0</v>
      </c>
      <c r="JY12" s="85"/>
      <c r="JZ12" s="85">
        <v>11.0</v>
      </c>
      <c r="KA12" s="85">
        <v>14.0</v>
      </c>
      <c r="KB12" s="85">
        <v>5.0</v>
      </c>
      <c r="KC12" s="85"/>
      <c r="KD12" s="85">
        <v>17.0</v>
      </c>
      <c r="KE12" s="85"/>
      <c r="KF12" s="85">
        <v>7.0</v>
      </c>
      <c r="KG12" s="88">
        <v>7.0</v>
      </c>
      <c r="KH12" s="89"/>
      <c r="KI12" s="90">
        <v>11.0</v>
      </c>
      <c r="KJ12" s="91">
        <v>11.0</v>
      </c>
      <c r="KK12" s="90">
        <v>11.75</v>
      </c>
      <c r="KL12" s="90">
        <v>17.0</v>
      </c>
      <c r="KM12" s="90">
        <v>11.0</v>
      </c>
      <c r="KN12" s="90">
        <v>16.0</v>
      </c>
      <c r="KO12" s="165" t="s">
        <v>39</v>
      </c>
      <c r="KP12" s="90">
        <v>7.0</v>
      </c>
      <c r="KQ12" s="90">
        <v>14.0</v>
      </c>
      <c r="KR12" s="90">
        <v>4.5</v>
      </c>
      <c r="KS12" s="90">
        <v>6.5</v>
      </c>
      <c r="KT12" s="90" t="s">
        <v>39</v>
      </c>
      <c r="KU12" s="90" t="s">
        <v>39</v>
      </c>
      <c r="KV12" s="90">
        <v>18.5</v>
      </c>
      <c r="KW12" s="90">
        <v>8.75</v>
      </c>
      <c r="KX12" s="90">
        <v>9.5</v>
      </c>
      <c r="KY12" s="90">
        <v>10.25</v>
      </c>
      <c r="KZ12" s="90">
        <v>8.0</v>
      </c>
      <c r="LA12" s="90" t="s">
        <v>39</v>
      </c>
      <c r="LB12" s="90">
        <v>7.5</v>
      </c>
      <c r="LC12" s="90">
        <v>6.5</v>
      </c>
      <c r="LD12" s="90" t="s">
        <v>39</v>
      </c>
      <c r="LE12" s="90">
        <v>6.5</v>
      </c>
      <c r="LF12" s="90" t="s">
        <v>39</v>
      </c>
      <c r="LG12" s="90">
        <v>7.0</v>
      </c>
      <c r="LH12" s="90">
        <v>8.5</v>
      </c>
      <c r="LI12" s="90">
        <v>15.0</v>
      </c>
      <c r="LJ12" s="90">
        <v>5.0</v>
      </c>
      <c r="LK12" s="90">
        <v>5.5</v>
      </c>
      <c r="LL12" s="90" t="s">
        <v>39</v>
      </c>
      <c r="LM12" s="90">
        <v>25.0</v>
      </c>
      <c r="LN12" s="89"/>
      <c r="LO12" s="90"/>
      <c r="LP12" s="90"/>
      <c r="LQ12" s="90"/>
      <c r="LR12" s="90"/>
      <c r="LS12" s="90"/>
      <c r="LT12" s="90"/>
      <c r="LU12" s="90">
        <v>9.0</v>
      </c>
      <c r="LV12" s="90">
        <v>9.0</v>
      </c>
      <c r="LW12" s="90">
        <v>8.0</v>
      </c>
      <c r="LX12" s="90">
        <v>9.0</v>
      </c>
      <c r="LY12" s="90"/>
      <c r="LZ12" s="90">
        <v>9.0</v>
      </c>
      <c r="MA12" s="90"/>
      <c r="MB12" s="90"/>
      <c r="MC12" s="90"/>
      <c r="MD12" s="90"/>
      <c r="ME12" s="90"/>
      <c r="MF12" s="90"/>
      <c r="MG12" s="90"/>
      <c r="MH12" s="90"/>
      <c r="MI12" s="90"/>
      <c r="MJ12" s="90"/>
      <c r="MK12" s="90"/>
      <c r="ML12" s="90"/>
      <c r="MM12" s="90"/>
      <c r="MN12" s="90"/>
      <c r="MO12" s="90"/>
      <c r="MP12" s="90"/>
      <c r="MQ12" s="90"/>
      <c r="MR12" s="93"/>
      <c r="MS12" s="93"/>
      <c r="MT12" s="127"/>
      <c r="MU12" s="96"/>
      <c r="MV12" s="96"/>
      <c r="MW12" s="96"/>
      <c r="MX12" s="96"/>
      <c r="MY12" s="96"/>
      <c r="MZ12" s="96"/>
      <c r="NA12" s="96">
        <v>0.6</v>
      </c>
      <c r="NB12" s="96">
        <v>0.25</v>
      </c>
      <c r="NC12" s="96"/>
      <c r="ND12" s="96"/>
      <c r="NE12" s="96">
        <v>5.25</v>
      </c>
      <c r="NF12" s="96"/>
      <c r="NG12" s="96"/>
      <c r="NH12" s="96"/>
      <c r="NI12" s="96"/>
      <c r="NJ12" s="96"/>
      <c r="NK12" s="96"/>
      <c r="NL12" s="96"/>
      <c r="NM12" s="96"/>
      <c r="NN12" s="96"/>
      <c r="NO12" s="96"/>
      <c r="NP12" s="96"/>
      <c r="NQ12" s="96"/>
      <c r="NR12" s="96"/>
      <c r="NS12" s="96"/>
      <c r="NT12" s="96"/>
      <c r="NU12" s="96"/>
      <c r="NV12" s="96"/>
      <c r="NW12" s="96"/>
      <c r="NX12" s="96"/>
      <c r="NY12" s="96"/>
      <c r="NZ12" s="128"/>
      <c r="OA12" s="129"/>
      <c r="OB12" s="129"/>
      <c r="OC12" s="130"/>
      <c r="OD12" s="101"/>
      <c r="OE12" s="101"/>
      <c r="OF12" s="101"/>
      <c r="OG12" s="101"/>
      <c r="OH12" s="101"/>
      <c r="OI12" s="101"/>
      <c r="OJ12" s="101"/>
      <c r="OK12" s="101"/>
      <c r="OL12" s="101"/>
    </row>
    <row r="13" ht="30.0" customHeight="1">
      <c r="A13" s="121"/>
      <c r="B13" s="73" t="s">
        <v>46</v>
      </c>
      <c r="C13" s="74">
        <f t="shared" si="7"/>
        <v>60.25</v>
      </c>
      <c r="D13" s="73">
        <f t="shared" si="8"/>
        <v>7.5</v>
      </c>
      <c r="E13" s="122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>
        <v>10.0</v>
      </c>
      <c r="AO13" s="105">
        <v>14.0</v>
      </c>
      <c r="AP13" s="105">
        <v>11.0</v>
      </c>
      <c r="AQ13" s="105">
        <v>12.0</v>
      </c>
      <c r="AR13" s="105">
        <v>13.3</v>
      </c>
      <c r="AS13" s="105">
        <v>12.3</v>
      </c>
      <c r="AT13" s="105">
        <v>15.0</v>
      </c>
      <c r="AU13" s="105">
        <v>8.3</v>
      </c>
      <c r="AV13" s="105">
        <v>11.3</v>
      </c>
      <c r="AW13" s="105">
        <v>14.3</v>
      </c>
      <c r="AX13" s="105">
        <v>10.3</v>
      </c>
      <c r="AY13" s="105">
        <v>5.0</v>
      </c>
      <c r="AZ13" s="123"/>
      <c r="BA13" s="123"/>
      <c r="BB13" s="105">
        <v>11.3</v>
      </c>
      <c r="BC13" s="105">
        <v>11.3</v>
      </c>
      <c r="BD13" s="105">
        <v>10.0</v>
      </c>
      <c r="BE13" s="105">
        <v>11.0</v>
      </c>
      <c r="BF13" s="105">
        <v>9.0</v>
      </c>
      <c r="BG13" s="105">
        <v>12.0</v>
      </c>
      <c r="BH13" s="105"/>
      <c r="BI13" s="105">
        <v>14.0</v>
      </c>
      <c r="BJ13" s="105"/>
      <c r="BK13" s="105">
        <v>10.3</v>
      </c>
      <c r="BL13" s="105">
        <v>11.3</v>
      </c>
      <c r="BM13" s="105">
        <v>9.3</v>
      </c>
      <c r="BN13" s="105">
        <v>15.3</v>
      </c>
      <c r="BO13" s="105"/>
      <c r="BP13" s="105">
        <v>10.3</v>
      </c>
      <c r="BQ13" s="105">
        <v>10.3</v>
      </c>
      <c r="BR13" s="105">
        <v>10.0</v>
      </c>
      <c r="BS13" s="105">
        <v>12.3</v>
      </c>
      <c r="BT13" s="105">
        <v>10.0</v>
      </c>
      <c r="BU13" s="77"/>
      <c r="BV13" s="105">
        <v>12.0</v>
      </c>
      <c r="BW13" s="76"/>
      <c r="BX13" s="76">
        <v>10.0</v>
      </c>
      <c r="BY13" s="76">
        <v>11.3</v>
      </c>
      <c r="BZ13" s="80">
        <v>10.3</v>
      </c>
      <c r="CA13" s="80">
        <v>11.3</v>
      </c>
      <c r="CB13" s="80">
        <v>12.0</v>
      </c>
      <c r="CC13" s="80"/>
      <c r="CD13" s="80">
        <v>13.0</v>
      </c>
      <c r="CE13" s="80"/>
      <c r="CF13" s="80"/>
      <c r="CG13" s="80">
        <v>8.0</v>
      </c>
      <c r="CH13" s="80">
        <v>11.0</v>
      </c>
      <c r="CI13" s="80">
        <v>11.0</v>
      </c>
      <c r="CJ13" s="80"/>
      <c r="CK13" s="80">
        <v>11.0</v>
      </c>
      <c r="CL13" s="80">
        <v>10.0</v>
      </c>
      <c r="CM13" s="80">
        <v>11.3</v>
      </c>
      <c r="CN13" s="80">
        <v>22.0</v>
      </c>
      <c r="CO13" s="80">
        <v>10.3</v>
      </c>
      <c r="CP13" s="80">
        <v>0.0</v>
      </c>
      <c r="CQ13" s="80">
        <v>0.0</v>
      </c>
      <c r="CR13" s="80">
        <v>10.0</v>
      </c>
      <c r="CS13" s="80">
        <v>10.3</v>
      </c>
      <c r="CT13" s="80">
        <v>11.0</v>
      </c>
      <c r="CU13" s="80">
        <v>12.0</v>
      </c>
      <c r="CV13" s="80"/>
      <c r="CW13" s="80"/>
      <c r="CX13" s="80">
        <v>11.0</v>
      </c>
      <c r="CY13" s="80">
        <v>6.3</v>
      </c>
      <c r="CZ13" s="77">
        <v>10.3</v>
      </c>
      <c r="DA13" s="80">
        <v>13.0</v>
      </c>
      <c r="DB13" s="80">
        <v>9.0</v>
      </c>
      <c r="DC13" s="80">
        <v>9.5</v>
      </c>
      <c r="DD13" s="80"/>
      <c r="DE13" s="80">
        <v>6.0</v>
      </c>
      <c r="DF13" s="80">
        <v>11.0</v>
      </c>
      <c r="DG13" s="80">
        <v>10.3</v>
      </c>
      <c r="DH13" s="80">
        <v>10.3</v>
      </c>
      <c r="DI13" s="80">
        <v>8.5</v>
      </c>
      <c r="DJ13" s="80">
        <v>11.45</v>
      </c>
      <c r="DK13" s="80">
        <v>11.0</v>
      </c>
      <c r="DL13" s="107">
        <v>9.0</v>
      </c>
      <c r="DM13" s="107">
        <v>9.0</v>
      </c>
      <c r="DN13" s="107">
        <v>12.0</v>
      </c>
      <c r="DO13" s="107">
        <v>12.0</v>
      </c>
      <c r="DP13" s="107">
        <v>12.0</v>
      </c>
      <c r="DQ13" s="107">
        <v>12.0</v>
      </c>
      <c r="DR13" s="107">
        <v>12.0</v>
      </c>
      <c r="DS13" s="80"/>
      <c r="DT13" s="80"/>
      <c r="DU13" s="80"/>
      <c r="DV13" s="80">
        <v>11.0</v>
      </c>
      <c r="DW13" s="80">
        <v>10.0</v>
      </c>
      <c r="DX13" s="80">
        <v>11.0</v>
      </c>
      <c r="DY13" s="80"/>
      <c r="DZ13" s="80"/>
      <c r="EA13" s="80">
        <v>8.0</v>
      </c>
      <c r="EB13" s="80">
        <v>7.0</v>
      </c>
      <c r="EC13" s="80"/>
      <c r="ED13" s="77">
        <v>9.15</v>
      </c>
      <c r="EE13" s="80">
        <v>6.0</v>
      </c>
      <c r="EF13" s="80">
        <v>8.0</v>
      </c>
      <c r="EG13" s="80"/>
      <c r="EH13" s="80">
        <v>8.0</v>
      </c>
      <c r="EI13" s="80">
        <v>9.5</v>
      </c>
      <c r="EJ13" s="80">
        <v>8.0</v>
      </c>
      <c r="EK13" s="80">
        <v>9.0</v>
      </c>
      <c r="EL13" s="80">
        <v>5.0</v>
      </c>
      <c r="EM13" s="80">
        <v>13.25</v>
      </c>
      <c r="EN13" s="80">
        <v>12.0</v>
      </c>
      <c r="EO13" s="80">
        <v>12.0</v>
      </c>
      <c r="EP13" s="80">
        <v>9.0</v>
      </c>
      <c r="EQ13" s="80">
        <v>9.5</v>
      </c>
      <c r="ER13" s="80">
        <v>8.0</v>
      </c>
      <c r="ES13" s="80">
        <v>9.0</v>
      </c>
      <c r="ET13" s="80">
        <v>9.25</v>
      </c>
      <c r="EU13" s="80"/>
      <c r="EV13" s="80">
        <v>9.2</v>
      </c>
      <c r="EW13" s="80">
        <v>10.0</v>
      </c>
      <c r="EX13" s="80">
        <v>12.0</v>
      </c>
      <c r="EY13" s="80"/>
      <c r="EZ13" s="80"/>
      <c r="FA13" s="80">
        <v>12.0</v>
      </c>
      <c r="FB13" s="80"/>
      <c r="FC13" s="80">
        <v>10.5</v>
      </c>
      <c r="FD13" s="80">
        <v>10.0</v>
      </c>
      <c r="FE13" s="80">
        <v>8.25</v>
      </c>
      <c r="FF13" s="80">
        <v>10.5</v>
      </c>
      <c r="FG13" s="80">
        <v>8.0</v>
      </c>
      <c r="FH13" s="80">
        <v>10.0</v>
      </c>
      <c r="FI13" s="80">
        <v>8.0</v>
      </c>
      <c r="FJ13" s="80">
        <v>5.25</v>
      </c>
      <c r="FK13" s="80">
        <v>7.0</v>
      </c>
      <c r="FL13" s="80">
        <v>9.0</v>
      </c>
      <c r="FM13" s="80">
        <v>9.0</v>
      </c>
      <c r="FN13" s="80">
        <v>9.5</v>
      </c>
      <c r="FO13" s="80">
        <v>10.0</v>
      </c>
      <c r="FP13" s="80">
        <v>8.5</v>
      </c>
      <c r="FQ13" s="80"/>
      <c r="FR13" s="80">
        <v>12.0</v>
      </c>
      <c r="FS13" s="80"/>
      <c r="FT13" s="80">
        <v>10.0</v>
      </c>
      <c r="FU13" s="80">
        <v>10.0</v>
      </c>
      <c r="FV13" s="80">
        <v>10.0</v>
      </c>
      <c r="FW13" s="80">
        <v>8.0</v>
      </c>
      <c r="FX13" s="80">
        <v>11.0</v>
      </c>
      <c r="FY13" s="80">
        <v>12.0</v>
      </c>
      <c r="FZ13" s="80">
        <v>11.0</v>
      </c>
      <c r="GA13" s="80">
        <v>11.0</v>
      </c>
      <c r="GB13" s="80">
        <v>13.0</v>
      </c>
      <c r="GC13" s="80">
        <v>15.0</v>
      </c>
      <c r="GD13" s="80">
        <v>8.0</v>
      </c>
      <c r="GE13" s="80">
        <v>14.0</v>
      </c>
      <c r="GF13" s="80">
        <v>12.0</v>
      </c>
      <c r="GG13" s="80">
        <v>12.0</v>
      </c>
      <c r="GH13" s="80">
        <v>9.0</v>
      </c>
      <c r="GI13" s="80">
        <v>10.5</v>
      </c>
      <c r="GJ13" s="80">
        <v>6.5</v>
      </c>
      <c r="GK13" s="80">
        <v>6.0</v>
      </c>
      <c r="GL13" s="80">
        <v>11.5</v>
      </c>
      <c r="GM13" s="80">
        <v>16.0</v>
      </c>
      <c r="GN13" s="166">
        <v>13.0</v>
      </c>
      <c r="GO13" s="80">
        <v>16.0</v>
      </c>
      <c r="GP13" s="80">
        <v>16.0</v>
      </c>
      <c r="GQ13" s="80">
        <v>12.0</v>
      </c>
      <c r="GR13" s="80">
        <v>18.0</v>
      </c>
      <c r="GS13" s="108">
        <v>15.0</v>
      </c>
      <c r="GT13" s="80">
        <v>11.0</v>
      </c>
      <c r="GU13" s="80">
        <v>6.5</v>
      </c>
      <c r="GV13" s="80">
        <v>9.0</v>
      </c>
      <c r="GW13" s="80">
        <v>10.0</v>
      </c>
      <c r="GX13" s="80">
        <v>17.0</v>
      </c>
      <c r="GY13" s="80" t="s">
        <v>45</v>
      </c>
      <c r="GZ13" s="80" t="s">
        <v>45</v>
      </c>
      <c r="HA13" s="80" t="s">
        <v>45</v>
      </c>
      <c r="HB13" s="80">
        <v>5.0</v>
      </c>
      <c r="HC13" s="80" t="s">
        <v>45</v>
      </c>
      <c r="HD13" s="80" t="s">
        <v>45</v>
      </c>
      <c r="HE13" s="80">
        <v>9.0</v>
      </c>
      <c r="HF13" s="80">
        <v>4.5</v>
      </c>
      <c r="HG13" s="80">
        <v>11.0</v>
      </c>
      <c r="HH13" s="80">
        <v>9.0</v>
      </c>
      <c r="HI13" s="80">
        <v>13.0</v>
      </c>
      <c r="HJ13" s="80">
        <v>6.0</v>
      </c>
      <c r="HK13" s="80">
        <v>11.0</v>
      </c>
      <c r="HL13" s="80">
        <v>10.0</v>
      </c>
      <c r="HM13" s="80">
        <v>7.0</v>
      </c>
      <c r="HN13" s="80">
        <v>6.0</v>
      </c>
      <c r="HO13" s="80">
        <v>12.0</v>
      </c>
      <c r="HP13" s="80">
        <v>10.5</v>
      </c>
      <c r="HQ13" s="80">
        <v>10.0</v>
      </c>
      <c r="HR13" s="80">
        <v>10.5</v>
      </c>
      <c r="HS13" s="80">
        <v>6.5</v>
      </c>
      <c r="HT13" s="80">
        <v>6.5</v>
      </c>
      <c r="HU13" s="80" t="s">
        <v>39</v>
      </c>
      <c r="HV13" s="80">
        <v>5.5</v>
      </c>
      <c r="HW13" s="80" t="s">
        <v>39</v>
      </c>
      <c r="HX13" s="81">
        <v>0.0</v>
      </c>
      <c r="HY13" s="81">
        <v>10.0</v>
      </c>
      <c r="HZ13" s="81"/>
      <c r="IA13" s="81">
        <v>8.0</v>
      </c>
      <c r="IB13" s="81">
        <v>11.5</v>
      </c>
      <c r="IC13" s="81">
        <v>9.5</v>
      </c>
      <c r="ID13" s="81">
        <v>8.0</v>
      </c>
      <c r="IE13" s="81">
        <v>14.0</v>
      </c>
      <c r="IF13" s="81">
        <v>13.0</v>
      </c>
      <c r="IG13" s="81">
        <v>11.5</v>
      </c>
      <c r="IH13" s="81">
        <v>11.0</v>
      </c>
      <c r="II13" s="81">
        <v>6.5</v>
      </c>
      <c r="IJ13" s="81">
        <v>0.0</v>
      </c>
      <c r="IK13" s="81">
        <v>13.0</v>
      </c>
      <c r="IL13" s="81">
        <v>11.5</v>
      </c>
      <c r="IM13" s="81">
        <v>12.0</v>
      </c>
      <c r="IN13" s="81">
        <v>14.0</v>
      </c>
      <c r="IO13" s="81">
        <v>9.5</v>
      </c>
      <c r="IP13" s="81">
        <v>0.0</v>
      </c>
      <c r="IQ13" s="81">
        <v>5.5</v>
      </c>
      <c r="IR13" s="81">
        <v>4.5</v>
      </c>
      <c r="IS13" s="81">
        <v>15.5</v>
      </c>
      <c r="IT13" s="81">
        <v>10.0</v>
      </c>
      <c r="IU13" s="81">
        <v>10.0</v>
      </c>
      <c r="IV13" s="81">
        <v>17.5</v>
      </c>
      <c r="IW13" s="81">
        <v>20.5</v>
      </c>
      <c r="IX13" s="81">
        <v>17.5</v>
      </c>
      <c r="IY13" s="81">
        <v>17.5</v>
      </c>
      <c r="IZ13" s="81">
        <v>8.0</v>
      </c>
      <c r="JA13" s="81">
        <v>7.5</v>
      </c>
      <c r="JB13" s="84"/>
      <c r="JC13" s="85">
        <v>10.0</v>
      </c>
      <c r="JD13" s="85"/>
      <c r="JE13" s="85"/>
      <c r="JF13" s="85">
        <v>15.0</v>
      </c>
      <c r="JG13" s="85">
        <v>17.0</v>
      </c>
      <c r="JH13" s="85">
        <v>14.5</v>
      </c>
      <c r="JI13" s="85">
        <v>11.0</v>
      </c>
      <c r="JJ13" s="85">
        <v>8.5</v>
      </c>
      <c r="JK13" s="85">
        <v>9.0</v>
      </c>
      <c r="JL13" s="85">
        <v>16.5</v>
      </c>
      <c r="JM13" s="85">
        <v>16.5</v>
      </c>
      <c r="JN13" s="85">
        <v>11.0</v>
      </c>
      <c r="JO13" s="85">
        <v>10.5</v>
      </c>
      <c r="JP13" s="85">
        <v>11.0</v>
      </c>
      <c r="JQ13" s="85">
        <v>10.5</v>
      </c>
      <c r="JR13" s="85">
        <v>11.0</v>
      </c>
      <c r="JS13" s="85">
        <v>9.75</v>
      </c>
      <c r="JT13" s="85">
        <v>10.25</v>
      </c>
      <c r="JU13" s="85">
        <v>14.0</v>
      </c>
      <c r="JV13" s="85">
        <v>14.5</v>
      </c>
      <c r="JW13" s="85">
        <v>12.75</v>
      </c>
      <c r="JX13" s="85">
        <v>11.0</v>
      </c>
      <c r="JY13" s="85">
        <v>5.5</v>
      </c>
      <c r="JZ13" s="85">
        <v>13.5</v>
      </c>
      <c r="KA13" s="85">
        <v>13.0</v>
      </c>
      <c r="KB13" s="85">
        <v>11.5</v>
      </c>
      <c r="KC13" s="85">
        <v>13.0</v>
      </c>
      <c r="KD13" s="85">
        <v>12.0</v>
      </c>
      <c r="KE13" s="85">
        <v>7.0</v>
      </c>
      <c r="KF13" s="85">
        <v>11.5</v>
      </c>
      <c r="KG13" s="88">
        <v>10.0</v>
      </c>
      <c r="KH13" s="89"/>
      <c r="KI13" s="90">
        <v>13.0</v>
      </c>
      <c r="KJ13" s="91">
        <v>11.0</v>
      </c>
      <c r="KK13" s="90">
        <v>11.0</v>
      </c>
      <c r="KL13" s="90">
        <v>16.5</v>
      </c>
      <c r="KM13" s="90">
        <v>7.0</v>
      </c>
      <c r="KN13" s="90">
        <v>9.0</v>
      </c>
      <c r="KO13" s="90">
        <v>9.0</v>
      </c>
      <c r="KP13" s="90">
        <v>4.75</v>
      </c>
      <c r="KQ13" s="90">
        <v>10.0</v>
      </c>
      <c r="KR13" s="90" t="s">
        <v>39</v>
      </c>
      <c r="KS13" s="90">
        <v>12.0</v>
      </c>
      <c r="KT13" s="90">
        <v>4.0</v>
      </c>
      <c r="KU13" s="90">
        <v>3.75</v>
      </c>
      <c r="KV13" s="90">
        <v>13.5</v>
      </c>
      <c r="KW13" s="90" t="s">
        <v>39</v>
      </c>
      <c r="KX13" s="90">
        <v>11.0</v>
      </c>
      <c r="KY13" s="90">
        <v>12.5</v>
      </c>
      <c r="KZ13" s="90">
        <v>10.75</v>
      </c>
      <c r="LA13" s="90">
        <v>14.5</v>
      </c>
      <c r="LB13" s="90">
        <v>15.0</v>
      </c>
      <c r="LC13" s="90">
        <v>5.0</v>
      </c>
      <c r="LD13" s="90">
        <v>4.45</v>
      </c>
      <c r="LE13" s="90">
        <v>11.0</v>
      </c>
      <c r="LF13" s="90">
        <v>8.0</v>
      </c>
      <c r="LG13" s="90">
        <v>10.0</v>
      </c>
      <c r="LH13" s="90">
        <v>8.0</v>
      </c>
      <c r="LI13" s="90">
        <v>9.0</v>
      </c>
      <c r="LJ13" s="90">
        <v>8.0</v>
      </c>
      <c r="LK13" s="90">
        <v>5.0</v>
      </c>
      <c r="LL13" s="90">
        <v>2.0</v>
      </c>
      <c r="LM13" s="90">
        <v>15.0</v>
      </c>
      <c r="LN13" s="89"/>
      <c r="LO13" s="90">
        <v>6.25</v>
      </c>
      <c r="LP13" s="90">
        <v>4.0</v>
      </c>
      <c r="LQ13" s="90">
        <v>8.0</v>
      </c>
      <c r="LR13" s="90"/>
      <c r="LS13" s="90"/>
      <c r="LT13" s="90"/>
      <c r="LU13" s="90">
        <v>8.0</v>
      </c>
      <c r="LV13" s="90">
        <v>8.0</v>
      </c>
      <c r="LW13" s="90">
        <v>8.0</v>
      </c>
      <c r="LX13" s="90">
        <v>9.0</v>
      </c>
      <c r="LY13" s="90"/>
      <c r="LZ13" s="90">
        <v>9.0</v>
      </c>
      <c r="MA13" s="90"/>
      <c r="MB13" s="90"/>
      <c r="MC13" s="90"/>
      <c r="MD13" s="90"/>
      <c r="ME13" s="90"/>
      <c r="MF13" s="90"/>
      <c r="MG13" s="90"/>
      <c r="MH13" s="90"/>
      <c r="MI13" s="90"/>
      <c r="MJ13" s="90"/>
      <c r="MK13" s="90"/>
      <c r="ML13" s="90"/>
      <c r="MM13" s="90"/>
      <c r="MN13" s="90"/>
      <c r="MO13" s="90"/>
      <c r="MP13" s="90"/>
      <c r="MQ13" s="90"/>
      <c r="MR13" s="93"/>
      <c r="MS13" s="93"/>
      <c r="MT13" s="127"/>
      <c r="MU13" s="96"/>
      <c r="MV13" s="96"/>
      <c r="MW13" s="96"/>
      <c r="MX13" s="96"/>
      <c r="MY13" s="96"/>
      <c r="MZ13" s="96"/>
      <c r="NA13" s="96"/>
      <c r="NB13" s="96"/>
      <c r="NC13" s="96"/>
      <c r="ND13" s="96">
        <v>1.5</v>
      </c>
      <c r="NE13" s="96">
        <v>5.5</v>
      </c>
      <c r="NF13" s="96">
        <v>0.5</v>
      </c>
      <c r="NG13" s="96"/>
      <c r="NH13" s="96"/>
      <c r="NI13" s="96"/>
      <c r="NJ13" s="96"/>
      <c r="NK13" s="96"/>
      <c r="NL13" s="96"/>
      <c r="NM13" s="96"/>
      <c r="NN13" s="96"/>
      <c r="NO13" s="96"/>
      <c r="NP13" s="96"/>
      <c r="NQ13" s="96"/>
      <c r="NR13" s="96"/>
      <c r="NS13" s="96"/>
      <c r="NT13" s="96"/>
      <c r="NU13" s="96"/>
      <c r="NV13" s="96"/>
      <c r="NW13" s="96"/>
      <c r="NX13" s="96"/>
      <c r="NY13" s="96"/>
      <c r="NZ13" s="128"/>
      <c r="OA13" s="129"/>
      <c r="OB13" s="129"/>
      <c r="OC13" s="130"/>
      <c r="OD13" s="101"/>
      <c r="OE13" s="101"/>
      <c r="OF13" s="101"/>
      <c r="OG13" s="101"/>
      <c r="OH13" s="101"/>
      <c r="OI13" s="101"/>
      <c r="OJ13" s="101"/>
      <c r="OK13" s="101"/>
      <c r="OL13" s="101"/>
    </row>
    <row r="14" ht="30.0" customHeight="1">
      <c r="A14" s="121"/>
      <c r="B14" s="73" t="s">
        <v>24</v>
      </c>
      <c r="C14" s="74">
        <f t="shared" si="7"/>
        <v>52</v>
      </c>
      <c r="D14" s="73">
        <f t="shared" si="8"/>
        <v>13.75</v>
      </c>
      <c r="E14" s="75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7"/>
      <c r="BV14" s="76"/>
      <c r="BW14" s="76"/>
      <c r="BX14" s="76"/>
      <c r="BY14" s="76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9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9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  <c r="HS14" s="78"/>
      <c r="HT14" s="78"/>
      <c r="HU14" s="78"/>
      <c r="HV14" s="78"/>
      <c r="HW14" s="78"/>
      <c r="HX14" s="81"/>
      <c r="HY14" s="81">
        <v>11.0</v>
      </c>
      <c r="HZ14" s="81">
        <v>9.5</v>
      </c>
      <c r="IA14" s="81">
        <v>6.5</v>
      </c>
      <c r="IB14" s="81">
        <v>16.0</v>
      </c>
      <c r="IC14" s="81">
        <v>10.0</v>
      </c>
      <c r="ID14" s="81">
        <v>18.0</v>
      </c>
      <c r="IE14" s="81">
        <v>4.0</v>
      </c>
      <c r="IF14" s="81"/>
      <c r="IG14" s="81"/>
      <c r="IH14" s="81"/>
      <c r="II14" s="81">
        <v>8.5</v>
      </c>
      <c r="IJ14" s="81">
        <v>4.5</v>
      </c>
      <c r="IK14" s="81">
        <v>9.0</v>
      </c>
      <c r="IL14" s="81">
        <v>10.5</v>
      </c>
      <c r="IM14" s="81">
        <v>9.5</v>
      </c>
      <c r="IN14" s="81">
        <v>11.0</v>
      </c>
      <c r="IO14" s="81">
        <v>9.5</v>
      </c>
      <c r="IP14" s="81"/>
      <c r="IQ14" s="81">
        <v>9.0</v>
      </c>
      <c r="IR14" s="81">
        <v>10.0</v>
      </c>
      <c r="IS14" s="81">
        <v>9.5</v>
      </c>
      <c r="IT14" s="81">
        <v>10.0</v>
      </c>
      <c r="IU14" s="81">
        <v>17.0</v>
      </c>
      <c r="IV14" s="81">
        <v>7.5</v>
      </c>
      <c r="IW14" s="81">
        <v>12.5</v>
      </c>
      <c r="IX14" s="81">
        <v>8.0</v>
      </c>
      <c r="IY14" s="81">
        <v>14.5</v>
      </c>
      <c r="IZ14" s="81">
        <v>9.0</v>
      </c>
      <c r="JA14" s="81">
        <v>8.0</v>
      </c>
      <c r="JB14" s="84"/>
      <c r="JC14" s="85">
        <v>5.0</v>
      </c>
      <c r="JD14" s="85">
        <v>10.5</v>
      </c>
      <c r="JE14" s="85">
        <v>6.5</v>
      </c>
      <c r="JF14" s="85"/>
      <c r="JG14" s="85">
        <v>14.25</v>
      </c>
      <c r="JH14" s="85">
        <v>12.5</v>
      </c>
      <c r="JI14" s="85">
        <v>9.75</v>
      </c>
      <c r="JJ14" s="85">
        <v>8.0</v>
      </c>
      <c r="JK14" s="167"/>
      <c r="JL14" s="85">
        <v>10.5</v>
      </c>
      <c r="JM14" s="85">
        <v>10.0</v>
      </c>
      <c r="JN14" s="85">
        <v>8.0</v>
      </c>
      <c r="JO14" s="85">
        <v>15.5</v>
      </c>
      <c r="JP14" s="167"/>
      <c r="JQ14" s="85">
        <v>6.5</v>
      </c>
      <c r="JR14" s="85">
        <v>10.0</v>
      </c>
      <c r="JS14" s="85">
        <v>9.25</v>
      </c>
      <c r="JT14" s="85">
        <v>6.0</v>
      </c>
      <c r="JU14" s="85">
        <v>4.0</v>
      </c>
      <c r="JV14" s="85">
        <v>9.0</v>
      </c>
      <c r="JW14" s="85">
        <v>9.0</v>
      </c>
      <c r="JX14" s="85">
        <v>6.0</v>
      </c>
      <c r="JY14" s="85">
        <v>6.0</v>
      </c>
      <c r="JZ14" s="85">
        <v>7.0</v>
      </c>
      <c r="KA14" s="85">
        <v>10.0</v>
      </c>
      <c r="KB14" s="85">
        <v>9.5</v>
      </c>
      <c r="KC14" s="85">
        <v>10.0</v>
      </c>
      <c r="KD14" s="85">
        <v>10.0</v>
      </c>
      <c r="KE14" s="167"/>
      <c r="KF14" s="167"/>
      <c r="KG14" s="168"/>
      <c r="KH14" s="169"/>
      <c r="KI14" s="90">
        <v>10.5</v>
      </c>
      <c r="KJ14" s="91">
        <v>8.5</v>
      </c>
      <c r="KK14" s="90">
        <v>10.0</v>
      </c>
      <c r="KL14" s="90">
        <v>12.0</v>
      </c>
      <c r="KM14" s="90">
        <v>19.0</v>
      </c>
      <c r="KN14" s="90">
        <v>7.0</v>
      </c>
      <c r="KO14" s="90">
        <v>7.0</v>
      </c>
      <c r="KP14" s="90">
        <v>6.0</v>
      </c>
      <c r="KQ14" s="90">
        <v>11.5</v>
      </c>
      <c r="KR14" s="90">
        <v>12.0</v>
      </c>
      <c r="KS14" s="90">
        <v>4.5</v>
      </c>
      <c r="KT14" s="90">
        <v>7.0</v>
      </c>
      <c r="KU14" s="90">
        <v>9.5</v>
      </c>
      <c r="KV14" s="90">
        <v>1.5</v>
      </c>
      <c r="KW14" s="90" t="s">
        <v>39</v>
      </c>
      <c r="KX14" s="90">
        <v>11.0</v>
      </c>
      <c r="KY14" s="90">
        <v>6.0</v>
      </c>
      <c r="KZ14" s="90">
        <v>6.0</v>
      </c>
      <c r="LA14" s="90" t="s">
        <v>39</v>
      </c>
      <c r="LB14" s="90">
        <v>11.0</v>
      </c>
      <c r="LC14" s="90">
        <v>6.0</v>
      </c>
      <c r="LD14" s="90">
        <v>6.0</v>
      </c>
      <c r="LE14" s="90">
        <v>8.0</v>
      </c>
      <c r="LF14" s="90" t="s">
        <v>39</v>
      </c>
      <c r="LG14" s="90" t="s">
        <v>39</v>
      </c>
      <c r="LH14" s="90">
        <v>11.5</v>
      </c>
      <c r="LI14" s="90">
        <v>1.0</v>
      </c>
      <c r="LJ14" s="90">
        <v>6.5</v>
      </c>
      <c r="LK14" s="90" t="s">
        <v>39</v>
      </c>
      <c r="LL14" s="90" t="s">
        <v>39</v>
      </c>
      <c r="LM14" s="90">
        <v>21.0</v>
      </c>
      <c r="LN14" s="169"/>
      <c r="LO14" s="90">
        <v>3.0</v>
      </c>
      <c r="LP14" s="90">
        <v>5.0</v>
      </c>
      <c r="LQ14" s="90"/>
      <c r="LR14" s="90"/>
      <c r="LS14" s="90"/>
      <c r="LT14" s="90"/>
      <c r="LU14" s="90">
        <v>9.0</v>
      </c>
      <c r="LV14" s="90">
        <v>8.0</v>
      </c>
      <c r="LW14" s="90">
        <v>9.0</v>
      </c>
      <c r="LX14" s="90">
        <v>9.0</v>
      </c>
      <c r="LY14" s="90"/>
      <c r="LZ14" s="90"/>
      <c r="MA14" s="90"/>
      <c r="MB14" s="90">
        <v>9.0</v>
      </c>
      <c r="MC14" s="90"/>
      <c r="MD14" s="90"/>
      <c r="ME14" s="90"/>
      <c r="MF14" s="90"/>
      <c r="MG14" s="90"/>
      <c r="MH14" s="90"/>
      <c r="MI14" s="90"/>
      <c r="MJ14" s="90"/>
      <c r="MK14" s="90"/>
      <c r="ML14" s="90"/>
      <c r="MM14" s="90"/>
      <c r="MN14" s="90"/>
      <c r="MO14" s="90"/>
      <c r="MP14" s="90"/>
      <c r="MQ14" s="90"/>
      <c r="MR14" s="90"/>
      <c r="MS14" s="90"/>
      <c r="MT14" s="127"/>
      <c r="MU14" s="96"/>
      <c r="MV14" s="96"/>
      <c r="MW14" s="96"/>
      <c r="MX14" s="96"/>
      <c r="MY14" s="96"/>
      <c r="MZ14" s="96"/>
      <c r="NA14" s="96"/>
      <c r="NB14" s="96"/>
      <c r="NC14" s="96">
        <v>2.0</v>
      </c>
      <c r="ND14" s="96"/>
      <c r="NE14" s="96">
        <v>10.5</v>
      </c>
      <c r="NF14" s="96"/>
      <c r="NG14" s="96"/>
      <c r="NH14" s="96">
        <v>1.25</v>
      </c>
      <c r="NI14" s="96"/>
      <c r="NJ14" s="96"/>
      <c r="NK14" s="96"/>
      <c r="NL14" s="96"/>
      <c r="NM14" s="96"/>
      <c r="NN14" s="96"/>
      <c r="NO14" s="96"/>
      <c r="NP14" s="96"/>
      <c r="NQ14" s="96"/>
      <c r="NR14" s="96"/>
      <c r="NS14" s="96"/>
      <c r="NT14" s="96"/>
      <c r="NU14" s="96"/>
      <c r="NV14" s="96"/>
      <c r="NW14" s="96"/>
      <c r="NX14" s="96"/>
      <c r="NY14" s="96"/>
      <c r="NZ14" s="170"/>
      <c r="OA14" s="171"/>
      <c r="OB14" s="171"/>
      <c r="OC14" s="172"/>
      <c r="OD14" s="173"/>
      <c r="OE14" s="173"/>
      <c r="OF14" s="173"/>
      <c r="OG14" s="173"/>
      <c r="OH14" s="173"/>
      <c r="OI14" s="173"/>
      <c r="OJ14" s="173"/>
      <c r="OK14" s="173"/>
      <c r="OL14" s="173"/>
    </row>
    <row r="15" ht="30.0" customHeight="1">
      <c r="A15" s="174"/>
      <c r="B15" s="175" t="s">
        <v>47</v>
      </c>
      <c r="C15" s="74">
        <f t="shared" si="7"/>
        <v>51.4</v>
      </c>
      <c r="D15" s="73">
        <f t="shared" si="8"/>
        <v>4</v>
      </c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6"/>
      <c r="BN15" s="176"/>
      <c r="BO15" s="176"/>
      <c r="BP15" s="176"/>
      <c r="BQ15" s="176"/>
      <c r="BR15" s="176"/>
      <c r="BS15" s="176"/>
      <c r="BT15" s="176"/>
      <c r="BU15" s="177"/>
      <c r="BV15" s="176"/>
      <c r="BW15" s="176"/>
      <c r="BX15" s="176"/>
      <c r="BY15" s="176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  <c r="CO15" s="178"/>
      <c r="CP15" s="178"/>
      <c r="CQ15" s="178"/>
      <c r="CR15" s="178"/>
      <c r="CS15" s="178"/>
      <c r="CT15" s="178"/>
      <c r="CU15" s="178"/>
      <c r="CV15" s="178"/>
      <c r="CW15" s="178"/>
      <c r="CX15" s="178"/>
      <c r="CY15" s="178"/>
      <c r="CZ15" s="179"/>
      <c r="DA15" s="178"/>
      <c r="DB15" s="178"/>
      <c r="DC15" s="178"/>
      <c r="DD15" s="178"/>
      <c r="DE15" s="178"/>
      <c r="DF15" s="178"/>
      <c r="DG15" s="178"/>
      <c r="DH15" s="178"/>
      <c r="DI15" s="178"/>
      <c r="DJ15" s="178"/>
      <c r="DK15" s="178"/>
      <c r="DL15" s="178"/>
      <c r="DM15" s="178"/>
      <c r="DN15" s="178"/>
      <c r="DO15" s="178"/>
      <c r="DP15" s="178"/>
      <c r="DQ15" s="178"/>
      <c r="DR15" s="178"/>
      <c r="DS15" s="178"/>
      <c r="DT15" s="178"/>
      <c r="DU15" s="178"/>
      <c r="DV15" s="178"/>
      <c r="DW15" s="178"/>
      <c r="DX15" s="178"/>
      <c r="DY15" s="178"/>
      <c r="DZ15" s="178"/>
      <c r="EA15" s="178"/>
      <c r="EB15" s="178"/>
      <c r="EC15" s="178"/>
      <c r="ED15" s="179"/>
      <c r="EE15" s="178"/>
      <c r="EF15" s="178"/>
      <c r="EG15" s="178"/>
      <c r="EH15" s="178"/>
      <c r="EI15" s="178"/>
      <c r="EJ15" s="178"/>
      <c r="EK15" s="178"/>
      <c r="EL15" s="178"/>
      <c r="EM15" s="178"/>
      <c r="EN15" s="178"/>
      <c r="EO15" s="178"/>
      <c r="EP15" s="178"/>
      <c r="EQ15" s="178"/>
      <c r="ER15" s="178"/>
      <c r="ES15" s="178"/>
      <c r="ET15" s="178"/>
      <c r="EU15" s="178"/>
      <c r="EV15" s="178"/>
      <c r="EW15" s="178"/>
      <c r="EX15" s="178"/>
      <c r="EY15" s="178"/>
      <c r="EZ15" s="178"/>
      <c r="FA15" s="178"/>
      <c r="FB15" s="178"/>
      <c r="FC15" s="178"/>
      <c r="FD15" s="178"/>
      <c r="FE15" s="178"/>
      <c r="FF15" s="178"/>
      <c r="FG15" s="178"/>
      <c r="FH15" s="178"/>
      <c r="FI15" s="178"/>
      <c r="FJ15" s="178"/>
      <c r="FK15" s="178"/>
      <c r="FL15" s="178"/>
      <c r="FM15" s="178"/>
      <c r="FN15" s="178"/>
      <c r="FO15" s="178"/>
      <c r="FP15" s="178"/>
      <c r="FQ15" s="178"/>
      <c r="FR15" s="178"/>
      <c r="FS15" s="178"/>
      <c r="FT15" s="178"/>
      <c r="FU15" s="178"/>
      <c r="FV15" s="178"/>
      <c r="FW15" s="178"/>
      <c r="FX15" s="178"/>
      <c r="FY15" s="178"/>
      <c r="FZ15" s="178"/>
      <c r="GA15" s="178"/>
      <c r="GB15" s="178"/>
      <c r="GC15" s="178"/>
      <c r="GD15" s="178"/>
      <c r="GE15" s="178"/>
      <c r="GF15" s="178"/>
      <c r="GG15" s="178"/>
      <c r="GH15" s="178"/>
      <c r="GI15" s="178"/>
      <c r="GJ15" s="178"/>
      <c r="GK15" s="178"/>
      <c r="GL15" s="178"/>
      <c r="GM15" s="178"/>
      <c r="GN15" s="178"/>
      <c r="GO15" s="178"/>
      <c r="GP15" s="178"/>
      <c r="GQ15" s="178"/>
      <c r="GR15" s="178"/>
      <c r="GS15" s="178"/>
      <c r="GT15" s="178"/>
      <c r="GU15" s="178"/>
      <c r="GV15" s="178"/>
      <c r="GW15" s="178"/>
      <c r="GX15" s="178"/>
      <c r="GY15" s="178"/>
      <c r="GZ15" s="178"/>
      <c r="HA15" s="178"/>
      <c r="HB15" s="178"/>
      <c r="HC15" s="178"/>
      <c r="HD15" s="178"/>
      <c r="HE15" s="178"/>
      <c r="HF15" s="178"/>
      <c r="HG15" s="178"/>
      <c r="HH15" s="178"/>
      <c r="HI15" s="178"/>
      <c r="HJ15" s="178"/>
      <c r="HK15" s="178"/>
      <c r="HL15" s="178"/>
      <c r="HM15" s="178"/>
      <c r="HN15" s="178"/>
      <c r="HO15" s="178"/>
      <c r="HP15" s="178"/>
      <c r="HQ15" s="178"/>
      <c r="HR15" s="178"/>
      <c r="HS15" s="178"/>
      <c r="HT15" s="178"/>
      <c r="HU15" s="178"/>
      <c r="HV15" s="178"/>
      <c r="HW15" s="178"/>
      <c r="HX15" s="180"/>
      <c r="HY15" s="180"/>
      <c r="HZ15" s="180"/>
      <c r="IA15" s="180"/>
      <c r="IB15" s="180"/>
      <c r="IC15" s="180"/>
      <c r="ID15" s="180"/>
      <c r="IE15" s="180"/>
      <c r="IF15" s="180"/>
      <c r="IG15" s="180"/>
      <c r="IH15" s="180"/>
      <c r="II15" s="180"/>
      <c r="IJ15" s="180"/>
      <c r="IK15" s="180"/>
      <c r="IL15" s="180"/>
      <c r="IM15" s="180"/>
      <c r="IN15" s="180"/>
      <c r="IO15" s="180"/>
      <c r="IP15" s="180"/>
      <c r="IQ15" s="180"/>
      <c r="IR15" s="180"/>
      <c r="IS15" s="180"/>
      <c r="IT15" s="180"/>
      <c r="IU15" s="180"/>
      <c r="IV15" s="180"/>
      <c r="IW15" s="180"/>
      <c r="IX15" s="180"/>
      <c r="IY15" s="180"/>
      <c r="IZ15" s="180"/>
      <c r="JA15" s="180"/>
      <c r="JB15" s="181"/>
      <c r="JC15" s="182"/>
      <c r="JD15" s="182"/>
      <c r="JE15" s="182"/>
      <c r="JF15" s="182"/>
      <c r="JG15" s="182"/>
      <c r="JH15" s="182"/>
      <c r="JI15" s="182"/>
      <c r="JJ15" s="182"/>
      <c r="JK15" s="183"/>
      <c r="JL15" s="182"/>
      <c r="JM15" s="182"/>
      <c r="JN15" s="182"/>
      <c r="JO15" s="182"/>
      <c r="JP15" s="183"/>
      <c r="JQ15" s="182"/>
      <c r="JR15" s="182"/>
      <c r="JS15" s="182"/>
      <c r="JT15" s="182"/>
      <c r="JU15" s="182"/>
      <c r="JV15" s="182"/>
      <c r="JW15" s="182"/>
      <c r="JX15" s="182"/>
      <c r="JY15" s="182"/>
      <c r="JZ15" s="182"/>
      <c r="KA15" s="182"/>
      <c r="KB15" s="182"/>
      <c r="KC15" s="182"/>
      <c r="KD15" s="182"/>
      <c r="KE15" s="183"/>
      <c r="KF15" s="183"/>
      <c r="KG15" s="183"/>
      <c r="KH15" s="169"/>
      <c r="KI15" s="184"/>
      <c r="KJ15" s="185"/>
      <c r="KK15" s="184"/>
      <c r="KL15" s="184"/>
      <c r="KM15" s="184"/>
      <c r="KN15" s="184"/>
      <c r="KO15" s="184"/>
      <c r="KP15" s="184"/>
      <c r="KQ15" s="184"/>
      <c r="KR15" s="184"/>
      <c r="KS15" s="184"/>
      <c r="KT15" s="184"/>
      <c r="KU15" s="184"/>
      <c r="KV15" s="184"/>
      <c r="KW15" s="184"/>
      <c r="KX15" s="184"/>
      <c r="KY15" s="184"/>
      <c r="KZ15" s="184"/>
      <c r="LA15" s="184"/>
      <c r="LB15" s="184"/>
      <c r="LC15" s="184"/>
      <c r="LD15" s="184"/>
      <c r="LE15" s="184"/>
      <c r="LF15" s="184"/>
      <c r="LG15" s="184"/>
      <c r="LH15" s="184"/>
      <c r="LI15" s="184"/>
      <c r="LJ15" s="184"/>
      <c r="LK15" s="184"/>
      <c r="LL15" s="184"/>
      <c r="LM15" s="184"/>
      <c r="LN15" s="169"/>
      <c r="LO15" s="90"/>
      <c r="LP15" s="90"/>
      <c r="LQ15" s="90"/>
      <c r="LR15" s="90"/>
      <c r="LS15" s="90"/>
      <c r="LT15" s="90"/>
      <c r="LU15" s="90">
        <v>7.1</v>
      </c>
      <c r="LV15" s="90">
        <v>7.1</v>
      </c>
      <c r="LW15" s="90">
        <v>7.1</v>
      </c>
      <c r="LX15" s="90">
        <v>7.5</v>
      </c>
      <c r="LY15" s="90"/>
      <c r="LZ15" s="90">
        <v>7.6</v>
      </c>
      <c r="MA15" s="90">
        <v>7.5</v>
      </c>
      <c r="MB15" s="90">
        <v>7.5</v>
      </c>
      <c r="MC15" s="90"/>
      <c r="MD15" s="90"/>
      <c r="ME15" s="90"/>
      <c r="MF15" s="90"/>
      <c r="MG15" s="90"/>
      <c r="MH15" s="90"/>
      <c r="MI15" s="90"/>
      <c r="MJ15" s="90"/>
      <c r="MK15" s="90"/>
      <c r="ML15" s="90"/>
      <c r="MM15" s="90"/>
      <c r="MN15" s="90"/>
      <c r="MO15" s="90"/>
      <c r="MP15" s="90"/>
      <c r="MQ15" s="90"/>
      <c r="MR15" s="90"/>
      <c r="MS15" s="90"/>
      <c r="MT15" s="127"/>
      <c r="MU15" s="96"/>
      <c r="MV15" s="96"/>
      <c r="MW15" s="96"/>
      <c r="MX15" s="96"/>
      <c r="MY15" s="96"/>
      <c r="MZ15" s="96"/>
      <c r="NA15" s="96"/>
      <c r="NB15" s="96"/>
      <c r="NC15" s="96"/>
      <c r="ND15" s="96"/>
      <c r="NE15" s="96">
        <v>4.0</v>
      </c>
      <c r="NF15" s="96"/>
      <c r="NG15" s="96"/>
      <c r="NH15" s="96"/>
      <c r="NI15" s="96"/>
      <c r="NJ15" s="96"/>
      <c r="NK15" s="96"/>
      <c r="NL15" s="96"/>
      <c r="NM15" s="96"/>
      <c r="NN15" s="96"/>
      <c r="NO15" s="96"/>
      <c r="NP15" s="96"/>
      <c r="NQ15" s="96"/>
      <c r="NR15" s="96"/>
      <c r="NS15" s="96"/>
      <c r="NT15" s="96"/>
      <c r="NU15" s="96"/>
      <c r="NV15" s="96"/>
      <c r="NW15" s="96"/>
      <c r="NX15" s="96"/>
      <c r="NY15" s="96"/>
      <c r="NZ15" s="186"/>
      <c r="OA15" s="187"/>
      <c r="OB15" s="187"/>
      <c r="OC15" s="187"/>
      <c r="OD15" s="187"/>
      <c r="OE15" s="187"/>
      <c r="OF15" s="187"/>
      <c r="OG15" s="187"/>
      <c r="OH15" s="187"/>
      <c r="OI15" s="187"/>
      <c r="OJ15" s="187"/>
      <c r="OK15" s="187"/>
      <c r="OL15" s="187"/>
    </row>
    <row r="16" ht="30.0" customHeight="1">
      <c r="A16" s="174"/>
      <c r="B16" s="188" t="s">
        <v>48</v>
      </c>
      <c r="C16" s="74">
        <f t="shared" si="7"/>
        <v>22.7</v>
      </c>
      <c r="D16" s="73">
        <f t="shared" si="8"/>
        <v>9.5</v>
      </c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76"/>
      <c r="BR16" s="176"/>
      <c r="BS16" s="176"/>
      <c r="BT16" s="176"/>
      <c r="BU16" s="177"/>
      <c r="BV16" s="176"/>
      <c r="BW16" s="176"/>
      <c r="BX16" s="176"/>
      <c r="BY16" s="176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  <c r="CO16" s="178"/>
      <c r="CP16" s="178"/>
      <c r="CQ16" s="178"/>
      <c r="CR16" s="178"/>
      <c r="CS16" s="178"/>
      <c r="CT16" s="178"/>
      <c r="CU16" s="178"/>
      <c r="CV16" s="178"/>
      <c r="CW16" s="178"/>
      <c r="CX16" s="178"/>
      <c r="CY16" s="178"/>
      <c r="CZ16" s="179"/>
      <c r="DA16" s="178"/>
      <c r="DB16" s="178"/>
      <c r="DC16" s="178"/>
      <c r="DD16" s="178"/>
      <c r="DE16" s="178"/>
      <c r="DF16" s="178"/>
      <c r="DG16" s="178"/>
      <c r="DH16" s="178"/>
      <c r="DI16" s="178"/>
      <c r="DJ16" s="178"/>
      <c r="DK16" s="178"/>
      <c r="DL16" s="178"/>
      <c r="DM16" s="178"/>
      <c r="DN16" s="178"/>
      <c r="DO16" s="178"/>
      <c r="DP16" s="178"/>
      <c r="DQ16" s="178"/>
      <c r="DR16" s="178"/>
      <c r="DS16" s="178"/>
      <c r="DT16" s="178"/>
      <c r="DU16" s="178"/>
      <c r="DV16" s="178"/>
      <c r="DW16" s="178"/>
      <c r="DX16" s="178"/>
      <c r="DY16" s="178"/>
      <c r="DZ16" s="178"/>
      <c r="EA16" s="178"/>
      <c r="EB16" s="178"/>
      <c r="EC16" s="178"/>
      <c r="ED16" s="179"/>
      <c r="EE16" s="178"/>
      <c r="EF16" s="178"/>
      <c r="EG16" s="178"/>
      <c r="EH16" s="178"/>
      <c r="EI16" s="178"/>
      <c r="EJ16" s="178"/>
      <c r="EK16" s="178"/>
      <c r="EL16" s="178"/>
      <c r="EM16" s="178"/>
      <c r="EN16" s="178"/>
      <c r="EO16" s="178"/>
      <c r="EP16" s="178"/>
      <c r="EQ16" s="178"/>
      <c r="ER16" s="178"/>
      <c r="ES16" s="178"/>
      <c r="ET16" s="178"/>
      <c r="EU16" s="178"/>
      <c r="EV16" s="178"/>
      <c r="EW16" s="178"/>
      <c r="EX16" s="178"/>
      <c r="EY16" s="178"/>
      <c r="EZ16" s="178"/>
      <c r="FA16" s="178"/>
      <c r="FB16" s="178"/>
      <c r="FC16" s="178"/>
      <c r="FD16" s="178"/>
      <c r="FE16" s="178"/>
      <c r="FF16" s="178"/>
      <c r="FG16" s="178"/>
      <c r="FH16" s="178"/>
      <c r="FI16" s="178"/>
      <c r="FJ16" s="178"/>
      <c r="FK16" s="178"/>
      <c r="FL16" s="178"/>
      <c r="FM16" s="178"/>
      <c r="FN16" s="178"/>
      <c r="FO16" s="178"/>
      <c r="FP16" s="178"/>
      <c r="FQ16" s="178"/>
      <c r="FR16" s="178"/>
      <c r="FS16" s="178"/>
      <c r="FT16" s="178"/>
      <c r="FU16" s="178"/>
      <c r="FV16" s="178"/>
      <c r="FW16" s="178"/>
      <c r="FX16" s="178"/>
      <c r="FY16" s="178"/>
      <c r="FZ16" s="178"/>
      <c r="GA16" s="178"/>
      <c r="GB16" s="178"/>
      <c r="GC16" s="178"/>
      <c r="GD16" s="178"/>
      <c r="GE16" s="178"/>
      <c r="GF16" s="178"/>
      <c r="GG16" s="178"/>
      <c r="GH16" s="178"/>
      <c r="GI16" s="178"/>
      <c r="GJ16" s="178"/>
      <c r="GK16" s="178"/>
      <c r="GL16" s="178"/>
      <c r="GM16" s="178"/>
      <c r="GN16" s="178"/>
      <c r="GO16" s="178"/>
      <c r="GP16" s="178"/>
      <c r="GQ16" s="178"/>
      <c r="GR16" s="178"/>
      <c r="GS16" s="178"/>
      <c r="GT16" s="178"/>
      <c r="GU16" s="178"/>
      <c r="GV16" s="178"/>
      <c r="GW16" s="178"/>
      <c r="GX16" s="178"/>
      <c r="GY16" s="178"/>
      <c r="GZ16" s="178"/>
      <c r="HA16" s="178"/>
      <c r="HB16" s="178"/>
      <c r="HC16" s="178"/>
      <c r="HD16" s="178"/>
      <c r="HE16" s="178"/>
      <c r="HF16" s="178"/>
      <c r="HG16" s="178"/>
      <c r="HH16" s="178"/>
      <c r="HI16" s="178"/>
      <c r="HJ16" s="178"/>
      <c r="HK16" s="178"/>
      <c r="HL16" s="178"/>
      <c r="HM16" s="178"/>
      <c r="HN16" s="178"/>
      <c r="HO16" s="178"/>
      <c r="HP16" s="178"/>
      <c r="HQ16" s="178"/>
      <c r="HR16" s="178"/>
      <c r="HS16" s="178"/>
      <c r="HT16" s="178"/>
      <c r="HU16" s="178"/>
      <c r="HV16" s="178"/>
      <c r="HW16" s="178"/>
      <c r="HX16" s="180"/>
      <c r="HY16" s="180"/>
      <c r="HZ16" s="180"/>
      <c r="IA16" s="180"/>
      <c r="IB16" s="180"/>
      <c r="IC16" s="180"/>
      <c r="ID16" s="180"/>
      <c r="IE16" s="180"/>
      <c r="IF16" s="180"/>
      <c r="IG16" s="180"/>
      <c r="IH16" s="180"/>
      <c r="II16" s="180"/>
      <c r="IJ16" s="180"/>
      <c r="IK16" s="180"/>
      <c r="IL16" s="180"/>
      <c r="IM16" s="180"/>
      <c r="IN16" s="180"/>
      <c r="IO16" s="180"/>
      <c r="IP16" s="180"/>
      <c r="IQ16" s="180"/>
      <c r="IR16" s="180"/>
      <c r="IS16" s="180"/>
      <c r="IT16" s="180"/>
      <c r="IU16" s="180"/>
      <c r="IV16" s="180"/>
      <c r="IW16" s="180"/>
      <c r="IX16" s="180"/>
      <c r="IY16" s="180"/>
      <c r="IZ16" s="180"/>
      <c r="JA16" s="180"/>
      <c r="JB16" s="181"/>
      <c r="JC16" s="182"/>
      <c r="JD16" s="182"/>
      <c r="JE16" s="182"/>
      <c r="JF16" s="182"/>
      <c r="JG16" s="182"/>
      <c r="JH16" s="182"/>
      <c r="JI16" s="182"/>
      <c r="JJ16" s="182"/>
      <c r="JK16" s="183"/>
      <c r="JL16" s="182"/>
      <c r="JM16" s="182"/>
      <c r="JN16" s="182"/>
      <c r="JO16" s="182"/>
      <c r="JP16" s="183"/>
      <c r="JQ16" s="182"/>
      <c r="JR16" s="182"/>
      <c r="JS16" s="182"/>
      <c r="JT16" s="182"/>
      <c r="JU16" s="182"/>
      <c r="JV16" s="182"/>
      <c r="JW16" s="182"/>
      <c r="JX16" s="182"/>
      <c r="JY16" s="182"/>
      <c r="JZ16" s="182"/>
      <c r="KA16" s="182"/>
      <c r="KB16" s="182"/>
      <c r="KC16" s="182"/>
      <c r="KD16" s="182"/>
      <c r="KE16" s="183"/>
      <c r="KF16" s="183"/>
      <c r="KG16" s="183"/>
      <c r="KH16" s="169"/>
      <c r="KI16" s="184"/>
      <c r="KJ16" s="185"/>
      <c r="KK16" s="184"/>
      <c r="KL16" s="184"/>
      <c r="KM16" s="184"/>
      <c r="KN16" s="184"/>
      <c r="KO16" s="184"/>
      <c r="KP16" s="184"/>
      <c r="KQ16" s="184"/>
      <c r="KR16" s="184"/>
      <c r="KS16" s="184"/>
      <c r="KT16" s="184"/>
      <c r="KU16" s="184"/>
      <c r="KV16" s="184"/>
      <c r="KW16" s="184"/>
      <c r="KX16" s="184"/>
      <c r="KY16" s="184"/>
      <c r="KZ16" s="184"/>
      <c r="LA16" s="184"/>
      <c r="LB16" s="184"/>
      <c r="LC16" s="184"/>
      <c r="LD16" s="184"/>
      <c r="LE16" s="184"/>
      <c r="LF16" s="184"/>
      <c r="LG16" s="184"/>
      <c r="LH16" s="184"/>
      <c r="LI16" s="184"/>
      <c r="LJ16" s="184"/>
      <c r="LK16" s="184"/>
      <c r="LL16" s="184"/>
      <c r="LM16" s="184"/>
      <c r="LN16" s="169"/>
      <c r="LO16" s="90"/>
      <c r="LP16" s="90"/>
      <c r="LQ16" s="90"/>
      <c r="LR16" s="90"/>
      <c r="LS16" s="90"/>
      <c r="LT16" s="90"/>
      <c r="LU16" s="90"/>
      <c r="LV16" s="90"/>
      <c r="LW16" s="90"/>
      <c r="LX16" s="90">
        <v>6.0</v>
      </c>
      <c r="LY16" s="90"/>
      <c r="LZ16" s="90">
        <v>9.0</v>
      </c>
      <c r="MA16" s="90">
        <v>7.7</v>
      </c>
      <c r="MB16" s="90"/>
      <c r="MC16" s="90"/>
      <c r="MD16" s="90"/>
      <c r="ME16" s="90"/>
      <c r="MF16" s="90"/>
      <c r="MG16" s="90"/>
      <c r="MH16" s="90"/>
      <c r="MI16" s="90"/>
      <c r="MJ16" s="90"/>
      <c r="MK16" s="90"/>
      <c r="ML16" s="90"/>
      <c r="MM16" s="90"/>
      <c r="MN16" s="90"/>
      <c r="MO16" s="90"/>
      <c r="MP16" s="90"/>
      <c r="MQ16" s="90"/>
      <c r="MR16" s="90"/>
      <c r="MS16" s="90"/>
      <c r="MT16" s="127"/>
      <c r="MU16" s="96"/>
      <c r="MV16" s="96"/>
      <c r="MW16" s="96"/>
      <c r="MX16" s="96"/>
      <c r="MY16" s="96"/>
      <c r="MZ16" s="96"/>
      <c r="NA16" s="96"/>
      <c r="NB16" s="96"/>
      <c r="NC16" s="96"/>
      <c r="ND16" s="96"/>
      <c r="NE16" s="96">
        <v>7.5</v>
      </c>
      <c r="NF16" s="96">
        <v>2.0</v>
      </c>
      <c r="NG16" s="96"/>
      <c r="NH16" s="96"/>
      <c r="NI16" s="96"/>
      <c r="NJ16" s="96"/>
      <c r="NK16" s="96"/>
      <c r="NL16" s="96"/>
      <c r="NM16" s="96"/>
      <c r="NN16" s="96"/>
      <c r="NO16" s="96"/>
      <c r="NP16" s="96"/>
      <c r="NQ16" s="96"/>
      <c r="NR16" s="96"/>
      <c r="NS16" s="96"/>
      <c r="NT16" s="96"/>
      <c r="NU16" s="96"/>
      <c r="NV16" s="96"/>
      <c r="NW16" s="96"/>
      <c r="NX16" s="96"/>
      <c r="NY16" s="96"/>
      <c r="NZ16" s="186"/>
      <c r="OA16" s="187"/>
      <c r="OB16" s="187"/>
      <c r="OC16" s="187"/>
      <c r="OD16" s="187"/>
      <c r="OE16" s="187"/>
      <c r="OF16" s="187"/>
      <c r="OG16" s="187"/>
      <c r="OH16" s="187"/>
      <c r="OI16" s="187"/>
      <c r="OJ16" s="187"/>
      <c r="OK16" s="187"/>
      <c r="OL16" s="187"/>
    </row>
  </sheetData>
  <mergeCells count="1">
    <mergeCell ref="X1:AN1"/>
  </mergeCells>
  <conditionalFormatting sqref="E1:E16">
    <cfRule type="notContainsBlanks" dxfId="3" priority="1">
      <formula>LEN(TRIM(E1))&gt;0</formula>
    </cfRule>
  </conditionalFormatting>
  <conditionalFormatting sqref="KI6:LL16 LO6:MS16">
    <cfRule type="containsText" dxfId="4" priority="2" operator="containsText" text="x">
      <formula>NOT(ISERROR(SEARCH(("x"),(KI6))))</formula>
    </cfRule>
  </conditionalFormatting>
  <conditionalFormatting sqref="LM1:LM16">
    <cfRule type="cellIs" dxfId="5" priority="3" operator="greaterThan">
      <formula>0</formula>
    </cfRule>
  </conditionalFormatting>
  <conditionalFormatting sqref="LG8 MM8">
    <cfRule type="notContainsBlanks" dxfId="6" priority="4">
      <formula>LEN(TRIM(LG8))&gt;0</formula>
    </cfRule>
  </conditionalFormatting>
  <conditionalFormatting sqref="KI6:LL16 LO6:MS16">
    <cfRule type="containsBlanks" dxfId="6" priority="5">
      <formula>LEN(TRIM(KI6))=0</formula>
    </cfRule>
  </conditionalFormatting>
  <conditionalFormatting sqref="KI6:LL16 LO6:MS16">
    <cfRule type="cellIs" dxfId="7" priority="6" operator="greaterThan">
      <formula>0</formula>
    </cfRule>
  </conditionalFormatting>
  <drawing r:id="rId4"/>
  <legacy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1" max="2" width="9.33"/>
    <col customWidth="1" hidden="1" min="3" max="3" width="9.33"/>
    <col customWidth="1" min="4" max="9" width="9.33"/>
    <col customWidth="1" hidden="1" min="10" max="10" width="9.33"/>
    <col customWidth="1" min="11" max="26" width="9.33"/>
  </cols>
  <sheetData>
    <row r="1" ht="22.5" customHeight="1">
      <c r="A1" s="189" t="s">
        <v>49</v>
      </c>
      <c r="B1" s="189" t="s">
        <v>50</v>
      </c>
      <c r="C1" s="189" t="s">
        <v>51</v>
      </c>
      <c r="D1" s="189" t="s">
        <v>52</v>
      </c>
      <c r="E1" s="189" t="s">
        <v>53</v>
      </c>
      <c r="F1" s="190" t="s">
        <v>54</v>
      </c>
      <c r="H1" s="189" t="s">
        <v>49</v>
      </c>
      <c r="I1" s="189" t="s">
        <v>50</v>
      </c>
      <c r="J1" s="189" t="s">
        <v>51</v>
      </c>
      <c r="K1" s="189" t="s">
        <v>52</v>
      </c>
      <c r="L1" s="189" t="s">
        <v>53</v>
      </c>
    </row>
    <row r="2" ht="22.5" customHeight="1">
      <c r="A2" s="191" t="s">
        <v>55</v>
      </c>
      <c r="B2" s="192">
        <v>1000.0</v>
      </c>
      <c r="C2" s="192">
        <v>1.0</v>
      </c>
      <c r="D2" s="193" t="b">
        <v>1</v>
      </c>
      <c r="E2" s="194">
        <f t="shared" ref="E2:E20" si="1">IF(D2=TRUE, B2, 0)
</f>
        <v>1000</v>
      </c>
      <c r="F2" s="195"/>
      <c r="H2" s="191" t="s">
        <v>55</v>
      </c>
      <c r="I2" s="196">
        <v>1000.0</v>
      </c>
      <c r="J2" s="192">
        <v>1.0</v>
      </c>
      <c r="K2" s="193" t="b">
        <v>1</v>
      </c>
      <c r="L2" s="197">
        <f t="shared" ref="L2:L20" si="2">IF(K2=TRUE, I2, 0)
</f>
        <v>1000</v>
      </c>
    </row>
    <row r="3" ht="22.5" customHeight="1">
      <c r="A3" s="191" t="s">
        <v>56</v>
      </c>
      <c r="B3" s="192">
        <v>250.0</v>
      </c>
      <c r="C3" s="192">
        <v>1.0</v>
      </c>
      <c r="D3" s="193" t="b">
        <v>1</v>
      </c>
      <c r="E3" s="194">
        <f t="shared" si="1"/>
        <v>250</v>
      </c>
      <c r="F3" s="195"/>
      <c r="H3" s="191" t="s">
        <v>56</v>
      </c>
      <c r="I3" s="196">
        <v>250.0</v>
      </c>
      <c r="J3" s="192">
        <v>1.0</v>
      </c>
      <c r="K3" s="193" t="b">
        <v>1</v>
      </c>
      <c r="L3" s="197">
        <f t="shared" si="2"/>
        <v>250</v>
      </c>
    </row>
    <row r="4" ht="22.5" customHeight="1">
      <c r="A4" s="191" t="s">
        <v>57</v>
      </c>
      <c r="B4" s="192">
        <v>250.0</v>
      </c>
      <c r="C4" s="192">
        <v>1.0</v>
      </c>
      <c r="D4" s="193" t="b">
        <v>1</v>
      </c>
      <c r="E4" s="194">
        <f t="shared" si="1"/>
        <v>250</v>
      </c>
      <c r="F4" s="195"/>
      <c r="H4" s="191" t="s">
        <v>57</v>
      </c>
      <c r="I4" s="196">
        <v>250.0</v>
      </c>
      <c r="J4" s="192">
        <v>1.0</v>
      </c>
      <c r="K4" s="193" t="b">
        <v>0</v>
      </c>
      <c r="L4" s="194">
        <f t="shared" si="2"/>
        <v>0</v>
      </c>
    </row>
    <row r="5" ht="22.5" customHeight="1">
      <c r="A5" s="191" t="s">
        <v>58</v>
      </c>
      <c r="B5" s="192">
        <v>250.0</v>
      </c>
      <c r="C5" s="192">
        <v>1.0</v>
      </c>
      <c r="D5" s="193" t="b">
        <v>1</v>
      </c>
      <c r="E5" s="194">
        <f t="shared" si="1"/>
        <v>250</v>
      </c>
      <c r="F5" s="195"/>
      <c r="H5" s="191" t="s">
        <v>58</v>
      </c>
      <c r="I5" s="196">
        <v>250.0</v>
      </c>
      <c r="J5" s="192">
        <v>1.0</v>
      </c>
      <c r="K5" s="193" t="b">
        <v>1</v>
      </c>
      <c r="L5" s="197">
        <f t="shared" si="2"/>
        <v>250</v>
      </c>
    </row>
    <row r="6" ht="22.5" customHeight="1">
      <c r="A6" s="191" t="s">
        <v>59</v>
      </c>
      <c r="B6" s="192">
        <v>250.0</v>
      </c>
      <c r="C6" s="192">
        <v>1.0</v>
      </c>
      <c r="D6" s="193" t="b">
        <v>1</v>
      </c>
      <c r="E6" s="194">
        <f t="shared" si="1"/>
        <v>250</v>
      </c>
      <c r="F6" s="198"/>
      <c r="H6" s="191" t="s">
        <v>59</v>
      </c>
      <c r="I6" s="196">
        <v>250.0</v>
      </c>
      <c r="J6" s="192">
        <v>1.0</v>
      </c>
      <c r="K6" s="193" t="b">
        <v>1</v>
      </c>
      <c r="L6" s="197">
        <f t="shared" si="2"/>
        <v>250</v>
      </c>
    </row>
    <row r="7" ht="22.5" customHeight="1">
      <c r="A7" s="191" t="s">
        <v>60</v>
      </c>
      <c r="B7" s="192">
        <v>250.0</v>
      </c>
      <c r="C7" s="192">
        <v>1.0</v>
      </c>
      <c r="D7" s="193" t="b">
        <v>0</v>
      </c>
      <c r="E7" s="194">
        <f t="shared" si="1"/>
        <v>0</v>
      </c>
      <c r="F7" s="195"/>
      <c r="H7" s="191" t="s">
        <v>60</v>
      </c>
      <c r="I7" s="196">
        <v>250.0</v>
      </c>
      <c r="J7" s="192">
        <v>1.0</v>
      </c>
      <c r="K7" s="193" t="b">
        <v>0</v>
      </c>
      <c r="L7" s="194">
        <f t="shared" si="2"/>
        <v>0</v>
      </c>
    </row>
    <row r="8" ht="22.5" customHeight="1">
      <c r="A8" s="191" t="s">
        <v>61</v>
      </c>
      <c r="B8" s="192">
        <v>250.0</v>
      </c>
      <c r="C8" s="192">
        <v>1.0</v>
      </c>
      <c r="D8" s="193" t="b">
        <v>0</v>
      </c>
      <c r="E8" s="194">
        <f t="shared" si="1"/>
        <v>0</v>
      </c>
      <c r="F8" s="195"/>
      <c r="H8" s="191" t="s">
        <v>61</v>
      </c>
      <c r="I8" s="196">
        <v>250.0</v>
      </c>
      <c r="J8" s="192">
        <v>1.0</v>
      </c>
      <c r="K8" s="193" t="b">
        <v>0</v>
      </c>
      <c r="L8" s="194">
        <f t="shared" si="2"/>
        <v>0</v>
      </c>
    </row>
    <row r="9" ht="22.5" customHeight="1">
      <c r="A9" s="191" t="s">
        <v>62</v>
      </c>
      <c r="B9" s="192">
        <v>250.0</v>
      </c>
      <c r="C9" s="192">
        <v>1.0</v>
      </c>
      <c r="D9" s="193" t="b">
        <v>0</v>
      </c>
      <c r="E9" s="194">
        <f t="shared" si="1"/>
        <v>0</v>
      </c>
      <c r="F9" s="195"/>
      <c r="H9" s="191" t="s">
        <v>62</v>
      </c>
      <c r="I9" s="196">
        <v>250.0</v>
      </c>
      <c r="J9" s="192">
        <v>1.0</v>
      </c>
      <c r="K9" s="193" t="b">
        <v>1</v>
      </c>
      <c r="L9" s="197">
        <f t="shared" si="2"/>
        <v>250</v>
      </c>
    </row>
    <row r="10" ht="22.5" customHeight="1">
      <c r="A10" s="191" t="s">
        <v>63</v>
      </c>
      <c r="B10" s="192">
        <v>250.0</v>
      </c>
      <c r="C10" s="192">
        <v>1.0</v>
      </c>
      <c r="D10" s="193" t="b">
        <v>0</v>
      </c>
      <c r="E10" s="194">
        <f t="shared" si="1"/>
        <v>0</v>
      </c>
      <c r="F10" s="195"/>
      <c r="H10" s="191" t="s">
        <v>63</v>
      </c>
      <c r="I10" s="196">
        <v>250.0</v>
      </c>
      <c r="J10" s="192">
        <v>1.0</v>
      </c>
      <c r="K10" s="193" t="b">
        <v>1</v>
      </c>
      <c r="L10" s="197">
        <f t="shared" si="2"/>
        <v>250</v>
      </c>
    </row>
    <row r="11" ht="22.5" customHeight="1">
      <c r="A11" s="191" t="s">
        <v>64</v>
      </c>
      <c r="B11" s="192">
        <v>250.0</v>
      </c>
      <c r="C11" s="192">
        <v>1.0</v>
      </c>
      <c r="D11" s="193" t="b">
        <v>1</v>
      </c>
      <c r="E11" s="194">
        <f t="shared" si="1"/>
        <v>250</v>
      </c>
      <c r="F11" s="195"/>
      <c r="H11" s="191" t="s">
        <v>64</v>
      </c>
      <c r="I11" s="196">
        <v>250.0</v>
      </c>
      <c r="J11" s="192">
        <v>1.0</v>
      </c>
      <c r="K11" s="193" t="b">
        <v>0</v>
      </c>
      <c r="L11" s="194">
        <f t="shared" si="2"/>
        <v>0</v>
      </c>
    </row>
    <row r="12" ht="22.5" customHeight="1">
      <c r="A12" s="191" t="s">
        <v>65</v>
      </c>
      <c r="B12" s="192">
        <v>250.0</v>
      </c>
      <c r="C12" s="192">
        <v>1.0</v>
      </c>
      <c r="D12" s="193" t="b">
        <v>0</v>
      </c>
      <c r="E12" s="194">
        <f t="shared" si="1"/>
        <v>0</v>
      </c>
      <c r="F12" s="195"/>
      <c r="H12" s="191" t="s">
        <v>65</v>
      </c>
      <c r="I12" s="196">
        <v>250.0</v>
      </c>
      <c r="J12" s="192">
        <v>1.0</v>
      </c>
      <c r="K12" s="193" t="b">
        <v>0</v>
      </c>
      <c r="L12" s="194">
        <f t="shared" si="2"/>
        <v>0</v>
      </c>
      <c r="N12" s="199" t="str">
        <f>IFERROR(__xludf.DUMMYFUNCTION("IMPORTRANGE( ""https://docs.google.com/spreadsheets/d/1DwfNhxfCYJYwBjeiPqn3xZyjMmzDkpS9634bVMHLYJQ/edit?usp=sharing"" , ""CUTS!C6"")"),"#REF!")</f>
        <v>#REF!</v>
      </c>
    </row>
    <row r="13" ht="22.5" customHeight="1">
      <c r="A13" s="191" t="s">
        <v>66</v>
      </c>
      <c r="B13" s="192">
        <v>250.0</v>
      </c>
      <c r="C13" s="192">
        <v>1.0</v>
      </c>
      <c r="D13" s="193" t="b">
        <v>0</v>
      </c>
      <c r="E13" s="194">
        <f t="shared" si="1"/>
        <v>0</v>
      </c>
      <c r="F13" s="195"/>
      <c r="H13" s="191" t="s">
        <v>66</v>
      </c>
      <c r="I13" s="196">
        <v>250.0</v>
      </c>
      <c r="J13" s="192">
        <v>1.0</v>
      </c>
      <c r="K13" s="193" t="b">
        <v>0</v>
      </c>
      <c r="L13" s="194">
        <f t="shared" si="2"/>
        <v>0</v>
      </c>
    </row>
    <row r="14" ht="22.5" customHeight="1">
      <c r="A14" s="191" t="s">
        <v>67</v>
      </c>
      <c r="B14" s="192">
        <v>250.0</v>
      </c>
      <c r="C14" s="192">
        <v>1.0</v>
      </c>
      <c r="D14" s="193" t="b">
        <v>0</v>
      </c>
      <c r="E14" s="194">
        <f t="shared" si="1"/>
        <v>0</v>
      </c>
      <c r="F14" s="195"/>
      <c r="H14" s="191" t="s">
        <v>67</v>
      </c>
      <c r="I14" s="196">
        <v>250.0</v>
      </c>
      <c r="J14" s="192">
        <v>1.0</v>
      </c>
      <c r="K14" s="193" t="b">
        <v>0</v>
      </c>
      <c r="L14" s="194">
        <f t="shared" si="2"/>
        <v>0</v>
      </c>
    </row>
    <row r="15" ht="22.5" customHeight="1">
      <c r="A15" s="191" t="s">
        <v>68</v>
      </c>
      <c r="B15" s="192">
        <v>250.0</v>
      </c>
      <c r="C15" s="192">
        <v>1.0</v>
      </c>
      <c r="D15" s="193" t="b">
        <v>0</v>
      </c>
      <c r="E15" s="194">
        <f t="shared" si="1"/>
        <v>0</v>
      </c>
      <c r="F15" s="195"/>
      <c r="H15" s="191" t="s">
        <v>68</v>
      </c>
      <c r="I15" s="196">
        <v>250.0</v>
      </c>
      <c r="J15" s="192">
        <v>1.0</v>
      </c>
      <c r="K15" s="193" t="b">
        <v>0</v>
      </c>
      <c r="L15" s="194">
        <f t="shared" si="2"/>
        <v>0</v>
      </c>
    </row>
    <row r="16" ht="22.5" customHeight="1">
      <c r="A16" s="191" t="s">
        <v>69</v>
      </c>
      <c r="B16" s="192">
        <v>250.0</v>
      </c>
      <c r="C16" s="192">
        <v>1.0</v>
      </c>
      <c r="D16" s="193" t="b">
        <v>0</v>
      </c>
      <c r="E16" s="194">
        <f t="shared" si="1"/>
        <v>0</v>
      </c>
      <c r="F16" s="195"/>
      <c r="H16" s="191" t="s">
        <v>69</v>
      </c>
      <c r="I16" s="196">
        <v>250.0</v>
      </c>
      <c r="J16" s="192">
        <v>1.0</v>
      </c>
      <c r="K16" s="193" t="b">
        <v>1</v>
      </c>
      <c r="L16" s="197">
        <f t="shared" si="2"/>
        <v>250</v>
      </c>
    </row>
    <row r="17" ht="22.5" customHeight="1">
      <c r="A17" s="191" t="s">
        <v>70</v>
      </c>
      <c r="B17" s="192">
        <v>250.0</v>
      </c>
      <c r="C17" s="192">
        <v>1.0</v>
      </c>
      <c r="D17" s="193" t="b">
        <v>0</v>
      </c>
      <c r="E17" s="194">
        <f t="shared" si="1"/>
        <v>0</v>
      </c>
      <c r="F17" s="195"/>
      <c r="H17" s="191" t="s">
        <v>70</v>
      </c>
      <c r="I17" s="196">
        <v>250.0</v>
      </c>
      <c r="J17" s="192">
        <v>1.0</v>
      </c>
      <c r="K17" s="193" t="b">
        <v>0</v>
      </c>
      <c r="L17" s="194">
        <f t="shared" si="2"/>
        <v>0</v>
      </c>
    </row>
    <row r="18" ht="22.5" customHeight="1">
      <c r="A18" s="191" t="s">
        <v>71</v>
      </c>
      <c r="B18" s="192">
        <v>250.0</v>
      </c>
      <c r="C18" s="192">
        <v>1.0</v>
      </c>
      <c r="D18" s="193" t="b">
        <v>0</v>
      </c>
      <c r="E18" s="194">
        <f t="shared" si="1"/>
        <v>0</v>
      </c>
      <c r="F18" s="195"/>
      <c r="H18" s="191" t="s">
        <v>71</v>
      </c>
      <c r="I18" s="196">
        <v>250.0</v>
      </c>
      <c r="J18" s="192">
        <v>1.0</v>
      </c>
      <c r="K18" s="193" t="b">
        <v>0</v>
      </c>
      <c r="L18" s="194">
        <f t="shared" si="2"/>
        <v>0</v>
      </c>
    </row>
    <row r="19" ht="22.5" customHeight="1">
      <c r="A19" s="191" t="s">
        <v>72</v>
      </c>
      <c r="B19" s="196">
        <v>250.0</v>
      </c>
      <c r="C19" s="192">
        <v>1.0</v>
      </c>
      <c r="D19" s="193" t="b">
        <v>1</v>
      </c>
      <c r="E19" s="197">
        <f t="shared" si="1"/>
        <v>250</v>
      </c>
      <c r="F19" s="195"/>
      <c r="H19" s="191" t="s">
        <v>72</v>
      </c>
      <c r="I19" s="196">
        <v>250.0</v>
      </c>
      <c r="J19" s="192">
        <v>1.0</v>
      </c>
      <c r="K19" s="193" t="b">
        <v>0</v>
      </c>
      <c r="L19" s="194">
        <f t="shared" si="2"/>
        <v>0</v>
      </c>
    </row>
    <row r="20" ht="22.5" customHeight="1">
      <c r="A20" s="191" t="s">
        <v>73</v>
      </c>
      <c r="B20" s="196">
        <v>250.0</v>
      </c>
      <c r="C20" s="192">
        <v>1.0</v>
      </c>
      <c r="D20" s="193" t="b">
        <v>0</v>
      </c>
      <c r="E20" s="194">
        <f t="shared" si="1"/>
        <v>0</v>
      </c>
      <c r="F20" s="195"/>
      <c r="H20" s="191" t="s">
        <v>73</v>
      </c>
      <c r="I20" s="196">
        <v>250.0</v>
      </c>
      <c r="J20" s="192">
        <v>1.0</v>
      </c>
      <c r="K20" s="193" t="b">
        <v>0</v>
      </c>
      <c r="L20" s="194">
        <f t="shared" si="2"/>
        <v>0</v>
      </c>
    </row>
    <row r="21" ht="22.5" customHeight="1">
      <c r="A21" s="191" t="s">
        <v>74</v>
      </c>
      <c r="B21" s="197"/>
      <c r="D21" s="193" t="s">
        <v>30</v>
      </c>
      <c r="E21" s="200">
        <f>SUM(E2:E20)</f>
        <v>2500</v>
      </c>
      <c r="F21" s="201"/>
      <c r="H21" s="191" t="s">
        <v>74</v>
      </c>
      <c r="I21" s="197"/>
      <c r="K21" s="193" t="s">
        <v>30</v>
      </c>
      <c r="L21" s="202">
        <f>SUM(L2:L20)</f>
        <v>2500</v>
      </c>
    </row>
    <row r="22"/>
    <row r="23"/>
    <row r="24" ht="22.5" customHeight="1">
      <c r="A24" s="189" t="s">
        <v>49</v>
      </c>
      <c r="B24" s="189" t="s">
        <v>50</v>
      </c>
      <c r="C24" s="189" t="s">
        <v>51</v>
      </c>
      <c r="D24" s="189" t="s">
        <v>52</v>
      </c>
      <c r="E24" s="189" t="s">
        <v>53</v>
      </c>
      <c r="H24" s="189" t="s">
        <v>49</v>
      </c>
      <c r="I24" s="189" t="s">
        <v>50</v>
      </c>
      <c r="J24" s="189" t="s">
        <v>51</v>
      </c>
      <c r="K24" s="189" t="s">
        <v>52</v>
      </c>
      <c r="L24" s="189" t="s">
        <v>53</v>
      </c>
    </row>
    <row r="25" ht="22.5" customHeight="1">
      <c r="A25" s="191" t="s">
        <v>55</v>
      </c>
      <c r="B25" s="196">
        <v>1000.0</v>
      </c>
      <c r="C25" s="192">
        <v>1.0</v>
      </c>
      <c r="D25" s="193" t="b">
        <v>1</v>
      </c>
      <c r="E25" s="197">
        <f t="shared" ref="E25:E43" si="3">IF(D25=TRUE, B25, 0)
</f>
        <v>1000</v>
      </c>
      <c r="H25" s="191" t="s">
        <v>55</v>
      </c>
      <c r="I25" s="196">
        <v>1000.0</v>
      </c>
      <c r="J25" s="192">
        <v>1.0</v>
      </c>
      <c r="K25" s="193" t="b">
        <v>1</v>
      </c>
      <c r="L25" s="197">
        <f t="shared" ref="L25:L43" si="4">IF(K25=TRUE, I25, 0)
</f>
        <v>1000</v>
      </c>
    </row>
    <row r="26" ht="22.5" customHeight="1">
      <c r="A26" s="191" t="s">
        <v>56</v>
      </c>
      <c r="B26" s="196">
        <v>250.0</v>
      </c>
      <c r="C26" s="192">
        <v>1.0</v>
      </c>
      <c r="D26" s="193" t="b">
        <v>1</v>
      </c>
      <c r="E26" s="197">
        <f t="shared" si="3"/>
        <v>250</v>
      </c>
      <c r="H26" s="191" t="s">
        <v>56</v>
      </c>
      <c r="I26" s="196">
        <v>250.0</v>
      </c>
      <c r="J26" s="192">
        <v>1.0</v>
      </c>
      <c r="K26" s="193" t="b">
        <v>1</v>
      </c>
      <c r="L26" s="197">
        <f t="shared" si="4"/>
        <v>250</v>
      </c>
    </row>
    <row r="27" ht="22.5" customHeight="1">
      <c r="A27" s="191" t="s">
        <v>57</v>
      </c>
      <c r="B27" s="196">
        <v>250.0</v>
      </c>
      <c r="C27" s="192">
        <v>1.0</v>
      </c>
      <c r="D27" s="193" t="b">
        <v>1</v>
      </c>
      <c r="E27" s="197">
        <f t="shared" si="3"/>
        <v>250</v>
      </c>
      <c r="H27" s="191" t="s">
        <v>57</v>
      </c>
      <c r="I27" s="196">
        <v>250.0</v>
      </c>
      <c r="J27" s="192">
        <v>1.0</v>
      </c>
      <c r="K27" s="193" t="b">
        <v>0</v>
      </c>
      <c r="L27" s="194">
        <f t="shared" si="4"/>
        <v>0</v>
      </c>
    </row>
    <row r="28" ht="22.5" customHeight="1">
      <c r="A28" s="191" t="s">
        <v>58</v>
      </c>
      <c r="B28" s="196">
        <v>250.0</v>
      </c>
      <c r="C28" s="192">
        <v>1.0</v>
      </c>
      <c r="D28" s="193" t="b">
        <v>1</v>
      </c>
      <c r="E28" s="197">
        <f t="shared" si="3"/>
        <v>250</v>
      </c>
      <c r="H28" s="191" t="s">
        <v>58</v>
      </c>
      <c r="I28" s="196">
        <v>250.0</v>
      </c>
      <c r="J28" s="192">
        <v>1.0</v>
      </c>
      <c r="K28" s="193" t="b">
        <v>1</v>
      </c>
      <c r="L28" s="197">
        <f t="shared" si="4"/>
        <v>250</v>
      </c>
    </row>
    <row r="29" ht="22.5" customHeight="1">
      <c r="A29" s="191" t="s">
        <v>59</v>
      </c>
      <c r="B29" s="196">
        <v>250.0</v>
      </c>
      <c r="C29" s="192">
        <v>1.0</v>
      </c>
      <c r="D29" s="193" t="b">
        <v>1</v>
      </c>
      <c r="E29" s="197">
        <f t="shared" si="3"/>
        <v>250</v>
      </c>
      <c r="H29" s="191" t="s">
        <v>59</v>
      </c>
      <c r="I29" s="196">
        <v>250.0</v>
      </c>
      <c r="J29" s="192">
        <v>1.0</v>
      </c>
      <c r="K29" s="193" t="b">
        <v>1</v>
      </c>
      <c r="L29" s="197">
        <f t="shared" si="4"/>
        <v>250</v>
      </c>
    </row>
    <row r="30" ht="22.5" customHeight="1">
      <c r="A30" s="191" t="s">
        <v>60</v>
      </c>
      <c r="B30" s="196">
        <v>250.0</v>
      </c>
      <c r="C30" s="192">
        <v>1.0</v>
      </c>
      <c r="D30" s="193" t="b">
        <v>1</v>
      </c>
      <c r="E30" s="197">
        <f t="shared" si="3"/>
        <v>250</v>
      </c>
      <c r="H30" s="191" t="s">
        <v>60</v>
      </c>
      <c r="I30" s="196">
        <v>250.0</v>
      </c>
      <c r="J30" s="192">
        <v>1.0</v>
      </c>
      <c r="K30" s="193" t="b">
        <v>0</v>
      </c>
      <c r="L30" s="194">
        <f t="shared" si="4"/>
        <v>0</v>
      </c>
    </row>
    <row r="31" ht="22.5" customHeight="1">
      <c r="A31" s="191" t="s">
        <v>61</v>
      </c>
      <c r="B31" s="196">
        <v>250.0</v>
      </c>
      <c r="C31" s="192">
        <v>1.0</v>
      </c>
      <c r="D31" s="193" t="b">
        <v>0</v>
      </c>
      <c r="E31" s="194">
        <f t="shared" si="3"/>
        <v>0</v>
      </c>
      <c r="H31" s="191" t="s">
        <v>61</v>
      </c>
      <c r="I31" s="196">
        <v>250.0</v>
      </c>
      <c r="J31" s="192">
        <v>1.0</v>
      </c>
      <c r="K31" s="193" t="b">
        <v>0</v>
      </c>
      <c r="L31" s="194">
        <f t="shared" si="4"/>
        <v>0</v>
      </c>
    </row>
    <row r="32" ht="22.5" customHeight="1">
      <c r="A32" s="191" t="s">
        <v>62</v>
      </c>
      <c r="B32" s="196">
        <v>250.0</v>
      </c>
      <c r="C32" s="192">
        <v>1.0</v>
      </c>
      <c r="D32" s="193" t="b">
        <v>1</v>
      </c>
      <c r="E32" s="197">
        <f t="shared" si="3"/>
        <v>250</v>
      </c>
      <c r="H32" s="191" t="s">
        <v>62</v>
      </c>
      <c r="I32" s="196">
        <v>250.0</v>
      </c>
      <c r="J32" s="192">
        <v>1.0</v>
      </c>
      <c r="K32" s="193" t="b">
        <v>0</v>
      </c>
      <c r="L32" s="194">
        <f t="shared" si="4"/>
        <v>0</v>
      </c>
    </row>
    <row r="33" ht="22.5" customHeight="1">
      <c r="A33" s="191" t="s">
        <v>63</v>
      </c>
      <c r="B33" s="196">
        <v>250.0</v>
      </c>
      <c r="C33" s="192">
        <v>1.0</v>
      </c>
      <c r="D33" s="193" t="b">
        <v>0</v>
      </c>
      <c r="E33" s="194">
        <f t="shared" si="3"/>
        <v>0</v>
      </c>
      <c r="H33" s="191" t="s">
        <v>63</v>
      </c>
      <c r="I33" s="196">
        <v>250.0</v>
      </c>
      <c r="J33" s="192">
        <v>1.0</v>
      </c>
      <c r="K33" s="193" t="b">
        <v>0</v>
      </c>
      <c r="L33" s="194">
        <f t="shared" si="4"/>
        <v>0</v>
      </c>
    </row>
    <row r="34" ht="22.5" customHeight="1">
      <c r="A34" s="191" t="s">
        <v>64</v>
      </c>
      <c r="B34" s="196">
        <v>250.0</v>
      </c>
      <c r="C34" s="192">
        <v>1.0</v>
      </c>
      <c r="D34" s="193" t="b">
        <v>0</v>
      </c>
      <c r="E34" s="194">
        <f t="shared" si="3"/>
        <v>0</v>
      </c>
      <c r="H34" s="191" t="s">
        <v>64</v>
      </c>
      <c r="I34" s="196">
        <v>250.0</v>
      </c>
      <c r="J34" s="192">
        <v>1.0</v>
      </c>
      <c r="K34" s="193" t="b">
        <v>0</v>
      </c>
      <c r="L34" s="194">
        <f t="shared" si="4"/>
        <v>0</v>
      </c>
    </row>
    <row r="35" ht="22.5" customHeight="1">
      <c r="A35" s="191" t="s">
        <v>65</v>
      </c>
      <c r="B35" s="196">
        <v>250.0</v>
      </c>
      <c r="C35" s="192">
        <v>1.0</v>
      </c>
      <c r="D35" s="193" t="b">
        <v>1</v>
      </c>
      <c r="E35" s="197">
        <f t="shared" si="3"/>
        <v>250</v>
      </c>
      <c r="H35" s="191" t="s">
        <v>65</v>
      </c>
      <c r="I35" s="196">
        <v>250.0</v>
      </c>
      <c r="J35" s="192">
        <v>1.0</v>
      </c>
      <c r="K35" s="193" t="b">
        <v>1</v>
      </c>
      <c r="L35" s="197">
        <f t="shared" si="4"/>
        <v>250</v>
      </c>
    </row>
    <row r="36" ht="22.5" customHeight="1">
      <c r="A36" s="191" t="s">
        <v>66</v>
      </c>
      <c r="B36" s="196">
        <v>250.0</v>
      </c>
      <c r="C36" s="192">
        <v>1.0</v>
      </c>
      <c r="D36" s="193" t="b">
        <v>1</v>
      </c>
      <c r="E36" s="197">
        <f t="shared" si="3"/>
        <v>250</v>
      </c>
      <c r="H36" s="191" t="s">
        <v>66</v>
      </c>
      <c r="I36" s="196">
        <v>250.0</v>
      </c>
      <c r="J36" s="192">
        <v>1.0</v>
      </c>
      <c r="K36" s="193" t="b">
        <v>1</v>
      </c>
      <c r="L36" s="197">
        <f t="shared" si="4"/>
        <v>250</v>
      </c>
    </row>
    <row r="37" ht="22.5" customHeight="1">
      <c r="A37" s="191" t="s">
        <v>67</v>
      </c>
      <c r="B37" s="196">
        <v>250.0</v>
      </c>
      <c r="C37" s="192">
        <v>1.0</v>
      </c>
      <c r="D37" s="193" t="b">
        <v>0</v>
      </c>
      <c r="E37" s="194">
        <f t="shared" si="3"/>
        <v>0</v>
      </c>
      <c r="H37" s="191" t="s">
        <v>67</v>
      </c>
      <c r="I37" s="196">
        <v>250.0</v>
      </c>
      <c r="J37" s="192">
        <v>1.0</v>
      </c>
      <c r="K37" s="203" t="b">
        <v>0</v>
      </c>
      <c r="L37" s="194">
        <f t="shared" si="4"/>
        <v>0</v>
      </c>
    </row>
    <row r="38" ht="22.5" customHeight="1">
      <c r="A38" s="191" t="s">
        <v>68</v>
      </c>
      <c r="B38" s="196">
        <v>250.0</v>
      </c>
      <c r="C38" s="192">
        <v>1.0</v>
      </c>
      <c r="D38" s="193" t="b">
        <v>0</v>
      </c>
      <c r="E38" s="194">
        <f t="shared" si="3"/>
        <v>0</v>
      </c>
      <c r="H38" s="191" t="s">
        <v>68</v>
      </c>
      <c r="I38" s="196">
        <v>250.0</v>
      </c>
      <c r="J38" s="192">
        <v>1.0</v>
      </c>
      <c r="K38" s="193" t="b">
        <v>1</v>
      </c>
      <c r="L38" s="197">
        <f t="shared" si="4"/>
        <v>250</v>
      </c>
    </row>
    <row r="39" ht="22.5" customHeight="1">
      <c r="A39" s="191" t="s">
        <v>69</v>
      </c>
      <c r="B39" s="196">
        <v>250.0</v>
      </c>
      <c r="C39" s="192">
        <v>1.0</v>
      </c>
      <c r="D39" s="193" t="b">
        <v>0</v>
      </c>
      <c r="E39" s="194">
        <f t="shared" si="3"/>
        <v>0</v>
      </c>
      <c r="H39" s="191" t="s">
        <v>69</v>
      </c>
      <c r="I39" s="196">
        <v>250.0</v>
      </c>
      <c r="J39" s="192">
        <v>1.0</v>
      </c>
      <c r="K39" s="193" t="b">
        <v>0</v>
      </c>
      <c r="L39" s="194">
        <f t="shared" si="4"/>
        <v>0</v>
      </c>
    </row>
    <row r="40" ht="22.5" customHeight="1">
      <c r="A40" s="191" t="s">
        <v>70</v>
      </c>
      <c r="B40" s="196">
        <v>250.0</v>
      </c>
      <c r="C40" s="192">
        <v>1.0</v>
      </c>
      <c r="D40" s="193" t="b">
        <v>0</v>
      </c>
      <c r="E40" s="194">
        <f t="shared" si="3"/>
        <v>0</v>
      </c>
      <c r="H40" s="191" t="s">
        <v>70</v>
      </c>
      <c r="I40" s="196">
        <v>250.0</v>
      </c>
      <c r="J40" s="192">
        <v>1.0</v>
      </c>
      <c r="K40" s="193" t="b">
        <v>0</v>
      </c>
      <c r="L40" s="194">
        <f t="shared" si="4"/>
        <v>0</v>
      </c>
    </row>
    <row r="41" ht="22.5" customHeight="1">
      <c r="A41" s="191" t="s">
        <v>71</v>
      </c>
      <c r="B41" s="196">
        <v>250.0</v>
      </c>
      <c r="C41" s="192">
        <v>1.0</v>
      </c>
      <c r="D41" s="193" t="b">
        <v>0</v>
      </c>
      <c r="E41" s="194">
        <f t="shared" si="3"/>
        <v>0</v>
      </c>
      <c r="H41" s="191" t="s">
        <v>71</v>
      </c>
      <c r="I41" s="196">
        <v>250.0</v>
      </c>
      <c r="J41" s="192">
        <v>1.0</v>
      </c>
      <c r="K41" s="193" t="b">
        <v>0</v>
      </c>
      <c r="L41" s="194">
        <f t="shared" si="4"/>
        <v>0</v>
      </c>
    </row>
    <row r="42" ht="22.5" customHeight="1">
      <c r="A42" s="191" t="s">
        <v>72</v>
      </c>
      <c r="B42" s="196">
        <v>250.0</v>
      </c>
      <c r="C42" s="192">
        <v>1.0</v>
      </c>
      <c r="D42" s="193" t="b">
        <v>0</v>
      </c>
      <c r="E42" s="194">
        <f t="shared" si="3"/>
        <v>0</v>
      </c>
      <c r="H42" s="191" t="s">
        <v>72</v>
      </c>
      <c r="I42" s="196">
        <v>250.0</v>
      </c>
      <c r="J42" s="192">
        <v>1.0</v>
      </c>
      <c r="K42" s="193" t="b">
        <v>1</v>
      </c>
      <c r="L42" s="197">
        <f t="shared" si="4"/>
        <v>250</v>
      </c>
    </row>
    <row r="43" ht="22.5" customHeight="1">
      <c r="A43" s="191" t="s">
        <v>73</v>
      </c>
      <c r="B43" s="196">
        <v>250.0</v>
      </c>
      <c r="C43" s="192">
        <v>1.0</v>
      </c>
      <c r="D43" s="193" t="b">
        <v>0</v>
      </c>
      <c r="E43" s="194">
        <f t="shared" si="3"/>
        <v>0</v>
      </c>
      <c r="H43" s="191" t="s">
        <v>73</v>
      </c>
      <c r="I43" s="196">
        <v>250.0</v>
      </c>
      <c r="J43" s="192">
        <v>1.0</v>
      </c>
      <c r="K43" s="193" t="b">
        <v>0</v>
      </c>
      <c r="L43" s="194">
        <f t="shared" si="4"/>
        <v>0</v>
      </c>
    </row>
    <row r="44" ht="22.5" customHeight="1">
      <c r="A44" s="191" t="s">
        <v>74</v>
      </c>
      <c r="B44" s="197"/>
      <c r="D44" s="193" t="s">
        <v>30</v>
      </c>
      <c r="E44" s="202">
        <f>SUM(E25:E43)</f>
        <v>3000</v>
      </c>
      <c r="H44" s="191" t="s">
        <v>74</v>
      </c>
      <c r="I44" s="197"/>
      <c r="K44" s="193" t="s">
        <v>30</v>
      </c>
      <c r="L44" s="202">
        <f>SUM(L25:L43)</f>
        <v>2750</v>
      </c>
    </row>
    <row r="45"/>
    <row r="46"/>
    <row r="47" ht="22.5" customHeight="1">
      <c r="A47" s="189" t="s">
        <v>49</v>
      </c>
      <c r="B47" s="189" t="s">
        <v>50</v>
      </c>
      <c r="C47" s="189" t="s">
        <v>51</v>
      </c>
      <c r="D47" s="189" t="s">
        <v>52</v>
      </c>
      <c r="E47" s="189" t="s">
        <v>53</v>
      </c>
      <c r="H47" s="189" t="s">
        <v>49</v>
      </c>
      <c r="I47" s="189" t="s">
        <v>50</v>
      </c>
      <c r="J47" s="189" t="s">
        <v>51</v>
      </c>
      <c r="K47" s="189" t="s">
        <v>52</v>
      </c>
      <c r="L47" s="189" t="s">
        <v>53</v>
      </c>
    </row>
    <row r="48" ht="22.5" customHeight="1">
      <c r="A48" s="191" t="s">
        <v>55</v>
      </c>
      <c r="B48" s="196">
        <v>1000.0</v>
      </c>
      <c r="C48" s="192">
        <v>1.0</v>
      </c>
      <c r="D48" s="193" t="b">
        <v>1</v>
      </c>
      <c r="E48" s="197">
        <f t="shared" ref="E48:E66" si="5">IF(D48=TRUE, B48, 0)
</f>
        <v>1000</v>
      </c>
      <c r="H48" s="191" t="s">
        <v>55</v>
      </c>
      <c r="I48" s="196">
        <v>1000.0</v>
      </c>
      <c r="J48" s="192">
        <v>1.0</v>
      </c>
      <c r="K48" s="193" t="b">
        <v>1</v>
      </c>
      <c r="L48" s="197">
        <f t="shared" ref="L48:L66" si="6">IF(K48=TRUE, I48, 0)
</f>
        <v>1000</v>
      </c>
    </row>
    <row r="49" ht="22.5" customHeight="1">
      <c r="A49" s="191" t="s">
        <v>56</v>
      </c>
      <c r="B49" s="196">
        <v>250.0</v>
      </c>
      <c r="C49" s="192">
        <v>1.0</v>
      </c>
      <c r="D49" s="193" t="b">
        <v>1</v>
      </c>
      <c r="E49" s="197">
        <f t="shared" si="5"/>
        <v>250</v>
      </c>
      <c r="H49" s="191" t="s">
        <v>56</v>
      </c>
      <c r="I49" s="196">
        <v>250.0</v>
      </c>
      <c r="J49" s="192">
        <v>1.0</v>
      </c>
      <c r="K49" s="193" t="b">
        <v>1</v>
      </c>
      <c r="L49" s="197">
        <f t="shared" si="6"/>
        <v>250</v>
      </c>
    </row>
    <row r="50" ht="22.5" customHeight="1">
      <c r="A50" s="191" t="s">
        <v>57</v>
      </c>
      <c r="B50" s="196">
        <v>250.0</v>
      </c>
      <c r="C50" s="192">
        <v>1.0</v>
      </c>
      <c r="D50" s="193" t="b">
        <v>0</v>
      </c>
      <c r="E50" s="194">
        <f t="shared" si="5"/>
        <v>0</v>
      </c>
      <c r="H50" s="191" t="s">
        <v>57</v>
      </c>
      <c r="I50" s="196">
        <v>250.0</v>
      </c>
      <c r="J50" s="192">
        <v>1.0</v>
      </c>
      <c r="K50" s="193" t="b">
        <v>1</v>
      </c>
      <c r="L50" s="197">
        <f t="shared" si="6"/>
        <v>250</v>
      </c>
    </row>
    <row r="51" ht="22.5" customHeight="1">
      <c r="A51" s="191" t="s">
        <v>58</v>
      </c>
      <c r="B51" s="196">
        <v>250.0</v>
      </c>
      <c r="C51" s="192">
        <v>1.0</v>
      </c>
      <c r="D51" s="193" t="b">
        <v>1</v>
      </c>
      <c r="E51" s="197">
        <f t="shared" si="5"/>
        <v>250</v>
      </c>
      <c r="H51" s="191" t="s">
        <v>58</v>
      </c>
      <c r="I51" s="196">
        <v>250.0</v>
      </c>
      <c r="J51" s="192">
        <v>1.0</v>
      </c>
      <c r="K51" s="193" t="b">
        <v>1</v>
      </c>
      <c r="L51" s="197">
        <f t="shared" si="6"/>
        <v>250</v>
      </c>
    </row>
    <row r="52" ht="22.5" customHeight="1">
      <c r="A52" s="191" t="s">
        <v>59</v>
      </c>
      <c r="B52" s="196">
        <v>250.0</v>
      </c>
      <c r="C52" s="192">
        <v>1.0</v>
      </c>
      <c r="D52" s="193" t="b">
        <v>1</v>
      </c>
      <c r="E52" s="197">
        <f t="shared" si="5"/>
        <v>250</v>
      </c>
      <c r="H52" s="191" t="s">
        <v>59</v>
      </c>
      <c r="I52" s="196">
        <v>250.0</v>
      </c>
      <c r="J52" s="192">
        <v>1.0</v>
      </c>
      <c r="K52" s="193" t="b">
        <v>1</v>
      </c>
      <c r="L52" s="197">
        <f t="shared" si="6"/>
        <v>250</v>
      </c>
    </row>
    <row r="53" ht="22.5" customHeight="1">
      <c r="A53" s="191" t="s">
        <v>60</v>
      </c>
      <c r="B53" s="196">
        <v>250.0</v>
      </c>
      <c r="C53" s="192">
        <v>1.0</v>
      </c>
      <c r="D53" s="193" t="b">
        <v>0</v>
      </c>
      <c r="E53" s="194">
        <f t="shared" si="5"/>
        <v>0</v>
      </c>
      <c r="H53" s="191" t="s">
        <v>60</v>
      </c>
      <c r="I53" s="196">
        <v>250.0</v>
      </c>
      <c r="J53" s="192">
        <v>1.0</v>
      </c>
      <c r="K53" s="193" t="b">
        <v>0</v>
      </c>
      <c r="L53" s="194">
        <f t="shared" si="6"/>
        <v>0</v>
      </c>
    </row>
    <row r="54" ht="22.5" customHeight="1">
      <c r="A54" s="191" t="s">
        <v>61</v>
      </c>
      <c r="B54" s="196">
        <v>250.0</v>
      </c>
      <c r="C54" s="192">
        <v>1.0</v>
      </c>
      <c r="D54" s="193" t="b">
        <v>0</v>
      </c>
      <c r="E54" s="194">
        <f t="shared" si="5"/>
        <v>0</v>
      </c>
      <c r="H54" s="191" t="s">
        <v>61</v>
      </c>
      <c r="I54" s="196">
        <v>250.0</v>
      </c>
      <c r="J54" s="192">
        <v>1.0</v>
      </c>
      <c r="K54" s="193" t="b">
        <v>0</v>
      </c>
      <c r="L54" s="194">
        <f t="shared" si="6"/>
        <v>0</v>
      </c>
    </row>
    <row r="55" ht="22.5" customHeight="1">
      <c r="A55" s="191" t="s">
        <v>62</v>
      </c>
      <c r="B55" s="196">
        <v>250.0</v>
      </c>
      <c r="C55" s="192">
        <v>1.0</v>
      </c>
      <c r="D55" s="193" t="b">
        <v>0</v>
      </c>
      <c r="E55" s="194">
        <f t="shared" si="5"/>
        <v>0</v>
      </c>
      <c r="H55" s="191" t="s">
        <v>62</v>
      </c>
      <c r="I55" s="196">
        <v>250.0</v>
      </c>
      <c r="J55" s="192">
        <v>1.0</v>
      </c>
      <c r="K55" s="193" t="b">
        <v>0</v>
      </c>
      <c r="L55" s="194">
        <f t="shared" si="6"/>
        <v>0</v>
      </c>
    </row>
    <row r="56" ht="22.5" customHeight="1">
      <c r="A56" s="191" t="s">
        <v>63</v>
      </c>
      <c r="B56" s="196">
        <v>250.0</v>
      </c>
      <c r="C56" s="192">
        <v>1.0</v>
      </c>
      <c r="D56" s="193" t="b">
        <v>0</v>
      </c>
      <c r="E56" s="194">
        <f t="shared" si="5"/>
        <v>0</v>
      </c>
      <c r="H56" s="191" t="s">
        <v>63</v>
      </c>
      <c r="I56" s="196">
        <v>250.0</v>
      </c>
      <c r="J56" s="192">
        <v>1.0</v>
      </c>
      <c r="K56" s="193" t="b">
        <v>0</v>
      </c>
      <c r="L56" s="194">
        <f t="shared" si="6"/>
        <v>0</v>
      </c>
    </row>
    <row r="57" ht="22.5" customHeight="1">
      <c r="A57" s="191" t="s">
        <v>64</v>
      </c>
      <c r="B57" s="196">
        <v>250.0</v>
      </c>
      <c r="C57" s="192">
        <v>1.0</v>
      </c>
      <c r="D57" s="193" t="b">
        <v>0</v>
      </c>
      <c r="E57" s="194">
        <f t="shared" si="5"/>
        <v>0</v>
      </c>
      <c r="H57" s="191" t="s">
        <v>64</v>
      </c>
      <c r="I57" s="196">
        <v>250.0</v>
      </c>
      <c r="J57" s="192">
        <v>1.0</v>
      </c>
      <c r="K57" s="193" t="b">
        <v>0</v>
      </c>
      <c r="L57" s="194">
        <f t="shared" si="6"/>
        <v>0</v>
      </c>
    </row>
    <row r="58" ht="22.5" customHeight="1">
      <c r="A58" s="191" t="s">
        <v>65</v>
      </c>
      <c r="B58" s="196">
        <v>250.0</v>
      </c>
      <c r="C58" s="192">
        <v>1.0</v>
      </c>
      <c r="D58" s="193" t="b">
        <v>0</v>
      </c>
      <c r="E58" s="194">
        <f t="shared" si="5"/>
        <v>0</v>
      </c>
      <c r="H58" s="191" t="s">
        <v>65</v>
      </c>
      <c r="I58" s="196">
        <v>250.0</v>
      </c>
      <c r="J58" s="192">
        <v>1.0</v>
      </c>
      <c r="K58" s="193" t="b">
        <v>0</v>
      </c>
      <c r="L58" s="194">
        <f t="shared" si="6"/>
        <v>0</v>
      </c>
    </row>
    <row r="59" ht="22.5" customHeight="1">
      <c r="A59" s="191" t="s">
        <v>66</v>
      </c>
      <c r="B59" s="196">
        <v>250.0</v>
      </c>
      <c r="C59" s="192">
        <v>1.0</v>
      </c>
      <c r="D59" s="193" t="b">
        <v>0</v>
      </c>
      <c r="E59" s="194">
        <f t="shared" si="5"/>
        <v>0</v>
      </c>
      <c r="H59" s="191" t="s">
        <v>66</v>
      </c>
      <c r="I59" s="196">
        <v>250.0</v>
      </c>
      <c r="J59" s="192">
        <v>1.0</v>
      </c>
      <c r="K59" s="193" t="b">
        <v>0</v>
      </c>
      <c r="L59" s="194">
        <f t="shared" si="6"/>
        <v>0</v>
      </c>
    </row>
    <row r="60" ht="22.5" customHeight="1">
      <c r="A60" s="191" t="s">
        <v>67</v>
      </c>
      <c r="B60" s="196">
        <v>250.0</v>
      </c>
      <c r="C60" s="192">
        <v>1.0</v>
      </c>
      <c r="D60" s="193" t="b">
        <v>0</v>
      </c>
      <c r="E60" s="194">
        <f t="shared" si="5"/>
        <v>0</v>
      </c>
      <c r="H60" s="191" t="s">
        <v>67</v>
      </c>
      <c r="I60" s="196">
        <v>250.0</v>
      </c>
      <c r="J60" s="192">
        <v>1.0</v>
      </c>
      <c r="K60" s="193" t="b">
        <v>0</v>
      </c>
      <c r="L60" s="194">
        <f t="shared" si="6"/>
        <v>0</v>
      </c>
    </row>
    <row r="61" ht="22.5" customHeight="1">
      <c r="A61" s="191" t="s">
        <v>68</v>
      </c>
      <c r="B61" s="196">
        <v>250.0</v>
      </c>
      <c r="C61" s="192">
        <v>1.0</v>
      </c>
      <c r="D61" s="193" t="b">
        <v>0</v>
      </c>
      <c r="E61" s="194">
        <f t="shared" si="5"/>
        <v>0</v>
      </c>
      <c r="H61" s="191" t="s">
        <v>68</v>
      </c>
      <c r="I61" s="196">
        <v>250.0</v>
      </c>
      <c r="J61" s="192">
        <v>1.0</v>
      </c>
      <c r="K61" s="193" t="b">
        <v>0</v>
      </c>
      <c r="L61" s="194">
        <f t="shared" si="6"/>
        <v>0</v>
      </c>
    </row>
    <row r="62" ht="22.5" customHeight="1">
      <c r="A62" s="191" t="s">
        <v>69</v>
      </c>
      <c r="B62" s="196">
        <v>250.0</v>
      </c>
      <c r="C62" s="192">
        <v>1.0</v>
      </c>
      <c r="D62" s="193" t="b">
        <v>0</v>
      </c>
      <c r="E62" s="194">
        <f t="shared" si="5"/>
        <v>0</v>
      </c>
      <c r="H62" s="191" t="s">
        <v>69</v>
      </c>
      <c r="I62" s="196">
        <v>250.0</v>
      </c>
      <c r="J62" s="192">
        <v>1.0</v>
      </c>
      <c r="K62" s="193" t="b">
        <v>0</v>
      </c>
      <c r="L62" s="194">
        <f t="shared" si="6"/>
        <v>0</v>
      </c>
    </row>
    <row r="63" ht="22.5" customHeight="1">
      <c r="A63" s="191" t="s">
        <v>70</v>
      </c>
      <c r="B63" s="196">
        <v>250.0</v>
      </c>
      <c r="C63" s="192">
        <v>1.0</v>
      </c>
      <c r="D63" s="193" t="b">
        <v>0</v>
      </c>
      <c r="E63" s="194">
        <f t="shared" si="5"/>
        <v>0</v>
      </c>
      <c r="H63" s="191" t="s">
        <v>70</v>
      </c>
      <c r="I63" s="196">
        <v>250.0</v>
      </c>
      <c r="J63" s="192">
        <v>1.0</v>
      </c>
      <c r="K63" s="193" t="b">
        <v>0</v>
      </c>
      <c r="L63" s="194">
        <f t="shared" si="6"/>
        <v>0</v>
      </c>
    </row>
    <row r="64" ht="22.5" customHeight="1">
      <c r="A64" s="191" t="s">
        <v>71</v>
      </c>
      <c r="B64" s="196">
        <v>250.0</v>
      </c>
      <c r="C64" s="192">
        <v>1.0</v>
      </c>
      <c r="D64" s="193" t="b">
        <v>0</v>
      </c>
      <c r="E64" s="194">
        <f t="shared" si="5"/>
        <v>0</v>
      </c>
      <c r="H64" s="191" t="s">
        <v>71</v>
      </c>
      <c r="I64" s="196">
        <v>250.0</v>
      </c>
      <c r="J64" s="192">
        <v>1.0</v>
      </c>
      <c r="K64" s="193" t="b">
        <v>0</v>
      </c>
      <c r="L64" s="194">
        <f t="shared" si="6"/>
        <v>0</v>
      </c>
    </row>
    <row r="65" ht="22.5" customHeight="1">
      <c r="A65" s="191" t="s">
        <v>72</v>
      </c>
      <c r="B65" s="196">
        <v>250.0</v>
      </c>
      <c r="C65" s="192">
        <v>1.0</v>
      </c>
      <c r="D65" s="193" t="b">
        <v>0</v>
      </c>
      <c r="E65" s="194">
        <f t="shared" si="5"/>
        <v>0</v>
      </c>
      <c r="H65" s="191" t="s">
        <v>72</v>
      </c>
      <c r="I65" s="196">
        <v>250.0</v>
      </c>
      <c r="J65" s="192">
        <v>1.0</v>
      </c>
      <c r="K65" s="193" t="b">
        <v>0</v>
      </c>
      <c r="L65" s="194">
        <f t="shared" si="6"/>
        <v>0</v>
      </c>
    </row>
    <row r="66" ht="22.5" customHeight="1">
      <c r="A66" s="191" t="s">
        <v>73</v>
      </c>
      <c r="B66" s="196">
        <v>250.0</v>
      </c>
      <c r="C66" s="192">
        <v>1.0</v>
      </c>
      <c r="D66" s="193" t="b">
        <v>0</v>
      </c>
      <c r="E66" s="194">
        <f t="shared" si="5"/>
        <v>0</v>
      </c>
      <c r="H66" s="191" t="s">
        <v>73</v>
      </c>
      <c r="I66" s="196">
        <v>250.0</v>
      </c>
      <c r="J66" s="192">
        <v>1.0</v>
      </c>
      <c r="K66" s="193" t="b">
        <v>1</v>
      </c>
      <c r="L66" s="197">
        <f t="shared" si="6"/>
        <v>250</v>
      </c>
    </row>
    <row r="67" ht="22.5" customHeight="1">
      <c r="A67" s="191" t="s">
        <v>74</v>
      </c>
      <c r="B67" s="197"/>
      <c r="D67" s="193" t="s">
        <v>30</v>
      </c>
      <c r="E67" s="202">
        <f>SUM(E48:E66)</f>
        <v>1750</v>
      </c>
      <c r="H67" s="191" t="s">
        <v>74</v>
      </c>
      <c r="I67" s="197"/>
      <c r="K67" s="193" t="s">
        <v>30</v>
      </c>
      <c r="L67" s="202">
        <f>SUM(L48:L66)</f>
        <v>2250</v>
      </c>
    </row>
    <row r="68"/>
    <row r="69"/>
    <row r="70" ht="22.5" customHeight="1">
      <c r="A70" s="189" t="s">
        <v>49</v>
      </c>
      <c r="B70" s="189" t="s">
        <v>50</v>
      </c>
      <c r="C70" s="189" t="s">
        <v>51</v>
      </c>
      <c r="D70" s="189" t="s">
        <v>52</v>
      </c>
      <c r="E70" s="189" t="s">
        <v>53</v>
      </c>
      <c r="H70" s="189" t="s">
        <v>49</v>
      </c>
      <c r="I70" s="189" t="s">
        <v>50</v>
      </c>
      <c r="J70" s="189" t="s">
        <v>51</v>
      </c>
      <c r="K70" s="189" t="s">
        <v>52</v>
      </c>
      <c r="L70" s="189" t="s">
        <v>53</v>
      </c>
    </row>
    <row r="71" ht="22.5" customHeight="1">
      <c r="A71" s="191" t="s">
        <v>55</v>
      </c>
      <c r="B71" s="196">
        <v>1000.0</v>
      </c>
      <c r="C71" s="192">
        <v>1.0</v>
      </c>
      <c r="D71" s="193" t="b">
        <v>1</v>
      </c>
      <c r="E71" s="197">
        <f t="shared" ref="E71:E89" si="7">IF(D71=TRUE, B71, 0)
</f>
        <v>1000</v>
      </c>
      <c r="H71" s="191" t="s">
        <v>55</v>
      </c>
      <c r="I71" s="196">
        <v>1000.0</v>
      </c>
      <c r="J71" s="192">
        <v>1.0</v>
      </c>
      <c r="K71" s="193" t="b">
        <v>1</v>
      </c>
      <c r="L71" s="197">
        <f t="shared" ref="L71:L89" si="8">IF(K71=TRUE, I71, 0)
</f>
        <v>1000</v>
      </c>
    </row>
    <row r="72" ht="22.5" customHeight="1">
      <c r="A72" s="191" t="s">
        <v>56</v>
      </c>
      <c r="B72" s="196">
        <v>250.0</v>
      </c>
      <c r="C72" s="192">
        <v>1.0</v>
      </c>
      <c r="D72" s="193" t="b">
        <v>0</v>
      </c>
      <c r="E72" s="194">
        <f t="shared" si="7"/>
        <v>0</v>
      </c>
      <c r="H72" s="191" t="s">
        <v>56</v>
      </c>
      <c r="I72" s="196">
        <v>250.0</v>
      </c>
      <c r="J72" s="192">
        <v>1.0</v>
      </c>
      <c r="K72" s="193" t="b">
        <v>0</v>
      </c>
      <c r="L72" s="194">
        <f t="shared" si="8"/>
        <v>0</v>
      </c>
    </row>
    <row r="73" ht="22.5" customHeight="1">
      <c r="A73" s="191" t="s">
        <v>57</v>
      </c>
      <c r="B73" s="196">
        <v>250.0</v>
      </c>
      <c r="C73" s="192">
        <v>1.0</v>
      </c>
      <c r="D73" s="193" t="b">
        <v>1</v>
      </c>
      <c r="E73" s="197">
        <f t="shared" si="7"/>
        <v>250</v>
      </c>
      <c r="H73" s="191" t="s">
        <v>57</v>
      </c>
      <c r="I73" s="196">
        <v>250.0</v>
      </c>
      <c r="J73" s="192">
        <v>1.0</v>
      </c>
      <c r="K73" s="193" t="b">
        <v>0</v>
      </c>
      <c r="L73" s="194">
        <f t="shared" si="8"/>
        <v>0</v>
      </c>
    </row>
    <row r="74" ht="22.5" customHeight="1">
      <c r="A74" s="191" t="s">
        <v>58</v>
      </c>
      <c r="B74" s="196">
        <v>250.0</v>
      </c>
      <c r="C74" s="192">
        <v>1.0</v>
      </c>
      <c r="D74" s="193" t="b">
        <v>1</v>
      </c>
      <c r="E74" s="197">
        <f t="shared" si="7"/>
        <v>250</v>
      </c>
      <c r="H74" s="191" t="s">
        <v>58</v>
      </c>
      <c r="I74" s="196">
        <v>250.0</v>
      </c>
      <c r="J74" s="192">
        <v>1.0</v>
      </c>
      <c r="K74" s="193" t="b">
        <v>1</v>
      </c>
      <c r="L74" s="197">
        <f t="shared" si="8"/>
        <v>250</v>
      </c>
    </row>
    <row r="75" ht="22.5" customHeight="1">
      <c r="A75" s="191" t="s">
        <v>59</v>
      </c>
      <c r="B75" s="196">
        <v>250.0</v>
      </c>
      <c r="C75" s="192">
        <v>1.0</v>
      </c>
      <c r="D75" s="193" t="b">
        <v>1</v>
      </c>
      <c r="E75" s="197">
        <f t="shared" si="7"/>
        <v>250</v>
      </c>
      <c r="H75" s="191" t="s">
        <v>59</v>
      </c>
      <c r="I75" s="196">
        <v>250.0</v>
      </c>
      <c r="J75" s="192">
        <v>1.0</v>
      </c>
      <c r="K75" s="193" t="b">
        <v>1</v>
      </c>
      <c r="L75" s="197">
        <f t="shared" si="8"/>
        <v>250</v>
      </c>
    </row>
    <row r="76" ht="22.5" customHeight="1">
      <c r="A76" s="191" t="s">
        <v>60</v>
      </c>
      <c r="B76" s="196">
        <v>250.0</v>
      </c>
      <c r="C76" s="192">
        <v>1.0</v>
      </c>
      <c r="D76" s="193" t="b">
        <v>0</v>
      </c>
      <c r="E76" s="194">
        <f t="shared" si="7"/>
        <v>0</v>
      </c>
      <c r="H76" s="191" t="s">
        <v>60</v>
      </c>
      <c r="I76" s="196">
        <v>250.0</v>
      </c>
      <c r="J76" s="192">
        <v>1.0</v>
      </c>
      <c r="K76" s="193" t="b">
        <v>0</v>
      </c>
      <c r="L76" s="194">
        <f t="shared" si="8"/>
        <v>0</v>
      </c>
    </row>
    <row r="77" ht="22.5" customHeight="1">
      <c r="A77" s="191" t="s">
        <v>61</v>
      </c>
      <c r="B77" s="196">
        <v>250.0</v>
      </c>
      <c r="C77" s="192">
        <v>1.0</v>
      </c>
      <c r="D77" s="193" t="b">
        <v>0</v>
      </c>
      <c r="E77" s="194">
        <f t="shared" si="7"/>
        <v>0</v>
      </c>
      <c r="H77" s="191" t="s">
        <v>61</v>
      </c>
      <c r="I77" s="196">
        <v>250.0</v>
      </c>
      <c r="J77" s="192">
        <v>1.0</v>
      </c>
      <c r="K77" s="193" t="b">
        <v>0</v>
      </c>
      <c r="L77" s="194">
        <f t="shared" si="8"/>
        <v>0</v>
      </c>
    </row>
    <row r="78" ht="22.5" customHeight="1">
      <c r="A78" s="191" t="s">
        <v>62</v>
      </c>
      <c r="B78" s="196">
        <v>250.0</v>
      </c>
      <c r="C78" s="192">
        <v>1.0</v>
      </c>
      <c r="D78" s="193" t="b">
        <v>0</v>
      </c>
      <c r="E78" s="194">
        <f t="shared" si="7"/>
        <v>0</v>
      </c>
      <c r="H78" s="191" t="s">
        <v>62</v>
      </c>
      <c r="I78" s="196">
        <v>250.0</v>
      </c>
      <c r="J78" s="192">
        <v>1.0</v>
      </c>
      <c r="K78" s="193" t="b">
        <v>0</v>
      </c>
      <c r="L78" s="194">
        <f t="shared" si="8"/>
        <v>0</v>
      </c>
    </row>
    <row r="79" ht="22.5" customHeight="1">
      <c r="A79" s="191" t="s">
        <v>63</v>
      </c>
      <c r="B79" s="196">
        <v>250.0</v>
      </c>
      <c r="C79" s="192">
        <v>1.0</v>
      </c>
      <c r="D79" s="193" t="b">
        <v>0</v>
      </c>
      <c r="E79" s="194">
        <f t="shared" si="7"/>
        <v>0</v>
      </c>
      <c r="H79" s="191" t="s">
        <v>63</v>
      </c>
      <c r="I79" s="196">
        <v>250.0</v>
      </c>
      <c r="J79" s="192">
        <v>1.0</v>
      </c>
      <c r="K79" s="193" t="b">
        <v>1</v>
      </c>
      <c r="L79" s="197">
        <f t="shared" si="8"/>
        <v>250</v>
      </c>
    </row>
    <row r="80" ht="22.5" customHeight="1">
      <c r="A80" s="191" t="s">
        <v>64</v>
      </c>
      <c r="B80" s="196">
        <v>250.0</v>
      </c>
      <c r="C80" s="192">
        <v>1.0</v>
      </c>
      <c r="D80" s="193" t="b">
        <v>0</v>
      </c>
      <c r="E80" s="194">
        <f t="shared" si="7"/>
        <v>0</v>
      </c>
      <c r="H80" s="191" t="s">
        <v>64</v>
      </c>
      <c r="I80" s="196">
        <v>250.0</v>
      </c>
      <c r="J80" s="192">
        <v>1.0</v>
      </c>
      <c r="K80" s="193" t="b">
        <v>0</v>
      </c>
      <c r="L80" s="194">
        <f t="shared" si="8"/>
        <v>0</v>
      </c>
    </row>
    <row r="81" ht="22.5" customHeight="1">
      <c r="A81" s="191" t="s">
        <v>65</v>
      </c>
      <c r="B81" s="196">
        <v>250.0</v>
      </c>
      <c r="C81" s="192">
        <v>1.0</v>
      </c>
      <c r="D81" s="193" t="b">
        <v>1</v>
      </c>
      <c r="E81" s="197">
        <f t="shared" si="7"/>
        <v>250</v>
      </c>
      <c r="H81" s="191" t="s">
        <v>65</v>
      </c>
      <c r="I81" s="196">
        <v>250.0</v>
      </c>
      <c r="J81" s="192">
        <v>1.0</v>
      </c>
      <c r="K81" s="193" t="b">
        <v>0</v>
      </c>
      <c r="L81" s="194">
        <f t="shared" si="8"/>
        <v>0</v>
      </c>
    </row>
    <row r="82" ht="22.5" customHeight="1">
      <c r="A82" s="191" t="s">
        <v>66</v>
      </c>
      <c r="B82" s="196">
        <v>250.0</v>
      </c>
      <c r="C82" s="192">
        <v>1.0</v>
      </c>
      <c r="D82" s="193" t="b">
        <v>0</v>
      </c>
      <c r="E82" s="194">
        <f t="shared" si="7"/>
        <v>0</v>
      </c>
      <c r="H82" s="191" t="s">
        <v>66</v>
      </c>
      <c r="I82" s="196">
        <v>250.0</v>
      </c>
      <c r="J82" s="192">
        <v>1.0</v>
      </c>
      <c r="K82" s="193" t="b">
        <v>0</v>
      </c>
      <c r="L82" s="194">
        <f t="shared" si="8"/>
        <v>0</v>
      </c>
    </row>
    <row r="83" ht="22.5" customHeight="1">
      <c r="A83" s="191" t="s">
        <v>67</v>
      </c>
      <c r="B83" s="196">
        <v>250.0</v>
      </c>
      <c r="C83" s="192">
        <v>1.0</v>
      </c>
      <c r="D83" s="193" t="b">
        <v>0</v>
      </c>
      <c r="E83" s="194">
        <f t="shared" si="7"/>
        <v>0</v>
      </c>
      <c r="H83" s="191" t="s">
        <v>67</v>
      </c>
      <c r="I83" s="196">
        <v>250.0</v>
      </c>
      <c r="J83" s="192">
        <v>1.0</v>
      </c>
      <c r="K83" s="193" t="b">
        <v>1</v>
      </c>
      <c r="L83" s="197">
        <f t="shared" si="8"/>
        <v>250</v>
      </c>
    </row>
    <row r="84" ht="22.5" customHeight="1">
      <c r="A84" s="191" t="s">
        <v>68</v>
      </c>
      <c r="B84" s="196">
        <v>250.0</v>
      </c>
      <c r="C84" s="192">
        <v>1.0</v>
      </c>
      <c r="D84" s="193" t="b">
        <v>0</v>
      </c>
      <c r="E84" s="194">
        <f t="shared" si="7"/>
        <v>0</v>
      </c>
      <c r="H84" s="191" t="s">
        <v>68</v>
      </c>
      <c r="I84" s="196">
        <v>250.0</v>
      </c>
      <c r="J84" s="192">
        <v>1.0</v>
      </c>
      <c r="K84" s="193" t="b">
        <v>0</v>
      </c>
      <c r="L84" s="194">
        <f t="shared" si="8"/>
        <v>0</v>
      </c>
    </row>
    <row r="85" ht="22.5" customHeight="1">
      <c r="A85" s="191" t="s">
        <v>69</v>
      </c>
      <c r="B85" s="196">
        <v>250.0</v>
      </c>
      <c r="C85" s="192">
        <v>1.0</v>
      </c>
      <c r="D85" s="193" t="b">
        <v>0</v>
      </c>
      <c r="E85" s="194">
        <f t="shared" si="7"/>
        <v>0</v>
      </c>
      <c r="H85" s="191" t="s">
        <v>69</v>
      </c>
      <c r="I85" s="196">
        <v>250.0</v>
      </c>
      <c r="J85" s="192">
        <v>1.0</v>
      </c>
      <c r="K85" s="193" t="b">
        <v>0</v>
      </c>
      <c r="L85" s="194">
        <f t="shared" si="8"/>
        <v>0</v>
      </c>
    </row>
    <row r="86" ht="22.5" customHeight="1">
      <c r="A86" s="191" t="s">
        <v>70</v>
      </c>
      <c r="B86" s="196">
        <v>250.0</v>
      </c>
      <c r="C86" s="192">
        <v>1.0</v>
      </c>
      <c r="D86" s="193" t="b">
        <v>0</v>
      </c>
      <c r="E86" s="194">
        <f t="shared" si="7"/>
        <v>0</v>
      </c>
      <c r="H86" s="191" t="s">
        <v>70</v>
      </c>
      <c r="I86" s="196">
        <v>250.0</v>
      </c>
      <c r="J86" s="192">
        <v>1.0</v>
      </c>
      <c r="K86" s="193" t="b">
        <v>0</v>
      </c>
      <c r="L86" s="194">
        <f t="shared" si="8"/>
        <v>0</v>
      </c>
    </row>
    <row r="87" ht="22.5" customHeight="1">
      <c r="A87" s="191" t="s">
        <v>71</v>
      </c>
      <c r="B87" s="196">
        <v>250.0</v>
      </c>
      <c r="C87" s="192">
        <v>1.0</v>
      </c>
      <c r="D87" s="193" t="b">
        <v>0</v>
      </c>
      <c r="E87" s="194">
        <f t="shared" si="7"/>
        <v>0</v>
      </c>
      <c r="H87" s="191" t="s">
        <v>71</v>
      </c>
      <c r="I87" s="196">
        <v>250.0</v>
      </c>
      <c r="J87" s="192">
        <v>1.0</v>
      </c>
      <c r="K87" s="193" t="b">
        <v>0</v>
      </c>
      <c r="L87" s="194">
        <f t="shared" si="8"/>
        <v>0</v>
      </c>
    </row>
    <row r="88" ht="22.5" customHeight="1">
      <c r="A88" s="191" t="s">
        <v>72</v>
      </c>
      <c r="B88" s="196">
        <v>250.0</v>
      </c>
      <c r="C88" s="192">
        <v>1.0</v>
      </c>
      <c r="D88" s="193" t="b">
        <v>1</v>
      </c>
      <c r="E88" s="197">
        <f t="shared" si="7"/>
        <v>250</v>
      </c>
      <c r="H88" s="191" t="s">
        <v>72</v>
      </c>
      <c r="I88" s="196">
        <v>250.0</v>
      </c>
      <c r="J88" s="192">
        <v>1.0</v>
      </c>
      <c r="K88" s="193" t="b">
        <v>0</v>
      </c>
      <c r="L88" s="194">
        <f t="shared" si="8"/>
        <v>0</v>
      </c>
    </row>
    <row r="89" ht="22.5" customHeight="1">
      <c r="A89" s="191" t="s">
        <v>73</v>
      </c>
      <c r="B89" s="196">
        <v>250.0</v>
      </c>
      <c r="C89" s="192">
        <v>1.0</v>
      </c>
      <c r="D89" s="193" t="b">
        <v>0</v>
      </c>
      <c r="E89" s="194">
        <f t="shared" si="7"/>
        <v>0</v>
      </c>
      <c r="H89" s="191" t="s">
        <v>73</v>
      </c>
      <c r="I89" s="196">
        <v>250.0</v>
      </c>
      <c r="J89" s="192">
        <v>1.0</v>
      </c>
      <c r="K89" s="193" t="b">
        <v>0</v>
      </c>
      <c r="L89" s="194">
        <f t="shared" si="8"/>
        <v>0</v>
      </c>
    </row>
    <row r="90" ht="22.5" customHeight="1">
      <c r="A90" s="191" t="s">
        <v>74</v>
      </c>
      <c r="B90" s="197"/>
      <c r="D90" s="193" t="s">
        <v>30</v>
      </c>
      <c r="E90" s="202">
        <f>SUM(E71:E89)</f>
        <v>2250</v>
      </c>
      <c r="H90" s="191" t="s">
        <v>74</v>
      </c>
      <c r="I90" s="197"/>
      <c r="K90" s="193" t="s">
        <v>30</v>
      </c>
      <c r="L90" s="202">
        <f>SUM(L71:L89)</f>
        <v>2000</v>
      </c>
    </row>
    <row r="91"/>
    <row r="92"/>
    <row r="93" ht="22.5" customHeight="1">
      <c r="A93" s="189" t="s">
        <v>49</v>
      </c>
      <c r="B93" s="189" t="s">
        <v>50</v>
      </c>
      <c r="C93" s="189" t="s">
        <v>51</v>
      </c>
      <c r="D93" s="189" t="s">
        <v>52</v>
      </c>
      <c r="E93" s="189" t="s">
        <v>53</v>
      </c>
      <c r="H93" s="189" t="s">
        <v>49</v>
      </c>
      <c r="I93" s="189" t="s">
        <v>50</v>
      </c>
      <c r="J93" s="189" t="s">
        <v>51</v>
      </c>
      <c r="K93" s="189" t="s">
        <v>52</v>
      </c>
      <c r="L93" s="189" t="s">
        <v>53</v>
      </c>
    </row>
    <row r="94" ht="22.5" customHeight="1">
      <c r="A94" s="191" t="s">
        <v>55</v>
      </c>
      <c r="B94" s="196">
        <v>1000.0</v>
      </c>
      <c r="C94" s="192">
        <v>1.0</v>
      </c>
      <c r="D94" s="193" t="b">
        <v>1</v>
      </c>
      <c r="E94" s="197">
        <f t="shared" ref="E94:E112" si="9">IF(D94=TRUE, B94, 0)
</f>
        <v>1000</v>
      </c>
      <c r="H94" s="191" t="s">
        <v>55</v>
      </c>
      <c r="I94" s="196">
        <v>1000.0</v>
      </c>
      <c r="J94" s="192">
        <v>1.0</v>
      </c>
      <c r="K94" s="193" t="b">
        <v>1</v>
      </c>
      <c r="L94" s="197">
        <f t="shared" ref="L94:L112" si="10">IF(K94=TRUE, I94, 0)
</f>
        <v>1000</v>
      </c>
    </row>
    <row r="95" ht="22.5" customHeight="1">
      <c r="A95" s="191" t="s">
        <v>56</v>
      </c>
      <c r="B95" s="196">
        <v>250.0</v>
      </c>
      <c r="C95" s="192">
        <v>1.0</v>
      </c>
      <c r="D95" s="193" t="b">
        <v>1</v>
      </c>
      <c r="E95" s="197">
        <f t="shared" si="9"/>
        <v>250</v>
      </c>
      <c r="H95" s="191" t="s">
        <v>56</v>
      </c>
      <c r="I95" s="196">
        <v>250.0</v>
      </c>
      <c r="J95" s="192">
        <v>1.0</v>
      </c>
      <c r="K95" s="193" t="b">
        <v>1</v>
      </c>
      <c r="L95" s="197">
        <f t="shared" si="10"/>
        <v>250</v>
      </c>
    </row>
    <row r="96" ht="22.5" customHeight="1">
      <c r="A96" s="191" t="s">
        <v>57</v>
      </c>
      <c r="B96" s="196">
        <v>250.0</v>
      </c>
      <c r="C96" s="192">
        <v>1.0</v>
      </c>
      <c r="D96" s="193" t="b">
        <v>1</v>
      </c>
      <c r="E96" s="197">
        <f t="shared" si="9"/>
        <v>250</v>
      </c>
      <c r="H96" s="191" t="s">
        <v>57</v>
      </c>
      <c r="I96" s="196">
        <v>250.0</v>
      </c>
      <c r="J96" s="192">
        <v>1.0</v>
      </c>
      <c r="K96" s="193" t="b">
        <v>0</v>
      </c>
      <c r="L96" s="194">
        <f t="shared" si="10"/>
        <v>0</v>
      </c>
    </row>
    <row r="97" ht="22.5" customHeight="1">
      <c r="A97" s="191" t="s">
        <v>58</v>
      </c>
      <c r="B97" s="196">
        <v>250.0</v>
      </c>
      <c r="C97" s="192">
        <v>1.0</v>
      </c>
      <c r="D97" s="193" t="b">
        <v>0</v>
      </c>
      <c r="E97" s="194">
        <f t="shared" si="9"/>
        <v>0</v>
      </c>
      <c r="H97" s="191" t="s">
        <v>58</v>
      </c>
      <c r="I97" s="196">
        <v>250.0</v>
      </c>
      <c r="J97" s="192">
        <v>1.0</v>
      </c>
      <c r="K97" s="193" t="b">
        <v>1</v>
      </c>
      <c r="L97" s="197">
        <f t="shared" si="10"/>
        <v>250</v>
      </c>
    </row>
    <row r="98" ht="22.5" customHeight="1">
      <c r="A98" s="191" t="s">
        <v>59</v>
      </c>
      <c r="B98" s="196">
        <v>250.0</v>
      </c>
      <c r="C98" s="192">
        <v>1.0</v>
      </c>
      <c r="D98" s="193" t="b">
        <v>1</v>
      </c>
      <c r="E98" s="197">
        <f t="shared" si="9"/>
        <v>250</v>
      </c>
      <c r="H98" s="191" t="s">
        <v>59</v>
      </c>
      <c r="I98" s="196">
        <v>250.0</v>
      </c>
      <c r="J98" s="192">
        <v>1.0</v>
      </c>
      <c r="K98" s="193" t="b">
        <v>1</v>
      </c>
      <c r="L98" s="197">
        <f t="shared" si="10"/>
        <v>250</v>
      </c>
    </row>
    <row r="99" ht="22.5" customHeight="1">
      <c r="A99" s="191" t="s">
        <v>60</v>
      </c>
      <c r="B99" s="196">
        <v>250.0</v>
      </c>
      <c r="C99" s="192">
        <v>1.0</v>
      </c>
      <c r="D99" s="193" t="b">
        <v>0</v>
      </c>
      <c r="E99" s="194">
        <f t="shared" si="9"/>
        <v>0</v>
      </c>
      <c r="H99" s="191" t="s">
        <v>60</v>
      </c>
      <c r="I99" s="196">
        <v>250.0</v>
      </c>
      <c r="J99" s="192">
        <v>1.0</v>
      </c>
      <c r="K99" s="193" t="b">
        <v>0</v>
      </c>
      <c r="L99" s="194">
        <f t="shared" si="10"/>
        <v>0</v>
      </c>
    </row>
    <row r="100" ht="22.5" customHeight="1">
      <c r="A100" s="191" t="s">
        <v>61</v>
      </c>
      <c r="B100" s="196">
        <v>250.0</v>
      </c>
      <c r="C100" s="192">
        <v>1.0</v>
      </c>
      <c r="D100" s="193" t="b">
        <v>0</v>
      </c>
      <c r="E100" s="194">
        <f t="shared" si="9"/>
        <v>0</v>
      </c>
      <c r="H100" s="191" t="s">
        <v>61</v>
      </c>
      <c r="I100" s="196">
        <v>250.0</v>
      </c>
      <c r="J100" s="192">
        <v>1.0</v>
      </c>
      <c r="K100" s="193" t="b">
        <v>0</v>
      </c>
      <c r="L100" s="194">
        <f t="shared" si="10"/>
        <v>0</v>
      </c>
    </row>
    <row r="101" ht="22.5" customHeight="1">
      <c r="A101" s="191" t="s">
        <v>62</v>
      </c>
      <c r="B101" s="196">
        <v>250.0</v>
      </c>
      <c r="C101" s="192">
        <v>1.0</v>
      </c>
      <c r="D101" s="193" t="b">
        <v>0</v>
      </c>
      <c r="E101" s="194">
        <f t="shared" si="9"/>
        <v>0</v>
      </c>
      <c r="H101" s="191" t="s">
        <v>62</v>
      </c>
      <c r="I101" s="196">
        <v>250.0</v>
      </c>
      <c r="J101" s="192">
        <v>1.0</v>
      </c>
      <c r="K101" s="193" t="b">
        <v>0</v>
      </c>
      <c r="L101" s="194">
        <f t="shared" si="10"/>
        <v>0</v>
      </c>
    </row>
    <row r="102" ht="22.5" customHeight="1">
      <c r="A102" s="191" t="s">
        <v>63</v>
      </c>
      <c r="B102" s="196">
        <v>250.0</v>
      </c>
      <c r="C102" s="192">
        <v>1.0</v>
      </c>
      <c r="D102" s="193" t="b">
        <v>0</v>
      </c>
      <c r="E102" s="194">
        <f t="shared" si="9"/>
        <v>0</v>
      </c>
      <c r="H102" s="191" t="s">
        <v>63</v>
      </c>
      <c r="I102" s="196">
        <v>250.0</v>
      </c>
      <c r="J102" s="192">
        <v>1.0</v>
      </c>
      <c r="K102" s="193" t="b">
        <v>0</v>
      </c>
      <c r="L102" s="194">
        <f t="shared" si="10"/>
        <v>0</v>
      </c>
    </row>
    <row r="103" ht="22.5" customHeight="1">
      <c r="A103" s="191" t="s">
        <v>64</v>
      </c>
      <c r="B103" s="196">
        <v>250.0</v>
      </c>
      <c r="C103" s="192">
        <v>1.0</v>
      </c>
      <c r="D103" s="193" t="b">
        <v>0</v>
      </c>
      <c r="E103" s="194">
        <f t="shared" si="9"/>
        <v>0</v>
      </c>
      <c r="H103" s="191" t="s">
        <v>64</v>
      </c>
      <c r="I103" s="196">
        <v>250.0</v>
      </c>
      <c r="J103" s="192">
        <v>1.0</v>
      </c>
      <c r="K103" s="193" t="b">
        <v>0</v>
      </c>
      <c r="L103" s="194">
        <f t="shared" si="10"/>
        <v>0</v>
      </c>
    </row>
    <row r="104" ht="22.5" customHeight="1">
      <c r="A104" s="191" t="s">
        <v>65</v>
      </c>
      <c r="B104" s="196">
        <v>250.0</v>
      </c>
      <c r="C104" s="192">
        <v>1.0</v>
      </c>
      <c r="D104" s="193" t="b">
        <v>0</v>
      </c>
      <c r="E104" s="194">
        <f t="shared" si="9"/>
        <v>0</v>
      </c>
      <c r="H104" s="191" t="s">
        <v>65</v>
      </c>
      <c r="I104" s="196">
        <v>250.0</v>
      </c>
      <c r="J104" s="192">
        <v>1.0</v>
      </c>
      <c r="K104" s="193" t="b">
        <v>0</v>
      </c>
      <c r="L104" s="194">
        <f t="shared" si="10"/>
        <v>0</v>
      </c>
    </row>
    <row r="105" ht="22.5" customHeight="1">
      <c r="A105" s="191" t="s">
        <v>66</v>
      </c>
      <c r="B105" s="196">
        <v>250.0</v>
      </c>
      <c r="C105" s="192">
        <v>1.0</v>
      </c>
      <c r="D105" s="193" t="b">
        <v>0</v>
      </c>
      <c r="E105" s="194">
        <f t="shared" si="9"/>
        <v>0</v>
      </c>
      <c r="H105" s="191" t="s">
        <v>66</v>
      </c>
      <c r="I105" s="196">
        <v>250.0</v>
      </c>
      <c r="J105" s="192">
        <v>1.0</v>
      </c>
      <c r="K105" s="193" t="b">
        <v>0</v>
      </c>
      <c r="L105" s="194">
        <f t="shared" si="10"/>
        <v>0</v>
      </c>
    </row>
    <row r="106" ht="22.5" customHeight="1">
      <c r="A106" s="191" t="s">
        <v>67</v>
      </c>
      <c r="B106" s="196">
        <v>250.0</v>
      </c>
      <c r="C106" s="192">
        <v>1.0</v>
      </c>
      <c r="D106" s="193" t="b">
        <v>0</v>
      </c>
      <c r="E106" s="194">
        <f t="shared" si="9"/>
        <v>0</v>
      </c>
      <c r="H106" s="191" t="s">
        <v>67</v>
      </c>
      <c r="I106" s="196">
        <v>250.0</v>
      </c>
      <c r="J106" s="192">
        <v>1.0</v>
      </c>
      <c r="K106" s="193" t="b">
        <v>0</v>
      </c>
      <c r="L106" s="194">
        <f t="shared" si="10"/>
        <v>0</v>
      </c>
    </row>
    <row r="107" ht="22.5" customHeight="1">
      <c r="A107" s="191" t="s">
        <v>68</v>
      </c>
      <c r="B107" s="196">
        <v>250.0</v>
      </c>
      <c r="C107" s="192">
        <v>1.0</v>
      </c>
      <c r="D107" s="193" t="b">
        <v>0</v>
      </c>
      <c r="E107" s="194">
        <f t="shared" si="9"/>
        <v>0</v>
      </c>
      <c r="H107" s="191" t="s">
        <v>68</v>
      </c>
      <c r="I107" s="196">
        <v>250.0</v>
      </c>
      <c r="J107" s="192">
        <v>1.0</v>
      </c>
      <c r="K107" s="193" t="b">
        <v>1</v>
      </c>
      <c r="L107" s="197">
        <f t="shared" si="10"/>
        <v>250</v>
      </c>
    </row>
    <row r="108" ht="22.5" customHeight="1">
      <c r="A108" s="191" t="s">
        <v>69</v>
      </c>
      <c r="B108" s="196">
        <v>250.0</v>
      </c>
      <c r="C108" s="192">
        <v>1.0</v>
      </c>
      <c r="D108" s="193" t="b">
        <v>1</v>
      </c>
      <c r="E108" s="197">
        <f t="shared" si="9"/>
        <v>250</v>
      </c>
      <c r="H108" s="191" t="s">
        <v>69</v>
      </c>
      <c r="I108" s="196">
        <v>250.0</v>
      </c>
      <c r="J108" s="192">
        <v>1.0</v>
      </c>
      <c r="K108" s="193" t="b">
        <v>0</v>
      </c>
      <c r="L108" s="194">
        <f t="shared" si="10"/>
        <v>0</v>
      </c>
    </row>
    <row r="109" ht="22.5" customHeight="1">
      <c r="A109" s="191" t="s">
        <v>70</v>
      </c>
      <c r="B109" s="196">
        <v>250.0</v>
      </c>
      <c r="C109" s="192">
        <v>1.0</v>
      </c>
      <c r="D109" s="193" t="b">
        <v>1</v>
      </c>
      <c r="E109" s="197">
        <f t="shared" si="9"/>
        <v>250</v>
      </c>
      <c r="H109" s="191" t="s">
        <v>70</v>
      </c>
      <c r="I109" s="196">
        <v>250.0</v>
      </c>
      <c r="J109" s="192">
        <v>1.0</v>
      </c>
      <c r="K109" s="193" t="b">
        <v>1</v>
      </c>
      <c r="L109" s="197">
        <f t="shared" si="10"/>
        <v>250</v>
      </c>
    </row>
    <row r="110" ht="22.5" customHeight="1">
      <c r="A110" s="191" t="s">
        <v>71</v>
      </c>
      <c r="B110" s="196">
        <v>250.0</v>
      </c>
      <c r="C110" s="192">
        <v>1.0</v>
      </c>
      <c r="D110" s="193" t="b">
        <v>0</v>
      </c>
      <c r="E110" s="194">
        <f t="shared" si="9"/>
        <v>0</v>
      </c>
      <c r="H110" s="191" t="s">
        <v>71</v>
      </c>
      <c r="I110" s="196">
        <v>250.0</v>
      </c>
      <c r="J110" s="192">
        <v>1.0</v>
      </c>
      <c r="K110" s="193" t="b">
        <v>0</v>
      </c>
      <c r="L110" s="194">
        <f t="shared" si="10"/>
        <v>0</v>
      </c>
    </row>
    <row r="111" ht="22.5" customHeight="1">
      <c r="A111" s="191" t="s">
        <v>72</v>
      </c>
      <c r="B111" s="196">
        <v>250.0</v>
      </c>
      <c r="C111" s="192">
        <v>1.0</v>
      </c>
      <c r="D111" s="193" t="b">
        <v>0</v>
      </c>
      <c r="E111" s="194">
        <f t="shared" si="9"/>
        <v>0</v>
      </c>
      <c r="H111" s="191" t="s">
        <v>72</v>
      </c>
      <c r="I111" s="196">
        <v>250.0</v>
      </c>
      <c r="J111" s="192">
        <v>1.0</v>
      </c>
      <c r="K111" s="193" t="b">
        <v>0</v>
      </c>
      <c r="L111" s="194">
        <f t="shared" si="10"/>
        <v>0</v>
      </c>
    </row>
    <row r="112" ht="22.5" customHeight="1">
      <c r="A112" s="191" t="s">
        <v>73</v>
      </c>
      <c r="B112" s="196">
        <v>250.0</v>
      </c>
      <c r="C112" s="192">
        <v>1.0</v>
      </c>
      <c r="D112" s="193" t="b">
        <v>1</v>
      </c>
      <c r="E112" s="197">
        <f t="shared" si="9"/>
        <v>250</v>
      </c>
      <c r="H112" s="191" t="s">
        <v>73</v>
      </c>
      <c r="I112" s="196">
        <v>250.0</v>
      </c>
      <c r="J112" s="192">
        <v>1.0</v>
      </c>
      <c r="K112" s="193" t="b">
        <v>1</v>
      </c>
      <c r="L112" s="197">
        <f t="shared" si="10"/>
        <v>250</v>
      </c>
    </row>
    <row r="113" ht="22.5" customHeight="1">
      <c r="A113" s="191" t="s">
        <v>74</v>
      </c>
      <c r="B113" s="197"/>
      <c r="D113" s="193" t="s">
        <v>30</v>
      </c>
      <c r="E113" s="202">
        <f>SUM(E94:E112)</f>
        <v>2500</v>
      </c>
      <c r="H113" s="191" t="s">
        <v>74</v>
      </c>
      <c r="I113" s="197"/>
      <c r="K113" s="193" t="s">
        <v>30</v>
      </c>
      <c r="L113" s="202">
        <f>SUM(L94:L112)</f>
        <v>2500</v>
      </c>
    </row>
    <row r="114"/>
    <row r="115">
      <c r="H115" s="26" t="s">
        <v>75</v>
      </c>
    </row>
    <row r="116" ht="22.5" customHeight="1">
      <c r="A116" s="189" t="s">
        <v>49</v>
      </c>
      <c r="B116" s="189" t="s">
        <v>50</v>
      </c>
      <c r="C116" s="189" t="s">
        <v>51</v>
      </c>
      <c r="D116" s="189" t="s">
        <v>52</v>
      </c>
      <c r="E116" s="189" t="s">
        <v>53</v>
      </c>
      <c r="H116" s="189" t="s">
        <v>49</v>
      </c>
      <c r="I116" s="189" t="s">
        <v>50</v>
      </c>
      <c r="J116" s="189" t="s">
        <v>51</v>
      </c>
      <c r="K116" s="189" t="s">
        <v>52</v>
      </c>
      <c r="L116" s="189" t="s">
        <v>53</v>
      </c>
    </row>
    <row r="117" ht="22.5" customHeight="1">
      <c r="A117" s="191" t="s">
        <v>55</v>
      </c>
      <c r="B117" s="196">
        <v>1000.0</v>
      </c>
      <c r="C117" s="192">
        <v>1.0</v>
      </c>
      <c r="D117" s="193" t="b">
        <v>1</v>
      </c>
      <c r="E117" s="197">
        <f t="shared" ref="E117:E135" si="11">IF(D117=TRUE, B117, 0)
</f>
        <v>1000</v>
      </c>
      <c r="H117" s="191" t="s">
        <v>55</v>
      </c>
      <c r="I117" s="196">
        <v>1000.0</v>
      </c>
      <c r="J117" s="192">
        <v>1.0</v>
      </c>
      <c r="K117" s="193" t="b">
        <v>1</v>
      </c>
      <c r="L117" s="197">
        <f t="shared" ref="L117:L135" si="12">IF(K117=TRUE, I117, 0)
</f>
        <v>1000</v>
      </c>
    </row>
    <row r="118" ht="22.5" customHeight="1">
      <c r="A118" s="191" t="s">
        <v>56</v>
      </c>
      <c r="B118" s="196">
        <v>250.0</v>
      </c>
      <c r="C118" s="192">
        <v>1.0</v>
      </c>
      <c r="D118" s="193" t="b">
        <v>0</v>
      </c>
      <c r="E118" s="194">
        <f t="shared" si="11"/>
        <v>0</v>
      </c>
      <c r="H118" s="191" t="s">
        <v>56</v>
      </c>
      <c r="I118" s="196">
        <v>250.0</v>
      </c>
      <c r="J118" s="192">
        <v>1.0</v>
      </c>
      <c r="K118" s="193" t="b">
        <v>0</v>
      </c>
      <c r="L118" s="194">
        <f t="shared" si="12"/>
        <v>0</v>
      </c>
    </row>
    <row r="119" ht="22.5" customHeight="1">
      <c r="A119" s="191" t="s">
        <v>57</v>
      </c>
      <c r="B119" s="196">
        <v>250.0</v>
      </c>
      <c r="C119" s="192">
        <v>1.0</v>
      </c>
      <c r="D119" s="193" t="b">
        <v>0</v>
      </c>
      <c r="E119" s="194">
        <f t="shared" si="11"/>
        <v>0</v>
      </c>
      <c r="H119" s="191" t="s">
        <v>57</v>
      </c>
      <c r="I119" s="196">
        <v>250.0</v>
      </c>
      <c r="J119" s="192">
        <v>1.0</v>
      </c>
      <c r="K119" s="193" t="b">
        <v>1</v>
      </c>
      <c r="L119" s="197">
        <f t="shared" si="12"/>
        <v>250</v>
      </c>
    </row>
    <row r="120" ht="22.5" customHeight="1">
      <c r="A120" s="191" t="s">
        <v>58</v>
      </c>
      <c r="B120" s="196">
        <v>250.0</v>
      </c>
      <c r="C120" s="192">
        <v>1.0</v>
      </c>
      <c r="D120" s="193" t="b">
        <v>1</v>
      </c>
      <c r="E120" s="197">
        <f t="shared" si="11"/>
        <v>250</v>
      </c>
      <c r="H120" s="191" t="s">
        <v>58</v>
      </c>
      <c r="I120" s="196">
        <v>250.0</v>
      </c>
      <c r="J120" s="192">
        <v>1.0</v>
      </c>
      <c r="K120" s="193" t="b">
        <v>1</v>
      </c>
      <c r="L120" s="197">
        <f t="shared" si="12"/>
        <v>250</v>
      </c>
    </row>
    <row r="121" ht="22.5" customHeight="1">
      <c r="A121" s="191" t="s">
        <v>59</v>
      </c>
      <c r="B121" s="196">
        <v>250.0</v>
      </c>
      <c r="C121" s="192">
        <v>1.0</v>
      </c>
      <c r="D121" s="193" t="b">
        <v>1</v>
      </c>
      <c r="E121" s="197">
        <f t="shared" si="11"/>
        <v>250</v>
      </c>
      <c r="H121" s="191" t="s">
        <v>59</v>
      </c>
      <c r="I121" s="196">
        <v>250.0</v>
      </c>
      <c r="J121" s="192">
        <v>1.0</v>
      </c>
      <c r="K121" s="193" t="b">
        <v>1</v>
      </c>
      <c r="L121" s="197">
        <f t="shared" si="12"/>
        <v>250</v>
      </c>
    </row>
    <row r="122" ht="22.5" customHeight="1">
      <c r="A122" s="191" t="s">
        <v>60</v>
      </c>
      <c r="B122" s="196">
        <v>250.0</v>
      </c>
      <c r="C122" s="192">
        <v>1.0</v>
      </c>
      <c r="D122" s="193" t="b">
        <v>0</v>
      </c>
      <c r="E122" s="194">
        <f t="shared" si="11"/>
        <v>0</v>
      </c>
      <c r="H122" s="191" t="s">
        <v>60</v>
      </c>
      <c r="I122" s="196">
        <v>250.0</v>
      </c>
      <c r="J122" s="192">
        <v>1.0</v>
      </c>
      <c r="K122" s="193" t="b">
        <v>0</v>
      </c>
      <c r="L122" s="194">
        <f t="shared" si="12"/>
        <v>0</v>
      </c>
      <c r="W122" s="199" t="str">
        <f>'الحظور'!B7</f>
        <v>يوسف يعقوب</v>
      </c>
    </row>
    <row r="123" ht="22.5" customHeight="1">
      <c r="A123" s="191" t="s">
        <v>61</v>
      </c>
      <c r="B123" s="196">
        <v>250.0</v>
      </c>
      <c r="C123" s="192">
        <v>1.0</v>
      </c>
      <c r="D123" s="193" t="b">
        <v>0</v>
      </c>
      <c r="E123" s="194">
        <f t="shared" si="11"/>
        <v>0</v>
      </c>
      <c r="H123" s="191" t="s">
        <v>61</v>
      </c>
      <c r="I123" s="196">
        <v>250.0</v>
      </c>
      <c r="J123" s="192">
        <v>1.0</v>
      </c>
      <c r="K123" s="193" t="b">
        <v>0</v>
      </c>
      <c r="L123" s="194">
        <f t="shared" si="12"/>
        <v>0</v>
      </c>
    </row>
    <row r="124" ht="22.5" customHeight="1">
      <c r="A124" s="191" t="s">
        <v>62</v>
      </c>
      <c r="B124" s="196">
        <v>250.0</v>
      </c>
      <c r="C124" s="192">
        <v>1.0</v>
      </c>
      <c r="D124" s="193" t="b">
        <v>0</v>
      </c>
      <c r="E124" s="194">
        <f t="shared" si="11"/>
        <v>0</v>
      </c>
      <c r="H124" s="191" t="s">
        <v>62</v>
      </c>
      <c r="I124" s="196">
        <v>250.0</v>
      </c>
      <c r="J124" s="192">
        <v>1.0</v>
      </c>
      <c r="K124" s="193" t="b">
        <v>0</v>
      </c>
      <c r="L124" s="194">
        <f t="shared" si="12"/>
        <v>0</v>
      </c>
    </row>
    <row r="125" ht="22.5" customHeight="1">
      <c r="A125" s="191" t="s">
        <v>63</v>
      </c>
      <c r="B125" s="196">
        <v>250.0</v>
      </c>
      <c r="C125" s="192">
        <v>1.0</v>
      </c>
      <c r="D125" s="193" t="b">
        <v>0</v>
      </c>
      <c r="E125" s="194">
        <f t="shared" si="11"/>
        <v>0</v>
      </c>
      <c r="H125" s="191" t="s">
        <v>63</v>
      </c>
      <c r="I125" s="196">
        <v>250.0</v>
      </c>
      <c r="J125" s="192">
        <v>1.0</v>
      </c>
      <c r="K125" s="193" t="b">
        <v>0</v>
      </c>
      <c r="L125" s="194">
        <f t="shared" si="12"/>
        <v>0</v>
      </c>
    </row>
    <row r="126" ht="22.5" customHeight="1">
      <c r="A126" s="191" t="s">
        <v>64</v>
      </c>
      <c r="B126" s="196">
        <v>250.0</v>
      </c>
      <c r="C126" s="192">
        <v>1.0</v>
      </c>
      <c r="D126" s="193" t="b">
        <v>0</v>
      </c>
      <c r="E126" s="194">
        <f t="shared" si="11"/>
        <v>0</v>
      </c>
      <c r="H126" s="191" t="s">
        <v>64</v>
      </c>
      <c r="I126" s="196">
        <v>250.0</v>
      </c>
      <c r="J126" s="192">
        <v>1.0</v>
      </c>
      <c r="K126" s="193" t="b">
        <v>0</v>
      </c>
      <c r="L126" s="194">
        <f t="shared" si="12"/>
        <v>0</v>
      </c>
    </row>
    <row r="127" ht="22.5" customHeight="1">
      <c r="A127" s="191" t="s">
        <v>65</v>
      </c>
      <c r="B127" s="196">
        <v>250.0</v>
      </c>
      <c r="C127" s="192">
        <v>1.0</v>
      </c>
      <c r="D127" s="193" t="b">
        <v>1</v>
      </c>
      <c r="E127" s="197">
        <f t="shared" si="11"/>
        <v>250</v>
      </c>
      <c r="H127" s="191" t="s">
        <v>65</v>
      </c>
      <c r="I127" s="196">
        <v>250.0</v>
      </c>
      <c r="J127" s="192">
        <v>1.0</v>
      </c>
      <c r="K127" s="193" t="b">
        <v>0</v>
      </c>
      <c r="L127" s="194">
        <f t="shared" si="12"/>
        <v>0</v>
      </c>
    </row>
    <row r="128" ht="22.5" customHeight="1">
      <c r="A128" s="191" t="s">
        <v>66</v>
      </c>
      <c r="B128" s="196">
        <v>250.0</v>
      </c>
      <c r="C128" s="192">
        <v>1.0</v>
      </c>
      <c r="D128" s="193" t="b">
        <v>0</v>
      </c>
      <c r="E128" s="194">
        <f t="shared" si="11"/>
        <v>0</v>
      </c>
      <c r="H128" s="191" t="s">
        <v>66</v>
      </c>
      <c r="I128" s="196">
        <v>250.0</v>
      </c>
      <c r="J128" s="192">
        <v>1.0</v>
      </c>
      <c r="K128" s="193" t="b">
        <v>0</v>
      </c>
      <c r="L128" s="194">
        <f t="shared" si="12"/>
        <v>0</v>
      </c>
    </row>
    <row r="129" ht="22.5" customHeight="1">
      <c r="A129" s="191" t="s">
        <v>67</v>
      </c>
      <c r="B129" s="196">
        <v>250.0</v>
      </c>
      <c r="C129" s="192">
        <v>1.0</v>
      </c>
      <c r="D129" s="193" t="b">
        <v>1</v>
      </c>
      <c r="E129" s="197">
        <f t="shared" si="11"/>
        <v>250</v>
      </c>
      <c r="H129" s="191" t="s">
        <v>67</v>
      </c>
      <c r="I129" s="196">
        <v>250.0</v>
      </c>
      <c r="J129" s="192">
        <v>1.0</v>
      </c>
      <c r="K129" s="193" t="b">
        <v>0</v>
      </c>
      <c r="L129" s="194">
        <f t="shared" si="12"/>
        <v>0</v>
      </c>
    </row>
    <row r="130" ht="22.5" customHeight="1">
      <c r="A130" s="191" t="s">
        <v>68</v>
      </c>
      <c r="B130" s="196">
        <v>250.0</v>
      </c>
      <c r="C130" s="192">
        <v>1.0</v>
      </c>
      <c r="D130" s="193" t="b">
        <v>0</v>
      </c>
      <c r="E130" s="194">
        <f t="shared" si="11"/>
        <v>0</v>
      </c>
      <c r="H130" s="191" t="s">
        <v>68</v>
      </c>
      <c r="I130" s="196">
        <v>250.0</v>
      </c>
      <c r="J130" s="192">
        <v>1.0</v>
      </c>
      <c r="K130" s="193" t="b">
        <v>0</v>
      </c>
      <c r="L130" s="194">
        <f t="shared" si="12"/>
        <v>0</v>
      </c>
    </row>
    <row r="131" ht="22.5" customHeight="1">
      <c r="A131" s="191" t="s">
        <v>69</v>
      </c>
      <c r="B131" s="196">
        <v>250.0</v>
      </c>
      <c r="C131" s="192">
        <v>1.0</v>
      </c>
      <c r="D131" s="193" t="b">
        <v>0</v>
      </c>
      <c r="E131" s="194">
        <f t="shared" si="11"/>
        <v>0</v>
      </c>
      <c r="H131" s="191" t="s">
        <v>69</v>
      </c>
      <c r="I131" s="196">
        <v>250.0</v>
      </c>
      <c r="J131" s="192">
        <v>1.0</v>
      </c>
      <c r="K131" s="193" t="b">
        <v>0</v>
      </c>
      <c r="L131" s="194">
        <f t="shared" si="12"/>
        <v>0</v>
      </c>
    </row>
    <row r="132" ht="22.5" customHeight="1">
      <c r="A132" s="191" t="s">
        <v>70</v>
      </c>
      <c r="B132" s="196">
        <v>250.0</v>
      </c>
      <c r="C132" s="192">
        <v>1.0</v>
      </c>
      <c r="D132" s="193" t="b">
        <v>0</v>
      </c>
      <c r="E132" s="194">
        <f t="shared" si="11"/>
        <v>0</v>
      </c>
      <c r="H132" s="191" t="s">
        <v>70</v>
      </c>
      <c r="I132" s="196">
        <v>250.0</v>
      </c>
      <c r="J132" s="192">
        <v>1.0</v>
      </c>
      <c r="K132" s="193" t="b">
        <v>0</v>
      </c>
      <c r="L132" s="194">
        <f t="shared" si="12"/>
        <v>0</v>
      </c>
    </row>
    <row r="133" ht="22.5" customHeight="1">
      <c r="A133" s="191" t="s">
        <v>71</v>
      </c>
      <c r="B133" s="196">
        <v>250.0</v>
      </c>
      <c r="C133" s="192">
        <v>1.0</v>
      </c>
      <c r="D133" s="193" t="b">
        <v>0</v>
      </c>
      <c r="E133" s="194">
        <f t="shared" si="11"/>
        <v>0</v>
      </c>
      <c r="H133" s="191" t="s">
        <v>71</v>
      </c>
      <c r="I133" s="196">
        <v>250.0</v>
      </c>
      <c r="J133" s="192">
        <v>1.0</v>
      </c>
      <c r="K133" s="193" t="b">
        <v>0</v>
      </c>
      <c r="L133" s="194">
        <f t="shared" si="12"/>
        <v>0</v>
      </c>
    </row>
    <row r="134" ht="22.5" customHeight="1">
      <c r="A134" s="191" t="s">
        <v>72</v>
      </c>
      <c r="B134" s="196">
        <v>250.0</v>
      </c>
      <c r="C134" s="192">
        <v>1.0</v>
      </c>
      <c r="D134" s="193" t="b">
        <v>0</v>
      </c>
      <c r="E134" s="194">
        <f t="shared" si="11"/>
        <v>0</v>
      </c>
      <c r="H134" s="191" t="s">
        <v>72</v>
      </c>
      <c r="I134" s="196">
        <v>250.0</v>
      </c>
      <c r="J134" s="192">
        <v>1.0</v>
      </c>
      <c r="K134" s="193" t="b">
        <v>0</v>
      </c>
      <c r="L134" s="194">
        <f t="shared" si="12"/>
        <v>0</v>
      </c>
    </row>
    <row r="135" ht="22.5" customHeight="1">
      <c r="A135" s="191" t="s">
        <v>73</v>
      </c>
      <c r="B135" s="196">
        <v>250.0</v>
      </c>
      <c r="C135" s="192">
        <v>1.0</v>
      </c>
      <c r="D135" s="193" t="b">
        <v>0</v>
      </c>
      <c r="E135" s="194">
        <f t="shared" si="11"/>
        <v>0</v>
      </c>
      <c r="H135" s="191" t="s">
        <v>73</v>
      </c>
      <c r="I135" s="196">
        <v>250.0</v>
      </c>
      <c r="J135" s="192">
        <v>1.0</v>
      </c>
      <c r="K135" s="193" t="b">
        <v>0</v>
      </c>
      <c r="L135" s="194">
        <f t="shared" si="12"/>
        <v>0</v>
      </c>
    </row>
    <row r="136" ht="22.5" customHeight="1">
      <c r="A136" s="191" t="s">
        <v>74</v>
      </c>
      <c r="B136" s="197"/>
      <c r="D136" s="193" t="s">
        <v>30</v>
      </c>
      <c r="E136" s="202">
        <f>SUM(E117:E135)</f>
        <v>2000</v>
      </c>
      <c r="H136" s="191" t="s">
        <v>74</v>
      </c>
      <c r="I136" s="197"/>
      <c r="K136" s="193" t="s">
        <v>30</v>
      </c>
      <c r="L136" s="202">
        <f>SUM(L117:L135)</f>
        <v>1750</v>
      </c>
    </row>
    <row r="137"/>
    <row r="138"/>
    <row r="139" ht="22.5" customHeight="1">
      <c r="A139" s="189" t="s">
        <v>49</v>
      </c>
      <c r="B139" s="189" t="s">
        <v>50</v>
      </c>
      <c r="C139" s="189" t="s">
        <v>51</v>
      </c>
      <c r="D139" s="189" t="s">
        <v>52</v>
      </c>
      <c r="E139" s="189" t="s">
        <v>53</v>
      </c>
      <c r="H139" s="189" t="s">
        <v>49</v>
      </c>
      <c r="I139" s="189" t="s">
        <v>50</v>
      </c>
      <c r="J139" s="189" t="s">
        <v>51</v>
      </c>
      <c r="K139" s="189" t="s">
        <v>52</v>
      </c>
      <c r="L139" s="189" t="s">
        <v>53</v>
      </c>
    </row>
    <row r="140" ht="22.5" customHeight="1">
      <c r="A140" s="191" t="s">
        <v>55</v>
      </c>
      <c r="B140" s="196">
        <v>1000.0</v>
      </c>
      <c r="C140" s="192">
        <v>1.0</v>
      </c>
      <c r="D140" s="193" t="b">
        <v>0</v>
      </c>
      <c r="E140" s="194">
        <f t="shared" ref="E140:E158" si="13">IF(D140=TRUE, B140, 0)
</f>
        <v>0</v>
      </c>
      <c r="H140" s="191" t="s">
        <v>55</v>
      </c>
      <c r="I140" s="196">
        <v>1000.0</v>
      </c>
      <c r="J140" s="192">
        <v>1.0</v>
      </c>
      <c r="K140" s="193" t="b">
        <v>1</v>
      </c>
      <c r="L140" s="197">
        <f t="shared" ref="L140:L158" si="14">IF(K140=TRUE, I140, 0)
</f>
        <v>1000</v>
      </c>
    </row>
    <row r="141" ht="22.5" customHeight="1">
      <c r="A141" s="191" t="s">
        <v>56</v>
      </c>
      <c r="B141" s="196">
        <v>250.0</v>
      </c>
      <c r="C141" s="192">
        <v>1.0</v>
      </c>
      <c r="D141" s="193" t="b">
        <v>0</v>
      </c>
      <c r="E141" s="194">
        <f t="shared" si="13"/>
        <v>0</v>
      </c>
      <c r="H141" s="191" t="s">
        <v>56</v>
      </c>
      <c r="I141" s="196">
        <v>250.0</v>
      </c>
      <c r="J141" s="192">
        <v>1.0</v>
      </c>
      <c r="K141" s="193" t="b">
        <v>1</v>
      </c>
      <c r="L141" s="197">
        <f t="shared" si="14"/>
        <v>250</v>
      </c>
    </row>
    <row r="142" ht="22.5" customHeight="1">
      <c r="A142" s="191" t="s">
        <v>57</v>
      </c>
      <c r="B142" s="196">
        <v>250.0</v>
      </c>
      <c r="C142" s="192">
        <v>1.0</v>
      </c>
      <c r="D142" s="193" t="b">
        <v>0</v>
      </c>
      <c r="E142" s="194">
        <f t="shared" si="13"/>
        <v>0</v>
      </c>
      <c r="H142" s="191" t="s">
        <v>57</v>
      </c>
      <c r="I142" s="196">
        <v>250.0</v>
      </c>
      <c r="J142" s="192">
        <v>1.0</v>
      </c>
      <c r="K142" s="193" t="b">
        <v>1</v>
      </c>
      <c r="L142" s="197">
        <f t="shared" si="14"/>
        <v>250</v>
      </c>
    </row>
    <row r="143" ht="22.5" customHeight="1">
      <c r="A143" s="191" t="s">
        <v>58</v>
      </c>
      <c r="B143" s="196">
        <v>250.0</v>
      </c>
      <c r="C143" s="192">
        <v>1.0</v>
      </c>
      <c r="D143" s="193" t="b">
        <v>0</v>
      </c>
      <c r="E143" s="194">
        <f t="shared" si="13"/>
        <v>0</v>
      </c>
      <c r="H143" s="191" t="s">
        <v>58</v>
      </c>
      <c r="I143" s="196">
        <v>250.0</v>
      </c>
      <c r="J143" s="192">
        <v>1.0</v>
      </c>
      <c r="K143" s="193" t="b">
        <v>1</v>
      </c>
      <c r="L143" s="197">
        <f t="shared" si="14"/>
        <v>250</v>
      </c>
    </row>
    <row r="144" ht="22.5" customHeight="1">
      <c r="A144" s="191" t="s">
        <v>59</v>
      </c>
      <c r="B144" s="196">
        <v>250.0</v>
      </c>
      <c r="C144" s="192">
        <v>1.0</v>
      </c>
      <c r="D144" s="193" t="b">
        <v>0</v>
      </c>
      <c r="E144" s="194">
        <f t="shared" si="13"/>
        <v>0</v>
      </c>
      <c r="H144" s="191" t="s">
        <v>59</v>
      </c>
      <c r="I144" s="196">
        <v>250.0</v>
      </c>
      <c r="J144" s="192">
        <v>1.0</v>
      </c>
      <c r="K144" s="193" t="b">
        <v>1</v>
      </c>
      <c r="L144" s="197">
        <f t="shared" si="14"/>
        <v>250</v>
      </c>
    </row>
    <row r="145" ht="22.5" customHeight="1">
      <c r="A145" s="191" t="s">
        <v>60</v>
      </c>
      <c r="B145" s="196">
        <v>250.0</v>
      </c>
      <c r="C145" s="192">
        <v>1.0</v>
      </c>
      <c r="D145" s="193" t="b">
        <v>0</v>
      </c>
      <c r="E145" s="194">
        <f t="shared" si="13"/>
        <v>0</v>
      </c>
      <c r="H145" s="191" t="s">
        <v>60</v>
      </c>
      <c r="I145" s="196">
        <v>250.0</v>
      </c>
      <c r="J145" s="192">
        <v>1.0</v>
      </c>
      <c r="K145" s="193" t="b">
        <v>0</v>
      </c>
      <c r="L145" s="194">
        <f t="shared" si="14"/>
        <v>0</v>
      </c>
    </row>
    <row r="146" ht="22.5" customHeight="1">
      <c r="A146" s="191" t="s">
        <v>61</v>
      </c>
      <c r="B146" s="196">
        <v>250.0</v>
      </c>
      <c r="C146" s="192">
        <v>1.0</v>
      </c>
      <c r="D146" s="193" t="b">
        <v>0</v>
      </c>
      <c r="E146" s="194">
        <f t="shared" si="13"/>
        <v>0</v>
      </c>
      <c r="H146" s="191" t="s">
        <v>61</v>
      </c>
      <c r="I146" s="196">
        <v>250.0</v>
      </c>
      <c r="J146" s="192">
        <v>1.0</v>
      </c>
      <c r="K146" s="193" t="b">
        <v>0</v>
      </c>
      <c r="L146" s="194">
        <f t="shared" si="14"/>
        <v>0</v>
      </c>
    </row>
    <row r="147" ht="22.5" customHeight="1">
      <c r="A147" s="191" t="s">
        <v>62</v>
      </c>
      <c r="B147" s="196">
        <v>250.0</v>
      </c>
      <c r="C147" s="192">
        <v>1.0</v>
      </c>
      <c r="D147" s="193" t="b">
        <v>0</v>
      </c>
      <c r="E147" s="194">
        <f t="shared" si="13"/>
        <v>0</v>
      </c>
      <c r="H147" s="191" t="s">
        <v>62</v>
      </c>
      <c r="I147" s="196">
        <v>250.0</v>
      </c>
      <c r="J147" s="192">
        <v>1.0</v>
      </c>
      <c r="K147" s="193" t="b">
        <v>0</v>
      </c>
      <c r="L147" s="194">
        <f t="shared" si="14"/>
        <v>0</v>
      </c>
    </row>
    <row r="148" ht="22.5" customHeight="1">
      <c r="A148" s="191" t="s">
        <v>63</v>
      </c>
      <c r="B148" s="196">
        <v>250.0</v>
      </c>
      <c r="C148" s="192">
        <v>1.0</v>
      </c>
      <c r="D148" s="193" t="b">
        <v>0</v>
      </c>
      <c r="E148" s="194">
        <f t="shared" si="13"/>
        <v>0</v>
      </c>
      <c r="H148" s="191" t="s">
        <v>63</v>
      </c>
      <c r="I148" s="196">
        <v>250.0</v>
      </c>
      <c r="J148" s="192">
        <v>1.0</v>
      </c>
      <c r="K148" s="193" t="b">
        <v>0</v>
      </c>
      <c r="L148" s="194">
        <f t="shared" si="14"/>
        <v>0</v>
      </c>
    </row>
    <row r="149" ht="22.5" customHeight="1">
      <c r="A149" s="191" t="s">
        <v>64</v>
      </c>
      <c r="B149" s="196">
        <v>250.0</v>
      </c>
      <c r="C149" s="192">
        <v>1.0</v>
      </c>
      <c r="D149" s="193" t="b">
        <v>0</v>
      </c>
      <c r="E149" s="194">
        <f t="shared" si="13"/>
        <v>0</v>
      </c>
      <c r="H149" s="191" t="s">
        <v>64</v>
      </c>
      <c r="I149" s="196">
        <v>250.0</v>
      </c>
      <c r="J149" s="192">
        <v>1.0</v>
      </c>
      <c r="K149" s="193" t="b">
        <v>0</v>
      </c>
      <c r="L149" s="194">
        <f t="shared" si="14"/>
        <v>0</v>
      </c>
    </row>
    <row r="150" ht="22.5" customHeight="1">
      <c r="A150" s="191" t="s">
        <v>65</v>
      </c>
      <c r="B150" s="196">
        <v>250.0</v>
      </c>
      <c r="C150" s="192">
        <v>1.0</v>
      </c>
      <c r="D150" s="193" t="b">
        <v>0</v>
      </c>
      <c r="E150" s="194">
        <f t="shared" si="13"/>
        <v>0</v>
      </c>
      <c r="H150" s="191" t="s">
        <v>65</v>
      </c>
      <c r="I150" s="196">
        <v>250.0</v>
      </c>
      <c r="J150" s="192">
        <v>1.0</v>
      </c>
      <c r="K150" s="193" t="b">
        <v>0</v>
      </c>
      <c r="L150" s="194">
        <f t="shared" si="14"/>
        <v>0</v>
      </c>
    </row>
    <row r="151" ht="22.5" customHeight="1">
      <c r="A151" s="191" t="s">
        <v>66</v>
      </c>
      <c r="B151" s="196">
        <v>250.0</v>
      </c>
      <c r="C151" s="192">
        <v>1.0</v>
      </c>
      <c r="D151" s="193" t="b">
        <v>0</v>
      </c>
      <c r="E151" s="194">
        <f t="shared" si="13"/>
        <v>0</v>
      </c>
      <c r="H151" s="191" t="s">
        <v>66</v>
      </c>
      <c r="I151" s="196">
        <v>250.0</v>
      </c>
      <c r="J151" s="192">
        <v>1.0</v>
      </c>
      <c r="K151" s="193" t="b">
        <v>0</v>
      </c>
      <c r="L151" s="194">
        <f t="shared" si="14"/>
        <v>0</v>
      </c>
    </row>
    <row r="152" ht="22.5" customHeight="1">
      <c r="A152" s="191" t="s">
        <v>67</v>
      </c>
      <c r="B152" s="196">
        <v>250.0</v>
      </c>
      <c r="C152" s="192">
        <v>1.0</v>
      </c>
      <c r="D152" s="193" t="b">
        <v>0</v>
      </c>
      <c r="E152" s="194">
        <f t="shared" si="13"/>
        <v>0</v>
      </c>
      <c r="H152" s="191" t="s">
        <v>67</v>
      </c>
      <c r="I152" s="196">
        <v>250.0</v>
      </c>
      <c r="J152" s="192">
        <v>1.0</v>
      </c>
      <c r="K152" s="193" t="b">
        <v>0</v>
      </c>
      <c r="L152" s="194">
        <f t="shared" si="14"/>
        <v>0</v>
      </c>
    </row>
    <row r="153" ht="22.5" customHeight="1">
      <c r="A153" s="191" t="s">
        <v>68</v>
      </c>
      <c r="B153" s="196">
        <v>250.0</v>
      </c>
      <c r="C153" s="192">
        <v>1.0</v>
      </c>
      <c r="D153" s="193" t="b">
        <v>0</v>
      </c>
      <c r="E153" s="194">
        <f t="shared" si="13"/>
        <v>0</v>
      </c>
      <c r="H153" s="191" t="s">
        <v>68</v>
      </c>
      <c r="I153" s="196">
        <v>250.0</v>
      </c>
      <c r="J153" s="192">
        <v>1.0</v>
      </c>
      <c r="K153" s="193" t="b">
        <v>1</v>
      </c>
      <c r="L153" s="197">
        <f t="shared" si="14"/>
        <v>250</v>
      </c>
    </row>
    <row r="154" ht="22.5" customHeight="1">
      <c r="A154" s="191" t="s">
        <v>69</v>
      </c>
      <c r="B154" s="196">
        <v>250.0</v>
      </c>
      <c r="C154" s="192">
        <v>1.0</v>
      </c>
      <c r="D154" s="193" t="b">
        <v>0</v>
      </c>
      <c r="E154" s="194">
        <f t="shared" si="13"/>
        <v>0</v>
      </c>
      <c r="H154" s="191" t="s">
        <v>69</v>
      </c>
      <c r="I154" s="196">
        <v>250.0</v>
      </c>
      <c r="J154" s="192">
        <v>1.0</v>
      </c>
      <c r="K154" s="193" t="b">
        <v>0</v>
      </c>
      <c r="L154" s="194">
        <f t="shared" si="14"/>
        <v>0</v>
      </c>
    </row>
    <row r="155" ht="22.5" customHeight="1">
      <c r="A155" s="191" t="s">
        <v>70</v>
      </c>
      <c r="B155" s="196">
        <v>250.0</v>
      </c>
      <c r="C155" s="192">
        <v>1.0</v>
      </c>
      <c r="D155" s="193" t="b">
        <v>0</v>
      </c>
      <c r="E155" s="194">
        <f t="shared" si="13"/>
        <v>0</v>
      </c>
      <c r="H155" s="191" t="s">
        <v>70</v>
      </c>
      <c r="I155" s="196">
        <v>250.0</v>
      </c>
      <c r="J155" s="192">
        <v>1.0</v>
      </c>
      <c r="K155" s="193" t="b">
        <v>1</v>
      </c>
      <c r="L155" s="197">
        <f t="shared" si="14"/>
        <v>250</v>
      </c>
    </row>
    <row r="156" ht="22.5" customHeight="1">
      <c r="A156" s="191" t="s">
        <v>71</v>
      </c>
      <c r="B156" s="196">
        <v>250.0</v>
      </c>
      <c r="C156" s="192">
        <v>1.0</v>
      </c>
      <c r="D156" s="193" t="b">
        <v>0</v>
      </c>
      <c r="E156" s="194">
        <f t="shared" si="13"/>
        <v>0</v>
      </c>
      <c r="H156" s="191" t="s">
        <v>71</v>
      </c>
      <c r="I156" s="196">
        <v>250.0</v>
      </c>
      <c r="J156" s="192">
        <v>1.0</v>
      </c>
      <c r="K156" s="193" t="b">
        <v>0</v>
      </c>
      <c r="L156" s="194">
        <f t="shared" si="14"/>
        <v>0</v>
      </c>
    </row>
    <row r="157" ht="22.5" customHeight="1">
      <c r="A157" s="191" t="s">
        <v>72</v>
      </c>
      <c r="B157" s="196">
        <v>250.0</v>
      </c>
      <c r="C157" s="192">
        <v>1.0</v>
      </c>
      <c r="D157" s="193" t="b">
        <v>0</v>
      </c>
      <c r="E157" s="194">
        <f t="shared" si="13"/>
        <v>0</v>
      </c>
      <c r="H157" s="191" t="s">
        <v>72</v>
      </c>
      <c r="I157" s="196">
        <v>250.0</v>
      </c>
      <c r="J157" s="192">
        <v>1.0</v>
      </c>
      <c r="K157" s="193" t="b">
        <v>0</v>
      </c>
      <c r="L157" s="194">
        <f t="shared" si="14"/>
        <v>0</v>
      </c>
    </row>
    <row r="158" ht="22.5" customHeight="1">
      <c r="A158" s="191" t="s">
        <v>73</v>
      </c>
      <c r="B158" s="196">
        <v>250.0</v>
      </c>
      <c r="C158" s="192">
        <v>1.0</v>
      </c>
      <c r="D158" s="193" t="b">
        <v>0</v>
      </c>
      <c r="E158" s="194">
        <f t="shared" si="13"/>
        <v>0</v>
      </c>
      <c r="H158" s="191" t="s">
        <v>73</v>
      </c>
      <c r="I158" s="196">
        <v>250.0</v>
      </c>
      <c r="J158" s="192">
        <v>1.0</v>
      </c>
      <c r="K158" s="193" t="b">
        <v>0</v>
      </c>
      <c r="L158" s="194">
        <f t="shared" si="14"/>
        <v>0</v>
      </c>
    </row>
    <row r="159" ht="22.5" customHeight="1">
      <c r="A159" s="191" t="s">
        <v>74</v>
      </c>
      <c r="B159" s="197"/>
      <c r="D159" s="193" t="s">
        <v>30</v>
      </c>
      <c r="E159" s="200">
        <f>SUM(E140:E158)</f>
        <v>0</v>
      </c>
      <c r="H159" s="191" t="s">
        <v>74</v>
      </c>
      <c r="I159" s="197"/>
      <c r="K159" s="193" t="s">
        <v>30</v>
      </c>
      <c r="L159" s="202">
        <f>SUM(L140:L158)</f>
        <v>2500</v>
      </c>
    </row>
    <row r="160"/>
    <row r="161"/>
    <row r="162" ht="22.5" customHeight="1">
      <c r="A162" s="189" t="s">
        <v>49</v>
      </c>
      <c r="B162" s="189" t="s">
        <v>50</v>
      </c>
      <c r="C162" s="189" t="s">
        <v>51</v>
      </c>
      <c r="D162" s="189" t="s">
        <v>52</v>
      </c>
      <c r="E162" s="189" t="s">
        <v>53</v>
      </c>
      <c r="H162" s="189" t="s">
        <v>49</v>
      </c>
      <c r="I162" s="189" t="s">
        <v>50</v>
      </c>
      <c r="J162" s="189" t="s">
        <v>51</v>
      </c>
      <c r="K162" s="189" t="s">
        <v>52</v>
      </c>
      <c r="L162" s="189" t="s">
        <v>53</v>
      </c>
    </row>
    <row r="163" ht="22.5" customHeight="1">
      <c r="A163" s="191" t="s">
        <v>55</v>
      </c>
      <c r="B163" s="196">
        <v>1000.0</v>
      </c>
      <c r="C163" s="192">
        <v>1.0</v>
      </c>
      <c r="D163" s="193" t="b">
        <v>1</v>
      </c>
      <c r="E163" s="197">
        <f t="shared" ref="E163:E181" si="15">IF(D163=TRUE, B163, 0)
</f>
        <v>1000</v>
      </c>
      <c r="H163" s="191" t="s">
        <v>55</v>
      </c>
      <c r="I163" s="196">
        <v>1000.0</v>
      </c>
      <c r="J163" s="192">
        <v>1.0</v>
      </c>
      <c r="K163" s="193" t="b">
        <v>1</v>
      </c>
      <c r="L163" s="197">
        <f t="shared" ref="L163:L181" si="16">IF(K163=TRUE, I163, 0)
</f>
        <v>1000</v>
      </c>
    </row>
    <row r="164" ht="22.5" customHeight="1">
      <c r="A164" s="191" t="s">
        <v>56</v>
      </c>
      <c r="B164" s="196">
        <v>250.0</v>
      </c>
      <c r="C164" s="192">
        <v>1.0</v>
      </c>
      <c r="D164" s="193" t="b">
        <v>0</v>
      </c>
      <c r="E164" s="194">
        <f t="shared" si="15"/>
        <v>0</v>
      </c>
      <c r="H164" s="191" t="s">
        <v>56</v>
      </c>
      <c r="I164" s="196">
        <v>250.0</v>
      </c>
      <c r="J164" s="192">
        <v>1.0</v>
      </c>
      <c r="K164" s="193" t="b">
        <v>1</v>
      </c>
      <c r="L164" s="197">
        <f t="shared" si="16"/>
        <v>250</v>
      </c>
    </row>
    <row r="165" ht="22.5" customHeight="1">
      <c r="A165" s="191" t="s">
        <v>57</v>
      </c>
      <c r="B165" s="196">
        <v>250.0</v>
      </c>
      <c r="C165" s="192">
        <v>1.0</v>
      </c>
      <c r="D165" s="193" t="b">
        <v>0</v>
      </c>
      <c r="E165" s="194">
        <f t="shared" si="15"/>
        <v>0</v>
      </c>
      <c r="H165" s="191" t="s">
        <v>57</v>
      </c>
      <c r="I165" s="196">
        <v>250.0</v>
      </c>
      <c r="J165" s="192">
        <v>1.0</v>
      </c>
      <c r="K165" s="193" t="b">
        <v>1</v>
      </c>
      <c r="L165" s="197">
        <f t="shared" si="16"/>
        <v>250</v>
      </c>
    </row>
    <row r="166" ht="22.5" customHeight="1">
      <c r="A166" s="191" t="s">
        <v>58</v>
      </c>
      <c r="B166" s="196">
        <v>250.0</v>
      </c>
      <c r="C166" s="192">
        <v>1.0</v>
      </c>
      <c r="D166" s="193" t="b">
        <v>1</v>
      </c>
      <c r="E166" s="197">
        <f t="shared" si="15"/>
        <v>250</v>
      </c>
      <c r="H166" s="191" t="s">
        <v>58</v>
      </c>
      <c r="I166" s="196">
        <v>250.0</v>
      </c>
      <c r="J166" s="192">
        <v>1.0</v>
      </c>
      <c r="K166" s="193" t="b">
        <v>1</v>
      </c>
      <c r="L166" s="197">
        <f t="shared" si="16"/>
        <v>250</v>
      </c>
    </row>
    <row r="167" ht="22.5" customHeight="1">
      <c r="A167" s="191" t="s">
        <v>59</v>
      </c>
      <c r="B167" s="196">
        <v>250.0</v>
      </c>
      <c r="C167" s="192">
        <v>1.0</v>
      </c>
      <c r="D167" s="193" t="b">
        <v>1</v>
      </c>
      <c r="E167" s="197">
        <f t="shared" si="15"/>
        <v>250</v>
      </c>
      <c r="H167" s="191" t="s">
        <v>59</v>
      </c>
      <c r="I167" s="196">
        <v>250.0</v>
      </c>
      <c r="J167" s="192">
        <v>1.0</v>
      </c>
      <c r="K167" s="193" t="b">
        <v>1</v>
      </c>
      <c r="L167" s="197">
        <f t="shared" si="16"/>
        <v>250</v>
      </c>
    </row>
    <row r="168" ht="22.5" customHeight="1">
      <c r="A168" s="191" t="s">
        <v>60</v>
      </c>
      <c r="B168" s="196">
        <v>250.0</v>
      </c>
      <c r="C168" s="192">
        <v>1.0</v>
      </c>
      <c r="D168" s="193" t="b">
        <v>0</v>
      </c>
      <c r="E168" s="194">
        <f t="shared" si="15"/>
        <v>0</v>
      </c>
      <c r="H168" s="191" t="s">
        <v>60</v>
      </c>
      <c r="I168" s="196">
        <v>250.0</v>
      </c>
      <c r="J168" s="192">
        <v>1.0</v>
      </c>
      <c r="K168" s="193" t="b">
        <v>0</v>
      </c>
      <c r="L168" s="194">
        <f t="shared" si="16"/>
        <v>0</v>
      </c>
    </row>
    <row r="169" ht="22.5" customHeight="1">
      <c r="A169" s="191" t="s">
        <v>61</v>
      </c>
      <c r="B169" s="196">
        <v>250.0</v>
      </c>
      <c r="C169" s="192">
        <v>1.0</v>
      </c>
      <c r="D169" s="193" t="b">
        <v>0</v>
      </c>
      <c r="E169" s="194">
        <f t="shared" si="15"/>
        <v>0</v>
      </c>
      <c r="H169" s="191" t="s">
        <v>61</v>
      </c>
      <c r="I169" s="196">
        <v>250.0</v>
      </c>
      <c r="J169" s="192">
        <v>1.0</v>
      </c>
      <c r="K169" s="193" t="b">
        <v>0</v>
      </c>
      <c r="L169" s="194">
        <f t="shared" si="16"/>
        <v>0</v>
      </c>
    </row>
    <row r="170" ht="22.5" customHeight="1">
      <c r="A170" s="191" t="s">
        <v>62</v>
      </c>
      <c r="B170" s="196">
        <v>250.0</v>
      </c>
      <c r="C170" s="192">
        <v>1.0</v>
      </c>
      <c r="D170" s="193" t="b">
        <v>0</v>
      </c>
      <c r="E170" s="194">
        <f t="shared" si="15"/>
        <v>0</v>
      </c>
      <c r="H170" s="191" t="s">
        <v>62</v>
      </c>
      <c r="I170" s="196">
        <v>250.0</v>
      </c>
      <c r="J170" s="192">
        <v>1.0</v>
      </c>
      <c r="K170" s="193" t="b">
        <v>0</v>
      </c>
      <c r="L170" s="194">
        <f t="shared" si="16"/>
        <v>0</v>
      </c>
    </row>
    <row r="171" ht="22.5" customHeight="1">
      <c r="A171" s="191" t="s">
        <v>63</v>
      </c>
      <c r="B171" s="196">
        <v>250.0</v>
      </c>
      <c r="C171" s="192">
        <v>1.0</v>
      </c>
      <c r="D171" s="193" t="b">
        <v>0</v>
      </c>
      <c r="E171" s="194">
        <f t="shared" si="15"/>
        <v>0</v>
      </c>
      <c r="H171" s="191" t="s">
        <v>63</v>
      </c>
      <c r="I171" s="196">
        <v>250.0</v>
      </c>
      <c r="J171" s="192">
        <v>1.0</v>
      </c>
      <c r="K171" s="193" t="b">
        <v>0</v>
      </c>
      <c r="L171" s="194">
        <f t="shared" si="16"/>
        <v>0</v>
      </c>
    </row>
    <row r="172" ht="22.5" customHeight="1">
      <c r="A172" s="191" t="s">
        <v>64</v>
      </c>
      <c r="B172" s="196">
        <v>250.0</v>
      </c>
      <c r="C172" s="192">
        <v>1.0</v>
      </c>
      <c r="D172" s="193" t="b">
        <v>0</v>
      </c>
      <c r="E172" s="194">
        <f t="shared" si="15"/>
        <v>0</v>
      </c>
      <c r="H172" s="191" t="s">
        <v>64</v>
      </c>
      <c r="I172" s="196">
        <v>250.0</v>
      </c>
      <c r="J172" s="192">
        <v>1.0</v>
      </c>
      <c r="K172" s="193" t="b">
        <v>0</v>
      </c>
      <c r="L172" s="194">
        <f t="shared" si="16"/>
        <v>0</v>
      </c>
    </row>
    <row r="173" ht="22.5" customHeight="1">
      <c r="A173" s="191" t="s">
        <v>65</v>
      </c>
      <c r="B173" s="196">
        <v>250.0</v>
      </c>
      <c r="C173" s="192">
        <v>1.0</v>
      </c>
      <c r="D173" s="193" t="b">
        <v>1</v>
      </c>
      <c r="E173" s="197">
        <f t="shared" si="15"/>
        <v>250</v>
      </c>
      <c r="H173" s="191" t="s">
        <v>65</v>
      </c>
      <c r="I173" s="196">
        <v>250.0</v>
      </c>
      <c r="J173" s="192">
        <v>1.0</v>
      </c>
      <c r="K173" s="193" t="b">
        <v>0</v>
      </c>
      <c r="L173" s="194">
        <f t="shared" si="16"/>
        <v>0</v>
      </c>
    </row>
    <row r="174" ht="22.5" customHeight="1">
      <c r="A174" s="191" t="s">
        <v>66</v>
      </c>
      <c r="B174" s="196">
        <v>250.0</v>
      </c>
      <c r="C174" s="192">
        <v>1.0</v>
      </c>
      <c r="D174" s="193" t="b">
        <v>0</v>
      </c>
      <c r="E174" s="194">
        <f t="shared" si="15"/>
        <v>0</v>
      </c>
      <c r="H174" s="191" t="s">
        <v>66</v>
      </c>
      <c r="I174" s="196">
        <v>250.0</v>
      </c>
      <c r="J174" s="192">
        <v>1.0</v>
      </c>
      <c r="K174" s="193" t="b">
        <v>0</v>
      </c>
      <c r="L174" s="194">
        <f t="shared" si="16"/>
        <v>0</v>
      </c>
    </row>
    <row r="175" ht="22.5" customHeight="1">
      <c r="A175" s="191" t="s">
        <v>67</v>
      </c>
      <c r="B175" s="196">
        <v>250.0</v>
      </c>
      <c r="C175" s="192">
        <v>1.0</v>
      </c>
      <c r="D175" s="193" t="b">
        <v>0</v>
      </c>
      <c r="E175" s="194">
        <f t="shared" si="15"/>
        <v>0</v>
      </c>
      <c r="H175" s="191" t="s">
        <v>67</v>
      </c>
      <c r="I175" s="196">
        <v>250.0</v>
      </c>
      <c r="J175" s="192">
        <v>1.0</v>
      </c>
      <c r="K175" s="193" t="b">
        <v>0</v>
      </c>
      <c r="L175" s="194">
        <f t="shared" si="16"/>
        <v>0</v>
      </c>
    </row>
    <row r="176" ht="22.5" customHeight="1">
      <c r="A176" s="191" t="s">
        <v>68</v>
      </c>
      <c r="B176" s="196">
        <v>250.0</v>
      </c>
      <c r="C176" s="192">
        <v>1.0</v>
      </c>
      <c r="D176" s="193" t="b">
        <v>0</v>
      </c>
      <c r="E176" s="194">
        <f t="shared" si="15"/>
        <v>0</v>
      </c>
      <c r="H176" s="191" t="s">
        <v>68</v>
      </c>
      <c r="I176" s="196">
        <v>250.0</v>
      </c>
      <c r="J176" s="192">
        <v>1.0</v>
      </c>
      <c r="K176" s="193" t="b">
        <v>0</v>
      </c>
      <c r="L176" s="194">
        <f t="shared" si="16"/>
        <v>0</v>
      </c>
    </row>
    <row r="177" ht="22.5" customHeight="1">
      <c r="A177" s="191" t="s">
        <v>69</v>
      </c>
      <c r="B177" s="196">
        <v>250.0</v>
      </c>
      <c r="C177" s="192">
        <v>1.0</v>
      </c>
      <c r="D177" s="193" t="b">
        <v>0</v>
      </c>
      <c r="E177" s="194">
        <f t="shared" si="15"/>
        <v>0</v>
      </c>
      <c r="H177" s="191" t="s">
        <v>69</v>
      </c>
      <c r="I177" s="196">
        <v>250.0</v>
      </c>
      <c r="J177" s="192">
        <v>1.0</v>
      </c>
      <c r="K177" s="193" t="b">
        <v>0</v>
      </c>
      <c r="L177" s="194">
        <f t="shared" si="16"/>
        <v>0</v>
      </c>
    </row>
    <row r="178" ht="22.5" customHeight="1">
      <c r="A178" s="191" t="s">
        <v>70</v>
      </c>
      <c r="B178" s="196">
        <v>250.0</v>
      </c>
      <c r="C178" s="192">
        <v>1.0</v>
      </c>
      <c r="D178" s="193" t="b">
        <v>0</v>
      </c>
      <c r="E178" s="194">
        <f t="shared" si="15"/>
        <v>0</v>
      </c>
      <c r="H178" s="191" t="s">
        <v>70</v>
      </c>
      <c r="I178" s="196">
        <v>250.0</v>
      </c>
      <c r="J178" s="192">
        <v>1.0</v>
      </c>
      <c r="K178" s="193" t="b">
        <v>0</v>
      </c>
      <c r="L178" s="194">
        <f t="shared" si="16"/>
        <v>0</v>
      </c>
    </row>
    <row r="179" ht="22.5" customHeight="1">
      <c r="A179" s="191" t="s">
        <v>71</v>
      </c>
      <c r="B179" s="196">
        <v>250.0</v>
      </c>
      <c r="C179" s="192">
        <v>1.0</v>
      </c>
      <c r="D179" s="193" t="b">
        <v>0</v>
      </c>
      <c r="E179" s="194">
        <f t="shared" si="15"/>
        <v>0</v>
      </c>
      <c r="H179" s="191" t="s">
        <v>71</v>
      </c>
      <c r="I179" s="196">
        <v>250.0</v>
      </c>
      <c r="J179" s="192">
        <v>1.0</v>
      </c>
      <c r="K179" s="193" t="b">
        <v>0</v>
      </c>
      <c r="L179" s="194">
        <f t="shared" si="16"/>
        <v>0</v>
      </c>
    </row>
    <row r="180" ht="22.5" customHeight="1">
      <c r="A180" s="191" t="s">
        <v>72</v>
      </c>
      <c r="B180" s="196">
        <v>250.0</v>
      </c>
      <c r="C180" s="192">
        <v>1.0</v>
      </c>
      <c r="D180" s="193" t="b">
        <v>0</v>
      </c>
      <c r="E180" s="194">
        <f t="shared" si="15"/>
        <v>0</v>
      </c>
      <c r="H180" s="191" t="s">
        <v>72</v>
      </c>
      <c r="I180" s="196">
        <v>250.0</v>
      </c>
      <c r="J180" s="192">
        <v>1.0</v>
      </c>
      <c r="K180" s="193" t="b">
        <v>1</v>
      </c>
      <c r="L180" s="197">
        <f t="shared" si="16"/>
        <v>250</v>
      </c>
    </row>
    <row r="181" ht="22.5" customHeight="1">
      <c r="A181" s="191" t="s">
        <v>73</v>
      </c>
      <c r="B181" s="196">
        <v>250.0</v>
      </c>
      <c r="C181" s="192">
        <v>1.0</v>
      </c>
      <c r="D181" s="193" t="b">
        <v>1</v>
      </c>
      <c r="E181" s="197">
        <f t="shared" si="15"/>
        <v>250</v>
      </c>
      <c r="H181" s="191" t="s">
        <v>73</v>
      </c>
      <c r="I181" s="196">
        <v>250.0</v>
      </c>
      <c r="J181" s="192">
        <v>1.0</v>
      </c>
      <c r="K181" s="193" t="b">
        <v>0</v>
      </c>
      <c r="L181" s="194">
        <f t="shared" si="16"/>
        <v>0</v>
      </c>
    </row>
    <row r="182" ht="22.5" customHeight="1">
      <c r="A182" s="191" t="s">
        <v>74</v>
      </c>
      <c r="B182" s="197"/>
      <c r="D182" s="193" t="s">
        <v>30</v>
      </c>
      <c r="E182" s="202">
        <f>SUM(E163:E181)</f>
        <v>2000</v>
      </c>
      <c r="H182" s="191" t="s">
        <v>74</v>
      </c>
      <c r="I182" s="197"/>
      <c r="K182" s="193" t="s">
        <v>30</v>
      </c>
      <c r="L182" s="202">
        <f>SUM(L163:L181)</f>
        <v>2250</v>
      </c>
    </row>
    <row r="183"/>
    <row r="184"/>
    <row r="185" ht="22.5" customHeight="1">
      <c r="A185" s="189" t="s">
        <v>49</v>
      </c>
      <c r="B185" s="189" t="s">
        <v>50</v>
      </c>
      <c r="C185" s="189" t="s">
        <v>51</v>
      </c>
      <c r="D185" s="189" t="s">
        <v>52</v>
      </c>
      <c r="E185" s="189" t="s">
        <v>53</v>
      </c>
      <c r="H185" s="189" t="s">
        <v>49</v>
      </c>
      <c r="I185" s="189" t="s">
        <v>50</v>
      </c>
      <c r="J185" s="189" t="s">
        <v>51</v>
      </c>
      <c r="K185" s="189" t="s">
        <v>52</v>
      </c>
      <c r="L185" s="189" t="s">
        <v>53</v>
      </c>
    </row>
    <row r="186" ht="22.5" customHeight="1">
      <c r="A186" s="191" t="s">
        <v>55</v>
      </c>
      <c r="B186" s="196">
        <v>1000.0</v>
      </c>
      <c r="C186" s="192">
        <v>1.0</v>
      </c>
      <c r="D186" s="193" t="b">
        <v>1</v>
      </c>
      <c r="E186" s="197">
        <f t="shared" ref="E186:E204" si="17">IF(D186=TRUE, B186, 0)
</f>
        <v>1000</v>
      </c>
      <c r="H186" s="191" t="s">
        <v>55</v>
      </c>
      <c r="I186" s="196">
        <v>1000.0</v>
      </c>
      <c r="J186" s="192">
        <v>1.0</v>
      </c>
      <c r="K186" s="193" t="b">
        <v>1</v>
      </c>
      <c r="L186" s="197">
        <f t="shared" ref="L186:L204" si="18">IF(K186=TRUE, I186, 0)
</f>
        <v>1000</v>
      </c>
    </row>
    <row r="187" ht="22.5" customHeight="1">
      <c r="A187" s="191" t="s">
        <v>56</v>
      </c>
      <c r="B187" s="196">
        <v>250.0</v>
      </c>
      <c r="C187" s="192">
        <v>1.0</v>
      </c>
      <c r="D187" s="193" t="b">
        <v>1</v>
      </c>
      <c r="E187" s="197">
        <f t="shared" si="17"/>
        <v>250</v>
      </c>
      <c r="H187" s="191" t="s">
        <v>56</v>
      </c>
      <c r="I187" s="196">
        <v>250.0</v>
      </c>
      <c r="J187" s="192">
        <v>1.0</v>
      </c>
      <c r="K187" s="193" t="b">
        <v>1</v>
      </c>
      <c r="L187" s="197">
        <f t="shared" si="18"/>
        <v>250</v>
      </c>
    </row>
    <row r="188" ht="22.5" customHeight="1">
      <c r="A188" s="191" t="s">
        <v>57</v>
      </c>
      <c r="B188" s="196">
        <v>250.0</v>
      </c>
      <c r="C188" s="192">
        <v>1.0</v>
      </c>
      <c r="D188" s="193" t="b">
        <v>1</v>
      </c>
      <c r="E188" s="197">
        <f t="shared" si="17"/>
        <v>250</v>
      </c>
      <c r="H188" s="191" t="s">
        <v>57</v>
      </c>
      <c r="I188" s="196">
        <v>250.0</v>
      </c>
      <c r="J188" s="192">
        <v>1.0</v>
      </c>
      <c r="K188" s="193" t="b">
        <v>1</v>
      </c>
      <c r="L188" s="197">
        <f t="shared" si="18"/>
        <v>250</v>
      </c>
    </row>
    <row r="189" ht="22.5" customHeight="1">
      <c r="A189" s="191" t="s">
        <v>58</v>
      </c>
      <c r="B189" s="196">
        <v>250.0</v>
      </c>
      <c r="C189" s="192">
        <v>1.0</v>
      </c>
      <c r="D189" s="193" t="b">
        <v>1</v>
      </c>
      <c r="E189" s="197">
        <f t="shared" si="17"/>
        <v>250</v>
      </c>
      <c r="H189" s="191" t="s">
        <v>58</v>
      </c>
      <c r="I189" s="196">
        <v>250.0</v>
      </c>
      <c r="J189" s="192">
        <v>1.0</v>
      </c>
      <c r="K189" s="193" t="b">
        <v>1</v>
      </c>
      <c r="L189" s="197">
        <f t="shared" si="18"/>
        <v>250</v>
      </c>
    </row>
    <row r="190" ht="22.5" customHeight="1">
      <c r="A190" s="191" t="s">
        <v>59</v>
      </c>
      <c r="B190" s="196">
        <v>250.0</v>
      </c>
      <c r="C190" s="192">
        <v>1.0</v>
      </c>
      <c r="D190" s="193" t="b">
        <v>1</v>
      </c>
      <c r="E190" s="197">
        <f t="shared" si="17"/>
        <v>250</v>
      </c>
      <c r="H190" s="191" t="s">
        <v>59</v>
      </c>
      <c r="I190" s="196">
        <v>250.0</v>
      </c>
      <c r="J190" s="192">
        <v>1.0</v>
      </c>
      <c r="K190" s="193" t="b">
        <v>1</v>
      </c>
      <c r="L190" s="197">
        <f t="shared" si="18"/>
        <v>250</v>
      </c>
    </row>
    <row r="191" ht="22.5" customHeight="1">
      <c r="A191" s="191" t="s">
        <v>60</v>
      </c>
      <c r="B191" s="196">
        <v>250.0</v>
      </c>
      <c r="C191" s="192">
        <v>1.0</v>
      </c>
      <c r="D191" s="193" t="b">
        <v>1</v>
      </c>
      <c r="E191" s="197">
        <f t="shared" si="17"/>
        <v>250</v>
      </c>
      <c r="H191" s="191" t="s">
        <v>60</v>
      </c>
      <c r="I191" s="196">
        <v>250.0</v>
      </c>
      <c r="J191" s="192">
        <v>1.0</v>
      </c>
      <c r="K191" s="193" t="b">
        <v>0</v>
      </c>
      <c r="L191" s="194">
        <f t="shared" si="18"/>
        <v>0</v>
      </c>
    </row>
    <row r="192" ht="22.5" customHeight="1">
      <c r="A192" s="191" t="s">
        <v>61</v>
      </c>
      <c r="B192" s="196">
        <v>250.0</v>
      </c>
      <c r="C192" s="192">
        <v>1.0</v>
      </c>
      <c r="D192" s="193" t="b">
        <v>0</v>
      </c>
      <c r="E192" s="194">
        <f t="shared" si="17"/>
        <v>0</v>
      </c>
      <c r="H192" s="191" t="s">
        <v>61</v>
      </c>
      <c r="I192" s="196">
        <v>250.0</v>
      </c>
      <c r="J192" s="192">
        <v>1.0</v>
      </c>
      <c r="K192" s="193" t="b">
        <v>0</v>
      </c>
      <c r="L192" s="194">
        <f t="shared" si="18"/>
        <v>0</v>
      </c>
    </row>
    <row r="193" ht="22.5" customHeight="1">
      <c r="A193" s="191" t="s">
        <v>62</v>
      </c>
      <c r="B193" s="196">
        <v>250.0</v>
      </c>
      <c r="C193" s="192">
        <v>1.0</v>
      </c>
      <c r="D193" s="193" t="b">
        <v>1</v>
      </c>
      <c r="E193" s="197">
        <f t="shared" si="17"/>
        <v>250</v>
      </c>
      <c r="H193" s="191" t="s">
        <v>62</v>
      </c>
      <c r="I193" s="196">
        <v>250.0</v>
      </c>
      <c r="J193" s="192">
        <v>1.0</v>
      </c>
      <c r="K193" s="193" t="b">
        <v>0</v>
      </c>
      <c r="L193" s="194">
        <f t="shared" si="18"/>
        <v>0</v>
      </c>
    </row>
    <row r="194" ht="22.5" customHeight="1">
      <c r="A194" s="191" t="s">
        <v>63</v>
      </c>
      <c r="B194" s="196">
        <v>250.0</v>
      </c>
      <c r="C194" s="192">
        <v>1.0</v>
      </c>
      <c r="D194" s="193" t="b">
        <v>1</v>
      </c>
      <c r="E194" s="197">
        <f t="shared" si="17"/>
        <v>250</v>
      </c>
      <c r="H194" s="191" t="s">
        <v>63</v>
      </c>
      <c r="I194" s="196">
        <v>250.0</v>
      </c>
      <c r="J194" s="192">
        <v>1.0</v>
      </c>
      <c r="K194" s="193" t="b">
        <v>0</v>
      </c>
      <c r="L194" s="194">
        <f t="shared" si="18"/>
        <v>0</v>
      </c>
    </row>
    <row r="195" ht="22.5" customHeight="1">
      <c r="A195" s="191" t="s">
        <v>64</v>
      </c>
      <c r="B195" s="196">
        <v>250.0</v>
      </c>
      <c r="C195" s="192">
        <v>1.0</v>
      </c>
      <c r="D195" s="193" t="b">
        <v>1</v>
      </c>
      <c r="E195" s="197">
        <f t="shared" si="17"/>
        <v>250</v>
      </c>
      <c r="H195" s="191" t="s">
        <v>64</v>
      </c>
      <c r="I195" s="196">
        <v>250.0</v>
      </c>
      <c r="J195" s="192">
        <v>1.0</v>
      </c>
      <c r="K195" s="193" t="b">
        <v>0</v>
      </c>
      <c r="L195" s="194">
        <f t="shared" si="18"/>
        <v>0</v>
      </c>
    </row>
    <row r="196" ht="22.5" customHeight="1">
      <c r="A196" s="191" t="s">
        <v>65</v>
      </c>
      <c r="B196" s="196">
        <v>250.0</v>
      </c>
      <c r="C196" s="192">
        <v>1.0</v>
      </c>
      <c r="D196" s="193" t="b">
        <v>0</v>
      </c>
      <c r="E196" s="194">
        <f t="shared" si="17"/>
        <v>0</v>
      </c>
      <c r="H196" s="191" t="s">
        <v>65</v>
      </c>
      <c r="I196" s="196">
        <v>250.0</v>
      </c>
      <c r="J196" s="192">
        <v>1.0</v>
      </c>
      <c r="K196" s="193" t="b">
        <v>0</v>
      </c>
      <c r="L196" s="194">
        <f t="shared" si="18"/>
        <v>0</v>
      </c>
    </row>
    <row r="197" ht="22.5" customHeight="1">
      <c r="A197" s="191" t="s">
        <v>66</v>
      </c>
      <c r="B197" s="196">
        <v>250.0</v>
      </c>
      <c r="C197" s="192">
        <v>1.0</v>
      </c>
      <c r="D197" s="193" t="b">
        <v>0</v>
      </c>
      <c r="E197" s="194">
        <f t="shared" si="17"/>
        <v>0</v>
      </c>
      <c r="H197" s="191" t="s">
        <v>66</v>
      </c>
      <c r="I197" s="196">
        <v>250.0</v>
      </c>
      <c r="J197" s="192">
        <v>1.0</v>
      </c>
      <c r="K197" s="193" t="b">
        <v>0</v>
      </c>
      <c r="L197" s="194">
        <f t="shared" si="18"/>
        <v>0</v>
      </c>
    </row>
    <row r="198" ht="22.5" customHeight="1">
      <c r="A198" s="191" t="s">
        <v>67</v>
      </c>
      <c r="B198" s="196">
        <v>250.0</v>
      </c>
      <c r="C198" s="192">
        <v>1.0</v>
      </c>
      <c r="D198" s="193" t="b">
        <v>1</v>
      </c>
      <c r="E198" s="197">
        <f t="shared" si="17"/>
        <v>250</v>
      </c>
      <c r="H198" s="191" t="s">
        <v>67</v>
      </c>
      <c r="I198" s="196">
        <v>250.0</v>
      </c>
      <c r="J198" s="192">
        <v>1.0</v>
      </c>
      <c r="K198" s="193" t="b">
        <v>0</v>
      </c>
      <c r="L198" s="194">
        <f t="shared" si="18"/>
        <v>0</v>
      </c>
    </row>
    <row r="199" ht="22.5" customHeight="1">
      <c r="A199" s="191" t="s">
        <v>68</v>
      </c>
      <c r="B199" s="196">
        <v>250.0</v>
      </c>
      <c r="C199" s="192">
        <v>1.0</v>
      </c>
      <c r="D199" s="193" t="b">
        <v>0</v>
      </c>
      <c r="E199" s="194">
        <f t="shared" si="17"/>
        <v>0</v>
      </c>
      <c r="H199" s="191" t="s">
        <v>68</v>
      </c>
      <c r="I199" s="196">
        <v>250.0</v>
      </c>
      <c r="J199" s="192">
        <v>1.0</v>
      </c>
      <c r="K199" s="193" t="b">
        <v>0</v>
      </c>
      <c r="L199" s="194">
        <f t="shared" si="18"/>
        <v>0</v>
      </c>
    </row>
    <row r="200" ht="22.5" customHeight="1">
      <c r="A200" s="191" t="s">
        <v>69</v>
      </c>
      <c r="B200" s="196">
        <v>250.0</v>
      </c>
      <c r="C200" s="192">
        <v>1.0</v>
      </c>
      <c r="D200" s="193" t="b">
        <v>0</v>
      </c>
      <c r="E200" s="194">
        <f t="shared" si="17"/>
        <v>0</v>
      </c>
      <c r="H200" s="191" t="s">
        <v>69</v>
      </c>
      <c r="I200" s="196">
        <v>250.0</v>
      </c>
      <c r="J200" s="192">
        <v>1.0</v>
      </c>
      <c r="K200" s="193" t="b">
        <v>0</v>
      </c>
      <c r="L200" s="194">
        <f t="shared" si="18"/>
        <v>0</v>
      </c>
    </row>
    <row r="201" ht="22.5" customHeight="1">
      <c r="A201" s="191" t="s">
        <v>70</v>
      </c>
      <c r="B201" s="196">
        <v>250.0</v>
      </c>
      <c r="C201" s="192">
        <v>1.0</v>
      </c>
      <c r="D201" s="193" t="b">
        <v>0</v>
      </c>
      <c r="E201" s="194">
        <f t="shared" si="17"/>
        <v>0</v>
      </c>
      <c r="H201" s="191" t="s">
        <v>70</v>
      </c>
      <c r="I201" s="196">
        <v>250.0</v>
      </c>
      <c r="J201" s="192">
        <v>1.0</v>
      </c>
      <c r="K201" s="193" t="b">
        <v>0</v>
      </c>
      <c r="L201" s="194">
        <f t="shared" si="18"/>
        <v>0</v>
      </c>
    </row>
    <row r="202" ht="22.5" customHeight="1">
      <c r="A202" s="191" t="s">
        <v>71</v>
      </c>
      <c r="B202" s="196">
        <v>250.0</v>
      </c>
      <c r="C202" s="192">
        <v>1.0</v>
      </c>
      <c r="D202" s="193" t="b">
        <v>0</v>
      </c>
      <c r="E202" s="194">
        <f t="shared" si="17"/>
        <v>0</v>
      </c>
      <c r="H202" s="191" t="s">
        <v>71</v>
      </c>
      <c r="I202" s="196">
        <v>250.0</v>
      </c>
      <c r="J202" s="192">
        <v>1.0</v>
      </c>
      <c r="K202" s="193" t="b">
        <v>0</v>
      </c>
      <c r="L202" s="194">
        <f t="shared" si="18"/>
        <v>0</v>
      </c>
    </row>
    <row r="203" ht="22.5" customHeight="1">
      <c r="A203" s="191" t="s">
        <v>72</v>
      </c>
      <c r="B203" s="196">
        <v>250.0</v>
      </c>
      <c r="C203" s="192">
        <v>1.0</v>
      </c>
      <c r="D203" s="193" t="b">
        <v>1</v>
      </c>
      <c r="E203" s="197">
        <f t="shared" si="17"/>
        <v>250</v>
      </c>
      <c r="H203" s="191" t="s">
        <v>72</v>
      </c>
      <c r="I203" s="196">
        <v>250.0</v>
      </c>
      <c r="J203" s="192">
        <v>1.0</v>
      </c>
      <c r="K203" s="193" t="b">
        <v>0</v>
      </c>
      <c r="L203" s="194">
        <f t="shared" si="18"/>
        <v>0</v>
      </c>
    </row>
    <row r="204" ht="22.5" customHeight="1">
      <c r="A204" s="191" t="s">
        <v>73</v>
      </c>
      <c r="B204" s="196">
        <v>250.0</v>
      </c>
      <c r="C204" s="192">
        <v>1.0</v>
      </c>
      <c r="D204" s="193" t="b">
        <v>0</v>
      </c>
      <c r="E204" s="194">
        <f t="shared" si="17"/>
        <v>0</v>
      </c>
      <c r="H204" s="191" t="s">
        <v>73</v>
      </c>
      <c r="I204" s="196">
        <v>250.0</v>
      </c>
      <c r="J204" s="192">
        <v>1.0</v>
      </c>
      <c r="K204" s="193" t="b">
        <v>0</v>
      </c>
      <c r="L204" s="194">
        <f t="shared" si="18"/>
        <v>0</v>
      </c>
    </row>
    <row r="205" ht="22.5" customHeight="1">
      <c r="A205" s="191" t="s">
        <v>74</v>
      </c>
      <c r="B205" s="197"/>
      <c r="D205" s="193" t="s">
        <v>30</v>
      </c>
      <c r="E205" s="202">
        <f>SUM(E186:E204)</f>
        <v>3500</v>
      </c>
      <c r="H205" s="191" t="s">
        <v>74</v>
      </c>
      <c r="I205" s="197"/>
      <c r="K205" s="193" t="s">
        <v>30</v>
      </c>
      <c r="L205" s="202">
        <f>SUM(L186:L204)</f>
        <v>2000</v>
      </c>
    </row>
    <row r="206"/>
    <row r="207"/>
    <row r="208" ht="22.5" customHeight="1">
      <c r="A208" s="189" t="s">
        <v>49</v>
      </c>
      <c r="B208" s="189" t="s">
        <v>50</v>
      </c>
      <c r="C208" s="189" t="s">
        <v>51</v>
      </c>
      <c r="D208" s="189" t="s">
        <v>52</v>
      </c>
      <c r="E208" s="189" t="s">
        <v>53</v>
      </c>
      <c r="H208" s="189" t="s">
        <v>49</v>
      </c>
      <c r="I208" s="189" t="s">
        <v>50</v>
      </c>
      <c r="J208" s="189" t="s">
        <v>51</v>
      </c>
      <c r="K208" s="189" t="s">
        <v>52</v>
      </c>
      <c r="L208" s="189" t="s">
        <v>53</v>
      </c>
    </row>
    <row r="209" ht="22.5" customHeight="1">
      <c r="A209" s="191" t="s">
        <v>55</v>
      </c>
      <c r="B209" s="196">
        <v>1000.0</v>
      </c>
      <c r="C209" s="192">
        <v>1.0</v>
      </c>
      <c r="D209" s="193" t="b">
        <v>1</v>
      </c>
      <c r="E209" s="197">
        <f t="shared" ref="E209:E227" si="19">IF(D209=TRUE, B209, 0)
</f>
        <v>1000</v>
      </c>
      <c r="H209" s="191" t="s">
        <v>55</v>
      </c>
      <c r="I209" s="196">
        <v>1000.0</v>
      </c>
      <c r="J209" s="192">
        <v>1.0</v>
      </c>
      <c r="K209" s="193" t="b">
        <v>1</v>
      </c>
      <c r="L209" s="197">
        <f t="shared" ref="L209:L227" si="20">IF(K209=TRUE, I209, 0)
</f>
        <v>1000</v>
      </c>
    </row>
    <row r="210" ht="22.5" customHeight="1">
      <c r="A210" s="191" t="s">
        <v>56</v>
      </c>
      <c r="B210" s="196">
        <v>250.0</v>
      </c>
      <c r="C210" s="192">
        <v>1.0</v>
      </c>
      <c r="D210" s="193" t="b">
        <v>1</v>
      </c>
      <c r="E210" s="197">
        <f t="shared" si="19"/>
        <v>250</v>
      </c>
      <c r="H210" s="191" t="s">
        <v>56</v>
      </c>
      <c r="I210" s="196">
        <v>250.0</v>
      </c>
      <c r="J210" s="192">
        <v>1.0</v>
      </c>
      <c r="K210" s="193" t="b">
        <v>1</v>
      </c>
      <c r="L210" s="197">
        <f t="shared" si="20"/>
        <v>250</v>
      </c>
    </row>
    <row r="211" ht="22.5" customHeight="1">
      <c r="A211" s="191" t="s">
        <v>57</v>
      </c>
      <c r="B211" s="196">
        <v>250.0</v>
      </c>
      <c r="C211" s="192">
        <v>1.0</v>
      </c>
      <c r="D211" s="193" t="b">
        <v>1</v>
      </c>
      <c r="E211" s="197">
        <f t="shared" si="19"/>
        <v>250</v>
      </c>
      <c r="H211" s="191" t="s">
        <v>57</v>
      </c>
      <c r="I211" s="196">
        <v>250.0</v>
      </c>
      <c r="J211" s="192">
        <v>1.0</v>
      </c>
      <c r="K211" s="193" t="b">
        <v>1</v>
      </c>
      <c r="L211" s="197">
        <f t="shared" si="20"/>
        <v>250</v>
      </c>
    </row>
    <row r="212" ht="22.5" customHeight="1">
      <c r="A212" s="191" t="s">
        <v>58</v>
      </c>
      <c r="B212" s="196">
        <v>250.0</v>
      </c>
      <c r="C212" s="192">
        <v>1.0</v>
      </c>
      <c r="D212" s="193" t="b">
        <v>1</v>
      </c>
      <c r="E212" s="197">
        <f t="shared" si="19"/>
        <v>250</v>
      </c>
      <c r="H212" s="191" t="s">
        <v>58</v>
      </c>
      <c r="I212" s="196">
        <v>250.0</v>
      </c>
      <c r="J212" s="192">
        <v>1.0</v>
      </c>
      <c r="K212" s="193" t="b">
        <v>1</v>
      </c>
      <c r="L212" s="197">
        <f t="shared" si="20"/>
        <v>250</v>
      </c>
    </row>
    <row r="213" ht="22.5" customHeight="1">
      <c r="A213" s="191" t="s">
        <v>59</v>
      </c>
      <c r="B213" s="196">
        <v>250.0</v>
      </c>
      <c r="C213" s="192">
        <v>1.0</v>
      </c>
      <c r="D213" s="193" t="b">
        <v>1</v>
      </c>
      <c r="E213" s="197">
        <f t="shared" si="19"/>
        <v>250</v>
      </c>
      <c r="H213" s="191" t="s">
        <v>59</v>
      </c>
      <c r="I213" s="196">
        <v>250.0</v>
      </c>
      <c r="J213" s="192">
        <v>1.0</v>
      </c>
      <c r="K213" s="193" t="b">
        <v>1</v>
      </c>
      <c r="L213" s="197">
        <f t="shared" si="20"/>
        <v>250</v>
      </c>
    </row>
    <row r="214" ht="22.5" customHeight="1">
      <c r="A214" s="191" t="s">
        <v>60</v>
      </c>
      <c r="B214" s="196">
        <v>250.0</v>
      </c>
      <c r="C214" s="192">
        <v>1.0</v>
      </c>
      <c r="D214" s="193" t="b">
        <v>0</v>
      </c>
      <c r="E214" s="194">
        <f t="shared" si="19"/>
        <v>0</v>
      </c>
      <c r="H214" s="191" t="s">
        <v>60</v>
      </c>
      <c r="I214" s="196">
        <v>250.0</v>
      </c>
      <c r="J214" s="192">
        <v>1.0</v>
      </c>
      <c r="K214" s="193" t="b">
        <v>0</v>
      </c>
      <c r="L214" s="194">
        <f t="shared" si="20"/>
        <v>0</v>
      </c>
    </row>
    <row r="215" ht="22.5" customHeight="1">
      <c r="A215" s="191" t="s">
        <v>61</v>
      </c>
      <c r="B215" s="196">
        <v>250.0</v>
      </c>
      <c r="C215" s="192">
        <v>1.0</v>
      </c>
      <c r="D215" s="193" t="b">
        <v>0</v>
      </c>
      <c r="E215" s="194">
        <f t="shared" si="19"/>
        <v>0</v>
      </c>
      <c r="H215" s="191" t="s">
        <v>61</v>
      </c>
      <c r="I215" s="196">
        <v>250.0</v>
      </c>
      <c r="J215" s="192">
        <v>1.0</v>
      </c>
      <c r="K215" s="193" t="b">
        <v>0</v>
      </c>
      <c r="L215" s="194">
        <f t="shared" si="20"/>
        <v>0</v>
      </c>
    </row>
    <row r="216" ht="22.5" customHeight="1">
      <c r="A216" s="191" t="s">
        <v>62</v>
      </c>
      <c r="B216" s="196">
        <v>250.0</v>
      </c>
      <c r="C216" s="192">
        <v>1.0</v>
      </c>
      <c r="D216" s="193" t="b">
        <v>0</v>
      </c>
      <c r="E216" s="194">
        <f t="shared" si="19"/>
        <v>0</v>
      </c>
      <c r="H216" s="191" t="s">
        <v>62</v>
      </c>
      <c r="I216" s="196">
        <v>250.0</v>
      </c>
      <c r="J216" s="192">
        <v>1.0</v>
      </c>
      <c r="K216" s="193" t="b">
        <v>0</v>
      </c>
      <c r="L216" s="194">
        <f t="shared" si="20"/>
        <v>0</v>
      </c>
    </row>
    <row r="217" ht="22.5" customHeight="1">
      <c r="A217" s="191" t="s">
        <v>63</v>
      </c>
      <c r="B217" s="196">
        <v>250.0</v>
      </c>
      <c r="C217" s="192">
        <v>1.0</v>
      </c>
      <c r="D217" s="193" t="b">
        <v>0</v>
      </c>
      <c r="E217" s="194">
        <f t="shared" si="19"/>
        <v>0</v>
      </c>
      <c r="H217" s="191" t="s">
        <v>63</v>
      </c>
      <c r="I217" s="196">
        <v>250.0</v>
      </c>
      <c r="J217" s="192">
        <v>1.0</v>
      </c>
      <c r="K217" s="193" t="b">
        <v>0</v>
      </c>
      <c r="L217" s="194">
        <f t="shared" si="20"/>
        <v>0</v>
      </c>
    </row>
    <row r="218" ht="22.5" customHeight="1">
      <c r="A218" s="191" t="s">
        <v>64</v>
      </c>
      <c r="B218" s="196">
        <v>250.0</v>
      </c>
      <c r="C218" s="192">
        <v>1.0</v>
      </c>
      <c r="D218" s="193" t="b">
        <v>0</v>
      </c>
      <c r="E218" s="194">
        <f t="shared" si="19"/>
        <v>0</v>
      </c>
      <c r="H218" s="191" t="s">
        <v>64</v>
      </c>
      <c r="I218" s="196">
        <v>250.0</v>
      </c>
      <c r="J218" s="192">
        <v>1.0</v>
      </c>
      <c r="K218" s="193" t="b">
        <v>0</v>
      </c>
      <c r="L218" s="194">
        <f t="shared" si="20"/>
        <v>0</v>
      </c>
    </row>
    <row r="219" ht="22.5" customHeight="1">
      <c r="A219" s="191" t="s">
        <v>65</v>
      </c>
      <c r="B219" s="196">
        <v>250.0</v>
      </c>
      <c r="C219" s="192">
        <v>1.0</v>
      </c>
      <c r="D219" s="193" t="b">
        <v>0</v>
      </c>
      <c r="E219" s="194">
        <f t="shared" si="19"/>
        <v>0</v>
      </c>
      <c r="H219" s="191" t="s">
        <v>65</v>
      </c>
      <c r="I219" s="196">
        <v>250.0</v>
      </c>
      <c r="J219" s="192">
        <v>1.0</v>
      </c>
      <c r="K219" s="193" t="b">
        <v>0</v>
      </c>
      <c r="L219" s="194">
        <f t="shared" si="20"/>
        <v>0</v>
      </c>
    </row>
    <row r="220" ht="22.5" customHeight="1">
      <c r="A220" s="191" t="s">
        <v>66</v>
      </c>
      <c r="B220" s="196">
        <v>250.0</v>
      </c>
      <c r="C220" s="192">
        <v>1.0</v>
      </c>
      <c r="D220" s="193" t="b">
        <v>0</v>
      </c>
      <c r="E220" s="194">
        <f t="shared" si="19"/>
        <v>0</v>
      </c>
      <c r="H220" s="191" t="s">
        <v>66</v>
      </c>
      <c r="I220" s="196">
        <v>250.0</v>
      </c>
      <c r="J220" s="192">
        <v>1.0</v>
      </c>
      <c r="K220" s="193" t="b">
        <v>0</v>
      </c>
      <c r="L220" s="194">
        <f t="shared" si="20"/>
        <v>0</v>
      </c>
    </row>
    <row r="221" ht="22.5" customHeight="1">
      <c r="A221" s="191" t="s">
        <v>67</v>
      </c>
      <c r="B221" s="196">
        <v>250.0</v>
      </c>
      <c r="C221" s="192">
        <v>1.0</v>
      </c>
      <c r="D221" s="193" t="b">
        <v>0</v>
      </c>
      <c r="E221" s="194">
        <f t="shared" si="19"/>
        <v>0</v>
      </c>
      <c r="H221" s="191" t="s">
        <v>67</v>
      </c>
      <c r="I221" s="196">
        <v>250.0</v>
      </c>
      <c r="J221" s="192">
        <v>1.0</v>
      </c>
      <c r="K221" s="193" t="b">
        <v>0</v>
      </c>
      <c r="L221" s="194">
        <f t="shared" si="20"/>
        <v>0</v>
      </c>
    </row>
    <row r="222" ht="22.5" customHeight="1">
      <c r="A222" s="191" t="s">
        <v>68</v>
      </c>
      <c r="B222" s="196">
        <v>250.0</v>
      </c>
      <c r="C222" s="192">
        <v>1.0</v>
      </c>
      <c r="D222" s="193" t="b">
        <v>0</v>
      </c>
      <c r="E222" s="194">
        <f t="shared" si="19"/>
        <v>0</v>
      </c>
      <c r="H222" s="191" t="s">
        <v>68</v>
      </c>
      <c r="I222" s="196">
        <v>250.0</v>
      </c>
      <c r="J222" s="192">
        <v>1.0</v>
      </c>
      <c r="K222" s="193" t="b">
        <v>0</v>
      </c>
      <c r="L222" s="194">
        <f t="shared" si="20"/>
        <v>0</v>
      </c>
    </row>
    <row r="223" ht="22.5" customHeight="1">
      <c r="A223" s="191" t="s">
        <v>69</v>
      </c>
      <c r="B223" s="196">
        <v>250.0</v>
      </c>
      <c r="C223" s="192">
        <v>1.0</v>
      </c>
      <c r="D223" s="193" t="b">
        <v>0</v>
      </c>
      <c r="E223" s="194">
        <f t="shared" si="19"/>
        <v>0</v>
      </c>
      <c r="H223" s="191" t="s">
        <v>69</v>
      </c>
      <c r="I223" s="196">
        <v>250.0</v>
      </c>
      <c r="J223" s="192">
        <v>1.0</v>
      </c>
      <c r="K223" s="193" t="b">
        <v>0</v>
      </c>
      <c r="L223" s="194">
        <f t="shared" si="20"/>
        <v>0</v>
      </c>
    </row>
    <row r="224" ht="22.5" customHeight="1">
      <c r="A224" s="191" t="s">
        <v>70</v>
      </c>
      <c r="B224" s="196">
        <v>250.0</v>
      </c>
      <c r="C224" s="192">
        <v>1.0</v>
      </c>
      <c r="D224" s="193" t="b">
        <v>0</v>
      </c>
      <c r="E224" s="194">
        <f t="shared" si="19"/>
        <v>0</v>
      </c>
      <c r="H224" s="191" t="s">
        <v>70</v>
      </c>
      <c r="I224" s="196">
        <v>250.0</v>
      </c>
      <c r="J224" s="192">
        <v>1.0</v>
      </c>
      <c r="K224" s="193" t="b">
        <v>0</v>
      </c>
      <c r="L224" s="194">
        <f t="shared" si="20"/>
        <v>0</v>
      </c>
    </row>
    <row r="225" ht="22.5" customHeight="1">
      <c r="A225" s="191" t="s">
        <v>71</v>
      </c>
      <c r="B225" s="196">
        <v>250.0</v>
      </c>
      <c r="C225" s="192">
        <v>1.0</v>
      </c>
      <c r="D225" s="193" t="b">
        <v>0</v>
      </c>
      <c r="E225" s="194">
        <f t="shared" si="19"/>
        <v>0</v>
      </c>
      <c r="H225" s="191" t="s">
        <v>71</v>
      </c>
      <c r="I225" s="196">
        <v>250.0</v>
      </c>
      <c r="J225" s="192">
        <v>1.0</v>
      </c>
      <c r="K225" s="193" t="b">
        <v>0</v>
      </c>
      <c r="L225" s="194">
        <f t="shared" si="20"/>
        <v>0</v>
      </c>
    </row>
    <row r="226" ht="22.5" customHeight="1">
      <c r="A226" s="191" t="s">
        <v>72</v>
      </c>
      <c r="B226" s="196">
        <v>250.0</v>
      </c>
      <c r="C226" s="192">
        <v>1.0</v>
      </c>
      <c r="D226" s="193" t="b">
        <v>1</v>
      </c>
      <c r="E226" s="197">
        <f t="shared" si="19"/>
        <v>250</v>
      </c>
      <c r="H226" s="191" t="s">
        <v>72</v>
      </c>
      <c r="I226" s="196">
        <v>250.0</v>
      </c>
      <c r="J226" s="192">
        <v>1.0</v>
      </c>
      <c r="K226" s="193" t="b">
        <v>1</v>
      </c>
      <c r="L226" s="197">
        <f t="shared" si="20"/>
        <v>250</v>
      </c>
    </row>
    <row r="227" ht="22.5" customHeight="1">
      <c r="A227" s="191" t="s">
        <v>73</v>
      </c>
      <c r="B227" s="196">
        <v>250.0</v>
      </c>
      <c r="C227" s="192">
        <v>1.0</v>
      </c>
      <c r="D227" s="193" t="b">
        <v>0</v>
      </c>
      <c r="E227" s="194">
        <f t="shared" si="19"/>
        <v>0</v>
      </c>
      <c r="H227" s="191" t="s">
        <v>73</v>
      </c>
      <c r="I227" s="196">
        <v>250.0</v>
      </c>
      <c r="J227" s="192">
        <v>1.0</v>
      </c>
      <c r="K227" s="193" t="b">
        <v>0</v>
      </c>
      <c r="L227" s="194">
        <f t="shared" si="20"/>
        <v>0</v>
      </c>
    </row>
    <row r="228" ht="22.5" customHeight="1">
      <c r="A228" s="191" t="s">
        <v>74</v>
      </c>
      <c r="B228" s="197"/>
      <c r="D228" s="193" t="s">
        <v>30</v>
      </c>
      <c r="E228" s="202">
        <f>SUM(E209:E227)</f>
        <v>2250</v>
      </c>
      <c r="H228" s="191" t="s">
        <v>74</v>
      </c>
      <c r="I228" s="197"/>
      <c r="K228" s="193" t="s">
        <v>30</v>
      </c>
      <c r="L228" s="202">
        <f>SUM(L209:L227)</f>
        <v>2250</v>
      </c>
    </row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custom" allowBlank="1" showDropDown="1" sqref="I2:I21 B2:B21 I25:I44 B25:B44 B48:B67 I48:I67 B71:B90 I71:I90 B94:B113 I94:I113 B117:B136 I117:I136 I140:I159 B140:B159 I163:I182 B163:B182 I186:I205 B186:B205 I209:I228 B209:B228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20"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9.11"/>
    <col customWidth="1" min="2" max="7" width="15.33"/>
    <col customWidth="1" min="8" max="8" width="21.22"/>
  </cols>
  <sheetData>
    <row r="1" ht="36.0" customHeight="1">
      <c r="A1" s="204"/>
      <c r="B1" s="205"/>
      <c r="C1" s="205"/>
      <c r="D1" s="205"/>
      <c r="E1" s="205"/>
      <c r="F1" s="205"/>
      <c r="G1" s="205"/>
      <c r="H1" s="206"/>
    </row>
    <row r="2" ht="36.0" customHeight="1">
      <c r="A2" s="207"/>
      <c r="B2" s="208"/>
      <c r="C2" s="209"/>
      <c r="D2" s="209"/>
      <c r="E2" s="210"/>
      <c r="F2" s="210"/>
      <c r="G2" s="210"/>
      <c r="H2" s="211"/>
    </row>
    <row r="3" ht="24.0" customHeight="1">
      <c r="A3" s="8"/>
      <c r="B3" s="212"/>
      <c r="C3" s="212"/>
      <c r="D3" s="212"/>
      <c r="E3" s="212"/>
      <c r="F3" s="212"/>
      <c r="G3" s="212"/>
      <c r="H3" s="213"/>
    </row>
    <row r="4" ht="36.0" customHeight="1">
      <c r="A4" s="11" t="s">
        <v>1</v>
      </c>
      <c r="B4" s="214" t="s">
        <v>2</v>
      </c>
      <c r="C4" s="215"/>
      <c r="D4" s="215" t="s">
        <v>3</v>
      </c>
      <c r="E4" s="215" t="s">
        <v>5</v>
      </c>
      <c r="F4" s="215" t="s">
        <v>6</v>
      </c>
      <c r="G4" s="215" t="s">
        <v>7</v>
      </c>
      <c r="H4" s="215" t="s">
        <v>8</v>
      </c>
    </row>
    <row r="5" ht="18.0" customHeight="1">
      <c r="A5" s="13"/>
      <c r="B5" s="216"/>
      <c r="C5" s="217" t="s">
        <v>76</v>
      </c>
      <c r="D5" s="216"/>
      <c r="E5" s="216"/>
      <c r="F5" s="216"/>
      <c r="G5" s="216"/>
    </row>
    <row r="6" ht="30.0" customHeight="1">
      <c r="A6" s="218" t="s">
        <v>38</v>
      </c>
      <c r="B6" s="219"/>
      <c r="C6" s="220"/>
      <c r="D6" s="221"/>
      <c r="E6" s="222"/>
      <c r="F6" s="219"/>
      <c r="G6" s="223"/>
      <c r="H6" s="221"/>
    </row>
    <row r="7" ht="30.0" customHeight="1">
      <c r="A7" s="218" t="s">
        <v>9</v>
      </c>
      <c r="B7" s="219"/>
      <c r="C7" s="220"/>
      <c r="D7" s="221"/>
      <c r="E7" s="222"/>
      <c r="F7" s="219"/>
      <c r="G7" s="223"/>
      <c r="H7" s="221"/>
    </row>
    <row r="8" ht="30.0" customHeight="1">
      <c r="A8" s="218" t="s">
        <v>21</v>
      </c>
      <c r="B8" s="219"/>
      <c r="C8" s="220"/>
      <c r="D8" s="221"/>
      <c r="E8" s="222"/>
      <c r="F8" s="219"/>
      <c r="G8" s="223"/>
      <c r="H8" s="221"/>
    </row>
    <row r="9" ht="30.0" customHeight="1">
      <c r="A9" s="218" t="s">
        <v>42</v>
      </c>
      <c r="B9" s="219">
        <v>2750.0</v>
      </c>
      <c r="C9" s="220">
        <f>SUM('الحظور'!LO9:MR9)</f>
        <v>0</v>
      </c>
      <c r="D9" s="221">
        <f>(B9)*C9</f>
        <v>0</v>
      </c>
      <c r="E9" s="222">
        <v>0.0</v>
      </c>
      <c r="F9" s="219">
        <f>'السلف و الغرامات'!C9</f>
        <v>50000</v>
      </c>
      <c r="G9" s="223">
        <v>0.0</v>
      </c>
      <c r="H9" s="221">
        <f>(B9)*C9+E9-F9-G9</f>
        <v>-50000</v>
      </c>
    </row>
    <row r="10" ht="30.0" customHeight="1">
      <c r="A10" s="224" t="s">
        <v>12</v>
      </c>
      <c r="B10" s="219"/>
      <c r="C10" s="220"/>
      <c r="D10" s="221"/>
      <c r="E10" s="222"/>
      <c r="F10" s="219"/>
      <c r="G10" s="223"/>
      <c r="H10" s="221"/>
    </row>
    <row r="11" ht="30.0" customHeight="1">
      <c r="A11" s="218" t="s">
        <v>44</v>
      </c>
      <c r="B11" s="219"/>
      <c r="C11" s="220"/>
      <c r="D11" s="221"/>
      <c r="E11" s="222"/>
      <c r="F11" s="219"/>
      <c r="G11" s="223"/>
      <c r="H11" s="221"/>
    </row>
    <row r="12" ht="30.0" customHeight="1">
      <c r="A12" s="218" t="s">
        <v>14</v>
      </c>
      <c r="B12" s="219"/>
      <c r="C12" s="220"/>
      <c r="D12" s="221"/>
      <c r="E12" s="222"/>
      <c r="F12" s="219"/>
      <c r="G12" s="223"/>
      <c r="H12" s="221"/>
    </row>
    <row r="13" ht="30.0" customHeight="1">
      <c r="A13" s="218" t="s">
        <v>46</v>
      </c>
      <c r="B13" s="219"/>
      <c r="C13" s="220"/>
      <c r="D13" s="221"/>
      <c r="E13" s="222"/>
      <c r="F13" s="219"/>
      <c r="G13" s="223"/>
      <c r="H13" s="221"/>
    </row>
    <row r="14" ht="30.0" hidden="1" customHeight="1">
      <c r="A14" s="218" t="s">
        <v>10</v>
      </c>
      <c r="B14" s="219"/>
      <c r="C14" s="220"/>
      <c r="D14" s="221"/>
      <c r="E14" s="222"/>
      <c r="F14" s="219"/>
      <c r="G14" s="223"/>
      <c r="H14" s="221"/>
    </row>
    <row r="15" ht="30.0" customHeight="1">
      <c r="A15" s="218" t="s">
        <v>24</v>
      </c>
      <c r="B15" s="219"/>
      <c r="C15" s="220"/>
      <c r="D15" s="221"/>
      <c r="E15" s="222"/>
      <c r="F15" s="219"/>
      <c r="G15" s="223"/>
      <c r="H15" s="221"/>
    </row>
    <row r="16" ht="30.0" customHeight="1">
      <c r="A16" s="225" t="s">
        <v>47</v>
      </c>
      <c r="B16" s="219"/>
      <c r="C16" s="220"/>
      <c r="D16" s="221"/>
      <c r="E16" s="222"/>
      <c r="F16" s="219"/>
      <c r="G16" s="223"/>
      <c r="H16" s="221"/>
    </row>
    <row r="17" ht="30.0" hidden="1" customHeight="1">
      <c r="A17" s="226" t="s">
        <v>77</v>
      </c>
      <c r="B17" s="227">
        <v>1750.0</v>
      </c>
      <c r="C17" s="220" t="str">
        <f>SUM(#REF!)</f>
        <v>#REF!</v>
      </c>
      <c r="D17" s="227" t="str">
        <f>(B17)*C17</f>
        <v>#REF!</v>
      </c>
      <c r="E17" s="222">
        <v>0.0</v>
      </c>
      <c r="F17" s="228" t="str">
        <f>#REF!</f>
        <v>#REF!</v>
      </c>
      <c r="G17" s="229">
        <v>0.0</v>
      </c>
      <c r="H17" s="230" t="str">
        <f>(B17)*C17+E17-F17-G17</f>
        <v>#REF!</v>
      </c>
    </row>
    <row r="18" ht="19.5" customHeight="1">
      <c r="A18" s="231"/>
      <c r="B18" s="232"/>
      <c r="C18" s="233"/>
      <c r="D18" s="234"/>
      <c r="E18" s="232"/>
      <c r="F18" s="232"/>
      <c r="G18" s="235"/>
      <c r="H18" s="234"/>
    </row>
    <row r="19" ht="19.5" customHeight="1">
      <c r="A19" s="231"/>
      <c r="B19" s="232"/>
      <c r="C19" s="233"/>
      <c r="D19" s="234"/>
      <c r="E19" s="232"/>
      <c r="F19" s="232"/>
      <c r="G19" s="235"/>
      <c r="H19" s="234"/>
    </row>
    <row r="20" ht="19.5" customHeight="1">
      <c r="A20" s="231"/>
      <c r="B20" s="232"/>
      <c r="C20" s="233"/>
      <c r="D20" s="234"/>
      <c r="E20" s="232"/>
      <c r="F20" s="232"/>
      <c r="G20" s="235"/>
      <c r="H20" s="234"/>
    </row>
  </sheetData>
  <conditionalFormatting sqref="A1:B2">
    <cfRule type="notContainsBlanks" dxfId="6" priority="1">
      <formula>LEN(TRIM(A1))&gt;0</formula>
    </cfRule>
  </conditionalFormatting>
  <conditionalFormatting sqref="H1:H20">
    <cfRule type="cellIs" dxfId="11" priority="2" operator="lessThan">
      <formula>0</formula>
    </cfRule>
  </conditionalFormatting>
  <conditionalFormatting sqref="H1:H20">
    <cfRule type="cellIs" dxfId="12" priority="3" operator="greaterThanOrEqual">
      <formula>500000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14.44"/>
    <col customWidth="1" min="2" max="2" width="9.56"/>
    <col customWidth="1" min="3" max="3" width="7.22"/>
    <col customWidth="1" min="7" max="7" width="14.67"/>
    <col customWidth="1" min="8" max="8" width="16.44"/>
    <col customWidth="1" min="9" max="9" width="4.22"/>
  </cols>
  <sheetData>
    <row r="1" ht="26.25" hidden="1" customHeight="1">
      <c r="A1" s="204"/>
      <c r="B1" s="205"/>
      <c r="C1" s="205"/>
      <c r="D1" s="205"/>
      <c r="E1" s="205"/>
      <c r="F1" s="205"/>
      <c r="G1" s="205"/>
      <c r="H1" s="206"/>
    </row>
    <row r="2" ht="26.25" hidden="1" customHeight="1">
      <c r="A2" s="236"/>
      <c r="B2" s="210"/>
      <c r="C2" s="210"/>
      <c r="D2" s="210"/>
      <c r="E2" s="210"/>
      <c r="F2" s="210"/>
      <c r="G2" s="210"/>
      <c r="H2" s="211"/>
    </row>
    <row r="3" hidden="1">
      <c r="A3" s="8"/>
      <c r="B3" s="212"/>
      <c r="C3" s="212"/>
      <c r="D3" s="212"/>
      <c r="E3" s="212"/>
      <c r="F3" s="212"/>
      <c r="G3" s="212"/>
      <c r="H3" s="213"/>
    </row>
    <row r="4">
      <c r="A4" s="11" t="s">
        <v>1</v>
      </c>
      <c r="B4" s="214" t="s">
        <v>2</v>
      </c>
      <c r="C4" s="215"/>
      <c r="D4" s="215" t="s">
        <v>3</v>
      </c>
      <c r="E4" s="215" t="s">
        <v>5</v>
      </c>
      <c r="F4" s="215" t="s">
        <v>6</v>
      </c>
      <c r="G4" s="215" t="s">
        <v>7</v>
      </c>
      <c r="H4" s="215" t="s">
        <v>8</v>
      </c>
      <c r="I4" s="237"/>
    </row>
    <row r="5">
      <c r="A5" s="238"/>
      <c r="B5" s="239"/>
      <c r="C5" s="240" t="s">
        <v>76</v>
      </c>
      <c r="D5" s="239"/>
      <c r="E5" s="239"/>
      <c r="F5" s="239"/>
      <c r="G5" s="239"/>
      <c r="H5" s="241"/>
      <c r="I5" s="242"/>
    </row>
    <row r="6" ht="22.5" customHeight="1">
      <c r="A6" s="243" t="s">
        <v>38</v>
      </c>
      <c r="B6" s="244">
        <v>3000.0</v>
      </c>
      <c r="C6" s="245">
        <f>SUM('الحظور'!KI6:LM6)</f>
        <v>282.75</v>
      </c>
      <c r="D6" s="246">
        <f t="shared" ref="D6:D16" si="1">(B6)*C6</f>
        <v>848250</v>
      </c>
      <c r="E6" s="244">
        <v>9250.0</v>
      </c>
      <c r="F6" s="247">
        <f>SUM('السلف و الغرامات'!AI6:BL6)</f>
        <v>157500</v>
      </c>
      <c r="G6" s="247">
        <v>700000.0</v>
      </c>
      <c r="H6" s="246">
        <f t="shared" ref="H6:H16" si="2">(B6)*C6+E6-F6-G6</f>
        <v>0</v>
      </c>
      <c r="I6" s="248"/>
      <c r="J6" s="249"/>
      <c r="K6" s="249"/>
      <c r="L6" s="249"/>
      <c r="M6" s="249"/>
      <c r="N6" s="249"/>
      <c r="O6" s="249"/>
      <c r="P6" s="249"/>
      <c r="Q6" s="249"/>
      <c r="R6" s="249"/>
      <c r="S6" s="249"/>
      <c r="T6" s="249"/>
      <c r="U6" s="249"/>
      <c r="V6" s="249"/>
      <c r="W6" s="249"/>
      <c r="X6" s="249"/>
      <c r="Y6" s="249"/>
      <c r="Z6" s="249"/>
    </row>
    <row r="7" ht="22.5" customHeight="1">
      <c r="A7" s="243" t="s">
        <v>9</v>
      </c>
      <c r="B7" s="247">
        <v>3000.0</v>
      </c>
      <c r="C7" s="245">
        <f>SUM('الحظور'!KI7:LM7)</f>
        <v>260.5</v>
      </c>
      <c r="D7" s="250">
        <f t="shared" si="1"/>
        <v>781500</v>
      </c>
      <c r="E7" s="247">
        <v>0.0</v>
      </c>
      <c r="F7" s="247">
        <f>SUM('السلف و الغرامات'!AI7:BL7)</f>
        <v>342000</v>
      </c>
      <c r="G7" s="247">
        <v>439500.0</v>
      </c>
      <c r="H7" s="250">
        <f t="shared" si="2"/>
        <v>0</v>
      </c>
      <c r="I7" s="248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</row>
    <row r="8" ht="22.5" customHeight="1">
      <c r="A8" s="243" t="s">
        <v>21</v>
      </c>
      <c r="B8" s="244">
        <v>3000.0</v>
      </c>
      <c r="C8" s="245">
        <f>SUM('الحظور'!KI8:LM8)</f>
        <v>236</v>
      </c>
      <c r="D8" s="246">
        <f t="shared" si="1"/>
        <v>708000</v>
      </c>
      <c r="E8" s="244">
        <v>3000.0</v>
      </c>
      <c r="F8" s="247">
        <f>SUM('السلف و الغرامات'!AI8:BL8)</f>
        <v>405666</v>
      </c>
      <c r="G8" s="247">
        <v>305334.0</v>
      </c>
      <c r="H8" s="246">
        <f t="shared" si="2"/>
        <v>0</v>
      </c>
      <c r="I8" s="248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9"/>
      <c r="Y8" s="249"/>
      <c r="Z8" s="249"/>
    </row>
    <row r="9" ht="22.5" customHeight="1">
      <c r="A9" s="251" t="s">
        <v>42</v>
      </c>
      <c r="B9" s="252">
        <v>2750.0</v>
      </c>
      <c r="C9" s="253">
        <f>SUM('الحظور'!KI9:LM9)</f>
        <v>163</v>
      </c>
      <c r="D9" s="254">
        <f t="shared" si="1"/>
        <v>448250</v>
      </c>
      <c r="E9" s="252">
        <v>187000.0</v>
      </c>
      <c r="F9" s="255">
        <f>SUM('السلف و الغرامات'!AI9:BL9)</f>
        <v>395416</v>
      </c>
      <c r="G9" s="255">
        <v>239834.0</v>
      </c>
      <c r="H9" s="254">
        <f t="shared" si="2"/>
        <v>0</v>
      </c>
      <c r="I9" s="248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</row>
    <row r="10" ht="22.5" customHeight="1">
      <c r="A10" s="256" t="s">
        <v>12</v>
      </c>
      <c r="B10" s="257">
        <v>2500.0</v>
      </c>
      <c r="C10" s="258">
        <f>SUM('الحظور'!KI10:LM10)</f>
        <v>152.9</v>
      </c>
      <c r="D10" s="259">
        <f t="shared" si="1"/>
        <v>382250</v>
      </c>
      <c r="E10" s="257">
        <v>100000.0</v>
      </c>
      <c r="F10" s="260">
        <f>SUM('السلف و الغرامات'!AI10:BL10)</f>
        <v>117250</v>
      </c>
      <c r="G10" s="260">
        <v>365000.0</v>
      </c>
      <c r="H10" s="259">
        <f t="shared" si="2"/>
        <v>0</v>
      </c>
      <c r="I10" s="248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9"/>
      <c r="U10" s="249"/>
      <c r="V10" s="249"/>
      <c r="W10" s="249"/>
      <c r="X10" s="249"/>
      <c r="Y10" s="249"/>
      <c r="Z10" s="249"/>
    </row>
    <row r="11" ht="22.5" customHeight="1">
      <c r="A11" s="243" t="s">
        <v>44</v>
      </c>
      <c r="B11" s="244">
        <v>2500.0</v>
      </c>
      <c r="C11" s="245">
        <f>SUM('الحظور'!KI11:LM11)</f>
        <v>246.75</v>
      </c>
      <c r="D11" s="246">
        <f t="shared" si="1"/>
        <v>616875</v>
      </c>
      <c r="E11" s="244">
        <v>101000.0</v>
      </c>
      <c r="F11" s="247">
        <f>SUM('السلف و الغرامات'!AI11:BL11)</f>
        <v>681417</v>
      </c>
      <c r="G11" s="247">
        <v>150542.0</v>
      </c>
      <c r="H11" s="246">
        <f t="shared" si="2"/>
        <v>-114084</v>
      </c>
      <c r="I11" s="248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9"/>
      <c r="U11" s="249"/>
      <c r="V11" s="249"/>
      <c r="W11" s="249"/>
      <c r="X11" s="249"/>
      <c r="Y11" s="249"/>
      <c r="Z11" s="249"/>
    </row>
    <row r="12" ht="22.5" customHeight="1">
      <c r="A12" s="243" t="s">
        <v>14</v>
      </c>
      <c r="B12" s="244">
        <v>2500.0</v>
      </c>
      <c r="C12" s="245">
        <f>SUM('الحظور'!KI12:LM12)</f>
        <v>251.25</v>
      </c>
      <c r="D12" s="246">
        <f t="shared" si="1"/>
        <v>628125</v>
      </c>
      <c r="E12" s="244">
        <v>0.0</v>
      </c>
      <c r="F12" s="247">
        <f>SUM('السلف و الغرامات'!AI12:BL12)</f>
        <v>682000</v>
      </c>
      <c r="G12" s="247">
        <v>0.0</v>
      </c>
      <c r="H12" s="246">
        <f t="shared" si="2"/>
        <v>-53875</v>
      </c>
      <c r="I12" s="248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49"/>
      <c r="Y12" s="249"/>
      <c r="Z12" s="249"/>
    </row>
    <row r="13" ht="22.5" customHeight="1">
      <c r="A13" s="243" t="s">
        <v>46</v>
      </c>
      <c r="B13" s="244">
        <v>2250.0</v>
      </c>
      <c r="C13" s="245">
        <f>SUM('الحظور'!KI13:LM13)</f>
        <v>273.7</v>
      </c>
      <c r="D13" s="246">
        <f t="shared" si="1"/>
        <v>615825</v>
      </c>
      <c r="E13" s="244">
        <v>2591.0</v>
      </c>
      <c r="F13" s="247">
        <f>SUM('السلف و الغرامات'!AI13:BL13)</f>
        <v>358416</v>
      </c>
      <c r="G13" s="247">
        <v>260000.0</v>
      </c>
      <c r="H13" s="246">
        <f t="shared" si="2"/>
        <v>0</v>
      </c>
      <c r="I13" s="248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49"/>
      <c r="Y13" s="249"/>
      <c r="Z13" s="249"/>
    </row>
    <row r="14" ht="22.5" hidden="1" customHeight="1">
      <c r="A14" s="243" t="s">
        <v>10</v>
      </c>
      <c r="B14" s="244">
        <v>2000.0</v>
      </c>
      <c r="C14" s="245" t="str">
        <f>SUM(#REF!)</f>
        <v>#REF!</v>
      </c>
      <c r="D14" s="246" t="str">
        <f t="shared" si="1"/>
        <v>#REF!</v>
      </c>
      <c r="E14" s="244">
        <v>6000.0</v>
      </c>
      <c r="F14" s="247" t="str">
        <f>SUM(#REF!)</f>
        <v>#REF!</v>
      </c>
      <c r="G14" s="247">
        <v>0.0</v>
      </c>
      <c r="H14" s="261" t="str">
        <f t="shared" si="2"/>
        <v>#REF!</v>
      </c>
      <c r="I14" s="248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49"/>
      <c r="Y14" s="249"/>
      <c r="Z14" s="249"/>
    </row>
    <row r="15" ht="22.5" customHeight="1">
      <c r="A15" s="243" t="s">
        <v>24</v>
      </c>
      <c r="B15" s="244">
        <v>2000.0</v>
      </c>
      <c r="C15" s="245">
        <f>SUM('الحظور'!KI14:LM14)</f>
        <v>220</v>
      </c>
      <c r="D15" s="246">
        <f t="shared" si="1"/>
        <v>440000</v>
      </c>
      <c r="E15" s="244">
        <v>0.0</v>
      </c>
      <c r="F15" s="247">
        <f>SUM('السلف و الغرامات'!AI14:BL14)</f>
        <v>172418</v>
      </c>
      <c r="G15" s="247">
        <v>267582.0</v>
      </c>
      <c r="H15" s="246">
        <f t="shared" si="2"/>
        <v>0</v>
      </c>
      <c r="I15" s="248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49"/>
      <c r="Y15" s="249"/>
      <c r="Z15" s="249"/>
    </row>
    <row r="16" ht="22.5" customHeight="1">
      <c r="A16" s="251" t="s">
        <v>47</v>
      </c>
      <c r="B16" s="252">
        <v>2000.0</v>
      </c>
      <c r="C16" s="253" t="str">
        <f>SUM(#REF!)</f>
        <v>#REF!</v>
      </c>
      <c r="D16" s="254" t="str">
        <f t="shared" si="1"/>
        <v>#REF!</v>
      </c>
      <c r="E16" s="252">
        <v>0.0</v>
      </c>
      <c r="F16" s="255">
        <f>SUM('السلف و الغرامات'!AI15:BL15)</f>
        <v>0</v>
      </c>
      <c r="G16" s="255">
        <v>346000.0</v>
      </c>
      <c r="H16" s="254" t="str">
        <f t="shared" si="2"/>
        <v>#REF!</v>
      </c>
      <c r="I16" s="248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49"/>
      <c r="Y16" s="249"/>
      <c r="Z16" s="249"/>
    </row>
    <row r="17">
      <c r="A17" s="242"/>
      <c r="B17" s="242"/>
      <c r="C17" s="242"/>
      <c r="D17" s="242"/>
      <c r="E17" s="242"/>
      <c r="F17" s="242"/>
      <c r="G17" s="242"/>
      <c r="H17" s="242"/>
      <c r="I17" s="242"/>
    </row>
  </sheetData>
  <conditionalFormatting sqref="A1:B2">
    <cfRule type="notContainsBlanks" dxfId="6" priority="1">
      <formula>LEN(TRIM(A1))&gt;0</formula>
    </cfRule>
  </conditionalFormatting>
  <conditionalFormatting sqref="H1:H16">
    <cfRule type="cellIs" dxfId="11" priority="2" operator="lessThan">
      <formula>0</formula>
    </cfRule>
  </conditionalFormatting>
  <conditionalFormatting sqref="H1:H16">
    <cfRule type="cellIs" dxfId="12" priority="3" operator="greaterThanOrEqual">
      <formula>500000</formula>
    </cfRule>
  </conditionalFormatting>
  <printOptions gridLines="1" horizontalCentered="1" verticalCentered="1"/>
  <pageMargins bottom="0.3950308576292829" footer="0.0" header="0.0" left="0.3950308576292829" right="0.4014734209725931" top="0.40380932113215584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1.22" defaultRowHeight="15.75" outlineLevelRow="1"/>
  <cols>
    <col customWidth="1" min="1" max="1" width="1.89"/>
    <col customWidth="1" min="2" max="2" width="11.22"/>
    <col customWidth="1" min="3" max="3" width="12.33"/>
    <col customWidth="1" hidden="1" min="4" max="64" width="10.11"/>
    <col customWidth="1" min="65" max="183" width="10.11"/>
  </cols>
  <sheetData>
    <row r="1" ht="35.25" customHeight="1">
      <c r="A1" s="262"/>
      <c r="B1" s="263"/>
      <c r="C1" s="264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5"/>
      <c r="BC1" s="265"/>
      <c r="BD1" s="265"/>
      <c r="BE1" s="265"/>
      <c r="BF1" s="265"/>
      <c r="BG1" s="265"/>
      <c r="BH1" s="265"/>
      <c r="BI1" s="265"/>
      <c r="BJ1" s="265"/>
      <c r="BK1" s="265"/>
      <c r="BL1" s="265"/>
      <c r="BM1" s="265"/>
      <c r="BN1" s="265"/>
      <c r="BO1" s="265"/>
      <c r="BP1" s="265"/>
      <c r="BQ1" s="265"/>
      <c r="BR1" s="265"/>
      <c r="BS1" s="265"/>
      <c r="BT1" s="265"/>
      <c r="BU1" s="265"/>
      <c r="BV1" s="265"/>
      <c r="BW1" s="265"/>
      <c r="BX1" s="265"/>
      <c r="BY1" s="265"/>
      <c r="BZ1" s="265"/>
      <c r="CA1" s="265"/>
      <c r="CB1" s="265"/>
      <c r="CC1" s="265"/>
      <c r="CD1" s="265"/>
      <c r="CE1" s="265"/>
      <c r="CF1" s="265"/>
      <c r="CG1" s="265"/>
      <c r="CH1" s="265"/>
      <c r="CI1" s="265"/>
      <c r="CJ1" s="265"/>
      <c r="CK1" s="265"/>
      <c r="CL1" s="265"/>
      <c r="CM1" s="265"/>
      <c r="CN1" s="265"/>
      <c r="CO1" s="265"/>
      <c r="CP1" s="265"/>
      <c r="CQ1" s="265"/>
      <c r="CR1" s="265"/>
      <c r="CS1" s="265"/>
      <c r="CT1" s="265"/>
      <c r="CU1" s="265"/>
      <c r="CV1" s="265"/>
      <c r="CW1" s="265"/>
      <c r="CX1" s="265"/>
      <c r="CY1" s="265"/>
      <c r="CZ1" s="265"/>
      <c r="DA1" s="265"/>
      <c r="DB1" s="265"/>
      <c r="DC1" s="265"/>
      <c r="DD1" s="265"/>
      <c r="DE1" s="265"/>
      <c r="DF1" s="265"/>
      <c r="DG1" s="265"/>
      <c r="DH1" s="265"/>
      <c r="DI1" s="265"/>
      <c r="DJ1" s="265"/>
      <c r="DK1" s="265"/>
      <c r="DL1" s="265"/>
      <c r="DM1" s="265"/>
      <c r="DN1" s="265"/>
      <c r="DO1" s="265"/>
      <c r="DP1" s="265"/>
      <c r="DQ1" s="265"/>
      <c r="DR1" s="265"/>
      <c r="DS1" s="265"/>
      <c r="DT1" s="265"/>
      <c r="DU1" s="265"/>
      <c r="DV1" s="265"/>
      <c r="DW1" s="265"/>
      <c r="DX1" s="265"/>
      <c r="DY1" s="265"/>
      <c r="DZ1" s="265"/>
      <c r="EA1" s="265"/>
      <c r="EB1" s="265"/>
      <c r="EC1" s="265"/>
      <c r="ED1" s="265"/>
      <c r="EE1" s="265"/>
      <c r="EF1" s="265"/>
      <c r="EG1" s="265"/>
      <c r="EH1" s="265"/>
      <c r="EI1" s="265"/>
      <c r="EJ1" s="265"/>
      <c r="EK1" s="265"/>
      <c r="EL1" s="265"/>
      <c r="EM1" s="265"/>
      <c r="EN1" s="265"/>
      <c r="EO1" s="265"/>
      <c r="EP1" s="265"/>
      <c r="EQ1" s="265"/>
      <c r="ER1" s="265"/>
      <c r="ES1" s="265"/>
      <c r="ET1" s="265"/>
      <c r="EU1" s="265"/>
      <c r="EV1" s="265"/>
      <c r="EW1" s="265"/>
      <c r="EX1" s="265"/>
      <c r="EY1" s="265"/>
      <c r="EZ1" s="265"/>
      <c r="FA1" s="265"/>
      <c r="FB1" s="265"/>
      <c r="FC1" s="265"/>
      <c r="FD1" s="265"/>
      <c r="FE1" s="265"/>
      <c r="FF1" s="265"/>
      <c r="FG1" s="265"/>
      <c r="FH1" s="265"/>
      <c r="FI1" s="265"/>
      <c r="FJ1" s="265"/>
      <c r="FK1" s="265"/>
      <c r="FL1" s="265"/>
      <c r="FM1" s="265"/>
      <c r="FN1" s="265"/>
      <c r="FO1" s="265"/>
      <c r="FP1" s="265"/>
      <c r="FQ1" s="265"/>
      <c r="FR1" s="265"/>
      <c r="FS1" s="265"/>
      <c r="FT1" s="265"/>
      <c r="FU1" s="265"/>
      <c r="FV1" s="265"/>
      <c r="FW1" s="265"/>
      <c r="FX1" s="265"/>
      <c r="FY1" s="265"/>
      <c r="FZ1" s="265"/>
      <c r="GA1" s="265"/>
    </row>
    <row r="2" ht="26.25" customHeight="1">
      <c r="A2" s="266"/>
      <c r="B2" s="267"/>
      <c r="C2" s="268"/>
      <c r="D2" s="269">
        <v>45778.0</v>
      </c>
      <c r="E2" s="269">
        <v>45779.0</v>
      </c>
      <c r="F2" s="269">
        <v>45780.0</v>
      </c>
      <c r="G2" s="269">
        <v>45781.0</v>
      </c>
      <c r="H2" s="269">
        <v>45782.0</v>
      </c>
      <c r="I2" s="269">
        <v>45783.0</v>
      </c>
      <c r="J2" s="269">
        <v>45784.0</v>
      </c>
      <c r="K2" s="269">
        <v>45785.0</v>
      </c>
      <c r="L2" s="269">
        <v>45786.0</v>
      </c>
      <c r="M2" s="269">
        <v>45787.0</v>
      </c>
      <c r="N2" s="269">
        <v>45788.0</v>
      </c>
      <c r="O2" s="269">
        <v>45789.0</v>
      </c>
      <c r="P2" s="269">
        <v>45790.0</v>
      </c>
      <c r="Q2" s="269">
        <v>45791.0</v>
      </c>
      <c r="R2" s="269">
        <v>45792.0</v>
      </c>
      <c r="S2" s="269">
        <v>45793.0</v>
      </c>
      <c r="T2" s="269">
        <v>45794.0</v>
      </c>
      <c r="U2" s="269">
        <v>45795.0</v>
      </c>
      <c r="V2" s="269">
        <v>45796.0</v>
      </c>
      <c r="W2" s="269">
        <v>45797.0</v>
      </c>
      <c r="X2" s="269">
        <v>45798.0</v>
      </c>
      <c r="Y2" s="269">
        <v>45799.0</v>
      </c>
      <c r="Z2" s="269">
        <v>45800.0</v>
      </c>
      <c r="AA2" s="269">
        <v>45801.0</v>
      </c>
      <c r="AB2" s="269">
        <v>45802.0</v>
      </c>
      <c r="AC2" s="269">
        <v>45803.0</v>
      </c>
      <c r="AD2" s="269">
        <v>45804.0</v>
      </c>
      <c r="AE2" s="269">
        <v>45805.0</v>
      </c>
      <c r="AF2" s="269">
        <v>45806.0</v>
      </c>
      <c r="AG2" s="269">
        <v>45807.0</v>
      </c>
      <c r="AH2" s="269">
        <v>45808.0</v>
      </c>
      <c r="AI2" s="269">
        <v>45809.0</v>
      </c>
      <c r="AJ2" s="269">
        <v>45810.0</v>
      </c>
      <c r="AK2" s="269">
        <v>45811.0</v>
      </c>
      <c r="AL2" s="269">
        <v>45812.0</v>
      </c>
      <c r="AM2" s="269">
        <v>45813.0</v>
      </c>
      <c r="AN2" s="269">
        <v>45814.0</v>
      </c>
      <c r="AO2" s="269">
        <v>45815.0</v>
      </c>
      <c r="AP2" s="269">
        <v>45816.0</v>
      </c>
      <c r="AQ2" s="269">
        <v>45817.0</v>
      </c>
      <c r="AR2" s="269">
        <v>45818.0</v>
      </c>
      <c r="AS2" s="269">
        <v>45819.0</v>
      </c>
      <c r="AT2" s="269">
        <v>45820.0</v>
      </c>
      <c r="AU2" s="269">
        <v>45821.0</v>
      </c>
      <c r="AV2" s="269">
        <v>45822.0</v>
      </c>
      <c r="AW2" s="269">
        <v>45823.0</v>
      </c>
      <c r="AX2" s="269">
        <v>45824.0</v>
      </c>
      <c r="AY2" s="269">
        <v>45825.0</v>
      </c>
      <c r="AZ2" s="269">
        <v>45826.0</v>
      </c>
      <c r="BA2" s="269">
        <v>45827.0</v>
      </c>
      <c r="BB2" s="269">
        <v>45828.0</v>
      </c>
      <c r="BC2" s="269">
        <v>45829.0</v>
      </c>
      <c r="BD2" s="269">
        <v>45830.0</v>
      </c>
      <c r="BE2" s="269">
        <v>45831.0</v>
      </c>
      <c r="BF2" s="269">
        <v>45832.0</v>
      </c>
      <c r="BG2" s="269">
        <v>45833.0</v>
      </c>
      <c r="BH2" s="269">
        <v>45834.0</v>
      </c>
      <c r="BI2" s="269">
        <v>45835.0</v>
      </c>
      <c r="BJ2" s="269">
        <v>45836.0</v>
      </c>
      <c r="BK2" s="269">
        <v>45837.0</v>
      </c>
      <c r="BL2" s="269">
        <v>45838.0</v>
      </c>
      <c r="BM2" s="270" t="s">
        <v>78</v>
      </c>
      <c r="BN2" s="269">
        <v>45839.0</v>
      </c>
      <c r="BO2" s="269">
        <v>45840.0</v>
      </c>
      <c r="BP2" s="269">
        <v>45841.0</v>
      </c>
      <c r="BQ2" s="269">
        <v>45842.0</v>
      </c>
      <c r="BR2" s="269">
        <v>45843.0</v>
      </c>
      <c r="BS2" s="269">
        <v>45844.0</v>
      </c>
      <c r="BT2" s="269">
        <v>45845.0</v>
      </c>
      <c r="BU2" s="269">
        <v>45846.0</v>
      </c>
      <c r="BV2" s="269">
        <v>45847.0</v>
      </c>
      <c r="BW2" s="269">
        <v>45848.0</v>
      </c>
      <c r="BX2" s="269">
        <v>45849.0</v>
      </c>
      <c r="BY2" s="269">
        <v>45850.0</v>
      </c>
      <c r="BZ2" s="269">
        <v>45851.0</v>
      </c>
      <c r="CA2" s="269">
        <v>45852.0</v>
      </c>
      <c r="CB2" s="269">
        <v>45853.0</v>
      </c>
      <c r="CC2" s="269">
        <v>45854.0</v>
      </c>
      <c r="CD2" s="269">
        <v>45855.0</v>
      </c>
      <c r="CE2" s="269">
        <v>45856.0</v>
      </c>
      <c r="CF2" s="269">
        <v>45857.0</v>
      </c>
      <c r="CG2" s="269">
        <v>45858.0</v>
      </c>
      <c r="CH2" s="269">
        <v>45859.0</v>
      </c>
      <c r="CI2" s="269">
        <v>45860.0</v>
      </c>
      <c r="CJ2" s="269">
        <v>45861.0</v>
      </c>
      <c r="CK2" s="269">
        <v>45862.0</v>
      </c>
      <c r="CL2" s="269">
        <v>45863.0</v>
      </c>
      <c r="CM2" s="269">
        <v>45864.0</v>
      </c>
      <c r="CN2" s="269">
        <v>45865.0</v>
      </c>
      <c r="CO2" s="269">
        <v>45866.0</v>
      </c>
      <c r="CP2" s="269">
        <v>45867.0</v>
      </c>
      <c r="CQ2" s="269">
        <v>45868.0</v>
      </c>
      <c r="CR2" s="269">
        <v>45869.0</v>
      </c>
      <c r="CS2" s="269">
        <v>45870.0</v>
      </c>
      <c r="CT2" s="269">
        <v>45871.0</v>
      </c>
      <c r="CU2" s="269">
        <v>45872.0</v>
      </c>
      <c r="CV2" s="269">
        <v>45873.0</v>
      </c>
      <c r="CW2" s="269">
        <v>45874.0</v>
      </c>
      <c r="CX2" s="269">
        <v>45875.0</v>
      </c>
      <c r="CY2" s="269">
        <v>45876.0</v>
      </c>
      <c r="CZ2" s="269">
        <v>45877.0</v>
      </c>
      <c r="DA2" s="269">
        <v>45878.0</v>
      </c>
      <c r="DB2" s="269">
        <v>45879.0</v>
      </c>
      <c r="DC2" s="269">
        <v>45880.0</v>
      </c>
      <c r="DD2" s="269">
        <v>45881.0</v>
      </c>
      <c r="DE2" s="269">
        <v>45882.0</v>
      </c>
      <c r="DF2" s="269">
        <v>45883.0</v>
      </c>
      <c r="DG2" s="269">
        <v>45884.0</v>
      </c>
      <c r="DH2" s="269">
        <v>45885.0</v>
      </c>
      <c r="DI2" s="269">
        <v>45886.0</v>
      </c>
      <c r="DJ2" s="269">
        <v>45887.0</v>
      </c>
      <c r="DK2" s="269">
        <v>45888.0</v>
      </c>
      <c r="DL2" s="269">
        <v>45889.0</v>
      </c>
      <c r="DM2" s="269">
        <v>45890.0</v>
      </c>
      <c r="DN2" s="269">
        <v>45891.0</v>
      </c>
      <c r="DO2" s="269">
        <v>45892.0</v>
      </c>
      <c r="DP2" s="269">
        <v>45893.0</v>
      </c>
      <c r="DQ2" s="269">
        <v>45894.0</v>
      </c>
      <c r="DR2" s="269">
        <v>45895.0</v>
      </c>
      <c r="DS2" s="269">
        <v>45896.0</v>
      </c>
      <c r="DT2" s="269">
        <v>45897.0</v>
      </c>
      <c r="DU2" s="269">
        <v>45898.0</v>
      </c>
      <c r="DV2" s="269">
        <v>45899.0</v>
      </c>
      <c r="DW2" s="269">
        <v>45900.0</v>
      </c>
      <c r="DX2" s="269">
        <v>45901.0</v>
      </c>
      <c r="DY2" s="269">
        <v>45902.0</v>
      </c>
      <c r="DZ2" s="269">
        <v>45903.0</v>
      </c>
      <c r="EA2" s="269">
        <v>45904.0</v>
      </c>
      <c r="EB2" s="269">
        <v>45905.0</v>
      </c>
      <c r="EC2" s="269">
        <v>45906.0</v>
      </c>
      <c r="ED2" s="269">
        <v>45907.0</v>
      </c>
      <c r="EE2" s="269">
        <v>45908.0</v>
      </c>
      <c r="EF2" s="269">
        <v>45909.0</v>
      </c>
      <c r="EG2" s="269">
        <v>45910.0</v>
      </c>
      <c r="EH2" s="269">
        <v>45911.0</v>
      </c>
      <c r="EI2" s="269">
        <v>45912.0</v>
      </c>
      <c r="EJ2" s="269">
        <v>45913.0</v>
      </c>
      <c r="EK2" s="269">
        <v>45914.0</v>
      </c>
      <c r="EL2" s="269">
        <v>45915.0</v>
      </c>
      <c r="EM2" s="269">
        <v>45916.0</v>
      </c>
      <c r="EN2" s="269">
        <v>45917.0</v>
      </c>
      <c r="EO2" s="269">
        <v>45918.0</v>
      </c>
      <c r="EP2" s="269">
        <v>45919.0</v>
      </c>
      <c r="EQ2" s="269">
        <v>45920.0</v>
      </c>
      <c r="ER2" s="269">
        <v>45921.0</v>
      </c>
      <c r="ES2" s="269">
        <v>45922.0</v>
      </c>
      <c r="ET2" s="269">
        <v>45923.0</v>
      </c>
      <c r="EU2" s="269">
        <v>45924.0</v>
      </c>
      <c r="EV2" s="269">
        <v>45925.0</v>
      </c>
      <c r="EW2" s="269">
        <v>45926.0</v>
      </c>
      <c r="EX2" s="269">
        <v>45927.0</v>
      </c>
      <c r="EY2" s="269">
        <v>45928.0</v>
      </c>
      <c r="EZ2" s="269">
        <v>45929.0</v>
      </c>
      <c r="FA2" s="269">
        <v>45930.0</v>
      </c>
      <c r="FB2" s="269">
        <v>45931.0</v>
      </c>
      <c r="FC2" s="269">
        <v>45932.0</v>
      </c>
      <c r="FD2" s="269">
        <v>45933.0</v>
      </c>
      <c r="FE2" s="269">
        <v>45934.0</v>
      </c>
      <c r="FF2" s="269">
        <v>45935.0</v>
      </c>
      <c r="FG2" s="269">
        <v>45936.0</v>
      </c>
      <c r="FH2" s="269">
        <v>45937.0</v>
      </c>
      <c r="FI2" s="269">
        <v>45938.0</v>
      </c>
      <c r="FJ2" s="269">
        <v>45939.0</v>
      </c>
      <c r="FK2" s="269">
        <v>45940.0</v>
      </c>
      <c r="FL2" s="269">
        <v>45941.0</v>
      </c>
      <c r="FM2" s="269">
        <v>45942.0</v>
      </c>
      <c r="FN2" s="269">
        <v>45943.0</v>
      </c>
      <c r="FO2" s="269">
        <v>45944.0</v>
      </c>
      <c r="FP2" s="269">
        <v>45945.0</v>
      </c>
      <c r="FQ2" s="269">
        <v>45946.0</v>
      </c>
      <c r="FR2" s="269">
        <v>45947.0</v>
      </c>
      <c r="FS2" s="269">
        <v>45948.0</v>
      </c>
      <c r="FT2" s="269">
        <v>45949.0</v>
      </c>
      <c r="FU2" s="269">
        <v>45950.0</v>
      </c>
      <c r="FV2" s="269">
        <v>45951.0</v>
      </c>
      <c r="FW2" s="269">
        <v>45952.0</v>
      </c>
      <c r="FX2" s="269">
        <v>45953.0</v>
      </c>
      <c r="FY2" s="269">
        <v>45954.0</v>
      </c>
      <c r="FZ2" s="269">
        <v>45955.0</v>
      </c>
      <c r="GA2" s="269">
        <v>45956.0</v>
      </c>
    </row>
    <row r="3" ht="18.0" customHeight="1">
      <c r="A3" s="271"/>
      <c r="B3" s="272"/>
      <c r="C3" s="273" t="s">
        <v>79</v>
      </c>
      <c r="D3" s="274"/>
      <c r="E3" s="274"/>
      <c r="F3" s="274"/>
      <c r="G3" s="274"/>
      <c r="H3" s="274"/>
      <c r="I3" s="274"/>
      <c r="J3" s="274"/>
      <c r="K3" s="275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0" t="s">
        <v>80</v>
      </c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CQ3" s="274"/>
      <c r="CR3" s="274"/>
      <c r="CS3" s="274"/>
      <c r="CT3" s="274"/>
      <c r="CU3" s="274"/>
      <c r="CV3" s="274"/>
      <c r="CW3" s="274"/>
      <c r="CX3" s="274"/>
      <c r="CY3" s="274"/>
      <c r="CZ3" s="274"/>
      <c r="DA3" s="274"/>
      <c r="DB3" s="274"/>
      <c r="DC3" s="274"/>
      <c r="DD3" s="274"/>
      <c r="DE3" s="274"/>
      <c r="DF3" s="274"/>
      <c r="DG3" s="274"/>
      <c r="DH3" s="274"/>
      <c r="DI3" s="274"/>
      <c r="DJ3" s="274"/>
      <c r="DK3" s="274"/>
      <c r="DL3" s="274"/>
      <c r="DM3" s="274"/>
      <c r="DN3" s="274"/>
      <c r="DO3" s="274"/>
      <c r="DP3" s="274"/>
      <c r="DQ3" s="274"/>
      <c r="DR3" s="274"/>
      <c r="DS3" s="274"/>
      <c r="DT3" s="274"/>
      <c r="DU3" s="274"/>
      <c r="DV3" s="274"/>
      <c r="DW3" s="274"/>
      <c r="DX3" s="274"/>
      <c r="DY3" s="274"/>
      <c r="DZ3" s="274"/>
      <c r="EA3" s="274"/>
      <c r="EB3" s="274"/>
      <c r="EC3" s="274"/>
      <c r="ED3" s="274"/>
      <c r="EE3" s="274"/>
      <c r="EF3" s="274"/>
      <c r="EG3" s="274"/>
      <c r="EH3" s="274"/>
      <c r="EI3" s="274"/>
      <c r="EJ3" s="274"/>
      <c r="EK3" s="274"/>
      <c r="EL3" s="274"/>
      <c r="EM3" s="274"/>
      <c r="EN3" s="274"/>
      <c r="EO3" s="274"/>
      <c r="EP3" s="274"/>
      <c r="EQ3" s="274"/>
      <c r="ER3" s="274"/>
      <c r="ES3" s="274"/>
      <c r="ET3" s="274"/>
      <c r="EU3" s="274"/>
      <c r="EV3" s="274"/>
      <c r="EW3" s="274"/>
      <c r="EX3" s="274"/>
      <c r="EY3" s="274"/>
      <c r="EZ3" s="274"/>
      <c r="FA3" s="274"/>
      <c r="FB3" s="274"/>
      <c r="FC3" s="274"/>
      <c r="FD3" s="274"/>
      <c r="FE3" s="274"/>
      <c r="FF3" s="274"/>
      <c r="FG3" s="274"/>
      <c r="FH3" s="274"/>
      <c r="FI3" s="274"/>
      <c r="FJ3" s="274"/>
      <c r="FK3" s="274"/>
      <c r="FL3" s="274"/>
      <c r="FM3" s="274"/>
      <c r="FN3" s="274"/>
      <c r="FO3" s="274"/>
      <c r="FP3" s="274"/>
      <c r="FQ3" s="274"/>
      <c r="FR3" s="274"/>
      <c r="FS3" s="274"/>
      <c r="FT3" s="274"/>
      <c r="FU3" s="274"/>
      <c r="FV3" s="274"/>
      <c r="FW3" s="274"/>
      <c r="FX3" s="274"/>
      <c r="FY3" s="274"/>
      <c r="FZ3" s="274"/>
      <c r="GA3" s="274"/>
    </row>
    <row r="4" ht="18.0" customHeight="1">
      <c r="A4" s="271"/>
      <c r="B4" s="276"/>
      <c r="C4" s="277"/>
      <c r="D4" s="278">
        <f t="shared" ref="D4:BL4" si="1">D2</f>
        <v>45778</v>
      </c>
      <c r="E4" s="278">
        <f t="shared" si="1"/>
        <v>45779</v>
      </c>
      <c r="F4" s="278">
        <f t="shared" si="1"/>
        <v>45780</v>
      </c>
      <c r="G4" s="278">
        <f t="shared" si="1"/>
        <v>45781</v>
      </c>
      <c r="H4" s="278">
        <f t="shared" si="1"/>
        <v>45782</v>
      </c>
      <c r="I4" s="278">
        <f t="shared" si="1"/>
        <v>45783</v>
      </c>
      <c r="J4" s="278">
        <f t="shared" si="1"/>
        <v>45784</v>
      </c>
      <c r="K4" s="278">
        <f t="shared" si="1"/>
        <v>45785</v>
      </c>
      <c r="L4" s="278">
        <f t="shared" si="1"/>
        <v>45786</v>
      </c>
      <c r="M4" s="278">
        <f t="shared" si="1"/>
        <v>45787</v>
      </c>
      <c r="N4" s="278">
        <f t="shared" si="1"/>
        <v>45788</v>
      </c>
      <c r="O4" s="278">
        <f t="shared" si="1"/>
        <v>45789</v>
      </c>
      <c r="P4" s="278">
        <f t="shared" si="1"/>
        <v>45790</v>
      </c>
      <c r="Q4" s="278">
        <f t="shared" si="1"/>
        <v>45791</v>
      </c>
      <c r="R4" s="278">
        <f t="shared" si="1"/>
        <v>45792</v>
      </c>
      <c r="S4" s="278">
        <f t="shared" si="1"/>
        <v>45793</v>
      </c>
      <c r="T4" s="278">
        <f t="shared" si="1"/>
        <v>45794</v>
      </c>
      <c r="U4" s="278">
        <f t="shared" si="1"/>
        <v>45795</v>
      </c>
      <c r="V4" s="278">
        <f t="shared" si="1"/>
        <v>45796</v>
      </c>
      <c r="W4" s="278">
        <f t="shared" si="1"/>
        <v>45797</v>
      </c>
      <c r="X4" s="278">
        <f t="shared" si="1"/>
        <v>45798</v>
      </c>
      <c r="Y4" s="278">
        <f t="shared" si="1"/>
        <v>45799</v>
      </c>
      <c r="Z4" s="278">
        <f t="shared" si="1"/>
        <v>45800</v>
      </c>
      <c r="AA4" s="278">
        <f t="shared" si="1"/>
        <v>45801</v>
      </c>
      <c r="AB4" s="278">
        <f t="shared" si="1"/>
        <v>45802</v>
      </c>
      <c r="AC4" s="278">
        <f t="shared" si="1"/>
        <v>45803</v>
      </c>
      <c r="AD4" s="278">
        <f t="shared" si="1"/>
        <v>45804</v>
      </c>
      <c r="AE4" s="278">
        <f t="shared" si="1"/>
        <v>45805</v>
      </c>
      <c r="AF4" s="278">
        <f t="shared" si="1"/>
        <v>45806</v>
      </c>
      <c r="AG4" s="278">
        <f t="shared" si="1"/>
        <v>45807</v>
      </c>
      <c r="AH4" s="278">
        <f t="shared" si="1"/>
        <v>45808</v>
      </c>
      <c r="AI4" s="279">
        <f t="shared" si="1"/>
        <v>45809</v>
      </c>
      <c r="AJ4" s="279">
        <f t="shared" si="1"/>
        <v>45810</v>
      </c>
      <c r="AK4" s="279">
        <f t="shared" si="1"/>
        <v>45811</v>
      </c>
      <c r="AL4" s="279">
        <f t="shared" si="1"/>
        <v>45812</v>
      </c>
      <c r="AM4" s="279">
        <f t="shared" si="1"/>
        <v>45813</v>
      </c>
      <c r="AN4" s="279">
        <f t="shared" si="1"/>
        <v>45814</v>
      </c>
      <c r="AO4" s="279">
        <f t="shared" si="1"/>
        <v>45815</v>
      </c>
      <c r="AP4" s="279">
        <f t="shared" si="1"/>
        <v>45816</v>
      </c>
      <c r="AQ4" s="279">
        <f t="shared" si="1"/>
        <v>45817</v>
      </c>
      <c r="AR4" s="279">
        <f t="shared" si="1"/>
        <v>45818</v>
      </c>
      <c r="AS4" s="279">
        <f t="shared" si="1"/>
        <v>45819</v>
      </c>
      <c r="AT4" s="279">
        <f t="shared" si="1"/>
        <v>45820</v>
      </c>
      <c r="AU4" s="279">
        <f t="shared" si="1"/>
        <v>45821</v>
      </c>
      <c r="AV4" s="279">
        <f t="shared" si="1"/>
        <v>45822</v>
      </c>
      <c r="AW4" s="279">
        <f t="shared" si="1"/>
        <v>45823</v>
      </c>
      <c r="AX4" s="279">
        <f t="shared" si="1"/>
        <v>45824</v>
      </c>
      <c r="AY4" s="279">
        <f t="shared" si="1"/>
        <v>45825</v>
      </c>
      <c r="AZ4" s="279">
        <f t="shared" si="1"/>
        <v>45826</v>
      </c>
      <c r="BA4" s="279">
        <f t="shared" si="1"/>
        <v>45827</v>
      </c>
      <c r="BB4" s="279">
        <f t="shared" si="1"/>
        <v>45828</v>
      </c>
      <c r="BC4" s="279">
        <f t="shared" si="1"/>
        <v>45829</v>
      </c>
      <c r="BD4" s="279">
        <f t="shared" si="1"/>
        <v>45830</v>
      </c>
      <c r="BE4" s="279">
        <f t="shared" si="1"/>
        <v>45831</v>
      </c>
      <c r="BF4" s="279">
        <f t="shared" si="1"/>
        <v>45832</v>
      </c>
      <c r="BG4" s="279">
        <f t="shared" si="1"/>
        <v>45833</v>
      </c>
      <c r="BH4" s="279">
        <f t="shared" si="1"/>
        <v>45834</v>
      </c>
      <c r="BI4" s="279">
        <f t="shared" si="1"/>
        <v>45835</v>
      </c>
      <c r="BJ4" s="279">
        <f t="shared" si="1"/>
        <v>45836</v>
      </c>
      <c r="BK4" s="279">
        <f t="shared" si="1"/>
        <v>45837</v>
      </c>
      <c r="BL4" s="279">
        <f t="shared" si="1"/>
        <v>45838</v>
      </c>
      <c r="BM4" s="280" t="s">
        <v>81</v>
      </c>
      <c r="BN4" s="279">
        <f t="shared" ref="BN4:GA4" si="2">BN2</f>
        <v>45839</v>
      </c>
      <c r="BO4" s="279">
        <f t="shared" si="2"/>
        <v>45840</v>
      </c>
      <c r="BP4" s="279">
        <f t="shared" si="2"/>
        <v>45841</v>
      </c>
      <c r="BQ4" s="279">
        <f t="shared" si="2"/>
        <v>45842</v>
      </c>
      <c r="BR4" s="279">
        <f t="shared" si="2"/>
        <v>45843</v>
      </c>
      <c r="BS4" s="279">
        <f t="shared" si="2"/>
        <v>45844</v>
      </c>
      <c r="BT4" s="279">
        <f t="shared" si="2"/>
        <v>45845</v>
      </c>
      <c r="BU4" s="279">
        <f t="shared" si="2"/>
        <v>45846</v>
      </c>
      <c r="BV4" s="279">
        <f t="shared" si="2"/>
        <v>45847</v>
      </c>
      <c r="BW4" s="279">
        <f t="shared" si="2"/>
        <v>45848</v>
      </c>
      <c r="BX4" s="279">
        <f t="shared" si="2"/>
        <v>45849</v>
      </c>
      <c r="BY4" s="279">
        <f t="shared" si="2"/>
        <v>45850</v>
      </c>
      <c r="BZ4" s="279">
        <f t="shared" si="2"/>
        <v>45851</v>
      </c>
      <c r="CA4" s="279">
        <f t="shared" si="2"/>
        <v>45852</v>
      </c>
      <c r="CB4" s="279">
        <f t="shared" si="2"/>
        <v>45853</v>
      </c>
      <c r="CC4" s="279">
        <f t="shared" si="2"/>
        <v>45854</v>
      </c>
      <c r="CD4" s="279">
        <f t="shared" si="2"/>
        <v>45855</v>
      </c>
      <c r="CE4" s="279">
        <f t="shared" si="2"/>
        <v>45856</v>
      </c>
      <c r="CF4" s="279">
        <f t="shared" si="2"/>
        <v>45857</v>
      </c>
      <c r="CG4" s="279">
        <f t="shared" si="2"/>
        <v>45858</v>
      </c>
      <c r="CH4" s="279">
        <f t="shared" si="2"/>
        <v>45859</v>
      </c>
      <c r="CI4" s="279">
        <f t="shared" si="2"/>
        <v>45860</v>
      </c>
      <c r="CJ4" s="279">
        <f t="shared" si="2"/>
        <v>45861</v>
      </c>
      <c r="CK4" s="279">
        <f t="shared" si="2"/>
        <v>45862</v>
      </c>
      <c r="CL4" s="279">
        <f t="shared" si="2"/>
        <v>45863</v>
      </c>
      <c r="CM4" s="279">
        <f t="shared" si="2"/>
        <v>45864</v>
      </c>
      <c r="CN4" s="279">
        <f t="shared" si="2"/>
        <v>45865</v>
      </c>
      <c r="CO4" s="279">
        <f t="shared" si="2"/>
        <v>45866</v>
      </c>
      <c r="CP4" s="279">
        <f t="shared" si="2"/>
        <v>45867</v>
      </c>
      <c r="CQ4" s="279">
        <f t="shared" si="2"/>
        <v>45868</v>
      </c>
      <c r="CR4" s="279">
        <f t="shared" si="2"/>
        <v>45869</v>
      </c>
      <c r="CS4" s="279">
        <f t="shared" si="2"/>
        <v>45870</v>
      </c>
      <c r="CT4" s="279">
        <f t="shared" si="2"/>
        <v>45871</v>
      </c>
      <c r="CU4" s="279">
        <f t="shared" si="2"/>
        <v>45872</v>
      </c>
      <c r="CV4" s="279">
        <f t="shared" si="2"/>
        <v>45873</v>
      </c>
      <c r="CW4" s="279">
        <f t="shared" si="2"/>
        <v>45874</v>
      </c>
      <c r="CX4" s="279">
        <f t="shared" si="2"/>
        <v>45875</v>
      </c>
      <c r="CY4" s="279">
        <f t="shared" si="2"/>
        <v>45876</v>
      </c>
      <c r="CZ4" s="279">
        <f t="shared" si="2"/>
        <v>45877</v>
      </c>
      <c r="DA4" s="279">
        <f t="shared" si="2"/>
        <v>45878</v>
      </c>
      <c r="DB4" s="279">
        <f t="shared" si="2"/>
        <v>45879</v>
      </c>
      <c r="DC4" s="279">
        <f t="shared" si="2"/>
        <v>45880</v>
      </c>
      <c r="DD4" s="279">
        <f t="shared" si="2"/>
        <v>45881</v>
      </c>
      <c r="DE4" s="279">
        <f t="shared" si="2"/>
        <v>45882</v>
      </c>
      <c r="DF4" s="279">
        <f t="shared" si="2"/>
        <v>45883</v>
      </c>
      <c r="DG4" s="279">
        <f t="shared" si="2"/>
        <v>45884</v>
      </c>
      <c r="DH4" s="279">
        <f t="shared" si="2"/>
        <v>45885</v>
      </c>
      <c r="DI4" s="279">
        <f t="shared" si="2"/>
        <v>45886</v>
      </c>
      <c r="DJ4" s="279">
        <f t="shared" si="2"/>
        <v>45887</v>
      </c>
      <c r="DK4" s="279">
        <f t="shared" si="2"/>
        <v>45888</v>
      </c>
      <c r="DL4" s="279">
        <f t="shared" si="2"/>
        <v>45889</v>
      </c>
      <c r="DM4" s="279">
        <f t="shared" si="2"/>
        <v>45890</v>
      </c>
      <c r="DN4" s="279">
        <f t="shared" si="2"/>
        <v>45891</v>
      </c>
      <c r="DO4" s="279">
        <f t="shared" si="2"/>
        <v>45892</v>
      </c>
      <c r="DP4" s="279">
        <f t="shared" si="2"/>
        <v>45893</v>
      </c>
      <c r="DQ4" s="279">
        <f t="shared" si="2"/>
        <v>45894</v>
      </c>
      <c r="DR4" s="279">
        <f t="shared" si="2"/>
        <v>45895</v>
      </c>
      <c r="DS4" s="279">
        <f t="shared" si="2"/>
        <v>45896</v>
      </c>
      <c r="DT4" s="279">
        <f t="shared" si="2"/>
        <v>45897</v>
      </c>
      <c r="DU4" s="279">
        <f t="shared" si="2"/>
        <v>45898</v>
      </c>
      <c r="DV4" s="279">
        <f t="shared" si="2"/>
        <v>45899</v>
      </c>
      <c r="DW4" s="279">
        <f t="shared" si="2"/>
        <v>45900</v>
      </c>
      <c r="DX4" s="279">
        <f t="shared" si="2"/>
        <v>45901</v>
      </c>
      <c r="DY4" s="279">
        <f t="shared" si="2"/>
        <v>45902</v>
      </c>
      <c r="DZ4" s="279">
        <f t="shared" si="2"/>
        <v>45903</v>
      </c>
      <c r="EA4" s="279">
        <f t="shared" si="2"/>
        <v>45904</v>
      </c>
      <c r="EB4" s="279">
        <f t="shared" si="2"/>
        <v>45905</v>
      </c>
      <c r="EC4" s="279">
        <f t="shared" si="2"/>
        <v>45906</v>
      </c>
      <c r="ED4" s="279">
        <f t="shared" si="2"/>
        <v>45907</v>
      </c>
      <c r="EE4" s="279">
        <f t="shared" si="2"/>
        <v>45908</v>
      </c>
      <c r="EF4" s="279">
        <f t="shared" si="2"/>
        <v>45909</v>
      </c>
      <c r="EG4" s="279">
        <f t="shared" si="2"/>
        <v>45910</v>
      </c>
      <c r="EH4" s="279">
        <f t="shared" si="2"/>
        <v>45911</v>
      </c>
      <c r="EI4" s="279">
        <f t="shared" si="2"/>
        <v>45912</v>
      </c>
      <c r="EJ4" s="279">
        <f t="shared" si="2"/>
        <v>45913</v>
      </c>
      <c r="EK4" s="279">
        <f t="shared" si="2"/>
        <v>45914</v>
      </c>
      <c r="EL4" s="279">
        <f t="shared" si="2"/>
        <v>45915</v>
      </c>
      <c r="EM4" s="279">
        <f t="shared" si="2"/>
        <v>45916</v>
      </c>
      <c r="EN4" s="279">
        <f t="shared" si="2"/>
        <v>45917</v>
      </c>
      <c r="EO4" s="279">
        <f t="shared" si="2"/>
        <v>45918</v>
      </c>
      <c r="EP4" s="279">
        <f t="shared" si="2"/>
        <v>45919</v>
      </c>
      <c r="EQ4" s="279">
        <f t="shared" si="2"/>
        <v>45920</v>
      </c>
      <c r="ER4" s="279">
        <f t="shared" si="2"/>
        <v>45921</v>
      </c>
      <c r="ES4" s="279">
        <f t="shared" si="2"/>
        <v>45922</v>
      </c>
      <c r="ET4" s="279">
        <f t="shared" si="2"/>
        <v>45923</v>
      </c>
      <c r="EU4" s="279">
        <f t="shared" si="2"/>
        <v>45924</v>
      </c>
      <c r="EV4" s="279">
        <f t="shared" si="2"/>
        <v>45925</v>
      </c>
      <c r="EW4" s="279">
        <f t="shared" si="2"/>
        <v>45926</v>
      </c>
      <c r="EX4" s="279">
        <f t="shared" si="2"/>
        <v>45927</v>
      </c>
      <c r="EY4" s="279">
        <f t="shared" si="2"/>
        <v>45928</v>
      </c>
      <c r="EZ4" s="279">
        <f t="shared" si="2"/>
        <v>45929</v>
      </c>
      <c r="FA4" s="279">
        <f t="shared" si="2"/>
        <v>45930</v>
      </c>
      <c r="FB4" s="279">
        <f t="shared" si="2"/>
        <v>45931</v>
      </c>
      <c r="FC4" s="279">
        <f t="shared" si="2"/>
        <v>45932</v>
      </c>
      <c r="FD4" s="279">
        <f t="shared" si="2"/>
        <v>45933</v>
      </c>
      <c r="FE4" s="279">
        <f t="shared" si="2"/>
        <v>45934</v>
      </c>
      <c r="FF4" s="279">
        <f t="shared" si="2"/>
        <v>45935</v>
      </c>
      <c r="FG4" s="279">
        <f t="shared" si="2"/>
        <v>45936</v>
      </c>
      <c r="FH4" s="279">
        <f t="shared" si="2"/>
        <v>45937</v>
      </c>
      <c r="FI4" s="279">
        <f t="shared" si="2"/>
        <v>45938</v>
      </c>
      <c r="FJ4" s="279">
        <f t="shared" si="2"/>
        <v>45939</v>
      </c>
      <c r="FK4" s="279">
        <f t="shared" si="2"/>
        <v>45940</v>
      </c>
      <c r="FL4" s="279">
        <f t="shared" si="2"/>
        <v>45941</v>
      </c>
      <c r="FM4" s="279">
        <f t="shared" si="2"/>
        <v>45942</v>
      </c>
      <c r="FN4" s="279">
        <f t="shared" si="2"/>
        <v>45943</v>
      </c>
      <c r="FO4" s="279">
        <f t="shared" si="2"/>
        <v>45944</v>
      </c>
      <c r="FP4" s="279">
        <f t="shared" si="2"/>
        <v>45945</v>
      </c>
      <c r="FQ4" s="279">
        <f t="shared" si="2"/>
        <v>45946</v>
      </c>
      <c r="FR4" s="279">
        <f t="shared" si="2"/>
        <v>45947</v>
      </c>
      <c r="FS4" s="279">
        <f t="shared" si="2"/>
        <v>45948</v>
      </c>
      <c r="FT4" s="279">
        <f t="shared" si="2"/>
        <v>45949</v>
      </c>
      <c r="FU4" s="279">
        <f t="shared" si="2"/>
        <v>45950</v>
      </c>
      <c r="FV4" s="279">
        <f t="shared" si="2"/>
        <v>45951</v>
      </c>
      <c r="FW4" s="279">
        <f t="shared" si="2"/>
        <v>45952</v>
      </c>
      <c r="FX4" s="279">
        <f t="shared" si="2"/>
        <v>45953</v>
      </c>
      <c r="FY4" s="279">
        <f t="shared" si="2"/>
        <v>45954</v>
      </c>
      <c r="FZ4" s="279">
        <f t="shared" si="2"/>
        <v>45955</v>
      </c>
      <c r="GA4" s="279">
        <f t="shared" si="2"/>
        <v>45956</v>
      </c>
    </row>
    <row r="5" ht="19.5" customHeight="1">
      <c r="A5" s="281"/>
      <c r="B5" s="282"/>
      <c r="C5" s="283" t="s">
        <v>82</v>
      </c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4"/>
      <c r="AM5" s="284"/>
      <c r="AN5" s="284"/>
      <c r="AO5" s="284"/>
      <c r="AP5" s="284"/>
      <c r="AQ5" s="284"/>
      <c r="AR5" s="284"/>
      <c r="AS5" s="284"/>
      <c r="AT5" s="284"/>
      <c r="AU5" s="284"/>
      <c r="AV5" s="284"/>
      <c r="AW5" s="284"/>
      <c r="AX5" s="284"/>
      <c r="AY5" s="284"/>
      <c r="AZ5" s="284"/>
      <c r="BA5" s="284"/>
      <c r="BB5" s="284"/>
      <c r="BC5" s="284"/>
      <c r="BD5" s="284"/>
      <c r="BE5" s="284"/>
      <c r="BF5" s="284"/>
      <c r="BG5" s="284"/>
      <c r="BH5" s="284"/>
      <c r="BI5" s="284"/>
      <c r="BJ5" s="284"/>
      <c r="BK5" s="284"/>
      <c r="BL5" s="284"/>
      <c r="BM5" s="285"/>
      <c r="BN5" s="284"/>
      <c r="BO5" s="284"/>
      <c r="BP5" s="284"/>
      <c r="BQ5" s="284"/>
      <c r="BR5" s="284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  <c r="CQ5" s="284"/>
      <c r="CR5" s="284"/>
      <c r="CS5" s="284"/>
      <c r="CT5" s="284"/>
      <c r="CU5" s="284"/>
      <c r="CV5" s="284"/>
      <c r="CW5" s="284"/>
      <c r="CX5" s="284"/>
      <c r="CY5" s="284"/>
      <c r="CZ5" s="284"/>
      <c r="DA5" s="284"/>
      <c r="DB5" s="284"/>
      <c r="DC5" s="284"/>
      <c r="DD5" s="284"/>
      <c r="DE5" s="284"/>
      <c r="DF5" s="284"/>
      <c r="DG5" s="284"/>
      <c r="DH5" s="284"/>
      <c r="DI5" s="284"/>
      <c r="DJ5" s="284"/>
      <c r="DK5" s="284"/>
      <c r="DL5" s="284"/>
      <c r="DM5" s="284"/>
      <c r="DN5" s="284"/>
      <c r="DO5" s="284"/>
      <c r="DP5" s="284"/>
      <c r="DQ5" s="284"/>
      <c r="DR5" s="284"/>
      <c r="DS5" s="284"/>
      <c r="DT5" s="284"/>
      <c r="DU5" s="284"/>
      <c r="DV5" s="284"/>
      <c r="DW5" s="284"/>
      <c r="DX5" s="284"/>
      <c r="DY5" s="284"/>
      <c r="DZ5" s="284"/>
      <c r="EA5" s="284"/>
      <c r="EB5" s="284"/>
      <c r="EC5" s="284"/>
      <c r="ED5" s="284"/>
      <c r="EE5" s="284"/>
      <c r="EF5" s="284"/>
      <c r="EG5" s="284"/>
      <c r="EH5" s="284"/>
      <c r="EI5" s="284"/>
      <c r="EJ5" s="284"/>
      <c r="EK5" s="284"/>
      <c r="EL5" s="284"/>
      <c r="EM5" s="284"/>
      <c r="EN5" s="284"/>
      <c r="EO5" s="284"/>
      <c r="EP5" s="284"/>
      <c r="EQ5" s="284"/>
      <c r="ER5" s="284"/>
      <c r="ES5" s="284"/>
      <c r="ET5" s="284"/>
      <c r="EU5" s="284"/>
      <c r="EV5" s="284"/>
      <c r="EW5" s="284"/>
      <c r="EX5" s="284"/>
      <c r="EY5" s="284"/>
      <c r="EZ5" s="284"/>
      <c r="FA5" s="284"/>
      <c r="FB5" s="284"/>
      <c r="FC5" s="284"/>
      <c r="FD5" s="284"/>
      <c r="FE5" s="284"/>
      <c r="FF5" s="284"/>
      <c r="FG5" s="284"/>
      <c r="FH5" s="284"/>
      <c r="FI5" s="284"/>
      <c r="FJ5" s="284"/>
      <c r="FK5" s="284"/>
      <c r="FL5" s="284"/>
      <c r="FM5" s="284"/>
      <c r="FN5" s="284"/>
      <c r="FO5" s="284"/>
      <c r="FP5" s="284"/>
      <c r="FQ5" s="284"/>
      <c r="FR5" s="284"/>
      <c r="FS5" s="284"/>
      <c r="FT5" s="284"/>
      <c r="FU5" s="284"/>
      <c r="FV5" s="284"/>
      <c r="FW5" s="284"/>
      <c r="FX5" s="284"/>
      <c r="FY5" s="284"/>
      <c r="FZ5" s="284"/>
      <c r="GA5" s="284"/>
    </row>
    <row r="6" ht="19.5" customHeight="1">
      <c r="A6" s="286"/>
      <c r="B6" s="175" t="s">
        <v>38</v>
      </c>
      <c r="C6" s="287">
        <f t="shared" ref="C6:C16" si="3">sum(BM6:CQ6)</f>
        <v>0</v>
      </c>
      <c r="D6" s="288">
        <v>20000.0</v>
      </c>
      <c r="E6" s="289"/>
      <c r="F6" s="288">
        <v>27000.0</v>
      </c>
      <c r="G6" s="288">
        <v>36000.0</v>
      </c>
      <c r="H6" s="289"/>
      <c r="I6" s="288"/>
      <c r="J6" s="289"/>
      <c r="K6" s="289"/>
      <c r="L6" s="288">
        <v>150000.0</v>
      </c>
      <c r="M6" s="288">
        <v>25000.0</v>
      </c>
      <c r="N6" s="289"/>
      <c r="O6" s="289"/>
      <c r="P6" s="289"/>
      <c r="Q6" s="288">
        <v>13000.0</v>
      </c>
      <c r="R6" s="288">
        <v>33000.0</v>
      </c>
      <c r="S6" s="289"/>
      <c r="T6" s="289"/>
      <c r="U6" s="289"/>
      <c r="V6" s="289"/>
      <c r="W6" s="289"/>
      <c r="X6" s="289"/>
      <c r="Y6" s="289"/>
      <c r="Z6" s="288">
        <v>35000.0</v>
      </c>
      <c r="AA6" s="288">
        <v>100000.0</v>
      </c>
      <c r="AB6" s="289"/>
      <c r="AC6" s="289"/>
      <c r="AD6" s="289"/>
      <c r="AE6" s="289"/>
      <c r="AF6" s="288">
        <v>26100.0</v>
      </c>
      <c r="AG6" s="288">
        <v>35000.0</v>
      </c>
      <c r="AH6" s="288">
        <v>287000.0</v>
      </c>
      <c r="AI6" s="290"/>
      <c r="AJ6" s="290"/>
      <c r="AK6" s="291">
        <v>5000.0</v>
      </c>
      <c r="AL6" s="291">
        <v>20000.0</v>
      </c>
      <c r="AM6" s="291">
        <v>5000.0</v>
      </c>
      <c r="AN6" s="290"/>
      <c r="AO6" s="290"/>
      <c r="AP6" s="290"/>
      <c r="AQ6" s="291">
        <v>30000.0</v>
      </c>
      <c r="AR6" s="291">
        <v>26500.0</v>
      </c>
      <c r="AS6" s="291"/>
      <c r="AT6" s="291">
        <v>34000.0</v>
      </c>
      <c r="AU6" s="290"/>
      <c r="AV6" s="290"/>
      <c r="AW6" s="290"/>
      <c r="AX6" s="290"/>
      <c r="AY6" s="290"/>
      <c r="AZ6" s="290"/>
      <c r="BA6" s="290"/>
      <c r="BB6" s="290"/>
      <c r="BC6" s="290"/>
      <c r="BD6" s="290"/>
      <c r="BE6" s="290"/>
      <c r="BF6" s="291">
        <v>12000.0</v>
      </c>
      <c r="BG6" s="290"/>
      <c r="BH6" s="290"/>
      <c r="BI6" s="290"/>
      <c r="BJ6" s="290"/>
      <c r="BK6" s="291">
        <v>25000.0</v>
      </c>
      <c r="BL6" s="290"/>
      <c r="BM6" s="292"/>
      <c r="BN6" s="293"/>
      <c r="BO6" s="293"/>
      <c r="BP6" s="293"/>
      <c r="BQ6" s="293"/>
      <c r="BR6" s="293"/>
      <c r="BS6" s="293"/>
      <c r="BT6" s="293"/>
      <c r="BU6" s="293"/>
      <c r="BV6" s="293"/>
      <c r="BW6" s="293"/>
      <c r="BX6" s="293"/>
      <c r="BY6" s="293"/>
      <c r="BZ6" s="293"/>
      <c r="CA6" s="293"/>
      <c r="CB6" s="293"/>
      <c r="CC6" s="293"/>
      <c r="CD6" s="293"/>
      <c r="CE6" s="293"/>
      <c r="CF6" s="293"/>
      <c r="CG6" s="293"/>
      <c r="CH6" s="293"/>
      <c r="CI6" s="293"/>
      <c r="CJ6" s="293"/>
      <c r="CK6" s="293"/>
      <c r="CL6" s="293"/>
      <c r="CM6" s="293"/>
      <c r="CN6" s="293"/>
      <c r="CO6" s="293"/>
      <c r="CP6" s="293"/>
      <c r="CQ6" s="293"/>
      <c r="CR6" s="293"/>
      <c r="CS6" s="293"/>
      <c r="CT6" s="293"/>
      <c r="CU6" s="293"/>
      <c r="CV6" s="293"/>
      <c r="CW6" s="293"/>
      <c r="CX6" s="293"/>
      <c r="CY6" s="293"/>
      <c r="CZ6" s="293"/>
      <c r="DA6" s="293"/>
      <c r="DB6" s="293"/>
      <c r="DC6" s="293"/>
      <c r="DD6" s="293"/>
      <c r="DE6" s="293"/>
      <c r="DF6" s="293"/>
      <c r="DG6" s="293"/>
      <c r="DH6" s="293"/>
      <c r="DI6" s="293"/>
      <c r="DJ6" s="293"/>
      <c r="DK6" s="293"/>
      <c r="DL6" s="293"/>
      <c r="DM6" s="293"/>
      <c r="DN6" s="293"/>
      <c r="DO6" s="293"/>
      <c r="DP6" s="293"/>
      <c r="DQ6" s="293"/>
      <c r="DR6" s="293"/>
      <c r="DS6" s="293"/>
      <c r="DT6" s="293"/>
      <c r="DU6" s="294"/>
      <c r="DV6" s="294"/>
      <c r="DW6" s="294"/>
      <c r="DX6" s="294"/>
      <c r="DY6" s="294"/>
      <c r="DZ6" s="294"/>
      <c r="EA6" s="294"/>
      <c r="EB6" s="294"/>
      <c r="EC6" s="294"/>
      <c r="ED6" s="294"/>
      <c r="EE6" s="294"/>
      <c r="EF6" s="294"/>
      <c r="EG6" s="294"/>
      <c r="EH6" s="294"/>
      <c r="EI6" s="294"/>
      <c r="EJ6" s="294"/>
      <c r="EK6" s="294"/>
      <c r="EL6" s="294"/>
      <c r="EM6" s="294"/>
      <c r="EN6" s="294"/>
      <c r="EO6" s="294"/>
      <c r="EP6" s="294"/>
      <c r="EQ6" s="294"/>
      <c r="ER6" s="294"/>
      <c r="ES6" s="294"/>
      <c r="ET6" s="294"/>
      <c r="EU6" s="294"/>
      <c r="EV6" s="294"/>
      <c r="EW6" s="294"/>
      <c r="EX6" s="294"/>
      <c r="EY6" s="294"/>
      <c r="EZ6" s="294"/>
      <c r="FA6" s="294"/>
      <c r="FB6" s="294"/>
      <c r="FC6" s="294"/>
      <c r="FD6" s="294"/>
      <c r="FE6" s="294"/>
      <c r="FF6" s="294"/>
      <c r="FG6" s="294"/>
      <c r="FH6" s="294"/>
      <c r="FI6" s="294"/>
      <c r="FJ6" s="294"/>
      <c r="FK6" s="294"/>
      <c r="FL6" s="294"/>
      <c r="FM6" s="294"/>
      <c r="FN6" s="294"/>
      <c r="FO6" s="294"/>
      <c r="FP6" s="294"/>
      <c r="FQ6" s="294"/>
      <c r="FR6" s="294"/>
      <c r="FS6" s="294"/>
      <c r="FT6" s="294"/>
      <c r="FU6" s="294"/>
      <c r="FV6" s="294"/>
      <c r="FW6" s="294"/>
      <c r="FX6" s="294"/>
      <c r="FY6" s="294"/>
      <c r="FZ6" s="294"/>
      <c r="GA6" s="294"/>
    </row>
    <row r="7" ht="19.5" customHeight="1">
      <c r="A7" s="281"/>
      <c r="B7" s="175" t="s">
        <v>9</v>
      </c>
      <c r="C7" s="287">
        <f t="shared" si="3"/>
        <v>0</v>
      </c>
      <c r="D7" s="295"/>
      <c r="E7" s="295"/>
      <c r="F7" s="295"/>
      <c r="G7" s="296">
        <v>150000.0</v>
      </c>
      <c r="H7" s="295"/>
      <c r="I7" s="295"/>
      <c r="J7" s="295"/>
      <c r="K7" s="295"/>
      <c r="L7" s="295"/>
      <c r="M7" s="295"/>
      <c r="N7" s="295"/>
      <c r="O7" s="295"/>
      <c r="P7" s="295"/>
      <c r="Q7" s="296">
        <v>150000.0</v>
      </c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7"/>
      <c r="AJ7" s="297"/>
      <c r="AK7" s="298">
        <v>2000.0</v>
      </c>
      <c r="AL7" s="297"/>
      <c r="AM7" s="297"/>
      <c r="AN7" s="297"/>
      <c r="AO7" s="297"/>
      <c r="AP7" s="297"/>
      <c r="AQ7" s="298">
        <v>140000.0</v>
      </c>
      <c r="AR7" s="297"/>
      <c r="AS7" s="297"/>
      <c r="AT7" s="297"/>
      <c r="AU7" s="297"/>
      <c r="AV7" s="298">
        <v>10000.0</v>
      </c>
      <c r="AW7" s="298">
        <v>190000.0</v>
      </c>
      <c r="AX7" s="297"/>
      <c r="AY7" s="297"/>
      <c r="AZ7" s="297"/>
      <c r="BA7" s="297"/>
      <c r="BB7" s="297"/>
      <c r="BC7" s="297"/>
      <c r="BD7" s="297"/>
      <c r="BE7" s="297"/>
      <c r="BF7" s="297"/>
      <c r="BG7" s="297"/>
      <c r="BH7" s="297"/>
      <c r="BI7" s="297"/>
      <c r="BJ7" s="297"/>
      <c r="BK7" s="297"/>
      <c r="BL7" s="297"/>
      <c r="BM7" s="292"/>
      <c r="BN7" s="299"/>
      <c r="BO7" s="299"/>
      <c r="BP7" s="299"/>
      <c r="BQ7" s="299"/>
      <c r="BR7" s="299"/>
      <c r="BS7" s="299"/>
      <c r="BT7" s="299"/>
      <c r="BU7" s="299"/>
      <c r="BV7" s="299"/>
      <c r="BW7" s="299"/>
      <c r="BX7" s="299"/>
      <c r="BY7" s="299"/>
      <c r="BZ7" s="299"/>
      <c r="CA7" s="299"/>
      <c r="CB7" s="299"/>
      <c r="CC7" s="299"/>
      <c r="CD7" s="299"/>
      <c r="CE7" s="299"/>
      <c r="CF7" s="299"/>
      <c r="CG7" s="299"/>
      <c r="CH7" s="299"/>
      <c r="CI7" s="299"/>
      <c r="CJ7" s="299"/>
      <c r="CK7" s="299"/>
      <c r="CL7" s="299"/>
      <c r="CM7" s="299"/>
      <c r="CN7" s="299"/>
      <c r="CO7" s="299"/>
      <c r="CP7" s="299"/>
      <c r="CQ7" s="299"/>
      <c r="CR7" s="299"/>
      <c r="CS7" s="299"/>
      <c r="CT7" s="299"/>
      <c r="CU7" s="299"/>
      <c r="CV7" s="299"/>
      <c r="CW7" s="299"/>
      <c r="CX7" s="299"/>
      <c r="CY7" s="299"/>
      <c r="CZ7" s="299"/>
      <c r="DA7" s="299"/>
      <c r="DB7" s="299"/>
      <c r="DC7" s="299"/>
      <c r="DD7" s="299"/>
      <c r="DE7" s="299"/>
      <c r="DF7" s="299"/>
      <c r="DG7" s="299"/>
      <c r="DH7" s="299"/>
      <c r="DI7" s="299"/>
      <c r="DJ7" s="299"/>
      <c r="DK7" s="299"/>
      <c r="DL7" s="299"/>
      <c r="DM7" s="299"/>
      <c r="DN7" s="299"/>
      <c r="DO7" s="299"/>
      <c r="DP7" s="299"/>
      <c r="DQ7" s="299"/>
      <c r="DR7" s="299"/>
      <c r="DS7" s="299"/>
      <c r="DT7" s="299"/>
      <c r="DU7" s="300"/>
      <c r="DV7" s="300"/>
      <c r="DW7" s="300"/>
      <c r="DX7" s="300"/>
      <c r="DY7" s="300"/>
      <c r="DZ7" s="300"/>
      <c r="EA7" s="300"/>
      <c r="EB7" s="300"/>
      <c r="EC7" s="300"/>
      <c r="ED7" s="300"/>
      <c r="EE7" s="300"/>
      <c r="EF7" s="300"/>
      <c r="EG7" s="300"/>
      <c r="EH7" s="300"/>
      <c r="EI7" s="300"/>
      <c r="EJ7" s="300"/>
      <c r="EK7" s="300"/>
      <c r="EL7" s="300"/>
      <c r="EM7" s="300"/>
      <c r="EN7" s="300"/>
      <c r="EO7" s="300"/>
      <c r="EP7" s="300"/>
      <c r="EQ7" s="300"/>
      <c r="ER7" s="300"/>
      <c r="ES7" s="300"/>
      <c r="ET7" s="300"/>
      <c r="EU7" s="300"/>
      <c r="EV7" s="300"/>
      <c r="EW7" s="300"/>
      <c r="EX7" s="300"/>
      <c r="EY7" s="300"/>
      <c r="EZ7" s="300"/>
      <c r="FA7" s="300"/>
      <c r="FB7" s="300"/>
      <c r="FC7" s="300"/>
      <c r="FD7" s="300"/>
      <c r="FE7" s="300"/>
      <c r="FF7" s="300"/>
      <c r="FG7" s="300"/>
      <c r="FH7" s="300"/>
      <c r="FI7" s="300"/>
      <c r="FJ7" s="300"/>
      <c r="FK7" s="300"/>
      <c r="FL7" s="300"/>
      <c r="FM7" s="300"/>
      <c r="FN7" s="300"/>
      <c r="FO7" s="300"/>
      <c r="FP7" s="300"/>
      <c r="FQ7" s="300"/>
      <c r="FR7" s="300"/>
      <c r="FS7" s="300"/>
      <c r="FT7" s="300"/>
      <c r="FU7" s="300"/>
      <c r="FV7" s="300"/>
      <c r="FW7" s="300"/>
      <c r="FX7" s="300"/>
      <c r="FY7" s="300"/>
      <c r="FZ7" s="300"/>
      <c r="GA7" s="300"/>
    </row>
    <row r="8" ht="18.75" customHeight="1">
      <c r="A8" s="281"/>
      <c r="B8" s="175" t="s">
        <v>21</v>
      </c>
      <c r="C8" s="287">
        <f t="shared" si="3"/>
        <v>150000</v>
      </c>
      <c r="D8" s="296">
        <v>75000.0</v>
      </c>
      <c r="E8" s="295"/>
      <c r="F8" s="295"/>
      <c r="G8" s="295"/>
      <c r="H8" s="296">
        <v>25000.0</v>
      </c>
      <c r="I8" s="295"/>
      <c r="J8" s="295"/>
      <c r="K8" s="295"/>
      <c r="L8" s="295"/>
      <c r="M8" s="296"/>
      <c r="N8" s="296">
        <v>35000.0</v>
      </c>
      <c r="O8" s="296"/>
      <c r="P8" s="296">
        <v>5000.0</v>
      </c>
      <c r="Q8" s="296">
        <v>52000.0</v>
      </c>
      <c r="R8" s="296">
        <v>75000.0</v>
      </c>
      <c r="S8" s="295"/>
      <c r="T8" s="295"/>
      <c r="U8" s="295"/>
      <c r="V8" s="295"/>
      <c r="W8" s="295"/>
      <c r="X8" s="296">
        <v>25000.0</v>
      </c>
      <c r="Y8" s="295"/>
      <c r="Z8" s="295"/>
      <c r="AA8" s="295"/>
      <c r="AB8" s="296">
        <v>2500.0</v>
      </c>
      <c r="AC8" s="295"/>
      <c r="AD8" s="295"/>
      <c r="AE8" s="295"/>
      <c r="AF8" s="296">
        <v>10000.0</v>
      </c>
      <c r="AG8" s="296">
        <v>25000.0</v>
      </c>
      <c r="AH8" s="296">
        <v>34000.0</v>
      </c>
      <c r="AI8" s="298">
        <v>140000.0</v>
      </c>
      <c r="AJ8" s="298">
        <v>15000.0</v>
      </c>
      <c r="AK8" s="298">
        <v>12500.0</v>
      </c>
      <c r="AL8" s="297"/>
      <c r="AM8" s="297"/>
      <c r="AN8" s="297"/>
      <c r="AO8" s="297"/>
      <c r="AP8" s="297"/>
      <c r="AQ8" s="298">
        <v>22000.0</v>
      </c>
      <c r="AR8" s="298">
        <v>57000.0</v>
      </c>
      <c r="AS8" s="298">
        <v>25000.0</v>
      </c>
      <c r="AT8" s="298">
        <v>10000.0</v>
      </c>
      <c r="AU8" s="297"/>
      <c r="AV8" s="298">
        <v>25000.0</v>
      </c>
      <c r="AW8" s="298">
        <v>10000.0</v>
      </c>
      <c r="AX8" s="298">
        <v>4166.0</v>
      </c>
      <c r="AY8" s="297"/>
      <c r="AZ8" s="297"/>
      <c r="BA8" s="298">
        <v>25000.0</v>
      </c>
      <c r="BB8" s="298">
        <v>25000.0</v>
      </c>
      <c r="BC8" s="297"/>
      <c r="BD8" s="297"/>
      <c r="BE8" s="297"/>
      <c r="BF8" s="297"/>
      <c r="BG8" s="298">
        <v>25000.0</v>
      </c>
      <c r="BH8" s="297"/>
      <c r="BI8" s="297"/>
      <c r="BJ8" s="297"/>
      <c r="BK8" s="298">
        <v>10000.0</v>
      </c>
      <c r="BL8" s="297"/>
      <c r="BM8" s="292"/>
      <c r="BN8" s="301">
        <v>25000.0</v>
      </c>
      <c r="BO8" s="299"/>
      <c r="BP8" s="299"/>
      <c r="BQ8" s="299"/>
      <c r="BR8" s="299"/>
      <c r="BS8" s="299"/>
      <c r="BT8" s="299"/>
      <c r="BU8" s="299"/>
      <c r="BV8" s="299"/>
      <c r="BW8" s="301">
        <v>75000.0</v>
      </c>
      <c r="BX8" s="301">
        <v>15000.0</v>
      </c>
      <c r="BY8" s="301">
        <v>35000.0</v>
      </c>
      <c r="BZ8" s="299"/>
      <c r="CA8" s="299"/>
      <c r="CB8" s="299"/>
      <c r="CC8" s="299"/>
      <c r="CD8" s="299"/>
      <c r="CE8" s="299"/>
      <c r="CF8" s="299"/>
      <c r="CG8" s="299"/>
      <c r="CH8" s="299"/>
      <c r="CI8" s="299"/>
      <c r="CJ8" s="299"/>
      <c r="CK8" s="299"/>
      <c r="CL8" s="299"/>
      <c r="CM8" s="299"/>
      <c r="CN8" s="299"/>
      <c r="CO8" s="299"/>
      <c r="CP8" s="299"/>
      <c r="CQ8" s="299"/>
      <c r="CR8" s="299"/>
      <c r="CS8" s="299"/>
      <c r="CT8" s="299"/>
      <c r="CU8" s="299"/>
      <c r="CV8" s="299"/>
      <c r="CW8" s="299"/>
      <c r="CX8" s="299"/>
      <c r="CY8" s="299"/>
      <c r="CZ8" s="299"/>
      <c r="DA8" s="299"/>
      <c r="DB8" s="299"/>
      <c r="DC8" s="299"/>
      <c r="DD8" s="299"/>
      <c r="DE8" s="299"/>
      <c r="DF8" s="299"/>
      <c r="DG8" s="299"/>
      <c r="DH8" s="299"/>
      <c r="DI8" s="299"/>
      <c r="DJ8" s="299"/>
      <c r="DK8" s="299"/>
      <c r="DL8" s="299"/>
      <c r="DM8" s="299"/>
      <c r="DN8" s="299"/>
      <c r="DO8" s="299"/>
      <c r="DP8" s="299"/>
      <c r="DQ8" s="299"/>
      <c r="DR8" s="299"/>
      <c r="DS8" s="299"/>
      <c r="DT8" s="299"/>
      <c r="DU8" s="300"/>
      <c r="DV8" s="300"/>
      <c r="DW8" s="300"/>
      <c r="DX8" s="300"/>
      <c r="DY8" s="300"/>
      <c r="DZ8" s="300"/>
      <c r="EA8" s="300"/>
      <c r="EB8" s="300"/>
      <c r="EC8" s="300"/>
      <c r="ED8" s="300"/>
      <c r="EE8" s="300"/>
      <c r="EF8" s="300"/>
      <c r="EG8" s="300"/>
      <c r="EH8" s="300"/>
      <c r="EI8" s="300"/>
      <c r="EJ8" s="300"/>
      <c r="EK8" s="300"/>
      <c r="EL8" s="300"/>
      <c r="EM8" s="300"/>
      <c r="EN8" s="300"/>
      <c r="EO8" s="300"/>
      <c r="EP8" s="300"/>
      <c r="EQ8" s="300"/>
      <c r="ER8" s="300"/>
      <c r="ES8" s="300"/>
      <c r="ET8" s="300"/>
      <c r="EU8" s="300"/>
      <c r="EV8" s="300"/>
      <c r="EW8" s="300"/>
      <c r="EX8" s="300"/>
      <c r="EY8" s="300"/>
      <c r="EZ8" s="300"/>
      <c r="FA8" s="300"/>
      <c r="FB8" s="300"/>
      <c r="FC8" s="300"/>
      <c r="FD8" s="300"/>
      <c r="FE8" s="300"/>
      <c r="FF8" s="300"/>
      <c r="FG8" s="300"/>
      <c r="FH8" s="300"/>
      <c r="FI8" s="300"/>
      <c r="FJ8" s="300"/>
      <c r="FK8" s="300"/>
      <c r="FL8" s="300"/>
      <c r="FM8" s="300"/>
      <c r="FN8" s="300"/>
      <c r="FO8" s="300"/>
      <c r="FP8" s="300"/>
      <c r="FQ8" s="300"/>
      <c r="FR8" s="300"/>
      <c r="FS8" s="300"/>
      <c r="FT8" s="300"/>
      <c r="FU8" s="300"/>
      <c r="FV8" s="300"/>
      <c r="FW8" s="300"/>
      <c r="FX8" s="300"/>
      <c r="FY8" s="300"/>
      <c r="FZ8" s="300"/>
      <c r="GA8" s="300"/>
    </row>
    <row r="9" ht="19.5" customHeight="1">
      <c r="A9" s="281"/>
      <c r="B9" s="175" t="s">
        <v>42</v>
      </c>
      <c r="C9" s="287">
        <f t="shared" si="3"/>
        <v>50000</v>
      </c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8">
        <v>2000.0</v>
      </c>
      <c r="R9" s="289"/>
      <c r="S9" s="289"/>
      <c r="T9" s="289"/>
      <c r="U9" s="288">
        <v>15000.0</v>
      </c>
      <c r="V9" s="289"/>
      <c r="W9" s="289"/>
      <c r="X9" s="288">
        <v>25000.0</v>
      </c>
      <c r="Y9" s="289"/>
      <c r="Z9" s="288">
        <v>25000.0</v>
      </c>
      <c r="AA9" s="289"/>
      <c r="AB9" s="288">
        <v>100000.0</v>
      </c>
      <c r="AC9" s="289"/>
      <c r="AD9" s="289"/>
      <c r="AE9" s="288">
        <v>250000.0</v>
      </c>
      <c r="AF9" s="289"/>
      <c r="AG9" s="288">
        <v>25000.0</v>
      </c>
      <c r="AH9" s="288">
        <v>25000.0</v>
      </c>
      <c r="AI9" s="291"/>
      <c r="AJ9" s="290"/>
      <c r="AK9" s="291">
        <v>10000.0</v>
      </c>
      <c r="AL9" s="291"/>
      <c r="AM9" s="290"/>
      <c r="AN9" s="291"/>
      <c r="AO9" s="291">
        <v>5000.0</v>
      </c>
      <c r="AP9" s="290"/>
      <c r="AQ9" s="291">
        <v>10000.0</v>
      </c>
      <c r="AR9" s="290"/>
      <c r="AS9" s="290"/>
      <c r="AT9" s="291">
        <v>25000.0</v>
      </c>
      <c r="AU9" s="290"/>
      <c r="AV9" s="290"/>
      <c r="AW9" s="290"/>
      <c r="AX9" s="291">
        <v>4166.0</v>
      </c>
      <c r="AY9" s="291">
        <v>25000.0</v>
      </c>
      <c r="AZ9" s="290"/>
      <c r="BA9" s="291">
        <v>5000.0</v>
      </c>
      <c r="BB9" s="291">
        <v>25000.0</v>
      </c>
      <c r="BC9" s="291">
        <v>50000.0</v>
      </c>
      <c r="BD9" s="290"/>
      <c r="BE9" s="291">
        <v>5000.0</v>
      </c>
      <c r="BF9" s="291">
        <v>50000.0</v>
      </c>
      <c r="BG9" s="291">
        <v>150000.0</v>
      </c>
      <c r="BH9" s="290"/>
      <c r="BI9" s="290"/>
      <c r="BJ9" s="291">
        <v>25000.0</v>
      </c>
      <c r="BK9" s="290"/>
      <c r="BL9" s="291">
        <v>6250.0</v>
      </c>
      <c r="BM9" s="302"/>
      <c r="BN9" s="303"/>
      <c r="BO9" s="293"/>
      <c r="BP9" s="293"/>
      <c r="BQ9" s="293"/>
      <c r="BR9" s="303">
        <v>25000.0</v>
      </c>
      <c r="BS9" s="293"/>
      <c r="BT9" s="293"/>
      <c r="BU9" s="293"/>
      <c r="BV9" s="303">
        <v>25000.0</v>
      </c>
      <c r="BW9" s="293"/>
      <c r="BX9" s="293"/>
      <c r="BY9" s="293"/>
      <c r="BZ9" s="293"/>
      <c r="CA9" s="293"/>
      <c r="CB9" s="293"/>
      <c r="CC9" s="293"/>
      <c r="CD9" s="293"/>
      <c r="CE9" s="293"/>
      <c r="CF9" s="293"/>
      <c r="CG9" s="293"/>
      <c r="CH9" s="293"/>
      <c r="CI9" s="293"/>
      <c r="CJ9" s="293"/>
      <c r="CK9" s="293"/>
      <c r="CL9" s="293"/>
      <c r="CM9" s="293"/>
      <c r="CN9" s="293"/>
      <c r="CO9" s="293"/>
      <c r="CP9" s="293"/>
      <c r="CQ9" s="293"/>
      <c r="CR9" s="293"/>
      <c r="CS9" s="293"/>
      <c r="CT9" s="293"/>
      <c r="CU9" s="293"/>
      <c r="CV9" s="293"/>
      <c r="CW9" s="293"/>
      <c r="CX9" s="293"/>
      <c r="CY9" s="293"/>
      <c r="CZ9" s="293"/>
      <c r="DA9" s="293"/>
      <c r="DB9" s="293"/>
      <c r="DC9" s="293"/>
      <c r="DD9" s="293"/>
      <c r="DE9" s="293"/>
      <c r="DF9" s="293"/>
      <c r="DG9" s="293"/>
      <c r="DH9" s="293"/>
      <c r="DI9" s="293"/>
      <c r="DJ9" s="293"/>
      <c r="DK9" s="293"/>
      <c r="DL9" s="293"/>
      <c r="DM9" s="293"/>
      <c r="DN9" s="293"/>
      <c r="DO9" s="293"/>
      <c r="DP9" s="293"/>
      <c r="DQ9" s="293"/>
      <c r="DR9" s="293"/>
      <c r="DS9" s="293"/>
      <c r="DT9" s="293"/>
      <c r="DU9" s="294"/>
      <c r="DV9" s="294"/>
      <c r="DW9" s="294"/>
      <c r="DX9" s="294"/>
      <c r="DY9" s="294"/>
      <c r="DZ9" s="294"/>
      <c r="EA9" s="294"/>
      <c r="EB9" s="294"/>
      <c r="EC9" s="294"/>
      <c r="ED9" s="294"/>
      <c r="EE9" s="294"/>
      <c r="EF9" s="294"/>
      <c r="EG9" s="294"/>
      <c r="EH9" s="294"/>
      <c r="EI9" s="294"/>
      <c r="EJ9" s="294"/>
      <c r="EK9" s="294"/>
      <c r="EL9" s="294"/>
      <c r="EM9" s="294"/>
      <c r="EN9" s="294"/>
      <c r="EO9" s="294"/>
      <c r="EP9" s="294"/>
      <c r="EQ9" s="294"/>
      <c r="ER9" s="294"/>
      <c r="ES9" s="294"/>
      <c r="ET9" s="294"/>
      <c r="EU9" s="294"/>
      <c r="EV9" s="294"/>
      <c r="EW9" s="294"/>
      <c r="EX9" s="294"/>
      <c r="EY9" s="294"/>
      <c r="EZ9" s="294"/>
      <c r="FA9" s="294"/>
      <c r="FB9" s="294"/>
      <c r="FC9" s="294"/>
      <c r="FD9" s="294"/>
      <c r="FE9" s="294"/>
      <c r="FF9" s="294"/>
      <c r="FG9" s="294"/>
      <c r="FH9" s="294"/>
      <c r="FI9" s="294"/>
      <c r="FJ9" s="294"/>
      <c r="FK9" s="294"/>
      <c r="FL9" s="294"/>
      <c r="FM9" s="294"/>
      <c r="FN9" s="294"/>
      <c r="FO9" s="294"/>
      <c r="FP9" s="294"/>
      <c r="FQ9" s="294"/>
      <c r="FR9" s="294"/>
      <c r="FS9" s="294"/>
      <c r="FT9" s="294"/>
      <c r="FU9" s="294"/>
      <c r="FV9" s="294"/>
      <c r="FW9" s="294"/>
      <c r="FX9" s="294"/>
      <c r="FY9" s="294"/>
      <c r="FZ9" s="294"/>
      <c r="GA9" s="294"/>
    </row>
    <row r="10" ht="19.5" customHeight="1">
      <c r="A10" s="281"/>
      <c r="B10" s="175" t="s">
        <v>12</v>
      </c>
      <c r="C10" s="287">
        <f t="shared" si="3"/>
        <v>35000</v>
      </c>
      <c r="D10" s="295"/>
      <c r="E10" s="295"/>
      <c r="F10" s="295"/>
      <c r="G10" s="295"/>
      <c r="H10" s="295"/>
      <c r="I10" s="295"/>
      <c r="J10" s="295"/>
      <c r="K10" s="295"/>
      <c r="L10" s="295"/>
      <c r="M10" s="295"/>
      <c r="N10" s="296">
        <v>100000.0</v>
      </c>
      <c r="O10" s="295"/>
      <c r="P10" s="295"/>
      <c r="Q10" s="295"/>
      <c r="R10" s="296">
        <v>10000.0</v>
      </c>
      <c r="S10" s="295"/>
      <c r="T10" s="295"/>
      <c r="U10" s="295"/>
      <c r="V10" s="295"/>
      <c r="W10" s="295"/>
      <c r="X10" s="295"/>
      <c r="Y10" s="295"/>
      <c r="Z10" s="295"/>
      <c r="AA10" s="295"/>
      <c r="AB10" s="296">
        <v>12500.0</v>
      </c>
      <c r="AC10" s="295"/>
      <c r="AD10" s="295"/>
      <c r="AE10" s="296">
        <v>75000.0</v>
      </c>
      <c r="AF10" s="295"/>
      <c r="AG10" s="295"/>
      <c r="AH10" s="296">
        <v>34000.0</v>
      </c>
      <c r="AI10" s="297"/>
      <c r="AJ10" s="298">
        <v>20000.0</v>
      </c>
      <c r="AK10" s="298">
        <v>2000.0</v>
      </c>
      <c r="AL10" s="297"/>
      <c r="AM10" s="298">
        <v>10000.0</v>
      </c>
      <c r="AN10" s="297"/>
      <c r="AO10" s="297"/>
      <c r="AP10" s="297"/>
      <c r="AQ10" s="297"/>
      <c r="AR10" s="298">
        <v>25000.0</v>
      </c>
      <c r="AS10" s="297"/>
      <c r="AT10" s="298">
        <v>25000.0</v>
      </c>
      <c r="AU10" s="297"/>
      <c r="AV10" s="297"/>
      <c r="AW10" s="297"/>
      <c r="AX10" s="298"/>
      <c r="AY10" s="297"/>
      <c r="AZ10" s="297"/>
      <c r="BA10" s="298">
        <v>25000.0</v>
      </c>
      <c r="BB10" s="298">
        <v>2000.0</v>
      </c>
      <c r="BC10" s="297"/>
      <c r="BD10" s="297"/>
      <c r="BE10" s="298">
        <v>2000.0</v>
      </c>
      <c r="BF10" s="297"/>
      <c r="BG10" s="297"/>
      <c r="BH10" s="297"/>
      <c r="BI10" s="297"/>
      <c r="BJ10" s="297"/>
      <c r="BK10" s="297"/>
      <c r="BL10" s="298">
        <v>6250.0</v>
      </c>
      <c r="BM10" s="302"/>
      <c r="BN10" s="299"/>
      <c r="BO10" s="299"/>
      <c r="BP10" s="299"/>
      <c r="BQ10" s="299"/>
      <c r="BR10" s="299"/>
      <c r="BS10" s="299"/>
      <c r="BT10" s="299"/>
      <c r="BU10" s="299"/>
      <c r="BV10" s="299"/>
      <c r="BW10" s="299"/>
      <c r="BX10" s="299"/>
      <c r="BY10" s="301">
        <v>35000.0</v>
      </c>
      <c r="BZ10" s="299"/>
      <c r="CA10" s="299"/>
      <c r="CB10" s="299"/>
      <c r="CC10" s="299"/>
      <c r="CD10" s="299"/>
      <c r="CE10" s="299"/>
      <c r="CF10" s="299"/>
      <c r="CG10" s="299"/>
      <c r="CH10" s="299"/>
      <c r="CI10" s="299"/>
      <c r="CJ10" s="299"/>
      <c r="CK10" s="299"/>
      <c r="CL10" s="299"/>
      <c r="CM10" s="299"/>
      <c r="CN10" s="299"/>
      <c r="CO10" s="299"/>
      <c r="CP10" s="299"/>
      <c r="CQ10" s="299"/>
      <c r="CR10" s="299"/>
      <c r="CS10" s="299"/>
      <c r="CT10" s="299"/>
      <c r="CU10" s="299"/>
      <c r="CV10" s="299"/>
      <c r="CW10" s="299"/>
      <c r="CX10" s="299"/>
      <c r="CY10" s="299"/>
      <c r="CZ10" s="299"/>
      <c r="DA10" s="299"/>
      <c r="DB10" s="299"/>
      <c r="DC10" s="299"/>
      <c r="DD10" s="299"/>
      <c r="DE10" s="299"/>
      <c r="DF10" s="299"/>
      <c r="DG10" s="299"/>
      <c r="DH10" s="299"/>
      <c r="DI10" s="299"/>
      <c r="DJ10" s="299"/>
      <c r="DK10" s="299"/>
      <c r="DL10" s="299"/>
      <c r="DM10" s="299"/>
      <c r="DN10" s="299"/>
      <c r="DO10" s="299"/>
      <c r="DP10" s="299"/>
      <c r="DQ10" s="299"/>
      <c r="DR10" s="299"/>
      <c r="DS10" s="299"/>
      <c r="DT10" s="299"/>
      <c r="DU10" s="300"/>
      <c r="DV10" s="300"/>
      <c r="DW10" s="300"/>
      <c r="DX10" s="300"/>
      <c r="DY10" s="300"/>
      <c r="DZ10" s="300"/>
      <c r="EA10" s="300"/>
      <c r="EB10" s="300"/>
      <c r="EC10" s="300"/>
      <c r="ED10" s="300"/>
      <c r="EE10" s="300"/>
      <c r="EF10" s="300"/>
      <c r="EG10" s="300"/>
      <c r="EH10" s="300"/>
      <c r="EI10" s="300"/>
      <c r="EJ10" s="300"/>
      <c r="EK10" s="300"/>
      <c r="EL10" s="300"/>
      <c r="EM10" s="300"/>
      <c r="EN10" s="300"/>
      <c r="EO10" s="300"/>
      <c r="EP10" s="300"/>
      <c r="EQ10" s="300"/>
      <c r="ER10" s="300"/>
      <c r="ES10" s="300"/>
      <c r="ET10" s="300"/>
      <c r="EU10" s="300"/>
      <c r="EV10" s="300"/>
      <c r="EW10" s="300"/>
      <c r="EX10" s="300"/>
      <c r="EY10" s="300"/>
      <c r="EZ10" s="300"/>
      <c r="FA10" s="300"/>
      <c r="FB10" s="300"/>
      <c r="FC10" s="300"/>
      <c r="FD10" s="300"/>
      <c r="FE10" s="300"/>
      <c r="FF10" s="300"/>
      <c r="FG10" s="300"/>
      <c r="FH10" s="300"/>
      <c r="FI10" s="300"/>
      <c r="FJ10" s="300"/>
      <c r="FK10" s="300"/>
      <c r="FL10" s="300"/>
      <c r="FM10" s="300"/>
      <c r="FN10" s="300"/>
      <c r="FO10" s="300"/>
      <c r="FP10" s="300"/>
      <c r="FQ10" s="300"/>
      <c r="FR10" s="300"/>
      <c r="FS10" s="300"/>
      <c r="FT10" s="300"/>
      <c r="FU10" s="300"/>
      <c r="FV10" s="300"/>
      <c r="FW10" s="300"/>
      <c r="FX10" s="300"/>
      <c r="FY10" s="300"/>
      <c r="FZ10" s="300"/>
      <c r="GA10" s="300"/>
    </row>
    <row r="11" ht="22.5" customHeight="1">
      <c r="A11" s="286"/>
      <c r="B11" s="175" t="s">
        <v>44</v>
      </c>
      <c r="C11" s="287">
        <f t="shared" si="3"/>
        <v>313000</v>
      </c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88">
        <v>10000.0</v>
      </c>
      <c r="P11" s="289"/>
      <c r="Q11" s="288">
        <v>47000.0</v>
      </c>
      <c r="R11" s="289"/>
      <c r="S11" s="288">
        <v>15000.0</v>
      </c>
      <c r="T11" s="288"/>
      <c r="U11" s="289"/>
      <c r="V11" s="289"/>
      <c r="W11" s="289"/>
      <c r="X11" s="289"/>
      <c r="Y11" s="289"/>
      <c r="Z11" s="289"/>
      <c r="AA11" s="288">
        <v>100000.0</v>
      </c>
      <c r="AB11" s="289"/>
      <c r="AC11" s="289"/>
      <c r="AD11" s="289"/>
      <c r="AE11" s="289"/>
      <c r="AF11" s="289"/>
      <c r="AG11" s="288">
        <v>5000.0</v>
      </c>
      <c r="AH11" s="288">
        <v>39000.0</v>
      </c>
      <c r="AI11" s="291"/>
      <c r="AJ11" s="291">
        <v>75000.0</v>
      </c>
      <c r="AK11" s="290"/>
      <c r="AL11" s="290"/>
      <c r="AM11" s="291">
        <v>75000.0</v>
      </c>
      <c r="AN11" s="290"/>
      <c r="AO11" s="290"/>
      <c r="AP11" s="290"/>
      <c r="AQ11" s="291">
        <v>10000.0</v>
      </c>
      <c r="AR11" s="291">
        <v>152000.0</v>
      </c>
      <c r="AS11" s="290"/>
      <c r="AT11" s="290"/>
      <c r="AU11" s="290"/>
      <c r="AV11" s="290"/>
      <c r="AW11" s="290"/>
      <c r="AX11" s="291">
        <v>4167.0</v>
      </c>
      <c r="AY11" s="290"/>
      <c r="AZ11" s="290"/>
      <c r="BA11" s="291">
        <v>10000.0</v>
      </c>
      <c r="BB11" s="291">
        <v>2000.0</v>
      </c>
      <c r="BC11" s="291">
        <v>25000.0</v>
      </c>
      <c r="BD11" s="291">
        <v>10000.0</v>
      </c>
      <c r="BE11" s="291">
        <v>2000.0</v>
      </c>
      <c r="BF11" s="290"/>
      <c r="BG11" s="291">
        <v>70000.0</v>
      </c>
      <c r="BH11" s="291">
        <v>140000.0</v>
      </c>
      <c r="BI11" s="290"/>
      <c r="BJ11" s="290"/>
      <c r="BK11" s="291">
        <v>100000.0</v>
      </c>
      <c r="BL11" s="291">
        <v>6250.0</v>
      </c>
      <c r="BM11" s="304">
        <v>113000.0</v>
      </c>
      <c r="BN11" s="303"/>
      <c r="BO11" s="293"/>
      <c r="BP11" s="303"/>
      <c r="BQ11" s="303">
        <v>50000.0</v>
      </c>
      <c r="BR11" s="293"/>
      <c r="BS11" s="293"/>
      <c r="BT11" s="293"/>
      <c r="BU11" s="293"/>
      <c r="BV11" s="293"/>
      <c r="BW11" s="293"/>
      <c r="BX11" s="303">
        <v>150000.0</v>
      </c>
      <c r="BY11" s="293"/>
      <c r="BZ11" s="293"/>
      <c r="CA11" s="293"/>
      <c r="CB11" s="293"/>
      <c r="CC11" s="293"/>
      <c r="CD11" s="293"/>
      <c r="CE11" s="293"/>
      <c r="CF11" s="293"/>
      <c r="CG11" s="293"/>
      <c r="CH11" s="293"/>
      <c r="CI11" s="293"/>
      <c r="CJ11" s="293"/>
      <c r="CK11" s="293"/>
      <c r="CL11" s="293"/>
      <c r="CM11" s="293"/>
      <c r="CN11" s="293"/>
      <c r="CO11" s="293"/>
      <c r="CP11" s="293"/>
      <c r="CQ11" s="293"/>
      <c r="CR11" s="293"/>
      <c r="CS11" s="293"/>
      <c r="CT11" s="293"/>
      <c r="CU11" s="293"/>
      <c r="CV11" s="293"/>
      <c r="CW11" s="293"/>
      <c r="CX11" s="293"/>
      <c r="CY11" s="293"/>
      <c r="CZ11" s="293"/>
      <c r="DA11" s="293"/>
      <c r="DB11" s="293"/>
      <c r="DC11" s="293"/>
      <c r="DD11" s="293"/>
      <c r="DE11" s="293"/>
      <c r="DF11" s="293"/>
      <c r="DG11" s="293"/>
      <c r="DH11" s="293"/>
      <c r="DI11" s="293"/>
      <c r="DJ11" s="293"/>
      <c r="DK11" s="293"/>
      <c r="DL11" s="293"/>
      <c r="DM11" s="293"/>
      <c r="DN11" s="293"/>
      <c r="DO11" s="293"/>
      <c r="DP11" s="293"/>
      <c r="DQ11" s="293"/>
      <c r="DR11" s="293"/>
      <c r="DS11" s="293"/>
      <c r="DT11" s="293"/>
      <c r="DU11" s="294"/>
      <c r="DV11" s="294"/>
      <c r="DW11" s="294"/>
      <c r="DX11" s="294"/>
      <c r="DY11" s="294"/>
      <c r="DZ11" s="294"/>
      <c r="EA11" s="294"/>
      <c r="EB11" s="294"/>
      <c r="EC11" s="294"/>
      <c r="ED11" s="294"/>
      <c r="EE11" s="294"/>
      <c r="EF11" s="294"/>
      <c r="EG11" s="294"/>
      <c r="EH11" s="294"/>
      <c r="EI11" s="294"/>
      <c r="EJ11" s="294"/>
      <c r="EK11" s="294"/>
      <c r="EL11" s="294"/>
      <c r="EM11" s="294"/>
      <c r="EN11" s="294"/>
      <c r="EO11" s="294"/>
      <c r="EP11" s="294"/>
      <c r="EQ11" s="294"/>
      <c r="ER11" s="294"/>
      <c r="ES11" s="294"/>
      <c r="ET11" s="294"/>
      <c r="EU11" s="294"/>
      <c r="EV11" s="294"/>
      <c r="EW11" s="294"/>
      <c r="EX11" s="294"/>
      <c r="EY11" s="294"/>
      <c r="EZ11" s="294"/>
      <c r="FA11" s="294"/>
      <c r="FB11" s="294"/>
      <c r="FC11" s="294"/>
      <c r="FD11" s="294"/>
      <c r="FE11" s="294"/>
      <c r="FF11" s="294"/>
      <c r="FG11" s="294"/>
      <c r="FH11" s="294"/>
      <c r="FI11" s="294"/>
      <c r="FJ11" s="294"/>
      <c r="FK11" s="294"/>
      <c r="FL11" s="294"/>
      <c r="FM11" s="294"/>
      <c r="FN11" s="294"/>
      <c r="FO11" s="294"/>
      <c r="FP11" s="294"/>
      <c r="FQ11" s="294"/>
      <c r="FR11" s="294"/>
      <c r="FS11" s="294"/>
      <c r="FT11" s="294"/>
      <c r="FU11" s="294"/>
      <c r="FV11" s="294"/>
      <c r="FW11" s="294"/>
      <c r="FX11" s="294"/>
      <c r="FY11" s="294"/>
      <c r="FZ11" s="294"/>
      <c r="GA11" s="294"/>
    </row>
    <row r="12" ht="19.5" customHeight="1">
      <c r="A12" s="281"/>
      <c r="B12" s="175" t="s">
        <v>14</v>
      </c>
      <c r="C12" s="287">
        <f t="shared" si="3"/>
        <v>108000</v>
      </c>
      <c r="D12" s="295"/>
      <c r="E12" s="295"/>
      <c r="F12" s="295"/>
      <c r="G12" s="295"/>
      <c r="H12" s="295"/>
      <c r="I12" s="295"/>
      <c r="J12" s="295"/>
      <c r="K12" s="295"/>
      <c r="L12" s="295"/>
      <c r="M12" s="296">
        <v>5000.0</v>
      </c>
      <c r="N12" s="296">
        <v>25000.0</v>
      </c>
      <c r="O12" s="295"/>
      <c r="P12" s="295"/>
      <c r="Q12" s="295"/>
      <c r="R12" s="295"/>
      <c r="S12" s="295"/>
      <c r="T12" s="295"/>
      <c r="U12" s="295"/>
      <c r="V12" s="296">
        <v>75000.0</v>
      </c>
      <c r="W12" s="295"/>
      <c r="X12" s="295"/>
      <c r="Y12" s="296">
        <v>5000.0</v>
      </c>
      <c r="Z12" s="295"/>
      <c r="AA12" s="295"/>
      <c r="AB12" s="295"/>
      <c r="AC12" s="295"/>
      <c r="AD12" s="296">
        <v>50000.0</v>
      </c>
      <c r="AE12" s="295"/>
      <c r="AF12" s="295"/>
      <c r="AG12" s="296">
        <v>208000.0</v>
      </c>
      <c r="AH12" s="296">
        <v>46000.0</v>
      </c>
      <c r="AI12" s="298"/>
      <c r="AJ12" s="297"/>
      <c r="AK12" s="297"/>
      <c r="AL12" s="297"/>
      <c r="AM12" s="297"/>
      <c r="AN12" s="298"/>
      <c r="AO12" s="298">
        <v>5000.0</v>
      </c>
      <c r="AP12" s="297"/>
      <c r="AQ12" s="297"/>
      <c r="AR12" s="297"/>
      <c r="AS12" s="297"/>
      <c r="AT12" s="298">
        <v>85000.0</v>
      </c>
      <c r="AU12" s="297"/>
      <c r="AV12" s="298">
        <v>10000.0</v>
      </c>
      <c r="AW12" s="297"/>
      <c r="AX12" s="297"/>
      <c r="AY12" s="298">
        <v>75000.0</v>
      </c>
      <c r="AZ12" s="298">
        <v>500000.0</v>
      </c>
      <c r="BA12" s="298">
        <v>3000.0</v>
      </c>
      <c r="BB12" s="298">
        <v>2000.0</v>
      </c>
      <c r="BC12" s="297"/>
      <c r="BD12" s="297"/>
      <c r="BE12" s="298">
        <v>2000.0</v>
      </c>
      <c r="BF12" s="297"/>
      <c r="BG12" s="297"/>
      <c r="BH12" s="297"/>
      <c r="BI12" s="297"/>
      <c r="BJ12" s="297"/>
      <c r="BK12" s="297"/>
      <c r="BL12" s="297"/>
      <c r="BM12" s="304">
        <v>53000.0</v>
      </c>
      <c r="BN12" s="301"/>
      <c r="BO12" s="299"/>
      <c r="BP12" s="301"/>
      <c r="BQ12" s="301">
        <v>50000.0</v>
      </c>
      <c r="BR12" s="299"/>
      <c r="BS12" s="299"/>
      <c r="BT12" s="299"/>
      <c r="BU12" s="299"/>
      <c r="BV12" s="299"/>
      <c r="BW12" s="299"/>
      <c r="BX12" s="301">
        <v>5000.0</v>
      </c>
      <c r="BY12" s="299"/>
      <c r="BZ12" s="299"/>
      <c r="CA12" s="299"/>
      <c r="CB12" s="299"/>
      <c r="CC12" s="299"/>
      <c r="CD12" s="299"/>
      <c r="CE12" s="299"/>
      <c r="CF12" s="299"/>
      <c r="CG12" s="299"/>
      <c r="CH12" s="299"/>
      <c r="CI12" s="299"/>
      <c r="CJ12" s="299"/>
      <c r="CK12" s="299"/>
      <c r="CL12" s="299"/>
      <c r="CM12" s="299"/>
      <c r="CN12" s="299"/>
      <c r="CO12" s="299"/>
      <c r="CP12" s="299"/>
      <c r="CQ12" s="299"/>
      <c r="CR12" s="299"/>
      <c r="CS12" s="299"/>
      <c r="CT12" s="299"/>
      <c r="CU12" s="299"/>
      <c r="CV12" s="299"/>
      <c r="CW12" s="299"/>
      <c r="CX12" s="299"/>
      <c r="CY12" s="299"/>
      <c r="CZ12" s="299"/>
      <c r="DA12" s="299"/>
      <c r="DB12" s="299"/>
      <c r="DC12" s="299"/>
      <c r="DD12" s="299"/>
      <c r="DE12" s="299"/>
      <c r="DF12" s="299"/>
      <c r="DG12" s="299"/>
      <c r="DH12" s="299"/>
      <c r="DI12" s="299"/>
      <c r="DJ12" s="299"/>
      <c r="DK12" s="299"/>
      <c r="DL12" s="299"/>
      <c r="DM12" s="299"/>
      <c r="DN12" s="299"/>
      <c r="DO12" s="299"/>
      <c r="DP12" s="299"/>
      <c r="DQ12" s="299"/>
      <c r="DR12" s="299"/>
      <c r="DS12" s="299"/>
      <c r="DT12" s="299"/>
      <c r="DU12" s="300"/>
      <c r="DV12" s="300"/>
      <c r="DW12" s="300"/>
      <c r="DX12" s="300"/>
      <c r="DY12" s="300"/>
      <c r="DZ12" s="300"/>
      <c r="EA12" s="300"/>
      <c r="EB12" s="300"/>
      <c r="EC12" s="300"/>
      <c r="ED12" s="300"/>
      <c r="EE12" s="300"/>
      <c r="EF12" s="300"/>
      <c r="EG12" s="300"/>
      <c r="EH12" s="300"/>
      <c r="EI12" s="300"/>
      <c r="EJ12" s="300"/>
      <c r="EK12" s="300"/>
      <c r="EL12" s="300"/>
      <c r="EM12" s="300"/>
      <c r="EN12" s="300"/>
      <c r="EO12" s="300"/>
      <c r="EP12" s="300"/>
      <c r="EQ12" s="300"/>
      <c r="ER12" s="300"/>
      <c r="ES12" s="300"/>
      <c r="ET12" s="300"/>
      <c r="EU12" s="300"/>
      <c r="EV12" s="300"/>
      <c r="EW12" s="300"/>
      <c r="EX12" s="300"/>
      <c r="EY12" s="300"/>
      <c r="EZ12" s="300"/>
      <c r="FA12" s="300"/>
      <c r="FB12" s="300"/>
      <c r="FC12" s="300"/>
      <c r="FD12" s="300"/>
      <c r="FE12" s="300"/>
      <c r="FF12" s="300"/>
      <c r="FG12" s="300"/>
      <c r="FH12" s="300"/>
      <c r="FI12" s="300"/>
      <c r="FJ12" s="300"/>
      <c r="FK12" s="300"/>
      <c r="FL12" s="300"/>
      <c r="FM12" s="300"/>
      <c r="FN12" s="300"/>
      <c r="FO12" s="300"/>
      <c r="FP12" s="300"/>
      <c r="FQ12" s="300"/>
      <c r="FR12" s="300"/>
      <c r="FS12" s="300"/>
      <c r="FT12" s="300"/>
      <c r="FU12" s="300"/>
      <c r="FV12" s="300"/>
      <c r="FW12" s="300"/>
      <c r="FX12" s="300"/>
      <c r="FY12" s="300"/>
      <c r="FZ12" s="300"/>
      <c r="GA12" s="300"/>
    </row>
    <row r="13" ht="19.5" customHeight="1">
      <c r="A13" s="281"/>
      <c r="B13" s="175" t="s">
        <v>46</v>
      </c>
      <c r="C13" s="287">
        <f t="shared" si="3"/>
        <v>170000</v>
      </c>
      <c r="D13" s="288">
        <v>10000.0</v>
      </c>
      <c r="E13" s="289"/>
      <c r="F13" s="289"/>
      <c r="G13" s="289"/>
      <c r="H13" s="289"/>
      <c r="I13" s="289"/>
      <c r="J13" s="289"/>
      <c r="K13" s="289"/>
      <c r="L13" s="288">
        <v>30000.0</v>
      </c>
      <c r="M13" s="289"/>
      <c r="N13" s="289"/>
      <c r="O13" s="289"/>
      <c r="P13" s="289"/>
      <c r="Q13" s="288">
        <v>202000.0</v>
      </c>
      <c r="R13" s="289"/>
      <c r="S13" s="289"/>
      <c r="T13" s="288">
        <v>5000.0</v>
      </c>
      <c r="U13" s="289"/>
      <c r="V13" s="289"/>
      <c r="W13" s="288">
        <v>2000.0</v>
      </c>
      <c r="X13" s="289"/>
      <c r="Y13" s="289"/>
      <c r="Z13" s="289"/>
      <c r="AA13" s="288">
        <v>5000.0</v>
      </c>
      <c r="AB13" s="289"/>
      <c r="AC13" s="289"/>
      <c r="AD13" s="288"/>
      <c r="AE13" s="288">
        <v>20000.0</v>
      </c>
      <c r="AF13" s="288">
        <v>263000.0</v>
      </c>
      <c r="AG13" s="288">
        <v>10000.0</v>
      </c>
      <c r="AH13" s="288">
        <v>46000.0</v>
      </c>
      <c r="AI13" s="290"/>
      <c r="AJ13" s="290"/>
      <c r="AK13" s="290"/>
      <c r="AL13" s="291">
        <v>5000.0</v>
      </c>
      <c r="AM13" s="291">
        <v>10000.0</v>
      </c>
      <c r="AN13" s="290"/>
      <c r="AO13" s="290"/>
      <c r="AP13" s="290"/>
      <c r="AQ13" s="291">
        <v>85000.0</v>
      </c>
      <c r="AR13" s="290"/>
      <c r="AS13" s="290"/>
      <c r="AT13" s="290"/>
      <c r="AU13" s="291">
        <v>15000.0</v>
      </c>
      <c r="AV13" s="291">
        <v>15000.0</v>
      </c>
      <c r="AW13" s="290"/>
      <c r="AX13" s="291">
        <v>4166.0</v>
      </c>
      <c r="AY13" s="291">
        <v>25000.0</v>
      </c>
      <c r="AZ13" s="291">
        <v>25000.0</v>
      </c>
      <c r="BA13" s="291">
        <v>4000.0</v>
      </c>
      <c r="BB13" s="291">
        <v>2000.0</v>
      </c>
      <c r="BC13" s="290"/>
      <c r="BD13" s="290"/>
      <c r="BE13" s="291">
        <v>2000.0</v>
      </c>
      <c r="BF13" s="291">
        <v>110000.0</v>
      </c>
      <c r="BG13" s="290"/>
      <c r="BH13" s="290"/>
      <c r="BI13" s="291">
        <v>50000.0</v>
      </c>
      <c r="BJ13" s="290"/>
      <c r="BK13" s="290"/>
      <c r="BL13" s="291">
        <v>6250.0</v>
      </c>
      <c r="BM13" s="305"/>
      <c r="BN13" s="293"/>
      <c r="BO13" s="293"/>
      <c r="BP13" s="293"/>
      <c r="BQ13" s="293"/>
      <c r="BR13" s="293"/>
      <c r="BS13" s="293"/>
      <c r="BT13" s="293"/>
      <c r="BU13" s="303">
        <v>150000.0</v>
      </c>
      <c r="BV13" s="293"/>
      <c r="BW13" s="293"/>
      <c r="BX13" s="293"/>
      <c r="BY13" s="293"/>
      <c r="BZ13" s="303">
        <v>5000.0</v>
      </c>
      <c r="CA13" s="303">
        <v>15000.0</v>
      </c>
      <c r="CB13" s="293"/>
      <c r="CC13" s="293"/>
      <c r="CD13" s="293"/>
      <c r="CE13" s="293"/>
      <c r="CF13" s="293"/>
      <c r="CG13" s="293"/>
      <c r="CH13" s="293"/>
      <c r="CI13" s="293"/>
      <c r="CJ13" s="293"/>
      <c r="CK13" s="293"/>
      <c r="CL13" s="293"/>
      <c r="CM13" s="293"/>
      <c r="CN13" s="293"/>
      <c r="CO13" s="293"/>
      <c r="CP13" s="293"/>
      <c r="CQ13" s="293"/>
      <c r="CR13" s="293"/>
      <c r="CS13" s="293"/>
      <c r="CT13" s="293"/>
      <c r="CU13" s="293"/>
      <c r="CV13" s="293"/>
      <c r="CW13" s="293"/>
      <c r="CX13" s="293"/>
      <c r="CY13" s="293"/>
      <c r="CZ13" s="293"/>
      <c r="DA13" s="293"/>
      <c r="DB13" s="293"/>
      <c r="DC13" s="293"/>
      <c r="DD13" s="293"/>
      <c r="DE13" s="293"/>
      <c r="DF13" s="293"/>
      <c r="DG13" s="293"/>
      <c r="DH13" s="293"/>
      <c r="DI13" s="293"/>
      <c r="DJ13" s="293"/>
      <c r="DK13" s="293"/>
      <c r="DL13" s="293"/>
      <c r="DM13" s="293"/>
      <c r="DN13" s="293"/>
      <c r="DO13" s="293"/>
      <c r="DP13" s="293"/>
      <c r="DQ13" s="293"/>
      <c r="DR13" s="293"/>
      <c r="DS13" s="293"/>
      <c r="DT13" s="293"/>
      <c r="DU13" s="294"/>
      <c r="DV13" s="294"/>
      <c r="DW13" s="294"/>
      <c r="DX13" s="294"/>
      <c r="DY13" s="294"/>
      <c r="DZ13" s="294"/>
      <c r="EA13" s="294"/>
      <c r="EB13" s="294"/>
      <c r="EC13" s="294"/>
      <c r="ED13" s="294"/>
      <c r="EE13" s="294"/>
      <c r="EF13" s="294"/>
      <c r="EG13" s="294"/>
      <c r="EH13" s="294"/>
      <c r="EI13" s="294"/>
      <c r="EJ13" s="294"/>
      <c r="EK13" s="294"/>
      <c r="EL13" s="294"/>
      <c r="EM13" s="294"/>
      <c r="EN13" s="294"/>
      <c r="EO13" s="294"/>
      <c r="EP13" s="294"/>
      <c r="EQ13" s="294"/>
      <c r="ER13" s="294"/>
      <c r="ES13" s="294"/>
      <c r="ET13" s="294"/>
      <c r="EU13" s="294"/>
      <c r="EV13" s="294"/>
      <c r="EW13" s="294"/>
      <c r="EX13" s="294"/>
      <c r="EY13" s="294"/>
      <c r="EZ13" s="294"/>
      <c r="FA13" s="294"/>
      <c r="FB13" s="294"/>
      <c r="FC13" s="294"/>
      <c r="FD13" s="294"/>
      <c r="FE13" s="294"/>
      <c r="FF13" s="294"/>
      <c r="FG13" s="294"/>
      <c r="FH13" s="294"/>
      <c r="FI13" s="294"/>
      <c r="FJ13" s="294"/>
      <c r="FK13" s="294"/>
      <c r="FL13" s="294"/>
      <c r="FM13" s="294"/>
      <c r="FN13" s="294"/>
      <c r="FO13" s="294"/>
      <c r="FP13" s="294"/>
      <c r="FQ13" s="294"/>
      <c r="FR13" s="294"/>
      <c r="FS13" s="294"/>
      <c r="FT13" s="294"/>
      <c r="FU13" s="294"/>
      <c r="FV13" s="294"/>
      <c r="FW13" s="294"/>
      <c r="FX13" s="294"/>
      <c r="FY13" s="294"/>
      <c r="FZ13" s="294"/>
      <c r="GA13" s="294"/>
    </row>
    <row r="14" ht="19.5" customHeight="1">
      <c r="A14" s="286"/>
      <c r="B14" s="175" t="s">
        <v>24</v>
      </c>
      <c r="C14" s="287">
        <f t="shared" si="3"/>
        <v>35000</v>
      </c>
      <c r="D14" s="289"/>
      <c r="E14" s="289"/>
      <c r="F14" s="289"/>
      <c r="G14" s="289"/>
      <c r="H14" s="288">
        <v>50000.0</v>
      </c>
      <c r="I14" s="289"/>
      <c r="J14" s="289"/>
      <c r="K14" s="289"/>
      <c r="L14" s="289"/>
      <c r="M14" s="289"/>
      <c r="N14" s="289"/>
      <c r="O14" s="288">
        <v>10000.0</v>
      </c>
      <c r="P14" s="289"/>
      <c r="Q14" s="289"/>
      <c r="R14" s="289"/>
      <c r="S14" s="288">
        <v>20000.0</v>
      </c>
      <c r="T14" s="288">
        <v>10000.0</v>
      </c>
      <c r="U14" s="289"/>
      <c r="V14" s="288">
        <v>10000.0</v>
      </c>
      <c r="W14" s="289"/>
      <c r="X14" s="288">
        <v>25000.0</v>
      </c>
      <c r="Y14" s="288">
        <v>25000.0</v>
      </c>
      <c r="Z14" s="289"/>
      <c r="AA14" s="289"/>
      <c r="AB14" s="288">
        <v>25000.0</v>
      </c>
      <c r="AC14" s="289"/>
      <c r="AD14" s="289"/>
      <c r="AE14" s="288">
        <v>75000.0</v>
      </c>
      <c r="AF14" s="289"/>
      <c r="AG14" s="289"/>
      <c r="AH14" s="288">
        <v>47000.0</v>
      </c>
      <c r="AI14" s="290"/>
      <c r="AJ14" s="291">
        <v>13000.0</v>
      </c>
      <c r="AK14" s="291">
        <v>2000.0</v>
      </c>
      <c r="AL14" s="291">
        <v>15000.0</v>
      </c>
      <c r="AM14" s="290"/>
      <c r="AN14" s="290"/>
      <c r="AO14" s="290"/>
      <c r="AP14" s="290"/>
      <c r="AQ14" s="291"/>
      <c r="AR14" s="291">
        <v>50000.0</v>
      </c>
      <c r="AS14" s="290"/>
      <c r="AT14" s="290"/>
      <c r="AU14" s="290"/>
      <c r="AV14" s="291"/>
      <c r="AW14" s="290"/>
      <c r="AX14" s="291">
        <v>4168.0</v>
      </c>
      <c r="AY14" s="290"/>
      <c r="AZ14" s="290"/>
      <c r="BA14" s="290"/>
      <c r="BB14" s="291">
        <v>2000.0</v>
      </c>
      <c r="BC14" s="291">
        <v>25000.0</v>
      </c>
      <c r="BD14" s="290"/>
      <c r="BE14" s="291">
        <v>25000.0</v>
      </c>
      <c r="BF14" s="290"/>
      <c r="BG14" s="290"/>
      <c r="BH14" s="290"/>
      <c r="BI14" s="291"/>
      <c r="BJ14" s="291">
        <v>30000.0</v>
      </c>
      <c r="BK14" s="290"/>
      <c r="BL14" s="291">
        <v>6250.0</v>
      </c>
      <c r="BM14" s="302"/>
      <c r="BN14" s="293"/>
      <c r="BO14" s="293"/>
      <c r="BP14" s="293"/>
      <c r="BQ14" s="293"/>
      <c r="BR14" s="293"/>
      <c r="BS14" s="293"/>
      <c r="BT14" s="293"/>
      <c r="BU14" s="293"/>
      <c r="BV14" s="293"/>
      <c r="BW14" s="293"/>
      <c r="BX14" s="293"/>
      <c r="BY14" s="303">
        <v>35000.0</v>
      </c>
      <c r="BZ14" s="293"/>
      <c r="CA14" s="293"/>
      <c r="CB14" s="293"/>
      <c r="CC14" s="293"/>
      <c r="CD14" s="293"/>
      <c r="CE14" s="293"/>
      <c r="CF14" s="293"/>
      <c r="CG14" s="293"/>
      <c r="CH14" s="293"/>
      <c r="CI14" s="293"/>
      <c r="CJ14" s="293"/>
      <c r="CK14" s="293"/>
      <c r="CL14" s="293"/>
      <c r="CM14" s="293"/>
      <c r="CN14" s="293"/>
      <c r="CO14" s="293"/>
      <c r="CP14" s="293"/>
      <c r="CQ14" s="293"/>
      <c r="CR14" s="293"/>
      <c r="CS14" s="293"/>
      <c r="CT14" s="293"/>
      <c r="CU14" s="293"/>
      <c r="CV14" s="293"/>
      <c r="CW14" s="293"/>
      <c r="CX14" s="293"/>
      <c r="CY14" s="293"/>
      <c r="CZ14" s="293"/>
      <c r="DA14" s="293"/>
      <c r="DB14" s="293"/>
      <c r="DC14" s="293"/>
      <c r="DD14" s="293"/>
      <c r="DE14" s="293"/>
      <c r="DF14" s="293"/>
      <c r="DG14" s="293"/>
      <c r="DH14" s="293"/>
      <c r="DI14" s="293"/>
      <c r="DJ14" s="293"/>
      <c r="DK14" s="293"/>
      <c r="DL14" s="293"/>
      <c r="DM14" s="293"/>
      <c r="DN14" s="293"/>
      <c r="DO14" s="293"/>
      <c r="DP14" s="293"/>
      <c r="DQ14" s="293"/>
      <c r="DR14" s="293"/>
      <c r="DS14" s="293"/>
      <c r="DT14" s="293"/>
      <c r="DU14" s="294"/>
      <c r="DV14" s="294"/>
      <c r="DW14" s="294"/>
      <c r="DX14" s="294"/>
      <c r="DY14" s="294"/>
      <c r="DZ14" s="294"/>
      <c r="EA14" s="294"/>
      <c r="EB14" s="294"/>
      <c r="EC14" s="294"/>
      <c r="ED14" s="294"/>
      <c r="EE14" s="294"/>
      <c r="EF14" s="294"/>
      <c r="EG14" s="294"/>
      <c r="EH14" s="294"/>
      <c r="EI14" s="294"/>
      <c r="EJ14" s="294"/>
      <c r="EK14" s="294"/>
      <c r="EL14" s="294"/>
      <c r="EM14" s="294"/>
      <c r="EN14" s="294"/>
      <c r="EO14" s="294"/>
      <c r="EP14" s="294"/>
      <c r="EQ14" s="294"/>
      <c r="ER14" s="294"/>
      <c r="ES14" s="294"/>
      <c r="ET14" s="294"/>
      <c r="EU14" s="294"/>
      <c r="EV14" s="294"/>
      <c r="EW14" s="294"/>
      <c r="EX14" s="294"/>
      <c r="EY14" s="294"/>
      <c r="EZ14" s="294"/>
      <c r="FA14" s="294"/>
      <c r="FB14" s="294"/>
      <c r="FC14" s="294"/>
      <c r="FD14" s="294"/>
      <c r="FE14" s="294"/>
      <c r="FF14" s="294"/>
      <c r="FG14" s="294"/>
      <c r="FH14" s="294"/>
      <c r="FI14" s="294"/>
      <c r="FJ14" s="294"/>
      <c r="FK14" s="294"/>
      <c r="FL14" s="294"/>
      <c r="FM14" s="294"/>
      <c r="FN14" s="294"/>
      <c r="FO14" s="294"/>
      <c r="FP14" s="294"/>
      <c r="FQ14" s="294"/>
      <c r="FR14" s="294"/>
      <c r="FS14" s="294"/>
      <c r="FT14" s="294"/>
      <c r="FU14" s="294"/>
      <c r="FV14" s="294"/>
      <c r="FW14" s="294"/>
      <c r="FX14" s="294"/>
      <c r="FY14" s="294"/>
      <c r="FZ14" s="294"/>
      <c r="GA14" s="294"/>
    </row>
    <row r="15" ht="19.5" customHeight="1">
      <c r="A15" s="286"/>
      <c r="B15" s="175" t="s">
        <v>47</v>
      </c>
      <c r="C15" s="287">
        <f t="shared" si="3"/>
        <v>0</v>
      </c>
      <c r="D15" s="295"/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5"/>
      <c r="AC15" s="295"/>
      <c r="AD15" s="295"/>
      <c r="AE15" s="295"/>
      <c r="AF15" s="295"/>
      <c r="AG15" s="295"/>
      <c r="AH15" s="295"/>
      <c r="AI15" s="297"/>
      <c r="AJ15" s="297"/>
      <c r="AK15" s="297"/>
      <c r="AL15" s="297"/>
      <c r="AM15" s="297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7"/>
      <c r="AY15" s="297"/>
      <c r="AZ15" s="297"/>
      <c r="BA15" s="297"/>
      <c r="BB15" s="297"/>
      <c r="BC15" s="297"/>
      <c r="BD15" s="297"/>
      <c r="BE15" s="297"/>
      <c r="BF15" s="297"/>
      <c r="BG15" s="297"/>
      <c r="BH15" s="297"/>
      <c r="BI15" s="297"/>
      <c r="BJ15" s="297"/>
      <c r="BK15" s="297"/>
      <c r="BL15" s="297"/>
      <c r="BM15" s="292"/>
      <c r="BN15" s="299"/>
      <c r="BO15" s="299"/>
      <c r="BP15" s="299"/>
      <c r="BQ15" s="299"/>
      <c r="BR15" s="299"/>
      <c r="BS15" s="299"/>
      <c r="BT15" s="299"/>
      <c r="BU15" s="299"/>
      <c r="BV15" s="299"/>
      <c r="BW15" s="299"/>
      <c r="BX15" s="299"/>
      <c r="BY15" s="299"/>
      <c r="BZ15" s="299"/>
      <c r="CA15" s="299"/>
      <c r="CB15" s="299"/>
      <c r="CC15" s="299"/>
      <c r="CD15" s="299"/>
      <c r="CE15" s="299"/>
      <c r="CF15" s="299"/>
      <c r="CG15" s="299"/>
      <c r="CH15" s="299"/>
      <c r="CI15" s="299"/>
      <c r="CJ15" s="299"/>
      <c r="CK15" s="299"/>
      <c r="CL15" s="299"/>
      <c r="CM15" s="299"/>
      <c r="CN15" s="299"/>
      <c r="CO15" s="299"/>
      <c r="CP15" s="299"/>
      <c r="CQ15" s="299"/>
      <c r="CR15" s="299"/>
      <c r="CS15" s="299"/>
      <c r="CT15" s="299"/>
      <c r="CU15" s="299"/>
      <c r="CV15" s="299"/>
      <c r="CW15" s="299"/>
      <c r="CX15" s="299"/>
      <c r="CY15" s="299"/>
      <c r="CZ15" s="299"/>
      <c r="DA15" s="299"/>
      <c r="DB15" s="299"/>
      <c r="DC15" s="299"/>
      <c r="DD15" s="299"/>
      <c r="DE15" s="299"/>
      <c r="DF15" s="299"/>
      <c r="DG15" s="299"/>
      <c r="DH15" s="299"/>
      <c r="DI15" s="299"/>
      <c r="DJ15" s="299"/>
      <c r="DK15" s="299"/>
      <c r="DL15" s="299"/>
      <c r="DM15" s="299"/>
      <c r="DN15" s="299"/>
      <c r="DO15" s="299"/>
      <c r="DP15" s="299"/>
      <c r="DQ15" s="299"/>
      <c r="DR15" s="299"/>
      <c r="DS15" s="299"/>
      <c r="DT15" s="299"/>
      <c r="DU15" s="300"/>
      <c r="DV15" s="300"/>
      <c r="DW15" s="300"/>
      <c r="DX15" s="300"/>
      <c r="DY15" s="300"/>
      <c r="DZ15" s="300"/>
      <c r="EA15" s="300"/>
      <c r="EB15" s="300"/>
      <c r="EC15" s="300"/>
      <c r="ED15" s="300"/>
      <c r="EE15" s="300"/>
      <c r="EF15" s="300"/>
      <c r="EG15" s="300"/>
      <c r="EH15" s="300"/>
      <c r="EI15" s="300"/>
      <c r="EJ15" s="300"/>
      <c r="EK15" s="300"/>
      <c r="EL15" s="300"/>
      <c r="EM15" s="300"/>
      <c r="EN15" s="300"/>
      <c r="EO15" s="300"/>
      <c r="EP15" s="300"/>
      <c r="EQ15" s="300"/>
      <c r="ER15" s="300"/>
      <c r="ES15" s="300"/>
      <c r="ET15" s="300"/>
      <c r="EU15" s="300"/>
      <c r="EV15" s="300"/>
      <c r="EW15" s="300"/>
      <c r="EX15" s="300"/>
      <c r="EY15" s="300"/>
      <c r="EZ15" s="300"/>
      <c r="FA15" s="300"/>
      <c r="FB15" s="300"/>
      <c r="FC15" s="300"/>
      <c r="FD15" s="300"/>
      <c r="FE15" s="300"/>
      <c r="FF15" s="300"/>
      <c r="FG15" s="300"/>
      <c r="FH15" s="300"/>
      <c r="FI15" s="300"/>
      <c r="FJ15" s="300"/>
      <c r="FK15" s="300"/>
      <c r="FL15" s="300"/>
      <c r="FM15" s="300"/>
      <c r="FN15" s="300"/>
      <c r="FO15" s="300"/>
      <c r="FP15" s="300"/>
      <c r="FQ15" s="300"/>
      <c r="FR15" s="300"/>
      <c r="FS15" s="300"/>
      <c r="FT15" s="300"/>
      <c r="FU15" s="300"/>
      <c r="FV15" s="300"/>
      <c r="FW15" s="300"/>
      <c r="FX15" s="300"/>
      <c r="FY15" s="300"/>
      <c r="FZ15" s="300"/>
      <c r="GA15" s="300"/>
    </row>
    <row r="16" ht="19.5" customHeight="1">
      <c r="A16" s="286"/>
      <c r="B16" s="225" t="s">
        <v>48</v>
      </c>
      <c r="C16" s="287">
        <f t="shared" si="3"/>
        <v>0</v>
      </c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295"/>
      <c r="AF16" s="295"/>
      <c r="AG16" s="295"/>
      <c r="AH16" s="295"/>
      <c r="AI16" s="297"/>
      <c r="AJ16" s="297"/>
      <c r="AK16" s="297"/>
      <c r="AL16" s="297"/>
      <c r="AM16" s="297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7"/>
      <c r="AY16" s="297"/>
      <c r="AZ16" s="297"/>
      <c r="BA16" s="297"/>
      <c r="BB16" s="297"/>
      <c r="BC16" s="297"/>
      <c r="BD16" s="297"/>
      <c r="BE16" s="297"/>
      <c r="BF16" s="297"/>
      <c r="BG16" s="297"/>
      <c r="BH16" s="297"/>
      <c r="BI16" s="297"/>
      <c r="BJ16" s="297"/>
      <c r="BK16" s="297"/>
      <c r="BL16" s="297"/>
      <c r="BM16" s="292"/>
      <c r="BN16" s="299"/>
      <c r="BO16" s="299"/>
      <c r="BP16" s="299"/>
      <c r="BQ16" s="299"/>
      <c r="BR16" s="299"/>
      <c r="BS16" s="299"/>
      <c r="BT16" s="299"/>
      <c r="BU16" s="299"/>
      <c r="BV16" s="299"/>
      <c r="BW16" s="299"/>
      <c r="BX16" s="299"/>
      <c r="BY16" s="299"/>
      <c r="BZ16" s="299"/>
      <c r="CA16" s="299"/>
      <c r="CB16" s="299"/>
      <c r="CC16" s="299"/>
      <c r="CD16" s="299"/>
      <c r="CE16" s="299"/>
      <c r="CF16" s="299"/>
      <c r="CG16" s="299"/>
      <c r="CH16" s="299"/>
      <c r="CI16" s="299"/>
      <c r="CJ16" s="299"/>
      <c r="CK16" s="299"/>
      <c r="CL16" s="299"/>
      <c r="CM16" s="299"/>
      <c r="CN16" s="299"/>
      <c r="CO16" s="299"/>
      <c r="CP16" s="299"/>
      <c r="CQ16" s="299"/>
      <c r="CR16" s="299"/>
      <c r="CS16" s="299"/>
      <c r="CT16" s="299"/>
      <c r="CU16" s="299"/>
      <c r="CV16" s="299"/>
      <c r="CW16" s="299"/>
      <c r="CX16" s="299"/>
      <c r="CY16" s="299"/>
      <c r="CZ16" s="299"/>
      <c r="DA16" s="299"/>
      <c r="DB16" s="299"/>
      <c r="DC16" s="299"/>
      <c r="DD16" s="299"/>
      <c r="DE16" s="299"/>
      <c r="DF16" s="299"/>
      <c r="DG16" s="299"/>
      <c r="DH16" s="299"/>
      <c r="DI16" s="299"/>
      <c r="DJ16" s="299"/>
      <c r="DK16" s="299"/>
      <c r="DL16" s="299"/>
      <c r="DM16" s="299"/>
      <c r="DN16" s="299"/>
      <c r="DO16" s="299"/>
      <c r="DP16" s="299"/>
      <c r="DQ16" s="299"/>
      <c r="DR16" s="299"/>
      <c r="DS16" s="299"/>
      <c r="DT16" s="299"/>
      <c r="DU16" s="300"/>
      <c r="DV16" s="300"/>
      <c r="DW16" s="300"/>
      <c r="DX16" s="306"/>
      <c r="DY16" s="306"/>
      <c r="DZ16" s="306"/>
      <c r="EA16" s="306"/>
      <c r="EB16" s="306"/>
      <c r="EC16" s="306"/>
      <c r="ED16" s="306"/>
      <c r="EE16" s="306"/>
      <c r="EF16" s="306"/>
      <c r="EG16" s="306"/>
      <c r="EH16" s="306"/>
      <c r="EI16" s="306"/>
      <c r="EJ16" s="306"/>
      <c r="EK16" s="306"/>
      <c r="EL16" s="306"/>
      <c r="EM16" s="306"/>
      <c r="EN16" s="306"/>
      <c r="EO16" s="306"/>
      <c r="EP16" s="306"/>
      <c r="EQ16" s="306"/>
      <c r="ER16" s="306"/>
      <c r="ES16" s="306"/>
      <c r="ET16" s="306"/>
      <c r="EU16" s="306"/>
      <c r="EV16" s="306"/>
      <c r="EW16" s="306"/>
      <c r="EX16" s="306"/>
      <c r="EY16" s="306"/>
      <c r="EZ16" s="306"/>
      <c r="FA16" s="306"/>
      <c r="FB16" s="306"/>
      <c r="FC16" s="306"/>
      <c r="FD16" s="306"/>
      <c r="FE16" s="306"/>
      <c r="FF16" s="306"/>
      <c r="FG16" s="306"/>
      <c r="FH16" s="306"/>
      <c r="FI16" s="306"/>
      <c r="FJ16" s="306"/>
      <c r="FK16" s="306"/>
      <c r="FL16" s="306"/>
      <c r="FM16" s="306"/>
      <c r="FN16" s="306"/>
      <c r="FO16" s="306"/>
      <c r="FP16" s="306"/>
      <c r="FQ16" s="306"/>
      <c r="FR16" s="306"/>
      <c r="FS16" s="306"/>
      <c r="FT16" s="306"/>
      <c r="FU16" s="306"/>
      <c r="FV16" s="306"/>
      <c r="FW16" s="306"/>
      <c r="FX16" s="306"/>
      <c r="FY16" s="306"/>
      <c r="FZ16" s="306"/>
      <c r="GA16" s="306"/>
    </row>
    <row r="17" ht="30.0" customHeight="1" outlineLevel="1">
      <c r="A17" s="307"/>
      <c r="B17" s="308" t="s">
        <v>83</v>
      </c>
      <c r="C17" s="309">
        <f t="shared" ref="C17:C18" si="4">sum(D17:FZ17)</f>
        <v>11541000</v>
      </c>
      <c r="D17" s="310">
        <v>4250000.0</v>
      </c>
      <c r="E17" s="310">
        <v>3000000.0</v>
      </c>
      <c r="F17" s="310">
        <v>250000.0</v>
      </c>
      <c r="G17" s="310"/>
      <c r="H17" s="310"/>
      <c r="I17" s="311"/>
      <c r="J17" s="310">
        <v>875000.0</v>
      </c>
      <c r="K17" s="310"/>
      <c r="L17" s="311"/>
      <c r="M17" s="310">
        <v>500000.0</v>
      </c>
      <c r="N17" s="311"/>
      <c r="O17" s="311"/>
      <c r="P17" s="311"/>
      <c r="Q17" s="311"/>
      <c r="R17" s="310"/>
      <c r="S17" s="311"/>
      <c r="T17" s="311"/>
      <c r="U17" s="311"/>
      <c r="V17" s="310">
        <v>255000.0</v>
      </c>
      <c r="W17" s="311"/>
      <c r="X17" s="310"/>
      <c r="Y17" s="311"/>
      <c r="Z17" s="311"/>
      <c r="AA17" s="311"/>
      <c r="AB17" s="311"/>
      <c r="AC17" s="311"/>
      <c r="AD17" s="311"/>
      <c r="AE17" s="311"/>
      <c r="AF17" s="311"/>
      <c r="AG17" s="311"/>
      <c r="AH17" s="311"/>
      <c r="AI17" s="310">
        <v>50000.0</v>
      </c>
      <c r="AJ17" s="310">
        <v>500000.0</v>
      </c>
      <c r="AK17" s="311"/>
      <c r="AL17" s="311"/>
      <c r="AM17" s="310">
        <v>500000.0</v>
      </c>
      <c r="AN17" s="311"/>
      <c r="AO17" s="310">
        <v>45000.0</v>
      </c>
      <c r="AP17" s="311"/>
      <c r="AQ17" s="311"/>
      <c r="AR17" s="310"/>
      <c r="AS17" s="311"/>
      <c r="AT17" s="311"/>
      <c r="AU17" s="310"/>
      <c r="AV17" s="311"/>
      <c r="AW17" s="310">
        <v>500000.0</v>
      </c>
      <c r="AX17" s="311"/>
      <c r="AY17" s="311"/>
      <c r="AZ17" s="311"/>
      <c r="BA17" s="311"/>
      <c r="BB17" s="310">
        <v>15000.0</v>
      </c>
      <c r="BC17" s="310"/>
      <c r="BD17" s="311"/>
      <c r="BE17" s="311"/>
      <c r="BF17" s="311"/>
      <c r="BG17" s="311"/>
      <c r="BH17" s="311"/>
      <c r="BI17" s="310">
        <v>270000.0</v>
      </c>
      <c r="BJ17" s="311"/>
      <c r="BK17" s="312">
        <v>50000.0</v>
      </c>
      <c r="BL17" s="313"/>
      <c r="BM17" s="314"/>
      <c r="BN17" s="312">
        <v>126000.0</v>
      </c>
      <c r="BO17" s="313"/>
      <c r="BP17" s="312">
        <v>330000.0</v>
      </c>
      <c r="BQ17" s="313"/>
      <c r="BR17" s="312">
        <v>25000.0</v>
      </c>
      <c r="BS17" s="313"/>
      <c r="BT17" s="313"/>
      <c r="BU17" s="313"/>
      <c r="BV17" s="313"/>
      <c r="BW17" s="313"/>
      <c r="BX17" s="313"/>
      <c r="BY17" s="313"/>
      <c r="BZ17" s="313"/>
      <c r="CA17" s="313"/>
      <c r="CB17" s="313"/>
      <c r="CC17" s="313"/>
      <c r="CD17" s="313"/>
      <c r="CE17" s="313"/>
      <c r="CF17" s="313"/>
      <c r="CG17" s="313"/>
      <c r="CH17" s="313"/>
      <c r="CI17" s="313"/>
      <c r="CJ17" s="313"/>
      <c r="CK17" s="313"/>
      <c r="CL17" s="313"/>
      <c r="CM17" s="313"/>
      <c r="CN17" s="313"/>
      <c r="CO17" s="313"/>
      <c r="CP17" s="313"/>
      <c r="CQ17" s="313"/>
      <c r="CR17" s="313"/>
      <c r="CS17" s="313"/>
      <c r="CT17" s="313"/>
      <c r="CU17" s="313"/>
      <c r="CV17" s="313"/>
      <c r="CW17" s="313"/>
      <c r="CX17" s="313"/>
      <c r="CY17" s="313"/>
      <c r="CZ17" s="313"/>
      <c r="DA17" s="313"/>
      <c r="DB17" s="313"/>
      <c r="DC17" s="313"/>
      <c r="DD17" s="313"/>
      <c r="DE17" s="313"/>
      <c r="DF17" s="313"/>
      <c r="DG17" s="313"/>
      <c r="DH17" s="313"/>
      <c r="DI17" s="313"/>
      <c r="DJ17" s="313"/>
      <c r="DK17" s="313"/>
      <c r="DL17" s="313"/>
      <c r="DM17" s="313"/>
      <c r="DN17" s="313"/>
      <c r="DO17" s="313"/>
      <c r="DP17" s="313"/>
      <c r="DQ17" s="313"/>
      <c r="DR17" s="313"/>
      <c r="DS17" s="313"/>
      <c r="DT17" s="313"/>
      <c r="DU17" s="313"/>
      <c r="DV17" s="313"/>
      <c r="DW17" s="313"/>
      <c r="DX17" s="315"/>
      <c r="DY17" s="315"/>
      <c r="DZ17" s="315"/>
      <c r="EA17" s="315"/>
      <c r="EB17" s="315"/>
      <c r="EC17" s="315"/>
      <c r="ED17" s="315"/>
      <c r="EE17" s="315"/>
      <c r="EF17" s="315"/>
      <c r="EG17" s="315"/>
      <c r="EH17" s="315"/>
      <c r="EI17" s="315"/>
      <c r="EJ17" s="315"/>
      <c r="EK17" s="315"/>
      <c r="EL17" s="315"/>
      <c r="EM17" s="315"/>
      <c r="EN17" s="315"/>
      <c r="EO17" s="315"/>
      <c r="EP17" s="315"/>
      <c r="EQ17" s="315"/>
      <c r="ER17" s="315"/>
      <c r="ES17" s="315"/>
      <c r="ET17" s="315"/>
      <c r="EU17" s="315"/>
      <c r="EV17" s="315"/>
      <c r="EW17" s="315"/>
      <c r="EX17" s="315"/>
      <c r="EY17" s="315"/>
      <c r="EZ17" s="315"/>
      <c r="FA17" s="315"/>
      <c r="FB17" s="315"/>
      <c r="FC17" s="315"/>
      <c r="FD17" s="315"/>
      <c r="FE17" s="315"/>
      <c r="FF17" s="315"/>
      <c r="FG17" s="315"/>
      <c r="FH17" s="315"/>
      <c r="FI17" s="315"/>
      <c r="FJ17" s="315"/>
      <c r="FK17" s="315"/>
      <c r="FL17" s="315"/>
      <c r="FM17" s="315"/>
      <c r="FN17" s="315"/>
      <c r="FO17" s="315"/>
      <c r="FP17" s="315"/>
      <c r="FQ17" s="315"/>
      <c r="FR17" s="315"/>
      <c r="FS17" s="315"/>
      <c r="FT17" s="315"/>
      <c r="FU17" s="315"/>
      <c r="FV17" s="315"/>
      <c r="FW17" s="315"/>
      <c r="FX17" s="315"/>
      <c r="FY17" s="315"/>
      <c r="FZ17" s="315"/>
      <c r="GA17" s="315"/>
    </row>
    <row r="18" ht="30.0" customHeight="1" outlineLevel="1">
      <c r="A18" s="307"/>
      <c r="B18" s="316" t="s">
        <v>84</v>
      </c>
      <c r="C18" s="317">
        <f t="shared" si="4"/>
        <v>43356500</v>
      </c>
      <c r="D18" s="310">
        <v>5000000.0</v>
      </c>
      <c r="E18" s="310">
        <v>5000000.0</v>
      </c>
      <c r="F18" s="310">
        <v>1090000.0</v>
      </c>
      <c r="G18" s="310">
        <v>1.2675E7</v>
      </c>
      <c r="H18" s="310">
        <v>1000000.0</v>
      </c>
      <c r="I18" s="310">
        <v>1000000.0</v>
      </c>
      <c r="J18" s="310"/>
      <c r="K18" s="311"/>
      <c r="L18" s="311"/>
      <c r="M18" s="310"/>
      <c r="N18" s="311"/>
      <c r="O18" s="311"/>
      <c r="P18" s="311"/>
      <c r="Q18" s="311"/>
      <c r="R18" s="310"/>
      <c r="S18" s="311"/>
      <c r="T18" s="310">
        <v>325000.0</v>
      </c>
      <c r="U18" s="310">
        <v>595000.0</v>
      </c>
      <c r="V18" s="310">
        <v>485000.0</v>
      </c>
      <c r="W18" s="311"/>
      <c r="X18" s="310"/>
      <c r="Y18" s="311"/>
      <c r="Z18" s="311"/>
      <c r="AA18" s="311"/>
      <c r="AB18" s="311"/>
      <c r="AC18" s="311"/>
      <c r="AD18" s="311"/>
      <c r="AE18" s="311"/>
      <c r="AF18" s="311"/>
      <c r="AG18" s="311"/>
      <c r="AH18" s="311"/>
      <c r="AI18" s="311"/>
      <c r="AJ18" s="310">
        <v>292000.0</v>
      </c>
      <c r="AK18" s="310">
        <v>128000.0</v>
      </c>
      <c r="AL18" s="311"/>
      <c r="AM18" s="311"/>
      <c r="AN18" s="311"/>
      <c r="AO18" s="311"/>
      <c r="AP18" s="311"/>
      <c r="AQ18" s="311"/>
      <c r="AR18" s="311"/>
      <c r="AS18" s="311"/>
      <c r="AT18" s="311"/>
      <c r="AU18" s="310"/>
      <c r="AV18" s="311"/>
      <c r="AW18" s="311"/>
      <c r="AX18" s="311"/>
      <c r="AY18" s="310">
        <v>1375000.0</v>
      </c>
      <c r="AZ18" s="311"/>
      <c r="BA18" s="310">
        <v>25000.0</v>
      </c>
      <c r="BB18" s="310">
        <v>750000.0</v>
      </c>
      <c r="BC18" s="311"/>
      <c r="BD18" s="311"/>
      <c r="BE18" s="311"/>
      <c r="BF18" s="311"/>
      <c r="BG18" s="311"/>
      <c r="BH18" s="311"/>
      <c r="BI18" s="310">
        <v>430000.0</v>
      </c>
      <c r="BJ18" s="310">
        <v>355000.0</v>
      </c>
      <c r="BK18" s="310">
        <v>2500000.0</v>
      </c>
      <c r="BL18" s="310">
        <v>6019000.0</v>
      </c>
      <c r="BM18" s="318"/>
      <c r="BN18" s="310">
        <v>850000.0</v>
      </c>
      <c r="BO18" s="310">
        <v>493500.0</v>
      </c>
      <c r="BP18" s="310">
        <v>200000.0</v>
      </c>
      <c r="BQ18" s="310">
        <v>100000.0</v>
      </c>
      <c r="BR18" s="311"/>
      <c r="BS18" s="311"/>
      <c r="BT18" s="310">
        <v>1831000.0</v>
      </c>
      <c r="BU18" s="310">
        <v>40000.0</v>
      </c>
      <c r="BV18" s="310">
        <v>123000.0</v>
      </c>
      <c r="BW18" s="310">
        <v>550000.0</v>
      </c>
      <c r="BX18" s="310">
        <v>125000.0</v>
      </c>
      <c r="BY18" s="311"/>
      <c r="BZ18" s="311"/>
      <c r="CA18" s="311"/>
      <c r="CB18" s="311"/>
      <c r="CC18" s="311"/>
      <c r="CD18" s="311"/>
      <c r="CE18" s="311"/>
      <c r="CF18" s="311"/>
      <c r="CG18" s="311"/>
      <c r="CH18" s="311"/>
      <c r="CI18" s="311"/>
      <c r="CJ18" s="311"/>
      <c r="CK18" s="311"/>
      <c r="CL18" s="311"/>
      <c r="CM18" s="311"/>
      <c r="CN18" s="311"/>
      <c r="CO18" s="311"/>
      <c r="CP18" s="311"/>
      <c r="CQ18" s="311"/>
      <c r="CR18" s="311"/>
      <c r="CS18" s="311"/>
      <c r="CT18" s="311"/>
      <c r="CU18" s="311"/>
      <c r="CV18" s="311"/>
      <c r="CW18" s="311"/>
      <c r="CX18" s="311"/>
      <c r="CY18" s="311"/>
      <c r="CZ18" s="311"/>
      <c r="DA18" s="311"/>
      <c r="DB18" s="311"/>
      <c r="DC18" s="311"/>
      <c r="DD18" s="311"/>
      <c r="DE18" s="311"/>
      <c r="DF18" s="311"/>
      <c r="DG18" s="311"/>
      <c r="DH18" s="311"/>
      <c r="DI18" s="311"/>
      <c r="DJ18" s="311"/>
      <c r="DK18" s="311"/>
      <c r="DL18" s="311"/>
      <c r="DM18" s="311"/>
      <c r="DN18" s="311"/>
      <c r="DO18" s="311"/>
      <c r="DP18" s="311"/>
      <c r="DQ18" s="311"/>
      <c r="DR18" s="313"/>
      <c r="DS18" s="313"/>
      <c r="DT18" s="313"/>
      <c r="DU18" s="313"/>
      <c r="DV18" s="313"/>
      <c r="DW18" s="313"/>
      <c r="DX18" s="313"/>
      <c r="DY18" s="313"/>
      <c r="DZ18" s="313"/>
      <c r="EA18" s="313"/>
      <c r="EB18" s="313"/>
      <c r="EC18" s="313"/>
      <c r="ED18" s="313"/>
      <c r="EE18" s="313"/>
      <c r="EF18" s="313"/>
      <c r="EG18" s="313"/>
      <c r="EH18" s="313"/>
      <c r="EI18" s="313"/>
      <c r="EJ18" s="313"/>
      <c r="EK18" s="313"/>
      <c r="EL18" s="313"/>
      <c r="EM18" s="313"/>
      <c r="EN18" s="313"/>
      <c r="EO18" s="313"/>
      <c r="EP18" s="313"/>
      <c r="EQ18" s="313"/>
      <c r="ER18" s="313"/>
      <c r="ES18" s="313"/>
      <c r="ET18" s="313"/>
      <c r="EU18" s="313"/>
      <c r="EV18" s="313"/>
      <c r="EW18" s="313"/>
      <c r="EX18" s="313"/>
      <c r="EY18" s="313"/>
      <c r="EZ18" s="313"/>
      <c r="FA18" s="313"/>
      <c r="FB18" s="313"/>
      <c r="FC18" s="313"/>
      <c r="FD18" s="313"/>
      <c r="FE18" s="313"/>
      <c r="FF18" s="313"/>
      <c r="FG18" s="313"/>
      <c r="FH18" s="313"/>
      <c r="FI18" s="313"/>
      <c r="FJ18" s="313"/>
      <c r="FK18" s="313"/>
      <c r="FL18" s="313"/>
      <c r="FM18" s="313"/>
      <c r="FN18" s="313"/>
      <c r="FO18" s="313"/>
      <c r="FP18" s="313"/>
      <c r="FQ18" s="313"/>
      <c r="FR18" s="313"/>
      <c r="FS18" s="313"/>
      <c r="FT18" s="313"/>
      <c r="FU18" s="313"/>
      <c r="FV18" s="313"/>
      <c r="FW18" s="313"/>
      <c r="FX18" s="313"/>
      <c r="FY18" s="313"/>
      <c r="FZ18" s="313"/>
      <c r="GA18" s="313"/>
    </row>
  </sheetData>
  <conditionalFormatting sqref="Y12">
    <cfRule type="notContainsBlanks" dxfId="13" priority="1">
      <formula>LEN(TRIM(Y12))&gt;0</formula>
    </cfRule>
  </conditionalFormatting>
  <conditionalFormatting sqref="A17:GA17">
    <cfRule type="notContainsBlanks" dxfId="14" priority="2">
      <formula>LEN(TRIM(A17))&gt;0</formula>
    </cfRule>
  </conditionalFormatting>
  <conditionalFormatting sqref="A18:GA18">
    <cfRule type="notContainsBlanks" dxfId="15" priority="3">
      <formula>LEN(TRIM(A18))&gt;0</formula>
    </cfRule>
  </conditionalFormatting>
  <drawing r:id="rId4"/>
  <legacyDrawing r:id="rId5"/>
  <tableParts count="1"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1.22" defaultRowHeight="15.75" outlineLevelRow="1"/>
  <cols>
    <col customWidth="1" min="1" max="1" width="1.89"/>
    <col customWidth="1" min="2" max="2" width="11.22"/>
    <col customWidth="1" min="3" max="3" width="12.33"/>
    <col customWidth="1" hidden="1" min="4" max="64" width="10.11"/>
    <col customWidth="1" min="65" max="183" width="10.11"/>
  </cols>
  <sheetData>
    <row r="1" ht="35.25" customHeight="1">
      <c r="A1" s="319" t="s">
        <v>85</v>
      </c>
      <c r="B1" s="263"/>
      <c r="C1" s="264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5"/>
      <c r="AP1" s="265"/>
      <c r="AQ1" s="265"/>
      <c r="AR1" s="265"/>
      <c r="AS1" s="265"/>
      <c r="AT1" s="265"/>
      <c r="AU1" s="265"/>
      <c r="AV1" s="265"/>
      <c r="AW1" s="265"/>
      <c r="AX1" s="265"/>
      <c r="AY1" s="265"/>
      <c r="AZ1" s="265"/>
      <c r="BA1" s="265"/>
      <c r="BB1" s="265"/>
      <c r="BC1" s="265"/>
      <c r="BD1" s="265"/>
      <c r="BE1" s="265"/>
      <c r="BF1" s="265"/>
      <c r="BG1" s="265"/>
      <c r="BH1" s="265"/>
      <c r="BI1" s="265"/>
      <c r="BJ1" s="265"/>
      <c r="BK1" s="265"/>
      <c r="BL1" s="265"/>
      <c r="BM1" s="265"/>
      <c r="BN1" s="265"/>
      <c r="BO1" s="265"/>
      <c r="BP1" s="265"/>
      <c r="BQ1" s="265"/>
      <c r="BR1" s="265"/>
      <c r="BS1" s="265"/>
      <c r="BT1" s="265"/>
      <c r="BU1" s="265"/>
      <c r="BV1" s="265"/>
      <c r="BW1" s="265"/>
      <c r="BX1" s="265"/>
      <c r="BY1" s="265"/>
      <c r="BZ1" s="265"/>
      <c r="CA1" s="265"/>
      <c r="CB1" s="265"/>
      <c r="CC1" s="265"/>
      <c r="CD1" s="265"/>
      <c r="CE1" s="265"/>
      <c r="CF1" s="265"/>
      <c r="CG1" s="265"/>
      <c r="CH1" s="265"/>
      <c r="CI1" s="265"/>
      <c r="CJ1" s="265"/>
      <c r="CK1" s="265"/>
      <c r="CL1" s="265"/>
      <c r="CM1" s="265"/>
      <c r="CN1" s="265"/>
      <c r="CO1" s="265"/>
      <c r="CP1" s="265"/>
      <c r="CQ1" s="265"/>
      <c r="CR1" s="265"/>
      <c r="CS1" s="265"/>
      <c r="CT1" s="265"/>
      <c r="CU1" s="265"/>
      <c r="CV1" s="265"/>
      <c r="CW1" s="265"/>
      <c r="CX1" s="265"/>
      <c r="CY1" s="265"/>
      <c r="CZ1" s="265"/>
      <c r="DA1" s="265"/>
      <c r="DB1" s="265"/>
      <c r="DC1" s="265"/>
      <c r="DD1" s="265"/>
      <c r="DE1" s="265"/>
      <c r="DF1" s="265"/>
      <c r="DG1" s="265"/>
      <c r="DH1" s="265"/>
      <c r="DI1" s="265"/>
      <c r="DJ1" s="265"/>
      <c r="DK1" s="265"/>
      <c r="DL1" s="265"/>
      <c r="DM1" s="265"/>
      <c r="DN1" s="265"/>
      <c r="DO1" s="265"/>
      <c r="DP1" s="265"/>
      <c r="DQ1" s="265"/>
      <c r="DR1" s="265"/>
      <c r="DS1" s="265"/>
      <c r="DT1" s="265"/>
      <c r="DU1" s="265"/>
      <c r="DV1" s="265"/>
      <c r="DW1" s="265"/>
      <c r="DX1" s="265"/>
      <c r="DY1" s="265"/>
      <c r="DZ1" s="265"/>
      <c r="EA1" s="265"/>
      <c r="EB1" s="265"/>
      <c r="EC1" s="265"/>
      <c r="ED1" s="265"/>
      <c r="EE1" s="265"/>
      <c r="EF1" s="265"/>
      <c r="EG1" s="265"/>
      <c r="EH1" s="265"/>
      <c r="EI1" s="265"/>
      <c r="EJ1" s="265"/>
      <c r="EK1" s="265"/>
      <c r="EL1" s="265"/>
      <c r="EM1" s="265"/>
      <c r="EN1" s="265"/>
      <c r="EO1" s="265"/>
      <c r="EP1" s="265"/>
      <c r="EQ1" s="265"/>
      <c r="ER1" s="265"/>
      <c r="ES1" s="265"/>
      <c r="ET1" s="265"/>
      <c r="EU1" s="265"/>
      <c r="EV1" s="265"/>
      <c r="EW1" s="265"/>
      <c r="EX1" s="265"/>
      <c r="EY1" s="265"/>
      <c r="EZ1" s="265"/>
      <c r="FA1" s="265"/>
      <c r="FB1" s="265"/>
      <c r="FC1" s="265"/>
      <c r="FD1" s="265"/>
      <c r="FE1" s="265"/>
      <c r="FF1" s="265"/>
      <c r="FG1" s="265"/>
      <c r="FH1" s="265"/>
      <c r="FI1" s="265"/>
      <c r="FJ1" s="265"/>
      <c r="FK1" s="265"/>
      <c r="FL1" s="265"/>
      <c r="FM1" s="265"/>
      <c r="FN1" s="265"/>
      <c r="FO1" s="265"/>
      <c r="FP1" s="265"/>
      <c r="FQ1" s="265"/>
      <c r="FR1" s="265"/>
      <c r="FS1" s="265"/>
      <c r="FT1" s="265"/>
      <c r="FU1" s="265"/>
      <c r="FV1" s="265"/>
      <c r="FW1" s="265"/>
      <c r="FX1" s="265"/>
      <c r="FY1" s="265"/>
      <c r="FZ1" s="265"/>
      <c r="GA1" s="265"/>
    </row>
    <row r="2" ht="26.25" customHeight="1">
      <c r="A2" s="266"/>
      <c r="B2" s="267"/>
      <c r="C2" s="268"/>
      <c r="D2" s="269">
        <v>45778.0</v>
      </c>
      <c r="E2" s="269">
        <v>45779.0</v>
      </c>
      <c r="F2" s="269">
        <v>45780.0</v>
      </c>
      <c r="G2" s="269">
        <v>45781.0</v>
      </c>
      <c r="H2" s="269">
        <v>45782.0</v>
      </c>
      <c r="I2" s="269">
        <v>45783.0</v>
      </c>
      <c r="J2" s="269">
        <v>45784.0</v>
      </c>
      <c r="K2" s="269">
        <v>45785.0</v>
      </c>
      <c r="L2" s="269">
        <v>45786.0</v>
      </c>
      <c r="M2" s="269">
        <v>45787.0</v>
      </c>
      <c r="N2" s="269">
        <v>45788.0</v>
      </c>
      <c r="O2" s="269">
        <v>45789.0</v>
      </c>
      <c r="P2" s="269">
        <v>45790.0</v>
      </c>
      <c r="Q2" s="269">
        <v>45791.0</v>
      </c>
      <c r="R2" s="269">
        <v>45792.0</v>
      </c>
      <c r="S2" s="269">
        <v>45793.0</v>
      </c>
      <c r="T2" s="269">
        <v>45794.0</v>
      </c>
      <c r="U2" s="269">
        <v>45795.0</v>
      </c>
      <c r="V2" s="269">
        <v>45796.0</v>
      </c>
      <c r="W2" s="269">
        <v>45797.0</v>
      </c>
      <c r="X2" s="269">
        <v>45798.0</v>
      </c>
      <c r="Y2" s="269">
        <v>45799.0</v>
      </c>
      <c r="Z2" s="269">
        <v>45800.0</v>
      </c>
      <c r="AA2" s="269">
        <v>45801.0</v>
      </c>
      <c r="AB2" s="269">
        <v>45802.0</v>
      </c>
      <c r="AC2" s="269">
        <v>45803.0</v>
      </c>
      <c r="AD2" s="269">
        <v>45804.0</v>
      </c>
      <c r="AE2" s="269">
        <v>45805.0</v>
      </c>
      <c r="AF2" s="269">
        <v>45806.0</v>
      </c>
      <c r="AG2" s="269">
        <v>45807.0</v>
      </c>
      <c r="AH2" s="269">
        <v>45808.0</v>
      </c>
      <c r="AI2" s="269">
        <v>45809.0</v>
      </c>
      <c r="AJ2" s="269">
        <v>45810.0</v>
      </c>
      <c r="AK2" s="269">
        <v>45811.0</v>
      </c>
      <c r="AL2" s="269">
        <v>45812.0</v>
      </c>
      <c r="AM2" s="269">
        <v>45813.0</v>
      </c>
      <c r="AN2" s="269">
        <v>45814.0</v>
      </c>
      <c r="AO2" s="269">
        <v>45815.0</v>
      </c>
      <c r="AP2" s="269">
        <v>45816.0</v>
      </c>
      <c r="AQ2" s="269">
        <v>45817.0</v>
      </c>
      <c r="AR2" s="269">
        <v>45818.0</v>
      </c>
      <c r="AS2" s="269">
        <v>45819.0</v>
      </c>
      <c r="AT2" s="269">
        <v>45820.0</v>
      </c>
      <c r="AU2" s="269">
        <v>45821.0</v>
      </c>
      <c r="AV2" s="269">
        <v>45822.0</v>
      </c>
      <c r="AW2" s="269">
        <v>45823.0</v>
      </c>
      <c r="AX2" s="269">
        <v>45824.0</v>
      </c>
      <c r="AY2" s="269">
        <v>45825.0</v>
      </c>
      <c r="AZ2" s="269">
        <v>45826.0</v>
      </c>
      <c r="BA2" s="269">
        <v>45827.0</v>
      </c>
      <c r="BB2" s="269">
        <v>45828.0</v>
      </c>
      <c r="BC2" s="269">
        <v>45829.0</v>
      </c>
      <c r="BD2" s="269">
        <v>45830.0</v>
      </c>
      <c r="BE2" s="269">
        <v>45831.0</v>
      </c>
      <c r="BF2" s="269">
        <v>45832.0</v>
      </c>
      <c r="BG2" s="269">
        <v>45833.0</v>
      </c>
      <c r="BH2" s="269">
        <v>45834.0</v>
      </c>
      <c r="BI2" s="269">
        <v>45835.0</v>
      </c>
      <c r="BJ2" s="269">
        <v>45836.0</v>
      </c>
      <c r="BK2" s="269">
        <v>45837.0</v>
      </c>
      <c r="BL2" s="269">
        <v>45838.0</v>
      </c>
      <c r="BM2" s="270" t="s">
        <v>78</v>
      </c>
      <c r="BN2" s="269">
        <v>45839.0</v>
      </c>
      <c r="BO2" s="269">
        <v>45840.0</v>
      </c>
      <c r="BP2" s="269">
        <v>45841.0</v>
      </c>
      <c r="BQ2" s="269">
        <v>45842.0</v>
      </c>
      <c r="BR2" s="269">
        <v>45843.0</v>
      </c>
      <c r="BS2" s="269">
        <v>45844.0</v>
      </c>
      <c r="BT2" s="269">
        <v>45845.0</v>
      </c>
      <c r="BU2" s="269">
        <v>45846.0</v>
      </c>
      <c r="BV2" s="269">
        <v>45847.0</v>
      </c>
      <c r="BW2" s="269">
        <v>45848.0</v>
      </c>
      <c r="BX2" s="269">
        <v>45849.0</v>
      </c>
      <c r="BY2" s="269">
        <v>45850.0</v>
      </c>
      <c r="BZ2" s="269">
        <v>45851.0</v>
      </c>
      <c r="CA2" s="269">
        <v>45852.0</v>
      </c>
      <c r="CB2" s="269">
        <v>45853.0</v>
      </c>
      <c r="CC2" s="269">
        <v>45854.0</v>
      </c>
      <c r="CD2" s="269">
        <v>45855.0</v>
      </c>
      <c r="CE2" s="269">
        <v>45856.0</v>
      </c>
      <c r="CF2" s="269">
        <v>45857.0</v>
      </c>
      <c r="CG2" s="269">
        <v>45858.0</v>
      </c>
      <c r="CH2" s="269">
        <v>45859.0</v>
      </c>
      <c r="CI2" s="269">
        <v>45860.0</v>
      </c>
      <c r="CJ2" s="269">
        <v>45861.0</v>
      </c>
      <c r="CK2" s="269">
        <v>45862.0</v>
      </c>
      <c r="CL2" s="269">
        <v>45863.0</v>
      </c>
      <c r="CM2" s="269">
        <v>45864.0</v>
      </c>
      <c r="CN2" s="269">
        <v>45865.0</v>
      </c>
      <c r="CO2" s="269">
        <v>45866.0</v>
      </c>
      <c r="CP2" s="269">
        <v>45867.0</v>
      </c>
      <c r="CQ2" s="269">
        <v>45868.0</v>
      </c>
      <c r="CR2" s="269">
        <v>45869.0</v>
      </c>
      <c r="CS2" s="269">
        <v>45870.0</v>
      </c>
      <c r="CT2" s="269">
        <v>45871.0</v>
      </c>
      <c r="CU2" s="269">
        <v>45872.0</v>
      </c>
      <c r="CV2" s="269">
        <v>45873.0</v>
      </c>
      <c r="CW2" s="269">
        <v>45874.0</v>
      </c>
      <c r="CX2" s="269">
        <v>45875.0</v>
      </c>
      <c r="CY2" s="269">
        <v>45876.0</v>
      </c>
      <c r="CZ2" s="269">
        <v>45877.0</v>
      </c>
      <c r="DA2" s="269">
        <v>45878.0</v>
      </c>
      <c r="DB2" s="269">
        <v>45879.0</v>
      </c>
      <c r="DC2" s="269">
        <v>45880.0</v>
      </c>
      <c r="DD2" s="269">
        <v>45881.0</v>
      </c>
      <c r="DE2" s="269">
        <v>45882.0</v>
      </c>
      <c r="DF2" s="269">
        <v>45883.0</v>
      </c>
      <c r="DG2" s="269">
        <v>45884.0</v>
      </c>
      <c r="DH2" s="269">
        <v>45885.0</v>
      </c>
      <c r="DI2" s="269">
        <v>45886.0</v>
      </c>
      <c r="DJ2" s="269">
        <v>45887.0</v>
      </c>
      <c r="DK2" s="269">
        <v>45888.0</v>
      </c>
      <c r="DL2" s="269">
        <v>45889.0</v>
      </c>
      <c r="DM2" s="269">
        <v>45890.0</v>
      </c>
      <c r="DN2" s="269">
        <v>45891.0</v>
      </c>
      <c r="DO2" s="269">
        <v>45892.0</v>
      </c>
      <c r="DP2" s="269">
        <v>45893.0</v>
      </c>
      <c r="DQ2" s="269">
        <v>45894.0</v>
      </c>
      <c r="DR2" s="269">
        <v>45895.0</v>
      </c>
      <c r="DS2" s="269">
        <v>45896.0</v>
      </c>
      <c r="DT2" s="269">
        <v>45897.0</v>
      </c>
      <c r="DU2" s="269">
        <v>45898.0</v>
      </c>
      <c r="DV2" s="269">
        <v>45899.0</v>
      </c>
      <c r="DW2" s="269">
        <v>45900.0</v>
      </c>
      <c r="DX2" s="269">
        <v>45901.0</v>
      </c>
      <c r="DY2" s="269">
        <v>45902.0</v>
      </c>
      <c r="DZ2" s="269">
        <v>45903.0</v>
      </c>
      <c r="EA2" s="269">
        <v>45904.0</v>
      </c>
      <c r="EB2" s="269">
        <v>45905.0</v>
      </c>
      <c r="EC2" s="269">
        <v>45906.0</v>
      </c>
      <c r="ED2" s="269">
        <v>45907.0</v>
      </c>
      <c r="EE2" s="269">
        <v>45908.0</v>
      </c>
      <c r="EF2" s="269">
        <v>45909.0</v>
      </c>
      <c r="EG2" s="269">
        <v>45910.0</v>
      </c>
      <c r="EH2" s="269">
        <v>45911.0</v>
      </c>
      <c r="EI2" s="269">
        <v>45912.0</v>
      </c>
      <c r="EJ2" s="269">
        <v>45913.0</v>
      </c>
      <c r="EK2" s="269">
        <v>45914.0</v>
      </c>
      <c r="EL2" s="269">
        <v>45915.0</v>
      </c>
      <c r="EM2" s="269">
        <v>45916.0</v>
      </c>
      <c r="EN2" s="269">
        <v>45917.0</v>
      </c>
      <c r="EO2" s="269">
        <v>45918.0</v>
      </c>
      <c r="EP2" s="269">
        <v>45919.0</v>
      </c>
      <c r="EQ2" s="269">
        <v>45920.0</v>
      </c>
      <c r="ER2" s="269">
        <v>45921.0</v>
      </c>
      <c r="ES2" s="269">
        <v>45922.0</v>
      </c>
      <c r="ET2" s="269">
        <v>45923.0</v>
      </c>
      <c r="EU2" s="269">
        <v>45924.0</v>
      </c>
      <c r="EV2" s="269">
        <v>45925.0</v>
      </c>
      <c r="EW2" s="269">
        <v>45926.0</v>
      </c>
      <c r="EX2" s="269">
        <v>45927.0</v>
      </c>
      <c r="EY2" s="269">
        <v>45928.0</v>
      </c>
      <c r="EZ2" s="269">
        <v>45929.0</v>
      </c>
      <c r="FA2" s="269">
        <v>45930.0</v>
      </c>
      <c r="FB2" s="269">
        <v>45931.0</v>
      </c>
      <c r="FC2" s="269">
        <v>45932.0</v>
      </c>
      <c r="FD2" s="269">
        <v>45933.0</v>
      </c>
      <c r="FE2" s="269">
        <v>45934.0</v>
      </c>
      <c r="FF2" s="269">
        <v>45935.0</v>
      </c>
      <c r="FG2" s="269">
        <v>45936.0</v>
      </c>
      <c r="FH2" s="269">
        <v>45937.0</v>
      </c>
      <c r="FI2" s="269">
        <v>45938.0</v>
      </c>
      <c r="FJ2" s="269">
        <v>45939.0</v>
      </c>
      <c r="FK2" s="269">
        <v>45940.0</v>
      </c>
      <c r="FL2" s="269">
        <v>45941.0</v>
      </c>
      <c r="FM2" s="269">
        <v>45942.0</v>
      </c>
      <c r="FN2" s="269">
        <v>45943.0</v>
      </c>
      <c r="FO2" s="269">
        <v>45944.0</v>
      </c>
      <c r="FP2" s="269">
        <v>45945.0</v>
      </c>
      <c r="FQ2" s="269">
        <v>45946.0</v>
      </c>
      <c r="FR2" s="269">
        <v>45947.0</v>
      </c>
      <c r="FS2" s="269">
        <v>45948.0</v>
      </c>
      <c r="FT2" s="269">
        <v>45949.0</v>
      </c>
      <c r="FU2" s="269">
        <v>45950.0</v>
      </c>
      <c r="FV2" s="269">
        <v>45951.0</v>
      </c>
      <c r="FW2" s="269">
        <v>45952.0</v>
      </c>
      <c r="FX2" s="269">
        <v>45953.0</v>
      </c>
      <c r="FY2" s="269">
        <v>45954.0</v>
      </c>
      <c r="FZ2" s="269">
        <v>45955.0</v>
      </c>
      <c r="GA2" s="269">
        <v>45956.0</v>
      </c>
    </row>
    <row r="3" ht="18.0" customHeight="1">
      <c r="A3" s="271"/>
      <c r="B3" s="272"/>
      <c r="C3" s="273" t="s">
        <v>79</v>
      </c>
      <c r="D3" s="274"/>
      <c r="E3" s="274"/>
      <c r="F3" s="274"/>
      <c r="G3" s="274"/>
      <c r="H3" s="274"/>
      <c r="I3" s="274"/>
      <c r="J3" s="274"/>
      <c r="K3" s="275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274"/>
      <c r="W3" s="274"/>
      <c r="X3" s="274"/>
      <c r="Y3" s="274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0" t="s">
        <v>80</v>
      </c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CQ3" s="274"/>
      <c r="CR3" s="274"/>
      <c r="CS3" s="274"/>
      <c r="CT3" s="274"/>
      <c r="CU3" s="274"/>
      <c r="CV3" s="274"/>
      <c r="CW3" s="274"/>
      <c r="CX3" s="274"/>
      <c r="CY3" s="274"/>
      <c r="CZ3" s="274"/>
      <c r="DA3" s="274"/>
      <c r="DB3" s="274"/>
      <c r="DC3" s="274"/>
      <c r="DD3" s="274"/>
      <c r="DE3" s="274"/>
      <c r="DF3" s="274"/>
      <c r="DG3" s="274"/>
      <c r="DH3" s="274"/>
      <c r="DI3" s="274"/>
      <c r="DJ3" s="274"/>
      <c r="DK3" s="274"/>
      <c r="DL3" s="274"/>
      <c r="DM3" s="274"/>
      <c r="DN3" s="274"/>
      <c r="DO3" s="274"/>
      <c r="DP3" s="274"/>
      <c r="DQ3" s="274"/>
      <c r="DR3" s="274"/>
      <c r="DS3" s="274"/>
      <c r="DT3" s="274"/>
      <c r="DU3" s="274"/>
      <c r="DV3" s="274"/>
      <c r="DW3" s="274"/>
      <c r="DX3" s="274"/>
      <c r="DY3" s="274"/>
      <c r="DZ3" s="274"/>
      <c r="EA3" s="274"/>
      <c r="EB3" s="274"/>
      <c r="EC3" s="274"/>
      <c r="ED3" s="274"/>
      <c r="EE3" s="274"/>
      <c r="EF3" s="274"/>
      <c r="EG3" s="274"/>
      <c r="EH3" s="274"/>
      <c r="EI3" s="274"/>
      <c r="EJ3" s="274"/>
      <c r="EK3" s="274"/>
      <c r="EL3" s="274"/>
      <c r="EM3" s="274"/>
      <c r="EN3" s="274"/>
      <c r="EO3" s="274"/>
      <c r="EP3" s="274"/>
      <c r="EQ3" s="274"/>
      <c r="ER3" s="274"/>
      <c r="ES3" s="274"/>
      <c r="ET3" s="274"/>
      <c r="EU3" s="274"/>
      <c r="EV3" s="274"/>
      <c r="EW3" s="274"/>
      <c r="EX3" s="274"/>
      <c r="EY3" s="274"/>
      <c r="EZ3" s="274"/>
      <c r="FA3" s="274"/>
      <c r="FB3" s="274"/>
      <c r="FC3" s="274"/>
      <c r="FD3" s="274"/>
      <c r="FE3" s="274"/>
      <c r="FF3" s="274"/>
      <c r="FG3" s="274"/>
      <c r="FH3" s="274"/>
      <c r="FI3" s="274"/>
      <c r="FJ3" s="274"/>
      <c r="FK3" s="274"/>
      <c r="FL3" s="274"/>
      <c r="FM3" s="274"/>
      <c r="FN3" s="274"/>
      <c r="FO3" s="274"/>
      <c r="FP3" s="274"/>
      <c r="FQ3" s="274"/>
      <c r="FR3" s="274"/>
      <c r="FS3" s="274"/>
      <c r="FT3" s="274"/>
      <c r="FU3" s="274"/>
      <c r="FV3" s="274"/>
      <c r="FW3" s="274"/>
      <c r="FX3" s="274"/>
      <c r="FY3" s="274"/>
      <c r="FZ3" s="274"/>
      <c r="GA3" s="274"/>
    </row>
    <row r="4" ht="18.0" customHeight="1">
      <c r="A4" s="271"/>
      <c r="B4" s="276"/>
      <c r="C4" s="277"/>
      <c r="D4" s="278">
        <f t="shared" ref="D4:BL4" si="1">D2</f>
        <v>45778</v>
      </c>
      <c r="E4" s="278">
        <f t="shared" si="1"/>
        <v>45779</v>
      </c>
      <c r="F4" s="278">
        <f t="shared" si="1"/>
        <v>45780</v>
      </c>
      <c r="G4" s="278">
        <f t="shared" si="1"/>
        <v>45781</v>
      </c>
      <c r="H4" s="278">
        <f t="shared" si="1"/>
        <v>45782</v>
      </c>
      <c r="I4" s="278">
        <f t="shared" si="1"/>
        <v>45783</v>
      </c>
      <c r="J4" s="278">
        <f t="shared" si="1"/>
        <v>45784</v>
      </c>
      <c r="K4" s="278">
        <f t="shared" si="1"/>
        <v>45785</v>
      </c>
      <c r="L4" s="278">
        <f t="shared" si="1"/>
        <v>45786</v>
      </c>
      <c r="M4" s="278">
        <f t="shared" si="1"/>
        <v>45787</v>
      </c>
      <c r="N4" s="278">
        <f t="shared" si="1"/>
        <v>45788</v>
      </c>
      <c r="O4" s="278">
        <f t="shared" si="1"/>
        <v>45789</v>
      </c>
      <c r="P4" s="278">
        <f t="shared" si="1"/>
        <v>45790</v>
      </c>
      <c r="Q4" s="278">
        <f t="shared" si="1"/>
        <v>45791</v>
      </c>
      <c r="R4" s="278">
        <f t="shared" si="1"/>
        <v>45792</v>
      </c>
      <c r="S4" s="278">
        <f t="shared" si="1"/>
        <v>45793</v>
      </c>
      <c r="T4" s="278">
        <f t="shared" si="1"/>
        <v>45794</v>
      </c>
      <c r="U4" s="278">
        <f t="shared" si="1"/>
        <v>45795</v>
      </c>
      <c r="V4" s="278">
        <f t="shared" si="1"/>
        <v>45796</v>
      </c>
      <c r="W4" s="278">
        <f t="shared" si="1"/>
        <v>45797</v>
      </c>
      <c r="X4" s="278">
        <f t="shared" si="1"/>
        <v>45798</v>
      </c>
      <c r="Y4" s="278">
        <f t="shared" si="1"/>
        <v>45799</v>
      </c>
      <c r="Z4" s="278">
        <f t="shared" si="1"/>
        <v>45800</v>
      </c>
      <c r="AA4" s="278">
        <f t="shared" si="1"/>
        <v>45801</v>
      </c>
      <c r="AB4" s="278">
        <f t="shared" si="1"/>
        <v>45802</v>
      </c>
      <c r="AC4" s="278">
        <f t="shared" si="1"/>
        <v>45803</v>
      </c>
      <c r="AD4" s="278">
        <f t="shared" si="1"/>
        <v>45804</v>
      </c>
      <c r="AE4" s="278">
        <f t="shared" si="1"/>
        <v>45805</v>
      </c>
      <c r="AF4" s="278">
        <f t="shared" si="1"/>
        <v>45806</v>
      </c>
      <c r="AG4" s="278">
        <f t="shared" si="1"/>
        <v>45807</v>
      </c>
      <c r="AH4" s="278">
        <f t="shared" si="1"/>
        <v>45808</v>
      </c>
      <c r="AI4" s="279">
        <f t="shared" si="1"/>
        <v>45809</v>
      </c>
      <c r="AJ4" s="279">
        <f t="shared" si="1"/>
        <v>45810</v>
      </c>
      <c r="AK4" s="279">
        <f t="shared" si="1"/>
        <v>45811</v>
      </c>
      <c r="AL4" s="279">
        <f t="shared" si="1"/>
        <v>45812</v>
      </c>
      <c r="AM4" s="279">
        <f t="shared" si="1"/>
        <v>45813</v>
      </c>
      <c r="AN4" s="279">
        <f t="shared" si="1"/>
        <v>45814</v>
      </c>
      <c r="AO4" s="279">
        <f t="shared" si="1"/>
        <v>45815</v>
      </c>
      <c r="AP4" s="279">
        <f t="shared" si="1"/>
        <v>45816</v>
      </c>
      <c r="AQ4" s="279">
        <f t="shared" si="1"/>
        <v>45817</v>
      </c>
      <c r="AR4" s="279">
        <f t="shared" si="1"/>
        <v>45818</v>
      </c>
      <c r="AS4" s="279">
        <f t="shared" si="1"/>
        <v>45819</v>
      </c>
      <c r="AT4" s="279">
        <f t="shared" si="1"/>
        <v>45820</v>
      </c>
      <c r="AU4" s="279">
        <f t="shared" si="1"/>
        <v>45821</v>
      </c>
      <c r="AV4" s="279">
        <f t="shared" si="1"/>
        <v>45822</v>
      </c>
      <c r="AW4" s="279">
        <f t="shared" si="1"/>
        <v>45823</v>
      </c>
      <c r="AX4" s="279">
        <f t="shared" si="1"/>
        <v>45824</v>
      </c>
      <c r="AY4" s="279">
        <f t="shared" si="1"/>
        <v>45825</v>
      </c>
      <c r="AZ4" s="279">
        <f t="shared" si="1"/>
        <v>45826</v>
      </c>
      <c r="BA4" s="279">
        <f t="shared" si="1"/>
        <v>45827</v>
      </c>
      <c r="BB4" s="279">
        <f t="shared" si="1"/>
        <v>45828</v>
      </c>
      <c r="BC4" s="279">
        <f t="shared" si="1"/>
        <v>45829</v>
      </c>
      <c r="BD4" s="279">
        <f t="shared" si="1"/>
        <v>45830</v>
      </c>
      <c r="BE4" s="279">
        <f t="shared" si="1"/>
        <v>45831</v>
      </c>
      <c r="BF4" s="279">
        <f t="shared" si="1"/>
        <v>45832</v>
      </c>
      <c r="BG4" s="279">
        <f t="shared" si="1"/>
        <v>45833</v>
      </c>
      <c r="BH4" s="279">
        <f t="shared" si="1"/>
        <v>45834</v>
      </c>
      <c r="BI4" s="279">
        <f t="shared" si="1"/>
        <v>45835</v>
      </c>
      <c r="BJ4" s="279">
        <f t="shared" si="1"/>
        <v>45836</v>
      </c>
      <c r="BK4" s="279">
        <f t="shared" si="1"/>
        <v>45837</v>
      </c>
      <c r="BL4" s="279">
        <f t="shared" si="1"/>
        <v>45838</v>
      </c>
      <c r="BM4" s="280" t="s">
        <v>81</v>
      </c>
      <c r="BN4" s="279">
        <f t="shared" ref="BN4:GA4" si="2">BN2</f>
        <v>45839</v>
      </c>
      <c r="BO4" s="279">
        <f t="shared" si="2"/>
        <v>45840</v>
      </c>
      <c r="BP4" s="279">
        <f t="shared" si="2"/>
        <v>45841</v>
      </c>
      <c r="BQ4" s="279">
        <f t="shared" si="2"/>
        <v>45842</v>
      </c>
      <c r="BR4" s="279">
        <f t="shared" si="2"/>
        <v>45843</v>
      </c>
      <c r="BS4" s="279">
        <f t="shared" si="2"/>
        <v>45844</v>
      </c>
      <c r="BT4" s="279">
        <f t="shared" si="2"/>
        <v>45845</v>
      </c>
      <c r="BU4" s="279">
        <f t="shared" si="2"/>
        <v>45846</v>
      </c>
      <c r="BV4" s="279">
        <f t="shared" si="2"/>
        <v>45847</v>
      </c>
      <c r="BW4" s="279">
        <f t="shared" si="2"/>
        <v>45848</v>
      </c>
      <c r="BX4" s="279">
        <f t="shared" si="2"/>
        <v>45849</v>
      </c>
      <c r="BY4" s="279">
        <f t="shared" si="2"/>
        <v>45850</v>
      </c>
      <c r="BZ4" s="279">
        <f t="shared" si="2"/>
        <v>45851</v>
      </c>
      <c r="CA4" s="279">
        <f t="shared" si="2"/>
        <v>45852</v>
      </c>
      <c r="CB4" s="279">
        <f t="shared" si="2"/>
        <v>45853</v>
      </c>
      <c r="CC4" s="279">
        <f t="shared" si="2"/>
        <v>45854</v>
      </c>
      <c r="CD4" s="279">
        <f t="shared" si="2"/>
        <v>45855</v>
      </c>
      <c r="CE4" s="279">
        <f t="shared" si="2"/>
        <v>45856</v>
      </c>
      <c r="CF4" s="279">
        <f t="shared" si="2"/>
        <v>45857</v>
      </c>
      <c r="CG4" s="279">
        <f t="shared" si="2"/>
        <v>45858</v>
      </c>
      <c r="CH4" s="279">
        <f t="shared" si="2"/>
        <v>45859</v>
      </c>
      <c r="CI4" s="279">
        <f t="shared" si="2"/>
        <v>45860</v>
      </c>
      <c r="CJ4" s="279">
        <f t="shared" si="2"/>
        <v>45861</v>
      </c>
      <c r="CK4" s="279">
        <f t="shared" si="2"/>
        <v>45862</v>
      </c>
      <c r="CL4" s="279">
        <f t="shared" si="2"/>
        <v>45863</v>
      </c>
      <c r="CM4" s="279">
        <f t="shared" si="2"/>
        <v>45864</v>
      </c>
      <c r="CN4" s="279">
        <f t="shared" si="2"/>
        <v>45865</v>
      </c>
      <c r="CO4" s="279">
        <f t="shared" si="2"/>
        <v>45866</v>
      </c>
      <c r="CP4" s="279">
        <f t="shared" si="2"/>
        <v>45867</v>
      </c>
      <c r="CQ4" s="279">
        <f t="shared" si="2"/>
        <v>45868</v>
      </c>
      <c r="CR4" s="279">
        <f t="shared" si="2"/>
        <v>45869</v>
      </c>
      <c r="CS4" s="279">
        <f t="shared" si="2"/>
        <v>45870</v>
      </c>
      <c r="CT4" s="279">
        <f t="shared" si="2"/>
        <v>45871</v>
      </c>
      <c r="CU4" s="279">
        <f t="shared" si="2"/>
        <v>45872</v>
      </c>
      <c r="CV4" s="279">
        <f t="shared" si="2"/>
        <v>45873</v>
      </c>
      <c r="CW4" s="279">
        <f t="shared" si="2"/>
        <v>45874</v>
      </c>
      <c r="CX4" s="279">
        <f t="shared" si="2"/>
        <v>45875</v>
      </c>
      <c r="CY4" s="279">
        <f t="shared" si="2"/>
        <v>45876</v>
      </c>
      <c r="CZ4" s="279">
        <f t="shared" si="2"/>
        <v>45877</v>
      </c>
      <c r="DA4" s="279">
        <f t="shared" si="2"/>
        <v>45878</v>
      </c>
      <c r="DB4" s="279">
        <f t="shared" si="2"/>
        <v>45879</v>
      </c>
      <c r="DC4" s="279">
        <f t="shared" si="2"/>
        <v>45880</v>
      </c>
      <c r="DD4" s="279">
        <f t="shared" si="2"/>
        <v>45881</v>
      </c>
      <c r="DE4" s="279">
        <f t="shared" si="2"/>
        <v>45882</v>
      </c>
      <c r="DF4" s="279">
        <f t="shared" si="2"/>
        <v>45883</v>
      </c>
      <c r="DG4" s="279">
        <f t="shared" si="2"/>
        <v>45884</v>
      </c>
      <c r="DH4" s="279">
        <f t="shared" si="2"/>
        <v>45885</v>
      </c>
      <c r="DI4" s="279">
        <f t="shared" si="2"/>
        <v>45886</v>
      </c>
      <c r="DJ4" s="279">
        <f t="shared" si="2"/>
        <v>45887</v>
      </c>
      <c r="DK4" s="279">
        <f t="shared" si="2"/>
        <v>45888</v>
      </c>
      <c r="DL4" s="279">
        <f t="shared" si="2"/>
        <v>45889</v>
      </c>
      <c r="DM4" s="279">
        <f t="shared" si="2"/>
        <v>45890</v>
      </c>
      <c r="DN4" s="279">
        <f t="shared" si="2"/>
        <v>45891</v>
      </c>
      <c r="DO4" s="279">
        <f t="shared" si="2"/>
        <v>45892</v>
      </c>
      <c r="DP4" s="279">
        <f t="shared" si="2"/>
        <v>45893</v>
      </c>
      <c r="DQ4" s="279">
        <f t="shared" si="2"/>
        <v>45894</v>
      </c>
      <c r="DR4" s="279">
        <f t="shared" si="2"/>
        <v>45895</v>
      </c>
      <c r="DS4" s="279">
        <f t="shared" si="2"/>
        <v>45896</v>
      </c>
      <c r="DT4" s="279">
        <f t="shared" si="2"/>
        <v>45897</v>
      </c>
      <c r="DU4" s="279">
        <f t="shared" si="2"/>
        <v>45898</v>
      </c>
      <c r="DV4" s="279">
        <f t="shared" si="2"/>
        <v>45899</v>
      </c>
      <c r="DW4" s="279">
        <f t="shared" si="2"/>
        <v>45900</v>
      </c>
      <c r="DX4" s="279">
        <f t="shared" si="2"/>
        <v>45901</v>
      </c>
      <c r="DY4" s="279">
        <f t="shared" si="2"/>
        <v>45902</v>
      </c>
      <c r="DZ4" s="279">
        <f t="shared" si="2"/>
        <v>45903</v>
      </c>
      <c r="EA4" s="279">
        <f t="shared" si="2"/>
        <v>45904</v>
      </c>
      <c r="EB4" s="279">
        <f t="shared" si="2"/>
        <v>45905</v>
      </c>
      <c r="EC4" s="279">
        <f t="shared" si="2"/>
        <v>45906</v>
      </c>
      <c r="ED4" s="279">
        <f t="shared" si="2"/>
        <v>45907</v>
      </c>
      <c r="EE4" s="279">
        <f t="shared" si="2"/>
        <v>45908</v>
      </c>
      <c r="EF4" s="279">
        <f t="shared" si="2"/>
        <v>45909</v>
      </c>
      <c r="EG4" s="279">
        <f t="shared" si="2"/>
        <v>45910</v>
      </c>
      <c r="EH4" s="279">
        <f t="shared" si="2"/>
        <v>45911</v>
      </c>
      <c r="EI4" s="279">
        <f t="shared" si="2"/>
        <v>45912</v>
      </c>
      <c r="EJ4" s="279">
        <f t="shared" si="2"/>
        <v>45913</v>
      </c>
      <c r="EK4" s="279">
        <f t="shared" si="2"/>
        <v>45914</v>
      </c>
      <c r="EL4" s="279">
        <f t="shared" si="2"/>
        <v>45915</v>
      </c>
      <c r="EM4" s="279">
        <f t="shared" si="2"/>
        <v>45916</v>
      </c>
      <c r="EN4" s="279">
        <f t="shared" si="2"/>
        <v>45917</v>
      </c>
      <c r="EO4" s="279">
        <f t="shared" si="2"/>
        <v>45918</v>
      </c>
      <c r="EP4" s="279">
        <f t="shared" si="2"/>
        <v>45919</v>
      </c>
      <c r="EQ4" s="279">
        <f t="shared" si="2"/>
        <v>45920</v>
      </c>
      <c r="ER4" s="279">
        <f t="shared" si="2"/>
        <v>45921</v>
      </c>
      <c r="ES4" s="279">
        <f t="shared" si="2"/>
        <v>45922</v>
      </c>
      <c r="ET4" s="279">
        <f t="shared" si="2"/>
        <v>45923</v>
      </c>
      <c r="EU4" s="279">
        <f t="shared" si="2"/>
        <v>45924</v>
      </c>
      <c r="EV4" s="279">
        <f t="shared" si="2"/>
        <v>45925</v>
      </c>
      <c r="EW4" s="279">
        <f t="shared" si="2"/>
        <v>45926</v>
      </c>
      <c r="EX4" s="279">
        <f t="shared" si="2"/>
        <v>45927</v>
      </c>
      <c r="EY4" s="279">
        <f t="shared" si="2"/>
        <v>45928</v>
      </c>
      <c r="EZ4" s="279">
        <f t="shared" si="2"/>
        <v>45929</v>
      </c>
      <c r="FA4" s="279">
        <f t="shared" si="2"/>
        <v>45930</v>
      </c>
      <c r="FB4" s="279">
        <f t="shared" si="2"/>
        <v>45931</v>
      </c>
      <c r="FC4" s="279">
        <f t="shared" si="2"/>
        <v>45932</v>
      </c>
      <c r="FD4" s="279">
        <f t="shared" si="2"/>
        <v>45933</v>
      </c>
      <c r="FE4" s="279">
        <f t="shared" si="2"/>
        <v>45934</v>
      </c>
      <c r="FF4" s="279">
        <f t="shared" si="2"/>
        <v>45935</v>
      </c>
      <c r="FG4" s="279">
        <f t="shared" si="2"/>
        <v>45936</v>
      </c>
      <c r="FH4" s="279">
        <f t="shared" si="2"/>
        <v>45937</v>
      </c>
      <c r="FI4" s="279">
        <f t="shared" si="2"/>
        <v>45938</v>
      </c>
      <c r="FJ4" s="279">
        <f t="shared" si="2"/>
        <v>45939</v>
      </c>
      <c r="FK4" s="279">
        <f t="shared" si="2"/>
        <v>45940</v>
      </c>
      <c r="FL4" s="279">
        <f t="shared" si="2"/>
        <v>45941</v>
      </c>
      <c r="FM4" s="279">
        <f t="shared" si="2"/>
        <v>45942</v>
      </c>
      <c r="FN4" s="279">
        <f t="shared" si="2"/>
        <v>45943</v>
      </c>
      <c r="FO4" s="279">
        <f t="shared" si="2"/>
        <v>45944</v>
      </c>
      <c r="FP4" s="279">
        <f t="shared" si="2"/>
        <v>45945</v>
      </c>
      <c r="FQ4" s="279">
        <f t="shared" si="2"/>
        <v>45946</v>
      </c>
      <c r="FR4" s="279">
        <f t="shared" si="2"/>
        <v>45947</v>
      </c>
      <c r="FS4" s="279">
        <f t="shared" si="2"/>
        <v>45948</v>
      </c>
      <c r="FT4" s="279">
        <f t="shared" si="2"/>
        <v>45949</v>
      </c>
      <c r="FU4" s="279">
        <f t="shared" si="2"/>
        <v>45950</v>
      </c>
      <c r="FV4" s="279">
        <f t="shared" si="2"/>
        <v>45951</v>
      </c>
      <c r="FW4" s="279">
        <f t="shared" si="2"/>
        <v>45952</v>
      </c>
      <c r="FX4" s="279">
        <f t="shared" si="2"/>
        <v>45953</v>
      </c>
      <c r="FY4" s="279">
        <f t="shared" si="2"/>
        <v>45954</v>
      </c>
      <c r="FZ4" s="279">
        <f t="shared" si="2"/>
        <v>45955</v>
      </c>
      <c r="GA4" s="279">
        <f t="shared" si="2"/>
        <v>45956</v>
      </c>
    </row>
    <row r="5" ht="19.5" customHeight="1">
      <c r="A5" s="281"/>
      <c r="B5" s="282"/>
      <c r="C5" s="283" t="s">
        <v>82</v>
      </c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  <c r="AI5" s="284"/>
      <c r="AJ5" s="284"/>
      <c r="AK5" s="284"/>
      <c r="AL5" s="284"/>
      <c r="AM5" s="284"/>
      <c r="AN5" s="284"/>
      <c r="AO5" s="284"/>
      <c r="AP5" s="284"/>
      <c r="AQ5" s="284"/>
      <c r="AR5" s="284"/>
      <c r="AS5" s="284"/>
      <c r="AT5" s="284"/>
      <c r="AU5" s="284"/>
      <c r="AV5" s="284"/>
      <c r="AW5" s="284"/>
      <c r="AX5" s="284"/>
      <c r="AY5" s="284"/>
      <c r="AZ5" s="284"/>
      <c r="BA5" s="284"/>
      <c r="BB5" s="284"/>
      <c r="BC5" s="284"/>
      <c r="BD5" s="284"/>
      <c r="BE5" s="284"/>
      <c r="BF5" s="284"/>
      <c r="BG5" s="284"/>
      <c r="BH5" s="284"/>
      <c r="BI5" s="284"/>
      <c r="BJ5" s="284"/>
      <c r="BK5" s="284"/>
      <c r="BL5" s="284"/>
      <c r="BM5" s="285"/>
      <c r="BN5" s="284"/>
      <c r="BO5" s="284"/>
      <c r="BP5" s="284"/>
      <c r="BQ5" s="284"/>
      <c r="BR5" s="284"/>
      <c r="BS5" s="284"/>
      <c r="BT5" s="284"/>
      <c r="BU5" s="284"/>
      <c r="BV5" s="284"/>
      <c r="BW5" s="284"/>
      <c r="BX5" s="284"/>
      <c r="BY5" s="284"/>
      <c r="BZ5" s="284"/>
      <c r="CA5" s="284"/>
      <c r="CB5" s="284"/>
      <c r="CC5" s="284"/>
      <c r="CD5" s="284"/>
      <c r="CE5" s="284"/>
      <c r="CF5" s="284"/>
      <c r="CG5" s="284"/>
      <c r="CH5" s="284"/>
      <c r="CI5" s="284"/>
      <c r="CJ5" s="284"/>
      <c r="CK5" s="284"/>
      <c r="CL5" s="284"/>
      <c r="CM5" s="284"/>
      <c r="CN5" s="284"/>
      <c r="CO5" s="284"/>
      <c r="CP5" s="284"/>
      <c r="CQ5" s="284"/>
      <c r="CR5" s="284"/>
      <c r="CS5" s="284"/>
      <c r="CT5" s="284"/>
      <c r="CU5" s="284"/>
      <c r="CV5" s="284"/>
      <c r="CW5" s="284"/>
      <c r="CX5" s="284"/>
      <c r="CY5" s="284"/>
      <c r="CZ5" s="284"/>
      <c r="DA5" s="284"/>
      <c r="DB5" s="284"/>
      <c r="DC5" s="284"/>
      <c r="DD5" s="284"/>
      <c r="DE5" s="284"/>
      <c r="DF5" s="284"/>
      <c r="DG5" s="284"/>
      <c r="DH5" s="284"/>
      <c r="DI5" s="284"/>
      <c r="DJ5" s="284"/>
      <c r="DK5" s="284"/>
      <c r="DL5" s="284"/>
      <c r="DM5" s="284"/>
      <c r="DN5" s="284"/>
      <c r="DO5" s="284"/>
      <c r="DP5" s="284"/>
      <c r="DQ5" s="284"/>
      <c r="DR5" s="284"/>
      <c r="DS5" s="284"/>
      <c r="DT5" s="284"/>
      <c r="DU5" s="284"/>
      <c r="DV5" s="284"/>
      <c r="DW5" s="284"/>
      <c r="DX5" s="284"/>
      <c r="DY5" s="284"/>
      <c r="DZ5" s="284"/>
      <c r="EA5" s="284"/>
      <c r="EB5" s="284"/>
      <c r="EC5" s="284"/>
      <c r="ED5" s="284"/>
      <c r="EE5" s="284"/>
      <c r="EF5" s="284"/>
      <c r="EG5" s="284"/>
      <c r="EH5" s="284"/>
      <c r="EI5" s="284"/>
      <c r="EJ5" s="284"/>
      <c r="EK5" s="284"/>
      <c r="EL5" s="284"/>
      <c r="EM5" s="284"/>
      <c r="EN5" s="284"/>
      <c r="EO5" s="284"/>
      <c r="EP5" s="284"/>
      <c r="EQ5" s="284"/>
      <c r="ER5" s="284"/>
      <c r="ES5" s="284"/>
      <c r="ET5" s="284"/>
      <c r="EU5" s="284"/>
      <c r="EV5" s="284"/>
      <c r="EW5" s="284"/>
      <c r="EX5" s="284"/>
      <c r="EY5" s="284"/>
      <c r="EZ5" s="284"/>
      <c r="FA5" s="284"/>
      <c r="FB5" s="284"/>
      <c r="FC5" s="284"/>
      <c r="FD5" s="284"/>
      <c r="FE5" s="284"/>
      <c r="FF5" s="284"/>
      <c r="FG5" s="284"/>
      <c r="FH5" s="284"/>
      <c r="FI5" s="284"/>
      <c r="FJ5" s="284"/>
      <c r="FK5" s="284"/>
      <c r="FL5" s="284"/>
      <c r="FM5" s="284"/>
      <c r="FN5" s="284"/>
      <c r="FO5" s="284"/>
      <c r="FP5" s="284"/>
      <c r="FQ5" s="284"/>
      <c r="FR5" s="284"/>
      <c r="FS5" s="284"/>
      <c r="FT5" s="284"/>
      <c r="FU5" s="284"/>
      <c r="FV5" s="284"/>
      <c r="FW5" s="284"/>
      <c r="FX5" s="284"/>
      <c r="FY5" s="284"/>
      <c r="FZ5" s="284"/>
      <c r="GA5" s="284"/>
    </row>
    <row r="6" ht="19.5" customHeight="1">
      <c r="A6" s="286"/>
      <c r="B6" s="175" t="s">
        <v>38</v>
      </c>
      <c r="C6" s="287">
        <f t="shared" ref="C6:C16" si="3">sum(BM6:CQ6)</f>
        <v>0</v>
      </c>
      <c r="D6" s="288">
        <v>20000.0</v>
      </c>
      <c r="E6" s="289"/>
      <c r="F6" s="288">
        <v>27000.0</v>
      </c>
      <c r="G6" s="288">
        <v>36000.0</v>
      </c>
      <c r="H6" s="289"/>
      <c r="I6" s="288"/>
      <c r="J6" s="289"/>
      <c r="K6" s="289"/>
      <c r="L6" s="288">
        <v>150000.0</v>
      </c>
      <c r="M6" s="288">
        <v>25000.0</v>
      </c>
      <c r="N6" s="289"/>
      <c r="O6" s="289"/>
      <c r="P6" s="289"/>
      <c r="Q6" s="288">
        <v>13000.0</v>
      </c>
      <c r="R6" s="288">
        <v>33000.0</v>
      </c>
      <c r="S6" s="289"/>
      <c r="T6" s="289"/>
      <c r="U6" s="289"/>
      <c r="V6" s="289"/>
      <c r="W6" s="289"/>
      <c r="X6" s="289"/>
      <c r="Y6" s="289"/>
      <c r="Z6" s="288">
        <v>35000.0</v>
      </c>
      <c r="AA6" s="288">
        <v>100000.0</v>
      </c>
      <c r="AB6" s="289"/>
      <c r="AC6" s="289"/>
      <c r="AD6" s="289"/>
      <c r="AE6" s="289"/>
      <c r="AF6" s="288">
        <v>26100.0</v>
      </c>
      <c r="AG6" s="288">
        <v>35000.0</v>
      </c>
      <c r="AH6" s="288">
        <v>287000.0</v>
      </c>
      <c r="AI6" s="290"/>
      <c r="AJ6" s="290"/>
      <c r="AK6" s="291">
        <v>5000.0</v>
      </c>
      <c r="AL6" s="291">
        <v>20000.0</v>
      </c>
      <c r="AM6" s="291">
        <v>5000.0</v>
      </c>
      <c r="AN6" s="290"/>
      <c r="AO6" s="290"/>
      <c r="AP6" s="290"/>
      <c r="AQ6" s="291">
        <v>30000.0</v>
      </c>
      <c r="AR6" s="291">
        <v>26500.0</v>
      </c>
      <c r="AS6" s="291"/>
      <c r="AT6" s="291">
        <v>34000.0</v>
      </c>
      <c r="AU6" s="290"/>
      <c r="AV6" s="290"/>
      <c r="AW6" s="290"/>
      <c r="AX6" s="290"/>
      <c r="AY6" s="290"/>
      <c r="AZ6" s="290"/>
      <c r="BA6" s="290"/>
      <c r="BB6" s="290"/>
      <c r="BC6" s="290"/>
      <c r="BD6" s="290"/>
      <c r="BE6" s="290"/>
      <c r="BF6" s="291">
        <v>12000.0</v>
      </c>
      <c r="BG6" s="290"/>
      <c r="BH6" s="290"/>
      <c r="BI6" s="290"/>
      <c r="BJ6" s="290"/>
      <c r="BK6" s="291">
        <v>25000.0</v>
      </c>
      <c r="BL6" s="290"/>
      <c r="BM6" s="292"/>
      <c r="BN6" s="293"/>
      <c r="BO6" s="293"/>
      <c r="BP6" s="293"/>
      <c r="BQ6" s="293"/>
      <c r="BR6" s="293"/>
      <c r="BS6" s="293"/>
      <c r="BT6" s="293"/>
      <c r="BU6" s="293"/>
      <c r="BV6" s="293"/>
      <c r="BW6" s="293"/>
      <c r="BX6" s="293"/>
      <c r="BY6" s="293"/>
      <c r="BZ6" s="293"/>
      <c r="CA6" s="293"/>
      <c r="CB6" s="293"/>
      <c r="CC6" s="293"/>
      <c r="CD6" s="293"/>
      <c r="CE6" s="293"/>
      <c r="CF6" s="293"/>
      <c r="CG6" s="293"/>
      <c r="CH6" s="293"/>
      <c r="CI6" s="293"/>
      <c r="CJ6" s="293"/>
      <c r="CK6" s="293"/>
      <c r="CL6" s="293"/>
      <c r="CM6" s="293"/>
      <c r="CN6" s="293"/>
      <c r="CO6" s="293"/>
      <c r="CP6" s="293"/>
      <c r="CQ6" s="293"/>
      <c r="CR6" s="293"/>
      <c r="CS6" s="293"/>
      <c r="CT6" s="293"/>
      <c r="CU6" s="293"/>
      <c r="CV6" s="293"/>
      <c r="CW6" s="293"/>
      <c r="CX6" s="293"/>
      <c r="CY6" s="293"/>
      <c r="CZ6" s="293"/>
      <c r="DA6" s="293"/>
      <c r="DB6" s="293"/>
      <c r="DC6" s="293"/>
      <c r="DD6" s="293"/>
      <c r="DE6" s="293"/>
      <c r="DF6" s="293"/>
      <c r="DG6" s="293"/>
      <c r="DH6" s="293"/>
      <c r="DI6" s="293"/>
      <c r="DJ6" s="293"/>
      <c r="DK6" s="293"/>
      <c r="DL6" s="293"/>
      <c r="DM6" s="293"/>
      <c r="DN6" s="293"/>
      <c r="DO6" s="293"/>
      <c r="DP6" s="293"/>
      <c r="DQ6" s="293"/>
      <c r="DR6" s="293"/>
      <c r="DS6" s="293"/>
      <c r="DT6" s="293"/>
      <c r="DU6" s="294"/>
      <c r="DV6" s="294"/>
      <c r="DW6" s="294"/>
      <c r="DX6" s="294"/>
      <c r="DY6" s="294"/>
      <c r="DZ6" s="294"/>
      <c r="EA6" s="294"/>
      <c r="EB6" s="294"/>
      <c r="EC6" s="294"/>
      <c r="ED6" s="294"/>
      <c r="EE6" s="294"/>
      <c r="EF6" s="294"/>
      <c r="EG6" s="294"/>
      <c r="EH6" s="294"/>
      <c r="EI6" s="294"/>
      <c r="EJ6" s="294"/>
      <c r="EK6" s="294"/>
      <c r="EL6" s="294"/>
      <c r="EM6" s="294"/>
      <c r="EN6" s="294"/>
      <c r="EO6" s="294"/>
      <c r="EP6" s="294"/>
      <c r="EQ6" s="294"/>
      <c r="ER6" s="294"/>
      <c r="ES6" s="294"/>
      <c r="ET6" s="294"/>
      <c r="EU6" s="294"/>
      <c r="EV6" s="294"/>
      <c r="EW6" s="294"/>
      <c r="EX6" s="294"/>
      <c r="EY6" s="294"/>
      <c r="EZ6" s="294"/>
      <c r="FA6" s="294"/>
      <c r="FB6" s="294"/>
      <c r="FC6" s="294"/>
      <c r="FD6" s="294"/>
      <c r="FE6" s="294"/>
      <c r="FF6" s="294"/>
      <c r="FG6" s="294"/>
      <c r="FH6" s="294"/>
      <c r="FI6" s="294"/>
      <c r="FJ6" s="294"/>
      <c r="FK6" s="294"/>
      <c r="FL6" s="294"/>
      <c r="FM6" s="294"/>
      <c r="FN6" s="294"/>
      <c r="FO6" s="294"/>
      <c r="FP6" s="294"/>
      <c r="FQ6" s="294"/>
      <c r="FR6" s="294"/>
      <c r="FS6" s="294"/>
      <c r="FT6" s="294"/>
      <c r="FU6" s="294"/>
      <c r="FV6" s="294"/>
      <c r="FW6" s="294"/>
      <c r="FX6" s="294"/>
      <c r="FY6" s="294"/>
      <c r="FZ6" s="294"/>
      <c r="GA6" s="294"/>
    </row>
    <row r="7" ht="19.5" customHeight="1">
      <c r="A7" s="281"/>
      <c r="B7" s="175" t="s">
        <v>9</v>
      </c>
      <c r="C7" s="287">
        <f t="shared" si="3"/>
        <v>0</v>
      </c>
      <c r="D7" s="295"/>
      <c r="E7" s="295"/>
      <c r="F7" s="295"/>
      <c r="G7" s="296">
        <v>150000.0</v>
      </c>
      <c r="H7" s="295"/>
      <c r="I7" s="295"/>
      <c r="J7" s="295"/>
      <c r="K7" s="295"/>
      <c r="L7" s="295"/>
      <c r="M7" s="295"/>
      <c r="N7" s="295"/>
      <c r="O7" s="295"/>
      <c r="P7" s="295"/>
      <c r="Q7" s="296">
        <v>150000.0</v>
      </c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  <c r="AD7" s="295"/>
      <c r="AE7" s="295"/>
      <c r="AF7" s="295"/>
      <c r="AG7" s="295"/>
      <c r="AH7" s="295"/>
      <c r="AI7" s="297"/>
      <c r="AJ7" s="297"/>
      <c r="AK7" s="298">
        <v>2000.0</v>
      </c>
      <c r="AL7" s="297"/>
      <c r="AM7" s="297"/>
      <c r="AN7" s="297"/>
      <c r="AO7" s="297"/>
      <c r="AP7" s="297"/>
      <c r="AQ7" s="298">
        <v>140000.0</v>
      </c>
      <c r="AR7" s="297"/>
      <c r="AS7" s="297"/>
      <c r="AT7" s="297"/>
      <c r="AU7" s="297"/>
      <c r="AV7" s="298">
        <v>10000.0</v>
      </c>
      <c r="AW7" s="298">
        <v>190000.0</v>
      </c>
      <c r="AX7" s="297"/>
      <c r="AY7" s="297"/>
      <c r="AZ7" s="297"/>
      <c r="BA7" s="297"/>
      <c r="BB7" s="297"/>
      <c r="BC7" s="297"/>
      <c r="BD7" s="297"/>
      <c r="BE7" s="297"/>
      <c r="BF7" s="297"/>
      <c r="BG7" s="297"/>
      <c r="BH7" s="297"/>
      <c r="BI7" s="297"/>
      <c r="BJ7" s="297"/>
      <c r="BK7" s="297"/>
      <c r="BL7" s="297"/>
      <c r="BM7" s="292"/>
      <c r="BN7" s="299"/>
      <c r="BO7" s="299"/>
      <c r="BP7" s="299"/>
      <c r="BQ7" s="299"/>
      <c r="BR7" s="299"/>
      <c r="BS7" s="299"/>
      <c r="BT7" s="299"/>
      <c r="BU7" s="299"/>
      <c r="BV7" s="299"/>
      <c r="BW7" s="299"/>
      <c r="BX7" s="299"/>
      <c r="BY7" s="299"/>
      <c r="BZ7" s="299"/>
      <c r="CA7" s="299"/>
      <c r="CB7" s="299"/>
      <c r="CC7" s="299"/>
      <c r="CD7" s="299"/>
      <c r="CE7" s="299"/>
      <c r="CF7" s="299"/>
      <c r="CG7" s="299"/>
      <c r="CH7" s="299"/>
      <c r="CI7" s="299"/>
      <c r="CJ7" s="299"/>
      <c r="CK7" s="299"/>
      <c r="CL7" s="299"/>
      <c r="CM7" s="299"/>
      <c r="CN7" s="299"/>
      <c r="CO7" s="299"/>
      <c r="CP7" s="299"/>
      <c r="CQ7" s="299"/>
      <c r="CR7" s="299"/>
      <c r="CS7" s="299"/>
      <c r="CT7" s="299"/>
      <c r="CU7" s="299"/>
      <c r="CV7" s="299"/>
      <c r="CW7" s="299"/>
      <c r="CX7" s="299"/>
      <c r="CY7" s="299"/>
      <c r="CZ7" s="299"/>
      <c r="DA7" s="299"/>
      <c r="DB7" s="299"/>
      <c r="DC7" s="299"/>
      <c r="DD7" s="299"/>
      <c r="DE7" s="299"/>
      <c r="DF7" s="299"/>
      <c r="DG7" s="299"/>
      <c r="DH7" s="299"/>
      <c r="DI7" s="299"/>
      <c r="DJ7" s="299"/>
      <c r="DK7" s="299"/>
      <c r="DL7" s="299"/>
      <c r="DM7" s="299"/>
      <c r="DN7" s="299"/>
      <c r="DO7" s="299"/>
      <c r="DP7" s="299"/>
      <c r="DQ7" s="299"/>
      <c r="DR7" s="299"/>
      <c r="DS7" s="299"/>
      <c r="DT7" s="299"/>
      <c r="DU7" s="300"/>
      <c r="DV7" s="300"/>
      <c r="DW7" s="300"/>
      <c r="DX7" s="300"/>
      <c r="DY7" s="300"/>
      <c r="DZ7" s="300"/>
      <c r="EA7" s="300"/>
      <c r="EB7" s="300"/>
      <c r="EC7" s="300"/>
      <c r="ED7" s="300"/>
      <c r="EE7" s="300"/>
      <c r="EF7" s="300"/>
      <c r="EG7" s="300"/>
      <c r="EH7" s="300"/>
      <c r="EI7" s="300"/>
      <c r="EJ7" s="300"/>
      <c r="EK7" s="300"/>
      <c r="EL7" s="300"/>
      <c r="EM7" s="300"/>
      <c r="EN7" s="300"/>
      <c r="EO7" s="300"/>
      <c r="EP7" s="300"/>
      <c r="EQ7" s="300"/>
      <c r="ER7" s="300"/>
      <c r="ES7" s="300"/>
      <c r="ET7" s="300"/>
      <c r="EU7" s="300"/>
      <c r="EV7" s="300"/>
      <c r="EW7" s="300"/>
      <c r="EX7" s="300"/>
      <c r="EY7" s="300"/>
      <c r="EZ7" s="300"/>
      <c r="FA7" s="300"/>
      <c r="FB7" s="300"/>
      <c r="FC7" s="300"/>
      <c r="FD7" s="300"/>
      <c r="FE7" s="300"/>
      <c r="FF7" s="300"/>
      <c r="FG7" s="300"/>
      <c r="FH7" s="300"/>
      <c r="FI7" s="300"/>
      <c r="FJ7" s="300"/>
      <c r="FK7" s="300"/>
      <c r="FL7" s="300"/>
      <c r="FM7" s="300"/>
      <c r="FN7" s="300"/>
      <c r="FO7" s="300"/>
      <c r="FP7" s="300"/>
      <c r="FQ7" s="300"/>
      <c r="FR7" s="300"/>
      <c r="FS7" s="300"/>
      <c r="FT7" s="300"/>
      <c r="FU7" s="300"/>
      <c r="FV7" s="300"/>
      <c r="FW7" s="300"/>
      <c r="FX7" s="300"/>
      <c r="FY7" s="300"/>
      <c r="FZ7" s="300"/>
      <c r="GA7" s="300"/>
    </row>
    <row r="8" ht="18.75" customHeight="1">
      <c r="A8" s="281"/>
      <c r="B8" s="175" t="s">
        <v>21</v>
      </c>
      <c r="C8" s="287">
        <f t="shared" si="3"/>
        <v>150000</v>
      </c>
      <c r="D8" s="296">
        <v>75000.0</v>
      </c>
      <c r="E8" s="295"/>
      <c r="F8" s="295"/>
      <c r="G8" s="295"/>
      <c r="H8" s="296">
        <v>25000.0</v>
      </c>
      <c r="I8" s="295"/>
      <c r="J8" s="295"/>
      <c r="K8" s="295"/>
      <c r="L8" s="295"/>
      <c r="M8" s="296"/>
      <c r="N8" s="296">
        <v>35000.0</v>
      </c>
      <c r="O8" s="296"/>
      <c r="P8" s="296">
        <v>5000.0</v>
      </c>
      <c r="Q8" s="296">
        <v>52000.0</v>
      </c>
      <c r="R8" s="296">
        <v>75000.0</v>
      </c>
      <c r="S8" s="295"/>
      <c r="T8" s="295"/>
      <c r="U8" s="295"/>
      <c r="V8" s="295"/>
      <c r="W8" s="295"/>
      <c r="X8" s="296">
        <v>25000.0</v>
      </c>
      <c r="Y8" s="295"/>
      <c r="Z8" s="295"/>
      <c r="AA8" s="295"/>
      <c r="AB8" s="296">
        <v>2500.0</v>
      </c>
      <c r="AC8" s="295"/>
      <c r="AD8" s="295"/>
      <c r="AE8" s="295"/>
      <c r="AF8" s="296">
        <v>10000.0</v>
      </c>
      <c r="AG8" s="296">
        <v>25000.0</v>
      </c>
      <c r="AH8" s="296">
        <v>34000.0</v>
      </c>
      <c r="AI8" s="298">
        <v>140000.0</v>
      </c>
      <c r="AJ8" s="298">
        <v>15000.0</v>
      </c>
      <c r="AK8" s="298">
        <v>12500.0</v>
      </c>
      <c r="AL8" s="297"/>
      <c r="AM8" s="297"/>
      <c r="AN8" s="297"/>
      <c r="AO8" s="297"/>
      <c r="AP8" s="297"/>
      <c r="AQ8" s="298">
        <v>22000.0</v>
      </c>
      <c r="AR8" s="298">
        <v>57000.0</v>
      </c>
      <c r="AS8" s="298">
        <v>25000.0</v>
      </c>
      <c r="AT8" s="298">
        <v>10000.0</v>
      </c>
      <c r="AU8" s="297"/>
      <c r="AV8" s="298">
        <v>25000.0</v>
      </c>
      <c r="AW8" s="298">
        <v>10000.0</v>
      </c>
      <c r="AX8" s="298">
        <v>4166.0</v>
      </c>
      <c r="AY8" s="297"/>
      <c r="AZ8" s="297"/>
      <c r="BA8" s="298">
        <v>25000.0</v>
      </c>
      <c r="BB8" s="298">
        <v>25000.0</v>
      </c>
      <c r="BC8" s="297"/>
      <c r="BD8" s="297"/>
      <c r="BE8" s="297"/>
      <c r="BF8" s="297"/>
      <c r="BG8" s="298">
        <v>25000.0</v>
      </c>
      <c r="BH8" s="297"/>
      <c r="BI8" s="297"/>
      <c r="BJ8" s="297"/>
      <c r="BK8" s="298">
        <v>10000.0</v>
      </c>
      <c r="BL8" s="297"/>
      <c r="BM8" s="292"/>
      <c r="BN8" s="301">
        <v>25000.0</v>
      </c>
      <c r="BO8" s="299"/>
      <c r="BP8" s="299"/>
      <c r="BQ8" s="299"/>
      <c r="BR8" s="299"/>
      <c r="BS8" s="299"/>
      <c r="BT8" s="299"/>
      <c r="BU8" s="299"/>
      <c r="BV8" s="299"/>
      <c r="BW8" s="301">
        <v>75000.0</v>
      </c>
      <c r="BX8" s="301">
        <v>15000.0</v>
      </c>
      <c r="BY8" s="301">
        <v>35000.0</v>
      </c>
      <c r="BZ8" s="299"/>
      <c r="CA8" s="299"/>
      <c r="CB8" s="299"/>
      <c r="CC8" s="299"/>
      <c r="CD8" s="299"/>
      <c r="CE8" s="299"/>
      <c r="CF8" s="299"/>
      <c r="CG8" s="299"/>
      <c r="CH8" s="299"/>
      <c r="CI8" s="299"/>
      <c r="CJ8" s="299"/>
      <c r="CK8" s="299"/>
      <c r="CL8" s="299"/>
      <c r="CM8" s="299"/>
      <c r="CN8" s="299"/>
      <c r="CO8" s="299"/>
      <c r="CP8" s="299"/>
      <c r="CQ8" s="299"/>
      <c r="CR8" s="299"/>
      <c r="CS8" s="299"/>
      <c r="CT8" s="299"/>
      <c r="CU8" s="299"/>
      <c r="CV8" s="299"/>
      <c r="CW8" s="299"/>
      <c r="CX8" s="299"/>
      <c r="CY8" s="299"/>
      <c r="CZ8" s="299"/>
      <c r="DA8" s="299"/>
      <c r="DB8" s="299"/>
      <c r="DC8" s="299"/>
      <c r="DD8" s="299"/>
      <c r="DE8" s="299"/>
      <c r="DF8" s="299"/>
      <c r="DG8" s="299"/>
      <c r="DH8" s="299"/>
      <c r="DI8" s="299"/>
      <c r="DJ8" s="299"/>
      <c r="DK8" s="299"/>
      <c r="DL8" s="299"/>
      <c r="DM8" s="299"/>
      <c r="DN8" s="299"/>
      <c r="DO8" s="299"/>
      <c r="DP8" s="299"/>
      <c r="DQ8" s="299"/>
      <c r="DR8" s="299"/>
      <c r="DS8" s="299"/>
      <c r="DT8" s="299"/>
      <c r="DU8" s="300"/>
      <c r="DV8" s="300"/>
      <c r="DW8" s="300"/>
      <c r="DX8" s="300"/>
      <c r="DY8" s="300"/>
      <c r="DZ8" s="300"/>
      <c r="EA8" s="300"/>
      <c r="EB8" s="300"/>
      <c r="EC8" s="300"/>
      <c r="ED8" s="300"/>
      <c r="EE8" s="300"/>
      <c r="EF8" s="300"/>
      <c r="EG8" s="300"/>
      <c r="EH8" s="300"/>
      <c r="EI8" s="300"/>
      <c r="EJ8" s="300"/>
      <c r="EK8" s="300"/>
      <c r="EL8" s="300"/>
      <c r="EM8" s="300"/>
      <c r="EN8" s="300"/>
      <c r="EO8" s="300"/>
      <c r="EP8" s="300"/>
      <c r="EQ8" s="300"/>
      <c r="ER8" s="300"/>
      <c r="ES8" s="300"/>
      <c r="ET8" s="300"/>
      <c r="EU8" s="300"/>
      <c r="EV8" s="300"/>
      <c r="EW8" s="300"/>
      <c r="EX8" s="300"/>
      <c r="EY8" s="300"/>
      <c r="EZ8" s="300"/>
      <c r="FA8" s="300"/>
      <c r="FB8" s="300"/>
      <c r="FC8" s="300"/>
      <c r="FD8" s="300"/>
      <c r="FE8" s="300"/>
      <c r="FF8" s="300"/>
      <c r="FG8" s="300"/>
      <c r="FH8" s="300"/>
      <c r="FI8" s="300"/>
      <c r="FJ8" s="300"/>
      <c r="FK8" s="300"/>
      <c r="FL8" s="300"/>
      <c r="FM8" s="300"/>
      <c r="FN8" s="300"/>
      <c r="FO8" s="300"/>
      <c r="FP8" s="300"/>
      <c r="FQ8" s="300"/>
      <c r="FR8" s="300"/>
      <c r="FS8" s="300"/>
      <c r="FT8" s="300"/>
      <c r="FU8" s="300"/>
      <c r="FV8" s="300"/>
      <c r="FW8" s="300"/>
      <c r="FX8" s="300"/>
      <c r="FY8" s="300"/>
      <c r="FZ8" s="300"/>
      <c r="GA8" s="300"/>
    </row>
    <row r="9" ht="19.5" customHeight="1">
      <c r="A9" s="281"/>
      <c r="B9" s="175" t="s">
        <v>42</v>
      </c>
      <c r="C9" s="287">
        <f t="shared" si="3"/>
        <v>50000</v>
      </c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8">
        <v>2000.0</v>
      </c>
      <c r="R9" s="289"/>
      <c r="S9" s="289"/>
      <c r="T9" s="289"/>
      <c r="U9" s="288">
        <v>15000.0</v>
      </c>
      <c r="V9" s="289"/>
      <c r="W9" s="289"/>
      <c r="X9" s="288">
        <v>25000.0</v>
      </c>
      <c r="Y9" s="289"/>
      <c r="Z9" s="288">
        <v>25000.0</v>
      </c>
      <c r="AA9" s="289"/>
      <c r="AB9" s="288">
        <v>100000.0</v>
      </c>
      <c r="AC9" s="289"/>
      <c r="AD9" s="289"/>
      <c r="AE9" s="288">
        <v>250000.0</v>
      </c>
      <c r="AF9" s="289"/>
      <c r="AG9" s="288">
        <v>25000.0</v>
      </c>
      <c r="AH9" s="288">
        <v>25000.0</v>
      </c>
      <c r="AI9" s="291"/>
      <c r="AJ9" s="290"/>
      <c r="AK9" s="291">
        <v>10000.0</v>
      </c>
      <c r="AL9" s="291"/>
      <c r="AM9" s="290"/>
      <c r="AN9" s="291"/>
      <c r="AO9" s="291">
        <v>5000.0</v>
      </c>
      <c r="AP9" s="290"/>
      <c r="AQ9" s="291">
        <v>10000.0</v>
      </c>
      <c r="AR9" s="290"/>
      <c r="AS9" s="290"/>
      <c r="AT9" s="291">
        <v>25000.0</v>
      </c>
      <c r="AU9" s="290"/>
      <c r="AV9" s="290"/>
      <c r="AW9" s="290"/>
      <c r="AX9" s="291">
        <v>4166.0</v>
      </c>
      <c r="AY9" s="291">
        <v>25000.0</v>
      </c>
      <c r="AZ9" s="290"/>
      <c r="BA9" s="291">
        <v>5000.0</v>
      </c>
      <c r="BB9" s="291">
        <v>25000.0</v>
      </c>
      <c r="BC9" s="291">
        <v>50000.0</v>
      </c>
      <c r="BD9" s="290"/>
      <c r="BE9" s="291">
        <v>5000.0</v>
      </c>
      <c r="BF9" s="291">
        <v>50000.0</v>
      </c>
      <c r="BG9" s="291">
        <v>150000.0</v>
      </c>
      <c r="BH9" s="290"/>
      <c r="BI9" s="290"/>
      <c r="BJ9" s="291">
        <v>25000.0</v>
      </c>
      <c r="BK9" s="290"/>
      <c r="BL9" s="291">
        <v>6250.0</v>
      </c>
      <c r="BM9" s="302"/>
      <c r="BN9" s="303"/>
      <c r="BO9" s="293"/>
      <c r="BP9" s="293"/>
      <c r="BQ9" s="293"/>
      <c r="BR9" s="303">
        <v>25000.0</v>
      </c>
      <c r="BS9" s="293"/>
      <c r="BT9" s="293"/>
      <c r="BU9" s="293"/>
      <c r="BV9" s="303">
        <v>25000.0</v>
      </c>
      <c r="BW9" s="293"/>
      <c r="BX9" s="293"/>
      <c r="BY9" s="293"/>
      <c r="BZ9" s="293"/>
      <c r="CA9" s="293"/>
      <c r="CB9" s="293"/>
      <c r="CC9" s="293"/>
      <c r="CD9" s="293"/>
      <c r="CE9" s="293"/>
      <c r="CF9" s="293"/>
      <c r="CG9" s="293"/>
      <c r="CH9" s="293"/>
      <c r="CI9" s="293"/>
      <c r="CJ9" s="293"/>
      <c r="CK9" s="293"/>
      <c r="CL9" s="293"/>
      <c r="CM9" s="293"/>
      <c r="CN9" s="293"/>
      <c r="CO9" s="293"/>
      <c r="CP9" s="293"/>
      <c r="CQ9" s="293"/>
      <c r="CR9" s="293"/>
      <c r="CS9" s="293"/>
      <c r="CT9" s="293"/>
      <c r="CU9" s="293"/>
      <c r="CV9" s="293"/>
      <c r="CW9" s="293"/>
      <c r="CX9" s="293"/>
      <c r="CY9" s="293"/>
      <c r="CZ9" s="293"/>
      <c r="DA9" s="293"/>
      <c r="DB9" s="293"/>
      <c r="DC9" s="293"/>
      <c r="DD9" s="293"/>
      <c r="DE9" s="293"/>
      <c r="DF9" s="293"/>
      <c r="DG9" s="293"/>
      <c r="DH9" s="293"/>
      <c r="DI9" s="293"/>
      <c r="DJ9" s="293"/>
      <c r="DK9" s="293"/>
      <c r="DL9" s="293"/>
      <c r="DM9" s="293"/>
      <c r="DN9" s="293"/>
      <c r="DO9" s="293"/>
      <c r="DP9" s="293"/>
      <c r="DQ9" s="293"/>
      <c r="DR9" s="293"/>
      <c r="DS9" s="293"/>
      <c r="DT9" s="293"/>
      <c r="DU9" s="294"/>
      <c r="DV9" s="294"/>
      <c r="DW9" s="294"/>
      <c r="DX9" s="294"/>
      <c r="DY9" s="294"/>
      <c r="DZ9" s="294"/>
      <c r="EA9" s="294"/>
      <c r="EB9" s="294"/>
      <c r="EC9" s="294"/>
      <c r="ED9" s="294"/>
      <c r="EE9" s="294"/>
      <c r="EF9" s="294"/>
      <c r="EG9" s="294"/>
      <c r="EH9" s="294"/>
      <c r="EI9" s="294"/>
      <c r="EJ9" s="294"/>
      <c r="EK9" s="294"/>
      <c r="EL9" s="294"/>
      <c r="EM9" s="294"/>
      <c r="EN9" s="294"/>
      <c r="EO9" s="294"/>
      <c r="EP9" s="294"/>
      <c r="EQ9" s="294"/>
      <c r="ER9" s="294"/>
      <c r="ES9" s="294"/>
      <c r="ET9" s="294"/>
      <c r="EU9" s="294"/>
      <c r="EV9" s="294"/>
      <c r="EW9" s="294"/>
      <c r="EX9" s="294"/>
      <c r="EY9" s="294"/>
      <c r="EZ9" s="294"/>
      <c r="FA9" s="294"/>
      <c r="FB9" s="294"/>
      <c r="FC9" s="294"/>
      <c r="FD9" s="294"/>
      <c r="FE9" s="294"/>
      <c r="FF9" s="294"/>
      <c r="FG9" s="294"/>
      <c r="FH9" s="294"/>
      <c r="FI9" s="294"/>
      <c r="FJ9" s="294"/>
      <c r="FK9" s="294"/>
      <c r="FL9" s="294"/>
      <c r="FM9" s="294"/>
      <c r="FN9" s="294"/>
      <c r="FO9" s="294"/>
      <c r="FP9" s="294"/>
      <c r="FQ9" s="294"/>
      <c r="FR9" s="294"/>
      <c r="FS9" s="294"/>
      <c r="FT9" s="294"/>
      <c r="FU9" s="294"/>
      <c r="FV9" s="294"/>
      <c r="FW9" s="294"/>
      <c r="FX9" s="294"/>
      <c r="FY9" s="294"/>
      <c r="FZ9" s="294"/>
      <c r="GA9" s="294"/>
    </row>
    <row r="10" ht="19.5" customHeight="1">
      <c r="A10" s="281"/>
      <c r="B10" s="175" t="s">
        <v>12</v>
      </c>
      <c r="C10" s="287">
        <f t="shared" si="3"/>
        <v>35000</v>
      </c>
      <c r="D10" s="295"/>
      <c r="E10" s="295"/>
      <c r="F10" s="295"/>
      <c r="G10" s="295"/>
      <c r="H10" s="295"/>
      <c r="I10" s="295"/>
      <c r="J10" s="295"/>
      <c r="K10" s="295"/>
      <c r="L10" s="295"/>
      <c r="M10" s="295"/>
      <c r="N10" s="296">
        <v>100000.0</v>
      </c>
      <c r="O10" s="295"/>
      <c r="P10" s="295"/>
      <c r="Q10" s="295"/>
      <c r="R10" s="296">
        <v>10000.0</v>
      </c>
      <c r="S10" s="295"/>
      <c r="T10" s="295"/>
      <c r="U10" s="295"/>
      <c r="V10" s="295"/>
      <c r="W10" s="295"/>
      <c r="X10" s="295"/>
      <c r="Y10" s="295"/>
      <c r="Z10" s="295"/>
      <c r="AA10" s="295"/>
      <c r="AB10" s="296">
        <v>12500.0</v>
      </c>
      <c r="AC10" s="295"/>
      <c r="AD10" s="295"/>
      <c r="AE10" s="296">
        <v>75000.0</v>
      </c>
      <c r="AF10" s="295"/>
      <c r="AG10" s="295"/>
      <c r="AH10" s="296">
        <v>34000.0</v>
      </c>
      <c r="AI10" s="297"/>
      <c r="AJ10" s="298">
        <v>20000.0</v>
      </c>
      <c r="AK10" s="298">
        <v>2000.0</v>
      </c>
      <c r="AL10" s="297"/>
      <c r="AM10" s="298">
        <v>10000.0</v>
      </c>
      <c r="AN10" s="297"/>
      <c r="AO10" s="297"/>
      <c r="AP10" s="297"/>
      <c r="AQ10" s="297"/>
      <c r="AR10" s="298">
        <v>25000.0</v>
      </c>
      <c r="AS10" s="297"/>
      <c r="AT10" s="298">
        <v>25000.0</v>
      </c>
      <c r="AU10" s="297"/>
      <c r="AV10" s="297"/>
      <c r="AW10" s="297"/>
      <c r="AX10" s="298"/>
      <c r="AY10" s="297"/>
      <c r="AZ10" s="297"/>
      <c r="BA10" s="298">
        <v>25000.0</v>
      </c>
      <c r="BB10" s="298">
        <v>2000.0</v>
      </c>
      <c r="BC10" s="297"/>
      <c r="BD10" s="297"/>
      <c r="BE10" s="298">
        <v>2000.0</v>
      </c>
      <c r="BF10" s="297"/>
      <c r="BG10" s="297"/>
      <c r="BH10" s="297"/>
      <c r="BI10" s="297"/>
      <c r="BJ10" s="297"/>
      <c r="BK10" s="297"/>
      <c r="BL10" s="298">
        <v>6250.0</v>
      </c>
      <c r="BM10" s="302"/>
      <c r="BN10" s="299"/>
      <c r="BO10" s="299"/>
      <c r="BP10" s="299"/>
      <c r="BQ10" s="299"/>
      <c r="BR10" s="299"/>
      <c r="BS10" s="299"/>
      <c r="BT10" s="299"/>
      <c r="BU10" s="299"/>
      <c r="BV10" s="299"/>
      <c r="BW10" s="299"/>
      <c r="BX10" s="299"/>
      <c r="BY10" s="301">
        <v>35000.0</v>
      </c>
      <c r="BZ10" s="299"/>
      <c r="CA10" s="299"/>
      <c r="CB10" s="299"/>
      <c r="CC10" s="299"/>
      <c r="CD10" s="299"/>
      <c r="CE10" s="299"/>
      <c r="CF10" s="299"/>
      <c r="CG10" s="299"/>
      <c r="CH10" s="299"/>
      <c r="CI10" s="299"/>
      <c r="CJ10" s="299"/>
      <c r="CK10" s="299"/>
      <c r="CL10" s="299"/>
      <c r="CM10" s="299"/>
      <c r="CN10" s="299"/>
      <c r="CO10" s="299"/>
      <c r="CP10" s="299"/>
      <c r="CQ10" s="299"/>
      <c r="CR10" s="299"/>
      <c r="CS10" s="299"/>
      <c r="CT10" s="299"/>
      <c r="CU10" s="299"/>
      <c r="CV10" s="299"/>
      <c r="CW10" s="299"/>
      <c r="CX10" s="299"/>
      <c r="CY10" s="299"/>
      <c r="CZ10" s="299"/>
      <c r="DA10" s="299"/>
      <c r="DB10" s="299"/>
      <c r="DC10" s="299"/>
      <c r="DD10" s="299"/>
      <c r="DE10" s="299"/>
      <c r="DF10" s="299"/>
      <c r="DG10" s="299"/>
      <c r="DH10" s="299"/>
      <c r="DI10" s="299"/>
      <c r="DJ10" s="299"/>
      <c r="DK10" s="299"/>
      <c r="DL10" s="299"/>
      <c r="DM10" s="299"/>
      <c r="DN10" s="299"/>
      <c r="DO10" s="299"/>
      <c r="DP10" s="299"/>
      <c r="DQ10" s="299"/>
      <c r="DR10" s="299"/>
      <c r="DS10" s="299"/>
      <c r="DT10" s="299"/>
      <c r="DU10" s="300"/>
      <c r="DV10" s="300"/>
      <c r="DW10" s="300"/>
      <c r="DX10" s="300"/>
      <c r="DY10" s="300"/>
      <c r="DZ10" s="300"/>
      <c r="EA10" s="300"/>
      <c r="EB10" s="300"/>
      <c r="EC10" s="300"/>
      <c r="ED10" s="300"/>
      <c r="EE10" s="300"/>
      <c r="EF10" s="300"/>
      <c r="EG10" s="300"/>
      <c r="EH10" s="300"/>
      <c r="EI10" s="300"/>
      <c r="EJ10" s="300"/>
      <c r="EK10" s="300"/>
      <c r="EL10" s="300"/>
      <c r="EM10" s="300"/>
      <c r="EN10" s="300"/>
      <c r="EO10" s="300"/>
      <c r="EP10" s="300"/>
      <c r="EQ10" s="300"/>
      <c r="ER10" s="300"/>
      <c r="ES10" s="300"/>
      <c r="ET10" s="300"/>
      <c r="EU10" s="300"/>
      <c r="EV10" s="300"/>
      <c r="EW10" s="300"/>
      <c r="EX10" s="300"/>
      <c r="EY10" s="300"/>
      <c r="EZ10" s="300"/>
      <c r="FA10" s="300"/>
      <c r="FB10" s="300"/>
      <c r="FC10" s="300"/>
      <c r="FD10" s="300"/>
      <c r="FE10" s="300"/>
      <c r="FF10" s="300"/>
      <c r="FG10" s="300"/>
      <c r="FH10" s="300"/>
      <c r="FI10" s="300"/>
      <c r="FJ10" s="300"/>
      <c r="FK10" s="300"/>
      <c r="FL10" s="300"/>
      <c r="FM10" s="300"/>
      <c r="FN10" s="300"/>
      <c r="FO10" s="300"/>
      <c r="FP10" s="300"/>
      <c r="FQ10" s="300"/>
      <c r="FR10" s="300"/>
      <c r="FS10" s="300"/>
      <c r="FT10" s="300"/>
      <c r="FU10" s="300"/>
      <c r="FV10" s="300"/>
      <c r="FW10" s="300"/>
      <c r="FX10" s="300"/>
      <c r="FY10" s="300"/>
      <c r="FZ10" s="300"/>
      <c r="GA10" s="300"/>
    </row>
    <row r="11" ht="22.5" customHeight="1">
      <c r="A11" s="286"/>
      <c r="B11" s="175" t="s">
        <v>44</v>
      </c>
      <c r="C11" s="287">
        <f t="shared" si="3"/>
        <v>313000</v>
      </c>
      <c r="D11" s="289"/>
      <c r="E11" s="289"/>
      <c r="F11" s="289"/>
      <c r="G11" s="289"/>
      <c r="H11" s="289"/>
      <c r="I11" s="289"/>
      <c r="J11" s="289"/>
      <c r="K11" s="289"/>
      <c r="L11" s="289"/>
      <c r="M11" s="289"/>
      <c r="N11" s="289"/>
      <c r="O11" s="288">
        <v>10000.0</v>
      </c>
      <c r="P11" s="289"/>
      <c r="Q11" s="288">
        <v>47000.0</v>
      </c>
      <c r="R11" s="289"/>
      <c r="S11" s="288">
        <v>15000.0</v>
      </c>
      <c r="T11" s="288"/>
      <c r="U11" s="289"/>
      <c r="V11" s="289"/>
      <c r="W11" s="289"/>
      <c r="X11" s="289"/>
      <c r="Y11" s="289"/>
      <c r="Z11" s="289"/>
      <c r="AA11" s="288">
        <v>100000.0</v>
      </c>
      <c r="AB11" s="289"/>
      <c r="AC11" s="289"/>
      <c r="AD11" s="289"/>
      <c r="AE11" s="289"/>
      <c r="AF11" s="289"/>
      <c r="AG11" s="288">
        <v>5000.0</v>
      </c>
      <c r="AH11" s="288">
        <v>39000.0</v>
      </c>
      <c r="AI11" s="291"/>
      <c r="AJ11" s="291">
        <v>75000.0</v>
      </c>
      <c r="AK11" s="290"/>
      <c r="AL11" s="290"/>
      <c r="AM11" s="291">
        <v>75000.0</v>
      </c>
      <c r="AN11" s="290"/>
      <c r="AO11" s="290"/>
      <c r="AP11" s="290"/>
      <c r="AQ11" s="291">
        <v>10000.0</v>
      </c>
      <c r="AR11" s="291">
        <v>152000.0</v>
      </c>
      <c r="AS11" s="290"/>
      <c r="AT11" s="290"/>
      <c r="AU11" s="290"/>
      <c r="AV11" s="290"/>
      <c r="AW11" s="290"/>
      <c r="AX11" s="291">
        <v>4167.0</v>
      </c>
      <c r="AY11" s="290"/>
      <c r="AZ11" s="290"/>
      <c r="BA11" s="291">
        <v>10000.0</v>
      </c>
      <c r="BB11" s="291">
        <v>2000.0</v>
      </c>
      <c r="BC11" s="291">
        <v>25000.0</v>
      </c>
      <c r="BD11" s="291">
        <v>10000.0</v>
      </c>
      <c r="BE11" s="291">
        <v>2000.0</v>
      </c>
      <c r="BF11" s="290"/>
      <c r="BG11" s="291">
        <v>70000.0</v>
      </c>
      <c r="BH11" s="291">
        <v>140000.0</v>
      </c>
      <c r="BI11" s="290"/>
      <c r="BJ11" s="290"/>
      <c r="BK11" s="291">
        <v>100000.0</v>
      </c>
      <c r="BL11" s="291">
        <v>6250.0</v>
      </c>
      <c r="BM11" s="304">
        <v>113000.0</v>
      </c>
      <c r="BN11" s="303"/>
      <c r="BO11" s="293"/>
      <c r="BP11" s="303"/>
      <c r="BQ11" s="303">
        <v>50000.0</v>
      </c>
      <c r="BR11" s="293"/>
      <c r="BS11" s="293"/>
      <c r="BT11" s="293"/>
      <c r="BU11" s="293"/>
      <c r="BV11" s="293"/>
      <c r="BW11" s="293"/>
      <c r="BX11" s="303">
        <v>150000.0</v>
      </c>
      <c r="BY11" s="293"/>
      <c r="BZ11" s="293"/>
      <c r="CA11" s="293"/>
      <c r="CB11" s="293"/>
      <c r="CC11" s="293"/>
      <c r="CD11" s="293"/>
      <c r="CE11" s="293"/>
      <c r="CF11" s="293"/>
      <c r="CG11" s="293"/>
      <c r="CH11" s="293"/>
      <c r="CI11" s="293"/>
      <c r="CJ11" s="293"/>
      <c r="CK11" s="293"/>
      <c r="CL11" s="293"/>
      <c r="CM11" s="293"/>
      <c r="CN11" s="293"/>
      <c r="CO11" s="293"/>
      <c r="CP11" s="293"/>
      <c r="CQ11" s="293"/>
      <c r="CR11" s="293"/>
      <c r="CS11" s="293"/>
      <c r="CT11" s="293"/>
      <c r="CU11" s="293"/>
      <c r="CV11" s="293"/>
      <c r="CW11" s="293"/>
      <c r="CX11" s="293"/>
      <c r="CY11" s="293"/>
      <c r="CZ11" s="293"/>
      <c r="DA11" s="293"/>
      <c r="DB11" s="293"/>
      <c r="DC11" s="293"/>
      <c r="DD11" s="293"/>
      <c r="DE11" s="293"/>
      <c r="DF11" s="293"/>
      <c r="DG11" s="293"/>
      <c r="DH11" s="293"/>
      <c r="DI11" s="293"/>
      <c r="DJ11" s="293"/>
      <c r="DK11" s="293"/>
      <c r="DL11" s="293"/>
      <c r="DM11" s="293"/>
      <c r="DN11" s="293"/>
      <c r="DO11" s="293"/>
      <c r="DP11" s="293"/>
      <c r="DQ11" s="293"/>
      <c r="DR11" s="293"/>
      <c r="DS11" s="293"/>
      <c r="DT11" s="293"/>
      <c r="DU11" s="294"/>
      <c r="DV11" s="294"/>
      <c r="DW11" s="294"/>
      <c r="DX11" s="294"/>
      <c r="DY11" s="294"/>
      <c r="DZ11" s="294"/>
      <c r="EA11" s="294"/>
      <c r="EB11" s="294"/>
      <c r="EC11" s="294"/>
      <c r="ED11" s="294"/>
      <c r="EE11" s="294"/>
      <c r="EF11" s="294"/>
      <c r="EG11" s="294"/>
      <c r="EH11" s="294"/>
      <c r="EI11" s="294"/>
      <c r="EJ11" s="294"/>
      <c r="EK11" s="294"/>
      <c r="EL11" s="294"/>
      <c r="EM11" s="294"/>
      <c r="EN11" s="294"/>
      <c r="EO11" s="294"/>
      <c r="EP11" s="294"/>
      <c r="EQ11" s="294"/>
      <c r="ER11" s="294"/>
      <c r="ES11" s="294"/>
      <c r="ET11" s="294"/>
      <c r="EU11" s="294"/>
      <c r="EV11" s="294"/>
      <c r="EW11" s="294"/>
      <c r="EX11" s="294"/>
      <c r="EY11" s="294"/>
      <c r="EZ11" s="294"/>
      <c r="FA11" s="294"/>
      <c r="FB11" s="294"/>
      <c r="FC11" s="294"/>
      <c r="FD11" s="294"/>
      <c r="FE11" s="294"/>
      <c r="FF11" s="294"/>
      <c r="FG11" s="294"/>
      <c r="FH11" s="294"/>
      <c r="FI11" s="294"/>
      <c r="FJ11" s="294"/>
      <c r="FK11" s="294"/>
      <c r="FL11" s="294"/>
      <c r="FM11" s="294"/>
      <c r="FN11" s="294"/>
      <c r="FO11" s="294"/>
      <c r="FP11" s="294"/>
      <c r="FQ11" s="294"/>
      <c r="FR11" s="294"/>
      <c r="FS11" s="294"/>
      <c r="FT11" s="294"/>
      <c r="FU11" s="294"/>
      <c r="FV11" s="294"/>
      <c r="FW11" s="294"/>
      <c r="FX11" s="294"/>
      <c r="FY11" s="294"/>
      <c r="FZ11" s="294"/>
      <c r="GA11" s="294"/>
    </row>
    <row r="12" ht="19.5" customHeight="1">
      <c r="A12" s="281"/>
      <c r="B12" s="175" t="s">
        <v>14</v>
      </c>
      <c r="C12" s="287">
        <f t="shared" si="3"/>
        <v>108000</v>
      </c>
      <c r="D12" s="295"/>
      <c r="E12" s="295"/>
      <c r="F12" s="295"/>
      <c r="G12" s="295"/>
      <c r="H12" s="295"/>
      <c r="I12" s="295"/>
      <c r="J12" s="295"/>
      <c r="K12" s="295"/>
      <c r="L12" s="295"/>
      <c r="M12" s="296">
        <v>5000.0</v>
      </c>
      <c r="N12" s="296">
        <v>25000.0</v>
      </c>
      <c r="O12" s="295"/>
      <c r="P12" s="295"/>
      <c r="Q12" s="295"/>
      <c r="R12" s="295"/>
      <c r="S12" s="295"/>
      <c r="T12" s="295"/>
      <c r="U12" s="295"/>
      <c r="V12" s="296">
        <v>75000.0</v>
      </c>
      <c r="W12" s="295"/>
      <c r="X12" s="295"/>
      <c r="Y12" s="296">
        <v>5000.0</v>
      </c>
      <c r="Z12" s="295"/>
      <c r="AA12" s="295"/>
      <c r="AB12" s="295"/>
      <c r="AC12" s="295"/>
      <c r="AD12" s="296">
        <v>50000.0</v>
      </c>
      <c r="AE12" s="295"/>
      <c r="AF12" s="295"/>
      <c r="AG12" s="296">
        <v>208000.0</v>
      </c>
      <c r="AH12" s="296">
        <v>46000.0</v>
      </c>
      <c r="AI12" s="298"/>
      <c r="AJ12" s="297"/>
      <c r="AK12" s="297"/>
      <c r="AL12" s="297"/>
      <c r="AM12" s="297"/>
      <c r="AN12" s="298"/>
      <c r="AO12" s="298">
        <v>5000.0</v>
      </c>
      <c r="AP12" s="297"/>
      <c r="AQ12" s="297"/>
      <c r="AR12" s="297"/>
      <c r="AS12" s="297"/>
      <c r="AT12" s="298">
        <v>85000.0</v>
      </c>
      <c r="AU12" s="297"/>
      <c r="AV12" s="298">
        <v>10000.0</v>
      </c>
      <c r="AW12" s="297"/>
      <c r="AX12" s="297"/>
      <c r="AY12" s="298">
        <v>75000.0</v>
      </c>
      <c r="AZ12" s="298">
        <v>500000.0</v>
      </c>
      <c r="BA12" s="298">
        <v>3000.0</v>
      </c>
      <c r="BB12" s="298">
        <v>2000.0</v>
      </c>
      <c r="BC12" s="297"/>
      <c r="BD12" s="297"/>
      <c r="BE12" s="298">
        <v>2000.0</v>
      </c>
      <c r="BF12" s="297"/>
      <c r="BG12" s="297"/>
      <c r="BH12" s="297"/>
      <c r="BI12" s="297"/>
      <c r="BJ12" s="297"/>
      <c r="BK12" s="297"/>
      <c r="BL12" s="297"/>
      <c r="BM12" s="304">
        <v>53000.0</v>
      </c>
      <c r="BN12" s="301"/>
      <c r="BO12" s="299"/>
      <c r="BP12" s="301"/>
      <c r="BQ12" s="301">
        <v>50000.0</v>
      </c>
      <c r="BR12" s="299"/>
      <c r="BS12" s="299"/>
      <c r="BT12" s="299"/>
      <c r="BU12" s="299"/>
      <c r="BV12" s="299"/>
      <c r="BW12" s="299"/>
      <c r="BX12" s="301">
        <v>5000.0</v>
      </c>
      <c r="BY12" s="299"/>
      <c r="BZ12" s="299"/>
      <c r="CA12" s="299"/>
      <c r="CB12" s="299"/>
      <c r="CC12" s="299"/>
      <c r="CD12" s="299"/>
      <c r="CE12" s="299"/>
      <c r="CF12" s="299"/>
      <c r="CG12" s="299"/>
      <c r="CH12" s="299"/>
      <c r="CI12" s="299"/>
      <c r="CJ12" s="299"/>
      <c r="CK12" s="299"/>
      <c r="CL12" s="299"/>
      <c r="CM12" s="299"/>
      <c r="CN12" s="299"/>
      <c r="CO12" s="299"/>
      <c r="CP12" s="299"/>
      <c r="CQ12" s="299"/>
      <c r="CR12" s="299"/>
      <c r="CS12" s="299"/>
      <c r="CT12" s="299"/>
      <c r="CU12" s="299"/>
      <c r="CV12" s="299"/>
      <c r="CW12" s="299"/>
      <c r="CX12" s="299"/>
      <c r="CY12" s="299"/>
      <c r="CZ12" s="299"/>
      <c r="DA12" s="299"/>
      <c r="DB12" s="299"/>
      <c r="DC12" s="299"/>
      <c r="DD12" s="299"/>
      <c r="DE12" s="299"/>
      <c r="DF12" s="299"/>
      <c r="DG12" s="299"/>
      <c r="DH12" s="299"/>
      <c r="DI12" s="299"/>
      <c r="DJ12" s="299"/>
      <c r="DK12" s="299"/>
      <c r="DL12" s="299"/>
      <c r="DM12" s="299"/>
      <c r="DN12" s="299"/>
      <c r="DO12" s="299"/>
      <c r="DP12" s="299"/>
      <c r="DQ12" s="299"/>
      <c r="DR12" s="299"/>
      <c r="DS12" s="299"/>
      <c r="DT12" s="299"/>
      <c r="DU12" s="300"/>
      <c r="DV12" s="300"/>
      <c r="DW12" s="300"/>
      <c r="DX12" s="300"/>
      <c r="DY12" s="300"/>
      <c r="DZ12" s="300"/>
      <c r="EA12" s="300"/>
      <c r="EB12" s="300"/>
      <c r="EC12" s="300"/>
      <c r="ED12" s="300"/>
      <c r="EE12" s="300"/>
      <c r="EF12" s="300"/>
      <c r="EG12" s="300"/>
      <c r="EH12" s="300"/>
      <c r="EI12" s="300"/>
      <c r="EJ12" s="300"/>
      <c r="EK12" s="300"/>
      <c r="EL12" s="300"/>
      <c r="EM12" s="300"/>
      <c r="EN12" s="300"/>
      <c r="EO12" s="300"/>
      <c r="EP12" s="300"/>
      <c r="EQ12" s="300"/>
      <c r="ER12" s="300"/>
      <c r="ES12" s="300"/>
      <c r="ET12" s="300"/>
      <c r="EU12" s="300"/>
      <c r="EV12" s="300"/>
      <c r="EW12" s="300"/>
      <c r="EX12" s="300"/>
      <c r="EY12" s="300"/>
      <c r="EZ12" s="300"/>
      <c r="FA12" s="300"/>
      <c r="FB12" s="300"/>
      <c r="FC12" s="300"/>
      <c r="FD12" s="300"/>
      <c r="FE12" s="300"/>
      <c r="FF12" s="300"/>
      <c r="FG12" s="300"/>
      <c r="FH12" s="300"/>
      <c r="FI12" s="300"/>
      <c r="FJ12" s="300"/>
      <c r="FK12" s="300"/>
      <c r="FL12" s="300"/>
      <c r="FM12" s="300"/>
      <c r="FN12" s="300"/>
      <c r="FO12" s="300"/>
      <c r="FP12" s="300"/>
      <c r="FQ12" s="300"/>
      <c r="FR12" s="300"/>
      <c r="FS12" s="300"/>
      <c r="FT12" s="300"/>
      <c r="FU12" s="300"/>
      <c r="FV12" s="300"/>
      <c r="FW12" s="300"/>
      <c r="FX12" s="300"/>
      <c r="FY12" s="300"/>
      <c r="FZ12" s="300"/>
      <c r="GA12" s="300"/>
    </row>
    <row r="13" ht="19.5" customHeight="1">
      <c r="A13" s="281"/>
      <c r="B13" s="175" t="s">
        <v>46</v>
      </c>
      <c r="C13" s="287">
        <f t="shared" si="3"/>
        <v>170000</v>
      </c>
      <c r="D13" s="288">
        <v>10000.0</v>
      </c>
      <c r="E13" s="289"/>
      <c r="F13" s="289"/>
      <c r="G13" s="289"/>
      <c r="H13" s="289"/>
      <c r="I13" s="289"/>
      <c r="J13" s="289"/>
      <c r="K13" s="289"/>
      <c r="L13" s="288">
        <v>30000.0</v>
      </c>
      <c r="M13" s="289"/>
      <c r="N13" s="289"/>
      <c r="O13" s="289"/>
      <c r="P13" s="289"/>
      <c r="Q13" s="288">
        <v>202000.0</v>
      </c>
      <c r="R13" s="289"/>
      <c r="S13" s="289"/>
      <c r="T13" s="288">
        <v>5000.0</v>
      </c>
      <c r="U13" s="289"/>
      <c r="V13" s="289"/>
      <c r="W13" s="288">
        <v>2000.0</v>
      </c>
      <c r="X13" s="289"/>
      <c r="Y13" s="289"/>
      <c r="Z13" s="289"/>
      <c r="AA13" s="288">
        <v>5000.0</v>
      </c>
      <c r="AB13" s="289"/>
      <c r="AC13" s="289"/>
      <c r="AD13" s="288"/>
      <c r="AE13" s="288">
        <v>20000.0</v>
      </c>
      <c r="AF13" s="288">
        <v>263000.0</v>
      </c>
      <c r="AG13" s="288">
        <v>10000.0</v>
      </c>
      <c r="AH13" s="288">
        <v>46000.0</v>
      </c>
      <c r="AI13" s="290"/>
      <c r="AJ13" s="290"/>
      <c r="AK13" s="290"/>
      <c r="AL13" s="291">
        <v>5000.0</v>
      </c>
      <c r="AM13" s="291">
        <v>10000.0</v>
      </c>
      <c r="AN13" s="290"/>
      <c r="AO13" s="290"/>
      <c r="AP13" s="290"/>
      <c r="AQ13" s="291">
        <v>85000.0</v>
      </c>
      <c r="AR13" s="290"/>
      <c r="AS13" s="290"/>
      <c r="AT13" s="290"/>
      <c r="AU13" s="291">
        <v>15000.0</v>
      </c>
      <c r="AV13" s="291">
        <v>15000.0</v>
      </c>
      <c r="AW13" s="290"/>
      <c r="AX13" s="291">
        <v>4166.0</v>
      </c>
      <c r="AY13" s="291">
        <v>25000.0</v>
      </c>
      <c r="AZ13" s="291">
        <v>25000.0</v>
      </c>
      <c r="BA13" s="291">
        <v>4000.0</v>
      </c>
      <c r="BB13" s="291">
        <v>2000.0</v>
      </c>
      <c r="BC13" s="290"/>
      <c r="BD13" s="290"/>
      <c r="BE13" s="291">
        <v>2000.0</v>
      </c>
      <c r="BF13" s="291">
        <v>110000.0</v>
      </c>
      <c r="BG13" s="290"/>
      <c r="BH13" s="290"/>
      <c r="BI13" s="291">
        <v>50000.0</v>
      </c>
      <c r="BJ13" s="290"/>
      <c r="BK13" s="290"/>
      <c r="BL13" s="291">
        <v>6250.0</v>
      </c>
      <c r="BM13" s="305"/>
      <c r="BN13" s="293"/>
      <c r="BO13" s="293"/>
      <c r="BP13" s="293"/>
      <c r="BQ13" s="293"/>
      <c r="BR13" s="293"/>
      <c r="BS13" s="293"/>
      <c r="BT13" s="293"/>
      <c r="BU13" s="303">
        <v>150000.0</v>
      </c>
      <c r="BV13" s="293"/>
      <c r="BW13" s="293"/>
      <c r="BX13" s="293"/>
      <c r="BY13" s="293"/>
      <c r="BZ13" s="303">
        <v>5000.0</v>
      </c>
      <c r="CA13" s="303">
        <v>15000.0</v>
      </c>
      <c r="CB13" s="293"/>
      <c r="CC13" s="293"/>
      <c r="CD13" s="293"/>
      <c r="CE13" s="293"/>
      <c r="CF13" s="293"/>
      <c r="CG13" s="293"/>
      <c r="CH13" s="293"/>
      <c r="CI13" s="293"/>
      <c r="CJ13" s="293"/>
      <c r="CK13" s="293"/>
      <c r="CL13" s="293"/>
      <c r="CM13" s="293"/>
      <c r="CN13" s="293"/>
      <c r="CO13" s="293"/>
      <c r="CP13" s="293"/>
      <c r="CQ13" s="293"/>
      <c r="CR13" s="293"/>
      <c r="CS13" s="293"/>
      <c r="CT13" s="293"/>
      <c r="CU13" s="293"/>
      <c r="CV13" s="293"/>
      <c r="CW13" s="293"/>
      <c r="CX13" s="293"/>
      <c r="CY13" s="293"/>
      <c r="CZ13" s="293"/>
      <c r="DA13" s="293"/>
      <c r="DB13" s="293"/>
      <c r="DC13" s="293"/>
      <c r="DD13" s="293"/>
      <c r="DE13" s="293"/>
      <c r="DF13" s="293"/>
      <c r="DG13" s="293"/>
      <c r="DH13" s="293"/>
      <c r="DI13" s="293"/>
      <c r="DJ13" s="293"/>
      <c r="DK13" s="293"/>
      <c r="DL13" s="293"/>
      <c r="DM13" s="293"/>
      <c r="DN13" s="293"/>
      <c r="DO13" s="293"/>
      <c r="DP13" s="293"/>
      <c r="DQ13" s="293"/>
      <c r="DR13" s="293"/>
      <c r="DS13" s="293"/>
      <c r="DT13" s="293"/>
      <c r="DU13" s="294"/>
      <c r="DV13" s="294"/>
      <c r="DW13" s="294"/>
      <c r="DX13" s="294"/>
      <c r="DY13" s="294"/>
      <c r="DZ13" s="294"/>
      <c r="EA13" s="294"/>
      <c r="EB13" s="294"/>
      <c r="EC13" s="294"/>
      <c r="ED13" s="294"/>
      <c r="EE13" s="294"/>
      <c r="EF13" s="294"/>
      <c r="EG13" s="294"/>
      <c r="EH13" s="294"/>
      <c r="EI13" s="294"/>
      <c r="EJ13" s="294"/>
      <c r="EK13" s="294"/>
      <c r="EL13" s="294"/>
      <c r="EM13" s="294"/>
      <c r="EN13" s="294"/>
      <c r="EO13" s="294"/>
      <c r="EP13" s="294"/>
      <c r="EQ13" s="294"/>
      <c r="ER13" s="294"/>
      <c r="ES13" s="294"/>
      <c r="ET13" s="294"/>
      <c r="EU13" s="294"/>
      <c r="EV13" s="294"/>
      <c r="EW13" s="294"/>
      <c r="EX13" s="294"/>
      <c r="EY13" s="294"/>
      <c r="EZ13" s="294"/>
      <c r="FA13" s="294"/>
      <c r="FB13" s="294"/>
      <c r="FC13" s="294"/>
      <c r="FD13" s="294"/>
      <c r="FE13" s="294"/>
      <c r="FF13" s="294"/>
      <c r="FG13" s="294"/>
      <c r="FH13" s="294"/>
      <c r="FI13" s="294"/>
      <c r="FJ13" s="294"/>
      <c r="FK13" s="294"/>
      <c r="FL13" s="294"/>
      <c r="FM13" s="294"/>
      <c r="FN13" s="294"/>
      <c r="FO13" s="294"/>
      <c r="FP13" s="294"/>
      <c r="FQ13" s="294"/>
      <c r="FR13" s="294"/>
      <c r="FS13" s="294"/>
      <c r="FT13" s="294"/>
      <c r="FU13" s="294"/>
      <c r="FV13" s="294"/>
      <c r="FW13" s="294"/>
      <c r="FX13" s="294"/>
      <c r="FY13" s="294"/>
      <c r="FZ13" s="294"/>
      <c r="GA13" s="294"/>
    </row>
    <row r="14" ht="19.5" customHeight="1">
      <c r="A14" s="286"/>
      <c r="B14" s="175" t="s">
        <v>24</v>
      </c>
      <c r="C14" s="287">
        <f t="shared" si="3"/>
        <v>35000</v>
      </c>
      <c r="D14" s="289"/>
      <c r="E14" s="289"/>
      <c r="F14" s="289"/>
      <c r="G14" s="289"/>
      <c r="H14" s="288">
        <v>50000.0</v>
      </c>
      <c r="I14" s="289"/>
      <c r="J14" s="289"/>
      <c r="K14" s="289"/>
      <c r="L14" s="289"/>
      <c r="M14" s="289"/>
      <c r="N14" s="289"/>
      <c r="O14" s="288">
        <v>10000.0</v>
      </c>
      <c r="P14" s="289"/>
      <c r="Q14" s="289"/>
      <c r="R14" s="289"/>
      <c r="S14" s="288">
        <v>20000.0</v>
      </c>
      <c r="T14" s="288">
        <v>10000.0</v>
      </c>
      <c r="U14" s="289"/>
      <c r="V14" s="288">
        <v>10000.0</v>
      </c>
      <c r="W14" s="289"/>
      <c r="X14" s="288">
        <v>25000.0</v>
      </c>
      <c r="Y14" s="288">
        <v>25000.0</v>
      </c>
      <c r="Z14" s="289"/>
      <c r="AA14" s="289"/>
      <c r="AB14" s="288">
        <v>25000.0</v>
      </c>
      <c r="AC14" s="289"/>
      <c r="AD14" s="289"/>
      <c r="AE14" s="288">
        <v>75000.0</v>
      </c>
      <c r="AF14" s="289"/>
      <c r="AG14" s="289"/>
      <c r="AH14" s="288">
        <v>47000.0</v>
      </c>
      <c r="AI14" s="290"/>
      <c r="AJ14" s="291">
        <v>13000.0</v>
      </c>
      <c r="AK14" s="291">
        <v>2000.0</v>
      </c>
      <c r="AL14" s="291">
        <v>15000.0</v>
      </c>
      <c r="AM14" s="290"/>
      <c r="AN14" s="290"/>
      <c r="AO14" s="290"/>
      <c r="AP14" s="290"/>
      <c r="AQ14" s="291"/>
      <c r="AR14" s="291">
        <v>50000.0</v>
      </c>
      <c r="AS14" s="290"/>
      <c r="AT14" s="290"/>
      <c r="AU14" s="290"/>
      <c r="AV14" s="291"/>
      <c r="AW14" s="290"/>
      <c r="AX14" s="291">
        <v>4168.0</v>
      </c>
      <c r="AY14" s="290"/>
      <c r="AZ14" s="290"/>
      <c r="BA14" s="290"/>
      <c r="BB14" s="291">
        <v>2000.0</v>
      </c>
      <c r="BC14" s="291">
        <v>25000.0</v>
      </c>
      <c r="BD14" s="290"/>
      <c r="BE14" s="291">
        <v>25000.0</v>
      </c>
      <c r="BF14" s="290"/>
      <c r="BG14" s="290"/>
      <c r="BH14" s="290"/>
      <c r="BI14" s="291"/>
      <c r="BJ14" s="291">
        <v>30000.0</v>
      </c>
      <c r="BK14" s="290"/>
      <c r="BL14" s="291">
        <v>6250.0</v>
      </c>
      <c r="BM14" s="302"/>
      <c r="BN14" s="293"/>
      <c r="BO14" s="293"/>
      <c r="BP14" s="293"/>
      <c r="BQ14" s="293"/>
      <c r="BR14" s="293"/>
      <c r="BS14" s="293"/>
      <c r="BT14" s="293"/>
      <c r="BU14" s="293"/>
      <c r="BV14" s="293"/>
      <c r="BW14" s="293"/>
      <c r="BX14" s="293"/>
      <c r="BY14" s="303">
        <v>35000.0</v>
      </c>
      <c r="BZ14" s="293"/>
      <c r="CA14" s="293"/>
      <c r="CB14" s="293"/>
      <c r="CC14" s="293"/>
      <c r="CD14" s="293"/>
      <c r="CE14" s="293"/>
      <c r="CF14" s="293"/>
      <c r="CG14" s="293"/>
      <c r="CH14" s="293"/>
      <c r="CI14" s="293"/>
      <c r="CJ14" s="293"/>
      <c r="CK14" s="293"/>
      <c r="CL14" s="293"/>
      <c r="CM14" s="293"/>
      <c r="CN14" s="293"/>
      <c r="CO14" s="293"/>
      <c r="CP14" s="293"/>
      <c r="CQ14" s="293"/>
      <c r="CR14" s="293"/>
      <c r="CS14" s="293"/>
      <c r="CT14" s="293"/>
      <c r="CU14" s="293"/>
      <c r="CV14" s="293"/>
      <c r="CW14" s="293"/>
      <c r="CX14" s="293"/>
      <c r="CY14" s="293"/>
      <c r="CZ14" s="293"/>
      <c r="DA14" s="293"/>
      <c r="DB14" s="293"/>
      <c r="DC14" s="293"/>
      <c r="DD14" s="293"/>
      <c r="DE14" s="293"/>
      <c r="DF14" s="293"/>
      <c r="DG14" s="293"/>
      <c r="DH14" s="293"/>
      <c r="DI14" s="293"/>
      <c r="DJ14" s="293"/>
      <c r="DK14" s="293"/>
      <c r="DL14" s="293"/>
      <c r="DM14" s="293"/>
      <c r="DN14" s="293"/>
      <c r="DO14" s="293"/>
      <c r="DP14" s="293"/>
      <c r="DQ14" s="293"/>
      <c r="DR14" s="293"/>
      <c r="DS14" s="293"/>
      <c r="DT14" s="293"/>
      <c r="DU14" s="294"/>
      <c r="DV14" s="294"/>
      <c r="DW14" s="294"/>
      <c r="DX14" s="294"/>
      <c r="DY14" s="294"/>
      <c r="DZ14" s="294"/>
      <c r="EA14" s="294"/>
      <c r="EB14" s="294"/>
      <c r="EC14" s="294"/>
      <c r="ED14" s="294"/>
      <c r="EE14" s="294"/>
      <c r="EF14" s="294"/>
      <c r="EG14" s="294"/>
      <c r="EH14" s="294"/>
      <c r="EI14" s="294"/>
      <c r="EJ14" s="294"/>
      <c r="EK14" s="294"/>
      <c r="EL14" s="294"/>
      <c r="EM14" s="294"/>
      <c r="EN14" s="294"/>
      <c r="EO14" s="294"/>
      <c r="EP14" s="294"/>
      <c r="EQ14" s="294"/>
      <c r="ER14" s="294"/>
      <c r="ES14" s="294"/>
      <c r="ET14" s="294"/>
      <c r="EU14" s="294"/>
      <c r="EV14" s="294"/>
      <c r="EW14" s="294"/>
      <c r="EX14" s="294"/>
      <c r="EY14" s="294"/>
      <c r="EZ14" s="294"/>
      <c r="FA14" s="294"/>
      <c r="FB14" s="294"/>
      <c r="FC14" s="294"/>
      <c r="FD14" s="294"/>
      <c r="FE14" s="294"/>
      <c r="FF14" s="294"/>
      <c r="FG14" s="294"/>
      <c r="FH14" s="294"/>
      <c r="FI14" s="294"/>
      <c r="FJ14" s="294"/>
      <c r="FK14" s="294"/>
      <c r="FL14" s="294"/>
      <c r="FM14" s="294"/>
      <c r="FN14" s="294"/>
      <c r="FO14" s="294"/>
      <c r="FP14" s="294"/>
      <c r="FQ14" s="294"/>
      <c r="FR14" s="294"/>
      <c r="FS14" s="294"/>
      <c r="FT14" s="294"/>
      <c r="FU14" s="294"/>
      <c r="FV14" s="294"/>
      <c r="FW14" s="294"/>
      <c r="FX14" s="294"/>
      <c r="FY14" s="294"/>
      <c r="FZ14" s="294"/>
      <c r="GA14" s="294"/>
    </row>
    <row r="15" ht="19.5" customHeight="1">
      <c r="A15" s="286"/>
      <c r="B15" s="175" t="s">
        <v>47</v>
      </c>
      <c r="C15" s="287">
        <f t="shared" si="3"/>
        <v>0</v>
      </c>
      <c r="D15" s="295"/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5"/>
      <c r="AC15" s="295"/>
      <c r="AD15" s="295"/>
      <c r="AE15" s="295"/>
      <c r="AF15" s="295"/>
      <c r="AG15" s="295"/>
      <c r="AH15" s="295"/>
      <c r="AI15" s="297"/>
      <c r="AJ15" s="297"/>
      <c r="AK15" s="297"/>
      <c r="AL15" s="297"/>
      <c r="AM15" s="297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7"/>
      <c r="AY15" s="297"/>
      <c r="AZ15" s="297"/>
      <c r="BA15" s="297"/>
      <c r="BB15" s="297"/>
      <c r="BC15" s="297"/>
      <c r="BD15" s="297"/>
      <c r="BE15" s="297"/>
      <c r="BF15" s="297"/>
      <c r="BG15" s="297"/>
      <c r="BH15" s="297"/>
      <c r="BI15" s="297"/>
      <c r="BJ15" s="297"/>
      <c r="BK15" s="297"/>
      <c r="BL15" s="297"/>
      <c r="BM15" s="292"/>
      <c r="BN15" s="299"/>
      <c r="BO15" s="299"/>
      <c r="BP15" s="299"/>
      <c r="BQ15" s="299"/>
      <c r="BR15" s="299"/>
      <c r="BS15" s="299"/>
      <c r="BT15" s="299"/>
      <c r="BU15" s="299"/>
      <c r="BV15" s="299"/>
      <c r="BW15" s="299"/>
      <c r="BX15" s="299"/>
      <c r="BY15" s="299"/>
      <c r="BZ15" s="299"/>
      <c r="CA15" s="299"/>
      <c r="CB15" s="299"/>
      <c r="CC15" s="299"/>
      <c r="CD15" s="299"/>
      <c r="CE15" s="299"/>
      <c r="CF15" s="299"/>
      <c r="CG15" s="299"/>
      <c r="CH15" s="299"/>
      <c r="CI15" s="299"/>
      <c r="CJ15" s="299"/>
      <c r="CK15" s="299"/>
      <c r="CL15" s="299"/>
      <c r="CM15" s="299"/>
      <c r="CN15" s="299"/>
      <c r="CO15" s="299"/>
      <c r="CP15" s="299"/>
      <c r="CQ15" s="299"/>
      <c r="CR15" s="299"/>
      <c r="CS15" s="299"/>
      <c r="CT15" s="299"/>
      <c r="CU15" s="299"/>
      <c r="CV15" s="299"/>
      <c r="CW15" s="299"/>
      <c r="CX15" s="299"/>
      <c r="CY15" s="299"/>
      <c r="CZ15" s="299"/>
      <c r="DA15" s="299"/>
      <c r="DB15" s="299"/>
      <c r="DC15" s="299"/>
      <c r="DD15" s="299"/>
      <c r="DE15" s="299"/>
      <c r="DF15" s="299"/>
      <c r="DG15" s="299"/>
      <c r="DH15" s="299"/>
      <c r="DI15" s="299"/>
      <c r="DJ15" s="299"/>
      <c r="DK15" s="299"/>
      <c r="DL15" s="299"/>
      <c r="DM15" s="299"/>
      <c r="DN15" s="299"/>
      <c r="DO15" s="299"/>
      <c r="DP15" s="299"/>
      <c r="DQ15" s="299"/>
      <c r="DR15" s="299"/>
      <c r="DS15" s="299"/>
      <c r="DT15" s="299"/>
      <c r="DU15" s="300"/>
      <c r="DV15" s="300"/>
      <c r="DW15" s="300"/>
      <c r="DX15" s="300"/>
      <c r="DY15" s="300"/>
      <c r="DZ15" s="300"/>
      <c r="EA15" s="300"/>
      <c r="EB15" s="300"/>
      <c r="EC15" s="300"/>
      <c r="ED15" s="300"/>
      <c r="EE15" s="300"/>
      <c r="EF15" s="300"/>
      <c r="EG15" s="300"/>
      <c r="EH15" s="300"/>
      <c r="EI15" s="300"/>
      <c r="EJ15" s="300"/>
      <c r="EK15" s="300"/>
      <c r="EL15" s="300"/>
      <c r="EM15" s="300"/>
      <c r="EN15" s="300"/>
      <c r="EO15" s="300"/>
      <c r="EP15" s="300"/>
      <c r="EQ15" s="300"/>
      <c r="ER15" s="300"/>
      <c r="ES15" s="300"/>
      <c r="ET15" s="300"/>
      <c r="EU15" s="300"/>
      <c r="EV15" s="300"/>
      <c r="EW15" s="300"/>
      <c r="EX15" s="300"/>
      <c r="EY15" s="300"/>
      <c r="EZ15" s="300"/>
      <c r="FA15" s="300"/>
      <c r="FB15" s="300"/>
      <c r="FC15" s="300"/>
      <c r="FD15" s="300"/>
      <c r="FE15" s="300"/>
      <c r="FF15" s="300"/>
      <c r="FG15" s="300"/>
      <c r="FH15" s="300"/>
      <c r="FI15" s="300"/>
      <c r="FJ15" s="300"/>
      <c r="FK15" s="300"/>
      <c r="FL15" s="300"/>
      <c r="FM15" s="300"/>
      <c r="FN15" s="300"/>
      <c r="FO15" s="300"/>
      <c r="FP15" s="300"/>
      <c r="FQ15" s="300"/>
      <c r="FR15" s="300"/>
      <c r="FS15" s="300"/>
      <c r="FT15" s="300"/>
      <c r="FU15" s="300"/>
      <c r="FV15" s="300"/>
      <c r="FW15" s="300"/>
      <c r="FX15" s="300"/>
      <c r="FY15" s="300"/>
      <c r="FZ15" s="300"/>
      <c r="GA15" s="300"/>
    </row>
    <row r="16" ht="19.5" customHeight="1">
      <c r="A16" s="286"/>
      <c r="B16" s="225" t="s">
        <v>48</v>
      </c>
      <c r="C16" s="287">
        <f t="shared" si="3"/>
        <v>0</v>
      </c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295"/>
      <c r="AF16" s="295"/>
      <c r="AG16" s="295"/>
      <c r="AH16" s="295"/>
      <c r="AI16" s="297"/>
      <c r="AJ16" s="297"/>
      <c r="AK16" s="297"/>
      <c r="AL16" s="297"/>
      <c r="AM16" s="297"/>
      <c r="AN16" s="297"/>
      <c r="AO16" s="297"/>
      <c r="AP16" s="297"/>
      <c r="AQ16" s="297"/>
      <c r="AR16" s="297"/>
      <c r="AS16" s="297"/>
      <c r="AT16" s="297"/>
      <c r="AU16" s="297"/>
      <c r="AV16" s="297"/>
      <c r="AW16" s="297"/>
      <c r="AX16" s="297"/>
      <c r="AY16" s="297"/>
      <c r="AZ16" s="297"/>
      <c r="BA16" s="297"/>
      <c r="BB16" s="297"/>
      <c r="BC16" s="297"/>
      <c r="BD16" s="297"/>
      <c r="BE16" s="297"/>
      <c r="BF16" s="297"/>
      <c r="BG16" s="297"/>
      <c r="BH16" s="297"/>
      <c r="BI16" s="297"/>
      <c r="BJ16" s="297"/>
      <c r="BK16" s="297"/>
      <c r="BL16" s="297"/>
      <c r="BM16" s="292"/>
      <c r="BN16" s="299"/>
      <c r="BO16" s="299"/>
      <c r="BP16" s="299"/>
      <c r="BQ16" s="299"/>
      <c r="BR16" s="299"/>
      <c r="BS16" s="299"/>
      <c r="BT16" s="299"/>
      <c r="BU16" s="299"/>
      <c r="BV16" s="299"/>
      <c r="BW16" s="299"/>
      <c r="BX16" s="299"/>
      <c r="BY16" s="299"/>
      <c r="BZ16" s="299"/>
      <c r="CA16" s="299"/>
      <c r="CB16" s="299"/>
      <c r="CC16" s="299"/>
      <c r="CD16" s="299"/>
      <c r="CE16" s="299"/>
      <c r="CF16" s="299"/>
      <c r="CG16" s="299"/>
      <c r="CH16" s="299"/>
      <c r="CI16" s="299"/>
      <c r="CJ16" s="299"/>
      <c r="CK16" s="299"/>
      <c r="CL16" s="299"/>
      <c r="CM16" s="299"/>
      <c r="CN16" s="299"/>
      <c r="CO16" s="299"/>
      <c r="CP16" s="299"/>
      <c r="CQ16" s="299"/>
      <c r="CR16" s="299"/>
      <c r="CS16" s="299"/>
      <c r="CT16" s="299"/>
      <c r="CU16" s="299"/>
      <c r="CV16" s="299"/>
      <c r="CW16" s="299"/>
      <c r="CX16" s="299"/>
      <c r="CY16" s="299"/>
      <c r="CZ16" s="299"/>
      <c r="DA16" s="299"/>
      <c r="DB16" s="299"/>
      <c r="DC16" s="299"/>
      <c r="DD16" s="299"/>
      <c r="DE16" s="299"/>
      <c r="DF16" s="299"/>
      <c r="DG16" s="299"/>
      <c r="DH16" s="299"/>
      <c r="DI16" s="299"/>
      <c r="DJ16" s="299"/>
      <c r="DK16" s="299"/>
      <c r="DL16" s="299"/>
      <c r="DM16" s="299"/>
      <c r="DN16" s="299"/>
      <c r="DO16" s="299"/>
      <c r="DP16" s="299"/>
      <c r="DQ16" s="299"/>
      <c r="DR16" s="299"/>
      <c r="DS16" s="299"/>
      <c r="DT16" s="299"/>
      <c r="DU16" s="300"/>
      <c r="DV16" s="300"/>
      <c r="DW16" s="300"/>
      <c r="DX16" s="306"/>
      <c r="DY16" s="306"/>
      <c r="DZ16" s="306"/>
      <c r="EA16" s="306"/>
      <c r="EB16" s="306"/>
      <c r="EC16" s="306"/>
      <c r="ED16" s="306"/>
      <c r="EE16" s="306"/>
      <c r="EF16" s="306"/>
      <c r="EG16" s="306"/>
      <c r="EH16" s="306"/>
      <c r="EI16" s="306"/>
      <c r="EJ16" s="306"/>
      <c r="EK16" s="306"/>
      <c r="EL16" s="306"/>
      <c r="EM16" s="306"/>
      <c r="EN16" s="306"/>
      <c r="EO16" s="306"/>
      <c r="EP16" s="306"/>
      <c r="EQ16" s="306"/>
      <c r="ER16" s="306"/>
      <c r="ES16" s="306"/>
      <c r="ET16" s="306"/>
      <c r="EU16" s="306"/>
      <c r="EV16" s="306"/>
      <c r="EW16" s="306"/>
      <c r="EX16" s="306"/>
      <c r="EY16" s="306"/>
      <c r="EZ16" s="306"/>
      <c r="FA16" s="306"/>
      <c r="FB16" s="306"/>
      <c r="FC16" s="306"/>
      <c r="FD16" s="306"/>
      <c r="FE16" s="306"/>
      <c r="FF16" s="306"/>
      <c r="FG16" s="306"/>
      <c r="FH16" s="306"/>
      <c r="FI16" s="306"/>
      <c r="FJ16" s="306"/>
      <c r="FK16" s="306"/>
      <c r="FL16" s="306"/>
      <c r="FM16" s="306"/>
      <c r="FN16" s="306"/>
      <c r="FO16" s="306"/>
      <c r="FP16" s="306"/>
      <c r="FQ16" s="306"/>
      <c r="FR16" s="306"/>
      <c r="FS16" s="306"/>
      <c r="FT16" s="306"/>
      <c r="FU16" s="306"/>
      <c r="FV16" s="306"/>
      <c r="FW16" s="306"/>
      <c r="FX16" s="306"/>
      <c r="FY16" s="306"/>
      <c r="FZ16" s="306"/>
      <c r="GA16" s="306"/>
    </row>
    <row r="17" ht="30.0" customHeight="1" outlineLevel="1">
      <c r="A17" s="307"/>
      <c r="B17" s="308" t="s">
        <v>83</v>
      </c>
      <c r="C17" s="309">
        <f t="shared" ref="C17:C18" si="4">sum(D17:FZ17)</f>
        <v>11541000</v>
      </c>
      <c r="D17" s="310">
        <v>4250000.0</v>
      </c>
      <c r="E17" s="310">
        <v>3000000.0</v>
      </c>
      <c r="F17" s="310">
        <v>250000.0</v>
      </c>
      <c r="G17" s="310"/>
      <c r="H17" s="310"/>
      <c r="I17" s="311"/>
      <c r="J17" s="310">
        <v>875000.0</v>
      </c>
      <c r="K17" s="310"/>
      <c r="L17" s="311"/>
      <c r="M17" s="310">
        <v>500000.0</v>
      </c>
      <c r="N17" s="311"/>
      <c r="O17" s="311"/>
      <c r="P17" s="311"/>
      <c r="Q17" s="311"/>
      <c r="R17" s="310"/>
      <c r="S17" s="311"/>
      <c r="T17" s="311"/>
      <c r="U17" s="311"/>
      <c r="V17" s="310">
        <v>255000.0</v>
      </c>
      <c r="W17" s="311"/>
      <c r="X17" s="310"/>
      <c r="Y17" s="311"/>
      <c r="Z17" s="311"/>
      <c r="AA17" s="311"/>
      <c r="AB17" s="311"/>
      <c r="AC17" s="311"/>
      <c r="AD17" s="311"/>
      <c r="AE17" s="311"/>
      <c r="AF17" s="311"/>
      <c r="AG17" s="311"/>
      <c r="AH17" s="311"/>
      <c r="AI17" s="310">
        <v>50000.0</v>
      </c>
      <c r="AJ17" s="310">
        <v>500000.0</v>
      </c>
      <c r="AK17" s="311"/>
      <c r="AL17" s="311"/>
      <c r="AM17" s="310">
        <v>500000.0</v>
      </c>
      <c r="AN17" s="311"/>
      <c r="AO17" s="310">
        <v>45000.0</v>
      </c>
      <c r="AP17" s="311"/>
      <c r="AQ17" s="311"/>
      <c r="AR17" s="310"/>
      <c r="AS17" s="311"/>
      <c r="AT17" s="311"/>
      <c r="AU17" s="310"/>
      <c r="AV17" s="311"/>
      <c r="AW17" s="310">
        <v>500000.0</v>
      </c>
      <c r="AX17" s="311"/>
      <c r="AY17" s="311"/>
      <c r="AZ17" s="311"/>
      <c r="BA17" s="311"/>
      <c r="BB17" s="310">
        <v>15000.0</v>
      </c>
      <c r="BC17" s="310"/>
      <c r="BD17" s="311"/>
      <c r="BE17" s="311"/>
      <c r="BF17" s="311"/>
      <c r="BG17" s="311"/>
      <c r="BH17" s="311"/>
      <c r="BI17" s="310">
        <v>270000.0</v>
      </c>
      <c r="BJ17" s="311"/>
      <c r="BK17" s="312">
        <v>50000.0</v>
      </c>
      <c r="BL17" s="313"/>
      <c r="BM17" s="314"/>
      <c r="BN17" s="312">
        <v>126000.0</v>
      </c>
      <c r="BO17" s="313"/>
      <c r="BP17" s="312">
        <v>330000.0</v>
      </c>
      <c r="BQ17" s="313"/>
      <c r="BR17" s="312">
        <v>25000.0</v>
      </c>
      <c r="BS17" s="313"/>
      <c r="BT17" s="313"/>
      <c r="BU17" s="313"/>
      <c r="BV17" s="313"/>
      <c r="BW17" s="313"/>
      <c r="BX17" s="313"/>
      <c r="BY17" s="313"/>
      <c r="BZ17" s="313"/>
      <c r="CA17" s="313"/>
      <c r="CB17" s="313"/>
      <c r="CC17" s="313"/>
      <c r="CD17" s="313"/>
      <c r="CE17" s="313"/>
      <c r="CF17" s="313"/>
      <c r="CG17" s="313"/>
      <c r="CH17" s="313"/>
      <c r="CI17" s="313"/>
      <c r="CJ17" s="313"/>
      <c r="CK17" s="313"/>
      <c r="CL17" s="313"/>
      <c r="CM17" s="313"/>
      <c r="CN17" s="313"/>
      <c r="CO17" s="313"/>
      <c r="CP17" s="313"/>
      <c r="CQ17" s="313"/>
      <c r="CR17" s="313"/>
      <c r="CS17" s="313"/>
      <c r="CT17" s="313"/>
      <c r="CU17" s="313"/>
      <c r="CV17" s="313"/>
      <c r="CW17" s="313"/>
      <c r="CX17" s="313"/>
      <c r="CY17" s="313"/>
      <c r="CZ17" s="313"/>
      <c r="DA17" s="313"/>
      <c r="DB17" s="313"/>
      <c r="DC17" s="313"/>
      <c r="DD17" s="313"/>
      <c r="DE17" s="313"/>
      <c r="DF17" s="313"/>
      <c r="DG17" s="313"/>
      <c r="DH17" s="313"/>
      <c r="DI17" s="313"/>
      <c r="DJ17" s="313"/>
      <c r="DK17" s="313"/>
      <c r="DL17" s="313"/>
      <c r="DM17" s="313"/>
      <c r="DN17" s="313"/>
      <c r="DO17" s="313"/>
      <c r="DP17" s="313"/>
      <c r="DQ17" s="313"/>
      <c r="DR17" s="313"/>
      <c r="DS17" s="313"/>
      <c r="DT17" s="313"/>
      <c r="DU17" s="313"/>
      <c r="DV17" s="313"/>
      <c r="DW17" s="313"/>
      <c r="DX17" s="315"/>
      <c r="DY17" s="315"/>
      <c r="DZ17" s="315"/>
      <c r="EA17" s="315"/>
      <c r="EB17" s="315"/>
      <c r="EC17" s="315"/>
      <c r="ED17" s="315"/>
      <c r="EE17" s="315"/>
      <c r="EF17" s="315"/>
      <c r="EG17" s="315"/>
      <c r="EH17" s="315"/>
      <c r="EI17" s="315"/>
      <c r="EJ17" s="315"/>
      <c r="EK17" s="315"/>
      <c r="EL17" s="315"/>
      <c r="EM17" s="315"/>
      <c r="EN17" s="315"/>
      <c r="EO17" s="315"/>
      <c r="EP17" s="315"/>
      <c r="EQ17" s="315"/>
      <c r="ER17" s="315"/>
      <c r="ES17" s="315"/>
      <c r="ET17" s="315"/>
      <c r="EU17" s="315"/>
      <c r="EV17" s="315"/>
      <c r="EW17" s="315"/>
      <c r="EX17" s="315"/>
      <c r="EY17" s="315"/>
      <c r="EZ17" s="315"/>
      <c r="FA17" s="315"/>
      <c r="FB17" s="315"/>
      <c r="FC17" s="315"/>
      <c r="FD17" s="315"/>
      <c r="FE17" s="315"/>
      <c r="FF17" s="315"/>
      <c r="FG17" s="315"/>
      <c r="FH17" s="315"/>
      <c r="FI17" s="315"/>
      <c r="FJ17" s="315"/>
      <c r="FK17" s="315"/>
      <c r="FL17" s="315"/>
      <c r="FM17" s="315"/>
      <c r="FN17" s="315"/>
      <c r="FO17" s="315"/>
      <c r="FP17" s="315"/>
      <c r="FQ17" s="315"/>
      <c r="FR17" s="315"/>
      <c r="FS17" s="315"/>
      <c r="FT17" s="315"/>
      <c r="FU17" s="315"/>
      <c r="FV17" s="315"/>
      <c r="FW17" s="315"/>
      <c r="FX17" s="315"/>
      <c r="FY17" s="315"/>
      <c r="FZ17" s="315"/>
      <c r="GA17" s="315"/>
    </row>
    <row r="18" ht="30.0" customHeight="1" outlineLevel="1">
      <c r="A18" s="307"/>
      <c r="B18" s="316" t="s">
        <v>84</v>
      </c>
      <c r="C18" s="317">
        <f t="shared" si="4"/>
        <v>43356500</v>
      </c>
      <c r="D18" s="310">
        <v>5000000.0</v>
      </c>
      <c r="E18" s="310">
        <v>5000000.0</v>
      </c>
      <c r="F18" s="310">
        <v>1090000.0</v>
      </c>
      <c r="G18" s="310">
        <v>1.2675E7</v>
      </c>
      <c r="H18" s="310">
        <v>1000000.0</v>
      </c>
      <c r="I18" s="310">
        <v>1000000.0</v>
      </c>
      <c r="J18" s="310"/>
      <c r="K18" s="311"/>
      <c r="L18" s="311"/>
      <c r="M18" s="310"/>
      <c r="N18" s="311"/>
      <c r="O18" s="311"/>
      <c r="P18" s="311"/>
      <c r="Q18" s="311"/>
      <c r="R18" s="310"/>
      <c r="S18" s="311"/>
      <c r="T18" s="310">
        <v>325000.0</v>
      </c>
      <c r="U18" s="310">
        <v>595000.0</v>
      </c>
      <c r="V18" s="310">
        <v>485000.0</v>
      </c>
      <c r="W18" s="311"/>
      <c r="X18" s="310"/>
      <c r="Y18" s="311"/>
      <c r="Z18" s="311"/>
      <c r="AA18" s="311"/>
      <c r="AB18" s="311"/>
      <c r="AC18" s="311"/>
      <c r="AD18" s="311"/>
      <c r="AE18" s="311"/>
      <c r="AF18" s="311"/>
      <c r="AG18" s="311"/>
      <c r="AH18" s="311"/>
      <c r="AI18" s="311"/>
      <c r="AJ18" s="310">
        <v>292000.0</v>
      </c>
      <c r="AK18" s="310">
        <v>128000.0</v>
      </c>
      <c r="AL18" s="311"/>
      <c r="AM18" s="311"/>
      <c r="AN18" s="311"/>
      <c r="AO18" s="311"/>
      <c r="AP18" s="311"/>
      <c r="AQ18" s="311"/>
      <c r="AR18" s="311"/>
      <c r="AS18" s="311"/>
      <c r="AT18" s="311"/>
      <c r="AU18" s="310"/>
      <c r="AV18" s="311"/>
      <c r="AW18" s="311"/>
      <c r="AX18" s="311"/>
      <c r="AY18" s="310">
        <v>1375000.0</v>
      </c>
      <c r="AZ18" s="311"/>
      <c r="BA18" s="310">
        <v>25000.0</v>
      </c>
      <c r="BB18" s="310">
        <v>750000.0</v>
      </c>
      <c r="BC18" s="311"/>
      <c r="BD18" s="311"/>
      <c r="BE18" s="311"/>
      <c r="BF18" s="311"/>
      <c r="BG18" s="311"/>
      <c r="BH18" s="311"/>
      <c r="BI18" s="310">
        <v>430000.0</v>
      </c>
      <c r="BJ18" s="310">
        <v>355000.0</v>
      </c>
      <c r="BK18" s="310">
        <v>2500000.0</v>
      </c>
      <c r="BL18" s="310">
        <v>6019000.0</v>
      </c>
      <c r="BM18" s="318"/>
      <c r="BN18" s="310">
        <v>850000.0</v>
      </c>
      <c r="BO18" s="310">
        <v>493500.0</v>
      </c>
      <c r="BP18" s="310">
        <v>200000.0</v>
      </c>
      <c r="BQ18" s="310">
        <v>100000.0</v>
      </c>
      <c r="BR18" s="311"/>
      <c r="BS18" s="311"/>
      <c r="BT18" s="310">
        <v>1831000.0</v>
      </c>
      <c r="BU18" s="310">
        <v>40000.0</v>
      </c>
      <c r="BV18" s="310">
        <v>123000.0</v>
      </c>
      <c r="BW18" s="310">
        <v>550000.0</v>
      </c>
      <c r="BX18" s="310">
        <v>125000.0</v>
      </c>
      <c r="BY18" s="311"/>
      <c r="BZ18" s="311"/>
      <c r="CA18" s="311"/>
      <c r="CB18" s="311"/>
      <c r="CC18" s="311"/>
      <c r="CD18" s="311"/>
      <c r="CE18" s="311"/>
      <c r="CF18" s="311"/>
      <c r="CG18" s="311"/>
      <c r="CH18" s="311"/>
      <c r="CI18" s="311"/>
      <c r="CJ18" s="311"/>
      <c r="CK18" s="311"/>
      <c r="CL18" s="311"/>
      <c r="CM18" s="311"/>
      <c r="CN18" s="311"/>
      <c r="CO18" s="311"/>
      <c r="CP18" s="311"/>
      <c r="CQ18" s="311"/>
      <c r="CR18" s="311"/>
      <c r="CS18" s="311"/>
      <c r="CT18" s="311"/>
      <c r="CU18" s="311"/>
      <c r="CV18" s="311"/>
      <c r="CW18" s="311"/>
      <c r="CX18" s="311"/>
      <c r="CY18" s="311"/>
      <c r="CZ18" s="311"/>
      <c r="DA18" s="311"/>
      <c r="DB18" s="311"/>
      <c r="DC18" s="311"/>
      <c r="DD18" s="311"/>
      <c r="DE18" s="311"/>
      <c r="DF18" s="311"/>
      <c r="DG18" s="311"/>
      <c r="DH18" s="311"/>
      <c r="DI18" s="311"/>
      <c r="DJ18" s="311"/>
      <c r="DK18" s="311"/>
      <c r="DL18" s="311"/>
      <c r="DM18" s="311"/>
      <c r="DN18" s="311"/>
      <c r="DO18" s="311"/>
      <c r="DP18" s="311"/>
      <c r="DQ18" s="311"/>
      <c r="DR18" s="313"/>
      <c r="DS18" s="313"/>
      <c r="DT18" s="313"/>
      <c r="DU18" s="313"/>
      <c r="DV18" s="313"/>
      <c r="DW18" s="313"/>
      <c r="DX18" s="313"/>
      <c r="DY18" s="313"/>
      <c r="DZ18" s="313"/>
      <c r="EA18" s="313"/>
      <c r="EB18" s="313"/>
      <c r="EC18" s="313"/>
      <c r="ED18" s="313"/>
      <c r="EE18" s="313"/>
      <c r="EF18" s="313"/>
      <c r="EG18" s="313"/>
      <c r="EH18" s="313"/>
      <c r="EI18" s="313"/>
      <c r="EJ18" s="313"/>
      <c r="EK18" s="313"/>
      <c r="EL18" s="313"/>
      <c r="EM18" s="313"/>
      <c r="EN18" s="313"/>
      <c r="EO18" s="313"/>
      <c r="EP18" s="313"/>
      <c r="EQ18" s="313"/>
      <c r="ER18" s="313"/>
      <c r="ES18" s="313"/>
      <c r="ET18" s="313"/>
      <c r="EU18" s="313"/>
      <c r="EV18" s="313"/>
      <c r="EW18" s="313"/>
      <c r="EX18" s="313"/>
      <c r="EY18" s="313"/>
      <c r="EZ18" s="313"/>
      <c r="FA18" s="313"/>
      <c r="FB18" s="313"/>
      <c r="FC18" s="313"/>
      <c r="FD18" s="313"/>
      <c r="FE18" s="313"/>
      <c r="FF18" s="313"/>
      <c r="FG18" s="313"/>
      <c r="FH18" s="313"/>
      <c r="FI18" s="313"/>
      <c r="FJ18" s="313"/>
      <c r="FK18" s="313"/>
      <c r="FL18" s="313"/>
      <c r="FM18" s="313"/>
      <c r="FN18" s="313"/>
      <c r="FO18" s="313"/>
      <c r="FP18" s="313"/>
      <c r="FQ18" s="313"/>
      <c r="FR18" s="313"/>
      <c r="FS18" s="313"/>
      <c r="FT18" s="313"/>
      <c r="FU18" s="313"/>
      <c r="FV18" s="313"/>
      <c r="FW18" s="313"/>
      <c r="FX18" s="313"/>
      <c r="FY18" s="313"/>
      <c r="FZ18" s="313"/>
      <c r="GA18" s="313"/>
    </row>
  </sheetData>
  <conditionalFormatting sqref="Y12">
    <cfRule type="notContainsBlanks" dxfId="13" priority="1">
      <formula>LEN(TRIM(Y12))&gt;0</formula>
    </cfRule>
  </conditionalFormatting>
  <conditionalFormatting sqref="A17:GA17">
    <cfRule type="notContainsBlanks" dxfId="14" priority="2">
      <formula>LEN(TRIM(A17))&gt;0</formula>
    </cfRule>
  </conditionalFormatting>
  <conditionalFormatting sqref="A18:GA18">
    <cfRule type="notContainsBlanks" dxfId="15" priority="3">
      <formula>LEN(TRIM(A18))&gt;0</formula>
    </cfRule>
  </conditionalFormatting>
  <hyperlinks>
    <hyperlink r:id="rId1" ref="A1"/>
  </hyperlinks>
  <drawing r:id="rId2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75"/>
  <cols>
    <col customWidth="1" hidden="1" min="1" max="1" width="9.22"/>
    <col customWidth="1" min="2" max="2" width="12.56"/>
    <col customWidth="1" min="3" max="3" width="7.22"/>
    <col customWidth="1" min="4" max="4" width="6.22"/>
    <col customWidth="1" hidden="1" min="5" max="16" width="4.0"/>
    <col customWidth="1" hidden="1" min="17" max="22" width="4.67"/>
    <col customWidth="1" hidden="1" min="23" max="23" width="3.89"/>
    <col customWidth="1" hidden="1" min="24" max="52" width="4.67"/>
    <col customWidth="1" hidden="1" min="53" max="53" width="4.0"/>
    <col customWidth="1" hidden="1" min="54" max="58" width="4.67"/>
    <col customWidth="1" hidden="1" min="59" max="80" width="4.89"/>
    <col customWidth="1" hidden="1" min="81" max="89" width="4.0"/>
    <col customWidth="1" hidden="1" min="90" max="110" width="4.89"/>
    <col customWidth="1" hidden="1" min="111" max="113" width="4.0"/>
    <col customWidth="1" hidden="1" min="114" max="114" width="4.67"/>
    <col customWidth="1" hidden="1" min="115" max="119" width="4.0"/>
    <col customWidth="1" hidden="1" min="120" max="141" width="4.89"/>
    <col customWidth="1" hidden="1" min="142" max="142" width="3.89"/>
    <col customWidth="1" hidden="1" min="143" max="143" width="4.67"/>
    <col customWidth="1" hidden="1" min="144" max="145" width="3.89"/>
    <col customWidth="1" hidden="1" min="146" max="146" width="3.44"/>
    <col customWidth="1" hidden="1" min="147" max="147" width="4.67"/>
    <col customWidth="1" hidden="1" min="148" max="150" width="3.89"/>
    <col customWidth="1" hidden="1" min="151" max="152" width="4.0"/>
    <col customWidth="1" hidden="1" min="153" max="153" width="4.67"/>
    <col customWidth="1" hidden="1" min="154" max="154" width="4.0"/>
    <col customWidth="1" hidden="1" min="155" max="156" width="4.67"/>
    <col customWidth="1" hidden="1" min="157" max="161" width="4.0"/>
    <col customWidth="1" hidden="1" min="162" max="162" width="4.67"/>
    <col customWidth="1" hidden="1" min="163" max="167" width="4.0"/>
    <col customWidth="1" hidden="1" min="168" max="168" width="4.67"/>
    <col customWidth="1" hidden="1" min="169" max="172" width="4.0"/>
    <col customWidth="1" hidden="1" min="173" max="173" width="3.11"/>
    <col customWidth="1" hidden="1" min="174" max="174" width="3.44"/>
    <col customWidth="1" hidden="1" min="175" max="175" width="3.89"/>
    <col customWidth="1" hidden="1" min="176" max="176" width="3.33"/>
    <col customWidth="1" hidden="1" min="177" max="178" width="3.89"/>
    <col customWidth="1" hidden="1" min="179" max="180" width="3.11"/>
    <col customWidth="1" hidden="1" min="181" max="181" width="3.44"/>
    <col customWidth="1" hidden="1" min="182" max="200" width="4.0"/>
    <col customWidth="1" hidden="1" min="201" max="201" width="3.22"/>
    <col customWidth="1" hidden="1" min="202" max="202" width="3.44"/>
    <col customWidth="1" hidden="1" min="203" max="203" width="3.89"/>
    <col customWidth="1" hidden="1" min="204" max="204" width="3.33"/>
    <col customWidth="1" hidden="1" min="205" max="205" width="3.89"/>
    <col customWidth="1" hidden="1" min="206" max="206" width="3.44"/>
    <col customWidth="1" hidden="1" min="207" max="208" width="3.89"/>
    <col customWidth="1" hidden="1" min="209" max="209" width="3.44"/>
    <col customWidth="1" hidden="1" min="210" max="231" width="4.0"/>
    <col customWidth="1" hidden="1" min="232" max="233" width="3.78"/>
    <col customWidth="1" hidden="1" min="234" max="234" width="4.44"/>
    <col customWidth="1" hidden="1" min="235" max="235" width="3.44"/>
    <col customWidth="1" hidden="1" min="236" max="237" width="4.44"/>
    <col customWidth="1" hidden="1" min="238" max="238" width="5.44"/>
    <col customWidth="1" hidden="1" min="239" max="239" width="3.44"/>
    <col customWidth="1" hidden="1" min="240" max="242" width="4.44"/>
    <col customWidth="1" hidden="1" min="243" max="243" width="4.0"/>
    <col customWidth="1" hidden="1" min="244" max="247" width="4.44"/>
    <col customWidth="1" hidden="1" min="248" max="248" width="5.44"/>
    <col customWidth="1" hidden="1" min="249" max="249" width="4.44"/>
    <col customWidth="1" hidden="1" min="250" max="250" width="4.0"/>
    <col customWidth="1" hidden="1" min="251" max="253" width="4.44"/>
    <col customWidth="1" hidden="1" min="254" max="254" width="5.44"/>
    <col customWidth="1" hidden="1" min="255" max="259" width="4.44"/>
    <col customWidth="1" hidden="1" min="260" max="260" width="4.0"/>
    <col customWidth="1" hidden="1" min="261" max="261" width="4.44"/>
    <col customWidth="1" hidden="1" min="262" max="262" width="4.33"/>
    <col customWidth="1" hidden="1" min="263" max="263" width="3.44"/>
    <col customWidth="1" hidden="1" min="264" max="266" width="4.44"/>
    <col customWidth="1" hidden="1" min="267" max="267" width="5.44"/>
    <col customWidth="1" hidden="1" min="268" max="268" width="4.44"/>
    <col customWidth="1" hidden="1" min="269" max="270" width="5.44"/>
    <col customWidth="1" hidden="1" min="271" max="271" width="3.44"/>
    <col customWidth="1" hidden="1" min="272" max="275" width="4.44"/>
    <col customWidth="1" hidden="1" min="276" max="276" width="5.44"/>
    <col customWidth="1" hidden="1" min="277" max="277" width="4.44"/>
    <col customWidth="1" hidden="1" min="278" max="278" width="4.0"/>
    <col customWidth="1" hidden="1" min="279" max="280" width="5.44"/>
    <col customWidth="1" hidden="1" min="281" max="282" width="4.44"/>
    <col customWidth="1" hidden="1" min="283" max="283" width="5.44"/>
    <col customWidth="1" hidden="1" min="284" max="284" width="4.44"/>
    <col customWidth="1" hidden="1" min="285" max="285" width="4.0"/>
    <col customWidth="1" hidden="1" min="286" max="286" width="4.44"/>
    <col customWidth="1" hidden="1" min="287" max="287" width="4.0"/>
    <col customWidth="1" hidden="1" min="288" max="288" width="4.44"/>
    <col customWidth="1" hidden="1" min="289" max="289" width="4.0"/>
    <col customWidth="1" hidden="1" min="290" max="290" width="5.44"/>
    <col customWidth="1" hidden="1" min="291" max="292" width="4.44"/>
    <col customWidth="1" hidden="1" min="293" max="293" width="4.0"/>
    <col customWidth="1" hidden="1" min="294" max="294" width="4.22"/>
    <col customWidth="1" hidden="1" min="295" max="295" width="5.0"/>
    <col customWidth="1" hidden="1" min="296" max="296" width="3.89"/>
    <col customWidth="1" hidden="1" min="297" max="297" width="6.11"/>
    <col customWidth="1" hidden="1" min="298" max="298" width="5.0"/>
    <col customWidth="1" hidden="1" min="299" max="299" width="3.89"/>
    <col customWidth="1" hidden="1" min="300" max="300" width="3.33"/>
    <col customWidth="1" hidden="1" min="301" max="301" width="3.89"/>
    <col customWidth="1" hidden="1" min="302" max="303" width="5.0"/>
    <col customWidth="1" hidden="1" min="304" max="305" width="4.0"/>
    <col customWidth="1" hidden="1" min="306" max="306" width="6.11"/>
    <col customWidth="1" hidden="1" min="307" max="309" width="5.0"/>
    <col customWidth="1" hidden="1" min="310" max="310" width="4.0"/>
    <col customWidth="1" hidden="1" min="311" max="312" width="6.11"/>
    <col customWidth="1" hidden="1" min="313" max="314" width="5.0"/>
    <col customWidth="1" hidden="1" min="315" max="315" width="4.0"/>
    <col customWidth="1" hidden="1" min="316" max="316" width="5.0"/>
    <col customWidth="1" hidden="1" min="317" max="317" width="4.0"/>
    <col customWidth="1" hidden="1" min="318" max="318" width="5.0"/>
    <col customWidth="1" hidden="1" min="319" max="319" width="4.0"/>
    <col customWidth="1" hidden="1" min="320" max="320" width="5.0"/>
    <col customWidth="1" hidden="1" min="321" max="323" width="4.0"/>
    <col customWidth="1" hidden="1" min="324" max="324" width="5.0"/>
    <col customWidth="1" hidden="1" min="325" max="325" width="4.89"/>
    <col customWidth="1" min="326" max="326" width="0.33"/>
    <col customWidth="1" min="327" max="357" width="4.56"/>
    <col customWidth="1" min="358" max="358" width="0.33"/>
    <col customWidth="1" min="359" max="389" width="4.56"/>
    <col customWidth="1" min="390" max="390" width="3.33"/>
    <col customWidth="1" min="391" max="391" width="3.89"/>
    <col customWidth="1" min="392" max="392" width="3.44"/>
    <col customWidth="1" min="393" max="393" width="3.89"/>
    <col customWidth="1" min="394" max="394" width="3.56"/>
    <col customWidth="1" min="395" max="396" width="3.22"/>
    <col customWidth="1" min="397" max="397" width="3.56"/>
    <col customWidth="1" min="398" max="398" width="3.89"/>
    <col customWidth="1" min="399" max="399" width="3.44"/>
    <col customWidth="1" min="400" max="401" width="4.0"/>
    <col customWidth="1" min="402" max="402" width="4.33"/>
  </cols>
  <sheetData>
    <row r="1" ht="20.25" customHeight="1">
      <c r="A1" s="28"/>
      <c r="B1" s="28" t="s">
        <v>86</v>
      </c>
      <c r="C1" s="28"/>
      <c r="D1" s="28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30" t="str">
        <f>iferror(concatenate("
  Enter ", 'Attendance key'!$B$7, " for ",'Attendance key'!$C$7, ", ", 'Attendance key'!$B$8, " for ", 'Attendance key'!$C$8, ", ", 'Attendance key'!$B$9, " for ", 'Attendance key'!$C$9, ", and ", 'Attendance key'!$B$10, " for ", 'Attendance key'!$C$10, ". Use the 'Attendance key' tab to customize. 
"),"")</f>
        <v/>
      </c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2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4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4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4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  <c r="ET1" s="33"/>
      <c r="EU1" s="33"/>
      <c r="EV1" s="33"/>
      <c r="EW1" s="33"/>
      <c r="EX1" s="33"/>
      <c r="EY1" s="33"/>
      <c r="EZ1" s="33"/>
      <c r="FA1" s="33"/>
      <c r="FB1" s="33"/>
      <c r="FC1" s="33"/>
      <c r="FD1" s="33"/>
      <c r="FE1" s="33"/>
      <c r="FF1" s="33"/>
      <c r="FG1" s="33"/>
      <c r="FH1" s="33"/>
      <c r="FI1" s="33"/>
      <c r="FJ1" s="33"/>
      <c r="FK1" s="33"/>
      <c r="FL1" s="33"/>
      <c r="FM1" s="33"/>
      <c r="FN1" s="3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3"/>
      <c r="GK1" s="33"/>
      <c r="GL1" s="35" t="s">
        <v>29</v>
      </c>
      <c r="GM1" s="33"/>
      <c r="GN1" s="33"/>
      <c r="GO1" s="33"/>
      <c r="GP1" s="33"/>
      <c r="GQ1" s="35" t="s">
        <v>30</v>
      </c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3"/>
      <c r="HM1" s="33"/>
      <c r="HN1" s="33"/>
      <c r="HO1" s="33"/>
      <c r="HP1" s="33"/>
      <c r="HQ1" s="33"/>
      <c r="HR1" s="33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3"/>
      <c r="IO1" s="33"/>
      <c r="IP1" s="33"/>
      <c r="IQ1" s="33"/>
      <c r="IR1" s="33"/>
      <c r="IS1" s="33"/>
      <c r="IT1" s="33"/>
      <c r="IU1" s="33"/>
      <c r="IV1" s="33"/>
      <c r="IW1" s="33"/>
      <c r="IX1" s="33"/>
      <c r="IY1" s="33"/>
      <c r="IZ1" s="33"/>
      <c r="JA1" s="33"/>
      <c r="JB1" s="36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3"/>
      <c r="JQ1" s="33"/>
      <c r="JR1" s="33"/>
      <c r="JS1" s="33"/>
      <c r="JT1" s="33"/>
      <c r="JU1" s="33"/>
      <c r="JV1" s="33"/>
      <c r="JW1" s="33"/>
      <c r="JX1" s="33"/>
      <c r="JY1" s="33"/>
      <c r="JZ1" s="33"/>
      <c r="KA1" s="33"/>
      <c r="KB1" s="33"/>
      <c r="KC1" s="33"/>
      <c r="KD1" s="33"/>
      <c r="KE1" s="33"/>
      <c r="KF1" s="33"/>
      <c r="KG1" s="33"/>
      <c r="KH1" s="36"/>
      <c r="KI1" s="33"/>
      <c r="KJ1" s="33"/>
      <c r="KK1" s="33"/>
      <c r="KL1" s="33"/>
      <c r="KM1" s="33"/>
      <c r="KN1" s="33"/>
      <c r="KO1" s="33"/>
      <c r="KP1" s="33"/>
      <c r="KQ1" s="33"/>
      <c r="KR1" s="33"/>
      <c r="KS1" s="33"/>
      <c r="KT1" s="33"/>
      <c r="KU1" s="33"/>
      <c r="KV1" s="33"/>
      <c r="KW1" s="33"/>
      <c r="KX1" s="33"/>
      <c r="KY1" s="33"/>
      <c r="KZ1" s="33"/>
      <c r="LA1" s="33"/>
      <c r="LB1" s="33"/>
      <c r="LC1" s="33"/>
      <c r="LD1" s="33"/>
      <c r="LE1" s="33"/>
      <c r="LF1" s="33"/>
      <c r="LG1" s="33"/>
      <c r="LH1" s="33"/>
      <c r="LI1" s="33"/>
      <c r="LJ1" s="33"/>
      <c r="LK1" s="33"/>
      <c r="LL1" s="33"/>
      <c r="LM1" s="33"/>
      <c r="LN1" s="37"/>
      <c r="LO1" s="38"/>
      <c r="LP1" s="39"/>
      <c r="LQ1" s="39"/>
      <c r="LR1" s="39"/>
      <c r="LS1" s="39"/>
      <c r="LT1" s="39"/>
      <c r="LU1" s="39"/>
      <c r="LV1" s="39"/>
      <c r="LW1" s="39"/>
      <c r="LX1" s="39"/>
      <c r="LY1" s="39"/>
      <c r="LZ1" s="39"/>
      <c r="MA1" s="39"/>
      <c r="MB1" s="39"/>
      <c r="MC1" s="39"/>
      <c r="MD1" s="39"/>
      <c r="ME1" s="39"/>
      <c r="MF1" s="39"/>
      <c r="MG1" s="39"/>
      <c r="MH1" s="39"/>
      <c r="MI1" s="39"/>
      <c r="MJ1" s="39"/>
      <c r="MK1" s="39"/>
      <c r="ML1" s="39"/>
      <c r="MM1" s="39"/>
      <c r="MN1" s="39"/>
      <c r="MO1" s="39"/>
      <c r="MP1" s="39"/>
      <c r="MQ1" s="39"/>
      <c r="MR1" s="39"/>
      <c r="MS1" s="39"/>
      <c r="MT1" s="39"/>
      <c r="MU1" s="39"/>
      <c r="MV1" s="39"/>
      <c r="MW1" s="39"/>
      <c r="MX1" s="39"/>
      <c r="MY1" s="39"/>
      <c r="MZ1" s="39"/>
      <c r="NA1" s="39"/>
      <c r="NB1" s="39"/>
      <c r="NC1" s="39"/>
      <c r="ND1" s="39"/>
      <c r="NE1" s="39"/>
      <c r="NF1" s="39"/>
      <c r="NG1" s="39"/>
      <c r="NH1" s="39"/>
      <c r="NI1" s="39"/>
      <c r="NJ1" s="39"/>
      <c r="NK1" s="39"/>
      <c r="NL1" s="39"/>
      <c r="NM1" s="39"/>
      <c r="NN1" s="39"/>
      <c r="NO1" s="39"/>
      <c r="NP1" s="39"/>
      <c r="NQ1" s="39"/>
      <c r="NR1" s="39"/>
      <c r="NS1" s="39"/>
      <c r="NT1" s="39"/>
      <c r="NU1" s="39"/>
      <c r="NV1" s="39"/>
      <c r="NW1" s="39"/>
      <c r="NX1" s="39"/>
      <c r="NY1" s="39"/>
      <c r="NZ1" s="39"/>
      <c r="OA1" s="33"/>
      <c r="OB1" s="33"/>
      <c r="OC1" s="33"/>
      <c r="OD1" s="33"/>
      <c r="OE1" s="33"/>
      <c r="OF1" s="33"/>
      <c r="OG1" s="33"/>
      <c r="OH1" s="33"/>
      <c r="OI1" s="33"/>
      <c r="OJ1" s="33"/>
      <c r="OK1" s="33"/>
      <c r="OL1" s="33"/>
    </row>
    <row r="2" ht="20.25" customHeight="1">
      <c r="A2" s="40"/>
      <c r="B2" s="320" t="s">
        <v>87</v>
      </c>
      <c r="C2" s="40"/>
      <c r="D2" s="40"/>
      <c r="E2" s="41">
        <v>45521.0</v>
      </c>
      <c r="F2" s="41">
        <v>45522.0</v>
      </c>
      <c r="G2" s="41">
        <v>45523.0</v>
      </c>
      <c r="H2" s="41">
        <v>45524.0</v>
      </c>
      <c r="I2" s="41">
        <v>45525.0</v>
      </c>
      <c r="J2" s="41">
        <v>45526.0</v>
      </c>
      <c r="K2" s="41">
        <v>45527.0</v>
      </c>
      <c r="L2" s="41">
        <v>45528.0</v>
      </c>
      <c r="M2" s="41">
        <v>45529.0</v>
      </c>
      <c r="N2" s="41">
        <v>45530.0</v>
      </c>
      <c r="O2" s="41">
        <v>45531.0</v>
      </c>
      <c r="P2" s="41">
        <v>45532.0</v>
      </c>
      <c r="Q2" s="41">
        <v>45533.0</v>
      </c>
      <c r="R2" s="41">
        <v>45534.0</v>
      </c>
      <c r="S2" s="41">
        <v>45535.0</v>
      </c>
      <c r="T2" s="41">
        <v>45536.0</v>
      </c>
      <c r="U2" s="41">
        <v>45537.0</v>
      </c>
      <c r="V2" s="41">
        <v>45538.0</v>
      </c>
      <c r="W2" s="41">
        <v>45539.0</v>
      </c>
      <c r="X2" s="41">
        <v>45540.0</v>
      </c>
      <c r="Y2" s="41">
        <v>45541.0</v>
      </c>
      <c r="Z2" s="41">
        <v>45542.0</v>
      </c>
      <c r="AA2" s="41">
        <v>45543.0</v>
      </c>
      <c r="AB2" s="41">
        <v>45544.0</v>
      </c>
      <c r="AC2" s="41">
        <v>45545.0</v>
      </c>
      <c r="AD2" s="41">
        <v>45546.0</v>
      </c>
      <c r="AE2" s="41">
        <v>45547.0</v>
      </c>
      <c r="AF2" s="41">
        <v>45548.0</v>
      </c>
      <c r="AG2" s="41">
        <v>45549.0</v>
      </c>
      <c r="AH2" s="41">
        <v>45550.0</v>
      </c>
      <c r="AI2" s="41">
        <v>45551.0</v>
      </c>
      <c r="AJ2" s="41">
        <v>45552.0</v>
      </c>
      <c r="AK2" s="41">
        <v>45553.0</v>
      </c>
      <c r="AL2" s="41">
        <v>45554.0</v>
      </c>
      <c r="AM2" s="41">
        <v>45555.0</v>
      </c>
      <c r="AN2" s="41">
        <v>45556.0</v>
      </c>
      <c r="AO2" s="41">
        <v>45557.0</v>
      </c>
      <c r="AP2" s="41">
        <v>45558.0</v>
      </c>
      <c r="AQ2" s="41">
        <v>45559.0</v>
      </c>
      <c r="AR2" s="41">
        <v>45560.0</v>
      </c>
      <c r="AS2" s="41">
        <v>45561.0</v>
      </c>
      <c r="AT2" s="41">
        <v>45562.0</v>
      </c>
      <c r="AU2" s="41">
        <v>45563.0</v>
      </c>
      <c r="AV2" s="41"/>
      <c r="AW2" s="41">
        <v>45565.0</v>
      </c>
      <c r="AX2" s="41">
        <v>45566.0</v>
      </c>
      <c r="AY2" s="41">
        <v>45567.0</v>
      </c>
      <c r="AZ2" s="41">
        <v>45568.0</v>
      </c>
      <c r="BA2" s="41">
        <v>45569.0</v>
      </c>
      <c r="BB2" s="41">
        <v>45570.0</v>
      </c>
      <c r="BC2" s="41">
        <v>45571.0</v>
      </c>
      <c r="BD2" s="41">
        <v>45572.0</v>
      </c>
      <c r="BE2" s="41">
        <v>45573.0</v>
      </c>
      <c r="BF2" s="41">
        <v>45574.0</v>
      </c>
      <c r="BG2" s="41">
        <v>45575.0</v>
      </c>
      <c r="BH2" s="41">
        <v>45576.0</v>
      </c>
      <c r="BI2" s="41">
        <v>45577.0</v>
      </c>
      <c r="BJ2" s="41">
        <v>45578.0</v>
      </c>
      <c r="BK2" s="41">
        <v>45579.0</v>
      </c>
      <c r="BL2" s="41">
        <v>45580.0</v>
      </c>
      <c r="BM2" s="41">
        <v>45581.0</v>
      </c>
      <c r="BN2" s="41">
        <v>45582.0</v>
      </c>
      <c r="BO2" s="41">
        <v>45583.0</v>
      </c>
      <c r="BP2" s="41">
        <v>45584.0</v>
      </c>
      <c r="BQ2" s="41">
        <v>45585.0</v>
      </c>
      <c r="BR2" s="41">
        <v>45586.0</v>
      </c>
      <c r="BS2" s="41">
        <v>45587.0</v>
      </c>
      <c r="BT2" s="41">
        <v>45588.0</v>
      </c>
      <c r="BU2" s="42">
        <v>45589.0</v>
      </c>
      <c r="BV2" s="41">
        <v>45590.0</v>
      </c>
      <c r="BW2" s="41">
        <v>45591.0</v>
      </c>
      <c r="BX2" s="41">
        <v>45592.0</v>
      </c>
      <c r="BY2" s="41">
        <v>45593.0</v>
      </c>
      <c r="BZ2" s="41">
        <v>45594.0</v>
      </c>
      <c r="CA2" s="41">
        <v>45595.0</v>
      </c>
      <c r="CB2" s="41">
        <v>45596.0</v>
      </c>
      <c r="CC2" s="41">
        <v>45597.0</v>
      </c>
      <c r="CD2" s="41">
        <v>45598.0</v>
      </c>
      <c r="CE2" s="41">
        <v>45599.0</v>
      </c>
      <c r="CF2" s="41">
        <v>45600.0</v>
      </c>
      <c r="CG2" s="41">
        <v>45601.0</v>
      </c>
      <c r="CH2" s="41">
        <v>45602.0</v>
      </c>
      <c r="CI2" s="41">
        <v>45603.0</v>
      </c>
      <c r="CJ2" s="41">
        <v>45604.0</v>
      </c>
      <c r="CK2" s="41">
        <v>45605.0</v>
      </c>
      <c r="CL2" s="41">
        <v>45606.0</v>
      </c>
      <c r="CM2" s="41">
        <v>45607.0</v>
      </c>
      <c r="CN2" s="41">
        <v>45608.0</v>
      </c>
      <c r="CO2" s="41">
        <v>45609.0</v>
      </c>
      <c r="CP2" s="41">
        <v>45610.0</v>
      </c>
      <c r="CQ2" s="41">
        <v>45611.0</v>
      </c>
      <c r="CR2" s="41">
        <v>45612.0</v>
      </c>
      <c r="CS2" s="41">
        <v>45613.0</v>
      </c>
      <c r="CT2" s="41">
        <v>45614.0</v>
      </c>
      <c r="CU2" s="41">
        <v>45615.0</v>
      </c>
      <c r="CV2" s="41">
        <v>45616.0</v>
      </c>
      <c r="CW2" s="41">
        <v>45617.0</v>
      </c>
      <c r="CX2" s="41">
        <v>45618.0</v>
      </c>
      <c r="CY2" s="41">
        <v>45619.0</v>
      </c>
      <c r="CZ2" s="42">
        <v>45620.0</v>
      </c>
      <c r="DA2" s="41">
        <v>45621.0</v>
      </c>
      <c r="DB2" s="41">
        <v>45622.0</v>
      </c>
      <c r="DC2" s="41">
        <v>45623.0</v>
      </c>
      <c r="DD2" s="41">
        <v>45624.0</v>
      </c>
      <c r="DE2" s="41">
        <v>45625.0</v>
      </c>
      <c r="DF2" s="41">
        <v>45626.0</v>
      </c>
      <c r="DG2" s="41">
        <v>45627.0</v>
      </c>
      <c r="DH2" s="41">
        <v>45628.0</v>
      </c>
      <c r="DI2" s="41">
        <v>45629.0</v>
      </c>
      <c r="DJ2" s="41">
        <v>45630.0</v>
      </c>
      <c r="DK2" s="41">
        <v>45631.0</v>
      </c>
      <c r="DL2" s="41">
        <v>45632.0</v>
      </c>
      <c r="DM2" s="41">
        <v>45633.0</v>
      </c>
      <c r="DN2" s="41">
        <v>45634.0</v>
      </c>
      <c r="DO2" s="41">
        <v>45635.0</v>
      </c>
      <c r="DP2" s="41">
        <v>45636.0</v>
      </c>
      <c r="DQ2" s="41">
        <v>45637.0</v>
      </c>
      <c r="DR2" s="41">
        <v>45638.0</v>
      </c>
      <c r="DS2" s="41">
        <v>45639.0</v>
      </c>
      <c r="DT2" s="41">
        <v>45640.0</v>
      </c>
      <c r="DU2" s="41">
        <v>45641.0</v>
      </c>
      <c r="DV2" s="41">
        <v>45642.0</v>
      </c>
      <c r="DW2" s="41">
        <v>45643.0</v>
      </c>
      <c r="DX2" s="41">
        <v>45644.0</v>
      </c>
      <c r="DY2" s="41">
        <v>45645.0</v>
      </c>
      <c r="DZ2" s="41">
        <v>45646.0</v>
      </c>
      <c r="EA2" s="41">
        <v>45647.0</v>
      </c>
      <c r="EB2" s="41">
        <v>45648.0</v>
      </c>
      <c r="EC2" s="41">
        <v>45649.0</v>
      </c>
      <c r="ED2" s="42">
        <v>45650.0</v>
      </c>
      <c r="EE2" s="41">
        <v>45651.0</v>
      </c>
      <c r="EF2" s="41">
        <v>45652.0</v>
      </c>
      <c r="EG2" s="41">
        <v>45653.0</v>
      </c>
      <c r="EH2" s="41">
        <v>45654.0</v>
      </c>
      <c r="EI2" s="41">
        <v>45655.0</v>
      </c>
      <c r="EJ2" s="41">
        <v>45656.0</v>
      </c>
      <c r="EK2" s="41">
        <v>45657.0</v>
      </c>
      <c r="EL2" s="41">
        <v>45658.0</v>
      </c>
      <c r="EM2" s="41">
        <v>45659.0</v>
      </c>
      <c r="EN2" s="41">
        <v>45660.0</v>
      </c>
      <c r="EO2" s="41">
        <v>45661.0</v>
      </c>
      <c r="EP2" s="41">
        <v>45662.0</v>
      </c>
      <c r="EQ2" s="41">
        <v>45663.0</v>
      </c>
      <c r="ER2" s="41">
        <v>45664.0</v>
      </c>
      <c r="ES2" s="41">
        <v>45665.0</v>
      </c>
      <c r="ET2" s="41">
        <v>45666.0</v>
      </c>
      <c r="EU2" s="41">
        <v>45667.0</v>
      </c>
      <c r="EV2" s="41">
        <v>45668.0</v>
      </c>
      <c r="EW2" s="41">
        <v>45669.0</v>
      </c>
      <c r="EX2" s="41">
        <v>45670.0</v>
      </c>
      <c r="EY2" s="41">
        <v>45671.0</v>
      </c>
      <c r="EZ2" s="41">
        <v>45672.0</v>
      </c>
      <c r="FA2" s="41">
        <v>45673.0</v>
      </c>
      <c r="FB2" s="41">
        <v>45674.0</v>
      </c>
      <c r="FC2" s="41">
        <v>45675.0</v>
      </c>
      <c r="FD2" s="41">
        <v>45676.0</v>
      </c>
      <c r="FE2" s="41">
        <v>45677.0</v>
      </c>
      <c r="FF2" s="41">
        <v>45678.0</v>
      </c>
      <c r="FG2" s="41">
        <v>45679.0</v>
      </c>
      <c r="FH2" s="41">
        <v>45680.0</v>
      </c>
      <c r="FI2" s="41">
        <v>45681.0</v>
      </c>
      <c r="FJ2" s="41">
        <v>45682.0</v>
      </c>
      <c r="FK2" s="41">
        <v>45683.0</v>
      </c>
      <c r="FL2" s="41">
        <v>45684.0</v>
      </c>
      <c r="FM2" s="41">
        <v>45685.0</v>
      </c>
      <c r="FN2" s="41">
        <v>45686.0</v>
      </c>
      <c r="FO2" s="41">
        <v>45687.0</v>
      </c>
      <c r="FP2" s="41">
        <v>45688.0</v>
      </c>
      <c r="FQ2" s="41">
        <v>45689.0</v>
      </c>
      <c r="FR2" s="41">
        <v>45690.0</v>
      </c>
      <c r="FS2" s="41">
        <v>45691.0</v>
      </c>
      <c r="FT2" s="41">
        <v>45692.0</v>
      </c>
      <c r="FU2" s="41">
        <v>45693.0</v>
      </c>
      <c r="FV2" s="41">
        <v>45694.0</v>
      </c>
      <c r="FW2" s="41">
        <v>45695.0</v>
      </c>
      <c r="FX2" s="41">
        <v>45696.0</v>
      </c>
      <c r="FY2" s="41">
        <v>45697.0</v>
      </c>
      <c r="FZ2" s="41">
        <v>45698.0</v>
      </c>
      <c r="GA2" s="41">
        <v>45699.0</v>
      </c>
      <c r="GB2" s="41">
        <v>45700.0</v>
      </c>
      <c r="GC2" s="41">
        <v>45701.0</v>
      </c>
      <c r="GD2" s="41">
        <v>45702.0</v>
      </c>
      <c r="GE2" s="41">
        <v>45703.0</v>
      </c>
      <c r="GF2" s="41">
        <v>45704.0</v>
      </c>
      <c r="GG2" s="41">
        <v>45705.0</v>
      </c>
      <c r="GH2" s="41">
        <v>45706.0</v>
      </c>
      <c r="GI2" s="41">
        <v>45707.0</v>
      </c>
      <c r="GJ2" s="41">
        <v>45708.0</v>
      </c>
      <c r="GK2" s="41">
        <v>45709.0</v>
      </c>
      <c r="GL2" s="41">
        <v>45710.0</v>
      </c>
      <c r="GM2" s="41">
        <v>45711.0</v>
      </c>
      <c r="GN2" s="41">
        <v>45712.0</v>
      </c>
      <c r="GO2" s="41">
        <v>45713.0</v>
      </c>
      <c r="GP2" s="41">
        <v>45714.0</v>
      </c>
      <c r="GQ2" s="41">
        <v>45715.0</v>
      </c>
      <c r="GR2" s="41">
        <v>45716.0</v>
      </c>
      <c r="GS2" s="41">
        <v>45717.0</v>
      </c>
      <c r="GT2" s="41">
        <v>45718.0</v>
      </c>
      <c r="GU2" s="41">
        <v>45719.0</v>
      </c>
      <c r="GV2" s="41">
        <v>45720.0</v>
      </c>
      <c r="GW2" s="41">
        <v>45721.0</v>
      </c>
      <c r="GX2" s="41">
        <v>45722.0</v>
      </c>
      <c r="GY2" s="41">
        <v>45723.0</v>
      </c>
      <c r="GZ2" s="41">
        <v>45724.0</v>
      </c>
      <c r="HA2" s="41">
        <v>45725.0</v>
      </c>
      <c r="HB2" s="41">
        <v>45726.0</v>
      </c>
      <c r="HC2" s="41">
        <v>45727.0</v>
      </c>
      <c r="HD2" s="41">
        <v>45728.0</v>
      </c>
      <c r="HE2" s="41">
        <v>45729.0</v>
      </c>
      <c r="HF2" s="41">
        <v>45730.0</v>
      </c>
      <c r="HG2" s="41">
        <v>45731.0</v>
      </c>
      <c r="HH2" s="41">
        <v>45732.0</v>
      </c>
      <c r="HI2" s="41">
        <v>45733.0</v>
      </c>
      <c r="HJ2" s="41">
        <v>45734.0</v>
      </c>
      <c r="HK2" s="41">
        <v>45735.0</v>
      </c>
      <c r="HL2" s="41">
        <v>45736.0</v>
      </c>
      <c r="HM2" s="41">
        <v>45737.0</v>
      </c>
      <c r="HN2" s="41">
        <v>45738.0</v>
      </c>
      <c r="HO2" s="41">
        <v>45739.0</v>
      </c>
      <c r="HP2" s="41">
        <v>45740.0</v>
      </c>
      <c r="HQ2" s="41">
        <v>45741.0</v>
      </c>
      <c r="HR2" s="41">
        <v>45742.0</v>
      </c>
      <c r="HS2" s="41">
        <v>45743.0</v>
      </c>
      <c r="HT2" s="41">
        <v>45744.0</v>
      </c>
      <c r="HU2" s="41">
        <v>45745.0</v>
      </c>
      <c r="HV2" s="41">
        <v>45746.0</v>
      </c>
      <c r="HW2" s="41">
        <v>45747.0</v>
      </c>
      <c r="HX2" s="41">
        <v>45748.0</v>
      </c>
      <c r="HY2" s="41">
        <v>45749.0</v>
      </c>
      <c r="HZ2" s="41">
        <v>45750.0</v>
      </c>
      <c r="IA2" s="41">
        <v>45751.0</v>
      </c>
      <c r="IB2" s="41">
        <v>45752.0</v>
      </c>
      <c r="IC2" s="41">
        <v>45753.0</v>
      </c>
      <c r="ID2" s="41">
        <v>45754.0</v>
      </c>
      <c r="IE2" s="41">
        <v>45755.0</v>
      </c>
      <c r="IF2" s="41">
        <v>45756.0</v>
      </c>
      <c r="IG2" s="41">
        <v>45757.0</v>
      </c>
      <c r="IH2" s="41">
        <v>45758.0</v>
      </c>
      <c r="II2" s="41">
        <v>45759.0</v>
      </c>
      <c r="IJ2" s="41">
        <v>45760.0</v>
      </c>
      <c r="IK2" s="41">
        <v>45761.0</v>
      </c>
      <c r="IL2" s="41">
        <v>45762.0</v>
      </c>
      <c r="IM2" s="41">
        <v>45763.0</v>
      </c>
      <c r="IN2" s="41">
        <v>45764.0</v>
      </c>
      <c r="IO2" s="41">
        <v>45765.0</v>
      </c>
      <c r="IP2" s="41">
        <v>45766.0</v>
      </c>
      <c r="IQ2" s="41">
        <v>45767.0</v>
      </c>
      <c r="IR2" s="41">
        <v>45768.0</v>
      </c>
      <c r="IS2" s="41">
        <v>45769.0</v>
      </c>
      <c r="IT2" s="41">
        <v>45770.0</v>
      </c>
      <c r="IU2" s="41">
        <v>45771.0</v>
      </c>
      <c r="IV2" s="41">
        <v>45772.0</v>
      </c>
      <c r="IW2" s="41">
        <v>45773.0</v>
      </c>
      <c r="IX2" s="41">
        <v>45774.0</v>
      </c>
      <c r="IY2" s="41">
        <v>45775.0</v>
      </c>
      <c r="IZ2" s="41">
        <v>45776.0</v>
      </c>
      <c r="JA2" s="41">
        <v>45777.0</v>
      </c>
      <c r="JB2" s="43"/>
      <c r="JC2" s="41">
        <v>45778.0</v>
      </c>
      <c r="JD2" s="41">
        <v>45779.0</v>
      </c>
      <c r="JE2" s="41">
        <v>45780.0</v>
      </c>
      <c r="JF2" s="41">
        <v>45781.0</v>
      </c>
      <c r="JG2" s="41">
        <v>45782.0</v>
      </c>
      <c r="JH2" s="41">
        <v>45783.0</v>
      </c>
      <c r="JI2" s="41">
        <v>45784.0</v>
      </c>
      <c r="JJ2" s="41">
        <v>45785.0</v>
      </c>
      <c r="JK2" s="41">
        <v>45786.0</v>
      </c>
      <c r="JL2" s="41">
        <v>45787.0</v>
      </c>
      <c r="JM2" s="41">
        <v>45788.0</v>
      </c>
      <c r="JN2" s="41">
        <v>45789.0</v>
      </c>
      <c r="JO2" s="41">
        <v>45790.0</v>
      </c>
      <c r="JP2" s="41">
        <v>45791.0</v>
      </c>
      <c r="JQ2" s="41">
        <v>45792.0</v>
      </c>
      <c r="JR2" s="41">
        <v>45793.0</v>
      </c>
      <c r="JS2" s="41">
        <v>45794.0</v>
      </c>
      <c r="JT2" s="41">
        <v>45795.0</v>
      </c>
      <c r="JU2" s="41">
        <v>45796.0</v>
      </c>
      <c r="JV2" s="41">
        <v>45797.0</v>
      </c>
      <c r="JW2" s="41">
        <v>45798.0</v>
      </c>
      <c r="JX2" s="41">
        <v>45799.0</v>
      </c>
      <c r="JY2" s="41">
        <v>45800.0</v>
      </c>
      <c r="JZ2" s="41">
        <v>45801.0</v>
      </c>
      <c r="KA2" s="41">
        <v>45802.0</v>
      </c>
      <c r="KB2" s="41">
        <v>45803.0</v>
      </c>
      <c r="KC2" s="41">
        <v>45804.0</v>
      </c>
      <c r="KD2" s="41">
        <v>45805.0</v>
      </c>
      <c r="KE2" s="41">
        <v>45806.0</v>
      </c>
      <c r="KF2" s="41">
        <v>45807.0</v>
      </c>
      <c r="KG2" s="41">
        <v>45808.0</v>
      </c>
      <c r="KH2" s="43"/>
      <c r="KI2" s="41">
        <v>45809.0</v>
      </c>
      <c r="KJ2" s="41">
        <v>45810.0</v>
      </c>
      <c r="KK2" s="41">
        <v>45811.0</v>
      </c>
      <c r="KL2" s="41">
        <v>45812.0</v>
      </c>
      <c r="KM2" s="41">
        <v>45813.0</v>
      </c>
      <c r="KN2" s="41">
        <v>45814.0</v>
      </c>
      <c r="KO2" s="41">
        <v>45815.0</v>
      </c>
      <c r="KP2" s="41">
        <v>45816.0</v>
      </c>
      <c r="KQ2" s="41">
        <v>45817.0</v>
      </c>
      <c r="KR2" s="41">
        <v>45818.0</v>
      </c>
      <c r="KS2" s="41">
        <v>45819.0</v>
      </c>
      <c r="KT2" s="41">
        <v>45820.0</v>
      </c>
      <c r="KU2" s="41">
        <v>45821.0</v>
      </c>
      <c r="KV2" s="41">
        <v>45822.0</v>
      </c>
      <c r="KW2" s="41">
        <v>45823.0</v>
      </c>
      <c r="KX2" s="41">
        <v>45824.0</v>
      </c>
      <c r="KY2" s="41">
        <v>45825.0</v>
      </c>
      <c r="KZ2" s="41">
        <v>45826.0</v>
      </c>
      <c r="LA2" s="41">
        <v>45827.0</v>
      </c>
      <c r="LB2" s="41">
        <v>45828.0</v>
      </c>
      <c r="LC2" s="41">
        <v>45829.0</v>
      </c>
      <c r="LD2" s="41">
        <v>45830.0</v>
      </c>
      <c r="LE2" s="41">
        <v>45831.0</v>
      </c>
      <c r="LF2" s="41">
        <v>45832.0</v>
      </c>
      <c r="LG2" s="41">
        <v>45833.0</v>
      </c>
      <c r="LH2" s="41">
        <v>45834.0</v>
      </c>
      <c r="LI2" s="41">
        <v>45835.0</v>
      </c>
      <c r="LJ2" s="41">
        <v>45836.0</v>
      </c>
      <c r="LK2" s="41">
        <v>45837.0</v>
      </c>
      <c r="LL2" s="41">
        <v>45838.0</v>
      </c>
      <c r="LM2" s="44" t="s">
        <v>32</v>
      </c>
      <c r="LN2" s="45"/>
      <c r="LO2" s="46">
        <v>45839.0</v>
      </c>
      <c r="LP2" s="41">
        <v>45840.0</v>
      </c>
      <c r="LQ2" s="41">
        <v>45841.0</v>
      </c>
      <c r="LR2" s="41">
        <v>45842.0</v>
      </c>
      <c r="LS2" s="41">
        <v>45843.0</v>
      </c>
      <c r="LT2" s="41">
        <v>45844.0</v>
      </c>
      <c r="LU2" s="41">
        <v>45845.0</v>
      </c>
      <c r="LV2" s="41">
        <v>45846.0</v>
      </c>
      <c r="LW2" s="41">
        <v>45847.0</v>
      </c>
      <c r="LX2" s="41">
        <v>45848.0</v>
      </c>
      <c r="LY2" s="41">
        <v>45849.0</v>
      </c>
      <c r="LZ2" s="41">
        <v>45850.0</v>
      </c>
      <c r="MA2" s="41">
        <v>45851.0</v>
      </c>
      <c r="MB2" s="41">
        <v>45852.0</v>
      </c>
      <c r="MC2" s="41">
        <v>45853.0</v>
      </c>
      <c r="MD2" s="41">
        <v>45854.0</v>
      </c>
      <c r="ME2" s="41">
        <v>45855.0</v>
      </c>
      <c r="MF2" s="41">
        <v>45856.0</v>
      </c>
      <c r="MG2" s="41">
        <v>45857.0</v>
      </c>
      <c r="MH2" s="41">
        <v>45858.0</v>
      </c>
      <c r="MI2" s="41">
        <v>45859.0</v>
      </c>
      <c r="MJ2" s="41">
        <v>45860.0</v>
      </c>
      <c r="MK2" s="41">
        <v>45861.0</v>
      </c>
      <c r="ML2" s="41">
        <v>45862.0</v>
      </c>
      <c r="MM2" s="41">
        <v>45863.0</v>
      </c>
      <c r="MN2" s="41">
        <v>45864.0</v>
      </c>
      <c r="MO2" s="41">
        <v>45865.0</v>
      </c>
      <c r="MP2" s="41">
        <v>45866.0</v>
      </c>
      <c r="MQ2" s="41">
        <v>45867.0</v>
      </c>
      <c r="MR2" s="41">
        <v>45868.0</v>
      </c>
      <c r="MS2" s="41">
        <v>45869.0</v>
      </c>
      <c r="MT2" s="43"/>
      <c r="MU2" s="47">
        <v>45839.0</v>
      </c>
      <c r="MV2" s="48">
        <v>45840.0</v>
      </c>
      <c r="MW2" s="48">
        <v>45841.0</v>
      </c>
      <c r="MX2" s="48">
        <v>45842.0</v>
      </c>
      <c r="MY2" s="48">
        <v>45843.0</v>
      </c>
      <c r="MZ2" s="48">
        <v>45844.0</v>
      </c>
      <c r="NA2" s="48">
        <v>45845.0</v>
      </c>
      <c r="NB2" s="48">
        <v>45846.0</v>
      </c>
      <c r="NC2" s="48">
        <v>45847.0</v>
      </c>
      <c r="ND2" s="48">
        <v>45848.0</v>
      </c>
      <c r="NE2" s="48">
        <v>45849.0</v>
      </c>
      <c r="NF2" s="48">
        <v>45850.0</v>
      </c>
      <c r="NG2" s="48">
        <v>45851.0</v>
      </c>
      <c r="NH2" s="48">
        <v>45852.0</v>
      </c>
      <c r="NI2" s="48">
        <v>45853.0</v>
      </c>
      <c r="NJ2" s="48">
        <v>45854.0</v>
      </c>
      <c r="NK2" s="48">
        <v>45855.0</v>
      </c>
      <c r="NL2" s="48">
        <v>45856.0</v>
      </c>
      <c r="NM2" s="48">
        <v>45857.0</v>
      </c>
      <c r="NN2" s="48">
        <v>45858.0</v>
      </c>
      <c r="NO2" s="48">
        <v>45859.0</v>
      </c>
      <c r="NP2" s="48">
        <v>45860.0</v>
      </c>
      <c r="NQ2" s="48">
        <v>45861.0</v>
      </c>
      <c r="NR2" s="48">
        <v>45862.0</v>
      </c>
      <c r="NS2" s="48">
        <v>45863.0</v>
      </c>
      <c r="NT2" s="48">
        <v>45864.0</v>
      </c>
      <c r="NU2" s="48">
        <v>45865.0</v>
      </c>
      <c r="NV2" s="48">
        <v>45866.0</v>
      </c>
      <c r="NW2" s="48">
        <v>45867.0</v>
      </c>
      <c r="NX2" s="48">
        <v>45868.0</v>
      </c>
      <c r="NY2" s="48">
        <v>45869.0</v>
      </c>
      <c r="NZ2" s="36"/>
      <c r="OA2" s="41">
        <v>45901.0</v>
      </c>
      <c r="OB2" s="41">
        <v>45902.0</v>
      </c>
      <c r="OC2" s="41">
        <v>45903.0</v>
      </c>
      <c r="OD2" s="41">
        <v>45904.0</v>
      </c>
      <c r="OE2" s="41">
        <v>45905.0</v>
      </c>
      <c r="OF2" s="41">
        <v>45906.0</v>
      </c>
      <c r="OG2" s="41">
        <v>45907.0</v>
      </c>
      <c r="OH2" s="41">
        <v>45908.0</v>
      </c>
      <c r="OI2" s="41">
        <v>45909.0</v>
      </c>
      <c r="OJ2" s="41">
        <v>45910.0</v>
      </c>
      <c r="OK2" s="41">
        <v>45911.0</v>
      </c>
      <c r="OL2" s="41">
        <v>45912.0</v>
      </c>
    </row>
    <row r="3" ht="22.5" customHeight="1">
      <c r="A3" s="49"/>
      <c r="B3" s="50"/>
      <c r="C3" s="51" t="s">
        <v>34</v>
      </c>
      <c r="D3" s="51" t="s">
        <v>35</v>
      </c>
      <c r="E3" s="52">
        <f t="shared" ref="E3:JA3" si="1">E2</f>
        <v>45521</v>
      </c>
      <c r="F3" s="52">
        <f t="shared" si="1"/>
        <v>45522</v>
      </c>
      <c r="G3" s="52">
        <f t="shared" si="1"/>
        <v>45523</v>
      </c>
      <c r="H3" s="52">
        <f t="shared" si="1"/>
        <v>45524</v>
      </c>
      <c r="I3" s="52">
        <f t="shared" si="1"/>
        <v>45525</v>
      </c>
      <c r="J3" s="52">
        <f t="shared" si="1"/>
        <v>45526</v>
      </c>
      <c r="K3" s="52">
        <f t="shared" si="1"/>
        <v>45527</v>
      </c>
      <c r="L3" s="52">
        <f t="shared" si="1"/>
        <v>45528</v>
      </c>
      <c r="M3" s="52">
        <f t="shared" si="1"/>
        <v>45529</v>
      </c>
      <c r="N3" s="52">
        <f t="shared" si="1"/>
        <v>45530</v>
      </c>
      <c r="O3" s="52">
        <f t="shared" si="1"/>
        <v>45531</v>
      </c>
      <c r="P3" s="52">
        <f t="shared" si="1"/>
        <v>45532</v>
      </c>
      <c r="Q3" s="52">
        <f t="shared" si="1"/>
        <v>45533</v>
      </c>
      <c r="R3" s="52">
        <f t="shared" si="1"/>
        <v>45534</v>
      </c>
      <c r="S3" s="52">
        <f t="shared" si="1"/>
        <v>45535</v>
      </c>
      <c r="T3" s="52">
        <f t="shared" si="1"/>
        <v>45536</v>
      </c>
      <c r="U3" s="52">
        <f t="shared" si="1"/>
        <v>45537</v>
      </c>
      <c r="V3" s="52">
        <f t="shared" si="1"/>
        <v>45538</v>
      </c>
      <c r="W3" s="52">
        <f t="shared" si="1"/>
        <v>45539</v>
      </c>
      <c r="X3" s="52">
        <f t="shared" si="1"/>
        <v>45540</v>
      </c>
      <c r="Y3" s="52">
        <f t="shared" si="1"/>
        <v>45541</v>
      </c>
      <c r="Z3" s="52">
        <f t="shared" si="1"/>
        <v>45542</v>
      </c>
      <c r="AA3" s="52">
        <f t="shared" si="1"/>
        <v>45543</v>
      </c>
      <c r="AB3" s="52">
        <f t="shared" si="1"/>
        <v>45544</v>
      </c>
      <c r="AC3" s="52">
        <f t="shared" si="1"/>
        <v>45545</v>
      </c>
      <c r="AD3" s="52">
        <f t="shared" si="1"/>
        <v>45546</v>
      </c>
      <c r="AE3" s="52">
        <f t="shared" si="1"/>
        <v>45547</v>
      </c>
      <c r="AF3" s="52">
        <f t="shared" si="1"/>
        <v>45548</v>
      </c>
      <c r="AG3" s="52">
        <f t="shared" si="1"/>
        <v>45549</v>
      </c>
      <c r="AH3" s="52">
        <f t="shared" si="1"/>
        <v>45550</v>
      </c>
      <c r="AI3" s="52">
        <f t="shared" si="1"/>
        <v>45551</v>
      </c>
      <c r="AJ3" s="52">
        <f t="shared" si="1"/>
        <v>45552</v>
      </c>
      <c r="AK3" s="52">
        <f t="shared" si="1"/>
        <v>45553</v>
      </c>
      <c r="AL3" s="52">
        <f t="shared" si="1"/>
        <v>45554</v>
      </c>
      <c r="AM3" s="52">
        <f t="shared" si="1"/>
        <v>45555</v>
      </c>
      <c r="AN3" s="52">
        <f t="shared" si="1"/>
        <v>45556</v>
      </c>
      <c r="AO3" s="52">
        <f t="shared" si="1"/>
        <v>45557</v>
      </c>
      <c r="AP3" s="52">
        <f t="shared" si="1"/>
        <v>45558</v>
      </c>
      <c r="AQ3" s="52">
        <f t="shared" si="1"/>
        <v>45559</v>
      </c>
      <c r="AR3" s="52">
        <f t="shared" si="1"/>
        <v>45560</v>
      </c>
      <c r="AS3" s="52">
        <f t="shared" si="1"/>
        <v>45561</v>
      </c>
      <c r="AT3" s="52">
        <f t="shared" si="1"/>
        <v>45562</v>
      </c>
      <c r="AU3" s="52">
        <f t="shared" si="1"/>
        <v>45563</v>
      </c>
      <c r="AV3" s="52" t="str">
        <f t="shared" si="1"/>
        <v/>
      </c>
      <c r="AW3" s="52">
        <f t="shared" si="1"/>
        <v>45565</v>
      </c>
      <c r="AX3" s="52">
        <f t="shared" si="1"/>
        <v>45566</v>
      </c>
      <c r="AY3" s="52">
        <f t="shared" si="1"/>
        <v>45567</v>
      </c>
      <c r="AZ3" s="52">
        <f t="shared" si="1"/>
        <v>45568</v>
      </c>
      <c r="BA3" s="52">
        <f t="shared" si="1"/>
        <v>45569</v>
      </c>
      <c r="BB3" s="52">
        <f t="shared" si="1"/>
        <v>45570</v>
      </c>
      <c r="BC3" s="52">
        <f t="shared" si="1"/>
        <v>45571</v>
      </c>
      <c r="BD3" s="52">
        <f t="shared" si="1"/>
        <v>45572</v>
      </c>
      <c r="BE3" s="52">
        <f t="shared" si="1"/>
        <v>45573</v>
      </c>
      <c r="BF3" s="52">
        <f t="shared" si="1"/>
        <v>45574</v>
      </c>
      <c r="BG3" s="52">
        <f t="shared" si="1"/>
        <v>45575</v>
      </c>
      <c r="BH3" s="52">
        <f t="shared" si="1"/>
        <v>45576</v>
      </c>
      <c r="BI3" s="52">
        <f t="shared" si="1"/>
        <v>45577</v>
      </c>
      <c r="BJ3" s="52">
        <f t="shared" si="1"/>
        <v>45578</v>
      </c>
      <c r="BK3" s="52">
        <f t="shared" si="1"/>
        <v>45579</v>
      </c>
      <c r="BL3" s="52">
        <f t="shared" si="1"/>
        <v>45580</v>
      </c>
      <c r="BM3" s="52">
        <f t="shared" si="1"/>
        <v>45581</v>
      </c>
      <c r="BN3" s="52">
        <f t="shared" si="1"/>
        <v>45582</v>
      </c>
      <c r="BO3" s="52">
        <f t="shared" si="1"/>
        <v>45583</v>
      </c>
      <c r="BP3" s="52">
        <f t="shared" si="1"/>
        <v>45584</v>
      </c>
      <c r="BQ3" s="52">
        <f t="shared" si="1"/>
        <v>45585</v>
      </c>
      <c r="BR3" s="52">
        <f t="shared" si="1"/>
        <v>45586</v>
      </c>
      <c r="BS3" s="52">
        <f t="shared" si="1"/>
        <v>45587</v>
      </c>
      <c r="BT3" s="52">
        <f t="shared" si="1"/>
        <v>45588</v>
      </c>
      <c r="BU3" s="53">
        <f t="shared" si="1"/>
        <v>45589</v>
      </c>
      <c r="BV3" s="52">
        <f t="shared" si="1"/>
        <v>45590</v>
      </c>
      <c r="BW3" s="52">
        <f t="shared" si="1"/>
        <v>45591</v>
      </c>
      <c r="BX3" s="52">
        <f t="shared" si="1"/>
        <v>45592</v>
      </c>
      <c r="BY3" s="52">
        <f t="shared" si="1"/>
        <v>45593</v>
      </c>
      <c r="BZ3" s="52">
        <f t="shared" si="1"/>
        <v>45594</v>
      </c>
      <c r="CA3" s="52">
        <f t="shared" si="1"/>
        <v>45595</v>
      </c>
      <c r="CB3" s="52">
        <f t="shared" si="1"/>
        <v>45596</v>
      </c>
      <c r="CC3" s="52">
        <f t="shared" si="1"/>
        <v>45597</v>
      </c>
      <c r="CD3" s="52">
        <f t="shared" si="1"/>
        <v>45598</v>
      </c>
      <c r="CE3" s="52">
        <f t="shared" si="1"/>
        <v>45599</v>
      </c>
      <c r="CF3" s="52">
        <f t="shared" si="1"/>
        <v>45600</v>
      </c>
      <c r="CG3" s="52">
        <f t="shared" si="1"/>
        <v>45601</v>
      </c>
      <c r="CH3" s="52">
        <f t="shared" si="1"/>
        <v>45602</v>
      </c>
      <c r="CI3" s="52">
        <f t="shared" si="1"/>
        <v>45603</v>
      </c>
      <c r="CJ3" s="52">
        <f t="shared" si="1"/>
        <v>45604</v>
      </c>
      <c r="CK3" s="52">
        <f t="shared" si="1"/>
        <v>45605</v>
      </c>
      <c r="CL3" s="52">
        <f t="shared" si="1"/>
        <v>45606</v>
      </c>
      <c r="CM3" s="52">
        <f t="shared" si="1"/>
        <v>45607</v>
      </c>
      <c r="CN3" s="52">
        <f t="shared" si="1"/>
        <v>45608</v>
      </c>
      <c r="CO3" s="52">
        <f t="shared" si="1"/>
        <v>45609</v>
      </c>
      <c r="CP3" s="52">
        <f t="shared" si="1"/>
        <v>45610</v>
      </c>
      <c r="CQ3" s="52">
        <f t="shared" si="1"/>
        <v>45611</v>
      </c>
      <c r="CR3" s="52">
        <f t="shared" si="1"/>
        <v>45612</v>
      </c>
      <c r="CS3" s="52">
        <f t="shared" si="1"/>
        <v>45613</v>
      </c>
      <c r="CT3" s="52">
        <f t="shared" si="1"/>
        <v>45614</v>
      </c>
      <c r="CU3" s="52">
        <f t="shared" si="1"/>
        <v>45615</v>
      </c>
      <c r="CV3" s="52">
        <f t="shared" si="1"/>
        <v>45616</v>
      </c>
      <c r="CW3" s="52">
        <f t="shared" si="1"/>
        <v>45617</v>
      </c>
      <c r="CX3" s="52">
        <f t="shared" si="1"/>
        <v>45618</v>
      </c>
      <c r="CY3" s="52">
        <f t="shared" si="1"/>
        <v>45619</v>
      </c>
      <c r="CZ3" s="53">
        <f t="shared" si="1"/>
        <v>45620</v>
      </c>
      <c r="DA3" s="52">
        <f t="shared" si="1"/>
        <v>45621</v>
      </c>
      <c r="DB3" s="52">
        <f t="shared" si="1"/>
        <v>45622</v>
      </c>
      <c r="DC3" s="52">
        <f t="shared" si="1"/>
        <v>45623</v>
      </c>
      <c r="DD3" s="52">
        <f t="shared" si="1"/>
        <v>45624</v>
      </c>
      <c r="DE3" s="52">
        <f t="shared" si="1"/>
        <v>45625</v>
      </c>
      <c r="DF3" s="52">
        <f t="shared" si="1"/>
        <v>45626</v>
      </c>
      <c r="DG3" s="52">
        <f t="shared" si="1"/>
        <v>45627</v>
      </c>
      <c r="DH3" s="52">
        <f t="shared" si="1"/>
        <v>45628</v>
      </c>
      <c r="DI3" s="52">
        <f t="shared" si="1"/>
        <v>45629</v>
      </c>
      <c r="DJ3" s="52">
        <f t="shared" si="1"/>
        <v>45630</v>
      </c>
      <c r="DK3" s="52">
        <f t="shared" si="1"/>
        <v>45631</v>
      </c>
      <c r="DL3" s="52">
        <f t="shared" si="1"/>
        <v>45632</v>
      </c>
      <c r="DM3" s="52">
        <f t="shared" si="1"/>
        <v>45633</v>
      </c>
      <c r="DN3" s="52">
        <f t="shared" si="1"/>
        <v>45634</v>
      </c>
      <c r="DO3" s="52">
        <f t="shared" si="1"/>
        <v>45635</v>
      </c>
      <c r="DP3" s="52">
        <f t="shared" si="1"/>
        <v>45636</v>
      </c>
      <c r="DQ3" s="52">
        <f t="shared" si="1"/>
        <v>45637</v>
      </c>
      <c r="DR3" s="52">
        <f t="shared" si="1"/>
        <v>45638</v>
      </c>
      <c r="DS3" s="52">
        <f t="shared" si="1"/>
        <v>45639</v>
      </c>
      <c r="DT3" s="52">
        <f t="shared" si="1"/>
        <v>45640</v>
      </c>
      <c r="DU3" s="52">
        <f t="shared" si="1"/>
        <v>45641</v>
      </c>
      <c r="DV3" s="52">
        <f t="shared" si="1"/>
        <v>45642</v>
      </c>
      <c r="DW3" s="52">
        <f t="shared" si="1"/>
        <v>45643</v>
      </c>
      <c r="DX3" s="52">
        <f t="shared" si="1"/>
        <v>45644</v>
      </c>
      <c r="DY3" s="52">
        <f t="shared" si="1"/>
        <v>45645</v>
      </c>
      <c r="DZ3" s="52">
        <f t="shared" si="1"/>
        <v>45646</v>
      </c>
      <c r="EA3" s="52">
        <f t="shared" si="1"/>
        <v>45647</v>
      </c>
      <c r="EB3" s="52">
        <f t="shared" si="1"/>
        <v>45648</v>
      </c>
      <c r="EC3" s="52">
        <f t="shared" si="1"/>
        <v>45649</v>
      </c>
      <c r="ED3" s="53">
        <f t="shared" si="1"/>
        <v>45650</v>
      </c>
      <c r="EE3" s="52">
        <f t="shared" si="1"/>
        <v>45651</v>
      </c>
      <c r="EF3" s="52">
        <f t="shared" si="1"/>
        <v>45652</v>
      </c>
      <c r="EG3" s="52">
        <f t="shared" si="1"/>
        <v>45653</v>
      </c>
      <c r="EH3" s="52">
        <f t="shared" si="1"/>
        <v>45654</v>
      </c>
      <c r="EI3" s="52">
        <f t="shared" si="1"/>
        <v>45655</v>
      </c>
      <c r="EJ3" s="52">
        <f t="shared" si="1"/>
        <v>45656</v>
      </c>
      <c r="EK3" s="52">
        <f t="shared" si="1"/>
        <v>45657</v>
      </c>
      <c r="EL3" s="52">
        <f t="shared" si="1"/>
        <v>45658</v>
      </c>
      <c r="EM3" s="52">
        <f t="shared" si="1"/>
        <v>45659</v>
      </c>
      <c r="EN3" s="52">
        <f t="shared" si="1"/>
        <v>45660</v>
      </c>
      <c r="EO3" s="52">
        <f t="shared" si="1"/>
        <v>45661</v>
      </c>
      <c r="EP3" s="52">
        <f t="shared" si="1"/>
        <v>45662</v>
      </c>
      <c r="EQ3" s="52">
        <f t="shared" si="1"/>
        <v>45663</v>
      </c>
      <c r="ER3" s="52">
        <f t="shared" si="1"/>
        <v>45664</v>
      </c>
      <c r="ES3" s="52">
        <f t="shared" si="1"/>
        <v>45665</v>
      </c>
      <c r="ET3" s="52">
        <f t="shared" si="1"/>
        <v>45666</v>
      </c>
      <c r="EU3" s="52">
        <f t="shared" si="1"/>
        <v>45667</v>
      </c>
      <c r="EV3" s="52">
        <f t="shared" si="1"/>
        <v>45668</v>
      </c>
      <c r="EW3" s="52">
        <f t="shared" si="1"/>
        <v>45669</v>
      </c>
      <c r="EX3" s="52">
        <f t="shared" si="1"/>
        <v>45670</v>
      </c>
      <c r="EY3" s="52">
        <f t="shared" si="1"/>
        <v>45671</v>
      </c>
      <c r="EZ3" s="52">
        <f t="shared" si="1"/>
        <v>45672</v>
      </c>
      <c r="FA3" s="52">
        <f t="shared" si="1"/>
        <v>45673</v>
      </c>
      <c r="FB3" s="52">
        <f t="shared" si="1"/>
        <v>45674</v>
      </c>
      <c r="FC3" s="52">
        <f t="shared" si="1"/>
        <v>45675</v>
      </c>
      <c r="FD3" s="52">
        <f t="shared" si="1"/>
        <v>45676</v>
      </c>
      <c r="FE3" s="52">
        <f t="shared" si="1"/>
        <v>45677</v>
      </c>
      <c r="FF3" s="52">
        <f t="shared" si="1"/>
        <v>45678</v>
      </c>
      <c r="FG3" s="52">
        <f t="shared" si="1"/>
        <v>45679</v>
      </c>
      <c r="FH3" s="52">
        <f t="shared" si="1"/>
        <v>45680</v>
      </c>
      <c r="FI3" s="52">
        <f t="shared" si="1"/>
        <v>45681</v>
      </c>
      <c r="FJ3" s="52">
        <f t="shared" si="1"/>
        <v>45682</v>
      </c>
      <c r="FK3" s="52">
        <f t="shared" si="1"/>
        <v>45683</v>
      </c>
      <c r="FL3" s="52">
        <f t="shared" si="1"/>
        <v>45684</v>
      </c>
      <c r="FM3" s="52">
        <f t="shared" si="1"/>
        <v>45685</v>
      </c>
      <c r="FN3" s="52">
        <f t="shared" si="1"/>
        <v>45686</v>
      </c>
      <c r="FO3" s="52">
        <f t="shared" si="1"/>
        <v>45687</v>
      </c>
      <c r="FP3" s="52">
        <f t="shared" si="1"/>
        <v>45688</v>
      </c>
      <c r="FQ3" s="52">
        <f t="shared" si="1"/>
        <v>45689</v>
      </c>
      <c r="FR3" s="52">
        <f t="shared" si="1"/>
        <v>45690</v>
      </c>
      <c r="FS3" s="52">
        <f t="shared" si="1"/>
        <v>45691</v>
      </c>
      <c r="FT3" s="52">
        <f t="shared" si="1"/>
        <v>45692</v>
      </c>
      <c r="FU3" s="52">
        <f t="shared" si="1"/>
        <v>45693</v>
      </c>
      <c r="FV3" s="52">
        <f t="shared" si="1"/>
        <v>45694</v>
      </c>
      <c r="FW3" s="52">
        <f t="shared" si="1"/>
        <v>45695</v>
      </c>
      <c r="FX3" s="52">
        <f t="shared" si="1"/>
        <v>45696</v>
      </c>
      <c r="FY3" s="52">
        <f t="shared" si="1"/>
        <v>45697</v>
      </c>
      <c r="FZ3" s="52">
        <f t="shared" si="1"/>
        <v>45698</v>
      </c>
      <c r="GA3" s="52">
        <f t="shared" si="1"/>
        <v>45699</v>
      </c>
      <c r="GB3" s="52">
        <f t="shared" si="1"/>
        <v>45700</v>
      </c>
      <c r="GC3" s="52">
        <f t="shared" si="1"/>
        <v>45701</v>
      </c>
      <c r="GD3" s="52">
        <f t="shared" si="1"/>
        <v>45702</v>
      </c>
      <c r="GE3" s="52">
        <f t="shared" si="1"/>
        <v>45703</v>
      </c>
      <c r="GF3" s="52">
        <f t="shared" si="1"/>
        <v>45704</v>
      </c>
      <c r="GG3" s="52">
        <f t="shared" si="1"/>
        <v>45705</v>
      </c>
      <c r="GH3" s="52">
        <f t="shared" si="1"/>
        <v>45706</v>
      </c>
      <c r="GI3" s="52">
        <f t="shared" si="1"/>
        <v>45707</v>
      </c>
      <c r="GJ3" s="52">
        <f t="shared" si="1"/>
        <v>45708</v>
      </c>
      <c r="GK3" s="52">
        <f t="shared" si="1"/>
        <v>45709</v>
      </c>
      <c r="GL3" s="52">
        <f t="shared" si="1"/>
        <v>45710</v>
      </c>
      <c r="GM3" s="52">
        <f t="shared" si="1"/>
        <v>45711</v>
      </c>
      <c r="GN3" s="52">
        <f t="shared" si="1"/>
        <v>45712</v>
      </c>
      <c r="GO3" s="52">
        <f t="shared" si="1"/>
        <v>45713</v>
      </c>
      <c r="GP3" s="52">
        <f t="shared" si="1"/>
        <v>45714</v>
      </c>
      <c r="GQ3" s="52">
        <f t="shared" si="1"/>
        <v>45715</v>
      </c>
      <c r="GR3" s="52">
        <f t="shared" si="1"/>
        <v>45716</v>
      </c>
      <c r="GS3" s="52">
        <f t="shared" si="1"/>
        <v>45717</v>
      </c>
      <c r="GT3" s="52">
        <f t="shared" si="1"/>
        <v>45718</v>
      </c>
      <c r="GU3" s="52">
        <f t="shared" si="1"/>
        <v>45719</v>
      </c>
      <c r="GV3" s="52">
        <f t="shared" si="1"/>
        <v>45720</v>
      </c>
      <c r="GW3" s="52">
        <f t="shared" si="1"/>
        <v>45721</v>
      </c>
      <c r="GX3" s="52">
        <f t="shared" si="1"/>
        <v>45722</v>
      </c>
      <c r="GY3" s="52">
        <f t="shared" si="1"/>
        <v>45723</v>
      </c>
      <c r="GZ3" s="52">
        <f t="shared" si="1"/>
        <v>45724</v>
      </c>
      <c r="HA3" s="52">
        <f t="shared" si="1"/>
        <v>45725</v>
      </c>
      <c r="HB3" s="52">
        <f t="shared" si="1"/>
        <v>45726</v>
      </c>
      <c r="HC3" s="52">
        <f t="shared" si="1"/>
        <v>45727</v>
      </c>
      <c r="HD3" s="52">
        <f t="shared" si="1"/>
        <v>45728</v>
      </c>
      <c r="HE3" s="52">
        <f t="shared" si="1"/>
        <v>45729</v>
      </c>
      <c r="HF3" s="52">
        <f t="shared" si="1"/>
        <v>45730</v>
      </c>
      <c r="HG3" s="52">
        <f t="shared" si="1"/>
        <v>45731</v>
      </c>
      <c r="HH3" s="52">
        <f t="shared" si="1"/>
        <v>45732</v>
      </c>
      <c r="HI3" s="52">
        <f t="shared" si="1"/>
        <v>45733</v>
      </c>
      <c r="HJ3" s="52">
        <f t="shared" si="1"/>
        <v>45734</v>
      </c>
      <c r="HK3" s="52">
        <f t="shared" si="1"/>
        <v>45735</v>
      </c>
      <c r="HL3" s="52">
        <f t="shared" si="1"/>
        <v>45736</v>
      </c>
      <c r="HM3" s="52">
        <f t="shared" si="1"/>
        <v>45737</v>
      </c>
      <c r="HN3" s="52">
        <f t="shared" si="1"/>
        <v>45738</v>
      </c>
      <c r="HO3" s="52">
        <f t="shared" si="1"/>
        <v>45739</v>
      </c>
      <c r="HP3" s="52">
        <f t="shared" si="1"/>
        <v>45740</v>
      </c>
      <c r="HQ3" s="52">
        <f t="shared" si="1"/>
        <v>45741</v>
      </c>
      <c r="HR3" s="52">
        <f t="shared" si="1"/>
        <v>45742</v>
      </c>
      <c r="HS3" s="52">
        <f t="shared" si="1"/>
        <v>45743</v>
      </c>
      <c r="HT3" s="52">
        <f t="shared" si="1"/>
        <v>45744</v>
      </c>
      <c r="HU3" s="52">
        <f t="shared" si="1"/>
        <v>45745</v>
      </c>
      <c r="HV3" s="52">
        <f t="shared" si="1"/>
        <v>45746</v>
      </c>
      <c r="HW3" s="52">
        <f t="shared" si="1"/>
        <v>45747</v>
      </c>
      <c r="HX3" s="52">
        <f t="shared" si="1"/>
        <v>45748</v>
      </c>
      <c r="HY3" s="52">
        <f t="shared" si="1"/>
        <v>45749</v>
      </c>
      <c r="HZ3" s="52">
        <f t="shared" si="1"/>
        <v>45750</v>
      </c>
      <c r="IA3" s="52">
        <f t="shared" si="1"/>
        <v>45751</v>
      </c>
      <c r="IB3" s="52">
        <f t="shared" si="1"/>
        <v>45752</v>
      </c>
      <c r="IC3" s="52">
        <f t="shared" si="1"/>
        <v>45753</v>
      </c>
      <c r="ID3" s="52">
        <f t="shared" si="1"/>
        <v>45754</v>
      </c>
      <c r="IE3" s="52">
        <f t="shared" si="1"/>
        <v>45755</v>
      </c>
      <c r="IF3" s="52">
        <f t="shared" si="1"/>
        <v>45756</v>
      </c>
      <c r="IG3" s="52">
        <f t="shared" si="1"/>
        <v>45757</v>
      </c>
      <c r="IH3" s="52">
        <f t="shared" si="1"/>
        <v>45758</v>
      </c>
      <c r="II3" s="52">
        <f t="shared" si="1"/>
        <v>45759</v>
      </c>
      <c r="IJ3" s="52">
        <f t="shared" si="1"/>
        <v>45760</v>
      </c>
      <c r="IK3" s="52">
        <f t="shared" si="1"/>
        <v>45761</v>
      </c>
      <c r="IL3" s="52">
        <f t="shared" si="1"/>
        <v>45762</v>
      </c>
      <c r="IM3" s="52">
        <f t="shared" si="1"/>
        <v>45763</v>
      </c>
      <c r="IN3" s="52">
        <f t="shared" si="1"/>
        <v>45764</v>
      </c>
      <c r="IO3" s="52">
        <f t="shared" si="1"/>
        <v>45765</v>
      </c>
      <c r="IP3" s="52">
        <f t="shared" si="1"/>
        <v>45766</v>
      </c>
      <c r="IQ3" s="52">
        <f t="shared" si="1"/>
        <v>45767</v>
      </c>
      <c r="IR3" s="52">
        <f t="shared" si="1"/>
        <v>45768</v>
      </c>
      <c r="IS3" s="52">
        <f t="shared" si="1"/>
        <v>45769</v>
      </c>
      <c r="IT3" s="52">
        <f t="shared" si="1"/>
        <v>45770</v>
      </c>
      <c r="IU3" s="52">
        <f t="shared" si="1"/>
        <v>45771</v>
      </c>
      <c r="IV3" s="52">
        <f t="shared" si="1"/>
        <v>45772</v>
      </c>
      <c r="IW3" s="52">
        <f t="shared" si="1"/>
        <v>45773</v>
      </c>
      <c r="IX3" s="52">
        <f t="shared" si="1"/>
        <v>45774</v>
      </c>
      <c r="IY3" s="52">
        <f t="shared" si="1"/>
        <v>45775</v>
      </c>
      <c r="IZ3" s="52">
        <f t="shared" si="1"/>
        <v>45776</v>
      </c>
      <c r="JA3" s="52">
        <f t="shared" si="1"/>
        <v>45777</v>
      </c>
      <c r="JB3" s="54"/>
      <c r="JC3" s="52">
        <f t="shared" ref="JC3:KG3" si="2">JC2</f>
        <v>45778</v>
      </c>
      <c r="JD3" s="52">
        <f t="shared" si="2"/>
        <v>45779</v>
      </c>
      <c r="JE3" s="52">
        <f t="shared" si="2"/>
        <v>45780</v>
      </c>
      <c r="JF3" s="52">
        <f t="shared" si="2"/>
        <v>45781</v>
      </c>
      <c r="JG3" s="52">
        <f t="shared" si="2"/>
        <v>45782</v>
      </c>
      <c r="JH3" s="52">
        <f t="shared" si="2"/>
        <v>45783</v>
      </c>
      <c r="JI3" s="52">
        <f t="shared" si="2"/>
        <v>45784</v>
      </c>
      <c r="JJ3" s="52">
        <f t="shared" si="2"/>
        <v>45785</v>
      </c>
      <c r="JK3" s="52">
        <f t="shared" si="2"/>
        <v>45786</v>
      </c>
      <c r="JL3" s="52">
        <f t="shared" si="2"/>
        <v>45787</v>
      </c>
      <c r="JM3" s="52">
        <f t="shared" si="2"/>
        <v>45788</v>
      </c>
      <c r="JN3" s="52">
        <f t="shared" si="2"/>
        <v>45789</v>
      </c>
      <c r="JO3" s="52">
        <f t="shared" si="2"/>
        <v>45790</v>
      </c>
      <c r="JP3" s="52">
        <f t="shared" si="2"/>
        <v>45791</v>
      </c>
      <c r="JQ3" s="52">
        <f t="shared" si="2"/>
        <v>45792</v>
      </c>
      <c r="JR3" s="52">
        <f t="shared" si="2"/>
        <v>45793</v>
      </c>
      <c r="JS3" s="52">
        <f t="shared" si="2"/>
        <v>45794</v>
      </c>
      <c r="JT3" s="52">
        <f t="shared" si="2"/>
        <v>45795</v>
      </c>
      <c r="JU3" s="52">
        <f t="shared" si="2"/>
        <v>45796</v>
      </c>
      <c r="JV3" s="52">
        <f t="shared" si="2"/>
        <v>45797</v>
      </c>
      <c r="JW3" s="52">
        <f t="shared" si="2"/>
        <v>45798</v>
      </c>
      <c r="JX3" s="52">
        <f t="shared" si="2"/>
        <v>45799</v>
      </c>
      <c r="JY3" s="52">
        <f t="shared" si="2"/>
        <v>45800</v>
      </c>
      <c r="JZ3" s="52">
        <f t="shared" si="2"/>
        <v>45801</v>
      </c>
      <c r="KA3" s="52">
        <f t="shared" si="2"/>
        <v>45802</v>
      </c>
      <c r="KB3" s="52">
        <f t="shared" si="2"/>
        <v>45803</v>
      </c>
      <c r="KC3" s="52">
        <f t="shared" si="2"/>
        <v>45804</v>
      </c>
      <c r="KD3" s="52">
        <f t="shared" si="2"/>
        <v>45805</v>
      </c>
      <c r="KE3" s="52">
        <f t="shared" si="2"/>
        <v>45806</v>
      </c>
      <c r="KF3" s="52">
        <f t="shared" si="2"/>
        <v>45807</v>
      </c>
      <c r="KG3" s="52">
        <f t="shared" si="2"/>
        <v>45808</v>
      </c>
      <c r="KH3" s="54"/>
      <c r="KI3" s="52">
        <f t="shared" ref="KI3:LL3" si="3">KI2</f>
        <v>45809</v>
      </c>
      <c r="KJ3" s="52">
        <f t="shared" si="3"/>
        <v>45810</v>
      </c>
      <c r="KK3" s="52">
        <f t="shared" si="3"/>
        <v>45811</v>
      </c>
      <c r="KL3" s="52">
        <f t="shared" si="3"/>
        <v>45812</v>
      </c>
      <c r="KM3" s="52">
        <f t="shared" si="3"/>
        <v>45813</v>
      </c>
      <c r="KN3" s="52">
        <f t="shared" si="3"/>
        <v>45814</v>
      </c>
      <c r="KO3" s="52">
        <f t="shared" si="3"/>
        <v>45815</v>
      </c>
      <c r="KP3" s="52">
        <f t="shared" si="3"/>
        <v>45816</v>
      </c>
      <c r="KQ3" s="52">
        <f t="shared" si="3"/>
        <v>45817</v>
      </c>
      <c r="KR3" s="52">
        <f t="shared" si="3"/>
        <v>45818</v>
      </c>
      <c r="KS3" s="52">
        <f t="shared" si="3"/>
        <v>45819</v>
      </c>
      <c r="KT3" s="52">
        <f t="shared" si="3"/>
        <v>45820</v>
      </c>
      <c r="KU3" s="52">
        <f t="shared" si="3"/>
        <v>45821</v>
      </c>
      <c r="KV3" s="52">
        <f t="shared" si="3"/>
        <v>45822</v>
      </c>
      <c r="KW3" s="52">
        <f t="shared" si="3"/>
        <v>45823</v>
      </c>
      <c r="KX3" s="52">
        <f t="shared" si="3"/>
        <v>45824</v>
      </c>
      <c r="KY3" s="52">
        <f t="shared" si="3"/>
        <v>45825</v>
      </c>
      <c r="KZ3" s="52">
        <f t="shared" si="3"/>
        <v>45826</v>
      </c>
      <c r="LA3" s="52">
        <f t="shared" si="3"/>
        <v>45827</v>
      </c>
      <c r="LB3" s="52">
        <f t="shared" si="3"/>
        <v>45828</v>
      </c>
      <c r="LC3" s="52">
        <f t="shared" si="3"/>
        <v>45829</v>
      </c>
      <c r="LD3" s="52">
        <f t="shared" si="3"/>
        <v>45830</v>
      </c>
      <c r="LE3" s="52">
        <f t="shared" si="3"/>
        <v>45831</v>
      </c>
      <c r="LF3" s="52">
        <f t="shared" si="3"/>
        <v>45832</v>
      </c>
      <c r="LG3" s="52">
        <f t="shared" si="3"/>
        <v>45833</v>
      </c>
      <c r="LH3" s="52">
        <f t="shared" si="3"/>
        <v>45834</v>
      </c>
      <c r="LI3" s="52">
        <f t="shared" si="3"/>
        <v>45835</v>
      </c>
      <c r="LJ3" s="52">
        <f t="shared" si="3"/>
        <v>45836</v>
      </c>
      <c r="LK3" s="52">
        <f t="shared" si="3"/>
        <v>45837</v>
      </c>
      <c r="LL3" s="52">
        <f t="shared" si="3"/>
        <v>45838</v>
      </c>
      <c r="LM3" s="55" t="s">
        <v>36</v>
      </c>
      <c r="LN3" s="56"/>
      <c r="LO3" s="57">
        <f t="shared" ref="LO3:MS3" si="4">LO2</f>
        <v>45839</v>
      </c>
      <c r="LP3" s="52">
        <f t="shared" si="4"/>
        <v>45840</v>
      </c>
      <c r="LQ3" s="52">
        <f t="shared" si="4"/>
        <v>45841</v>
      </c>
      <c r="LR3" s="52">
        <f t="shared" si="4"/>
        <v>45842</v>
      </c>
      <c r="LS3" s="52">
        <f t="shared" si="4"/>
        <v>45843</v>
      </c>
      <c r="LT3" s="52">
        <f t="shared" si="4"/>
        <v>45844</v>
      </c>
      <c r="LU3" s="52">
        <f t="shared" si="4"/>
        <v>45845</v>
      </c>
      <c r="LV3" s="52">
        <f t="shared" si="4"/>
        <v>45846</v>
      </c>
      <c r="LW3" s="52">
        <f t="shared" si="4"/>
        <v>45847</v>
      </c>
      <c r="LX3" s="52">
        <f t="shared" si="4"/>
        <v>45848</v>
      </c>
      <c r="LY3" s="52">
        <f t="shared" si="4"/>
        <v>45849</v>
      </c>
      <c r="LZ3" s="52">
        <f t="shared" si="4"/>
        <v>45850</v>
      </c>
      <c r="MA3" s="52">
        <f t="shared" si="4"/>
        <v>45851</v>
      </c>
      <c r="MB3" s="52">
        <f t="shared" si="4"/>
        <v>45852</v>
      </c>
      <c r="MC3" s="52">
        <f t="shared" si="4"/>
        <v>45853</v>
      </c>
      <c r="MD3" s="52">
        <f t="shared" si="4"/>
        <v>45854</v>
      </c>
      <c r="ME3" s="52">
        <f t="shared" si="4"/>
        <v>45855</v>
      </c>
      <c r="MF3" s="52">
        <f t="shared" si="4"/>
        <v>45856</v>
      </c>
      <c r="MG3" s="52">
        <f t="shared" si="4"/>
        <v>45857</v>
      </c>
      <c r="MH3" s="52">
        <f t="shared" si="4"/>
        <v>45858</v>
      </c>
      <c r="MI3" s="52">
        <f t="shared" si="4"/>
        <v>45859</v>
      </c>
      <c r="MJ3" s="52">
        <f t="shared" si="4"/>
        <v>45860</v>
      </c>
      <c r="MK3" s="52">
        <f t="shared" si="4"/>
        <v>45861</v>
      </c>
      <c r="ML3" s="52">
        <f t="shared" si="4"/>
        <v>45862</v>
      </c>
      <c r="MM3" s="52">
        <f t="shared" si="4"/>
        <v>45863</v>
      </c>
      <c r="MN3" s="52">
        <f t="shared" si="4"/>
        <v>45864</v>
      </c>
      <c r="MO3" s="52">
        <f t="shared" si="4"/>
        <v>45865</v>
      </c>
      <c r="MP3" s="52">
        <f t="shared" si="4"/>
        <v>45866</v>
      </c>
      <c r="MQ3" s="52">
        <f t="shared" si="4"/>
        <v>45867</v>
      </c>
      <c r="MR3" s="52">
        <f t="shared" si="4"/>
        <v>45868</v>
      </c>
      <c r="MS3" s="52">
        <f t="shared" si="4"/>
        <v>45869</v>
      </c>
      <c r="MT3" s="54"/>
      <c r="MU3" s="58">
        <f t="shared" ref="MU3:NY3" si="5">MU2</f>
        <v>45839</v>
      </c>
      <c r="MV3" s="59">
        <f t="shared" si="5"/>
        <v>45840</v>
      </c>
      <c r="MW3" s="59">
        <f t="shared" si="5"/>
        <v>45841</v>
      </c>
      <c r="MX3" s="59">
        <f t="shared" si="5"/>
        <v>45842</v>
      </c>
      <c r="MY3" s="59">
        <f t="shared" si="5"/>
        <v>45843</v>
      </c>
      <c r="MZ3" s="59">
        <f t="shared" si="5"/>
        <v>45844</v>
      </c>
      <c r="NA3" s="59">
        <f t="shared" si="5"/>
        <v>45845</v>
      </c>
      <c r="NB3" s="59">
        <f t="shared" si="5"/>
        <v>45846</v>
      </c>
      <c r="NC3" s="59">
        <f t="shared" si="5"/>
        <v>45847</v>
      </c>
      <c r="ND3" s="59">
        <f t="shared" si="5"/>
        <v>45848</v>
      </c>
      <c r="NE3" s="59">
        <f t="shared" si="5"/>
        <v>45849</v>
      </c>
      <c r="NF3" s="59">
        <f t="shared" si="5"/>
        <v>45850</v>
      </c>
      <c r="NG3" s="59">
        <f t="shared" si="5"/>
        <v>45851</v>
      </c>
      <c r="NH3" s="59">
        <f t="shared" si="5"/>
        <v>45852</v>
      </c>
      <c r="NI3" s="59">
        <f t="shared" si="5"/>
        <v>45853</v>
      </c>
      <c r="NJ3" s="59">
        <f t="shared" si="5"/>
        <v>45854</v>
      </c>
      <c r="NK3" s="59">
        <f t="shared" si="5"/>
        <v>45855</v>
      </c>
      <c r="NL3" s="59">
        <f t="shared" si="5"/>
        <v>45856</v>
      </c>
      <c r="NM3" s="59">
        <f t="shared" si="5"/>
        <v>45857</v>
      </c>
      <c r="NN3" s="59">
        <f t="shared" si="5"/>
        <v>45858</v>
      </c>
      <c r="NO3" s="59">
        <f t="shared" si="5"/>
        <v>45859</v>
      </c>
      <c r="NP3" s="59">
        <f t="shared" si="5"/>
        <v>45860</v>
      </c>
      <c r="NQ3" s="59">
        <f t="shared" si="5"/>
        <v>45861</v>
      </c>
      <c r="NR3" s="59">
        <f t="shared" si="5"/>
        <v>45862</v>
      </c>
      <c r="NS3" s="59">
        <f t="shared" si="5"/>
        <v>45863</v>
      </c>
      <c r="NT3" s="59">
        <f t="shared" si="5"/>
        <v>45864</v>
      </c>
      <c r="NU3" s="59">
        <f t="shared" si="5"/>
        <v>45865</v>
      </c>
      <c r="NV3" s="59">
        <f t="shared" si="5"/>
        <v>45866</v>
      </c>
      <c r="NW3" s="59">
        <f t="shared" si="5"/>
        <v>45867</v>
      </c>
      <c r="NX3" s="59">
        <f t="shared" si="5"/>
        <v>45868</v>
      </c>
      <c r="NY3" s="59">
        <f t="shared" si="5"/>
        <v>45869</v>
      </c>
      <c r="NZ3" s="36"/>
      <c r="OA3" s="52">
        <f t="shared" ref="OA3:OL3" si="6">OA2</f>
        <v>45901</v>
      </c>
      <c r="OB3" s="52">
        <f t="shared" si="6"/>
        <v>45902</v>
      </c>
      <c r="OC3" s="52">
        <f t="shared" si="6"/>
        <v>45903</v>
      </c>
      <c r="OD3" s="52">
        <f t="shared" si="6"/>
        <v>45904</v>
      </c>
      <c r="OE3" s="52">
        <f t="shared" si="6"/>
        <v>45905</v>
      </c>
      <c r="OF3" s="52">
        <f t="shared" si="6"/>
        <v>45906</v>
      </c>
      <c r="OG3" s="52">
        <f t="shared" si="6"/>
        <v>45907</v>
      </c>
      <c r="OH3" s="52">
        <f t="shared" si="6"/>
        <v>45908</v>
      </c>
      <c r="OI3" s="52">
        <f t="shared" si="6"/>
        <v>45909</v>
      </c>
      <c r="OJ3" s="52">
        <f t="shared" si="6"/>
        <v>45910</v>
      </c>
      <c r="OK3" s="52">
        <f t="shared" si="6"/>
        <v>45911</v>
      </c>
      <c r="OL3" s="52">
        <f t="shared" si="6"/>
        <v>45912</v>
      </c>
    </row>
    <row r="4" ht="1.5" customHeight="1">
      <c r="A4" s="49"/>
      <c r="B4" s="49" t="s">
        <v>37</v>
      </c>
      <c r="C4" s="51" t="s">
        <v>34</v>
      </c>
      <c r="D4" s="51" t="s">
        <v>35</v>
      </c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3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3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3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60"/>
      <c r="II4" s="60"/>
      <c r="IJ4" s="60"/>
      <c r="IK4" s="60"/>
      <c r="IL4" s="60"/>
      <c r="IM4" s="60"/>
      <c r="IN4" s="60"/>
      <c r="IO4" s="60"/>
      <c r="IP4" s="60"/>
      <c r="IQ4" s="60"/>
      <c r="IR4" s="60"/>
      <c r="IS4" s="60"/>
      <c r="IT4" s="60"/>
      <c r="IU4" s="60"/>
      <c r="IV4" s="60"/>
      <c r="IW4" s="60"/>
      <c r="IX4" s="60"/>
      <c r="IY4" s="60"/>
      <c r="IZ4" s="60"/>
      <c r="JA4" s="60"/>
      <c r="JB4" s="61"/>
      <c r="JC4" s="60"/>
      <c r="JD4" s="60"/>
      <c r="JE4" s="60"/>
      <c r="JF4" s="60"/>
      <c r="JG4" s="60"/>
      <c r="JH4" s="60"/>
      <c r="JI4" s="60"/>
      <c r="JJ4" s="60"/>
      <c r="JK4" s="60"/>
      <c r="JL4" s="60"/>
      <c r="JM4" s="60"/>
      <c r="JN4" s="60"/>
      <c r="JO4" s="60"/>
      <c r="JP4" s="60"/>
      <c r="JQ4" s="60"/>
      <c r="JR4" s="60"/>
      <c r="JS4" s="60"/>
      <c r="JT4" s="60"/>
      <c r="JU4" s="60"/>
      <c r="JV4" s="60"/>
      <c r="JW4" s="60"/>
      <c r="JX4" s="60"/>
      <c r="JY4" s="60"/>
      <c r="JZ4" s="60"/>
      <c r="KA4" s="60"/>
      <c r="KB4" s="60"/>
      <c r="KC4" s="60"/>
      <c r="KD4" s="60"/>
      <c r="KE4" s="60"/>
      <c r="KF4" s="60"/>
      <c r="KG4" s="60"/>
      <c r="KH4" s="62"/>
      <c r="KI4" s="63"/>
      <c r="KJ4" s="63"/>
      <c r="KK4" s="63"/>
      <c r="KL4" s="63"/>
      <c r="KM4" s="63"/>
      <c r="KN4" s="63"/>
      <c r="KO4" s="63"/>
      <c r="KP4" s="63"/>
      <c r="KQ4" s="63"/>
      <c r="KR4" s="63"/>
      <c r="KS4" s="63"/>
      <c r="KT4" s="63"/>
      <c r="KU4" s="63"/>
      <c r="KV4" s="63"/>
      <c r="KW4" s="63"/>
      <c r="KX4" s="63"/>
      <c r="KY4" s="63"/>
      <c r="KZ4" s="63"/>
      <c r="LA4" s="63"/>
      <c r="LB4" s="63"/>
      <c r="LC4" s="63"/>
      <c r="LD4" s="63"/>
      <c r="LE4" s="63"/>
      <c r="LF4" s="63"/>
      <c r="LG4" s="63"/>
      <c r="LH4" s="63"/>
      <c r="LI4" s="63"/>
      <c r="LJ4" s="63"/>
      <c r="LK4" s="63"/>
      <c r="LL4" s="63"/>
      <c r="LM4" s="63"/>
      <c r="LN4" s="64"/>
      <c r="LO4" s="65"/>
      <c r="LP4" s="63"/>
      <c r="LQ4" s="63"/>
      <c r="LR4" s="63"/>
      <c r="LS4" s="63"/>
      <c r="LT4" s="63"/>
      <c r="LU4" s="63"/>
      <c r="LV4" s="63"/>
      <c r="LW4" s="63"/>
      <c r="LX4" s="63"/>
      <c r="LY4" s="63"/>
      <c r="LZ4" s="63"/>
      <c r="MA4" s="63"/>
      <c r="MB4" s="63"/>
      <c r="MC4" s="63"/>
      <c r="MD4" s="63"/>
      <c r="ME4" s="63"/>
      <c r="MF4" s="63"/>
      <c r="MG4" s="63"/>
      <c r="MH4" s="63"/>
      <c r="MI4" s="63"/>
      <c r="MJ4" s="63"/>
      <c r="MK4" s="63"/>
      <c r="ML4" s="63"/>
      <c r="MM4" s="63"/>
      <c r="MN4" s="63"/>
      <c r="MO4" s="63"/>
      <c r="MP4" s="63"/>
      <c r="MQ4" s="63"/>
      <c r="MR4" s="63"/>
      <c r="MS4" s="63"/>
      <c r="MT4" s="62"/>
      <c r="MU4" s="66"/>
      <c r="MV4" s="67"/>
      <c r="MW4" s="67"/>
      <c r="MX4" s="67"/>
      <c r="MY4" s="67"/>
      <c r="MZ4" s="67"/>
      <c r="NA4" s="67"/>
      <c r="NB4" s="67"/>
      <c r="NC4" s="67"/>
      <c r="ND4" s="67"/>
      <c r="NE4" s="67"/>
      <c r="NF4" s="67"/>
      <c r="NG4" s="67"/>
      <c r="NH4" s="67"/>
      <c r="NI4" s="67"/>
      <c r="NJ4" s="67"/>
      <c r="NK4" s="67"/>
      <c r="NL4" s="67"/>
      <c r="NM4" s="67"/>
      <c r="NN4" s="67"/>
      <c r="NO4" s="67"/>
      <c r="NP4" s="67"/>
      <c r="NQ4" s="67"/>
      <c r="NR4" s="67"/>
      <c r="NS4" s="67"/>
      <c r="NT4" s="67"/>
      <c r="NU4" s="67"/>
      <c r="NV4" s="67"/>
      <c r="NW4" s="67"/>
      <c r="NX4" s="67"/>
      <c r="NY4" s="67"/>
      <c r="NZ4" s="36"/>
      <c r="OA4" s="60"/>
      <c r="OB4" s="60"/>
      <c r="OC4" s="60"/>
      <c r="OD4" s="60"/>
      <c r="OE4" s="60"/>
      <c r="OF4" s="60"/>
      <c r="OG4" s="60"/>
      <c r="OH4" s="60"/>
      <c r="OI4" s="60"/>
      <c r="OJ4" s="60"/>
      <c r="OK4" s="60"/>
      <c r="OL4" s="60"/>
    </row>
    <row r="5" ht="1.5" customHeight="1">
      <c r="A5" s="68"/>
      <c r="B5" s="68"/>
      <c r="C5" s="51" t="s">
        <v>34</v>
      </c>
      <c r="D5" s="51" t="s">
        <v>35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3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3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3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60"/>
      <c r="II5" s="60"/>
      <c r="IJ5" s="60"/>
      <c r="IK5" s="60"/>
      <c r="IL5" s="60"/>
      <c r="IM5" s="60"/>
      <c r="IN5" s="60"/>
      <c r="IO5" s="60"/>
      <c r="IP5" s="60"/>
      <c r="IQ5" s="60"/>
      <c r="IR5" s="60"/>
      <c r="IS5" s="60"/>
      <c r="IT5" s="60"/>
      <c r="IU5" s="60"/>
      <c r="IV5" s="60"/>
      <c r="IW5" s="60"/>
      <c r="IX5" s="60"/>
      <c r="IY5" s="60"/>
      <c r="IZ5" s="60"/>
      <c r="JA5" s="60"/>
      <c r="JB5" s="61"/>
      <c r="JC5" s="60"/>
      <c r="JD5" s="60"/>
      <c r="JE5" s="60"/>
      <c r="JF5" s="60"/>
      <c r="JG5" s="60"/>
      <c r="JH5" s="60"/>
      <c r="JI5" s="60"/>
      <c r="JJ5" s="60"/>
      <c r="JK5" s="60"/>
      <c r="JL5" s="60"/>
      <c r="JM5" s="60"/>
      <c r="JN5" s="60"/>
      <c r="JO5" s="60"/>
      <c r="JP5" s="60"/>
      <c r="JQ5" s="60"/>
      <c r="JR5" s="60"/>
      <c r="JS5" s="60"/>
      <c r="JT5" s="60"/>
      <c r="JU5" s="60"/>
      <c r="JV5" s="60"/>
      <c r="JW5" s="60"/>
      <c r="JX5" s="60"/>
      <c r="JY5" s="60"/>
      <c r="JZ5" s="60"/>
      <c r="KA5" s="60"/>
      <c r="KB5" s="60"/>
      <c r="KC5" s="60"/>
      <c r="KD5" s="60"/>
      <c r="KE5" s="60"/>
      <c r="KF5" s="60"/>
      <c r="KG5" s="69"/>
      <c r="KH5" s="70"/>
      <c r="KI5" s="71"/>
      <c r="KJ5" s="71"/>
      <c r="KK5" s="71"/>
      <c r="KL5" s="71"/>
      <c r="KM5" s="71"/>
      <c r="KN5" s="71"/>
      <c r="KO5" s="71"/>
      <c r="KP5" s="71"/>
      <c r="KQ5" s="71"/>
      <c r="KR5" s="71"/>
      <c r="KS5" s="71"/>
      <c r="KT5" s="71"/>
      <c r="KU5" s="71"/>
      <c r="KV5" s="71"/>
      <c r="KW5" s="71"/>
      <c r="KX5" s="71"/>
      <c r="KY5" s="71"/>
      <c r="KZ5" s="71"/>
      <c r="LA5" s="71"/>
      <c r="LB5" s="71"/>
      <c r="LC5" s="71"/>
      <c r="LD5" s="71"/>
      <c r="LE5" s="71"/>
      <c r="LF5" s="71"/>
      <c r="LG5" s="71"/>
      <c r="LH5" s="71"/>
      <c r="LI5" s="71"/>
      <c r="LJ5" s="71"/>
      <c r="LK5" s="71"/>
      <c r="LL5" s="71"/>
      <c r="LM5" s="71"/>
      <c r="LN5" s="70"/>
      <c r="LO5" s="71"/>
      <c r="LP5" s="71"/>
      <c r="LQ5" s="71"/>
      <c r="LR5" s="71"/>
      <c r="LS5" s="71"/>
      <c r="LT5" s="71"/>
      <c r="LU5" s="71"/>
      <c r="LV5" s="71"/>
      <c r="LW5" s="71"/>
      <c r="LX5" s="71"/>
      <c r="LY5" s="71"/>
      <c r="LZ5" s="71"/>
      <c r="MA5" s="71"/>
      <c r="MB5" s="71"/>
      <c r="MC5" s="71"/>
      <c r="MD5" s="71"/>
      <c r="ME5" s="71"/>
      <c r="MF5" s="71"/>
      <c r="MG5" s="71"/>
      <c r="MH5" s="71"/>
      <c r="MI5" s="71"/>
      <c r="MJ5" s="71"/>
      <c r="MK5" s="71"/>
      <c r="ML5" s="71"/>
      <c r="MM5" s="71"/>
      <c r="MN5" s="71"/>
      <c r="MO5" s="71"/>
      <c r="MP5" s="71"/>
      <c r="MQ5" s="71"/>
      <c r="MR5" s="71"/>
      <c r="MS5" s="71"/>
      <c r="MT5" s="70"/>
      <c r="MU5" s="65"/>
      <c r="MV5" s="63"/>
      <c r="MW5" s="63"/>
      <c r="MX5" s="63"/>
      <c r="MY5" s="63"/>
      <c r="MZ5" s="63"/>
      <c r="NA5" s="63"/>
      <c r="NB5" s="63"/>
      <c r="NC5" s="63"/>
      <c r="ND5" s="63"/>
      <c r="NE5" s="63"/>
      <c r="NF5" s="63"/>
      <c r="NG5" s="63"/>
      <c r="NH5" s="63"/>
      <c r="NI5" s="63"/>
      <c r="NJ5" s="63"/>
      <c r="NK5" s="63"/>
      <c r="NL5" s="63"/>
      <c r="NM5" s="63"/>
      <c r="NN5" s="63"/>
      <c r="NO5" s="63"/>
      <c r="NP5" s="63"/>
      <c r="NQ5" s="63"/>
      <c r="NR5" s="63"/>
      <c r="NS5" s="63"/>
      <c r="NT5" s="63"/>
      <c r="NU5" s="63"/>
      <c r="NV5" s="63"/>
      <c r="NW5" s="63"/>
      <c r="NX5" s="63"/>
      <c r="NY5" s="63"/>
      <c r="NZ5" s="62"/>
      <c r="OA5" s="63"/>
      <c r="OB5" s="63"/>
      <c r="OC5" s="60"/>
      <c r="OD5" s="60"/>
      <c r="OE5" s="60"/>
      <c r="OF5" s="60"/>
      <c r="OG5" s="60"/>
      <c r="OH5" s="60"/>
      <c r="OI5" s="60"/>
      <c r="OJ5" s="60"/>
      <c r="OK5" s="60"/>
      <c r="OL5" s="60"/>
    </row>
    <row r="6" ht="30.0" customHeight="1">
      <c r="A6" s="72">
        <f>sum(GW6:MR6)*3000</f>
        <v>3508350</v>
      </c>
      <c r="B6" s="73" t="s">
        <v>38</v>
      </c>
      <c r="C6" s="74">
        <f t="shared" ref="C6:C16" si="7">SUM(LO6:MS6)</f>
        <v>80</v>
      </c>
      <c r="D6" s="73">
        <f t="shared" ref="D6:D16" si="8">SUM(MU6:NY6)</f>
        <v>33.25</v>
      </c>
      <c r="E6" s="75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  <c r="BU6" s="77"/>
      <c r="BV6" s="76"/>
      <c r="BW6" s="76"/>
      <c r="BX6" s="76"/>
      <c r="BY6" s="76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9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9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80"/>
      <c r="GT6" s="80"/>
      <c r="GU6" s="80"/>
      <c r="GV6" s="80"/>
      <c r="GW6" s="80">
        <v>10.0</v>
      </c>
      <c r="GX6" s="80">
        <v>10.0</v>
      </c>
      <c r="GY6" s="80">
        <v>10.0</v>
      </c>
      <c r="GZ6" s="80">
        <v>10.0</v>
      </c>
      <c r="HA6" s="80">
        <v>6.0</v>
      </c>
      <c r="HB6" s="80">
        <v>6.0</v>
      </c>
      <c r="HC6" s="80">
        <v>8.5</v>
      </c>
      <c r="HD6" s="80">
        <v>11.0</v>
      </c>
      <c r="HE6" s="80">
        <v>7.0</v>
      </c>
      <c r="HF6" s="80">
        <v>10.0</v>
      </c>
      <c r="HG6" s="80">
        <v>8.0</v>
      </c>
      <c r="HH6" s="80">
        <v>7.5</v>
      </c>
      <c r="HI6" s="80">
        <v>11.0</v>
      </c>
      <c r="HJ6" s="80">
        <v>8.5</v>
      </c>
      <c r="HK6" s="80">
        <v>7.0</v>
      </c>
      <c r="HL6" s="80">
        <v>6.0</v>
      </c>
      <c r="HM6" s="80">
        <v>7.0</v>
      </c>
      <c r="HN6" s="80">
        <v>13.0</v>
      </c>
      <c r="HO6" s="80">
        <v>10.0</v>
      </c>
      <c r="HP6" s="80">
        <v>10.5</v>
      </c>
      <c r="HQ6" s="80">
        <v>8.5</v>
      </c>
      <c r="HR6" s="80">
        <v>8.5</v>
      </c>
      <c r="HS6" s="80">
        <v>12.0</v>
      </c>
      <c r="HT6" s="80">
        <v>0.0</v>
      </c>
      <c r="HU6" s="80">
        <v>3.0</v>
      </c>
      <c r="HV6" s="80">
        <v>7.0</v>
      </c>
      <c r="HW6" s="80">
        <v>0.0</v>
      </c>
      <c r="HX6" s="81">
        <v>11.0</v>
      </c>
      <c r="HY6" s="81">
        <v>7.0</v>
      </c>
      <c r="HZ6" s="82">
        <v>10.0</v>
      </c>
      <c r="IA6" s="81">
        <v>11.0</v>
      </c>
      <c r="IB6" s="81">
        <v>11.5</v>
      </c>
      <c r="IC6" s="81">
        <v>12.5</v>
      </c>
      <c r="ID6" s="83">
        <v>9.0</v>
      </c>
      <c r="IE6" s="81">
        <v>11.0</v>
      </c>
      <c r="IF6" s="81">
        <v>13.0</v>
      </c>
      <c r="IG6" s="81">
        <v>8.0</v>
      </c>
      <c r="IH6" s="81">
        <v>0.0</v>
      </c>
      <c r="II6" s="81">
        <v>10.0</v>
      </c>
      <c r="IJ6" s="81">
        <v>11.0</v>
      </c>
      <c r="IK6" s="81">
        <v>9.0</v>
      </c>
      <c r="IL6" s="81">
        <v>13.0</v>
      </c>
      <c r="IM6" s="81">
        <v>9.0</v>
      </c>
      <c r="IN6" s="81">
        <v>10.5</v>
      </c>
      <c r="IO6" s="81">
        <v>0.0</v>
      </c>
      <c r="IP6" s="81">
        <v>10.0</v>
      </c>
      <c r="IQ6" s="81">
        <v>9.0</v>
      </c>
      <c r="IR6" s="81">
        <v>9.0</v>
      </c>
      <c r="IS6" s="81">
        <v>10.0</v>
      </c>
      <c r="IT6" s="81">
        <v>9.0</v>
      </c>
      <c r="IU6" s="81">
        <v>9.0</v>
      </c>
      <c r="IV6" s="81">
        <v>9.5</v>
      </c>
      <c r="IW6" s="81">
        <v>9.0</v>
      </c>
      <c r="IX6" s="81">
        <v>8.0</v>
      </c>
      <c r="IY6" s="81">
        <v>10.0</v>
      </c>
      <c r="IZ6" s="81">
        <v>10.0</v>
      </c>
      <c r="JA6" s="81">
        <v>13.0</v>
      </c>
      <c r="JB6" s="84"/>
      <c r="JC6" s="85">
        <v>13.0</v>
      </c>
      <c r="JD6" s="85">
        <v>6.0</v>
      </c>
      <c r="JE6" s="85">
        <v>10.0</v>
      </c>
      <c r="JF6" s="85">
        <v>9.0</v>
      </c>
      <c r="JG6" s="85">
        <v>9.0</v>
      </c>
      <c r="JH6" s="85">
        <v>8.0</v>
      </c>
      <c r="JI6" s="86">
        <v>0.0</v>
      </c>
      <c r="JJ6" s="86">
        <v>0.0</v>
      </c>
      <c r="JK6" s="87">
        <v>9.0</v>
      </c>
      <c r="JL6" s="85">
        <v>12.0</v>
      </c>
      <c r="JM6" s="85">
        <v>9.0</v>
      </c>
      <c r="JN6" s="87">
        <v>17.0</v>
      </c>
      <c r="JO6" s="85">
        <v>10.0</v>
      </c>
      <c r="JP6" s="87">
        <v>13.0</v>
      </c>
      <c r="JQ6" s="87">
        <v>15.0</v>
      </c>
      <c r="JR6" s="85">
        <v>9.0</v>
      </c>
      <c r="JS6" s="87">
        <v>14.0</v>
      </c>
      <c r="JT6" s="85">
        <v>11.0</v>
      </c>
      <c r="JU6" s="85">
        <v>10.0</v>
      </c>
      <c r="JV6" s="85">
        <v>9.0</v>
      </c>
      <c r="JW6" s="85">
        <v>11.0</v>
      </c>
      <c r="JX6" s="85">
        <v>12.0</v>
      </c>
      <c r="JY6" s="85">
        <v>10.0</v>
      </c>
      <c r="JZ6" s="85">
        <v>11.0</v>
      </c>
      <c r="KA6" s="85">
        <v>13.0</v>
      </c>
      <c r="KB6" s="85">
        <v>11.0</v>
      </c>
      <c r="KC6" s="85">
        <v>6.7</v>
      </c>
      <c r="KD6" s="85">
        <v>10.0</v>
      </c>
      <c r="KE6" s="85">
        <v>11.0</v>
      </c>
      <c r="KF6" s="85">
        <v>10.0</v>
      </c>
      <c r="KG6" s="88">
        <v>10.0</v>
      </c>
      <c r="KH6" s="89"/>
      <c r="KI6" s="90">
        <v>10.0</v>
      </c>
      <c r="KJ6" s="91">
        <v>10.0</v>
      </c>
      <c r="KK6" s="90">
        <v>10.0</v>
      </c>
      <c r="KL6" s="90">
        <v>7.0</v>
      </c>
      <c r="KM6" s="90">
        <v>10.0</v>
      </c>
      <c r="KN6" s="90">
        <v>7.0</v>
      </c>
      <c r="KO6" s="90">
        <v>2.5</v>
      </c>
      <c r="KP6" s="90">
        <v>9.0</v>
      </c>
      <c r="KQ6" s="90">
        <v>9.25</v>
      </c>
      <c r="KR6" s="90">
        <v>5.0</v>
      </c>
      <c r="KS6" s="90">
        <v>10.0</v>
      </c>
      <c r="KT6" s="90">
        <v>8.0</v>
      </c>
      <c r="KU6" s="90">
        <v>8.0</v>
      </c>
      <c r="KV6" s="90">
        <v>17.0</v>
      </c>
      <c r="KW6" s="90">
        <v>6.0</v>
      </c>
      <c r="KX6" s="90">
        <v>7.0</v>
      </c>
      <c r="KY6" s="90">
        <v>7.5</v>
      </c>
      <c r="KZ6" s="90">
        <v>10.0</v>
      </c>
      <c r="LA6" s="90">
        <v>10.0</v>
      </c>
      <c r="LB6" s="90">
        <v>6.5</v>
      </c>
      <c r="LC6" s="90">
        <v>14.0</v>
      </c>
      <c r="LD6" s="90">
        <v>9.0</v>
      </c>
      <c r="LE6" s="90">
        <v>8.0</v>
      </c>
      <c r="LF6" s="90">
        <v>12.0</v>
      </c>
      <c r="LG6" s="90">
        <v>12.0</v>
      </c>
      <c r="LH6" s="90">
        <v>3.0</v>
      </c>
      <c r="LI6" s="90" t="s">
        <v>39</v>
      </c>
      <c r="LJ6" s="90">
        <v>10.0</v>
      </c>
      <c r="LK6" s="90">
        <v>10.0</v>
      </c>
      <c r="LL6" s="90">
        <v>5.0</v>
      </c>
      <c r="LM6" s="90">
        <v>30.0</v>
      </c>
      <c r="LN6" s="92"/>
      <c r="LO6" s="90">
        <v>9.0</v>
      </c>
      <c r="LP6" s="90">
        <v>9.0</v>
      </c>
      <c r="LQ6" s="90">
        <v>9.0</v>
      </c>
      <c r="LR6" s="90"/>
      <c r="LS6" s="90"/>
      <c r="LT6" s="90"/>
      <c r="LU6" s="90">
        <v>9.0</v>
      </c>
      <c r="LV6" s="90">
        <v>9.0</v>
      </c>
      <c r="LW6" s="90">
        <v>8.0</v>
      </c>
      <c r="LX6" s="90">
        <v>9.0</v>
      </c>
      <c r="LY6" s="90"/>
      <c r="LZ6" s="90">
        <v>9.0</v>
      </c>
      <c r="MA6" s="90">
        <v>9.0</v>
      </c>
      <c r="MB6" s="93"/>
      <c r="MC6" s="93"/>
      <c r="MD6" s="93"/>
      <c r="ME6" s="93"/>
      <c r="MF6" s="93"/>
      <c r="MG6" s="93"/>
      <c r="MH6" s="93"/>
      <c r="MI6" s="93"/>
      <c r="MJ6" s="93"/>
      <c r="MK6" s="93"/>
      <c r="ML6" s="93"/>
      <c r="MM6" s="93"/>
      <c r="MN6" s="93"/>
      <c r="MO6" s="93"/>
      <c r="MP6" s="93"/>
      <c r="MQ6" s="93"/>
      <c r="MR6" s="93"/>
      <c r="MS6" s="93"/>
      <c r="MT6" s="94"/>
      <c r="MU6" s="95"/>
      <c r="MV6" s="96">
        <v>5.0</v>
      </c>
      <c r="MW6" s="96">
        <v>1.75</v>
      </c>
      <c r="MX6" s="96">
        <v>10.0</v>
      </c>
      <c r="MY6" s="95"/>
      <c r="MZ6" s="95"/>
      <c r="NA6" s="96">
        <v>2.0</v>
      </c>
      <c r="NB6" s="96">
        <v>1.0</v>
      </c>
      <c r="NC6" s="95"/>
      <c r="ND6" s="96">
        <v>0.5</v>
      </c>
      <c r="NE6" s="96">
        <v>7.5</v>
      </c>
      <c r="NF6" s="96">
        <v>0.25</v>
      </c>
      <c r="NG6" s="96">
        <v>5.25</v>
      </c>
      <c r="NH6" s="95"/>
      <c r="NI6" s="95"/>
      <c r="NJ6" s="95"/>
      <c r="NK6" s="95"/>
      <c r="NL6" s="95"/>
      <c r="NM6" s="95"/>
      <c r="NN6" s="95"/>
      <c r="NO6" s="95"/>
      <c r="NP6" s="95"/>
      <c r="NQ6" s="95"/>
      <c r="NR6" s="95"/>
      <c r="NS6" s="95"/>
      <c r="NT6" s="95"/>
      <c r="NU6" s="95"/>
      <c r="NV6" s="95"/>
      <c r="NW6" s="95"/>
      <c r="NX6" s="95"/>
      <c r="NY6" s="95"/>
      <c r="NZ6" s="97"/>
      <c r="OA6" s="98"/>
      <c r="OB6" s="98"/>
      <c r="OC6" s="99"/>
      <c r="OD6" s="100"/>
      <c r="OE6" s="100"/>
      <c r="OF6" s="100"/>
      <c r="OG6" s="100"/>
      <c r="OH6" s="100"/>
      <c r="OI6" s="100"/>
      <c r="OJ6" s="100"/>
      <c r="OK6" s="100"/>
      <c r="OL6" s="101"/>
    </row>
    <row r="7" ht="30.0" customHeight="1">
      <c r="A7" s="102">
        <v>6458000.0</v>
      </c>
      <c r="B7" s="73" t="s">
        <v>9</v>
      </c>
      <c r="C7" s="103">
        <f t="shared" si="7"/>
        <v>67</v>
      </c>
      <c r="D7" s="104">
        <f t="shared" si="8"/>
        <v>30.5</v>
      </c>
      <c r="E7" s="75"/>
      <c r="F7" s="76"/>
      <c r="G7" s="76"/>
      <c r="H7" s="76"/>
      <c r="I7" s="76"/>
      <c r="J7" s="76"/>
      <c r="K7" s="76"/>
      <c r="L7" s="76"/>
      <c r="M7" s="76"/>
      <c r="N7" s="76"/>
      <c r="O7" s="105"/>
      <c r="P7" s="105">
        <v>9.0</v>
      </c>
      <c r="Q7" s="105">
        <v>11.5</v>
      </c>
      <c r="R7" s="105">
        <v>11.0</v>
      </c>
      <c r="S7" s="105">
        <v>12.5</v>
      </c>
      <c r="T7" s="105">
        <v>11.5</v>
      </c>
      <c r="U7" s="105">
        <v>13.5</v>
      </c>
      <c r="V7" s="105">
        <v>18.0</v>
      </c>
      <c r="W7" s="105">
        <v>5.0</v>
      </c>
      <c r="X7" s="105">
        <v>11.5</v>
      </c>
      <c r="Y7" s="105">
        <v>14.0</v>
      </c>
      <c r="Z7" s="105">
        <v>13.0</v>
      </c>
      <c r="AA7" s="105">
        <v>22.0</v>
      </c>
      <c r="AB7" s="105">
        <v>11.0</v>
      </c>
      <c r="AC7" s="105">
        <v>5.0</v>
      </c>
      <c r="AD7" s="105">
        <v>13.5</v>
      </c>
      <c r="AE7" s="105">
        <v>20.0</v>
      </c>
      <c r="AF7" s="105"/>
      <c r="AG7" s="105">
        <v>15.0</v>
      </c>
      <c r="AH7" s="105">
        <v>16.0</v>
      </c>
      <c r="AI7" s="105">
        <v>2.0</v>
      </c>
      <c r="AJ7" s="105">
        <v>20.0</v>
      </c>
      <c r="AK7" s="105">
        <v>15.0</v>
      </c>
      <c r="AL7" s="105">
        <v>3.0</v>
      </c>
      <c r="AM7" s="105">
        <v>10.0</v>
      </c>
      <c r="AN7" s="105">
        <v>15.0</v>
      </c>
      <c r="AO7" s="105">
        <v>11.0</v>
      </c>
      <c r="AP7" s="105">
        <v>12.5</v>
      </c>
      <c r="AQ7" s="105">
        <v>13.0</v>
      </c>
      <c r="AR7" s="105">
        <v>13.0</v>
      </c>
      <c r="AS7" s="105">
        <v>11.0</v>
      </c>
      <c r="AT7" s="105">
        <v>24.0</v>
      </c>
      <c r="AU7" s="105">
        <v>5.0</v>
      </c>
      <c r="AV7" s="105">
        <v>11.0</v>
      </c>
      <c r="AW7" s="105">
        <v>15.0</v>
      </c>
      <c r="AX7" s="105">
        <v>10.3</v>
      </c>
      <c r="AY7" s="105">
        <v>5.0</v>
      </c>
      <c r="AZ7" s="105">
        <v>13.0</v>
      </c>
      <c r="BA7" s="105">
        <v>5.0</v>
      </c>
      <c r="BB7" s="105">
        <v>12.0</v>
      </c>
      <c r="BC7" s="105">
        <v>11.3</v>
      </c>
      <c r="BD7" s="105">
        <v>13.0</v>
      </c>
      <c r="BE7" s="105">
        <v>11.0</v>
      </c>
      <c r="BF7" s="105">
        <v>12.3</v>
      </c>
      <c r="BG7" s="105">
        <v>13.0</v>
      </c>
      <c r="BH7" s="105">
        <v>4.0</v>
      </c>
      <c r="BI7" s="105">
        <v>12.0</v>
      </c>
      <c r="BJ7" s="105">
        <v>13.0</v>
      </c>
      <c r="BK7" s="105">
        <v>12.0</v>
      </c>
      <c r="BL7" s="105">
        <v>7.0</v>
      </c>
      <c r="BM7" s="105"/>
      <c r="BN7" s="105"/>
      <c r="BO7" s="105"/>
      <c r="BP7" s="105"/>
      <c r="BQ7" s="105"/>
      <c r="BR7" s="105"/>
      <c r="BS7" s="105">
        <v>13.0</v>
      </c>
      <c r="BT7" s="105">
        <v>15.3</v>
      </c>
      <c r="BU7" s="106">
        <v>16.3</v>
      </c>
      <c r="BV7" s="105">
        <v>15.3</v>
      </c>
      <c r="BW7" s="105">
        <v>13.0</v>
      </c>
      <c r="BX7" s="105">
        <v>14.0</v>
      </c>
      <c r="BY7" s="105">
        <v>10.3</v>
      </c>
      <c r="BZ7" s="80">
        <v>15.0</v>
      </c>
      <c r="CA7" s="80">
        <v>12.0</v>
      </c>
      <c r="CB7" s="80">
        <v>14.0</v>
      </c>
      <c r="CC7" s="80">
        <v>9.0</v>
      </c>
      <c r="CD7" s="80">
        <v>13.0</v>
      </c>
      <c r="CE7" s="80">
        <v>12.0</v>
      </c>
      <c r="CF7" s="80">
        <v>11.3</v>
      </c>
      <c r="CG7" s="80">
        <v>14.0</v>
      </c>
      <c r="CH7" s="80">
        <v>9.0</v>
      </c>
      <c r="CI7" s="80">
        <v>11.0</v>
      </c>
      <c r="CJ7" s="80">
        <v>1.3</v>
      </c>
      <c r="CK7" s="80">
        <v>10.0</v>
      </c>
      <c r="CL7" s="80">
        <v>14.0</v>
      </c>
      <c r="CM7" s="80">
        <v>12.0</v>
      </c>
      <c r="CN7" s="80">
        <v>21.0</v>
      </c>
      <c r="CO7" s="80">
        <v>4.0</v>
      </c>
      <c r="CP7" s="80">
        <v>15.0</v>
      </c>
      <c r="CQ7" s="80">
        <v>0.0</v>
      </c>
      <c r="CR7" s="80">
        <v>6.0</v>
      </c>
      <c r="CS7" s="80">
        <v>0.0</v>
      </c>
      <c r="CT7" s="80">
        <v>9.0</v>
      </c>
      <c r="CU7" s="80">
        <v>15.0</v>
      </c>
      <c r="CV7" s="80">
        <v>0.0</v>
      </c>
      <c r="CW7" s="80">
        <v>10.0</v>
      </c>
      <c r="CX7" s="80">
        <v>10.0</v>
      </c>
      <c r="CY7" s="80">
        <v>11.0</v>
      </c>
      <c r="CZ7" s="77">
        <v>14.0</v>
      </c>
      <c r="DA7" s="80">
        <v>10.0</v>
      </c>
      <c r="DB7" s="80">
        <v>11.0</v>
      </c>
      <c r="DC7" s="80">
        <v>11.0</v>
      </c>
      <c r="DD7" s="80">
        <v>11.0</v>
      </c>
      <c r="DE7" s="80">
        <v>6.0</v>
      </c>
      <c r="DF7" s="80">
        <v>0.0</v>
      </c>
      <c r="DG7" s="80"/>
      <c r="DH7" s="80"/>
      <c r="DI7" s="80"/>
      <c r="DJ7" s="80"/>
      <c r="DK7" s="107">
        <v>6.0</v>
      </c>
      <c r="DL7" s="107">
        <v>9.0</v>
      </c>
      <c r="DM7" s="107">
        <v>8.0</v>
      </c>
      <c r="DN7" s="80"/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80"/>
      <c r="ED7" s="77"/>
      <c r="EE7" s="80"/>
      <c r="EF7" s="80"/>
      <c r="EG7" s="80"/>
      <c r="EH7" s="80">
        <v>6.0</v>
      </c>
      <c r="EI7" s="80">
        <v>5.5</v>
      </c>
      <c r="EJ7" s="80">
        <v>7.5</v>
      </c>
      <c r="EK7" s="80"/>
      <c r="EL7" s="80">
        <v>7.0</v>
      </c>
      <c r="EM7" s="80"/>
      <c r="EN7" s="80"/>
      <c r="EO7" s="80">
        <v>10.5</v>
      </c>
      <c r="EP7" s="80">
        <v>7.0</v>
      </c>
      <c r="EQ7" s="80">
        <v>8.0</v>
      </c>
      <c r="ER7" s="80">
        <v>5.0</v>
      </c>
      <c r="ES7" s="80"/>
      <c r="ET7" s="80"/>
      <c r="EU7" s="80"/>
      <c r="EV7" s="80"/>
      <c r="EW7" s="80">
        <v>10.0</v>
      </c>
      <c r="EX7" s="80">
        <v>8.0</v>
      </c>
      <c r="EY7" s="80">
        <v>11.0</v>
      </c>
      <c r="EZ7" s="80">
        <v>11.0</v>
      </c>
      <c r="FA7" s="80">
        <v>13.0</v>
      </c>
      <c r="FB7" s="80"/>
      <c r="FC7" s="80">
        <v>10.5</v>
      </c>
      <c r="FD7" s="80">
        <v>11.0</v>
      </c>
      <c r="FE7" s="80">
        <v>11.0</v>
      </c>
      <c r="FF7" s="80">
        <v>11.0</v>
      </c>
      <c r="FG7" s="80">
        <v>8.5</v>
      </c>
      <c r="FH7" s="80">
        <v>11.0</v>
      </c>
      <c r="FI7" s="80">
        <v>15.0</v>
      </c>
      <c r="FJ7" s="80">
        <v>8.0</v>
      </c>
      <c r="FK7" s="80">
        <v>10.0</v>
      </c>
      <c r="FL7" s="80">
        <v>10.0</v>
      </c>
      <c r="FM7" s="80">
        <v>10.5</v>
      </c>
      <c r="FN7" s="80">
        <v>11.5</v>
      </c>
      <c r="FO7" s="80">
        <v>10.5</v>
      </c>
      <c r="FP7" s="80">
        <v>9.0</v>
      </c>
      <c r="FQ7" s="80">
        <v>8.0</v>
      </c>
      <c r="FR7" s="80">
        <v>11.0</v>
      </c>
      <c r="FS7" s="80">
        <v>10.0</v>
      </c>
      <c r="FT7" s="80">
        <v>9.0</v>
      </c>
      <c r="FU7" s="80">
        <v>13.0</v>
      </c>
      <c r="FV7" s="80"/>
      <c r="FW7" s="80"/>
      <c r="FX7" s="80">
        <v>10.0</v>
      </c>
      <c r="FY7" s="80">
        <v>11.0</v>
      </c>
      <c r="FZ7" s="80">
        <v>7.0</v>
      </c>
      <c r="GA7" s="80">
        <v>9.0</v>
      </c>
      <c r="GB7" s="80">
        <v>8.0</v>
      </c>
      <c r="GC7" s="80">
        <v>12.0</v>
      </c>
      <c r="GD7" s="80">
        <v>14.0</v>
      </c>
      <c r="GE7" s="80">
        <v>7.5</v>
      </c>
      <c r="GF7" s="80"/>
      <c r="GG7" s="80">
        <v>10.0</v>
      </c>
      <c r="GH7" s="80">
        <v>12.0</v>
      </c>
      <c r="GI7" s="80">
        <v>9.0</v>
      </c>
      <c r="GJ7" s="80">
        <v>8.0</v>
      </c>
      <c r="GK7" s="80"/>
      <c r="GL7" s="80">
        <v>11.0</v>
      </c>
      <c r="GM7" s="80">
        <v>12.0</v>
      </c>
      <c r="GN7" s="80">
        <v>7.0</v>
      </c>
      <c r="GO7" s="80"/>
      <c r="GP7" s="80">
        <v>11.5</v>
      </c>
      <c r="GQ7" s="80">
        <v>10.0</v>
      </c>
      <c r="GR7" s="80">
        <v>16.0</v>
      </c>
      <c r="GS7" s="108">
        <v>8.0</v>
      </c>
      <c r="GT7" s="80">
        <v>6.5</v>
      </c>
      <c r="GU7" s="80">
        <v>16.0</v>
      </c>
      <c r="GV7" s="80">
        <v>6.0</v>
      </c>
      <c r="GW7" s="80">
        <v>7.0</v>
      </c>
      <c r="GX7" s="80">
        <v>9.0</v>
      </c>
      <c r="GY7" s="80">
        <v>11.5</v>
      </c>
      <c r="GZ7" s="80">
        <v>10.5</v>
      </c>
      <c r="HA7" s="80">
        <v>6.0</v>
      </c>
      <c r="HB7" s="80">
        <v>11.0</v>
      </c>
      <c r="HC7" s="80">
        <v>10.0</v>
      </c>
      <c r="HD7" s="80">
        <v>10.0</v>
      </c>
      <c r="HE7" s="80">
        <v>9.0</v>
      </c>
      <c r="HF7" s="80">
        <v>10.0</v>
      </c>
      <c r="HG7" s="80">
        <v>11.5</v>
      </c>
      <c r="HH7" s="80">
        <v>11.0</v>
      </c>
      <c r="HI7" s="80">
        <v>8.0</v>
      </c>
      <c r="HJ7" s="80" t="s">
        <v>40</v>
      </c>
      <c r="HK7" s="80">
        <v>11.0</v>
      </c>
      <c r="HL7" s="80">
        <v>9.0</v>
      </c>
      <c r="HM7" s="80"/>
      <c r="HN7" s="80">
        <v>10.5</v>
      </c>
      <c r="HO7" s="80">
        <v>10.5</v>
      </c>
      <c r="HP7" s="80">
        <v>9.0</v>
      </c>
      <c r="HQ7" s="80">
        <v>10.5</v>
      </c>
      <c r="HR7" s="80">
        <v>6.0</v>
      </c>
      <c r="HS7" s="80"/>
      <c r="HT7" s="80"/>
      <c r="HU7" s="80"/>
      <c r="HV7" s="80">
        <v>9.0</v>
      </c>
      <c r="HW7" s="80"/>
      <c r="HX7" s="81">
        <v>0.0</v>
      </c>
      <c r="HY7" s="81">
        <v>10.0</v>
      </c>
      <c r="HZ7" s="81">
        <v>13.0</v>
      </c>
      <c r="IA7" s="81">
        <v>3.0</v>
      </c>
      <c r="IB7" s="81">
        <v>9.5</v>
      </c>
      <c r="IC7" s="81">
        <v>10.5</v>
      </c>
      <c r="ID7" s="81">
        <v>11.0</v>
      </c>
      <c r="IE7" s="81">
        <v>0.0</v>
      </c>
      <c r="IF7" s="81">
        <v>0.0</v>
      </c>
      <c r="IG7" s="81">
        <v>0.0</v>
      </c>
      <c r="IH7" s="109">
        <v>10.0</v>
      </c>
      <c r="II7" s="109">
        <v>9.0</v>
      </c>
      <c r="IJ7" s="109">
        <v>11.0</v>
      </c>
      <c r="IK7" s="109">
        <v>10.5</v>
      </c>
      <c r="IL7" s="109">
        <v>7.0</v>
      </c>
      <c r="IM7" s="109">
        <v>11.0</v>
      </c>
      <c r="IN7" s="109">
        <v>12.0</v>
      </c>
      <c r="IO7" s="109">
        <v>4.0</v>
      </c>
      <c r="IP7" s="109">
        <v>10.0</v>
      </c>
      <c r="IQ7" s="109">
        <v>12.0</v>
      </c>
      <c r="IR7" s="109">
        <v>10.0</v>
      </c>
      <c r="IS7" s="109">
        <v>10.0</v>
      </c>
      <c r="IT7" s="109">
        <v>14.0</v>
      </c>
      <c r="IU7" s="109">
        <v>9.0</v>
      </c>
      <c r="IV7" s="109">
        <v>4.0</v>
      </c>
      <c r="IW7" s="109">
        <v>10.0</v>
      </c>
      <c r="IX7" s="109">
        <v>9.0</v>
      </c>
      <c r="IY7" s="109">
        <v>12.0</v>
      </c>
      <c r="IZ7" s="109">
        <v>9.0</v>
      </c>
      <c r="JA7" s="109">
        <v>8.0</v>
      </c>
      <c r="JB7" s="110"/>
      <c r="JC7" s="111">
        <v>10.0</v>
      </c>
      <c r="JD7" s="111">
        <v>10.0</v>
      </c>
      <c r="JE7" s="111">
        <v>10.0</v>
      </c>
      <c r="JF7" s="111">
        <v>10.0</v>
      </c>
      <c r="JG7" s="111">
        <v>10.0</v>
      </c>
      <c r="JH7" s="111">
        <v>11.0</v>
      </c>
      <c r="JI7" s="111">
        <v>9.0</v>
      </c>
      <c r="JJ7" s="111">
        <v>10.0</v>
      </c>
      <c r="JK7" s="111">
        <v>10.0</v>
      </c>
      <c r="JL7" s="111"/>
      <c r="JM7" s="111"/>
      <c r="JN7" s="111"/>
      <c r="JO7" s="111"/>
      <c r="JP7" s="111"/>
      <c r="JQ7" s="111"/>
      <c r="JR7" s="111">
        <v>10.0</v>
      </c>
      <c r="JS7" s="111">
        <v>17.25</v>
      </c>
      <c r="JT7" s="111">
        <v>10.0</v>
      </c>
      <c r="JU7" s="111">
        <v>12.0</v>
      </c>
      <c r="JV7" s="111">
        <v>8.75</v>
      </c>
      <c r="JW7" s="111">
        <v>10.0</v>
      </c>
      <c r="JX7" s="111">
        <v>9.0</v>
      </c>
      <c r="JY7" s="111">
        <v>10.0</v>
      </c>
      <c r="JZ7" s="85">
        <v>11.5</v>
      </c>
      <c r="KA7" s="111">
        <v>10.0</v>
      </c>
      <c r="KB7" s="85">
        <v>12.5</v>
      </c>
      <c r="KC7" s="111">
        <v>12.0</v>
      </c>
      <c r="KD7" s="111">
        <v>15.0</v>
      </c>
      <c r="KE7" s="111">
        <v>6.0</v>
      </c>
      <c r="KF7" s="111">
        <v>7.0</v>
      </c>
      <c r="KG7" s="112">
        <v>9.0</v>
      </c>
      <c r="KH7" s="113"/>
      <c r="KI7" s="90">
        <v>11.5</v>
      </c>
      <c r="KJ7" s="91">
        <v>9.0</v>
      </c>
      <c r="KK7" s="91">
        <v>10.0</v>
      </c>
      <c r="KL7" s="91">
        <v>10.0</v>
      </c>
      <c r="KM7" s="91">
        <v>10.0</v>
      </c>
      <c r="KN7" s="91" t="s">
        <v>39</v>
      </c>
      <c r="KO7" s="91">
        <v>10.0</v>
      </c>
      <c r="KP7" s="91">
        <v>10.0</v>
      </c>
      <c r="KQ7" s="91">
        <v>10.0</v>
      </c>
      <c r="KR7" s="91" t="s">
        <v>39</v>
      </c>
      <c r="KS7" s="91">
        <v>10.0</v>
      </c>
      <c r="KT7" s="91">
        <v>10.0</v>
      </c>
      <c r="KU7" s="91">
        <v>10.0</v>
      </c>
      <c r="KV7" s="91" t="s">
        <v>39</v>
      </c>
      <c r="KW7" s="91">
        <v>10.0</v>
      </c>
      <c r="KX7" s="91">
        <v>10.0</v>
      </c>
      <c r="KY7" s="91">
        <v>10.0</v>
      </c>
      <c r="KZ7" s="91" t="s">
        <v>39</v>
      </c>
      <c r="LA7" s="91">
        <v>10.0</v>
      </c>
      <c r="LB7" s="91">
        <v>10.0</v>
      </c>
      <c r="LC7" s="91">
        <v>10.0</v>
      </c>
      <c r="LD7" s="91">
        <v>10.0</v>
      </c>
      <c r="LE7" s="91">
        <v>10.0</v>
      </c>
      <c r="LF7" s="91">
        <v>10.0</v>
      </c>
      <c r="LG7" s="91">
        <v>10.0</v>
      </c>
      <c r="LH7" s="91">
        <v>10.0</v>
      </c>
      <c r="LI7" s="91">
        <v>10.0</v>
      </c>
      <c r="LJ7" s="91">
        <v>10.0</v>
      </c>
      <c r="LK7" s="91">
        <v>10.0</v>
      </c>
      <c r="LL7" s="91">
        <v>10.0</v>
      </c>
      <c r="LM7" s="91"/>
      <c r="LN7" s="113"/>
      <c r="LO7" s="91">
        <v>9.0</v>
      </c>
      <c r="LP7" s="91">
        <v>9.0</v>
      </c>
      <c r="LQ7" s="91">
        <v>9.0</v>
      </c>
      <c r="LR7" s="91"/>
      <c r="LS7" s="91">
        <v>9.0</v>
      </c>
      <c r="LT7" s="91"/>
      <c r="LU7" s="91">
        <v>9.0</v>
      </c>
      <c r="LV7" s="91">
        <v>8.0</v>
      </c>
      <c r="LW7" s="91"/>
      <c r="LX7" s="91">
        <v>5.0</v>
      </c>
      <c r="LY7" s="91"/>
      <c r="LZ7" s="91">
        <v>9.0</v>
      </c>
      <c r="MA7" s="91"/>
      <c r="MB7" s="91"/>
      <c r="MC7" s="91"/>
      <c r="MD7" s="91"/>
      <c r="ME7" s="91"/>
      <c r="MF7" s="91"/>
      <c r="MG7" s="91"/>
      <c r="MH7" s="91"/>
      <c r="MI7" s="91"/>
      <c r="MJ7" s="91"/>
      <c r="MK7" s="91"/>
      <c r="ML7" s="91"/>
      <c r="MM7" s="91"/>
      <c r="MN7" s="91"/>
      <c r="MO7" s="91"/>
      <c r="MP7" s="91"/>
      <c r="MQ7" s="91"/>
      <c r="MR7" s="93"/>
      <c r="MS7" s="93"/>
      <c r="MT7" s="114"/>
      <c r="MU7" s="115">
        <v>2.0</v>
      </c>
      <c r="MV7" s="115">
        <v>2.0</v>
      </c>
      <c r="MW7" s="115">
        <v>2.0</v>
      </c>
      <c r="MX7" s="115">
        <v>8.0</v>
      </c>
      <c r="MY7" s="115">
        <v>2.0</v>
      </c>
      <c r="MZ7" s="115"/>
      <c r="NA7" s="115">
        <v>2.0</v>
      </c>
      <c r="NB7" s="115"/>
      <c r="NC7" s="115"/>
      <c r="ND7" s="115"/>
      <c r="NE7" s="116">
        <v>7.5</v>
      </c>
      <c r="NF7" s="115">
        <v>5.0</v>
      </c>
      <c r="NG7" s="115"/>
      <c r="NH7" s="115"/>
      <c r="NI7" s="115"/>
      <c r="NJ7" s="115"/>
      <c r="NK7" s="115"/>
      <c r="NL7" s="115"/>
      <c r="NM7" s="115"/>
      <c r="NN7" s="115"/>
      <c r="NO7" s="115"/>
      <c r="NP7" s="115"/>
      <c r="NQ7" s="115"/>
      <c r="NR7" s="115"/>
      <c r="NS7" s="115"/>
      <c r="NT7" s="115"/>
      <c r="NU7" s="115"/>
      <c r="NV7" s="115"/>
      <c r="NW7" s="115"/>
      <c r="NX7" s="115"/>
      <c r="NY7" s="115"/>
      <c r="NZ7" s="117"/>
      <c r="OA7" s="118"/>
      <c r="OB7" s="118"/>
      <c r="OC7" s="119"/>
      <c r="OD7" s="120"/>
      <c r="OE7" s="120"/>
      <c r="OF7" s="120"/>
      <c r="OG7" s="120"/>
      <c r="OH7" s="120"/>
      <c r="OI7" s="120"/>
      <c r="OJ7" s="120"/>
      <c r="OK7" s="120"/>
      <c r="OL7" s="120"/>
    </row>
    <row r="8" ht="30.0" customHeight="1">
      <c r="A8" s="121"/>
      <c r="B8" s="73" t="s">
        <v>21</v>
      </c>
      <c r="C8" s="74">
        <f t="shared" si="7"/>
        <v>72</v>
      </c>
      <c r="D8" s="73">
        <f t="shared" si="8"/>
        <v>14.85</v>
      </c>
      <c r="E8" s="122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>
        <v>10.0</v>
      </c>
      <c r="AY8" s="105">
        <v>5.0</v>
      </c>
      <c r="AZ8" s="105">
        <v>12.0</v>
      </c>
      <c r="BA8" s="123"/>
      <c r="BB8" s="105">
        <v>9.3</v>
      </c>
      <c r="BC8" s="105">
        <v>9.0</v>
      </c>
      <c r="BD8" s="124">
        <v>11.0</v>
      </c>
      <c r="BE8" s="105"/>
      <c r="BF8" s="105">
        <v>9.0</v>
      </c>
      <c r="BG8" s="105"/>
      <c r="BH8" s="105"/>
      <c r="BI8" s="105"/>
      <c r="BJ8" s="105">
        <v>10.0</v>
      </c>
      <c r="BK8" s="105">
        <v>10.0</v>
      </c>
      <c r="BL8" s="105">
        <v>9.3</v>
      </c>
      <c r="BM8" s="105">
        <v>9.0</v>
      </c>
      <c r="BN8" s="105">
        <v>12.0</v>
      </c>
      <c r="BO8" s="105"/>
      <c r="BP8" s="105">
        <v>7.3</v>
      </c>
      <c r="BQ8" s="105">
        <v>9.0</v>
      </c>
      <c r="BR8" s="105">
        <v>10.3</v>
      </c>
      <c r="BS8" s="105">
        <v>9.3</v>
      </c>
      <c r="BT8" s="105"/>
      <c r="BU8" s="77">
        <v>5.0</v>
      </c>
      <c r="BV8" s="105">
        <v>12.0</v>
      </c>
      <c r="BW8" s="76">
        <v>10.3</v>
      </c>
      <c r="BX8" s="76">
        <v>10.0</v>
      </c>
      <c r="BY8" s="76">
        <v>10.3</v>
      </c>
      <c r="BZ8" s="80">
        <v>8.0</v>
      </c>
      <c r="CA8" s="80">
        <v>13.0</v>
      </c>
      <c r="CB8" s="80">
        <v>9.0</v>
      </c>
      <c r="CC8" s="80">
        <v>3.0</v>
      </c>
      <c r="CD8" s="80">
        <v>11.3</v>
      </c>
      <c r="CE8" s="80">
        <v>11.0</v>
      </c>
      <c r="CF8" s="80">
        <v>10.0</v>
      </c>
      <c r="CG8" s="80">
        <v>13.0</v>
      </c>
      <c r="CH8" s="80">
        <v>9.0</v>
      </c>
      <c r="CI8" s="80">
        <v>10.0</v>
      </c>
      <c r="CJ8" s="80"/>
      <c r="CK8" s="80">
        <v>8.3</v>
      </c>
      <c r="CL8" s="80">
        <v>8.0</v>
      </c>
      <c r="CM8" s="80">
        <v>9.0</v>
      </c>
      <c r="CN8" s="80">
        <v>12.0</v>
      </c>
      <c r="CO8" s="80">
        <v>11.0</v>
      </c>
      <c r="CP8" s="80">
        <v>0.0</v>
      </c>
      <c r="CQ8" s="80">
        <v>0.0</v>
      </c>
      <c r="CR8" s="80">
        <v>7.0</v>
      </c>
      <c r="CS8" s="80">
        <v>7.0</v>
      </c>
      <c r="CT8" s="80">
        <v>0.0</v>
      </c>
      <c r="CU8" s="80">
        <v>13.0</v>
      </c>
      <c r="CV8" s="80"/>
      <c r="CW8" s="80"/>
      <c r="CX8" s="80"/>
      <c r="CY8" s="80">
        <v>9.0</v>
      </c>
      <c r="CZ8" s="77">
        <v>8.0</v>
      </c>
      <c r="DA8" s="80">
        <v>11.3</v>
      </c>
      <c r="DB8" s="80">
        <v>9.0</v>
      </c>
      <c r="DC8" s="80">
        <v>12.0</v>
      </c>
      <c r="DD8" s="80">
        <v>12.0</v>
      </c>
      <c r="DE8" s="80">
        <v>9.15</v>
      </c>
      <c r="DF8" s="80">
        <v>11.0</v>
      </c>
      <c r="DG8" s="80">
        <v>9.0</v>
      </c>
      <c r="DH8" s="80">
        <v>10.0</v>
      </c>
      <c r="DI8" s="80">
        <v>8.0</v>
      </c>
      <c r="DJ8" s="80">
        <v>13.0</v>
      </c>
      <c r="DK8" s="80">
        <v>8.0</v>
      </c>
      <c r="DL8" s="107">
        <v>13.0</v>
      </c>
      <c r="DM8" s="107">
        <v>8.0</v>
      </c>
      <c r="DN8" s="107">
        <v>11.0</v>
      </c>
      <c r="DO8" s="107">
        <v>12.0</v>
      </c>
      <c r="DP8" s="107">
        <v>11.0</v>
      </c>
      <c r="DQ8" s="80">
        <v>8.0</v>
      </c>
      <c r="DR8" s="80">
        <v>12.0</v>
      </c>
      <c r="DS8" s="80"/>
      <c r="DT8" s="80">
        <v>11.0</v>
      </c>
      <c r="DU8" s="80">
        <v>9.5</v>
      </c>
      <c r="DV8" s="80">
        <v>11.5</v>
      </c>
      <c r="DW8" s="80">
        <v>10.0</v>
      </c>
      <c r="DX8" s="80">
        <v>9.5</v>
      </c>
      <c r="DY8" s="80">
        <v>14.0</v>
      </c>
      <c r="DZ8" s="80"/>
      <c r="EA8" s="80">
        <v>11.0</v>
      </c>
      <c r="EB8" s="80">
        <v>7.5</v>
      </c>
      <c r="EC8" s="80">
        <v>8.0</v>
      </c>
      <c r="ED8" s="77">
        <v>10.0</v>
      </c>
      <c r="EE8" s="80">
        <v>11.5</v>
      </c>
      <c r="EF8" s="80">
        <v>10.0</v>
      </c>
      <c r="EG8" s="80"/>
      <c r="EH8" s="80">
        <v>10.0</v>
      </c>
      <c r="EI8" s="80">
        <v>8.5</v>
      </c>
      <c r="EJ8" s="80">
        <v>8.0</v>
      </c>
      <c r="EK8" s="80">
        <v>8.0</v>
      </c>
      <c r="EL8" s="80"/>
      <c r="EM8" s="80">
        <v>13.5</v>
      </c>
      <c r="EN8" s="80">
        <v>10.5</v>
      </c>
      <c r="EO8" s="80">
        <v>13.5</v>
      </c>
      <c r="EP8" s="80">
        <v>9.0</v>
      </c>
      <c r="EQ8" s="80">
        <v>12.0</v>
      </c>
      <c r="ER8" s="80">
        <v>12.0</v>
      </c>
      <c r="ES8" s="80">
        <v>8.3</v>
      </c>
      <c r="ET8" s="80">
        <v>10.0</v>
      </c>
      <c r="EU8" s="80"/>
      <c r="EV8" s="80">
        <v>9.0</v>
      </c>
      <c r="EW8" s="80">
        <v>9.5</v>
      </c>
      <c r="EX8" s="80">
        <v>11.5</v>
      </c>
      <c r="EY8" s="80">
        <v>18.0</v>
      </c>
      <c r="EZ8" s="80">
        <v>6.5</v>
      </c>
      <c r="FA8" s="80">
        <v>11.0</v>
      </c>
      <c r="FB8" s="80">
        <v>3.5</v>
      </c>
      <c r="FC8" s="80">
        <v>9.0</v>
      </c>
      <c r="FD8" s="80">
        <v>10.0</v>
      </c>
      <c r="FE8" s="80">
        <v>3.0</v>
      </c>
      <c r="FF8" s="80">
        <v>12.0</v>
      </c>
      <c r="FG8" s="80">
        <v>9.0</v>
      </c>
      <c r="FH8" s="80">
        <v>9.0</v>
      </c>
      <c r="FI8" s="80"/>
      <c r="FJ8" s="80">
        <v>9.5</v>
      </c>
      <c r="FK8" s="80">
        <v>9.0</v>
      </c>
      <c r="FL8" s="80">
        <v>11.75</v>
      </c>
      <c r="FM8" s="80">
        <v>11.0</v>
      </c>
      <c r="FN8" s="80">
        <v>9.0</v>
      </c>
      <c r="FO8" s="80">
        <v>8.5</v>
      </c>
      <c r="FP8" s="125"/>
      <c r="FQ8" s="80">
        <v>8.0</v>
      </c>
      <c r="FR8" s="80">
        <v>11.0</v>
      </c>
      <c r="FS8" s="80">
        <v>9.0</v>
      </c>
      <c r="FT8" s="80">
        <v>16.0</v>
      </c>
      <c r="FU8" s="80">
        <v>8.0</v>
      </c>
      <c r="FV8" s="80">
        <v>10.0</v>
      </c>
      <c r="FW8" s="80">
        <v>10.0</v>
      </c>
      <c r="FX8" s="80">
        <v>9.0</v>
      </c>
      <c r="FY8" s="80">
        <v>10.0</v>
      </c>
      <c r="FZ8" s="80">
        <v>15.0</v>
      </c>
      <c r="GA8" s="80">
        <v>12.0</v>
      </c>
      <c r="GB8" s="80">
        <v>11.0</v>
      </c>
      <c r="GC8" s="80">
        <v>9.0</v>
      </c>
      <c r="GD8" s="80">
        <v>10.0</v>
      </c>
      <c r="GE8" s="80">
        <v>14.0</v>
      </c>
      <c r="GF8" s="80">
        <v>13.0</v>
      </c>
      <c r="GG8" s="80">
        <v>10.0</v>
      </c>
      <c r="GH8" s="80"/>
      <c r="GI8" s="80">
        <v>11.0</v>
      </c>
      <c r="GJ8" s="80">
        <v>8.0</v>
      </c>
      <c r="GK8" s="80">
        <v>11.0</v>
      </c>
      <c r="GL8" s="80">
        <v>12.0</v>
      </c>
      <c r="GM8" s="80">
        <v>9.0</v>
      </c>
      <c r="GN8" s="80">
        <v>12.0</v>
      </c>
      <c r="GO8" s="80">
        <v>16.0</v>
      </c>
      <c r="GP8" s="80">
        <v>15.0</v>
      </c>
      <c r="GQ8" s="80">
        <v>14.0</v>
      </c>
      <c r="GR8" s="80">
        <v>20.0</v>
      </c>
      <c r="GS8" s="108" t="s">
        <v>39</v>
      </c>
      <c r="GT8" s="80">
        <v>8.0</v>
      </c>
      <c r="GU8" s="80">
        <v>4.0</v>
      </c>
      <c r="GV8" s="80" t="s">
        <v>39</v>
      </c>
      <c r="GW8" s="80">
        <v>5.0</v>
      </c>
      <c r="GX8" s="80">
        <v>5.5</v>
      </c>
      <c r="GY8" s="80">
        <v>8.5</v>
      </c>
      <c r="GZ8" s="80">
        <v>3.5</v>
      </c>
      <c r="HA8" s="80" t="s">
        <v>39</v>
      </c>
      <c r="HB8" s="80">
        <v>8.0</v>
      </c>
      <c r="HC8" s="80">
        <v>12.0</v>
      </c>
      <c r="HD8" s="80">
        <v>3.0</v>
      </c>
      <c r="HE8" s="80">
        <v>11.0</v>
      </c>
      <c r="HF8" s="80" t="s">
        <v>39</v>
      </c>
      <c r="HG8" s="80">
        <v>12.0</v>
      </c>
      <c r="HH8" s="80">
        <v>12.0</v>
      </c>
      <c r="HI8" s="80">
        <v>5.0</v>
      </c>
      <c r="HJ8" s="80">
        <v>2.0</v>
      </c>
      <c r="HK8" s="80">
        <v>7.5</v>
      </c>
      <c r="HL8" s="80">
        <v>7.0</v>
      </c>
      <c r="HM8" s="80">
        <v>7.0</v>
      </c>
      <c r="HN8" s="80">
        <v>5.0</v>
      </c>
      <c r="HO8" s="80">
        <v>12.0</v>
      </c>
      <c r="HP8" s="80">
        <v>11.0</v>
      </c>
      <c r="HQ8" s="80">
        <v>4.5</v>
      </c>
      <c r="HR8" s="80" t="s">
        <v>39</v>
      </c>
      <c r="HS8" s="80">
        <v>4.5</v>
      </c>
      <c r="HT8" s="80">
        <v>6.5</v>
      </c>
      <c r="HU8" s="80">
        <v>1.5</v>
      </c>
      <c r="HV8" s="80">
        <v>5.0</v>
      </c>
      <c r="HW8" s="80" t="s">
        <v>39</v>
      </c>
      <c r="HX8" s="126" t="s">
        <v>41</v>
      </c>
      <c r="HY8" s="81">
        <v>3.0</v>
      </c>
      <c r="HZ8" s="81">
        <v>8.0</v>
      </c>
      <c r="IA8" s="81">
        <v>7.0</v>
      </c>
      <c r="IB8" s="81">
        <v>6.0</v>
      </c>
      <c r="IC8" s="81">
        <v>8.75</v>
      </c>
      <c r="ID8" s="81">
        <v>10.75</v>
      </c>
      <c r="IE8" s="81">
        <v>9.0</v>
      </c>
      <c r="IF8" s="81">
        <v>9.25</v>
      </c>
      <c r="IG8" s="81">
        <v>7.75</v>
      </c>
      <c r="IH8" s="81">
        <v>9.25</v>
      </c>
      <c r="II8" s="81">
        <v>9.5</v>
      </c>
      <c r="IJ8" s="81">
        <v>7.25</v>
      </c>
      <c r="IK8" s="81" t="s">
        <v>39</v>
      </c>
      <c r="IL8" s="81">
        <v>6.5</v>
      </c>
      <c r="IM8" s="81">
        <v>9.0</v>
      </c>
      <c r="IN8" s="81">
        <v>11.5</v>
      </c>
      <c r="IO8" s="81">
        <v>12.5</v>
      </c>
      <c r="IP8" s="81">
        <v>9.5</v>
      </c>
      <c r="IQ8" s="81">
        <v>9.0</v>
      </c>
      <c r="IR8" s="81">
        <v>9.25</v>
      </c>
      <c r="IS8" s="81">
        <v>12.5</v>
      </c>
      <c r="IT8" s="81">
        <v>10.75</v>
      </c>
      <c r="IU8" s="81">
        <v>19.0</v>
      </c>
      <c r="IV8" s="81">
        <v>3.0</v>
      </c>
      <c r="IW8" s="81">
        <v>11.0</v>
      </c>
      <c r="IX8" s="81">
        <v>6.5</v>
      </c>
      <c r="IY8" s="81">
        <v>10.0</v>
      </c>
      <c r="IZ8" s="81">
        <v>0.0</v>
      </c>
      <c r="JA8" s="81">
        <v>10.0</v>
      </c>
      <c r="JB8" s="84"/>
      <c r="JC8" s="85">
        <v>11.0</v>
      </c>
      <c r="JD8" s="85"/>
      <c r="JE8" s="85">
        <v>10.5</v>
      </c>
      <c r="JF8" s="85">
        <v>14.5</v>
      </c>
      <c r="JG8" s="85">
        <v>10.0</v>
      </c>
      <c r="JH8" s="85">
        <v>15.0</v>
      </c>
      <c r="JI8" s="85">
        <v>10.5</v>
      </c>
      <c r="JJ8" s="85">
        <v>11.0</v>
      </c>
      <c r="JK8" s="85"/>
      <c r="JL8" s="85">
        <v>12.0</v>
      </c>
      <c r="JM8" s="85">
        <v>14.0</v>
      </c>
      <c r="JN8" s="85">
        <v>10.0</v>
      </c>
      <c r="JO8" s="85">
        <v>8.0</v>
      </c>
      <c r="JP8" s="85">
        <v>2.0</v>
      </c>
      <c r="JQ8" s="85">
        <v>3.0</v>
      </c>
      <c r="JR8" s="85"/>
      <c r="JS8" s="85"/>
      <c r="JT8" s="85"/>
      <c r="JU8" s="85">
        <v>10.0</v>
      </c>
      <c r="JV8" s="85"/>
      <c r="JW8" s="85">
        <v>4.0</v>
      </c>
      <c r="JX8" s="85">
        <v>11.0</v>
      </c>
      <c r="JY8" s="85"/>
      <c r="JZ8" s="85">
        <v>11.0</v>
      </c>
      <c r="KA8" s="85">
        <v>8.5</v>
      </c>
      <c r="KB8" s="85">
        <v>8.0</v>
      </c>
      <c r="KC8" s="85">
        <v>12.0</v>
      </c>
      <c r="KD8" s="85">
        <v>14.75</v>
      </c>
      <c r="KE8" s="85">
        <v>12.5</v>
      </c>
      <c r="KF8" s="85">
        <v>11.0</v>
      </c>
      <c r="KG8" s="88">
        <v>10.0</v>
      </c>
      <c r="KH8" s="89"/>
      <c r="KI8" s="90">
        <v>16.5</v>
      </c>
      <c r="KJ8" s="91">
        <v>9.0</v>
      </c>
      <c r="KK8" s="90">
        <v>12.5</v>
      </c>
      <c r="KL8" s="90">
        <v>16.5</v>
      </c>
      <c r="KM8" s="90">
        <v>9.0</v>
      </c>
      <c r="KN8" s="90">
        <v>16.0</v>
      </c>
      <c r="KO8" s="90" t="s">
        <v>39</v>
      </c>
      <c r="KP8" s="90">
        <v>7.0</v>
      </c>
      <c r="KQ8" s="90">
        <v>14.5</v>
      </c>
      <c r="KR8" s="90">
        <v>4.5</v>
      </c>
      <c r="KS8" s="90">
        <v>13.0</v>
      </c>
      <c r="KT8" s="90">
        <v>3.0</v>
      </c>
      <c r="KU8" s="90">
        <v>5.0</v>
      </c>
      <c r="KV8" s="90">
        <v>6.5</v>
      </c>
      <c r="KW8" s="90">
        <v>8.0</v>
      </c>
      <c r="KX8" s="90" t="s">
        <v>39</v>
      </c>
      <c r="KY8" s="90">
        <v>6.5</v>
      </c>
      <c r="KZ8" s="90" t="s">
        <v>39</v>
      </c>
      <c r="LA8" s="90" t="s">
        <v>39</v>
      </c>
      <c r="LB8" s="90" t="s">
        <v>39</v>
      </c>
      <c r="LC8" s="90">
        <v>8.0</v>
      </c>
      <c r="LD8" s="90">
        <v>6.5</v>
      </c>
      <c r="LE8" s="90">
        <v>9.0</v>
      </c>
      <c r="LF8" s="90">
        <v>9.0</v>
      </c>
      <c r="LG8" s="90" t="s">
        <v>39</v>
      </c>
      <c r="LH8" s="90">
        <v>9.0</v>
      </c>
      <c r="LI8" s="90" t="s">
        <v>39</v>
      </c>
      <c r="LJ8" s="90">
        <v>11.0</v>
      </c>
      <c r="LK8" s="90">
        <v>9.5</v>
      </c>
      <c r="LL8" s="90">
        <v>5.5</v>
      </c>
      <c r="LM8" s="90">
        <v>21.0</v>
      </c>
      <c r="LN8" s="89"/>
      <c r="LO8" s="90"/>
      <c r="LP8" s="90">
        <v>9.0</v>
      </c>
      <c r="LQ8" s="90">
        <v>9.0</v>
      </c>
      <c r="LR8" s="90"/>
      <c r="LS8" s="90">
        <v>9.0</v>
      </c>
      <c r="LT8" s="90"/>
      <c r="LU8" s="90">
        <v>9.0</v>
      </c>
      <c r="LV8" s="90">
        <v>9.0</v>
      </c>
      <c r="LW8" s="90">
        <v>9.0</v>
      </c>
      <c r="LX8" s="90">
        <v>9.0</v>
      </c>
      <c r="LY8" s="90"/>
      <c r="LZ8" s="90">
        <v>9.0</v>
      </c>
      <c r="MA8" s="90"/>
      <c r="MB8" s="90"/>
      <c r="MC8" s="90"/>
      <c r="MD8" s="90"/>
      <c r="ME8" s="90"/>
      <c r="MF8" s="90"/>
      <c r="MG8" s="90"/>
      <c r="MH8" s="90"/>
      <c r="MI8" s="90"/>
      <c r="MJ8" s="90"/>
      <c r="MK8" s="90"/>
      <c r="ML8" s="90"/>
      <c r="MM8" s="90"/>
      <c r="MN8" s="90"/>
      <c r="MO8" s="90"/>
      <c r="MP8" s="90"/>
      <c r="MQ8" s="90"/>
      <c r="MR8" s="93"/>
      <c r="MS8" s="93"/>
      <c r="MT8" s="127"/>
      <c r="MU8" s="96"/>
      <c r="MV8" s="96">
        <v>3.0</v>
      </c>
      <c r="MW8" s="96"/>
      <c r="MX8" s="96"/>
      <c r="MY8" s="96"/>
      <c r="MZ8" s="96"/>
      <c r="NA8" s="96"/>
      <c r="NB8" s="96"/>
      <c r="NC8" s="96"/>
      <c r="ND8" s="96">
        <v>1.1</v>
      </c>
      <c r="NE8" s="96">
        <v>9.25</v>
      </c>
      <c r="NF8" s="96">
        <v>1.5</v>
      </c>
      <c r="NG8" s="96"/>
      <c r="NH8" s="96"/>
      <c r="NI8" s="96"/>
      <c r="NJ8" s="96"/>
      <c r="NK8" s="96"/>
      <c r="NL8" s="96"/>
      <c r="NM8" s="96"/>
      <c r="NN8" s="96"/>
      <c r="NO8" s="96"/>
      <c r="NP8" s="96"/>
      <c r="NQ8" s="96"/>
      <c r="NR8" s="96"/>
      <c r="NS8" s="96"/>
      <c r="NT8" s="96"/>
      <c r="NU8" s="96"/>
      <c r="NV8" s="96"/>
      <c r="NW8" s="96"/>
      <c r="NX8" s="96"/>
      <c r="NY8" s="96"/>
      <c r="NZ8" s="128"/>
      <c r="OA8" s="129"/>
      <c r="OB8" s="129"/>
      <c r="OC8" s="130"/>
      <c r="OD8" s="101"/>
      <c r="OE8" s="101"/>
      <c r="OF8" s="101"/>
      <c r="OG8" s="101"/>
      <c r="OH8" s="101"/>
      <c r="OI8" s="101"/>
      <c r="OJ8" s="101"/>
      <c r="OK8" s="101"/>
      <c r="OL8" s="101"/>
    </row>
    <row r="9" ht="30.0" customHeight="1">
      <c r="A9" s="131"/>
      <c r="B9" s="132" t="s">
        <v>42</v>
      </c>
      <c r="C9" s="74">
        <f t="shared" si="7"/>
        <v>0</v>
      </c>
      <c r="D9" s="73">
        <f t="shared" si="8"/>
        <v>0</v>
      </c>
      <c r="E9" s="122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>
        <v>10.0</v>
      </c>
      <c r="AS9" s="105">
        <v>10.0</v>
      </c>
      <c r="AT9" s="105">
        <v>10.0</v>
      </c>
      <c r="AU9" s="105">
        <v>12.0</v>
      </c>
      <c r="AV9" s="123"/>
      <c r="AW9" s="105">
        <v>14.0</v>
      </c>
      <c r="AX9" s="105">
        <v>11.0</v>
      </c>
      <c r="AY9" s="105">
        <v>10.0</v>
      </c>
      <c r="AZ9" s="105">
        <v>11.0</v>
      </c>
      <c r="BA9" s="123"/>
      <c r="BB9" s="105">
        <v>11.0</v>
      </c>
      <c r="BC9" s="105">
        <v>11.3</v>
      </c>
      <c r="BD9" s="105">
        <v>13.0</v>
      </c>
      <c r="BE9" s="105">
        <v>13.0</v>
      </c>
      <c r="BF9" s="105">
        <v>12.0</v>
      </c>
      <c r="BG9" s="105">
        <v>16.0</v>
      </c>
      <c r="BH9" s="105">
        <v>3.0</v>
      </c>
      <c r="BI9" s="105">
        <v>10.3</v>
      </c>
      <c r="BJ9" s="105">
        <v>13.0</v>
      </c>
      <c r="BK9" s="105">
        <v>13.0</v>
      </c>
      <c r="BL9" s="105">
        <v>16.0</v>
      </c>
      <c r="BM9" s="105">
        <v>12.0</v>
      </c>
      <c r="BN9" s="105">
        <v>13.0</v>
      </c>
      <c r="BO9" s="105">
        <v>9.0</v>
      </c>
      <c r="BP9" s="105">
        <v>13.0</v>
      </c>
      <c r="BQ9" s="105">
        <v>11.0</v>
      </c>
      <c r="BR9" s="105">
        <v>12.0</v>
      </c>
      <c r="BS9" s="105">
        <v>10.3</v>
      </c>
      <c r="BT9" s="105">
        <v>12.3</v>
      </c>
      <c r="BU9" s="77">
        <v>10.3</v>
      </c>
      <c r="BV9" s="105">
        <v>9.3</v>
      </c>
      <c r="BW9" s="76">
        <v>10.3</v>
      </c>
      <c r="BX9" s="76">
        <v>15.0</v>
      </c>
      <c r="BY9" s="76">
        <v>10.3</v>
      </c>
      <c r="BZ9" s="80">
        <v>12.0</v>
      </c>
      <c r="CA9" s="80">
        <v>12.0</v>
      </c>
      <c r="CB9" s="80">
        <v>13.3</v>
      </c>
      <c r="CC9" s="80">
        <v>9.0</v>
      </c>
      <c r="CD9" s="80">
        <v>11.3</v>
      </c>
      <c r="CE9" s="80">
        <v>11.0</v>
      </c>
      <c r="CF9" s="80">
        <v>14.0</v>
      </c>
      <c r="CG9" s="80">
        <v>14.0</v>
      </c>
      <c r="CH9" s="80" t="s">
        <v>30</v>
      </c>
      <c r="CI9" s="80">
        <v>12.3</v>
      </c>
      <c r="CJ9" s="80">
        <v>0.0</v>
      </c>
      <c r="CK9" s="80">
        <v>10.3</v>
      </c>
      <c r="CL9" s="80">
        <v>18.0</v>
      </c>
      <c r="CM9" s="80">
        <v>6.0</v>
      </c>
      <c r="CN9" s="80">
        <v>14.0</v>
      </c>
      <c r="CO9" s="80">
        <v>12.0</v>
      </c>
      <c r="CP9" s="80">
        <v>13.0</v>
      </c>
      <c r="CQ9" s="80">
        <v>6.0</v>
      </c>
      <c r="CR9" s="80">
        <v>11.0</v>
      </c>
      <c r="CS9" s="80">
        <v>11.0</v>
      </c>
      <c r="CT9" s="80">
        <v>13.3</v>
      </c>
      <c r="CU9" s="80">
        <v>10.0</v>
      </c>
      <c r="CV9" s="80">
        <v>7.0</v>
      </c>
      <c r="CW9" s="80">
        <v>7.0</v>
      </c>
      <c r="CX9" s="80">
        <v>11.0</v>
      </c>
      <c r="CY9" s="80">
        <v>10.3</v>
      </c>
      <c r="CZ9" s="77">
        <v>8.3</v>
      </c>
      <c r="DA9" s="80">
        <v>12.0</v>
      </c>
      <c r="DB9" s="80">
        <v>9.0</v>
      </c>
      <c r="DC9" s="80">
        <v>11.0</v>
      </c>
      <c r="DD9" s="80">
        <v>12.0</v>
      </c>
      <c r="DE9" s="80">
        <v>7.0</v>
      </c>
      <c r="DF9" s="80">
        <v>11.45</v>
      </c>
      <c r="DG9" s="80">
        <v>14.3</v>
      </c>
      <c r="DH9" s="80">
        <v>16.0</v>
      </c>
      <c r="DI9" s="80">
        <v>11.0</v>
      </c>
      <c r="DJ9" s="80"/>
      <c r="DK9" s="80">
        <v>14.5</v>
      </c>
      <c r="DL9" s="80">
        <v>9.5</v>
      </c>
      <c r="DM9" s="80">
        <v>8.0</v>
      </c>
      <c r="DN9" s="80">
        <v>12.0</v>
      </c>
      <c r="DO9" s="80">
        <v>10.5</v>
      </c>
      <c r="DP9" s="80">
        <v>13.0</v>
      </c>
      <c r="DQ9" s="80">
        <v>12.0</v>
      </c>
      <c r="DR9" s="80">
        <v>7.5</v>
      </c>
      <c r="DS9" s="107">
        <v>6.0</v>
      </c>
      <c r="DT9" s="80">
        <v>9.0</v>
      </c>
      <c r="DU9" s="80">
        <v>9.0</v>
      </c>
      <c r="DV9" s="80">
        <v>12.0</v>
      </c>
      <c r="DW9" s="80">
        <v>13.5</v>
      </c>
      <c r="DX9" s="80">
        <v>12.0</v>
      </c>
      <c r="DY9" s="80">
        <v>8.5</v>
      </c>
      <c r="DZ9" s="80"/>
      <c r="EA9" s="80">
        <v>16.5</v>
      </c>
      <c r="EB9" s="80">
        <v>12.0</v>
      </c>
      <c r="EC9" s="80">
        <v>12.0</v>
      </c>
      <c r="ED9" s="77">
        <v>11.0</v>
      </c>
      <c r="EE9" s="80">
        <v>12.0</v>
      </c>
      <c r="EF9" s="80">
        <v>9.5</v>
      </c>
      <c r="EG9" s="80">
        <v>11.5</v>
      </c>
      <c r="EH9" s="80">
        <v>11.5</v>
      </c>
      <c r="EI9" s="80">
        <v>11.0</v>
      </c>
      <c r="EJ9" s="80">
        <v>11.0</v>
      </c>
      <c r="EK9" s="80">
        <v>7.5</v>
      </c>
      <c r="EL9" s="80">
        <v>5.0</v>
      </c>
      <c r="EM9" s="80">
        <v>10.75</v>
      </c>
      <c r="EN9" s="80">
        <v>10.0</v>
      </c>
      <c r="EO9" s="80">
        <v>9.5</v>
      </c>
      <c r="EP9" s="80">
        <v>9.0</v>
      </c>
      <c r="EQ9" s="80">
        <v>10.75</v>
      </c>
      <c r="ER9" s="80">
        <v>12.2</v>
      </c>
      <c r="ES9" s="80">
        <v>5.0</v>
      </c>
      <c r="ET9" s="80">
        <v>12.0</v>
      </c>
      <c r="EU9" s="80">
        <v>10.0</v>
      </c>
      <c r="EV9" s="80">
        <v>9.5</v>
      </c>
      <c r="EW9" s="80">
        <v>8.75</v>
      </c>
      <c r="EX9" s="80">
        <v>10.6</v>
      </c>
      <c r="EY9" s="80">
        <v>10.25</v>
      </c>
      <c r="EZ9" s="80">
        <v>13.0</v>
      </c>
      <c r="FA9" s="80">
        <v>9.5</v>
      </c>
      <c r="FB9" s="80">
        <v>9.5</v>
      </c>
      <c r="FC9" s="80">
        <v>11.2</v>
      </c>
      <c r="FD9" s="80">
        <v>11.7</v>
      </c>
      <c r="FE9" s="80">
        <v>10.0</v>
      </c>
      <c r="FF9" s="80">
        <v>12.45</v>
      </c>
      <c r="FG9" s="80">
        <v>16.0</v>
      </c>
      <c r="FH9" s="80">
        <v>14.0</v>
      </c>
      <c r="FI9" s="80">
        <v>7.6</v>
      </c>
      <c r="FJ9" s="80"/>
      <c r="FK9" s="80">
        <v>16.0</v>
      </c>
      <c r="FL9" s="80">
        <v>11.2</v>
      </c>
      <c r="FM9" s="80">
        <v>10.0</v>
      </c>
      <c r="FN9" s="80">
        <v>11.2</v>
      </c>
      <c r="FO9" s="80">
        <v>12.0</v>
      </c>
      <c r="FP9" s="80">
        <v>9.5</v>
      </c>
      <c r="FQ9" s="80">
        <v>11.0</v>
      </c>
      <c r="FR9" s="80">
        <v>12.0</v>
      </c>
      <c r="FS9" s="80">
        <v>10.5</v>
      </c>
      <c r="FT9" s="80">
        <v>12.0</v>
      </c>
      <c r="FU9" s="80">
        <v>11.0</v>
      </c>
      <c r="FV9" s="80">
        <v>12.0</v>
      </c>
      <c r="FW9" s="80">
        <v>10.0</v>
      </c>
      <c r="FX9" s="80">
        <v>11.0</v>
      </c>
      <c r="FY9" s="80">
        <v>9.5</v>
      </c>
      <c r="FZ9" s="80">
        <v>11.0</v>
      </c>
      <c r="GA9" s="80">
        <v>10.0</v>
      </c>
      <c r="GB9" s="80">
        <v>10.5</v>
      </c>
      <c r="GC9" s="80">
        <v>13.5</v>
      </c>
      <c r="GD9" s="80">
        <v>5.0</v>
      </c>
      <c r="GE9" s="80">
        <v>14.0</v>
      </c>
      <c r="GF9" s="80">
        <v>11.0</v>
      </c>
      <c r="GG9" s="80">
        <v>10.5</v>
      </c>
      <c r="GH9" s="80">
        <v>10.0</v>
      </c>
      <c r="GI9" s="80">
        <v>10.5</v>
      </c>
      <c r="GJ9" s="80">
        <v>10.5</v>
      </c>
      <c r="GK9" s="80">
        <v>12.0</v>
      </c>
      <c r="GL9" s="80"/>
      <c r="GM9" s="80">
        <v>11.0</v>
      </c>
      <c r="GN9" s="80">
        <v>10.5</v>
      </c>
      <c r="GO9" s="80">
        <v>9.0</v>
      </c>
      <c r="GP9" s="80">
        <v>12.0</v>
      </c>
      <c r="GQ9" s="80">
        <v>116.0</v>
      </c>
      <c r="GR9" s="80"/>
      <c r="GS9" s="108">
        <v>15.0</v>
      </c>
      <c r="GT9" s="80">
        <v>10.0</v>
      </c>
      <c r="GU9" s="80">
        <v>12.0</v>
      </c>
      <c r="GV9" s="80">
        <v>9.0</v>
      </c>
      <c r="GW9" s="80">
        <v>10.5</v>
      </c>
      <c r="GX9" s="80">
        <v>8.0</v>
      </c>
      <c r="GY9" s="80">
        <v>12.5</v>
      </c>
      <c r="GZ9" s="80">
        <v>10.0</v>
      </c>
      <c r="HA9" s="80">
        <v>22.0</v>
      </c>
      <c r="HB9" s="80">
        <v>8.0</v>
      </c>
      <c r="HC9" s="80">
        <v>10.5</v>
      </c>
      <c r="HD9" s="80">
        <v>15.5</v>
      </c>
      <c r="HE9" s="80">
        <v>12.0</v>
      </c>
      <c r="HF9" s="80">
        <v>7.0</v>
      </c>
      <c r="HG9" s="80">
        <v>11.0</v>
      </c>
      <c r="HH9" s="80">
        <v>8.0</v>
      </c>
      <c r="HI9" s="80">
        <v>10.0</v>
      </c>
      <c r="HJ9" s="80">
        <v>8.5</v>
      </c>
      <c r="HK9" s="80" t="s">
        <v>39</v>
      </c>
      <c r="HL9" s="80">
        <v>4.5</v>
      </c>
      <c r="HM9" s="80">
        <v>7.0</v>
      </c>
      <c r="HN9" s="80">
        <v>9.5</v>
      </c>
      <c r="HO9" s="80">
        <v>15.0</v>
      </c>
      <c r="HP9" s="80">
        <v>7.5</v>
      </c>
      <c r="HQ9" s="80">
        <v>8.5</v>
      </c>
      <c r="HR9" s="80">
        <v>8.0</v>
      </c>
      <c r="HS9" s="80">
        <v>8.0</v>
      </c>
      <c r="HT9" s="80">
        <v>8.5</v>
      </c>
      <c r="HU9" s="80">
        <v>17.5</v>
      </c>
      <c r="HV9" s="80">
        <v>3.0</v>
      </c>
      <c r="HW9" s="80">
        <v>13.0</v>
      </c>
      <c r="HX9" s="81">
        <v>13.0</v>
      </c>
      <c r="HY9" s="81">
        <v>9.0</v>
      </c>
      <c r="HZ9" s="81">
        <v>12.0</v>
      </c>
      <c r="IA9" s="81">
        <v>11.0</v>
      </c>
      <c r="IB9" s="81">
        <v>17.0</v>
      </c>
      <c r="IC9" s="81">
        <v>6.0</v>
      </c>
      <c r="ID9" s="81">
        <v>10.5</v>
      </c>
      <c r="IE9" s="81">
        <v>10.0</v>
      </c>
      <c r="IF9" s="81">
        <v>11.0</v>
      </c>
      <c r="IG9" s="81">
        <v>5.5</v>
      </c>
      <c r="IH9" s="81">
        <v>10.5</v>
      </c>
      <c r="II9" s="81">
        <v>5.5</v>
      </c>
      <c r="IJ9" s="81">
        <v>10.0</v>
      </c>
      <c r="IK9" s="81">
        <v>11.5</v>
      </c>
      <c r="IL9" s="81">
        <v>11.0</v>
      </c>
      <c r="IM9" s="81">
        <v>9.5</v>
      </c>
      <c r="IN9" s="81">
        <v>10.25</v>
      </c>
      <c r="IO9" s="81">
        <v>9.0</v>
      </c>
      <c r="IP9" s="81">
        <v>12.0</v>
      </c>
      <c r="IQ9" s="81">
        <v>12.0</v>
      </c>
      <c r="IR9" s="81">
        <v>10.0</v>
      </c>
      <c r="IS9" s="81">
        <v>10.0</v>
      </c>
      <c r="IT9" s="81">
        <v>3.25</v>
      </c>
      <c r="IU9" s="81">
        <v>10.0</v>
      </c>
      <c r="IV9" s="81">
        <v>7.0</v>
      </c>
      <c r="IW9" s="81">
        <v>7.5</v>
      </c>
      <c r="IX9" s="81">
        <v>12.0</v>
      </c>
      <c r="IY9" s="81">
        <v>8.5</v>
      </c>
      <c r="IZ9" s="81">
        <v>9.0</v>
      </c>
      <c r="JA9" s="81">
        <v>14.5</v>
      </c>
      <c r="JB9" s="84"/>
      <c r="JC9" s="85">
        <v>2.5</v>
      </c>
      <c r="JD9" s="85">
        <v>9.0</v>
      </c>
      <c r="JE9" s="85">
        <v>8.0</v>
      </c>
      <c r="JF9" s="85">
        <v>11.5</v>
      </c>
      <c r="JG9" s="85">
        <v>9.0</v>
      </c>
      <c r="JH9" s="85"/>
      <c r="JI9" s="85">
        <v>11.25</v>
      </c>
      <c r="JJ9" s="85">
        <v>11.0</v>
      </c>
      <c r="JK9" s="85">
        <v>8.5</v>
      </c>
      <c r="JL9" s="85">
        <v>10.5</v>
      </c>
      <c r="JM9" s="85">
        <v>9.5</v>
      </c>
      <c r="JN9" s="85">
        <v>9.0</v>
      </c>
      <c r="JO9" s="85">
        <v>8.5</v>
      </c>
      <c r="JP9" s="85">
        <v>11.25</v>
      </c>
      <c r="JQ9" s="85">
        <v>8.5</v>
      </c>
      <c r="JR9" s="85">
        <v>10.0</v>
      </c>
      <c r="JS9" s="85">
        <v>7.75</v>
      </c>
      <c r="JT9" s="85">
        <v>7.5</v>
      </c>
      <c r="JU9" s="85">
        <v>9.0</v>
      </c>
      <c r="JV9" s="85">
        <v>9.0</v>
      </c>
      <c r="JW9" s="85">
        <v>8.0</v>
      </c>
      <c r="JX9" s="85">
        <v>9.25</v>
      </c>
      <c r="JY9" s="85">
        <v>7.0</v>
      </c>
      <c r="JZ9" s="85">
        <v>5.0</v>
      </c>
      <c r="KA9" s="85">
        <v>5.0</v>
      </c>
      <c r="KB9" s="85">
        <v>7.25</v>
      </c>
      <c r="KC9" s="85">
        <v>8.5</v>
      </c>
      <c r="KD9" s="85"/>
      <c r="KE9" s="85"/>
      <c r="KF9" s="85"/>
      <c r="KG9" s="88">
        <v>7.0</v>
      </c>
      <c r="KH9" s="89"/>
      <c r="KI9" s="90">
        <v>6.0</v>
      </c>
      <c r="KJ9" s="91">
        <v>4.5</v>
      </c>
      <c r="KK9" s="90">
        <v>5.0</v>
      </c>
      <c r="KL9" s="90">
        <v>8.0</v>
      </c>
      <c r="KM9" s="90">
        <v>8.5</v>
      </c>
      <c r="KN9" s="90">
        <v>8.0</v>
      </c>
      <c r="KO9" s="90" t="s">
        <v>39</v>
      </c>
      <c r="KP9" s="90">
        <v>1.0</v>
      </c>
      <c r="KQ9" s="90">
        <v>8.75</v>
      </c>
      <c r="KR9" s="90">
        <v>14.0</v>
      </c>
      <c r="KS9" s="90">
        <v>9.0</v>
      </c>
      <c r="KT9" s="90">
        <v>13.25</v>
      </c>
      <c r="KU9" s="90">
        <v>4.0</v>
      </c>
      <c r="KV9" s="90">
        <v>12.0</v>
      </c>
      <c r="KW9" s="90">
        <v>5.0</v>
      </c>
      <c r="KX9" s="90">
        <v>11.0</v>
      </c>
      <c r="KY9" s="90">
        <v>7.0</v>
      </c>
      <c r="KZ9" s="90">
        <v>6.0</v>
      </c>
      <c r="LA9" s="90">
        <v>5.0</v>
      </c>
      <c r="LB9" s="90" t="s">
        <v>39</v>
      </c>
      <c r="LC9" s="90">
        <v>1.5</v>
      </c>
      <c r="LD9" s="90">
        <v>0.0</v>
      </c>
      <c r="LE9" s="90">
        <v>0.0</v>
      </c>
      <c r="LF9" s="90">
        <v>0.0</v>
      </c>
      <c r="LG9" s="90">
        <v>0.0</v>
      </c>
      <c r="LH9" s="90">
        <v>5.0</v>
      </c>
      <c r="LI9" s="90">
        <v>8.0</v>
      </c>
      <c r="LJ9" s="90">
        <v>4.5</v>
      </c>
      <c r="LK9" s="90">
        <v>8.0</v>
      </c>
      <c r="LL9" s="90" t="s">
        <v>39</v>
      </c>
      <c r="LM9" s="90"/>
      <c r="LN9" s="89"/>
      <c r="LO9" s="90"/>
      <c r="LP9" s="133"/>
      <c r="LQ9" s="90"/>
      <c r="LR9" s="90"/>
      <c r="LS9" s="90"/>
      <c r="LT9" s="90"/>
      <c r="LU9" s="90"/>
      <c r="LV9" s="90"/>
      <c r="LW9" s="90"/>
      <c r="LX9" s="90"/>
      <c r="LY9" s="90"/>
      <c r="LZ9" s="90"/>
      <c r="MA9" s="90"/>
      <c r="MB9" s="90"/>
      <c r="MC9" s="90"/>
      <c r="MD9" s="90"/>
      <c r="ME9" s="90"/>
      <c r="MF9" s="90"/>
      <c r="MG9" s="90"/>
      <c r="MH9" s="90"/>
      <c r="MI9" s="90"/>
      <c r="MJ9" s="90"/>
      <c r="MK9" s="90"/>
      <c r="ML9" s="90"/>
      <c r="MM9" s="90"/>
      <c r="MN9" s="90"/>
      <c r="MO9" s="90"/>
      <c r="MP9" s="90"/>
      <c r="MQ9" s="90"/>
      <c r="MR9" s="93"/>
      <c r="MS9" s="93"/>
      <c r="MT9" s="127"/>
      <c r="MU9" s="96"/>
      <c r="MV9" s="96"/>
      <c r="MW9" s="96"/>
      <c r="MX9" s="96"/>
      <c r="MY9" s="96"/>
      <c r="MZ9" s="96"/>
      <c r="NA9" s="96"/>
      <c r="NB9" s="96"/>
      <c r="NC9" s="96"/>
      <c r="ND9" s="96"/>
      <c r="NE9" s="96"/>
      <c r="NF9" s="96"/>
      <c r="NG9" s="96"/>
      <c r="NH9" s="96"/>
      <c r="NI9" s="96"/>
      <c r="NJ9" s="96"/>
      <c r="NK9" s="96"/>
      <c r="NL9" s="96"/>
      <c r="NM9" s="96"/>
      <c r="NN9" s="96"/>
      <c r="NO9" s="96"/>
      <c r="NP9" s="96"/>
      <c r="NQ9" s="96"/>
      <c r="NR9" s="96"/>
      <c r="NS9" s="96"/>
      <c r="NT9" s="96"/>
      <c r="NU9" s="96"/>
      <c r="NV9" s="96"/>
      <c r="NW9" s="96"/>
      <c r="NX9" s="96"/>
      <c r="NY9" s="96"/>
      <c r="NZ9" s="128"/>
      <c r="OA9" s="129"/>
      <c r="OB9" s="129"/>
      <c r="OC9" s="130"/>
      <c r="OD9" s="101"/>
      <c r="OE9" s="101"/>
      <c r="OF9" s="101"/>
      <c r="OG9" s="101"/>
      <c r="OH9" s="101"/>
      <c r="OI9" s="101"/>
      <c r="OJ9" s="101"/>
      <c r="OK9" s="101"/>
      <c r="OL9" s="101"/>
    </row>
    <row r="10" ht="30.0" customHeight="1">
      <c r="A10" s="134"/>
      <c r="B10" s="135" t="s">
        <v>12</v>
      </c>
      <c r="C10" s="74">
        <f t="shared" si="7"/>
        <v>24.5</v>
      </c>
      <c r="D10" s="73">
        <f t="shared" si="8"/>
        <v>10.5</v>
      </c>
      <c r="E10" s="136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>
        <v>11.0</v>
      </c>
      <c r="AD10" s="137">
        <v>11.5</v>
      </c>
      <c r="AE10" s="137">
        <v>16.0</v>
      </c>
      <c r="AF10" s="137"/>
      <c r="AG10" s="137">
        <v>21.0</v>
      </c>
      <c r="AH10" s="137"/>
      <c r="AI10" s="137">
        <v>11.0</v>
      </c>
      <c r="AJ10" s="137">
        <v>12.0</v>
      </c>
      <c r="AK10" s="137">
        <v>10.5</v>
      </c>
      <c r="AL10" s="137">
        <v>9.5</v>
      </c>
      <c r="AM10" s="137">
        <v>9.5</v>
      </c>
      <c r="AN10" s="137">
        <v>9.5</v>
      </c>
      <c r="AO10" s="137">
        <v>6.5</v>
      </c>
      <c r="AP10" s="137">
        <v>10.0</v>
      </c>
      <c r="AQ10" s="137"/>
      <c r="AR10" s="137">
        <v>14.0</v>
      </c>
      <c r="AS10" s="137">
        <v>10.3</v>
      </c>
      <c r="AT10" s="137">
        <v>2.3</v>
      </c>
      <c r="AU10" s="137">
        <v>13.0</v>
      </c>
      <c r="AV10" s="137">
        <v>11.0</v>
      </c>
      <c r="AW10" s="137">
        <v>10.0</v>
      </c>
      <c r="AX10" s="138"/>
      <c r="AY10" s="137">
        <v>5.0</v>
      </c>
      <c r="AZ10" s="137">
        <v>12.0</v>
      </c>
      <c r="BA10" s="138"/>
      <c r="BB10" s="137">
        <v>9.3</v>
      </c>
      <c r="BC10" s="137">
        <v>14.0</v>
      </c>
      <c r="BD10" s="138"/>
      <c r="BE10" s="137">
        <v>12.3</v>
      </c>
      <c r="BF10" s="137">
        <v>9.0</v>
      </c>
      <c r="BG10" s="138"/>
      <c r="BH10" s="137"/>
      <c r="BI10" s="137">
        <v>14.0</v>
      </c>
      <c r="BJ10" s="137"/>
      <c r="BK10" s="137">
        <v>12.0</v>
      </c>
      <c r="BL10" s="137"/>
      <c r="BM10" s="137"/>
      <c r="BN10" s="137">
        <v>12.0</v>
      </c>
      <c r="BO10" s="137">
        <v>4.0</v>
      </c>
      <c r="BP10" s="137">
        <v>10.0</v>
      </c>
      <c r="BQ10" s="137">
        <v>10.3</v>
      </c>
      <c r="BR10" s="137">
        <v>11.0</v>
      </c>
      <c r="BS10" s="137">
        <v>8.3</v>
      </c>
      <c r="BT10" s="137">
        <v>12.0</v>
      </c>
      <c r="BU10" s="139">
        <v>11.0</v>
      </c>
      <c r="BV10" s="137">
        <v>14.0</v>
      </c>
      <c r="BW10" s="140">
        <v>5.3</v>
      </c>
      <c r="BX10" s="140"/>
      <c r="BY10" s="140">
        <v>11.0</v>
      </c>
      <c r="BZ10" s="141">
        <v>12.0</v>
      </c>
      <c r="CA10" s="141">
        <v>9.0</v>
      </c>
      <c r="CB10" s="141">
        <v>12.3</v>
      </c>
      <c r="CC10" s="141"/>
      <c r="CD10" s="141" t="s">
        <v>43</v>
      </c>
      <c r="CE10" s="141">
        <v>13.0</v>
      </c>
      <c r="CF10" s="141">
        <v>12.0</v>
      </c>
      <c r="CG10" s="141"/>
      <c r="CH10" s="141">
        <v>9.0</v>
      </c>
      <c r="CI10" s="141">
        <v>9.0</v>
      </c>
      <c r="CJ10" s="141"/>
      <c r="CK10" s="141">
        <v>11.0</v>
      </c>
      <c r="CL10" s="141">
        <v>10.0</v>
      </c>
      <c r="CM10" s="141">
        <v>11.3</v>
      </c>
      <c r="CN10" s="141">
        <v>22.0</v>
      </c>
      <c r="CO10" s="141">
        <v>10.3</v>
      </c>
      <c r="CP10" s="141">
        <v>11.0</v>
      </c>
      <c r="CQ10" s="141">
        <v>4.3</v>
      </c>
      <c r="CR10" s="141">
        <v>2.0</v>
      </c>
      <c r="CS10" s="141">
        <v>9.3</v>
      </c>
      <c r="CT10" s="141">
        <v>21.0</v>
      </c>
      <c r="CU10" s="141"/>
      <c r="CV10" s="141"/>
      <c r="CW10" s="141"/>
      <c r="CX10" s="141">
        <v>11.0</v>
      </c>
      <c r="CY10" s="141"/>
      <c r="CZ10" s="139">
        <v>9.0</v>
      </c>
      <c r="DA10" s="141">
        <v>10.0</v>
      </c>
      <c r="DB10" s="141">
        <v>9.0</v>
      </c>
      <c r="DC10" s="141">
        <v>10.0</v>
      </c>
      <c r="DD10" s="141">
        <v>11.0</v>
      </c>
      <c r="DE10" s="141"/>
      <c r="DF10" s="141">
        <v>12.0</v>
      </c>
      <c r="DG10" s="141">
        <v>9.0</v>
      </c>
      <c r="DH10" s="141">
        <v>9.0</v>
      </c>
      <c r="DI10" s="141">
        <v>9.0</v>
      </c>
      <c r="DJ10" s="141">
        <v>11.0</v>
      </c>
      <c r="DK10" s="141">
        <v>4.0</v>
      </c>
      <c r="DL10" s="141">
        <v>12.0</v>
      </c>
      <c r="DM10" s="141"/>
      <c r="DN10" s="142">
        <v>12.0</v>
      </c>
      <c r="DO10" s="142">
        <v>12.0</v>
      </c>
      <c r="DP10" s="142">
        <v>12.0</v>
      </c>
      <c r="DQ10" s="142">
        <v>12.0</v>
      </c>
      <c r="DR10" s="142">
        <v>12.0</v>
      </c>
      <c r="DS10" s="143"/>
      <c r="DT10" s="142">
        <v>13.0</v>
      </c>
      <c r="DU10" s="141">
        <v>7.0</v>
      </c>
      <c r="DV10" s="141">
        <v>8.5</v>
      </c>
      <c r="DW10" s="141">
        <v>8.0</v>
      </c>
      <c r="DX10" s="141">
        <v>7.5</v>
      </c>
      <c r="DY10" s="141"/>
      <c r="DZ10" s="141"/>
      <c r="EA10" s="141">
        <v>8.0</v>
      </c>
      <c r="EB10" s="141">
        <v>8.0</v>
      </c>
      <c r="EC10" s="141">
        <v>9.2</v>
      </c>
      <c r="ED10" s="139">
        <v>9.0</v>
      </c>
      <c r="EE10" s="141">
        <v>9.0</v>
      </c>
      <c r="EF10" s="141">
        <v>8.0</v>
      </c>
      <c r="EG10" s="141"/>
      <c r="EH10" s="141">
        <v>7.0</v>
      </c>
      <c r="EI10" s="141">
        <v>6.0</v>
      </c>
      <c r="EJ10" s="141">
        <v>7.0</v>
      </c>
      <c r="EK10" s="141">
        <v>5.0</v>
      </c>
      <c r="EL10" s="144"/>
      <c r="EM10" s="141">
        <v>8.0</v>
      </c>
      <c r="EN10" s="141">
        <v>7.0</v>
      </c>
      <c r="EO10" s="141">
        <v>9.0</v>
      </c>
      <c r="EP10" s="145">
        <v>8.5</v>
      </c>
      <c r="EQ10" s="145">
        <v>8.5</v>
      </c>
      <c r="ER10" s="141">
        <v>9.0</v>
      </c>
      <c r="ES10" s="141">
        <v>9.25</v>
      </c>
      <c r="ET10" s="141">
        <v>9.0</v>
      </c>
      <c r="EU10" s="141">
        <v>5.0</v>
      </c>
      <c r="EV10" s="141">
        <v>8.5</v>
      </c>
      <c r="EW10" s="141"/>
      <c r="EX10" s="141">
        <v>6.0</v>
      </c>
      <c r="EY10" s="141">
        <v>16.0</v>
      </c>
      <c r="EZ10" s="141"/>
      <c r="FA10" s="141">
        <v>9.0</v>
      </c>
      <c r="FB10" s="141"/>
      <c r="FC10" s="141">
        <v>10.0</v>
      </c>
      <c r="FD10" s="141">
        <v>10.0</v>
      </c>
      <c r="FE10" s="141">
        <v>8.25</v>
      </c>
      <c r="FF10" s="141">
        <v>9.5</v>
      </c>
      <c r="FG10" s="141">
        <v>8.0</v>
      </c>
      <c r="FH10" s="141">
        <v>8.5</v>
      </c>
      <c r="FI10" s="141"/>
      <c r="FJ10" s="141">
        <v>5.3</v>
      </c>
      <c r="FK10" s="141">
        <v>7.0</v>
      </c>
      <c r="FL10" s="141"/>
      <c r="FM10" s="141"/>
      <c r="FN10" s="141">
        <v>10.0</v>
      </c>
      <c r="FO10" s="141">
        <v>5.0</v>
      </c>
      <c r="FP10" s="141">
        <v>7.5</v>
      </c>
      <c r="FQ10" s="141">
        <v>9.0</v>
      </c>
      <c r="FR10" s="141">
        <v>12.0</v>
      </c>
      <c r="FS10" s="141">
        <v>9.0</v>
      </c>
      <c r="FT10" s="141"/>
      <c r="FU10" s="141">
        <v>10.0</v>
      </c>
      <c r="FV10" s="141">
        <v>8.0</v>
      </c>
      <c r="FW10" s="141"/>
      <c r="FX10" s="141">
        <v>10.0</v>
      </c>
      <c r="FY10" s="141">
        <v>11.0</v>
      </c>
      <c r="FZ10" s="141">
        <v>11.0</v>
      </c>
      <c r="GA10" s="141">
        <v>21.0</v>
      </c>
      <c r="GB10" s="141">
        <v>6.0</v>
      </c>
      <c r="GC10" s="141">
        <v>10.0</v>
      </c>
      <c r="GD10" s="141">
        <v>9.0</v>
      </c>
      <c r="GE10" s="141"/>
      <c r="GF10" s="141"/>
      <c r="GG10" s="141">
        <v>16.0</v>
      </c>
      <c r="GH10" s="141">
        <v>6.0</v>
      </c>
      <c r="GI10" s="141">
        <v>8.5</v>
      </c>
      <c r="GJ10" s="141">
        <v>5.5</v>
      </c>
      <c r="GK10" s="141">
        <v>5.5</v>
      </c>
      <c r="GL10" s="141">
        <v>9.0</v>
      </c>
      <c r="GM10" s="141">
        <v>7.5</v>
      </c>
      <c r="GN10" s="141">
        <v>15.0</v>
      </c>
      <c r="GO10" s="141">
        <v>6.0</v>
      </c>
      <c r="GP10" s="141">
        <v>8.5</v>
      </c>
      <c r="GQ10" s="141">
        <v>7.0</v>
      </c>
      <c r="GR10" s="141">
        <v>7.0</v>
      </c>
      <c r="GS10" s="146">
        <v>4.0</v>
      </c>
      <c r="GT10" s="141">
        <v>3.5</v>
      </c>
      <c r="GU10" s="141">
        <v>6.5</v>
      </c>
      <c r="GV10" s="141">
        <v>5.0</v>
      </c>
      <c r="GW10" s="141">
        <v>8.0</v>
      </c>
      <c r="GX10" s="141">
        <v>8.5</v>
      </c>
      <c r="GY10" s="141" t="s">
        <v>39</v>
      </c>
      <c r="GZ10" s="141">
        <v>11.0</v>
      </c>
      <c r="HA10" s="141">
        <v>6.0</v>
      </c>
      <c r="HB10" s="141">
        <v>7.5</v>
      </c>
      <c r="HC10" s="141">
        <v>5.5</v>
      </c>
      <c r="HD10" s="141">
        <v>7.0</v>
      </c>
      <c r="HE10" s="141">
        <v>6.5</v>
      </c>
      <c r="HF10" s="141">
        <v>16.0</v>
      </c>
      <c r="HG10" s="141">
        <v>5.5</v>
      </c>
      <c r="HH10" s="141">
        <v>5.0</v>
      </c>
      <c r="HI10" s="141">
        <v>5.0</v>
      </c>
      <c r="HJ10" s="141">
        <v>7.0</v>
      </c>
      <c r="HK10" s="141">
        <v>3.5</v>
      </c>
      <c r="HL10" s="141">
        <v>5.0</v>
      </c>
      <c r="HM10" s="141" t="s">
        <v>39</v>
      </c>
      <c r="HN10" s="141">
        <v>3.5</v>
      </c>
      <c r="HO10" s="141">
        <v>13.5</v>
      </c>
      <c r="HP10" s="141">
        <v>3.5</v>
      </c>
      <c r="HQ10" s="141">
        <v>6.0</v>
      </c>
      <c r="HR10" s="141">
        <v>6.0</v>
      </c>
      <c r="HS10" s="141" t="s">
        <v>39</v>
      </c>
      <c r="HT10" s="141">
        <v>7.0</v>
      </c>
      <c r="HU10" s="141">
        <v>5.0</v>
      </c>
      <c r="HV10" s="141">
        <v>13.0</v>
      </c>
      <c r="HW10" s="141" t="s">
        <v>39</v>
      </c>
      <c r="HX10" s="147">
        <v>0.0</v>
      </c>
      <c r="HY10" s="147">
        <v>6.0</v>
      </c>
      <c r="HZ10" s="147">
        <v>10.0</v>
      </c>
      <c r="IA10" s="147">
        <v>8.0</v>
      </c>
      <c r="IB10" s="147">
        <v>13.0</v>
      </c>
      <c r="IC10" s="147">
        <v>13.5</v>
      </c>
      <c r="ID10" s="147">
        <v>9.0</v>
      </c>
      <c r="IE10" s="147">
        <v>9.5</v>
      </c>
      <c r="IF10" s="147">
        <v>6.0</v>
      </c>
      <c r="IG10" s="147">
        <v>0.0</v>
      </c>
      <c r="IH10" s="147">
        <v>0.0</v>
      </c>
      <c r="II10" s="147">
        <v>8.0</v>
      </c>
      <c r="IJ10" s="147"/>
      <c r="IK10" s="147"/>
      <c r="IL10" s="147">
        <v>12.0</v>
      </c>
      <c r="IM10" s="147">
        <v>10.0</v>
      </c>
      <c r="IN10" s="147">
        <v>8.0</v>
      </c>
      <c r="IO10" s="147">
        <v>11.0</v>
      </c>
      <c r="IP10" s="147">
        <v>5.0</v>
      </c>
      <c r="IQ10" s="147">
        <v>12.0</v>
      </c>
      <c r="IR10" s="148">
        <v>10.5</v>
      </c>
      <c r="IS10" s="147">
        <v>4.5</v>
      </c>
      <c r="IT10" s="147">
        <v>12.0</v>
      </c>
      <c r="IU10" s="147">
        <v>8.0</v>
      </c>
      <c r="IV10" s="147">
        <v>5.0</v>
      </c>
      <c r="IW10" s="147">
        <v>13.0</v>
      </c>
      <c r="IX10" s="147">
        <v>9.0</v>
      </c>
      <c r="IY10" s="147"/>
      <c r="IZ10" s="147">
        <v>8.0</v>
      </c>
      <c r="JA10" s="147">
        <v>3.5</v>
      </c>
      <c r="JB10" s="149"/>
      <c r="JC10" s="150">
        <v>6.0</v>
      </c>
      <c r="JD10" s="150">
        <v>10.0</v>
      </c>
      <c r="JE10" s="150"/>
      <c r="JF10" s="150"/>
      <c r="JG10" s="150">
        <v>10.0</v>
      </c>
      <c r="JH10" s="150">
        <v>11.0</v>
      </c>
      <c r="JI10" s="150">
        <v>10.0</v>
      </c>
      <c r="JJ10" s="150"/>
      <c r="JK10" s="150"/>
      <c r="JL10" s="150">
        <v>12.0</v>
      </c>
      <c r="JM10" s="150">
        <v>14.5</v>
      </c>
      <c r="JN10" s="150">
        <v>9.0</v>
      </c>
      <c r="JO10" s="150">
        <v>10.0</v>
      </c>
      <c r="JP10" s="150"/>
      <c r="JQ10" s="150">
        <v>9.5</v>
      </c>
      <c r="JR10" s="150">
        <v>9.5</v>
      </c>
      <c r="JS10" s="150">
        <v>16.0</v>
      </c>
      <c r="JT10" s="150">
        <v>9.0</v>
      </c>
      <c r="JU10" s="150">
        <v>8.25</v>
      </c>
      <c r="JV10" s="150">
        <v>8.75</v>
      </c>
      <c r="JW10" s="150"/>
      <c r="JX10" s="150">
        <v>11.0</v>
      </c>
      <c r="JY10" s="150"/>
      <c r="JZ10" s="150">
        <v>10.5</v>
      </c>
      <c r="KA10" s="150">
        <v>9.0</v>
      </c>
      <c r="KB10" s="150">
        <v>10.0</v>
      </c>
      <c r="KC10" s="150"/>
      <c r="KD10" s="150">
        <v>11.0</v>
      </c>
      <c r="KE10" s="150"/>
      <c r="KF10" s="150"/>
      <c r="KG10" s="151"/>
      <c r="KH10" s="152"/>
      <c r="KI10" s="153">
        <v>8.5</v>
      </c>
      <c r="KJ10" s="91">
        <v>11.5</v>
      </c>
      <c r="KK10" s="153">
        <v>12.0</v>
      </c>
      <c r="KL10" s="153">
        <v>10.0</v>
      </c>
      <c r="KM10" s="153" t="s">
        <v>39</v>
      </c>
      <c r="KN10" s="153">
        <v>16.0</v>
      </c>
      <c r="KO10" s="154" t="s">
        <v>39</v>
      </c>
      <c r="KP10" s="153" t="s">
        <v>39</v>
      </c>
      <c r="KQ10" s="153" t="s">
        <v>39</v>
      </c>
      <c r="KR10" s="153">
        <v>9.5</v>
      </c>
      <c r="KS10" s="153">
        <v>6.0</v>
      </c>
      <c r="KT10" s="153" t="s">
        <v>39</v>
      </c>
      <c r="KU10" s="153" t="s">
        <v>39</v>
      </c>
      <c r="KV10" s="153" t="s">
        <v>39</v>
      </c>
      <c r="KW10" s="153">
        <v>5.25</v>
      </c>
      <c r="KX10" s="153">
        <v>6.5</v>
      </c>
      <c r="KY10" s="153">
        <v>9.5</v>
      </c>
      <c r="KZ10" s="153">
        <v>6.5</v>
      </c>
      <c r="LA10" s="153" t="s">
        <v>39</v>
      </c>
      <c r="LB10" s="153">
        <v>10.0</v>
      </c>
      <c r="LC10" s="153" t="s">
        <v>39</v>
      </c>
      <c r="LD10" s="153">
        <v>7.0</v>
      </c>
      <c r="LE10" s="153" t="s">
        <v>39</v>
      </c>
      <c r="LF10" s="153">
        <v>8.25</v>
      </c>
      <c r="LG10" s="153">
        <v>6.0</v>
      </c>
      <c r="LH10" s="153" t="s">
        <v>39</v>
      </c>
      <c r="LI10" s="153">
        <v>10.0</v>
      </c>
      <c r="LJ10" s="153">
        <v>7.0</v>
      </c>
      <c r="LK10" s="153" t="s">
        <v>39</v>
      </c>
      <c r="LL10" s="153" t="s">
        <v>39</v>
      </c>
      <c r="LM10" s="153">
        <v>3.4</v>
      </c>
      <c r="LN10" s="152"/>
      <c r="LO10" s="153"/>
      <c r="LP10" s="153"/>
      <c r="LQ10" s="153"/>
      <c r="LR10" s="153"/>
      <c r="LS10" s="153"/>
      <c r="LT10" s="153"/>
      <c r="LU10" s="153">
        <v>7.0</v>
      </c>
      <c r="LV10" s="90"/>
      <c r="LW10" s="153">
        <v>8.5</v>
      </c>
      <c r="LX10" s="153">
        <v>9.0</v>
      </c>
      <c r="LY10" s="153"/>
      <c r="LZ10" s="153"/>
      <c r="MA10" s="153"/>
      <c r="MB10" s="153"/>
      <c r="MC10" s="153"/>
      <c r="MD10" s="153"/>
      <c r="ME10" s="153"/>
      <c r="MF10" s="153"/>
      <c r="MG10" s="153"/>
      <c r="MH10" s="153"/>
      <c r="MI10" s="153"/>
      <c r="MJ10" s="153"/>
      <c r="MK10" s="153"/>
      <c r="ML10" s="153"/>
      <c r="MM10" s="153"/>
      <c r="MN10" s="153"/>
      <c r="MO10" s="153"/>
      <c r="MP10" s="153"/>
      <c r="MQ10" s="153"/>
      <c r="MR10" s="93"/>
      <c r="MS10" s="93"/>
      <c r="MT10" s="155"/>
      <c r="MU10" s="156"/>
      <c r="MV10" s="156"/>
      <c r="MW10" s="156"/>
      <c r="MX10" s="156"/>
      <c r="MY10" s="156"/>
      <c r="MZ10" s="156"/>
      <c r="NA10" s="156"/>
      <c r="NB10" s="156"/>
      <c r="NC10" s="156"/>
      <c r="ND10" s="156"/>
      <c r="NE10" s="156">
        <v>10.5</v>
      </c>
      <c r="NF10" s="156"/>
      <c r="NG10" s="156"/>
      <c r="NH10" s="156"/>
      <c r="NI10" s="156"/>
      <c r="NJ10" s="156"/>
      <c r="NK10" s="156"/>
      <c r="NL10" s="156"/>
      <c r="NM10" s="156"/>
      <c r="NN10" s="156"/>
      <c r="NO10" s="156"/>
      <c r="NP10" s="156"/>
      <c r="NQ10" s="156"/>
      <c r="NR10" s="156"/>
      <c r="NS10" s="156"/>
      <c r="NT10" s="156"/>
      <c r="NU10" s="156"/>
      <c r="NV10" s="156"/>
      <c r="NW10" s="156"/>
      <c r="NX10" s="156"/>
      <c r="NY10" s="156"/>
      <c r="NZ10" s="157"/>
      <c r="OA10" s="158"/>
      <c r="OB10" s="158"/>
      <c r="OC10" s="159"/>
      <c r="OD10" s="160"/>
      <c r="OE10" s="160"/>
      <c r="OF10" s="160"/>
      <c r="OG10" s="160"/>
      <c r="OH10" s="160"/>
      <c r="OI10" s="160"/>
      <c r="OJ10" s="160"/>
      <c r="OK10" s="160"/>
      <c r="OL10" s="160"/>
    </row>
    <row r="11" ht="30.0" customHeight="1">
      <c r="A11" s="121"/>
      <c r="B11" s="73" t="s">
        <v>44</v>
      </c>
      <c r="C11" s="74">
        <f t="shared" si="7"/>
        <v>52.75</v>
      </c>
      <c r="D11" s="73">
        <f t="shared" si="8"/>
        <v>0.6</v>
      </c>
      <c r="E11" s="75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7"/>
      <c r="BV11" s="76"/>
      <c r="BW11" s="76"/>
      <c r="BX11" s="76"/>
      <c r="BY11" s="76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9"/>
      <c r="DA11" s="78"/>
      <c r="DB11" s="78"/>
      <c r="DC11" s="78"/>
      <c r="DD11" s="78"/>
      <c r="DE11" s="78"/>
      <c r="DF11" s="78"/>
      <c r="DG11" s="78"/>
      <c r="DH11" s="80">
        <v>6.0</v>
      </c>
      <c r="DI11" s="80">
        <v>6.0</v>
      </c>
      <c r="DJ11" s="80">
        <v>6.0</v>
      </c>
      <c r="DK11" s="80">
        <v>6.0</v>
      </c>
      <c r="DL11" s="80">
        <v>7.0</v>
      </c>
      <c r="DM11" s="80">
        <v>8.0</v>
      </c>
      <c r="DN11" s="107">
        <v>10.0</v>
      </c>
      <c r="DO11" s="107">
        <v>10.0</v>
      </c>
      <c r="DP11" s="107">
        <v>10.0</v>
      </c>
      <c r="DQ11" s="107">
        <v>10.0</v>
      </c>
      <c r="DR11" s="107">
        <v>10.0</v>
      </c>
      <c r="DS11" s="107">
        <v>9.0</v>
      </c>
      <c r="DT11" s="107">
        <v>9.0</v>
      </c>
      <c r="DU11" s="80">
        <v>9.0</v>
      </c>
      <c r="DV11" s="80">
        <v>9.0</v>
      </c>
      <c r="DW11" s="80">
        <v>9.0</v>
      </c>
      <c r="DX11" s="80">
        <v>9.0</v>
      </c>
      <c r="DY11" s="80">
        <v>9.0</v>
      </c>
      <c r="DZ11" s="80"/>
      <c r="EA11" s="107">
        <v>12.0</v>
      </c>
      <c r="EB11" s="107">
        <v>12.0</v>
      </c>
      <c r="EC11" s="107">
        <v>12.0</v>
      </c>
      <c r="ED11" s="161">
        <v>14.0</v>
      </c>
      <c r="EE11" s="80">
        <v>8.0</v>
      </c>
      <c r="EF11" s="80">
        <v>9.0</v>
      </c>
      <c r="EG11" s="80">
        <v>14.0</v>
      </c>
      <c r="EH11" s="80">
        <v>13.0</v>
      </c>
      <c r="EI11" s="80">
        <v>11.0</v>
      </c>
      <c r="EJ11" s="80">
        <v>12.0</v>
      </c>
      <c r="EK11" s="80">
        <v>4.0</v>
      </c>
      <c r="EL11" s="80">
        <v>9.6</v>
      </c>
      <c r="EM11" s="80">
        <v>14.0</v>
      </c>
      <c r="EN11" s="80">
        <v>15.0</v>
      </c>
      <c r="EO11" s="80">
        <v>13.0</v>
      </c>
      <c r="EP11" s="80">
        <v>10.0</v>
      </c>
      <c r="EQ11" s="80">
        <v>11.2</v>
      </c>
      <c r="ER11" s="80">
        <v>13.0</v>
      </c>
      <c r="ES11" s="80">
        <v>11.5</v>
      </c>
      <c r="ET11" s="80">
        <v>13.5</v>
      </c>
      <c r="EU11" s="80">
        <v>4.5</v>
      </c>
      <c r="EV11" s="80">
        <v>9.0</v>
      </c>
      <c r="EW11" s="80">
        <v>10.25</v>
      </c>
      <c r="EX11" s="80">
        <v>11.0</v>
      </c>
      <c r="EY11" s="80">
        <v>9.75</v>
      </c>
      <c r="EZ11" s="80">
        <v>14.25</v>
      </c>
      <c r="FA11" s="80">
        <v>13.0</v>
      </c>
      <c r="FB11" s="80"/>
      <c r="FC11" s="80">
        <v>13.0</v>
      </c>
      <c r="FD11" s="80">
        <v>12.0</v>
      </c>
      <c r="FE11" s="80">
        <v>12.0</v>
      </c>
      <c r="FF11" s="80">
        <v>11.7</v>
      </c>
      <c r="FG11" s="80">
        <v>15.1</v>
      </c>
      <c r="FH11" s="80">
        <v>13.0</v>
      </c>
      <c r="FI11" s="80">
        <v>8.0</v>
      </c>
      <c r="FJ11" s="80">
        <v>10.0</v>
      </c>
      <c r="FK11" s="80">
        <v>13.0</v>
      </c>
      <c r="FL11" s="80">
        <v>10.2</v>
      </c>
      <c r="FM11" s="80">
        <v>11.0</v>
      </c>
      <c r="FN11" s="80">
        <v>11.0</v>
      </c>
      <c r="FO11" s="80">
        <v>10.0</v>
      </c>
      <c r="FP11" s="80">
        <v>11.0</v>
      </c>
      <c r="FQ11" s="80">
        <v>12.0</v>
      </c>
      <c r="FR11" s="80">
        <v>10.0</v>
      </c>
      <c r="FS11" s="80">
        <v>11.5</v>
      </c>
      <c r="FT11" s="80">
        <v>12.0</v>
      </c>
      <c r="FU11" s="80">
        <v>10.5</v>
      </c>
      <c r="FV11" s="80">
        <v>13.5</v>
      </c>
      <c r="FW11" s="80">
        <v>7.0</v>
      </c>
      <c r="FX11" s="80">
        <v>12.0</v>
      </c>
      <c r="FY11" s="80">
        <v>12.0</v>
      </c>
      <c r="FZ11" s="80">
        <v>13.5</v>
      </c>
      <c r="GA11" s="80">
        <v>11.0</v>
      </c>
      <c r="GB11" s="80">
        <v>10.0</v>
      </c>
      <c r="GC11" s="80">
        <v>8.5</v>
      </c>
      <c r="GD11" s="80">
        <v>6.5</v>
      </c>
      <c r="GE11" s="80">
        <v>12.0</v>
      </c>
      <c r="GF11" s="80">
        <v>11.0</v>
      </c>
      <c r="GG11" s="80">
        <v>10.0</v>
      </c>
      <c r="GH11" s="80">
        <v>10.0</v>
      </c>
      <c r="GI11" s="80"/>
      <c r="GJ11" s="80"/>
      <c r="GK11" s="80">
        <v>9.0</v>
      </c>
      <c r="GL11" s="80">
        <v>9.5</v>
      </c>
      <c r="GM11" s="80">
        <v>6.0</v>
      </c>
      <c r="GN11" s="80">
        <v>10.5</v>
      </c>
      <c r="GO11" s="80">
        <v>13.5</v>
      </c>
      <c r="GP11" s="80">
        <v>13.0</v>
      </c>
      <c r="GQ11" s="80">
        <v>12.0</v>
      </c>
      <c r="GR11" s="80">
        <v>12.0</v>
      </c>
      <c r="GS11" s="108">
        <v>9.5</v>
      </c>
      <c r="GT11" s="80">
        <v>9.0</v>
      </c>
      <c r="GU11" s="80">
        <v>16.0</v>
      </c>
      <c r="GV11" s="80">
        <v>9.5</v>
      </c>
      <c r="GW11" s="80">
        <v>9.5</v>
      </c>
      <c r="GX11" s="80">
        <v>6.5</v>
      </c>
      <c r="GY11" s="80">
        <v>6.5</v>
      </c>
      <c r="GZ11" s="80">
        <v>9.0</v>
      </c>
      <c r="HA11" s="80">
        <v>10.0</v>
      </c>
      <c r="HB11" s="80">
        <v>11.5</v>
      </c>
      <c r="HC11" s="80">
        <v>8.5</v>
      </c>
      <c r="HD11" s="80">
        <v>6.0</v>
      </c>
      <c r="HE11" s="80">
        <v>12.0</v>
      </c>
      <c r="HF11" s="80">
        <v>10.0</v>
      </c>
      <c r="HG11" s="80">
        <v>7.0</v>
      </c>
      <c r="HH11" s="80">
        <v>8.0</v>
      </c>
      <c r="HI11" s="80">
        <v>5.0</v>
      </c>
      <c r="HJ11" s="80">
        <v>4.5</v>
      </c>
      <c r="HK11" s="80">
        <v>10.0</v>
      </c>
      <c r="HL11" s="80">
        <v>16.5</v>
      </c>
      <c r="HM11" s="80">
        <v>6.5</v>
      </c>
      <c r="HN11" s="80">
        <v>10.0</v>
      </c>
      <c r="HO11" s="80">
        <v>8.5</v>
      </c>
      <c r="HP11" s="80">
        <v>7.0</v>
      </c>
      <c r="HQ11" s="80">
        <v>5.0</v>
      </c>
      <c r="HR11" s="80">
        <v>11.0</v>
      </c>
      <c r="HS11" s="80">
        <v>6.5</v>
      </c>
      <c r="HT11" s="80">
        <v>9.5</v>
      </c>
      <c r="HU11" s="80">
        <v>9.5</v>
      </c>
      <c r="HV11" s="80">
        <v>9.0</v>
      </c>
      <c r="HW11" s="80">
        <v>4.0</v>
      </c>
      <c r="HX11" s="81">
        <v>8.5</v>
      </c>
      <c r="HY11" s="81">
        <v>8.0</v>
      </c>
      <c r="HZ11" s="81">
        <v>10.5</v>
      </c>
      <c r="IA11" s="81">
        <v>8.5</v>
      </c>
      <c r="IB11" s="81">
        <v>11.0</v>
      </c>
      <c r="IC11" s="81">
        <v>9.5</v>
      </c>
      <c r="ID11" s="81">
        <v>11.5</v>
      </c>
      <c r="IE11" s="81">
        <v>3.0</v>
      </c>
      <c r="IF11" s="81">
        <v>15.5</v>
      </c>
      <c r="IG11" s="81">
        <v>16.0</v>
      </c>
      <c r="IH11" s="81">
        <v>9.0</v>
      </c>
      <c r="II11" s="81">
        <v>9.5</v>
      </c>
      <c r="IJ11" s="81">
        <v>9.5</v>
      </c>
      <c r="IK11" s="81">
        <v>12.0</v>
      </c>
      <c r="IL11" s="81">
        <v>14.0</v>
      </c>
      <c r="IM11" s="81">
        <v>13.5</v>
      </c>
      <c r="IN11" s="81">
        <v>14.0</v>
      </c>
      <c r="IO11" s="81">
        <v>5.0</v>
      </c>
      <c r="IP11" s="81">
        <v>8.0</v>
      </c>
      <c r="IQ11" s="81">
        <v>9.5</v>
      </c>
      <c r="IR11" s="81">
        <v>14.0</v>
      </c>
      <c r="IS11" s="81">
        <v>12.5</v>
      </c>
      <c r="IT11" s="81">
        <v>6.5</v>
      </c>
      <c r="IU11" s="81">
        <v>11.0</v>
      </c>
      <c r="IV11" s="81">
        <v>0.0</v>
      </c>
      <c r="IW11" s="81">
        <v>10.0</v>
      </c>
      <c r="IX11" s="81">
        <v>8.0</v>
      </c>
      <c r="IY11" s="81">
        <v>8.5</v>
      </c>
      <c r="IZ11" s="81">
        <v>11.0</v>
      </c>
      <c r="JA11" s="81">
        <v>13.0</v>
      </c>
      <c r="JB11" s="84"/>
      <c r="JC11" s="85">
        <v>11.0</v>
      </c>
      <c r="JD11" s="85"/>
      <c r="JE11" s="85">
        <v>8.0</v>
      </c>
      <c r="JF11" s="85">
        <v>11.5</v>
      </c>
      <c r="JG11" s="85">
        <v>6.5</v>
      </c>
      <c r="JH11" s="85">
        <v>9.0</v>
      </c>
      <c r="JI11" s="85">
        <v>6.5</v>
      </c>
      <c r="JJ11" s="85">
        <v>8.5</v>
      </c>
      <c r="JK11" s="85">
        <v>5.0</v>
      </c>
      <c r="JL11" s="85">
        <v>6.0</v>
      </c>
      <c r="JM11" s="85">
        <v>9.0</v>
      </c>
      <c r="JN11" s="85">
        <v>11.5</v>
      </c>
      <c r="JO11" s="85">
        <v>8.5</v>
      </c>
      <c r="JP11" s="85">
        <v>11.0</v>
      </c>
      <c r="JQ11" s="85">
        <v>7.0</v>
      </c>
      <c r="JR11" s="85">
        <v>7.0</v>
      </c>
      <c r="JS11" s="85">
        <v>7.0</v>
      </c>
      <c r="JT11" s="85">
        <v>9.25</v>
      </c>
      <c r="JU11" s="85">
        <v>7.0</v>
      </c>
      <c r="JV11" s="85">
        <v>7.0</v>
      </c>
      <c r="JW11" s="85">
        <v>7.0</v>
      </c>
      <c r="JX11" s="85"/>
      <c r="JY11" s="85"/>
      <c r="JZ11" s="85"/>
      <c r="KA11" s="85"/>
      <c r="KB11" s="85"/>
      <c r="KC11" s="85"/>
      <c r="KD11" s="85"/>
      <c r="KE11" s="85">
        <v>9.0</v>
      </c>
      <c r="KF11" s="85">
        <v>5.0</v>
      </c>
      <c r="KG11" s="88"/>
      <c r="KH11" s="89"/>
      <c r="KI11" s="90">
        <v>5.0</v>
      </c>
      <c r="KJ11" s="91">
        <v>5.0</v>
      </c>
      <c r="KK11" s="90">
        <v>7.0</v>
      </c>
      <c r="KL11" s="90">
        <v>8.0</v>
      </c>
      <c r="KM11" s="90">
        <v>10.0</v>
      </c>
      <c r="KN11" s="162">
        <v>9.0</v>
      </c>
      <c r="KO11" s="90">
        <v>10.0</v>
      </c>
      <c r="KP11" s="163">
        <v>7.0</v>
      </c>
      <c r="KQ11" s="90">
        <v>8.0</v>
      </c>
      <c r="KR11" s="90">
        <v>5.5</v>
      </c>
      <c r="KS11" s="90">
        <v>12.0</v>
      </c>
      <c r="KT11" s="90">
        <v>3.0</v>
      </c>
      <c r="KU11" s="90">
        <v>3.0</v>
      </c>
      <c r="KV11" s="90">
        <v>8.5</v>
      </c>
      <c r="KW11" s="90">
        <v>4.0</v>
      </c>
      <c r="KX11" s="90">
        <v>8.0</v>
      </c>
      <c r="KY11" s="90">
        <v>10.0</v>
      </c>
      <c r="KZ11" s="90">
        <v>5.0</v>
      </c>
      <c r="LA11" s="90">
        <v>9.0</v>
      </c>
      <c r="LB11" s="90">
        <v>16.5</v>
      </c>
      <c r="LC11" s="90">
        <v>8.0</v>
      </c>
      <c r="LD11" s="90">
        <v>6.0</v>
      </c>
      <c r="LE11" s="90">
        <v>9.0</v>
      </c>
      <c r="LF11" s="90">
        <v>6.0</v>
      </c>
      <c r="LG11" s="90">
        <v>15.0</v>
      </c>
      <c r="LH11" s="90">
        <v>8.0</v>
      </c>
      <c r="LI11" s="90">
        <v>7.0</v>
      </c>
      <c r="LJ11" s="90">
        <v>11.0</v>
      </c>
      <c r="LK11" s="90">
        <v>7.0</v>
      </c>
      <c r="LL11" s="90">
        <v>6.25</v>
      </c>
      <c r="LM11" s="90">
        <v>10.0</v>
      </c>
      <c r="LN11" s="89"/>
      <c r="LO11" s="90">
        <v>7.0</v>
      </c>
      <c r="LP11" s="90">
        <v>6.75</v>
      </c>
      <c r="LQ11" s="90"/>
      <c r="LR11" s="90"/>
      <c r="LS11" s="90"/>
      <c r="LT11" s="90"/>
      <c r="LU11" s="90">
        <v>9.0</v>
      </c>
      <c r="LV11" s="90">
        <v>9.0</v>
      </c>
      <c r="LW11" s="90">
        <v>7.5</v>
      </c>
      <c r="LX11" s="90">
        <v>9.0</v>
      </c>
      <c r="LY11" s="90"/>
      <c r="LZ11" s="90">
        <v>4.5</v>
      </c>
      <c r="MA11" s="90"/>
      <c r="MB11" s="90"/>
      <c r="MC11" s="90"/>
      <c r="MD11" s="90"/>
      <c r="ME11" s="90"/>
      <c r="MF11" s="90"/>
      <c r="MG11" s="90"/>
      <c r="MH11" s="90"/>
      <c r="MI11" s="90"/>
      <c r="MJ11" s="90"/>
      <c r="MK11" s="90"/>
      <c r="ML11" s="90"/>
      <c r="MM11" s="90"/>
      <c r="MN11" s="90"/>
      <c r="MO11" s="90"/>
      <c r="MP11" s="90"/>
      <c r="MQ11" s="90"/>
      <c r="MR11" s="93"/>
      <c r="MS11" s="93"/>
      <c r="MT11" s="127"/>
      <c r="MU11" s="96"/>
      <c r="MV11" s="96"/>
      <c r="MW11" s="96"/>
      <c r="MX11" s="96"/>
      <c r="MY11" s="96"/>
      <c r="MZ11" s="96"/>
      <c r="NA11" s="96"/>
      <c r="NB11" s="96"/>
      <c r="NC11" s="96"/>
      <c r="ND11" s="96"/>
      <c r="NE11" s="96"/>
      <c r="NF11" s="96">
        <v>0.6</v>
      </c>
      <c r="NG11" s="96"/>
      <c r="NH11" s="96"/>
      <c r="NI11" s="96"/>
      <c r="NJ11" s="96"/>
      <c r="NK11" s="96"/>
      <c r="NL11" s="96"/>
      <c r="NM11" s="96"/>
      <c r="NN11" s="96"/>
      <c r="NO11" s="96"/>
      <c r="NP11" s="96"/>
      <c r="NQ11" s="96"/>
      <c r="NR11" s="96"/>
      <c r="NS11" s="96"/>
      <c r="NT11" s="96"/>
      <c r="NU11" s="96"/>
      <c r="NV11" s="96"/>
      <c r="NW11" s="96"/>
      <c r="NX11" s="96"/>
      <c r="NY11" s="96"/>
      <c r="NZ11" s="128"/>
      <c r="OA11" s="129"/>
      <c r="OB11" s="129"/>
      <c r="OC11" s="130"/>
      <c r="OD11" s="101"/>
      <c r="OE11" s="101"/>
      <c r="OF11" s="101"/>
      <c r="OG11" s="101"/>
      <c r="OH11" s="101"/>
      <c r="OI11" s="101"/>
      <c r="OJ11" s="101"/>
      <c r="OK11" s="101"/>
      <c r="OL11" s="101"/>
    </row>
    <row r="12" ht="30.0" customHeight="1">
      <c r="A12" s="131"/>
      <c r="B12" s="132" t="s">
        <v>14</v>
      </c>
      <c r="C12" s="74">
        <f t="shared" si="7"/>
        <v>44</v>
      </c>
      <c r="D12" s="73">
        <f t="shared" si="8"/>
        <v>6.1</v>
      </c>
      <c r="E12" s="122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>
        <v>13.0</v>
      </c>
      <c r="AB12" s="105">
        <v>10.0</v>
      </c>
      <c r="AC12" s="105">
        <v>10.0</v>
      </c>
      <c r="AD12" s="105">
        <v>11.5</v>
      </c>
      <c r="AE12" s="105">
        <v>12.0</v>
      </c>
      <c r="AF12" s="105">
        <v>11.0</v>
      </c>
      <c r="AG12" s="105">
        <v>11.0</v>
      </c>
      <c r="AH12" s="105">
        <v>19.0</v>
      </c>
      <c r="AI12" s="105">
        <v>9.5</v>
      </c>
      <c r="AJ12" s="105">
        <v>10.5</v>
      </c>
      <c r="AK12" s="105">
        <v>9.5</v>
      </c>
      <c r="AL12" s="105">
        <v>16.0</v>
      </c>
      <c r="AM12" s="105">
        <v>10.5</v>
      </c>
      <c r="AN12" s="105">
        <v>10.0</v>
      </c>
      <c r="AO12" s="105"/>
      <c r="AP12" s="105"/>
      <c r="AQ12" s="105">
        <v>12.5</v>
      </c>
      <c r="AR12" s="105">
        <v>13.3</v>
      </c>
      <c r="AS12" s="105">
        <v>12.3</v>
      </c>
      <c r="AT12" s="105">
        <v>15.0</v>
      </c>
      <c r="AU12" s="105">
        <v>8.3</v>
      </c>
      <c r="AV12" s="105">
        <v>11.3</v>
      </c>
      <c r="AW12" s="105">
        <v>14.3</v>
      </c>
      <c r="AX12" s="105">
        <v>10.3</v>
      </c>
      <c r="AY12" s="105">
        <v>5.0</v>
      </c>
      <c r="AZ12" s="105">
        <v>14.0</v>
      </c>
      <c r="BA12" s="123"/>
      <c r="BB12" s="105">
        <v>11.3</v>
      </c>
      <c r="BC12" s="105">
        <v>11.3</v>
      </c>
      <c r="BD12" s="105">
        <v>10.0</v>
      </c>
      <c r="BE12" s="105">
        <v>11.0</v>
      </c>
      <c r="BF12" s="105">
        <v>9.0</v>
      </c>
      <c r="BG12" s="105">
        <v>12.0</v>
      </c>
      <c r="BH12" s="105"/>
      <c r="BI12" s="105">
        <v>14.0</v>
      </c>
      <c r="BJ12" s="105"/>
      <c r="BK12" s="105">
        <v>10.3</v>
      </c>
      <c r="BL12" s="105">
        <v>11.3</v>
      </c>
      <c r="BM12" s="105">
        <v>9.3</v>
      </c>
      <c r="BN12" s="105">
        <v>15.3</v>
      </c>
      <c r="BO12" s="105">
        <v>2.0</v>
      </c>
      <c r="BP12" s="105">
        <v>10.3</v>
      </c>
      <c r="BQ12" s="105">
        <v>10.3</v>
      </c>
      <c r="BR12" s="105">
        <v>10.0</v>
      </c>
      <c r="BS12" s="105">
        <v>12.3</v>
      </c>
      <c r="BT12" s="105">
        <v>10.0</v>
      </c>
      <c r="BU12" s="77">
        <v>12.3</v>
      </c>
      <c r="BV12" s="105">
        <v>12.0</v>
      </c>
      <c r="BW12" s="76"/>
      <c r="BX12" s="76">
        <v>10.0</v>
      </c>
      <c r="BY12" s="76">
        <v>11.3</v>
      </c>
      <c r="BZ12" s="80">
        <v>10.3</v>
      </c>
      <c r="CA12" s="80">
        <v>11.3</v>
      </c>
      <c r="CB12" s="80">
        <v>12.0</v>
      </c>
      <c r="CC12" s="80">
        <v>4.0</v>
      </c>
      <c r="CD12" s="80">
        <v>13.0</v>
      </c>
      <c r="CE12" s="80">
        <v>11.0</v>
      </c>
      <c r="CF12" s="80">
        <v>11.0</v>
      </c>
      <c r="CG12" s="80">
        <v>14.0</v>
      </c>
      <c r="CH12" s="80">
        <v>7.0</v>
      </c>
      <c r="CI12" s="80">
        <v>11.0</v>
      </c>
      <c r="CJ12" s="80"/>
      <c r="CK12" s="80">
        <v>11.0</v>
      </c>
      <c r="CL12" s="80">
        <v>10.0</v>
      </c>
      <c r="CM12" s="80">
        <v>10.0</v>
      </c>
      <c r="CN12" s="80">
        <v>11.0</v>
      </c>
      <c r="CO12" s="80">
        <v>11.0</v>
      </c>
      <c r="CP12" s="80">
        <v>11.0</v>
      </c>
      <c r="CQ12" s="80">
        <v>4.3</v>
      </c>
      <c r="CR12" s="80">
        <v>10.0</v>
      </c>
      <c r="CS12" s="80">
        <v>10.3</v>
      </c>
      <c r="CT12" s="80">
        <v>11.0</v>
      </c>
      <c r="CU12" s="80">
        <v>12.0</v>
      </c>
      <c r="CV12" s="80"/>
      <c r="CW12" s="80"/>
      <c r="CX12" s="80">
        <v>11.0</v>
      </c>
      <c r="CY12" s="80">
        <v>9.3</v>
      </c>
      <c r="CZ12" s="77">
        <v>10.0</v>
      </c>
      <c r="DA12" s="80">
        <v>11.3</v>
      </c>
      <c r="DB12" s="80">
        <v>10.0</v>
      </c>
      <c r="DC12" s="80">
        <v>10.3</v>
      </c>
      <c r="DD12" s="80">
        <v>12.0</v>
      </c>
      <c r="DE12" s="80">
        <v>7.3</v>
      </c>
      <c r="DF12" s="80">
        <v>11.0</v>
      </c>
      <c r="DG12" s="80">
        <v>10.3</v>
      </c>
      <c r="DH12" s="80">
        <v>10.0</v>
      </c>
      <c r="DI12" s="80">
        <v>8.3</v>
      </c>
      <c r="DJ12" s="107">
        <v>12.0</v>
      </c>
      <c r="DK12" s="107">
        <v>12.0</v>
      </c>
      <c r="DL12" s="107">
        <v>13.0</v>
      </c>
      <c r="DM12" s="107">
        <v>10.0</v>
      </c>
      <c r="DN12" s="107">
        <v>12.0</v>
      </c>
      <c r="DO12" s="107">
        <v>10.0</v>
      </c>
      <c r="DP12" s="107">
        <v>12.0</v>
      </c>
      <c r="DQ12" s="107">
        <v>13.0</v>
      </c>
      <c r="DR12" s="107">
        <v>12.0</v>
      </c>
      <c r="DS12" s="107">
        <v>15.0</v>
      </c>
      <c r="DT12" s="80">
        <v>8.0</v>
      </c>
      <c r="DU12" s="80">
        <v>12.0</v>
      </c>
      <c r="DV12" s="80"/>
      <c r="DW12" s="80">
        <v>11.0</v>
      </c>
      <c r="DX12" s="80">
        <v>12.0</v>
      </c>
      <c r="DY12" s="164">
        <v>11.0</v>
      </c>
      <c r="DZ12" s="164"/>
      <c r="EA12" s="107">
        <v>12.0</v>
      </c>
      <c r="EB12" s="107">
        <v>12.0</v>
      </c>
      <c r="EC12" s="107">
        <v>12.0</v>
      </c>
      <c r="ED12" s="161">
        <v>14.0</v>
      </c>
      <c r="EE12" s="80"/>
      <c r="EF12" s="80"/>
      <c r="EG12" s="80">
        <v>9.3</v>
      </c>
      <c r="EH12" s="80">
        <v>9.0</v>
      </c>
      <c r="EI12" s="80">
        <v>8.0</v>
      </c>
      <c r="EJ12" s="80"/>
      <c r="EK12" s="80"/>
      <c r="EL12" s="80">
        <v>6.25</v>
      </c>
      <c r="EM12" s="80">
        <v>8.0</v>
      </c>
      <c r="EN12" s="80">
        <v>10.0</v>
      </c>
      <c r="EO12" s="80">
        <v>12.0</v>
      </c>
      <c r="EP12" s="80">
        <v>9.0</v>
      </c>
      <c r="EQ12" s="80">
        <v>9.5</v>
      </c>
      <c r="ER12" s="80">
        <v>8.0</v>
      </c>
      <c r="ES12" s="80">
        <v>9.0</v>
      </c>
      <c r="ET12" s="80">
        <v>9.25</v>
      </c>
      <c r="EU12" s="80">
        <v>3.0</v>
      </c>
      <c r="EV12" s="80">
        <v>9.1</v>
      </c>
      <c r="EW12" s="80">
        <v>10.0</v>
      </c>
      <c r="EX12" s="80">
        <v>13.0</v>
      </c>
      <c r="EY12" s="80">
        <v>10.0</v>
      </c>
      <c r="EZ12" s="80">
        <v>7.5</v>
      </c>
      <c r="FA12" s="80">
        <v>13.0</v>
      </c>
      <c r="FB12" s="80"/>
      <c r="FC12" s="80">
        <v>10.5</v>
      </c>
      <c r="FD12" s="80">
        <v>12.0</v>
      </c>
      <c r="FE12" s="80">
        <v>8.0</v>
      </c>
      <c r="FF12" s="80">
        <v>10.5</v>
      </c>
      <c r="FG12" s="80">
        <v>9.0</v>
      </c>
      <c r="FH12" s="80">
        <v>10.0</v>
      </c>
      <c r="FI12" s="80">
        <v>10.5</v>
      </c>
      <c r="FJ12" s="80">
        <v>6.0</v>
      </c>
      <c r="FK12" s="80">
        <v>7.0</v>
      </c>
      <c r="FL12" s="80">
        <v>9.0</v>
      </c>
      <c r="FM12" s="80">
        <v>9.0</v>
      </c>
      <c r="FN12" s="80">
        <v>10.3</v>
      </c>
      <c r="FO12" s="80">
        <v>10.0</v>
      </c>
      <c r="FP12" s="80">
        <v>9.0</v>
      </c>
      <c r="FQ12" s="80">
        <v>9.0</v>
      </c>
      <c r="FR12" s="80">
        <v>10.0</v>
      </c>
      <c r="FS12" s="80">
        <v>9.0</v>
      </c>
      <c r="FT12" s="80">
        <v>8.0</v>
      </c>
      <c r="FU12" s="80"/>
      <c r="FV12" s="80">
        <v>10.0</v>
      </c>
      <c r="FW12" s="80">
        <v>11.0</v>
      </c>
      <c r="FX12" s="80">
        <v>12.0</v>
      </c>
      <c r="FY12" s="80">
        <v>8.0</v>
      </c>
      <c r="FZ12" s="80">
        <v>9.0</v>
      </c>
      <c r="GA12" s="80">
        <v>6.0</v>
      </c>
      <c r="GB12" s="80">
        <v>12.0</v>
      </c>
      <c r="GC12" s="80">
        <v>2.0</v>
      </c>
      <c r="GD12" s="80">
        <v>15.0</v>
      </c>
      <c r="GE12" s="80">
        <v>12.0</v>
      </c>
      <c r="GF12" s="80">
        <v>13.0</v>
      </c>
      <c r="GG12" s="80">
        <v>10.0</v>
      </c>
      <c r="GH12" s="80">
        <v>10.0</v>
      </c>
      <c r="GI12" s="80">
        <v>10.0</v>
      </c>
      <c r="GJ12" s="80">
        <v>5.5</v>
      </c>
      <c r="GK12" s="80">
        <v>11.5</v>
      </c>
      <c r="GL12" s="80">
        <v>8.0</v>
      </c>
      <c r="GM12" s="80">
        <v>7.5</v>
      </c>
      <c r="GN12" s="80">
        <v>5.5</v>
      </c>
      <c r="GO12" s="80">
        <v>6.0</v>
      </c>
      <c r="GP12" s="80">
        <v>9.25</v>
      </c>
      <c r="GQ12" s="80">
        <v>8.0</v>
      </c>
      <c r="GR12" s="80">
        <v>16.0</v>
      </c>
      <c r="GS12" s="108">
        <v>13.0</v>
      </c>
      <c r="GT12" s="80">
        <v>9.5</v>
      </c>
      <c r="GU12" s="80">
        <v>4.0</v>
      </c>
      <c r="GV12" s="80">
        <v>4.5</v>
      </c>
      <c r="GW12" s="80">
        <v>7.0</v>
      </c>
      <c r="GX12" s="80">
        <v>11.0</v>
      </c>
      <c r="GY12" s="80">
        <v>11.0</v>
      </c>
      <c r="GZ12" s="80">
        <v>4.5</v>
      </c>
      <c r="HA12" s="80">
        <v>5.5</v>
      </c>
      <c r="HB12" s="80">
        <v>8.0</v>
      </c>
      <c r="HC12" s="80">
        <v>14.0</v>
      </c>
      <c r="HD12" s="80">
        <v>8.0</v>
      </c>
      <c r="HE12" s="80">
        <v>7.0</v>
      </c>
      <c r="HF12" s="80">
        <v>8.0</v>
      </c>
      <c r="HG12" s="80">
        <v>7.0</v>
      </c>
      <c r="HH12" s="80">
        <v>7.5</v>
      </c>
      <c r="HI12" s="80">
        <v>4.5</v>
      </c>
      <c r="HJ12" s="80">
        <v>7.5</v>
      </c>
      <c r="HK12" s="80">
        <v>6.0</v>
      </c>
      <c r="HL12" s="80" t="s">
        <v>45</v>
      </c>
      <c r="HM12" s="80">
        <v>7.0</v>
      </c>
      <c r="HN12" s="80">
        <v>6.5</v>
      </c>
      <c r="HO12" s="80">
        <v>9.0</v>
      </c>
      <c r="HP12" s="80">
        <v>12.0</v>
      </c>
      <c r="HQ12" s="80">
        <v>7.0</v>
      </c>
      <c r="HR12" s="80">
        <v>6.5</v>
      </c>
      <c r="HS12" s="80">
        <v>6.5</v>
      </c>
      <c r="HT12" s="80">
        <v>4.5</v>
      </c>
      <c r="HU12" s="80">
        <v>7.5</v>
      </c>
      <c r="HV12" s="80">
        <v>4.0</v>
      </c>
      <c r="HW12" s="80" t="s">
        <v>39</v>
      </c>
      <c r="HX12" s="81">
        <v>0.0</v>
      </c>
      <c r="HY12" s="81">
        <v>8.0</v>
      </c>
      <c r="HZ12" s="81">
        <v>12.0</v>
      </c>
      <c r="IA12" s="81">
        <v>9.5</v>
      </c>
      <c r="IB12" s="81">
        <v>11.5</v>
      </c>
      <c r="IC12" s="81">
        <v>9.5</v>
      </c>
      <c r="ID12" s="81">
        <v>18.0</v>
      </c>
      <c r="IE12" s="81">
        <v>5.0</v>
      </c>
      <c r="IF12" s="81">
        <v>8.5</v>
      </c>
      <c r="IG12" s="81">
        <v>10.5</v>
      </c>
      <c r="IH12" s="81">
        <v>11.5</v>
      </c>
      <c r="II12" s="81">
        <v>10.0</v>
      </c>
      <c r="IJ12" s="81" t="s">
        <v>39</v>
      </c>
      <c r="IK12" s="81">
        <v>10.5</v>
      </c>
      <c r="IL12" s="81">
        <v>9.0</v>
      </c>
      <c r="IM12" s="81">
        <v>10.0</v>
      </c>
      <c r="IN12" s="81">
        <v>11.5</v>
      </c>
      <c r="IO12" s="81">
        <v>9.5</v>
      </c>
      <c r="IP12" s="81">
        <v>7.5</v>
      </c>
      <c r="IQ12" s="81">
        <v>10.5</v>
      </c>
      <c r="IR12" s="81">
        <v>9.5</v>
      </c>
      <c r="IS12" s="81">
        <v>9.5</v>
      </c>
      <c r="IT12" s="81">
        <v>15.0</v>
      </c>
      <c r="IU12" s="81">
        <v>17.0</v>
      </c>
      <c r="IV12" s="81" t="s">
        <v>39</v>
      </c>
      <c r="IW12" s="81">
        <v>11.0</v>
      </c>
      <c r="IX12" s="81">
        <v>12.0</v>
      </c>
      <c r="IY12" s="81">
        <v>6.5</v>
      </c>
      <c r="IZ12" s="81">
        <v>8.0</v>
      </c>
      <c r="JA12" s="81">
        <v>8.0</v>
      </c>
      <c r="JB12" s="84"/>
      <c r="JC12" s="85">
        <v>6.5</v>
      </c>
      <c r="JD12" s="85"/>
      <c r="JE12" s="85">
        <v>8.5</v>
      </c>
      <c r="JF12" s="85">
        <v>9.0</v>
      </c>
      <c r="JG12" s="85">
        <v>16.0</v>
      </c>
      <c r="JH12" s="85"/>
      <c r="JI12" s="85">
        <v>9.0</v>
      </c>
      <c r="JJ12" s="85">
        <v>12.25</v>
      </c>
      <c r="JK12" s="85"/>
      <c r="JL12" s="85">
        <v>15.5</v>
      </c>
      <c r="JM12" s="85">
        <v>17.5</v>
      </c>
      <c r="JN12" s="85"/>
      <c r="JO12" s="85">
        <v>11.0</v>
      </c>
      <c r="JP12" s="85">
        <v>4.5</v>
      </c>
      <c r="JQ12" s="85">
        <v>8.5</v>
      </c>
      <c r="JR12" s="85">
        <v>6.5</v>
      </c>
      <c r="JS12" s="85">
        <v>15.25</v>
      </c>
      <c r="JT12" s="85">
        <v>9.0</v>
      </c>
      <c r="JU12" s="85">
        <v>6.5</v>
      </c>
      <c r="JV12" s="85">
        <v>11.5</v>
      </c>
      <c r="JW12" s="85">
        <v>17.5</v>
      </c>
      <c r="JX12" s="85">
        <v>3.0</v>
      </c>
      <c r="JY12" s="85"/>
      <c r="JZ12" s="85">
        <v>11.0</v>
      </c>
      <c r="KA12" s="85">
        <v>14.0</v>
      </c>
      <c r="KB12" s="85">
        <v>5.0</v>
      </c>
      <c r="KC12" s="85"/>
      <c r="KD12" s="85">
        <v>17.0</v>
      </c>
      <c r="KE12" s="85"/>
      <c r="KF12" s="85">
        <v>7.0</v>
      </c>
      <c r="KG12" s="88">
        <v>7.0</v>
      </c>
      <c r="KH12" s="89"/>
      <c r="KI12" s="90">
        <v>11.0</v>
      </c>
      <c r="KJ12" s="91">
        <v>11.0</v>
      </c>
      <c r="KK12" s="90">
        <v>11.75</v>
      </c>
      <c r="KL12" s="90">
        <v>17.0</v>
      </c>
      <c r="KM12" s="90">
        <v>11.0</v>
      </c>
      <c r="KN12" s="90">
        <v>16.0</v>
      </c>
      <c r="KO12" s="165" t="s">
        <v>39</v>
      </c>
      <c r="KP12" s="90">
        <v>7.0</v>
      </c>
      <c r="KQ12" s="90">
        <v>14.0</v>
      </c>
      <c r="KR12" s="90">
        <v>4.5</v>
      </c>
      <c r="KS12" s="90">
        <v>6.5</v>
      </c>
      <c r="KT12" s="90" t="s">
        <v>39</v>
      </c>
      <c r="KU12" s="90" t="s">
        <v>39</v>
      </c>
      <c r="KV12" s="90">
        <v>18.5</v>
      </c>
      <c r="KW12" s="90">
        <v>8.75</v>
      </c>
      <c r="KX12" s="90">
        <v>9.5</v>
      </c>
      <c r="KY12" s="90">
        <v>10.25</v>
      </c>
      <c r="KZ12" s="90">
        <v>8.0</v>
      </c>
      <c r="LA12" s="90" t="s">
        <v>39</v>
      </c>
      <c r="LB12" s="90">
        <v>7.5</v>
      </c>
      <c r="LC12" s="90">
        <v>6.5</v>
      </c>
      <c r="LD12" s="90" t="s">
        <v>39</v>
      </c>
      <c r="LE12" s="90">
        <v>6.5</v>
      </c>
      <c r="LF12" s="90" t="s">
        <v>39</v>
      </c>
      <c r="LG12" s="90">
        <v>7.0</v>
      </c>
      <c r="LH12" s="90">
        <v>8.5</v>
      </c>
      <c r="LI12" s="90">
        <v>15.0</v>
      </c>
      <c r="LJ12" s="90">
        <v>5.0</v>
      </c>
      <c r="LK12" s="90">
        <v>5.5</v>
      </c>
      <c r="LL12" s="90" t="s">
        <v>39</v>
      </c>
      <c r="LM12" s="90">
        <v>25.0</v>
      </c>
      <c r="LN12" s="89"/>
      <c r="LO12" s="90"/>
      <c r="LP12" s="90"/>
      <c r="LQ12" s="90"/>
      <c r="LR12" s="90"/>
      <c r="LS12" s="90"/>
      <c r="LT12" s="90"/>
      <c r="LU12" s="90">
        <v>9.0</v>
      </c>
      <c r="LV12" s="90">
        <v>9.0</v>
      </c>
      <c r="LW12" s="90">
        <v>8.0</v>
      </c>
      <c r="LX12" s="90">
        <v>9.0</v>
      </c>
      <c r="LY12" s="90"/>
      <c r="LZ12" s="90">
        <v>9.0</v>
      </c>
      <c r="MA12" s="90"/>
      <c r="MB12" s="90"/>
      <c r="MC12" s="90"/>
      <c r="MD12" s="90"/>
      <c r="ME12" s="90"/>
      <c r="MF12" s="90"/>
      <c r="MG12" s="90"/>
      <c r="MH12" s="90"/>
      <c r="MI12" s="90"/>
      <c r="MJ12" s="90"/>
      <c r="MK12" s="90"/>
      <c r="ML12" s="90"/>
      <c r="MM12" s="90"/>
      <c r="MN12" s="90"/>
      <c r="MO12" s="90"/>
      <c r="MP12" s="90"/>
      <c r="MQ12" s="90"/>
      <c r="MR12" s="93"/>
      <c r="MS12" s="93"/>
      <c r="MT12" s="127"/>
      <c r="MU12" s="96"/>
      <c r="MV12" s="96"/>
      <c r="MW12" s="96"/>
      <c r="MX12" s="96"/>
      <c r="MY12" s="96"/>
      <c r="MZ12" s="96"/>
      <c r="NA12" s="96">
        <v>0.6</v>
      </c>
      <c r="NB12" s="96">
        <v>0.25</v>
      </c>
      <c r="NC12" s="96"/>
      <c r="ND12" s="96"/>
      <c r="NE12" s="96">
        <v>5.25</v>
      </c>
      <c r="NF12" s="96"/>
      <c r="NG12" s="96"/>
      <c r="NH12" s="96"/>
      <c r="NI12" s="96"/>
      <c r="NJ12" s="96"/>
      <c r="NK12" s="96"/>
      <c r="NL12" s="96"/>
      <c r="NM12" s="96"/>
      <c r="NN12" s="96"/>
      <c r="NO12" s="96"/>
      <c r="NP12" s="96"/>
      <c r="NQ12" s="96"/>
      <c r="NR12" s="96"/>
      <c r="NS12" s="96"/>
      <c r="NT12" s="96"/>
      <c r="NU12" s="96"/>
      <c r="NV12" s="96"/>
      <c r="NW12" s="96"/>
      <c r="NX12" s="96"/>
      <c r="NY12" s="96"/>
      <c r="NZ12" s="128"/>
      <c r="OA12" s="129"/>
      <c r="OB12" s="129"/>
      <c r="OC12" s="130"/>
      <c r="OD12" s="101"/>
      <c r="OE12" s="101"/>
      <c r="OF12" s="101"/>
      <c r="OG12" s="101"/>
      <c r="OH12" s="101"/>
      <c r="OI12" s="101"/>
      <c r="OJ12" s="101"/>
      <c r="OK12" s="101"/>
      <c r="OL12" s="101"/>
    </row>
    <row r="13" ht="30.0" customHeight="1">
      <c r="A13" s="121"/>
      <c r="B13" s="73" t="s">
        <v>46</v>
      </c>
      <c r="C13" s="74">
        <f t="shared" si="7"/>
        <v>60.25</v>
      </c>
      <c r="D13" s="73">
        <f t="shared" si="8"/>
        <v>7.5</v>
      </c>
      <c r="E13" s="122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>
        <v>10.0</v>
      </c>
      <c r="AO13" s="105">
        <v>14.0</v>
      </c>
      <c r="AP13" s="105">
        <v>11.0</v>
      </c>
      <c r="AQ13" s="105">
        <v>12.0</v>
      </c>
      <c r="AR13" s="105">
        <v>13.3</v>
      </c>
      <c r="AS13" s="105">
        <v>12.3</v>
      </c>
      <c r="AT13" s="105">
        <v>15.0</v>
      </c>
      <c r="AU13" s="105">
        <v>8.3</v>
      </c>
      <c r="AV13" s="105">
        <v>11.3</v>
      </c>
      <c r="AW13" s="105">
        <v>14.3</v>
      </c>
      <c r="AX13" s="105">
        <v>10.3</v>
      </c>
      <c r="AY13" s="105">
        <v>5.0</v>
      </c>
      <c r="AZ13" s="123"/>
      <c r="BA13" s="123"/>
      <c r="BB13" s="105">
        <v>11.3</v>
      </c>
      <c r="BC13" s="105">
        <v>11.3</v>
      </c>
      <c r="BD13" s="105">
        <v>10.0</v>
      </c>
      <c r="BE13" s="105">
        <v>11.0</v>
      </c>
      <c r="BF13" s="105">
        <v>9.0</v>
      </c>
      <c r="BG13" s="105">
        <v>12.0</v>
      </c>
      <c r="BH13" s="105"/>
      <c r="BI13" s="105">
        <v>14.0</v>
      </c>
      <c r="BJ13" s="105"/>
      <c r="BK13" s="105">
        <v>10.3</v>
      </c>
      <c r="BL13" s="105">
        <v>11.3</v>
      </c>
      <c r="BM13" s="105">
        <v>9.3</v>
      </c>
      <c r="BN13" s="105">
        <v>15.3</v>
      </c>
      <c r="BO13" s="105"/>
      <c r="BP13" s="105">
        <v>10.3</v>
      </c>
      <c r="BQ13" s="105">
        <v>10.3</v>
      </c>
      <c r="BR13" s="105">
        <v>10.0</v>
      </c>
      <c r="BS13" s="105">
        <v>12.3</v>
      </c>
      <c r="BT13" s="105">
        <v>10.0</v>
      </c>
      <c r="BU13" s="77"/>
      <c r="BV13" s="105">
        <v>12.0</v>
      </c>
      <c r="BW13" s="76"/>
      <c r="BX13" s="76">
        <v>10.0</v>
      </c>
      <c r="BY13" s="76">
        <v>11.3</v>
      </c>
      <c r="BZ13" s="80">
        <v>10.3</v>
      </c>
      <c r="CA13" s="80">
        <v>11.3</v>
      </c>
      <c r="CB13" s="80">
        <v>12.0</v>
      </c>
      <c r="CC13" s="80"/>
      <c r="CD13" s="80">
        <v>13.0</v>
      </c>
      <c r="CE13" s="80"/>
      <c r="CF13" s="80"/>
      <c r="CG13" s="80">
        <v>8.0</v>
      </c>
      <c r="CH13" s="80">
        <v>11.0</v>
      </c>
      <c r="CI13" s="80">
        <v>11.0</v>
      </c>
      <c r="CJ13" s="80"/>
      <c r="CK13" s="80">
        <v>11.0</v>
      </c>
      <c r="CL13" s="80">
        <v>10.0</v>
      </c>
      <c r="CM13" s="80">
        <v>11.3</v>
      </c>
      <c r="CN13" s="80">
        <v>22.0</v>
      </c>
      <c r="CO13" s="80">
        <v>10.3</v>
      </c>
      <c r="CP13" s="80">
        <v>0.0</v>
      </c>
      <c r="CQ13" s="80">
        <v>0.0</v>
      </c>
      <c r="CR13" s="80">
        <v>10.0</v>
      </c>
      <c r="CS13" s="80">
        <v>10.3</v>
      </c>
      <c r="CT13" s="80">
        <v>11.0</v>
      </c>
      <c r="CU13" s="80">
        <v>12.0</v>
      </c>
      <c r="CV13" s="80"/>
      <c r="CW13" s="80"/>
      <c r="CX13" s="80">
        <v>11.0</v>
      </c>
      <c r="CY13" s="80">
        <v>6.3</v>
      </c>
      <c r="CZ13" s="77">
        <v>10.3</v>
      </c>
      <c r="DA13" s="80">
        <v>13.0</v>
      </c>
      <c r="DB13" s="80">
        <v>9.0</v>
      </c>
      <c r="DC13" s="80">
        <v>9.5</v>
      </c>
      <c r="DD13" s="80"/>
      <c r="DE13" s="80">
        <v>6.0</v>
      </c>
      <c r="DF13" s="80">
        <v>11.0</v>
      </c>
      <c r="DG13" s="80">
        <v>10.3</v>
      </c>
      <c r="DH13" s="80">
        <v>10.3</v>
      </c>
      <c r="DI13" s="80">
        <v>8.5</v>
      </c>
      <c r="DJ13" s="80">
        <v>11.45</v>
      </c>
      <c r="DK13" s="80">
        <v>11.0</v>
      </c>
      <c r="DL13" s="107">
        <v>9.0</v>
      </c>
      <c r="DM13" s="107">
        <v>9.0</v>
      </c>
      <c r="DN13" s="107">
        <v>12.0</v>
      </c>
      <c r="DO13" s="107">
        <v>12.0</v>
      </c>
      <c r="DP13" s="107">
        <v>12.0</v>
      </c>
      <c r="DQ13" s="107">
        <v>12.0</v>
      </c>
      <c r="DR13" s="107">
        <v>12.0</v>
      </c>
      <c r="DS13" s="80"/>
      <c r="DT13" s="80"/>
      <c r="DU13" s="80"/>
      <c r="DV13" s="80">
        <v>11.0</v>
      </c>
      <c r="DW13" s="80">
        <v>10.0</v>
      </c>
      <c r="DX13" s="80">
        <v>11.0</v>
      </c>
      <c r="DY13" s="80"/>
      <c r="DZ13" s="80"/>
      <c r="EA13" s="80">
        <v>8.0</v>
      </c>
      <c r="EB13" s="80">
        <v>7.0</v>
      </c>
      <c r="EC13" s="80"/>
      <c r="ED13" s="77">
        <v>9.15</v>
      </c>
      <c r="EE13" s="80">
        <v>6.0</v>
      </c>
      <c r="EF13" s="80">
        <v>8.0</v>
      </c>
      <c r="EG13" s="80"/>
      <c r="EH13" s="80">
        <v>8.0</v>
      </c>
      <c r="EI13" s="80">
        <v>9.5</v>
      </c>
      <c r="EJ13" s="80">
        <v>8.0</v>
      </c>
      <c r="EK13" s="80">
        <v>9.0</v>
      </c>
      <c r="EL13" s="80">
        <v>5.0</v>
      </c>
      <c r="EM13" s="80">
        <v>13.25</v>
      </c>
      <c r="EN13" s="80">
        <v>12.0</v>
      </c>
      <c r="EO13" s="80">
        <v>12.0</v>
      </c>
      <c r="EP13" s="80">
        <v>9.0</v>
      </c>
      <c r="EQ13" s="80">
        <v>9.5</v>
      </c>
      <c r="ER13" s="80">
        <v>8.0</v>
      </c>
      <c r="ES13" s="80">
        <v>9.0</v>
      </c>
      <c r="ET13" s="80">
        <v>9.25</v>
      </c>
      <c r="EU13" s="80"/>
      <c r="EV13" s="80">
        <v>9.2</v>
      </c>
      <c r="EW13" s="80">
        <v>10.0</v>
      </c>
      <c r="EX13" s="80">
        <v>12.0</v>
      </c>
      <c r="EY13" s="80"/>
      <c r="EZ13" s="80"/>
      <c r="FA13" s="80">
        <v>12.0</v>
      </c>
      <c r="FB13" s="80"/>
      <c r="FC13" s="80">
        <v>10.5</v>
      </c>
      <c r="FD13" s="80">
        <v>10.0</v>
      </c>
      <c r="FE13" s="80">
        <v>8.25</v>
      </c>
      <c r="FF13" s="80">
        <v>10.5</v>
      </c>
      <c r="FG13" s="80">
        <v>8.0</v>
      </c>
      <c r="FH13" s="80">
        <v>10.0</v>
      </c>
      <c r="FI13" s="80">
        <v>8.0</v>
      </c>
      <c r="FJ13" s="80">
        <v>5.25</v>
      </c>
      <c r="FK13" s="80">
        <v>7.0</v>
      </c>
      <c r="FL13" s="80">
        <v>9.0</v>
      </c>
      <c r="FM13" s="80">
        <v>9.0</v>
      </c>
      <c r="FN13" s="80">
        <v>9.5</v>
      </c>
      <c r="FO13" s="80">
        <v>10.0</v>
      </c>
      <c r="FP13" s="80">
        <v>8.5</v>
      </c>
      <c r="FQ13" s="80"/>
      <c r="FR13" s="80">
        <v>12.0</v>
      </c>
      <c r="FS13" s="80"/>
      <c r="FT13" s="80">
        <v>10.0</v>
      </c>
      <c r="FU13" s="80">
        <v>10.0</v>
      </c>
      <c r="FV13" s="80">
        <v>10.0</v>
      </c>
      <c r="FW13" s="80">
        <v>8.0</v>
      </c>
      <c r="FX13" s="80">
        <v>11.0</v>
      </c>
      <c r="FY13" s="80">
        <v>12.0</v>
      </c>
      <c r="FZ13" s="80">
        <v>11.0</v>
      </c>
      <c r="GA13" s="80">
        <v>11.0</v>
      </c>
      <c r="GB13" s="80">
        <v>13.0</v>
      </c>
      <c r="GC13" s="80">
        <v>15.0</v>
      </c>
      <c r="GD13" s="80">
        <v>8.0</v>
      </c>
      <c r="GE13" s="80">
        <v>14.0</v>
      </c>
      <c r="GF13" s="80">
        <v>12.0</v>
      </c>
      <c r="GG13" s="80">
        <v>12.0</v>
      </c>
      <c r="GH13" s="80">
        <v>9.0</v>
      </c>
      <c r="GI13" s="80">
        <v>10.5</v>
      </c>
      <c r="GJ13" s="80">
        <v>6.5</v>
      </c>
      <c r="GK13" s="80">
        <v>6.0</v>
      </c>
      <c r="GL13" s="80">
        <v>11.5</v>
      </c>
      <c r="GM13" s="80">
        <v>16.0</v>
      </c>
      <c r="GN13" s="166">
        <v>13.0</v>
      </c>
      <c r="GO13" s="80">
        <v>16.0</v>
      </c>
      <c r="GP13" s="80">
        <v>16.0</v>
      </c>
      <c r="GQ13" s="80">
        <v>12.0</v>
      </c>
      <c r="GR13" s="80">
        <v>18.0</v>
      </c>
      <c r="GS13" s="108">
        <v>15.0</v>
      </c>
      <c r="GT13" s="80">
        <v>11.0</v>
      </c>
      <c r="GU13" s="80">
        <v>6.5</v>
      </c>
      <c r="GV13" s="80">
        <v>9.0</v>
      </c>
      <c r="GW13" s="80">
        <v>10.0</v>
      </c>
      <c r="GX13" s="80">
        <v>17.0</v>
      </c>
      <c r="GY13" s="80" t="s">
        <v>45</v>
      </c>
      <c r="GZ13" s="80" t="s">
        <v>45</v>
      </c>
      <c r="HA13" s="80" t="s">
        <v>45</v>
      </c>
      <c r="HB13" s="80">
        <v>5.0</v>
      </c>
      <c r="HC13" s="80" t="s">
        <v>45</v>
      </c>
      <c r="HD13" s="80" t="s">
        <v>45</v>
      </c>
      <c r="HE13" s="80">
        <v>9.0</v>
      </c>
      <c r="HF13" s="80">
        <v>4.5</v>
      </c>
      <c r="HG13" s="80">
        <v>11.0</v>
      </c>
      <c r="HH13" s="80">
        <v>9.0</v>
      </c>
      <c r="HI13" s="80">
        <v>13.0</v>
      </c>
      <c r="HJ13" s="80">
        <v>6.0</v>
      </c>
      <c r="HK13" s="80">
        <v>11.0</v>
      </c>
      <c r="HL13" s="80">
        <v>10.0</v>
      </c>
      <c r="HM13" s="80">
        <v>7.0</v>
      </c>
      <c r="HN13" s="80">
        <v>6.0</v>
      </c>
      <c r="HO13" s="80">
        <v>12.0</v>
      </c>
      <c r="HP13" s="80">
        <v>10.5</v>
      </c>
      <c r="HQ13" s="80">
        <v>10.0</v>
      </c>
      <c r="HR13" s="80">
        <v>10.5</v>
      </c>
      <c r="HS13" s="80">
        <v>6.5</v>
      </c>
      <c r="HT13" s="80">
        <v>6.5</v>
      </c>
      <c r="HU13" s="80" t="s">
        <v>39</v>
      </c>
      <c r="HV13" s="80">
        <v>5.5</v>
      </c>
      <c r="HW13" s="80" t="s">
        <v>39</v>
      </c>
      <c r="HX13" s="81">
        <v>0.0</v>
      </c>
      <c r="HY13" s="81">
        <v>10.0</v>
      </c>
      <c r="HZ13" s="81"/>
      <c r="IA13" s="81">
        <v>8.0</v>
      </c>
      <c r="IB13" s="81">
        <v>11.5</v>
      </c>
      <c r="IC13" s="81">
        <v>9.5</v>
      </c>
      <c r="ID13" s="81">
        <v>8.0</v>
      </c>
      <c r="IE13" s="81">
        <v>14.0</v>
      </c>
      <c r="IF13" s="81">
        <v>13.0</v>
      </c>
      <c r="IG13" s="81">
        <v>11.5</v>
      </c>
      <c r="IH13" s="81">
        <v>11.0</v>
      </c>
      <c r="II13" s="81">
        <v>6.5</v>
      </c>
      <c r="IJ13" s="81">
        <v>0.0</v>
      </c>
      <c r="IK13" s="81">
        <v>13.0</v>
      </c>
      <c r="IL13" s="81">
        <v>11.5</v>
      </c>
      <c r="IM13" s="81">
        <v>12.0</v>
      </c>
      <c r="IN13" s="81">
        <v>14.0</v>
      </c>
      <c r="IO13" s="81">
        <v>9.5</v>
      </c>
      <c r="IP13" s="81">
        <v>0.0</v>
      </c>
      <c r="IQ13" s="81">
        <v>5.5</v>
      </c>
      <c r="IR13" s="81">
        <v>4.5</v>
      </c>
      <c r="IS13" s="81">
        <v>15.5</v>
      </c>
      <c r="IT13" s="81">
        <v>10.0</v>
      </c>
      <c r="IU13" s="81">
        <v>10.0</v>
      </c>
      <c r="IV13" s="81">
        <v>17.5</v>
      </c>
      <c r="IW13" s="81">
        <v>20.5</v>
      </c>
      <c r="IX13" s="81">
        <v>17.5</v>
      </c>
      <c r="IY13" s="81">
        <v>17.5</v>
      </c>
      <c r="IZ13" s="81">
        <v>8.0</v>
      </c>
      <c r="JA13" s="81">
        <v>7.5</v>
      </c>
      <c r="JB13" s="84"/>
      <c r="JC13" s="85">
        <v>10.0</v>
      </c>
      <c r="JD13" s="85"/>
      <c r="JE13" s="85"/>
      <c r="JF13" s="85">
        <v>15.0</v>
      </c>
      <c r="JG13" s="85">
        <v>17.0</v>
      </c>
      <c r="JH13" s="85">
        <v>14.5</v>
      </c>
      <c r="JI13" s="85">
        <v>11.0</v>
      </c>
      <c r="JJ13" s="85">
        <v>8.5</v>
      </c>
      <c r="JK13" s="85">
        <v>9.0</v>
      </c>
      <c r="JL13" s="85">
        <v>16.5</v>
      </c>
      <c r="JM13" s="85">
        <v>16.5</v>
      </c>
      <c r="JN13" s="85">
        <v>11.0</v>
      </c>
      <c r="JO13" s="85">
        <v>10.5</v>
      </c>
      <c r="JP13" s="85">
        <v>11.0</v>
      </c>
      <c r="JQ13" s="85">
        <v>10.5</v>
      </c>
      <c r="JR13" s="85">
        <v>11.0</v>
      </c>
      <c r="JS13" s="85">
        <v>9.75</v>
      </c>
      <c r="JT13" s="85">
        <v>10.25</v>
      </c>
      <c r="JU13" s="85">
        <v>14.0</v>
      </c>
      <c r="JV13" s="85">
        <v>14.5</v>
      </c>
      <c r="JW13" s="85">
        <v>12.75</v>
      </c>
      <c r="JX13" s="85">
        <v>11.0</v>
      </c>
      <c r="JY13" s="85">
        <v>5.5</v>
      </c>
      <c r="JZ13" s="85">
        <v>13.5</v>
      </c>
      <c r="KA13" s="85">
        <v>13.0</v>
      </c>
      <c r="KB13" s="85">
        <v>11.5</v>
      </c>
      <c r="KC13" s="85">
        <v>13.0</v>
      </c>
      <c r="KD13" s="85">
        <v>12.0</v>
      </c>
      <c r="KE13" s="85">
        <v>7.0</v>
      </c>
      <c r="KF13" s="85">
        <v>11.5</v>
      </c>
      <c r="KG13" s="88">
        <v>10.0</v>
      </c>
      <c r="KH13" s="89"/>
      <c r="KI13" s="90">
        <v>13.0</v>
      </c>
      <c r="KJ13" s="91">
        <v>11.0</v>
      </c>
      <c r="KK13" s="90">
        <v>11.0</v>
      </c>
      <c r="KL13" s="90">
        <v>16.5</v>
      </c>
      <c r="KM13" s="90">
        <v>7.0</v>
      </c>
      <c r="KN13" s="90">
        <v>9.0</v>
      </c>
      <c r="KO13" s="90">
        <v>9.0</v>
      </c>
      <c r="KP13" s="90">
        <v>4.75</v>
      </c>
      <c r="KQ13" s="90">
        <v>10.0</v>
      </c>
      <c r="KR13" s="90" t="s">
        <v>39</v>
      </c>
      <c r="KS13" s="90">
        <v>12.0</v>
      </c>
      <c r="KT13" s="90">
        <v>4.0</v>
      </c>
      <c r="KU13" s="90">
        <v>3.75</v>
      </c>
      <c r="KV13" s="90">
        <v>13.5</v>
      </c>
      <c r="KW13" s="90" t="s">
        <v>39</v>
      </c>
      <c r="KX13" s="90">
        <v>11.0</v>
      </c>
      <c r="KY13" s="90">
        <v>12.5</v>
      </c>
      <c r="KZ13" s="90">
        <v>10.75</v>
      </c>
      <c r="LA13" s="90">
        <v>14.5</v>
      </c>
      <c r="LB13" s="90">
        <v>15.0</v>
      </c>
      <c r="LC13" s="90">
        <v>5.0</v>
      </c>
      <c r="LD13" s="90">
        <v>4.45</v>
      </c>
      <c r="LE13" s="90">
        <v>11.0</v>
      </c>
      <c r="LF13" s="90">
        <v>8.0</v>
      </c>
      <c r="LG13" s="90">
        <v>10.0</v>
      </c>
      <c r="LH13" s="90">
        <v>8.0</v>
      </c>
      <c r="LI13" s="90">
        <v>9.0</v>
      </c>
      <c r="LJ13" s="90">
        <v>8.0</v>
      </c>
      <c r="LK13" s="90">
        <v>5.0</v>
      </c>
      <c r="LL13" s="90">
        <v>2.0</v>
      </c>
      <c r="LM13" s="90">
        <v>15.0</v>
      </c>
      <c r="LN13" s="89"/>
      <c r="LO13" s="90">
        <v>6.25</v>
      </c>
      <c r="LP13" s="90">
        <v>4.0</v>
      </c>
      <c r="LQ13" s="90">
        <v>8.0</v>
      </c>
      <c r="LR13" s="90"/>
      <c r="LS13" s="90"/>
      <c r="LT13" s="90"/>
      <c r="LU13" s="90">
        <v>8.0</v>
      </c>
      <c r="LV13" s="90">
        <v>8.0</v>
      </c>
      <c r="LW13" s="90">
        <v>8.0</v>
      </c>
      <c r="LX13" s="90">
        <v>9.0</v>
      </c>
      <c r="LY13" s="90"/>
      <c r="LZ13" s="90">
        <v>9.0</v>
      </c>
      <c r="MA13" s="90"/>
      <c r="MB13" s="90"/>
      <c r="MC13" s="90"/>
      <c r="MD13" s="90"/>
      <c r="ME13" s="90"/>
      <c r="MF13" s="90"/>
      <c r="MG13" s="90"/>
      <c r="MH13" s="90"/>
      <c r="MI13" s="90"/>
      <c r="MJ13" s="90"/>
      <c r="MK13" s="90"/>
      <c r="ML13" s="90"/>
      <c r="MM13" s="90"/>
      <c r="MN13" s="90"/>
      <c r="MO13" s="90"/>
      <c r="MP13" s="90"/>
      <c r="MQ13" s="90"/>
      <c r="MR13" s="93"/>
      <c r="MS13" s="93"/>
      <c r="MT13" s="127"/>
      <c r="MU13" s="96"/>
      <c r="MV13" s="96"/>
      <c r="MW13" s="96"/>
      <c r="MX13" s="96"/>
      <c r="MY13" s="96"/>
      <c r="MZ13" s="96"/>
      <c r="NA13" s="96"/>
      <c r="NB13" s="96"/>
      <c r="NC13" s="96"/>
      <c r="ND13" s="96">
        <v>1.5</v>
      </c>
      <c r="NE13" s="96">
        <v>5.5</v>
      </c>
      <c r="NF13" s="96">
        <v>0.5</v>
      </c>
      <c r="NG13" s="96"/>
      <c r="NH13" s="96"/>
      <c r="NI13" s="96"/>
      <c r="NJ13" s="96"/>
      <c r="NK13" s="96"/>
      <c r="NL13" s="96"/>
      <c r="NM13" s="96"/>
      <c r="NN13" s="96"/>
      <c r="NO13" s="96"/>
      <c r="NP13" s="96"/>
      <c r="NQ13" s="96"/>
      <c r="NR13" s="96"/>
      <c r="NS13" s="96"/>
      <c r="NT13" s="96"/>
      <c r="NU13" s="96"/>
      <c r="NV13" s="96"/>
      <c r="NW13" s="96"/>
      <c r="NX13" s="96"/>
      <c r="NY13" s="96"/>
      <c r="NZ13" s="128"/>
      <c r="OA13" s="129"/>
      <c r="OB13" s="129"/>
      <c r="OC13" s="130"/>
      <c r="OD13" s="101"/>
      <c r="OE13" s="101"/>
      <c r="OF13" s="101"/>
      <c r="OG13" s="101"/>
      <c r="OH13" s="101"/>
      <c r="OI13" s="101"/>
      <c r="OJ13" s="101"/>
      <c r="OK13" s="101"/>
      <c r="OL13" s="101"/>
    </row>
    <row r="14" ht="30.0" customHeight="1">
      <c r="A14" s="121"/>
      <c r="B14" s="73" t="s">
        <v>24</v>
      </c>
      <c r="C14" s="74">
        <f t="shared" si="7"/>
        <v>52</v>
      </c>
      <c r="D14" s="73">
        <f t="shared" si="8"/>
        <v>13.75</v>
      </c>
      <c r="E14" s="75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7"/>
      <c r="BV14" s="76"/>
      <c r="BW14" s="76"/>
      <c r="BX14" s="76"/>
      <c r="BY14" s="76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9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9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  <c r="HS14" s="78"/>
      <c r="HT14" s="78"/>
      <c r="HU14" s="78"/>
      <c r="HV14" s="78"/>
      <c r="HW14" s="78"/>
      <c r="HX14" s="81"/>
      <c r="HY14" s="81">
        <v>11.0</v>
      </c>
      <c r="HZ14" s="81">
        <v>9.5</v>
      </c>
      <c r="IA14" s="81">
        <v>6.5</v>
      </c>
      <c r="IB14" s="81">
        <v>16.0</v>
      </c>
      <c r="IC14" s="81">
        <v>10.0</v>
      </c>
      <c r="ID14" s="81">
        <v>18.0</v>
      </c>
      <c r="IE14" s="81">
        <v>4.0</v>
      </c>
      <c r="IF14" s="81"/>
      <c r="IG14" s="81"/>
      <c r="IH14" s="81"/>
      <c r="II14" s="81">
        <v>8.5</v>
      </c>
      <c r="IJ14" s="81">
        <v>4.5</v>
      </c>
      <c r="IK14" s="81">
        <v>9.0</v>
      </c>
      <c r="IL14" s="81">
        <v>10.5</v>
      </c>
      <c r="IM14" s="81">
        <v>9.5</v>
      </c>
      <c r="IN14" s="81">
        <v>11.0</v>
      </c>
      <c r="IO14" s="81">
        <v>9.5</v>
      </c>
      <c r="IP14" s="81"/>
      <c r="IQ14" s="81">
        <v>9.0</v>
      </c>
      <c r="IR14" s="81">
        <v>10.0</v>
      </c>
      <c r="IS14" s="81">
        <v>9.5</v>
      </c>
      <c r="IT14" s="81">
        <v>10.0</v>
      </c>
      <c r="IU14" s="81">
        <v>17.0</v>
      </c>
      <c r="IV14" s="81">
        <v>7.5</v>
      </c>
      <c r="IW14" s="81">
        <v>12.5</v>
      </c>
      <c r="IX14" s="81">
        <v>8.0</v>
      </c>
      <c r="IY14" s="81">
        <v>14.5</v>
      </c>
      <c r="IZ14" s="81">
        <v>9.0</v>
      </c>
      <c r="JA14" s="81">
        <v>8.0</v>
      </c>
      <c r="JB14" s="84"/>
      <c r="JC14" s="85">
        <v>5.0</v>
      </c>
      <c r="JD14" s="85">
        <v>10.5</v>
      </c>
      <c r="JE14" s="85">
        <v>6.5</v>
      </c>
      <c r="JF14" s="85"/>
      <c r="JG14" s="85">
        <v>14.25</v>
      </c>
      <c r="JH14" s="85">
        <v>12.5</v>
      </c>
      <c r="JI14" s="85">
        <v>9.75</v>
      </c>
      <c r="JJ14" s="85">
        <v>8.0</v>
      </c>
      <c r="JK14" s="167"/>
      <c r="JL14" s="85">
        <v>10.5</v>
      </c>
      <c r="JM14" s="85">
        <v>10.0</v>
      </c>
      <c r="JN14" s="85">
        <v>8.0</v>
      </c>
      <c r="JO14" s="85">
        <v>15.5</v>
      </c>
      <c r="JP14" s="167"/>
      <c r="JQ14" s="85">
        <v>6.5</v>
      </c>
      <c r="JR14" s="85">
        <v>10.0</v>
      </c>
      <c r="JS14" s="85">
        <v>9.25</v>
      </c>
      <c r="JT14" s="85">
        <v>6.0</v>
      </c>
      <c r="JU14" s="85">
        <v>4.0</v>
      </c>
      <c r="JV14" s="85">
        <v>9.0</v>
      </c>
      <c r="JW14" s="85">
        <v>9.0</v>
      </c>
      <c r="JX14" s="85">
        <v>6.0</v>
      </c>
      <c r="JY14" s="85">
        <v>6.0</v>
      </c>
      <c r="JZ14" s="85">
        <v>7.0</v>
      </c>
      <c r="KA14" s="85">
        <v>10.0</v>
      </c>
      <c r="KB14" s="85">
        <v>9.5</v>
      </c>
      <c r="KC14" s="85">
        <v>10.0</v>
      </c>
      <c r="KD14" s="85">
        <v>10.0</v>
      </c>
      <c r="KE14" s="167"/>
      <c r="KF14" s="167"/>
      <c r="KG14" s="168"/>
      <c r="KH14" s="169"/>
      <c r="KI14" s="90">
        <v>10.5</v>
      </c>
      <c r="KJ14" s="91">
        <v>8.5</v>
      </c>
      <c r="KK14" s="90">
        <v>10.0</v>
      </c>
      <c r="KL14" s="90">
        <v>12.0</v>
      </c>
      <c r="KM14" s="90">
        <v>19.0</v>
      </c>
      <c r="KN14" s="90">
        <v>7.0</v>
      </c>
      <c r="KO14" s="90">
        <v>7.0</v>
      </c>
      <c r="KP14" s="90">
        <v>6.0</v>
      </c>
      <c r="KQ14" s="90">
        <v>11.5</v>
      </c>
      <c r="KR14" s="90">
        <v>12.0</v>
      </c>
      <c r="KS14" s="90">
        <v>4.5</v>
      </c>
      <c r="KT14" s="90">
        <v>7.0</v>
      </c>
      <c r="KU14" s="90">
        <v>9.5</v>
      </c>
      <c r="KV14" s="90">
        <v>1.5</v>
      </c>
      <c r="KW14" s="90" t="s">
        <v>39</v>
      </c>
      <c r="KX14" s="90">
        <v>11.0</v>
      </c>
      <c r="KY14" s="90">
        <v>6.0</v>
      </c>
      <c r="KZ14" s="90">
        <v>6.0</v>
      </c>
      <c r="LA14" s="90" t="s">
        <v>39</v>
      </c>
      <c r="LB14" s="90">
        <v>11.0</v>
      </c>
      <c r="LC14" s="90">
        <v>6.0</v>
      </c>
      <c r="LD14" s="90">
        <v>6.0</v>
      </c>
      <c r="LE14" s="90">
        <v>8.0</v>
      </c>
      <c r="LF14" s="90" t="s">
        <v>39</v>
      </c>
      <c r="LG14" s="90" t="s">
        <v>39</v>
      </c>
      <c r="LH14" s="90">
        <v>11.5</v>
      </c>
      <c r="LI14" s="90">
        <v>1.0</v>
      </c>
      <c r="LJ14" s="90">
        <v>6.5</v>
      </c>
      <c r="LK14" s="90" t="s">
        <v>39</v>
      </c>
      <c r="LL14" s="90" t="s">
        <v>39</v>
      </c>
      <c r="LM14" s="90">
        <v>21.0</v>
      </c>
      <c r="LN14" s="169"/>
      <c r="LO14" s="90">
        <v>3.0</v>
      </c>
      <c r="LP14" s="90">
        <v>5.0</v>
      </c>
      <c r="LQ14" s="90"/>
      <c r="LR14" s="90"/>
      <c r="LS14" s="90"/>
      <c r="LT14" s="90"/>
      <c r="LU14" s="90">
        <v>9.0</v>
      </c>
      <c r="LV14" s="90">
        <v>8.0</v>
      </c>
      <c r="LW14" s="90">
        <v>9.0</v>
      </c>
      <c r="LX14" s="90">
        <v>9.0</v>
      </c>
      <c r="LY14" s="90"/>
      <c r="LZ14" s="90"/>
      <c r="MA14" s="90"/>
      <c r="MB14" s="90">
        <v>9.0</v>
      </c>
      <c r="MC14" s="90"/>
      <c r="MD14" s="90"/>
      <c r="ME14" s="90"/>
      <c r="MF14" s="90"/>
      <c r="MG14" s="90"/>
      <c r="MH14" s="90"/>
      <c r="MI14" s="90"/>
      <c r="MJ14" s="90"/>
      <c r="MK14" s="90"/>
      <c r="ML14" s="90"/>
      <c r="MM14" s="90"/>
      <c r="MN14" s="90"/>
      <c r="MO14" s="90"/>
      <c r="MP14" s="90"/>
      <c r="MQ14" s="90"/>
      <c r="MR14" s="90"/>
      <c r="MS14" s="90"/>
      <c r="MT14" s="127"/>
      <c r="MU14" s="96"/>
      <c r="MV14" s="96"/>
      <c r="MW14" s="96"/>
      <c r="MX14" s="96"/>
      <c r="MY14" s="96"/>
      <c r="MZ14" s="96"/>
      <c r="NA14" s="96"/>
      <c r="NB14" s="96"/>
      <c r="NC14" s="96">
        <v>2.0</v>
      </c>
      <c r="ND14" s="96"/>
      <c r="NE14" s="96">
        <v>10.5</v>
      </c>
      <c r="NF14" s="96"/>
      <c r="NG14" s="96"/>
      <c r="NH14" s="96">
        <v>1.25</v>
      </c>
      <c r="NI14" s="96"/>
      <c r="NJ14" s="96"/>
      <c r="NK14" s="96"/>
      <c r="NL14" s="96"/>
      <c r="NM14" s="96"/>
      <c r="NN14" s="96"/>
      <c r="NO14" s="96"/>
      <c r="NP14" s="96"/>
      <c r="NQ14" s="96"/>
      <c r="NR14" s="96"/>
      <c r="NS14" s="96"/>
      <c r="NT14" s="96"/>
      <c r="NU14" s="96"/>
      <c r="NV14" s="96"/>
      <c r="NW14" s="96"/>
      <c r="NX14" s="96"/>
      <c r="NY14" s="96"/>
      <c r="NZ14" s="170"/>
      <c r="OA14" s="171"/>
      <c r="OB14" s="171"/>
      <c r="OC14" s="172"/>
      <c r="OD14" s="173"/>
      <c r="OE14" s="173"/>
      <c r="OF14" s="173"/>
      <c r="OG14" s="173"/>
      <c r="OH14" s="173"/>
      <c r="OI14" s="173"/>
      <c r="OJ14" s="173"/>
      <c r="OK14" s="173"/>
      <c r="OL14" s="173"/>
    </row>
    <row r="15" ht="30.0" customHeight="1">
      <c r="A15" s="174"/>
      <c r="B15" s="175" t="s">
        <v>47</v>
      </c>
      <c r="C15" s="74">
        <f t="shared" si="7"/>
        <v>51.4</v>
      </c>
      <c r="D15" s="73">
        <f t="shared" si="8"/>
        <v>4</v>
      </c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76"/>
      <c r="AH15" s="176"/>
      <c r="AI15" s="176"/>
      <c r="AJ15" s="176"/>
      <c r="AK15" s="176"/>
      <c r="AL15" s="176"/>
      <c r="AM15" s="176"/>
      <c r="AN15" s="176"/>
      <c r="AO15" s="176"/>
      <c r="AP15" s="176"/>
      <c r="AQ15" s="176"/>
      <c r="AR15" s="176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176"/>
      <c r="BI15" s="176"/>
      <c r="BJ15" s="176"/>
      <c r="BK15" s="176"/>
      <c r="BL15" s="176"/>
      <c r="BM15" s="176"/>
      <c r="BN15" s="176"/>
      <c r="BO15" s="176"/>
      <c r="BP15" s="176"/>
      <c r="BQ15" s="176"/>
      <c r="BR15" s="176"/>
      <c r="BS15" s="176"/>
      <c r="BT15" s="176"/>
      <c r="BU15" s="177"/>
      <c r="BV15" s="176"/>
      <c r="BW15" s="176"/>
      <c r="BX15" s="176"/>
      <c r="BY15" s="176"/>
      <c r="BZ15" s="178"/>
      <c r="CA15" s="178"/>
      <c r="CB15" s="178"/>
      <c r="CC15" s="178"/>
      <c r="CD15" s="178"/>
      <c r="CE15" s="178"/>
      <c r="CF15" s="178"/>
      <c r="CG15" s="178"/>
      <c r="CH15" s="178"/>
      <c r="CI15" s="178"/>
      <c r="CJ15" s="178"/>
      <c r="CK15" s="178"/>
      <c r="CL15" s="178"/>
      <c r="CM15" s="178"/>
      <c r="CN15" s="178"/>
      <c r="CO15" s="178"/>
      <c r="CP15" s="178"/>
      <c r="CQ15" s="178"/>
      <c r="CR15" s="178"/>
      <c r="CS15" s="178"/>
      <c r="CT15" s="178"/>
      <c r="CU15" s="178"/>
      <c r="CV15" s="178"/>
      <c r="CW15" s="178"/>
      <c r="CX15" s="178"/>
      <c r="CY15" s="178"/>
      <c r="CZ15" s="179"/>
      <c r="DA15" s="178"/>
      <c r="DB15" s="178"/>
      <c r="DC15" s="178"/>
      <c r="DD15" s="178"/>
      <c r="DE15" s="178"/>
      <c r="DF15" s="178"/>
      <c r="DG15" s="178"/>
      <c r="DH15" s="178"/>
      <c r="DI15" s="178"/>
      <c r="DJ15" s="178"/>
      <c r="DK15" s="178"/>
      <c r="DL15" s="178"/>
      <c r="DM15" s="178"/>
      <c r="DN15" s="178"/>
      <c r="DO15" s="178"/>
      <c r="DP15" s="178"/>
      <c r="DQ15" s="178"/>
      <c r="DR15" s="178"/>
      <c r="DS15" s="178"/>
      <c r="DT15" s="178"/>
      <c r="DU15" s="178"/>
      <c r="DV15" s="178"/>
      <c r="DW15" s="178"/>
      <c r="DX15" s="178"/>
      <c r="DY15" s="178"/>
      <c r="DZ15" s="178"/>
      <c r="EA15" s="178"/>
      <c r="EB15" s="178"/>
      <c r="EC15" s="178"/>
      <c r="ED15" s="179"/>
      <c r="EE15" s="178"/>
      <c r="EF15" s="178"/>
      <c r="EG15" s="178"/>
      <c r="EH15" s="178"/>
      <c r="EI15" s="178"/>
      <c r="EJ15" s="178"/>
      <c r="EK15" s="178"/>
      <c r="EL15" s="178"/>
      <c r="EM15" s="178"/>
      <c r="EN15" s="178"/>
      <c r="EO15" s="178"/>
      <c r="EP15" s="178"/>
      <c r="EQ15" s="178"/>
      <c r="ER15" s="178"/>
      <c r="ES15" s="178"/>
      <c r="ET15" s="178"/>
      <c r="EU15" s="178"/>
      <c r="EV15" s="178"/>
      <c r="EW15" s="178"/>
      <c r="EX15" s="178"/>
      <c r="EY15" s="178"/>
      <c r="EZ15" s="178"/>
      <c r="FA15" s="178"/>
      <c r="FB15" s="178"/>
      <c r="FC15" s="178"/>
      <c r="FD15" s="178"/>
      <c r="FE15" s="178"/>
      <c r="FF15" s="178"/>
      <c r="FG15" s="178"/>
      <c r="FH15" s="178"/>
      <c r="FI15" s="178"/>
      <c r="FJ15" s="178"/>
      <c r="FK15" s="178"/>
      <c r="FL15" s="178"/>
      <c r="FM15" s="178"/>
      <c r="FN15" s="178"/>
      <c r="FO15" s="178"/>
      <c r="FP15" s="178"/>
      <c r="FQ15" s="178"/>
      <c r="FR15" s="178"/>
      <c r="FS15" s="178"/>
      <c r="FT15" s="178"/>
      <c r="FU15" s="178"/>
      <c r="FV15" s="178"/>
      <c r="FW15" s="178"/>
      <c r="FX15" s="178"/>
      <c r="FY15" s="178"/>
      <c r="FZ15" s="178"/>
      <c r="GA15" s="178"/>
      <c r="GB15" s="178"/>
      <c r="GC15" s="178"/>
      <c r="GD15" s="178"/>
      <c r="GE15" s="178"/>
      <c r="GF15" s="178"/>
      <c r="GG15" s="178"/>
      <c r="GH15" s="178"/>
      <c r="GI15" s="178"/>
      <c r="GJ15" s="178"/>
      <c r="GK15" s="178"/>
      <c r="GL15" s="178"/>
      <c r="GM15" s="178"/>
      <c r="GN15" s="178"/>
      <c r="GO15" s="178"/>
      <c r="GP15" s="178"/>
      <c r="GQ15" s="178"/>
      <c r="GR15" s="178"/>
      <c r="GS15" s="178"/>
      <c r="GT15" s="178"/>
      <c r="GU15" s="178"/>
      <c r="GV15" s="178"/>
      <c r="GW15" s="178"/>
      <c r="GX15" s="178"/>
      <c r="GY15" s="178"/>
      <c r="GZ15" s="178"/>
      <c r="HA15" s="178"/>
      <c r="HB15" s="178"/>
      <c r="HC15" s="178"/>
      <c r="HD15" s="178"/>
      <c r="HE15" s="178"/>
      <c r="HF15" s="178"/>
      <c r="HG15" s="178"/>
      <c r="HH15" s="178"/>
      <c r="HI15" s="178"/>
      <c r="HJ15" s="178"/>
      <c r="HK15" s="178"/>
      <c r="HL15" s="178"/>
      <c r="HM15" s="178"/>
      <c r="HN15" s="178"/>
      <c r="HO15" s="178"/>
      <c r="HP15" s="178"/>
      <c r="HQ15" s="178"/>
      <c r="HR15" s="178"/>
      <c r="HS15" s="178"/>
      <c r="HT15" s="178"/>
      <c r="HU15" s="178"/>
      <c r="HV15" s="178"/>
      <c r="HW15" s="178"/>
      <c r="HX15" s="180"/>
      <c r="HY15" s="180"/>
      <c r="HZ15" s="180"/>
      <c r="IA15" s="180"/>
      <c r="IB15" s="180"/>
      <c r="IC15" s="180"/>
      <c r="ID15" s="180"/>
      <c r="IE15" s="180"/>
      <c r="IF15" s="180"/>
      <c r="IG15" s="180"/>
      <c r="IH15" s="180"/>
      <c r="II15" s="180"/>
      <c r="IJ15" s="180"/>
      <c r="IK15" s="180"/>
      <c r="IL15" s="180"/>
      <c r="IM15" s="180"/>
      <c r="IN15" s="180"/>
      <c r="IO15" s="180"/>
      <c r="IP15" s="180"/>
      <c r="IQ15" s="180"/>
      <c r="IR15" s="180"/>
      <c r="IS15" s="180"/>
      <c r="IT15" s="180"/>
      <c r="IU15" s="180"/>
      <c r="IV15" s="180"/>
      <c r="IW15" s="180"/>
      <c r="IX15" s="180"/>
      <c r="IY15" s="180"/>
      <c r="IZ15" s="180"/>
      <c r="JA15" s="180"/>
      <c r="JB15" s="181"/>
      <c r="JC15" s="182"/>
      <c r="JD15" s="182"/>
      <c r="JE15" s="182"/>
      <c r="JF15" s="182"/>
      <c r="JG15" s="182"/>
      <c r="JH15" s="182"/>
      <c r="JI15" s="182"/>
      <c r="JJ15" s="182"/>
      <c r="JK15" s="183"/>
      <c r="JL15" s="182"/>
      <c r="JM15" s="182"/>
      <c r="JN15" s="182"/>
      <c r="JO15" s="182"/>
      <c r="JP15" s="183"/>
      <c r="JQ15" s="182"/>
      <c r="JR15" s="182"/>
      <c r="JS15" s="182"/>
      <c r="JT15" s="182"/>
      <c r="JU15" s="182"/>
      <c r="JV15" s="182"/>
      <c r="JW15" s="182"/>
      <c r="JX15" s="182"/>
      <c r="JY15" s="182"/>
      <c r="JZ15" s="182"/>
      <c r="KA15" s="182"/>
      <c r="KB15" s="182"/>
      <c r="KC15" s="182"/>
      <c r="KD15" s="182"/>
      <c r="KE15" s="183"/>
      <c r="KF15" s="183"/>
      <c r="KG15" s="183"/>
      <c r="KH15" s="169"/>
      <c r="KI15" s="184"/>
      <c r="KJ15" s="185"/>
      <c r="KK15" s="184"/>
      <c r="KL15" s="184"/>
      <c r="KM15" s="184"/>
      <c r="KN15" s="184"/>
      <c r="KO15" s="184"/>
      <c r="KP15" s="184"/>
      <c r="KQ15" s="184"/>
      <c r="KR15" s="184"/>
      <c r="KS15" s="184"/>
      <c r="KT15" s="184"/>
      <c r="KU15" s="184"/>
      <c r="KV15" s="184"/>
      <c r="KW15" s="184"/>
      <c r="KX15" s="184"/>
      <c r="KY15" s="184"/>
      <c r="KZ15" s="184"/>
      <c r="LA15" s="184"/>
      <c r="LB15" s="184"/>
      <c r="LC15" s="184"/>
      <c r="LD15" s="184"/>
      <c r="LE15" s="184"/>
      <c r="LF15" s="184"/>
      <c r="LG15" s="184"/>
      <c r="LH15" s="184"/>
      <c r="LI15" s="184"/>
      <c r="LJ15" s="184"/>
      <c r="LK15" s="184"/>
      <c r="LL15" s="184"/>
      <c r="LM15" s="184"/>
      <c r="LN15" s="169"/>
      <c r="LO15" s="90"/>
      <c r="LP15" s="90"/>
      <c r="LQ15" s="90"/>
      <c r="LR15" s="90"/>
      <c r="LS15" s="90"/>
      <c r="LT15" s="90"/>
      <c r="LU15" s="90">
        <v>7.1</v>
      </c>
      <c r="LV15" s="90">
        <v>7.1</v>
      </c>
      <c r="LW15" s="90">
        <v>7.1</v>
      </c>
      <c r="LX15" s="90">
        <v>7.5</v>
      </c>
      <c r="LY15" s="90"/>
      <c r="LZ15" s="90">
        <v>7.6</v>
      </c>
      <c r="MA15" s="90">
        <v>7.5</v>
      </c>
      <c r="MB15" s="90">
        <v>7.5</v>
      </c>
      <c r="MC15" s="90"/>
      <c r="MD15" s="90"/>
      <c r="ME15" s="90"/>
      <c r="MF15" s="90"/>
      <c r="MG15" s="90"/>
      <c r="MH15" s="90"/>
      <c r="MI15" s="90"/>
      <c r="MJ15" s="90"/>
      <c r="MK15" s="90"/>
      <c r="ML15" s="90"/>
      <c r="MM15" s="90"/>
      <c r="MN15" s="90"/>
      <c r="MO15" s="90"/>
      <c r="MP15" s="90"/>
      <c r="MQ15" s="90"/>
      <c r="MR15" s="90"/>
      <c r="MS15" s="90"/>
      <c r="MT15" s="127"/>
      <c r="MU15" s="96"/>
      <c r="MV15" s="96"/>
      <c r="MW15" s="96"/>
      <c r="MX15" s="96"/>
      <c r="MY15" s="96"/>
      <c r="MZ15" s="96"/>
      <c r="NA15" s="96"/>
      <c r="NB15" s="96"/>
      <c r="NC15" s="96"/>
      <c r="ND15" s="96"/>
      <c r="NE15" s="96">
        <v>4.0</v>
      </c>
      <c r="NF15" s="96"/>
      <c r="NG15" s="96"/>
      <c r="NH15" s="96"/>
      <c r="NI15" s="96"/>
      <c r="NJ15" s="96"/>
      <c r="NK15" s="96"/>
      <c r="NL15" s="96"/>
      <c r="NM15" s="96"/>
      <c r="NN15" s="96"/>
      <c r="NO15" s="96"/>
      <c r="NP15" s="96"/>
      <c r="NQ15" s="96"/>
      <c r="NR15" s="96"/>
      <c r="NS15" s="96"/>
      <c r="NT15" s="96"/>
      <c r="NU15" s="96"/>
      <c r="NV15" s="96"/>
      <c r="NW15" s="96"/>
      <c r="NX15" s="96"/>
      <c r="NY15" s="96"/>
      <c r="NZ15" s="186"/>
      <c r="OA15" s="187"/>
      <c r="OB15" s="187"/>
      <c r="OC15" s="187"/>
      <c r="OD15" s="187"/>
      <c r="OE15" s="187"/>
      <c r="OF15" s="187"/>
      <c r="OG15" s="187"/>
      <c r="OH15" s="187"/>
      <c r="OI15" s="187"/>
      <c r="OJ15" s="187"/>
      <c r="OK15" s="187"/>
      <c r="OL15" s="187"/>
    </row>
    <row r="16" ht="30.0" customHeight="1">
      <c r="A16" s="174"/>
      <c r="B16" s="188" t="s">
        <v>48</v>
      </c>
      <c r="C16" s="74">
        <f t="shared" si="7"/>
        <v>22.7</v>
      </c>
      <c r="D16" s="73">
        <f t="shared" si="8"/>
        <v>9.5</v>
      </c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76"/>
      <c r="AH16" s="176"/>
      <c r="AI16" s="176"/>
      <c r="AJ16" s="176"/>
      <c r="AK16" s="176"/>
      <c r="AL16" s="176"/>
      <c r="AM16" s="176"/>
      <c r="AN16" s="176"/>
      <c r="AO16" s="176"/>
      <c r="AP16" s="176"/>
      <c r="AQ16" s="176"/>
      <c r="AR16" s="176"/>
      <c r="AS16" s="176"/>
      <c r="AT16" s="176"/>
      <c r="AU16" s="176"/>
      <c r="AV16" s="176"/>
      <c r="AW16" s="176"/>
      <c r="AX16" s="176"/>
      <c r="AY16" s="176"/>
      <c r="AZ16" s="176"/>
      <c r="BA16" s="176"/>
      <c r="BB16" s="176"/>
      <c r="BC16" s="176"/>
      <c r="BD16" s="176"/>
      <c r="BE16" s="176"/>
      <c r="BF16" s="176"/>
      <c r="BG16" s="176"/>
      <c r="BH16" s="176"/>
      <c r="BI16" s="176"/>
      <c r="BJ16" s="176"/>
      <c r="BK16" s="176"/>
      <c r="BL16" s="176"/>
      <c r="BM16" s="176"/>
      <c r="BN16" s="176"/>
      <c r="BO16" s="176"/>
      <c r="BP16" s="176"/>
      <c r="BQ16" s="176"/>
      <c r="BR16" s="176"/>
      <c r="BS16" s="176"/>
      <c r="BT16" s="176"/>
      <c r="BU16" s="177"/>
      <c r="BV16" s="176"/>
      <c r="BW16" s="176"/>
      <c r="BX16" s="176"/>
      <c r="BY16" s="176"/>
      <c r="BZ16" s="178"/>
      <c r="CA16" s="178"/>
      <c r="CB16" s="178"/>
      <c r="CC16" s="178"/>
      <c r="CD16" s="178"/>
      <c r="CE16" s="178"/>
      <c r="CF16" s="178"/>
      <c r="CG16" s="178"/>
      <c r="CH16" s="178"/>
      <c r="CI16" s="178"/>
      <c r="CJ16" s="178"/>
      <c r="CK16" s="178"/>
      <c r="CL16" s="178"/>
      <c r="CM16" s="178"/>
      <c r="CN16" s="178"/>
      <c r="CO16" s="178"/>
      <c r="CP16" s="178"/>
      <c r="CQ16" s="178"/>
      <c r="CR16" s="178"/>
      <c r="CS16" s="178"/>
      <c r="CT16" s="178"/>
      <c r="CU16" s="178"/>
      <c r="CV16" s="178"/>
      <c r="CW16" s="178"/>
      <c r="CX16" s="178"/>
      <c r="CY16" s="178"/>
      <c r="CZ16" s="179"/>
      <c r="DA16" s="178"/>
      <c r="DB16" s="178"/>
      <c r="DC16" s="178"/>
      <c r="DD16" s="178"/>
      <c r="DE16" s="178"/>
      <c r="DF16" s="178"/>
      <c r="DG16" s="178"/>
      <c r="DH16" s="178"/>
      <c r="DI16" s="178"/>
      <c r="DJ16" s="178"/>
      <c r="DK16" s="178"/>
      <c r="DL16" s="178"/>
      <c r="DM16" s="178"/>
      <c r="DN16" s="178"/>
      <c r="DO16" s="178"/>
      <c r="DP16" s="178"/>
      <c r="DQ16" s="178"/>
      <c r="DR16" s="178"/>
      <c r="DS16" s="178"/>
      <c r="DT16" s="178"/>
      <c r="DU16" s="178"/>
      <c r="DV16" s="178"/>
      <c r="DW16" s="178"/>
      <c r="DX16" s="178"/>
      <c r="DY16" s="178"/>
      <c r="DZ16" s="178"/>
      <c r="EA16" s="178"/>
      <c r="EB16" s="178"/>
      <c r="EC16" s="178"/>
      <c r="ED16" s="179"/>
      <c r="EE16" s="178"/>
      <c r="EF16" s="178"/>
      <c r="EG16" s="178"/>
      <c r="EH16" s="178"/>
      <c r="EI16" s="178"/>
      <c r="EJ16" s="178"/>
      <c r="EK16" s="178"/>
      <c r="EL16" s="178"/>
      <c r="EM16" s="178"/>
      <c r="EN16" s="178"/>
      <c r="EO16" s="178"/>
      <c r="EP16" s="178"/>
      <c r="EQ16" s="178"/>
      <c r="ER16" s="178"/>
      <c r="ES16" s="178"/>
      <c r="ET16" s="178"/>
      <c r="EU16" s="178"/>
      <c r="EV16" s="178"/>
      <c r="EW16" s="178"/>
      <c r="EX16" s="178"/>
      <c r="EY16" s="178"/>
      <c r="EZ16" s="178"/>
      <c r="FA16" s="178"/>
      <c r="FB16" s="178"/>
      <c r="FC16" s="178"/>
      <c r="FD16" s="178"/>
      <c r="FE16" s="178"/>
      <c r="FF16" s="178"/>
      <c r="FG16" s="178"/>
      <c r="FH16" s="178"/>
      <c r="FI16" s="178"/>
      <c r="FJ16" s="178"/>
      <c r="FK16" s="178"/>
      <c r="FL16" s="178"/>
      <c r="FM16" s="178"/>
      <c r="FN16" s="178"/>
      <c r="FO16" s="178"/>
      <c r="FP16" s="178"/>
      <c r="FQ16" s="178"/>
      <c r="FR16" s="178"/>
      <c r="FS16" s="178"/>
      <c r="FT16" s="178"/>
      <c r="FU16" s="178"/>
      <c r="FV16" s="178"/>
      <c r="FW16" s="178"/>
      <c r="FX16" s="178"/>
      <c r="FY16" s="178"/>
      <c r="FZ16" s="178"/>
      <c r="GA16" s="178"/>
      <c r="GB16" s="178"/>
      <c r="GC16" s="178"/>
      <c r="GD16" s="178"/>
      <c r="GE16" s="178"/>
      <c r="GF16" s="178"/>
      <c r="GG16" s="178"/>
      <c r="GH16" s="178"/>
      <c r="GI16" s="178"/>
      <c r="GJ16" s="178"/>
      <c r="GK16" s="178"/>
      <c r="GL16" s="178"/>
      <c r="GM16" s="178"/>
      <c r="GN16" s="178"/>
      <c r="GO16" s="178"/>
      <c r="GP16" s="178"/>
      <c r="GQ16" s="178"/>
      <c r="GR16" s="178"/>
      <c r="GS16" s="178"/>
      <c r="GT16" s="178"/>
      <c r="GU16" s="178"/>
      <c r="GV16" s="178"/>
      <c r="GW16" s="178"/>
      <c r="GX16" s="178"/>
      <c r="GY16" s="178"/>
      <c r="GZ16" s="178"/>
      <c r="HA16" s="178"/>
      <c r="HB16" s="178"/>
      <c r="HC16" s="178"/>
      <c r="HD16" s="178"/>
      <c r="HE16" s="178"/>
      <c r="HF16" s="178"/>
      <c r="HG16" s="178"/>
      <c r="HH16" s="178"/>
      <c r="HI16" s="178"/>
      <c r="HJ16" s="178"/>
      <c r="HK16" s="178"/>
      <c r="HL16" s="178"/>
      <c r="HM16" s="178"/>
      <c r="HN16" s="178"/>
      <c r="HO16" s="178"/>
      <c r="HP16" s="178"/>
      <c r="HQ16" s="178"/>
      <c r="HR16" s="178"/>
      <c r="HS16" s="178"/>
      <c r="HT16" s="178"/>
      <c r="HU16" s="178"/>
      <c r="HV16" s="178"/>
      <c r="HW16" s="178"/>
      <c r="HX16" s="180"/>
      <c r="HY16" s="180"/>
      <c r="HZ16" s="180"/>
      <c r="IA16" s="180"/>
      <c r="IB16" s="180"/>
      <c r="IC16" s="180"/>
      <c r="ID16" s="180"/>
      <c r="IE16" s="180"/>
      <c r="IF16" s="180"/>
      <c r="IG16" s="180"/>
      <c r="IH16" s="180"/>
      <c r="II16" s="180"/>
      <c r="IJ16" s="180"/>
      <c r="IK16" s="180"/>
      <c r="IL16" s="180"/>
      <c r="IM16" s="180"/>
      <c r="IN16" s="180"/>
      <c r="IO16" s="180"/>
      <c r="IP16" s="180"/>
      <c r="IQ16" s="180"/>
      <c r="IR16" s="180"/>
      <c r="IS16" s="180"/>
      <c r="IT16" s="180"/>
      <c r="IU16" s="180"/>
      <c r="IV16" s="180"/>
      <c r="IW16" s="180"/>
      <c r="IX16" s="180"/>
      <c r="IY16" s="180"/>
      <c r="IZ16" s="180"/>
      <c r="JA16" s="180"/>
      <c r="JB16" s="181"/>
      <c r="JC16" s="182"/>
      <c r="JD16" s="182"/>
      <c r="JE16" s="182"/>
      <c r="JF16" s="182"/>
      <c r="JG16" s="182"/>
      <c r="JH16" s="182"/>
      <c r="JI16" s="182"/>
      <c r="JJ16" s="182"/>
      <c r="JK16" s="183"/>
      <c r="JL16" s="182"/>
      <c r="JM16" s="182"/>
      <c r="JN16" s="182"/>
      <c r="JO16" s="182"/>
      <c r="JP16" s="183"/>
      <c r="JQ16" s="182"/>
      <c r="JR16" s="182"/>
      <c r="JS16" s="182"/>
      <c r="JT16" s="182"/>
      <c r="JU16" s="182"/>
      <c r="JV16" s="182"/>
      <c r="JW16" s="182"/>
      <c r="JX16" s="182"/>
      <c r="JY16" s="182"/>
      <c r="JZ16" s="182"/>
      <c r="KA16" s="182"/>
      <c r="KB16" s="182"/>
      <c r="KC16" s="182"/>
      <c r="KD16" s="182"/>
      <c r="KE16" s="183"/>
      <c r="KF16" s="183"/>
      <c r="KG16" s="183"/>
      <c r="KH16" s="169"/>
      <c r="KI16" s="184"/>
      <c r="KJ16" s="185"/>
      <c r="KK16" s="184"/>
      <c r="KL16" s="184"/>
      <c r="KM16" s="184"/>
      <c r="KN16" s="184"/>
      <c r="KO16" s="184"/>
      <c r="KP16" s="184"/>
      <c r="KQ16" s="184"/>
      <c r="KR16" s="184"/>
      <c r="KS16" s="184"/>
      <c r="KT16" s="184"/>
      <c r="KU16" s="184"/>
      <c r="KV16" s="184"/>
      <c r="KW16" s="184"/>
      <c r="KX16" s="184"/>
      <c r="KY16" s="184"/>
      <c r="KZ16" s="184"/>
      <c r="LA16" s="184"/>
      <c r="LB16" s="184"/>
      <c r="LC16" s="184"/>
      <c r="LD16" s="184"/>
      <c r="LE16" s="184"/>
      <c r="LF16" s="184"/>
      <c r="LG16" s="184"/>
      <c r="LH16" s="184"/>
      <c r="LI16" s="184"/>
      <c r="LJ16" s="184"/>
      <c r="LK16" s="184"/>
      <c r="LL16" s="184"/>
      <c r="LM16" s="184"/>
      <c r="LN16" s="169"/>
      <c r="LO16" s="90"/>
      <c r="LP16" s="90"/>
      <c r="LQ16" s="90"/>
      <c r="LR16" s="90"/>
      <c r="LS16" s="90"/>
      <c r="LT16" s="90"/>
      <c r="LU16" s="90"/>
      <c r="LV16" s="90"/>
      <c r="LW16" s="90"/>
      <c r="LX16" s="90">
        <v>6.0</v>
      </c>
      <c r="LY16" s="90"/>
      <c r="LZ16" s="90">
        <v>9.0</v>
      </c>
      <c r="MA16" s="90">
        <v>7.7</v>
      </c>
      <c r="MB16" s="90"/>
      <c r="MC16" s="90"/>
      <c r="MD16" s="90"/>
      <c r="ME16" s="90"/>
      <c r="MF16" s="90"/>
      <c r="MG16" s="90"/>
      <c r="MH16" s="90"/>
      <c r="MI16" s="90"/>
      <c r="MJ16" s="90"/>
      <c r="MK16" s="90"/>
      <c r="ML16" s="90"/>
      <c r="MM16" s="90"/>
      <c r="MN16" s="90"/>
      <c r="MO16" s="90"/>
      <c r="MP16" s="90"/>
      <c r="MQ16" s="90"/>
      <c r="MR16" s="90"/>
      <c r="MS16" s="90"/>
      <c r="MT16" s="127"/>
      <c r="MU16" s="96"/>
      <c r="MV16" s="96"/>
      <c r="MW16" s="96"/>
      <c r="MX16" s="96"/>
      <c r="MY16" s="96"/>
      <c r="MZ16" s="96"/>
      <c r="NA16" s="96"/>
      <c r="NB16" s="96"/>
      <c r="NC16" s="96"/>
      <c r="ND16" s="96"/>
      <c r="NE16" s="96">
        <v>7.5</v>
      </c>
      <c r="NF16" s="96">
        <v>2.0</v>
      </c>
      <c r="NG16" s="96"/>
      <c r="NH16" s="96"/>
      <c r="NI16" s="96"/>
      <c r="NJ16" s="96"/>
      <c r="NK16" s="96"/>
      <c r="NL16" s="96"/>
      <c r="NM16" s="96"/>
      <c r="NN16" s="96"/>
      <c r="NO16" s="96"/>
      <c r="NP16" s="96"/>
      <c r="NQ16" s="96"/>
      <c r="NR16" s="96"/>
      <c r="NS16" s="96"/>
      <c r="NT16" s="96"/>
      <c r="NU16" s="96"/>
      <c r="NV16" s="96"/>
      <c r="NW16" s="96"/>
      <c r="NX16" s="96"/>
      <c r="NY16" s="96"/>
      <c r="NZ16" s="186"/>
      <c r="OA16" s="187"/>
      <c r="OB16" s="187"/>
      <c r="OC16" s="187"/>
      <c r="OD16" s="187"/>
      <c r="OE16" s="187"/>
      <c r="OF16" s="187"/>
      <c r="OG16" s="187"/>
      <c r="OH16" s="187"/>
      <c r="OI16" s="187"/>
      <c r="OJ16" s="187"/>
      <c r="OK16" s="187"/>
      <c r="OL16" s="187"/>
    </row>
  </sheetData>
  <mergeCells count="1">
    <mergeCell ref="X1:AN1"/>
  </mergeCells>
  <conditionalFormatting sqref="E1:E16">
    <cfRule type="notContainsBlanks" dxfId="3" priority="1">
      <formula>LEN(TRIM(E1))&gt;0</formula>
    </cfRule>
  </conditionalFormatting>
  <conditionalFormatting sqref="KI6:LL16 LO6:MS16">
    <cfRule type="containsText" dxfId="4" priority="2" operator="containsText" text="x">
      <formula>NOT(ISERROR(SEARCH(("x"),(KI6))))</formula>
    </cfRule>
  </conditionalFormatting>
  <conditionalFormatting sqref="LM1:LM16">
    <cfRule type="cellIs" dxfId="5" priority="3" operator="greaterThan">
      <formula>0</formula>
    </cfRule>
  </conditionalFormatting>
  <conditionalFormatting sqref="LG8 MM8">
    <cfRule type="notContainsBlanks" dxfId="6" priority="4">
      <formula>LEN(TRIM(LG8))&gt;0</formula>
    </cfRule>
  </conditionalFormatting>
  <conditionalFormatting sqref="KI6:LL16 LO6:MS16">
    <cfRule type="containsBlanks" dxfId="6" priority="5">
      <formula>LEN(TRIM(KI6))=0</formula>
    </cfRule>
  </conditionalFormatting>
  <conditionalFormatting sqref="KI6:LL16 LO6:MS16">
    <cfRule type="cellIs" dxfId="7" priority="6" operator="greaterThan">
      <formula>0</formula>
    </cfRule>
  </conditionalFormatting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9.11"/>
    <col customWidth="1" min="2" max="7" width="15.33"/>
    <col customWidth="1" min="8" max="8" width="21.22"/>
  </cols>
  <sheetData>
    <row r="1" ht="36.0" customHeight="1">
      <c r="A1" s="204"/>
      <c r="B1" s="205"/>
      <c r="C1" s="205"/>
      <c r="D1" s="205"/>
      <c r="E1" s="205"/>
      <c r="F1" s="205"/>
      <c r="G1" s="205"/>
      <c r="H1" s="206"/>
    </row>
    <row r="2" ht="36.0" customHeight="1">
      <c r="A2" s="207"/>
      <c r="B2" s="208"/>
      <c r="C2" s="209"/>
      <c r="D2" s="209"/>
      <c r="E2" s="210"/>
      <c r="F2" s="210"/>
      <c r="G2" s="210"/>
      <c r="H2" s="211"/>
    </row>
    <row r="3" ht="24.0" customHeight="1">
      <c r="A3" s="8"/>
      <c r="B3" s="212"/>
      <c r="C3" s="212"/>
      <c r="D3" s="212"/>
      <c r="E3" s="212"/>
      <c r="F3" s="212"/>
      <c r="G3" s="212"/>
      <c r="H3" s="213"/>
    </row>
    <row r="4" ht="36.0" customHeight="1">
      <c r="A4" s="11" t="s">
        <v>1</v>
      </c>
      <c r="B4" s="214" t="s">
        <v>88</v>
      </c>
      <c r="C4" s="214" t="s">
        <v>89</v>
      </c>
      <c r="D4" s="215" t="s">
        <v>3</v>
      </c>
      <c r="E4" s="215" t="s">
        <v>6</v>
      </c>
      <c r="F4" s="214" t="s">
        <v>90</v>
      </c>
      <c r="G4" s="214" t="s">
        <v>91</v>
      </c>
      <c r="H4" s="215" t="s">
        <v>8</v>
      </c>
    </row>
    <row r="5" ht="36.0" customHeight="1">
      <c r="A5" s="11"/>
      <c r="B5" s="214"/>
      <c r="C5" s="214"/>
      <c r="D5" s="215"/>
      <c r="E5" s="215"/>
      <c r="F5" s="214"/>
      <c r="G5" s="214"/>
      <c r="H5" s="215"/>
    </row>
    <row r="6" ht="27.0" customHeight="1">
      <c r="A6" s="218" t="s">
        <v>38</v>
      </c>
      <c r="B6" s="321">
        <v>300.0</v>
      </c>
      <c r="C6" s="220">
        <f t="shared" ref="C6:C8" si="1">D6/26/9</f>
        <v>2777.777778</v>
      </c>
      <c r="D6" s="219">
        <v>650000.0</v>
      </c>
      <c r="E6" s="219">
        <v>0.0</v>
      </c>
      <c r="F6" s="222">
        <v>125000.0</v>
      </c>
      <c r="G6" s="322"/>
      <c r="H6" s="221">
        <f t="shared" ref="H6:H8" si="2">B6+(G6)*1.5*(C6)-E6+F6</f>
        <v>958333.3333</v>
      </c>
    </row>
    <row r="7" ht="27.0" customHeight="1">
      <c r="A7" s="218" t="s">
        <v>9</v>
      </c>
      <c r="B7" s="321">
        <f>'الحظور'!C7</f>
        <v>67</v>
      </c>
      <c r="C7" s="220">
        <f t="shared" si="1"/>
        <v>2777.777778</v>
      </c>
      <c r="D7" s="222">
        <v>650000.0</v>
      </c>
      <c r="E7" s="219">
        <f>'السلف و الغرامات'!C7</f>
        <v>0</v>
      </c>
      <c r="F7" s="222">
        <v>100000.0</v>
      </c>
      <c r="G7" s="322"/>
      <c r="H7" s="221">
        <f t="shared" si="2"/>
        <v>286111.1111</v>
      </c>
    </row>
    <row r="8" ht="27.0" customHeight="1">
      <c r="A8" s="218" t="s">
        <v>21</v>
      </c>
      <c r="B8" s="321">
        <f>'الحظور'!C8</f>
        <v>72</v>
      </c>
      <c r="C8" s="220">
        <f t="shared" si="1"/>
        <v>2991.452991</v>
      </c>
      <c r="D8" s="219">
        <v>700000.0</v>
      </c>
      <c r="E8" s="219">
        <f>'السلف و الغرامات'!C8</f>
        <v>150000</v>
      </c>
      <c r="F8" s="222">
        <v>100000.0</v>
      </c>
      <c r="G8" s="322">
        <f>'الحظور'!D8</f>
        <v>14.85</v>
      </c>
      <c r="H8" s="221">
        <f t="shared" si="2"/>
        <v>232019.2308</v>
      </c>
    </row>
    <row r="9" ht="27.0" customHeight="1">
      <c r="A9" s="218" t="s">
        <v>42</v>
      </c>
      <c r="B9" s="321">
        <f>'الحظور'!C9</f>
        <v>0</v>
      </c>
      <c r="C9" s="220">
        <v>3000.0</v>
      </c>
      <c r="D9" s="221">
        <f>C9*(B9)</f>
        <v>0</v>
      </c>
      <c r="E9" s="219">
        <f>'السلف و الغرامات'!C9</f>
        <v>50000</v>
      </c>
      <c r="F9" s="222"/>
      <c r="G9" s="322">
        <f>'الحظور'!D9</f>
        <v>0</v>
      </c>
      <c r="H9" s="221">
        <f>D9-E9+F9</f>
        <v>-50000</v>
      </c>
    </row>
    <row r="10" ht="27.0" customHeight="1">
      <c r="A10" s="224" t="s">
        <v>12</v>
      </c>
      <c r="B10" s="321">
        <f>'الحظور'!C10</f>
        <v>24.5</v>
      </c>
      <c r="C10" s="220">
        <f t="shared" ref="C10:C16" si="3">D10/26/9</f>
        <v>1923.076923</v>
      </c>
      <c r="D10" s="219">
        <v>450000.0</v>
      </c>
      <c r="E10" s="219">
        <f>'السلف و الغرامات'!C10</f>
        <v>35000</v>
      </c>
      <c r="F10" s="222">
        <v>100000.0</v>
      </c>
      <c r="G10" s="322">
        <f>'الحظور'!D10</f>
        <v>10.5</v>
      </c>
      <c r="H10" s="221">
        <f t="shared" ref="H10:H16" si="4">B10+(G10)*1.5*(C10)-E10+F10</f>
        <v>142403.8462</v>
      </c>
    </row>
    <row r="11" ht="27.0" customHeight="1">
      <c r="A11" s="218" t="s">
        <v>44</v>
      </c>
      <c r="B11" s="321">
        <f>'الحظور'!C11</f>
        <v>52.75</v>
      </c>
      <c r="C11" s="220">
        <f t="shared" si="3"/>
        <v>2136.752137</v>
      </c>
      <c r="D11" s="219">
        <v>500000.0</v>
      </c>
      <c r="E11" s="219">
        <f>'السلف و الغرامات'!C11</f>
        <v>313000</v>
      </c>
      <c r="F11" s="222">
        <v>100000.0</v>
      </c>
      <c r="G11" s="322">
        <f>'الحظور'!D11</f>
        <v>0.6</v>
      </c>
      <c r="H11" s="221">
        <f t="shared" si="4"/>
        <v>-98363.24786</v>
      </c>
    </row>
    <row r="12" ht="27.0" customHeight="1">
      <c r="A12" s="218" t="s">
        <v>14</v>
      </c>
      <c r="B12" s="321">
        <f>'الحظور'!C12</f>
        <v>44</v>
      </c>
      <c r="C12" s="220">
        <f t="shared" si="3"/>
        <v>2136.752137</v>
      </c>
      <c r="D12" s="219">
        <v>500000.0</v>
      </c>
      <c r="E12" s="219">
        <f>'السلف و الغرامات'!C12</f>
        <v>108000</v>
      </c>
      <c r="F12" s="222">
        <v>100000.0</v>
      </c>
      <c r="G12" s="322">
        <f>'الحظور'!D12</f>
        <v>6.1</v>
      </c>
      <c r="H12" s="221">
        <f t="shared" si="4"/>
        <v>105568.3761</v>
      </c>
    </row>
    <row r="13" ht="27.0" customHeight="1">
      <c r="A13" s="218" t="s">
        <v>46</v>
      </c>
      <c r="B13" s="321">
        <f>'الحظور'!C13</f>
        <v>60.25</v>
      </c>
      <c r="C13" s="220">
        <f t="shared" si="3"/>
        <v>1923.076923</v>
      </c>
      <c r="D13" s="219">
        <v>450000.0</v>
      </c>
      <c r="E13" s="219">
        <f>'السلف و الغرامات'!C13</f>
        <v>170000</v>
      </c>
      <c r="F13" s="222">
        <v>100000.0</v>
      </c>
      <c r="G13" s="322">
        <f>'الحظور'!D13</f>
        <v>7.5</v>
      </c>
      <c r="H13" s="221">
        <f t="shared" si="4"/>
        <v>67500</v>
      </c>
    </row>
    <row r="14" ht="27.0" customHeight="1">
      <c r="A14" s="218" t="s">
        <v>24</v>
      </c>
      <c r="B14" s="321">
        <f>'الحظور'!C14</f>
        <v>52</v>
      </c>
      <c r="C14" s="220">
        <f t="shared" si="3"/>
        <v>1709.401709</v>
      </c>
      <c r="D14" s="219">
        <v>400000.0</v>
      </c>
      <c r="E14" s="219">
        <f>'السلف و الغرامات'!C14</f>
        <v>35000</v>
      </c>
      <c r="F14" s="222">
        <v>100000.0</v>
      </c>
      <c r="G14" s="322">
        <f>'الحظور'!D14</f>
        <v>13.75</v>
      </c>
      <c r="H14" s="221">
        <f t="shared" si="4"/>
        <v>189145.2991</v>
      </c>
    </row>
    <row r="15" ht="27.0" customHeight="1">
      <c r="A15" s="225" t="s">
        <v>47</v>
      </c>
      <c r="B15" s="321">
        <f>'الحظور'!C15</f>
        <v>51.4</v>
      </c>
      <c r="C15" s="220">
        <f t="shared" si="3"/>
        <v>1495.726496</v>
      </c>
      <c r="D15" s="323">
        <v>350000.0</v>
      </c>
      <c r="E15" s="219">
        <f>'السلف و الغرامات'!C15</f>
        <v>0</v>
      </c>
      <c r="F15" s="324">
        <v>100000.0</v>
      </c>
      <c r="G15" s="322">
        <f>'الحظور'!D15</f>
        <v>4</v>
      </c>
      <c r="H15" s="221">
        <f t="shared" si="4"/>
        <v>185854.7009</v>
      </c>
    </row>
    <row r="16" ht="27.0" customHeight="1">
      <c r="A16" s="225" t="s">
        <v>48</v>
      </c>
      <c r="B16" s="321">
        <f>'الحظور'!C16</f>
        <v>22.7</v>
      </c>
      <c r="C16" s="220">
        <f t="shared" si="3"/>
        <v>2991.452991</v>
      </c>
      <c r="D16" s="323">
        <v>700000.0</v>
      </c>
      <c r="E16" s="219">
        <f>'السلف و الغرامات'!C16</f>
        <v>0</v>
      </c>
      <c r="F16" s="324">
        <v>100000.0</v>
      </c>
      <c r="G16" s="322">
        <f>'الحظور'!D16</f>
        <v>9.5</v>
      </c>
      <c r="H16" s="221">
        <f t="shared" si="4"/>
        <v>210534.188</v>
      </c>
    </row>
  </sheetData>
  <conditionalFormatting sqref="A1:B2">
    <cfRule type="notContainsBlanks" dxfId="6" priority="1">
      <formula>LEN(TRIM(A1))&gt;0</formula>
    </cfRule>
  </conditionalFormatting>
  <conditionalFormatting sqref="H1:H16">
    <cfRule type="cellIs" dxfId="11" priority="2" operator="lessThan">
      <formula>0</formula>
    </cfRule>
  </conditionalFormatting>
  <conditionalFormatting sqref="H1:H16">
    <cfRule type="cellIs" dxfId="12" priority="3" operator="greaterThanOrEqual">
      <formula>500000</formula>
    </cfRule>
  </conditionalFormatting>
  <drawing r:id="rId1"/>
</worksheet>
</file>