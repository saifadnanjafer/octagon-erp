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رواتب" sheetId="1" r:id="rId5"/>
    <sheet state="visible" name="الحظور" sheetId="2" r:id="rId6"/>
    <sheet state="visible" name="Sheet15" sheetId="3" r:id="rId7"/>
    <sheet state="visible" name="Sheet16" sheetId="4" r:id="rId8"/>
    <sheet state="visible" name="رواتب شهر السابع" sheetId="5" r:id="rId9"/>
    <sheet state="visible" name="رواتب شهر السادس" sheetId="6" r:id="rId10"/>
    <sheet state="visible" name="السلف و الغرامات" sheetId="7" r:id="rId11"/>
    <sheet state="visible" name="٧ السلف و الغرامات" sheetId="8" r:id="rId12"/>
    <sheet state="visible" name="الحضور 1" sheetId="9" r:id="rId13"/>
    <sheet state="visible" name="رواتب جديد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tc={3424c618-e760-491c-91de-bd49b1fa6fef}</author>
    <author>tc={3c90492a-690b-4b73-a89f-1910bc2a3088}</author>
    <author>tc={71fd0d55-6b54-4d79-8233-21107beaa294}</author>
    <author>tc={8d7d32a7-d2b0-4362-baa5-11dc1b9de983}</author>
    <author>tc={dd9e267c-af75-43ff-9f98-52e83cbbeb7b}</author>
    <author>tc={e63ddd94-a2dd-4bb2-88e4-ceb97fb8a743}</author>
    <author>tc={f4d09df1-e287-45e5-965f-e839ecbbd24e}</author>
  </authors>
  <commentList>
    <comment authorId="0" xr:uid="{3424c618-e760-491c-91de-bd49b1fa6f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 ينة 4 ملم
</t>
      </text>
    </comment>
    <comment authorId="1" xr:uid="{3c90492a-690b-4b73-a89f-1910bc2a30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عقوبة مزدوجة غياب يومين
</t>
      </text>
    </comment>
    <comment authorId="2" xr:uid="{71fd0d55-6b54-4d79-8233-21107beaa2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برينة 4 ملم
</t>
      </text>
    </comment>
    <comment authorId="3" xr:uid="{8d7d32a7-d2b0-4362-baa5-11dc1b9de9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سلفة
</t>
      </text>
    </comment>
    <comment authorId="4" xr:uid="{dd9e267c-af75-43ff-9f98-52e83cbbeb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برينة 4 ملم و عدم اطفاء المكينة
</t>
      </text>
    </comment>
    <comment authorId="5" xr:uid="{e63ddd94-a2dd-4bb2-88e4-ceb97fb8a7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بوكس خطأ و تم الرفض
</t>
      </text>
    </comment>
    <comment authorId="6" xr:uid="{f4d09df1-e287-45e5-965f-e839ecbbd2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برينة 4 ملم عدم اطفاء المكينة
Reply:
	Marked as resolved
Reply:
	Re-opened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tc={a706bb70-4787-478e-8dba-e07c608c2521}</author>
    <author>tc={caadd4f8-b898-48ab-bc3b-63a6ed5d8bdb}</author>
  </authors>
  <commentList>
    <comment authorId="0" xr:uid="{a706bb70-4787-478e-8dba-e07c608c2521}" ref="I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جاي بس ما باصم
</t>
      </text>
    </comment>
    <comment authorId="1" xr:uid="{caadd4f8-b898-48ab-bc3b-63a6ed5d8bdb}" ref="J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خصم 12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tc={03a72af0-7e28-459c-8caa-c2d89d315cf7}</author>
    <author>tc={26e7f05c-f491-4dff-8fe3-6fee86ac65a1}</author>
    <author>tc={4a93f7ab-26d9-4008-a7dc-c11f4f818d36}</author>
    <author>tc={517be9ac-41a4-411a-a54b-2853ab1a08bf}</author>
    <author>tc={6abc731c-556c-4ea9-8ba2-184dc38c7571}</author>
    <author>tc={78cbbde1-993e-4dd4-80c8-be4acc54956d}</author>
    <author>tc={ae7d3f22-6396-4ab1-9d26-3b039fac586c}</author>
    <author>tc={ea54c984-799a-498a-852e-bbe28eaefac4}</author>
  </authors>
  <commentList>
    <comment authorId="0" xr:uid="{03a72af0-7e28-459c-8caa-c2d89d315cf7}" ref="Y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برينه
</t>
      </text>
    </comment>
    <comment authorId="1" xr:uid="{26e7f05c-f491-4dff-8fe3-6fee86ac65a1}" ref="F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سلفة
</t>
      </text>
    </comment>
    <comment authorId="2" xr:uid="{4a93f7ab-26d9-4008-a7dc-c11f4f818d36}" ref="B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
</t>
      </text>
    </comment>
    <comment authorId="3" xr:uid="{517be9ac-41a4-411a-a54b-2853ab1a08bf}" ref="E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خصم قيمة 20 ساعه اي يومام
</t>
      </text>
    </comment>
    <comment authorId="4" xr:uid="{6abc731c-556c-4ea9-8ba2-184dc38c7571}" ref="E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 بدون سييي
</t>
      </text>
    </comment>
    <comment authorId="5" xr:uid="{78cbbde1-993e-4dd4-80c8-be4acc54956d}" ref="E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 بدون سبب
</t>
      </text>
    </comment>
    <comment authorId="6" xr:uid="{ae7d3f22-6396-4ab1-9d26-3b039fac586c}" ref="BY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
</t>
      </text>
    </comment>
    <comment authorId="7" xr:uid="{ea54c984-799a-498a-852e-bbe28eaefac4}" ref="BY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
</t>
      </text>
    </comment>
  </commentList>
</comments>
</file>

<file path=xl/sharedStrings.xml><?xml version="1.0" encoding="utf-8"?>
<sst xmlns="http://schemas.openxmlformats.org/spreadsheetml/2006/main" count="532" uniqueCount="63">
  <si>
    <t>الرواتب</t>
  </si>
  <si>
    <t>الموظف</t>
  </si>
  <si>
    <t>الراتب الأسمي بالساعات</t>
  </si>
  <si>
    <t>الراتب الأسمي</t>
  </si>
  <si>
    <t>الساعات الاضافيه</t>
  </si>
  <si>
    <t>الحوافز</t>
  </si>
  <si>
    <t xml:space="preserve">القطوعات </t>
  </si>
  <si>
    <t>المستلم</t>
  </si>
  <si>
    <t>الأجمالي</t>
  </si>
  <si>
    <t>يوسف يعقوب</t>
  </si>
  <si>
    <t>يونس يعقوب</t>
  </si>
  <si>
    <t>منتظر عبد الكريم</t>
  </si>
  <si>
    <t>حيدر الصباغ</t>
  </si>
  <si>
    <t xml:space="preserve">حيدر الكهربائي </t>
  </si>
  <si>
    <t>علي الكهربائي</t>
  </si>
  <si>
    <t>اسماعيل</t>
  </si>
  <si>
    <t>علي هادي</t>
  </si>
  <si>
    <t>نبيل</t>
  </si>
  <si>
    <t>حسين</t>
  </si>
  <si>
    <t>محمد</t>
  </si>
  <si>
    <t>محمد السوري</t>
  </si>
  <si>
    <t>عبد الرضا عقيل</t>
  </si>
  <si>
    <t>سجاد</t>
  </si>
  <si>
    <t>معتصم</t>
  </si>
  <si>
    <t>عبدالله الصباغ</t>
  </si>
  <si>
    <t>علي جزيره</t>
  </si>
  <si>
    <t>اشرف الادقاني</t>
  </si>
  <si>
    <t>hhg</t>
  </si>
  <si>
    <t xml:space="preserve"> </t>
  </si>
  <si>
    <t xml:space="preserve">تاريخ  </t>
  </si>
  <si>
    <t>الساعات</t>
  </si>
  <si>
    <t>حيدر المحاسب</t>
  </si>
  <si>
    <t>x</t>
  </si>
  <si>
    <t>9,5</t>
  </si>
  <si>
    <t>مجاز</t>
  </si>
  <si>
    <t>محمد رشيد</t>
  </si>
  <si>
    <t>6,3</t>
  </si>
  <si>
    <t>وليد</t>
  </si>
  <si>
    <t>X</t>
  </si>
  <si>
    <t>حيدر يافوز</t>
  </si>
  <si>
    <t xml:space="preserve">أنوار كريم جواد  </t>
  </si>
  <si>
    <t>حسين مصطفى</t>
  </si>
  <si>
    <t>عبدالرضا عقيل</t>
  </si>
  <si>
    <t xml:space="preserve">TIME </t>
  </si>
  <si>
    <t xml:space="preserve">كرار رمضان </t>
  </si>
  <si>
    <t xml:space="preserve">ديون </t>
  </si>
  <si>
    <t xml:space="preserve">  </t>
  </si>
  <si>
    <t>الشهر</t>
  </si>
  <si>
    <t>السابق</t>
  </si>
  <si>
    <t xml:space="preserve">المجموع </t>
  </si>
  <si>
    <t>واردات سيف عدنان</t>
  </si>
  <si>
    <t>يوسف يعقوب قرض</t>
  </si>
  <si>
    <t>haidermudher28@gmail.com</t>
  </si>
  <si>
    <t xml:space="preserve"> 
</t>
  </si>
  <si>
    <t xml:space="preserve">
</t>
  </si>
  <si>
    <t>الحضور</t>
  </si>
  <si>
    <t>الاضافي</t>
  </si>
  <si>
    <t>الاضافية</t>
  </si>
  <si>
    <t>الاسم</t>
  </si>
  <si>
    <t>الساعات الشهرية</t>
  </si>
  <si>
    <t>الراتب الاسمي  بالساعات</t>
  </si>
  <si>
    <t>النقل + الطعام + حافز الالتزالم</t>
  </si>
  <si>
    <t>الساعات الاضافية و ايام العطل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</si>
</sst>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din]#,##0"/>
    <numFmt numFmtId="165" formatCode="m/d"/>
    <numFmt numFmtId="166" formatCode="#,##0;(#,##0)"/>
    <numFmt numFmtId="167" formatCode="#,##0.0"/>
    <numFmt numFmtId="168" formatCode="m&quot;/&quot;d&quot;/&quot;yyyy"/>
    <numFmt numFmtId="169" formatCode="[$ IQD   ]#,##0"/>
    <numFmt numFmtId="170" formatCode="ddd"/>
  </numFmts>
  <fonts count="73">
    <font>
      <sz val="10.0"/>
      <color rgb="FF000000"/>
      <name val="Verdana"/>
      <scheme val="minor"/>
    </font>
    <font>
      <sz val="12.0"/>
      <color rgb="FFC5CAE9"/>
      <name val="Roboto"/>
    </font>
    <font>
      <sz val="12.0"/>
      <color rgb="FFC5CAE9"/>
      <name val="Roboto Condensed"/>
    </font>
    <font>
      <sz val="18.0"/>
      <color rgb="FFFFFFFF"/>
      <name val="Roboto"/>
    </font>
    <font>
      <b/>
      <sz val="20.0"/>
      <color rgb="FFFFFFFF"/>
      <name val="Roboto"/>
    </font>
    <font/>
    <font>
      <color rgb="FF303F9F"/>
      <name val="Roboto"/>
    </font>
    <font>
      <i/>
      <color rgb="FF303F9F"/>
      <name val="Roboto"/>
    </font>
    <font>
      <b/>
      <sz val="13.0"/>
      <color rgb="FF303F9F"/>
      <name val="Roboto"/>
    </font>
    <font>
      <b/>
      <i/>
      <sz val="13.0"/>
      <color rgb="FF303F9F"/>
      <name val="Roboto"/>
    </font>
    <font>
      <b/>
      <sz val="17.0"/>
      <color rgb="FF303F9F"/>
      <name val="Roboto"/>
    </font>
    <font>
      <sz val="10.0"/>
      <color rgb="FF434343"/>
      <name val="Roboto"/>
    </font>
    <font>
      <sz val="10.0"/>
      <color theme="1"/>
      <name val="Roboto"/>
    </font>
    <font>
      <b/>
      <sz val="10.0"/>
      <color theme="1"/>
      <name val="Roboto"/>
    </font>
    <font>
      <sz val="12.0"/>
      <color rgb="FFFFFFFF"/>
      <name val="Roboto"/>
    </font>
    <font>
      <b/>
      <i/>
      <color rgb="FFC5CAE9"/>
      <name val="Roboto Condensed"/>
    </font>
    <font>
      <b/>
      <i/>
      <color rgb="FFC5CAE9"/>
      <name val="Roboto"/>
    </font>
    <font>
      <b/>
      <i/>
      <color rgb="FFFF0000"/>
      <name val="Roboto"/>
    </font>
    <font>
      <b/>
      <sz val="10.0"/>
      <color rgb="FF303F9F"/>
      <name val="Roboto"/>
    </font>
    <font>
      <b/>
      <color rgb="FF303F9F"/>
      <name val="Roboto"/>
    </font>
    <font>
      <b/>
      <color rgb="FFFF0000"/>
      <name val="Roboto"/>
    </font>
    <font>
      <b/>
      <sz val="12.0"/>
      <color rgb="FF0000FF"/>
      <name val="Roboto"/>
    </font>
    <font>
      <b/>
      <sz val="13.0"/>
      <color rgb="FF0000FF"/>
      <name val="Roboto"/>
    </font>
    <font>
      <b/>
      <sz val="13.0"/>
      <color rgb="FF666666"/>
      <name val="Roboto"/>
    </font>
    <font>
      <b/>
      <sz val="13.0"/>
      <color rgb="FFFF0000"/>
      <name val="Roboto"/>
    </font>
    <font>
      <b/>
      <sz val="13.0"/>
      <color theme="1"/>
      <name val="Roboto"/>
    </font>
    <font>
      <b/>
      <sz val="13.0"/>
      <color rgb="FF000000"/>
      <name val="Roboto"/>
    </font>
    <font>
      <b/>
      <sz val="13.0"/>
      <color rgb="FF000000"/>
      <name val="Verdana"/>
      <scheme val="minor"/>
    </font>
    <font>
      <b/>
      <sz val="13.0"/>
      <color theme="1"/>
      <name val="Verdana"/>
      <scheme val="minor"/>
    </font>
    <font>
      <b/>
      <sz val="10.0"/>
      <color rgb="FF1C4587"/>
      <name val="Roboto"/>
    </font>
    <font>
      <sz val="12.0"/>
      <color rgb="FF000000"/>
      <name val="Calibri"/>
    </font>
    <font>
      <b/>
      <sz val="12.0"/>
      <color rgb="FF000000"/>
      <name val="Calibri"/>
    </font>
    <font>
      <sz val="13.0"/>
      <color theme="1"/>
      <name val="Calibri"/>
    </font>
    <font>
      <sz val="13.0"/>
      <color rgb="FF000000"/>
      <name val="Calibri"/>
    </font>
    <font>
      <color rgb="FFC5CAE9"/>
      <name val="Roboto Condensed"/>
    </font>
    <font>
      <sz val="14.0"/>
      <color rgb="FFC5CAE9"/>
      <name val="Roboto"/>
    </font>
    <font>
      <b/>
      <sz val="14.0"/>
      <color rgb="FFC5CAE9"/>
      <name val="Roboto"/>
    </font>
    <font>
      <b/>
      <color rgb="FFFFFFFF"/>
      <name val="Roboto"/>
    </font>
    <font>
      <sz val="14.0"/>
      <color rgb="FFFFFFFF"/>
      <name val="Roboto"/>
    </font>
    <font>
      <b/>
      <sz val="14.0"/>
      <color rgb="FFFFFFFF"/>
      <name val="Roboto"/>
    </font>
    <font>
      <sz val="14.0"/>
      <color rgb="FF303F9F"/>
      <name val="Roboto"/>
    </font>
    <font>
      <b/>
      <sz val="14.0"/>
      <color rgb="FF303F9F"/>
      <name val="Roboto"/>
    </font>
    <font>
      <sz val="14.0"/>
      <color rgb="FF434343"/>
      <name val="Roboto"/>
    </font>
    <font>
      <b/>
      <sz val="14.0"/>
      <color rgb="FF434343"/>
      <name val="Roboto"/>
    </font>
    <font>
      <b/>
      <sz val="14.0"/>
      <color rgb="FF000000"/>
      <name val="Roboto"/>
    </font>
    <font>
      <b/>
      <sz val="14.0"/>
      <color theme="1"/>
      <name val="Roboto"/>
    </font>
    <font>
      <color theme="1"/>
      <name val="Verdana"/>
      <scheme val="minor"/>
    </font>
    <font>
      <b/>
      <sz val="11.0"/>
      <color rgb="FF0000FF"/>
      <name val="Roboto"/>
    </font>
    <font>
      <b/>
      <sz val="11.0"/>
      <color rgb="FF434343"/>
      <name val="Roboto"/>
    </font>
    <font>
      <b/>
      <sz val="11.0"/>
      <color rgb="FF000000"/>
      <name val="Roboto"/>
    </font>
    <font>
      <sz val="11.0"/>
      <color theme="1"/>
      <name val="Verdana"/>
      <scheme val="minor"/>
    </font>
    <font>
      <b/>
      <sz val="11.0"/>
      <color theme="1"/>
      <name val="Roboto"/>
    </font>
    <font>
      <b/>
      <sz val="12.0"/>
      <color rgb="FFFFFFFF"/>
      <name val="Roboto"/>
    </font>
    <font>
      <i/>
      <color rgb="FFC5CAE9"/>
      <name val="Roboto"/>
    </font>
    <font>
      <color theme="1"/>
      <name val="Calibri"/>
    </font>
    <font>
      <b/>
      <color theme="1"/>
      <name val="Calibri"/>
    </font>
    <font>
      <b/>
      <sz val="12.0"/>
      <color rgb="FF000000"/>
      <name val="Roboto"/>
    </font>
    <font>
      <sz val="10.0"/>
      <color rgb="FF6772AD"/>
      <name val="Roboto"/>
    </font>
    <font>
      <b/>
      <color rgb="FF6772AD"/>
      <name val="Roboto"/>
    </font>
    <font>
      <b/>
      <color rgb="FF1C4587"/>
      <name val="Roboto"/>
    </font>
    <font>
      <b/>
      <color rgb="FF38761D"/>
      <name val="Roboto"/>
    </font>
    <font>
      <b/>
      <color rgb="FF0000FF"/>
      <name val="Roboto"/>
    </font>
    <font>
      <b/>
      <color theme="1"/>
      <name val="Roboto"/>
    </font>
    <font>
      <color theme="1"/>
      <name val="Roboto"/>
    </font>
    <font>
      <b/>
      <color rgb="FFCC0000"/>
      <name val="Roboto"/>
    </font>
    <font>
      <b/>
      <color rgb="FF000000"/>
      <name val="Roboto"/>
    </font>
    <font>
      <sz val="11.0"/>
      <color theme="1"/>
      <name val="Roboto"/>
    </font>
    <font>
      <u/>
      <sz val="12.0"/>
      <color rgb="FFFFFFFF"/>
      <name val="Roboto"/>
    </font>
    <font>
      <i/>
      <sz val="10.0"/>
      <color rgb="FF6772AD"/>
      <name val="Roboto"/>
    </font>
    <font>
      <b/>
      <sz val="10.0"/>
      <color rgb="FF6772AD"/>
      <name val="Roboto"/>
    </font>
    <font>
      <b/>
      <sz val="10.0"/>
      <color rgb="FFFF0000"/>
      <name val="Roboto"/>
    </font>
    <font>
      <b/>
      <i/>
      <sz val="10.0"/>
      <color rgb="FF6772AD"/>
      <name val="Roboto"/>
    </font>
    <font>
      <b/>
      <sz val="12.0"/>
      <color rgb="FF6772AD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23">
    <border/>
    <border>
      <bottom style="thin">
        <color rgb="FF303F9F"/>
      </bottom>
    </border>
    <border>
      <right style="thin">
        <color rgb="FFC5CAE9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bottom style="thin">
        <color rgb="FFC5CAE9"/>
      </bottom>
    </border>
    <border>
      <right style="thin">
        <color rgb="FFFFFFFF"/>
      </right>
      <top style="thin">
        <color rgb="FFFFFFFF"/>
      </top>
      <bottom style="thin">
        <color rgb="FFC5CAE9"/>
      </bottom>
    </border>
    <border>
      <right style="thin">
        <color rgb="FFFFFFFF"/>
      </right>
      <top style="thin">
        <color rgb="FFFFFFFF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/>
    </xf>
    <xf borderId="1" fillId="2" fontId="3" numFmtId="0" xfId="0" applyAlignment="1" applyBorder="1" applyFont="1">
      <alignment vertical="top"/>
    </xf>
    <xf borderId="1" fillId="2" fontId="4" numFmtId="0" xfId="0" applyAlignment="1" applyBorder="1" applyFont="1">
      <alignment horizontal="center" readingOrder="0" vertical="top"/>
    </xf>
    <xf borderId="1" fillId="0" fontId="5" numFmtId="0" xfId="0" applyBorder="1" applyFont="1"/>
    <xf borderId="0" fillId="2" fontId="3" numFmtId="0" xfId="0" applyAlignment="1" applyFont="1">
      <alignment vertical="top"/>
    </xf>
    <xf borderId="0" fillId="3" fontId="6" numFmtId="0" xfId="0" applyAlignment="1" applyFill="1" applyFont="1">
      <alignment shrinkToFit="0" vertical="bottom" wrapText="0"/>
    </xf>
    <xf borderId="0" fillId="3" fontId="7" numFmtId="0" xfId="0" applyAlignment="1" applyFont="1">
      <alignment horizontal="left" readingOrder="0" shrinkToFit="0" vertical="bottom" wrapText="0"/>
    </xf>
    <xf borderId="0" fillId="3" fontId="8" numFmtId="0" xfId="0" applyAlignment="1" applyFont="1">
      <alignment shrinkToFit="0" vertical="top" wrapText="0"/>
    </xf>
    <xf borderId="0" fillId="3" fontId="9" numFmtId="0" xfId="0" applyAlignment="1" applyFont="1">
      <alignment horizontal="left" readingOrder="0" shrinkToFit="0" vertical="top" wrapText="0"/>
    </xf>
    <xf borderId="0" fillId="3" fontId="10" numFmtId="0" xfId="0" applyAlignment="1" applyFont="1">
      <alignment horizontal="center" readingOrder="0" shrinkToFit="0" vertical="top" wrapText="0"/>
    </xf>
    <xf borderId="0" fillId="3" fontId="10" numFmtId="0" xfId="0" applyAlignment="1" applyFont="1">
      <alignment horizontal="center" readingOrder="0" shrinkToFit="0" vertical="top" wrapText="1"/>
    </xf>
    <xf borderId="0" fillId="0" fontId="11" numFmtId="0" xfId="0" applyFont="1"/>
    <xf borderId="0" fillId="0" fontId="11" numFmtId="0" xfId="0" applyAlignment="1" applyFont="1">
      <alignment horizontal="left"/>
    </xf>
    <xf borderId="0" fillId="4" fontId="11" numFmtId="0" xfId="0" applyFill="1" applyFont="1"/>
    <xf borderId="0" fillId="4" fontId="12" numFmtId="0" xfId="0" applyAlignment="1" applyFont="1">
      <alignment readingOrder="0" vertical="center"/>
    </xf>
    <xf borderId="2" fillId="0" fontId="13" numFmtId="0" xfId="0" applyAlignment="1" applyBorder="1" applyFont="1">
      <alignment readingOrder="0" vertical="center"/>
    </xf>
    <xf borderId="3" fillId="0" fontId="11" numFmtId="164" xfId="0" applyAlignment="1" applyBorder="1" applyFont="1" applyNumberFormat="1">
      <alignment readingOrder="0"/>
    </xf>
    <xf borderId="3" fillId="0" fontId="11" numFmtId="164" xfId="0" applyBorder="1" applyFont="1" applyNumberFormat="1"/>
    <xf borderId="3" fillId="0" fontId="11" numFmtId="0" xfId="0" applyBorder="1" applyFont="1"/>
    <xf borderId="3" fillId="0" fontId="11" numFmtId="164" xfId="0" applyBorder="1" applyFont="1" applyNumberFormat="1"/>
    <xf borderId="0" fillId="4" fontId="11" numFmtId="0" xfId="0" applyAlignment="1" applyFont="1">
      <alignment vertical="bottom"/>
    </xf>
    <xf borderId="3" fillId="0" fontId="11" numFmtId="0" xfId="0" applyAlignment="1" applyBorder="1" applyFont="1">
      <alignment vertical="bottom"/>
    </xf>
    <xf borderId="0" fillId="0" fontId="12" numFmtId="0" xfId="0" applyAlignment="1" applyFont="1">
      <alignment readingOrder="0" vertical="center"/>
    </xf>
    <xf borderId="0" fillId="0" fontId="11" numFmtId="0" xfId="0" applyAlignment="1" applyFont="1">
      <alignment vertical="bottom"/>
    </xf>
    <xf borderId="0" fillId="2" fontId="14" numFmtId="0" xfId="0" applyAlignment="1" applyFont="1">
      <alignment readingOrder="0" vertical="bottom"/>
    </xf>
    <xf borderId="4" fillId="2" fontId="15" numFmtId="0" xfId="0" applyAlignment="1" applyBorder="1" applyFont="1">
      <alignment horizontal="left" vertical="center"/>
    </xf>
    <xf borderId="5" fillId="2" fontId="15" numFmtId="0" xfId="0" applyAlignment="1" applyBorder="1" applyFont="1">
      <alignment horizontal="left" vertical="center"/>
    </xf>
    <xf borderId="6" fillId="0" fontId="5" numFmtId="0" xfId="0" applyBorder="1" applyFont="1"/>
    <xf borderId="7" fillId="0" fontId="5" numFmtId="0" xfId="0" applyBorder="1" applyFont="1"/>
    <xf borderId="4" fillId="2" fontId="16" numFmtId="0" xfId="0" applyAlignment="1" applyBorder="1" applyFont="1">
      <alignment horizontal="left" vertical="center"/>
    </xf>
    <xf borderId="4" fillId="2" fontId="17" numFmtId="0" xfId="0" applyAlignment="1" applyBorder="1" applyFont="1">
      <alignment horizontal="left" vertical="center"/>
    </xf>
    <xf borderId="4" fillId="2" fontId="16" numFmtId="0" xfId="0" applyAlignment="1" applyBorder="1" applyFont="1">
      <alignment horizontal="left" readingOrder="0" vertical="center"/>
    </xf>
    <xf borderId="4" fillId="5" fontId="16" numFmtId="0" xfId="0" applyAlignment="1" applyBorder="1" applyFill="1" applyFont="1">
      <alignment horizontal="left" vertical="center"/>
    </xf>
    <xf borderId="5" fillId="6" fontId="16" numFmtId="0" xfId="0" applyAlignment="1" applyBorder="1" applyFill="1" applyFont="1">
      <alignment horizontal="left" vertical="center"/>
    </xf>
    <xf borderId="7" fillId="6" fontId="16" numFmtId="0" xfId="0" applyAlignment="1" applyBorder="1" applyFont="1">
      <alignment horizontal="left" vertical="center"/>
    </xf>
    <xf borderId="4" fillId="6" fontId="16" numFmtId="0" xfId="0" applyAlignment="1" applyBorder="1" applyFont="1">
      <alignment horizontal="left" vertical="center"/>
    </xf>
    <xf borderId="0" fillId="0" fontId="18" numFmtId="0" xfId="0" applyAlignment="1" applyFont="1">
      <alignment horizontal="left" readingOrder="0" shrinkToFit="0" vertical="bottom" wrapText="0"/>
    </xf>
    <xf borderId="4" fillId="0" fontId="19" numFmtId="165" xfId="0" applyAlignment="1" applyBorder="1" applyFont="1" applyNumberFormat="1">
      <alignment horizontal="center" readingOrder="0" vertical="bottom"/>
    </xf>
    <xf borderId="4" fillId="0" fontId="20" numFmtId="165" xfId="0" applyAlignment="1" applyBorder="1" applyFont="1" applyNumberFormat="1">
      <alignment horizontal="center" readingOrder="0" vertical="bottom"/>
    </xf>
    <xf borderId="4" fillId="5" fontId="19" numFmtId="165" xfId="0" applyAlignment="1" applyBorder="1" applyFont="1" applyNumberForma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5" fillId="5" fontId="19" numFmtId="165" xfId="0" applyAlignment="1" applyBorder="1" applyFont="1" applyNumberFormat="1">
      <alignment horizontal="center" readingOrder="0" vertical="bottom"/>
    </xf>
    <xf borderId="7" fillId="0" fontId="19" numFmtId="165" xfId="0" applyAlignment="1" applyBorder="1" applyFont="1" applyNumberFormat="1">
      <alignment horizontal="center" readingOrder="0" vertical="bottom"/>
    </xf>
    <xf borderId="7" fillId="0" fontId="19" numFmtId="165" xfId="0" applyAlignment="1" applyBorder="1" applyFont="1" applyNumberFormat="1">
      <alignment horizontal="center" vertical="bottom"/>
    </xf>
    <xf borderId="4" fillId="0" fontId="19" numFmtId="165" xfId="0" applyAlignment="1" applyBorder="1" applyFont="1" applyNumberFormat="1">
      <alignment horizontal="center" vertical="bottom"/>
    </xf>
    <xf borderId="8" fillId="0" fontId="21" numFmtId="166" xfId="0" applyAlignment="1" applyBorder="1" applyFont="1" applyNumberFormat="1">
      <alignment horizontal="center" readingOrder="0" vertical="center"/>
    </xf>
    <xf borderId="8" fillId="0" fontId="22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horizontal="center" readingOrder="0" vertical="center"/>
    </xf>
    <xf borderId="7" fillId="0" fontId="23" numFmtId="0" xfId="0" applyAlignment="1" applyBorder="1" applyFont="1">
      <alignment horizontal="center" readingOrder="0" vertical="center"/>
    </xf>
    <xf borderId="4" fillId="0" fontId="23" numFmtId="0" xfId="0" applyAlignment="1" applyBorder="1" applyFont="1">
      <alignment horizontal="center" readingOrder="0" vertical="center"/>
    </xf>
    <xf borderId="4" fillId="0" fontId="24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center" vertical="center"/>
    </xf>
    <xf borderId="4" fillId="7" fontId="25" numFmtId="0" xfId="0" applyAlignment="1" applyBorder="1" applyFill="1" applyFont="1">
      <alignment horizontal="center" vertical="center"/>
    </xf>
    <xf borderId="4" fillId="8" fontId="25" numFmtId="0" xfId="0" applyAlignment="1" applyBorder="1" applyFill="1" applyFont="1">
      <alignment horizontal="center" vertical="center"/>
    </xf>
    <xf borderId="4" fillId="9" fontId="25" numFmtId="0" xfId="0" applyAlignment="1" applyBorder="1" applyFill="1" applyFont="1">
      <alignment horizontal="center" readingOrder="0" vertical="center"/>
    </xf>
    <xf borderId="4" fillId="10" fontId="26" numFmtId="0" xfId="0" applyAlignment="1" applyBorder="1" applyFill="1" applyFont="1">
      <alignment horizontal="center" readingOrder="0" vertical="center"/>
    </xf>
    <xf borderId="4" fillId="11" fontId="27" numFmtId="0" xfId="0" applyAlignment="1" applyBorder="1" applyFill="1" applyFont="1">
      <alignment readingOrder="0"/>
    </xf>
    <xf borderId="4" fillId="11" fontId="26" numFmtId="0" xfId="0" applyAlignment="1" applyBorder="1" applyFont="1">
      <alignment horizontal="center" readingOrder="0" vertical="center"/>
    </xf>
    <xf borderId="4" fillId="5" fontId="26" numFmtId="0" xfId="0" applyAlignment="1" applyBorder="1" applyFont="1">
      <alignment horizontal="center" readingOrder="0" vertical="center"/>
    </xf>
    <xf borderId="4" fillId="12" fontId="25" numFmtId="0" xfId="0" applyAlignment="1" applyBorder="1" applyFill="1" applyFont="1">
      <alignment horizontal="center" readingOrder="0" vertical="center"/>
    </xf>
    <xf borderId="4" fillId="13" fontId="25" numFmtId="0" xfId="0" applyAlignment="1" applyBorder="1" applyFill="1" applyFont="1">
      <alignment horizontal="center" readingOrder="0" vertical="center"/>
    </xf>
    <xf borderId="4" fillId="14" fontId="25" numFmtId="0" xfId="0" applyAlignment="1" applyBorder="1" applyFill="1" applyFont="1">
      <alignment horizontal="center" readingOrder="0" vertical="center"/>
    </xf>
    <xf borderId="5" fillId="12" fontId="25" numFmtId="0" xfId="0" applyAlignment="1" applyBorder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8" fillId="0" fontId="25" numFmtId="3" xfId="0" applyAlignment="1" applyBorder="1" applyFont="1" applyNumberForma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9" fillId="5" fontId="25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8" fillId="5" fontId="13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8" fillId="0" fontId="21" numFmtId="166" xfId="0" applyAlignment="1" applyBorder="1" applyFont="1" applyNumberFormat="1">
      <alignment horizontal="center" readingOrder="0" vertical="center"/>
    </xf>
    <xf borderId="9" fillId="0" fontId="22" numFmtId="3" xfId="0" applyAlignment="1" applyBorder="1" applyFont="1" applyNumberFormat="1">
      <alignment horizontal="center" readingOrder="0" vertical="center"/>
    </xf>
    <xf borderId="8" fillId="0" fontId="22" numFmtId="3" xfId="0" applyAlignment="1" applyBorder="1" applyFont="1" applyNumberFormat="1">
      <alignment horizontal="center" readingOrder="0" vertical="center"/>
    </xf>
    <xf borderId="4" fillId="0" fontId="23" numFmtId="4" xfId="0" applyAlignment="1" applyBorder="1" applyFont="1" applyNumberFormat="1">
      <alignment horizontal="center" readingOrder="0" vertical="center"/>
    </xf>
    <xf borderId="4" fillId="0" fontId="24" numFmtId="4" xfId="0" applyAlignment="1" applyBorder="1" applyFont="1" applyNumberFormat="1">
      <alignment horizontal="center" readingOrder="0" vertical="center"/>
    </xf>
    <xf borderId="4" fillId="0" fontId="25" numFmtId="0" xfId="0" applyAlignment="1" applyBorder="1" applyFont="1">
      <alignment horizontal="center" readingOrder="0" vertical="center"/>
    </xf>
    <xf borderId="4" fillId="15" fontId="25" numFmtId="0" xfId="0" applyAlignment="1" applyBorder="1" applyFill="1" applyFont="1">
      <alignment horizontal="center" readingOrder="0" vertical="center"/>
    </xf>
    <xf borderId="4" fillId="7" fontId="25" numFmtId="0" xfId="0" applyAlignment="1" applyBorder="1" applyFont="1">
      <alignment horizontal="center" readingOrder="0" vertical="center"/>
    </xf>
    <xf borderId="4" fillId="8" fontId="25" numFmtId="0" xfId="0" applyAlignment="1" applyBorder="1" applyFont="1">
      <alignment horizontal="center" readingOrder="0" vertical="center"/>
    </xf>
    <xf borderId="4" fillId="10" fontId="26" numFmtId="3" xfId="0" applyAlignment="1" applyBorder="1" applyFont="1" applyNumberFormat="1">
      <alignment horizontal="center" readingOrder="0" vertical="center"/>
    </xf>
    <xf borderId="4" fillId="5" fontId="26" numFmtId="3" xfId="0" applyAlignment="1" applyBorder="1" applyFont="1" applyNumberFormat="1">
      <alignment horizontal="center" readingOrder="0" vertical="center"/>
    </xf>
    <xf borderId="4" fillId="12" fontId="25" numFmtId="3" xfId="0" applyAlignment="1" applyBorder="1" applyFont="1" applyNumberFormat="1">
      <alignment horizontal="center" readingOrder="0" vertical="center"/>
    </xf>
    <xf borderId="5" fillId="12" fontId="25" numFmtId="3" xfId="0" applyAlignment="1" applyBorder="1" applyFont="1" applyNumberFormat="1">
      <alignment horizontal="center" readingOrder="0" vertical="center"/>
    </xf>
    <xf borderId="0" fillId="5" fontId="25" numFmtId="3" xfId="0" applyAlignment="1" applyFont="1" applyNumberFormat="1">
      <alignment horizontal="center" readingOrder="0" vertical="center"/>
    </xf>
    <xf borderId="9" fillId="5" fontId="25" numFmtId="3" xfId="0" applyAlignment="1" applyBorder="1" applyFont="1" applyNumberFormat="1">
      <alignment horizontal="center" readingOrder="0" vertical="center"/>
    </xf>
    <xf borderId="8" fillId="0" fontId="25" numFmtId="3" xfId="0" applyAlignment="1" applyBorder="1" applyFont="1" applyNumberFormat="1">
      <alignment horizontal="center" readingOrder="0" vertical="center"/>
    </xf>
    <xf borderId="8" fillId="0" fontId="25" numFmtId="167" xfId="0" applyAlignment="1" applyBorder="1" applyFont="1" applyNumberFormat="1">
      <alignment horizontal="center" readingOrder="0" vertical="center"/>
    </xf>
    <xf borderId="8" fillId="5" fontId="13" numFmtId="3" xfId="0" applyAlignment="1" applyBorder="1" applyFont="1" applyNumberFormat="1">
      <alignment horizontal="center" readingOrder="0" vertical="center"/>
    </xf>
    <xf borderId="8" fillId="0" fontId="13" numFmtId="3" xfId="0" applyAlignment="1" applyBorder="1" applyFont="1" applyNumberFormat="1">
      <alignment horizontal="center" readingOrder="0" vertical="center"/>
    </xf>
    <xf borderId="7" fillId="0" fontId="13" numFmtId="3" xfId="0" applyAlignment="1" applyBorder="1" applyFont="1" applyNumberFormat="1">
      <alignment horizontal="center" readingOrder="0" vertical="center"/>
    </xf>
    <xf borderId="4" fillId="0" fontId="13" numFmtId="3" xfId="0" applyAlignment="1" applyBorder="1" applyFont="1" applyNumberForma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7" fillId="0" fontId="23" numFmtId="4" xfId="0" applyAlignment="1" applyBorder="1" applyFont="1" applyNumberFormat="1">
      <alignment horizontal="center" readingOrder="0" vertical="center"/>
    </xf>
    <xf borderId="4" fillId="0" fontId="23" numFmtId="4" xfId="0" applyAlignment="1" applyBorder="1" applyFont="1" applyNumberFormat="1">
      <alignment horizontal="center" readingOrder="0" vertical="center"/>
    </xf>
    <xf borderId="4" fillId="16" fontId="23" numFmtId="4" xfId="0" applyAlignment="1" applyBorder="1" applyFill="1" applyFont="1" applyNumberFormat="1">
      <alignment horizontal="center" readingOrder="0" vertical="center"/>
    </xf>
    <xf borderId="4" fillId="7" fontId="28" numFmtId="0" xfId="0" applyBorder="1" applyFont="1"/>
    <xf borderId="4" fillId="10" fontId="26" numFmtId="0" xfId="0" applyAlignment="1" applyBorder="1" applyFont="1">
      <alignment horizontal="center" readingOrder="0" vertical="center"/>
    </xf>
    <xf borderId="9" fillId="5" fontId="25" numFmtId="0" xfId="0" applyAlignment="1" applyBorder="1" applyFont="1">
      <alignment horizontal="center" readingOrder="0" vertical="center"/>
    </xf>
    <xf borderId="8" fillId="5" fontId="13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8" fillId="0" fontId="22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8" fillId="0" fontId="21" numFmtId="0" xfId="0" applyAlignment="1" applyBorder="1" applyFont="1">
      <alignment horizontal="center" readingOrder="0" vertical="top"/>
    </xf>
    <xf borderId="8" fillId="0" fontId="22" numFmtId="0" xfId="0" applyAlignment="1" applyBorder="1" applyFont="1">
      <alignment horizontal="center" readingOrder="0" vertical="top"/>
    </xf>
    <xf borderId="7" fillId="0" fontId="23" numFmtId="4" xfId="0" applyAlignment="1" applyBorder="1" applyFont="1" applyNumberFormat="1">
      <alignment horizontal="center" readingOrder="0" vertical="top"/>
    </xf>
    <xf borderId="4" fillId="0" fontId="23" numFmtId="4" xfId="0" applyAlignment="1" applyBorder="1" applyFont="1" applyNumberFormat="1">
      <alignment horizontal="center" readingOrder="0" vertical="top"/>
    </xf>
    <xf borderId="4" fillId="0" fontId="23" numFmtId="4" xfId="0" applyAlignment="1" applyBorder="1" applyFont="1" applyNumberFormat="1">
      <alignment horizontal="center" readingOrder="0" vertical="top"/>
    </xf>
    <xf borderId="4" fillId="0" fontId="24" numFmtId="0" xfId="0" applyAlignment="1" applyBorder="1" applyFont="1">
      <alignment horizontal="center" readingOrder="0" vertical="top"/>
    </xf>
    <xf borderId="4" fillId="0" fontId="23" numFmtId="0" xfId="0" applyAlignment="1" applyBorder="1" applyFont="1">
      <alignment horizontal="center" readingOrder="0" vertical="top"/>
    </xf>
    <xf borderId="4" fillId="0" fontId="25" numFmtId="0" xfId="0" applyAlignment="1" applyBorder="1" applyFont="1">
      <alignment horizontal="center" readingOrder="0" vertical="top"/>
    </xf>
    <xf borderId="4" fillId="15" fontId="25" numFmtId="0" xfId="0" applyAlignment="1" applyBorder="1" applyFont="1">
      <alignment horizontal="center" readingOrder="0" vertical="top"/>
    </xf>
    <xf borderId="4" fillId="4" fontId="25" numFmtId="0" xfId="0" applyAlignment="1" applyBorder="1" applyFont="1">
      <alignment horizontal="center" readingOrder="0" vertical="top"/>
    </xf>
    <xf borderId="4" fillId="7" fontId="28" numFmtId="0" xfId="0" applyAlignment="1" applyBorder="1" applyFont="1">
      <alignment vertical="top"/>
    </xf>
    <xf borderId="4" fillId="7" fontId="25" numFmtId="0" xfId="0" applyAlignment="1" applyBorder="1" applyFont="1">
      <alignment horizontal="center" readingOrder="0" vertical="top"/>
    </xf>
    <xf borderId="4" fillId="7" fontId="28" numFmtId="0" xfId="0" applyAlignment="1" applyBorder="1" applyFont="1">
      <alignment readingOrder="0" vertical="top"/>
    </xf>
    <xf borderId="4" fillId="8" fontId="25" numFmtId="0" xfId="0" applyAlignment="1" applyBorder="1" applyFont="1">
      <alignment horizontal="center" readingOrder="0" vertical="top"/>
    </xf>
    <xf borderId="4" fillId="9" fontId="25" numFmtId="0" xfId="0" applyAlignment="1" applyBorder="1" applyFont="1">
      <alignment horizontal="center" readingOrder="0" vertical="top"/>
    </xf>
    <xf borderId="4" fillId="10" fontId="26" numFmtId="0" xfId="0" applyAlignment="1" applyBorder="1" applyFont="1">
      <alignment horizontal="center" readingOrder="0" vertical="top"/>
    </xf>
    <xf borderId="4" fillId="10" fontId="27" numFmtId="0" xfId="0" applyAlignment="1" applyBorder="1" applyFont="1">
      <alignment readingOrder="0" vertical="top"/>
    </xf>
    <xf borderId="4" fillId="5" fontId="26" numFmtId="0" xfId="0" applyAlignment="1" applyBorder="1" applyFont="1">
      <alignment horizontal="center" readingOrder="0" vertical="top"/>
    </xf>
    <xf borderId="4" fillId="12" fontId="25" numFmtId="0" xfId="0" applyAlignment="1" applyBorder="1" applyFont="1">
      <alignment horizontal="center" readingOrder="0" vertical="top"/>
    </xf>
    <xf borderId="5" fillId="12" fontId="25" numFmtId="0" xfId="0" applyAlignment="1" applyBorder="1" applyFont="1">
      <alignment horizontal="center" readingOrder="0" vertical="top"/>
    </xf>
    <xf borderId="0" fillId="5" fontId="25" numFmtId="0" xfId="0" applyAlignment="1" applyFont="1">
      <alignment horizontal="center" readingOrder="0" vertical="top"/>
    </xf>
    <xf borderId="8" fillId="0" fontId="25" numFmtId="0" xfId="0" applyAlignment="1" applyBorder="1" applyFont="1">
      <alignment horizontal="center" readingOrder="0" vertical="top"/>
    </xf>
    <xf borderId="10" fillId="0" fontId="25" numFmtId="0" xfId="0" applyAlignment="1" applyBorder="1" applyFont="1">
      <alignment horizontal="center" readingOrder="0" vertical="top"/>
    </xf>
    <xf borderId="9" fillId="5" fontId="25" numFmtId="0" xfId="0" applyAlignment="1" applyBorder="1" applyFont="1">
      <alignment horizontal="center" readingOrder="0" vertical="top"/>
    </xf>
    <xf borderId="8" fillId="0" fontId="25" numFmtId="0" xfId="0" applyAlignment="1" applyBorder="1" applyFont="1">
      <alignment horizontal="center" readingOrder="0" vertical="top"/>
    </xf>
    <xf borderId="8" fillId="5" fontId="13" numFmtId="0" xfId="0" applyAlignment="1" applyBorder="1" applyFont="1">
      <alignment horizontal="center" readingOrder="0" vertical="top"/>
    </xf>
    <xf borderId="8" fillId="0" fontId="13" numFmtId="0" xfId="0" applyAlignment="1" applyBorder="1" applyFont="1">
      <alignment horizontal="center" readingOrder="0" vertical="top"/>
    </xf>
    <xf borderId="7" fillId="0" fontId="13" numFmtId="0" xfId="0" applyAlignment="1" applyBorder="1" applyFont="1">
      <alignment horizontal="center" readingOrder="0" vertical="top"/>
    </xf>
    <xf borderId="4" fillId="0" fontId="13" numFmtId="0" xfId="0" applyAlignment="1" applyBorder="1" applyFont="1">
      <alignment horizontal="center" readingOrder="0" vertical="top"/>
    </xf>
    <xf borderId="4" fillId="15" fontId="24" numFmtId="0" xfId="0" applyAlignment="1" applyBorder="1" applyFont="1">
      <alignment horizontal="center" readingOrder="0" vertical="center"/>
    </xf>
    <xf borderId="9" fillId="0" fontId="25" numFmtId="0" xfId="0" applyAlignment="1" applyBorder="1" applyFont="1">
      <alignment horizontal="center" readingOrder="0" vertical="center"/>
    </xf>
    <xf borderId="11" fillId="0" fontId="25" numFmtId="0" xfId="0" applyAlignment="1" applyBorder="1" applyFont="1">
      <alignment horizontal="center" readingOrder="0" vertical="center"/>
    </xf>
    <xf borderId="4" fillId="4" fontId="25" numFmtId="0" xfId="0" applyAlignment="1" applyBorder="1" applyFont="1">
      <alignment horizontal="center" readingOrder="0" vertical="center"/>
    </xf>
    <xf borderId="12" fillId="0" fontId="25" numFmtId="0" xfId="0" applyAlignment="1" applyBorder="1" applyFont="1">
      <alignment horizontal="center" readingOrder="0" vertical="center"/>
    </xf>
    <xf borderId="4" fillId="8" fontId="28" numFmtId="0" xfId="0" applyAlignment="1" applyBorder="1" applyFont="1">
      <alignment readingOrder="0"/>
    </xf>
    <xf borderId="4" fillId="9" fontId="25" numFmtId="0" xfId="0" applyAlignment="1" applyBorder="1" applyFont="1">
      <alignment horizontal="center" vertical="center"/>
    </xf>
    <xf borderId="4" fillId="12" fontId="25" numFmtId="0" xfId="0" applyAlignment="1" applyBorder="1" applyFont="1">
      <alignment horizontal="center" vertical="center"/>
    </xf>
    <xf borderId="5" fillId="12" fontId="25" numFmtId="0" xfId="0" applyAlignment="1" applyBorder="1" applyFont="1">
      <alignment horizontal="center" vertical="center"/>
    </xf>
    <xf borderId="0" fillId="5" fontId="25" numFmtId="0" xfId="0" applyAlignment="1" applyFont="1">
      <alignment horizontal="center" vertical="center"/>
    </xf>
    <xf borderId="8" fillId="5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13" fillId="0" fontId="29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7" fontId="25" numFmtId="0" xfId="0" applyAlignment="1" applyFont="1">
      <alignment horizontal="center" vertical="center"/>
    </xf>
    <xf borderId="0" fillId="10" fontId="26" numFmtId="0" xfId="0" applyAlignment="1" applyFont="1">
      <alignment horizontal="center" readingOrder="0" vertical="center"/>
    </xf>
    <xf borderId="0" fillId="5" fontId="26" numFmtId="0" xfId="0" applyAlignment="1" applyFont="1">
      <alignment horizontal="center" readingOrder="0" vertical="center"/>
    </xf>
    <xf borderId="0" fillId="12" fontId="25" numFmtId="0" xfId="0" applyAlignment="1" applyFont="1">
      <alignment horizontal="center" readingOrder="0" vertical="center"/>
    </xf>
    <xf borderId="0" fillId="12" fontId="25" numFmtId="0" xfId="0" applyAlignment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0" fillId="0" fontId="25" numFmtId="3" xfId="0" applyAlignment="1" applyFont="1" applyNumberFormat="1">
      <alignment horizontal="center" readingOrder="0" vertical="center"/>
    </xf>
    <xf borderId="0" fillId="5" fontId="13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0" fillId="4" fontId="30" numFmtId="168" xfId="0" applyAlignment="1" applyFont="1" applyNumberFormat="1">
      <alignment horizontal="center" readingOrder="0" vertical="center"/>
    </xf>
    <xf borderId="0" fillId="4" fontId="30" numFmtId="0" xfId="0" applyAlignment="1" applyFont="1">
      <alignment horizontal="center" readingOrder="0" vertical="center"/>
    </xf>
    <xf borderId="0" fillId="4" fontId="30" numFmtId="169" xfId="0" applyAlignment="1" applyFont="1" applyNumberFormat="1">
      <alignment horizontal="center" readingOrder="0" vertical="center"/>
    </xf>
    <xf borderId="0" fillId="4" fontId="30" numFmtId="169" xfId="0" applyAlignment="1" applyFont="1" applyNumberFormat="1">
      <alignment horizontal="center" readingOrder="0" vertical="center"/>
    </xf>
    <xf borderId="0" fillId="4" fontId="30" numFmtId="168" xfId="0" applyAlignment="1" applyFont="1" applyNumberFormat="1">
      <alignment horizontal="center" readingOrder="0" vertical="center"/>
    </xf>
    <xf borderId="0" fillId="4" fontId="30" numFmtId="0" xfId="0" applyAlignment="1" applyFont="1">
      <alignment horizontal="center" readingOrder="0" vertical="center"/>
    </xf>
    <xf borderId="0" fillId="4" fontId="30" numFmtId="0" xfId="0" applyAlignment="1" applyFont="1">
      <alignment horizontal="center" vertical="center"/>
    </xf>
    <xf borderId="0" fillId="17" fontId="31" numFmtId="168" xfId="0" applyAlignment="1" applyFill="1" applyFont="1" applyNumberFormat="1">
      <alignment horizontal="center" readingOrder="0" vertical="center"/>
    </xf>
    <xf borderId="0" fillId="17" fontId="31" numFmtId="0" xfId="0" applyAlignment="1" applyFont="1">
      <alignment horizontal="center" readingOrder="0" vertical="center"/>
    </xf>
    <xf borderId="0" fillId="17" fontId="31" numFmtId="169" xfId="0" applyAlignment="1" applyFont="1" applyNumberFormat="1">
      <alignment horizontal="center" readingOrder="0" vertical="center"/>
    </xf>
    <xf borderId="0" fillId="4" fontId="30" numFmtId="3" xfId="0" applyAlignment="1" applyFont="1" applyNumberFormat="1">
      <alignment horizontal="center" readingOrder="0" vertical="center"/>
    </xf>
    <xf borderId="0" fillId="12" fontId="31" numFmtId="168" xfId="0" applyAlignment="1" applyFont="1" applyNumberFormat="1">
      <alignment horizontal="center" readingOrder="0" vertical="center"/>
    </xf>
    <xf borderId="0" fillId="12" fontId="31" numFmtId="0" xfId="0" applyAlignment="1" applyFont="1">
      <alignment horizontal="center" readingOrder="0" vertical="center"/>
    </xf>
    <xf borderId="0" fillId="12" fontId="31" numFmtId="169" xfId="0" applyAlignment="1" applyFont="1" applyNumberFormat="1">
      <alignment horizontal="center" readingOrder="0" vertical="center"/>
    </xf>
    <xf borderId="0" fillId="0" fontId="32" numFmtId="0" xfId="0" applyFont="1"/>
    <xf borderId="0" fillId="0" fontId="32" numFmtId="169" xfId="0" applyFont="1" applyNumberFormat="1"/>
    <xf borderId="0" fillId="4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left" readingOrder="0"/>
    </xf>
    <xf borderId="0" fillId="2" fontId="35" numFmtId="0" xfId="0" applyFont="1"/>
    <xf borderId="0" fillId="2" fontId="36" numFmtId="0" xfId="0" applyFont="1"/>
    <xf borderId="14" fillId="2" fontId="37" numFmtId="0" xfId="0" applyAlignment="1" applyBorder="1" applyFont="1">
      <alignment horizontal="center" readingOrder="0" vertical="top"/>
    </xf>
    <xf borderId="14" fillId="2" fontId="38" numFmtId="0" xfId="0" applyAlignment="1" applyBorder="1" applyFont="1">
      <alignment vertical="top"/>
    </xf>
    <xf borderId="1" fillId="2" fontId="38" numFmtId="0" xfId="0" applyAlignment="1" applyBorder="1" applyFont="1">
      <alignment vertical="top"/>
    </xf>
    <xf borderId="0" fillId="2" fontId="38" numFmtId="0" xfId="0" applyAlignment="1" applyFont="1">
      <alignment vertical="top"/>
    </xf>
    <xf borderId="0" fillId="2" fontId="39" numFmtId="0" xfId="0" applyAlignment="1" applyFont="1">
      <alignment vertical="top"/>
    </xf>
    <xf borderId="0" fillId="3" fontId="40" numFmtId="0" xfId="0" applyAlignment="1" applyFont="1">
      <alignment shrinkToFit="0" vertical="bottom" wrapText="0"/>
    </xf>
    <xf borderId="0" fillId="3" fontId="41" numFmtId="0" xfId="0" applyAlignment="1" applyFont="1">
      <alignment shrinkToFit="0" vertical="bottom" wrapText="0"/>
    </xf>
    <xf borderId="0" fillId="3" fontId="41" numFmtId="0" xfId="0" applyAlignment="1" applyFont="1">
      <alignment horizontal="center" readingOrder="0" shrinkToFit="0" vertical="top" wrapText="1"/>
    </xf>
    <xf borderId="0" fillId="3" fontId="41" numFmtId="0" xfId="0" applyAlignment="1" applyFont="1">
      <alignment horizontal="center" readingOrder="0" shrinkToFit="0" vertical="top" wrapText="0"/>
    </xf>
    <xf borderId="0" fillId="0" fontId="42" numFmtId="0" xfId="0" applyFont="1"/>
    <xf borderId="0" fillId="0" fontId="42" numFmtId="0" xfId="0" applyAlignment="1" applyFont="1">
      <alignment readingOrder="0"/>
    </xf>
    <xf borderId="15" fillId="0" fontId="21" numFmtId="0" xfId="0" applyAlignment="1" applyBorder="1" applyFont="1">
      <alignment horizontal="center" readingOrder="0" vertical="center"/>
    </xf>
    <xf borderId="15" fillId="0" fontId="43" numFmtId="164" xfId="0" applyAlignment="1" applyBorder="1" applyFont="1" applyNumberFormat="1">
      <alignment horizontal="center" readingOrder="0"/>
    </xf>
    <xf borderId="15" fillId="0" fontId="44" numFmtId="3" xfId="0" applyAlignment="1" applyBorder="1" applyFont="1" applyNumberFormat="1">
      <alignment horizontal="center" readingOrder="0" vertical="center"/>
    </xf>
    <xf borderId="15" fillId="0" fontId="43" numFmtId="164" xfId="0" applyAlignment="1" applyBorder="1" applyFont="1" applyNumberFormat="1">
      <alignment horizontal="center"/>
    </xf>
    <xf borderId="15" fillId="0" fontId="43" numFmtId="164" xfId="0" applyAlignment="1" applyBorder="1" applyFont="1" applyNumberFormat="1">
      <alignment horizontal="center" readingOrder="0" vertical="center"/>
    </xf>
    <xf borderId="15" fillId="0" fontId="43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center" readingOrder="0" vertical="top"/>
    </xf>
    <xf borderId="15" fillId="4" fontId="21" numFmtId="0" xfId="0" applyAlignment="1" applyBorder="1" applyFont="1">
      <alignment horizontal="center" readingOrder="0" vertical="center"/>
    </xf>
    <xf borderId="15" fillId="14" fontId="21" numFmtId="0" xfId="0" applyAlignment="1" applyBorder="1" applyFont="1">
      <alignment horizontal="center" readingOrder="0" vertical="center"/>
    </xf>
    <xf borderId="15" fillId="14" fontId="43" numFmtId="164" xfId="0" applyAlignment="1" applyBorder="1" applyFont="1" applyNumberFormat="1">
      <alignment horizontal="center"/>
    </xf>
    <xf borderId="15" fillId="14" fontId="43" numFmtId="164" xfId="0" applyAlignment="1" applyBorder="1" applyFont="1" applyNumberFormat="1">
      <alignment horizontal="center" readingOrder="0"/>
    </xf>
    <xf borderId="15" fillId="14" fontId="43" numFmtId="0" xfId="0" applyAlignment="1" applyBorder="1" applyFont="1">
      <alignment horizontal="center" readingOrder="0" vertical="center"/>
    </xf>
    <xf borderId="15" fillId="14" fontId="45" numFmtId="164" xfId="0" applyAlignment="1" applyBorder="1" applyFont="1" applyNumberFormat="1">
      <alignment horizontal="center"/>
    </xf>
    <xf borderId="0" fillId="0" fontId="21" numFmtId="0" xfId="0" applyAlignment="1" applyFont="1">
      <alignment readingOrder="0" vertical="center"/>
    </xf>
    <xf borderId="0" fillId="0" fontId="43" numFmtId="164" xfId="0" applyAlignment="1" applyFont="1" applyNumberFormat="1">
      <alignment horizontal="center" readingOrder="0"/>
    </xf>
    <xf borderId="0" fillId="0" fontId="44" numFmtId="3" xfId="0" applyAlignment="1" applyFont="1" applyNumberFormat="1">
      <alignment horizontal="center" readingOrder="0"/>
    </xf>
    <xf borderId="0" fillId="0" fontId="43" numFmtId="164" xfId="0" applyAlignment="1" applyFont="1" applyNumberFormat="1">
      <alignment horizontal="center"/>
    </xf>
    <xf borderId="0" fillId="0" fontId="43" numFmtId="0" xfId="0" applyAlignment="1" applyFont="1">
      <alignment horizontal="center" readingOrder="0"/>
    </xf>
    <xf borderId="0" fillId="2" fontId="37" numFmtId="0" xfId="0" applyAlignment="1" applyFont="1">
      <alignment horizontal="center" readingOrder="0" vertical="top"/>
    </xf>
    <xf borderId="0" fillId="4" fontId="46" numFmtId="0" xfId="0" applyFont="1"/>
    <xf borderId="0" fillId="5" fontId="11" numFmtId="0" xfId="0" applyFont="1"/>
    <xf borderId="0" fillId="5" fontId="42" numFmtId="0" xfId="0" applyFont="1"/>
    <xf borderId="0" fillId="5" fontId="42" numFmtId="0" xfId="0" applyAlignment="1" applyFont="1">
      <alignment readingOrder="0"/>
    </xf>
    <xf borderId="0" fillId="5" fontId="43" numFmtId="0" xfId="0" applyFont="1"/>
    <xf borderId="0" fillId="5" fontId="46" numFmtId="0" xfId="0" applyFont="1"/>
    <xf borderId="0" fillId="18" fontId="47" numFmtId="0" xfId="0" applyAlignment="1" applyFill="1" applyFont="1">
      <alignment horizontal="center" readingOrder="0" vertical="center"/>
    </xf>
    <xf borderId="0" fillId="18" fontId="48" numFmtId="164" xfId="0" applyAlignment="1" applyFont="1" applyNumberFormat="1">
      <alignment horizontal="center" readingOrder="0"/>
    </xf>
    <xf borderId="0" fillId="18" fontId="49" numFmtId="3" xfId="0" applyAlignment="1" applyFont="1" applyNumberFormat="1">
      <alignment horizontal="center" readingOrder="0" vertical="center"/>
    </xf>
    <xf borderId="0" fillId="18" fontId="48" numFmtId="164" xfId="0" applyAlignment="1" applyFont="1" applyNumberFormat="1">
      <alignment horizontal="center"/>
    </xf>
    <xf borderId="0" fillId="18" fontId="48" numFmtId="164" xfId="0" applyAlignment="1" applyFont="1" applyNumberFormat="1">
      <alignment horizontal="center" readingOrder="0" vertical="center"/>
    </xf>
    <xf borderId="0" fillId="5" fontId="50" numFmtId="0" xfId="0" applyFont="1"/>
    <xf borderId="0" fillId="0" fontId="50" numFmtId="0" xfId="0" applyFont="1"/>
    <xf borderId="0" fillId="18" fontId="48" numFmtId="164" xfId="0" applyAlignment="1" applyFont="1" applyNumberFormat="1">
      <alignment horizontal="center" vertical="center"/>
    </xf>
    <xf borderId="0" fillId="0" fontId="47" numFmtId="0" xfId="0" applyAlignment="1" applyFont="1">
      <alignment horizontal="center" readingOrder="0" vertical="center"/>
    </xf>
    <xf borderId="0" fillId="0" fontId="48" numFmtId="164" xfId="0" applyAlignment="1" applyFont="1" applyNumberFormat="1">
      <alignment horizontal="center" readingOrder="0"/>
    </xf>
    <xf borderId="0" fillId="0" fontId="49" numFmtId="3" xfId="0" applyAlignment="1" applyFont="1" applyNumberFormat="1">
      <alignment horizontal="center" readingOrder="0" vertical="center"/>
    </xf>
    <xf borderId="0" fillId="0" fontId="48" numFmtId="164" xfId="0" applyAlignment="1" applyFont="1" applyNumberFormat="1">
      <alignment horizontal="center"/>
    </xf>
    <xf borderId="0" fillId="0" fontId="48" numFmtId="164" xfId="0" applyAlignment="1" applyFont="1" applyNumberFormat="1">
      <alignment horizontal="center" readingOrder="0" vertical="center"/>
    </xf>
    <xf borderId="0" fillId="19" fontId="47" numFmtId="0" xfId="0" applyAlignment="1" applyFill="1" applyFont="1">
      <alignment horizontal="center" readingOrder="0" vertical="top"/>
    </xf>
    <xf borderId="0" fillId="19" fontId="48" numFmtId="164" xfId="0" applyAlignment="1" applyFont="1" applyNumberFormat="1">
      <alignment horizontal="center" readingOrder="0"/>
    </xf>
    <xf borderId="0" fillId="19" fontId="49" numFmtId="3" xfId="0" applyAlignment="1" applyFont="1" applyNumberFormat="1">
      <alignment horizontal="center" readingOrder="0" vertical="center"/>
    </xf>
    <xf borderId="0" fillId="19" fontId="48" numFmtId="164" xfId="0" applyAlignment="1" applyFont="1" applyNumberFormat="1">
      <alignment horizontal="center"/>
    </xf>
    <xf borderId="0" fillId="19" fontId="48" numFmtId="164" xfId="0" applyAlignment="1" applyFont="1" applyNumberFormat="1">
      <alignment horizontal="center" readingOrder="0" vertical="center"/>
    </xf>
    <xf borderId="0" fillId="18" fontId="51" numFmtId="164" xfId="0" applyAlignment="1" applyFont="1" applyNumberFormat="1">
      <alignment horizontal="center"/>
    </xf>
    <xf borderId="0" fillId="6" fontId="14" numFmtId="0" xfId="0" applyAlignment="1" applyFont="1">
      <alignment readingOrder="0" vertical="bottom"/>
    </xf>
    <xf borderId="0" fillId="6" fontId="14" numFmtId="10" xfId="0" applyAlignment="1" applyFont="1" applyNumberFormat="1">
      <alignment readingOrder="0" vertical="bottom"/>
    </xf>
    <xf borderId="0" fillId="6" fontId="52" numFmtId="0" xfId="0" applyAlignment="1" applyFont="1">
      <alignment readingOrder="0" vertical="bottom"/>
    </xf>
    <xf borderId="0" fillId="6" fontId="53" numFmtId="0" xfId="0" applyAlignment="1" applyFont="1">
      <alignment horizontal="left" vertical="center"/>
    </xf>
    <xf borderId="0" fillId="6" fontId="54" numFmtId="0" xfId="0" applyFont="1"/>
    <xf borderId="0" fillId="6" fontId="54" numFmtId="10" xfId="0" applyFont="1" applyNumberFormat="1"/>
    <xf borderId="0" fillId="6" fontId="55" numFmtId="0" xfId="0" applyFont="1"/>
    <xf borderId="0" fillId="0" fontId="19" numFmtId="165" xfId="0" applyAlignment="1" applyFont="1" applyNumberFormat="1">
      <alignment horizontal="center" readingOrder="0" vertical="bottom"/>
    </xf>
    <xf borderId="0" fillId="20" fontId="56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left" readingOrder="0" vertical="top"/>
    </xf>
    <xf borderId="0" fillId="0" fontId="12" numFmtId="10" xfId="0" applyAlignment="1" applyFont="1" applyNumberFormat="1">
      <alignment horizontal="left" readingOrder="0" vertical="top"/>
    </xf>
    <xf borderId="0" fillId="0" fontId="19" numFmtId="0" xfId="0" applyAlignment="1" applyFont="1">
      <alignment horizontal="center" vertical="bottom"/>
    </xf>
    <xf borderId="0" fillId="0" fontId="57" numFmtId="170" xfId="0" applyAlignment="1" applyFont="1" applyNumberFormat="1">
      <alignment horizontal="center" readingOrder="0" vertical="top"/>
    </xf>
    <xf borderId="0" fillId="0" fontId="57" numFmtId="0" xfId="0" applyAlignment="1" applyFont="1">
      <alignment horizontal="center" readingOrder="0" vertical="top"/>
    </xf>
    <xf borderId="16" fillId="0" fontId="12" numFmtId="10" xfId="0" applyAlignment="1" applyBorder="1" applyFont="1" applyNumberFormat="1">
      <alignment horizontal="left" readingOrder="0" vertical="top"/>
    </xf>
    <xf borderId="0" fillId="0" fontId="55" numFmtId="170" xfId="0" applyAlignment="1" applyFont="1" applyNumberFormat="1">
      <alignment vertical="top"/>
    </xf>
    <xf borderId="17" fillId="4" fontId="57" numFmtId="170" xfId="0" applyAlignment="1" applyBorder="1" applyFont="1" applyNumberFormat="1">
      <alignment horizontal="center" readingOrder="0" vertical="top"/>
    </xf>
    <xf borderId="17" fillId="0" fontId="57" numFmtId="170" xfId="0" applyAlignment="1" applyBorder="1" applyFont="1" applyNumberFormat="1">
      <alignment horizontal="center" readingOrder="0" vertical="top"/>
    </xf>
    <xf borderId="17" fillId="20" fontId="56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vertical="center"/>
    </xf>
    <xf borderId="0" fillId="0" fontId="46" numFmtId="10" xfId="0" applyFont="1" applyNumberFormat="1"/>
    <xf borderId="18" fillId="0" fontId="58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vertical="center"/>
    </xf>
    <xf borderId="0" fillId="20" fontId="12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19" fillId="20" fontId="59" numFmtId="164" xfId="0" applyAlignment="1" applyBorder="1" applyFont="1" applyNumberFormat="1">
      <alignment horizontal="center"/>
    </xf>
    <xf borderId="8" fillId="4" fontId="60" numFmtId="164" xfId="0" applyAlignment="1" applyBorder="1" applyFont="1" applyNumberFormat="1">
      <alignment horizontal="center" readingOrder="0"/>
    </xf>
    <xf borderId="8" fillId="4" fontId="60" numFmtId="164" xfId="0" applyAlignment="1" applyBorder="1" applyFont="1" applyNumberFormat="1">
      <alignment horizontal="center"/>
    </xf>
    <xf borderId="8" fillId="20" fontId="61" numFmtId="164" xfId="0" applyAlignment="1" applyBorder="1" applyFont="1" applyNumberFormat="1">
      <alignment horizontal="center"/>
    </xf>
    <xf borderId="8" fillId="20" fontId="61" numFmtId="164" xfId="0" applyAlignment="1" applyBorder="1" applyFont="1" applyNumberFormat="1">
      <alignment horizontal="center" readingOrder="0"/>
    </xf>
    <xf borderId="8" fillId="12" fontId="61" numFmtId="164" xfId="0" applyAlignment="1" applyBorder="1" applyFont="1" applyNumberFormat="1">
      <alignment horizontal="center"/>
    </xf>
    <xf borderId="8" fillId="20" fontId="62" numFmtId="164" xfId="0" applyAlignment="1" applyBorder="1" applyFont="1" applyNumberFormat="1">
      <alignment horizontal="center"/>
    </xf>
    <xf borderId="8" fillId="20" fontId="63" numFmtId="164" xfId="0" applyAlignment="1" applyBorder="1" applyFont="1" applyNumberFormat="1">
      <alignment horizontal="center"/>
    </xf>
    <xf borderId="8" fillId="21" fontId="60" numFmtId="164" xfId="0" applyAlignment="1" applyBorder="1" applyFill="1" applyFont="1" applyNumberFormat="1">
      <alignment horizontal="center"/>
    </xf>
    <xf borderId="8" fillId="21" fontId="60" numFmtId="164" xfId="0" applyAlignment="1" applyBorder="1" applyFont="1" applyNumberFormat="1">
      <alignment horizontal="center" readingOrder="0"/>
    </xf>
    <xf borderId="8" fillId="21" fontId="61" numFmtId="164" xfId="0" applyAlignment="1" applyBorder="1" applyFont="1" applyNumberFormat="1">
      <alignment horizontal="center"/>
    </xf>
    <xf borderId="8" fillId="21" fontId="61" numFmtId="164" xfId="0" applyAlignment="1" applyBorder="1" applyFont="1" applyNumberFormat="1">
      <alignment horizontal="center" readingOrder="0"/>
    </xf>
    <xf borderId="8" fillId="21" fontId="62" numFmtId="164" xfId="0" applyAlignment="1" applyBorder="1" applyFont="1" applyNumberFormat="1">
      <alignment horizontal="center"/>
    </xf>
    <xf borderId="8" fillId="21" fontId="63" numFmtId="164" xfId="0" applyAlignment="1" applyBorder="1" applyFont="1" applyNumberFormat="1">
      <alignment horizontal="center"/>
    </xf>
    <xf borderId="8" fillId="21" fontId="62" numFmtId="164" xfId="0" applyAlignment="1" applyBorder="1" applyFont="1" applyNumberFormat="1">
      <alignment horizontal="center" readingOrder="0"/>
    </xf>
    <xf borderId="8" fillId="12" fontId="61" numFmtId="164" xfId="0" applyAlignment="1" applyBorder="1" applyFont="1" applyNumberFormat="1">
      <alignment horizontal="center" readingOrder="0"/>
    </xf>
    <xf borderId="8" fillId="20" fontId="62" numFmtId="164" xfId="0" applyAlignment="1" applyBorder="1" applyFont="1" applyNumberFormat="1">
      <alignment horizontal="center" readingOrder="0"/>
    </xf>
    <xf borderId="8" fillId="12" fontId="64" numFmtId="164" xfId="0" applyAlignment="1" applyBorder="1" applyFont="1" applyNumberFormat="1">
      <alignment horizontal="center" readingOrder="0"/>
    </xf>
    <xf borderId="8" fillId="12" fontId="65" numFmtId="164" xfId="0" applyAlignment="1" applyBorder="1" applyFont="1" applyNumberFormat="1">
      <alignment horizontal="center" readingOrder="0"/>
    </xf>
    <xf borderId="12" fillId="21" fontId="63" numFmtId="164" xfId="0" applyAlignment="1" applyBorder="1" applyFont="1" applyNumberFormat="1">
      <alignment horizontal="center"/>
    </xf>
    <xf borderId="8" fillId="0" fontId="66" numFmtId="0" xfId="0" applyAlignment="1" applyBorder="1" applyFont="1">
      <alignment horizontal="center" shrinkToFit="0" vertical="center" wrapText="1"/>
    </xf>
    <xf borderId="12" fillId="0" fontId="51" numFmtId="0" xfId="0" applyAlignment="1" applyBorder="1" applyFont="1">
      <alignment horizontal="center" readingOrder="0" shrinkToFit="0" vertical="center" wrapText="1"/>
    </xf>
    <xf borderId="12" fillId="20" fontId="51" numFmtId="164" xfId="0" applyAlignment="1" applyBorder="1" applyFont="1" applyNumberFormat="1">
      <alignment horizontal="center" shrinkToFit="0" vertical="center" wrapText="1"/>
    </xf>
    <xf borderId="8" fillId="22" fontId="51" numFmtId="164" xfId="0" applyAlignment="1" applyBorder="1" applyFill="1" applyFont="1" applyNumberFormat="1">
      <alignment horizontal="center" readingOrder="0" shrinkToFit="0" vertical="center" wrapText="1"/>
    </xf>
    <xf borderId="8" fillId="22" fontId="51" numFmtId="164" xfId="0" applyAlignment="1" applyBorder="1" applyFont="1" applyNumberFormat="1">
      <alignment horizontal="center" shrinkToFit="0" vertical="center" wrapText="1"/>
    </xf>
    <xf borderId="8" fillId="22" fontId="66" numFmtId="164" xfId="0" applyAlignment="1" applyBorder="1" applyFont="1" applyNumberFormat="1">
      <alignment horizontal="center" readingOrder="0" shrinkToFit="0" vertical="center" wrapText="1"/>
    </xf>
    <xf borderId="8" fillId="22" fontId="66" numFmtId="164" xfId="0" applyAlignment="1" applyBorder="1" applyFont="1" applyNumberFormat="1">
      <alignment horizontal="center" shrinkToFit="0" vertical="center" wrapText="1"/>
    </xf>
    <xf borderId="8" fillId="12" fontId="66" numFmtId="164" xfId="0" applyAlignment="1" applyBorder="1" applyFont="1" applyNumberFormat="1">
      <alignment horizontal="center" shrinkToFit="0" vertical="center" wrapText="1"/>
    </xf>
    <xf borderId="12" fillId="22" fontId="66" numFmtId="164" xfId="0" applyAlignment="1" applyBorder="1" applyFont="1" applyNumberFormat="1">
      <alignment horizontal="center" shrinkToFit="0" vertical="center" wrapText="1"/>
    </xf>
    <xf borderId="8" fillId="0" fontId="51" numFmtId="0" xfId="0" applyAlignment="1" applyBorder="1" applyFont="1">
      <alignment horizontal="center" readingOrder="0" shrinkToFit="0" vertical="center" wrapText="1"/>
    </xf>
    <xf borderId="8" fillId="20" fontId="51" numFmtId="164" xfId="0" applyAlignment="1" applyBorder="1" applyFont="1" applyNumberFormat="1">
      <alignment horizontal="center" shrinkToFit="0" vertical="center" wrapText="1"/>
    </xf>
    <xf borderId="8" fillId="12" fontId="51" numFmtId="164" xfId="0" applyAlignment="1" applyBorder="1" applyFont="1" applyNumberFormat="1">
      <alignment horizontal="center" readingOrder="0" shrinkToFit="0" vertical="center" wrapText="1"/>
    </xf>
    <xf borderId="0" fillId="6" fontId="67" numFmtId="0" xfId="0" applyAlignment="1" applyFont="1">
      <alignment readingOrder="0" vertical="bottom"/>
    </xf>
    <xf borderId="0" fillId="0" fontId="18" numFmtId="0" xfId="0" applyAlignment="1" applyFont="1">
      <alignment horizontal="left" readingOrder="0" shrinkToFit="0" vertical="bottom" wrapText="0"/>
    </xf>
    <xf borderId="0" fillId="0" fontId="68" numFmtId="0" xfId="0" applyAlignment="1" applyFont="1">
      <alignment horizontal="left" readingOrder="0" shrinkToFit="0" vertical="top" wrapText="1"/>
    </xf>
    <xf borderId="16" fillId="0" fontId="68" numFmtId="0" xfId="0" applyAlignment="1" applyBorder="1" applyFont="1">
      <alignment horizontal="left" readingOrder="0" shrinkToFit="0" vertical="top" wrapText="1"/>
    </xf>
    <xf borderId="0" fillId="0" fontId="21" numFmtId="166" xfId="0" applyAlignment="1" applyFont="1" applyNumberFormat="1">
      <alignment horizontal="center" readingOrder="0" shrinkToFit="0" vertical="top" wrapText="1"/>
    </xf>
    <xf borderId="4" fillId="0" fontId="69" numFmtId="170" xfId="0" applyAlignment="1" applyBorder="1" applyFont="1" applyNumberFormat="1">
      <alignment horizontal="center" readingOrder="0" vertical="top"/>
    </xf>
    <xf borderId="4" fillId="0" fontId="70" numFmtId="170" xfId="0" applyAlignment="1" applyBorder="1" applyFont="1" applyNumberFormat="1">
      <alignment horizontal="center" readingOrder="0" vertical="top"/>
    </xf>
    <xf borderId="4" fillId="5" fontId="69" numFmtId="170" xfId="0" applyAlignment="1" applyBorder="1" applyFont="1" applyNumberFormat="1">
      <alignment horizontal="center" readingOrder="0" vertical="top"/>
    </xf>
    <xf borderId="4" fillId="0" fontId="69" numFmtId="0" xfId="0" applyAlignment="1" applyBorder="1" applyFont="1">
      <alignment horizontal="center" readingOrder="0" vertical="top"/>
    </xf>
    <xf borderId="5" fillId="5" fontId="69" numFmtId="170" xfId="0" applyAlignment="1" applyBorder="1" applyFont="1" applyNumberFormat="1">
      <alignment horizontal="center" readingOrder="0" vertical="top"/>
    </xf>
    <xf borderId="7" fillId="0" fontId="69" numFmtId="170" xfId="0" applyAlignment="1" applyBorder="1" applyFont="1" applyNumberFormat="1">
      <alignment horizontal="center" readingOrder="0" vertical="top"/>
    </xf>
    <xf borderId="7" fillId="0" fontId="58" numFmtId="170" xfId="0" applyAlignment="1" applyBorder="1" applyFont="1" applyNumberFormat="1">
      <alignment horizontal="center" vertical="top"/>
    </xf>
    <xf borderId="4" fillId="0" fontId="58" numFmtId="170" xfId="0" applyAlignment="1" applyBorder="1" applyFont="1" applyNumberFormat="1">
      <alignment horizontal="center" vertical="top"/>
    </xf>
    <xf borderId="4" fillId="0" fontId="71" numFmtId="0" xfId="0" applyAlignment="1" applyBorder="1" applyFont="1">
      <alignment horizontal="center" readingOrder="0" shrinkToFit="0" vertical="top" wrapText="1"/>
    </xf>
    <xf borderId="4" fillId="5" fontId="71" numFmtId="0" xfId="0" applyAlignment="1" applyBorder="1" applyFont="1">
      <alignment horizontal="center" readingOrder="0" shrinkToFit="0" vertical="top" wrapText="1"/>
    </xf>
    <xf borderId="20" fillId="5" fontId="71" numFmtId="0" xfId="0" applyAlignment="1" applyBorder="1" applyFont="1">
      <alignment horizontal="center" readingOrder="0" shrinkToFit="0" vertical="top" wrapText="1"/>
    </xf>
    <xf borderId="20" fillId="0" fontId="71" numFmtId="0" xfId="0" applyAlignment="1" applyBorder="1" applyFont="1">
      <alignment horizontal="center" readingOrder="0" shrinkToFit="0" vertical="top" wrapText="1"/>
    </xf>
    <xf borderId="21" fillId="5" fontId="71" numFmtId="0" xfId="0" applyAlignment="1" applyBorder="1" applyFont="1">
      <alignment horizontal="center" readingOrder="0" shrinkToFit="0" vertical="top" wrapText="1"/>
    </xf>
    <xf borderId="22" fillId="0" fontId="71" numFmtId="0" xfId="0" applyAlignment="1" applyBorder="1" applyFont="1">
      <alignment horizontal="center" readingOrder="0" shrinkToFit="0" vertical="top" wrapText="1"/>
    </xf>
    <xf borderId="22" fillId="0" fontId="54" numFmtId="0" xfId="0" applyAlignment="1" applyBorder="1" applyFont="1">
      <alignment vertical="top"/>
    </xf>
    <xf borderId="20" fillId="0" fontId="54" numFmtId="0" xfId="0" applyAlignment="1" applyBorder="1" applyFont="1">
      <alignment vertical="top"/>
    </xf>
    <xf borderId="0" fillId="0" fontId="72" numFmtId="4" xfId="0" applyAlignment="1" applyFont="1" applyNumberFormat="1">
      <alignment horizontal="center" readingOrder="0" shrinkToFit="0" vertical="top" wrapText="1"/>
    </xf>
    <xf borderId="5" fillId="0" fontId="71" numFmtId="0" xfId="0" applyAlignment="1" applyBorder="1" applyFont="1">
      <alignment horizontal="center" readingOrder="0" shrinkToFit="0" vertical="top" wrapText="1"/>
    </xf>
    <xf borderId="0" fillId="5" fontId="71" numFmtId="0" xfId="0" applyAlignment="1" applyFont="1">
      <alignment horizontal="center" readingOrder="0" shrinkToFit="0" vertical="top" wrapText="1"/>
    </xf>
    <xf borderId="0" fillId="0" fontId="71" numFmtId="0" xfId="0" applyAlignment="1" applyFont="1">
      <alignment horizontal="center" readingOrder="0" shrinkToFit="0" vertical="top" wrapText="1"/>
    </xf>
    <xf borderId="4" fillId="23" fontId="25" numFmtId="0" xfId="0" applyAlignment="1" applyBorder="1" applyFill="1" applyFont="1">
      <alignment horizontal="center" readingOrder="0" vertical="center"/>
    </xf>
    <xf borderId="4" fillId="0" fontId="28" numFmtId="0" xfId="0" applyBorder="1" applyFont="1"/>
    <xf borderId="4" fillId="0" fontId="28" numFmtId="0" xfId="0" applyAlignment="1" applyBorder="1" applyFont="1">
      <alignment vertical="top"/>
    </xf>
    <xf borderId="4" fillId="0" fontId="28" numFmtId="0" xfId="0" applyAlignment="1" applyBorder="1" applyFont="1">
      <alignment readingOrder="0" vertical="top"/>
    </xf>
    <xf borderId="4" fillId="23" fontId="25" numFmtId="0" xfId="0" applyAlignment="1" applyBorder="1" applyFont="1">
      <alignment horizontal="center" readingOrder="0" vertical="top"/>
    </xf>
    <xf borderId="4" fillId="0" fontId="28" numFmtId="0" xfId="0" applyAlignment="1" applyBorder="1" applyFont="1">
      <alignment readingOrder="0"/>
    </xf>
    <xf borderId="15" fillId="0" fontId="43" numFmtId="3" xfId="0" applyAlignment="1" applyBorder="1" applyFont="1" applyNumberFormat="1">
      <alignment horizontal="center" readingOrder="0"/>
    </xf>
    <xf borderId="15" fillId="0" fontId="43" numFmtId="3" xfId="0" applyAlignment="1" applyBorder="1" applyFont="1" applyNumberFormat="1">
      <alignment horizontal="center" readingOrder="0" vertical="center"/>
    </xf>
    <xf borderId="15" fillId="4" fontId="43" numFmtId="164" xfId="0" applyAlignment="1" applyBorder="1" applyFont="1" applyNumberFormat="1">
      <alignment horizontal="center" readingOrder="0"/>
    </xf>
    <xf borderId="15" fillId="4" fontId="43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8F9FA"/>
          <bgColor rgb="FFF8F9FA"/>
        </patternFill>
      </fill>
      <border/>
    </dxf>
    <dxf>
      <font>
        <b/>
        <color rgb="FF00FF00"/>
      </font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6AA84F"/>
      </font>
      <fill>
        <patternFill patternType="solid">
          <fgColor rgb="FFFFFFFF"/>
          <bgColor rgb="FFFFFFFF"/>
        </patternFill>
      </fill>
      <border/>
    </dxf>
    <dxf>
      <font>
        <b/>
        <color rgb="FF6AA84F"/>
      </font>
      <fill>
        <patternFill patternType="solid">
          <fgColor rgb="FFF8F9FA"/>
          <bgColor rgb="FFF8F9FA"/>
        </patternFill>
      </fill>
      <border/>
    </dxf>
  </dxfs>
  <tableStyles count="7">
    <tableStyle count="2" pivot="0" name="الرواتب-style">
      <tableStyleElement dxfId="1" type="firstRowStripe"/>
      <tableStyleElement dxfId="2" type="secondRowStripe"/>
    </tableStyle>
    <tableStyle count="2" pivot="0" name="الرواتب-style 2">
      <tableStyleElement dxfId="1" type="firstRowStripe"/>
      <tableStyleElement dxfId="2" type="secondRowStripe"/>
    </tableStyle>
    <tableStyle count="2" pivot="0" name="الحظور-style">
      <tableStyleElement dxfId="1" type="firstRowStripe"/>
      <tableStyleElement dxfId="2" type="secondRowStripe"/>
    </tableStyle>
    <tableStyle count="2" pivot="0" name="رواتب شهر السابع-style">
      <tableStyleElement dxfId="1" type="firstRowStripe"/>
      <tableStyleElement dxfId="2" type="secondRowStripe"/>
    </tableStyle>
    <tableStyle count="2" pivot="0" name="السلف و الغرامات-style">
      <tableStyleElement dxfId="1" type="firstRowStripe"/>
      <tableStyleElement dxfId="2" type="secondRowStripe"/>
    </tableStyle>
    <tableStyle count="2" pivot="0" name="٧ السلف و الغرامات-style">
      <tableStyleElement dxfId="1" type="firstRowStripe"/>
      <tableStyleElement dxfId="2" type="secondRowStripe"/>
    </tableStyle>
    <tableStyle count="2" pivot="0" name="الحضور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ider Mudher" id="{95e0bb11-9ed8-4138-86b2-cf735f140261}" providerId="google-sheets"/>
  <x18tc:person displayName="The Workshop" id="{3b2d90f0-8e37-4aa8-96d9-71e5975ee2f5}" providerId="google-sheets"/>
</x18tc:personList>
</file>

<file path=xl/tables/table1.xml><?xml version="1.0" encoding="utf-8"?>
<table xmlns="http://schemas.openxmlformats.org/spreadsheetml/2006/main" headerRowCount="0" ref="B6:B32" displayName="Table_1" name="Table_1" id="1">
  <tableColumns count="1">
    <tableColumn name="Column1" id="1"/>
  </tableColumns>
  <tableStyleInfo name="الرواتب-style" showColumnStripes="0" showFirstColumn="1" showLastColumn="1" showRowStripes="1"/>
</table>
</file>

<file path=xl/tables/table2.xml><?xml version="1.0" encoding="utf-8"?>
<table xmlns="http://schemas.openxmlformats.org/spreadsheetml/2006/main" headerRowCount="0" ref="C6:C23" displayName="Table_2" name="Table_2" id="2">
  <tableColumns count="1">
    <tableColumn name="Column1" id="1"/>
  </tableColumns>
  <tableStyleInfo name="الرواتب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:OL13" displayName="Table_3" name="Table_3" id="3">
  <tableColumns count="40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</tableColumns>
  <tableStyleInfo name="الحظور-style" showColumnStripes="0" showFirstColumn="1" showLastColumn="1" showRowStripes="1"/>
</table>
</file>

<file path=xl/tables/table4.xml><?xml version="1.0" encoding="utf-8"?>
<table xmlns="http://schemas.openxmlformats.org/spreadsheetml/2006/main" headerRowCount="0" ref="A18:A20" displayName="Table_4" name="Table_4" id="4">
  <tableColumns count="1">
    <tableColumn name="Column1" id="1"/>
  </tableColumns>
  <tableStyleInfo name="رواتب شهر السابع-style" showColumnStripes="0" showFirstColumn="1" showLastColumn="1" showRowStripes="1"/>
</table>
</file>

<file path=xl/tables/table5.xml><?xml version="1.0" encoding="utf-8"?>
<table xmlns="http://schemas.openxmlformats.org/spreadsheetml/2006/main" headerRowCount="0" ref="A5:GA18" displayName="Table_5" name="Table_5" id="5">
  <tableColumns count="18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</tableColumns>
  <tableStyleInfo name="السلف و الغرامات-style" showColumnStripes="0" showFirstColumn="1" showLastColumn="1" showRowStripes="1"/>
</table>
</file>

<file path=xl/tables/table6.xml><?xml version="1.0" encoding="utf-8"?>
<table xmlns="http://schemas.openxmlformats.org/spreadsheetml/2006/main" headerRowCount="0" ref="A5:GA18" displayName="Table_6" name="Table_6" id="6">
  <tableColumns count="18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</tableColumns>
  <tableStyleInfo name="٧ السلف و الغرامات-style" showColumnStripes="0" showFirstColumn="1" showLastColumn="1" showRowStripes="1"/>
</table>
</file>

<file path=xl/tables/table7.xml><?xml version="1.0" encoding="utf-8"?>
<table xmlns="http://schemas.openxmlformats.org/spreadsheetml/2006/main" headerRowCount="0" ref="A14:OL16" displayName="Table_7" name="Table_7" id="7">
  <tableColumns count="40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</tableColumns>
  <tableStyleInfo name="الحضو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4CCCC"/>
      </a:lt1>
      <a:dk2>
        <a:srgbClr val="005975"/>
      </a:dk2>
      <a:lt2>
        <a:srgbClr val="F4CCCC"/>
      </a:lt2>
      <a:accent1>
        <a:srgbClr val="0000FF"/>
      </a:accent1>
      <a:accent2>
        <a:srgbClr val="0091DE"/>
      </a:accent2>
      <a:accent3>
        <a:srgbClr val="00A3FA"/>
      </a:accent3>
      <a:accent4>
        <a:srgbClr val="FFFF00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5-05T10:20:35.00" personId="{95e0bb11-9ed8-4138-86b2-cf735f140261}" id="{8d7d32a7-d2b0-4362-baa5-11dc1b9de983}" done="1">
    <x18tc:text xml:space="preserve">سلفة</x18tc:text>
  </x18tc:threadedComment>
  <x18tc:threadedComment ref="A1" dT="2025-05-05T10:54:26.00" personId="{95e0bb11-9ed8-4138-86b2-cf735f140261}" id="{3424c618-e760-491c-91de-bd49b1fa6fef}" done="1">
    <x18tc:text xml:space="preserve">بر ينة 4 ملم</x18tc:text>
  </x18tc:threadedComment>
  <x18tc:threadedComment ref="A1" dT="2025-05-05T10:13:32.00" personId="{95e0bb11-9ed8-4138-86b2-cf735f140261}" id="{f4d09df1-e287-45e5-965f-e839ecbbd24e}" done="1">
    <x18tc:text xml:space="preserve">برينة 4 ملم عدم اطفاء المكينة</x18tc:text>
  </x18tc:threadedComment>
  <x18tc:threadedComment ref="A1" dT="2025-05-05T11:05:56.00" personId="{95e0bb11-9ed8-4138-86b2-cf735f140261}" id="{80d6ac3a-2c5b-4e23-bbc9-8d5210a2b1d3}" parentId="{f4d09df1-e287-45e5-965f-e839ecbbd24e}">
    <x18tc:text xml:space="preserve">Marked as resolved</x18tc:text>
  </x18tc:threadedComment>
  <x18tc:threadedComment ref="A1" dT="2025-07-15T09:12:42.00" personId="{3b2d90f0-8e37-4aa8-96d9-71e5975ee2f5}" id="{327c7682-2888-4f5f-abcb-52c9e9344fa9}" parentId="{f4d09df1-e287-45e5-965f-e839ecbbd24e}">
    <x18tc:text xml:space="preserve">Re-opened</x18tc:text>
  </x18tc:threadedComment>
  <x18tc:threadedComment ref="A1" dT="2025-05-24T15:02:41.00" personId="{95e0bb11-9ed8-4138-86b2-cf735f140261}" id="{e63ddd94-a2dd-4bb2-88e4-ceb97fb8a743}" done="1">
    <x18tc:text xml:space="preserve">بوكس خطأ و تم الرفض</x18tc:text>
  </x18tc:threadedComment>
  <x18tc:threadedComment ref="A1" dT="2025-05-05T12:10:09.00" personId="{95e0bb11-9ed8-4138-86b2-cf735f140261}" id="{3c90492a-690b-4b73-a89f-1910bc2a3088}" done="1">
    <x18tc:text xml:space="preserve">عقوبة مزدوجة غياب يومين</x18tc:text>
  </x18tc:threadedComment>
  <x18tc:threadedComment ref="A1" dT="2025-05-05T12:11:21.00" personId="{95e0bb11-9ed8-4138-86b2-cf735f140261}" id="{71fd0d55-6b54-4d79-8233-21107beaa294}" done="0">
    <x18tc:text xml:space="preserve">برينة 4 ملم</x18tc:text>
  </x18tc:threadedComment>
  <x18tc:threadedComment ref="A1" dT="2025-05-05T10:43:05.00" personId="{95e0bb11-9ed8-4138-86b2-cf735f140261}" id="{dd9e267c-af75-43ff-9f98-52e83cbbeb7b}" done="1">
    <x18tc:text xml:space="preserve">برينة 4 ملم و عدم اطفاء المكينة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J3" dT="2025-06-07T08:52:50.00" personId="{95e0bb11-9ed8-4138-86b2-cf735f140261}" id="{caadd4f8-b898-48ab-bc3b-63a6ed5d8bdb}" done="0">
    <x18tc:text xml:space="preserve">خصم 12</x18tc:text>
  </x18tc:threadedComment>
  <x18tc:threadedComment ref="IA10" dT="2025-04-25T05:47:36.00" personId="{3b2d90f0-8e37-4aa8-96d9-71e5975ee2f5}" id="{a706bb70-4787-478e-8dba-e07c608c2521}" done="1">
    <x18tc:text xml:space="preserve">جاي بس ما باصم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12" dT="2025-05-22T15:09:51.00" personId="{95e0bb11-9ed8-4138-86b2-cf735f140261}" id="{03a72af0-7e28-459c-8caa-c2d89d315cf7}" done="0">
    <x18tc:text xml:space="preserve">برينه</x18tc:text>
  </x18tc:threadedComment>
  <x18tc:threadedComment ref="FK8" dT="2025-05-05T10:21:11.00" personId="{95e0bb11-9ed8-4138-86b2-cf735f140261}" id="{26e7f05c-f491-4dff-8fe3-6fee86ac65a1}" done="1">
    <x18tc:text xml:space="preserve">سلفة</x18tc:text>
  </x18tc:threadedComment>
  <x18tc:threadedComment ref="EG13" dT="2025-04-02T05:27:57.00" personId="{95e0bb11-9ed8-4138-86b2-cf735f140261}" id="{78cbbde1-993e-4dd4-80c8-be4acc54956d}" done="1">
    <x18tc:text xml:space="preserve">غياب بدون سبب</x18tc:text>
  </x18tc:threadedComment>
  <x18tc:threadedComment ref="EG10" dT="2025-04-02T05:03:26.00" personId="{95e0bb11-9ed8-4138-86b2-cf735f140261}" id="{517be9ac-41a4-411a-a54b-2853ab1a08bf}" done="1">
    <x18tc:text xml:space="preserve">خصم قيمة 20 ساعه اي يومام</x18tc:text>
  </x18tc:threadedComment>
  <x18tc:threadedComment ref="BY8" dT="2025-07-13T12:35:58.00" personId="{95e0bb11-9ed8-4138-86b2-cf735f140261}" id="{4a93f7ab-26d9-4008-a7dc-c11f4f818d36}" done="0">
    <x18tc:text xml:space="preserve">غياب</x18tc:text>
  </x18tc:threadedComment>
  <x18tc:threadedComment ref="EG13" dT="2025-04-02T05:23:46.00" personId="{95e0bb11-9ed8-4138-86b2-cf735f140261}" id="{6abc731c-556c-4ea9-8ba2-184dc38c7571}" done="1">
    <x18tc:text xml:space="preserve">غياب بدون سييي</x18tc:text>
  </x18tc:threadedComment>
  <x18tc:threadedComment ref="BY14" dT="2025-07-13T12:36:40.00" personId="{95e0bb11-9ed8-4138-86b2-cf735f140261}" id="{ae7d3f22-6396-4ab1-9d26-3b039fac586c}" done="0">
    <x18tc:text xml:space="preserve">غياب</x18tc:text>
  </x18tc:threadedComment>
  <x18tc:threadedComment ref="BY10" dT="2025-07-13T12:36:53.00" personId="{95e0bb11-9ed8-4138-86b2-cf735f140261}" id="{ea54c984-799a-498a-852e-bbe28eaefac4}" done="0">
    <x18tc:text xml:space="preserve">غياب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haidermudher28@gmail.com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4.56"/>
    <col customWidth="1" min="2" max="2" width="2.33"/>
    <col customWidth="1" min="3" max="3" width="19.11"/>
    <col customWidth="1" min="4" max="10" width="15.33"/>
  </cols>
  <sheetData>
    <row r="1" ht="36.0" customHeight="1">
      <c r="A1" s="1"/>
      <c r="B1" s="2"/>
      <c r="D1" s="1"/>
      <c r="E1" s="1"/>
      <c r="F1" s="1"/>
      <c r="G1" s="1"/>
      <c r="H1" s="1"/>
      <c r="I1" s="1"/>
      <c r="J1" s="1"/>
    </row>
    <row r="2" ht="36.0" customHeight="1">
      <c r="A2" s="3"/>
      <c r="B2" s="4" t="s">
        <v>0</v>
      </c>
      <c r="C2" s="5"/>
      <c r="D2" s="3"/>
      <c r="E2" s="3"/>
      <c r="F2" s="6"/>
      <c r="G2" s="6"/>
      <c r="H2" s="6"/>
      <c r="I2" s="6"/>
      <c r="J2" s="6"/>
    </row>
    <row r="3" ht="24.0" customHeight="1">
      <c r="A3" s="7"/>
      <c r="B3" s="8"/>
      <c r="D3" s="7"/>
      <c r="E3" s="7"/>
      <c r="F3" s="7"/>
      <c r="G3" s="7"/>
      <c r="H3" s="7"/>
      <c r="I3" s="7"/>
      <c r="J3" s="7"/>
    </row>
    <row r="4" ht="36.0" customHeight="1">
      <c r="A4" s="9"/>
      <c r="B4" s="10"/>
      <c r="C4" s="11" t="s">
        <v>1</v>
      </c>
      <c r="D4" s="12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</row>
    <row r="5" ht="18.0" customHeight="1">
      <c r="A5" s="13"/>
      <c r="B5" s="14"/>
      <c r="C5" s="13"/>
      <c r="D5" s="13"/>
      <c r="E5" s="13"/>
      <c r="F5" s="13"/>
      <c r="G5" s="13"/>
      <c r="H5" s="13"/>
      <c r="I5" s="13"/>
      <c r="J5" s="13"/>
    </row>
    <row r="6" ht="24.0" customHeight="1">
      <c r="A6" s="15"/>
      <c r="B6" s="16"/>
      <c r="C6" s="17" t="s">
        <v>9</v>
      </c>
      <c r="D6" s="18">
        <v>2250.0</v>
      </c>
      <c r="E6" s="19" t="str">
        <f t="shared" ref="E6:E23" si="1">(#REF!)*D6</f>
        <v>#REF!</v>
      </c>
      <c r="F6" s="19" t="str">
        <f t="shared" ref="F6:F23" si="2">(#REF!)*1.25*D6</f>
        <v>#REF!</v>
      </c>
      <c r="G6" s="20"/>
      <c r="H6" s="21">
        <f>'السلف و الغرامات'!C7</f>
        <v>0</v>
      </c>
      <c r="I6" s="20"/>
      <c r="J6" s="20" t="str">
        <f t="shared" ref="J6:J23" si="3">SUM(E6:I6)-2*(H6)</f>
        <v>#REF!</v>
      </c>
    </row>
    <row r="7" ht="19.5" customHeight="1">
      <c r="A7" s="22"/>
      <c r="B7" s="16"/>
      <c r="C7" s="17" t="s">
        <v>10</v>
      </c>
      <c r="D7" s="19">
        <v>1750.0</v>
      </c>
      <c r="E7" s="19" t="str">
        <f t="shared" si="1"/>
        <v>#REF!</v>
      </c>
      <c r="F7" s="19" t="str">
        <f t="shared" si="2"/>
        <v>#REF!</v>
      </c>
      <c r="G7" s="23"/>
      <c r="H7" s="20" t="str">
        <f t="shared" ref="H7:H8" si="4">#REF!</f>
        <v>#REF!</v>
      </c>
      <c r="I7" s="23"/>
      <c r="J7" s="20" t="str">
        <f t="shared" si="3"/>
        <v>#REF!</v>
      </c>
    </row>
    <row r="8" ht="19.5" customHeight="1">
      <c r="A8" s="22"/>
      <c r="B8" s="16"/>
      <c r="C8" s="17" t="s">
        <v>11</v>
      </c>
      <c r="D8" s="19">
        <v>1750.0</v>
      </c>
      <c r="E8" s="19" t="str">
        <f t="shared" si="1"/>
        <v>#REF!</v>
      </c>
      <c r="F8" s="19" t="str">
        <f t="shared" si="2"/>
        <v>#REF!</v>
      </c>
      <c r="G8" s="23"/>
      <c r="H8" s="20" t="str">
        <f t="shared" si="4"/>
        <v>#REF!</v>
      </c>
      <c r="I8" s="23"/>
      <c r="J8" s="20" t="str">
        <f t="shared" si="3"/>
        <v>#REF!</v>
      </c>
    </row>
    <row r="9" ht="19.5" customHeight="1">
      <c r="A9" s="22"/>
      <c r="B9" s="16"/>
      <c r="C9" s="17" t="s">
        <v>12</v>
      </c>
      <c r="D9" s="19">
        <v>2000.0</v>
      </c>
      <c r="E9" s="19" t="str">
        <f t="shared" si="1"/>
        <v>#REF!</v>
      </c>
      <c r="F9" s="19" t="str">
        <f t="shared" si="2"/>
        <v>#REF!</v>
      </c>
      <c r="G9" s="23"/>
      <c r="H9" s="21">
        <f>'السلف و الغرامات'!C10</f>
        <v>35000</v>
      </c>
      <c r="I9" s="23"/>
      <c r="J9" s="20" t="str">
        <f t="shared" si="3"/>
        <v>#REF!</v>
      </c>
    </row>
    <row r="10" ht="19.5" customHeight="1">
      <c r="A10" s="22"/>
      <c r="B10" s="16"/>
      <c r="C10" s="17" t="s">
        <v>13</v>
      </c>
      <c r="D10" s="18">
        <v>2000.0</v>
      </c>
      <c r="E10" s="19" t="str">
        <f t="shared" si="1"/>
        <v>#REF!</v>
      </c>
      <c r="F10" s="19" t="str">
        <f t="shared" si="2"/>
        <v>#REF!</v>
      </c>
      <c r="G10" s="23"/>
      <c r="H10" s="21">
        <f>'السلف و الغرامات'!C13</f>
        <v>170000</v>
      </c>
      <c r="I10" s="23"/>
      <c r="J10" s="20" t="str">
        <f t="shared" si="3"/>
        <v>#REF!</v>
      </c>
    </row>
    <row r="11" ht="19.5" customHeight="1">
      <c r="A11" s="22"/>
      <c r="B11" s="16"/>
      <c r="C11" s="17" t="s">
        <v>14</v>
      </c>
      <c r="D11" s="19">
        <v>1750.0</v>
      </c>
      <c r="E11" s="19" t="str">
        <f t="shared" si="1"/>
        <v>#REF!</v>
      </c>
      <c r="F11" s="19" t="str">
        <f t="shared" si="2"/>
        <v>#REF!</v>
      </c>
      <c r="G11" s="23"/>
      <c r="H11" s="21">
        <f>'السلف و الغرامات'!C12</f>
        <v>108000</v>
      </c>
      <c r="I11" s="23"/>
      <c r="J11" s="20" t="str">
        <f t="shared" si="3"/>
        <v>#REF!</v>
      </c>
    </row>
    <row r="12" ht="19.5" customHeight="1">
      <c r="A12" s="22"/>
      <c r="B12" s="16"/>
      <c r="C12" s="17" t="s">
        <v>15</v>
      </c>
      <c r="D12" s="19">
        <v>1750.0</v>
      </c>
      <c r="E12" s="19" t="str">
        <f t="shared" si="1"/>
        <v>#REF!</v>
      </c>
      <c r="F12" s="19" t="str">
        <f t="shared" si="2"/>
        <v>#REF!</v>
      </c>
      <c r="G12" s="23"/>
      <c r="H12" s="20" t="str">
        <f t="shared" ref="H12:H16" si="5">#REF!</f>
        <v>#REF!</v>
      </c>
      <c r="I12" s="23"/>
      <c r="J12" s="20" t="str">
        <f t="shared" si="3"/>
        <v>#REF!</v>
      </c>
    </row>
    <row r="13" ht="19.5" customHeight="1">
      <c r="A13" s="22"/>
      <c r="B13" s="16"/>
      <c r="C13" s="17" t="s">
        <v>16</v>
      </c>
      <c r="D13" s="19">
        <v>1750.0</v>
      </c>
      <c r="E13" s="19" t="str">
        <f t="shared" si="1"/>
        <v>#REF!</v>
      </c>
      <c r="F13" s="19" t="str">
        <f t="shared" si="2"/>
        <v>#REF!</v>
      </c>
      <c r="G13" s="23"/>
      <c r="H13" s="20" t="str">
        <f t="shared" si="5"/>
        <v>#REF!</v>
      </c>
      <c r="I13" s="23"/>
      <c r="J13" s="20" t="str">
        <f t="shared" si="3"/>
        <v>#REF!</v>
      </c>
    </row>
    <row r="14" ht="19.5" customHeight="1">
      <c r="A14" s="22"/>
      <c r="B14" s="16"/>
      <c r="C14" s="17" t="s">
        <v>17</v>
      </c>
      <c r="D14" s="19">
        <v>1750.0</v>
      </c>
      <c r="E14" s="19" t="str">
        <f t="shared" si="1"/>
        <v>#REF!</v>
      </c>
      <c r="F14" s="19" t="str">
        <f t="shared" si="2"/>
        <v>#REF!</v>
      </c>
      <c r="G14" s="23"/>
      <c r="H14" s="20" t="str">
        <f t="shared" si="5"/>
        <v>#REF!</v>
      </c>
      <c r="I14" s="23"/>
      <c r="J14" s="20" t="str">
        <f t="shared" si="3"/>
        <v>#REF!</v>
      </c>
    </row>
    <row r="15" ht="19.5" customHeight="1">
      <c r="A15" s="22"/>
      <c r="B15" s="16"/>
      <c r="C15" s="17" t="s">
        <v>18</v>
      </c>
      <c r="D15" s="19">
        <v>1750.0</v>
      </c>
      <c r="E15" s="19" t="str">
        <f t="shared" si="1"/>
        <v>#REF!</v>
      </c>
      <c r="F15" s="19" t="str">
        <f t="shared" si="2"/>
        <v>#REF!</v>
      </c>
      <c r="G15" s="23"/>
      <c r="H15" s="20" t="str">
        <f t="shared" si="5"/>
        <v>#REF!</v>
      </c>
      <c r="I15" s="23"/>
      <c r="J15" s="20" t="str">
        <f t="shared" si="3"/>
        <v>#REF!</v>
      </c>
    </row>
    <row r="16" ht="19.5" customHeight="1">
      <c r="A16" s="22"/>
      <c r="B16" s="16"/>
      <c r="C16" s="17" t="s">
        <v>19</v>
      </c>
      <c r="D16" s="18">
        <v>2500.0</v>
      </c>
      <c r="E16" s="19" t="str">
        <f t="shared" si="1"/>
        <v>#REF!</v>
      </c>
      <c r="F16" s="19" t="str">
        <f t="shared" si="2"/>
        <v>#REF!</v>
      </c>
      <c r="G16" s="23"/>
      <c r="H16" s="20" t="str">
        <f t="shared" si="5"/>
        <v>#REF!</v>
      </c>
      <c r="I16" s="23"/>
      <c r="J16" s="20" t="str">
        <f t="shared" si="3"/>
        <v>#REF!</v>
      </c>
    </row>
    <row r="17" ht="19.5" customHeight="1">
      <c r="A17" s="22"/>
      <c r="B17" s="16"/>
      <c r="C17" s="17" t="s">
        <v>20</v>
      </c>
      <c r="D17" s="18">
        <v>1750.0</v>
      </c>
      <c r="E17" s="19" t="str">
        <f t="shared" si="1"/>
        <v>#REF!</v>
      </c>
      <c r="F17" s="19" t="str">
        <f t="shared" si="2"/>
        <v>#REF!</v>
      </c>
      <c r="G17" s="23"/>
      <c r="H17" s="21">
        <f>'السلف و الغرامات'!C9</f>
        <v>50000</v>
      </c>
      <c r="I17" s="23"/>
      <c r="J17" s="20" t="str">
        <f t="shared" si="3"/>
        <v>#REF!</v>
      </c>
    </row>
    <row r="18" ht="19.5" customHeight="1">
      <c r="A18" s="22"/>
      <c r="B18" s="16"/>
      <c r="C18" s="17" t="s">
        <v>21</v>
      </c>
      <c r="D18" s="19">
        <v>1750.0</v>
      </c>
      <c r="E18" s="19" t="str">
        <f t="shared" si="1"/>
        <v>#REF!</v>
      </c>
      <c r="F18" s="19" t="str">
        <f t="shared" si="2"/>
        <v>#REF!</v>
      </c>
      <c r="G18" s="23"/>
      <c r="H18" s="21">
        <f>'السلف و الغرامات'!C8</f>
        <v>150000</v>
      </c>
      <c r="I18" s="23"/>
      <c r="J18" s="20" t="str">
        <f t="shared" si="3"/>
        <v>#REF!</v>
      </c>
    </row>
    <row r="19" ht="19.5" customHeight="1">
      <c r="A19" s="22"/>
      <c r="B19" s="16"/>
      <c r="C19" s="17" t="s">
        <v>22</v>
      </c>
      <c r="D19" s="19">
        <v>1750.0</v>
      </c>
      <c r="E19" s="19" t="str">
        <f t="shared" si="1"/>
        <v>#REF!</v>
      </c>
      <c r="F19" s="19" t="str">
        <f t="shared" si="2"/>
        <v>#REF!</v>
      </c>
      <c r="G19" s="23"/>
      <c r="H19" s="20" t="str">
        <f t="shared" ref="H19:H23" si="6">#REF!</f>
        <v>#REF!</v>
      </c>
      <c r="I19" s="23"/>
      <c r="J19" s="20" t="str">
        <f t="shared" si="3"/>
        <v>#REF!</v>
      </c>
    </row>
    <row r="20" ht="19.5" customHeight="1">
      <c r="A20" s="22"/>
      <c r="B20" s="16"/>
      <c r="C20" s="17" t="s">
        <v>23</v>
      </c>
      <c r="D20" s="18">
        <v>1750.0</v>
      </c>
      <c r="E20" s="19" t="str">
        <f t="shared" si="1"/>
        <v>#REF!</v>
      </c>
      <c r="F20" s="19" t="str">
        <f t="shared" si="2"/>
        <v>#REF!</v>
      </c>
      <c r="G20" s="23"/>
      <c r="H20" s="20" t="str">
        <f t="shared" si="6"/>
        <v>#REF!</v>
      </c>
      <c r="I20" s="23"/>
      <c r="J20" s="20" t="str">
        <f t="shared" si="3"/>
        <v>#REF!</v>
      </c>
    </row>
    <row r="21" ht="19.5" customHeight="1">
      <c r="A21" s="22"/>
      <c r="B21" s="16"/>
      <c r="C21" s="17" t="s">
        <v>24</v>
      </c>
      <c r="D21" s="19">
        <v>1750.0</v>
      </c>
      <c r="E21" s="19" t="str">
        <f t="shared" si="1"/>
        <v>#REF!</v>
      </c>
      <c r="F21" s="19" t="str">
        <f t="shared" si="2"/>
        <v>#REF!</v>
      </c>
      <c r="G21" s="23"/>
      <c r="H21" s="20" t="str">
        <f t="shared" si="6"/>
        <v>#REF!</v>
      </c>
      <c r="I21" s="23"/>
      <c r="J21" s="20" t="str">
        <f t="shared" si="3"/>
        <v>#REF!</v>
      </c>
    </row>
    <row r="22" ht="19.5" customHeight="1">
      <c r="A22" s="22"/>
      <c r="B22" s="16"/>
      <c r="C22" s="17" t="s">
        <v>25</v>
      </c>
      <c r="D22" s="19">
        <v>1750.0</v>
      </c>
      <c r="E22" s="19" t="str">
        <f t="shared" si="1"/>
        <v>#REF!</v>
      </c>
      <c r="F22" s="19" t="str">
        <f t="shared" si="2"/>
        <v>#REF!</v>
      </c>
      <c r="G22" s="23"/>
      <c r="H22" s="20" t="str">
        <f t="shared" si="6"/>
        <v>#REF!</v>
      </c>
      <c r="I22" s="23"/>
      <c r="J22" s="20" t="str">
        <f t="shared" si="3"/>
        <v>#REF!</v>
      </c>
    </row>
    <row r="23" ht="19.5" customHeight="1">
      <c r="A23" s="22"/>
      <c r="B23" s="16"/>
      <c r="C23" s="17" t="s">
        <v>26</v>
      </c>
      <c r="D23" s="18">
        <v>3000.0</v>
      </c>
      <c r="E23" s="19" t="str">
        <f t="shared" si="1"/>
        <v>#REF!</v>
      </c>
      <c r="F23" s="19" t="str">
        <f t="shared" si="2"/>
        <v>#REF!</v>
      </c>
      <c r="G23" s="23"/>
      <c r="H23" s="20" t="str">
        <f t="shared" si="6"/>
        <v>#REF!</v>
      </c>
      <c r="I23" s="23"/>
      <c r="J23" s="20" t="str">
        <f t="shared" si="3"/>
        <v>#REF!</v>
      </c>
    </row>
    <row r="24" ht="19.5" customHeight="1">
      <c r="A24" s="22"/>
      <c r="B24" s="16"/>
      <c r="C24" s="24"/>
      <c r="D24" s="25"/>
      <c r="E24" s="25"/>
      <c r="F24" s="25"/>
      <c r="G24" s="25"/>
      <c r="H24" s="25"/>
      <c r="I24" s="25"/>
      <c r="J24" s="25"/>
    </row>
    <row r="25" ht="19.5" customHeight="1">
      <c r="A25" s="22"/>
      <c r="B25" s="16"/>
      <c r="C25" s="24"/>
      <c r="D25" s="25"/>
      <c r="E25" s="25"/>
      <c r="F25" s="25"/>
      <c r="G25" s="25"/>
      <c r="H25" s="25"/>
      <c r="I25" s="25"/>
      <c r="J25" s="25"/>
    </row>
    <row r="26" ht="19.5" customHeight="1">
      <c r="A26" s="22"/>
      <c r="B26" s="16"/>
      <c r="C26" s="24"/>
      <c r="D26" s="25"/>
      <c r="E26" s="25"/>
      <c r="F26" s="25"/>
      <c r="G26" s="25"/>
      <c r="H26" s="25"/>
      <c r="I26" s="25"/>
      <c r="J26" s="25"/>
    </row>
    <row r="27" ht="19.5" customHeight="1">
      <c r="A27" s="22"/>
      <c r="B27" s="16"/>
      <c r="C27" s="24"/>
      <c r="D27" s="25"/>
      <c r="E27" s="25"/>
      <c r="F27" s="25"/>
      <c r="G27" s="25"/>
      <c r="H27" s="25"/>
      <c r="I27" s="25"/>
      <c r="J27" s="25"/>
    </row>
    <row r="28" ht="19.5" customHeight="1">
      <c r="A28" s="22"/>
      <c r="B28" s="16"/>
      <c r="C28" s="24"/>
      <c r="D28" s="25"/>
      <c r="E28" s="25"/>
      <c r="F28" s="25"/>
      <c r="G28" s="25"/>
      <c r="H28" s="25"/>
      <c r="I28" s="25"/>
      <c r="J28" s="25"/>
    </row>
    <row r="29" ht="19.5" customHeight="1">
      <c r="A29" s="22"/>
      <c r="B29" s="16"/>
      <c r="C29" s="24"/>
      <c r="D29" s="25"/>
      <c r="E29" s="25"/>
      <c r="F29" s="25"/>
      <c r="G29" s="25"/>
      <c r="H29" s="25"/>
      <c r="I29" s="25"/>
      <c r="J29" s="25"/>
    </row>
    <row r="30" ht="19.5" customHeight="1">
      <c r="A30" s="22"/>
      <c r="B30" s="16"/>
      <c r="C30" s="24"/>
      <c r="D30" s="25"/>
      <c r="E30" s="25"/>
      <c r="F30" s="25"/>
      <c r="G30" s="25"/>
      <c r="H30" s="25"/>
      <c r="I30" s="25"/>
      <c r="J30" s="25"/>
    </row>
    <row r="31" ht="19.5" customHeight="1">
      <c r="A31" s="22"/>
      <c r="B31" s="16"/>
      <c r="C31" s="24"/>
      <c r="D31" s="25"/>
      <c r="E31" s="25"/>
      <c r="F31" s="25"/>
      <c r="G31" s="25"/>
      <c r="H31" s="25"/>
      <c r="I31" s="25"/>
      <c r="J31" s="25"/>
    </row>
    <row r="32" ht="19.5" customHeight="1">
      <c r="A32" s="22"/>
      <c r="B32" s="16"/>
      <c r="C32" s="24"/>
      <c r="D32" s="25"/>
      <c r="E32" s="25"/>
      <c r="F32" s="25"/>
      <c r="G32" s="25"/>
      <c r="H32" s="25"/>
      <c r="I32" s="25"/>
      <c r="J32" s="25"/>
    </row>
  </sheetData>
  <mergeCells count="3">
    <mergeCell ref="B1:C1"/>
    <mergeCell ref="B2:C2"/>
    <mergeCell ref="B3:C3"/>
  </mergeCells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1.22" defaultRowHeight="15.75"/>
  <cols>
    <col customWidth="1" hidden="1" min="1" max="1" width="9.22"/>
    <col customWidth="1" min="2" max="2" width="12.56"/>
    <col customWidth="1" min="3" max="3" width="7.22"/>
    <col customWidth="1" min="4" max="4" width="6.22"/>
    <col customWidth="1" hidden="1" min="5" max="16" width="4.0"/>
    <col customWidth="1" hidden="1" min="17" max="22" width="4.67"/>
    <col customWidth="1" hidden="1" min="23" max="23" width="3.89"/>
    <col customWidth="1" hidden="1" min="24" max="52" width="4.67"/>
    <col customWidth="1" hidden="1" min="53" max="53" width="4.0"/>
    <col customWidth="1" hidden="1" min="54" max="58" width="4.67"/>
    <col customWidth="1" hidden="1" min="59" max="80" width="4.89"/>
    <col customWidth="1" hidden="1" min="81" max="89" width="4.0"/>
    <col customWidth="1" hidden="1" min="90" max="110" width="4.89"/>
    <col customWidth="1" hidden="1" min="111" max="113" width="4.0"/>
    <col customWidth="1" hidden="1" min="114" max="114" width="4.67"/>
    <col customWidth="1" hidden="1" min="115" max="119" width="4.0"/>
    <col customWidth="1" hidden="1" min="120" max="141" width="4.89"/>
    <col customWidth="1" min="142" max="142" width="3.89"/>
    <col customWidth="1" min="143" max="143" width="4.67"/>
    <col customWidth="1" min="144" max="145" width="3.89"/>
    <col customWidth="1" min="146" max="146" width="3.44"/>
    <col customWidth="1" min="147" max="147" width="4.67"/>
    <col customWidth="1" min="148" max="150" width="3.89"/>
    <col customWidth="1" min="151" max="152" width="4.0"/>
    <col customWidth="1" min="153" max="153" width="4.67"/>
    <col customWidth="1" min="154" max="154" width="4.0"/>
    <col customWidth="1" min="155" max="156" width="4.67"/>
    <col customWidth="1" min="157" max="161" width="4.0"/>
    <col customWidth="1" min="162" max="162" width="4.67"/>
    <col customWidth="1" min="163" max="167" width="4.0"/>
    <col customWidth="1" min="168" max="168" width="4.67"/>
    <col customWidth="1" min="169" max="172" width="4.0"/>
    <col customWidth="1" min="173" max="173" width="3.11"/>
    <col customWidth="1" min="174" max="174" width="3.44"/>
    <col customWidth="1" min="175" max="175" width="3.89"/>
    <col customWidth="1" min="176" max="176" width="3.33"/>
    <col customWidth="1" min="177" max="178" width="3.89"/>
    <col customWidth="1" min="179" max="180" width="3.11"/>
    <col customWidth="1" min="181" max="181" width="3.44"/>
    <col customWidth="1" min="182" max="200" width="4.0"/>
    <col customWidth="1" min="201" max="201" width="3.22"/>
    <col customWidth="1" min="202" max="202" width="3.44"/>
    <col customWidth="1" min="203" max="203" width="3.89"/>
    <col customWidth="1" min="204" max="204" width="3.33"/>
    <col customWidth="1" min="205" max="205" width="3.89"/>
    <col customWidth="1" min="206" max="206" width="3.44"/>
    <col customWidth="1" min="207" max="208" width="3.89"/>
    <col customWidth="1" min="209" max="209" width="3.44"/>
    <col customWidth="1" min="210" max="231" width="4.0"/>
    <col customWidth="1" min="232" max="233" width="3.78"/>
    <col customWidth="1" min="234" max="234" width="4.44"/>
    <col customWidth="1" min="235" max="235" width="3.44"/>
    <col customWidth="1" min="236" max="237" width="4.44"/>
    <col customWidth="1" min="238" max="238" width="5.44"/>
    <col customWidth="1" min="239" max="239" width="3.44"/>
    <col customWidth="1" min="240" max="242" width="4.44"/>
    <col customWidth="1" min="243" max="243" width="4.0"/>
    <col customWidth="1" min="244" max="247" width="4.44"/>
    <col customWidth="1" min="248" max="248" width="5.44"/>
    <col customWidth="1" min="249" max="249" width="4.44"/>
    <col customWidth="1" min="250" max="250" width="4.0"/>
    <col customWidth="1" min="251" max="253" width="4.44"/>
    <col customWidth="1" min="254" max="254" width="5.44"/>
    <col customWidth="1" min="255" max="259" width="4.44"/>
    <col customWidth="1" min="260" max="260" width="4.0"/>
    <col customWidth="1" min="261" max="261" width="4.44"/>
    <col customWidth="1" min="262" max="262" width="4.33"/>
    <col customWidth="1" min="263" max="263" width="3.44"/>
    <col customWidth="1" min="264" max="266" width="4.44"/>
    <col customWidth="1" min="267" max="267" width="5.44"/>
    <col customWidth="1" min="268" max="268" width="4.44"/>
    <col customWidth="1" min="269" max="270" width="5.44"/>
    <col customWidth="1" min="271" max="271" width="3.44"/>
    <col customWidth="1" min="272" max="275" width="4.44"/>
    <col customWidth="1" min="276" max="276" width="5.44"/>
    <col customWidth="1" min="277" max="277" width="4.44"/>
    <col customWidth="1" min="278" max="278" width="4.0"/>
    <col customWidth="1" min="279" max="280" width="5.44"/>
    <col customWidth="1" min="281" max="282" width="4.44"/>
    <col customWidth="1" min="283" max="283" width="5.44"/>
    <col customWidth="1" min="284" max="284" width="4.44"/>
    <col customWidth="1" min="285" max="285" width="4.0"/>
    <col customWidth="1" min="286" max="286" width="4.44"/>
    <col customWidth="1" min="287" max="287" width="4.0"/>
    <col customWidth="1" min="288" max="288" width="4.44"/>
    <col customWidth="1" min="289" max="289" width="4.0"/>
    <col customWidth="1" min="290" max="290" width="5.44"/>
    <col customWidth="1" min="291" max="292" width="4.44"/>
    <col customWidth="1" min="293" max="293" width="4.0"/>
    <col customWidth="1" min="294" max="294" width="4.22"/>
    <col customWidth="1" min="295" max="295" width="5.0"/>
    <col customWidth="1" min="296" max="296" width="3.89"/>
    <col customWidth="1" min="297" max="297" width="6.11"/>
    <col customWidth="1" min="298" max="298" width="5.0"/>
    <col customWidth="1" min="299" max="299" width="3.89"/>
    <col customWidth="1" min="300" max="300" width="3.33"/>
    <col customWidth="1" min="301" max="301" width="3.89"/>
    <col customWidth="1" min="302" max="303" width="5.0"/>
    <col customWidth="1" min="304" max="305" width="4.0"/>
    <col customWidth="1" min="306" max="306" width="6.11"/>
    <col customWidth="1" min="307" max="309" width="5.0"/>
    <col customWidth="1" min="310" max="310" width="4.0"/>
    <col customWidth="1" min="311" max="312" width="6.11"/>
    <col customWidth="1" min="313" max="314" width="5.0"/>
    <col customWidth="1" min="315" max="315" width="4.0"/>
    <col customWidth="1" min="316" max="316" width="5.0"/>
    <col customWidth="1" min="317" max="317" width="4.0"/>
    <col customWidth="1" min="318" max="318" width="5.0"/>
    <col customWidth="1" min="319" max="319" width="4.0"/>
    <col customWidth="1" min="320" max="320" width="5.0"/>
    <col customWidth="1" min="321" max="323" width="4.0"/>
    <col customWidth="1" min="324" max="324" width="5.0"/>
    <col customWidth="1" min="325" max="325" width="4.89"/>
    <col customWidth="1" min="326" max="326" width="0.33"/>
    <col customWidth="1" min="327" max="357" width="4.56"/>
    <col customWidth="1" min="358" max="358" width="0.33"/>
    <col customWidth="1" min="359" max="389" width="4.56"/>
    <col customWidth="1" min="390" max="390" width="3.33"/>
    <col customWidth="1" min="391" max="391" width="3.89"/>
    <col customWidth="1" min="392" max="392" width="3.44"/>
    <col customWidth="1" min="393" max="393" width="3.89"/>
    <col customWidth="1" min="394" max="394" width="3.56"/>
    <col customWidth="1" min="395" max="396" width="3.22"/>
    <col customWidth="1" min="397" max="397" width="3.56"/>
    <col customWidth="1" min="398" max="398" width="3.89"/>
    <col customWidth="1" min="399" max="399" width="3.44"/>
    <col customWidth="1" min="400" max="401" width="4.0"/>
    <col customWidth="1" min="402" max="402" width="4.33"/>
  </cols>
  <sheetData>
    <row r="1" ht="20.25" customHeight="1">
      <c r="A1" s="26"/>
      <c r="B1" s="26"/>
      <c r="C1" s="26"/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8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/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2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2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2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3" t="s">
        <v>27</v>
      </c>
      <c r="GM1" s="31"/>
      <c r="GN1" s="31"/>
      <c r="GO1" s="31"/>
      <c r="GP1" s="31"/>
      <c r="GQ1" s="33" t="s">
        <v>28</v>
      </c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4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4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5"/>
      <c r="LO1" s="36"/>
      <c r="LP1" s="37"/>
      <c r="LQ1" s="37"/>
      <c r="LR1" s="37"/>
      <c r="LS1" s="37"/>
      <c r="LT1" s="37"/>
      <c r="LU1" s="37"/>
      <c r="LV1" s="37"/>
      <c r="LW1" s="37"/>
      <c r="LX1" s="37"/>
      <c r="LY1" s="37"/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  <c r="NE1" s="37"/>
      <c r="NF1" s="37"/>
      <c r="NG1" s="37"/>
      <c r="NH1" s="37"/>
      <c r="NI1" s="37"/>
      <c r="NJ1" s="37"/>
      <c r="NK1" s="37"/>
      <c r="NL1" s="37"/>
      <c r="NM1" s="37"/>
      <c r="NN1" s="37"/>
      <c r="NO1" s="37"/>
      <c r="NP1" s="37"/>
      <c r="NQ1" s="37"/>
      <c r="NR1" s="37"/>
      <c r="NS1" s="37"/>
      <c r="NT1" s="37"/>
      <c r="NU1" s="37"/>
      <c r="NV1" s="37"/>
      <c r="NW1" s="37"/>
      <c r="NX1" s="37"/>
      <c r="NY1" s="37"/>
      <c r="NZ1" s="37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</row>
    <row r="2" ht="20.25" customHeight="1">
      <c r="A2" s="38"/>
      <c r="B2" s="38" t="s">
        <v>29</v>
      </c>
      <c r="C2" s="38"/>
      <c r="D2" s="38"/>
      <c r="E2" s="39">
        <v>45521.0</v>
      </c>
      <c r="F2" s="39">
        <v>45522.0</v>
      </c>
      <c r="G2" s="39">
        <v>45523.0</v>
      </c>
      <c r="H2" s="39">
        <v>45524.0</v>
      </c>
      <c r="I2" s="39">
        <v>45525.0</v>
      </c>
      <c r="J2" s="39">
        <v>45526.0</v>
      </c>
      <c r="K2" s="39">
        <v>45527.0</v>
      </c>
      <c r="L2" s="39">
        <v>45528.0</v>
      </c>
      <c r="M2" s="39">
        <v>45529.0</v>
      </c>
      <c r="N2" s="39">
        <v>45530.0</v>
      </c>
      <c r="O2" s="39">
        <v>45531.0</v>
      </c>
      <c r="P2" s="39">
        <v>45532.0</v>
      </c>
      <c r="Q2" s="39">
        <v>45533.0</v>
      </c>
      <c r="R2" s="39">
        <v>45534.0</v>
      </c>
      <c r="S2" s="39">
        <v>45535.0</v>
      </c>
      <c r="T2" s="39">
        <v>45536.0</v>
      </c>
      <c r="U2" s="39">
        <v>45537.0</v>
      </c>
      <c r="V2" s="39">
        <v>45538.0</v>
      </c>
      <c r="W2" s="39">
        <v>45539.0</v>
      </c>
      <c r="X2" s="39">
        <v>45540.0</v>
      </c>
      <c r="Y2" s="39">
        <v>45541.0</v>
      </c>
      <c r="Z2" s="39">
        <v>45542.0</v>
      </c>
      <c r="AA2" s="39">
        <v>45543.0</v>
      </c>
      <c r="AB2" s="39">
        <v>45544.0</v>
      </c>
      <c r="AC2" s="39">
        <v>45545.0</v>
      </c>
      <c r="AD2" s="39">
        <v>45546.0</v>
      </c>
      <c r="AE2" s="39">
        <v>45547.0</v>
      </c>
      <c r="AF2" s="39">
        <v>45548.0</v>
      </c>
      <c r="AG2" s="39">
        <v>45549.0</v>
      </c>
      <c r="AH2" s="39">
        <v>45550.0</v>
      </c>
      <c r="AI2" s="39">
        <v>45551.0</v>
      </c>
      <c r="AJ2" s="39">
        <v>45552.0</v>
      </c>
      <c r="AK2" s="39">
        <v>45553.0</v>
      </c>
      <c r="AL2" s="39">
        <v>45554.0</v>
      </c>
      <c r="AM2" s="39">
        <v>45555.0</v>
      </c>
      <c r="AN2" s="39">
        <v>45556.0</v>
      </c>
      <c r="AO2" s="39">
        <v>45557.0</v>
      </c>
      <c r="AP2" s="39">
        <v>45558.0</v>
      </c>
      <c r="AQ2" s="39">
        <v>45559.0</v>
      </c>
      <c r="AR2" s="39">
        <v>45560.0</v>
      </c>
      <c r="AS2" s="39">
        <v>45561.0</v>
      </c>
      <c r="AT2" s="39">
        <v>45562.0</v>
      </c>
      <c r="AU2" s="39">
        <v>45563.0</v>
      </c>
      <c r="AV2" s="39"/>
      <c r="AW2" s="39">
        <v>45565.0</v>
      </c>
      <c r="AX2" s="39">
        <v>45566.0</v>
      </c>
      <c r="AY2" s="39">
        <v>45567.0</v>
      </c>
      <c r="AZ2" s="39">
        <v>45568.0</v>
      </c>
      <c r="BA2" s="39">
        <v>45569.0</v>
      </c>
      <c r="BB2" s="39">
        <v>45570.0</v>
      </c>
      <c r="BC2" s="39">
        <v>45571.0</v>
      </c>
      <c r="BD2" s="39">
        <v>45572.0</v>
      </c>
      <c r="BE2" s="39">
        <v>45573.0</v>
      </c>
      <c r="BF2" s="39">
        <v>45574.0</v>
      </c>
      <c r="BG2" s="39">
        <v>45575.0</v>
      </c>
      <c r="BH2" s="39">
        <v>45576.0</v>
      </c>
      <c r="BI2" s="39">
        <v>45577.0</v>
      </c>
      <c r="BJ2" s="39">
        <v>45578.0</v>
      </c>
      <c r="BK2" s="39">
        <v>45579.0</v>
      </c>
      <c r="BL2" s="39">
        <v>45580.0</v>
      </c>
      <c r="BM2" s="39">
        <v>45581.0</v>
      </c>
      <c r="BN2" s="39">
        <v>45582.0</v>
      </c>
      <c r="BO2" s="39">
        <v>45583.0</v>
      </c>
      <c r="BP2" s="39">
        <v>45584.0</v>
      </c>
      <c r="BQ2" s="39">
        <v>45585.0</v>
      </c>
      <c r="BR2" s="39">
        <v>45586.0</v>
      </c>
      <c r="BS2" s="39">
        <v>45587.0</v>
      </c>
      <c r="BT2" s="39">
        <v>45588.0</v>
      </c>
      <c r="BU2" s="40">
        <v>45589.0</v>
      </c>
      <c r="BV2" s="39">
        <v>45590.0</v>
      </c>
      <c r="BW2" s="39">
        <v>45591.0</v>
      </c>
      <c r="BX2" s="39">
        <v>45592.0</v>
      </c>
      <c r="BY2" s="39">
        <v>45593.0</v>
      </c>
      <c r="BZ2" s="39">
        <v>45594.0</v>
      </c>
      <c r="CA2" s="39">
        <v>45595.0</v>
      </c>
      <c r="CB2" s="39">
        <v>45596.0</v>
      </c>
      <c r="CC2" s="39">
        <v>45597.0</v>
      </c>
      <c r="CD2" s="39">
        <v>45598.0</v>
      </c>
      <c r="CE2" s="39">
        <v>45599.0</v>
      </c>
      <c r="CF2" s="39">
        <v>45600.0</v>
      </c>
      <c r="CG2" s="39">
        <v>45601.0</v>
      </c>
      <c r="CH2" s="39">
        <v>45602.0</v>
      </c>
      <c r="CI2" s="39">
        <v>45603.0</v>
      </c>
      <c r="CJ2" s="39">
        <v>45604.0</v>
      </c>
      <c r="CK2" s="39">
        <v>45605.0</v>
      </c>
      <c r="CL2" s="39">
        <v>45606.0</v>
      </c>
      <c r="CM2" s="39">
        <v>45607.0</v>
      </c>
      <c r="CN2" s="39">
        <v>45608.0</v>
      </c>
      <c r="CO2" s="39">
        <v>45609.0</v>
      </c>
      <c r="CP2" s="39">
        <v>45610.0</v>
      </c>
      <c r="CQ2" s="39">
        <v>45611.0</v>
      </c>
      <c r="CR2" s="39">
        <v>45612.0</v>
      </c>
      <c r="CS2" s="39">
        <v>45613.0</v>
      </c>
      <c r="CT2" s="39">
        <v>45614.0</v>
      </c>
      <c r="CU2" s="39">
        <v>45615.0</v>
      </c>
      <c r="CV2" s="39">
        <v>45616.0</v>
      </c>
      <c r="CW2" s="39">
        <v>45617.0</v>
      </c>
      <c r="CX2" s="39">
        <v>45618.0</v>
      </c>
      <c r="CY2" s="39">
        <v>45619.0</v>
      </c>
      <c r="CZ2" s="40">
        <v>45620.0</v>
      </c>
      <c r="DA2" s="39">
        <v>45621.0</v>
      </c>
      <c r="DB2" s="39">
        <v>45622.0</v>
      </c>
      <c r="DC2" s="39">
        <v>45623.0</v>
      </c>
      <c r="DD2" s="39">
        <v>45624.0</v>
      </c>
      <c r="DE2" s="39">
        <v>45625.0</v>
      </c>
      <c r="DF2" s="39">
        <v>45626.0</v>
      </c>
      <c r="DG2" s="39">
        <v>45627.0</v>
      </c>
      <c r="DH2" s="39">
        <v>45628.0</v>
      </c>
      <c r="DI2" s="39">
        <v>45629.0</v>
      </c>
      <c r="DJ2" s="39">
        <v>45630.0</v>
      </c>
      <c r="DK2" s="39">
        <v>45631.0</v>
      </c>
      <c r="DL2" s="39">
        <v>45632.0</v>
      </c>
      <c r="DM2" s="39">
        <v>45633.0</v>
      </c>
      <c r="DN2" s="39">
        <v>45634.0</v>
      </c>
      <c r="DO2" s="39">
        <v>45635.0</v>
      </c>
      <c r="DP2" s="39">
        <v>45636.0</v>
      </c>
      <c r="DQ2" s="39">
        <v>45637.0</v>
      </c>
      <c r="DR2" s="39">
        <v>45638.0</v>
      </c>
      <c r="DS2" s="39">
        <v>45639.0</v>
      </c>
      <c r="DT2" s="39">
        <v>45640.0</v>
      </c>
      <c r="DU2" s="39">
        <v>45641.0</v>
      </c>
      <c r="DV2" s="39">
        <v>45642.0</v>
      </c>
      <c r="DW2" s="39">
        <v>45643.0</v>
      </c>
      <c r="DX2" s="39">
        <v>45644.0</v>
      </c>
      <c r="DY2" s="39">
        <v>45645.0</v>
      </c>
      <c r="DZ2" s="39">
        <v>45646.0</v>
      </c>
      <c r="EA2" s="39">
        <v>45647.0</v>
      </c>
      <c r="EB2" s="39">
        <v>45648.0</v>
      </c>
      <c r="EC2" s="39">
        <v>45649.0</v>
      </c>
      <c r="ED2" s="40">
        <v>45650.0</v>
      </c>
      <c r="EE2" s="39">
        <v>45651.0</v>
      </c>
      <c r="EF2" s="39">
        <v>45652.0</v>
      </c>
      <c r="EG2" s="39">
        <v>45653.0</v>
      </c>
      <c r="EH2" s="39">
        <v>45654.0</v>
      </c>
      <c r="EI2" s="39">
        <v>45655.0</v>
      </c>
      <c r="EJ2" s="39">
        <v>45656.0</v>
      </c>
      <c r="EK2" s="39">
        <v>45657.0</v>
      </c>
      <c r="EL2" s="39">
        <v>45658.0</v>
      </c>
      <c r="EM2" s="39">
        <v>45659.0</v>
      </c>
      <c r="EN2" s="39">
        <v>45660.0</v>
      </c>
      <c r="EO2" s="39">
        <v>45661.0</v>
      </c>
      <c r="EP2" s="39">
        <v>45662.0</v>
      </c>
      <c r="EQ2" s="39">
        <v>45663.0</v>
      </c>
      <c r="ER2" s="39">
        <v>45664.0</v>
      </c>
      <c r="ES2" s="39">
        <v>45665.0</v>
      </c>
      <c r="ET2" s="39">
        <v>45666.0</v>
      </c>
      <c r="EU2" s="39">
        <v>45667.0</v>
      </c>
      <c r="EV2" s="39">
        <v>45668.0</v>
      </c>
      <c r="EW2" s="39">
        <v>45669.0</v>
      </c>
      <c r="EX2" s="39">
        <v>45670.0</v>
      </c>
      <c r="EY2" s="39">
        <v>45671.0</v>
      </c>
      <c r="EZ2" s="39">
        <v>45672.0</v>
      </c>
      <c r="FA2" s="39">
        <v>45673.0</v>
      </c>
      <c r="FB2" s="39">
        <v>45674.0</v>
      </c>
      <c r="FC2" s="39">
        <v>45675.0</v>
      </c>
      <c r="FD2" s="39">
        <v>45676.0</v>
      </c>
      <c r="FE2" s="39">
        <v>45677.0</v>
      </c>
      <c r="FF2" s="39">
        <v>45678.0</v>
      </c>
      <c r="FG2" s="39">
        <v>45679.0</v>
      </c>
      <c r="FH2" s="39">
        <v>45680.0</v>
      </c>
      <c r="FI2" s="39">
        <v>45681.0</v>
      </c>
      <c r="FJ2" s="39">
        <v>45682.0</v>
      </c>
      <c r="FK2" s="39">
        <v>45683.0</v>
      </c>
      <c r="FL2" s="39">
        <v>45684.0</v>
      </c>
      <c r="FM2" s="39">
        <v>45685.0</v>
      </c>
      <c r="FN2" s="39">
        <v>45686.0</v>
      </c>
      <c r="FO2" s="39">
        <v>45687.0</v>
      </c>
      <c r="FP2" s="39">
        <v>45688.0</v>
      </c>
      <c r="FQ2" s="39">
        <v>45689.0</v>
      </c>
      <c r="FR2" s="39">
        <v>45690.0</v>
      </c>
      <c r="FS2" s="39">
        <v>45691.0</v>
      </c>
      <c r="FT2" s="39">
        <v>45692.0</v>
      </c>
      <c r="FU2" s="39">
        <v>45693.0</v>
      </c>
      <c r="FV2" s="39">
        <v>45694.0</v>
      </c>
      <c r="FW2" s="39">
        <v>45695.0</v>
      </c>
      <c r="FX2" s="39">
        <v>45696.0</v>
      </c>
      <c r="FY2" s="39">
        <v>45697.0</v>
      </c>
      <c r="FZ2" s="39">
        <v>45698.0</v>
      </c>
      <c r="GA2" s="39">
        <v>45699.0</v>
      </c>
      <c r="GB2" s="39">
        <v>45700.0</v>
      </c>
      <c r="GC2" s="39">
        <v>45701.0</v>
      </c>
      <c r="GD2" s="39">
        <v>45702.0</v>
      </c>
      <c r="GE2" s="39">
        <v>45703.0</v>
      </c>
      <c r="GF2" s="39">
        <v>45704.0</v>
      </c>
      <c r="GG2" s="39">
        <v>45705.0</v>
      </c>
      <c r="GH2" s="39">
        <v>45706.0</v>
      </c>
      <c r="GI2" s="39">
        <v>45707.0</v>
      </c>
      <c r="GJ2" s="39">
        <v>45708.0</v>
      </c>
      <c r="GK2" s="39">
        <v>45709.0</v>
      </c>
      <c r="GL2" s="39">
        <v>45710.0</v>
      </c>
      <c r="GM2" s="39">
        <v>45711.0</v>
      </c>
      <c r="GN2" s="39">
        <v>45712.0</v>
      </c>
      <c r="GO2" s="39">
        <v>45713.0</v>
      </c>
      <c r="GP2" s="39">
        <v>45714.0</v>
      </c>
      <c r="GQ2" s="39">
        <v>45715.0</v>
      </c>
      <c r="GR2" s="39">
        <v>45716.0</v>
      </c>
      <c r="GS2" s="39">
        <v>45717.0</v>
      </c>
      <c r="GT2" s="39">
        <v>45718.0</v>
      </c>
      <c r="GU2" s="39">
        <v>45719.0</v>
      </c>
      <c r="GV2" s="39">
        <v>45720.0</v>
      </c>
      <c r="GW2" s="39">
        <v>45721.0</v>
      </c>
      <c r="GX2" s="39">
        <v>45722.0</v>
      </c>
      <c r="GY2" s="39">
        <v>45723.0</v>
      </c>
      <c r="GZ2" s="39">
        <v>45724.0</v>
      </c>
      <c r="HA2" s="39">
        <v>45725.0</v>
      </c>
      <c r="HB2" s="39">
        <v>45726.0</v>
      </c>
      <c r="HC2" s="39">
        <v>45727.0</v>
      </c>
      <c r="HD2" s="39">
        <v>45728.0</v>
      </c>
      <c r="HE2" s="39">
        <v>45729.0</v>
      </c>
      <c r="HF2" s="39">
        <v>45730.0</v>
      </c>
      <c r="HG2" s="39">
        <v>45731.0</v>
      </c>
      <c r="HH2" s="39">
        <v>45732.0</v>
      </c>
      <c r="HI2" s="39">
        <v>45733.0</v>
      </c>
      <c r="HJ2" s="39">
        <v>45734.0</v>
      </c>
      <c r="HK2" s="39">
        <v>45735.0</v>
      </c>
      <c r="HL2" s="39">
        <v>45736.0</v>
      </c>
      <c r="HM2" s="39">
        <v>45737.0</v>
      </c>
      <c r="HN2" s="39">
        <v>45738.0</v>
      </c>
      <c r="HO2" s="39">
        <v>45739.0</v>
      </c>
      <c r="HP2" s="39">
        <v>45740.0</v>
      </c>
      <c r="HQ2" s="39">
        <v>45741.0</v>
      </c>
      <c r="HR2" s="39">
        <v>45742.0</v>
      </c>
      <c r="HS2" s="39">
        <v>45743.0</v>
      </c>
      <c r="HT2" s="39">
        <v>45744.0</v>
      </c>
      <c r="HU2" s="39">
        <v>45745.0</v>
      </c>
      <c r="HV2" s="39">
        <v>45746.0</v>
      </c>
      <c r="HW2" s="39">
        <v>45747.0</v>
      </c>
      <c r="HX2" s="39">
        <v>45748.0</v>
      </c>
      <c r="HY2" s="39">
        <v>45749.0</v>
      </c>
      <c r="HZ2" s="39">
        <v>45750.0</v>
      </c>
      <c r="IA2" s="39">
        <v>45751.0</v>
      </c>
      <c r="IB2" s="39">
        <v>45752.0</v>
      </c>
      <c r="IC2" s="39">
        <v>45753.0</v>
      </c>
      <c r="ID2" s="39">
        <v>45754.0</v>
      </c>
      <c r="IE2" s="39">
        <v>45755.0</v>
      </c>
      <c r="IF2" s="39">
        <v>45756.0</v>
      </c>
      <c r="IG2" s="39">
        <v>45757.0</v>
      </c>
      <c r="IH2" s="39">
        <v>45758.0</v>
      </c>
      <c r="II2" s="39">
        <v>45759.0</v>
      </c>
      <c r="IJ2" s="39">
        <v>45760.0</v>
      </c>
      <c r="IK2" s="39">
        <v>45761.0</v>
      </c>
      <c r="IL2" s="39">
        <v>45762.0</v>
      </c>
      <c r="IM2" s="39">
        <v>45763.0</v>
      </c>
      <c r="IN2" s="39">
        <v>45764.0</v>
      </c>
      <c r="IO2" s="39">
        <v>45765.0</v>
      </c>
      <c r="IP2" s="39">
        <v>45766.0</v>
      </c>
      <c r="IQ2" s="39">
        <v>45767.0</v>
      </c>
      <c r="IR2" s="39">
        <v>45768.0</v>
      </c>
      <c r="IS2" s="39">
        <v>45769.0</v>
      </c>
      <c r="IT2" s="39">
        <v>45770.0</v>
      </c>
      <c r="IU2" s="39">
        <v>45771.0</v>
      </c>
      <c r="IV2" s="39">
        <v>45772.0</v>
      </c>
      <c r="IW2" s="39">
        <v>45773.0</v>
      </c>
      <c r="IX2" s="39">
        <v>45774.0</v>
      </c>
      <c r="IY2" s="39">
        <v>45775.0</v>
      </c>
      <c r="IZ2" s="39">
        <v>45776.0</v>
      </c>
      <c r="JA2" s="39">
        <v>45777.0</v>
      </c>
      <c r="JB2" s="41"/>
      <c r="JC2" s="39">
        <v>45778.0</v>
      </c>
      <c r="JD2" s="39">
        <v>45779.0</v>
      </c>
      <c r="JE2" s="39">
        <v>45780.0</v>
      </c>
      <c r="JF2" s="39">
        <v>45781.0</v>
      </c>
      <c r="JG2" s="39">
        <v>45782.0</v>
      </c>
      <c r="JH2" s="39">
        <v>45783.0</v>
      </c>
      <c r="JI2" s="39">
        <v>45784.0</v>
      </c>
      <c r="JJ2" s="39">
        <v>45785.0</v>
      </c>
      <c r="JK2" s="39">
        <v>45786.0</v>
      </c>
      <c r="JL2" s="39">
        <v>45787.0</v>
      </c>
      <c r="JM2" s="39">
        <v>45788.0</v>
      </c>
      <c r="JN2" s="39">
        <v>45789.0</v>
      </c>
      <c r="JO2" s="39">
        <v>45790.0</v>
      </c>
      <c r="JP2" s="39">
        <v>45791.0</v>
      </c>
      <c r="JQ2" s="39">
        <v>45792.0</v>
      </c>
      <c r="JR2" s="39">
        <v>45793.0</v>
      </c>
      <c r="JS2" s="39">
        <v>45794.0</v>
      </c>
      <c r="JT2" s="39">
        <v>45795.0</v>
      </c>
      <c r="JU2" s="39">
        <v>45796.0</v>
      </c>
      <c r="JV2" s="39">
        <v>45797.0</v>
      </c>
      <c r="JW2" s="39">
        <v>45798.0</v>
      </c>
      <c r="JX2" s="39">
        <v>45799.0</v>
      </c>
      <c r="JY2" s="39">
        <v>45800.0</v>
      </c>
      <c r="JZ2" s="39">
        <v>45801.0</v>
      </c>
      <c r="KA2" s="39">
        <v>45802.0</v>
      </c>
      <c r="KB2" s="39">
        <v>45803.0</v>
      </c>
      <c r="KC2" s="39">
        <v>45804.0</v>
      </c>
      <c r="KD2" s="39">
        <v>45805.0</v>
      </c>
      <c r="KE2" s="39">
        <v>45806.0</v>
      </c>
      <c r="KF2" s="39">
        <v>45807.0</v>
      </c>
      <c r="KG2" s="39">
        <v>45808.0</v>
      </c>
      <c r="KH2" s="41"/>
      <c r="KI2" s="39">
        <v>45809.0</v>
      </c>
      <c r="KJ2" s="39">
        <v>45810.0</v>
      </c>
      <c r="KK2" s="39">
        <v>45811.0</v>
      </c>
      <c r="KL2" s="39">
        <v>45812.0</v>
      </c>
      <c r="KM2" s="39">
        <v>45813.0</v>
      </c>
      <c r="KN2" s="39">
        <v>45814.0</v>
      </c>
      <c r="KO2" s="39">
        <v>45815.0</v>
      </c>
      <c r="KP2" s="39">
        <v>45816.0</v>
      </c>
      <c r="KQ2" s="39">
        <v>45817.0</v>
      </c>
      <c r="KR2" s="39">
        <v>45818.0</v>
      </c>
      <c r="KS2" s="39">
        <v>45819.0</v>
      </c>
      <c r="KT2" s="39">
        <v>45820.0</v>
      </c>
      <c r="KU2" s="39">
        <v>45821.0</v>
      </c>
      <c r="KV2" s="39">
        <v>45822.0</v>
      </c>
      <c r="KW2" s="39">
        <v>45823.0</v>
      </c>
      <c r="KX2" s="39">
        <v>45824.0</v>
      </c>
      <c r="KY2" s="39">
        <v>45825.0</v>
      </c>
      <c r="KZ2" s="39">
        <v>45826.0</v>
      </c>
      <c r="LA2" s="39">
        <v>45827.0</v>
      </c>
      <c r="LB2" s="39">
        <v>45828.0</v>
      </c>
      <c r="LC2" s="39">
        <v>45829.0</v>
      </c>
      <c r="LD2" s="39">
        <v>45830.0</v>
      </c>
      <c r="LE2" s="39">
        <v>45831.0</v>
      </c>
      <c r="LF2" s="39">
        <v>45832.0</v>
      </c>
      <c r="LG2" s="39">
        <v>45833.0</v>
      </c>
      <c r="LH2" s="39">
        <v>45834.0</v>
      </c>
      <c r="LI2" s="39">
        <v>45835.0</v>
      </c>
      <c r="LJ2" s="39">
        <v>45836.0</v>
      </c>
      <c r="LK2" s="39">
        <v>45837.0</v>
      </c>
      <c r="LL2" s="39">
        <v>45838.0</v>
      </c>
      <c r="LM2" s="42" t="s">
        <v>30</v>
      </c>
      <c r="LN2" s="43"/>
      <c r="LO2" s="44">
        <v>45839.0</v>
      </c>
      <c r="LP2" s="39">
        <v>45840.0</v>
      </c>
      <c r="LQ2" s="39">
        <v>45841.0</v>
      </c>
      <c r="LR2" s="39">
        <v>45842.0</v>
      </c>
      <c r="LS2" s="39">
        <v>45843.0</v>
      </c>
      <c r="LT2" s="39">
        <v>45844.0</v>
      </c>
      <c r="LU2" s="39">
        <v>45845.0</v>
      </c>
      <c r="LV2" s="39">
        <v>45846.0</v>
      </c>
      <c r="LW2" s="39">
        <v>45847.0</v>
      </c>
      <c r="LX2" s="39">
        <v>45848.0</v>
      </c>
      <c r="LY2" s="39">
        <v>45849.0</v>
      </c>
      <c r="LZ2" s="39">
        <v>45850.0</v>
      </c>
      <c r="MA2" s="39">
        <v>45851.0</v>
      </c>
      <c r="MB2" s="39">
        <v>45852.0</v>
      </c>
      <c r="MC2" s="39">
        <v>45853.0</v>
      </c>
      <c r="MD2" s="39">
        <v>45854.0</v>
      </c>
      <c r="ME2" s="39">
        <v>45855.0</v>
      </c>
      <c r="MF2" s="39">
        <v>45856.0</v>
      </c>
      <c r="MG2" s="39">
        <v>45857.0</v>
      </c>
      <c r="MH2" s="39">
        <v>45858.0</v>
      </c>
      <c r="MI2" s="39">
        <v>45859.0</v>
      </c>
      <c r="MJ2" s="39">
        <v>45860.0</v>
      </c>
      <c r="MK2" s="39">
        <v>45861.0</v>
      </c>
      <c r="ML2" s="39">
        <v>45862.0</v>
      </c>
      <c r="MM2" s="39">
        <v>45863.0</v>
      </c>
      <c r="MN2" s="39">
        <v>45864.0</v>
      </c>
      <c r="MO2" s="39">
        <v>45865.0</v>
      </c>
      <c r="MP2" s="39">
        <v>45866.0</v>
      </c>
      <c r="MQ2" s="39">
        <v>45867.0</v>
      </c>
      <c r="MR2" s="39">
        <v>45868.0</v>
      </c>
      <c r="MS2" s="39">
        <v>45869.0</v>
      </c>
      <c r="MT2" s="41"/>
      <c r="MU2" s="45">
        <v>45839.0</v>
      </c>
      <c r="MV2" s="46">
        <v>45840.0</v>
      </c>
      <c r="MW2" s="46">
        <v>45841.0</v>
      </c>
      <c r="MX2" s="46">
        <v>45842.0</v>
      </c>
      <c r="MY2" s="46">
        <v>45843.0</v>
      </c>
      <c r="MZ2" s="46">
        <v>45844.0</v>
      </c>
      <c r="NA2" s="46">
        <v>45845.0</v>
      </c>
      <c r="NB2" s="46">
        <v>45846.0</v>
      </c>
      <c r="NC2" s="46">
        <v>45847.0</v>
      </c>
      <c r="ND2" s="46">
        <v>45848.0</v>
      </c>
      <c r="NE2" s="46">
        <v>45849.0</v>
      </c>
      <c r="NF2" s="46">
        <v>45850.0</v>
      </c>
      <c r="NG2" s="46">
        <v>45851.0</v>
      </c>
      <c r="NH2" s="46">
        <v>45852.0</v>
      </c>
      <c r="NI2" s="46">
        <v>45853.0</v>
      </c>
      <c r="NJ2" s="46">
        <v>45854.0</v>
      </c>
      <c r="NK2" s="46">
        <v>45855.0</v>
      </c>
      <c r="NL2" s="46">
        <v>45856.0</v>
      </c>
      <c r="NM2" s="46">
        <v>45857.0</v>
      </c>
      <c r="NN2" s="46">
        <v>45858.0</v>
      </c>
      <c r="NO2" s="46">
        <v>45859.0</v>
      </c>
      <c r="NP2" s="46">
        <v>45860.0</v>
      </c>
      <c r="NQ2" s="46">
        <v>45861.0</v>
      </c>
      <c r="NR2" s="46">
        <v>45862.0</v>
      </c>
      <c r="NS2" s="46">
        <v>45863.0</v>
      </c>
      <c r="NT2" s="46">
        <v>45864.0</v>
      </c>
      <c r="NU2" s="46">
        <v>45865.0</v>
      </c>
      <c r="NV2" s="46">
        <v>45866.0</v>
      </c>
      <c r="NW2" s="46">
        <v>45867.0</v>
      </c>
      <c r="NX2" s="46">
        <v>45868.0</v>
      </c>
      <c r="NY2" s="46">
        <v>45869.0</v>
      </c>
      <c r="NZ2" s="34"/>
      <c r="OA2" s="39">
        <v>45901.0</v>
      </c>
      <c r="OB2" s="39">
        <v>45902.0</v>
      </c>
      <c r="OC2" s="39">
        <v>45903.0</v>
      </c>
      <c r="OD2" s="39">
        <v>45904.0</v>
      </c>
      <c r="OE2" s="39">
        <v>45905.0</v>
      </c>
      <c r="OF2" s="39">
        <v>45906.0</v>
      </c>
      <c r="OG2" s="39">
        <v>45907.0</v>
      </c>
      <c r="OH2" s="39">
        <v>45908.0</v>
      </c>
      <c r="OI2" s="39">
        <v>45909.0</v>
      </c>
      <c r="OJ2" s="39">
        <v>45910.0</v>
      </c>
      <c r="OK2" s="39">
        <v>45911.0</v>
      </c>
      <c r="OL2" s="39">
        <v>45912.0</v>
      </c>
    </row>
    <row r="3" ht="69.0" customHeight="1">
      <c r="A3" s="47">
        <f>sum(GW3:MR3)*3000</f>
        <v>3532950</v>
      </c>
      <c r="B3" s="48" t="s">
        <v>31</v>
      </c>
      <c r="C3" s="49">
        <f t="shared" ref="C3:C13" si="1">SUM(LO3:MS3)</f>
        <v>88.2</v>
      </c>
      <c r="D3" s="48">
        <f t="shared" ref="D3:D13" si="2">SUM(MU3:NY3)</f>
        <v>33.25</v>
      </c>
      <c r="E3" s="50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2"/>
      <c r="BV3" s="51"/>
      <c r="BW3" s="51"/>
      <c r="BX3" s="51"/>
      <c r="BY3" s="51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4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4"/>
      <c r="EE3" s="53"/>
      <c r="EF3" s="53"/>
      <c r="EG3" s="53"/>
      <c r="EH3" s="53"/>
      <c r="EI3" s="53"/>
      <c r="EJ3" s="53"/>
      <c r="EK3" s="53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7"/>
      <c r="GT3" s="57"/>
      <c r="GU3" s="57"/>
      <c r="GV3" s="57"/>
      <c r="GW3" s="57">
        <v>10.0</v>
      </c>
      <c r="GX3" s="57">
        <v>10.0</v>
      </c>
      <c r="GY3" s="57">
        <v>10.0</v>
      </c>
      <c r="GZ3" s="57">
        <v>10.0</v>
      </c>
      <c r="HA3" s="57">
        <v>6.0</v>
      </c>
      <c r="HB3" s="57">
        <v>6.0</v>
      </c>
      <c r="HC3" s="57">
        <v>8.5</v>
      </c>
      <c r="HD3" s="57">
        <v>11.0</v>
      </c>
      <c r="HE3" s="57">
        <v>7.0</v>
      </c>
      <c r="HF3" s="57">
        <v>10.0</v>
      </c>
      <c r="HG3" s="57">
        <v>8.0</v>
      </c>
      <c r="HH3" s="57">
        <v>7.5</v>
      </c>
      <c r="HI3" s="57">
        <v>11.0</v>
      </c>
      <c r="HJ3" s="57">
        <v>8.5</v>
      </c>
      <c r="HK3" s="57">
        <v>7.0</v>
      </c>
      <c r="HL3" s="57">
        <v>6.0</v>
      </c>
      <c r="HM3" s="57">
        <v>7.0</v>
      </c>
      <c r="HN3" s="57">
        <v>13.0</v>
      </c>
      <c r="HO3" s="57">
        <v>10.0</v>
      </c>
      <c r="HP3" s="57">
        <v>10.5</v>
      </c>
      <c r="HQ3" s="57">
        <v>8.5</v>
      </c>
      <c r="HR3" s="57">
        <v>8.5</v>
      </c>
      <c r="HS3" s="57">
        <v>12.0</v>
      </c>
      <c r="HT3" s="57">
        <v>0.0</v>
      </c>
      <c r="HU3" s="57">
        <v>3.0</v>
      </c>
      <c r="HV3" s="57">
        <v>7.0</v>
      </c>
      <c r="HW3" s="57">
        <v>0.0</v>
      </c>
      <c r="HX3" s="58">
        <v>11.0</v>
      </c>
      <c r="HY3" s="58">
        <v>7.0</v>
      </c>
      <c r="HZ3" s="59">
        <v>10.0</v>
      </c>
      <c r="IA3" s="58">
        <v>11.0</v>
      </c>
      <c r="IB3" s="58">
        <v>11.5</v>
      </c>
      <c r="IC3" s="58">
        <v>12.5</v>
      </c>
      <c r="ID3" s="60">
        <v>9.0</v>
      </c>
      <c r="IE3" s="58">
        <v>11.0</v>
      </c>
      <c r="IF3" s="58">
        <v>13.0</v>
      </c>
      <c r="IG3" s="58">
        <v>8.0</v>
      </c>
      <c r="IH3" s="58">
        <v>0.0</v>
      </c>
      <c r="II3" s="58">
        <v>10.0</v>
      </c>
      <c r="IJ3" s="58">
        <v>11.0</v>
      </c>
      <c r="IK3" s="58">
        <v>9.0</v>
      </c>
      <c r="IL3" s="58">
        <v>13.0</v>
      </c>
      <c r="IM3" s="58">
        <v>9.0</v>
      </c>
      <c r="IN3" s="58">
        <v>10.5</v>
      </c>
      <c r="IO3" s="58">
        <v>0.0</v>
      </c>
      <c r="IP3" s="58">
        <v>10.0</v>
      </c>
      <c r="IQ3" s="58">
        <v>9.0</v>
      </c>
      <c r="IR3" s="58">
        <v>9.0</v>
      </c>
      <c r="IS3" s="58">
        <v>10.0</v>
      </c>
      <c r="IT3" s="58">
        <v>9.0</v>
      </c>
      <c r="IU3" s="58">
        <v>9.0</v>
      </c>
      <c r="IV3" s="58">
        <v>9.5</v>
      </c>
      <c r="IW3" s="58">
        <v>9.0</v>
      </c>
      <c r="IX3" s="58">
        <v>8.0</v>
      </c>
      <c r="IY3" s="58">
        <v>10.0</v>
      </c>
      <c r="IZ3" s="58">
        <v>10.0</v>
      </c>
      <c r="JA3" s="58">
        <v>13.0</v>
      </c>
      <c r="JB3" s="61"/>
      <c r="JC3" s="62">
        <v>13.0</v>
      </c>
      <c r="JD3" s="62">
        <v>6.0</v>
      </c>
      <c r="JE3" s="62">
        <v>10.0</v>
      </c>
      <c r="JF3" s="62">
        <v>9.0</v>
      </c>
      <c r="JG3" s="62">
        <v>9.0</v>
      </c>
      <c r="JH3" s="62">
        <v>8.0</v>
      </c>
      <c r="JI3" s="63">
        <v>0.0</v>
      </c>
      <c r="JJ3" s="63">
        <v>0.0</v>
      </c>
      <c r="JK3" s="64">
        <v>9.0</v>
      </c>
      <c r="JL3" s="62">
        <v>12.0</v>
      </c>
      <c r="JM3" s="62">
        <v>9.0</v>
      </c>
      <c r="JN3" s="64">
        <v>17.0</v>
      </c>
      <c r="JO3" s="62">
        <v>10.0</v>
      </c>
      <c r="JP3" s="64">
        <v>13.0</v>
      </c>
      <c r="JQ3" s="64">
        <v>15.0</v>
      </c>
      <c r="JR3" s="62">
        <v>9.0</v>
      </c>
      <c r="JS3" s="64">
        <v>14.0</v>
      </c>
      <c r="JT3" s="62">
        <v>11.0</v>
      </c>
      <c r="JU3" s="62">
        <v>10.0</v>
      </c>
      <c r="JV3" s="62">
        <v>9.0</v>
      </c>
      <c r="JW3" s="62">
        <v>11.0</v>
      </c>
      <c r="JX3" s="62">
        <v>12.0</v>
      </c>
      <c r="JY3" s="62">
        <v>10.0</v>
      </c>
      <c r="JZ3" s="62">
        <v>11.0</v>
      </c>
      <c r="KA3" s="62">
        <v>13.0</v>
      </c>
      <c r="KB3" s="62">
        <v>11.0</v>
      </c>
      <c r="KC3" s="62">
        <v>6.7</v>
      </c>
      <c r="KD3" s="62">
        <v>10.0</v>
      </c>
      <c r="KE3" s="62">
        <v>11.0</v>
      </c>
      <c r="KF3" s="62">
        <v>10.0</v>
      </c>
      <c r="KG3" s="65">
        <v>10.0</v>
      </c>
      <c r="KH3" s="66"/>
      <c r="KI3" s="67">
        <v>10.0</v>
      </c>
      <c r="KJ3" s="68">
        <v>10.0</v>
      </c>
      <c r="KK3" s="67">
        <v>10.0</v>
      </c>
      <c r="KL3" s="67">
        <v>7.0</v>
      </c>
      <c r="KM3" s="67">
        <v>10.0</v>
      </c>
      <c r="KN3" s="67">
        <v>7.0</v>
      </c>
      <c r="KO3" s="67">
        <v>2.5</v>
      </c>
      <c r="KP3" s="67">
        <v>9.0</v>
      </c>
      <c r="KQ3" s="67">
        <v>9.25</v>
      </c>
      <c r="KR3" s="67">
        <v>5.0</v>
      </c>
      <c r="KS3" s="67">
        <v>10.0</v>
      </c>
      <c r="KT3" s="67">
        <v>8.0</v>
      </c>
      <c r="KU3" s="67">
        <v>8.0</v>
      </c>
      <c r="KV3" s="67">
        <v>17.0</v>
      </c>
      <c r="KW3" s="67">
        <v>6.0</v>
      </c>
      <c r="KX3" s="67">
        <v>7.0</v>
      </c>
      <c r="KY3" s="67">
        <v>7.5</v>
      </c>
      <c r="KZ3" s="67">
        <v>10.0</v>
      </c>
      <c r="LA3" s="67">
        <v>10.0</v>
      </c>
      <c r="LB3" s="67">
        <v>6.5</v>
      </c>
      <c r="LC3" s="67">
        <v>14.0</v>
      </c>
      <c r="LD3" s="67">
        <v>9.0</v>
      </c>
      <c r="LE3" s="67">
        <v>8.0</v>
      </c>
      <c r="LF3" s="67">
        <v>12.0</v>
      </c>
      <c r="LG3" s="67">
        <v>12.0</v>
      </c>
      <c r="LH3" s="67">
        <v>3.0</v>
      </c>
      <c r="LI3" s="67" t="s">
        <v>32</v>
      </c>
      <c r="LJ3" s="67">
        <v>10.0</v>
      </c>
      <c r="LK3" s="67">
        <v>10.0</v>
      </c>
      <c r="LL3" s="67">
        <v>5.0</v>
      </c>
      <c r="LM3" s="67">
        <v>30.0</v>
      </c>
      <c r="LN3" s="69"/>
      <c r="LO3" s="67">
        <v>9.0</v>
      </c>
      <c r="LP3" s="67">
        <v>9.0</v>
      </c>
      <c r="LQ3" s="67">
        <v>9.0</v>
      </c>
      <c r="LR3" s="67"/>
      <c r="LS3" s="67"/>
      <c r="LT3" s="67"/>
      <c r="LU3" s="67">
        <v>9.0</v>
      </c>
      <c r="LV3" s="67">
        <v>9.0</v>
      </c>
      <c r="LW3" s="67">
        <v>8.0</v>
      </c>
      <c r="LX3" s="67">
        <v>9.0</v>
      </c>
      <c r="LY3" s="67"/>
      <c r="LZ3" s="67">
        <v>9.0</v>
      </c>
      <c r="MA3" s="67">
        <v>9.0</v>
      </c>
      <c r="MB3" s="67">
        <v>8.2</v>
      </c>
      <c r="MC3" s="70"/>
      <c r="MD3" s="70"/>
      <c r="ME3" s="70"/>
      <c r="MF3" s="70"/>
      <c r="MG3" s="70"/>
      <c r="MH3" s="70"/>
      <c r="MI3" s="70"/>
      <c r="MJ3" s="70"/>
      <c r="MK3" s="70"/>
      <c r="ML3" s="70"/>
      <c r="MM3" s="70"/>
      <c r="MN3" s="70"/>
      <c r="MO3" s="70"/>
      <c r="MP3" s="70"/>
      <c r="MQ3" s="70"/>
      <c r="MR3" s="70"/>
      <c r="MS3" s="70"/>
      <c r="MT3" s="71"/>
      <c r="MU3" s="72"/>
      <c r="MV3" s="73">
        <v>5.0</v>
      </c>
      <c r="MW3" s="73">
        <v>1.75</v>
      </c>
      <c r="MX3" s="73">
        <v>10.0</v>
      </c>
      <c r="MY3" s="72"/>
      <c r="MZ3" s="72"/>
      <c r="NA3" s="73">
        <v>2.0</v>
      </c>
      <c r="NB3" s="73">
        <v>1.0</v>
      </c>
      <c r="NC3" s="72"/>
      <c r="ND3" s="73">
        <v>0.5</v>
      </c>
      <c r="NE3" s="73">
        <v>7.5</v>
      </c>
      <c r="NF3" s="73">
        <v>0.25</v>
      </c>
      <c r="NG3" s="73">
        <v>5.25</v>
      </c>
      <c r="NH3" s="72"/>
      <c r="NI3" s="72"/>
      <c r="NJ3" s="72"/>
      <c r="NK3" s="72"/>
      <c r="NL3" s="72"/>
      <c r="NM3" s="72"/>
      <c r="NN3" s="72"/>
      <c r="NO3" s="72"/>
      <c r="NP3" s="72"/>
      <c r="NQ3" s="72"/>
      <c r="NR3" s="72"/>
      <c r="NS3" s="72"/>
      <c r="NT3" s="72"/>
      <c r="NU3" s="72"/>
      <c r="NV3" s="72"/>
      <c r="NW3" s="72"/>
      <c r="NX3" s="72"/>
      <c r="NY3" s="72"/>
      <c r="NZ3" s="74"/>
      <c r="OA3" s="75"/>
      <c r="OB3" s="75"/>
      <c r="OC3" s="76"/>
      <c r="OD3" s="77"/>
      <c r="OE3" s="77"/>
      <c r="OF3" s="77"/>
      <c r="OG3" s="77"/>
      <c r="OH3" s="77"/>
      <c r="OI3" s="77"/>
      <c r="OJ3" s="77"/>
      <c r="OK3" s="77"/>
      <c r="OL3" s="78"/>
    </row>
    <row r="4" ht="30.0" customHeight="1">
      <c r="A4" s="79">
        <v>6458000.0</v>
      </c>
      <c r="B4" s="48" t="s">
        <v>9</v>
      </c>
      <c r="C4" s="80">
        <f t="shared" si="1"/>
        <v>67</v>
      </c>
      <c r="D4" s="81">
        <f t="shared" si="2"/>
        <v>30.5</v>
      </c>
      <c r="E4" s="50"/>
      <c r="F4" s="51"/>
      <c r="G4" s="51"/>
      <c r="H4" s="51"/>
      <c r="I4" s="51"/>
      <c r="J4" s="51"/>
      <c r="K4" s="51"/>
      <c r="L4" s="51"/>
      <c r="M4" s="51"/>
      <c r="N4" s="51"/>
      <c r="O4" s="82"/>
      <c r="P4" s="82">
        <v>9.0</v>
      </c>
      <c r="Q4" s="82">
        <v>11.5</v>
      </c>
      <c r="R4" s="82">
        <v>11.0</v>
      </c>
      <c r="S4" s="82">
        <v>12.5</v>
      </c>
      <c r="T4" s="82">
        <v>11.5</v>
      </c>
      <c r="U4" s="82">
        <v>13.5</v>
      </c>
      <c r="V4" s="82">
        <v>18.0</v>
      </c>
      <c r="W4" s="82">
        <v>5.0</v>
      </c>
      <c r="X4" s="82">
        <v>11.5</v>
      </c>
      <c r="Y4" s="82">
        <v>14.0</v>
      </c>
      <c r="Z4" s="82">
        <v>13.0</v>
      </c>
      <c r="AA4" s="82">
        <v>22.0</v>
      </c>
      <c r="AB4" s="82">
        <v>11.0</v>
      </c>
      <c r="AC4" s="82">
        <v>5.0</v>
      </c>
      <c r="AD4" s="82">
        <v>13.5</v>
      </c>
      <c r="AE4" s="82">
        <v>20.0</v>
      </c>
      <c r="AF4" s="82"/>
      <c r="AG4" s="82">
        <v>15.0</v>
      </c>
      <c r="AH4" s="82">
        <v>16.0</v>
      </c>
      <c r="AI4" s="82">
        <v>2.0</v>
      </c>
      <c r="AJ4" s="82">
        <v>20.0</v>
      </c>
      <c r="AK4" s="82">
        <v>15.0</v>
      </c>
      <c r="AL4" s="82">
        <v>3.0</v>
      </c>
      <c r="AM4" s="82">
        <v>10.0</v>
      </c>
      <c r="AN4" s="82">
        <v>15.0</v>
      </c>
      <c r="AO4" s="82">
        <v>11.0</v>
      </c>
      <c r="AP4" s="82">
        <v>12.5</v>
      </c>
      <c r="AQ4" s="82">
        <v>13.0</v>
      </c>
      <c r="AR4" s="82">
        <v>13.0</v>
      </c>
      <c r="AS4" s="82">
        <v>11.0</v>
      </c>
      <c r="AT4" s="82">
        <v>24.0</v>
      </c>
      <c r="AU4" s="82">
        <v>5.0</v>
      </c>
      <c r="AV4" s="82">
        <v>11.0</v>
      </c>
      <c r="AW4" s="82">
        <v>15.0</v>
      </c>
      <c r="AX4" s="82">
        <v>10.3</v>
      </c>
      <c r="AY4" s="82">
        <v>5.0</v>
      </c>
      <c r="AZ4" s="82">
        <v>13.0</v>
      </c>
      <c r="BA4" s="82">
        <v>5.0</v>
      </c>
      <c r="BB4" s="82">
        <v>12.0</v>
      </c>
      <c r="BC4" s="82">
        <v>11.3</v>
      </c>
      <c r="BD4" s="82">
        <v>13.0</v>
      </c>
      <c r="BE4" s="82">
        <v>11.0</v>
      </c>
      <c r="BF4" s="82">
        <v>12.3</v>
      </c>
      <c r="BG4" s="82">
        <v>13.0</v>
      </c>
      <c r="BH4" s="82">
        <v>4.0</v>
      </c>
      <c r="BI4" s="82">
        <v>12.0</v>
      </c>
      <c r="BJ4" s="82">
        <v>13.0</v>
      </c>
      <c r="BK4" s="82">
        <v>12.0</v>
      </c>
      <c r="BL4" s="82">
        <v>7.0</v>
      </c>
      <c r="BM4" s="82"/>
      <c r="BN4" s="82"/>
      <c r="BO4" s="82"/>
      <c r="BP4" s="82"/>
      <c r="BQ4" s="82"/>
      <c r="BR4" s="82"/>
      <c r="BS4" s="82">
        <v>13.0</v>
      </c>
      <c r="BT4" s="82">
        <v>15.3</v>
      </c>
      <c r="BU4" s="83">
        <v>16.3</v>
      </c>
      <c r="BV4" s="82">
        <v>15.3</v>
      </c>
      <c r="BW4" s="82">
        <v>13.0</v>
      </c>
      <c r="BX4" s="82">
        <v>14.0</v>
      </c>
      <c r="BY4" s="82">
        <v>10.3</v>
      </c>
      <c r="BZ4" s="84">
        <v>15.0</v>
      </c>
      <c r="CA4" s="84">
        <v>12.0</v>
      </c>
      <c r="CB4" s="84">
        <v>14.0</v>
      </c>
      <c r="CC4" s="84">
        <v>9.0</v>
      </c>
      <c r="CD4" s="84">
        <v>13.0</v>
      </c>
      <c r="CE4" s="84">
        <v>12.0</v>
      </c>
      <c r="CF4" s="84">
        <v>11.3</v>
      </c>
      <c r="CG4" s="84">
        <v>14.0</v>
      </c>
      <c r="CH4" s="84">
        <v>9.0</v>
      </c>
      <c r="CI4" s="84">
        <v>11.0</v>
      </c>
      <c r="CJ4" s="84">
        <v>1.3</v>
      </c>
      <c r="CK4" s="84">
        <v>10.0</v>
      </c>
      <c r="CL4" s="84">
        <v>14.0</v>
      </c>
      <c r="CM4" s="84">
        <v>12.0</v>
      </c>
      <c r="CN4" s="84">
        <v>21.0</v>
      </c>
      <c r="CO4" s="84">
        <v>4.0</v>
      </c>
      <c r="CP4" s="84">
        <v>15.0</v>
      </c>
      <c r="CQ4" s="84">
        <v>0.0</v>
      </c>
      <c r="CR4" s="84">
        <v>6.0</v>
      </c>
      <c r="CS4" s="84">
        <v>0.0</v>
      </c>
      <c r="CT4" s="84">
        <v>9.0</v>
      </c>
      <c r="CU4" s="84">
        <v>15.0</v>
      </c>
      <c r="CV4" s="84">
        <v>0.0</v>
      </c>
      <c r="CW4" s="84">
        <v>10.0</v>
      </c>
      <c r="CX4" s="84">
        <v>10.0</v>
      </c>
      <c r="CY4" s="84">
        <v>11.0</v>
      </c>
      <c r="CZ4" s="52">
        <v>14.0</v>
      </c>
      <c r="DA4" s="84">
        <v>10.0</v>
      </c>
      <c r="DB4" s="84">
        <v>11.0</v>
      </c>
      <c r="DC4" s="84">
        <v>11.0</v>
      </c>
      <c r="DD4" s="84">
        <v>11.0</v>
      </c>
      <c r="DE4" s="84">
        <v>6.0</v>
      </c>
      <c r="DF4" s="84">
        <v>0.0</v>
      </c>
      <c r="DG4" s="84"/>
      <c r="DH4" s="84"/>
      <c r="DI4" s="84"/>
      <c r="DJ4" s="84"/>
      <c r="DK4" s="85">
        <v>6.0</v>
      </c>
      <c r="DL4" s="85">
        <v>9.0</v>
      </c>
      <c r="DM4" s="85">
        <v>8.0</v>
      </c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52"/>
      <c r="EE4" s="84"/>
      <c r="EF4" s="84"/>
      <c r="EG4" s="84"/>
      <c r="EH4" s="84">
        <v>6.0</v>
      </c>
      <c r="EI4" s="84">
        <v>5.5</v>
      </c>
      <c r="EJ4" s="84">
        <v>7.5</v>
      </c>
      <c r="EK4" s="84"/>
      <c r="EL4" s="86">
        <v>7.0</v>
      </c>
      <c r="EM4" s="86"/>
      <c r="EN4" s="86"/>
      <c r="EO4" s="86">
        <v>10.5</v>
      </c>
      <c r="EP4" s="86">
        <v>7.0</v>
      </c>
      <c r="EQ4" s="86">
        <v>8.0</v>
      </c>
      <c r="ER4" s="86">
        <v>5.0</v>
      </c>
      <c r="ES4" s="86"/>
      <c r="ET4" s="86"/>
      <c r="EU4" s="86"/>
      <c r="EV4" s="86"/>
      <c r="EW4" s="86">
        <v>10.0</v>
      </c>
      <c r="EX4" s="86">
        <v>8.0</v>
      </c>
      <c r="EY4" s="86">
        <v>11.0</v>
      </c>
      <c r="EZ4" s="86">
        <v>11.0</v>
      </c>
      <c r="FA4" s="86">
        <v>13.0</v>
      </c>
      <c r="FB4" s="86"/>
      <c r="FC4" s="86">
        <v>10.5</v>
      </c>
      <c r="FD4" s="86">
        <v>11.0</v>
      </c>
      <c r="FE4" s="86">
        <v>11.0</v>
      </c>
      <c r="FF4" s="86">
        <v>11.0</v>
      </c>
      <c r="FG4" s="86">
        <v>8.5</v>
      </c>
      <c r="FH4" s="86">
        <v>11.0</v>
      </c>
      <c r="FI4" s="86">
        <v>15.0</v>
      </c>
      <c r="FJ4" s="86">
        <v>8.0</v>
      </c>
      <c r="FK4" s="86">
        <v>10.0</v>
      </c>
      <c r="FL4" s="86">
        <v>10.0</v>
      </c>
      <c r="FM4" s="86">
        <v>10.5</v>
      </c>
      <c r="FN4" s="86">
        <v>11.5</v>
      </c>
      <c r="FO4" s="86">
        <v>10.5</v>
      </c>
      <c r="FP4" s="86">
        <v>9.0</v>
      </c>
      <c r="FQ4" s="87">
        <v>8.0</v>
      </c>
      <c r="FR4" s="87">
        <v>11.0</v>
      </c>
      <c r="FS4" s="87">
        <v>10.0</v>
      </c>
      <c r="FT4" s="87">
        <v>9.0</v>
      </c>
      <c r="FU4" s="87">
        <v>13.0</v>
      </c>
      <c r="FV4" s="87"/>
      <c r="FW4" s="87"/>
      <c r="FX4" s="87">
        <v>10.0</v>
      </c>
      <c r="FY4" s="87">
        <v>11.0</v>
      </c>
      <c r="FZ4" s="87">
        <v>7.0</v>
      </c>
      <c r="GA4" s="87">
        <v>9.0</v>
      </c>
      <c r="GB4" s="87">
        <v>8.0</v>
      </c>
      <c r="GC4" s="87">
        <v>12.0</v>
      </c>
      <c r="GD4" s="87">
        <v>14.0</v>
      </c>
      <c r="GE4" s="87">
        <v>7.5</v>
      </c>
      <c r="GF4" s="87"/>
      <c r="GG4" s="87">
        <v>10.0</v>
      </c>
      <c r="GH4" s="87">
        <v>12.0</v>
      </c>
      <c r="GI4" s="87">
        <v>9.0</v>
      </c>
      <c r="GJ4" s="87">
        <v>8.0</v>
      </c>
      <c r="GK4" s="87"/>
      <c r="GL4" s="87">
        <v>11.0</v>
      </c>
      <c r="GM4" s="87">
        <v>12.0</v>
      </c>
      <c r="GN4" s="87">
        <v>7.0</v>
      </c>
      <c r="GO4" s="87"/>
      <c r="GP4" s="87">
        <v>11.5</v>
      </c>
      <c r="GQ4" s="87">
        <v>10.0</v>
      </c>
      <c r="GR4" s="87">
        <v>16.0</v>
      </c>
      <c r="GS4" s="57">
        <v>8.0</v>
      </c>
      <c r="GT4" s="57">
        <v>6.5</v>
      </c>
      <c r="GU4" s="57">
        <v>16.0</v>
      </c>
      <c r="GV4" s="57">
        <v>6.0</v>
      </c>
      <c r="GW4" s="57">
        <v>7.0</v>
      </c>
      <c r="GX4" s="57">
        <v>9.0</v>
      </c>
      <c r="GY4" s="57">
        <v>11.5</v>
      </c>
      <c r="GZ4" s="57">
        <v>10.5</v>
      </c>
      <c r="HA4" s="57">
        <v>6.0</v>
      </c>
      <c r="HB4" s="57">
        <v>11.0</v>
      </c>
      <c r="HC4" s="57">
        <v>10.0</v>
      </c>
      <c r="HD4" s="57">
        <v>10.0</v>
      </c>
      <c r="HE4" s="57">
        <v>9.0</v>
      </c>
      <c r="HF4" s="57">
        <v>10.0</v>
      </c>
      <c r="HG4" s="57">
        <v>11.5</v>
      </c>
      <c r="HH4" s="57">
        <v>11.0</v>
      </c>
      <c r="HI4" s="57">
        <v>8.0</v>
      </c>
      <c r="HJ4" s="57" t="s">
        <v>33</v>
      </c>
      <c r="HK4" s="57">
        <v>11.0</v>
      </c>
      <c r="HL4" s="57">
        <v>9.0</v>
      </c>
      <c r="HM4" s="57"/>
      <c r="HN4" s="57">
        <v>10.5</v>
      </c>
      <c r="HO4" s="57">
        <v>10.5</v>
      </c>
      <c r="HP4" s="57">
        <v>9.0</v>
      </c>
      <c r="HQ4" s="57">
        <v>10.5</v>
      </c>
      <c r="HR4" s="57">
        <v>6.0</v>
      </c>
      <c r="HS4" s="57"/>
      <c r="HT4" s="57"/>
      <c r="HU4" s="57"/>
      <c r="HV4" s="57">
        <v>9.0</v>
      </c>
      <c r="HW4" s="57"/>
      <c r="HX4" s="58">
        <v>0.0</v>
      </c>
      <c r="HY4" s="58">
        <v>10.0</v>
      </c>
      <c r="HZ4" s="58">
        <v>13.0</v>
      </c>
      <c r="IA4" s="58">
        <v>3.0</v>
      </c>
      <c r="IB4" s="58">
        <v>9.5</v>
      </c>
      <c r="IC4" s="58">
        <v>10.5</v>
      </c>
      <c r="ID4" s="58">
        <v>11.0</v>
      </c>
      <c r="IE4" s="58">
        <v>0.0</v>
      </c>
      <c r="IF4" s="58">
        <v>0.0</v>
      </c>
      <c r="IG4" s="58">
        <v>0.0</v>
      </c>
      <c r="IH4" s="88">
        <v>10.0</v>
      </c>
      <c r="II4" s="88">
        <v>9.0</v>
      </c>
      <c r="IJ4" s="88">
        <v>11.0</v>
      </c>
      <c r="IK4" s="88">
        <v>10.5</v>
      </c>
      <c r="IL4" s="88">
        <v>7.0</v>
      </c>
      <c r="IM4" s="88">
        <v>11.0</v>
      </c>
      <c r="IN4" s="88">
        <v>12.0</v>
      </c>
      <c r="IO4" s="88">
        <v>4.0</v>
      </c>
      <c r="IP4" s="88">
        <v>10.0</v>
      </c>
      <c r="IQ4" s="88">
        <v>12.0</v>
      </c>
      <c r="IR4" s="88">
        <v>10.0</v>
      </c>
      <c r="IS4" s="88">
        <v>10.0</v>
      </c>
      <c r="IT4" s="88">
        <v>14.0</v>
      </c>
      <c r="IU4" s="88">
        <v>9.0</v>
      </c>
      <c r="IV4" s="88">
        <v>4.0</v>
      </c>
      <c r="IW4" s="88">
        <v>10.0</v>
      </c>
      <c r="IX4" s="88">
        <v>9.0</v>
      </c>
      <c r="IY4" s="88">
        <v>12.0</v>
      </c>
      <c r="IZ4" s="88">
        <v>9.0</v>
      </c>
      <c r="JA4" s="88">
        <v>8.0</v>
      </c>
      <c r="JB4" s="89"/>
      <c r="JC4" s="90">
        <v>10.0</v>
      </c>
      <c r="JD4" s="90">
        <v>10.0</v>
      </c>
      <c r="JE4" s="90">
        <v>10.0</v>
      </c>
      <c r="JF4" s="90">
        <v>10.0</v>
      </c>
      <c r="JG4" s="90">
        <v>10.0</v>
      </c>
      <c r="JH4" s="90">
        <v>11.0</v>
      </c>
      <c r="JI4" s="90">
        <v>9.0</v>
      </c>
      <c r="JJ4" s="90">
        <v>10.0</v>
      </c>
      <c r="JK4" s="90">
        <v>10.0</v>
      </c>
      <c r="JL4" s="90"/>
      <c r="JM4" s="90"/>
      <c r="JN4" s="90"/>
      <c r="JO4" s="90"/>
      <c r="JP4" s="90"/>
      <c r="JQ4" s="90"/>
      <c r="JR4" s="90">
        <v>10.0</v>
      </c>
      <c r="JS4" s="90">
        <v>17.25</v>
      </c>
      <c r="JT4" s="90">
        <v>10.0</v>
      </c>
      <c r="JU4" s="90">
        <v>12.0</v>
      </c>
      <c r="JV4" s="90">
        <v>8.75</v>
      </c>
      <c r="JW4" s="90">
        <v>10.0</v>
      </c>
      <c r="JX4" s="90">
        <v>9.0</v>
      </c>
      <c r="JY4" s="90">
        <v>10.0</v>
      </c>
      <c r="JZ4" s="62">
        <v>11.5</v>
      </c>
      <c r="KA4" s="90">
        <v>10.0</v>
      </c>
      <c r="KB4" s="62">
        <v>12.5</v>
      </c>
      <c r="KC4" s="90">
        <v>12.0</v>
      </c>
      <c r="KD4" s="90">
        <v>15.0</v>
      </c>
      <c r="KE4" s="90">
        <v>6.0</v>
      </c>
      <c r="KF4" s="90">
        <v>7.0</v>
      </c>
      <c r="KG4" s="91">
        <v>9.0</v>
      </c>
      <c r="KH4" s="92"/>
      <c r="KI4" s="67">
        <v>11.5</v>
      </c>
      <c r="KJ4" s="68">
        <v>9.0</v>
      </c>
      <c r="KK4" s="68">
        <v>10.0</v>
      </c>
      <c r="KL4" s="68">
        <v>10.0</v>
      </c>
      <c r="KM4" s="68">
        <v>10.0</v>
      </c>
      <c r="KN4" s="68" t="s">
        <v>32</v>
      </c>
      <c r="KO4" s="68">
        <v>10.0</v>
      </c>
      <c r="KP4" s="68">
        <v>10.0</v>
      </c>
      <c r="KQ4" s="68">
        <v>10.0</v>
      </c>
      <c r="KR4" s="68" t="s">
        <v>32</v>
      </c>
      <c r="KS4" s="68">
        <v>10.0</v>
      </c>
      <c r="KT4" s="68">
        <v>10.0</v>
      </c>
      <c r="KU4" s="68">
        <v>10.0</v>
      </c>
      <c r="KV4" s="68" t="s">
        <v>32</v>
      </c>
      <c r="KW4" s="68">
        <v>10.0</v>
      </c>
      <c r="KX4" s="68">
        <v>10.0</v>
      </c>
      <c r="KY4" s="68">
        <v>10.0</v>
      </c>
      <c r="KZ4" s="68" t="s">
        <v>32</v>
      </c>
      <c r="LA4" s="68">
        <v>10.0</v>
      </c>
      <c r="LB4" s="68">
        <v>10.0</v>
      </c>
      <c r="LC4" s="68">
        <v>10.0</v>
      </c>
      <c r="LD4" s="68">
        <v>10.0</v>
      </c>
      <c r="LE4" s="68">
        <v>10.0</v>
      </c>
      <c r="LF4" s="68">
        <v>10.0</v>
      </c>
      <c r="LG4" s="68">
        <v>10.0</v>
      </c>
      <c r="LH4" s="68">
        <v>10.0</v>
      </c>
      <c r="LI4" s="68">
        <v>10.0</v>
      </c>
      <c r="LJ4" s="68">
        <v>10.0</v>
      </c>
      <c r="LK4" s="68">
        <v>10.0</v>
      </c>
      <c r="LL4" s="68">
        <v>10.0</v>
      </c>
      <c r="LM4" s="68"/>
      <c r="LN4" s="92"/>
      <c r="LO4" s="68">
        <v>9.0</v>
      </c>
      <c r="LP4" s="68">
        <v>9.0</v>
      </c>
      <c r="LQ4" s="68">
        <v>9.0</v>
      </c>
      <c r="LR4" s="68"/>
      <c r="LS4" s="68">
        <v>9.0</v>
      </c>
      <c r="LT4" s="68"/>
      <c r="LU4" s="68">
        <v>9.0</v>
      </c>
      <c r="LV4" s="68">
        <v>8.0</v>
      </c>
      <c r="LW4" s="68"/>
      <c r="LX4" s="68">
        <v>5.0</v>
      </c>
      <c r="LY4" s="68"/>
      <c r="LZ4" s="68">
        <v>9.0</v>
      </c>
      <c r="MA4" s="68"/>
      <c r="MB4" s="68"/>
      <c r="MC4" s="68"/>
      <c r="MD4" s="68"/>
      <c r="ME4" s="68"/>
      <c r="MF4" s="68"/>
      <c r="MG4" s="68"/>
      <c r="MH4" s="68"/>
      <c r="MI4" s="68"/>
      <c r="MJ4" s="68"/>
      <c r="MK4" s="68"/>
      <c r="ML4" s="68"/>
      <c r="MM4" s="68"/>
      <c r="MN4" s="68"/>
      <c r="MO4" s="68"/>
      <c r="MP4" s="68"/>
      <c r="MQ4" s="68"/>
      <c r="MR4" s="70"/>
      <c r="MS4" s="70"/>
      <c r="MT4" s="93"/>
      <c r="MU4" s="94">
        <v>2.0</v>
      </c>
      <c r="MV4" s="94">
        <v>2.0</v>
      </c>
      <c r="MW4" s="94">
        <v>2.0</v>
      </c>
      <c r="MX4" s="94">
        <v>8.0</v>
      </c>
      <c r="MY4" s="94">
        <v>2.0</v>
      </c>
      <c r="MZ4" s="94"/>
      <c r="NA4" s="94">
        <v>2.0</v>
      </c>
      <c r="NB4" s="94"/>
      <c r="NC4" s="94"/>
      <c r="ND4" s="94"/>
      <c r="NE4" s="95">
        <v>7.5</v>
      </c>
      <c r="NF4" s="94">
        <v>5.0</v>
      </c>
      <c r="NG4" s="94"/>
      <c r="NH4" s="94"/>
      <c r="NI4" s="94"/>
      <c r="NJ4" s="94"/>
      <c r="NK4" s="94"/>
      <c r="NL4" s="94"/>
      <c r="NM4" s="94"/>
      <c r="NN4" s="94"/>
      <c r="NO4" s="94"/>
      <c r="NP4" s="94"/>
      <c r="NQ4" s="94"/>
      <c r="NR4" s="94"/>
      <c r="NS4" s="94"/>
      <c r="NT4" s="94"/>
      <c r="NU4" s="94"/>
      <c r="NV4" s="94"/>
      <c r="NW4" s="94"/>
      <c r="NX4" s="94"/>
      <c r="NY4" s="94"/>
      <c r="NZ4" s="96"/>
      <c r="OA4" s="97"/>
      <c r="OB4" s="97"/>
      <c r="OC4" s="98"/>
      <c r="OD4" s="99"/>
      <c r="OE4" s="99"/>
      <c r="OF4" s="99"/>
      <c r="OG4" s="99"/>
      <c r="OH4" s="99"/>
      <c r="OI4" s="99"/>
      <c r="OJ4" s="99"/>
      <c r="OK4" s="99"/>
      <c r="OL4" s="99"/>
    </row>
    <row r="5" ht="30.0" customHeight="1">
      <c r="A5" s="100"/>
      <c r="B5" s="48" t="s">
        <v>21</v>
      </c>
      <c r="C5" s="49">
        <f t="shared" si="1"/>
        <v>72</v>
      </c>
      <c r="D5" s="48">
        <f t="shared" si="2"/>
        <v>14.85</v>
      </c>
      <c r="E5" s="101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>
        <v>10.0</v>
      </c>
      <c r="AY5" s="82">
        <v>5.0</v>
      </c>
      <c r="AZ5" s="82">
        <v>12.0</v>
      </c>
      <c r="BA5" s="102"/>
      <c r="BB5" s="82">
        <v>9.3</v>
      </c>
      <c r="BC5" s="82">
        <v>9.0</v>
      </c>
      <c r="BD5" s="103">
        <v>11.0</v>
      </c>
      <c r="BE5" s="82"/>
      <c r="BF5" s="82">
        <v>9.0</v>
      </c>
      <c r="BG5" s="82"/>
      <c r="BH5" s="82"/>
      <c r="BI5" s="82"/>
      <c r="BJ5" s="82">
        <v>10.0</v>
      </c>
      <c r="BK5" s="82">
        <v>10.0</v>
      </c>
      <c r="BL5" s="82">
        <v>9.3</v>
      </c>
      <c r="BM5" s="82">
        <v>9.0</v>
      </c>
      <c r="BN5" s="82">
        <v>12.0</v>
      </c>
      <c r="BO5" s="82"/>
      <c r="BP5" s="82">
        <v>7.3</v>
      </c>
      <c r="BQ5" s="82">
        <v>9.0</v>
      </c>
      <c r="BR5" s="82">
        <v>10.3</v>
      </c>
      <c r="BS5" s="82">
        <v>9.3</v>
      </c>
      <c r="BT5" s="82"/>
      <c r="BU5" s="52">
        <v>5.0</v>
      </c>
      <c r="BV5" s="82">
        <v>12.0</v>
      </c>
      <c r="BW5" s="51">
        <v>10.3</v>
      </c>
      <c r="BX5" s="51">
        <v>10.0</v>
      </c>
      <c r="BY5" s="51">
        <v>10.3</v>
      </c>
      <c r="BZ5" s="84">
        <v>8.0</v>
      </c>
      <c r="CA5" s="84">
        <v>13.0</v>
      </c>
      <c r="CB5" s="84">
        <v>9.0</v>
      </c>
      <c r="CC5" s="84">
        <v>3.0</v>
      </c>
      <c r="CD5" s="84">
        <v>11.3</v>
      </c>
      <c r="CE5" s="84">
        <v>11.0</v>
      </c>
      <c r="CF5" s="84">
        <v>10.0</v>
      </c>
      <c r="CG5" s="84">
        <v>13.0</v>
      </c>
      <c r="CH5" s="84">
        <v>9.0</v>
      </c>
      <c r="CI5" s="84">
        <v>10.0</v>
      </c>
      <c r="CJ5" s="84"/>
      <c r="CK5" s="84">
        <v>8.3</v>
      </c>
      <c r="CL5" s="84">
        <v>8.0</v>
      </c>
      <c r="CM5" s="84">
        <v>9.0</v>
      </c>
      <c r="CN5" s="84">
        <v>12.0</v>
      </c>
      <c r="CO5" s="84">
        <v>11.0</v>
      </c>
      <c r="CP5" s="84">
        <v>0.0</v>
      </c>
      <c r="CQ5" s="84">
        <v>0.0</v>
      </c>
      <c r="CR5" s="84">
        <v>7.0</v>
      </c>
      <c r="CS5" s="84">
        <v>7.0</v>
      </c>
      <c r="CT5" s="84">
        <v>0.0</v>
      </c>
      <c r="CU5" s="84">
        <v>13.0</v>
      </c>
      <c r="CV5" s="84"/>
      <c r="CW5" s="84"/>
      <c r="CX5" s="84"/>
      <c r="CY5" s="84">
        <v>9.0</v>
      </c>
      <c r="CZ5" s="52">
        <v>8.0</v>
      </c>
      <c r="DA5" s="84">
        <v>11.3</v>
      </c>
      <c r="DB5" s="84">
        <v>9.0</v>
      </c>
      <c r="DC5" s="84">
        <v>12.0</v>
      </c>
      <c r="DD5" s="84">
        <v>12.0</v>
      </c>
      <c r="DE5" s="84">
        <v>9.15</v>
      </c>
      <c r="DF5" s="84">
        <v>11.0</v>
      </c>
      <c r="DG5" s="84">
        <v>9.0</v>
      </c>
      <c r="DH5" s="84">
        <v>10.0</v>
      </c>
      <c r="DI5" s="84">
        <v>8.0</v>
      </c>
      <c r="DJ5" s="84">
        <v>13.0</v>
      </c>
      <c r="DK5" s="84">
        <v>8.0</v>
      </c>
      <c r="DL5" s="85">
        <v>13.0</v>
      </c>
      <c r="DM5" s="85">
        <v>8.0</v>
      </c>
      <c r="DN5" s="85">
        <v>11.0</v>
      </c>
      <c r="DO5" s="85">
        <v>12.0</v>
      </c>
      <c r="DP5" s="85">
        <v>11.0</v>
      </c>
      <c r="DQ5" s="84">
        <v>8.0</v>
      </c>
      <c r="DR5" s="84">
        <v>12.0</v>
      </c>
      <c r="DS5" s="84"/>
      <c r="DT5" s="84">
        <v>11.0</v>
      </c>
      <c r="DU5" s="84">
        <v>9.5</v>
      </c>
      <c r="DV5" s="84">
        <v>11.5</v>
      </c>
      <c r="DW5" s="84">
        <v>10.0</v>
      </c>
      <c r="DX5" s="84">
        <v>9.5</v>
      </c>
      <c r="DY5" s="84">
        <v>14.0</v>
      </c>
      <c r="DZ5" s="84"/>
      <c r="EA5" s="84">
        <v>11.0</v>
      </c>
      <c r="EB5" s="84">
        <v>7.5</v>
      </c>
      <c r="EC5" s="84">
        <v>8.0</v>
      </c>
      <c r="ED5" s="52">
        <v>10.0</v>
      </c>
      <c r="EE5" s="84">
        <v>11.5</v>
      </c>
      <c r="EF5" s="84">
        <v>10.0</v>
      </c>
      <c r="EG5" s="84"/>
      <c r="EH5" s="84">
        <v>10.0</v>
      </c>
      <c r="EI5" s="84">
        <v>8.5</v>
      </c>
      <c r="EJ5" s="84">
        <v>8.0</v>
      </c>
      <c r="EK5" s="84">
        <v>8.0</v>
      </c>
      <c r="EL5" s="86"/>
      <c r="EM5" s="86">
        <v>13.5</v>
      </c>
      <c r="EN5" s="86">
        <v>10.5</v>
      </c>
      <c r="EO5" s="86">
        <v>13.5</v>
      </c>
      <c r="EP5" s="86">
        <v>9.0</v>
      </c>
      <c r="EQ5" s="86">
        <v>12.0</v>
      </c>
      <c r="ER5" s="86">
        <v>12.0</v>
      </c>
      <c r="ES5" s="86">
        <v>8.3</v>
      </c>
      <c r="ET5" s="86">
        <v>10.0</v>
      </c>
      <c r="EU5" s="86"/>
      <c r="EV5" s="86">
        <v>9.0</v>
      </c>
      <c r="EW5" s="86">
        <v>9.5</v>
      </c>
      <c r="EX5" s="86">
        <v>11.5</v>
      </c>
      <c r="EY5" s="86">
        <v>18.0</v>
      </c>
      <c r="EZ5" s="86">
        <v>6.5</v>
      </c>
      <c r="FA5" s="86">
        <v>11.0</v>
      </c>
      <c r="FB5" s="86">
        <v>3.5</v>
      </c>
      <c r="FC5" s="86">
        <v>9.0</v>
      </c>
      <c r="FD5" s="86">
        <v>10.0</v>
      </c>
      <c r="FE5" s="86">
        <v>3.0</v>
      </c>
      <c r="FF5" s="86">
        <v>12.0</v>
      </c>
      <c r="FG5" s="86">
        <v>9.0</v>
      </c>
      <c r="FH5" s="86">
        <v>9.0</v>
      </c>
      <c r="FI5" s="86"/>
      <c r="FJ5" s="86">
        <v>9.5</v>
      </c>
      <c r="FK5" s="86">
        <v>9.0</v>
      </c>
      <c r="FL5" s="86">
        <v>11.75</v>
      </c>
      <c r="FM5" s="86">
        <v>11.0</v>
      </c>
      <c r="FN5" s="86">
        <v>9.0</v>
      </c>
      <c r="FO5" s="86">
        <v>8.5</v>
      </c>
      <c r="FP5" s="104"/>
      <c r="FQ5" s="87">
        <v>8.0</v>
      </c>
      <c r="FR5" s="87">
        <v>11.0</v>
      </c>
      <c r="FS5" s="87">
        <v>9.0</v>
      </c>
      <c r="FT5" s="87">
        <v>16.0</v>
      </c>
      <c r="FU5" s="87">
        <v>8.0</v>
      </c>
      <c r="FV5" s="87">
        <v>10.0</v>
      </c>
      <c r="FW5" s="87">
        <v>10.0</v>
      </c>
      <c r="FX5" s="87">
        <v>9.0</v>
      </c>
      <c r="FY5" s="87">
        <v>10.0</v>
      </c>
      <c r="FZ5" s="87">
        <v>15.0</v>
      </c>
      <c r="GA5" s="87">
        <v>12.0</v>
      </c>
      <c r="GB5" s="87">
        <v>11.0</v>
      </c>
      <c r="GC5" s="87">
        <v>9.0</v>
      </c>
      <c r="GD5" s="87">
        <v>10.0</v>
      </c>
      <c r="GE5" s="87">
        <v>14.0</v>
      </c>
      <c r="GF5" s="87">
        <v>13.0</v>
      </c>
      <c r="GG5" s="87">
        <v>10.0</v>
      </c>
      <c r="GH5" s="87"/>
      <c r="GI5" s="87">
        <v>11.0</v>
      </c>
      <c r="GJ5" s="87">
        <v>8.0</v>
      </c>
      <c r="GK5" s="87">
        <v>11.0</v>
      </c>
      <c r="GL5" s="87">
        <v>12.0</v>
      </c>
      <c r="GM5" s="87">
        <v>9.0</v>
      </c>
      <c r="GN5" s="87">
        <v>12.0</v>
      </c>
      <c r="GO5" s="87">
        <v>16.0</v>
      </c>
      <c r="GP5" s="87">
        <v>15.0</v>
      </c>
      <c r="GQ5" s="87">
        <v>14.0</v>
      </c>
      <c r="GR5" s="87">
        <v>20.0</v>
      </c>
      <c r="GS5" s="57" t="s">
        <v>32</v>
      </c>
      <c r="GT5" s="57">
        <v>8.0</v>
      </c>
      <c r="GU5" s="57">
        <v>4.0</v>
      </c>
      <c r="GV5" s="57" t="s">
        <v>32</v>
      </c>
      <c r="GW5" s="57">
        <v>5.0</v>
      </c>
      <c r="GX5" s="57">
        <v>5.5</v>
      </c>
      <c r="GY5" s="57">
        <v>8.5</v>
      </c>
      <c r="GZ5" s="57">
        <v>3.5</v>
      </c>
      <c r="HA5" s="57" t="s">
        <v>32</v>
      </c>
      <c r="HB5" s="57">
        <v>8.0</v>
      </c>
      <c r="HC5" s="57">
        <v>12.0</v>
      </c>
      <c r="HD5" s="57">
        <v>3.0</v>
      </c>
      <c r="HE5" s="57">
        <v>11.0</v>
      </c>
      <c r="HF5" s="57" t="s">
        <v>32</v>
      </c>
      <c r="HG5" s="57">
        <v>12.0</v>
      </c>
      <c r="HH5" s="57">
        <v>12.0</v>
      </c>
      <c r="HI5" s="57">
        <v>5.0</v>
      </c>
      <c r="HJ5" s="57">
        <v>2.0</v>
      </c>
      <c r="HK5" s="57">
        <v>7.5</v>
      </c>
      <c r="HL5" s="57">
        <v>7.0</v>
      </c>
      <c r="HM5" s="57">
        <v>7.0</v>
      </c>
      <c r="HN5" s="57">
        <v>5.0</v>
      </c>
      <c r="HO5" s="57">
        <v>12.0</v>
      </c>
      <c r="HP5" s="57">
        <v>11.0</v>
      </c>
      <c r="HQ5" s="57">
        <v>4.5</v>
      </c>
      <c r="HR5" s="57" t="s">
        <v>32</v>
      </c>
      <c r="HS5" s="57">
        <v>4.5</v>
      </c>
      <c r="HT5" s="57">
        <v>6.5</v>
      </c>
      <c r="HU5" s="57">
        <v>1.5</v>
      </c>
      <c r="HV5" s="57">
        <v>5.0</v>
      </c>
      <c r="HW5" s="57" t="s">
        <v>32</v>
      </c>
      <c r="HX5" s="105" t="s">
        <v>34</v>
      </c>
      <c r="HY5" s="58">
        <v>3.0</v>
      </c>
      <c r="HZ5" s="58">
        <v>8.0</v>
      </c>
      <c r="IA5" s="58">
        <v>7.0</v>
      </c>
      <c r="IB5" s="58">
        <v>6.0</v>
      </c>
      <c r="IC5" s="58">
        <v>8.75</v>
      </c>
      <c r="ID5" s="58">
        <v>10.75</v>
      </c>
      <c r="IE5" s="58">
        <v>9.0</v>
      </c>
      <c r="IF5" s="58">
        <v>9.25</v>
      </c>
      <c r="IG5" s="58">
        <v>7.75</v>
      </c>
      <c r="IH5" s="58">
        <v>9.25</v>
      </c>
      <c r="II5" s="58">
        <v>9.5</v>
      </c>
      <c r="IJ5" s="58">
        <v>7.25</v>
      </c>
      <c r="IK5" s="58" t="s">
        <v>32</v>
      </c>
      <c r="IL5" s="58">
        <v>6.5</v>
      </c>
      <c r="IM5" s="58">
        <v>9.0</v>
      </c>
      <c r="IN5" s="58">
        <v>11.5</v>
      </c>
      <c r="IO5" s="58">
        <v>12.5</v>
      </c>
      <c r="IP5" s="58">
        <v>9.5</v>
      </c>
      <c r="IQ5" s="58">
        <v>9.0</v>
      </c>
      <c r="IR5" s="58">
        <v>9.25</v>
      </c>
      <c r="IS5" s="58">
        <v>12.5</v>
      </c>
      <c r="IT5" s="58">
        <v>10.75</v>
      </c>
      <c r="IU5" s="58">
        <v>19.0</v>
      </c>
      <c r="IV5" s="58">
        <v>3.0</v>
      </c>
      <c r="IW5" s="58">
        <v>11.0</v>
      </c>
      <c r="IX5" s="58">
        <v>6.5</v>
      </c>
      <c r="IY5" s="58">
        <v>10.0</v>
      </c>
      <c r="IZ5" s="58">
        <v>0.0</v>
      </c>
      <c r="JA5" s="58">
        <v>10.0</v>
      </c>
      <c r="JB5" s="61"/>
      <c r="JC5" s="62">
        <v>11.0</v>
      </c>
      <c r="JD5" s="62"/>
      <c r="JE5" s="62">
        <v>10.5</v>
      </c>
      <c r="JF5" s="62">
        <v>14.5</v>
      </c>
      <c r="JG5" s="62">
        <v>10.0</v>
      </c>
      <c r="JH5" s="62">
        <v>15.0</v>
      </c>
      <c r="JI5" s="62">
        <v>10.5</v>
      </c>
      <c r="JJ5" s="62">
        <v>11.0</v>
      </c>
      <c r="JK5" s="62"/>
      <c r="JL5" s="62">
        <v>12.0</v>
      </c>
      <c r="JM5" s="62">
        <v>14.0</v>
      </c>
      <c r="JN5" s="62">
        <v>10.0</v>
      </c>
      <c r="JO5" s="62">
        <v>8.0</v>
      </c>
      <c r="JP5" s="62">
        <v>2.0</v>
      </c>
      <c r="JQ5" s="62">
        <v>3.0</v>
      </c>
      <c r="JR5" s="62"/>
      <c r="JS5" s="62"/>
      <c r="JT5" s="62"/>
      <c r="JU5" s="62">
        <v>10.0</v>
      </c>
      <c r="JV5" s="62"/>
      <c r="JW5" s="62">
        <v>4.0</v>
      </c>
      <c r="JX5" s="62">
        <v>11.0</v>
      </c>
      <c r="JY5" s="62"/>
      <c r="JZ5" s="62">
        <v>11.0</v>
      </c>
      <c r="KA5" s="62">
        <v>8.5</v>
      </c>
      <c r="KB5" s="62">
        <v>8.0</v>
      </c>
      <c r="KC5" s="62">
        <v>12.0</v>
      </c>
      <c r="KD5" s="62">
        <v>14.75</v>
      </c>
      <c r="KE5" s="62">
        <v>12.5</v>
      </c>
      <c r="KF5" s="62">
        <v>11.0</v>
      </c>
      <c r="KG5" s="65">
        <v>10.0</v>
      </c>
      <c r="KH5" s="66"/>
      <c r="KI5" s="67">
        <v>16.5</v>
      </c>
      <c r="KJ5" s="68">
        <v>9.0</v>
      </c>
      <c r="KK5" s="67">
        <v>12.5</v>
      </c>
      <c r="KL5" s="67">
        <v>16.5</v>
      </c>
      <c r="KM5" s="67">
        <v>9.0</v>
      </c>
      <c r="KN5" s="67">
        <v>16.0</v>
      </c>
      <c r="KO5" s="67" t="s">
        <v>32</v>
      </c>
      <c r="KP5" s="67">
        <v>7.0</v>
      </c>
      <c r="KQ5" s="67">
        <v>14.5</v>
      </c>
      <c r="KR5" s="67">
        <v>4.5</v>
      </c>
      <c r="KS5" s="67">
        <v>13.0</v>
      </c>
      <c r="KT5" s="67">
        <v>3.0</v>
      </c>
      <c r="KU5" s="67">
        <v>5.0</v>
      </c>
      <c r="KV5" s="67">
        <v>6.5</v>
      </c>
      <c r="KW5" s="67">
        <v>8.0</v>
      </c>
      <c r="KX5" s="67" t="s">
        <v>32</v>
      </c>
      <c r="KY5" s="67">
        <v>6.5</v>
      </c>
      <c r="KZ5" s="67" t="s">
        <v>32</v>
      </c>
      <c r="LA5" s="67" t="s">
        <v>32</v>
      </c>
      <c r="LB5" s="67" t="s">
        <v>32</v>
      </c>
      <c r="LC5" s="67">
        <v>8.0</v>
      </c>
      <c r="LD5" s="67">
        <v>6.5</v>
      </c>
      <c r="LE5" s="67">
        <v>9.0</v>
      </c>
      <c r="LF5" s="67">
        <v>9.0</v>
      </c>
      <c r="LG5" s="67" t="s">
        <v>32</v>
      </c>
      <c r="LH5" s="67">
        <v>9.0</v>
      </c>
      <c r="LI5" s="67" t="s">
        <v>32</v>
      </c>
      <c r="LJ5" s="67">
        <v>11.0</v>
      </c>
      <c r="LK5" s="67">
        <v>9.5</v>
      </c>
      <c r="LL5" s="67">
        <v>5.5</v>
      </c>
      <c r="LM5" s="67">
        <v>21.0</v>
      </c>
      <c r="LN5" s="66"/>
      <c r="LO5" s="67"/>
      <c r="LP5" s="67">
        <v>9.0</v>
      </c>
      <c r="LQ5" s="67">
        <v>9.0</v>
      </c>
      <c r="LR5" s="67"/>
      <c r="LS5" s="67">
        <v>9.0</v>
      </c>
      <c r="LT5" s="67"/>
      <c r="LU5" s="67">
        <v>9.0</v>
      </c>
      <c r="LV5" s="67">
        <v>9.0</v>
      </c>
      <c r="LW5" s="67">
        <v>9.0</v>
      </c>
      <c r="LX5" s="67">
        <v>9.0</v>
      </c>
      <c r="LY5" s="67"/>
      <c r="LZ5" s="67">
        <v>9.0</v>
      </c>
      <c r="MA5" s="67"/>
      <c r="MB5" s="67"/>
      <c r="MC5" s="67"/>
      <c r="MD5" s="67"/>
      <c r="ME5" s="67"/>
      <c r="MF5" s="67"/>
      <c r="MG5" s="67"/>
      <c r="MH5" s="67"/>
      <c r="MI5" s="67"/>
      <c r="MJ5" s="67"/>
      <c r="MK5" s="67"/>
      <c r="ML5" s="67"/>
      <c r="MM5" s="67"/>
      <c r="MN5" s="67"/>
      <c r="MO5" s="67"/>
      <c r="MP5" s="67"/>
      <c r="MQ5" s="67"/>
      <c r="MR5" s="70"/>
      <c r="MS5" s="70"/>
      <c r="MT5" s="106"/>
      <c r="MU5" s="73"/>
      <c r="MV5" s="73">
        <v>3.0</v>
      </c>
      <c r="MW5" s="73"/>
      <c r="MX5" s="73"/>
      <c r="MY5" s="73"/>
      <c r="MZ5" s="73"/>
      <c r="NA5" s="73"/>
      <c r="NB5" s="73"/>
      <c r="NC5" s="73"/>
      <c r="ND5" s="73">
        <v>1.1</v>
      </c>
      <c r="NE5" s="73">
        <v>9.25</v>
      </c>
      <c r="NF5" s="73">
        <v>1.5</v>
      </c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107"/>
      <c r="OA5" s="108"/>
      <c r="OB5" s="108"/>
      <c r="OC5" s="109"/>
      <c r="OD5" s="78"/>
      <c r="OE5" s="78"/>
      <c r="OF5" s="78"/>
      <c r="OG5" s="78"/>
      <c r="OH5" s="78"/>
      <c r="OI5" s="78"/>
      <c r="OJ5" s="78"/>
      <c r="OK5" s="78"/>
      <c r="OL5" s="78"/>
    </row>
    <row r="6" ht="30.0" customHeight="1">
      <c r="A6" s="110"/>
      <c r="B6" s="111" t="s">
        <v>35</v>
      </c>
      <c r="C6" s="49">
        <f t="shared" si="1"/>
        <v>0</v>
      </c>
      <c r="D6" s="48">
        <f t="shared" si="2"/>
        <v>0</v>
      </c>
      <c r="E6" s="101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>
        <v>10.0</v>
      </c>
      <c r="AS6" s="82">
        <v>10.0</v>
      </c>
      <c r="AT6" s="82">
        <v>10.0</v>
      </c>
      <c r="AU6" s="82">
        <v>12.0</v>
      </c>
      <c r="AV6" s="102"/>
      <c r="AW6" s="82">
        <v>14.0</v>
      </c>
      <c r="AX6" s="82">
        <v>11.0</v>
      </c>
      <c r="AY6" s="82">
        <v>10.0</v>
      </c>
      <c r="AZ6" s="82">
        <v>11.0</v>
      </c>
      <c r="BA6" s="102"/>
      <c r="BB6" s="82">
        <v>11.0</v>
      </c>
      <c r="BC6" s="82">
        <v>11.3</v>
      </c>
      <c r="BD6" s="82">
        <v>13.0</v>
      </c>
      <c r="BE6" s="82">
        <v>13.0</v>
      </c>
      <c r="BF6" s="82">
        <v>12.0</v>
      </c>
      <c r="BG6" s="82">
        <v>16.0</v>
      </c>
      <c r="BH6" s="82">
        <v>3.0</v>
      </c>
      <c r="BI6" s="82">
        <v>10.3</v>
      </c>
      <c r="BJ6" s="82">
        <v>13.0</v>
      </c>
      <c r="BK6" s="82">
        <v>13.0</v>
      </c>
      <c r="BL6" s="82">
        <v>16.0</v>
      </c>
      <c r="BM6" s="82">
        <v>12.0</v>
      </c>
      <c r="BN6" s="82">
        <v>13.0</v>
      </c>
      <c r="BO6" s="82">
        <v>9.0</v>
      </c>
      <c r="BP6" s="82">
        <v>13.0</v>
      </c>
      <c r="BQ6" s="82">
        <v>11.0</v>
      </c>
      <c r="BR6" s="82">
        <v>12.0</v>
      </c>
      <c r="BS6" s="82">
        <v>10.3</v>
      </c>
      <c r="BT6" s="82">
        <v>12.3</v>
      </c>
      <c r="BU6" s="52">
        <v>10.3</v>
      </c>
      <c r="BV6" s="82">
        <v>9.3</v>
      </c>
      <c r="BW6" s="51">
        <v>10.3</v>
      </c>
      <c r="BX6" s="51">
        <v>15.0</v>
      </c>
      <c r="BY6" s="51">
        <v>10.3</v>
      </c>
      <c r="BZ6" s="84">
        <v>12.0</v>
      </c>
      <c r="CA6" s="84">
        <v>12.0</v>
      </c>
      <c r="CB6" s="84">
        <v>13.3</v>
      </c>
      <c r="CC6" s="84">
        <v>9.0</v>
      </c>
      <c r="CD6" s="84">
        <v>11.3</v>
      </c>
      <c r="CE6" s="84">
        <v>11.0</v>
      </c>
      <c r="CF6" s="84">
        <v>14.0</v>
      </c>
      <c r="CG6" s="84">
        <v>14.0</v>
      </c>
      <c r="CH6" s="84" t="s">
        <v>28</v>
      </c>
      <c r="CI6" s="84">
        <v>12.3</v>
      </c>
      <c r="CJ6" s="84">
        <v>0.0</v>
      </c>
      <c r="CK6" s="84">
        <v>10.3</v>
      </c>
      <c r="CL6" s="84">
        <v>18.0</v>
      </c>
      <c r="CM6" s="84">
        <v>6.0</v>
      </c>
      <c r="CN6" s="84">
        <v>14.0</v>
      </c>
      <c r="CO6" s="84">
        <v>12.0</v>
      </c>
      <c r="CP6" s="84">
        <v>13.0</v>
      </c>
      <c r="CQ6" s="84">
        <v>6.0</v>
      </c>
      <c r="CR6" s="84">
        <v>11.0</v>
      </c>
      <c r="CS6" s="84">
        <v>11.0</v>
      </c>
      <c r="CT6" s="84">
        <v>13.3</v>
      </c>
      <c r="CU6" s="84">
        <v>10.0</v>
      </c>
      <c r="CV6" s="84">
        <v>7.0</v>
      </c>
      <c r="CW6" s="84">
        <v>7.0</v>
      </c>
      <c r="CX6" s="84">
        <v>11.0</v>
      </c>
      <c r="CY6" s="84">
        <v>10.3</v>
      </c>
      <c r="CZ6" s="52">
        <v>8.3</v>
      </c>
      <c r="DA6" s="84">
        <v>12.0</v>
      </c>
      <c r="DB6" s="84">
        <v>9.0</v>
      </c>
      <c r="DC6" s="84">
        <v>11.0</v>
      </c>
      <c r="DD6" s="84">
        <v>12.0</v>
      </c>
      <c r="DE6" s="84">
        <v>7.0</v>
      </c>
      <c r="DF6" s="84">
        <v>11.45</v>
      </c>
      <c r="DG6" s="84">
        <v>14.3</v>
      </c>
      <c r="DH6" s="84">
        <v>16.0</v>
      </c>
      <c r="DI6" s="84">
        <v>11.0</v>
      </c>
      <c r="DJ6" s="84"/>
      <c r="DK6" s="84">
        <v>14.5</v>
      </c>
      <c r="DL6" s="84">
        <v>9.5</v>
      </c>
      <c r="DM6" s="84">
        <v>8.0</v>
      </c>
      <c r="DN6" s="84">
        <v>12.0</v>
      </c>
      <c r="DO6" s="84">
        <v>10.5</v>
      </c>
      <c r="DP6" s="84">
        <v>13.0</v>
      </c>
      <c r="DQ6" s="84">
        <v>12.0</v>
      </c>
      <c r="DR6" s="84">
        <v>7.5</v>
      </c>
      <c r="DS6" s="85">
        <v>6.0</v>
      </c>
      <c r="DT6" s="84">
        <v>9.0</v>
      </c>
      <c r="DU6" s="84">
        <v>9.0</v>
      </c>
      <c r="DV6" s="84">
        <v>12.0</v>
      </c>
      <c r="DW6" s="84">
        <v>13.5</v>
      </c>
      <c r="DX6" s="84">
        <v>12.0</v>
      </c>
      <c r="DY6" s="84">
        <v>8.5</v>
      </c>
      <c r="DZ6" s="84"/>
      <c r="EA6" s="84">
        <v>16.5</v>
      </c>
      <c r="EB6" s="84">
        <v>12.0</v>
      </c>
      <c r="EC6" s="84">
        <v>12.0</v>
      </c>
      <c r="ED6" s="52">
        <v>11.0</v>
      </c>
      <c r="EE6" s="84">
        <v>12.0</v>
      </c>
      <c r="EF6" s="84">
        <v>9.5</v>
      </c>
      <c r="EG6" s="84">
        <v>11.5</v>
      </c>
      <c r="EH6" s="84">
        <v>11.5</v>
      </c>
      <c r="EI6" s="84">
        <v>11.0</v>
      </c>
      <c r="EJ6" s="84">
        <v>11.0</v>
      </c>
      <c r="EK6" s="84">
        <v>7.5</v>
      </c>
      <c r="EL6" s="86">
        <v>5.0</v>
      </c>
      <c r="EM6" s="86">
        <v>10.75</v>
      </c>
      <c r="EN6" s="86">
        <v>10.0</v>
      </c>
      <c r="EO6" s="86">
        <v>9.5</v>
      </c>
      <c r="EP6" s="86">
        <v>9.0</v>
      </c>
      <c r="EQ6" s="86">
        <v>10.75</v>
      </c>
      <c r="ER6" s="86">
        <v>12.2</v>
      </c>
      <c r="ES6" s="86">
        <v>5.0</v>
      </c>
      <c r="ET6" s="86">
        <v>12.0</v>
      </c>
      <c r="EU6" s="86">
        <v>10.0</v>
      </c>
      <c r="EV6" s="86">
        <v>9.5</v>
      </c>
      <c r="EW6" s="86">
        <v>8.75</v>
      </c>
      <c r="EX6" s="86">
        <v>10.6</v>
      </c>
      <c r="EY6" s="86">
        <v>10.25</v>
      </c>
      <c r="EZ6" s="86">
        <v>13.0</v>
      </c>
      <c r="FA6" s="86">
        <v>9.5</v>
      </c>
      <c r="FB6" s="86">
        <v>9.5</v>
      </c>
      <c r="FC6" s="86">
        <v>11.2</v>
      </c>
      <c r="FD6" s="86">
        <v>11.7</v>
      </c>
      <c r="FE6" s="86">
        <v>10.0</v>
      </c>
      <c r="FF6" s="86">
        <v>12.45</v>
      </c>
      <c r="FG6" s="86">
        <v>16.0</v>
      </c>
      <c r="FH6" s="86">
        <v>14.0</v>
      </c>
      <c r="FI6" s="86">
        <v>7.6</v>
      </c>
      <c r="FJ6" s="86"/>
      <c r="FK6" s="86">
        <v>16.0</v>
      </c>
      <c r="FL6" s="86">
        <v>11.2</v>
      </c>
      <c r="FM6" s="86">
        <v>10.0</v>
      </c>
      <c r="FN6" s="86">
        <v>11.2</v>
      </c>
      <c r="FO6" s="86">
        <v>12.0</v>
      </c>
      <c r="FP6" s="86">
        <v>9.5</v>
      </c>
      <c r="FQ6" s="87">
        <v>11.0</v>
      </c>
      <c r="FR6" s="87">
        <v>12.0</v>
      </c>
      <c r="FS6" s="87">
        <v>10.5</v>
      </c>
      <c r="FT6" s="87">
        <v>12.0</v>
      </c>
      <c r="FU6" s="87">
        <v>11.0</v>
      </c>
      <c r="FV6" s="87">
        <v>12.0</v>
      </c>
      <c r="FW6" s="87">
        <v>10.0</v>
      </c>
      <c r="FX6" s="87">
        <v>11.0</v>
      </c>
      <c r="FY6" s="87">
        <v>9.5</v>
      </c>
      <c r="FZ6" s="87">
        <v>11.0</v>
      </c>
      <c r="GA6" s="87">
        <v>10.0</v>
      </c>
      <c r="GB6" s="87">
        <v>10.5</v>
      </c>
      <c r="GC6" s="87">
        <v>13.5</v>
      </c>
      <c r="GD6" s="87">
        <v>5.0</v>
      </c>
      <c r="GE6" s="87">
        <v>14.0</v>
      </c>
      <c r="GF6" s="87">
        <v>11.0</v>
      </c>
      <c r="GG6" s="87">
        <v>10.5</v>
      </c>
      <c r="GH6" s="87">
        <v>10.0</v>
      </c>
      <c r="GI6" s="87">
        <v>10.5</v>
      </c>
      <c r="GJ6" s="87">
        <v>10.5</v>
      </c>
      <c r="GK6" s="87">
        <v>12.0</v>
      </c>
      <c r="GL6" s="87"/>
      <c r="GM6" s="87">
        <v>11.0</v>
      </c>
      <c r="GN6" s="87">
        <v>10.5</v>
      </c>
      <c r="GO6" s="87">
        <v>9.0</v>
      </c>
      <c r="GP6" s="87">
        <v>12.0</v>
      </c>
      <c r="GQ6" s="87">
        <v>116.0</v>
      </c>
      <c r="GR6" s="87"/>
      <c r="GS6" s="57">
        <v>15.0</v>
      </c>
      <c r="GT6" s="57">
        <v>10.0</v>
      </c>
      <c r="GU6" s="57">
        <v>12.0</v>
      </c>
      <c r="GV6" s="57">
        <v>9.0</v>
      </c>
      <c r="GW6" s="57">
        <v>10.5</v>
      </c>
      <c r="GX6" s="57">
        <v>8.0</v>
      </c>
      <c r="GY6" s="57">
        <v>12.5</v>
      </c>
      <c r="GZ6" s="57">
        <v>10.0</v>
      </c>
      <c r="HA6" s="57">
        <v>22.0</v>
      </c>
      <c r="HB6" s="57">
        <v>8.0</v>
      </c>
      <c r="HC6" s="57">
        <v>10.5</v>
      </c>
      <c r="HD6" s="57">
        <v>15.5</v>
      </c>
      <c r="HE6" s="57">
        <v>12.0</v>
      </c>
      <c r="HF6" s="57">
        <v>7.0</v>
      </c>
      <c r="HG6" s="57">
        <v>11.0</v>
      </c>
      <c r="HH6" s="57">
        <v>8.0</v>
      </c>
      <c r="HI6" s="57">
        <v>10.0</v>
      </c>
      <c r="HJ6" s="57">
        <v>8.5</v>
      </c>
      <c r="HK6" s="57" t="s">
        <v>32</v>
      </c>
      <c r="HL6" s="57">
        <v>4.5</v>
      </c>
      <c r="HM6" s="57">
        <v>7.0</v>
      </c>
      <c r="HN6" s="57">
        <v>9.5</v>
      </c>
      <c r="HO6" s="57">
        <v>15.0</v>
      </c>
      <c r="HP6" s="57">
        <v>7.5</v>
      </c>
      <c r="HQ6" s="57">
        <v>8.5</v>
      </c>
      <c r="HR6" s="57">
        <v>8.0</v>
      </c>
      <c r="HS6" s="57">
        <v>8.0</v>
      </c>
      <c r="HT6" s="57">
        <v>8.5</v>
      </c>
      <c r="HU6" s="57">
        <v>17.5</v>
      </c>
      <c r="HV6" s="57">
        <v>3.0</v>
      </c>
      <c r="HW6" s="57">
        <v>13.0</v>
      </c>
      <c r="HX6" s="58">
        <v>13.0</v>
      </c>
      <c r="HY6" s="58">
        <v>9.0</v>
      </c>
      <c r="HZ6" s="58">
        <v>12.0</v>
      </c>
      <c r="IA6" s="58">
        <v>11.0</v>
      </c>
      <c r="IB6" s="58">
        <v>17.0</v>
      </c>
      <c r="IC6" s="58">
        <v>6.0</v>
      </c>
      <c r="ID6" s="58">
        <v>10.5</v>
      </c>
      <c r="IE6" s="58">
        <v>10.0</v>
      </c>
      <c r="IF6" s="58">
        <v>11.0</v>
      </c>
      <c r="IG6" s="58">
        <v>5.5</v>
      </c>
      <c r="IH6" s="58">
        <v>10.5</v>
      </c>
      <c r="II6" s="58">
        <v>5.5</v>
      </c>
      <c r="IJ6" s="58">
        <v>10.0</v>
      </c>
      <c r="IK6" s="58">
        <v>11.5</v>
      </c>
      <c r="IL6" s="58">
        <v>11.0</v>
      </c>
      <c r="IM6" s="58">
        <v>9.5</v>
      </c>
      <c r="IN6" s="58">
        <v>10.25</v>
      </c>
      <c r="IO6" s="58">
        <v>9.0</v>
      </c>
      <c r="IP6" s="58">
        <v>12.0</v>
      </c>
      <c r="IQ6" s="58">
        <v>12.0</v>
      </c>
      <c r="IR6" s="58">
        <v>10.0</v>
      </c>
      <c r="IS6" s="58">
        <v>10.0</v>
      </c>
      <c r="IT6" s="58">
        <v>3.25</v>
      </c>
      <c r="IU6" s="58">
        <v>10.0</v>
      </c>
      <c r="IV6" s="58">
        <v>7.0</v>
      </c>
      <c r="IW6" s="58">
        <v>7.5</v>
      </c>
      <c r="IX6" s="58">
        <v>12.0</v>
      </c>
      <c r="IY6" s="58">
        <v>8.5</v>
      </c>
      <c r="IZ6" s="58">
        <v>9.0</v>
      </c>
      <c r="JA6" s="58">
        <v>14.5</v>
      </c>
      <c r="JB6" s="61"/>
      <c r="JC6" s="62">
        <v>2.5</v>
      </c>
      <c r="JD6" s="62">
        <v>9.0</v>
      </c>
      <c r="JE6" s="62">
        <v>8.0</v>
      </c>
      <c r="JF6" s="62">
        <v>11.5</v>
      </c>
      <c r="JG6" s="62">
        <v>9.0</v>
      </c>
      <c r="JH6" s="62"/>
      <c r="JI6" s="62">
        <v>11.25</v>
      </c>
      <c r="JJ6" s="62">
        <v>11.0</v>
      </c>
      <c r="JK6" s="62">
        <v>8.5</v>
      </c>
      <c r="JL6" s="62">
        <v>10.5</v>
      </c>
      <c r="JM6" s="62">
        <v>9.5</v>
      </c>
      <c r="JN6" s="62">
        <v>9.0</v>
      </c>
      <c r="JO6" s="62">
        <v>8.5</v>
      </c>
      <c r="JP6" s="62">
        <v>11.25</v>
      </c>
      <c r="JQ6" s="62">
        <v>8.5</v>
      </c>
      <c r="JR6" s="62">
        <v>10.0</v>
      </c>
      <c r="JS6" s="62">
        <v>7.75</v>
      </c>
      <c r="JT6" s="62">
        <v>7.5</v>
      </c>
      <c r="JU6" s="62">
        <v>9.0</v>
      </c>
      <c r="JV6" s="62">
        <v>9.0</v>
      </c>
      <c r="JW6" s="62">
        <v>8.0</v>
      </c>
      <c r="JX6" s="62">
        <v>9.25</v>
      </c>
      <c r="JY6" s="62">
        <v>7.0</v>
      </c>
      <c r="JZ6" s="62">
        <v>5.0</v>
      </c>
      <c r="KA6" s="62">
        <v>5.0</v>
      </c>
      <c r="KB6" s="62">
        <v>7.25</v>
      </c>
      <c r="KC6" s="62">
        <v>8.5</v>
      </c>
      <c r="KD6" s="62"/>
      <c r="KE6" s="62"/>
      <c r="KF6" s="62"/>
      <c r="KG6" s="65">
        <v>7.0</v>
      </c>
      <c r="KH6" s="66"/>
      <c r="KI6" s="67">
        <v>6.0</v>
      </c>
      <c r="KJ6" s="68">
        <v>4.5</v>
      </c>
      <c r="KK6" s="67">
        <v>5.0</v>
      </c>
      <c r="KL6" s="67">
        <v>8.0</v>
      </c>
      <c r="KM6" s="67">
        <v>8.5</v>
      </c>
      <c r="KN6" s="67">
        <v>8.0</v>
      </c>
      <c r="KO6" s="67" t="s">
        <v>32</v>
      </c>
      <c r="KP6" s="67">
        <v>1.0</v>
      </c>
      <c r="KQ6" s="67">
        <v>8.75</v>
      </c>
      <c r="KR6" s="67">
        <v>14.0</v>
      </c>
      <c r="KS6" s="67">
        <v>9.0</v>
      </c>
      <c r="KT6" s="67">
        <v>13.25</v>
      </c>
      <c r="KU6" s="67">
        <v>4.0</v>
      </c>
      <c r="KV6" s="67">
        <v>12.0</v>
      </c>
      <c r="KW6" s="67">
        <v>5.0</v>
      </c>
      <c r="KX6" s="67">
        <v>11.0</v>
      </c>
      <c r="KY6" s="67">
        <v>7.0</v>
      </c>
      <c r="KZ6" s="67">
        <v>6.0</v>
      </c>
      <c r="LA6" s="67">
        <v>5.0</v>
      </c>
      <c r="LB6" s="67" t="s">
        <v>32</v>
      </c>
      <c r="LC6" s="67">
        <v>1.5</v>
      </c>
      <c r="LD6" s="67">
        <v>0.0</v>
      </c>
      <c r="LE6" s="67">
        <v>0.0</v>
      </c>
      <c r="LF6" s="67">
        <v>0.0</v>
      </c>
      <c r="LG6" s="67">
        <v>0.0</v>
      </c>
      <c r="LH6" s="67">
        <v>5.0</v>
      </c>
      <c r="LI6" s="67">
        <v>8.0</v>
      </c>
      <c r="LJ6" s="67">
        <v>4.5</v>
      </c>
      <c r="LK6" s="67">
        <v>8.0</v>
      </c>
      <c r="LL6" s="67" t="s">
        <v>32</v>
      </c>
      <c r="LM6" s="67"/>
      <c r="LN6" s="66"/>
      <c r="LO6" s="67"/>
      <c r="LP6" s="112"/>
      <c r="LQ6" s="67"/>
      <c r="LR6" s="67"/>
      <c r="LS6" s="67"/>
      <c r="LT6" s="67"/>
      <c r="LU6" s="67"/>
      <c r="LV6" s="67"/>
      <c r="LW6" s="67"/>
      <c r="LX6" s="67"/>
      <c r="LY6" s="67"/>
      <c r="LZ6" s="67"/>
      <c r="MA6" s="67"/>
      <c r="MB6" s="67"/>
      <c r="MC6" s="67"/>
      <c r="MD6" s="67"/>
      <c r="ME6" s="67"/>
      <c r="MF6" s="67"/>
      <c r="MG6" s="67"/>
      <c r="MH6" s="67"/>
      <c r="MI6" s="67"/>
      <c r="MJ6" s="67"/>
      <c r="MK6" s="67"/>
      <c r="ML6" s="67"/>
      <c r="MM6" s="67"/>
      <c r="MN6" s="67"/>
      <c r="MO6" s="67"/>
      <c r="MP6" s="67"/>
      <c r="MQ6" s="67"/>
      <c r="MR6" s="70"/>
      <c r="MS6" s="70"/>
      <c r="MT6" s="106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107"/>
      <c r="OA6" s="108"/>
      <c r="OB6" s="108"/>
      <c r="OC6" s="109"/>
      <c r="OD6" s="78"/>
      <c r="OE6" s="78"/>
      <c r="OF6" s="78"/>
      <c r="OG6" s="78"/>
      <c r="OH6" s="78"/>
      <c r="OI6" s="78"/>
      <c r="OJ6" s="78"/>
      <c r="OK6" s="78"/>
      <c r="OL6" s="78"/>
    </row>
    <row r="7" ht="30.0" customHeight="1">
      <c r="A7" s="113"/>
      <c r="B7" s="114" t="s">
        <v>12</v>
      </c>
      <c r="C7" s="49">
        <f t="shared" si="1"/>
        <v>24.5</v>
      </c>
      <c r="D7" s="48">
        <f t="shared" si="2"/>
        <v>10.5</v>
      </c>
      <c r="E7" s="115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>
        <v>11.0</v>
      </c>
      <c r="AD7" s="116">
        <v>11.5</v>
      </c>
      <c r="AE7" s="116">
        <v>16.0</v>
      </c>
      <c r="AF7" s="116"/>
      <c r="AG7" s="116">
        <v>21.0</v>
      </c>
      <c r="AH7" s="116"/>
      <c r="AI7" s="116">
        <v>11.0</v>
      </c>
      <c r="AJ7" s="116">
        <v>12.0</v>
      </c>
      <c r="AK7" s="116">
        <v>10.5</v>
      </c>
      <c r="AL7" s="116">
        <v>9.5</v>
      </c>
      <c r="AM7" s="116">
        <v>9.5</v>
      </c>
      <c r="AN7" s="116">
        <v>9.5</v>
      </c>
      <c r="AO7" s="116">
        <v>6.5</v>
      </c>
      <c r="AP7" s="116">
        <v>10.0</v>
      </c>
      <c r="AQ7" s="116"/>
      <c r="AR7" s="116">
        <v>14.0</v>
      </c>
      <c r="AS7" s="116">
        <v>10.3</v>
      </c>
      <c r="AT7" s="116">
        <v>2.3</v>
      </c>
      <c r="AU7" s="116">
        <v>13.0</v>
      </c>
      <c r="AV7" s="116">
        <v>11.0</v>
      </c>
      <c r="AW7" s="116">
        <v>10.0</v>
      </c>
      <c r="AX7" s="117"/>
      <c r="AY7" s="116">
        <v>5.0</v>
      </c>
      <c r="AZ7" s="116">
        <v>12.0</v>
      </c>
      <c r="BA7" s="117"/>
      <c r="BB7" s="116">
        <v>9.3</v>
      </c>
      <c r="BC7" s="116">
        <v>14.0</v>
      </c>
      <c r="BD7" s="117"/>
      <c r="BE7" s="116">
        <v>12.3</v>
      </c>
      <c r="BF7" s="116">
        <v>9.0</v>
      </c>
      <c r="BG7" s="117"/>
      <c r="BH7" s="116"/>
      <c r="BI7" s="116">
        <v>14.0</v>
      </c>
      <c r="BJ7" s="116"/>
      <c r="BK7" s="116">
        <v>12.0</v>
      </c>
      <c r="BL7" s="116"/>
      <c r="BM7" s="116"/>
      <c r="BN7" s="116">
        <v>12.0</v>
      </c>
      <c r="BO7" s="116">
        <v>4.0</v>
      </c>
      <c r="BP7" s="116">
        <v>10.0</v>
      </c>
      <c r="BQ7" s="116">
        <v>10.3</v>
      </c>
      <c r="BR7" s="116">
        <v>11.0</v>
      </c>
      <c r="BS7" s="116">
        <v>8.3</v>
      </c>
      <c r="BT7" s="116">
        <v>12.0</v>
      </c>
      <c r="BU7" s="118">
        <v>11.0</v>
      </c>
      <c r="BV7" s="116">
        <v>14.0</v>
      </c>
      <c r="BW7" s="119">
        <v>5.3</v>
      </c>
      <c r="BX7" s="119"/>
      <c r="BY7" s="119">
        <v>11.0</v>
      </c>
      <c r="BZ7" s="120">
        <v>12.0</v>
      </c>
      <c r="CA7" s="120">
        <v>9.0</v>
      </c>
      <c r="CB7" s="120">
        <v>12.3</v>
      </c>
      <c r="CC7" s="120"/>
      <c r="CD7" s="120" t="s">
        <v>36</v>
      </c>
      <c r="CE7" s="120">
        <v>13.0</v>
      </c>
      <c r="CF7" s="120">
        <v>12.0</v>
      </c>
      <c r="CG7" s="120"/>
      <c r="CH7" s="120">
        <v>9.0</v>
      </c>
      <c r="CI7" s="120">
        <v>9.0</v>
      </c>
      <c r="CJ7" s="120"/>
      <c r="CK7" s="120">
        <v>11.0</v>
      </c>
      <c r="CL7" s="120">
        <v>10.0</v>
      </c>
      <c r="CM7" s="120">
        <v>11.3</v>
      </c>
      <c r="CN7" s="120">
        <v>22.0</v>
      </c>
      <c r="CO7" s="120">
        <v>10.3</v>
      </c>
      <c r="CP7" s="120">
        <v>11.0</v>
      </c>
      <c r="CQ7" s="120">
        <v>4.3</v>
      </c>
      <c r="CR7" s="120">
        <v>2.0</v>
      </c>
      <c r="CS7" s="120">
        <v>9.3</v>
      </c>
      <c r="CT7" s="120">
        <v>21.0</v>
      </c>
      <c r="CU7" s="120"/>
      <c r="CV7" s="120"/>
      <c r="CW7" s="120"/>
      <c r="CX7" s="120">
        <v>11.0</v>
      </c>
      <c r="CY7" s="120"/>
      <c r="CZ7" s="118">
        <v>9.0</v>
      </c>
      <c r="DA7" s="120">
        <v>10.0</v>
      </c>
      <c r="DB7" s="120">
        <v>9.0</v>
      </c>
      <c r="DC7" s="120">
        <v>10.0</v>
      </c>
      <c r="DD7" s="120">
        <v>11.0</v>
      </c>
      <c r="DE7" s="120"/>
      <c r="DF7" s="120">
        <v>12.0</v>
      </c>
      <c r="DG7" s="120">
        <v>9.0</v>
      </c>
      <c r="DH7" s="120">
        <v>9.0</v>
      </c>
      <c r="DI7" s="120">
        <v>9.0</v>
      </c>
      <c r="DJ7" s="120">
        <v>11.0</v>
      </c>
      <c r="DK7" s="120">
        <v>4.0</v>
      </c>
      <c r="DL7" s="120">
        <v>12.0</v>
      </c>
      <c r="DM7" s="120"/>
      <c r="DN7" s="121">
        <v>12.0</v>
      </c>
      <c r="DO7" s="121">
        <v>12.0</v>
      </c>
      <c r="DP7" s="121">
        <v>12.0</v>
      </c>
      <c r="DQ7" s="121">
        <v>12.0</v>
      </c>
      <c r="DR7" s="121">
        <v>12.0</v>
      </c>
      <c r="DS7" s="122"/>
      <c r="DT7" s="121">
        <v>13.0</v>
      </c>
      <c r="DU7" s="120">
        <v>7.0</v>
      </c>
      <c r="DV7" s="120">
        <v>8.5</v>
      </c>
      <c r="DW7" s="120">
        <v>8.0</v>
      </c>
      <c r="DX7" s="120">
        <v>7.5</v>
      </c>
      <c r="DY7" s="120"/>
      <c r="DZ7" s="120"/>
      <c r="EA7" s="120">
        <v>8.0</v>
      </c>
      <c r="EB7" s="120">
        <v>8.0</v>
      </c>
      <c r="EC7" s="120">
        <v>9.2</v>
      </c>
      <c r="ED7" s="118">
        <v>9.0</v>
      </c>
      <c r="EE7" s="120">
        <v>9.0</v>
      </c>
      <c r="EF7" s="120">
        <v>8.0</v>
      </c>
      <c r="EG7" s="120"/>
      <c r="EH7" s="120">
        <v>7.0</v>
      </c>
      <c r="EI7" s="120">
        <v>6.0</v>
      </c>
      <c r="EJ7" s="120">
        <v>7.0</v>
      </c>
      <c r="EK7" s="120">
        <v>5.0</v>
      </c>
      <c r="EL7" s="123"/>
      <c r="EM7" s="124">
        <v>8.0</v>
      </c>
      <c r="EN7" s="124">
        <v>7.0</v>
      </c>
      <c r="EO7" s="124">
        <v>9.0</v>
      </c>
      <c r="EP7" s="125">
        <v>8.5</v>
      </c>
      <c r="EQ7" s="125">
        <v>8.5</v>
      </c>
      <c r="ER7" s="124">
        <v>9.0</v>
      </c>
      <c r="ES7" s="124">
        <v>9.25</v>
      </c>
      <c r="ET7" s="124">
        <v>9.0</v>
      </c>
      <c r="EU7" s="124">
        <v>5.0</v>
      </c>
      <c r="EV7" s="124">
        <v>8.5</v>
      </c>
      <c r="EW7" s="124"/>
      <c r="EX7" s="124">
        <v>6.0</v>
      </c>
      <c r="EY7" s="124">
        <v>16.0</v>
      </c>
      <c r="EZ7" s="124"/>
      <c r="FA7" s="124">
        <v>9.0</v>
      </c>
      <c r="FB7" s="124"/>
      <c r="FC7" s="124">
        <v>10.0</v>
      </c>
      <c r="FD7" s="124">
        <v>10.0</v>
      </c>
      <c r="FE7" s="124">
        <v>8.25</v>
      </c>
      <c r="FF7" s="124">
        <v>9.5</v>
      </c>
      <c r="FG7" s="124">
        <v>8.0</v>
      </c>
      <c r="FH7" s="124">
        <v>8.5</v>
      </c>
      <c r="FI7" s="124"/>
      <c r="FJ7" s="124">
        <v>5.3</v>
      </c>
      <c r="FK7" s="124">
        <v>7.0</v>
      </c>
      <c r="FL7" s="124"/>
      <c r="FM7" s="124"/>
      <c r="FN7" s="124">
        <v>10.0</v>
      </c>
      <c r="FO7" s="124">
        <v>5.0</v>
      </c>
      <c r="FP7" s="124">
        <v>7.5</v>
      </c>
      <c r="FQ7" s="126">
        <v>9.0</v>
      </c>
      <c r="FR7" s="126">
        <v>12.0</v>
      </c>
      <c r="FS7" s="126">
        <v>9.0</v>
      </c>
      <c r="FT7" s="126"/>
      <c r="FU7" s="126">
        <v>10.0</v>
      </c>
      <c r="FV7" s="126">
        <v>8.0</v>
      </c>
      <c r="FW7" s="126"/>
      <c r="FX7" s="126">
        <v>10.0</v>
      </c>
      <c r="FY7" s="126">
        <v>11.0</v>
      </c>
      <c r="FZ7" s="126">
        <v>11.0</v>
      </c>
      <c r="GA7" s="126">
        <v>21.0</v>
      </c>
      <c r="GB7" s="126">
        <v>6.0</v>
      </c>
      <c r="GC7" s="126">
        <v>10.0</v>
      </c>
      <c r="GD7" s="126">
        <v>9.0</v>
      </c>
      <c r="GE7" s="126"/>
      <c r="GF7" s="126"/>
      <c r="GG7" s="126">
        <v>16.0</v>
      </c>
      <c r="GH7" s="126">
        <v>6.0</v>
      </c>
      <c r="GI7" s="126">
        <v>8.5</v>
      </c>
      <c r="GJ7" s="126">
        <v>5.5</v>
      </c>
      <c r="GK7" s="126">
        <v>5.5</v>
      </c>
      <c r="GL7" s="126">
        <v>9.0</v>
      </c>
      <c r="GM7" s="126">
        <v>7.5</v>
      </c>
      <c r="GN7" s="126">
        <v>15.0</v>
      </c>
      <c r="GO7" s="126">
        <v>6.0</v>
      </c>
      <c r="GP7" s="126">
        <v>8.5</v>
      </c>
      <c r="GQ7" s="126">
        <v>7.0</v>
      </c>
      <c r="GR7" s="126">
        <v>7.0</v>
      </c>
      <c r="GS7" s="127">
        <v>4.0</v>
      </c>
      <c r="GT7" s="127">
        <v>3.5</v>
      </c>
      <c r="GU7" s="127">
        <v>6.5</v>
      </c>
      <c r="GV7" s="127">
        <v>5.0</v>
      </c>
      <c r="GW7" s="127">
        <v>8.0</v>
      </c>
      <c r="GX7" s="127">
        <v>8.5</v>
      </c>
      <c r="GY7" s="127" t="s">
        <v>32</v>
      </c>
      <c r="GZ7" s="127">
        <v>11.0</v>
      </c>
      <c r="HA7" s="127">
        <v>6.0</v>
      </c>
      <c r="HB7" s="127">
        <v>7.5</v>
      </c>
      <c r="HC7" s="127">
        <v>5.5</v>
      </c>
      <c r="HD7" s="127">
        <v>7.0</v>
      </c>
      <c r="HE7" s="127">
        <v>6.5</v>
      </c>
      <c r="HF7" s="127">
        <v>16.0</v>
      </c>
      <c r="HG7" s="127">
        <v>5.5</v>
      </c>
      <c r="HH7" s="127">
        <v>5.0</v>
      </c>
      <c r="HI7" s="127">
        <v>5.0</v>
      </c>
      <c r="HJ7" s="127">
        <v>7.0</v>
      </c>
      <c r="HK7" s="127">
        <v>3.5</v>
      </c>
      <c r="HL7" s="127">
        <v>5.0</v>
      </c>
      <c r="HM7" s="127" t="s">
        <v>32</v>
      </c>
      <c r="HN7" s="127">
        <v>3.5</v>
      </c>
      <c r="HO7" s="127">
        <v>13.5</v>
      </c>
      <c r="HP7" s="127">
        <v>3.5</v>
      </c>
      <c r="HQ7" s="127">
        <v>6.0</v>
      </c>
      <c r="HR7" s="127">
        <v>6.0</v>
      </c>
      <c r="HS7" s="127" t="s">
        <v>32</v>
      </c>
      <c r="HT7" s="127">
        <v>7.0</v>
      </c>
      <c r="HU7" s="127">
        <v>5.0</v>
      </c>
      <c r="HV7" s="127">
        <v>13.0</v>
      </c>
      <c r="HW7" s="127" t="s">
        <v>32</v>
      </c>
      <c r="HX7" s="128">
        <v>0.0</v>
      </c>
      <c r="HY7" s="128">
        <v>6.0</v>
      </c>
      <c r="HZ7" s="128">
        <v>10.0</v>
      </c>
      <c r="IA7" s="128">
        <v>8.0</v>
      </c>
      <c r="IB7" s="128">
        <v>13.0</v>
      </c>
      <c r="IC7" s="128">
        <v>13.5</v>
      </c>
      <c r="ID7" s="128">
        <v>9.0</v>
      </c>
      <c r="IE7" s="128">
        <v>9.5</v>
      </c>
      <c r="IF7" s="128">
        <v>6.0</v>
      </c>
      <c r="IG7" s="128">
        <v>0.0</v>
      </c>
      <c r="IH7" s="128">
        <v>0.0</v>
      </c>
      <c r="II7" s="128">
        <v>8.0</v>
      </c>
      <c r="IJ7" s="128"/>
      <c r="IK7" s="128"/>
      <c r="IL7" s="128">
        <v>12.0</v>
      </c>
      <c r="IM7" s="128">
        <v>10.0</v>
      </c>
      <c r="IN7" s="128">
        <v>8.0</v>
      </c>
      <c r="IO7" s="128">
        <v>11.0</v>
      </c>
      <c r="IP7" s="128">
        <v>5.0</v>
      </c>
      <c r="IQ7" s="128">
        <v>12.0</v>
      </c>
      <c r="IR7" s="129">
        <v>10.5</v>
      </c>
      <c r="IS7" s="128">
        <v>4.5</v>
      </c>
      <c r="IT7" s="128">
        <v>12.0</v>
      </c>
      <c r="IU7" s="128">
        <v>8.0</v>
      </c>
      <c r="IV7" s="128">
        <v>5.0</v>
      </c>
      <c r="IW7" s="128">
        <v>13.0</v>
      </c>
      <c r="IX7" s="128">
        <v>9.0</v>
      </c>
      <c r="IY7" s="128"/>
      <c r="IZ7" s="128">
        <v>8.0</v>
      </c>
      <c r="JA7" s="128">
        <v>3.5</v>
      </c>
      <c r="JB7" s="130"/>
      <c r="JC7" s="131">
        <v>6.0</v>
      </c>
      <c r="JD7" s="131">
        <v>10.0</v>
      </c>
      <c r="JE7" s="131"/>
      <c r="JF7" s="131"/>
      <c r="JG7" s="131">
        <v>10.0</v>
      </c>
      <c r="JH7" s="131">
        <v>11.0</v>
      </c>
      <c r="JI7" s="131">
        <v>10.0</v>
      </c>
      <c r="JJ7" s="131"/>
      <c r="JK7" s="131"/>
      <c r="JL7" s="131">
        <v>12.0</v>
      </c>
      <c r="JM7" s="131">
        <v>14.5</v>
      </c>
      <c r="JN7" s="131">
        <v>9.0</v>
      </c>
      <c r="JO7" s="131">
        <v>10.0</v>
      </c>
      <c r="JP7" s="131"/>
      <c r="JQ7" s="131">
        <v>9.5</v>
      </c>
      <c r="JR7" s="131">
        <v>9.5</v>
      </c>
      <c r="JS7" s="131">
        <v>16.0</v>
      </c>
      <c r="JT7" s="131">
        <v>9.0</v>
      </c>
      <c r="JU7" s="131">
        <v>8.25</v>
      </c>
      <c r="JV7" s="131">
        <v>8.75</v>
      </c>
      <c r="JW7" s="131"/>
      <c r="JX7" s="131">
        <v>11.0</v>
      </c>
      <c r="JY7" s="131"/>
      <c r="JZ7" s="131">
        <v>10.5</v>
      </c>
      <c r="KA7" s="131">
        <v>9.0</v>
      </c>
      <c r="KB7" s="131">
        <v>10.0</v>
      </c>
      <c r="KC7" s="131"/>
      <c r="KD7" s="131">
        <v>11.0</v>
      </c>
      <c r="KE7" s="131"/>
      <c r="KF7" s="131"/>
      <c r="KG7" s="132"/>
      <c r="KH7" s="133"/>
      <c r="KI7" s="134">
        <v>8.5</v>
      </c>
      <c r="KJ7" s="68">
        <v>11.5</v>
      </c>
      <c r="KK7" s="134">
        <v>12.0</v>
      </c>
      <c r="KL7" s="134">
        <v>10.0</v>
      </c>
      <c r="KM7" s="134" t="s">
        <v>32</v>
      </c>
      <c r="KN7" s="134">
        <v>16.0</v>
      </c>
      <c r="KO7" s="135" t="s">
        <v>32</v>
      </c>
      <c r="KP7" s="134" t="s">
        <v>32</v>
      </c>
      <c r="KQ7" s="134" t="s">
        <v>32</v>
      </c>
      <c r="KR7" s="134">
        <v>9.5</v>
      </c>
      <c r="KS7" s="134">
        <v>6.0</v>
      </c>
      <c r="KT7" s="134" t="s">
        <v>32</v>
      </c>
      <c r="KU7" s="134" t="s">
        <v>32</v>
      </c>
      <c r="KV7" s="134" t="s">
        <v>32</v>
      </c>
      <c r="KW7" s="134">
        <v>5.25</v>
      </c>
      <c r="KX7" s="134">
        <v>6.5</v>
      </c>
      <c r="KY7" s="134">
        <v>9.5</v>
      </c>
      <c r="KZ7" s="134">
        <v>6.5</v>
      </c>
      <c r="LA7" s="134" t="s">
        <v>32</v>
      </c>
      <c r="LB7" s="134">
        <v>10.0</v>
      </c>
      <c r="LC7" s="134" t="s">
        <v>32</v>
      </c>
      <c r="LD7" s="134">
        <v>7.0</v>
      </c>
      <c r="LE7" s="134" t="s">
        <v>32</v>
      </c>
      <c r="LF7" s="134">
        <v>8.25</v>
      </c>
      <c r="LG7" s="134">
        <v>6.0</v>
      </c>
      <c r="LH7" s="134" t="s">
        <v>32</v>
      </c>
      <c r="LI7" s="134">
        <v>10.0</v>
      </c>
      <c r="LJ7" s="134">
        <v>7.0</v>
      </c>
      <c r="LK7" s="134" t="s">
        <v>32</v>
      </c>
      <c r="LL7" s="134" t="s">
        <v>32</v>
      </c>
      <c r="LM7" s="134">
        <v>3.4</v>
      </c>
      <c r="LN7" s="133"/>
      <c r="LO7" s="134"/>
      <c r="LP7" s="134"/>
      <c r="LQ7" s="134"/>
      <c r="LR7" s="134"/>
      <c r="LS7" s="134"/>
      <c r="LT7" s="134"/>
      <c r="LU7" s="134">
        <v>7.0</v>
      </c>
      <c r="LV7" s="67"/>
      <c r="LW7" s="134">
        <v>8.5</v>
      </c>
      <c r="LX7" s="134">
        <v>9.0</v>
      </c>
      <c r="LY7" s="134"/>
      <c r="LZ7" s="134"/>
      <c r="MA7" s="134"/>
      <c r="MB7" s="134"/>
      <c r="MC7" s="134"/>
      <c r="MD7" s="134"/>
      <c r="ME7" s="134"/>
      <c r="MF7" s="134"/>
      <c r="MG7" s="134"/>
      <c r="MH7" s="134"/>
      <c r="MI7" s="134"/>
      <c r="MJ7" s="134"/>
      <c r="MK7" s="134"/>
      <c r="ML7" s="134"/>
      <c r="MM7" s="134"/>
      <c r="MN7" s="134"/>
      <c r="MO7" s="134"/>
      <c r="MP7" s="134"/>
      <c r="MQ7" s="134"/>
      <c r="MR7" s="70"/>
      <c r="MS7" s="70"/>
      <c r="MT7" s="136"/>
      <c r="MU7" s="137"/>
      <c r="MV7" s="137"/>
      <c r="MW7" s="137"/>
      <c r="MX7" s="137"/>
      <c r="MY7" s="137"/>
      <c r="MZ7" s="137"/>
      <c r="NA7" s="137"/>
      <c r="NB7" s="137"/>
      <c r="NC7" s="137"/>
      <c r="ND7" s="137"/>
      <c r="NE7" s="137">
        <v>10.5</v>
      </c>
      <c r="NF7" s="137"/>
      <c r="NG7" s="137"/>
      <c r="NH7" s="137"/>
      <c r="NI7" s="137"/>
      <c r="NJ7" s="137"/>
      <c r="NK7" s="137"/>
      <c r="NL7" s="137"/>
      <c r="NM7" s="137"/>
      <c r="NN7" s="137"/>
      <c r="NO7" s="137"/>
      <c r="NP7" s="137"/>
      <c r="NQ7" s="137"/>
      <c r="NR7" s="137"/>
      <c r="NS7" s="137"/>
      <c r="NT7" s="137"/>
      <c r="NU7" s="137"/>
      <c r="NV7" s="137"/>
      <c r="NW7" s="137"/>
      <c r="NX7" s="137"/>
      <c r="NY7" s="137"/>
      <c r="NZ7" s="138"/>
      <c r="OA7" s="139"/>
      <c r="OB7" s="139"/>
      <c r="OC7" s="140"/>
      <c r="OD7" s="141"/>
      <c r="OE7" s="141"/>
      <c r="OF7" s="141"/>
      <c r="OG7" s="141"/>
      <c r="OH7" s="141"/>
      <c r="OI7" s="141"/>
      <c r="OJ7" s="141"/>
      <c r="OK7" s="141"/>
      <c r="OL7" s="141"/>
    </row>
    <row r="8" ht="30.0" customHeight="1">
      <c r="A8" s="100"/>
      <c r="B8" s="48" t="s">
        <v>37</v>
      </c>
      <c r="C8" s="49">
        <f t="shared" si="1"/>
        <v>52.75</v>
      </c>
      <c r="D8" s="48">
        <f t="shared" si="2"/>
        <v>0.6</v>
      </c>
      <c r="E8" s="50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2"/>
      <c r="BV8" s="51"/>
      <c r="BW8" s="51"/>
      <c r="BX8" s="51"/>
      <c r="BY8" s="51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4"/>
      <c r="DA8" s="53"/>
      <c r="DB8" s="53"/>
      <c r="DC8" s="53"/>
      <c r="DD8" s="53"/>
      <c r="DE8" s="53"/>
      <c r="DF8" s="53"/>
      <c r="DG8" s="53"/>
      <c r="DH8" s="84">
        <v>6.0</v>
      </c>
      <c r="DI8" s="84">
        <v>6.0</v>
      </c>
      <c r="DJ8" s="84">
        <v>6.0</v>
      </c>
      <c r="DK8" s="84">
        <v>6.0</v>
      </c>
      <c r="DL8" s="84">
        <v>7.0</v>
      </c>
      <c r="DM8" s="84">
        <v>8.0</v>
      </c>
      <c r="DN8" s="85">
        <v>10.0</v>
      </c>
      <c r="DO8" s="85">
        <v>10.0</v>
      </c>
      <c r="DP8" s="85">
        <v>10.0</v>
      </c>
      <c r="DQ8" s="85">
        <v>10.0</v>
      </c>
      <c r="DR8" s="85">
        <v>10.0</v>
      </c>
      <c r="DS8" s="85">
        <v>9.0</v>
      </c>
      <c r="DT8" s="85">
        <v>9.0</v>
      </c>
      <c r="DU8" s="84">
        <v>9.0</v>
      </c>
      <c r="DV8" s="84">
        <v>9.0</v>
      </c>
      <c r="DW8" s="84">
        <v>9.0</v>
      </c>
      <c r="DX8" s="84">
        <v>9.0</v>
      </c>
      <c r="DY8" s="84">
        <v>9.0</v>
      </c>
      <c r="DZ8" s="84"/>
      <c r="EA8" s="85">
        <v>12.0</v>
      </c>
      <c r="EB8" s="85">
        <v>12.0</v>
      </c>
      <c r="EC8" s="85">
        <v>12.0</v>
      </c>
      <c r="ED8" s="142">
        <v>14.0</v>
      </c>
      <c r="EE8" s="84">
        <v>8.0</v>
      </c>
      <c r="EF8" s="84">
        <v>9.0</v>
      </c>
      <c r="EG8" s="84">
        <v>14.0</v>
      </c>
      <c r="EH8" s="84">
        <v>13.0</v>
      </c>
      <c r="EI8" s="84">
        <v>11.0</v>
      </c>
      <c r="EJ8" s="84">
        <v>12.0</v>
      </c>
      <c r="EK8" s="84">
        <v>4.0</v>
      </c>
      <c r="EL8" s="86">
        <v>9.6</v>
      </c>
      <c r="EM8" s="86">
        <v>14.0</v>
      </c>
      <c r="EN8" s="86">
        <v>15.0</v>
      </c>
      <c r="EO8" s="86">
        <v>13.0</v>
      </c>
      <c r="EP8" s="86">
        <v>10.0</v>
      </c>
      <c r="EQ8" s="86">
        <v>11.2</v>
      </c>
      <c r="ER8" s="86">
        <v>13.0</v>
      </c>
      <c r="ES8" s="86">
        <v>11.5</v>
      </c>
      <c r="ET8" s="86">
        <v>13.5</v>
      </c>
      <c r="EU8" s="86">
        <v>4.5</v>
      </c>
      <c r="EV8" s="86">
        <v>9.0</v>
      </c>
      <c r="EW8" s="86">
        <v>10.25</v>
      </c>
      <c r="EX8" s="86">
        <v>11.0</v>
      </c>
      <c r="EY8" s="86">
        <v>9.75</v>
      </c>
      <c r="EZ8" s="86">
        <v>14.25</v>
      </c>
      <c r="FA8" s="86">
        <v>13.0</v>
      </c>
      <c r="FB8" s="86"/>
      <c r="FC8" s="86">
        <v>13.0</v>
      </c>
      <c r="FD8" s="86">
        <v>12.0</v>
      </c>
      <c r="FE8" s="86">
        <v>12.0</v>
      </c>
      <c r="FF8" s="86">
        <v>11.7</v>
      </c>
      <c r="FG8" s="86">
        <v>15.1</v>
      </c>
      <c r="FH8" s="86">
        <v>13.0</v>
      </c>
      <c r="FI8" s="86">
        <v>8.0</v>
      </c>
      <c r="FJ8" s="86">
        <v>10.0</v>
      </c>
      <c r="FK8" s="86">
        <v>13.0</v>
      </c>
      <c r="FL8" s="86">
        <v>10.2</v>
      </c>
      <c r="FM8" s="86">
        <v>11.0</v>
      </c>
      <c r="FN8" s="86">
        <v>11.0</v>
      </c>
      <c r="FO8" s="86">
        <v>10.0</v>
      </c>
      <c r="FP8" s="86">
        <v>11.0</v>
      </c>
      <c r="FQ8" s="87">
        <v>12.0</v>
      </c>
      <c r="FR8" s="87">
        <v>10.0</v>
      </c>
      <c r="FS8" s="87">
        <v>11.5</v>
      </c>
      <c r="FT8" s="87">
        <v>12.0</v>
      </c>
      <c r="FU8" s="87">
        <v>10.5</v>
      </c>
      <c r="FV8" s="87">
        <v>13.5</v>
      </c>
      <c r="FW8" s="87">
        <v>7.0</v>
      </c>
      <c r="FX8" s="87">
        <v>12.0</v>
      </c>
      <c r="FY8" s="87">
        <v>12.0</v>
      </c>
      <c r="FZ8" s="87">
        <v>13.5</v>
      </c>
      <c r="GA8" s="87">
        <v>11.0</v>
      </c>
      <c r="GB8" s="87">
        <v>10.0</v>
      </c>
      <c r="GC8" s="87">
        <v>8.5</v>
      </c>
      <c r="GD8" s="87">
        <v>6.5</v>
      </c>
      <c r="GE8" s="87">
        <v>12.0</v>
      </c>
      <c r="GF8" s="87">
        <v>11.0</v>
      </c>
      <c r="GG8" s="87">
        <v>10.0</v>
      </c>
      <c r="GH8" s="87">
        <v>10.0</v>
      </c>
      <c r="GI8" s="87"/>
      <c r="GJ8" s="87"/>
      <c r="GK8" s="87">
        <v>9.0</v>
      </c>
      <c r="GL8" s="87">
        <v>9.5</v>
      </c>
      <c r="GM8" s="87">
        <v>6.0</v>
      </c>
      <c r="GN8" s="87">
        <v>10.5</v>
      </c>
      <c r="GO8" s="87">
        <v>13.5</v>
      </c>
      <c r="GP8" s="87">
        <v>13.0</v>
      </c>
      <c r="GQ8" s="87">
        <v>12.0</v>
      </c>
      <c r="GR8" s="87">
        <v>12.0</v>
      </c>
      <c r="GS8" s="57">
        <v>9.5</v>
      </c>
      <c r="GT8" s="57">
        <v>9.0</v>
      </c>
      <c r="GU8" s="57">
        <v>16.0</v>
      </c>
      <c r="GV8" s="57">
        <v>9.5</v>
      </c>
      <c r="GW8" s="57">
        <v>9.5</v>
      </c>
      <c r="GX8" s="57">
        <v>6.5</v>
      </c>
      <c r="GY8" s="57">
        <v>6.5</v>
      </c>
      <c r="GZ8" s="57">
        <v>9.0</v>
      </c>
      <c r="HA8" s="57">
        <v>10.0</v>
      </c>
      <c r="HB8" s="57">
        <v>11.5</v>
      </c>
      <c r="HC8" s="57">
        <v>8.5</v>
      </c>
      <c r="HD8" s="57">
        <v>6.0</v>
      </c>
      <c r="HE8" s="57">
        <v>12.0</v>
      </c>
      <c r="HF8" s="57">
        <v>10.0</v>
      </c>
      <c r="HG8" s="57">
        <v>7.0</v>
      </c>
      <c r="HH8" s="57">
        <v>8.0</v>
      </c>
      <c r="HI8" s="57">
        <v>5.0</v>
      </c>
      <c r="HJ8" s="57">
        <v>4.5</v>
      </c>
      <c r="HK8" s="57">
        <v>10.0</v>
      </c>
      <c r="HL8" s="57">
        <v>16.5</v>
      </c>
      <c r="HM8" s="57">
        <v>6.5</v>
      </c>
      <c r="HN8" s="57">
        <v>10.0</v>
      </c>
      <c r="HO8" s="57">
        <v>8.5</v>
      </c>
      <c r="HP8" s="57">
        <v>7.0</v>
      </c>
      <c r="HQ8" s="57">
        <v>5.0</v>
      </c>
      <c r="HR8" s="57">
        <v>11.0</v>
      </c>
      <c r="HS8" s="57">
        <v>6.5</v>
      </c>
      <c r="HT8" s="57">
        <v>9.5</v>
      </c>
      <c r="HU8" s="57">
        <v>9.5</v>
      </c>
      <c r="HV8" s="57">
        <v>9.0</v>
      </c>
      <c r="HW8" s="57">
        <v>4.0</v>
      </c>
      <c r="HX8" s="58">
        <v>8.5</v>
      </c>
      <c r="HY8" s="58">
        <v>8.0</v>
      </c>
      <c r="HZ8" s="58">
        <v>10.5</v>
      </c>
      <c r="IA8" s="58">
        <v>8.5</v>
      </c>
      <c r="IB8" s="58">
        <v>11.0</v>
      </c>
      <c r="IC8" s="58">
        <v>9.5</v>
      </c>
      <c r="ID8" s="58">
        <v>11.5</v>
      </c>
      <c r="IE8" s="58">
        <v>3.0</v>
      </c>
      <c r="IF8" s="58">
        <v>15.5</v>
      </c>
      <c r="IG8" s="58">
        <v>16.0</v>
      </c>
      <c r="IH8" s="58">
        <v>9.0</v>
      </c>
      <c r="II8" s="58">
        <v>9.5</v>
      </c>
      <c r="IJ8" s="58">
        <v>9.5</v>
      </c>
      <c r="IK8" s="58">
        <v>12.0</v>
      </c>
      <c r="IL8" s="58">
        <v>14.0</v>
      </c>
      <c r="IM8" s="58">
        <v>13.5</v>
      </c>
      <c r="IN8" s="58">
        <v>14.0</v>
      </c>
      <c r="IO8" s="58">
        <v>5.0</v>
      </c>
      <c r="IP8" s="58">
        <v>8.0</v>
      </c>
      <c r="IQ8" s="58">
        <v>9.5</v>
      </c>
      <c r="IR8" s="58">
        <v>14.0</v>
      </c>
      <c r="IS8" s="58">
        <v>12.5</v>
      </c>
      <c r="IT8" s="58">
        <v>6.5</v>
      </c>
      <c r="IU8" s="58">
        <v>11.0</v>
      </c>
      <c r="IV8" s="58">
        <v>0.0</v>
      </c>
      <c r="IW8" s="58">
        <v>10.0</v>
      </c>
      <c r="IX8" s="58">
        <v>8.0</v>
      </c>
      <c r="IY8" s="58">
        <v>8.5</v>
      </c>
      <c r="IZ8" s="58">
        <v>11.0</v>
      </c>
      <c r="JA8" s="58">
        <v>13.0</v>
      </c>
      <c r="JB8" s="61"/>
      <c r="JC8" s="62">
        <v>11.0</v>
      </c>
      <c r="JD8" s="62"/>
      <c r="JE8" s="62">
        <v>8.0</v>
      </c>
      <c r="JF8" s="62">
        <v>11.5</v>
      </c>
      <c r="JG8" s="62">
        <v>6.5</v>
      </c>
      <c r="JH8" s="62">
        <v>9.0</v>
      </c>
      <c r="JI8" s="62">
        <v>6.5</v>
      </c>
      <c r="JJ8" s="62">
        <v>8.5</v>
      </c>
      <c r="JK8" s="62">
        <v>5.0</v>
      </c>
      <c r="JL8" s="62">
        <v>6.0</v>
      </c>
      <c r="JM8" s="62">
        <v>9.0</v>
      </c>
      <c r="JN8" s="62">
        <v>11.5</v>
      </c>
      <c r="JO8" s="62">
        <v>8.5</v>
      </c>
      <c r="JP8" s="62">
        <v>11.0</v>
      </c>
      <c r="JQ8" s="62">
        <v>7.0</v>
      </c>
      <c r="JR8" s="62">
        <v>7.0</v>
      </c>
      <c r="JS8" s="62">
        <v>7.0</v>
      </c>
      <c r="JT8" s="62">
        <v>9.25</v>
      </c>
      <c r="JU8" s="62">
        <v>7.0</v>
      </c>
      <c r="JV8" s="62">
        <v>7.0</v>
      </c>
      <c r="JW8" s="62">
        <v>7.0</v>
      </c>
      <c r="JX8" s="62"/>
      <c r="JY8" s="62"/>
      <c r="JZ8" s="62"/>
      <c r="KA8" s="62"/>
      <c r="KB8" s="62"/>
      <c r="KC8" s="62"/>
      <c r="KD8" s="62"/>
      <c r="KE8" s="62">
        <v>9.0</v>
      </c>
      <c r="KF8" s="62">
        <v>5.0</v>
      </c>
      <c r="KG8" s="65"/>
      <c r="KH8" s="66"/>
      <c r="KI8" s="67">
        <v>5.0</v>
      </c>
      <c r="KJ8" s="68">
        <v>5.0</v>
      </c>
      <c r="KK8" s="67">
        <v>7.0</v>
      </c>
      <c r="KL8" s="67">
        <v>8.0</v>
      </c>
      <c r="KM8" s="67">
        <v>10.0</v>
      </c>
      <c r="KN8" s="143">
        <v>9.0</v>
      </c>
      <c r="KO8" s="67">
        <v>10.0</v>
      </c>
      <c r="KP8" s="144">
        <v>7.0</v>
      </c>
      <c r="KQ8" s="67">
        <v>8.0</v>
      </c>
      <c r="KR8" s="67">
        <v>5.5</v>
      </c>
      <c r="KS8" s="67">
        <v>12.0</v>
      </c>
      <c r="KT8" s="67">
        <v>3.0</v>
      </c>
      <c r="KU8" s="67">
        <v>3.0</v>
      </c>
      <c r="KV8" s="67">
        <v>8.5</v>
      </c>
      <c r="KW8" s="67">
        <v>4.0</v>
      </c>
      <c r="KX8" s="67">
        <v>8.0</v>
      </c>
      <c r="KY8" s="67">
        <v>10.0</v>
      </c>
      <c r="KZ8" s="67">
        <v>5.0</v>
      </c>
      <c r="LA8" s="67">
        <v>9.0</v>
      </c>
      <c r="LB8" s="67">
        <v>16.5</v>
      </c>
      <c r="LC8" s="67">
        <v>8.0</v>
      </c>
      <c r="LD8" s="67">
        <v>6.0</v>
      </c>
      <c r="LE8" s="67">
        <v>9.0</v>
      </c>
      <c r="LF8" s="67">
        <v>6.0</v>
      </c>
      <c r="LG8" s="67">
        <v>15.0</v>
      </c>
      <c r="LH8" s="67">
        <v>8.0</v>
      </c>
      <c r="LI8" s="67">
        <v>7.0</v>
      </c>
      <c r="LJ8" s="67">
        <v>11.0</v>
      </c>
      <c r="LK8" s="67">
        <v>7.0</v>
      </c>
      <c r="LL8" s="67">
        <v>6.25</v>
      </c>
      <c r="LM8" s="67">
        <v>10.0</v>
      </c>
      <c r="LN8" s="66"/>
      <c r="LO8" s="67">
        <v>7.0</v>
      </c>
      <c r="LP8" s="67">
        <v>6.75</v>
      </c>
      <c r="LQ8" s="67"/>
      <c r="LR8" s="67"/>
      <c r="LS8" s="67"/>
      <c r="LT8" s="67"/>
      <c r="LU8" s="67">
        <v>9.0</v>
      </c>
      <c r="LV8" s="67">
        <v>9.0</v>
      </c>
      <c r="LW8" s="67">
        <v>7.5</v>
      </c>
      <c r="LX8" s="67">
        <v>9.0</v>
      </c>
      <c r="LY8" s="67"/>
      <c r="LZ8" s="67">
        <v>4.5</v>
      </c>
      <c r="MA8" s="67"/>
      <c r="MB8" s="67"/>
      <c r="MC8" s="67"/>
      <c r="MD8" s="67"/>
      <c r="ME8" s="67"/>
      <c r="MF8" s="67"/>
      <c r="MG8" s="67"/>
      <c r="MH8" s="67"/>
      <c r="MI8" s="67"/>
      <c r="MJ8" s="67"/>
      <c r="MK8" s="67"/>
      <c r="ML8" s="67"/>
      <c r="MM8" s="67"/>
      <c r="MN8" s="67"/>
      <c r="MO8" s="67"/>
      <c r="MP8" s="67"/>
      <c r="MQ8" s="67"/>
      <c r="MR8" s="70"/>
      <c r="MS8" s="70"/>
      <c r="MT8" s="106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>
        <v>0.6</v>
      </c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107"/>
      <c r="OA8" s="108"/>
      <c r="OB8" s="108"/>
      <c r="OC8" s="109"/>
      <c r="OD8" s="78"/>
      <c r="OE8" s="78"/>
      <c r="OF8" s="78"/>
      <c r="OG8" s="78"/>
      <c r="OH8" s="78"/>
      <c r="OI8" s="78"/>
      <c r="OJ8" s="78"/>
      <c r="OK8" s="78"/>
      <c r="OL8" s="78"/>
    </row>
    <row r="9" ht="30.0" customHeight="1">
      <c r="A9" s="110"/>
      <c r="B9" s="111" t="s">
        <v>14</v>
      </c>
      <c r="C9" s="49">
        <f t="shared" si="1"/>
        <v>44</v>
      </c>
      <c r="D9" s="48">
        <f t="shared" si="2"/>
        <v>6.1</v>
      </c>
      <c r="E9" s="101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>
        <v>13.0</v>
      </c>
      <c r="AB9" s="82">
        <v>10.0</v>
      </c>
      <c r="AC9" s="82">
        <v>10.0</v>
      </c>
      <c r="AD9" s="82">
        <v>11.5</v>
      </c>
      <c r="AE9" s="82">
        <v>12.0</v>
      </c>
      <c r="AF9" s="82">
        <v>11.0</v>
      </c>
      <c r="AG9" s="82">
        <v>11.0</v>
      </c>
      <c r="AH9" s="82">
        <v>19.0</v>
      </c>
      <c r="AI9" s="82">
        <v>9.5</v>
      </c>
      <c r="AJ9" s="82">
        <v>10.5</v>
      </c>
      <c r="AK9" s="82">
        <v>9.5</v>
      </c>
      <c r="AL9" s="82">
        <v>16.0</v>
      </c>
      <c r="AM9" s="82">
        <v>10.5</v>
      </c>
      <c r="AN9" s="82">
        <v>10.0</v>
      </c>
      <c r="AO9" s="82"/>
      <c r="AP9" s="82"/>
      <c r="AQ9" s="82">
        <v>12.5</v>
      </c>
      <c r="AR9" s="82">
        <v>13.3</v>
      </c>
      <c r="AS9" s="82">
        <v>12.3</v>
      </c>
      <c r="AT9" s="82">
        <v>15.0</v>
      </c>
      <c r="AU9" s="82">
        <v>8.3</v>
      </c>
      <c r="AV9" s="82">
        <v>11.3</v>
      </c>
      <c r="AW9" s="82">
        <v>14.3</v>
      </c>
      <c r="AX9" s="82">
        <v>10.3</v>
      </c>
      <c r="AY9" s="82">
        <v>5.0</v>
      </c>
      <c r="AZ9" s="82">
        <v>14.0</v>
      </c>
      <c r="BA9" s="102"/>
      <c r="BB9" s="82">
        <v>11.3</v>
      </c>
      <c r="BC9" s="82">
        <v>11.3</v>
      </c>
      <c r="BD9" s="82">
        <v>10.0</v>
      </c>
      <c r="BE9" s="82">
        <v>11.0</v>
      </c>
      <c r="BF9" s="82">
        <v>9.0</v>
      </c>
      <c r="BG9" s="82">
        <v>12.0</v>
      </c>
      <c r="BH9" s="82"/>
      <c r="BI9" s="82">
        <v>14.0</v>
      </c>
      <c r="BJ9" s="82"/>
      <c r="BK9" s="82">
        <v>10.3</v>
      </c>
      <c r="BL9" s="82">
        <v>11.3</v>
      </c>
      <c r="BM9" s="82">
        <v>9.3</v>
      </c>
      <c r="BN9" s="82">
        <v>15.3</v>
      </c>
      <c r="BO9" s="82">
        <v>2.0</v>
      </c>
      <c r="BP9" s="82">
        <v>10.3</v>
      </c>
      <c r="BQ9" s="82">
        <v>10.3</v>
      </c>
      <c r="BR9" s="82">
        <v>10.0</v>
      </c>
      <c r="BS9" s="82">
        <v>12.3</v>
      </c>
      <c r="BT9" s="82">
        <v>10.0</v>
      </c>
      <c r="BU9" s="52">
        <v>12.3</v>
      </c>
      <c r="BV9" s="82">
        <v>12.0</v>
      </c>
      <c r="BW9" s="51"/>
      <c r="BX9" s="51">
        <v>10.0</v>
      </c>
      <c r="BY9" s="51">
        <v>11.3</v>
      </c>
      <c r="BZ9" s="84">
        <v>10.3</v>
      </c>
      <c r="CA9" s="84">
        <v>11.3</v>
      </c>
      <c r="CB9" s="84">
        <v>12.0</v>
      </c>
      <c r="CC9" s="84">
        <v>4.0</v>
      </c>
      <c r="CD9" s="84">
        <v>13.0</v>
      </c>
      <c r="CE9" s="84">
        <v>11.0</v>
      </c>
      <c r="CF9" s="84">
        <v>11.0</v>
      </c>
      <c r="CG9" s="84">
        <v>14.0</v>
      </c>
      <c r="CH9" s="84">
        <v>7.0</v>
      </c>
      <c r="CI9" s="84">
        <v>11.0</v>
      </c>
      <c r="CJ9" s="84"/>
      <c r="CK9" s="84">
        <v>11.0</v>
      </c>
      <c r="CL9" s="84">
        <v>10.0</v>
      </c>
      <c r="CM9" s="84">
        <v>10.0</v>
      </c>
      <c r="CN9" s="84">
        <v>11.0</v>
      </c>
      <c r="CO9" s="84">
        <v>11.0</v>
      </c>
      <c r="CP9" s="84">
        <v>11.0</v>
      </c>
      <c r="CQ9" s="84">
        <v>4.3</v>
      </c>
      <c r="CR9" s="84">
        <v>10.0</v>
      </c>
      <c r="CS9" s="84">
        <v>10.3</v>
      </c>
      <c r="CT9" s="84">
        <v>11.0</v>
      </c>
      <c r="CU9" s="84">
        <v>12.0</v>
      </c>
      <c r="CV9" s="84"/>
      <c r="CW9" s="84"/>
      <c r="CX9" s="84">
        <v>11.0</v>
      </c>
      <c r="CY9" s="84">
        <v>9.3</v>
      </c>
      <c r="CZ9" s="52">
        <v>10.0</v>
      </c>
      <c r="DA9" s="84">
        <v>11.3</v>
      </c>
      <c r="DB9" s="84">
        <v>10.0</v>
      </c>
      <c r="DC9" s="84">
        <v>10.3</v>
      </c>
      <c r="DD9" s="84">
        <v>12.0</v>
      </c>
      <c r="DE9" s="84">
        <v>7.3</v>
      </c>
      <c r="DF9" s="84">
        <v>11.0</v>
      </c>
      <c r="DG9" s="84">
        <v>10.3</v>
      </c>
      <c r="DH9" s="84">
        <v>10.0</v>
      </c>
      <c r="DI9" s="84">
        <v>8.3</v>
      </c>
      <c r="DJ9" s="85">
        <v>12.0</v>
      </c>
      <c r="DK9" s="85">
        <v>12.0</v>
      </c>
      <c r="DL9" s="85">
        <v>13.0</v>
      </c>
      <c r="DM9" s="85">
        <v>10.0</v>
      </c>
      <c r="DN9" s="85">
        <v>12.0</v>
      </c>
      <c r="DO9" s="85">
        <v>10.0</v>
      </c>
      <c r="DP9" s="85">
        <v>12.0</v>
      </c>
      <c r="DQ9" s="85">
        <v>13.0</v>
      </c>
      <c r="DR9" s="85">
        <v>12.0</v>
      </c>
      <c r="DS9" s="85">
        <v>15.0</v>
      </c>
      <c r="DT9" s="84">
        <v>8.0</v>
      </c>
      <c r="DU9" s="84">
        <v>12.0</v>
      </c>
      <c r="DV9" s="84"/>
      <c r="DW9" s="84">
        <v>11.0</v>
      </c>
      <c r="DX9" s="84">
        <v>12.0</v>
      </c>
      <c r="DY9" s="145">
        <v>11.0</v>
      </c>
      <c r="DZ9" s="145"/>
      <c r="EA9" s="85">
        <v>12.0</v>
      </c>
      <c r="EB9" s="85">
        <v>12.0</v>
      </c>
      <c r="EC9" s="85">
        <v>12.0</v>
      </c>
      <c r="ED9" s="142">
        <v>14.0</v>
      </c>
      <c r="EE9" s="84"/>
      <c r="EF9" s="84"/>
      <c r="EG9" s="84">
        <v>9.3</v>
      </c>
      <c r="EH9" s="84">
        <v>9.0</v>
      </c>
      <c r="EI9" s="84">
        <v>8.0</v>
      </c>
      <c r="EJ9" s="84"/>
      <c r="EK9" s="84"/>
      <c r="EL9" s="86">
        <v>6.25</v>
      </c>
      <c r="EM9" s="86">
        <v>8.0</v>
      </c>
      <c r="EN9" s="86">
        <v>10.0</v>
      </c>
      <c r="EO9" s="86">
        <v>12.0</v>
      </c>
      <c r="EP9" s="86">
        <v>9.0</v>
      </c>
      <c r="EQ9" s="86">
        <v>9.5</v>
      </c>
      <c r="ER9" s="86">
        <v>8.0</v>
      </c>
      <c r="ES9" s="86">
        <v>9.0</v>
      </c>
      <c r="ET9" s="86">
        <v>9.25</v>
      </c>
      <c r="EU9" s="86">
        <v>3.0</v>
      </c>
      <c r="EV9" s="86">
        <v>9.1</v>
      </c>
      <c r="EW9" s="86">
        <v>10.0</v>
      </c>
      <c r="EX9" s="86">
        <v>13.0</v>
      </c>
      <c r="EY9" s="86">
        <v>10.0</v>
      </c>
      <c r="EZ9" s="86">
        <v>7.5</v>
      </c>
      <c r="FA9" s="86">
        <v>13.0</v>
      </c>
      <c r="FB9" s="86"/>
      <c r="FC9" s="86">
        <v>10.5</v>
      </c>
      <c r="FD9" s="86">
        <v>12.0</v>
      </c>
      <c r="FE9" s="86">
        <v>8.0</v>
      </c>
      <c r="FF9" s="86">
        <v>10.5</v>
      </c>
      <c r="FG9" s="86">
        <v>9.0</v>
      </c>
      <c r="FH9" s="86">
        <v>10.0</v>
      </c>
      <c r="FI9" s="86">
        <v>10.5</v>
      </c>
      <c r="FJ9" s="86">
        <v>6.0</v>
      </c>
      <c r="FK9" s="86">
        <v>7.0</v>
      </c>
      <c r="FL9" s="86">
        <v>9.0</v>
      </c>
      <c r="FM9" s="86">
        <v>9.0</v>
      </c>
      <c r="FN9" s="86">
        <v>10.3</v>
      </c>
      <c r="FO9" s="86">
        <v>10.0</v>
      </c>
      <c r="FP9" s="86">
        <v>9.0</v>
      </c>
      <c r="FQ9" s="87">
        <v>9.0</v>
      </c>
      <c r="FR9" s="87">
        <v>10.0</v>
      </c>
      <c r="FS9" s="87">
        <v>9.0</v>
      </c>
      <c r="FT9" s="87">
        <v>8.0</v>
      </c>
      <c r="FU9" s="87"/>
      <c r="FV9" s="87">
        <v>10.0</v>
      </c>
      <c r="FW9" s="87">
        <v>11.0</v>
      </c>
      <c r="FX9" s="87">
        <v>12.0</v>
      </c>
      <c r="FY9" s="87">
        <v>8.0</v>
      </c>
      <c r="FZ9" s="87">
        <v>9.0</v>
      </c>
      <c r="GA9" s="87">
        <v>6.0</v>
      </c>
      <c r="GB9" s="87">
        <v>12.0</v>
      </c>
      <c r="GC9" s="87">
        <v>2.0</v>
      </c>
      <c r="GD9" s="87">
        <v>15.0</v>
      </c>
      <c r="GE9" s="87">
        <v>12.0</v>
      </c>
      <c r="GF9" s="87">
        <v>13.0</v>
      </c>
      <c r="GG9" s="87">
        <v>10.0</v>
      </c>
      <c r="GH9" s="87">
        <v>10.0</v>
      </c>
      <c r="GI9" s="87">
        <v>10.0</v>
      </c>
      <c r="GJ9" s="87">
        <v>5.5</v>
      </c>
      <c r="GK9" s="87">
        <v>11.5</v>
      </c>
      <c r="GL9" s="87">
        <v>8.0</v>
      </c>
      <c r="GM9" s="87">
        <v>7.5</v>
      </c>
      <c r="GN9" s="87">
        <v>5.5</v>
      </c>
      <c r="GO9" s="87">
        <v>6.0</v>
      </c>
      <c r="GP9" s="87">
        <v>9.25</v>
      </c>
      <c r="GQ9" s="87">
        <v>8.0</v>
      </c>
      <c r="GR9" s="87">
        <v>16.0</v>
      </c>
      <c r="GS9" s="57">
        <v>13.0</v>
      </c>
      <c r="GT9" s="57">
        <v>9.5</v>
      </c>
      <c r="GU9" s="57">
        <v>4.0</v>
      </c>
      <c r="GV9" s="57">
        <v>4.5</v>
      </c>
      <c r="GW9" s="57">
        <v>7.0</v>
      </c>
      <c r="GX9" s="57">
        <v>11.0</v>
      </c>
      <c r="GY9" s="57">
        <v>11.0</v>
      </c>
      <c r="GZ9" s="57">
        <v>4.5</v>
      </c>
      <c r="HA9" s="57">
        <v>5.5</v>
      </c>
      <c r="HB9" s="57">
        <v>8.0</v>
      </c>
      <c r="HC9" s="57">
        <v>14.0</v>
      </c>
      <c r="HD9" s="57">
        <v>8.0</v>
      </c>
      <c r="HE9" s="57">
        <v>7.0</v>
      </c>
      <c r="HF9" s="57">
        <v>8.0</v>
      </c>
      <c r="HG9" s="57">
        <v>7.0</v>
      </c>
      <c r="HH9" s="57">
        <v>7.5</v>
      </c>
      <c r="HI9" s="57">
        <v>4.5</v>
      </c>
      <c r="HJ9" s="57">
        <v>7.5</v>
      </c>
      <c r="HK9" s="57">
        <v>6.0</v>
      </c>
      <c r="HL9" s="57" t="s">
        <v>38</v>
      </c>
      <c r="HM9" s="57">
        <v>7.0</v>
      </c>
      <c r="HN9" s="57">
        <v>6.5</v>
      </c>
      <c r="HO9" s="57">
        <v>9.0</v>
      </c>
      <c r="HP9" s="57">
        <v>12.0</v>
      </c>
      <c r="HQ9" s="57">
        <v>7.0</v>
      </c>
      <c r="HR9" s="57">
        <v>6.5</v>
      </c>
      <c r="HS9" s="57">
        <v>6.5</v>
      </c>
      <c r="HT9" s="57">
        <v>4.5</v>
      </c>
      <c r="HU9" s="57">
        <v>7.5</v>
      </c>
      <c r="HV9" s="57">
        <v>4.0</v>
      </c>
      <c r="HW9" s="57" t="s">
        <v>32</v>
      </c>
      <c r="HX9" s="58">
        <v>0.0</v>
      </c>
      <c r="HY9" s="58">
        <v>8.0</v>
      </c>
      <c r="HZ9" s="58">
        <v>12.0</v>
      </c>
      <c r="IA9" s="58">
        <v>9.5</v>
      </c>
      <c r="IB9" s="58">
        <v>11.5</v>
      </c>
      <c r="IC9" s="58">
        <v>9.5</v>
      </c>
      <c r="ID9" s="58">
        <v>18.0</v>
      </c>
      <c r="IE9" s="58">
        <v>5.0</v>
      </c>
      <c r="IF9" s="58">
        <v>8.5</v>
      </c>
      <c r="IG9" s="58">
        <v>10.5</v>
      </c>
      <c r="IH9" s="58">
        <v>11.5</v>
      </c>
      <c r="II9" s="58">
        <v>10.0</v>
      </c>
      <c r="IJ9" s="58" t="s">
        <v>32</v>
      </c>
      <c r="IK9" s="58">
        <v>10.5</v>
      </c>
      <c r="IL9" s="58">
        <v>9.0</v>
      </c>
      <c r="IM9" s="58">
        <v>10.0</v>
      </c>
      <c r="IN9" s="58">
        <v>11.5</v>
      </c>
      <c r="IO9" s="58">
        <v>9.5</v>
      </c>
      <c r="IP9" s="58">
        <v>7.5</v>
      </c>
      <c r="IQ9" s="58">
        <v>10.5</v>
      </c>
      <c r="IR9" s="58">
        <v>9.5</v>
      </c>
      <c r="IS9" s="58">
        <v>9.5</v>
      </c>
      <c r="IT9" s="58">
        <v>15.0</v>
      </c>
      <c r="IU9" s="58">
        <v>17.0</v>
      </c>
      <c r="IV9" s="58" t="s">
        <v>32</v>
      </c>
      <c r="IW9" s="58">
        <v>11.0</v>
      </c>
      <c r="IX9" s="58">
        <v>12.0</v>
      </c>
      <c r="IY9" s="58">
        <v>6.5</v>
      </c>
      <c r="IZ9" s="58">
        <v>8.0</v>
      </c>
      <c r="JA9" s="58">
        <v>8.0</v>
      </c>
      <c r="JB9" s="61"/>
      <c r="JC9" s="62">
        <v>6.5</v>
      </c>
      <c r="JD9" s="62"/>
      <c r="JE9" s="62">
        <v>8.5</v>
      </c>
      <c r="JF9" s="62">
        <v>9.0</v>
      </c>
      <c r="JG9" s="62">
        <v>16.0</v>
      </c>
      <c r="JH9" s="62"/>
      <c r="JI9" s="62">
        <v>9.0</v>
      </c>
      <c r="JJ9" s="62">
        <v>12.25</v>
      </c>
      <c r="JK9" s="62"/>
      <c r="JL9" s="62">
        <v>15.5</v>
      </c>
      <c r="JM9" s="62">
        <v>17.5</v>
      </c>
      <c r="JN9" s="62"/>
      <c r="JO9" s="62">
        <v>11.0</v>
      </c>
      <c r="JP9" s="62">
        <v>4.5</v>
      </c>
      <c r="JQ9" s="62">
        <v>8.5</v>
      </c>
      <c r="JR9" s="62">
        <v>6.5</v>
      </c>
      <c r="JS9" s="62">
        <v>15.25</v>
      </c>
      <c r="JT9" s="62">
        <v>9.0</v>
      </c>
      <c r="JU9" s="62">
        <v>6.5</v>
      </c>
      <c r="JV9" s="62">
        <v>11.5</v>
      </c>
      <c r="JW9" s="62">
        <v>17.5</v>
      </c>
      <c r="JX9" s="62">
        <v>3.0</v>
      </c>
      <c r="JY9" s="62"/>
      <c r="JZ9" s="62">
        <v>11.0</v>
      </c>
      <c r="KA9" s="62">
        <v>14.0</v>
      </c>
      <c r="KB9" s="62">
        <v>5.0</v>
      </c>
      <c r="KC9" s="62"/>
      <c r="KD9" s="62">
        <v>17.0</v>
      </c>
      <c r="KE9" s="62"/>
      <c r="KF9" s="62">
        <v>7.0</v>
      </c>
      <c r="KG9" s="65">
        <v>7.0</v>
      </c>
      <c r="KH9" s="66"/>
      <c r="KI9" s="67">
        <v>11.0</v>
      </c>
      <c r="KJ9" s="68">
        <v>11.0</v>
      </c>
      <c r="KK9" s="67">
        <v>11.75</v>
      </c>
      <c r="KL9" s="67">
        <v>17.0</v>
      </c>
      <c r="KM9" s="67">
        <v>11.0</v>
      </c>
      <c r="KN9" s="67">
        <v>16.0</v>
      </c>
      <c r="KO9" s="146" t="s">
        <v>32</v>
      </c>
      <c r="KP9" s="67">
        <v>7.0</v>
      </c>
      <c r="KQ9" s="67">
        <v>14.0</v>
      </c>
      <c r="KR9" s="67">
        <v>4.5</v>
      </c>
      <c r="KS9" s="67">
        <v>6.5</v>
      </c>
      <c r="KT9" s="67" t="s">
        <v>32</v>
      </c>
      <c r="KU9" s="67" t="s">
        <v>32</v>
      </c>
      <c r="KV9" s="67">
        <v>18.5</v>
      </c>
      <c r="KW9" s="67">
        <v>8.75</v>
      </c>
      <c r="KX9" s="67">
        <v>9.5</v>
      </c>
      <c r="KY9" s="67">
        <v>10.25</v>
      </c>
      <c r="KZ9" s="67">
        <v>8.0</v>
      </c>
      <c r="LA9" s="67" t="s">
        <v>32</v>
      </c>
      <c r="LB9" s="67">
        <v>7.5</v>
      </c>
      <c r="LC9" s="67">
        <v>6.5</v>
      </c>
      <c r="LD9" s="67" t="s">
        <v>32</v>
      </c>
      <c r="LE9" s="67">
        <v>6.5</v>
      </c>
      <c r="LF9" s="67" t="s">
        <v>32</v>
      </c>
      <c r="LG9" s="67">
        <v>7.0</v>
      </c>
      <c r="LH9" s="67">
        <v>8.5</v>
      </c>
      <c r="LI9" s="67">
        <v>15.0</v>
      </c>
      <c r="LJ9" s="67">
        <v>5.0</v>
      </c>
      <c r="LK9" s="67">
        <v>5.5</v>
      </c>
      <c r="LL9" s="67" t="s">
        <v>32</v>
      </c>
      <c r="LM9" s="67">
        <v>25.0</v>
      </c>
      <c r="LN9" s="66"/>
      <c r="LO9" s="67"/>
      <c r="LP9" s="67"/>
      <c r="LQ9" s="67"/>
      <c r="LR9" s="67"/>
      <c r="LS9" s="67"/>
      <c r="LT9" s="67"/>
      <c r="LU9" s="67">
        <v>9.0</v>
      </c>
      <c r="LV9" s="67">
        <v>9.0</v>
      </c>
      <c r="LW9" s="67">
        <v>8.0</v>
      </c>
      <c r="LX9" s="67">
        <v>9.0</v>
      </c>
      <c r="LY9" s="67"/>
      <c r="LZ9" s="67">
        <v>9.0</v>
      </c>
      <c r="MA9" s="67"/>
      <c r="MB9" s="67"/>
      <c r="MC9" s="67"/>
      <c r="MD9" s="67"/>
      <c r="ME9" s="67"/>
      <c r="MF9" s="67"/>
      <c r="MG9" s="67"/>
      <c r="MH9" s="67"/>
      <c r="MI9" s="67"/>
      <c r="MJ9" s="67"/>
      <c r="MK9" s="67"/>
      <c r="ML9" s="67"/>
      <c r="MM9" s="67"/>
      <c r="MN9" s="67"/>
      <c r="MO9" s="67"/>
      <c r="MP9" s="67"/>
      <c r="MQ9" s="67"/>
      <c r="MR9" s="70"/>
      <c r="MS9" s="70"/>
      <c r="MT9" s="106"/>
      <c r="MU9" s="73"/>
      <c r="MV9" s="73"/>
      <c r="MW9" s="73"/>
      <c r="MX9" s="73"/>
      <c r="MY9" s="73"/>
      <c r="MZ9" s="73"/>
      <c r="NA9" s="73">
        <v>0.6</v>
      </c>
      <c r="NB9" s="73">
        <v>0.25</v>
      </c>
      <c r="NC9" s="73"/>
      <c r="ND9" s="73"/>
      <c r="NE9" s="73">
        <v>5.25</v>
      </c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107"/>
      <c r="OA9" s="108"/>
      <c r="OB9" s="108"/>
      <c r="OC9" s="109"/>
      <c r="OD9" s="78"/>
      <c r="OE9" s="78"/>
      <c r="OF9" s="78"/>
      <c r="OG9" s="78"/>
      <c r="OH9" s="78"/>
      <c r="OI9" s="78"/>
      <c r="OJ9" s="78"/>
      <c r="OK9" s="78"/>
      <c r="OL9" s="78"/>
    </row>
    <row r="10" ht="30.0" customHeight="1">
      <c r="A10" s="100"/>
      <c r="B10" s="48" t="s">
        <v>39</v>
      </c>
      <c r="C10" s="49">
        <f t="shared" si="1"/>
        <v>60.25</v>
      </c>
      <c r="D10" s="48">
        <f t="shared" si="2"/>
        <v>7.5</v>
      </c>
      <c r="E10" s="10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>
        <v>10.0</v>
      </c>
      <c r="AO10" s="82">
        <v>14.0</v>
      </c>
      <c r="AP10" s="82">
        <v>11.0</v>
      </c>
      <c r="AQ10" s="82">
        <v>12.0</v>
      </c>
      <c r="AR10" s="82">
        <v>13.3</v>
      </c>
      <c r="AS10" s="82">
        <v>12.3</v>
      </c>
      <c r="AT10" s="82">
        <v>15.0</v>
      </c>
      <c r="AU10" s="82">
        <v>8.3</v>
      </c>
      <c r="AV10" s="82">
        <v>11.3</v>
      </c>
      <c r="AW10" s="82">
        <v>14.3</v>
      </c>
      <c r="AX10" s="82">
        <v>10.3</v>
      </c>
      <c r="AY10" s="82">
        <v>5.0</v>
      </c>
      <c r="AZ10" s="102"/>
      <c r="BA10" s="102"/>
      <c r="BB10" s="82">
        <v>11.3</v>
      </c>
      <c r="BC10" s="82">
        <v>11.3</v>
      </c>
      <c r="BD10" s="82">
        <v>10.0</v>
      </c>
      <c r="BE10" s="82">
        <v>11.0</v>
      </c>
      <c r="BF10" s="82">
        <v>9.0</v>
      </c>
      <c r="BG10" s="82">
        <v>12.0</v>
      </c>
      <c r="BH10" s="82"/>
      <c r="BI10" s="82">
        <v>14.0</v>
      </c>
      <c r="BJ10" s="82"/>
      <c r="BK10" s="82">
        <v>10.3</v>
      </c>
      <c r="BL10" s="82">
        <v>11.3</v>
      </c>
      <c r="BM10" s="82">
        <v>9.3</v>
      </c>
      <c r="BN10" s="82">
        <v>15.3</v>
      </c>
      <c r="BO10" s="82"/>
      <c r="BP10" s="82">
        <v>10.3</v>
      </c>
      <c r="BQ10" s="82">
        <v>10.3</v>
      </c>
      <c r="BR10" s="82">
        <v>10.0</v>
      </c>
      <c r="BS10" s="82">
        <v>12.3</v>
      </c>
      <c r="BT10" s="82">
        <v>10.0</v>
      </c>
      <c r="BU10" s="52"/>
      <c r="BV10" s="82">
        <v>12.0</v>
      </c>
      <c r="BW10" s="51"/>
      <c r="BX10" s="51">
        <v>10.0</v>
      </c>
      <c r="BY10" s="51">
        <v>11.3</v>
      </c>
      <c r="BZ10" s="84">
        <v>10.3</v>
      </c>
      <c r="CA10" s="84">
        <v>11.3</v>
      </c>
      <c r="CB10" s="84">
        <v>12.0</v>
      </c>
      <c r="CC10" s="84"/>
      <c r="CD10" s="84">
        <v>13.0</v>
      </c>
      <c r="CE10" s="84"/>
      <c r="CF10" s="84"/>
      <c r="CG10" s="84">
        <v>8.0</v>
      </c>
      <c r="CH10" s="84">
        <v>11.0</v>
      </c>
      <c r="CI10" s="84">
        <v>11.0</v>
      </c>
      <c r="CJ10" s="84"/>
      <c r="CK10" s="84">
        <v>11.0</v>
      </c>
      <c r="CL10" s="84">
        <v>10.0</v>
      </c>
      <c r="CM10" s="84">
        <v>11.3</v>
      </c>
      <c r="CN10" s="84">
        <v>22.0</v>
      </c>
      <c r="CO10" s="84">
        <v>10.3</v>
      </c>
      <c r="CP10" s="84">
        <v>0.0</v>
      </c>
      <c r="CQ10" s="84">
        <v>0.0</v>
      </c>
      <c r="CR10" s="84">
        <v>10.0</v>
      </c>
      <c r="CS10" s="84">
        <v>10.3</v>
      </c>
      <c r="CT10" s="84">
        <v>11.0</v>
      </c>
      <c r="CU10" s="84">
        <v>12.0</v>
      </c>
      <c r="CV10" s="84"/>
      <c r="CW10" s="84"/>
      <c r="CX10" s="84">
        <v>11.0</v>
      </c>
      <c r="CY10" s="84">
        <v>6.3</v>
      </c>
      <c r="CZ10" s="52">
        <v>10.3</v>
      </c>
      <c r="DA10" s="84">
        <v>13.0</v>
      </c>
      <c r="DB10" s="84">
        <v>9.0</v>
      </c>
      <c r="DC10" s="84">
        <v>9.5</v>
      </c>
      <c r="DD10" s="84"/>
      <c r="DE10" s="84">
        <v>6.0</v>
      </c>
      <c r="DF10" s="84">
        <v>11.0</v>
      </c>
      <c r="DG10" s="84">
        <v>10.3</v>
      </c>
      <c r="DH10" s="84">
        <v>10.3</v>
      </c>
      <c r="DI10" s="84">
        <v>8.5</v>
      </c>
      <c r="DJ10" s="84">
        <v>11.45</v>
      </c>
      <c r="DK10" s="84">
        <v>11.0</v>
      </c>
      <c r="DL10" s="85">
        <v>9.0</v>
      </c>
      <c r="DM10" s="85">
        <v>9.0</v>
      </c>
      <c r="DN10" s="85">
        <v>12.0</v>
      </c>
      <c r="DO10" s="85">
        <v>12.0</v>
      </c>
      <c r="DP10" s="85">
        <v>12.0</v>
      </c>
      <c r="DQ10" s="85">
        <v>12.0</v>
      </c>
      <c r="DR10" s="85">
        <v>12.0</v>
      </c>
      <c r="DS10" s="84"/>
      <c r="DT10" s="84"/>
      <c r="DU10" s="84"/>
      <c r="DV10" s="84">
        <v>11.0</v>
      </c>
      <c r="DW10" s="84">
        <v>10.0</v>
      </c>
      <c r="DX10" s="84">
        <v>11.0</v>
      </c>
      <c r="DY10" s="84"/>
      <c r="DZ10" s="84"/>
      <c r="EA10" s="84">
        <v>8.0</v>
      </c>
      <c r="EB10" s="84">
        <v>7.0</v>
      </c>
      <c r="EC10" s="84"/>
      <c r="ED10" s="52">
        <v>9.15</v>
      </c>
      <c r="EE10" s="84">
        <v>6.0</v>
      </c>
      <c r="EF10" s="84">
        <v>8.0</v>
      </c>
      <c r="EG10" s="84"/>
      <c r="EH10" s="84">
        <v>8.0</v>
      </c>
      <c r="EI10" s="84">
        <v>9.5</v>
      </c>
      <c r="EJ10" s="84">
        <v>8.0</v>
      </c>
      <c r="EK10" s="84">
        <v>9.0</v>
      </c>
      <c r="EL10" s="86">
        <v>5.0</v>
      </c>
      <c r="EM10" s="86">
        <v>13.25</v>
      </c>
      <c r="EN10" s="86">
        <v>12.0</v>
      </c>
      <c r="EO10" s="86">
        <v>12.0</v>
      </c>
      <c r="EP10" s="86">
        <v>9.0</v>
      </c>
      <c r="EQ10" s="86">
        <v>9.5</v>
      </c>
      <c r="ER10" s="86">
        <v>8.0</v>
      </c>
      <c r="ES10" s="86">
        <v>9.0</v>
      </c>
      <c r="ET10" s="86">
        <v>9.25</v>
      </c>
      <c r="EU10" s="86"/>
      <c r="EV10" s="86">
        <v>9.2</v>
      </c>
      <c r="EW10" s="86">
        <v>10.0</v>
      </c>
      <c r="EX10" s="86">
        <v>12.0</v>
      </c>
      <c r="EY10" s="86"/>
      <c r="EZ10" s="86"/>
      <c r="FA10" s="86">
        <v>12.0</v>
      </c>
      <c r="FB10" s="86"/>
      <c r="FC10" s="86">
        <v>10.5</v>
      </c>
      <c r="FD10" s="86">
        <v>10.0</v>
      </c>
      <c r="FE10" s="86">
        <v>8.25</v>
      </c>
      <c r="FF10" s="86">
        <v>10.5</v>
      </c>
      <c r="FG10" s="86">
        <v>8.0</v>
      </c>
      <c r="FH10" s="86">
        <v>10.0</v>
      </c>
      <c r="FI10" s="86">
        <v>8.0</v>
      </c>
      <c r="FJ10" s="86">
        <v>5.25</v>
      </c>
      <c r="FK10" s="86">
        <v>7.0</v>
      </c>
      <c r="FL10" s="86">
        <v>9.0</v>
      </c>
      <c r="FM10" s="86">
        <v>9.0</v>
      </c>
      <c r="FN10" s="86">
        <v>9.5</v>
      </c>
      <c r="FO10" s="86">
        <v>10.0</v>
      </c>
      <c r="FP10" s="86">
        <v>8.5</v>
      </c>
      <c r="FQ10" s="87"/>
      <c r="FR10" s="87">
        <v>12.0</v>
      </c>
      <c r="FS10" s="87"/>
      <c r="FT10" s="87">
        <v>10.0</v>
      </c>
      <c r="FU10" s="87">
        <v>10.0</v>
      </c>
      <c r="FV10" s="87">
        <v>10.0</v>
      </c>
      <c r="FW10" s="87">
        <v>8.0</v>
      </c>
      <c r="FX10" s="87">
        <v>11.0</v>
      </c>
      <c r="FY10" s="87">
        <v>12.0</v>
      </c>
      <c r="FZ10" s="87">
        <v>11.0</v>
      </c>
      <c r="GA10" s="87">
        <v>11.0</v>
      </c>
      <c r="GB10" s="87">
        <v>13.0</v>
      </c>
      <c r="GC10" s="87">
        <v>15.0</v>
      </c>
      <c r="GD10" s="87">
        <v>8.0</v>
      </c>
      <c r="GE10" s="87">
        <v>14.0</v>
      </c>
      <c r="GF10" s="87">
        <v>12.0</v>
      </c>
      <c r="GG10" s="87">
        <v>12.0</v>
      </c>
      <c r="GH10" s="87">
        <v>9.0</v>
      </c>
      <c r="GI10" s="87">
        <v>10.5</v>
      </c>
      <c r="GJ10" s="87">
        <v>6.5</v>
      </c>
      <c r="GK10" s="87">
        <v>6.0</v>
      </c>
      <c r="GL10" s="87">
        <v>11.5</v>
      </c>
      <c r="GM10" s="87">
        <v>16.0</v>
      </c>
      <c r="GN10" s="147">
        <v>13.0</v>
      </c>
      <c r="GO10" s="87">
        <v>16.0</v>
      </c>
      <c r="GP10" s="87">
        <v>16.0</v>
      </c>
      <c r="GQ10" s="87">
        <v>12.0</v>
      </c>
      <c r="GR10" s="87">
        <v>18.0</v>
      </c>
      <c r="GS10" s="57">
        <v>15.0</v>
      </c>
      <c r="GT10" s="57">
        <v>11.0</v>
      </c>
      <c r="GU10" s="57">
        <v>6.5</v>
      </c>
      <c r="GV10" s="57">
        <v>9.0</v>
      </c>
      <c r="GW10" s="57">
        <v>10.0</v>
      </c>
      <c r="GX10" s="57">
        <v>17.0</v>
      </c>
      <c r="GY10" s="57" t="s">
        <v>38</v>
      </c>
      <c r="GZ10" s="57" t="s">
        <v>38</v>
      </c>
      <c r="HA10" s="57" t="s">
        <v>38</v>
      </c>
      <c r="HB10" s="57">
        <v>5.0</v>
      </c>
      <c r="HC10" s="57" t="s">
        <v>38</v>
      </c>
      <c r="HD10" s="57" t="s">
        <v>38</v>
      </c>
      <c r="HE10" s="57">
        <v>9.0</v>
      </c>
      <c r="HF10" s="57">
        <v>4.5</v>
      </c>
      <c r="HG10" s="57">
        <v>11.0</v>
      </c>
      <c r="HH10" s="57">
        <v>9.0</v>
      </c>
      <c r="HI10" s="57">
        <v>13.0</v>
      </c>
      <c r="HJ10" s="57">
        <v>6.0</v>
      </c>
      <c r="HK10" s="57">
        <v>11.0</v>
      </c>
      <c r="HL10" s="57">
        <v>10.0</v>
      </c>
      <c r="HM10" s="57">
        <v>7.0</v>
      </c>
      <c r="HN10" s="57">
        <v>6.0</v>
      </c>
      <c r="HO10" s="57">
        <v>12.0</v>
      </c>
      <c r="HP10" s="57">
        <v>10.5</v>
      </c>
      <c r="HQ10" s="57">
        <v>10.0</v>
      </c>
      <c r="HR10" s="57">
        <v>10.5</v>
      </c>
      <c r="HS10" s="57">
        <v>6.5</v>
      </c>
      <c r="HT10" s="57">
        <v>6.5</v>
      </c>
      <c r="HU10" s="57" t="s">
        <v>32</v>
      </c>
      <c r="HV10" s="57">
        <v>5.5</v>
      </c>
      <c r="HW10" s="57" t="s">
        <v>32</v>
      </c>
      <c r="HX10" s="58">
        <v>0.0</v>
      </c>
      <c r="HY10" s="58">
        <v>10.0</v>
      </c>
      <c r="HZ10" s="58"/>
      <c r="IA10" s="58">
        <v>8.0</v>
      </c>
      <c r="IB10" s="58">
        <v>11.5</v>
      </c>
      <c r="IC10" s="58">
        <v>9.5</v>
      </c>
      <c r="ID10" s="58">
        <v>8.0</v>
      </c>
      <c r="IE10" s="58">
        <v>14.0</v>
      </c>
      <c r="IF10" s="58">
        <v>13.0</v>
      </c>
      <c r="IG10" s="58">
        <v>11.5</v>
      </c>
      <c r="IH10" s="58">
        <v>11.0</v>
      </c>
      <c r="II10" s="58">
        <v>6.5</v>
      </c>
      <c r="IJ10" s="58">
        <v>0.0</v>
      </c>
      <c r="IK10" s="58">
        <v>13.0</v>
      </c>
      <c r="IL10" s="58">
        <v>11.5</v>
      </c>
      <c r="IM10" s="58">
        <v>12.0</v>
      </c>
      <c r="IN10" s="58">
        <v>14.0</v>
      </c>
      <c r="IO10" s="58">
        <v>9.5</v>
      </c>
      <c r="IP10" s="58">
        <v>0.0</v>
      </c>
      <c r="IQ10" s="58">
        <v>5.5</v>
      </c>
      <c r="IR10" s="58">
        <v>4.5</v>
      </c>
      <c r="IS10" s="58">
        <v>15.5</v>
      </c>
      <c r="IT10" s="58">
        <v>10.0</v>
      </c>
      <c r="IU10" s="58">
        <v>10.0</v>
      </c>
      <c r="IV10" s="58">
        <v>17.5</v>
      </c>
      <c r="IW10" s="58">
        <v>20.5</v>
      </c>
      <c r="IX10" s="58">
        <v>17.5</v>
      </c>
      <c r="IY10" s="58">
        <v>17.5</v>
      </c>
      <c r="IZ10" s="58">
        <v>8.0</v>
      </c>
      <c r="JA10" s="58">
        <v>7.5</v>
      </c>
      <c r="JB10" s="61"/>
      <c r="JC10" s="62">
        <v>10.0</v>
      </c>
      <c r="JD10" s="62"/>
      <c r="JE10" s="62"/>
      <c r="JF10" s="62">
        <v>15.0</v>
      </c>
      <c r="JG10" s="62">
        <v>17.0</v>
      </c>
      <c r="JH10" s="62">
        <v>14.5</v>
      </c>
      <c r="JI10" s="62">
        <v>11.0</v>
      </c>
      <c r="JJ10" s="62">
        <v>8.5</v>
      </c>
      <c r="JK10" s="62">
        <v>9.0</v>
      </c>
      <c r="JL10" s="62">
        <v>16.5</v>
      </c>
      <c r="JM10" s="62">
        <v>16.5</v>
      </c>
      <c r="JN10" s="62">
        <v>11.0</v>
      </c>
      <c r="JO10" s="62">
        <v>10.5</v>
      </c>
      <c r="JP10" s="62">
        <v>11.0</v>
      </c>
      <c r="JQ10" s="62">
        <v>10.5</v>
      </c>
      <c r="JR10" s="62">
        <v>11.0</v>
      </c>
      <c r="JS10" s="62">
        <v>9.75</v>
      </c>
      <c r="JT10" s="62">
        <v>10.25</v>
      </c>
      <c r="JU10" s="62">
        <v>14.0</v>
      </c>
      <c r="JV10" s="62">
        <v>14.5</v>
      </c>
      <c r="JW10" s="62">
        <v>12.75</v>
      </c>
      <c r="JX10" s="62">
        <v>11.0</v>
      </c>
      <c r="JY10" s="62">
        <v>5.5</v>
      </c>
      <c r="JZ10" s="62">
        <v>13.5</v>
      </c>
      <c r="KA10" s="62">
        <v>13.0</v>
      </c>
      <c r="KB10" s="62">
        <v>11.5</v>
      </c>
      <c r="KC10" s="62">
        <v>13.0</v>
      </c>
      <c r="KD10" s="62">
        <v>12.0</v>
      </c>
      <c r="KE10" s="62">
        <v>7.0</v>
      </c>
      <c r="KF10" s="62">
        <v>11.5</v>
      </c>
      <c r="KG10" s="65">
        <v>10.0</v>
      </c>
      <c r="KH10" s="66"/>
      <c r="KI10" s="67">
        <v>13.0</v>
      </c>
      <c r="KJ10" s="68">
        <v>11.0</v>
      </c>
      <c r="KK10" s="67">
        <v>11.0</v>
      </c>
      <c r="KL10" s="67">
        <v>16.5</v>
      </c>
      <c r="KM10" s="67">
        <v>7.0</v>
      </c>
      <c r="KN10" s="67">
        <v>9.0</v>
      </c>
      <c r="KO10" s="67">
        <v>9.0</v>
      </c>
      <c r="KP10" s="67">
        <v>4.75</v>
      </c>
      <c r="KQ10" s="67">
        <v>10.0</v>
      </c>
      <c r="KR10" s="67" t="s">
        <v>32</v>
      </c>
      <c r="KS10" s="67">
        <v>12.0</v>
      </c>
      <c r="KT10" s="67">
        <v>4.0</v>
      </c>
      <c r="KU10" s="67">
        <v>3.75</v>
      </c>
      <c r="KV10" s="67">
        <v>13.5</v>
      </c>
      <c r="KW10" s="67" t="s">
        <v>32</v>
      </c>
      <c r="KX10" s="67">
        <v>11.0</v>
      </c>
      <c r="KY10" s="67">
        <v>12.5</v>
      </c>
      <c r="KZ10" s="67">
        <v>10.75</v>
      </c>
      <c r="LA10" s="67">
        <v>14.5</v>
      </c>
      <c r="LB10" s="67">
        <v>15.0</v>
      </c>
      <c r="LC10" s="67">
        <v>5.0</v>
      </c>
      <c r="LD10" s="67">
        <v>4.45</v>
      </c>
      <c r="LE10" s="67">
        <v>11.0</v>
      </c>
      <c r="LF10" s="67">
        <v>8.0</v>
      </c>
      <c r="LG10" s="67">
        <v>10.0</v>
      </c>
      <c r="LH10" s="67">
        <v>8.0</v>
      </c>
      <c r="LI10" s="67">
        <v>9.0</v>
      </c>
      <c r="LJ10" s="67">
        <v>8.0</v>
      </c>
      <c r="LK10" s="67">
        <v>5.0</v>
      </c>
      <c r="LL10" s="67">
        <v>2.0</v>
      </c>
      <c r="LM10" s="67">
        <v>15.0</v>
      </c>
      <c r="LN10" s="66"/>
      <c r="LO10" s="67">
        <v>6.25</v>
      </c>
      <c r="LP10" s="67">
        <v>4.0</v>
      </c>
      <c r="LQ10" s="67">
        <v>8.0</v>
      </c>
      <c r="LR10" s="67"/>
      <c r="LS10" s="67"/>
      <c r="LT10" s="67"/>
      <c r="LU10" s="67">
        <v>8.0</v>
      </c>
      <c r="LV10" s="67">
        <v>8.0</v>
      </c>
      <c r="LW10" s="67">
        <v>8.0</v>
      </c>
      <c r="LX10" s="67">
        <v>9.0</v>
      </c>
      <c r="LY10" s="67"/>
      <c r="LZ10" s="67">
        <v>9.0</v>
      </c>
      <c r="MA10" s="67"/>
      <c r="MB10" s="67"/>
      <c r="MC10" s="67"/>
      <c r="MD10" s="67"/>
      <c r="ME10" s="67"/>
      <c r="MF10" s="67"/>
      <c r="MG10" s="67"/>
      <c r="MH10" s="67"/>
      <c r="MI10" s="67"/>
      <c r="MJ10" s="67"/>
      <c r="MK10" s="67"/>
      <c r="ML10" s="67"/>
      <c r="MM10" s="67"/>
      <c r="MN10" s="67"/>
      <c r="MO10" s="67"/>
      <c r="MP10" s="67"/>
      <c r="MQ10" s="67"/>
      <c r="MR10" s="70"/>
      <c r="MS10" s="70"/>
      <c r="MT10" s="106"/>
      <c r="MU10" s="73"/>
      <c r="MV10" s="73"/>
      <c r="MW10" s="73"/>
      <c r="MX10" s="73"/>
      <c r="MY10" s="73"/>
      <c r="MZ10" s="73"/>
      <c r="NA10" s="73"/>
      <c r="NB10" s="73"/>
      <c r="NC10" s="73"/>
      <c r="ND10" s="73">
        <v>1.5</v>
      </c>
      <c r="NE10" s="73">
        <v>5.5</v>
      </c>
      <c r="NF10" s="73">
        <v>0.5</v>
      </c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107"/>
      <c r="OA10" s="108"/>
      <c r="OB10" s="108"/>
      <c r="OC10" s="109"/>
      <c r="OD10" s="78"/>
      <c r="OE10" s="78"/>
      <c r="OF10" s="78"/>
      <c r="OG10" s="78"/>
      <c r="OH10" s="78"/>
      <c r="OI10" s="78"/>
      <c r="OJ10" s="78"/>
      <c r="OK10" s="78"/>
      <c r="OL10" s="78"/>
    </row>
    <row r="11" ht="30.0" customHeight="1">
      <c r="A11" s="100"/>
      <c r="B11" s="48" t="s">
        <v>24</v>
      </c>
      <c r="C11" s="49">
        <f t="shared" si="1"/>
        <v>52</v>
      </c>
      <c r="D11" s="48">
        <f t="shared" si="2"/>
        <v>13.75</v>
      </c>
      <c r="E11" s="50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2"/>
      <c r="BV11" s="51"/>
      <c r="BW11" s="51"/>
      <c r="BX11" s="51"/>
      <c r="BY11" s="51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4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4"/>
      <c r="EE11" s="53"/>
      <c r="EF11" s="53"/>
      <c r="EG11" s="53"/>
      <c r="EH11" s="53"/>
      <c r="EI11" s="53"/>
      <c r="EJ11" s="53"/>
      <c r="EK11" s="53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  <c r="HC11" s="148"/>
      <c r="HD11" s="148"/>
      <c r="HE11" s="148"/>
      <c r="HF11" s="148"/>
      <c r="HG11" s="148"/>
      <c r="HH11" s="148"/>
      <c r="HI11" s="148"/>
      <c r="HJ11" s="148"/>
      <c r="HK11" s="148"/>
      <c r="HL11" s="148"/>
      <c r="HM11" s="148"/>
      <c r="HN11" s="148"/>
      <c r="HO11" s="148"/>
      <c r="HP11" s="148"/>
      <c r="HQ11" s="148"/>
      <c r="HR11" s="148"/>
      <c r="HS11" s="148"/>
      <c r="HT11" s="148"/>
      <c r="HU11" s="148"/>
      <c r="HV11" s="148"/>
      <c r="HW11" s="148"/>
      <c r="HX11" s="58"/>
      <c r="HY11" s="58">
        <v>11.0</v>
      </c>
      <c r="HZ11" s="58">
        <v>9.5</v>
      </c>
      <c r="IA11" s="58">
        <v>6.5</v>
      </c>
      <c r="IB11" s="58">
        <v>16.0</v>
      </c>
      <c r="IC11" s="58">
        <v>10.0</v>
      </c>
      <c r="ID11" s="58">
        <v>18.0</v>
      </c>
      <c r="IE11" s="58">
        <v>4.0</v>
      </c>
      <c r="IF11" s="58"/>
      <c r="IG11" s="58"/>
      <c r="IH11" s="58"/>
      <c r="II11" s="58">
        <v>8.5</v>
      </c>
      <c r="IJ11" s="58">
        <v>4.5</v>
      </c>
      <c r="IK11" s="58">
        <v>9.0</v>
      </c>
      <c r="IL11" s="58">
        <v>10.5</v>
      </c>
      <c r="IM11" s="58">
        <v>9.5</v>
      </c>
      <c r="IN11" s="58">
        <v>11.0</v>
      </c>
      <c r="IO11" s="58">
        <v>9.5</v>
      </c>
      <c r="IP11" s="58"/>
      <c r="IQ11" s="58">
        <v>9.0</v>
      </c>
      <c r="IR11" s="58">
        <v>10.0</v>
      </c>
      <c r="IS11" s="58">
        <v>9.5</v>
      </c>
      <c r="IT11" s="58">
        <v>10.0</v>
      </c>
      <c r="IU11" s="58">
        <v>17.0</v>
      </c>
      <c r="IV11" s="58">
        <v>7.5</v>
      </c>
      <c r="IW11" s="58">
        <v>12.5</v>
      </c>
      <c r="IX11" s="58">
        <v>8.0</v>
      </c>
      <c r="IY11" s="58">
        <v>14.5</v>
      </c>
      <c r="IZ11" s="58">
        <v>9.0</v>
      </c>
      <c r="JA11" s="58">
        <v>8.0</v>
      </c>
      <c r="JB11" s="61"/>
      <c r="JC11" s="62">
        <v>5.0</v>
      </c>
      <c r="JD11" s="62">
        <v>10.5</v>
      </c>
      <c r="JE11" s="62">
        <v>6.5</v>
      </c>
      <c r="JF11" s="62"/>
      <c r="JG11" s="62">
        <v>14.25</v>
      </c>
      <c r="JH11" s="62">
        <v>12.5</v>
      </c>
      <c r="JI11" s="62">
        <v>9.75</v>
      </c>
      <c r="JJ11" s="62">
        <v>8.0</v>
      </c>
      <c r="JK11" s="149"/>
      <c r="JL11" s="62">
        <v>10.5</v>
      </c>
      <c r="JM11" s="62">
        <v>10.0</v>
      </c>
      <c r="JN11" s="62">
        <v>8.0</v>
      </c>
      <c r="JO11" s="62">
        <v>15.5</v>
      </c>
      <c r="JP11" s="149"/>
      <c r="JQ11" s="62">
        <v>6.5</v>
      </c>
      <c r="JR11" s="62">
        <v>10.0</v>
      </c>
      <c r="JS11" s="62">
        <v>9.25</v>
      </c>
      <c r="JT11" s="62">
        <v>6.0</v>
      </c>
      <c r="JU11" s="62">
        <v>4.0</v>
      </c>
      <c r="JV11" s="62">
        <v>9.0</v>
      </c>
      <c r="JW11" s="62">
        <v>9.0</v>
      </c>
      <c r="JX11" s="62">
        <v>6.0</v>
      </c>
      <c r="JY11" s="62">
        <v>6.0</v>
      </c>
      <c r="JZ11" s="62">
        <v>7.0</v>
      </c>
      <c r="KA11" s="62">
        <v>10.0</v>
      </c>
      <c r="KB11" s="62">
        <v>9.5</v>
      </c>
      <c r="KC11" s="62">
        <v>10.0</v>
      </c>
      <c r="KD11" s="62">
        <v>10.0</v>
      </c>
      <c r="KE11" s="149"/>
      <c r="KF11" s="149"/>
      <c r="KG11" s="150"/>
      <c r="KH11" s="151"/>
      <c r="KI11" s="67">
        <v>10.5</v>
      </c>
      <c r="KJ11" s="68">
        <v>8.5</v>
      </c>
      <c r="KK11" s="67">
        <v>10.0</v>
      </c>
      <c r="KL11" s="67">
        <v>12.0</v>
      </c>
      <c r="KM11" s="67">
        <v>19.0</v>
      </c>
      <c r="KN11" s="67">
        <v>7.0</v>
      </c>
      <c r="KO11" s="67">
        <v>7.0</v>
      </c>
      <c r="KP11" s="67">
        <v>6.0</v>
      </c>
      <c r="KQ11" s="67">
        <v>11.5</v>
      </c>
      <c r="KR11" s="67">
        <v>12.0</v>
      </c>
      <c r="KS11" s="67">
        <v>4.5</v>
      </c>
      <c r="KT11" s="67">
        <v>7.0</v>
      </c>
      <c r="KU11" s="67">
        <v>9.5</v>
      </c>
      <c r="KV11" s="67">
        <v>1.5</v>
      </c>
      <c r="KW11" s="67" t="s">
        <v>32</v>
      </c>
      <c r="KX11" s="67">
        <v>11.0</v>
      </c>
      <c r="KY11" s="67">
        <v>6.0</v>
      </c>
      <c r="KZ11" s="67">
        <v>6.0</v>
      </c>
      <c r="LA11" s="67" t="s">
        <v>32</v>
      </c>
      <c r="LB11" s="67">
        <v>11.0</v>
      </c>
      <c r="LC11" s="67">
        <v>6.0</v>
      </c>
      <c r="LD11" s="67">
        <v>6.0</v>
      </c>
      <c r="LE11" s="67">
        <v>8.0</v>
      </c>
      <c r="LF11" s="67" t="s">
        <v>32</v>
      </c>
      <c r="LG11" s="67" t="s">
        <v>32</v>
      </c>
      <c r="LH11" s="67">
        <v>11.5</v>
      </c>
      <c r="LI11" s="67">
        <v>1.0</v>
      </c>
      <c r="LJ11" s="67">
        <v>6.5</v>
      </c>
      <c r="LK11" s="67" t="s">
        <v>32</v>
      </c>
      <c r="LL11" s="67" t="s">
        <v>32</v>
      </c>
      <c r="LM11" s="67">
        <v>21.0</v>
      </c>
      <c r="LN11" s="151"/>
      <c r="LO11" s="67">
        <v>3.0</v>
      </c>
      <c r="LP11" s="67">
        <v>5.0</v>
      </c>
      <c r="LQ11" s="67"/>
      <c r="LR11" s="67"/>
      <c r="LS11" s="67"/>
      <c r="LT11" s="67"/>
      <c r="LU11" s="67">
        <v>9.0</v>
      </c>
      <c r="LV11" s="67">
        <v>8.0</v>
      </c>
      <c r="LW11" s="67">
        <v>9.0</v>
      </c>
      <c r="LX11" s="67">
        <v>9.0</v>
      </c>
      <c r="LY11" s="67"/>
      <c r="LZ11" s="67"/>
      <c r="MA11" s="67"/>
      <c r="MB11" s="67">
        <v>9.0</v>
      </c>
      <c r="MC11" s="67"/>
      <c r="MD11" s="67"/>
      <c r="ME11" s="67"/>
      <c r="MF11" s="67"/>
      <c r="MG11" s="67"/>
      <c r="MH11" s="67"/>
      <c r="MI11" s="67"/>
      <c r="MJ11" s="67"/>
      <c r="MK11" s="67"/>
      <c r="ML11" s="67"/>
      <c r="MM11" s="67"/>
      <c r="MN11" s="67"/>
      <c r="MO11" s="67"/>
      <c r="MP11" s="67"/>
      <c r="MQ11" s="67"/>
      <c r="MR11" s="67"/>
      <c r="MS11" s="67"/>
      <c r="MT11" s="106"/>
      <c r="MU11" s="73"/>
      <c r="MV11" s="73"/>
      <c r="MW11" s="73"/>
      <c r="MX11" s="73"/>
      <c r="MY11" s="73"/>
      <c r="MZ11" s="73"/>
      <c r="NA11" s="73"/>
      <c r="NB11" s="73"/>
      <c r="NC11" s="73">
        <v>2.0</v>
      </c>
      <c r="ND11" s="73"/>
      <c r="NE11" s="73">
        <v>10.5</v>
      </c>
      <c r="NF11" s="73"/>
      <c r="NG11" s="73"/>
      <c r="NH11" s="73">
        <v>1.25</v>
      </c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152"/>
      <c r="OA11" s="153"/>
      <c r="OB11" s="153"/>
      <c r="OC11" s="154"/>
      <c r="OD11" s="155"/>
      <c r="OE11" s="155"/>
      <c r="OF11" s="155"/>
      <c r="OG11" s="155"/>
      <c r="OH11" s="155"/>
      <c r="OI11" s="155"/>
      <c r="OJ11" s="155"/>
      <c r="OK11" s="155"/>
      <c r="OL11" s="155"/>
    </row>
    <row r="12" ht="30.0" customHeight="1">
      <c r="A12" s="156"/>
      <c r="B12" s="157" t="s">
        <v>40</v>
      </c>
      <c r="C12" s="49">
        <f t="shared" si="1"/>
        <v>51.4</v>
      </c>
      <c r="D12" s="48">
        <f t="shared" si="2"/>
        <v>4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9"/>
      <c r="BV12" s="158"/>
      <c r="BW12" s="158"/>
      <c r="BX12" s="158"/>
      <c r="BY12" s="158"/>
      <c r="BZ12" s="160"/>
      <c r="CA12" s="160"/>
      <c r="CB12" s="160"/>
      <c r="CC12" s="160"/>
      <c r="CD12" s="160"/>
      <c r="CE12" s="160"/>
      <c r="CF12" s="160"/>
      <c r="CG12" s="160"/>
      <c r="CH12" s="160"/>
      <c r="CI12" s="160"/>
      <c r="CJ12" s="160"/>
      <c r="CK12" s="160"/>
      <c r="CL12" s="160"/>
      <c r="CM12" s="160"/>
      <c r="CN12" s="160"/>
      <c r="CO12" s="160"/>
      <c r="CP12" s="160"/>
      <c r="CQ12" s="160"/>
      <c r="CR12" s="160"/>
      <c r="CS12" s="160"/>
      <c r="CT12" s="160"/>
      <c r="CU12" s="160"/>
      <c r="CV12" s="160"/>
      <c r="CW12" s="160"/>
      <c r="CX12" s="160"/>
      <c r="CY12" s="160"/>
      <c r="CZ12" s="161"/>
      <c r="DA12" s="160"/>
      <c r="DB12" s="160"/>
      <c r="DC12" s="160"/>
      <c r="DD12" s="160"/>
      <c r="DE12" s="160"/>
      <c r="DF12" s="160"/>
      <c r="DG12" s="160"/>
      <c r="DH12" s="160"/>
      <c r="DI12" s="160"/>
      <c r="DJ12" s="160"/>
      <c r="DK12" s="160"/>
      <c r="DL12" s="160"/>
      <c r="DM12" s="160"/>
      <c r="DN12" s="160"/>
      <c r="DO12" s="160"/>
      <c r="DP12" s="160"/>
      <c r="DQ12" s="160"/>
      <c r="DR12" s="160"/>
      <c r="DS12" s="160"/>
      <c r="DT12" s="160"/>
      <c r="DU12" s="160"/>
      <c r="DV12" s="160"/>
      <c r="DW12" s="160"/>
      <c r="DX12" s="160"/>
      <c r="DY12" s="160"/>
      <c r="DZ12" s="160"/>
      <c r="EA12" s="160"/>
      <c r="EB12" s="160"/>
      <c r="EC12" s="160"/>
      <c r="ED12" s="161"/>
      <c r="EE12" s="160"/>
      <c r="EF12" s="160"/>
      <c r="EG12" s="160"/>
      <c r="EH12" s="160"/>
      <c r="EI12" s="160"/>
      <c r="EJ12" s="160"/>
      <c r="EK12" s="160"/>
      <c r="EL12" s="162"/>
      <c r="EM12" s="162"/>
      <c r="EN12" s="162"/>
      <c r="EO12" s="162"/>
      <c r="EP12" s="162"/>
      <c r="EQ12" s="162"/>
      <c r="ER12" s="162"/>
      <c r="ES12" s="162"/>
      <c r="ET12" s="162"/>
      <c r="EU12" s="162"/>
      <c r="EV12" s="162"/>
      <c r="EW12" s="162"/>
      <c r="EX12" s="162"/>
      <c r="EY12" s="162"/>
      <c r="EZ12" s="162"/>
      <c r="FA12" s="162"/>
      <c r="FB12" s="162"/>
      <c r="FC12" s="162"/>
      <c r="FD12" s="162"/>
      <c r="FE12" s="162"/>
      <c r="FF12" s="162"/>
      <c r="FG12" s="162"/>
      <c r="FH12" s="162"/>
      <c r="FI12" s="162"/>
      <c r="FJ12" s="162"/>
      <c r="FK12" s="162"/>
      <c r="FL12" s="162"/>
      <c r="FM12" s="162"/>
      <c r="FN12" s="162"/>
      <c r="FO12" s="162"/>
      <c r="FP12" s="162"/>
      <c r="FQ12" s="160"/>
      <c r="FR12" s="160"/>
      <c r="FS12" s="160"/>
      <c r="FT12" s="160"/>
      <c r="FU12" s="160"/>
      <c r="FV12" s="160"/>
      <c r="FW12" s="160"/>
      <c r="FX12" s="160"/>
      <c r="FY12" s="160"/>
      <c r="FZ12" s="160"/>
      <c r="GA12" s="160"/>
      <c r="GB12" s="160"/>
      <c r="GC12" s="160"/>
      <c r="GD12" s="160"/>
      <c r="GE12" s="160"/>
      <c r="GF12" s="160"/>
      <c r="GG12" s="160"/>
      <c r="GH12" s="160"/>
      <c r="GI12" s="160"/>
      <c r="GJ12" s="160"/>
      <c r="GK12" s="160"/>
      <c r="GL12" s="160"/>
      <c r="GM12" s="160"/>
      <c r="GN12" s="160"/>
      <c r="GO12" s="160"/>
      <c r="GP12" s="160"/>
      <c r="GQ12" s="160"/>
      <c r="GR12" s="160"/>
      <c r="GS12" s="160"/>
      <c r="GT12" s="160"/>
      <c r="GU12" s="160"/>
      <c r="GV12" s="160"/>
      <c r="GW12" s="160"/>
      <c r="GX12" s="160"/>
      <c r="GY12" s="160"/>
      <c r="GZ12" s="160"/>
      <c r="HA12" s="160"/>
      <c r="HB12" s="160"/>
      <c r="HC12" s="160"/>
      <c r="HD12" s="160"/>
      <c r="HE12" s="160"/>
      <c r="HF12" s="160"/>
      <c r="HG12" s="160"/>
      <c r="HH12" s="160"/>
      <c r="HI12" s="160"/>
      <c r="HJ12" s="160"/>
      <c r="HK12" s="160"/>
      <c r="HL12" s="160"/>
      <c r="HM12" s="160"/>
      <c r="HN12" s="160"/>
      <c r="HO12" s="160"/>
      <c r="HP12" s="160"/>
      <c r="HQ12" s="160"/>
      <c r="HR12" s="160"/>
      <c r="HS12" s="160"/>
      <c r="HT12" s="160"/>
      <c r="HU12" s="160"/>
      <c r="HV12" s="160"/>
      <c r="HW12" s="160"/>
      <c r="HX12" s="163"/>
      <c r="HY12" s="163"/>
      <c r="HZ12" s="163"/>
      <c r="IA12" s="163"/>
      <c r="IB12" s="163"/>
      <c r="IC12" s="163"/>
      <c r="ID12" s="163"/>
      <c r="IE12" s="163"/>
      <c r="IF12" s="163"/>
      <c r="IG12" s="163"/>
      <c r="IH12" s="163"/>
      <c r="II12" s="163"/>
      <c r="IJ12" s="163"/>
      <c r="IK12" s="163"/>
      <c r="IL12" s="163"/>
      <c r="IM12" s="163"/>
      <c r="IN12" s="163"/>
      <c r="IO12" s="163"/>
      <c r="IP12" s="163"/>
      <c r="IQ12" s="163"/>
      <c r="IR12" s="163"/>
      <c r="IS12" s="163"/>
      <c r="IT12" s="163"/>
      <c r="IU12" s="163"/>
      <c r="IV12" s="163"/>
      <c r="IW12" s="163"/>
      <c r="IX12" s="163"/>
      <c r="IY12" s="163"/>
      <c r="IZ12" s="163"/>
      <c r="JA12" s="163"/>
      <c r="JB12" s="164"/>
      <c r="JC12" s="165"/>
      <c r="JD12" s="165"/>
      <c r="JE12" s="165"/>
      <c r="JF12" s="165"/>
      <c r="JG12" s="165"/>
      <c r="JH12" s="165"/>
      <c r="JI12" s="165"/>
      <c r="JJ12" s="165"/>
      <c r="JK12" s="166"/>
      <c r="JL12" s="165"/>
      <c r="JM12" s="165"/>
      <c r="JN12" s="165"/>
      <c r="JO12" s="165"/>
      <c r="JP12" s="166"/>
      <c r="JQ12" s="165"/>
      <c r="JR12" s="165"/>
      <c r="JS12" s="165"/>
      <c r="JT12" s="165"/>
      <c r="JU12" s="165"/>
      <c r="JV12" s="165"/>
      <c r="JW12" s="165"/>
      <c r="JX12" s="165"/>
      <c r="JY12" s="165"/>
      <c r="JZ12" s="165"/>
      <c r="KA12" s="165"/>
      <c r="KB12" s="165"/>
      <c r="KC12" s="165"/>
      <c r="KD12" s="165"/>
      <c r="KE12" s="166"/>
      <c r="KF12" s="166"/>
      <c r="KG12" s="166"/>
      <c r="KH12" s="151"/>
      <c r="KI12" s="167"/>
      <c r="KJ12" s="168"/>
      <c r="KK12" s="167"/>
      <c r="KL12" s="167"/>
      <c r="KM12" s="167"/>
      <c r="KN12" s="167"/>
      <c r="KO12" s="167"/>
      <c r="KP12" s="167"/>
      <c r="KQ12" s="167"/>
      <c r="KR12" s="167"/>
      <c r="KS12" s="167"/>
      <c r="KT12" s="167"/>
      <c r="KU12" s="167"/>
      <c r="KV12" s="167"/>
      <c r="KW12" s="167"/>
      <c r="KX12" s="167"/>
      <c r="KY12" s="167"/>
      <c r="KZ12" s="167"/>
      <c r="LA12" s="167"/>
      <c r="LB12" s="167"/>
      <c r="LC12" s="167"/>
      <c r="LD12" s="167"/>
      <c r="LE12" s="167"/>
      <c r="LF12" s="167"/>
      <c r="LG12" s="167"/>
      <c r="LH12" s="167"/>
      <c r="LI12" s="167"/>
      <c r="LJ12" s="167"/>
      <c r="LK12" s="167"/>
      <c r="LL12" s="167"/>
      <c r="LM12" s="167"/>
      <c r="LN12" s="151"/>
      <c r="LO12" s="67"/>
      <c r="LP12" s="67"/>
      <c r="LQ12" s="67"/>
      <c r="LR12" s="67"/>
      <c r="LS12" s="67"/>
      <c r="LT12" s="67"/>
      <c r="LU12" s="67">
        <v>7.1</v>
      </c>
      <c r="LV12" s="67">
        <v>7.1</v>
      </c>
      <c r="LW12" s="67">
        <v>7.1</v>
      </c>
      <c r="LX12" s="67">
        <v>7.5</v>
      </c>
      <c r="LY12" s="67"/>
      <c r="LZ12" s="67">
        <v>7.6</v>
      </c>
      <c r="MA12" s="67">
        <v>7.5</v>
      </c>
      <c r="MB12" s="67">
        <v>7.5</v>
      </c>
      <c r="MC12" s="67"/>
      <c r="MD12" s="67"/>
      <c r="ME12" s="67"/>
      <c r="MF12" s="67"/>
      <c r="MG12" s="67"/>
      <c r="MH12" s="67"/>
      <c r="MI12" s="67"/>
      <c r="MJ12" s="67"/>
      <c r="MK12" s="67"/>
      <c r="ML12" s="67"/>
      <c r="MM12" s="67"/>
      <c r="MN12" s="67"/>
      <c r="MO12" s="67"/>
      <c r="MP12" s="67"/>
      <c r="MQ12" s="67"/>
      <c r="MR12" s="67"/>
      <c r="MS12" s="67"/>
      <c r="MT12" s="106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>
        <v>4.0</v>
      </c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169"/>
      <c r="OA12" s="170"/>
      <c r="OB12" s="170"/>
      <c r="OC12" s="170"/>
      <c r="OD12" s="170"/>
      <c r="OE12" s="170"/>
      <c r="OF12" s="170"/>
      <c r="OG12" s="170"/>
      <c r="OH12" s="170"/>
      <c r="OI12" s="170"/>
      <c r="OJ12" s="170"/>
      <c r="OK12" s="170"/>
      <c r="OL12" s="170"/>
    </row>
    <row r="13" ht="30.0" customHeight="1">
      <c r="A13" s="156"/>
      <c r="B13" s="171" t="s">
        <v>41</v>
      </c>
      <c r="C13" s="49">
        <f t="shared" si="1"/>
        <v>22.7</v>
      </c>
      <c r="D13" s="48">
        <f t="shared" si="2"/>
        <v>9.5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9"/>
      <c r="BV13" s="158"/>
      <c r="BW13" s="158"/>
      <c r="BX13" s="158"/>
      <c r="BY13" s="158"/>
      <c r="BZ13" s="160"/>
      <c r="CA13" s="160"/>
      <c r="CB13" s="160"/>
      <c r="CC13" s="160"/>
      <c r="CD13" s="160"/>
      <c r="CE13" s="160"/>
      <c r="CF13" s="160"/>
      <c r="CG13" s="160"/>
      <c r="CH13" s="160"/>
      <c r="CI13" s="160"/>
      <c r="CJ13" s="160"/>
      <c r="CK13" s="160"/>
      <c r="CL13" s="160"/>
      <c r="CM13" s="160"/>
      <c r="CN13" s="160"/>
      <c r="CO13" s="160"/>
      <c r="CP13" s="160"/>
      <c r="CQ13" s="160"/>
      <c r="CR13" s="160"/>
      <c r="CS13" s="160"/>
      <c r="CT13" s="160"/>
      <c r="CU13" s="160"/>
      <c r="CV13" s="160"/>
      <c r="CW13" s="160"/>
      <c r="CX13" s="160"/>
      <c r="CY13" s="160"/>
      <c r="CZ13" s="161"/>
      <c r="DA13" s="160"/>
      <c r="DB13" s="160"/>
      <c r="DC13" s="160"/>
      <c r="DD13" s="160"/>
      <c r="DE13" s="160"/>
      <c r="DF13" s="160"/>
      <c r="DG13" s="160"/>
      <c r="DH13" s="160"/>
      <c r="DI13" s="160"/>
      <c r="DJ13" s="160"/>
      <c r="DK13" s="160"/>
      <c r="DL13" s="160"/>
      <c r="DM13" s="160"/>
      <c r="DN13" s="160"/>
      <c r="DO13" s="160"/>
      <c r="DP13" s="160"/>
      <c r="DQ13" s="160"/>
      <c r="DR13" s="160"/>
      <c r="DS13" s="160"/>
      <c r="DT13" s="160"/>
      <c r="DU13" s="160"/>
      <c r="DV13" s="160"/>
      <c r="DW13" s="160"/>
      <c r="DX13" s="160"/>
      <c r="DY13" s="160"/>
      <c r="DZ13" s="160"/>
      <c r="EA13" s="160"/>
      <c r="EB13" s="160"/>
      <c r="EC13" s="160"/>
      <c r="ED13" s="161"/>
      <c r="EE13" s="160"/>
      <c r="EF13" s="160"/>
      <c r="EG13" s="160"/>
      <c r="EH13" s="160"/>
      <c r="EI13" s="160"/>
      <c r="EJ13" s="160"/>
      <c r="EK13" s="160"/>
      <c r="EL13" s="162"/>
      <c r="EM13" s="162"/>
      <c r="EN13" s="162"/>
      <c r="EO13" s="162"/>
      <c r="EP13" s="162"/>
      <c r="EQ13" s="162"/>
      <c r="ER13" s="162"/>
      <c r="ES13" s="162"/>
      <c r="ET13" s="162"/>
      <c r="EU13" s="162"/>
      <c r="EV13" s="162"/>
      <c r="EW13" s="162"/>
      <c r="EX13" s="162"/>
      <c r="EY13" s="162"/>
      <c r="EZ13" s="162"/>
      <c r="FA13" s="162"/>
      <c r="FB13" s="162"/>
      <c r="FC13" s="162"/>
      <c r="FD13" s="162"/>
      <c r="FE13" s="162"/>
      <c r="FF13" s="162"/>
      <c r="FG13" s="162"/>
      <c r="FH13" s="162"/>
      <c r="FI13" s="162"/>
      <c r="FJ13" s="162"/>
      <c r="FK13" s="162"/>
      <c r="FL13" s="162"/>
      <c r="FM13" s="162"/>
      <c r="FN13" s="162"/>
      <c r="FO13" s="162"/>
      <c r="FP13" s="162"/>
      <c r="FQ13" s="160"/>
      <c r="FR13" s="160"/>
      <c r="FS13" s="160"/>
      <c r="FT13" s="160"/>
      <c r="FU13" s="160"/>
      <c r="FV13" s="160"/>
      <c r="FW13" s="160"/>
      <c r="FX13" s="160"/>
      <c r="FY13" s="160"/>
      <c r="FZ13" s="160"/>
      <c r="GA13" s="160"/>
      <c r="GB13" s="160"/>
      <c r="GC13" s="160"/>
      <c r="GD13" s="160"/>
      <c r="GE13" s="160"/>
      <c r="GF13" s="160"/>
      <c r="GG13" s="160"/>
      <c r="GH13" s="160"/>
      <c r="GI13" s="160"/>
      <c r="GJ13" s="160"/>
      <c r="GK13" s="160"/>
      <c r="GL13" s="160"/>
      <c r="GM13" s="160"/>
      <c r="GN13" s="160"/>
      <c r="GO13" s="160"/>
      <c r="GP13" s="160"/>
      <c r="GQ13" s="160"/>
      <c r="GR13" s="160"/>
      <c r="GS13" s="160"/>
      <c r="GT13" s="160"/>
      <c r="GU13" s="160"/>
      <c r="GV13" s="160"/>
      <c r="GW13" s="160"/>
      <c r="GX13" s="160"/>
      <c r="GY13" s="160"/>
      <c r="GZ13" s="160"/>
      <c r="HA13" s="160"/>
      <c r="HB13" s="160"/>
      <c r="HC13" s="160"/>
      <c r="HD13" s="160"/>
      <c r="HE13" s="160"/>
      <c r="HF13" s="160"/>
      <c r="HG13" s="160"/>
      <c r="HH13" s="160"/>
      <c r="HI13" s="160"/>
      <c r="HJ13" s="160"/>
      <c r="HK13" s="160"/>
      <c r="HL13" s="160"/>
      <c r="HM13" s="160"/>
      <c r="HN13" s="160"/>
      <c r="HO13" s="160"/>
      <c r="HP13" s="160"/>
      <c r="HQ13" s="160"/>
      <c r="HR13" s="160"/>
      <c r="HS13" s="160"/>
      <c r="HT13" s="160"/>
      <c r="HU13" s="160"/>
      <c r="HV13" s="160"/>
      <c r="HW13" s="160"/>
      <c r="HX13" s="163"/>
      <c r="HY13" s="163"/>
      <c r="HZ13" s="163"/>
      <c r="IA13" s="163"/>
      <c r="IB13" s="163"/>
      <c r="IC13" s="163"/>
      <c r="ID13" s="163"/>
      <c r="IE13" s="163"/>
      <c r="IF13" s="163"/>
      <c r="IG13" s="163"/>
      <c r="IH13" s="163"/>
      <c r="II13" s="163"/>
      <c r="IJ13" s="163"/>
      <c r="IK13" s="163"/>
      <c r="IL13" s="163"/>
      <c r="IM13" s="163"/>
      <c r="IN13" s="163"/>
      <c r="IO13" s="163"/>
      <c r="IP13" s="163"/>
      <c r="IQ13" s="163"/>
      <c r="IR13" s="163"/>
      <c r="IS13" s="163"/>
      <c r="IT13" s="163"/>
      <c r="IU13" s="163"/>
      <c r="IV13" s="163"/>
      <c r="IW13" s="163"/>
      <c r="IX13" s="163"/>
      <c r="IY13" s="163"/>
      <c r="IZ13" s="163"/>
      <c r="JA13" s="163"/>
      <c r="JB13" s="164"/>
      <c r="JC13" s="165"/>
      <c r="JD13" s="165"/>
      <c r="JE13" s="165"/>
      <c r="JF13" s="165"/>
      <c r="JG13" s="165"/>
      <c r="JH13" s="165"/>
      <c r="JI13" s="165"/>
      <c r="JJ13" s="165"/>
      <c r="JK13" s="166"/>
      <c r="JL13" s="165"/>
      <c r="JM13" s="165"/>
      <c r="JN13" s="165"/>
      <c r="JO13" s="165"/>
      <c r="JP13" s="166"/>
      <c r="JQ13" s="165"/>
      <c r="JR13" s="165"/>
      <c r="JS13" s="165"/>
      <c r="JT13" s="165"/>
      <c r="JU13" s="165"/>
      <c r="JV13" s="165"/>
      <c r="JW13" s="165"/>
      <c r="JX13" s="165"/>
      <c r="JY13" s="165"/>
      <c r="JZ13" s="165"/>
      <c r="KA13" s="165"/>
      <c r="KB13" s="165"/>
      <c r="KC13" s="165"/>
      <c r="KD13" s="165"/>
      <c r="KE13" s="166"/>
      <c r="KF13" s="166"/>
      <c r="KG13" s="166"/>
      <c r="KH13" s="151"/>
      <c r="KI13" s="167"/>
      <c r="KJ13" s="168"/>
      <c r="KK13" s="167"/>
      <c r="KL13" s="167"/>
      <c r="KM13" s="167"/>
      <c r="KN13" s="167"/>
      <c r="KO13" s="167"/>
      <c r="KP13" s="167"/>
      <c r="KQ13" s="167"/>
      <c r="KR13" s="167"/>
      <c r="KS13" s="167"/>
      <c r="KT13" s="167"/>
      <c r="KU13" s="167"/>
      <c r="KV13" s="167"/>
      <c r="KW13" s="167"/>
      <c r="KX13" s="167"/>
      <c r="KY13" s="167"/>
      <c r="KZ13" s="167"/>
      <c r="LA13" s="167"/>
      <c r="LB13" s="167"/>
      <c r="LC13" s="167"/>
      <c r="LD13" s="167"/>
      <c r="LE13" s="167"/>
      <c r="LF13" s="167"/>
      <c r="LG13" s="167"/>
      <c r="LH13" s="167"/>
      <c r="LI13" s="167"/>
      <c r="LJ13" s="167"/>
      <c r="LK13" s="167"/>
      <c r="LL13" s="167"/>
      <c r="LM13" s="167"/>
      <c r="LN13" s="151"/>
      <c r="LO13" s="67"/>
      <c r="LP13" s="67"/>
      <c r="LQ13" s="67"/>
      <c r="LR13" s="67"/>
      <c r="LS13" s="67"/>
      <c r="LT13" s="67"/>
      <c r="LU13" s="67"/>
      <c r="LV13" s="67"/>
      <c r="LW13" s="67"/>
      <c r="LX13" s="67">
        <v>6.0</v>
      </c>
      <c r="LY13" s="67"/>
      <c r="LZ13" s="67">
        <v>9.0</v>
      </c>
      <c r="MA13" s="67">
        <v>7.7</v>
      </c>
      <c r="MB13" s="67"/>
      <c r="MC13" s="67"/>
      <c r="MD13" s="67"/>
      <c r="ME13" s="67"/>
      <c r="MF13" s="67"/>
      <c r="MG13" s="67"/>
      <c r="MH13" s="67"/>
      <c r="MI13" s="67"/>
      <c r="MJ13" s="67"/>
      <c r="MK13" s="67"/>
      <c r="ML13" s="67"/>
      <c r="MM13" s="67"/>
      <c r="MN13" s="67"/>
      <c r="MO13" s="67"/>
      <c r="MP13" s="67"/>
      <c r="MQ13" s="67"/>
      <c r="MR13" s="67"/>
      <c r="MS13" s="67"/>
      <c r="MT13" s="106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>
        <v>7.5</v>
      </c>
      <c r="NF13" s="73">
        <v>2.0</v>
      </c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169"/>
      <c r="OA13" s="170"/>
      <c r="OB13" s="170"/>
      <c r="OC13" s="170"/>
      <c r="OD13" s="170"/>
      <c r="OE13" s="170"/>
      <c r="OF13" s="170"/>
      <c r="OG13" s="170"/>
      <c r="OH13" s="170"/>
      <c r="OI13" s="170"/>
      <c r="OJ13" s="170"/>
      <c r="OK13" s="170"/>
      <c r="OL13" s="170"/>
    </row>
  </sheetData>
  <mergeCells count="1">
    <mergeCell ref="X1:AN1"/>
  </mergeCells>
  <conditionalFormatting sqref="E1:E13">
    <cfRule type="notContainsBlanks" dxfId="3" priority="1">
      <formula>LEN(TRIM(E1))&gt;0</formula>
    </cfRule>
  </conditionalFormatting>
  <conditionalFormatting sqref="KI3:LL13 LO3:MS13">
    <cfRule type="containsText" dxfId="4" priority="2" operator="containsText" text="x">
      <formula>NOT(ISERROR(SEARCH(("x"),(KI3))))</formula>
    </cfRule>
  </conditionalFormatting>
  <conditionalFormatting sqref="LM1:LM13">
    <cfRule type="cellIs" dxfId="5" priority="3" operator="greaterThan">
      <formula>0</formula>
    </cfRule>
  </conditionalFormatting>
  <conditionalFormatting sqref="LG5 MM5">
    <cfRule type="notContainsBlanks" dxfId="6" priority="4">
      <formula>LEN(TRIM(LG5))&gt;0</formula>
    </cfRule>
  </conditionalFormatting>
  <conditionalFormatting sqref="KI3:LL13 LO3:MS13">
    <cfRule type="containsBlanks" dxfId="6" priority="5">
      <formula>LEN(TRIM(KI3))=0</formula>
    </cfRule>
  </conditionalFormatting>
  <conditionalFormatting sqref="KI3:LL13 LO3:MS13">
    <cfRule type="cellIs" dxfId="7" priority="6" operator="greaterThan">
      <formula>0</formula>
    </cfRule>
  </conditionalFormatting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5" max="5" width="13.22"/>
    <col customWidth="1" min="12" max="12" width="16.0"/>
  </cols>
  <sheetData>
    <row r="1" ht="24.75" customHeight="1">
      <c r="A1" s="172"/>
      <c r="B1" s="173"/>
      <c r="C1" s="173"/>
      <c r="D1" s="174"/>
      <c r="E1" s="174"/>
      <c r="F1" s="173"/>
      <c r="G1" s="173"/>
      <c r="H1" s="173"/>
      <c r="I1" s="173"/>
      <c r="J1" s="173"/>
      <c r="K1" s="173"/>
      <c r="L1" s="173"/>
    </row>
    <row r="2" ht="24.75" customHeight="1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ht="26.25" customHeight="1">
      <c r="A3" s="176">
        <v>45658.0</v>
      </c>
      <c r="B3" s="173" t="s">
        <v>9</v>
      </c>
      <c r="C3" s="177">
        <v>7.0</v>
      </c>
      <c r="D3" s="175">
        <v>1500.0</v>
      </c>
      <c r="E3" s="175">
        <f t="shared" ref="E3:E219" si="1">C3*D3</f>
        <v>10500</v>
      </c>
      <c r="F3" s="178"/>
      <c r="G3" s="177"/>
      <c r="H3" s="177"/>
      <c r="I3" s="177"/>
      <c r="J3" s="178"/>
      <c r="K3" s="173"/>
      <c r="L3" s="178"/>
    </row>
    <row r="4" ht="26.25" customHeight="1">
      <c r="A4" s="176">
        <v>45659.0</v>
      </c>
      <c r="B4" s="173" t="s">
        <v>9</v>
      </c>
      <c r="C4" s="177"/>
      <c r="D4" s="175">
        <v>1500.0</v>
      </c>
      <c r="E4" s="175">
        <f t="shared" si="1"/>
        <v>0</v>
      </c>
      <c r="F4" s="177"/>
      <c r="G4" s="177"/>
      <c r="H4" s="177"/>
      <c r="I4" s="177"/>
      <c r="J4" s="178"/>
      <c r="K4" s="173"/>
      <c r="L4" s="178"/>
    </row>
    <row r="5" ht="26.25" customHeight="1">
      <c r="A5" s="176">
        <v>45660.0</v>
      </c>
      <c r="B5" s="173" t="s">
        <v>9</v>
      </c>
      <c r="C5" s="177"/>
      <c r="D5" s="175">
        <v>1500.0</v>
      </c>
      <c r="E5" s="175">
        <f t="shared" si="1"/>
        <v>0</v>
      </c>
      <c r="F5" s="177"/>
      <c r="G5" s="177"/>
      <c r="H5" s="177"/>
      <c r="I5" s="177"/>
      <c r="J5" s="178"/>
      <c r="K5" s="173"/>
      <c r="L5" s="178"/>
    </row>
    <row r="6" ht="26.25" customHeight="1">
      <c r="A6" s="176">
        <v>45661.0</v>
      </c>
      <c r="B6" s="173" t="s">
        <v>9</v>
      </c>
      <c r="C6" s="177">
        <v>10.5</v>
      </c>
      <c r="D6" s="175">
        <v>1500.0</v>
      </c>
      <c r="E6" s="175">
        <f t="shared" si="1"/>
        <v>15750</v>
      </c>
      <c r="F6" s="177"/>
      <c r="G6" s="177"/>
      <c r="H6" s="177"/>
      <c r="I6" s="177"/>
      <c r="J6" s="178"/>
      <c r="K6" s="173"/>
      <c r="L6" s="178"/>
    </row>
    <row r="7" ht="26.25" customHeight="1">
      <c r="A7" s="176">
        <v>45662.0</v>
      </c>
      <c r="B7" s="173" t="s">
        <v>9</v>
      </c>
      <c r="C7" s="177">
        <v>7.0</v>
      </c>
      <c r="D7" s="175">
        <v>1500.0</v>
      </c>
      <c r="E7" s="175">
        <f t="shared" si="1"/>
        <v>10500</v>
      </c>
      <c r="F7" s="177"/>
      <c r="G7" s="177"/>
      <c r="H7" s="177"/>
      <c r="I7" s="177"/>
      <c r="J7" s="178"/>
      <c r="K7" s="173"/>
      <c r="L7" s="178"/>
    </row>
    <row r="8" ht="26.25" customHeight="1">
      <c r="A8" s="176">
        <v>45663.0</v>
      </c>
      <c r="B8" s="173" t="s">
        <v>9</v>
      </c>
      <c r="C8" s="177">
        <v>8.0</v>
      </c>
      <c r="D8" s="175">
        <v>1500.0</v>
      </c>
      <c r="E8" s="175">
        <f t="shared" si="1"/>
        <v>12000</v>
      </c>
      <c r="F8" s="177"/>
      <c r="G8" s="177"/>
      <c r="H8" s="177"/>
      <c r="I8" s="177"/>
      <c r="J8" s="178"/>
      <c r="K8" s="173"/>
      <c r="L8" s="178"/>
    </row>
    <row r="9" ht="26.25" customHeight="1">
      <c r="A9" s="176">
        <v>45664.0</v>
      </c>
      <c r="B9" s="173" t="s">
        <v>9</v>
      </c>
      <c r="C9" s="177">
        <v>5.0</v>
      </c>
      <c r="D9" s="175">
        <v>1500.0</v>
      </c>
      <c r="E9" s="175">
        <f t="shared" si="1"/>
        <v>7500</v>
      </c>
      <c r="F9" s="177"/>
      <c r="G9" s="177"/>
      <c r="H9" s="177"/>
      <c r="I9" s="177"/>
      <c r="J9" s="178"/>
      <c r="K9" s="173"/>
      <c r="L9" s="178"/>
    </row>
    <row r="10" ht="26.25" customHeight="1">
      <c r="A10" s="176">
        <v>45665.0</v>
      </c>
      <c r="B10" s="173" t="s">
        <v>9</v>
      </c>
      <c r="C10" s="177"/>
      <c r="D10" s="175">
        <v>1500.0</v>
      </c>
      <c r="E10" s="175">
        <f t="shared" si="1"/>
        <v>0</v>
      </c>
      <c r="F10" s="177"/>
      <c r="G10" s="177"/>
      <c r="H10" s="177"/>
      <c r="I10" s="177"/>
      <c r="J10" s="178"/>
      <c r="K10" s="173"/>
      <c r="L10" s="178"/>
    </row>
    <row r="11" ht="26.25" customHeight="1">
      <c r="A11" s="176">
        <v>45666.0</v>
      </c>
      <c r="B11" s="173" t="s">
        <v>9</v>
      </c>
      <c r="C11" s="177"/>
      <c r="D11" s="175">
        <v>1500.0</v>
      </c>
      <c r="E11" s="175">
        <f t="shared" si="1"/>
        <v>0</v>
      </c>
      <c r="F11" s="177"/>
      <c r="G11" s="177"/>
      <c r="H11" s="177"/>
      <c r="I11" s="177"/>
      <c r="J11" s="178"/>
      <c r="K11" s="173"/>
      <c r="L11" s="178"/>
    </row>
    <row r="12" ht="26.25" customHeight="1">
      <c r="A12" s="176">
        <v>45667.0</v>
      </c>
      <c r="B12" s="173" t="s">
        <v>9</v>
      </c>
      <c r="C12" s="177"/>
      <c r="D12" s="175">
        <v>1500.0</v>
      </c>
      <c r="E12" s="175">
        <f t="shared" si="1"/>
        <v>0</v>
      </c>
      <c r="F12" s="177"/>
      <c r="G12" s="177"/>
      <c r="H12" s="177"/>
      <c r="I12" s="177"/>
      <c r="J12" s="178"/>
      <c r="K12" s="178"/>
      <c r="L12" s="178"/>
    </row>
    <row r="13" ht="26.25" customHeight="1">
      <c r="A13" s="176">
        <v>45668.0</v>
      </c>
      <c r="B13" s="173" t="s">
        <v>9</v>
      </c>
      <c r="C13" s="177"/>
      <c r="D13" s="175">
        <v>1500.0</v>
      </c>
      <c r="E13" s="175">
        <f t="shared" si="1"/>
        <v>0</v>
      </c>
      <c r="F13" s="177"/>
      <c r="G13" s="177"/>
      <c r="H13" s="177"/>
      <c r="I13" s="177"/>
      <c r="J13" s="178"/>
      <c r="K13" s="178"/>
      <c r="L13" s="178"/>
    </row>
    <row r="14" ht="26.25" customHeight="1">
      <c r="A14" s="176">
        <v>45669.0</v>
      </c>
      <c r="B14" s="173" t="s">
        <v>9</v>
      </c>
      <c r="C14" s="177">
        <v>10.0</v>
      </c>
      <c r="D14" s="175">
        <v>1500.0</v>
      </c>
      <c r="E14" s="175">
        <f t="shared" si="1"/>
        <v>15000</v>
      </c>
      <c r="F14" s="177"/>
      <c r="G14" s="177"/>
      <c r="H14" s="177"/>
      <c r="I14" s="177"/>
      <c r="J14" s="178"/>
      <c r="K14" s="178"/>
      <c r="L14" s="178"/>
    </row>
    <row r="15" ht="26.25" customHeight="1">
      <c r="A15" s="176">
        <v>45670.0</v>
      </c>
      <c r="B15" s="173" t="s">
        <v>9</v>
      </c>
      <c r="C15" s="177">
        <v>8.0</v>
      </c>
      <c r="D15" s="175">
        <v>1500.0</v>
      </c>
      <c r="E15" s="175">
        <f t="shared" si="1"/>
        <v>12000</v>
      </c>
      <c r="F15" s="177"/>
      <c r="G15" s="177"/>
      <c r="H15" s="177"/>
      <c r="I15" s="177"/>
      <c r="J15" s="178"/>
      <c r="K15" s="178"/>
      <c r="L15" s="178"/>
    </row>
    <row r="16" ht="26.25" customHeight="1">
      <c r="A16" s="176">
        <v>45671.0</v>
      </c>
      <c r="B16" s="173" t="s">
        <v>9</v>
      </c>
      <c r="C16" s="177">
        <v>11.0</v>
      </c>
      <c r="D16" s="175">
        <v>1500.0</v>
      </c>
      <c r="E16" s="175">
        <f t="shared" si="1"/>
        <v>16500</v>
      </c>
      <c r="F16" s="177"/>
      <c r="G16" s="177"/>
      <c r="H16" s="177"/>
      <c r="I16" s="177"/>
      <c r="J16" s="178"/>
      <c r="K16" s="178"/>
      <c r="L16" s="178"/>
    </row>
    <row r="17" ht="26.25" customHeight="1">
      <c r="A17" s="176">
        <v>45672.0</v>
      </c>
      <c r="B17" s="173" t="s">
        <v>9</v>
      </c>
      <c r="C17" s="177">
        <v>11.0</v>
      </c>
      <c r="D17" s="175">
        <v>1500.0</v>
      </c>
      <c r="E17" s="175">
        <f t="shared" si="1"/>
        <v>16500</v>
      </c>
      <c r="F17" s="177"/>
      <c r="G17" s="177"/>
      <c r="H17" s="177"/>
      <c r="I17" s="177"/>
      <c r="J17" s="178"/>
      <c r="K17" s="178"/>
      <c r="L17" s="178"/>
    </row>
    <row r="18" ht="26.25" customHeight="1">
      <c r="A18" s="176">
        <v>45673.0</v>
      </c>
      <c r="B18" s="173" t="s">
        <v>9</v>
      </c>
      <c r="C18" s="177">
        <v>13.0</v>
      </c>
      <c r="D18" s="175">
        <v>1500.0</v>
      </c>
      <c r="E18" s="175">
        <f t="shared" si="1"/>
        <v>19500</v>
      </c>
      <c r="F18" s="177"/>
      <c r="G18" s="177"/>
      <c r="H18" s="177"/>
      <c r="I18" s="177"/>
      <c r="J18" s="178"/>
      <c r="K18" s="178"/>
      <c r="L18" s="178"/>
    </row>
    <row r="19" ht="26.25" customHeight="1">
      <c r="A19" s="176">
        <v>45674.0</v>
      </c>
      <c r="B19" s="173" t="s">
        <v>9</v>
      </c>
      <c r="C19" s="177"/>
      <c r="D19" s="175">
        <v>1500.0</v>
      </c>
      <c r="E19" s="175">
        <f t="shared" si="1"/>
        <v>0</v>
      </c>
      <c r="F19" s="177"/>
      <c r="G19" s="177"/>
      <c r="H19" s="177"/>
      <c r="I19" s="177"/>
      <c r="J19" s="178"/>
      <c r="K19" s="178"/>
      <c r="L19" s="178"/>
    </row>
    <row r="20" ht="26.25" customHeight="1">
      <c r="A20" s="176">
        <v>45675.0</v>
      </c>
      <c r="B20" s="173" t="s">
        <v>9</v>
      </c>
      <c r="C20" s="177">
        <v>10.5</v>
      </c>
      <c r="D20" s="175">
        <v>1500.0</v>
      </c>
      <c r="E20" s="175">
        <f t="shared" si="1"/>
        <v>15750</v>
      </c>
      <c r="F20" s="177"/>
      <c r="G20" s="177"/>
      <c r="H20" s="177"/>
      <c r="I20" s="177"/>
      <c r="J20" s="178"/>
      <c r="K20" s="178"/>
      <c r="L20" s="178"/>
    </row>
    <row r="21" ht="26.25" customHeight="1">
      <c r="A21" s="176">
        <v>45676.0</v>
      </c>
      <c r="B21" s="173" t="s">
        <v>9</v>
      </c>
      <c r="C21" s="177">
        <v>11.0</v>
      </c>
      <c r="D21" s="175">
        <v>1500.0</v>
      </c>
      <c r="E21" s="175">
        <f t="shared" si="1"/>
        <v>16500</v>
      </c>
      <c r="F21" s="177"/>
      <c r="G21" s="177"/>
      <c r="H21" s="177"/>
      <c r="I21" s="177"/>
      <c r="J21" s="178"/>
      <c r="K21" s="178"/>
      <c r="L21" s="178"/>
    </row>
    <row r="22" ht="26.25" customHeight="1">
      <c r="A22" s="176">
        <v>45677.0</v>
      </c>
      <c r="B22" s="173" t="s">
        <v>9</v>
      </c>
      <c r="C22" s="177">
        <v>11.0</v>
      </c>
      <c r="D22" s="175">
        <v>1500.0</v>
      </c>
      <c r="E22" s="175">
        <f t="shared" si="1"/>
        <v>16500</v>
      </c>
      <c r="F22" s="177"/>
      <c r="G22" s="177"/>
      <c r="H22" s="177"/>
      <c r="I22" s="177"/>
      <c r="J22" s="178"/>
      <c r="K22" s="178"/>
      <c r="L22" s="178"/>
    </row>
    <row r="23" ht="26.25" customHeight="1">
      <c r="A23" s="176">
        <v>45678.0</v>
      </c>
      <c r="B23" s="173" t="s">
        <v>9</v>
      </c>
      <c r="C23" s="177">
        <v>11.0</v>
      </c>
      <c r="D23" s="175">
        <v>1500.0</v>
      </c>
      <c r="E23" s="175">
        <f t="shared" si="1"/>
        <v>16500</v>
      </c>
      <c r="F23" s="177"/>
      <c r="G23" s="177"/>
      <c r="H23" s="177"/>
      <c r="I23" s="177"/>
      <c r="J23" s="178"/>
      <c r="K23" s="178"/>
      <c r="L23" s="178"/>
    </row>
    <row r="24" ht="26.25" customHeight="1">
      <c r="A24" s="176">
        <v>45679.0</v>
      </c>
      <c r="B24" s="173" t="s">
        <v>9</v>
      </c>
      <c r="C24" s="177">
        <v>8.5</v>
      </c>
      <c r="D24" s="175">
        <v>1500.0</v>
      </c>
      <c r="E24" s="175">
        <f t="shared" si="1"/>
        <v>12750</v>
      </c>
      <c r="F24" s="177"/>
      <c r="G24" s="177"/>
      <c r="H24" s="177"/>
      <c r="I24" s="177"/>
      <c r="J24" s="178"/>
      <c r="K24" s="178"/>
      <c r="L24" s="178"/>
    </row>
    <row r="25" ht="26.25" customHeight="1">
      <c r="A25" s="176">
        <v>45680.0</v>
      </c>
      <c r="B25" s="173" t="s">
        <v>9</v>
      </c>
      <c r="C25" s="177">
        <v>11.0</v>
      </c>
      <c r="D25" s="175">
        <v>1500.0</v>
      </c>
      <c r="E25" s="175">
        <f t="shared" si="1"/>
        <v>16500</v>
      </c>
      <c r="F25" s="177"/>
      <c r="G25" s="177"/>
      <c r="H25" s="177"/>
      <c r="I25" s="177"/>
      <c r="J25" s="178"/>
      <c r="K25" s="178"/>
      <c r="L25" s="178"/>
    </row>
    <row r="26" ht="26.25" customHeight="1">
      <c r="A26" s="176">
        <v>45681.0</v>
      </c>
      <c r="B26" s="173" t="s">
        <v>9</v>
      </c>
      <c r="C26" s="177">
        <v>15.0</v>
      </c>
      <c r="D26" s="175">
        <v>1500.0</v>
      </c>
      <c r="E26" s="175">
        <f t="shared" si="1"/>
        <v>22500</v>
      </c>
      <c r="F26" s="177"/>
      <c r="G26" s="177"/>
      <c r="H26" s="177"/>
      <c r="I26" s="177"/>
      <c r="J26" s="178"/>
      <c r="K26" s="178"/>
      <c r="L26" s="178"/>
    </row>
    <row r="27" ht="26.25" customHeight="1">
      <c r="A27" s="176">
        <v>45682.0</v>
      </c>
      <c r="B27" s="173" t="s">
        <v>9</v>
      </c>
      <c r="C27" s="177">
        <v>8.0</v>
      </c>
      <c r="D27" s="175">
        <v>1500.0</v>
      </c>
      <c r="E27" s="175">
        <f t="shared" si="1"/>
        <v>12000</v>
      </c>
      <c r="F27" s="177"/>
      <c r="G27" s="177"/>
      <c r="H27" s="177"/>
      <c r="I27" s="177"/>
      <c r="J27" s="178"/>
      <c r="K27" s="178"/>
      <c r="L27" s="178"/>
    </row>
    <row r="28" ht="26.25" customHeight="1">
      <c r="A28" s="176">
        <v>45683.0</v>
      </c>
      <c r="B28" s="173" t="s">
        <v>9</v>
      </c>
      <c r="C28" s="177">
        <v>10.0</v>
      </c>
      <c r="D28" s="175">
        <v>1500.0</v>
      </c>
      <c r="E28" s="175">
        <f t="shared" si="1"/>
        <v>15000</v>
      </c>
      <c r="F28" s="177"/>
      <c r="G28" s="177"/>
      <c r="H28" s="177"/>
      <c r="I28" s="177"/>
      <c r="J28" s="178"/>
      <c r="K28" s="178"/>
      <c r="L28" s="178"/>
    </row>
    <row r="29" ht="26.25" customHeight="1">
      <c r="A29" s="176">
        <v>45684.0</v>
      </c>
      <c r="B29" s="173" t="s">
        <v>9</v>
      </c>
      <c r="C29" s="177">
        <v>10.0</v>
      </c>
      <c r="D29" s="175">
        <v>1500.0</v>
      </c>
      <c r="E29" s="175">
        <f t="shared" si="1"/>
        <v>15000</v>
      </c>
      <c r="F29" s="177"/>
      <c r="G29" s="177"/>
      <c r="H29" s="177"/>
      <c r="I29" s="177"/>
      <c r="J29" s="178"/>
      <c r="K29" s="178"/>
      <c r="L29" s="178"/>
    </row>
    <row r="30" ht="26.25" customHeight="1">
      <c r="A30" s="176">
        <v>45685.0</v>
      </c>
      <c r="B30" s="173" t="s">
        <v>9</v>
      </c>
      <c r="C30" s="177">
        <v>10.5</v>
      </c>
      <c r="D30" s="175">
        <v>1500.0</v>
      </c>
      <c r="E30" s="175">
        <f t="shared" si="1"/>
        <v>15750</v>
      </c>
      <c r="F30" s="177"/>
      <c r="G30" s="177"/>
      <c r="H30" s="177"/>
      <c r="I30" s="177"/>
      <c r="J30" s="178"/>
      <c r="K30" s="178"/>
      <c r="L30" s="178"/>
    </row>
    <row r="31" ht="26.25" customHeight="1">
      <c r="A31" s="176">
        <v>45686.0</v>
      </c>
      <c r="B31" s="173" t="s">
        <v>9</v>
      </c>
      <c r="C31" s="177">
        <v>11.5</v>
      </c>
      <c r="D31" s="175">
        <v>1500.0</v>
      </c>
      <c r="E31" s="175">
        <f t="shared" si="1"/>
        <v>17250</v>
      </c>
      <c r="F31" s="177"/>
      <c r="G31" s="177"/>
      <c r="H31" s="177"/>
      <c r="I31" s="177"/>
      <c r="J31" s="178"/>
      <c r="K31" s="178"/>
      <c r="L31" s="178"/>
    </row>
    <row r="32" ht="26.25" customHeight="1">
      <c r="A32" s="176">
        <v>45687.0</v>
      </c>
      <c r="B32" s="173" t="s">
        <v>9</v>
      </c>
      <c r="C32" s="177">
        <v>10.5</v>
      </c>
      <c r="D32" s="175">
        <v>1500.0</v>
      </c>
      <c r="E32" s="175">
        <f t="shared" si="1"/>
        <v>15750</v>
      </c>
      <c r="F32" s="177"/>
      <c r="G32" s="177"/>
      <c r="H32" s="177"/>
      <c r="I32" s="177"/>
      <c r="J32" s="178"/>
      <c r="K32" s="178"/>
      <c r="L32" s="178"/>
    </row>
    <row r="33" ht="26.25" customHeight="1">
      <c r="A33" s="176">
        <v>45688.0</v>
      </c>
      <c r="B33" s="173" t="s">
        <v>9</v>
      </c>
      <c r="C33" s="177">
        <v>9.0</v>
      </c>
      <c r="D33" s="175">
        <v>1500.0</v>
      </c>
      <c r="E33" s="175">
        <f t="shared" si="1"/>
        <v>13500</v>
      </c>
      <c r="F33" s="177"/>
      <c r="G33" s="177"/>
      <c r="H33" s="177"/>
      <c r="I33" s="177"/>
      <c r="J33" s="178"/>
      <c r="K33" s="178"/>
      <c r="L33" s="178"/>
    </row>
    <row r="34" ht="26.25" customHeight="1">
      <c r="A34" s="176">
        <v>45658.0</v>
      </c>
      <c r="B34" s="173" t="s">
        <v>21</v>
      </c>
      <c r="C34" s="177"/>
      <c r="D34" s="175">
        <v>3000.0</v>
      </c>
      <c r="E34" s="175">
        <f t="shared" si="1"/>
        <v>0</v>
      </c>
      <c r="F34" s="177"/>
      <c r="G34" s="177"/>
      <c r="H34" s="177"/>
      <c r="I34" s="177"/>
      <c r="J34" s="178"/>
      <c r="K34" s="178"/>
      <c r="L34" s="178"/>
    </row>
    <row r="35" ht="26.25" customHeight="1">
      <c r="A35" s="176">
        <v>45659.0</v>
      </c>
      <c r="B35" s="173" t="s">
        <v>21</v>
      </c>
      <c r="C35" s="177">
        <v>13.5</v>
      </c>
      <c r="D35" s="175">
        <v>3000.0</v>
      </c>
      <c r="E35" s="175">
        <f t="shared" si="1"/>
        <v>40500</v>
      </c>
      <c r="F35" s="177"/>
      <c r="G35" s="177"/>
      <c r="H35" s="177"/>
      <c r="I35" s="177"/>
      <c r="J35" s="178"/>
      <c r="K35" s="178"/>
      <c r="L35" s="178"/>
    </row>
    <row r="36" ht="26.25" customHeight="1">
      <c r="A36" s="176">
        <v>45660.0</v>
      </c>
      <c r="B36" s="173" t="s">
        <v>21</v>
      </c>
      <c r="C36" s="177">
        <v>10.5</v>
      </c>
      <c r="D36" s="175">
        <v>3000.0</v>
      </c>
      <c r="E36" s="175">
        <f t="shared" si="1"/>
        <v>31500</v>
      </c>
      <c r="F36" s="177"/>
      <c r="G36" s="177"/>
      <c r="H36" s="177"/>
      <c r="I36" s="177"/>
      <c r="J36" s="178"/>
      <c r="K36" s="178"/>
      <c r="L36" s="178"/>
    </row>
    <row r="37" ht="26.25" customHeight="1">
      <c r="A37" s="176">
        <v>45661.0</v>
      </c>
      <c r="B37" s="173" t="s">
        <v>21</v>
      </c>
      <c r="C37" s="177">
        <v>13.5</v>
      </c>
      <c r="D37" s="175">
        <v>3000.0</v>
      </c>
      <c r="E37" s="175">
        <f t="shared" si="1"/>
        <v>40500</v>
      </c>
      <c r="F37" s="177"/>
      <c r="G37" s="177"/>
      <c r="H37" s="177"/>
      <c r="I37" s="177"/>
      <c r="J37" s="178"/>
      <c r="K37" s="178"/>
      <c r="L37" s="178"/>
    </row>
    <row r="38" ht="26.25" customHeight="1">
      <c r="A38" s="176">
        <v>45662.0</v>
      </c>
      <c r="B38" s="173" t="s">
        <v>21</v>
      </c>
      <c r="C38" s="177">
        <v>9.0</v>
      </c>
      <c r="D38" s="175">
        <v>3000.0</v>
      </c>
      <c r="E38" s="175">
        <f t="shared" si="1"/>
        <v>27000</v>
      </c>
      <c r="F38" s="177"/>
      <c r="G38" s="177"/>
      <c r="H38" s="177"/>
      <c r="I38" s="177"/>
      <c r="J38" s="178"/>
      <c r="K38" s="178"/>
      <c r="L38" s="178"/>
    </row>
    <row r="39" ht="26.25" customHeight="1">
      <c r="A39" s="176">
        <v>45663.0</v>
      </c>
      <c r="B39" s="173" t="s">
        <v>21</v>
      </c>
      <c r="C39" s="177">
        <v>12.0</v>
      </c>
      <c r="D39" s="175">
        <v>3000.0</v>
      </c>
      <c r="E39" s="175">
        <f t="shared" si="1"/>
        <v>36000</v>
      </c>
      <c r="F39" s="177"/>
      <c r="G39" s="177"/>
      <c r="H39" s="177"/>
      <c r="I39" s="177"/>
      <c r="J39" s="178"/>
      <c r="K39" s="178"/>
      <c r="L39" s="178"/>
    </row>
    <row r="40" ht="26.25" customHeight="1">
      <c r="A40" s="176">
        <v>45664.0</v>
      </c>
      <c r="B40" s="173" t="s">
        <v>21</v>
      </c>
      <c r="C40" s="177">
        <v>12.0</v>
      </c>
      <c r="D40" s="175">
        <v>3000.0</v>
      </c>
      <c r="E40" s="175">
        <f t="shared" si="1"/>
        <v>36000</v>
      </c>
      <c r="F40" s="177"/>
      <c r="G40" s="177"/>
      <c r="H40" s="177"/>
      <c r="I40" s="177"/>
      <c r="J40" s="178"/>
      <c r="K40" s="178"/>
      <c r="L40" s="178"/>
    </row>
    <row r="41" ht="26.25" customHeight="1">
      <c r="A41" s="176">
        <v>45665.0</v>
      </c>
      <c r="B41" s="173" t="s">
        <v>21</v>
      </c>
      <c r="C41" s="177">
        <v>8.3</v>
      </c>
      <c r="D41" s="175">
        <v>3000.0</v>
      </c>
      <c r="E41" s="175">
        <f t="shared" si="1"/>
        <v>24900</v>
      </c>
      <c r="F41" s="177"/>
      <c r="G41" s="177"/>
      <c r="H41" s="177"/>
      <c r="I41" s="177"/>
      <c r="J41" s="178"/>
      <c r="K41" s="178"/>
      <c r="L41" s="178"/>
    </row>
    <row r="42" ht="26.25" customHeight="1">
      <c r="A42" s="176">
        <v>45666.0</v>
      </c>
      <c r="B42" s="173" t="s">
        <v>21</v>
      </c>
      <c r="C42" s="177">
        <v>10.0</v>
      </c>
      <c r="D42" s="175">
        <v>3000.0</v>
      </c>
      <c r="E42" s="175">
        <f t="shared" si="1"/>
        <v>30000</v>
      </c>
      <c r="F42" s="177"/>
      <c r="G42" s="177"/>
      <c r="H42" s="177"/>
      <c r="I42" s="177"/>
      <c r="J42" s="178"/>
      <c r="K42" s="178"/>
      <c r="L42" s="178"/>
    </row>
    <row r="43" ht="26.25" customHeight="1">
      <c r="A43" s="176">
        <v>45667.0</v>
      </c>
      <c r="B43" s="173" t="s">
        <v>21</v>
      </c>
      <c r="C43" s="177"/>
      <c r="D43" s="175">
        <v>3000.0</v>
      </c>
      <c r="E43" s="175">
        <f t="shared" si="1"/>
        <v>0</v>
      </c>
      <c r="F43" s="177"/>
      <c r="G43" s="177"/>
      <c r="H43" s="177"/>
      <c r="I43" s="177"/>
      <c r="J43" s="178"/>
      <c r="K43" s="178"/>
      <c r="L43" s="178"/>
    </row>
    <row r="44" ht="26.25" customHeight="1">
      <c r="A44" s="176">
        <v>45668.0</v>
      </c>
      <c r="B44" s="173" t="s">
        <v>21</v>
      </c>
      <c r="C44" s="177">
        <v>9.0</v>
      </c>
      <c r="D44" s="175">
        <v>3000.0</v>
      </c>
      <c r="E44" s="175">
        <f t="shared" si="1"/>
        <v>27000</v>
      </c>
      <c r="F44" s="177"/>
      <c r="G44" s="177"/>
      <c r="H44" s="177"/>
      <c r="I44" s="177"/>
      <c r="J44" s="178"/>
      <c r="K44" s="178"/>
      <c r="L44" s="178"/>
    </row>
    <row r="45" ht="26.25" customHeight="1">
      <c r="A45" s="176">
        <v>45669.0</v>
      </c>
      <c r="B45" s="173" t="s">
        <v>21</v>
      </c>
      <c r="C45" s="177">
        <v>9.5</v>
      </c>
      <c r="D45" s="175">
        <v>3000.0</v>
      </c>
      <c r="E45" s="175">
        <f t="shared" si="1"/>
        <v>28500</v>
      </c>
      <c r="F45" s="177"/>
      <c r="G45" s="177"/>
      <c r="H45" s="177"/>
      <c r="I45" s="177"/>
      <c r="J45" s="178"/>
      <c r="K45" s="178"/>
      <c r="L45" s="178"/>
    </row>
    <row r="46" ht="26.25" customHeight="1">
      <c r="A46" s="176">
        <v>45670.0</v>
      </c>
      <c r="B46" s="173" t="s">
        <v>21</v>
      </c>
      <c r="C46" s="177">
        <v>11.5</v>
      </c>
      <c r="D46" s="175">
        <v>3000.0</v>
      </c>
      <c r="E46" s="175">
        <f t="shared" si="1"/>
        <v>34500</v>
      </c>
      <c r="F46" s="177"/>
      <c r="G46" s="177"/>
      <c r="H46" s="177"/>
      <c r="I46" s="177"/>
      <c r="J46" s="178"/>
      <c r="K46" s="178"/>
      <c r="L46" s="178"/>
    </row>
    <row r="47" ht="26.25" customHeight="1">
      <c r="A47" s="176">
        <v>45671.0</v>
      </c>
      <c r="B47" s="173" t="s">
        <v>21</v>
      </c>
      <c r="C47" s="177">
        <v>18.0</v>
      </c>
      <c r="D47" s="175">
        <v>3000.0</v>
      </c>
      <c r="E47" s="175">
        <f t="shared" si="1"/>
        <v>54000</v>
      </c>
      <c r="F47" s="177"/>
      <c r="G47" s="177"/>
      <c r="H47" s="177"/>
      <c r="I47" s="177"/>
      <c r="J47" s="178"/>
      <c r="K47" s="178"/>
      <c r="L47" s="178"/>
    </row>
    <row r="48" ht="26.25" customHeight="1">
      <c r="A48" s="176">
        <v>45672.0</v>
      </c>
      <c r="B48" s="173" t="s">
        <v>21</v>
      </c>
      <c r="C48" s="177">
        <v>6.5</v>
      </c>
      <c r="D48" s="175">
        <v>3000.0</v>
      </c>
      <c r="E48" s="175">
        <f t="shared" si="1"/>
        <v>19500</v>
      </c>
      <c r="F48" s="177"/>
      <c r="G48" s="177"/>
      <c r="H48" s="177"/>
      <c r="I48" s="177"/>
      <c r="J48" s="178"/>
      <c r="K48" s="178"/>
      <c r="L48" s="178"/>
    </row>
    <row r="49" ht="26.25" customHeight="1">
      <c r="A49" s="176">
        <v>45673.0</v>
      </c>
      <c r="B49" s="173" t="s">
        <v>21</v>
      </c>
      <c r="C49" s="177">
        <v>11.0</v>
      </c>
      <c r="D49" s="175">
        <v>3000.0</v>
      </c>
      <c r="E49" s="175">
        <f t="shared" si="1"/>
        <v>33000</v>
      </c>
      <c r="F49" s="177"/>
      <c r="G49" s="177"/>
      <c r="H49" s="177"/>
      <c r="I49" s="177"/>
      <c r="J49" s="178"/>
      <c r="K49" s="178"/>
      <c r="L49" s="178"/>
    </row>
    <row r="50" ht="26.25" customHeight="1">
      <c r="A50" s="176">
        <v>45674.0</v>
      </c>
      <c r="B50" s="173" t="s">
        <v>21</v>
      </c>
      <c r="C50" s="177">
        <v>3.5</v>
      </c>
      <c r="D50" s="175">
        <v>3000.0</v>
      </c>
      <c r="E50" s="175">
        <f t="shared" si="1"/>
        <v>10500</v>
      </c>
      <c r="F50" s="177"/>
      <c r="G50" s="177"/>
      <c r="H50" s="177"/>
      <c r="I50" s="177"/>
      <c r="J50" s="178"/>
      <c r="K50" s="178"/>
      <c r="L50" s="178"/>
    </row>
    <row r="51" ht="26.25" customHeight="1">
      <c r="A51" s="176">
        <v>45675.0</v>
      </c>
      <c r="B51" s="173" t="s">
        <v>21</v>
      </c>
      <c r="C51" s="177">
        <v>9.0</v>
      </c>
      <c r="D51" s="175">
        <v>3000.0</v>
      </c>
      <c r="E51" s="175">
        <f t="shared" si="1"/>
        <v>27000</v>
      </c>
      <c r="F51" s="177"/>
      <c r="G51" s="177"/>
      <c r="H51" s="177"/>
      <c r="I51" s="177"/>
      <c r="J51" s="178"/>
      <c r="K51" s="178"/>
      <c r="L51" s="178"/>
    </row>
    <row r="52" ht="26.25" customHeight="1">
      <c r="A52" s="176">
        <v>45676.0</v>
      </c>
      <c r="B52" s="173" t="s">
        <v>21</v>
      </c>
      <c r="C52" s="177">
        <v>10.0</v>
      </c>
      <c r="D52" s="175">
        <v>3000.0</v>
      </c>
      <c r="E52" s="175">
        <f t="shared" si="1"/>
        <v>30000</v>
      </c>
      <c r="F52" s="177"/>
      <c r="G52" s="177"/>
      <c r="H52" s="177"/>
      <c r="I52" s="177"/>
      <c r="J52" s="178"/>
      <c r="K52" s="178"/>
      <c r="L52" s="178"/>
    </row>
    <row r="53" ht="26.25" customHeight="1">
      <c r="A53" s="176">
        <v>45677.0</v>
      </c>
      <c r="B53" s="173" t="s">
        <v>21</v>
      </c>
      <c r="C53" s="177">
        <v>3.0</v>
      </c>
      <c r="D53" s="175">
        <v>3000.0</v>
      </c>
      <c r="E53" s="175">
        <f t="shared" si="1"/>
        <v>9000</v>
      </c>
      <c r="F53" s="177"/>
      <c r="G53" s="177"/>
      <c r="H53" s="177"/>
      <c r="I53" s="177"/>
      <c r="J53" s="178"/>
      <c r="K53" s="178"/>
      <c r="L53" s="178"/>
    </row>
    <row r="54" ht="26.25" customHeight="1">
      <c r="A54" s="176">
        <v>45678.0</v>
      </c>
      <c r="B54" s="173" t="s">
        <v>21</v>
      </c>
      <c r="C54" s="177">
        <v>12.0</v>
      </c>
      <c r="D54" s="175">
        <v>3000.0</v>
      </c>
      <c r="E54" s="175">
        <f t="shared" si="1"/>
        <v>36000</v>
      </c>
      <c r="F54" s="177"/>
      <c r="G54" s="177"/>
      <c r="H54" s="177"/>
      <c r="I54" s="177"/>
      <c r="J54" s="178"/>
      <c r="K54" s="178"/>
      <c r="L54" s="178"/>
    </row>
    <row r="55" ht="26.25" customHeight="1">
      <c r="A55" s="176">
        <v>45679.0</v>
      </c>
      <c r="B55" s="173" t="s">
        <v>21</v>
      </c>
      <c r="C55" s="177">
        <v>9.0</v>
      </c>
      <c r="D55" s="175">
        <v>3000.0</v>
      </c>
      <c r="E55" s="175">
        <f t="shared" si="1"/>
        <v>27000</v>
      </c>
      <c r="F55" s="177"/>
      <c r="G55" s="177"/>
      <c r="H55" s="177"/>
      <c r="I55" s="177"/>
      <c r="J55" s="178"/>
      <c r="K55" s="178"/>
      <c r="L55" s="178"/>
    </row>
    <row r="56" ht="26.25" customHeight="1">
      <c r="A56" s="176">
        <v>45680.0</v>
      </c>
      <c r="B56" s="173" t="s">
        <v>21</v>
      </c>
      <c r="C56" s="177">
        <v>9.0</v>
      </c>
      <c r="D56" s="175">
        <v>3000.0</v>
      </c>
      <c r="E56" s="175">
        <f t="shared" si="1"/>
        <v>27000</v>
      </c>
      <c r="F56" s="177"/>
      <c r="G56" s="177"/>
      <c r="H56" s="177"/>
      <c r="I56" s="177"/>
      <c r="J56" s="178"/>
      <c r="K56" s="178"/>
      <c r="L56" s="178"/>
    </row>
    <row r="57" ht="26.25" customHeight="1">
      <c r="A57" s="176">
        <v>45681.0</v>
      </c>
      <c r="B57" s="173" t="s">
        <v>21</v>
      </c>
      <c r="C57" s="177"/>
      <c r="D57" s="175">
        <v>3000.0</v>
      </c>
      <c r="E57" s="175">
        <f t="shared" si="1"/>
        <v>0</v>
      </c>
      <c r="F57" s="177"/>
      <c r="G57" s="177"/>
      <c r="H57" s="177"/>
      <c r="I57" s="177"/>
      <c r="J57" s="178"/>
      <c r="K57" s="178"/>
      <c r="L57" s="178"/>
    </row>
    <row r="58" ht="26.25" customHeight="1">
      <c r="A58" s="176">
        <v>45682.0</v>
      </c>
      <c r="B58" s="173" t="s">
        <v>21</v>
      </c>
      <c r="C58" s="177">
        <v>9.5</v>
      </c>
      <c r="D58" s="175">
        <v>3000.0</v>
      </c>
      <c r="E58" s="175">
        <f t="shared" si="1"/>
        <v>28500</v>
      </c>
      <c r="F58" s="177"/>
      <c r="G58" s="177"/>
      <c r="H58" s="177"/>
      <c r="I58" s="177"/>
      <c r="J58" s="178"/>
      <c r="K58" s="178"/>
      <c r="L58" s="178"/>
    </row>
    <row r="59" ht="26.25" customHeight="1">
      <c r="A59" s="176">
        <v>45683.0</v>
      </c>
      <c r="B59" s="173" t="s">
        <v>21</v>
      </c>
      <c r="C59" s="177">
        <v>9.0</v>
      </c>
      <c r="D59" s="175">
        <v>3000.0</v>
      </c>
      <c r="E59" s="175">
        <f t="shared" si="1"/>
        <v>27000</v>
      </c>
      <c r="F59" s="177"/>
      <c r="G59" s="177"/>
      <c r="H59" s="177"/>
      <c r="I59" s="177"/>
      <c r="J59" s="178"/>
      <c r="K59" s="178"/>
      <c r="L59" s="178"/>
    </row>
    <row r="60" ht="26.25" customHeight="1">
      <c r="A60" s="176">
        <v>45684.0</v>
      </c>
      <c r="B60" s="173" t="s">
        <v>21</v>
      </c>
      <c r="C60" s="177">
        <v>11.75</v>
      </c>
      <c r="D60" s="175">
        <v>3000.0</v>
      </c>
      <c r="E60" s="175">
        <f t="shared" si="1"/>
        <v>35250</v>
      </c>
      <c r="F60" s="177"/>
      <c r="G60" s="177"/>
      <c r="H60" s="177"/>
      <c r="I60" s="177"/>
      <c r="J60" s="178"/>
      <c r="K60" s="178"/>
      <c r="L60" s="178"/>
    </row>
    <row r="61" ht="26.25" customHeight="1">
      <c r="A61" s="176">
        <v>45685.0</v>
      </c>
      <c r="B61" s="173" t="s">
        <v>21</v>
      </c>
      <c r="C61" s="177">
        <v>11.0</v>
      </c>
      <c r="D61" s="175">
        <v>3000.0</v>
      </c>
      <c r="E61" s="175">
        <f t="shared" si="1"/>
        <v>33000</v>
      </c>
      <c r="F61" s="177"/>
      <c r="G61" s="177"/>
      <c r="H61" s="177"/>
      <c r="I61" s="177"/>
      <c r="J61" s="178"/>
      <c r="K61" s="178"/>
      <c r="L61" s="178"/>
    </row>
    <row r="62" ht="26.25" customHeight="1">
      <c r="A62" s="176">
        <v>45686.0</v>
      </c>
      <c r="B62" s="173" t="s">
        <v>21</v>
      </c>
      <c r="C62" s="177">
        <v>9.0</v>
      </c>
      <c r="D62" s="175">
        <v>3000.0</v>
      </c>
      <c r="E62" s="175">
        <f t="shared" si="1"/>
        <v>27000</v>
      </c>
      <c r="F62" s="177"/>
      <c r="G62" s="177"/>
      <c r="H62" s="177"/>
      <c r="I62" s="177"/>
      <c r="J62" s="178"/>
      <c r="K62" s="178"/>
      <c r="L62" s="178"/>
    </row>
    <row r="63" ht="26.25" customHeight="1">
      <c r="A63" s="176">
        <v>45687.0</v>
      </c>
      <c r="B63" s="173" t="s">
        <v>21</v>
      </c>
      <c r="C63" s="177">
        <v>8.5</v>
      </c>
      <c r="D63" s="175">
        <v>3000.0</v>
      </c>
      <c r="E63" s="175">
        <f t="shared" si="1"/>
        <v>25500</v>
      </c>
      <c r="F63" s="177"/>
      <c r="G63" s="177"/>
      <c r="H63" s="177"/>
      <c r="I63" s="177"/>
      <c r="J63" s="178"/>
      <c r="K63" s="178"/>
      <c r="L63" s="178"/>
    </row>
    <row r="64" ht="26.25" customHeight="1">
      <c r="A64" s="176">
        <v>45688.0</v>
      </c>
      <c r="B64" s="173" t="s">
        <v>21</v>
      </c>
      <c r="C64" s="177"/>
      <c r="D64" s="175">
        <v>3000.0</v>
      </c>
      <c r="E64" s="175">
        <f t="shared" si="1"/>
        <v>0</v>
      </c>
      <c r="F64" s="177"/>
      <c r="G64" s="177"/>
      <c r="H64" s="177"/>
      <c r="I64" s="177"/>
      <c r="J64" s="178"/>
      <c r="K64" s="178"/>
      <c r="L64" s="178"/>
    </row>
    <row r="65" ht="26.25" customHeight="1">
      <c r="A65" s="176">
        <v>45658.0</v>
      </c>
      <c r="B65" s="173" t="s">
        <v>35</v>
      </c>
      <c r="C65" s="177">
        <v>5.0</v>
      </c>
      <c r="D65" s="175">
        <v>2500.0</v>
      </c>
      <c r="E65" s="175">
        <f t="shared" si="1"/>
        <v>12500</v>
      </c>
      <c r="F65" s="177"/>
      <c r="G65" s="177"/>
      <c r="H65" s="177"/>
      <c r="I65" s="177"/>
      <c r="J65" s="178"/>
      <c r="K65" s="178"/>
      <c r="L65" s="178"/>
    </row>
    <row r="66" ht="26.25" customHeight="1">
      <c r="A66" s="176">
        <v>45659.0</v>
      </c>
      <c r="B66" s="173" t="s">
        <v>35</v>
      </c>
      <c r="C66" s="177">
        <v>10.75</v>
      </c>
      <c r="D66" s="175">
        <v>2500.0</v>
      </c>
      <c r="E66" s="175">
        <f t="shared" si="1"/>
        <v>26875</v>
      </c>
      <c r="F66" s="177"/>
      <c r="G66" s="177"/>
      <c r="H66" s="177"/>
      <c r="I66" s="177"/>
      <c r="J66" s="178"/>
      <c r="K66" s="178"/>
      <c r="L66" s="178"/>
    </row>
    <row r="67" ht="26.25" customHeight="1">
      <c r="A67" s="176">
        <v>45660.0</v>
      </c>
      <c r="B67" s="173" t="s">
        <v>35</v>
      </c>
      <c r="C67" s="177">
        <v>10.0</v>
      </c>
      <c r="D67" s="175">
        <v>2500.0</v>
      </c>
      <c r="E67" s="175">
        <f t="shared" si="1"/>
        <v>25000</v>
      </c>
      <c r="F67" s="177"/>
      <c r="G67" s="177"/>
      <c r="H67" s="177"/>
      <c r="I67" s="177"/>
      <c r="J67" s="178"/>
      <c r="K67" s="178"/>
      <c r="L67" s="178"/>
    </row>
    <row r="68" ht="26.25" customHeight="1">
      <c r="A68" s="176">
        <v>45661.0</v>
      </c>
      <c r="B68" s="173" t="s">
        <v>35</v>
      </c>
      <c r="C68" s="177">
        <v>9.5</v>
      </c>
      <c r="D68" s="175">
        <v>2500.0</v>
      </c>
      <c r="E68" s="175">
        <f t="shared" si="1"/>
        <v>23750</v>
      </c>
      <c r="F68" s="177"/>
      <c r="G68" s="177"/>
      <c r="H68" s="177"/>
      <c r="I68" s="177"/>
      <c r="J68" s="178"/>
      <c r="K68" s="178"/>
      <c r="L68" s="178"/>
    </row>
    <row r="69" ht="26.25" customHeight="1">
      <c r="A69" s="176">
        <v>45662.0</v>
      </c>
      <c r="B69" s="173" t="s">
        <v>35</v>
      </c>
      <c r="C69" s="177">
        <v>9.0</v>
      </c>
      <c r="D69" s="175">
        <v>2500.0</v>
      </c>
      <c r="E69" s="175">
        <f t="shared" si="1"/>
        <v>22500</v>
      </c>
      <c r="F69" s="177"/>
      <c r="G69" s="177"/>
      <c r="H69" s="177"/>
      <c r="I69" s="177"/>
      <c r="J69" s="178"/>
      <c r="K69" s="178"/>
      <c r="L69" s="178"/>
    </row>
    <row r="70" ht="26.25" customHeight="1">
      <c r="A70" s="176">
        <v>45663.0</v>
      </c>
      <c r="B70" s="173" t="s">
        <v>35</v>
      </c>
      <c r="C70" s="177">
        <v>10.75</v>
      </c>
      <c r="D70" s="175">
        <v>2500.0</v>
      </c>
      <c r="E70" s="175">
        <f t="shared" si="1"/>
        <v>26875</v>
      </c>
      <c r="F70" s="177"/>
      <c r="G70" s="177"/>
      <c r="H70" s="177"/>
      <c r="I70" s="177"/>
      <c r="J70" s="178"/>
      <c r="K70" s="178"/>
      <c r="L70" s="178"/>
    </row>
    <row r="71" ht="26.25" customHeight="1">
      <c r="A71" s="176">
        <v>45664.0</v>
      </c>
      <c r="B71" s="173" t="s">
        <v>35</v>
      </c>
      <c r="C71" s="177">
        <v>12.2</v>
      </c>
      <c r="D71" s="175">
        <v>2500.0</v>
      </c>
      <c r="E71" s="175">
        <f t="shared" si="1"/>
        <v>30500</v>
      </c>
      <c r="F71" s="177"/>
      <c r="G71" s="177"/>
      <c r="H71" s="177"/>
      <c r="I71" s="177"/>
      <c r="J71" s="178"/>
      <c r="K71" s="178"/>
      <c r="L71" s="178"/>
    </row>
    <row r="72" ht="26.25" customHeight="1">
      <c r="A72" s="176">
        <v>45665.0</v>
      </c>
      <c r="B72" s="173" t="s">
        <v>35</v>
      </c>
      <c r="C72" s="177">
        <v>5.0</v>
      </c>
      <c r="D72" s="175">
        <v>2500.0</v>
      </c>
      <c r="E72" s="175">
        <f t="shared" si="1"/>
        <v>12500</v>
      </c>
      <c r="F72" s="177"/>
      <c r="G72" s="177"/>
      <c r="H72" s="177"/>
      <c r="I72" s="177"/>
      <c r="J72" s="178"/>
      <c r="K72" s="178"/>
      <c r="L72" s="178"/>
    </row>
    <row r="73" ht="26.25" customHeight="1">
      <c r="A73" s="176">
        <v>45666.0</v>
      </c>
      <c r="B73" s="173" t="s">
        <v>35</v>
      </c>
      <c r="C73" s="177">
        <v>12.0</v>
      </c>
      <c r="D73" s="175">
        <v>2500.0</v>
      </c>
      <c r="E73" s="175">
        <f t="shared" si="1"/>
        <v>30000</v>
      </c>
      <c r="F73" s="177"/>
      <c r="G73" s="177"/>
      <c r="H73" s="177"/>
      <c r="I73" s="177"/>
      <c r="J73" s="178"/>
      <c r="K73" s="178"/>
      <c r="L73" s="178"/>
    </row>
    <row r="74" ht="26.25" customHeight="1">
      <c r="A74" s="176">
        <v>45667.0</v>
      </c>
      <c r="B74" s="173" t="s">
        <v>35</v>
      </c>
      <c r="C74" s="177">
        <v>10.0</v>
      </c>
      <c r="D74" s="175">
        <v>2500.0</v>
      </c>
      <c r="E74" s="175">
        <f t="shared" si="1"/>
        <v>25000</v>
      </c>
      <c r="F74" s="177"/>
      <c r="G74" s="177"/>
      <c r="H74" s="177"/>
      <c r="I74" s="177"/>
      <c r="J74" s="178"/>
      <c r="K74" s="178"/>
      <c r="L74" s="178"/>
    </row>
    <row r="75" ht="26.25" customHeight="1">
      <c r="A75" s="176">
        <v>45668.0</v>
      </c>
      <c r="B75" s="173" t="s">
        <v>35</v>
      </c>
      <c r="C75" s="177">
        <v>9.5</v>
      </c>
      <c r="D75" s="175">
        <v>2500.0</v>
      </c>
      <c r="E75" s="175">
        <f t="shared" si="1"/>
        <v>23750</v>
      </c>
      <c r="F75" s="177"/>
      <c r="G75" s="177"/>
      <c r="H75" s="177"/>
      <c r="I75" s="177"/>
      <c r="J75" s="178"/>
      <c r="K75" s="178"/>
      <c r="L75" s="178"/>
    </row>
    <row r="76" ht="26.25" customHeight="1">
      <c r="A76" s="176">
        <v>45669.0</v>
      </c>
      <c r="B76" s="173" t="s">
        <v>35</v>
      </c>
      <c r="C76" s="177">
        <v>8.75</v>
      </c>
      <c r="D76" s="175">
        <v>2500.0</v>
      </c>
      <c r="E76" s="175">
        <f t="shared" si="1"/>
        <v>21875</v>
      </c>
      <c r="F76" s="177"/>
      <c r="G76" s="177"/>
      <c r="H76" s="177"/>
      <c r="I76" s="177"/>
      <c r="J76" s="178"/>
      <c r="K76" s="178"/>
      <c r="L76" s="178"/>
    </row>
    <row r="77" ht="26.25" customHeight="1">
      <c r="A77" s="176">
        <v>45670.0</v>
      </c>
      <c r="B77" s="173" t="s">
        <v>35</v>
      </c>
      <c r="C77" s="177">
        <v>10.6</v>
      </c>
      <c r="D77" s="175">
        <v>2500.0</v>
      </c>
      <c r="E77" s="175">
        <f t="shared" si="1"/>
        <v>26500</v>
      </c>
      <c r="F77" s="177"/>
      <c r="G77" s="177"/>
      <c r="H77" s="177"/>
      <c r="I77" s="177"/>
      <c r="J77" s="178"/>
      <c r="K77" s="178"/>
      <c r="L77" s="178"/>
    </row>
    <row r="78" ht="26.25" customHeight="1">
      <c r="A78" s="176">
        <v>45671.0</v>
      </c>
      <c r="B78" s="173" t="s">
        <v>35</v>
      </c>
      <c r="C78" s="177">
        <v>10.25</v>
      </c>
      <c r="D78" s="175">
        <v>2500.0</v>
      </c>
      <c r="E78" s="175">
        <f t="shared" si="1"/>
        <v>25625</v>
      </c>
      <c r="F78" s="177"/>
      <c r="G78" s="177"/>
      <c r="H78" s="177"/>
      <c r="I78" s="177"/>
      <c r="J78" s="178"/>
      <c r="K78" s="178"/>
      <c r="L78" s="178"/>
    </row>
    <row r="79" ht="26.25" customHeight="1">
      <c r="A79" s="176">
        <v>45672.0</v>
      </c>
      <c r="B79" s="173" t="s">
        <v>35</v>
      </c>
      <c r="C79" s="177">
        <v>13.0</v>
      </c>
      <c r="D79" s="175">
        <v>2500.0</v>
      </c>
      <c r="E79" s="175">
        <f t="shared" si="1"/>
        <v>32500</v>
      </c>
      <c r="F79" s="177"/>
      <c r="G79" s="177"/>
      <c r="H79" s="177"/>
      <c r="I79" s="177"/>
      <c r="J79" s="178"/>
      <c r="K79" s="178"/>
      <c r="L79" s="178"/>
    </row>
    <row r="80" ht="26.25" customHeight="1">
      <c r="A80" s="176">
        <v>45673.0</v>
      </c>
      <c r="B80" s="173" t="s">
        <v>35</v>
      </c>
      <c r="C80" s="177">
        <v>9.5</v>
      </c>
      <c r="D80" s="175">
        <v>2500.0</v>
      </c>
      <c r="E80" s="175">
        <f t="shared" si="1"/>
        <v>23750</v>
      </c>
      <c r="F80" s="177"/>
      <c r="G80" s="177"/>
      <c r="H80" s="177"/>
      <c r="I80" s="177"/>
      <c r="J80" s="178"/>
      <c r="K80" s="178"/>
      <c r="L80" s="178"/>
    </row>
    <row r="81" ht="26.25" customHeight="1">
      <c r="A81" s="176">
        <v>45674.0</v>
      </c>
      <c r="B81" s="173" t="s">
        <v>35</v>
      </c>
      <c r="C81" s="177">
        <v>9.5</v>
      </c>
      <c r="D81" s="175">
        <v>2500.0</v>
      </c>
      <c r="E81" s="175">
        <f t="shared" si="1"/>
        <v>23750</v>
      </c>
      <c r="F81" s="177"/>
      <c r="G81" s="177"/>
      <c r="H81" s="177"/>
      <c r="I81" s="177"/>
      <c r="J81" s="178"/>
      <c r="K81" s="178"/>
      <c r="L81" s="178"/>
    </row>
    <row r="82" ht="26.25" customHeight="1">
      <c r="A82" s="176">
        <v>45675.0</v>
      </c>
      <c r="B82" s="173" t="s">
        <v>35</v>
      </c>
      <c r="C82" s="177">
        <v>11.2</v>
      </c>
      <c r="D82" s="175">
        <v>2500.0</v>
      </c>
      <c r="E82" s="175">
        <f t="shared" si="1"/>
        <v>28000</v>
      </c>
      <c r="F82" s="177"/>
      <c r="G82" s="177"/>
      <c r="H82" s="177"/>
      <c r="I82" s="177"/>
      <c r="J82" s="178"/>
      <c r="K82" s="178"/>
      <c r="L82" s="178"/>
    </row>
    <row r="83" ht="26.25" customHeight="1">
      <c r="A83" s="176">
        <v>45676.0</v>
      </c>
      <c r="B83" s="173" t="s">
        <v>35</v>
      </c>
      <c r="C83" s="177">
        <v>11.7</v>
      </c>
      <c r="D83" s="175">
        <v>2500.0</v>
      </c>
      <c r="E83" s="175">
        <f t="shared" si="1"/>
        <v>29250</v>
      </c>
      <c r="F83" s="177"/>
      <c r="G83" s="177"/>
      <c r="H83" s="177"/>
      <c r="I83" s="177"/>
      <c r="J83" s="178"/>
      <c r="K83" s="178"/>
      <c r="L83" s="178"/>
    </row>
    <row r="84" ht="26.25" customHeight="1">
      <c r="A84" s="176">
        <v>45677.0</v>
      </c>
      <c r="B84" s="173" t="s">
        <v>35</v>
      </c>
      <c r="C84" s="177">
        <v>10.0</v>
      </c>
      <c r="D84" s="175">
        <v>2500.0</v>
      </c>
      <c r="E84" s="175">
        <f t="shared" si="1"/>
        <v>25000</v>
      </c>
      <c r="F84" s="177"/>
      <c r="G84" s="177"/>
      <c r="H84" s="177"/>
      <c r="I84" s="177"/>
      <c r="J84" s="178"/>
      <c r="K84" s="178"/>
      <c r="L84" s="178"/>
    </row>
    <row r="85" ht="26.25" customHeight="1">
      <c r="A85" s="176">
        <v>45678.0</v>
      </c>
      <c r="B85" s="173" t="s">
        <v>35</v>
      </c>
      <c r="C85" s="177">
        <v>12.45</v>
      </c>
      <c r="D85" s="175">
        <v>2500.0</v>
      </c>
      <c r="E85" s="175">
        <f t="shared" si="1"/>
        <v>31125</v>
      </c>
      <c r="F85" s="177"/>
      <c r="G85" s="177"/>
      <c r="H85" s="177"/>
      <c r="I85" s="177"/>
      <c r="J85" s="178"/>
      <c r="K85" s="178"/>
      <c r="L85" s="178"/>
    </row>
    <row r="86" ht="26.25" customHeight="1">
      <c r="A86" s="176">
        <v>45679.0</v>
      </c>
      <c r="B86" s="173" t="s">
        <v>35</v>
      </c>
      <c r="C86" s="177">
        <v>16.0</v>
      </c>
      <c r="D86" s="175">
        <v>2500.0</v>
      </c>
      <c r="E86" s="175">
        <f t="shared" si="1"/>
        <v>40000</v>
      </c>
      <c r="F86" s="177"/>
      <c r="G86" s="177"/>
      <c r="H86" s="177"/>
      <c r="I86" s="177"/>
      <c r="J86" s="178"/>
      <c r="K86" s="178"/>
      <c r="L86" s="178"/>
    </row>
    <row r="87" ht="26.25" customHeight="1">
      <c r="A87" s="176">
        <v>45680.0</v>
      </c>
      <c r="B87" s="173" t="s">
        <v>35</v>
      </c>
      <c r="C87" s="177">
        <v>14.0</v>
      </c>
      <c r="D87" s="175">
        <v>2500.0</v>
      </c>
      <c r="E87" s="175">
        <f t="shared" si="1"/>
        <v>35000</v>
      </c>
      <c r="F87" s="177"/>
      <c r="G87" s="177"/>
      <c r="H87" s="177"/>
      <c r="I87" s="177"/>
      <c r="J87" s="178"/>
      <c r="K87" s="178"/>
      <c r="L87" s="178"/>
    </row>
    <row r="88" ht="26.25" customHeight="1">
      <c r="A88" s="176">
        <v>45681.0</v>
      </c>
      <c r="B88" s="173" t="s">
        <v>35</v>
      </c>
      <c r="C88" s="177">
        <v>7.6</v>
      </c>
      <c r="D88" s="175">
        <v>2500.0</v>
      </c>
      <c r="E88" s="175">
        <f t="shared" si="1"/>
        <v>19000</v>
      </c>
      <c r="F88" s="177"/>
      <c r="G88" s="177"/>
      <c r="H88" s="177"/>
      <c r="I88" s="177"/>
      <c r="J88" s="178"/>
      <c r="K88" s="178"/>
      <c r="L88" s="178"/>
    </row>
    <row r="89" ht="26.25" customHeight="1">
      <c r="A89" s="176">
        <v>45682.0</v>
      </c>
      <c r="B89" s="173" t="s">
        <v>35</v>
      </c>
      <c r="C89" s="177"/>
      <c r="D89" s="175">
        <v>2500.0</v>
      </c>
      <c r="E89" s="175">
        <f t="shared" si="1"/>
        <v>0</v>
      </c>
      <c r="F89" s="177"/>
      <c r="G89" s="177"/>
      <c r="H89" s="177"/>
      <c r="I89" s="177"/>
      <c r="J89" s="178"/>
      <c r="K89" s="178"/>
      <c r="L89" s="178"/>
    </row>
    <row r="90" ht="26.25" customHeight="1">
      <c r="A90" s="176">
        <v>45683.0</v>
      </c>
      <c r="B90" s="173" t="s">
        <v>35</v>
      </c>
      <c r="C90" s="177">
        <v>16.0</v>
      </c>
      <c r="D90" s="175">
        <v>2500.0</v>
      </c>
      <c r="E90" s="175">
        <f t="shared" si="1"/>
        <v>40000</v>
      </c>
      <c r="F90" s="177"/>
      <c r="G90" s="177"/>
      <c r="H90" s="177"/>
      <c r="I90" s="177"/>
      <c r="J90" s="178"/>
      <c r="K90" s="178"/>
      <c r="L90" s="178"/>
    </row>
    <row r="91" ht="26.25" customHeight="1">
      <c r="A91" s="176">
        <v>45684.0</v>
      </c>
      <c r="B91" s="173" t="s">
        <v>35</v>
      </c>
      <c r="C91" s="177">
        <v>11.2</v>
      </c>
      <c r="D91" s="175">
        <v>2500.0</v>
      </c>
      <c r="E91" s="175">
        <f t="shared" si="1"/>
        <v>28000</v>
      </c>
      <c r="F91" s="177"/>
      <c r="G91" s="177"/>
      <c r="H91" s="177"/>
      <c r="I91" s="177"/>
      <c r="J91" s="178"/>
      <c r="K91" s="178"/>
      <c r="L91" s="178"/>
    </row>
    <row r="92" ht="26.25" customHeight="1">
      <c r="A92" s="176">
        <v>45685.0</v>
      </c>
      <c r="B92" s="173" t="s">
        <v>35</v>
      </c>
      <c r="C92" s="177">
        <v>10.0</v>
      </c>
      <c r="D92" s="175">
        <v>2500.0</v>
      </c>
      <c r="E92" s="175">
        <f t="shared" si="1"/>
        <v>25000</v>
      </c>
      <c r="F92" s="177"/>
      <c r="G92" s="177"/>
      <c r="H92" s="177"/>
      <c r="I92" s="177"/>
      <c r="J92" s="178"/>
      <c r="K92" s="178"/>
      <c r="L92" s="178"/>
    </row>
    <row r="93" ht="26.25" customHeight="1">
      <c r="A93" s="176">
        <v>45686.0</v>
      </c>
      <c r="B93" s="173" t="s">
        <v>35</v>
      </c>
      <c r="C93" s="177">
        <v>11.2</v>
      </c>
      <c r="D93" s="175">
        <v>2500.0</v>
      </c>
      <c r="E93" s="175">
        <f t="shared" si="1"/>
        <v>28000</v>
      </c>
      <c r="F93" s="177"/>
      <c r="G93" s="177"/>
      <c r="H93" s="177"/>
      <c r="I93" s="177"/>
      <c r="J93" s="178"/>
      <c r="K93" s="178"/>
      <c r="L93" s="178"/>
    </row>
    <row r="94" ht="26.25" customHeight="1">
      <c r="A94" s="176">
        <v>45687.0</v>
      </c>
      <c r="B94" s="173" t="s">
        <v>35</v>
      </c>
      <c r="C94" s="177">
        <v>12.0</v>
      </c>
      <c r="D94" s="175">
        <v>2500.0</v>
      </c>
      <c r="E94" s="175">
        <f t="shared" si="1"/>
        <v>30000</v>
      </c>
      <c r="F94" s="177"/>
      <c r="G94" s="177"/>
      <c r="H94" s="177"/>
      <c r="I94" s="177"/>
      <c r="J94" s="178"/>
      <c r="K94" s="178"/>
      <c r="L94" s="178"/>
    </row>
    <row r="95" ht="26.25" customHeight="1">
      <c r="A95" s="176">
        <v>45688.0</v>
      </c>
      <c r="B95" s="173" t="s">
        <v>35</v>
      </c>
      <c r="C95" s="177">
        <v>9.5</v>
      </c>
      <c r="D95" s="175">
        <v>2500.0</v>
      </c>
      <c r="E95" s="175">
        <f t="shared" si="1"/>
        <v>23750</v>
      </c>
      <c r="F95" s="177"/>
      <c r="G95" s="177"/>
      <c r="H95" s="177"/>
      <c r="I95" s="177"/>
      <c r="J95" s="178"/>
      <c r="K95" s="178"/>
      <c r="L95" s="178"/>
    </row>
    <row r="96" ht="26.25" customHeight="1">
      <c r="A96" s="176">
        <v>45658.0</v>
      </c>
      <c r="B96" s="173" t="s">
        <v>12</v>
      </c>
      <c r="C96" s="178"/>
      <c r="D96" s="175">
        <v>2500.0</v>
      </c>
      <c r="E96" s="175">
        <f t="shared" si="1"/>
        <v>0</v>
      </c>
      <c r="F96" s="177"/>
      <c r="G96" s="177"/>
      <c r="H96" s="177"/>
      <c r="I96" s="177"/>
      <c r="J96" s="178"/>
      <c r="K96" s="178"/>
      <c r="L96" s="178"/>
    </row>
    <row r="97" ht="26.25" customHeight="1">
      <c r="A97" s="176">
        <v>45659.0</v>
      </c>
      <c r="B97" s="173" t="s">
        <v>12</v>
      </c>
      <c r="C97" s="177">
        <v>8.0</v>
      </c>
      <c r="D97" s="175">
        <v>2500.0</v>
      </c>
      <c r="E97" s="175">
        <f t="shared" si="1"/>
        <v>20000</v>
      </c>
      <c r="F97" s="177"/>
      <c r="G97" s="177"/>
      <c r="H97" s="177"/>
      <c r="I97" s="177"/>
      <c r="J97" s="178"/>
      <c r="K97" s="178"/>
      <c r="L97" s="178"/>
    </row>
    <row r="98" ht="26.25" customHeight="1">
      <c r="A98" s="176">
        <v>45660.0</v>
      </c>
      <c r="B98" s="173" t="s">
        <v>12</v>
      </c>
      <c r="C98" s="177">
        <v>7.0</v>
      </c>
      <c r="D98" s="175">
        <v>2500.0</v>
      </c>
      <c r="E98" s="175">
        <f t="shared" si="1"/>
        <v>17500</v>
      </c>
      <c r="F98" s="177"/>
      <c r="G98" s="177"/>
      <c r="H98" s="177"/>
      <c r="I98" s="177"/>
      <c r="J98" s="178"/>
      <c r="K98" s="178"/>
      <c r="L98" s="178"/>
    </row>
    <row r="99" ht="26.25" customHeight="1">
      <c r="A99" s="176">
        <v>45661.0</v>
      </c>
      <c r="B99" s="173" t="s">
        <v>12</v>
      </c>
      <c r="C99" s="177">
        <v>9.0</v>
      </c>
      <c r="D99" s="175">
        <v>2500.0</v>
      </c>
      <c r="E99" s="175">
        <f t="shared" si="1"/>
        <v>22500</v>
      </c>
      <c r="F99" s="177"/>
      <c r="G99" s="177"/>
      <c r="H99" s="177"/>
      <c r="I99" s="177"/>
      <c r="J99" s="178"/>
      <c r="K99" s="178"/>
      <c r="L99" s="178"/>
    </row>
    <row r="100" ht="26.25" customHeight="1">
      <c r="A100" s="176">
        <v>45662.0</v>
      </c>
      <c r="B100" s="173" t="s">
        <v>12</v>
      </c>
      <c r="C100" s="177">
        <v>8.5</v>
      </c>
      <c r="D100" s="175">
        <v>2500.0</v>
      </c>
      <c r="E100" s="175">
        <f t="shared" si="1"/>
        <v>21250</v>
      </c>
      <c r="F100" s="177"/>
      <c r="G100" s="177"/>
      <c r="H100" s="177"/>
      <c r="I100" s="177"/>
      <c r="J100" s="178"/>
      <c r="K100" s="178"/>
      <c r="L100" s="178"/>
    </row>
    <row r="101" ht="26.25" customHeight="1">
      <c r="A101" s="176">
        <v>45663.0</v>
      </c>
      <c r="B101" s="173" t="s">
        <v>12</v>
      </c>
      <c r="C101" s="177">
        <v>8.5</v>
      </c>
      <c r="D101" s="175">
        <v>2500.0</v>
      </c>
      <c r="E101" s="175">
        <f t="shared" si="1"/>
        <v>21250</v>
      </c>
      <c r="F101" s="177"/>
      <c r="G101" s="177"/>
      <c r="H101" s="177"/>
      <c r="I101" s="177"/>
      <c r="J101" s="178"/>
      <c r="K101" s="178"/>
      <c r="L101" s="178"/>
    </row>
    <row r="102" ht="26.25" customHeight="1">
      <c r="A102" s="176">
        <v>45664.0</v>
      </c>
      <c r="B102" s="173" t="s">
        <v>12</v>
      </c>
      <c r="C102" s="177">
        <v>9.0</v>
      </c>
      <c r="D102" s="175">
        <v>2500.0</v>
      </c>
      <c r="E102" s="175">
        <f t="shared" si="1"/>
        <v>22500</v>
      </c>
      <c r="F102" s="177"/>
      <c r="G102" s="177"/>
      <c r="H102" s="177"/>
      <c r="I102" s="177"/>
      <c r="J102" s="178"/>
      <c r="K102" s="178"/>
      <c r="L102" s="178"/>
    </row>
    <row r="103" ht="26.25" customHeight="1">
      <c r="A103" s="176">
        <v>45665.0</v>
      </c>
      <c r="B103" s="173" t="s">
        <v>12</v>
      </c>
      <c r="C103" s="177">
        <v>9.25</v>
      </c>
      <c r="D103" s="175">
        <v>2500.0</v>
      </c>
      <c r="E103" s="175">
        <f t="shared" si="1"/>
        <v>23125</v>
      </c>
      <c r="F103" s="177"/>
      <c r="G103" s="177"/>
      <c r="H103" s="177"/>
      <c r="I103" s="177"/>
      <c r="J103" s="178"/>
      <c r="K103" s="178"/>
      <c r="L103" s="178"/>
    </row>
    <row r="104" ht="26.25" customHeight="1">
      <c r="A104" s="176">
        <v>45666.0</v>
      </c>
      <c r="B104" s="173" t="s">
        <v>12</v>
      </c>
      <c r="C104" s="177">
        <v>9.0</v>
      </c>
      <c r="D104" s="175">
        <v>2500.0</v>
      </c>
      <c r="E104" s="175">
        <f t="shared" si="1"/>
        <v>22500</v>
      </c>
      <c r="F104" s="177"/>
      <c r="G104" s="177"/>
      <c r="H104" s="177"/>
      <c r="I104" s="177"/>
      <c r="J104" s="178"/>
      <c r="K104" s="178"/>
      <c r="L104" s="178"/>
    </row>
    <row r="105" ht="26.25" customHeight="1">
      <c r="A105" s="176">
        <v>45667.0</v>
      </c>
      <c r="B105" s="173" t="s">
        <v>12</v>
      </c>
      <c r="C105" s="177">
        <v>5.0</v>
      </c>
      <c r="D105" s="175">
        <v>2500.0</v>
      </c>
      <c r="E105" s="175">
        <f t="shared" si="1"/>
        <v>12500</v>
      </c>
      <c r="F105" s="177"/>
      <c r="G105" s="177"/>
      <c r="H105" s="177"/>
      <c r="I105" s="177"/>
      <c r="J105" s="178"/>
      <c r="K105" s="178"/>
      <c r="L105" s="178"/>
    </row>
    <row r="106" ht="26.25" customHeight="1">
      <c r="A106" s="176">
        <v>45668.0</v>
      </c>
      <c r="B106" s="173" t="s">
        <v>12</v>
      </c>
      <c r="C106" s="177">
        <v>8.5</v>
      </c>
      <c r="D106" s="175">
        <v>2500.0</v>
      </c>
      <c r="E106" s="175">
        <f t="shared" si="1"/>
        <v>21250</v>
      </c>
      <c r="F106" s="177"/>
      <c r="G106" s="177"/>
      <c r="H106" s="177"/>
      <c r="I106" s="177"/>
      <c r="J106" s="178"/>
      <c r="K106" s="178"/>
      <c r="L106" s="178"/>
    </row>
    <row r="107" ht="26.25" customHeight="1">
      <c r="A107" s="176">
        <v>45669.0</v>
      </c>
      <c r="B107" s="173" t="s">
        <v>12</v>
      </c>
      <c r="C107" s="177"/>
      <c r="D107" s="175">
        <v>2500.0</v>
      </c>
      <c r="E107" s="175">
        <f t="shared" si="1"/>
        <v>0</v>
      </c>
      <c r="F107" s="177"/>
      <c r="G107" s="177"/>
      <c r="H107" s="177"/>
      <c r="I107" s="177"/>
      <c r="J107" s="178"/>
      <c r="K107" s="178"/>
      <c r="L107" s="178"/>
    </row>
    <row r="108" ht="26.25" customHeight="1">
      <c r="A108" s="176">
        <v>45670.0</v>
      </c>
      <c r="B108" s="173" t="s">
        <v>12</v>
      </c>
      <c r="C108" s="177">
        <v>6.0</v>
      </c>
      <c r="D108" s="175">
        <v>2500.0</v>
      </c>
      <c r="E108" s="175">
        <f t="shared" si="1"/>
        <v>15000</v>
      </c>
      <c r="F108" s="177"/>
      <c r="G108" s="177"/>
      <c r="H108" s="177"/>
      <c r="I108" s="177"/>
      <c r="J108" s="178"/>
      <c r="K108" s="178"/>
      <c r="L108" s="178"/>
    </row>
    <row r="109" ht="26.25" customHeight="1">
      <c r="A109" s="176">
        <v>45671.0</v>
      </c>
      <c r="B109" s="173" t="s">
        <v>12</v>
      </c>
      <c r="C109" s="177">
        <v>16.0</v>
      </c>
      <c r="D109" s="175">
        <v>2500.0</v>
      </c>
      <c r="E109" s="175">
        <f t="shared" si="1"/>
        <v>40000</v>
      </c>
      <c r="F109" s="177"/>
      <c r="G109" s="177"/>
      <c r="H109" s="177"/>
      <c r="I109" s="177"/>
      <c r="J109" s="178"/>
      <c r="K109" s="178"/>
      <c r="L109" s="178"/>
    </row>
    <row r="110" ht="26.25" customHeight="1">
      <c r="A110" s="176">
        <v>45672.0</v>
      </c>
      <c r="B110" s="173" t="s">
        <v>12</v>
      </c>
      <c r="C110" s="177"/>
      <c r="D110" s="175">
        <v>2500.0</v>
      </c>
      <c r="E110" s="175">
        <f t="shared" si="1"/>
        <v>0</v>
      </c>
      <c r="F110" s="177"/>
      <c r="G110" s="177"/>
      <c r="H110" s="177"/>
      <c r="I110" s="177"/>
      <c r="J110" s="178"/>
      <c r="K110" s="178"/>
      <c r="L110" s="178"/>
    </row>
    <row r="111" ht="26.25" customHeight="1">
      <c r="A111" s="176">
        <v>45673.0</v>
      </c>
      <c r="B111" s="173" t="s">
        <v>12</v>
      </c>
      <c r="C111" s="177">
        <v>9.0</v>
      </c>
      <c r="D111" s="175">
        <v>2500.0</v>
      </c>
      <c r="E111" s="175">
        <f t="shared" si="1"/>
        <v>22500</v>
      </c>
      <c r="F111" s="177"/>
      <c r="G111" s="177"/>
      <c r="H111" s="177"/>
      <c r="I111" s="177"/>
      <c r="J111" s="178"/>
      <c r="K111" s="178"/>
      <c r="L111" s="178"/>
    </row>
    <row r="112" ht="26.25" customHeight="1">
      <c r="A112" s="176">
        <v>45674.0</v>
      </c>
      <c r="B112" s="173" t="s">
        <v>12</v>
      </c>
      <c r="C112" s="177"/>
      <c r="D112" s="175">
        <v>2500.0</v>
      </c>
      <c r="E112" s="175">
        <f t="shared" si="1"/>
        <v>0</v>
      </c>
      <c r="F112" s="177"/>
      <c r="G112" s="177"/>
      <c r="H112" s="177"/>
      <c r="I112" s="177"/>
      <c r="J112" s="178"/>
      <c r="K112" s="178"/>
      <c r="L112" s="178"/>
    </row>
    <row r="113" ht="26.25" customHeight="1">
      <c r="A113" s="176">
        <v>45675.0</v>
      </c>
      <c r="B113" s="173" t="s">
        <v>12</v>
      </c>
      <c r="C113" s="177">
        <v>10.0</v>
      </c>
      <c r="D113" s="175">
        <v>2500.0</v>
      </c>
      <c r="E113" s="175">
        <f t="shared" si="1"/>
        <v>25000</v>
      </c>
      <c r="F113" s="177"/>
      <c r="G113" s="177"/>
      <c r="H113" s="177"/>
      <c r="I113" s="177"/>
      <c r="J113" s="178"/>
      <c r="K113" s="178"/>
      <c r="L113" s="178"/>
    </row>
    <row r="114" ht="26.25" customHeight="1">
      <c r="A114" s="176">
        <v>45676.0</v>
      </c>
      <c r="B114" s="173" t="s">
        <v>12</v>
      </c>
      <c r="C114" s="177">
        <v>10.0</v>
      </c>
      <c r="D114" s="175">
        <v>2500.0</v>
      </c>
      <c r="E114" s="175">
        <f t="shared" si="1"/>
        <v>25000</v>
      </c>
      <c r="F114" s="177"/>
      <c r="G114" s="177"/>
      <c r="H114" s="177"/>
      <c r="I114" s="177"/>
      <c r="J114" s="178"/>
      <c r="K114" s="178"/>
      <c r="L114" s="178"/>
    </row>
    <row r="115" ht="26.25" customHeight="1">
      <c r="A115" s="176">
        <v>45677.0</v>
      </c>
      <c r="B115" s="173" t="s">
        <v>12</v>
      </c>
      <c r="C115" s="177">
        <v>8.25</v>
      </c>
      <c r="D115" s="175">
        <v>2500.0</v>
      </c>
      <c r="E115" s="175">
        <f t="shared" si="1"/>
        <v>20625</v>
      </c>
      <c r="F115" s="177"/>
      <c r="G115" s="177"/>
      <c r="H115" s="177"/>
      <c r="I115" s="177"/>
      <c r="J115" s="178"/>
      <c r="K115" s="178"/>
      <c r="L115" s="178"/>
    </row>
    <row r="116" ht="26.25" customHeight="1">
      <c r="A116" s="176">
        <v>45678.0</v>
      </c>
      <c r="B116" s="173" t="s">
        <v>12</v>
      </c>
      <c r="C116" s="177">
        <v>9.5</v>
      </c>
      <c r="D116" s="175">
        <v>2500.0</v>
      </c>
      <c r="E116" s="175">
        <f t="shared" si="1"/>
        <v>23750</v>
      </c>
      <c r="F116" s="177"/>
      <c r="G116" s="177"/>
      <c r="H116" s="177"/>
      <c r="I116" s="177"/>
      <c r="J116" s="178"/>
      <c r="K116" s="178"/>
      <c r="L116" s="178"/>
    </row>
    <row r="117" ht="26.25" customHeight="1">
      <c r="A117" s="176">
        <v>45679.0</v>
      </c>
      <c r="B117" s="173" t="s">
        <v>12</v>
      </c>
      <c r="C117" s="177">
        <v>8.0</v>
      </c>
      <c r="D117" s="175">
        <v>2500.0</v>
      </c>
      <c r="E117" s="175">
        <f t="shared" si="1"/>
        <v>20000</v>
      </c>
      <c r="F117" s="177"/>
      <c r="G117" s="177"/>
      <c r="H117" s="177"/>
      <c r="I117" s="177"/>
      <c r="J117" s="178"/>
      <c r="K117" s="178"/>
      <c r="L117" s="178"/>
    </row>
    <row r="118" ht="26.25" customHeight="1">
      <c r="A118" s="176">
        <v>45680.0</v>
      </c>
      <c r="B118" s="173" t="s">
        <v>12</v>
      </c>
      <c r="C118" s="177">
        <v>8.5</v>
      </c>
      <c r="D118" s="175">
        <v>2500.0</v>
      </c>
      <c r="E118" s="175">
        <f t="shared" si="1"/>
        <v>21250</v>
      </c>
      <c r="F118" s="177"/>
      <c r="G118" s="177"/>
      <c r="H118" s="177"/>
      <c r="I118" s="177"/>
      <c r="J118" s="178"/>
      <c r="K118" s="178"/>
      <c r="L118" s="178"/>
    </row>
    <row r="119" ht="26.25" customHeight="1">
      <c r="A119" s="176">
        <v>45681.0</v>
      </c>
      <c r="B119" s="173" t="s">
        <v>12</v>
      </c>
      <c r="C119" s="177"/>
      <c r="D119" s="175">
        <v>2500.0</v>
      </c>
      <c r="E119" s="175">
        <f t="shared" si="1"/>
        <v>0</v>
      </c>
      <c r="F119" s="177"/>
      <c r="G119" s="177"/>
      <c r="H119" s="177"/>
      <c r="I119" s="177"/>
      <c r="J119" s="178"/>
      <c r="K119" s="178"/>
      <c r="L119" s="178"/>
    </row>
    <row r="120" ht="26.25" customHeight="1">
      <c r="A120" s="176">
        <v>45682.0</v>
      </c>
      <c r="B120" s="173" t="s">
        <v>12</v>
      </c>
      <c r="C120" s="177">
        <v>5.3</v>
      </c>
      <c r="D120" s="175">
        <v>2500.0</v>
      </c>
      <c r="E120" s="175">
        <f t="shared" si="1"/>
        <v>13250</v>
      </c>
      <c r="F120" s="177"/>
      <c r="G120" s="177"/>
      <c r="H120" s="177"/>
      <c r="I120" s="177"/>
      <c r="J120" s="178"/>
      <c r="K120" s="178"/>
      <c r="L120" s="178"/>
    </row>
    <row r="121" ht="26.25" customHeight="1">
      <c r="A121" s="176">
        <v>45683.0</v>
      </c>
      <c r="B121" s="173" t="s">
        <v>12</v>
      </c>
      <c r="C121" s="177">
        <v>7.0</v>
      </c>
      <c r="D121" s="175">
        <v>2500.0</v>
      </c>
      <c r="E121" s="175">
        <f t="shared" si="1"/>
        <v>17500</v>
      </c>
      <c r="F121" s="177"/>
      <c r="G121" s="177"/>
      <c r="H121" s="177"/>
      <c r="I121" s="177"/>
      <c r="J121" s="178"/>
      <c r="K121" s="178"/>
      <c r="L121" s="178"/>
    </row>
    <row r="122" ht="26.25" customHeight="1">
      <c r="A122" s="176">
        <v>45684.0</v>
      </c>
      <c r="B122" s="173" t="s">
        <v>12</v>
      </c>
      <c r="C122" s="177"/>
      <c r="D122" s="175">
        <v>2500.0</v>
      </c>
      <c r="E122" s="175">
        <f t="shared" si="1"/>
        <v>0</v>
      </c>
      <c r="F122" s="177"/>
      <c r="G122" s="177"/>
      <c r="H122" s="177"/>
      <c r="I122" s="177"/>
      <c r="J122" s="178"/>
      <c r="K122" s="178"/>
      <c r="L122" s="178"/>
    </row>
    <row r="123" ht="26.25" customHeight="1">
      <c r="A123" s="176">
        <v>45685.0</v>
      </c>
      <c r="B123" s="173" t="s">
        <v>12</v>
      </c>
      <c r="C123" s="177"/>
      <c r="D123" s="175">
        <v>2500.0</v>
      </c>
      <c r="E123" s="175">
        <f t="shared" si="1"/>
        <v>0</v>
      </c>
      <c r="F123" s="177"/>
      <c r="G123" s="177"/>
      <c r="H123" s="177"/>
      <c r="I123" s="177"/>
      <c r="J123" s="178"/>
      <c r="K123" s="178"/>
      <c r="L123" s="178"/>
    </row>
    <row r="124" ht="26.25" customHeight="1">
      <c r="A124" s="176">
        <v>45686.0</v>
      </c>
      <c r="B124" s="173" t="s">
        <v>12</v>
      </c>
      <c r="C124" s="177">
        <v>10.0</v>
      </c>
      <c r="D124" s="175">
        <v>2500.0</v>
      </c>
      <c r="E124" s="175">
        <f t="shared" si="1"/>
        <v>25000</v>
      </c>
      <c r="F124" s="177"/>
      <c r="G124" s="177"/>
      <c r="H124" s="177"/>
      <c r="I124" s="177"/>
      <c r="J124" s="178"/>
      <c r="K124" s="178"/>
      <c r="L124" s="178"/>
    </row>
    <row r="125" ht="26.25" customHeight="1">
      <c r="A125" s="176">
        <v>45687.0</v>
      </c>
      <c r="B125" s="173" t="s">
        <v>12</v>
      </c>
      <c r="C125" s="177">
        <v>5.0</v>
      </c>
      <c r="D125" s="175">
        <v>2500.0</v>
      </c>
      <c r="E125" s="175">
        <f t="shared" si="1"/>
        <v>12500</v>
      </c>
      <c r="F125" s="177"/>
      <c r="G125" s="177"/>
      <c r="H125" s="177"/>
      <c r="I125" s="177"/>
      <c r="J125" s="178"/>
      <c r="K125" s="178"/>
      <c r="L125" s="178"/>
    </row>
    <row r="126" ht="26.25" customHeight="1">
      <c r="A126" s="176">
        <v>45688.0</v>
      </c>
      <c r="B126" s="173" t="s">
        <v>12</v>
      </c>
      <c r="C126" s="177">
        <v>7.5</v>
      </c>
      <c r="D126" s="175">
        <v>2500.0</v>
      </c>
      <c r="E126" s="175">
        <f t="shared" si="1"/>
        <v>18750</v>
      </c>
      <c r="F126" s="177"/>
      <c r="G126" s="177"/>
      <c r="H126" s="177"/>
      <c r="I126" s="177"/>
      <c r="J126" s="178"/>
      <c r="K126" s="178"/>
      <c r="L126" s="178"/>
    </row>
    <row r="127" ht="26.25" customHeight="1">
      <c r="A127" s="176">
        <v>45658.0</v>
      </c>
      <c r="B127" s="173" t="s">
        <v>37</v>
      </c>
      <c r="C127" s="177">
        <v>9.6</v>
      </c>
      <c r="D127" s="175">
        <v>2500.0</v>
      </c>
      <c r="E127" s="175">
        <f t="shared" si="1"/>
        <v>24000</v>
      </c>
      <c r="F127" s="177"/>
      <c r="G127" s="177"/>
      <c r="H127" s="177"/>
      <c r="I127" s="177"/>
      <c r="J127" s="178"/>
      <c r="K127" s="178"/>
      <c r="L127" s="178"/>
    </row>
    <row r="128" ht="26.25" customHeight="1">
      <c r="A128" s="176">
        <v>45659.0</v>
      </c>
      <c r="B128" s="173" t="s">
        <v>37</v>
      </c>
      <c r="C128" s="177">
        <v>14.0</v>
      </c>
      <c r="D128" s="175">
        <v>2500.0</v>
      </c>
      <c r="E128" s="175">
        <f t="shared" si="1"/>
        <v>35000</v>
      </c>
      <c r="F128" s="177"/>
      <c r="G128" s="177"/>
      <c r="H128" s="177"/>
      <c r="I128" s="177"/>
      <c r="J128" s="178"/>
      <c r="K128" s="178"/>
      <c r="L128" s="178"/>
    </row>
    <row r="129" ht="26.25" customHeight="1">
      <c r="A129" s="176">
        <v>45660.0</v>
      </c>
      <c r="B129" s="173" t="s">
        <v>37</v>
      </c>
      <c r="C129" s="177">
        <v>15.0</v>
      </c>
      <c r="D129" s="175">
        <v>2500.0</v>
      </c>
      <c r="E129" s="175">
        <f t="shared" si="1"/>
        <v>37500</v>
      </c>
      <c r="F129" s="177"/>
      <c r="G129" s="177"/>
      <c r="H129" s="177"/>
      <c r="I129" s="177"/>
      <c r="J129" s="178"/>
      <c r="K129" s="178"/>
      <c r="L129" s="178"/>
    </row>
    <row r="130" ht="26.25" customHeight="1">
      <c r="A130" s="176">
        <v>45661.0</v>
      </c>
      <c r="B130" s="173" t="s">
        <v>37</v>
      </c>
      <c r="C130" s="177">
        <v>13.0</v>
      </c>
      <c r="D130" s="175">
        <v>2500.0</v>
      </c>
      <c r="E130" s="175">
        <f t="shared" si="1"/>
        <v>32500</v>
      </c>
      <c r="F130" s="177"/>
      <c r="G130" s="177"/>
      <c r="H130" s="177"/>
      <c r="I130" s="177"/>
      <c r="J130" s="178"/>
      <c r="K130" s="178"/>
      <c r="L130" s="178"/>
    </row>
    <row r="131" ht="26.25" customHeight="1">
      <c r="A131" s="176">
        <v>45662.0</v>
      </c>
      <c r="B131" s="173" t="s">
        <v>37</v>
      </c>
      <c r="C131" s="177">
        <v>10.0</v>
      </c>
      <c r="D131" s="175">
        <v>2500.0</v>
      </c>
      <c r="E131" s="175">
        <f t="shared" si="1"/>
        <v>25000</v>
      </c>
      <c r="F131" s="177"/>
      <c r="G131" s="177"/>
      <c r="H131" s="177"/>
      <c r="I131" s="177"/>
      <c r="J131" s="178"/>
      <c r="K131" s="178"/>
      <c r="L131" s="178"/>
    </row>
    <row r="132" ht="26.25" customHeight="1">
      <c r="A132" s="176">
        <v>45663.0</v>
      </c>
      <c r="B132" s="173" t="s">
        <v>37</v>
      </c>
      <c r="C132" s="177">
        <v>11.2</v>
      </c>
      <c r="D132" s="175">
        <v>2500.0</v>
      </c>
      <c r="E132" s="175">
        <f t="shared" si="1"/>
        <v>28000</v>
      </c>
      <c r="F132" s="177"/>
      <c r="G132" s="177"/>
      <c r="H132" s="177"/>
      <c r="I132" s="177"/>
      <c r="J132" s="178"/>
      <c r="K132" s="178"/>
      <c r="L132" s="178"/>
    </row>
    <row r="133" ht="26.25" customHeight="1">
      <c r="A133" s="176">
        <v>45664.0</v>
      </c>
      <c r="B133" s="173" t="s">
        <v>37</v>
      </c>
      <c r="C133" s="177">
        <v>13.0</v>
      </c>
      <c r="D133" s="175">
        <v>2500.0</v>
      </c>
      <c r="E133" s="175">
        <f t="shared" si="1"/>
        <v>32500</v>
      </c>
      <c r="F133" s="177"/>
      <c r="G133" s="177"/>
      <c r="H133" s="177"/>
      <c r="I133" s="177"/>
      <c r="J133" s="178"/>
      <c r="K133" s="178"/>
      <c r="L133" s="178"/>
    </row>
    <row r="134" ht="26.25" customHeight="1">
      <c r="A134" s="176">
        <v>45665.0</v>
      </c>
      <c r="B134" s="173" t="s">
        <v>37</v>
      </c>
      <c r="C134" s="177">
        <v>11.5</v>
      </c>
      <c r="D134" s="175">
        <v>2500.0</v>
      </c>
      <c r="E134" s="175">
        <f t="shared" si="1"/>
        <v>28750</v>
      </c>
      <c r="F134" s="177"/>
      <c r="G134" s="177"/>
      <c r="H134" s="177"/>
      <c r="I134" s="177"/>
      <c r="J134" s="178"/>
      <c r="K134" s="178"/>
      <c r="L134" s="178"/>
    </row>
    <row r="135" ht="26.25" customHeight="1">
      <c r="A135" s="176">
        <v>45666.0</v>
      </c>
      <c r="B135" s="173" t="s">
        <v>37</v>
      </c>
      <c r="C135" s="177">
        <v>13.5</v>
      </c>
      <c r="D135" s="175">
        <v>2500.0</v>
      </c>
      <c r="E135" s="175">
        <f t="shared" si="1"/>
        <v>33750</v>
      </c>
      <c r="F135" s="177"/>
      <c r="G135" s="177"/>
      <c r="H135" s="177"/>
      <c r="I135" s="177"/>
      <c r="J135" s="178"/>
      <c r="K135" s="178"/>
      <c r="L135" s="178"/>
    </row>
    <row r="136" ht="26.25" customHeight="1">
      <c r="A136" s="176">
        <v>45667.0</v>
      </c>
      <c r="B136" s="173" t="s">
        <v>37</v>
      </c>
      <c r="C136" s="177">
        <v>4.5</v>
      </c>
      <c r="D136" s="175">
        <v>2500.0</v>
      </c>
      <c r="E136" s="175">
        <f t="shared" si="1"/>
        <v>11250</v>
      </c>
      <c r="F136" s="177"/>
      <c r="G136" s="177"/>
      <c r="H136" s="177"/>
      <c r="I136" s="177"/>
      <c r="J136" s="178"/>
      <c r="K136" s="178"/>
      <c r="L136" s="178"/>
    </row>
    <row r="137" ht="26.25" customHeight="1">
      <c r="A137" s="176">
        <v>45668.0</v>
      </c>
      <c r="B137" s="173" t="s">
        <v>37</v>
      </c>
      <c r="C137" s="177">
        <v>9.0</v>
      </c>
      <c r="D137" s="175">
        <v>2500.0</v>
      </c>
      <c r="E137" s="175">
        <f t="shared" si="1"/>
        <v>22500</v>
      </c>
      <c r="F137" s="177"/>
      <c r="G137" s="177"/>
      <c r="H137" s="177"/>
      <c r="I137" s="177"/>
      <c r="J137" s="178"/>
      <c r="K137" s="178"/>
      <c r="L137" s="178"/>
    </row>
    <row r="138" ht="26.25" customHeight="1">
      <c r="A138" s="176">
        <v>45669.0</v>
      </c>
      <c r="B138" s="173" t="s">
        <v>37</v>
      </c>
      <c r="C138" s="177">
        <v>10.25</v>
      </c>
      <c r="D138" s="175">
        <v>2500.0</v>
      </c>
      <c r="E138" s="175">
        <f t="shared" si="1"/>
        <v>25625</v>
      </c>
      <c r="F138" s="177"/>
      <c r="G138" s="177"/>
      <c r="H138" s="177"/>
      <c r="I138" s="177"/>
      <c r="J138" s="178"/>
      <c r="K138" s="178"/>
      <c r="L138" s="178"/>
    </row>
    <row r="139" ht="26.25" customHeight="1">
      <c r="A139" s="176">
        <v>45670.0</v>
      </c>
      <c r="B139" s="173" t="s">
        <v>37</v>
      </c>
      <c r="C139" s="177">
        <v>11.0</v>
      </c>
      <c r="D139" s="175">
        <v>2500.0</v>
      </c>
      <c r="E139" s="175">
        <f t="shared" si="1"/>
        <v>27500</v>
      </c>
      <c r="F139" s="177"/>
      <c r="G139" s="177"/>
      <c r="H139" s="177"/>
      <c r="I139" s="177"/>
      <c r="J139" s="178"/>
      <c r="K139" s="178"/>
      <c r="L139" s="178"/>
    </row>
    <row r="140" ht="26.25" customHeight="1">
      <c r="A140" s="176">
        <v>45671.0</v>
      </c>
      <c r="B140" s="173" t="s">
        <v>37</v>
      </c>
      <c r="C140" s="177">
        <v>9.75</v>
      </c>
      <c r="D140" s="175">
        <v>2500.0</v>
      </c>
      <c r="E140" s="175">
        <f t="shared" si="1"/>
        <v>24375</v>
      </c>
      <c r="F140" s="177"/>
      <c r="G140" s="177"/>
      <c r="H140" s="177"/>
      <c r="I140" s="177"/>
      <c r="J140" s="178"/>
      <c r="K140" s="178"/>
      <c r="L140" s="178"/>
    </row>
    <row r="141" ht="26.25" customHeight="1">
      <c r="A141" s="176">
        <v>45672.0</v>
      </c>
      <c r="B141" s="173" t="s">
        <v>37</v>
      </c>
      <c r="C141" s="177">
        <v>14.25</v>
      </c>
      <c r="D141" s="175">
        <v>2500.0</v>
      </c>
      <c r="E141" s="175">
        <f t="shared" si="1"/>
        <v>35625</v>
      </c>
      <c r="F141" s="177"/>
      <c r="G141" s="177"/>
      <c r="H141" s="177"/>
      <c r="I141" s="177"/>
      <c r="J141" s="178"/>
      <c r="K141" s="178"/>
      <c r="L141" s="178"/>
    </row>
    <row r="142" ht="26.25" customHeight="1">
      <c r="A142" s="176">
        <v>45673.0</v>
      </c>
      <c r="B142" s="173" t="s">
        <v>37</v>
      </c>
      <c r="C142" s="177">
        <v>13.0</v>
      </c>
      <c r="D142" s="175">
        <v>2500.0</v>
      </c>
      <c r="E142" s="175">
        <f t="shared" si="1"/>
        <v>32500</v>
      </c>
      <c r="F142" s="177"/>
      <c r="G142" s="177"/>
      <c r="H142" s="177"/>
      <c r="I142" s="177"/>
      <c r="J142" s="178"/>
      <c r="K142" s="178"/>
      <c r="L142" s="178"/>
    </row>
    <row r="143" ht="26.25" customHeight="1">
      <c r="A143" s="176">
        <v>45674.0</v>
      </c>
      <c r="B143" s="173" t="s">
        <v>37</v>
      </c>
      <c r="C143" s="177"/>
      <c r="D143" s="175">
        <v>2500.0</v>
      </c>
      <c r="E143" s="175">
        <f t="shared" si="1"/>
        <v>0</v>
      </c>
      <c r="F143" s="177"/>
      <c r="G143" s="177"/>
      <c r="H143" s="177"/>
      <c r="I143" s="177"/>
      <c r="J143" s="178"/>
      <c r="K143" s="178"/>
      <c r="L143" s="178"/>
    </row>
    <row r="144" ht="26.25" customHeight="1">
      <c r="A144" s="176">
        <v>45675.0</v>
      </c>
      <c r="B144" s="173" t="s">
        <v>37</v>
      </c>
      <c r="C144" s="177">
        <v>13.0</v>
      </c>
      <c r="D144" s="175">
        <v>2500.0</v>
      </c>
      <c r="E144" s="175">
        <f t="shared" si="1"/>
        <v>32500</v>
      </c>
      <c r="F144" s="177"/>
      <c r="G144" s="177"/>
      <c r="H144" s="177"/>
      <c r="I144" s="177"/>
      <c r="J144" s="178"/>
      <c r="K144" s="178"/>
      <c r="L144" s="178"/>
    </row>
    <row r="145" ht="26.25" customHeight="1">
      <c r="A145" s="176">
        <v>45676.0</v>
      </c>
      <c r="B145" s="173" t="s">
        <v>37</v>
      </c>
      <c r="C145" s="177">
        <v>12.0</v>
      </c>
      <c r="D145" s="175">
        <v>2500.0</v>
      </c>
      <c r="E145" s="175">
        <f t="shared" si="1"/>
        <v>30000</v>
      </c>
      <c r="F145" s="177"/>
      <c r="G145" s="177"/>
      <c r="H145" s="177"/>
      <c r="I145" s="177"/>
      <c r="J145" s="178"/>
      <c r="K145" s="178"/>
      <c r="L145" s="178"/>
    </row>
    <row r="146" ht="26.25" customHeight="1">
      <c r="A146" s="176">
        <v>45677.0</v>
      </c>
      <c r="B146" s="173" t="s">
        <v>37</v>
      </c>
      <c r="C146" s="177">
        <v>12.0</v>
      </c>
      <c r="D146" s="175">
        <v>2500.0</v>
      </c>
      <c r="E146" s="175">
        <f t="shared" si="1"/>
        <v>30000</v>
      </c>
      <c r="F146" s="177"/>
      <c r="G146" s="177"/>
      <c r="H146" s="177"/>
      <c r="I146" s="177"/>
      <c r="J146" s="178"/>
      <c r="K146" s="178"/>
      <c r="L146" s="178"/>
    </row>
    <row r="147" ht="26.25" customHeight="1">
      <c r="A147" s="176">
        <v>45678.0</v>
      </c>
      <c r="B147" s="173" t="s">
        <v>37</v>
      </c>
      <c r="C147" s="177">
        <v>11.7</v>
      </c>
      <c r="D147" s="175">
        <v>2500.0</v>
      </c>
      <c r="E147" s="175">
        <f t="shared" si="1"/>
        <v>29250</v>
      </c>
      <c r="F147" s="177"/>
      <c r="G147" s="177"/>
      <c r="H147" s="177"/>
      <c r="I147" s="177"/>
      <c r="J147" s="178"/>
      <c r="K147" s="178"/>
      <c r="L147" s="178"/>
    </row>
    <row r="148" ht="26.25" customHeight="1">
      <c r="A148" s="176">
        <v>45679.0</v>
      </c>
      <c r="B148" s="173" t="s">
        <v>37</v>
      </c>
      <c r="C148" s="177">
        <v>15.1</v>
      </c>
      <c r="D148" s="175">
        <v>2500.0</v>
      </c>
      <c r="E148" s="175">
        <f t="shared" si="1"/>
        <v>37750</v>
      </c>
      <c r="F148" s="177"/>
      <c r="G148" s="177"/>
      <c r="H148" s="177"/>
      <c r="I148" s="177"/>
      <c r="J148" s="178"/>
      <c r="K148" s="178"/>
      <c r="L148" s="178"/>
    </row>
    <row r="149" ht="26.25" customHeight="1">
      <c r="A149" s="176">
        <v>45680.0</v>
      </c>
      <c r="B149" s="173" t="s">
        <v>37</v>
      </c>
      <c r="C149" s="177">
        <v>13.0</v>
      </c>
      <c r="D149" s="175">
        <v>2500.0</v>
      </c>
      <c r="E149" s="175">
        <f t="shared" si="1"/>
        <v>32500</v>
      </c>
      <c r="F149" s="177"/>
      <c r="G149" s="177"/>
      <c r="H149" s="177"/>
      <c r="I149" s="177"/>
      <c r="J149" s="178"/>
      <c r="K149" s="178"/>
      <c r="L149" s="178"/>
    </row>
    <row r="150" ht="26.25" customHeight="1">
      <c r="A150" s="176">
        <v>45681.0</v>
      </c>
      <c r="B150" s="173" t="s">
        <v>37</v>
      </c>
      <c r="C150" s="177">
        <v>8.0</v>
      </c>
      <c r="D150" s="175">
        <v>2500.0</v>
      </c>
      <c r="E150" s="175">
        <f t="shared" si="1"/>
        <v>20000</v>
      </c>
      <c r="F150" s="177"/>
      <c r="G150" s="177"/>
      <c r="H150" s="177"/>
      <c r="I150" s="177"/>
      <c r="J150" s="178"/>
      <c r="K150" s="178"/>
      <c r="L150" s="178"/>
    </row>
    <row r="151" ht="26.25" customHeight="1">
      <c r="A151" s="176">
        <v>45682.0</v>
      </c>
      <c r="B151" s="173" t="s">
        <v>37</v>
      </c>
      <c r="C151" s="177">
        <v>10.0</v>
      </c>
      <c r="D151" s="175">
        <v>2500.0</v>
      </c>
      <c r="E151" s="175">
        <f t="shared" si="1"/>
        <v>25000</v>
      </c>
      <c r="F151" s="177"/>
      <c r="G151" s="177"/>
      <c r="H151" s="177"/>
      <c r="I151" s="177"/>
      <c r="J151" s="178"/>
      <c r="K151" s="178"/>
      <c r="L151" s="178"/>
    </row>
    <row r="152" ht="26.25" customHeight="1">
      <c r="A152" s="176">
        <v>45683.0</v>
      </c>
      <c r="B152" s="173" t="s">
        <v>37</v>
      </c>
      <c r="C152" s="177">
        <v>13.0</v>
      </c>
      <c r="D152" s="175">
        <v>2500.0</v>
      </c>
      <c r="E152" s="175">
        <f t="shared" si="1"/>
        <v>32500</v>
      </c>
      <c r="F152" s="177"/>
      <c r="G152" s="177"/>
      <c r="H152" s="177"/>
      <c r="I152" s="177"/>
      <c r="J152" s="178"/>
      <c r="K152" s="178"/>
      <c r="L152" s="178"/>
    </row>
    <row r="153" ht="26.25" customHeight="1">
      <c r="A153" s="176">
        <v>45684.0</v>
      </c>
      <c r="B153" s="173" t="s">
        <v>37</v>
      </c>
      <c r="C153" s="177">
        <v>10.2</v>
      </c>
      <c r="D153" s="175">
        <v>2500.0</v>
      </c>
      <c r="E153" s="175">
        <f t="shared" si="1"/>
        <v>25500</v>
      </c>
      <c r="F153" s="177"/>
      <c r="G153" s="177"/>
      <c r="H153" s="177"/>
      <c r="I153" s="177"/>
      <c r="J153" s="178"/>
      <c r="K153" s="178"/>
      <c r="L153" s="178"/>
    </row>
    <row r="154" ht="26.25" customHeight="1">
      <c r="A154" s="176">
        <v>45685.0</v>
      </c>
      <c r="B154" s="173" t="s">
        <v>37</v>
      </c>
      <c r="C154" s="177">
        <v>11.0</v>
      </c>
      <c r="D154" s="175">
        <v>2500.0</v>
      </c>
      <c r="E154" s="175">
        <f t="shared" si="1"/>
        <v>27500</v>
      </c>
      <c r="F154" s="177"/>
      <c r="G154" s="177"/>
      <c r="H154" s="177"/>
      <c r="I154" s="177"/>
      <c r="J154" s="178"/>
      <c r="K154" s="178"/>
      <c r="L154" s="178"/>
    </row>
    <row r="155" ht="26.25" customHeight="1">
      <c r="A155" s="176">
        <v>45686.0</v>
      </c>
      <c r="B155" s="173" t="s">
        <v>37</v>
      </c>
      <c r="C155" s="177">
        <v>11.0</v>
      </c>
      <c r="D155" s="175">
        <v>2500.0</v>
      </c>
      <c r="E155" s="175">
        <f t="shared" si="1"/>
        <v>27500</v>
      </c>
      <c r="F155" s="177"/>
      <c r="G155" s="177"/>
      <c r="H155" s="177"/>
      <c r="I155" s="177"/>
      <c r="J155" s="178"/>
      <c r="K155" s="178"/>
      <c r="L155" s="178"/>
    </row>
    <row r="156" ht="26.25" customHeight="1">
      <c r="A156" s="176">
        <v>45687.0</v>
      </c>
      <c r="B156" s="173" t="s">
        <v>37</v>
      </c>
      <c r="C156" s="177">
        <v>10.0</v>
      </c>
      <c r="D156" s="175">
        <v>2500.0</v>
      </c>
      <c r="E156" s="175">
        <f t="shared" si="1"/>
        <v>25000</v>
      </c>
      <c r="F156" s="177"/>
      <c r="G156" s="177"/>
      <c r="H156" s="177"/>
      <c r="I156" s="177"/>
      <c r="J156" s="178"/>
      <c r="K156" s="178"/>
      <c r="L156" s="178"/>
    </row>
    <row r="157" ht="26.25" customHeight="1">
      <c r="A157" s="176">
        <v>45688.0</v>
      </c>
      <c r="B157" s="173" t="s">
        <v>37</v>
      </c>
      <c r="C157" s="177">
        <v>11.0</v>
      </c>
      <c r="D157" s="175">
        <v>2500.0</v>
      </c>
      <c r="E157" s="175">
        <f t="shared" si="1"/>
        <v>27500</v>
      </c>
      <c r="F157" s="177"/>
      <c r="G157" s="177"/>
      <c r="H157" s="177"/>
      <c r="I157" s="177"/>
      <c r="J157" s="178"/>
      <c r="K157" s="178"/>
      <c r="L157" s="178"/>
    </row>
    <row r="158" ht="26.25" customHeight="1">
      <c r="A158" s="176">
        <v>45658.0</v>
      </c>
      <c r="B158" s="173" t="s">
        <v>14</v>
      </c>
      <c r="C158" s="177">
        <v>6.25</v>
      </c>
      <c r="D158" s="175">
        <v>2500.0</v>
      </c>
      <c r="E158" s="175">
        <f t="shared" si="1"/>
        <v>15625</v>
      </c>
      <c r="F158" s="177"/>
      <c r="G158" s="177"/>
      <c r="H158" s="177"/>
      <c r="I158" s="177"/>
      <c r="J158" s="178"/>
      <c r="K158" s="178"/>
      <c r="L158" s="178"/>
    </row>
    <row r="159" ht="26.25" customHeight="1">
      <c r="A159" s="176">
        <v>45659.0</v>
      </c>
      <c r="B159" s="173" t="s">
        <v>14</v>
      </c>
      <c r="C159" s="177">
        <v>8.0</v>
      </c>
      <c r="D159" s="175">
        <v>2500.0</v>
      </c>
      <c r="E159" s="175">
        <f t="shared" si="1"/>
        <v>20000</v>
      </c>
      <c r="F159" s="177"/>
      <c r="G159" s="177"/>
      <c r="H159" s="177"/>
      <c r="I159" s="177"/>
      <c r="J159" s="178"/>
      <c r="K159" s="178"/>
      <c r="L159" s="178"/>
    </row>
    <row r="160" ht="26.25" customHeight="1">
      <c r="A160" s="176">
        <v>45660.0</v>
      </c>
      <c r="B160" s="173" t="s">
        <v>14</v>
      </c>
      <c r="C160" s="177">
        <v>10.0</v>
      </c>
      <c r="D160" s="175">
        <v>2500.0</v>
      </c>
      <c r="E160" s="175">
        <f t="shared" si="1"/>
        <v>25000</v>
      </c>
      <c r="F160" s="177"/>
      <c r="G160" s="177"/>
      <c r="H160" s="177"/>
      <c r="I160" s="177"/>
      <c r="J160" s="178"/>
      <c r="K160" s="178"/>
      <c r="L160" s="178"/>
    </row>
    <row r="161" ht="26.25" customHeight="1">
      <c r="A161" s="176">
        <v>45661.0</v>
      </c>
      <c r="B161" s="173" t="s">
        <v>14</v>
      </c>
      <c r="C161" s="177">
        <v>12.0</v>
      </c>
      <c r="D161" s="175">
        <v>2500.0</v>
      </c>
      <c r="E161" s="175">
        <f t="shared" si="1"/>
        <v>30000</v>
      </c>
      <c r="F161" s="177"/>
      <c r="G161" s="177"/>
      <c r="H161" s="177"/>
      <c r="I161" s="177"/>
      <c r="J161" s="178"/>
      <c r="K161" s="178"/>
      <c r="L161" s="178"/>
    </row>
    <row r="162" ht="26.25" customHeight="1">
      <c r="A162" s="176">
        <v>45662.0</v>
      </c>
      <c r="B162" s="173" t="s">
        <v>14</v>
      </c>
      <c r="C162" s="177">
        <v>9.0</v>
      </c>
      <c r="D162" s="175">
        <v>2500.0</v>
      </c>
      <c r="E162" s="175">
        <f t="shared" si="1"/>
        <v>22500</v>
      </c>
      <c r="F162" s="177"/>
      <c r="G162" s="177"/>
      <c r="H162" s="177"/>
      <c r="I162" s="177"/>
      <c r="J162" s="178"/>
      <c r="K162" s="178"/>
      <c r="L162" s="178"/>
    </row>
    <row r="163" ht="26.25" customHeight="1">
      <c r="A163" s="176">
        <v>45663.0</v>
      </c>
      <c r="B163" s="173" t="s">
        <v>14</v>
      </c>
      <c r="C163" s="177">
        <v>9.5</v>
      </c>
      <c r="D163" s="175">
        <v>2500.0</v>
      </c>
      <c r="E163" s="175">
        <f t="shared" si="1"/>
        <v>23750</v>
      </c>
      <c r="F163" s="177"/>
      <c r="G163" s="177"/>
      <c r="H163" s="177"/>
      <c r="I163" s="177"/>
      <c r="J163" s="178"/>
      <c r="K163" s="178"/>
      <c r="L163" s="178"/>
    </row>
    <row r="164" ht="26.25" customHeight="1">
      <c r="A164" s="176">
        <v>45664.0</v>
      </c>
      <c r="B164" s="173" t="s">
        <v>14</v>
      </c>
      <c r="C164" s="177">
        <v>8.0</v>
      </c>
      <c r="D164" s="175">
        <v>2500.0</v>
      </c>
      <c r="E164" s="175">
        <f t="shared" si="1"/>
        <v>20000</v>
      </c>
      <c r="F164" s="177"/>
      <c r="G164" s="177"/>
      <c r="H164" s="177"/>
      <c r="I164" s="177"/>
      <c r="J164" s="178"/>
      <c r="K164" s="178"/>
      <c r="L164" s="178"/>
    </row>
    <row r="165" ht="26.25" customHeight="1">
      <c r="A165" s="176">
        <v>45665.0</v>
      </c>
      <c r="B165" s="173" t="s">
        <v>14</v>
      </c>
      <c r="C165" s="177">
        <v>9.0</v>
      </c>
      <c r="D165" s="175">
        <v>2500.0</v>
      </c>
      <c r="E165" s="175">
        <f t="shared" si="1"/>
        <v>22500</v>
      </c>
      <c r="F165" s="177"/>
      <c r="G165" s="177"/>
      <c r="H165" s="177"/>
      <c r="I165" s="177"/>
      <c r="J165" s="178"/>
      <c r="K165" s="178"/>
      <c r="L165" s="178"/>
    </row>
    <row r="166" ht="26.25" customHeight="1">
      <c r="A166" s="176">
        <v>45666.0</v>
      </c>
      <c r="B166" s="173" t="s">
        <v>14</v>
      </c>
      <c r="C166" s="177">
        <v>9.25</v>
      </c>
      <c r="D166" s="175">
        <v>2500.0</v>
      </c>
      <c r="E166" s="175">
        <f t="shared" si="1"/>
        <v>23125</v>
      </c>
      <c r="F166" s="177"/>
      <c r="G166" s="177"/>
      <c r="H166" s="177"/>
      <c r="I166" s="177"/>
      <c r="J166" s="178"/>
      <c r="K166" s="178"/>
      <c r="L166" s="178"/>
    </row>
    <row r="167" ht="26.25" customHeight="1">
      <c r="A167" s="176">
        <v>45667.0</v>
      </c>
      <c r="B167" s="173" t="s">
        <v>14</v>
      </c>
      <c r="C167" s="177">
        <v>3.0</v>
      </c>
      <c r="D167" s="175">
        <v>2500.0</v>
      </c>
      <c r="E167" s="175">
        <f t="shared" si="1"/>
        <v>7500</v>
      </c>
      <c r="F167" s="177"/>
      <c r="G167" s="177"/>
      <c r="H167" s="177"/>
      <c r="I167" s="177"/>
      <c r="J167" s="178"/>
      <c r="K167" s="178"/>
      <c r="L167" s="178"/>
    </row>
    <row r="168" ht="26.25" customHeight="1">
      <c r="A168" s="176">
        <v>45668.0</v>
      </c>
      <c r="B168" s="173" t="s">
        <v>14</v>
      </c>
      <c r="C168" s="177">
        <v>9.1</v>
      </c>
      <c r="D168" s="175">
        <v>2500.0</v>
      </c>
      <c r="E168" s="175">
        <f t="shared" si="1"/>
        <v>22750</v>
      </c>
      <c r="F168" s="177"/>
      <c r="G168" s="177"/>
      <c r="H168" s="177"/>
      <c r="I168" s="177"/>
      <c r="J168" s="178"/>
      <c r="K168" s="178"/>
      <c r="L168" s="178"/>
    </row>
    <row r="169" ht="26.25" customHeight="1">
      <c r="A169" s="176">
        <v>45669.0</v>
      </c>
      <c r="B169" s="173" t="s">
        <v>14</v>
      </c>
      <c r="C169" s="177">
        <v>10.0</v>
      </c>
      <c r="D169" s="175">
        <v>2500.0</v>
      </c>
      <c r="E169" s="175">
        <f t="shared" si="1"/>
        <v>25000</v>
      </c>
      <c r="F169" s="177"/>
      <c r="G169" s="177"/>
      <c r="H169" s="177"/>
      <c r="I169" s="177"/>
      <c r="J169" s="178"/>
      <c r="K169" s="178"/>
      <c r="L169" s="178"/>
    </row>
    <row r="170" ht="26.25" customHeight="1">
      <c r="A170" s="176">
        <v>45670.0</v>
      </c>
      <c r="B170" s="173" t="s">
        <v>14</v>
      </c>
      <c r="C170" s="177">
        <v>13.0</v>
      </c>
      <c r="D170" s="175">
        <v>2500.0</v>
      </c>
      <c r="E170" s="175">
        <f t="shared" si="1"/>
        <v>32500</v>
      </c>
      <c r="F170" s="177"/>
      <c r="G170" s="177"/>
      <c r="H170" s="177"/>
      <c r="I170" s="177"/>
      <c r="J170" s="178"/>
      <c r="K170" s="178"/>
      <c r="L170" s="178"/>
    </row>
    <row r="171" ht="26.25" customHeight="1">
      <c r="A171" s="176">
        <v>45671.0</v>
      </c>
      <c r="B171" s="173" t="s">
        <v>14</v>
      </c>
      <c r="C171" s="177">
        <v>10.0</v>
      </c>
      <c r="D171" s="175">
        <v>2500.0</v>
      </c>
      <c r="E171" s="175">
        <f t="shared" si="1"/>
        <v>25000</v>
      </c>
      <c r="F171" s="177"/>
      <c r="G171" s="177"/>
      <c r="H171" s="177"/>
      <c r="I171" s="177"/>
      <c r="J171" s="178"/>
      <c r="K171" s="178"/>
      <c r="L171" s="178"/>
    </row>
    <row r="172" ht="26.25" customHeight="1">
      <c r="A172" s="176">
        <v>45672.0</v>
      </c>
      <c r="B172" s="173" t="s">
        <v>14</v>
      </c>
      <c r="C172" s="177">
        <v>7.5</v>
      </c>
      <c r="D172" s="175">
        <v>2500.0</v>
      </c>
      <c r="E172" s="175">
        <f t="shared" si="1"/>
        <v>18750</v>
      </c>
      <c r="F172" s="177"/>
      <c r="G172" s="177"/>
      <c r="H172" s="177"/>
      <c r="I172" s="177"/>
      <c r="J172" s="178"/>
      <c r="K172" s="178"/>
      <c r="L172" s="178"/>
    </row>
    <row r="173" ht="26.25" customHeight="1">
      <c r="A173" s="176">
        <v>45673.0</v>
      </c>
      <c r="B173" s="173" t="s">
        <v>14</v>
      </c>
      <c r="C173" s="177">
        <v>13.0</v>
      </c>
      <c r="D173" s="175">
        <v>2500.0</v>
      </c>
      <c r="E173" s="175">
        <f t="shared" si="1"/>
        <v>32500</v>
      </c>
      <c r="F173" s="177"/>
      <c r="G173" s="177"/>
      <c r="H173" s="177"/>
      <c r="I173" s="177"/>
      <c r="J173" s="178"/>
      <c r="K173" s="178"/>
      <c r="L173" s="178"/>
    </row>
    <row r="174" ht="26.25" customHeight="1">
      <c r="A174" s="176">
        <v>45674.0</v>
      </c>
      <c r="B174" s="173" t="s">
        <v>14</v>
      </c>
      <c r="C174" s="177"/>
      <c r="D174" s="175">
        <v>2500.0</v>
      </c>
      <c r="E174" s="175">
        <f t="shared" si="1"/>
        <v>0</v>
      </c>
      <c r="F174" s="177"/>
      <c r="G174" s="177"/>
      <c r="H174" s="177"/>
      <c r="I174" s="177"/>
      <c r="J174" s="178"/>
      <c r="K174" s="178"/>
      <c r="L174" s="178"/>
    </row>
    <row r="175" ht="26.25" customHeight="1">
      <c r="A175" s="176">
        <v>45675.0</v>
      </c>
      <c r="B175" s="173" t="s">
        <v>14</v>
      </c>
      <c r="C175" s="177">
        <v>10.5</v>
      </c>
      <c r="D175" s="175">
        <v>2500.0</v>
      </c>
      <c r="E175" s="175">
        <f t="shared" si="1"/>
        <v>26250</v>
      </c>
      <c r="F175" s="177"/>
      <c r="G175" s="177"/>
      <c r="H175" s="177"/>
      <c r="I175" s="177"/>
      <c r="J175" s="178"/>
      <c r="K175" s="178"/>
      <c r="L175" s="178"/>
    </row>
    <row r="176" ht="26.25" customHeight="1">
      <c r="A176" s="176">
        <v>45676.0</v>
      </c>
      <c r="B176" s="173" t="s">
        <v>14</v>
      </c>
      <c r="C176" s="177">
        <v>12.0</v>
      </c>
      <c r="D176" s="175">
        <v>2500.0</v>
      </c>
      <c r="E176" s="175">
        <f t="shared" si="1"/>
        <v>30000</v>
      </c>
      <c r="F176" s="177"/>
      <c r="G176" s="177"/>
      <c r="H176" s="177"/>
      <c r="I176" s="177"/>
      <c r="J176" s="178"/>
      <c r="K176" s="178"/>
      <c r="L176" s="178"/>
    </row>
    <row r="177" ht="26.25" customHeight="1">
      <c r="A177" s="176">
        <v>45677.0</v>
      </c>
      <c r="B177" s="173" t="s">
        <v>14</v>
      </c>
      <c r="C177" s="177">
        <v>8.0</v>
      </c>
      <c r="D177" s="175">
        <v>2500.0</v>
      </c>
      <c r="E177" s="175">
        <f t="shared" si="1"/>
        <v>20000</v>
      </c>
      <c r="F177" s="177"/>
      <c r="G177" s="177"/>
      <c r="H177" s="177"/>
      <c r="I177" s="177"/>
      <c r="J177" s="178"/>
      <c r="K177" s="178"/>
      <c r="L177" s="178"/>
    </row>
    <row r="178" ht="26.25" customHeight="1">
      <c r="A178" s="176">
        <v>45678.0</v>
      </c>
      <c r="B178" s="173" t="s">
        <v>14</v>
      </c>
      <c r="C178" s="177">
        <v>10.5</v>
      </c>
      <c r="D178" s="175">
        <v>2500.0</v>
      </c>
      <c r="E178" s="175">
        <f t="shared" si="1"/>
        <v>26250</v>
      </c>
      <c r="F178" s="177"/>
      <c r="G178" s="177"/>
      <c r="H178" s="177"/>
      <c r="I178" s="177"/>
      <c r="J178" s="178"/>
      <c r="K178" s="178"/>
      <c r="L178" s="178"/>
    </row>
    <row r="179" ht="26.25" customHeight="1">
      <c r="A179" s="176">
        <v>45679.0</v>
      </c>
      <c r="B179" s="173" t="s">
        <v>14</v>
      </c>
      <c r="C179" s="177">
        <v>9.0</v>
      </c>
      <c r="D179" s="175">
        <v>2500.0</v>
      </c>
      <c r="E179" s="175">
        <f t="shared" si="1"/>
        <v>22500</v>
      </c>
      <c r="F179" s="177"/>
      <c r="G179" s="177"/>
      <c r="H179" s="177"/>
      <c r="I179" s="177"/>
      <c r="J179" s="178"/>
      <c r="K179" s="178"/>
      <c r="L179" s="178"/>
    </row>
    <row r="180" ht="26.25" customHeight="1">
      <c r="A180" s="176">
        <v>45680.0</v>
      </c>
      <c r="B180" s="173" t="s">
        <v>14</v>
      </c>
      <c r="C180" s="177">
        <v>10.0</v>
      </c>
      <c r="D180" s="175">
        <v>2500.0</v>
      </c>
      <c r="E180" s="175">
        <f t="shared" si="1"/>
        <v>25000</v>
      </c>
      <c r="F180" s="177"/>
      <c r="G180" s="177"/>
      <c r="H180" s="177"/>
      <c r="I180" s="177"/>
      <c r="J180" s="178"/>
      <c r="K180" s="178"/>
      <c r="L180" s="178"/>
    </row>
    <row r="181" ht="26.25" customHeight="1">
      <c r="A181" s="176">
        <v>45681.0</v>
      </c>
      <c r="B181" s="173" t="s">
        <v>14</v>
      </c>
      <c r="C181" s="177">
        <v>10.5</v>
      </c>
      <c r="D181" s="175">
        <v>2500.0</v>
      </c>
      <c r="E181" s="175">
        <f t="shared" si="1"/>
        <v>26250</v>
      </c>
      <c r="F181" s="177"/>
      <c r="G181" s="177"/>
      <c r="H181" s="177"/>
      <c r="I181" s="177"/>
      <c r="J181" s="178"/>
      <c r="K181" s="178"/>
      <c r="L181" s="178"/>
    </row>
    <row r="182" ht="26.25" customHeight="1">
      <c r="A182" s="176">
        <v>45682.0</v>
      </c>
      <c r="B182" s="173" t="s">
        <v>14</v>
      </c>
      <c r="C182" s="177">
        <v>6.0</v>
      </c>
      <c r="D182" s="175">
        <v>2500.0</v>
      </c>
      <c r="E182" s="175">
        <f t="shared" si="1"/>
        <v>15000</v>
      </c>
      <c r="F182" s="177"/>
      <c r="G182" s="177"/>
      <c r="H182" s="177"/>
      <c r="I182" s="177"/>
      <c r="J182" s="178"/>
      <c r="K182" s="178"/>
      <c r="L182" s="178"/>
    </row>
    <row r="183" ht="26.25" customHeight="1">
      <c r="A183" s="176">
        <v>45683.0</v>
      </c>
      <c r="B183" s="173" t="s">
        <v>14</v>
      </c>
      <c r="C183" s="177">
        <v>7.0</v>
      </c>
      <c r="D183" s="175">
        <v>2500.0</v>
      </c>
      <c r="E183" s="175">
        <f t="shared" si="1"/>
        <v>17500</v>
      </c>
      <c r="F183" s="177"/>
      <c r="G183" s="177"/>
      <c r="H183" s="177"/>
      <c r="I183" s="177"/>
      <c r="J183" s="178"/>
      <c r="K183" s="178"/>
      <c r="L183" s="178"/>
    </row>
    <row r="184" ht="26.25" customHeight="1">
      <c r="A184" s="176">
        <v>45684.0</v>
      </c>
      <c r="B184" s="173" t="s">
        <v>14</v>
      </c>
      <c r="C184" s="177">
        <v>9.0</v>
      </c>
      <c r="D184" s="175">
        <v>2500.0</v>
      </c>
      <c r="E184" s="175">
        <f t="shared" si="1"/>
        <v>22500</v>
      </c>
      <c r="F184" s="177"/>
      <c r="G184" s="177"/>
      <c r="H184" s="177"/>
      <c r="I184" s="177"/>
      <c r="J184" s="178"/>
      <c r="K184" s="178"/>
      <c r="L184" s="178"/>
    </row>
    <row r="185" ht="26.25" customHeight="1">
      <c r="A185" s="176">
        <v>45685.0</v>
      </c>
      <c r="B185" s="173" t="s">
        <v>14</v>
      </c>
      <c r="C185" s="177">
        <v>9.0</v>
      </c>
      <c r="D185" s="175">
        <v>2500.0</v>
      </c>
      <c r="E185" s="175">
        <f t="shared" si="1"/>
        <v>22500</v>
      </c>
      <c r="F185" s="177"/>
      <c r="G185" s="177"/>
      <c r="H185" s="177"/>
      <c r="I185" s="177"/>
      <c r="J185" s="178"/>
      <c r="K185" s="178"/>
      <c r="L185" s="178"/>
    </row>
    <row r="186" ht="26.25" customHeight="1">
      <c r="A186" s="176">
        <v>45686.0</v>
      </c>
      <c r="B186" s="173" t="s">
        <v>14</v>
      </c>
      <c r="C186" s="177">
        <v>10.3</v>
      </c>
      <c r="D186" s="175">
        <v>2500.0</v>
      </c>
      <c r="E186" s="175">
        <f t="shared" si="1"/>
        <v>25750</v>
      </c>
      <c r="F186" s="177"/>
      <c r="G186" s="177"/>
      <c r="H186" s="177"/>
      <c r="I186" s="177"/>
      <c r="J186" s="178"/>
      <c r="K186" s="178"/>
      <c r="L186" s="178"/>
    </row>
    <row r="187" ht="26.25" customHeight="1">
      <c r="A187" s="176">
        <v>45687.0</v>
      </c>
      <c r="B187" s="173" t="s">
        <v>14</v>
      </c>
      <c r="C187" s="177">
        <v>10.0</v>
      </c>
      <c r="D187" s="175">
        <v>2500.0</v>
      </c>
      <c r="E187" s="175">
        <f t="shared" si="1"/>
        <v>25000</v>
      </c>
      <c r="F187" s="177"/>
      <c r="G187" s="177"/>
      <c r="H187" s="177"/>
      <c r="I187" s="177"/>
      <c r="J187" s="178"/>
      <c r="K187" s="178"/>
      <c r="L187" s="178"/>
    </row>
    <row r="188" ht="26.25" customHeight="1">
      <c r="A188" s="176">
        <v>45688.0</v>
      </c>
      <c r="B188" s="173" t="s">
        <v>14</v>
      </c>
      <c r="C188" s="177">
        <v>9.0</v>
      </c>
      <c r="D188" s="175">
        <v>2500.0</v>
      </c>
      <c r="E188" s="175">
        <f t="shared" si="1"/>
        <v>22500</v>
      </c>
      <c r="F188" s="177"/>
      <c r="G188" s="177"/>
      <c r="H188" s="177"/>
      <c r="I188" s="177"/>
      <c r="J188" s="178"/>
      <c r="K188" s="178"/>
      <c r="L188" s="178"/>
    </row>
    <row r="189" ht="26.25" customHeight="1">
      <c r="A189" s="176">
        <v>45658.0</v>
      </c>
      <c r="B189" s="173" t="s">
        <v>39</v>
      </c>
      <c r="C189" s="177">
        <v>5.0</v>
      </c>
      <c r="D189" s="175">
        <v>2000.0</v>
      </c>
      <c r="E189" s="175">
        <f t="shared" si="1"/>
        <v>10000</v>
      </c>
      <c r="F189" s="177"/>
      <c r="G189" s="177"/>
      <c r="H189" s="177"/>
      <c r="I189" s="177"/>
      <c r="J189" s="178"/>
      <c r="K189" s="178"/>
      <c r="L189" s="178"/>
    </row>
    <row r="190" ht="26.25" customHeight="1">
      <c r="A190" s="176">
        <v>45659.0</v>
      </c>
      <c r="B190" s="173" t="s">
        <v>39</v>
      </c>
      <c r="C190" s="177">
        <v>13.25</v>
      </c>
      <c r="D190" s="175">
        <v>2000.0</v>
      </c>
      <c r="E190" s="175">
        <f t="shared" si="1"/>
        <v>26500</v>
      </c>
      <c r="F190" s="177"/>
      <c r="G190" s="177"/>
      <c r="H190" s="177"/>
      <c r="I190" s="177"/>
      <c r="J190" s="178"/>
      <c r="K190" s="178"/>
      <c r="L190" s="178"/>
    </row>
    <row r="191" ht="26.25" customHeight="1">
      <c r="A191" s="176">
        <v>45660.0</v>
      </c>
      <c r="B191" s="173" t="s">
        <v>39</v>
      </c>
      <c r="C191" s="177">
        <v>12.0</v>
      </c>
      <c r="D191" s="175">
        <v>2000.0</v>
      </c>
      <c r="E191" s="175">
        <f t="shared" si="1"/>
        <v>24000</v>
      </c>
      <c r="F191" s="177"/>
      <c r="G191" s="177"/>
      <c r="H191" s="177"/>
      <c r="I191" s="177"/>
      <c r="J191" s="178"/>
      <c r="K191" s="178"/>
      <c r="L191" s="178"/>
    </row>
    <row r="192" ht="26.25" customHeight="1">
      <c r="A192" s="176">
        <v>45661.0</v>
      </c>
      <c r="B192" s="173" t="s">
        <v>39</v>
      </c>
      <c r="C192" s="177">
        <v>12.0</v>
      </c>
      <c r="D192" s="175">
        <v>2000.0</v>
      </c>
      <c r="E192" s="175">
        <f t="shared" si="1"/>
        <v>24000</v>
      </c>
      <c r="F192" s="177"/>
      <c r="G192" s="177"/>
      <c r="H192" s="177"/>
      <c r="I192" s="177"/>
      <c r="J192" s="178"/>
      <c r="K192" s="178"/>
      <c r="L192" s="178"/>
    </row>
    <row r="193" ht="26.25" customHeight="1">
      <c r="A193" s="176">
        <v>45662.0</v>
      </c>
      <c r="B193" s="173" t="s">
        <v>39</v>
      </c>
      <c r="C193" s="177">
        <v>9.0</v>
      </c>
      <c r="D193" s="175">
        <v>2000.0</v>
      </c>
      <c r="E193" s="175">
        <f t="shared" si="1"/>
        <v>18000</v>
      </c>
      <c r="F193" s="177"/>
      <c r="G193" s="177"/>
      <c r="H193" s="177"/>
      <c r="I193" s="177"/>
      <c r="J193" s="178"/>
      <c r="K193" s="178"/>
      <c r="L193" s="178"/>
    </row>
    <row r="194" ht="26.25" customHeight="1">
      <c r="A194" s="176">
        <v>45663.0</v>
      </c>
      <c r="B194" s="173" t="s">
        <v>39</v>
      </c>
      <c r="C194" s="177">
        <v>9.5</v>
      </c>
      <c r="D194" s="175">
        <v>2000.0</v>
      </c>
      <c r="E194" s="175">
        <f t="shared" si="1"/>
        <v>19000</v>
      </c>
      <c r="F194" s="177"/>
      <c r="G194" s="177"/>
      <c r="H194" s="177"/>
      <c r="I194" s="177"/>
      <c r="J194" s="178"/>
      <c r="K194" s="178"/>
      <c r="L194" s="178"/>
    </row>
    <row r="195" ht="26.25" customHeight="1">
      <c r="A195" s="176">
        <v>45664.0</v>
      </c>
      <c r="B195" s="173" t="s">
        <v>39</v>
      </c>
      <c r="C195" s="177">
        <v>8.0</v>
      </c>
      <c r="D195" s="175">
        <v>2000.0</v>
      </c>
      <c r="E195" s="175">
        <f t="shared" si="1"/>
        <v>16000</v>
      </c>
      <c r="F195" s="177"/>
      <c r="G195" s="177"/>
      <c r="H195" s="177"/>
      <c r="I195" s="177"/>
      <c r="J195" s="178"/>
      <c r="K195" s="178"/>
      <c r="L195" s="178"/>
    </row>
    <row r="196" ht="26.25" customHeight="1">
      <c r="A196" s="176">
        <v>45665.0</v>
      </c>
      <c r="B196" s="173" t="s">
        <v>39</v>
      </c>
      <c r="C196" s="177">
        <v>9.0</v>
      </c>
      <c r="D196" s="175">
        <v>2000.0</v>
      </c>
      <c r="E196" s="175">
        <f t="shared" si="1"/>
        <v>18000</v>
      </c>
      <c r="F196" s="177"/>
      <c r="G196" s="177"/>
      <c r="H196" s="177"/>
      <c r="I196" s="177"/>
      <c r="J196" s="178"/>
      <c r="K196" s="178"/>
      <c r="L196" s="178"/>
    </row>
    <row r="197" ht="26.25" customHeight="1">
      <c r="A197" s="176">
        <v>45666.0</v>
      </c>
      <c r="B197" s="173" t="s">
        <v>39</v>
      </c>
      <c r="C197" s="177">
        <v>9.25</v>
      </c>
      <c r="D197" s="175">
        <v>2000.0</v>
      </c>
      <c r="E197" s="175">
        <f t="shared" si="1"/>
        <v>18500</v>
      </c>
      <c r="F197" s="177"/>
      <c r="G197" s="177"/>
      <c r="H197" s="177"/>
      <c r="I197" s="177"/>
      <c r="J197" s="178"/>
      <c r="K197" s="178"/>
      <c r="L197" s="178"/>
    </row>
    <row r="198" ht="26.25" customHeight="1">
      <c r="A198" s="176">
        <v>45667.0</v>
      </c>
      <c r="B198" s="173" t="s">
        <v>39</v>
      </c>
      <c r="C198" s="177"/>
      <c r="D198" s="175">
        <v>2000.0</v>
      </c>
      <c r="E198" s="175">
        <f t="shared" si="1"/>
        <v>0</v>
      </c>
      <c r="F198" s="177"/>
      <c r="G198" s="177"/>
      <c r="H198" s="177"/>
      <c r="I198" s="177"/>
      <c r="J198" s="178"/>
      <c r="K198" s="178"/>
      <c r="L198" s="178"/>
    </row>
    <row r="199" ht="26.25" customHeight="1">
      <c r="A199" s="176">
        <v>45668.0</v>
      </c>
      <c r="B199" s="173" t="s">
        <v>39</v>
      </c>
      <c r="C199" s="177">
        <v>9.2</v>
      </c>
      <c r="D199" s="175">
        <v>2000.0</v>
      </c>
      <c r="E199" s="175">
        <f t="shared" si="1"/>
        <v>18400</v>
      </c>
      <c r="F199" s="177"/>
      <c r="G199" s="177"/>
      <c r="H199" s="177"/>
      <c r="I199" s="177"/>
      <c r="J199" s="178"/>
      <c r="K199" s="178"/>
      <c r="L199" s="178"/>
    </row>
    <row r="200" ht="26.25" customHeight="1">
      <c r="A200" s="176">
        <v>45669.0</v>
      </c>
      <c r="B200" s="173" t="s">
        <v>39</v>
      </c>
      <c r="C200" s="177">
        <v>10.0</v>
      </c>
      <c r="D200" s="175">
        <v>2000.0</v>
      </c>
      <c r="E200" s="175">
        <f t="shared" si="1"/>
        <v>20000</v>
      </c>
      <c r="F200" s="177"/>
      <c r="G200" s="177"/>
      <c r="H200" s="177"/>
      <c r="I200" s="177"/>
      <c r="J200" s="178"/>
      <c r="K200" s="178"/>
      <c r="L200" s="178"/>
    </row>
    <row r="201" ht="26.25" customHeight="1">
      <c r="A201" s="176">
        <v>45670.0</v>
      </c>
      <c r="B201" s="173" t="s">
        <v>39</v>
      </c>
      <c r="C201" s="177">
        <v>12.0</v>
      </c>
      <c r="D201" s="175">
        <v>2000.0</v>
      </c>
      <c r="E201" s="175">
        <f t="shared" si="1"/>
        <v>24000</v>
      </c>
      <c r="F201" s="177"/>
      <c r="G201" s="177"/>
      <c r="H201" s="177"/>
      <c r="I201" s="177"/>
      <c r="J201" s="178"/>
      <c r="K201" s="178"/>
      <c r="L201" s="178"/>
    </row>
    <row r="202" ht="26.25" customHeight="1">
      <c r="A202" s="176">
        <v>45671.0</v>
      </c>
      <c r="B202" s="173" t="s">
        <v>39</v>
      </c>
      <c r="C202" s="177"/>
      <c r="D202" s="175">
        <v>2000.0</v>
      </c>
      <c r="E202" s="175">
        <f t="shared" si="1"/>
        <v>0</v>
      </c>
      <c r="F202" s="177"/>
      <c r="G202" s="177"/>
      <c r="H202" s="177"/>
      <c r="I202" s="177"/>
      <c r="J202" s="178"/>
      <c r="K202" s="178"/>
      <c r="L202" s="178"/>
    </row>
    <row r="203" ht="26.25" customHeight="1">
      <c r="A203" s="176">
        <v>45672.0</v>
      </c>
      <c r="B203" s="173" t="s">
        <v>39</v>
      </c>
      <c r="C203" s="177"/>
      <c r="D203" s="175">
        <v>2000.0</v>
      </c>
      <c r="E203" s="175">
        <f t="shared" si="1"/>
        <v>0</v>
      </c>
      <c r="F203" s="177"/>
      <c r="G203" s="177"/>
      <c r="H203" s="177"/>
      <c r="I203" s="177"/>
      <c r="J203" s="178"/>
      <c r="K203" s="178"/>
      <c r="L203" s="178"/>
    </row>
    <row r="204" ht="26.25" customHeight="1">
      <c r="A204" s="176">
        <v>45673.0</v>
      </c>
      <c r="B204" s="173" t="s">
        <v>39</v>
      </c>
      <c r="C204" s="177">
        <v>12.0</v>
      </c>
      <c r="D204" s="175">
        <v>2000.0</v>
      </c>
      <c r="E204" s="175">
        <f t="shared" si="1"/>
        <v>24000</v>
      </c>
      <c r="F204" s="177"/>
      <c r="G204" s="177"/>
      <c r="H204" s="177"/>
      <c r="I204" s="177"/>
      <c r="J204" s="178"/>
      <c r="K204" s="178"/>
      <c r="L204" s="178"/>
    </row>
    <row r="205" ht="26.25" customHeight="1">
      <c r="A205" s="176">
        <v>45674.0</v>
      </c>
      <c r="B205" s="173" t="s">
        <v>39</v>
      </c>
      <c r="C205" s="177"/>
      <c r="D205" s="175">
        <v>2000.0</v>
      </c>
      <c r="E205" s="175">
        <f t="shared" si="1"/>
        <v>0</v>
      </c>
      <c r="F205" s="177"/>
      <c r="G205" s="177"/>
      <c r="H205" s="177"/>
      <c r="I205" s="177"/>
      <c r="J205" s="178"/>
      <c r="K205" s="178"/>
      <c r="L205" s="178"/>
    </row>
    <row r="206" ht="26.25" customHeight="1">
      <c r="A206" s="176">
        <v>45675.0</v>
      </c>
      <c r="B206" s="173" t="s">
        <v>39</v>
      </c>
      <c r="C206" s="177">
        <v>10.5</v>
      </c>
      <c r="D206" s="175">
        <v>2000.0</v>
      </c>
      <c r="E206" s="175">
        <f t="shared" si="1"/>
        <v>21000</v>
      </c>
      <c r="F206" s="177"/>
      <c r="G206" s="177"/>
      <c r="H206" s="177"/>
      <c r="I206" s="177"/>
      <c r="J206" s="178"/>
      <c r="K206" s="178"/>
      <c r="L206" s="178"/>
    </row>
    <row r="207" ht="26.25" customHeight="1">
      <c r="A207" s="176">
        <v>45676.0</v>
      </c>
      <c r="B207" s="173" t="s">
        <v>39</v>
      </c>
      <c r="C207" s="177">
        <v>10.0</v>
      </c>
      <c r="D207" s="175">
        <v>2000.0</v>
      </c>
      <c r="E207" s="175">
        <f t="shared" si="1"/>
        <v>20000</v>
      </c>
      <c r="F207" s="177"/>
      <c r="G207" s="177"/>
      <c r="H207" s="177"/>
      <c r="I207" s="177"/>
      <c r="J207" s="178"/>
      <c r="K207" s="178"/>
      <c r="L207" s="178"/>
    </row>
    <row r="208" ht="26.25" customHeight="1">
      <c r="A208" s="176">
        <v>45677.0</v>
      </c>
      <c r="B208" s="173" t="s">
        <v>39</v>
      </c>
      <c r="C208" s="177">
        <v>8.25</v>
      </c>
      <c r="D208" s="175">
        <v>2000.0</v>
      </c>
      <c r="E208" s="175">
        <f t="shared" si="1"/>
        <v>16500</v>
      </c>
      <c r="F208" s="177"/>
      <c r="G208" s="177"/>
      <c r="H208" s="177"/>
      <c r="I208" s="177"/>
      <c r="J208" s="178"/>
      <c r="K208" s="178"/>
      <c r="L208" s="178"/>
    </row>
    <row r="209" ht="26.25" customHeight="1">
      <c r="A209" s="176">
        <v>45678.0</v>
      </c>
      <c r="B209" s="173" t="s">
        <v>39</v>
      </c>
      <c r="C209" s="177">
        <v>10.5</v>
      </c>
      <c r="D209" s="175">
        <v>2000.0</v>
      </c>
      <c r="E209" s="175">
        <f t="shared" si="1"/>
        <v>21000</v>
      </c>
      <c r="F209" s="177"/>
      <c r="G209" s="177"/>
      <c r="H209" s="177"/>
      <c r="I209" s="177"/>
      <c r="J209" s="178"/>
      <c r="K209" s="178"/>
      <c r="L209" s="178"/>
    </row>
    <row r="210" ht="26.25" customHeight="1">
      <c r="A210" s="176">
        <v>45679.0</v>
      </c>
      <c r="B210" s="173" t="s">
        <v>39</v>
      </c>
      <c r="C210" s="177">
        <v>8.0</v>
      </c>
      <c r="D210" s="175">
        <v>2000.0</v>
      </c>
      <c r="E210" s="175">
        <f t="shared" si="1"/>
        <v>16000</v>
      </c>
      <c r="F210" s="177"/>
      <c r="G210" s="177"/>
      <c r="H210" s="177"/>
      <c r="I210" s="177"/>
      <c r="J210" s="178"/>
      <c r="K210" s="178"/>
      <c r="L210" s="178"/>
    </row>
    <row r="211" ht="26.25" customHeight="1">
      <c r="A211" s="176">
        <v>45680.0</v>
      </c>
      <c r="B211" s="173" t="s">
        <v>39</v>
      </c>
      <c r="C211" s="177">
        <v>10.0</v>
      </c>
      <c r="D211" s="175">
        <v>2000.0</v>
      </c>
      <c r="E211" s="175">
        <f t="shared" si="1"/>
        <v>20000</v>
      </c>
      <c r="F211" s="177"/>
      <c r="G211" s="177"/>
      <c r="H211" s="177"/>
      <c r="I211" s="177"/>
      <c r="J211" s="178"/>
      <c r="K211" s="178"/>
      <c r="L211" s="178"/>
    </row>
    <row r="212" ht="26.25" customHeight="1">
      <c r="A212" s="176">
        <v>45681.0</v>
      </c>
      <c r="B212" s="173" t="s">
        <v>39</v>
      </c>
      <c r="C212" s="177">
        <v>8.0</v>
      </c>
      <c r="D212" s="175">
        <v>2000.0</v>
      </c>
      <c r="E212" s="175">
        <f t="shared" si="1"/>
        <v>16000</v>
      </c>
      <c r="F212" s="177"/>
      <c r="G212" s="177"/>
      <c r="H212" s="177"/>
      <c r="I212" s="177"/>
      <c r="J212" s="178"/>
      <c r="K212" s="178"/>
      <c r="L212" s="178"/>
    </row>
    <row r="213" ht="26.25" customHeight="1">
      <c r="A213" s="176">
        <v>45682.0</v>
      </c>
      <c r="B213" s="173" t="s">
        <v>39</v>
      </c>
      <c r="C213" s="177">
        <v>5.25</v>
      </c>
      <c r="D213" s="175">
        <v>2000.0</v>
      </c>
      <c r="E213" s="175">
        <f t="shared" si="1"/>
        <v>10500</v>
      </c>
      <c r="F213" s="177"/>
      <c r="G213" s="177"/>
      <c r="H213" s="177"/>
      <c r="I213" s="177"/>
      <c r="J213" s="178"/>
      <c r="K213" s="178"/>
      <c r="L213" s="178"/>
    </row>
    <row r="214" ht="26.25" customHeight="1">
      <c r="A214" s="176">
        <v>45683.0</v>
      </c>
      <c r="B214" s="173" t="s">
        <v>39</v>
      </c>
      <c r="C214" s="177">
        <v>7.0</v>
      </c>
      <c r="D214" s="175">
        <v>2000.0</v>
      </c>
      <c r="E214" s="175">
        <f t="shared" si="1"/>
        <v>14000</v>
      </c>
      <c r="F214" s="177"/>
      <c r="G214" s="177"/>
      <c r="H214" s="177"/>
      <c r="I214" s="177"/>
      <c r="J214" s="178"/>
      <c r="K214" s="178"/>
      <c r="L214" s="178"/>
    </row>
    <row r="215" ht="26.25" customHeight="1">
      <c r="A215" s="176">
        <v>45684.0</v>
      </c>
      <c r="B215" s="173" t="s">
        <v>39</v>
      </c>
      <c r="C215" s="177">
        <v>9.0</v>
      </c>
      <c r="D215" s="175">
        <v>2000.0</v>
      </c>
      <c r="E215" s="175">
        <f t="shared" si="1"/>
        <v>18000</v>
      </c>
      <c r="F215" s="177"/>
      <c r="G215" s="177"/>
      <c r="H215" s="177"/>
      <c r="I215" s="177"/>
      <c r="J215" s="178"/>
      <c r="K215" s="178"/>
      <c r="L215" s="178"/>
    </row>
    <row r="216" ht="26.25" customHeight="1">
      <c r="A216" s="176">
        <v>45685.0</v>
      </c>
      <c r="B216" s="173" t="s">
        <v>39</v>
      </c>
      <c r="C216" s="177">
        <v>9.0</v>
      </c>
      <c r="D216" s="175">
        <v>2000.0</v>
      </c>
      <c r="E216" s="175">
        <f t="shared" si="1"/>
        <v>18000</v>
      </c>
      <c r="F216" s="177"/>
      <c r="G216" s="177"/>
      <c r="H216" s="177"/>
      <c r="I216" s="177"/>
      <c r="J216" s="178"/>
      <c r="K216" s="178"/>
      <c r="L216" s="178"/>
    </row>
    <row r="217" ht="26.25" customHeight="1">
      <c r="A217" s="176">
        <v>45686.0</v>
      </c>
      <c r="B217" s="173" t="s">
        <v>39</v>
      </c>
      <c r="C217" s="177">
        <v>9.5</v>
      </c>
      <c r="D217" s="175">
        <v>2000.0</v>
      </c>
      <c r="E217" s="175">
        <f t="shared" si="1"/>
        <v>19000</v>
      </c>
      <c r="F217" s="177"/>
      <c r="G217" s="177"/>
      <c r="H217" s="177"/>
      <c r="I217" s="177"/>
      <c r="J217" s="178"/>
      <c r="K217" s="178"/>
      <c r="L217" s="178"/>
    </row>
    <row r="218" ht="26.25" customHeight="1">
      <c r="A218" s="176">
        <v>45687.0</v>
      </c>
      <c r="B218" s="173" t="s">
        <v>39</v>
      </c>
      <c r="C218" s="177">
        <v>10.0</v>
      </c>
      <c r="D218" s="175">
        <v>2000.0</v>
      </c>
      <c r="E218" s="175">
        <f t="shared" si="1"/>
        <v>20000</v>
      </c>
      <c r="F218" s="177"/>
      <c r="G218" s="177"/>
      <c r="H218" s="177"/>
      <c r="I218" s="177"/>
      <c r="J218" s="178"/>
      <c r="K218" s="178"/>
      <c r="L218" s="178"/>
    </row>
    <row r="219" ht="26.25" customHeight="1">
      <c r="A219" s="176">
        <v>45688.0</v>
      </c>
      <c r="B219" s="173" t="s">
        <v>39</v>
      </c>
      <c r="C219" s="177">
        <v>8.5</v>
      </c>
      <c r="D219" s="175">
        <v>2000.0</v>
      </c>
      <c r="E219" s="175">
        <f t="shared" si="1"/>
        <v>17000</v>
      </c>
      <c r="F219" s="177"/>
      <c r="G219" s="177"/>
      <c r="H219" s="177"/>
      <c r="I219" s="177"/>
      <c r="J219" s="178"/>
      <c r="K219" s="178"/>
      <c r="L219" s="178"/>
    </row>
    <row r="220" ht="26.25" customHeight="1">
      <c r="A220" s="173" t="s">
        <v>9</v>
      </c>
      <c r="B220" s="173"/>
      <c r="C220" s="177"/>
      <c r="D220" s="175"/>
      <c r="E220" s="175"/>
      <c r="F220" s="177"/>
      <c r="G220" s="177"/>
      <c r="H220" s="177"/>
      <c r="I220" s="177"/>
      <c r="J220" s="178"/>
      <c r="K220" s="178"/>
      <c r="L220" s="178"/>
    </row>
    <row r="221" ht="26.25" customHeight="1">
      <c r="A221" s="173" t="s">
        <v>37</v>
      </c>
      <c r="B221" s="173"/>
      <c r="C221" s="177"/>
      <c r="D221" s="175"/>
      <c r="E221" s="175"/>
      <c r="F221" s="177"/>
      <c r="G221" s="177"/>
      <c r="H221" s="177"/>
      <c r="I221" s="177"/>
      <c r="J221" s="178"/>
      <c r="K221" s="178"/>
      <c r="L221" s="178"/>
    </row>
    <row r="222" ht="26.25" customHeight="1">
      <c r="A222" s="173" t="s">
        <v>14</v>
      </c>
      <c r="B222" s="173"/>
      <c r="C222" s="177"/>
      <c r="D222" s="175"/>
      <c r="E222" s="175"/>
      <c r="F222" s="177"/>
      <c r="G222" s="177"/>
      <c r="H222" s="177"/>
      <c r="I222" s="177"/>
      <c r="J222" s="178"/>
      <c r="K222" s="178"/>
      <c r="L222" s="178"/>
    </row>
    <row r="223" ht="26.25" customHeight="1">
      <c r="A223" s="173" t="s">
        <v>42</v>
      </c>
      <c r="B223" s="173"/>
      <c r="C223" s="177"/>
      <c r="D223" s="175"/>
      <c r="E223" s="175"/>
      <c r="F223" s="177"/>
      <c r="G223" s="177"/>
      <c r="H223" s="177"/>
      <c r="I223" s="177"/>
      <c r="J223" s="178"/>
      <c r="K223" s="178"/>
      <c r="L223" s="178"/>
    </row>
    <row r="224" ht="26.25" customHeight="1">
      <c r="A224" s="173" t="s">
        <v>39</v>
      </c>
      <c r="B224" s="173"/>
      <c r="C224" s="177"/>
      <c r="D224" s="175"/>
      <c r="E224" s="175"/>
      <c r="F224" s="177"/>
      <c r="G224" s="177"/>
      <c r="H224" s="177"/>
      <c r="I224" s="177"/>
      <c r="J224" s="178"/>
      <c r="K224" s="178"/>
      <c r="L224" s="178"/>
    </row>
    <row r="225" ht="26.25" customHeight="1">
      <c r="A225" s="173" t="s">
        <v>37</v>
      </c>
      <c r="B225" s="173"/>
      <c r="C225" s="177"/>
      <c r="D225" s="175"/>
      <c r="E225" s="175"/>
      <c r="F225" s="177"/>
      <c r="G225" s="177"/>
      <c r="H225" s="177"/>
      <c r="I225" s="177"/>
      <c r="J225" s="178"/>
      <c r="K225" s="178"/>
      <c r="L225" s="178"/>
    </row>
    <row r="226" ht="26.25" customHeight="1">
      <c r="A226" s="176"/>
      <c r="B226" s="173"/>
      <c r="C226" s="177"/>
      <c r="D226" s="175"/>
      <c r="E226" s="175"/>
      <c r="F226" s="177"/>
      <c r="G226" s="177"/>
      <c r="H226" s="177"/>
      <c r="I226" s="177"/>
      <c r="J226" s="178"/>
      <c r="K226" s="178"/>
      <c r="L226" s="178"/>
    </row>
    <row r="227" ht="26.25" customHeight="1">
      <c r="A227" s="176"/>
      <c r="B227" s="173"/>
      <c r="C227" s="177"/>
      <c r="D227" s="175"/>
      <c r="E227" s="175"/>
      <c r="F227" s="177"/>
      <c r="G227" s="177"/>
      <c r="H227" s="177"/>
      <c r="I227" s="177"/>
      <c r="J227" s="178"/>
      <c r="K227" s="178"/>
      <c r="L227" s="178"/>
    </row>
    <row r="228" ht="26.25" customHeight="1">
      <c r="A228" s="176"/>
      <c r="B228" s="173"/>
      <c r="C228" s="177"/>
      <c r="D228" s="175"/>
      <c r="E228" s="175"/>
      <c r="F228" s="177"/>
      <c r="G228" s="177"/>
      <c r="H228" s="177"/>
      <c r="I228" s="177"/>
      <c r="J228" s="178"/>
      <c r="K228" s="178"/>
      <c r="L228" s="178"/>
    </row>
    <row r="229" ht="26.25" customHeight="1">
      <c r="A229" s="179"/>
      <c r="B229" s="180">
        <f>sum(B3:B33)</f>
        <v>0</v>
      </c>
      <c r="C229" s="180">
        <f>sum(C3:C219)</f>
        <v>1901.15</v>
      </c>
      <c r="D229" s="181">
        <f>sum(D3:D33)</f>
        <v>46500</v>
      </c>
      <c r="E229" s="181">
        <f>sum(E3:E219)</f>
        <v>4522300</v>
      </c>
      <c r="F229" s="180">
        <f t="shared" ref="F229:J229" si="2">sum(F3:F33)</f>
        <v>0</v>
      </c>
      <c r="G229" s="180">
        <f t="shared" si="2"/>
        <v>0</v>
      </c>
      <c r="H229" s="180">
        <f t="shared" si="2"/>
        <v>0</v>
      </c>
      <c r="I229" s="180">
        <f t="shared" si="2"/>
        <v>0</v>
      </c>
      <c r="J229" s="180">
        <f t="shared" si="2"/>
        <v>0</v>
      </c>
      <c r="K229" s="180"/>
      <c r="L229" s="180"/>
    </row>
    <row r="230" ht="26.25" customHeight="1">
      <c r="A230" s="179"/>
      <c r="B230" s="181">
        <f t="shared" ref="B230:J230" si="3">B229*B2</f>
        <v>0</v>
      </c>
      <c r="C230" s="181">
        <f t="shared" si="3"/>
        <v>0</v>
      </c>
      <c r="D230" s="181">
        <f t="shared" si="3"/>
        <v>0</v>
      </c>
      <c r="E230" s="181">
        <f t="shared" si="3"/>
        <v>0</v>
      </c>
      <c r="F230" s="181">
        <f t="shared" si="3"/>
        <v>0</v>
      </c>
      <c r="G230" s="181">
        <f t="shared" si="3"/>
        <v>0</v>
      </c>
      <c r="H230" s="181">
        <f t="shared" si="3"/>
        <v>0</v>
      </c>
      <c r="I230" s="181">
        <f t="shared" si="3"/>
        <v>0</v>
      </c>
      <c r="J230" s="181">
        <f t="shared" si="3"/>
        <v>0</v>
      </c>
      <c r="K230" s="180"/>
      <c r="L230" s="180"/>
    </row>
    <row r="231" ht="26.25" customHeight="1">
      <c r="A231" s="176">
        <v>45689.0</v>
      </c>
      <c r="B231" s="178"/>
      <c r="C231" s="177">
        <v>8.0</v>
      </c>
      <c r="D231" s="175">
        <v>8.0</v>
      </c>
      <c r="E231" s="175">
        <v>11.0</v>
      </c>
      <c r="F231" s="177">
        <v>9.0</v>
      </c>
      <c r="G231" s="177">
        <v>12.0</v>
      </c>
      <c r="H231" s="177">
        <v>9.0</v>
      </c>
      <c r="I231" s="177"/>
      <c r="J231" s="178"/>
      <c r="K231" s="178"/>
      <c r="L231" s="178"/>
    </row>
    <row r="232" ht="26.25" customHeight="1">
      <c r="A232" s="176">
        <v>45690.0</v>
      </c>
      <c r="B232" s="178"/>
      <c r="C232" s="177">
        <v>11.0</v>
      </c>
      <c r="D232" s="175">
        <v>11.0</v>
      </c>
      <c r="E232" s="175">
        <v>12.0</v>
      </c>
      <c r="F232" s="177">
        <v>12.0</v>
      </c>
      <c r="G232" s="177">
        <v>10.0</v>
      </c>
      <c r="H232" s="177">
        <v>10.0</v>
      </c>
      <c r="I232" s="177">
        <v>12.0</v>
      </c>
      <c r="J232" s="178"/>
      <c r="K232" s="178"/>
      <c r="L232" s="178"/>
    </row>
    <row r="233" ht="26.25" customHeight="1">
      <c r="A233" s="176">
        <v>45691.0</v>
      </c>
      <c r="B233" s="178"/>
      <c r="C233" s="177">
        <v>10.0</v>
      </c>
      <c r="D233" s="175">
        <v>9.0</v>
      </c>
      <c r="E233" s="175">
        <v>10.5</v>
      </c>
      <c r="F233" s="177">
        <v>9.0</v>
      </c>
      <c r="G233" s="177">
        <v>11.5</v>
      </c>
      <c r="H233" s="177">
        <v>9.0</v>
      </c>
      <c r="I233" s="177"/>
      <c r="J233" s="178"/>
      <c r="K233" s="178"/>
      <c r="L233" s="178"/>
    </row>
    <row r="234" ht="26.25" customHeight="1">
      <c r="A234" s="176">
        <v>45692.0</v>
      </c>
      <c r="B234" s="178"/>
      <c r="C234" s="177">
        <v>9.0</v>
      </c>
      <c r="D234" s="175">
        <v>16.0</v>
      </c>
      <c r="E234" s="175">
        <v>12.0</v>
      </c>
      <c r="F234" s="177"/>
      <c r="G234" s="177">
        <v>12.0</v>
      </c>
      <c r="H234" s="177">
        <v>8.0</v>
      </c>
      <c r="I234" s="177">
        <v>10.0</v>
      </c>
      <c r="J234" s="178"/>
      <c r="K234" s="178"/>
      <c r="L234" s="178"/>
    </row>
    <row r="235" ht="26.25" customHeight="1">
      <c r="A235" s="176">
        <v>45693.0</v>
      </c>
      <c r="B235" s="178"/>
      <c r="C235" s="177">
        <v>13.0</v>
      </c>
      <c r="D235" s="175">
        <v>8.0</v>
      </c>
      <c r="E235" s="175">
        <v>11.0</v>
      </c>
      <c r="F235" s="177">
        <v>10.0</v>
      </c>
      <c r="G235" s="177">
        <v>10.5</v>
      </c>
      <c r="H235" s="177"/>
      <c r="I235" s="177">
        <v>10.0</v>
      </c>
      <c r="J235" s="178"/>
      <c r="K235" s="178"/>
      <c r="L235" s="178"/>
    </row>
    <row r="236" ht="26.25" customHeight="1">
      <c r="A236" s="176">
        <v>45694.0</v>
      </c>
      <c r="B236" s="178"/>
      <c r="C236" s="177"/>
      <c r="D236" s="175">
        <v>10.0</v>
      </c>
      <c r="E236" s="175">
        <v>12.0</v>
      </c>
      <c r="F236" s="177">
        <v>8.0</v>
      </c>
      <c r="G236" s="177">
        <v>13.5</v>
      </c>
      <c r="H236" s="177">
        <v>10.0</v>
      </c>
      <c r="I236" s="177">
        <v>10.0</v>
      </c>
      <c r="J236" s="178"/>
      <c r="K236" s="178"/>
      <c r="L236" s="178"/>
    </row>
    <row r="237" ht="26.25" customHeight="1">
      <c r="A237" s="176">
        <v>45695.0</v>
      </c>
      <c r="B237" s="178"/>
      <c r="C237" s="177"/>
      <c r="D237" s="175">
        <v>10.0</v>
      </c>
      <c r="E237" s="175">
        <v>10.0</v>
      </c>
      <c r="F237" s="177"/>
      <c r="G237" s="177">
        <v>7.0</v>
      </c>
      <c r="H237" s="177">
        <v>11.0</v>
      </c>
      <c r="I237" s="177">
        <v>8.0</v>
      </c>
      <c r="J237" s="178"/>
      <c r="K237" s="178"/>
      <c r="L237" s="178"/>
    </row>
    <row r="238" ht="26.25" customHeight="1">
      <c r="A238" s="176">
        <v>45696.0</v>
      </c>
      <c r="B238" s="178"/>
      <c r="C238" s="177">
        <v>10.0</v>
      </c>
      <c r="D238" s="175">
        <v>9.0</v>
      </c>
      <c r="E238" s="175">
        <v>11.0</v>
      </c>
      <c r="F238" s="177">
        <v>10.0</v>
      </c>
      <c r="G238" s="177">
        <v>12.0</v>
      </c>
      <c r="H238" s="177">
        <v>12.0</v>
      </c>
      <c r="I238" s="177">
        <v>11.0</v>
      </c>
      <c r="J238" s="178"/>
      <c r="K238" s="178"/>
      <c r="L238" s="178"/>
    </row>
    <row r="239" ht="26.25" customHeight="1">
      <c r="A239" s="176">
        <v>45697.0</v>
      </c>
      <c r="B239" s="178"/>
      <c r="C239" s="177">
        <v>11.0</v>
      </c>
      <c r="D239" s="175">
        <v>10.0</v>
      </c>
      <c r="E239" s="175">
        <v>9.5</v>
      </c>
      <c r="F239" s="177">
        <v>11.0</v>
      </c>
      <c r="G239" s="177">
        <v>12.0</v>
      </c>
      <c r="H239" s="177">
        <v>8.0</v>
      </c>
      <c r="I239" s="177">
        <v>12.0</v>
      </c>
      <c r="J239" s="178"/>
      <c r="K239" s="178"/>
      <c r="L239" s="178"/>
    </row>
    <row r="240" ht="26.25" customHeight="1">
      <c r="A240" s="176">
        <v>45698.0</v>
      </c>
      <c r="B240" s="178"/>
      <c r="C240" s="177">
        <v>7.0</v>
      </c>
      <c r="D240" s="175">
        <v>15.0</v>
      </c>
      <c r="E240" s="175">
        <v>11.0</v>
      </c>
      <c r="F240" s="177">
        <v>11.0</v>
      </c>
      <c r="G240" s="177">
        <v>13.5</v>
      </c>
      <c r="H240" s="177">
        <v>9.0</v>
      </c>
      <c r="I240" s="177">
        <v>11.0</v>
      </c>
      <c r="J240" s="178"/>
      <c r="K240" s="178"/>
      <c r="L240" s="178"/>
    </row>
    <row r="241" ht="26.25" customHeight="1">
      <c r="A241" s="176">
        <v>45699.0</v>
      </c>
      <c r="B241" s="178"/>
      <c r="C241" s="177">
        <v>9.0</v>
      </c>
      <c r="D241" s="175">
        <v>12.0</v>
      </c>
      <c r="E241" s="175">
        <v>10.0</v>
      </c>
      <c r="F241" s="177">
        <v>21.0</v>
      </c>
      <c r="G241" s="177">
        <v>11.0</v>
      </c>
      <c r="H241" s="177">
        <v>6.0</v>
      </c>
      <c r="I241" s="177">
        <v>11.0</v>
      </c>
      <c r="J241" s="178"/>
      <c r="K241" s="178"/>
      <c r="L241" s="178"/>
    </row>
    <row r="242" ht="26.25" customHeight="1">
      <c r="A242" s="176">
        <v>45700.0</v>
      </c>
      <c r="B242" s="178"/>
      <c r="C242" s="177">
        <v>8.0</v>
      </c>
      <c r="D242" s="175">
        <v>11.0</v>
      </c>
      <c r="E242" s="175">
        <v>10.5</v>
      </c>
      <c r="F242" s="177">
        <v>6.0</v>
      </c>
      <c r="G242" s="177">
        <v>10.0</v>
      </c>
      <c r="H242" s="177">
        <v>12.0</v>
      </c>
      <c r="I242" s="177">
        <v>13.0</v>
      </c>
      <c r="J242" s="178"/>
      <c r="K242" s="178"/>
      <c r="L242" s="178"/>
    </row>
    <row r="243" ht="26.25" customHeight="1">
      <c r="A243" s="176">
        <v>45701.0</v>
      </c>
      <c r="B243" s="178"/>
      <c r="C243" s="177">
        <v>12.0</v>
      </c>
      <c r="D243" s="175">
        <v>9.0</v>
      </c>
      <c r="E243" s="175">
        <v>13.5</v>
      </c>
      <c r="F243" s="177">
        <v>10.0</v>
      </c>
      <c r="G243" s="177">
        <v>8.5</v>
      </c>
      <c r="H243" s="177">
        <v>2.0</v>
      </c>
      <c r="I243" s="177">
        <v>15.0</v>
      </c>
      <c r="J243" s="178"/>
      <c r="K243" s="178"/>
      <c r="L243" s="178"/>
    </row>
    <row r="244" ht="26.25" customHeight="1">
      <c r="A244" s="176">
        <v>45702.0</v>
      </c>
      <c r="B244" s="178"/>
      <c r="C244" s="177">
        <v>14.0</v>
      </c>
      <c r="D244" s="175">
        <v>10.0</v>
      </c>
      <c r="E244" s="175">
        <v>5.0</v>
      </c>
      <c r="F244" s="177">
        <v>9.0</v>
      </c>
      <c r="G244" s="177">
        <v>6.5</v>
      </c>
      <c r="H244" s="177">
        <v>15.0</v>
      </c>
      <c r="I244" s="177">
        <v>8.0</v>
      </c>
      <c r="J244" s="178"/>
      <c r="K244" s="178"/>
      <c r="L244" s="178"/>
    </row>
    <row r="245" ht="26.25" customHeight="1">
      <c r="A245" s="176">
        <v>45703.0</v>
      </c>
      <c r="B245" s="178"/>
      <c r="C245" s="177">
        <v>7.5</v>
      </c>
      <c r="D245" s="175">
        <v>14.0</v>
      </c>
      <c r="E245" s="175">
        <v>14.0</v>
      </c>
      <c r="F245" s="177"/>
      <c r="G245" s="177">
        <v>12.0</v>
      </c>
      <c r="H245" s="177">
        <v>12.0</v>
      </c>
      <c r="I245" s="177">
        <v>14.0</v>
      </c>
      <c r="J245" s="178"/>
      <c r="K245" s="178"/>
      <c r="L245" s="178"/>
    </row>
    <row r="246" ht="26.25" customHeight="1">
      <c r="A246" s="176">
        <v>45704.0</v>
      </c>
      <c r="B246" s="178"/>
      <c r="C246" s="177"/>
      <c r="D246" s="175">
        <v>13.0</v>
      </c>
      <c r="E246" s="175">
        <v>11.0</v>
      </c>
      <c r="F246" s="177"/>
      <c r="G246" s="177">
        <v>11.0</v>
      </c>
      <c r="H246" s="177">
        <v>13.0</v>
      </c>
      <c r="I246" s="177">
        <v>12.0</v>
      </c>
      <c r="J246" s="178"/>
      <c r="K246" s="178"/>
      <c r="L246" s="178"/>
    </row>
    <row r="247" ht="26.25" customHeight="1">
      <c r="A247" s="176">
        <v>45705.0</v>
      </c>
      <c r="B247" s="178"/>
      <c r="C247" s="177">
        <v>10.0</v>
      </c>
      <c r="D247" s="175">
        <v>10.0</v>
      </c>
      <c r="E247" s="175">
        <v>10.5</v>
      </c>
      <c r="F247" s="177">
        <v>16.0</v>
      </c>
      <c r="G247" s="177">
        <v>10.0</v>
      </c>
      <c r="H247" s="177">
        <v>10.0</v>
      </c>
      <c r="I247" s="177">
        <v>12.0</v>
      </c>
      <c r="J247" s="178"/>
      <c r="K247" s="178"/>
      <c r="L247" s="178"/>
    </row>
    <row r="248" ht="26.25" customHeight="1">
      <c r="A248" s="176">
        <v>45706.0</v>
      </c>
      <c r="B248" s="178"/>
      <c r="C248" s="177">
        <v>12.0</v>
      </c>
      <c r="D248" s="175"/>
      <c r="E248" s="175">
        <v>10.0</v>
      </c>
      <c r="F248" s="177">
        <v>6.0</v>
      </c>
      <c r="G248" s="177">
        <v>10.0</v>
      </c>
      <c r="H248" s="177">
        <v>10.0</v>
      </c>
      <c r="I248" s="177">
        <v>9.0</v>
      </c>
      <c r="J248" s="178"/>
      <c r="K248" s="178"/>
      <c r="L248" s="178"/>
    </row>
    <row r="249" ht="26.25" customHeight="1">
      <c r="A249" s="176">
        <v>45707.0</v>
      </c>
      <c r="B249" s="178"/>
      <c r="C249" s="177">
        <v>9.0</v>
      </c>
      <c r="D249" s="175">
        <v>11.0</v>
      </c>
      <c r="E249" s="175">
        <v>10.5</v>
      </c>
      <c r="F249" s="177">
        <v>8.5</v>
      </c>
      <c r="G249" s="177"/>
      <c r="H249" s="177">
        <v>10.0</v>
      </c>
      <c r="I249" s="177">
        <v>10.5</v>
      </c>
      <c r="J249" s="178"/>
      <c r="K249" s="178"/>
      <c r="L249" s="178"/>
    </row>
    <row r="250" ht="26.25" customHeight="1">
      <c r="A250" s="176">
        <v>45708.0</v>
      </c>
      <c r="B250" s="178"/>
      <c r="C250" s="177">
        <v>8.0</v>
      </c>
      <c r="D250" s="175">
        <v>8.0</v>
      </c>
      <c r="E250" s="175">
        <v>10.5</v>
      </c>
      <c r="F250" s="177">
        <v>5.5</v>
      </c>
      <c r="G250" s="177"/>
      <c r="H250" s="177">
        <v>5.5</v>
      </c>
      <c r="I250" s="177">
        <v>6.5</v>
      </c>
      <c r="J250" s="178"/>
      <c r="K250" s="178"/>
      <c r="L250" s="178"/>
    </row>
    <row r="251" ht="26.25" customHeight="1">
      <c r="A251" s="176">
        <v>45709.0</v>
      </c>
      <c r="B251" s="178"/>
      <c r="C251" s="177"/>
      <c r="D251" s="175">
        <v>11.0</v>
      </c>
      <c r="E251" s="175">
        <v>12.0</v>
      </c>
      <c r="F251" s="177">
        <v>5.5</v>
      </c>
      <c r="G251" s="177">
        <v>9.0</v>
      </c>
      <c r="H251" s="177">
        <v>11.5</v>
      </c>
      <c r="I251" s="177">
        <v>6.0</v>
      </c>
      <c r="J251" s="178"/>
      <c r="K251" s="178"/>
      <c r="L251" s="178"/>
    </row>
    <row r="252" ht="26.25" customHeight="1">
      <c r="A252" s="176">
        <v>45710.0</v>
      </c>
      <c r="B252" s="178"/>
      <c r="C252" s="177">
        <v>11.0</v>
      </c>
      <c r="D252" s="175">
        <v>12.0</v>
      </c>
      <c r="E252" s="175"/>
      <c r="F252" s="177">
        <v>9.0</v>
      </c>
      <c r="G252" s="177">
        <v>9.5</v>
      </c>
      <c r="H252" s="177">
        <v>8.0</v>
      </c>
      <c r="I252" s="177">
        <v>11.5</v>
      </c>
      <c r="J252" s="178"/>
      <c r="K252" s="178"/>
      <c r="L252" s="178"/>
    </row>
    <row r="253" ht="26.25" customHeight="1">
      <c r="A253" s="176">
        <v>45711.0</v>
      </c>
      <c r="B253" s="178"/>
      <c r="C253" s="177">
        <v>12.0</v>
      </c>
      <c r="D253" s="175">
        <v>9.0</v>
      </c>
      <c r="E253" s="175">
        <v>11.0</v>
      </c>
      <c r="F253" s="177">
        <v>7.5</v>
      </c>
      <c r="G253" s="177">
        <v>6.0</v>
      </c>
      <c r="H253" s="177">
        <v>7.5</v>
      </c>
      <c r="I253" s="177">
        <v>16.0</v>
      </c>
      <c r="J253" s="178"/>
      <c r="K253" s="178"/>
      <c r="L253" s="178"/>
    </row>
    <row r="254" ht="26.25" customHeight="1">
      <c r="A254" s="176">
        <v>45712.0</v>
      </c>
      <c r="B254" s="178"/>
      <c r="C254" s="177">
        <v>7.0</v>
      </c>
      <c r="D254" s="175">
        <v>12.0</v>
      </c>
      <c r="E254" s="175">
        <v>10.5</v>
      </c>
      <c r="F254" s="177">
        <v>15.0</v>
      </c>
      <c r="G254" s="177">
        <v>10.5</v>
      </c>
      <c r="H254" s="177">
        <v>5.5</v>
      </c>
      <c r="I254" s="177">
        <v>13.0</v>
      </c>
      <c r="J254" s="178"/>
      <c r="K254" s="178"/>
      <c r="L254" s="178"/>
    </row>
    <row r="255" ht="26.25" customHeight="1">
      <c r="A255" s="176">
        <v>45713.0</v>
      </c>
      <c r="B255" s="178"/>
      <c r="C255" s="177"/>
      <c r="D255" s="175">
        <v>16.0</v>
      </c>
      <c r="E255" s="175">
        <v>9.0</v>
      </c>
      <c r="F255" s="177">
        <v>6.0</v>
      </c>
      <c r="G255" s="177">
        <v>13.5</v>
      </c>
      <c r="H255" s="177">
        <v>6.0</v>
      </c>
      <c r="I255" s="177">
        <v>16.0</v>
      </c>
      <c r="J255" s="178"/>
      <c r="K255" s="178"/>
      <c r="L255" s="178"/>
    </row>
    <row r="256" ht="26.25" customHeight="1">
      <c r="A256" s="176">
        <v>45714.0</v>
      </c>
      <c r="B256" s="178"/>
      <c r="C256" s="177">
        <v>11.5</v>
      </c>
      <c r="D256" s="175">
        <v>15.0</v>
      </c>
      <c r="E256" s="175">
        <v>12.0</v>
      </c>
      <c r="F256" s="177">
        <v>8.5</v>
      </c>
      <c r="G256" s="177">
        <v>13.0</v>
      </c>
      <c r="H256" s="177">
        <v>9.25</v>
      </c>
      <c r="I256" s="177">
        <v>16.0</v>
      </c>
      <c r="J256" s="178"/>
      <c r="K256" s="178"/>
      <c r="L256" s="178"/>
    </row>
    <row r="257" ht="26.25" customHeight="1">
      <c r="A257" s="176">
        <v>45715.0</v>
      </c>
      <c r="B257" s="178"/>
      <c r="C257" s="177">
        <v>10.0</v>
      </c>
      <c r="D257" s="175">
        <v>14.0</v>
      </c>
      <c r="E257" s="175">
        <v>116.0</v>
      </c>
      <c r="F257" s="177">
        <v>7.0</v>
      </c>
      <c r="G257" s="177">
        <v>12.0</v>
      </c>
      <c r="H257" s="177">
        <v>8.0</v>
      </c>
      <c r="I257" s="177">
        <v>12.0</v>
      </c>
      <c r="J257" s="178"/>
      <c r="K257" s="178"/>
      <c r="L257" s="178"/>
    </row>
    <row r="258" ht="26.25" customHeight="1">
      <c r="A258" s="176">
        <v>45716.0</v>
      </c>
      <c r="B258" s="178"/>
      <c r="C258" s="177">
        <v>16.0</v>
      </c>
      <c r="D258" s="175">
        <v>20.0</v>
      </c>
      <c r="E258" s="175"/>
      <c r="F258" s="177">
        <v>7.0</v>
      </c>
      <c r="G258" s="177">
        <v>12.0</v>
      </c>
      <c r="H258" s="177">
        <v>16.0</v>
      </c>
      <c r="I258" s="177">
        <v>18.0</v>
      </c>
      <c r="J258" s="178"/>
      <c r="K258" s="178"/>
      <c r="L258" s="178"/>
    </row>
    <row r="259" ht="26.25" customHeight="1">
      <c r="A259" s="179"/>
      <c r="B259" s="180">
        <f t="shared" ref="B259:J259" si="4">sum(B231:B258)</f>
        <v>0</v>
      </c>
      <c r="C259" s="180">
        <f t="shared" si="4"/>
        <v>236</v>
      </c>
      <c r="D259" s="181">
        <f t="shared" si="4"/>
        <v>313</v>
      </c>
      <c r="E259" s="181">
        <f t="shared" si="4"/>
        <v>386</v>
      </c>
      <c r="F259" s="180">
        <f t="shared" si="4"/>
        <v>227.5</v>
      </c>
      <c r="G259" s="180">
        <f t="shared" si="4"/>
        <v>278.5</v>
      </c>
      <c r="H259" s="180">
        <f t="shared" si="4"/>
        <v>253.25</v>
      </c>
      <c r="I259" s="180">
        <f t="shared" si="4"/>
        <v>303.5</v>
      </c>
      <c r="J259" s="180">
        <f t="shared" si="4"/>
        <v>0</v>
      </c>
      <c r="K259" s="180"/>
      <c r="L259" s="180"/>
    </row>
    <row r="260" ht="26.25" customHeight="1">
      <c r="A260" s="179"/>
      <c r="B260" s="181">
        <f t="shared" ref="B260:J260" si="5">B259*B2</f>
        <v>0</v>
      </c>
      <c r="C260" s="181">
        <f t="shared" si="5"/>
        <v>0</v>
      </c>
      <c r="D260" s="181">
        <f t="shared" si="5"/>
        <v>0</v>
      </c>
      <c r="E260" s="181">
        <f t="shared" si="5"/>
        <v>0</v>
      </c>
      <c r="F260" s="181">
        <f t="shared" si="5"/>
        <v>0</v>
      </c>
      <c r="G260" s="181">
        <f t="shared" si="5"/>
        <v>0</v>
      </c>
      <c r="H260" s="181">
        <f t="shared" si="5"/>
        <v>0</v>
      </c>
      <c r="I260" s="181">
        <f t="shared" si="5"/>
        <v>0</v>
      </c>
      <c r="J260" s="181">
        <f t="shared" si="5"/>
        <v>0</v>
      </c>
      <c r="K260" s="180"/>
      <c r="L260" s="180"/>
    </row>
    <row r="261" ht="26.25" customHeight="1">
      <c r="A261" s="176">
        <v>45717.0</v>
      </c>
      <c r="B261" s="177"/>
      <c r="C261" s="177">
        <v>8.0</v>
      </c>
      <c r="D261" s="175"/>
      <c r="E261" s="175">
        <v>15.0</v>
      </c>
      <c r="F261" s="177">
        <v>4.0</v>
      </c>
      <c r="G261" s="177">
        <v>9.5</v>
      </c>
      <c r="H261" s="177">
        <v>13.0</v>
      </c>
      <c r="I261" s="177">
        <v>15.0</v>
      </c>
      <c r="J261" s="178"/>
      <c r="K261" s="178"/>
      <c r="L261" s="178"/>
    </row>
    <row r="262" ht="26.25" customHeight="1">
      <c r="A262" s="176">
        <v>45718.0</v>
      </c>
      <c r="B262" s="177"/>
      <c r="C262" s="177">
        <v>6.5</v>
      </c>
      <c r="D262" s="175">
        <v>8.0</v>
      </c>
      <c r="E262" s="175">
        <v>10.0</v>
      </c>
      <c r="F262" s="177">
        <v>3.5</v>
      </c>
      <c r="G262" s="177">
        <v>9.0</v>
      </c>
      <c r="H262" s="177">
        <v>9.5</v>
      </c>
      <c r="I262" s="177">
        <v>11.0</v>
      </c>
      <c r="J262" s="178"/>
      <c r="K262" s="178"/>
      <c r="L262" s="178"/>
    </row>
    <row r="263" ht="26.25" customHeight="1">
      <c r="A263" s="176">
        <v>45719.0</v>
      </c>
      <c r="B263" s="177"/>
      <c r="C263" s="177">
        <v>16.0</v>
      </c>
      <c r="D263" s="175">
        <v>4.0</v>
      </c>
      <c r="E263" s="175">
        <v>12.0</v>
      </c>
      <c r="F263" s="177">
        <v>6.5</v>
      </c>
      <c r="G263" s="177">
        <v>16.0</v>
      </c>
      <c r="H263" s="177">
        <v>4.0</v>
      </c>
      <c r="I263" s="177">
        <v>6.5</v>
      </c>
      <c r="J263" s="178"/>
      <c r="K263" s="178"/>
      <c r="L263" s="178"/>
    </row>
    <row r="264" ht="26.25" customHeight="1">
      <c r="A264" s="176">
        <v>45720.0</v>
      </c>
      <c r="B264" s="177"/>
      <c r="C264" s="177">
        <v>6.0</v>
      </c>
      <c r="D264" s="175"/>
      <c r="E264" s="175">
        <v>9.0</v>
      </c>
      <c r="F264" s="177">
        <v>5.0</v>
      </c>
      <c r="G264" s="177">
        <v>9.5</v>
      </c>
      <c r="H264" s="177">
        <v>4.5</v>
      </c>
      <c r="I264" s="177">
        <v>9.0</v>
      </c>
      <c r="J264" s="178"/>
      <c r="K264" s="178"/>
      <c r="L264" s="178"/>
    </row>
    <row r="265" ht="26.25" customHeight="1">
      <c r="A265" s="176">
        <v>45721.0</v>
      </c>
      <c r="B265" s="177">
        <v>10.0</v>
      </c>
      <c r="C265" s="177">
        <v>7.0</v>
      </c>
      <c r="D265" s="175">
        <v>5.0</v>
      </c>
      <c r="E265" s="175">
        <v>10.5</v>
      </c>
      <c r="F265" s="177">
        <v>8.0</v>
      </c>
      <c r="G265" s="177">
        <v>9.5</v>
      </c>
      <c r="H265" s="177">
        <v>7.0</v>
      </c>
      <c r="I265" s="177">
        <v>10.0</v>
      </c>
      <c r="J265" s="178"/>
      <c r="K265" s="178"/>
      <c r="L265" s="178"/>
    </row>
    <row r="266" ht="26.25" customHeight="1">
      <c r="A266" s="176">
        <v>45722.0</v>
      </c>
      <c r="B266" s="177">
        <v>10.0</v>
      </c>
      <c r="C266" s="177">
        <v>9.0</v>
      </c>
      <c r="D266" s="175">
        <v>5.5</v>
      </c>
      <c r="E266" s="175">
        <v>8.0</v>
      </c>
      <c r="F266" s="177">
        <v>8.5</v>
      </c>
      <c r="G266" s="177">
        <v>6.5</v>
      </c>
      <c r="H266" s="177">
        <v>11.0</v>
      </c>
      <c r="I266" s="177">
        <v>17.0</v>
      </c>
      <c r="J266" s="178"/>
      <c r="K266" s="178"/>
      <c r="L266" s="178"/>
    </row>
    <row r="267" ht="26.25" customHeight="1">
      <c r="A267" s="176">
        <v>45723.0</v>
      </c>
      <c r="B267" s="177">
        <v>10.0</v>
      </c>
      <c r="C267" s="177">
        <v>11.5</v>
      </c>
      <c r="D267" s="175">
        <v>8.5</v>
      </c>
      <c r="E267" s="175">
        <v>12.5</v>
      </c>
      <c r="F267" s="177"/>
      <c r="G267" s="177">
        <v>6.5</v>
      </c>
      <c r="H267" s="177">
        <v>11.0</v>
      </c>
      <c r="I267" s="177"/>
      <c r="J267" s="178"/>
      <c r="K267" s="178"/>
      <c r="L267" s="178"/>
    </row>
    <row r="268" ht="26.25" customHeight="1">
      <c r="A268" s="176">
        <v>45724.0</v>
      </c>
      <c r="B268" s="177">
        <v>10.0</v>
      </c>
      <c r="C268" s="177">
        <v>10.5</v>
      </c>
      <c r="D268" s="175">
        <v>3.5</v>
      </c>
      <c r="E268" s="175">
        <v>10.0</v>
      </c>
      <c r="F268" s="177">
        <v>11.0</v>
      </c>
      <c r="G268" s="177">
        <v>9.0</v>
      </c>
      <c r="H268" s="177">
        <v>4.5</v>
      </c>
      <c r="I268" s="177"/>
      <c r="J268" s="178"/>
      <c r="K268" s="178"/>
      <c r="L268" s="178"/>
    </row>
    <row r="269" ht="26.25" customHeight="1">
      <c r="A269" s="176">
        <v>45725.0</v>
      </c>
      <c r="B269" s="177">
        <v>6.0</v>
      </c>
      <c r="C269" s="177">
        <v>6.0</v>
      </c>
      <c r="D269" s="175"/>
      <c r="E269" s="175">
        <v>22.0</v>
      </c>
      <c r="F269" s="177">
        <v>6.0</v>
      </c>
      <c r="G269" s="177">
        <v>10.0</v>
      </c>
      <c r="H269" s="177">
        <v>5.5</v>
      </c>
      <c r="I269" s="177"/>
      <c r="J269" s="178"/>
      <c r="K269" s="178"/>
      <c r="L269" s="178"/>
    </row>
    <row r="270" ht="26.25" customHeight="1">
      <c r="A270" s="176">
        <v>45726.0</v>
      </c>
      <c r="B270" s="177">
        <v>6.0</v>
      </c>
      <c r="C270" s="177">
        <v>11.0</v>
      </c>
      <c r="D270" s="175">
        <v>8.0</v>
      </c>
      <c r="E270" s="175">
        <v>8.0</v>
      </c>
      <c r="F270" s="177">
        <v>7.5</v>
      </c>
      <c r="G270" s="177">
        <v>11.5</v>
      </c>
      <c r="H270" s="177">
        <v>8.0</v>
      </c>
      <c r="I270" s="177">
        <v>5.0</v>
      </c>
      <c r="J270" s="178"/>
      <c r="K270" s="178"/>
      <c r="L270" s="178"/>
    </row>
    <row r="271" ht="26.25" customHeight="1">
      <c r="A271" s="176">
        <v>45727.0</v>
      </c>
      <c r="B271" s="177">
        <v>8.5</v>
      </c>
      <c r="C271" s="177">
        <v>10.0</v>
      </c>
      <c r="D271" s="175">
        <v>12.0</v>
      </c>
      <c r="E271" s="175">
        <v>10.5</v>
      </c>
      <c r="F271" s="177">
        <v>5.5</v>
      </c>
      <c r="G271" s="177">
        <v>8.5</v>
      </c>
      <c r="H271" s="177">
        <v>14.0</v>
      </c>
      <c r="I271" s="177"/>
      <c r="J271" s="178"/>
      <c r="K271" s="178"/>
      <c r="L271" s="178"/>
    </row>
    <row r="272" ht="26.25" customHeight="1">
      <c r="A272" s="176">
        <v>45728.0</v>
      </c>
      <c r="B272" s="177">
        <v>11.0</v>
      </c>
      <c r="C272" s="177">
        <v>10.0</v>
      </c>
      <c r="D272" s="175">
        <v>3.0</v>
      </c>
      <c r="E272" s="175">
        <v>15.5</v>
      </c>
      <c r="F272" s="177">
        <v>7.0</v>
      </c>
      <c r="G272" s="177">
        <v>6.0</v>
      </c>
      <c r="H272" s="177">
        <v>8.0</v>
      </c>
      <c r="I272" s="177"/>
      <c r="J272" s="178"/>
      <c r="K272" s="178"/>
      <c r="L272" s="178"/>
    </row>
    <row r="273" ht="26.25" customHeight="1">
      <c r="A273" s="176">
        <v>45729.0</v>
      </c>
      <c r="B273" s="177">
        <v>7.0</v>
      </c>
      <c r="C273" s="177">
        <v>9.0</v>
      </c>
      <c r="D273" s="175">
        <v>11.0</v>
      </c>
      <c r="E273" s="175">
        <v>12.0</v>
      </c>
      <c r="F273" s="177">
        <v>6.5</v>
      </c>
      <c r="G273" s="177">
        <v>12.0</v>
      </c>
      <c r="H273" s="177">
        <v>7.0</v>
      </c>
      <c r="I273" s="177">
        <v>9.0</v>
      </c>
      <c r="J273" s="178"/>
      <c r="K273" s="178"/>
      <c r="L273" s="178"/>
    </row>
    <row r="274" ht="26.25" customHeight="1">
      <c r="A274" s="176">
        <v>45730.0</v>
      </c>
      <c r="B274" s="177">
        <v>10.0</v>
      </c>
      <c r="C274" s="177">
        <v>10.0</v>
      </c>
      <c r="D274" s="175"/>
      <c r="E274" s="175">
        <v>7.0</v>
      </c>
      <c r="F274" s="177">
        <v>16.0</v>
      </c>
      <c r="G274" s="177">
        <v>10.0</v>
      </c>
      <c r="H274" s="177">
        <v>8.0</v>
      </c>
      <c r="I274" s="177">
        <v>4.5</v>
      </c>
      <c r="J274" s="178"/>
      <c r="K274" s="178"/>
      <c r="L274" s="178"/>
    </row>
    <row r="275" ht="26.25" customHeight="1">
      <c r="A275" s="176">
        <v>45731.0</v>
      </c>
      <c r="B275" s="177">
        <v>8.0</v>
      </c>
      <c r="C275" s="177">
        <v>11.5</v>
      </c>
      <c r="D275" s="175">
        <v>12.0</v>
      </c>
      <c r="E275" s="175">
        <v>11.0</v>
      </c>
      <c r="F275" s="177">
        <v>5.5</v>
      </c>
      <c r="G275" s="177">
        <v>7.0</v>
      </c>
      <c r="H275" s="177">
        <v>7.0</v>
      </c>
      <c r="I275" s="177">
        <v>11.0</v>
      </c>
      <c r="J275" s="178"/>
      <c r="K275" s="178"/>
      <c r="L275" s="178"/>
    </row>
    <row r="276" ht="26.25" customHeight="1">
      <c r="A276" s="176">
        <v>45732.0</v>
      </c>
      <c r="B276" s="177">
        <v>7.5</v>
      </c>
      <c r="C276" s="177">
        <v>11.0</v>
      </c>
      <c r="D276" s="175">
        <v>12.0</v>
      </c>
      <c r="E276" s="175">
        <v>8.0</v>
      </c>
      <c r="F276" s="177">
        <v>5.0</v>
      </c>
      <c r="G276" s="177">
        <v>8.0</v>
      </c>
      <c r="H276" s="177">
        <v>7.5</v>
      </c>
      <c r="I276" s="177">
        <v>9.0</v>
      </c>
      <c r="J276" s="178"/>
      <c r="K276" s="178"/>
      <c r="L276" s="178"/>
    </row>
    <row r="277" ht="26.25" customHeight="1">
      <c r="A277" s="176">
        <v>45733.0</v>
      </c>
      <c r="B277" s="177">
        <v>11.0</v>
      </c>
      <c r="C277" s="177">
        <v>8.0</v>
      </c>
      <c r="D277" s="175">
        <v>5.0</v>
      </c>
      <c r="E277" s="175">
        <v>10.0</v>
      </c>
      <c r="F277" s="177">
        <v>5.0</v>
      </c>
      <c r="G277" s="177">
        <v>5.0</v>
      </c>
      <c r="H277" s="177">
        <v>4.5</v>
      </c>
      <c r="I277" s="177">
        <v>13.0</v>
      </c>
      <c r="J277" s="178"/>
      <c r="K277" s="178"/>
      <c r="L277" s="178"/>
    </row>
    <row r="278" ht="26.25" customHeight="1">
      <c r="A278" s="176">
        <v>45734.0</v>
      </c>
      <c r="B278" s="177">
        <v>8.5</v>
      </c>
      <c r="C278" s="177" t="s">
        <v>33</v>
      </c>
      <c r="D278" s="175">
        <v>2.0</v>
      </c>
      <c r="E278" s="175">
        <v>8.5</v>
      </c>
      <c r="F278" s="177">
        <v>7.0</v>
      </c>
      <c r="G278" s="177">
        <v>4.5</v>
      </c>
      <c r="H278" s="177">
        <v>7.5</v>
      </c>
      <c r="I278" s="177">
        <v>6.0</v>
      </c>
      <c r="J278" s="178"/>
      <c r="K278" s="178"/>
      <c r="L278" s="178"/>
    </row>
    <row r="279" ht="26.25" customHeight="1">
      <c r="A279" s="176">
        <v>45735.0</v>
      </c>
      <c r="B279" s="177">
        <v>7.0</v>
      </c>
      <c r="C279" s="177">
        <v>11.0</v>
      </c>
      <c r="D279" s="175">
        <v>7.5</v>
      </c>
      <c r="E279" s="175"/>
      <c r="F279" s="177">
        <v>3.5</v>
      </c>
      <c r="G279" s="177">
        <v>10.0</v>
      </c>
      <c r="H279" s="177">
        <v>6.0</v>
      </c>
      <c r="I279" s="177">
        <v>11.0</v>
      </c>
      <c r="J279" s="178"/>
      <c r="K279" s="178"/>
      <c r="L279" s="178"/>
    </row>
    <row r="280" ht="26.25" customHeight="1">
      <c r="A280" s="176">
        <v>45736.0</v>
      </c>
      <c r="B280" s="177">
        <v>6.0</v>
      </c>
      <c r="C280" s="177">
        <v>9.0</v>
      </c>
      <c r="D280" s="175">
        <v>7.0</v>
      </c>
      <c r="E280" s="175">
        <v>4.5</v>
      </c>
      <c r="F280" s="177">
        <v>5.0</v>
      </c>
      <c r="G280" s="177">
        <v>16.5</v>
      </c>
      <c r="H280" s="177"/>
      <c r="I280" s="177">
        <v>10.0</v>
      </c>
      <c r="J280" s="178"/>
      <c r="K280" s="178"/>
      <c r="L280" s="178"/>
    </row>
    <row r="281" ht="26.25" customHeight="1">
      <c r="A281" s="176">
        <v>45737.0</v>
      </c>
      <c r="B281" s="177">
        <v>7.0</v>
      </c>
      <c r="C281" s="177"/>
      <c r="D281" s="175">
        <v>7.0</v>
      </c>
      <c r="E281" s="175">
        <v>7.0</v>
      </c>
      <c r="F281" s="177"/>
      <c r="G281" s="177">
        <v>6.5</v>
      </c>
      <c r="H281" s="177">
        <v>7.0</v>
      </c>
      <c r="I281" s="177">
        <v>7.0</v>
      </c>
      <c r="J281" s="178"/>
      <c r="K281" s="178"/>
      <c r="L281" s="178"/>
    </row>
    <row r="282" ht="26.25" customHeight="1">
      <c r="A282" s="176">
        <v>45738.0</v>
      </c>
      <c r="B282" s="177">
        <v>13.0</v>
      </c>
      <c r="C282" s="177">
        <v>10.5</v>
      </c>
      <c r="D282" s="175">
        <v>5.0</v>
      </c>
      <c r="E282" s="175">
        <v>9.5</v>
      </c>
      <c r="F282" s="177">
        <v>3.5</v>
      </c>
      <c r="G282" s="177">
        <v>10.0</v>
      </c>
      <c r="H282" s="177">
        <v>6.5</v>
      </c>
      <c r="I282" s="177">
        <v>6.0</v>
      </c>
      <c r="J282" s="178"/>
      <c r="K282" s="178"/>
      <c r="L282" s="178"/>
    </row>
    <row r="283" ht="26.25" customHeight="1">
      <c r="A283" s="176">
        <v>45739.0</v>
      </c>
      <c r="B283" s="177">
        <v>10.0</v>
      </c>
      <c r="C283" s="177">
        <v>10.5</v>
      </c>
      <c r="D283" s="175">
        <v>12.0</v>
      </c>
      <c r="E283" s="175">
        <v>15.0</v>
      </c>
      <c r="F283" s="177">
        <v>13.5</v>
      </c>
      <c r="G283" s="177">
        <v>8.5</v>
      </c>
      <c r="H283" s="177">
        <v>9.0</v>
      </c>
      <c r="I283" s="177">
        <v>12.0</v>
      </c>
      <c r="J283" s="178"/>
      <c r="K283" s="178"/>
      <c r="L283" s="178"/>
    </row>
    <row r="284" ht="26.25" customHeight="1">
      <c r="A284" s="176">
        <v>45740.0</v>
      </c>
      <c r="B284" s="177">
        <v>10.5</v>
      </c>
      <c r="C284" s="177">
        <v>9.0</v>
      </c>
      <c r="D284" s="175">
        <v>11.0</v>
      </c>
      <c r="E284" s="175">
        <v>7.5</v>
      </c>
      <c r="F284" s="177">
        <v>3.5</v>
      </c>
      <c r="G284" s="177">
        <v>7.0</v>
      </c>
      <c r="H284" s="177">
        <v>12.0</v>
      </c>
      <c r="I284" s="177">
        <v>10.5</v>
      </c>
      <c r="J284" s="178"/>
      <c r="K284" s="178"/>
      <c r="L284" s="178"/>
    </row>
    <row r="285" ht="26.25" customHeight="1">
      <c r="A285" s="176">
        <v>45741.0</v>
      </c>
      <c r="B285" s="177">
        <v>8.5</v>
      </c>
      <c r="C285" s="177">
        <v>10.5</v>
      </c>
      <c r="D285" s="175">
        <v>4.5</v>
      </c>
      <c r="E285" s="175">
        <v>8.5</v>
      </c>
      <c r="F285" s="177">
        <v>6.0</v>
      </c>
      <c r="G285" s="177">
        <v>5.0</v>
      </c>
      <c r="H285" s="177">
        <v>7.0</v>
      </c>
      <c r="I285" s="177">
        <v>10.0</v>
      </c>
      <c r="J285" s="178"/>
      <c r="K285" s="178"/>
      <c r="L285" s="178"/>
    </row>
    <row r="286" ht="26.25" customHeight="1">
      <c r="A286" s="176">
        <v>45742.0</v>
      </c>
      <c r="B286" s="177">
        <v>8.5</v>
      </c>
      <c r="C286" s="177">
        <v>6.0</v>
      </c>
      <c r="D286" s="175"/>
      <c r="E286" s="175">
        <v>8.0</v>
      </c>
      <c r="F286" s="177">
        <v>6.0</v>
      </c>
      <c r="G286" s="177">
        <v>11.0</v>
      </c>
      <c r="H286" s="177">
        <v>6.5</v>
      </c>
      <c r="I286" s="177">
        <v>10.5</v>
      </c>
      <c r="J286" s="178"/>
      <c r="K286" s="178"/>
      <c r="L286" s="178"/>
    </row>
    <row r="287" ht="26.25" customHeight="1">
      <c r="A287" s="176">
        <v>45743.0</v>
      </c>
      <c r="B287" s="177">
        <v>12.0</v>
      </c>
      <c r="C287" s="177"/>
      <c r="D287" s="175">
        <v>4.5</v>
      </c>
      <c r="E287" s="175">
        <v>8.0</v>
      </c>
      <c r="F287" s="177"/>
      <c r="G287" s="177">
        <v>6.5</v>
      </c>
      <c r="H287" s="177">
        <v>6.5</v>
      </c>
      <c r="I287" s="177">
        <v>6.5</v>
      </c>
      <c r="J287" s="178"/>
      <c r="K287" s="178"/>
      <c r="L287" s="178"/>
    </row>
    <row r="288" ht="26.25" customHeight="1">
      <c r="A288" s="176">
        <v>45744.0</v>
      </c>
      <c r="B288" s="177">
        <v>0.0</v>
      </c>
      <c r="C288" s="177"/>
      <c r="D288" s="175">
        <v>6.5</v>
      </c>
      <c r="E288" s="175">
        <v>8.5</v>
      </c>
      <c r="F288" s="177">
        <v>7.0</v>
      </c>
      <c r="G288" s="177">
        <v>9.5</v>
      </c>
      <c r="H288" s="177">
        <v>4.5</v>
      </c>
      <c r="I288" s="177">
        <v>6.5</v>
      </c>
      <c r="J288" s="178"/>
      <c r="K288" s="178"/>
      <c r="L288" s="178"/>
    </row>
    <row r="289" ht="26.25" customHeight="1">
      <c r="A289" s="176">
        <v>45745.0</v>
      </c>
      <c r="B289" s="177">
        <v>3.0</v>
      </c>
      <c r="C289" s="177"/>
      <c r="D289" s="175">
        <v>1.5</v>
      </c>
      <c r="E289" s="175">
        <v>17.5</v>
      </c>
      <c r="F289" s="177">
        <v>5.0</v>
      </c>
      <c r="G289" s="177">
        <v>9.5</v>
      </c>
      <c r="H289" s="177">
        <v>7.5</v>
      </c>
      <c r="I289" s="177"/>
      <c r="J289" s="178"/>
      <c r="K289" s="178"/>
      <c r="L289" s="178"/>
    </row>
    <row r="290" ht="26.25" customHeight="1">
      <c r="A290" s="176">
        <v>45746.0</v>
      </c>
      <c r="B290" s="177">
        <v>7.0</v>
      </c>
      <c r="C290" s="177">
        <v>9.0</v>
      </c>
      <c r="D290" s="175">
        <v>5.0</v>
      </c>
      <c r="E290" s="175">
        <v>3.0</v>
      </c>
      <c r="F290" s="177">
        <v>13.0</v>
      </c>
      <c r="G290" s="177">
        <v>9.0</v>
      </c>
      <c r="H290" s="177">
        <v>4.0</v>
      </c>
      <c r="I290" s="177">
        <v>5.5</v>
      </c>
      <c r="J290" s="178"/>
      <c r="K290" s="178"/>
      <c r="L290" s="178"/>
    </row>
    <row r="291" ht="26.25" customHeight="1">
      <c r="A291" s="176">
        <v>45747.0</v>
      </c>
      <c r="B291" s="177">
        <v>0.0</v>
      </c>
      <c r="C291" s="177"/>
      <c r="D291" s="175"/>
      <c r="E291" s="175">
        <v>13.0</v>
      </c>
      <c r="F291" s="177"/>
      <c r="G291" s="177">
        <v>4.0</v>
      </c>
      <c r="H291" s="177"/>
      <c r="I291" s="177"/>
      <c r="J291" s="178"/>
      <c r="K291" s="178"/>
      <c r="L291" s="178"/>
    </row>
    <row r="292" ht="26.25" customHeight="1">
      <c r="A292" s="181"/>
      <c r="B292" s="181">
        <f t="shared" ref="B292:J292" si="6">SUM(B261:B291)</f>
        <v>216</v>
      </c>
      <c r="C292" s="181">
        <f t="shared" si="6"/>
        <v>236.5</v>
      </c>
      <c r="D292" s="181">
        <f t="shared" si="6"/>
        <v>171</v>
      </c>
      <c r="E292" s="181">
        <f t="shared" si="6"/>
        <v>309.5</v>
      </c>
      <c r="F292" s="181">
        <f t="shared" si="6"/>
        <v>183.5</v>
      </c>
      <c r="G292" s="181">
        <f t="shared" si="6"/>
        <v>271</v>
      </c>
      <c r="H292" s="181">
        <f t="shared" si="6"/>
        <v>218</v>
      </c>
      <c r="I292" s="181">
        <f t="shared" si="6"/>
        <v>221.5</v>
      </c>
      <c r="J292" s="181">
        <f t="shared" si="6"/>
        <v>0</v>
      </c>
      <c r="K292" s="181"/>
      <c r="L292" s="181"/>
    </row>
    <row r="293" ht="26.25" customHeight="1">
      <c r="A293" s="181"/>
      <c r="B293" s="181">
        <f t="shared" ref="B293:J293" si="7">B292*B2</f>
        <v>0</v>
      </c>
      <c r="C293" s="181">
        <f t="shared" si="7"/>
        <v>0</v>
      </c>
      <c r="D293" s="181">
        <f t="shared" si="7"/>
        <v>0</v>
      </c>
      <c r="E293" s="181">
        <f t="shared" si="7"/>
        <v>0</v>
      </c>
      <c r="F293" s="181">
        <f t="shared" si="7"/>
        <v>0</v>
      </c>
      <c r="G293" s="181">
        <f t="shared" si="7"/>
        <v>0</v>
      </c>
      <c r="H293" s="181">
        <f t="shared" si="7"/>
        <v>0</v>
      </c>
      <c r="I293" s="181">
        <f t="shared" si="7"/>
        <v>0</v>
      </c>
      <c r="J293" s="181">
        <f t="shared" si="7"/>
        <v>0</v>
      </c>
      <c r="K293" s="181"/>
      <c r="L293" s="181"/>
    </row>
    <row r="294" ht="26.25" customHeight="1">
      <c r="A294" s="176">
        <v>45748.0</v>
      </c>
      <c r="B294" s="177">
        <v>11.0</v>
      </c>
      <c r="C294" s="177">
        <v>0.0</v>
      </c>
      <c r="D294" s="174" t="s">
        <v>34</v>
      </c>
      <c r="E294" s="175">
        <v>13.0</v>
      </c>
      <c r="F294" s="177">
        <v>0.0</v>
      </c>
      <c r="G294" s="177">
        <v>8.5</v>
      </c>
      <c r="H294" s="177">
        <v>0.0</v>
      </c>
      <c r="I294" s="177">
        <v>0.0</v>
      </c>
      <c r="J294" s="177"/>
      <c r="K294" s="177"/>
      <c r="L294" s="177"/>
    </row>
    <row r="295" ht="26.25" customHeight="1">
      <c r="A295" s="176">
        <v>45749.0</v>
      </c>
      <c r="B295" s="177">
        <v>7.0</v>
      </c>
      <c r="C295" s="177">
        <v>10.0</v>
      </c>
      <c r="D295" s="175">
        <v>3.0</v>
      </c>
      <c r="E295" s="175">
        <v>9.0</v>
      </c>
      <c r="F295" s="177">
        <v>6.0</v>
      </c>
      <c r="G295" s="177">
        <v>8.0</v>
      </c>
      <c r="H295" s="177">
        <v>8.0</v>
      </c>
      <c r="I295" s="177">
        <v>10.0</v>
      </c>
      <c r="J295" s="177">
        <v>11.0</v>
      </c>
      <c r="K295" s="177"/>
      <c r="L295" s="177"/>
    </row>
    <row r="296" ht="26.25" customHeight="1">
      <c r="A296" s="176">
        <v>45750.0</v>
      </c>
      <c r="B296" s="177">
        <v>10.0</v>
      </c>
      <c r="C296" s="177">
        <v>13.0</v>
      </c>
      <c r="D296" s="175">
        <v>8.0</v>
      </c>
      <c r="E296" s="175">
        <v>12.0</v>
      </c>
      <c r="F296" s="177">
        <v>10.0</v>
      </c>
      <c r="G296" s="177">
        <v>10.5</v>
      </c>
      <c r="H296" s="177">
        <v>12.0</v>
      </c>
      <c r="I296" s="177"/>
      <c r="J296" s="177">
        <v>9.5</v>
      </c>
      <c r="K296" s="177"/>
      <c r="L296" s="177"/>
    </row>
    <row r="297" ht="26.25" customHeight="1">
      <c r="A297" s="176">
        <v>45751.0</v>
      </c>
      <c r="B297" s="177">
        <v>11.0</v>
      </c>
      <c r="C297" s="177">
        <v>3.0</v>
      </c>
      <c r="D297" s="175">
        <v>7.0</v>
      </c>
      <c r="E297" s="175">
        <v>11.0</v>
      </c>
      <c r="F297" s="177">
        <v>8.0</v>
      </c>
      <c r="G297" s="177">
        <v>8.5</v>
      </c>
      <c r="H297" s="177">
        <v>9.5</v>
      </c>
      <c r="I297" s="177">
        <v>8.0</v>
      </c>
      <c r="J297" s="177">
        <v>6.5</v>
      </c>
      <c r="K297" s="177"/>
      <c r="L297" s="177"/>
    </row>
    <row r="298" ht="26.25" customHeight="1">
      <c r="A298" s="176">
        <v>45752.0</v>
      </c>
      <c r="B298" s="177">
        <v>11.5</v>
      </c>
      <c r="C298" s="177">
        <v>9.5</v>
      </c>
      <c r="D298" s="175">
        <v>6.0</v>
      </c>
      <c r="E298" s="175">
        <v>17.0</v>
      </c>
      <c r="F298" s="177">
        <v>13.0</v>
      </c>
      <c r="G298" s="177">
        <v>11.0</v>
      </c>
      <c r="H298" s="177">
        <v>11.5</v>
      </c>
      <c r="I298" s="177">
        <v>11.5</v>
      </c>
      <c r="J298" s="177">
        <v>16.0</v>
      </c>
      <c r="K298" s="177"/>
      <c r="L298" s="177"/>
    </row>
    <row r="299" ht="26.25" customHeight="1">
      <c r="A299" s="176">
        <v>45753.0</v>
      </c>
      <c r="B299" s="177">
        <v>12.5</v>
      </c>
      <c r="C299" s="177">
        <v>10.5</v>
      </c>
      <c r="D299" s="175">
        <v>8.75</v>
      </c>
      <c r="E299" s="175">
        <v>6.0</v>
      </c>
      <c r="F299" s="177">
        <v>13.5</v>
      </c>
      <c r="G299" s="177">
        <v>9.5</v>
      </c>
      <c r="H299" s="177">
        <v>9.5</v>
      </c>
      <c r="I299" s="177">
        <v>9.5</v>
      </c>
      <c r="J299" s="177">
        <v>10.0</v>
      </c>
      <c r="K299" s="177"/>
      <c r="L299" s="177"/>
    </row>
    <row r="300" ht="26.25" customHeight="1">
      <c r="A300" s="176">
        <v>45754.0</v>
      </c>
      <c r="B300" s="177">
        <v>9.0</v>
      </c>
      <c r="C300" s="177">
        <v>11.0</v>
      </c>
      <c r="D300" s="175">
        <v>10.75</v>
      </c>
      <c r="E300" s="175">
        <v>10.5</v>
      </c>
      <c r="F300" s="177">
        <v>9.0</v>
      </c>
      <c r="G300" s="177">
        <v>11.5</v>
      </c>
      <c r="H300" s="177">
        <v>18.0</v>
      </c>
      <c r="I300" s="177">
        <v>8.0</v>
      </c>
      <c r="J300" s="177">
        <v>18.0</v>
      </c>
      <c r="K300" s="177"/>
      <c r="L300" s="177"/>
    </row>
    <row r="301" ht="26.25" customHeight="1">
      <c r="A301" s="176">
        <v>45755.0</v>
      </c>
      <c r="B301" s="177">
        <v>11.0</v>
      </c>
      <c r="C301" s="177">
        <v>0.0</v>
      </c>
      <c r="D301" s="175">
        <v>9.0</v>
      </c>
      <c r="E301" s="175">
        <v>10.0</v>
      </c>
      <c r="F301" s="177">
        <v>9.5</v>
      </c>
      <c r="G301" s="177">
        <v>3.0</v>
      </c>
      <c r="H301" s="177">
        <v>5.0</v>
      </c>
      <c r="I301" s="177">
        <v>14.0</v>
      </c>
      <c r="J301" s="177">
        <v>4.0</v>
      </c>
      <c r="K301" s="177"/>
      <c r="L301" s="177"/>
    </row>
    <row r="302" ht="26.25" customHeight="1">
      <c r="A302" s="176">
        <v>45756.0</v>
      </c>
      <c r="B302" s="177">
        <v>13.0</v>
      </c>
      <c r="C302" s="177">
        <v>0.0</v>
      </c>
      <c r="D302" s="175">
        <v>9.25</v>
      </c>
      <c r="E302" s="175">
        <v>11.0</v>
      </c>
      <c r="F302" s="177">
        <v>6.0</v>
      </c>
      <c r="G302" s="177">
        <v>15.5</v>
      </c>
      <c r="H302" s="177">
        <v>8.5</v>
      </c>
      <c r="I302" s="177">
        <v>13.0</v>
      </c>
      <c r="J302" s="177"/>
      <c r="K302" s="177"/>
      <c r="L302" s="177"/>
    </row>
    <row r="303" ht="26.25" customHeight="1">
      <c r="A303" s="176">
        <v>45757.0</v>
      </c>
      <c r="B303" s="177">
        <v>8.0</v>
      </c>
      <c r="C303" s="177">
        <v>0.0</v>
      </c>
      <c r="D303" s="175">
        <v>7.75</v>
      </c>
      <c r="E303" s="175">
        <v>5.5</v>
      </c>
      <c r="F303" s="177">
        <v>0.0</v>
      </c>
      <c r="G303" s="177">
        <v>16.0</v>
      </c>
      <c r="H303" s="177">
        <v>10.5</v>
      </c>
      <c r="I303" s="177">
        <v>11.5</v>
      </c>
      <c r="J303" s="177"/>
      <c r="K303" s="177"/>
      <c r="L303" s="177"/>
    </row>
    <row r="304" ht="26.25" customHeight="1">
      <c r="A304" s="176">
        <v>45758.0</v>
      </c>
      <c r="B304" s="177">
        <v>0.0</v>
      </c>
      <c r="C304" s="182">
        <v>10.0</v>
      </c>
      <c r="D304" s="175">
        <v>9.25</v>
      </c>
      <c r="E304" s="175">
        <v>10.5</v>
      </c>
      <c r="F304" s="177">
        <v>0.0</v>
      </c>
      <c r="G304" s="177">
        <v>9.0</v>
      </c>
      <c r="H304" s="177">
        <v>11.5</v>
      </c>
      <c r="I304" s="177">
        <v>11.0</v>
      </c>
      <c r="J304" s="177"/>
      <c r="K304" s="177"/>
      <c r="L304" s="177"/>
    </row>
    <row r="305" ht="26.25" customHeight="1">
      <c r="A305" s="176">
        <v>45759.0</v>
      </c>
      <c r="B305" s="177">
        <v>10.0</v>
      </c>
      <c r="C305" s="182">
        <v>9.0</v>
      </c>
      <c r="D305" s="175">
        <v>9.5</v>
      </c>
      <c r="E305" s="175">
        <v>5.5</v>
      </c>
      <c r="F305" s="177">
        <v>8.0</v>
      </c>
      <c r="G305" s="177">
        <v>9.5</v>
      </c>
      <c r="H305" s="177">
        <v>10.0</v>
      </c>
      <c r="I305" s="177">
        <v>6.5</v>
      </c>
      <c r="J305" s="177">
        <v>8.5</v>
      </c>
      <c r="K305" s="177"/>
      <c r="L305" s="177"/>
    </row>
    <row r="306" ht="26.25" customHeight="1">
      <c r="A306" s="176">
        <v>45760.0</v>
      </c>
      <c r="B306" s="177">
        <v>11.0</v>
      </c>
      <c r="C306" s="182">
        <v>11.0</v>
      </c>
      <c r="D306" s="175">
        <v>7.25</v>
      </c>
      <c r="E306" s="175">
        <v>10.0</v>
      </c>
      <c r="F306" s="177"/>
      <c r="G306" s="177">
        <v>9.5</v>
      </c>
      <c r="H306" s="177"/>
      <c r="I306" s="177">
        <v>0.0</v>
      </c>
      <c r="J306" s="177">
        <v>4.5</v>
      </c>
      <c r="K306" s="177"/>
      <c r="L306" s="177"/>
    </row>
    <row r="307" ht="26.25" customHeight="1">
      <c r="A307" s="176">
        <v>45761.0</v>
      </c>
      <c r="B307" s="177">
        <v>9.0</v>
      </c>
      <c r="C307" s="182">
        <v>10.5</v>
      </c>
      <c r="D307" s="175"/>
      <c r="E307" s="175">
        <v>11.5</v>
      </c>
      <c r="F307" s="177"/>
      <c r="G307" s="177">
        <v>12.0</v>
      </c>
      <c r="H307" s="177">
        <v>10.5</v>
      </c>
      <c r="I307" s="177">
        <v>13.0</v>
      </c>
      <c r="J307" s="177">
        <v>9.0</v>
      </c>
      <c r="K307" s="177"/>
      <c r="L307" s="177"/>
    </row>
    <row r="308" ht="26.25" customHeight="1">
      <c r="A308" s="176">
        <v>45762.0</v>
      </c>
      <c r="B308" s="177">
        <v>13.0</v>
      </c>
      <c r="C308" s="182">
        <v>7.0</v>
      </c>
      <c r="D308" s="175">
        <v>6.5</v>
      </c>
      <c r="E308" s="175">
        <v>11.0</v>
      </c>
      <c r="F308" s="177">
        <v>12.0</v>
      </c>
      <c r="G308" s="177">
        <v>14.0</v>
      </c>
      <c r="H308" s="177">
        <v>9.0</v>
      </c>
      <c r="I308" s="177">
        <v>11.5</v>
      </c>
      <c r="J308" s="177">
        <v>10.5</v>
      </c>
      <c r="K308" s="177"/>
      <c r="L308" s="177"/>
    </row>
    <row r="309" ht="26.25" customHeight="1">
      <c r="A309" s="176">
        <v>45763.0</v>
      </c>
      <c r="B309" s="177">
        <v>9.0</v>
      </c>
      <c r="C309" s="182">
        <v>11.0</v>
      </c>
      <c r="D309" s="175">
        <v>9.0</v>
      </c>
      <c r="E309" s="175">
        <v>9.5</v>
      </c>
      <c r="F309" s="177">
        <v>10.0</v>
      </c>
      <c r="G309" s="177">
        <v>13.5</v>
      </c>
      <c r="H309" s="177">
        <v>10.0</v>
      </c>
      <c r="I309" s="177">
        <v>12.0</v>
      </c>
      <c r="J309" s="177">
        <v>9.5</v>
      </c>
      <c r="K309" s="177"/>
      <c r="L309" s="177"/>
    </row>
    <row r="310" ht="26.25" customHeight="1">
      <c r="A310" s="176">
        <v>45764.0</v>
      </c>
      <c r="B310" s="177">
        <v>10.5</v>
      </c>
      <c r="C310" s="182">
        <v>12.0</v>
      </c>
      <c r="D310" s="175">
        <v>11.5</v>
      </c>
      <c r="E310" s="175">
        <v>10.25</v>
      </c>
      <c r="F310" s="177">
        <v>8.0</v>
      </c>
      <c r="G310" s="177">
        <v>14.0</v>
      </c>
      <c r="H310" s="177">
        <v>11.5</v>
      </c>
      <c r="I310" s="177">
        <v>14.0</v>
      </c>
      <c r="J310" s="177">
        <v>11.0</v>
      </c>
      <c r="K310" s="177"/>
      <c r="L310" s="177"/>
    </row>
    <row r="311" ht="26.25" customHeight="1">
      <c r="A311" s="176">
        <v>45765.0</v>
      </c>
      <c r="B311" s="177">
        <v>0.0</v>
      </c>
      <c r="C311" s="182">
        <v>4.0</v>
      </c>
      <c r="D311" s="175">
        <v>12.5</v>
      </c>
      <c r="E311" s="175">
        <v>9.0</v>
      </c>
      <c r="F311" s="177">
        <v>11.0</v>
      </c>
      <c r="G311" s="177">
        <v>5.0</v>
      </c>
      <c r="H311" s="177">
        <v>9.5</v>
      </c>
      <c r="I311" s="177">
        <v>9.5</v>
      </c>
      <c r="J311" s="177">
        <v>9.5</v>
      </c>
      <c r="K311" s="177"/>
      <c r="L311" s="177"/>
    </row>
    <row r="312" ht="26.25" customHeight="1">
      <c r="A312" s="176">
        <v>45766.0</v>
      </c>
      <c r="B312" s="177">
        <v>10.0</v>
      </c>
      <c r="C312" s="182">
        <v>10.0</v>
      </c>
      <c r="D312" s="175">
        <v>9.5</v>
      </c>
      <c r="E312" s="175">
        <v>12.0</v>
      </c>
      <c r="F312" s="177">
        <v>5.0</v>
      </c>
      <c r="G312" s="177">
        <v>8.0</v>
      </c>
      <c r="H312" s="177">
        <v>7.5</v>
      </c>
      <c r="I312" s="177">
        <v>0.0</v>
      </c>
      <c r="J312" s="177"/>
      <c r="K312" s="177"/>
      <c r="L312" s="177"/>
    </row>
    <row r="313" ht="26.25" customHeight="1">
      <c r="A313" s="176">
        <v>45767.0</v>
      </c>
      <c r="B313" s="177">
        <v>9.0</v>
      </c>
      <c r="C313" s="182">
        <v>12.0</v>
      </c>
      <c r="D313" s="175">
        <v>9.0</v>
      </c>
      <c r="E313" s="175">
        <v>12.0</v>
      </c>
      <c r="F313" s="177">
        <v>12.0</v>
      </c>
      <c r="G313" s="177">
        <v>9.5</v>
      </c>
      <c r="H313" s="177">
        <v>10.5</v>
      </c>
      <c r="I313" s="177">
        <v>5.5</v>
      </c>
      <c r="J313" s="177">
        <v>9.0</v>
      </c>
      <c r="K313" s="177"/>
      <c r="L313" s="177"/>
    </row>
    <row r="314" ht="26.25" customHeight="1">
      <c r="A314" s="176">
        <v>45768.0</v>
      </c>
      <c r="B314" s="177">
        <v>9.0</v>
      </c>
      <c r="C314" s="182">
        <v>10.0</v>
      </c>
      <c r="D314" s="175">
        <v>9.25</v>
      </c>
      <c r="E314" s="175">
        <v>10.0</v>
      </c>
      <c r="F314" s="177">
        <v>10.5</v>
      </c>
      <c r="G314" s="177">
        <v>14.0</v>
      </c>
      <c r="H314" s="177">
        <v>9.5</v>
      </c>
      <c r="I314" s="177">
        <v>4.5</v>
      </c>
      <c r="J314" s="177">
        <v>10.0</v>
      </c>
      <c r="K314" s="177"/>
      <c r="L314" s="177"/>
    </row>
    <row r="315" ht="26.25" customHeight="1">
      <c r="A315" s="176">
        <v>45769.0</v>
      </c>
      <c r="B315" s="177">
        <v>10.0</v>
      </c>
      <c r="C315" s="182">
        <v>10.0</v>
      </c>
      <c r="D315" s="175">
        <v>12.5</v>
      </c>
      <c r="E315" s="175">
        <v>10.0</v>
      </c>
      <c r="F315" s="177">
        <v>4.5</v>
      </c>
      <c r="G315" s="177">
        <v>12.5</v>
      </c>
      <c r="H315" s="177">
        <v>9.5</v>
      </c>
      <c r="I315" s="177">
        <v>15.5</v>
      </c>
      <c r="J315" s="177">
        <v>9.5</v>
      </c>
      <c r="K315" s="177"/>
      <c r="L315" s="177"/>
    </row>
    <row r="316" ht="26.25" customHeight="1">
      <c r="A316" s="176">
        <v>45770.0</v>
      </c>
      <c r="B316" s="177">
        <v>9.0</v>
      </c>
      <c r="C316" s="182">
        <v>14.0</v>
      </c>
      <c r="D316" s="175">
        <v>10.75</v>
      </c>
      <c r="E316" s="175">
        <v>3.25</v>
      </c>
      <c r="F316" s="177">
        <v>12.0</v>
      </c>
      <c r="G316" s="177">
        <v>6.5</v>
      </c>
      <c r="H316" s="177">
        <v>15.0</v>
      </c>
      <c r="I316" s="177">
        <v>10.0</v>
      </c>
      <c r="J316" s="177">
        <v>10.0</v>
      </c>
      <c r="K316" s="177"/>
      <c r="L316" s="177"/>
    </row>
    <row r="317" ht="26.25" customHeight="1">
      <c r="A317" s="176">
        <v>45771.0</v>
      </c>
      <c r="B317" s="177">
        <v>9.0</v>
      </c>
      <c r="C317" s="182">
        <v>9.0</v>
      </c>
      <c r="D317" s="175">
        <v>19.0</v>
      </c>
      <c r="E317" s="175">
        <v>10.0</v>
      </c>
      <c r="F317" s="177">
        <v>8.0</v>
      </c>
      <c r="G317" s="177">
        <v>11.0</v>
      </c>
      <c r="H317" s="177">
        <v>17.0</v>
      </c>
      <c r="I317" s="177">
        <v>10.0</v>
      </c>
      <c r="J317" s="177">
        <v>17.0</v>
      </c>
      <c r="K317" s="177"/>
      <c r="L317" s="177"/>
    </row>
    <row r="318" ht="26.25" customHeight="1">
      <c r="A318" s="176">
        <v>45772.0</v>
      </c>
      <c r="B318" s="177">
        <v>9.5</v>
      </c>
      <c r="C318" s="182">
        <v>4.0</v>
      </c>
      <c r="D318" s="175">
        <v>3.0</v>
      </c>
      <c r="E318" s="175">
        <v>7.0</v>
      </c>
      <c r="F318" s="177">
        <v>5.0</v>
      </c>
      <c r="G318" s="177">
        <v>0.0</v>
      </c>
      <c r="H318" s="177"/>
      <c r="I318" s="177">
        <v>17.5</v>
      </c>
      <c r="J318" s="177">
        <v>7.5</v>
      </c>
      <c r="K318" s="177"/>
      <c r="L318" s="177"/>
    </row>
    <row r="319" ht="26.25" customHeight="1">
      <c r="A319" s="176">
        <v>45773.0</v>
      </c>
      <c r="B319" s="177">
        <v>9.0</v>
      </c>
      <c r="C319" s="182">
        <v>10.0</v>
      </c>
      <c r="D319" s="175">
        <v>11.0</v>
      </c>
      <c r="E319" s="175">
        <v>7.5</v>
      </c>
      <c r="F319" s="177">
        <v>13.0</v>
      </c>
      <c r="G319" s="177">
        <v>10.0</v>
      </c>
      <c r="H319" s="177">
        <v>11.0</v>
      </c>
      <c r="I319" s="177">
        <v>20.5</v>
      </c>
      <c r="J319" s="177">
        <v>12.5</v>
      </c>
      <c r="K319" s="177"/>
      <c r="L319" s="177"/>
    </row>
    <row r="320" ht="26.25" customHeight="1">
      <c r="A320" s="176">
        <v>45774.0</v>
      </c>
      <c r="B320" s="177">
        <v>8.0</v>
      </c>
      <c r="C320" s="182">
        <v>9.0</v>
      </c>
      <c r="D320" s="175">
        <v>6.5</v>
      </c>
      <c r="E320" s="175">
        <v>12.0</v>
      </c>
      <c r="F320" s="177">
        <v>9.0</v>
      </c>
      <c r="G320" s="177">
        <v>8.0</v>
      </c>
      <c r="H320" s="177">
        <v>12.0</v>
      </c>
      <c r="I320" s="177">
        <v>17.5</v>
      </c>
      <c r="J320" s="177">
        <v>8.0</v>
      </c>
      <c r="K320" s="177"/>
      <c r="L320" s="177"/>
    </row>
    <row r="321" ht="26.25" customHeight="1">
      <c r="A321" s="176">
        <v>45775.0</v>
      </c>
      <c r="B321" s="177">
        <v>10.0</v>
      </c>
      <c r="C321" s="182">
        <v>12.0</v>
      </c>
      <c r="D321" s="175">
        <v>10.0</v>
      </c>
      <c r="E321" s="175">
        <v>8.5</v>
      </c>
      <c r="F321" s="177"/>
      <c r="G321" s="177">
        <v>8.5</v>
      </c>
      <c r="H321" s="177">
        <v>6.5</v>
      </c>
      <c r="I321" s="177">
        <v>17.5</v>
      </c>
      <c r="J321" s="177">
        <v>14.5</v>
      </c>
      <c r="K321" s="177"/>
      <c r="L321" s="177"/>
    </row>
    <row r="322" ht="26.25" customHeight="1">
      <c r="A322" s="176">
        <v>45776.0</v>
      </c>
      <c r="B322" s="177">
        <v>10.0</v>
      </c>
      <c r="C322" s="182">
        <v>9.0</v>
      </c>
      <c r="D322" s="175">
        <v>0.0</v>
      </c>
      <c r="E322" s="175">
        <v>9.0</v>
      </c>
      <c r="F322" s="177">
        <v>8.0</v>
      </c>
      <c r="G322" s="177">
        <v>11.0</v>
      </c>
      <c r="H322" s="177">
        <v>8.0</v>
      </c>
      <c r="I322" s="177">
        <v>8.0</v>
      </c>
      <c r="J322" s="177">
        <v>9.0</v>
      </c>
      <c r="K322" s="177"/>
      <c r="L322" s="177"/>
    </row>
    <row r="323" ht="26.25" customHeight="1">
      <c r="A323" s="176">
        <v>45777.0</v>
      </c>
      <c r="B323" s="177">
        <v>13.0</v>
      </c>
      <c r="C323" s="182">
        <v>8.0</v>
      </c>
      <c r="D323" s="175">
        <v>10.0</v>
      </c>
      <c r="E323" s="175">
        <v>14.5</v>
      </c>
      <c r="F323" s="177">
        <v>3.5</v>
      </c>
      <c r="G323" s="177">
        <v>13.0</v>
      </c>
      <c r="H323" s="177">
        <v>8.0</v>
      </c>
      <c r="I323" s="177">
        <v>7.5</v>
      </c>
      <c r="J323" s="177">
        <v>8.0</v>
      </c>
      <c r="K323" s="177"/>
      <c r="L323" s="177"/>
    </row>
    <row r="324" ht="26.25" customHeight="1">
      <c r="A324" s="183"/>
      <c r="B324" s="184">
        <f t="shared" ref="B324:J324" si="8">SUM(B294:B323)</f>
        <v>282</v>
      </c>
      <c r="C324" s="184">
        <f t="shared" si="8"/>
        <v>248.5</v>
      </c>
      <c r="D324" s="185">
        <f t="shared" si="8"/>
        <v>245.5</v>
      </c>
      <c r="E324" s="185">
        <f t="shared" si="8"/>
        <v>298</v>
      </c>
      <c r="F324" s="184">
        <f t="shared" si="8"/>
        <v>214.5</v>
      </c>
      <c r="G324" s="184">
        <f t="shared" si="8"/>
        <v>300.5</v>
      </c>
      <c r="H324" s="184">
        <f t="shared" si="8"/>
        <v>279</v>
      </c>
      <c r="I324" s="184">
        <f t="shared" si="8"/>
        <v>297</v>
      </c>
      <c r="J324" s="184">
        <f t="shared" si="8"/>
        <v>252.5</v>
      </c>
      <c r="K324" s="184"/>
      <c r="L324" s="184"/>
    </row>
    <row r="325" ht="26.25" customHeight="1">
      <c r="A325" s="183"/>
      <c r="B325" s="185">
        <f t="shared" ref="B325:J325" si="9">B324*B2</f>
        <v>0</v>
      </c>
      <c r="C325" s="185">
        <f t="shared" si="9"/>
        <v>0</v>
      </c>
      <c r="D325" s="185">
        <f t="shared" si="9"/>
        <v>0</v>
      </c>
      <c r="E325" s="185">
        <f t="shared" si="9"/>
        <v>0</v>
      </c>
      <c r="F325" s="185">
        <f t="shared" si="9"/>
        <v>0</v>
      </c>
      <c r="G325" s="185">
        <f t="shared" si="9"/>
        <v>0</v>
      </c>
      <c r="H325" s="185">
        <f t="shared" si="9"/>
        <v>0</v>
      </c>
      <c r="I325" s="185">
        <f t="shared" si="9"/>
        <v>0</v>
      </c>
      <c r="J325" s="185">
        <f t="shared" si="9"/>
        <v>0</v>
      </c>
      <c r="K325" s="184"/>
      <c r="L325" s="184"/>
    </row>
    <row r="326" ht="26.25" customHeight="1">
      <c r="A326" s="176">
        <v>45778.0</v>
      </c>
      <c r="B326" s="177">
        <v>13.0</v>
      </c>
      <c r="C326" s="182">
        <v>10.0</v>
      </c>
      <c r="D326" s="175">
        <v>11.0</v>
      </c>
      <c r="E326" s="175">
        <v>2.5</v>
      </c>
      <c r="F326" s="177">
        <v>6.0</v>
      </c>
      <c r="G326" s="177">
        <v>11.0</v>
      </c>
      <c r="H326" s="177">
        <v>6.5</v>
      </c>
      <c r="I326" s="177">
        <v>10.0</v>
      </c>
      <c r="J326" s="177">
        <v>5.0</v>
      </c>
      <c r="K326" s="177"/>
      <c r="L326" s="177"/>
    </row>
    <row r="327" ht="26.25" customHeight="1">
      <c r="A327" s="176">
        <v>45779.0</v>
      </c>
      <c r="B327" s="177">
        <v>6.0</v>
      </c>
      <c r="C327" s="182">
        <v>10.0</v>
      </c>
      <c r="D327" s="175"/>
      <c r="E327" s="175">
        <v>9.0</v>
      </c>
      <c r="F327" s="177">
        <v>10.0</v>
      </c>
      <c r="G327" s="177"/>
      <c r="H327" s="177"/>
      <c r="I327" s="177"/>
      <c r="J327" s="177">
        <v>10.5</v>
      </c>
      <c r="K327" s="177"/>
      <c r="L327" s="177"/>
    </row>
    <row r="328" ht="26.25" customHeight="1">
      <c r="A328" s="176">
        <v>45780.0</v>
      </c>
      <c r="B328" s="177">
        <v>10.0</v>
      </c>
      <c r="C328" s="182">
        <v>10.0</v>
      </c>
      <c r="D328" s="175">
        <v>10.5</v>
      </c>
      <c r="E328" s="175">
        <v>8.0</v>
      </c>
      <c r="F328" s="177"/>
      <c r="G328" s="177">
        <v>8.0</v>
      </c>
      <c r="H328" s="177">
        <v>8.5</v>
      </c>
      <c r="I328" s="177"/>
      <c r="J328" s="177">
        <v>6.5</v>
      </c>
      <c r="K328" s="177"/>
      <c r="L328" s="177"/>
    </row>
    <row r="329" ht="26.25" customHeight="1">
      <c r="A329" s="176">
        <v>45781.0</v>
      </c>
      <c r="B329" s="177">
        <v>9.0</v>
      </c>
      <c r="C329" s="182">
        <v>10.0</v>
      </c>
      <c r="D329" s="175">
        <v>14.5</v>
      </c>
      <c r="E329" s="175">
        <v>11.5</v>
      </c>
      <c r="F329" s="177"/>
      <c r="G329" s="177">
        <v>11.5</v>
      </c>
      <c r="H329" s="177">
        <v>9.0</v>
      </c>
      <c r="I329" s="177">
        <v>15.0</v>
      </c>
      <c r="J329" s="177"/>
      <c r="K329" s="177"/>
      <c r="L329" s="177"/>
    </row>
    <row r="330" ht="26.25" customHeight="1">
      <c r="A330" s="176">
        <v>45782.0</v>
      </c>
      <c r="B330" s="177">
        <v>9.0</v>
      </c>
      <c r="C330" s="182">
        <v>10.0</v>
      </c>
      <c r="D330" s="175">
        <v>10.0</v>
      </c>
      <c r="E330" s="175">
        <v>9.0</v>
      </c>
      <c r="F330" s="177">
        <v>10.0</v>
      </c>
      <c r="G330" s="177">
        <v>6.5</v>
      </c>
      <c r="H330" s="177">
        <v>16.0</v>
      </c>
      <c r="I330" s="177">
        <v>17.0</v>
      </c>
      <c r="J330" s="177">
        <v>14.25</v>
      </c>
      <c r="K330" s="177"/>
      <c r="L330" s="177"/>
    </row>
    <row r="331" ht="26.25" customHeight="1">
      <c r="A331" s="176">
        <v>45783.0</v>
      </c>
      <c r="B331" s="177">
        <v>8.0</v>
      </c>
      <c r="C331" s="182">
        <v>11.0</v>
      </c>
      <c r="D331" s="175">
        <v>15.0</v>
      </c>
      <c r="E331" s="175"/>
      <c r="F331" s="177">
        <v>11.0</v>
      </c>
      <c r="G331" s="177">
        <v>9.0</v>
      </c>
      <c r="H331" s="177"/>
      <c r="I331" s="177">
        <v>14.5</v>
      </c>
      <c r="J331" s="177">
        <v>12.5</v>
      </c>
      <c r="K331" s="177"/>
      <c r="L331" s="177"/>
    </row>
    <row r="332" ht="26.25" customHeight="1">
      <c r="A332" s="176">
        <v>45784.0</v>
      </c>
      <c r="B332" s="177">
        <v>0.0</v>
      </c>
      <c r="C332" s="182">
        <v>9.0</v>
      </c>
      <c r="D332" s="175">
        <v>10.5</v>
      </c>
      <c r="E332" s="175">
        <v>11.25</v>
      </c>
      <c r="F332" s="177">
        <v>10.0</v>
      </c>
      <c r="G332" s="177">
        <v>6.5</v>
      </c>
      <c r="H332" s="177">
        <v>9.0</v>
      </c>
      <c r="I332" s="177">
        <v>11.0</v>
      </c>
      <c r="J332" s="177">
        <v>9.75</v>
      </c>
      <c r="K332" s="177"/>
      <c r="L332" s="177"/>
    </row>
    <row r="333" ht="26.25" customHeight="1">
      <c r="A333" s="176">
        <v>45785.0</v>
      </c>
      <c r="B333" s="177">
        <v>0.0</v>
      </c>
      <c r="C333" s="182">
        <v>10.0</v>
      </c>
      <c r="D333" s="175">
        <v>11.0</v>
      </c>
      <c r="E333" s="175">
        <v>11.0</v>
      </c>
      <c r="F333" s="177"/>
      <c r="G333" s="177">
        <v>8.5</v>
      </c>
      <c r="H333" s="177">
        <v>12.25</v>
      </c>
      <c r="I333" s="177">
        <v>8.5</v>
      </c>
      <c r="J333" s="177">
        <v>8.0</v>
      </c>
      <c r="K333" s="177"/>
      <c r="L333" s="177"/>
    </row>
    <row r="334" ht="26.25" customHeight="1">
      <c r="A334" s="176">
        <v>45786.0</v>
      </c>
      <c r="B334" s="177">
        <v>9.0</v>
      </c>
      <c r="C334" s="182">
        <v>10.0</v>
      </c>
      <c r="D334" s="175"/>
      <c r="E334" s="175">
        <v>8.5</v>
      </c>
      <c r="F334" s="177"/>
      <c r="G334" s="177">
        <v>5.0</v>
      </c>
      <c r="H334" s="177"/>
      <c r="I334" s="177">
        <v>9.0</v>
      </c>
      <c r="J334" s="178"/>
      <c r="K334" s="178"/>
      <c r="L334" s="178"/>
    </row>
    <row r="335" ht="26.25" customHeight="1">
      <c r="A335" s="176">
        <v>45787.0</v>
      </c>
      <c r="B335" s="177">
        <v>12.0</v>
      </c>
      <c r="C335" s="182"/>
      <c r="D335" s="175">
        <v>12.0</v>
      </c>
      <c r="E335" s="175">
        <v>10.5</v>
      </c>
      <c r="F335" s="177">
        <v>12.0</v>
      </c>
      <c r="G335" s="177">
        <v>6.0</v>
      </c>
      <c r="H335" s="177">
        <v>15.5</v>
      </c>
      <c r="I335" s="177">
        <v>16.5</v>
      </c>
      <c r="J335" s="177">
        <v>10.5</v>
      </c>
      <c r="K335" s="177"/>
      <c r="L335" s="177"/>
    </row>
    <row r="336" ht="26.25" customHeight="1">
      <c r="A336" s="176">
        <v>45788.0</v>
      </c>
      <c r="B336" s="177">
        <v>9.0</v>
      </c>
      <c r="C336" s="182"/>
      <c r="D336" s="175">
        <v>14.0</v>
      </c>
      <c r="E336" s="175">
        <v>9.5</v>
      </c>
      <c r="F336" s="177">
        <v>14.5</v>
      </c>
      <c r="G336" s="177">
        <v>9.0</v>
      </c>
      <c r="H336" s="177">
        <v>17.5</v>
      </c>
      <c r="I336" s="177">
        <v>16.5</v>
      </c>
      <c r="J336" s="177">
        <v>10.0</v>
      </c>
      <c r="K336" s="177"/>
      <c r="L336" s="177"/>
    </row>
    <row r="337" ht="26.25" customHeight="1">
      <c r="A337" s="176">
        <v>45789.0</v>
      </c>
      <c r="B337" s="177">
        <v>17.0</v>
      </c>
      <c r="C337" s="182"/>
      <c r="D337" s="175">
        <v>10.0</v>
      </c>
      <c r="E337" s="175">
        <v>9.0</v>
      </c>
      <c r="F337" s="177">
        <v>9.0</v>
      </c>
      <c r="G337" s="177">
        <v>11.5</v>
      </c>
      <c r="H337" s="177"/>
      <c r="I337" s="177">
        <v>11.0</v>
      </c>
      <c r="J337" s="177">
        <v>8.0</v>
      </c>
      <c r="K337" s="177"/>
      <c r="L337" s="177"/>
    </row>
    <row r="338" ht="26.25" customHeight="1">
      <c r="A338" s="176">
        <v>45790.0</v>
      </c>
      <c r="B338" s="177">
        <v>10.0</v>
      </c>
      <c r="C338" s="182"/>
      <c r="D338" s="175">
        <v>8.0</v>
      </c>
      <c r="E338" s="175">
        <v>8.5</v>
      </c>
      <c r="F338" s="177">
        <v>10.0</v>
      </c>
      <c r="G338" s="177">
        <v>8.5</v>
      </c>
      <c r="H338" s="177">
        <v>11.0</v>
      </c>
      <c r="I338" s="177">
        <v>10.5</v>
      </c>
      <c r="J338" s="177">
        <v>15.5</v>
      </c>
      <c r="K338" s="177"/>
      <c r="L338" s="177"/>
    </row>
    <row r="339" ht="26.25" customHeight="1">
      <c r="A339" s="176">
        <v>45791.0</v>
      </c>
      <c r="B339" s="177">
        <v>13.0</v>
      </c>
      <c r="C339" s="182"/>
      <c r="D339" s="175">
        <v>2.0</v>
      </c>
      <c r="E339" s="175">
        <v>11.25</v>
      </c>
      <c r="F339" s="177"/>
      <c r="G339" s="177">
        <v>11.0</v>
      </c>
      <c r="H339" s="177">
        <v>4.5</v>
      </c>
      <c r="I339" s="177">
        <v>11.0</v>
      </c>
      <c r="J339" s="178"/>
      <c r="K339" s="178"/>
      <c r="L339" s="178"/>
    </row>
    <row r="340" ht="26.25" customHeight="1">
      <c r="A340" s="176">
        <v>45792.0</v>
      </c>
      <c r="B340" s="177">
        <v>15.0</v>
      </c>
      <c r="C340" s="182"/>
      <c r="D340" s="175">
        <v>3.0</v>
      </c>
      <c r="E340" s="175">
        <v>8.5</v>
      </c>
      <c r="F340" s="177">
        <v>9.5</v>
      </c>
      <c r="G340" s="177">
        <v>7.0</v>
      </c>
      <c r="H340" s="177">
        <v>8.5</v>
      </c>
      <c r="I340" s="177">
        <v>10.5</v>
      </c>
      <c r="J340" s="177">
        <v>6.5</v>
      </c>
      <c r="K340" s="177"/>
      <c r="L340" s="177"/>
    </row>
    <row r="341" ht="26.25" customHeight="1">
      <c r="A341" s="176">
        <v>45793.0</v>
      </c>
      <c r="B341" s="177">
        <v>9.0</v>
      </c>
      <c r="C341" s="182">
        <v>10.0</v>
      </c>
      <c r="D341" s="175"/>
      <c r="E341" s="175">
        <v>10.0</v>
      </c>
      <c r="F341" s="177">
        <v>9.5</v>
      </c>
      <c r="G341" s="177">
        <v>7.0</v>
      </c>
      <c r="H341" s="177">
        <v>6.5</v>
      </c>
      <c r="I341" s="177">
        <v>11.0</v>
      </c>
      <c r="J341" s="177">
        <v>10.0</v>
      </c>
      <c r="K341" s="177"/>
      <c r="L341" s="177"/>
    </row>
    <row r="342" ht="26.25" customHeight="1">
      <c r="A342" s="176">
        <v>45794.0</v>
      </c>
      <c r="B342" s="177">
        <v>14.0</v>
      </c>
      <c r="C342" s="182">
        <v>17.25</v>
      </c>
      <c r="D342" s="175"/>
      <c r="E342" s="175">
        <v>7.75</v>
      </c>
      <c r="F342" s="177">
        <v>16.0</v>
      </c>
      <c r="G342" s="177">
        <v>7.0</v>
      </c>
      <c r="H342" s="177">
        <v>15.25</v>
      </c>
      <c r="I342" s="177">
        <v>9.75</v>
      </c>
      <c r="J342" s="177">
        <v>9.25</v>
      </c>
      <c r="K342" s="177"/>
      <c r="L342" s="177"/>
    </row>
    <row r="343" ht="26.25" customHeight="1">
      <c r="A343" s="176">
        <v>45795.0</v>
      </c>
      <c r="B343" s="177">
        <v>11.0</v>
      </c>
      <c r="C343" s="182">
        <v>10.0</v>
      </c>
      <c r="D343" s="175"/>
      <c r="E343" s="175">
        <v>7.5</v>
      </c>
      <c r="F343" s="177">
        <v>9.0</v>
      </c>
      <c r="G343" s="177">
        <v>9.25</v>
      </c>
      <c r="H343" s="177">
        <v>9.0</v>
      </c>
      <c r="I343" s="177">
        <v>10.25</v>
      </c>
      <c r="J343" s="177">
        <v>6.0</v>
      </c>
      <c r="K343" s="177"/>
      <c r="L343" s="177"/>
    </row>
    <row r="344" ht="26.25" customHeight="1">
      <c r="A344" s="176">
        <v>45796.0</v>
      </c>
      <c r="B344" s="177">
        <v>10.0</v>
      </c>
      <c r="C344" s="182">
        <v>12.0</v>
      </c>
      <c r="D344" s="175">
        <v>10.0</v>
      </c>
      <c r="E344" s="175">
        <v>9.0</v>
      </c>
      <c r="F344" s="177">
        <v>8.25</v>
      </c>
      <c r="G344" s="177">
        <v>7.0</v>
      </c>
      <c r="H344" s="177">
        <v>6.5</v>
      </c>
      <c r="I344" s="177">
        <v>14.0</v>
      </c>
      <c r="J344" s="177">
        <v>4.0</v>
      </c>
      <c r="K344" s="177"/>
      <c r="L344" s="177"/>
    </row>
    <row r="345" ht="26.25" customHeight="1">
      <c r="A345" s="176">
        <v>45797.0</v>
      </c>
      <c r="B345" s="177">
        <v>9.0</v>
      </c>
      <c r="C345" s="182">
        <v>8.75</v>
      </c>
      <c r="D345" s="175"/>
      <c r="E345" s="175">
        <v>9.0</v>
      </c>
      <c r="F345" s="177">
        <v>8.75</v>
      </c>
      <c r="G345" s="177">
        <v>7.0</v>
      </c>
      <c r="H345" s="177">
        <v>11.5</v>
      </c>
      <c r="I345" s="177">
        <v>14.5</v>
      </c>
      <c r="J345" s="177">
        <v>9.0</v>
      </c>
      <c r="K345" s="177"/>
      <c r="L345" s="177"/>
    </row>
    <row r="346" ht="26.25" customHeight="1">
      <c r="A346" s="176">
        <v>45798.0</v>
      </c>
      <c r="B346" s="177">
        <v>11.0</v>
      </c>
      <c r="C346" s="182">
        <v>10.0</v>
      </c>
      <c r="D346" s="175">
        <v>4.0</v>
      </c>
      <c r="E346" s="175">
        <v>8.0</v>
      </c>
      <c r="F346" s="177"/>
      <c r="G346" s="177">
        <v>7.0</v>
      </c>
      <c r="H346" s="177">
        <v>17.5</v>
      </c>
      <c r="I346" s="177">
        <v>12.75</v>
      </c>
      <c r="J346" s="177">
        <v>9.0</v>
      </c>
      <c r="K346" s="177"/>
      <c r="L346" s="177"/>
    </row>
    <row r="347" ht="26.25" customHeight="1">
      <c r="A347" s="176">
        <v>45799.0</v>
      </c>
      <c r="B347" s="177">
        <v>12.0</v>
      </c>
      <c r="C347" s="182">
        <v>9.0</v>
      </c>
      <c r="D347" s="175">
        <v>11.0</v>
      </c>
      <c r="E347" s="175">
        <v>9.25</v>
      </c>
      <c r="F347" s="177">
        <v>11.0</v>
      </c>
      <c r="G347" s="177"/>
      <c r="H347" s="177">
        <v>3.0</v>
      </c>
      <c r="I347" s="177">
        <v>11.0</v>
      </c>
      <c r="J347" s="177">
        <v>6.0</v>
      </c>
      <c r="K347" s="177"/>
      <c r="L347" s="177"/>
    </row>
    <row r="348" ht="26.25" customHeight="1">
      <c r="A348" s="176">
        <v>45800.0</v>
      </c>
      <c r="B348" s="177">
        <v>10.0</v>
      </c>
      <c r="C348" s="182">
        <v>10.0</v>
      </c>
      <c r="D348" s="175"/>
      <c r="E348" s="175">
        <v>7.0</v>
      </c>
      <c r="F348" s="177"/>
      <c r="G348" s="177"/>
      <c r="H348" s="177"/>
      <c r="I348" s="177">
        <v>5.5</v>
      </c>
      <c r="J348" s="177">
        <v>6.0</v>
      </c>
      <c r="K348" s="177"/>
      <c r="L348" s="177"/>
    </row>
    <row r="349" ht="26.25" customHeight="1">
      <c r="A349" s="176">
        <v>45801.0</v>
      </c>
      <c r="B349" s="177">
        <v>11.0</v>
      </c>
      <c r="C349" s="177">
        <v>11.5</v>
      </c>
      <c r="D349" s="175">
        <v>11.0</v>
      </c>
      <c r="E349" s="175">
        <v>5.0</v>
      </c>
      <c r="F349" s="177">
        <v>10.5</v>
      </c>
      <c r="G349" s="177"/>
      <c r="H349" s="177">
        <v>11.0</v>
      </c>
      <c r="I349" s="177">
        <v>13.5</v>
      </c>
      <c r="J349" s="177">
        <v>7.0</v>
      </c>
      <c r="K349" s="177"/>
      <c r="L349" s="177"/>
    </row>
    <row r="350" ht="26.25" customHeight="1">
      <c r="A350" s="176">
        <v>45802.0</v>
      </c>
      <c r="B350" s="177">
        <v>13.0</v>
      </c>
      <c r="C350" s="182">
        <v>10.0</v>
      </c>
      <c r="D350" s="175">
        <v>8.5</v>
      </c>
      <c r="E350" s="175">
        <v>5.0</v>
      </c>
      <c r="F350" s="177">
        <v>9.0</v>
      </c>
      <c r="G350" s="177"/>
      <c r="H350" s="177">
        <v>14.0</v>
      </c>
      <c r="I350" s="177">
        <v>13.0</v>
      </c>
      <c r="J350" s="177">
        <v>10.0</v>
      </c>
      <c r="K350" s="177"/>
      <c r="L350" s="177"/>
    </row>
    <row r="351" ht="26.25" customHeight="1">
      <c r="A351" s="176">
        <v>45803.0</v>
      </c>
      <c r="B351" s="177">
        <v>11.0</v>
      </c>
      <c r="C351" s="177">
        <v>12.5</v>
      </c>
      <c r="D351" s="175">
        <v>8.0</v>
      </c>
      <c r="E351" s="175">
        <v>7.25</v>
      </c>
      <c r="F351" s="177">
        <v>10.0</v>
      </c>
      <c r="G351" s="177"/>
      <c r="H351" s="177">
        <v>5.0</v>
      </c>
      <c r="I351" s="177">
        <v>11.5</v>
      </c>
      <c r="J351" s="177">
        <v>9.5</v>
      </c>
      <c r="K351" s="177"/>
      <c r="L351" s="177"/>
    </row>
    <row r="352" ht="26.25" customHeight="1">
      <c r="A352" s="176">
        <v>45804.0</v>
      </c>
      <c r="B352" s="177">
        <v>6.7</v>
      </c>
      <c r="C352" s="182">
        <v>12.0</v>
      </c>
      <c r="D352" s="175">
        <v>12.0</v>
      </c>
      <c r="E352" s="175">
        <v>8.5</v>
      </c>
      <c r="F352" s="177"/>
      <c r="G352" s="177"/>
      <c r="H352" s="177"/>
      <c r="I352" s="177">
        <v>13.0</v>
      </c>
      <c r="J352" s="177">
        <v>10.0</v>
      </c>
      <c r="K352" s="177"/>
      <c r="L352" s="177"/>
    </row>
    <row r="353" ht="26.25" customHeight="1">
      <c r="A353" s="176">
        <v>45805.0</v>
      </c>
      <c r="B353" s="177">
        <v>10.0</v>
      </c>
      <c r="C353" s="182">
        <v>15.0</v>
      </c>
      <c r="D353" s="175">
        <v>14.75</v>
      </c>
      <c r="E353" s="175"/>
      <c r="F353" s="177">
        <v>11.0</v>
      </c>
      <c r="G353" s="177"/>
      <c r="H353" s="177">
        <v>17.0</v>
      </c>
      <c r="I353" s="177">
        <v>12.0</v>
      </c>
      <c r="J353" s="177">
        <v>10.0</v>
      </c>
      <c r="K353" s="177"/>
      <c r="L353" s="177"/>
    </row>
    <row r="354" ht="26.25" customHeight="1">
      <c r="A354" s="176">
        <v>45806.0</v>
      </c>
      <c r="B354" s="177">
        <v>11.0</v>
      </c>
      <c r="C354" s="182">
        <v>6.0</v>
      </c>
      <c r="D354" s="175">
        <v>12.5</v>
      </c>
      <c r="E354" s="175"/>
      <c r="F354" s="177"/>
      <c r="G354" s="177">
        <v>9.0</v>
      </c>
      <c r="H354" s="177"/>
      <c r="I354" s="177">
        <v>7.0</v>
      </c>
      <c r="J354" s="178"/>
      <c r="K354" s="178"/>
      <c r="L354" s="178"/>
    </row>
    <row r="355" ht="26.25" customHeight="1">
      <c r="A355" s="176">
        <v>45807.0</v>
      </c>
      <c r="B355" s="177">
        <v>10.0</v>
      </c>
      <c r="C355" s="182">
        <v>7.0</v>
      </c>
      <c r="D355" s="175">
        <v>11.0</v>
      </c>
      <c r="E355" s="175"/>
      <c r="F355" s="177"/>
      <c r="G355" s="177">
        <v>5.0</v>
      </c>
      <c r="H355" s="177">
        <v>7.0</v>
      </c>
      <c r="I355" s="177">
        <v>11.5</v>
      </c>
      <c r="J355" s="178"/>
      <c r="K355" s="178"/>
      <c r="L355" s="178"/>
    </row>
    <row r="356" ht="26.25" customHeight="1">
      <c r="A356" s="176">
        <v>45808.0</v>
      </c>
      <c r="B356" s="177">
        <v>10.0</v>
      </c>
      <c r="C356" s="182">
        <v>9.0</v>
      </c>
      <c r="D356" s="175">
        <v>10.0</v>
      </c>
      <c r="E356" s="175">
        <v>7.0</v>
      </c>
      <c r="F356" s="177"/>
      <c r="G356" s="177"/>
      <c r="H356" s="177">
        <v>7.0</v>
      </c>
      <c r="I356" s="177">
        <v>10.0</v>
      </c>
      <c r="J356" s="178"/>
      <c r="K356" s="178"/>
      <c r="L356" s="178"/>
    </row>
    <row r="357" ht="26.25" customHeight="1">
      <c r="A357" s="185"/>
      <c r="B357" s="185">
        <f t="shared" ref="B357:J357" si="10">SUM(B326:B356)</f>
        <v>308.7</v>
      </c>
      <c r="C357" s="185">
        <f t="shared" si="10"/>
        <v>260</v>
      </c>
      <c r="D357" s="185">
        <f t="shared" si="10"/>
        <v>244.25</v>
      </c>
      <c r="E357" s="185">
        <f t="shared" si="10"/>
        <v>228.25</v>
      </c>
      <c r="F357" s="185">
        <f t="shared" si="10"/>
        <v>205</v>
      </c>
      <c r="G357" s="185">
        <f t="shared" si="10"/>
        <v>177.25</v>
      </c>
      <c r="H357" s="185">
        <f t="shared" si="10"/>
        <v>248.5</v>
      </c>
      <c r="I357" s="185">
        <f t="shared" si="10"/>
        <v>341.25</v>
      </c>
      <c r="J357" s="185">
        <f t="shared" si="10"/>
        <v>222.75</v>
      </c>
      <c r="K357" s="185"/>
      <c r="L357" s="185"/>
    </row>
    <row r="358" ht="26.25" customHeight="1">
      <c r="A358" s="185"/>
      <c r="B358" s="185">
        <f t="shared" ref="B358:J358" si="11">B357*B2</f>
        <v>0</v>
      </c>
      <c r="C358" s="185">
        <f t="shared" si="11"/>
        <v>0</v>
      </c>
      <c r="D358" s="185">
        <f t="shared" si="11"/>
        <v>0</v>
      </c>
      <c r="E358" s="185">
        <f t="shared" si="11"/>
        <v>0</v>
      </c>
      <c r="F358" s="185">
        <f t="shared" si="11"/>
        <v>0</v>
      </c>
      <c r="G358" s="185">
        <f t="shared" si="11"/>
        <v>0</v>
      </c>
      <c r="H358" s="185">
        <f t="shared" si="11"/>
        <v>0</v>
      </c>
      <c r="I358" s="185">
        <f t="shared" si="11"/>
        <v>0</v>
      </c>
      <c r="J358" s="185">
        <f t="shared" si="11"/>
        <v>0</v>
      </c>
      <c r="K358" s="185"/>
      <c r="L358" s="185"/>
    </row>
    <row r="359" ht="26.25" customHeight="1">
      <c r="A359" s="176">
        <v>45809.0</v>
      </c>
      <c r="B359" s="177">
        <v>10.0</v>
      </c>
      <c r="C359" s="177">
        <v>11.5</v>
      </c>
      <c r="D359" s="175">
        <v>16.5</v>
      </c>
      <c r="E359" s="175">
        <v>6.0</v>
      </c>
      <c r="F359" s="177">
        <v>8.5</v>
      </c>
      <c r="G359" s="177">
        <v>5.0</v>
      </c>
      <c r="H359" s="177">
        <v>11.0</v>
      </c>
      <c r="I359" s="177">
        <v>13.0</v>
      </c>
      <c r="J359" s="177">
        <v>10.5</v>
      </c>
      <c r="K359" s="177"/>
      <c r="L359" s="177"/>
    </row>
    <row r="360" ht="26.25" customHeight="1">
      <c r="A360" s="176">
        <v>45810.0</v>
      </c>
      <c r="B360" s="182">
        <v>10.0</v>
      </c>
      <c r="C360" s="182">
        <v>9.0</v>
      </c>
      <c r="D360" s="175">
        <v>9.0</v>
      </c>
      <c r="E360" s="175">
        <v>4.5</v>
      </c>
      <c r="F360" s="182">
        <v>11.5</v>
      </c>
      <c r="G360" s="182">
        <v>5.0</v>
      </c>
      <c r="H360" s="182">
        <v>11.0</v>
      </c>
      <c r="I360" s="182">
        <v>11.0</v>
      </c>
      <c r="J360" s="182">
        <v>8.5</v>
      </c>
      <c r="K360" s="182"/>
      <c r="L360" s="182"/>
    </row>
    <row r="361" ht="26.25" customHeight="1">
      <c r="A361" s="176">
        <v>45811.0</v>
      </c>
      <c r="B361" s="177">
        <v>10.0</v>
      </c>
      <c r="C361" s="182">
        <v>10.0</v>
      </c>
      <c r="D361" s="175">
        <v>12.5</v>
      </c>
      <c r="E361" s="175">
        <v>5.0</v>
      </c>
      <c r="F361" s="177">
        <v>12.0</v>
      </c>
      <c r="G361" s="177">
        <v>7.0</v>
      </c>
      <c r="H361" s="177">
        <v>11.75</v>
      </c>
      <c r="I361" s="177">
        <v>11.0</v>
      </c>
      <c r="J361" s="177">
        <v>10.0</v>
      </c>
      <c r="K361" s="177"/>
      <c r="L361" s="177"/>
    </row>
    <row r="362" ht="26.25" customHeight="1">
      <c r="A362" s="176">
        <v>45812.0</v>
      </c>
      <c r="B362" s="177">
        <v>7.0</v>
      </c>
      <c r="C362" s="182">
        <v>10.0</v>
      </c>
      <c r="D362" s="175">
        <v>16.5</v>
      </c>
      <c r="E362" s="175">
        <v>8.0</v>
      </c>
      <c r="F362" s="177">
        <v>10.0</v>
      </c>
      <c r="G362" s="177">
        <v>8.0</v>
      </c>
      <c r="H362" s="177">
        <v>17.0</v>
      </c>
      <c r="I362" s="177">
        <v>16.5</v>
      </c>
      <c r="J362" s="177">
        <v>12.0</v>
      </c>
      <c r="K362" s="177"/>
      <c r="L362" s="177"/>
    </row>
    <row r="363" ht="26.25" customHeight="1">
      <c r="A363" s="176">
        <v>45813.0</v>
      </c>
      <c r="B363" s="177">
        <v>10.0</v>
      </c>
      <c r="C363" s="182">
        <v>10.0</v>
      </c>
      <c r="D363" s="175">
        <v>9.0</v>
      </c>
      <c r="E363" s="175">
        <v>8.5</v>
      </c>
      <c r="F363" s="177"/>
      <c r="G363" s="177">
        <v>10.0</v>
      </c>
      <c r="H363" s="177">
        <v>11.0</v>
      </c>
      <c r="I363" s="177">
        <v>7.0</v>
      </c>
      <c r="J363" s="177">
        <v>19.0</v>
      </c>
      <c r="K363" s="177"/>
      <c r="L363" s="177"/>
    </row>
    <row r="364" ht="26.25" customHeight="1">
      <c r="A364" s="176">
        <v>45814.0</v>
      </c>
      <c r="B364" s="177">
        <v>7.0</v>
      </c>
      <c r="C364" s="182"/>
      <c r="D364" s="175">
        <v>16.0</v>
      </c>
      <c r="E364" s="175">
        <v>8.0</v>
      </c>
      <c r="F364" s="177">
        <v>16.0</v>
      </c>
      <c r="G364" s="177">
        <v>9.0</v>
      </c>
      <c r="H364" s="177">
        <v>16.0</v>
      </c>
      <c r="I364" s="177">
        <v>9.0</v>
      </c>
      <c r="J364" s="177">
        <v>7.0</v>
      </c>
      <c r="K364" s="177"/>
      <c r="L364" s="177"/>
    </row>
    <row r="365" ht="26.25" customHeight="1">
      <c r="A365" s="176">
        <v>45815.0</v>
      </c>
      <c r="B365" s="177">
        <v>2.5</v>
      </c>
      <c r="C365" s="182">
        <v>10.0</v>
      </c>
      <c r="D365" s="175"/>
      <c r="E365" s="175"/>
      <c r="F365" s="177"/>
      <c r="G365" s="177">
        <v>10.0</v>
      </c>
      <c r="H365" s="177"/>
      <c r="I365" s="177">
        <v>9.0</v>
      </c>
      <c r="J365" s="177">
        <v>7.0</v>
      </c>
      <c r="K365" s="177"/>
      <c r="L365" s="177"/>
    </row>
    <row r="366" ht="26.25" customHeight="1">
      <c r="A366" s="176">
        <v>45816.0</v>
      </c>
      <c r="B366" s="177">
        <v>9.0</v>
      </c>
      <c r="C366" s="182">
        <v>10.0</v>
      </c>
      <c r="D366" s="175">
        <v>7.0</v>
      </c>
      <c r="E366" s="175">
        <v>1.0</v>
      </c>
      <c r="F366" s="177"/>
      <c r="G366" s="177">
        <v>7.0</v>
      </c>
      <c r="H366" s="177">
        <v>7.0</v>
      </c>
      <c r="I366" s="177">
        <v>4.75</v>
      </c>
      <c r="J366" s="177">
        <v>6.0</v>
      </c>
      <c r="K366" s="177"/>
      <c r="L366" s="177"/>
    </row>
    <row r="367" ht="26.25" customHeight="1">
      <c r="A367" s="176">
        <v>45817.0</v>
      </c>
      <c r="B367" s="177">
        <v>9.25</v>
      </c>
      <c r="C367" s="182">
        <v>10.0</v>
      </c>
      <c r="D367" s="175">
        <v>14.5</v>
      </c>
      <c r="E367" s="175">
        <v>8.75</v>
      </c>
      <c r="F367" s="177"/>
      <c r="G367" s="177">
        <v>8.0</v>
      </c>
      <c r="H367" s="177">
        <v>14.0</v>
      </c>
      <c r="I367" s="177">
        <v>10.0</v>
      </c>
      <c r="J367" s="177">
        <v>11.5</v>
      </c>
      <c r="K367" s="177"/>
      <c r="L367" s="177"/>
    </row>
    <row r="368" ht="26.25" customHeight="1">
      <c r="A368" s="176">
        <v>45818.0</v>
      </c>
      <c r="B368" s="177">
        <v>5.0</v>
      </c>
      <c r="C368" s="182"/>
      <c r="D368" s="175">
        <v>4.5</v>
      </c>
      <c r="E368" s="175">
        <v>14.0</v>
      </c>
      <c r="F368" s="177">
        <v>9.5</v>
      </c>
      <c r="G368" s="177">
        <v>5.5</v>
      </c>
      <c r="H368" s="177">
        <v>4.5</v>
      </c>
      <c r="I368" s="177"/>
      <c r="J368" s="177">
        <v>12.0</v>
      </c>
      <c r="K368" s="177"/>
      <c r="L368" s="177"/>
    </row>
    <row r="369" ht="26.25" customHeight="1">
      <c r="A369" s="176">
        <v>45819.0</v>
      </c>
      <c r="B369" s="177">
        <v>10.0</v>
      </c>
      <c r="C369" s="182">
        <v>10.0</v>
      </c>
      <c r="D369" s="175">
        <v>13.0</v>
      </c>
      <c r="E369" s="175">
        <v>9.0</v>
      </c>
      <c r="F369" s="177">
        <v>6.0</v>
      </c>
      <c r="G369" s="177">
        <v>12.0</v>
      </c>
      <c r="H369" s="177">
        <v>6.5</v>
      </c>
      <c r="I369" s="177">
        <v>12.0</v>
      </c>
      <c r="J369" s="177">
        <v>4.5</v>
      </c>
      <c r="K369" s="177"/>
      <c r="L369" s="177"/>
    </row>
    <row r="370" ht="26.25" customHeight="1">
      <c r="A370" s="176">
        <v>45820.0</v>
      </c>
      <c r="B370" s="177">
        <v>8.0</v>
      </c>
      <c r="C370" s="182">
        <v>10.0</v>
      </c>
      <c r="D370" s="175">
        <v>3.0</v>
      </c>
      <c r="E370" s="175">
        <v>13.25</v>
      </c>
      <c r="F370" s="177"/>
      <c r="G370" s="177">
        <v>3.0</v>
      </c>
      <c r="H370" s="177"/>
      <c r="I370" s="177">
        <v>4.0</v>
      </c>
      <c r="J370" s="177">
        <v>7.0</v>
      </c>
      <c r="K370" s="177"/>
      <c r="L370" s="177"/>
    </row>
    <row r="371" ht="26.25" customHeight="1">
      <c r="A371" s="176">
        <v>45821.0</v>
      </c>
      <c r="B371" s="177">
        <v>8.0</v>
      </c>
      <c r="C371" s="182">
        <v>10.0</v>
      </c>
      <c r="D371" s="175">
        <v>5.0</v>
      </c>
      <c r="E371" s="175">
        <v>4.0</v>
      </c>
      <c r="F371" s="177"/>
      <c r="G371" s="177">
        <v>3.0</v>
      </c>
      <c r="H371" s="177"/>
      <c r="I371" s="177">
        <v>3.75</v>
      </c>
      <c r="J371" s="177">
        <v>9.5</v>
      </c>
      <c r="K371" s="177"/>
      <c r="L371" s="177"/>
    </row>
    <row r="372" ht="26.25" customHeight="1">
      <c r="A372" s="176">
        <v>45822.0</v>
      </c>
      <c r="B372" s="177">
        <v>17.0</v>
      </c>
      <c r="C372" s="182"/>
      <c r="D372" s="175">
        <v>6.5</v>
      </c>
      <c r="E372" s="175">
        <v>12.0</v>
      </c>
      <c r="F372" s="177"/>
      <c r="G372" s="177">
        <v>8.5</v>
      </c>
      <c r="H372" s="177">
        <v>18.5</v>
      </c>
      <c r="I372" s="177">
        <v>13.5</v>
      </c>
      <c r="J372" s="177">
        <v>1.5</v>
      </c>
      <c r="K372" s="177"/>
      <c r="L372" s="177"/>
    </row>
    <row r="373" ht="26.25" customHeight="1">
      <c r="A373" s="176">
        <v>45823.0</v>
      </c>
      <c r="B373" s="177">
        <v>6.0</v>
      </c>
      <c r="C373" s="182">
        <v>10.0</v>
      </c>
      <c r="D373" s="175">
        <v>8.0</v>
      </c>
      <c r="E373" s="175">
        <v>5.0</v>
      </c>
      <c r="F373" s="177">
        <v>5.25</v>
      </c>
      <c r="G373" s="177">
        <v>4.0</v>
      </c>
      <c r="H373" s="177">
        <v>8.75</v>
      </c>
      <c r="I373" s="177"/>
      <c r="J373" s="177"/>
      <c r="K373" s="177"/>
      <c r="L373" s="177"/>
    </row>
    <row r="374" ht="26.25" customHeight="1">
      <c r="A374" s="176">
        <v>45824.0</v>
      </c>
      <c r="B374" s="177">
        <v>7.0</v>
      </c>
      <c r="C374" s="182">
        <v>10.0</v>
      </c>
      <c r="D374" s="175"/>
      <c r="E374" s="175">
        <v>11.0</v>
      </c>
      <c r="F374" s="177">
        <v>6.5</v>
      </c>
      <c r="G374" s="177">
        <v>8.0</v>
      </c>
      <c r="H374" s="177">
        <v>9.5</v>
      </c>
      <c r="I374" s="177">
        <v>11.0</v>
      </c>
      <c r="J374" s="177">
        <v>11.0</v>
      </c>
      <c r="K374" s="177"/>
      <c r="L374" s="177"/>
    </row>
    <row r="375" ht="26.25" customHeight="1">
      <c r="A375" s="176">
        <v>45825.0</v>
      </c>
      <c r="B375" s="177">
        <v>7.5</v>
      </c>
      <c r="C375" s="182">
        <v>10.0</v>
      </c>
      <c r="D375" s="175">
        <v>6.5</v>
      </c>
      <c r="E375" s="175">
        <v>7.0</v>
      </c>
      <c r="F375" s="177">
        <v>9.5</v>
      </c>
      <c r="G375" s="177">
        <v>10.0</v>
      </c>
      <c r="H375" s="177">
        <v>10.25</v>
      </c>
      <c r="I375" s="177">
        <v>12.5</v>
      </c>
      <c r="J375" s="177">
        <v>6.0</v>
      </c>
      <c r="K375" s="177"/>
      <c r="L375" s="177"/>
    </row>
    <row r="376" ht="26.25" customHeight="1">
      <c r="A376" s="176">
        <v>45826.0</v>
      </c>
      <c r="B376" s="177">
        <v>10.0</v>
      </c>
      <c r="C376" s="182"/>
      <c r="D376" s="175"/>
      <c r="E376" s="175">
        <v>6.0</v>
      </c>
      <c r="F376" s="177">
        <v>6.5</v>
      </c>
      <c r="G376" s="177">
        <v>5.0</v>
      </c>
      <c r="H376" s="177">
        <v>8.0</v>
      </c>
      <c r="I376" s="177">
        <v>10.75</v>
      </c>
      <c r="J376" s="177">
        <v>6.0</v>
      </c>
      <c r="K376" s="177"/>
      <c r="L376" s="177"/>
    </row>
    <row r="377" ht="26.25" customHeight="1">
      <c r="A377" s="176">
        <v>45827.0</v>
      </c>
      <c r="B377" s="177">
        <v>10.0</v>
      </c>
      <c r="C377" s="182">
        <v>10.0</v>
      </c>
      <c r="D377" s="175"/>
      <c r="E377" s="175">
        <v>5.0</v>
      </c>
      <c r="F377" s="177"/>
      <c r="G377" s="177">
        <v>9.0</v>
      </c>
      <c r="H377" s="177"/>
      <c r="I377" s="177">
        <v>14.5</v>
      </c>
      <c r="J377" s="177"/>
      <c r="K377" s="177"/>
      <c r="L377" s="177"/>
    </row>
    <row r="378" ht="26.25" customHeight="1">
      <c r="A378" s="176">
        <v>45828.0</v>
      </c>
      <c r="B378" s="177">
        <v>6.5</v>
      </c>
      <c r="C378" s="182">
        <v>10.0</v>
      </c>
      <c r="D378" s="175"/>
      <c r="E378" s="175"/>
      <c r="F378" s="177">
        <v>10.0</v>
      </c>
      <c r="G378" s="177">
        <v>16.5</v>
      </c>
      <c r="H378" s="177">
        <v>7.5</v>
      </c>
      <c r="I378" s="177">
        <v>15.0</v>
      </c>
      <c r="J378" s="177">
        <v>11.0</v>
      </c>
      <c r="K378" s="177"/>
      <c r="L378" s="177"/>
    </row>
    <row r="379" ht="26.25" customHeight="1">
      <c r="A379" s="176">
        <v>45829.0</v>
      </c>
      <c r="B379" s="177">
        <v>14.0</v>
      </c>
      <c r="C379" s="182">
        <v>10.0</v>
      </c>
      <c r="D379" s="175">
        <v>8.0</v>
      </c>
      <c r="E379" s="175">
        <v>1.5</v>
      </c>
      <c r="F379" s="177"/>
      <c r="G379" s="177">
        <v>8.0</v>
      </c>
      <c r="H379" s="177">
        <v>6.5</v>
      </c>
      <c r="I379" s="177">
        <v>5.0</v>
      </c>
      <c r="J379" s="177">
        <v>6.0</v>
      </c>
      <c r="K379" s="177"/>
      <c r="L379" s="177"/>
    </row>
    <row r="380" ht="26.25" customHeight="1">
      <c r="A380" s="176">
        <v>45830.0</v>
      </c>
      <c r="B380" s="177">
        <v>9.0</v>
      </c>
      <c r="C380" s="182">
        <v>10.0</v>
      </c>
      <c r="D380" s="175">
        <v>6.5</v>
      </c>
      <c r="E380" s="175">
        <v>0.0</v>
      </c>
      <c r="F380" s="177">
        <v>7.0</v>
      </c>
      <c r="G380" s="177">
        <v>6.0</v>
      </c>
      <c r="H380" s="177"/>
      <c r="I380" s="177">
        <v>4.45</v>
      </c>
      <c r="J380" s="177">
        <v>6.0</v>
      </c>
      <c r="K380" s="177"/>
      <c r="L380" s="177"/>
    </row>
    <row r="381" ht="26.25" customHeight="1">
      <c r="A381" s="176">
        <v>45831.0</v>
      </c>
      <c r="B381" s="177">
        <v>8.0</v>
      </c>
      <c r="C381" s="182">
        <v>10.0</v>
      </c>
      <c r="D381" s="175">
        <v>9.0</v>
      </c>
      <c r="E381" s="175">
        <v>0.0</v>
      </c>
      <c r="F381" s="177"/>
      <c r="G381" s="177">
        <v>9.0</v>
      </c>
      <c r="H381" s="177">
        <v>6.5</v>
      </c>
      <c r="I381" s="177">
        <v>11.0</v>
      </c>
      <c r="J381" s="177">
        <v>8.0</v>
      </c>
      <c r="K381" s="177"/>
      <c r="L381" s="177"/>
    </row>
    <row r="382" ht="26.25" customHeight="1">
      <c r="A382" s="176">
        <v>45832.0</v>
      </c>
      <c r="B382" s="177">
        <v>12.0</v>
      </c>
      <c r="C382" s="182">
        <v>10.0</v>
      </c>
      <c r="D382" s="175">
        <v>9.0</v>
      </c>
      <c r="E382" s="175">
        <v>0.0</v>
      </c>
      <c r="F382" s="177">
        <v>8.25</v>
      </c>
      <c r="G382" s="177">
        <v>6.0</v>
      </c>
      <c r="H382" s="177"/>
      <c r="I382" s="177">
        <v>8.0</v>
      </c>
      <c r="J382" s="177"/>
      <c r="K382" s="177"/>
      <c r="L382" s="177"/>
    </row>
    <row r="383" ht="26.25" customHeight="1">
      <c r="A383" s="176">
        <v>45833.0</v>
      </c>
      <c r="B383" s="177">
        <v>12.0</v>
      </c>
      <c r="C383" s="182">
        <v>10.0</v>
      </c>
      <c r="D383" s="175"/>
      <c r="E383" s="175">
        <v>0.0</v>
      </c>
      <c r="F383" s="177">
        <v>6.0</v>
      </c>
      <c r="G383" s="177">
        <v>15.0</v>
      </c>
      <c r="H383" s="177">
        <v>7.0</v>
      </c>
      <c r="I383" s="177">
        <v>10.0</v>
      </c>
      <c r="J383" s="177"/>
      <c r="K383" s="177"/>
      <c r="L383" s="177"/>
    </row>
    <row r="384" ht="26.25" customHeight="1">
      <c r="A384" s="176">
        <v>45834.0</v>
      </c>
      <c r="B384" s="177">
        <v>3.0</v>
      </c>
      <c r="C384" s="182">
        <v>10.0</v>
      </c>
      <c r="D384" s="175">
        <v>9.0</v>
      </c>
      <c r="E384" s="175">
        <v>5.0</v>
      </c>
      <c r="F384" s="177"/>
      <c r="G384" s="177">
        <v>8.0</v>
      </c>
      <c r="H384" s="177">
        <v>8.5</v>
      </c>
      <c r="I384" s="177">
        <v>8.0</v>
      </c>
      <c r="J384" s="177">
        <v>11.5</v>
      </c>
      <c r="K384" s="177"/>
      <c r="L384" s="177"/>
    </row>
    <row r="385" ht="26.25" customHeight="1">
      <c r="A385" s="176">
        <v>45835.0</v>
      </c>
      <c r="B385" s="177"/>
      <c r="C385" s="182">
        <v>10.0</v>
      </c>
      <c r="D385" s="175"/>
      <c r="E385" s="175">
        <v>8.0</v>
      </c>
      <c r="F385" s="177">
        <v>10.0</v>
      </c>
      <c r="G385" s="177">
        <v>7.0</v>
      </c>
      <c r="H385" s="177">
        <v>15.0</v>
      </c>
      <c r="I385" s="177">
        <v>9.0</v>
      </c>
      <c r="J385" s="177">
        <v>1.0</v>
      </c>
      <c r="K385" s="177"/>
      <c r="L385" s="177"/>
    </row>
    <row r="386" ht="26.25" customHeight="1">
      <c r="A386" s="176">
        <v>45836.0</v>
      </c>
      <c r="B386" s="177">
        <v>10.0</v>
      </c>
      <c r="C386" s="182">
        <v>10.0</v>
      </c>
      <c r="D386" s="175">
        <v>11.0</v>
      </c>
      <c r="E386" s="175">
        <v>4.5</v>
      </c>
      <c r="F386" s="177">
        <v>7.0</v>
      </c>
      <c r="G386" s="177">
        <v>11.0</v>
      </c>
      <c r="H386" s="177">
        <v>5.0</v>
      </c>
      <c r="I386" s="177">
        <v>8.0</v>
      </c>
      <c r="J386" s="177">
        <v>6.5</v>
      </c>
      <c r="K386" s="177"/>
      <c r="L386" s="177"/>
    </row>
    <row r="387" ht="26.25" customHeight="1">
      <c r="A387" s="176">
        <v>45837.0</v>
      </c>
      <c r="B387" s="177">
        <v>10.0</v>
      </c>
      <c r="C387" s="182">
        <v>10.0</v>
      </c>
      <c r="D387" s="175">
        <v>9.5</v>
      </c>
      <c r="E387" s="175">
        <v>8.0</v>
      </c>
      <c r="F387" s="177"/>
      <c r="G387" s="177">
        <v>7.0</v>
      </c>
      <c r="H387" s="177">
        <v>5.5</v>
      </c>
      <c r="I387" s="177">
        <v>5.0</v>
      </c>
      <c r="J387" s="177"/>
      <c r="K387" s="177"/>
      <c r="L387" s="177"/>
    </row>
    <row r="388" ht="26.25" customHeight="1">
      <c r="A388" s="176">
        <v>45838.0</v>
      </c>
      <c r="B388" s="177">
        <v>5.0</v>
      </c>
      <c r="C388" s="182">
        <v>10.0</v>
      </c>
      <c r="D388" s="175">
        <v>5.5</v>
      </c>
      <c r="E388" s="175"/>
      <c r="F388" s="177"/>
      <c r="G388" s="177">
        <v>6.25</v>
      </c>
      <c r="H388" s="177"/>
      <c r="I388" s="177">
        <v>2.0</v>
      </c>
      <c r="J388" s="177"/>
      <c r="K388" s="177"/>
      <c r="L388" s="177"/>
    </row>
    <row r="389" ht="26.25" customHeight="1">
      <c r="A389" s="185"/>
      <c r="B389" s="185">
        <f t="shared" ref="B389:J389" si="12">SUM(B359:B388)</f>
        <v>252.75</v>
      </c>
      <c r="C389" s="185">
        <f t="shared" si="12"/>
        <v>260.5</v>
      </c>
      <c r="D389" s="185">
        <f t="shared" si="12"/>
        <v>215</v>
      </c>
      <c r="E389" s="185">
        <f t="shared" si="12"/>
        <v>163</v>
      </c>
      <c r="F389" s="185">
        <f t="shared" si="12"/>
        <v>149.5</v>
      </c>
      <c r="G389" s="185">
        <f t="shared" si="12"/>
        <v>236.75</v>
      </c>
      <c r="H389" s="185">
        <f t="shared" si="12"/>
        <v>226.25</v>
      </c>
      <c r="I389" s="185">
        <f t="shared" si="12"/>
        <v>258.7</v>
      </c>
      <c r="J389" s="185">
        <f t="shared" si="12"/>
        <v>199</v>
      </c>
      <c r="K389" s="185"/>
      <c r="L389" s="185"/>
    </row>
    <row r="390" ht="26.25" customHeight="1">
      <c r="A390" s="185"/>
      <c r="B390" s="185">
        <f t="shared" ref="B390:J390" si="13">B389*B2</f>
        <v>0</v>
      </c>
      <c r="C390" s="185">
        <f t="shared" si="13"/>
        <v>0</v>
      </c>
      <c r="D390" s="185">
        <f t="shared" si="13"/>
        <v>0</v>
      </c>
      <c r="E390" s="185">
        <f t="shared" si="13"/>
        <v>0</v>
      </c>
      <c r="F390" s="185">
        <f t="shared" si="13"/>
        <v>0</v>
      </c>
      <c r="G390" s="185">
        <f t="shared" si="13"/>
        <v>0</v>
      </c>
      <c r="H390" s="185">
        <f t="shared" si="13"/>
        <v>0</v>
      </c>
      <c r="I390" s="185">
        <f t="shared" si="13"/>
        <v>0</v>
      </c>
      <c r="J390" s="185">
        <f t="shared" si="13"/>
        <v>0</v>
      </c>
      <c r="K390" s="185"/>
      <c r="L390" s="185"/>
    </row>
  </sheetData>
  <conditionalFormatting sqref="D383">
    <cfRule type="notContainsBlanks" dxfId="6" priority="1">
      <formula>LEN(TRIM(D383))&gt;0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14.44"/>
  </cols>
  <sheetData>
    <row r="1">
      <c r="A1" s="186"/>
      <c r="B1" s="187"/>
    </row>
    <row r="2">
      <c r="A2" s="188" t="s">
        <v>9</v>
      </c>
      <c r="B2" s="187">
        <f>SUMIFS(Sheet15!E:E,Sheet15!B:B,A2)</f>
        <v>357000</v>
      </c>
    </row>
    <row r="3">
      <c r="A3" s="188" t="s">
        <v>37</v>
      </c>
      <c r="B3" s="187">
        <f>SUMIFS(Sheet15!E:E,Sheet15!B:B,A3)</f>
        <v>858875</v>
      </c>
    </row>
    <row r="4">
      <c r="A4" s="188" t="s">
        <v>14</v>
      </c>
      <c r="B4" s="187">
        <f>SUMIFS(Sheet15!E:E,Sheet15!B:B,A4)</f>
        <v>693500</v>
      </c>
    </row>
    <row r="5">
      <c r="A5" s="188" t="s">
        <v>21</v>
      </c>
      <c r="B5" s="187">
        <f>SUMIFS(Sheet15!E:E,Sheet15!B:B,A5)</f>
        <v>805650</v>
      </c>
    </row>
    <row r="6">
      <c r="A6" s="188" t="s">
        <v>39</v>
      </c>
      <c r="B6" s="187">
        <f>SUMIFS(Sheet15!E:E,Sheet15!B:B,A6)</f>
        <v>507400</v>
      </c>
    </row>
    <row r="7">
      <c r="A7" s="188" t="s">
        <v>37</v>
      </c>
      <c r="B7" s="187">
        <f>SUMIFS(Sheet15!E:E,Sheet15!B:B,A7)</f>
        <v>858875</v>
      </c>
    </row>
    <row r="8">
      <c r="A8" s="186"/>
      <c r="B8" s="187"/>
    </row>
    <row r="9">
      <c r="A9" s="186"/>
      <c r="B9" s="187"/>
    </row>
    <row r="10">
      <c r="A10" s="186"/>
      <c r="B10" s="187"/>
    </row>
    <row r="11">
      <c r="A11" s="186"/>
      <c r="B11" s="187"/>
    </row>
    <row r="12">
      <c r="A12" s="186"/>
      <c r="B12" s="187"/>
    </row>
    <row r="13">
      <c r="A13" s="186"/>
      <c r="B13" s="187"/>
    </row>
    <row r="14">
      <c r="A14" s="186"/>
      <c r="B14" s="187"/>
    </row>
    <row r="15">
      <c r="A15" s="186"/>
      <c r="B15" s="187"/>
    </row>
    <row r="16">
      <c r="A16" s="186"/>
      <c r="B16" s="187"/>
    </row>
    <row r="17">
      <c r="A17" s="186"/>
      <c r="B17" s="187"/>
    </row>
    <row r="18">
      <c r="A18" s="186"/>
      <c r="B18" s="187"/>
    </row>
    <row r="19">
      <c r="A19" s="186"/>
      <c r="B19" s="187"/>
    </row>
    <row r="20">
      <c r="A20" s="186"/>
      <c r="B20" s="187"/>
    </row>
    <row r="21">
      <c r="A21" s="186"/>
      <c r="B21" s="187"/>
    </row>
    <row r="22">
      <c r="A22" s="186"/>
      <c r="B22" s="187"/>
    </row>
    <row r="23">
      <c r="A23" s="186"/>
      <c r="B23" s="187"/>
    </row>
    <row r="24">
      <c r="A24" s="186"/>
      <c r="B24" s="187"/>
    </row>
    <row r="25">
      <c r="A25" s="186"/>
      <c r="B25" s="187"/>
    </row>
    <row r="26">
      <c r="A26" s="186"/>
      <c r="B26" s="187"/>
    </row>
    <row r="27">
      <c r="A27" s="186"/>
      <c r="B27" s="187"/>
    </row>
    <row r="28">
      <c r="A28" s="186"/>
      <c r="B28" s="187"/>
    </row>
    <row r="29">
      <c r="A29" s="186"/>
      <c r="B29" s="187"/>
    </row>
    <row r="30">
      <c r="A30" s="186"/>
      <c r="B30" s="187"/>
    </row>
    <row r="31">
      <c r="A31" s="186"/>
      <c r="B31" s="187"/>
    </row>
    <row r="32">
      <c r="A32" s="186"/>
      <c r="B32" s="187"/>
    </row>
    <row r="33">
      <c r="A33" s="186"/>
      <c r="B33" s="187"/>
    </row>
    <row r="34">
      <c r="A34" s="186"/>
      <c r="B34" s="187"/>
    </row>
    <row r="35">
      <c r="A35" s="186"/>
      <c r="B35" s="187"/>
    </row>
    <row r="36">
      <c r="A36" s="186"/>
      <c r="B36" s="187"/>
    </row>
    <row r="37">
      <c r="A37" s="186"/>
      <c r="B37" s="187"/>
    </row>
    <row r="38">
      <c r="A38" s="186"/>
      <c r="B38" s="187"/>
    </row>
    <row r="39">
      <c r="A39" s="186"/>
      <c r="B39" s="187"/>
    </row>
    <row r="40">
      <c r="A40" s="186"/>
      <c r="B40" s="187"/>
    </row>
    <row r="41">
      <c r="A41" s="186"/>
      <c r="B41" s="187"/>
    </row>
    <row r="42">
      <c r="A42" s="186"/>
      <c r="B42" s="187"/>
    </row>
    <row r="43">
      <c r="A43" s="186"/>
      <c r="B43" s="187"/>
    </row>
    <row r="44">
      <c r="A44" s="186"/>
      <c r="B44" s="187"/>
    </row>
    <row r="45">
      <c r="A45" s="186"/>
      <c r="B45" s="187"/>
    </row>
    <row r="46">
      <c r="A46" s="186"/>
      <c r="B46" s="187"/>
    </row>
    <row r="47">
      <c r="A47" s="186"/>
      <c r="B47" s="187"/>
    </row>
    <row r="48">
      <c r="A48" s="186"/>
      <c r="B48" s="187"/>
    </row>
    <row r="49">
      <c r="A49" s="186"/>
      <c r="B49" s="187"/>
    </row>
    <row r="50">
      <c r="A50" s="186"/>
      <c r="B50" s="187"/>
    </row>
    <row r="51">
      <c r="A51" s="186"/>
      <c r="B51" s="187"/>
    </row>
    <row r="52">
      <c r="A52" s="186"/>
      <c r="B52" s="187"/>
    </row>
    <row r="53">
      <c r="A53" s="186"/>
      <c r="B53" s="187"/>
    </row>
    <row r="54">
      <c r="A54" s="186"/>
      <c r="B54" s="187"/>
    </row>
    <row r="55">
      <c r="A55" s="186"/>
      <c r="B55" s="187"/>
    </row>
    <row r="56">
      <c r="A56" s="186"/>
      <c r="B56" s="187"/>
    </row>
    <row r="57">
      <c r="A57" s="186"/>
      <c r="B57" s="187"/>
    </row>
    <row r="58">
      <c r="A58" s="186"/>
      <c r="B58" s="187"/>
    </row>
    <row r="59">
      <c r="A59" s="186"/>
      <c r="B59" s="187"/>
    </row>
    <row r="60">
      <c r="A60" s="186"/>
      <c r="B60" s="187"/>
    </row>
    <row r="61">
      <c r="A61" s="186"/>
      <c r="B61" s="187"/>
    </row>
    <row r="62">
      <c r="A62" s="186"/>
      <c r="B62" s="187"/>
    </row>
    <row r="63">
      <c r="A63" s="186"/>
      <c r="B63" s="187"/>
    </row>
    <row r="64">
      <c r="A64" s="186"/>
      <c r="B64" s="187"/>
    </row>
    <row r="65">
      <c r="A65" s="186"/>
      <c r="B65" s="187"/>
    </row>
    <row r="66">
      <c r="A66" s="186"/>
      <c r="B66" s="187"/>
    </row>
    <row r="67">
      <c r="A67" s="186"/>
      <c r="B67" s="187"/>
    </row>
    <row r="68">
      <c r="A68" s="186"/>
      <c r="B68" s="187"/>
    </row>
    <row r="69">
      <c r="A69" s="186"/>
      <c r="B69" s="187"/>
    </row>
    <row r="70">
      <c r="A70" s="186"/>
      <c r="B70" s="187"/>
    </row>
    <row r="71">
      <c r="A71" s="186"/>
      <c r="B71" s="187"/>
    </row>
    <row r="72">
      <c r="A72" s="186"/>
      <c r="B72" s="187"/>
    </row>
    <row r="73">
      <c r="A73" s="186"/>
      <c r="B73" s="187"/>
    </row>
    <row r="74">
      <c r="A74" s="186"/>
      <c r="B74" s="187"/>
    </row>
    <row r="75">
      <c r="A75" s="186"/>
      <c r="B75" s="187"/>
    </row>
    <row r="76">
      <c r="A76" s="186"/>
      <c r="B76" s="187"/>
    </row>
    <row r="77">
      <c r="A77" s="186"/>
      <c r="B77" s="187"/>
    </row>
    <row r="78">
      <c r="A78" s="186"/>
      <c r="B78" s="187"/>
    </row>
    <row r="79">
      <c r="A79" s="186"/>
      <c r="B79" s="187"/>
    </row>
    <row r="80">
      <c r="A80" s="186"/>
      <c r="B80" s="187"/>
    </row>
    <row r="81">
      <c r="A81" s="186"/>
      <c r="B81" s="187"/>
    </row>
    <row r="82">
      <c r="A82" s="186"/>
      <c r="B82" s="187"/>
    </row>
    <row r="83">
      <c r="A83" s="186"/>
      <c r="B83" s="187"/>
    </row>
    <row r="84">
      <c r="A84" s="186"/>
      <c r="B84" s="187"/>
    </row>
    <row r="85">
      <c r="A85" s="186"/>
      <c r="B85" s="187"/>
    </row>
    <row r="86">
      <c r="A86" s="186"/>
      <c r="B86" s="187"/>
    </row>
    <row r="87">
      <c r="A87" s="186"/>
      <c r="B87" s="187"/>
    </row>
    <row r="88">
      <c r="A88" s="186"/>
      <c r="B88" s="187"/>
    </row>
    <row r="89">
      <c r="A89" s="186"/>
      <c r="B89" s="187"/>
    </row>
    <row r="90">
      <c r="A90" s="186"/>
      <c r="B90" s="187"/>
    </row>
    <row r="91">
      <c r="A91" s="186"/>
      <c r="B91" s="187"/>
    </row>
    <row r="92">
      <c r="A92" s="186"/>
      <c r="B92" s="187"/>
    </row>
    <row r="93">
      <c r="A93" s="186"/>
      <c r="B93" s="187"/>
    </row>
    <row r="94">
      <c r="A94" s="186"/>
      <c r="B94" s="187"/>
    </row>
    <row r="95">
      <c r="A95" s="186"/>
      <c r="B95" s="187"/>
    </row>
    <row r="96">
      <c r="A96" s="186"/>
      <c r="B96" s="187"/>
    </row>
    <row r="97">
      <c r="A97" s="186"/>
      <c r="B97" s="187"/>
    </row>
    <row r="98">
      <c r="A98" s="186"/>
      <c r="B98" s="187"/>
    </row>
    <row r="99">
      <c r="A99" s="186"/>
      <c r="B99" s="187"/>
    </row>
    <row r="100">
      <c r="A100" s="186"/>
      <c r="B100" s="187"/>
    </row>
    <row r="101">
      <c r="A101" s="186"/>
      <c r="B101" s="187"/>
    </row>
    <row r="102">
      <c r="A102" s="186"/>
      <c r="B102" s="187"/>
    </row>
    <row r="103">
      <c r="A103" s="186"/>
      <c r="B103" s="187"/>
    </row>
    <row r="104">
      <c r="A104" s="186"/>
      <c r="B104" s="187"/>
    </row>
    <row r="105">
      <c r="A105" s="186"/>
      <c r="B105" s="187"/>
    </row>
    <row r="106">
      <c r="A106" s="186"/>
      <c r="B106" s="187"/>
    </row>
    <row r="107">
      <c r="A107" s="186"/>
      <c r="B107" s="187"/>
    </row>
    <row r="108">
      <c r="A108" s="186"/>
      <c r="B108" s="187"/>
    </row>
    <row r="109">
      <c r="A109" s="186"/>
      <c r="B109" s="187"/>
    </row>
    <row r="110">
      <c r="A110" s="186"/>
      <c r="B110" s="187"/>
    </row>
    <row r="111">
      <c r="A111" s="186"/>
      <c r="B111" s="187"/>
    </row>
    <row r="112">
      <c r="A112" s="186"/>
      <c r="B112" s="187"/>
    </row>
    <row r="113">
      <c r="A113" s="186"/>
      <c r="B113" s="187"/>
    </row>
    <row r="114">
      <c r="A114" s="186"/>
      <c r="B114" s="187"/>
    </row>
    <row r="115">
      <c r="A115" s="186"/>
      <c r="B115" s="187"/>
    </row>
    <row r="116">
      <c r="A116" s="186"/>
      <c r="B116" s="187"/>
    </row>
    <row r="117">
      <c r="A117" s="186"/>
      <c r="B117" s="187"/>
    </row>
    <row r="118">
      <c r="A118" s="186"/>
      <c r="B118" s="187"/>
    </row>
    <row r="119">
      <c r="A119" s="186"/>
      <c r="B119" s="187"/>
    </row>
    <row r="120">
      <c r="A120" s="186"/>
      <c r="B120" s="187"/>
    </row>
    <row r="121">
      <c r="A121" s="186"/>
      <c r="B121" s="187"/>
    </row>
    <row r="122">
      <c r="A122" s="186"/>
      <c r="B122" s="187"/>
    </row>
    <row r="123">
      <c r="A123" s="186"/>
      <c r="B123" s="187"/>
    </row>
    <row r="124">
      <c r="A124" s="186"/>
      <c r="B124" s="187"/>
    </row>
    <row r="125">
      <c r="A125" s="186"/>
      <c r="B125" s="187"/>
    </row>
    <row r="126">
      <c r="A126" s="186"/>
      <c r="B126" s="187"/>
    </row>
    <row r="127">
      <c r="A127" s="186"/>
      <c r="B127" s="187"/>
    </row>
    <row r="128">
      <c r="A128" s="186"/>
      <c r="B128" s="187"/>
    </row>
    <row r="129">
      <c r="A129" s="186"/>
      <c r="B129" s="187"/>
    </row>
    <row r="130">
      <c r="A130" s="186"/>
      <c r="B130" s="187"/>
    </row>
    <row r="131">
      <c r="A131" s="186"/>
      <c r="B131" s="187"/>
    </row>
    <row r="132">
      <c r="A132" s="186"/>
      <c r="B132" s="187"/>
    </row>
    <row r="133">
      <c r="A133" s="186"/>
      <c r="B133" s="187"/>
    </row>
    <row r="134">
      <c r="A134" s="186"/>
      <c r="B134" s="187"/>
    </row>
    <row r="135">
      <c r="A135" s="186"/>
      <c r="B135" s="187"/>
    </row>
    <row r="136">
      <c r="A136" s="186"/>
      <c r="B136" s="187"/>
    </row>
    <row r="137">
      <c r="A137" s="186"/>
      <c r="B137" s="187"/>
    </row>
    <row r="138">
      <c r="A138" s="186"/>
      <c r="B138" s="187"/>
    </row>
    <row r="139">
      <c r="A139" s="186"/>
      <c r="B139" s="187"/>
    </row>
    <row r="140">
      <c r="A140" s="186"/>
      <c r="B140" s="187"/>
    </row>
    <row r="141">
      <c r="A141" s="186"/>
      <c r="B141" s="187"/>
    </row>
    <row r="142">
      <c r="A142" s="186"/>
      <c r="B142" s="187"/>
    </row>
    <row r="143">
      <c r="A143" s="186"/>
      <c r="B143" s="187"/>
    </row>
    <row r="144">
      <c r="A144" s="186"/>
      <c r="B144" s="187"/>
    </row>
    <row r="145">
      <c r="A145" s="186"/>
      <c r="B145" s="187"/>
    </row>
    <row r="146">
      <c r="A146" s="186"/>
      <c r="B146" s="187"/>
    </row>
    <row r="147">
      <c r="A147" s="186"/>
      <c r="B147" s="187"/>
    </row>
    <row r="148">
      <c r="A148" s="186"/>
      <c r="B148" s="187"/>
    </row>
    <row r="149">
      <c r="A149" s="186"/>
      <c r="B149" s="187"/>
    </row>
    <row r="150">
      <c r="A150" s="186"/>
      <c r="B150" s="187"/>
    </row>
    <row r="151">
      <c r="A151" s="186"/>
      <c r="B151" s="187"/>
    </row>
    <row r="152">
      <c r="A152" s="186"/>
      <c r="B152" s="187"/>
    </row>
    <row r="153">
      <c r="A153" s="186"/>
      <c r="B153" s="187"/>
    </row>
    <row r="154">
      <c r="A154" s="186"/>
      <c r="B154" s="187"/>
    </row>
    <row r="155">
      <c r="A155" s="186"/>
      <c r="B155" s="187"/>
    </row>
    <row r="156">
      <c r="A156" s="186"/>
      <c r="B156" s="187"/>
    </row>
    <row r="157">
      <c r="A157" s="186"/>
      <c r="B157" s="187"/>
    </row>
    <row r="158">
      <c r="A158" s="186"/>
      <c r="B158" s="187"/>
    </row>
    <row r="159">
      <c r="A159" s="186"/>
      <c r="B159" s="187"/>
    </row>
    <row r="160">
      <c r="A160" s="186"/>
      <c r="B160" s="187"/>
    </row>
    <row r="161">
      <c r="A161" s="186"/>
      <c r="B161" s="187"/>
    </row>
    <row r="162">
      <c r="A162" s="186"/>
      <c r="B162" s="187"/>
    </row>
    <row r="163">
      <c r="A163" s="186"/>
      <c r="B163" s="187"/>
    </row>
    <row r="164">
      <c r="A164" s="186"/>
      <c r="B164" s="187"/>
    </row>
    <row r="165">
      <c r="A165" s="186"/>
      <c r="B165" s="187"/>
    </row>
    <row r="166">
      <c r="A166" s="186"/>
      <c r="B166" s="187"/>
    </row>
    <row r="167">
      <c r="A167" s="186"/>
      <c r="B167" s="187"/>
    </row>
    <row r="168">
      <c r="A168" s="186"/>
      <c r="B168" s="187"/>
    </row>
    <row r="169">
      <c r="A169" s="186"/>
      <c r="B169" s="187"/>
    </row>
    <row r="170">
      <c r="A170" s="186"/>
      <c r="B170" s="187"/>
    </row>
    <row r="171">
      <c r="A171" s="186"/>
      <c r="B171" s="187"/>
    </row>
    <row r="172">
      <c r="A172" s="186"/>
      <c r="B172" s="187"/>
    </row>
    <row r="173">
      <c r="A173" s="186"/>
      <c r="B173" s="187"/>
    </row>
    <row r="174">
      <c r="A174" s="186"/>
      <c r="B174" s="187"/>
    </row>
    <row r="175">
      <c r="A175" s="186"/>
      <c r="B175" s="187"/>
    </row>
    <row r="176">
      <c r="A176" s="186"/>
      <c r="B176" s="187"/>
    </row>
    <row r="177">
      <c r="A177" s="186"/>
      <c r="B177" s="187"/>
    </row>
    <row r="178">
      <c r="A178" s="186"/>
      <c r="B178" s="187"/>
    </row>
    <row r="179">
      <c r="A179" s="186"/>
      <c r="B179" s="187"/>
    </row>
    <row r="180">
      <c r="A180" s="186"/>
      <c r="B180" s="187"/>
    </row>
    <row r="181">
      <c r="A181" s="186"/>
      <c r="B181" s="187"/>
    </row>
    <row r="182">
      <c r="A182" s="186"/>
      <c r="B182" s="187"/>
    </row>
    <row r="183">
      <c r="A183" s="186"/>
      <c r="B183" s="187"/>
    </row>
    <row r="184">
      <c r="A184" s="186"/>
      <c r="B184" s="187"/>
    </row>
    <row r="185">
      <c r="A185" s="186"/>
      <c r="B185" s="187"/>
    </row>
    <row r="186">
      <c r="A186" s="186"/>
      <c r="B186" s="187"/>
    </row>
    <row r="187">
      <c r="A187" s="186"/>
      <c r="B187" s="187"/>
    </row>
    <row r="188">
      <c r="A188" s="186"/>
      <c r="B188" s="187"/>
    </row>
    <row r="189">
      <c r="A189" s="186"/>
      <c r="B189" s="187"/>
    </row>
    <row r="190">
      <c r="A190" s="186"/>
      <c r="B190" s="187"/>
    </row>
    <row r="191">
      <c r="A191" s="186"/>
      <c r="B191" s="187"/>
    </row>
    <row r="192">
      <c r="A192" s="186"/>
      <c r="B192" s="187"/>
    </row>
    <row r="193">
      <c r="A193" s="186"/>
      <c r="B193" s="187"/>
    </row>
    <row r="194">
      <c r="A194" s="186"/>
      <c r="B194" s="187"/>
    </row>
    <row r="195">
      <c r="A195" s="186"/>
      <c r="B195" s="187"/>
    </row>
    <row r="196">
      <c r="A196" s="186"/>
      <c r="B196" s="187"/>
    </row>
    <row r="197">
      <c r="A197" s="186"/>
      <c r="B197" s="187"/>
    </row>
    <row r="198">
      <c r="A198" s="186"/>
      <c r="B198" s="187"/>
    </row>
    <row r="199">
      <c r="A199" s="186"/>
      <c r="B199" s="187"/>
    </row>
    <row r="200">
      <c r="A200" s="186"/>
      <c r="B200" s="187"/>
    </row>
    <row r="201">
      <c r="A201" s="186"/>
      <c r="B201" s="187"/>
    </row>
    <row r="202">
      <c r="A202" s="186"/>
      <c r="B202" s="187"/>
    </row>
    <row r="203">
      <c r="A203" s="186"/>
      <c r="B203" s="187"/>
    </row>
    <row r="204">
      <c r="A204" s="186"/>
      <c r="B204" s="187"/>
    </row>
    <row r="205">
      <c r="A205" s="186"/>
      <c r="B205" s="187"/>
    </row>
    <row r="206">
      <c r="A206" s="186"/>
      <c r="B206" s="187"/>
    </row>
    <row r="207">
      <c r="A207" s="186"/>
      <c r="B207" s="187"/>
    </row>
    <row r="208">
      <c r="A208" s="186"/>
      <c r="B208" s="187"/>
    </row>
    <row r="209">
      <c r="A209" s="186"/>
      <c r="B209" s="187"/>
    </row>
    <row r="210">
      <c r="A210" s="186"/>
      <c r="B210" s="187"/>
    </row>
    <row r="211">
      <c r="A211" s="186"/>
      <c r="B211" s="187"/>
    </row>
    <row r="212">
      <c r="A212" s="186"/>
      <c r="B212" s="187"/>
    </row>
    <row r="213">
      <c r="A213" s="186"/>
      <c r="B213" s="187"/>
    </row>
    <row r="214">
      <c r="A214" s="186"/>
      <c r="B214" s="187"/>
    </row>
    <row r="215">
      <c r="A215" s="186"/>
      <c r="B215" s="187"/>
    </row>
    <row r="216">
      <c r="A216" s="186"/>
      <c r="B216" s="187"/>
    </row>
    <row r="217">
      <c r="A217" s="186"/>
      <c r="B217" s="187"/>
    </row>
    <row r="218">
      <c r="A218" s="186"/>
      <c r="B218" s="187"/>
    </row>
    <row r="219">
      <c r="A219" s="186"/>
      <c r="B219" s="187"/>
    </row>
    <row r="220">
      <c r="A220" s="186"/>
      <c r="B220" s="187"/>
    </row>
    <row r="221">
      <c r="A221" s="186"/>
      <c r="B221" s="187"/>
    </row>
    <row r="222">
      <c r="A222" s="186"/>
      <c r="B222" s="187"/>
    </row>
    <row r="223">
      <c r="A223" s="186"/>
      <c r="B223" s="187"/>
    </row>
    <row r="224">
      <c r="A224" s="186"/>
      <c r="B224" s="187"/>
    </row>
    <row r="225">
      <c r="A225" s="186"/>
      <c r="B225" s="187"/>
    </row>
    <row r="226">
      <c r="A226" s="186"/>
      <c r="B226" s="187"/>
    </row>
    <row r="227">
      <c r="A227" s="186"/>
      <c r="B227" s="187"/>
    </row>
    <row r="228">
      <c r="A228" s="186"/>
      <c r="B228" s="187"/>
    </row>
    <row r="229">
      <c r="A229" s="186"/>
      <c r="B229" s="187"/>
    </row>
    <row r="230">
      <c r="A230" s="186"/>
      <c r="B230" s="187"/>
    </row>
    <row r="231">
      <c r="A231" s="186"/>
      <c r="B231" s="187"/>
    </row>
    <row r="232">
      <c r="A232" s="186"/>
      <c r="B232" s="187"/>
    </row>
    <row r="233">
      <c r="A233" s="186"/>
      <c r="B233" s="187"/>
    </row>
    <row r="234">
      <c r="A234" s="186"/>
      <c r="B234" s="187"/>
    </row>
    <row r="235">
      <c r="A235" s="186"/>
      <c r="B235" s="187"/>
    </row>
    <row r="236">
      <c r="A236" s="186"/>
      <c r="B236" s="187"/>
    </row>
    <row r="237">
      <c r="A237" s="186"/>
      <c r="B237" s="187"/>
    </row>
    <row r="238">
      <c r="A238" s="186"/>
      <c r="B238" s="187"/>
    </row>
    <row r="239">
      <c r="A239" s="186"/>
      <c r="B239" s="187"/>
    </row>
    <row r="240">
      <c r="A240" s="186"/>
      <c r="B240" s="187"/>
    </row>
    <row r="241">
      <c r="A241" s="186"/>
      <c r="B241" s="187"/>
    </row>
    <row r="242">
      <c r="A242" s="186"/>
      <c r="B242" s="187"/>
    </row>
    <row r="243">
      <c r="A243" s="186"/>
      <c r="B243" s="187"/>
    </row>
    <row r="244">
      <c r="A244" s="186"/>
      <c r="B244" s="187"/>
    </row>
    <row r="245">
      <c r="A245" s="186"/>
      <c r="B245" s="187"/>
    </row>
    <row r="246">
      <c r="A246" s="186"/>
      <c r="B246" s="187"/>
    </row>
    <row r="247">
      <c r="A247" s="186"/>
      <c r="B247" s="187"/>
    </row>
    <row r="248">
      <c r="A248" s="186"/>
      <c r="B248" s="187"/>
    </row>
    <row r="249">
      <c r="A249" s="186"/>
      <c r="B249" s="187"/>
    </row>
    <row r="250">
      <c r="A250" s="186"/>
      <c r="B250" s="187"/>
    </row>
    <row r="251">
      <c r="A251" s="186"/>
      <c r="B251" s="187"/>
    </row>
    <row r="252">
      <c r="A252" s="186"/>
      <c r="B252" s="187"/>
    </row>
    <row r="253">
      <c r="A253" s="186"/>
      <c r="B253" s="187"/>
    </row>
    <row r="254">
      <c r="A254" s="186"/>
      <c r="B254" s="187"/>
    </row>
    <row r="255">
      <c r="A255" s="186"/>
      <c r="B255" s="187"/>
    </row>
    <row r="256">
      <c r="A256" s="186"/>
      <c r="B256" s="187"/>
    </row>
    <row r="257">
      <c r="A257" s="186"/>
      <c r="B257" s="187"/>
    </row>
    <row r="258">
      <c r="A258" s="186"/>
      <c r="B258" s="187"/>
    </row>
    <row r="259">
      <c r="A259" s="186"/>
      <c r="B259" s="187"/>
    </row>
    <row r="260">
      <c r="A260" s="186"/>
      <c r="B260" s="187"/>
    </row>
    <row r="261">
      <c r="A261" s="186"/>
      <c r="B261" s="187"/>
    </row>
    <row r="262">
      <c r="A262" s="186"/>
      <c r="B262" s="187"/>
    </row>
    <row r="263">
      <c r="A263" s="186"/>
      <c r="B263" s="187"/>
    </row>
    <row r="264">
      <c r="A264" s="186"/>
      <c r="B264" s="187"/>
    </row>
    <row r="265">
      <c r="A265" s="186"/>
      <c r="B265" s="187"/>
    </row>
    <row r="266">
      <c r="A266" s="186"/>
      <c r="B266" s="187"/>
    </row>
    <row r="267">
      <c r="A267" s="186"/>
      <c r="B267" s="187"/>
    </row>
    <row r="268">
      <c r="A268" s="186"/>
      <c r="B268" s="187"/>
    </row>
    <row r="269">
      <c r="A269" s="186"/>
      <c r="B269" s="187"/>
    </row>
    <row r="270">
      <c r="A270" s="186"/>
      <c r="B270" s="187"/>
    </row>
    <row r="271">
      <c r="A271" s="186"/>
      <c r="B271" s="187"/>
    </row>
    <row r="272">
      <c r="A272" s="186"/>
      <c r="B272" s="187"/>
    </row>
    <row r="273">
      <c r="A273" s="186"/>
      <c r="B273" s="187"/>
    </row>
    <row r="274">
      <c r="A274" s="186"/>
      <c r="B274" s="187"/>
    </row>
    <row r="275">
      <c r="A275" s="186"/>
      <c r="B275" s="187"/>
    </row>
    <row r="276">
      <c r="A276" s="186"/>
      <c r="B276" s="187"/>
    </row>
    <row r="277">
      <c r="A277" s="186"/>
      <c r="B277" s="187"/>
    </row>
    <row r="278">
      <c r="A278" s="186"/>
      <c r="B278" s="187"/>
    </row>
    <row r="279">
      <c r="A279" s="186"/>
      <c r="B279" s="187"/>
    </row>
    <row r="280">
      <c r="A280" s="186"/>
      <c r="B280" s="187"/>
    </row>
    <row r="281">
      <c r="A281" s="186"/>
      <c r="B281" s="187"/>
    </row>
    <row r="282">
      <c r="A282" s="186"/>
      <c r="B282" s="187"/>
    </row>
    <row r="283">
      <c r="A283" s="186"/>
      <c r="B283" s="187"/>
    </row>
    <row r="284">
      <c r="A284" s="186"/>
      <c r="B284" s="187"/>
    </row>
    <row r="285">
      <c r="A285" s="186"/>
      <c r="B285" s="187"/>
    </row>
    <row r="286">
      <c r="A286" s="186"/>
      <c r="B286" s="187"/>
    </row>
    <row r="287">
      <c r="A287" s="186"/>
      <c r="B287" s="187"/>
    </row>
    <row r="288">
      <c r="A288" s="186"/>
      <c r="B288" s="187"/>
    </row>
    <row r="289">
      <c r="A289" s="186"/>
      <c r="B289" s="187"/>
    </row>
    <row r="290">
      <c r="A290" s="186"/>
      <c r="B290" s="187"/>
    </row>
    <row r="291">
      <c r="A291" s="186"/>
      <c r="B291" s="187"/>
    </row>
    <row r="292">
      <c r="A292" s="186"/>
      <c r="B292" s="187"/>
    </row>
    <row r="293">
      <c r="A293" s="186"/>
      <c r="B293" s="187"/>
    </row>
    <row r="294">
      <c r="A294" s="186"/>
      <c r="B294" s="187"/>
    </row>
    <row r="295">
      <c r="A295" s="186"/>
      <c r="B295" s="187"/>
    </row>
    <row r="296">
      <c r="A296" s="186"/>
      <c r="B296" s="187"/>
    </row>
    <row r="297">
      <c r="A297" s="186"/>
      <c r="B297" s="187"/>
    </row>
    <row r="298">
      <c r="A298" s="186"/>
      <c r="B298" s="187"/>
    </row>
    <row r="299">
      <c r="A299" s="186"/>
      <c r="B299" s="187"/>
    </row>
    <row r="300">
      <c r="A300" s="186"/>
      <c r="B300" s="187"/>
    </row>
    <row r="301">
      <c r="A301" s="186"/>
      <c r="B301" s="187"/>
    </row>
    <row r="302">
      <c r="A302" s="186"/>
      <c r="B302" s="187"/>
    </row>
    <row r="303">
      <c r="A303" s="186"/>
      <c r="B303" s="187"/>
    </row>
    <row r="304">
      <c r="A304" s="186"/>
      <c r="B304" s="187"/>
    </row>
    <row r="305">
      <c r="A305" s="186"/>
      <c r="B305" s="187"/>
    </row>
    <row r="306">
      <c r="A306" s="186"/>
      <c r="B306" s="187"/>
    </row>
    <row r="307">
      <c r="A307" s="186"/>
      <c r="B307" s="187"/>
    </row>
    <row r="308">
      <c r="A308" s="186"/>
      <c r="B308" s="187"/>
    </row>
    <row r="309">
      <c r="A309" s="186"/>
      <c r="B309" s="187"/>
    </row>
    <row r="310">
      <c r="A310" s="186"/>
      <c r="B310" s="187"/>
    </row>
    <row r="311">
      <c r="A311" s="186"/>
      <c r="B311" s="187"/>
    </row>
    <row r="312">
      <c r="A312" s="186"/>
      <c r="B312" s="187"/>
    </row>
    <row r="313">
      <c r="A313" s="186"/>
      <c r="B313" s="187"/>
    </row>
    <row r="314">
      <c r="A314" s="186"/>
      <c r="B314" s="187"/>
    </row>
    <row r="315">
      <c r="A315" s="186"/>
      <c r="B315" s="187"/>
    </row>
    <row r="316">
      <c r="A316" s="186"/>
      <c r="B316" s="187"/>
    </row>
    <row r="317">
      <c r="A317" s="186"/>
      <c r="B317" s="187"/>
    </row>
    <row r="318">
      <c r="A318" s="186"/>
      <c r="B318" s="187"/>
    </row>
    <row r="319">
      <c r="A319" s="186"/>
      <c r="B319" s="187"/>
    </row>
    <row r="320">
      <c r="A320" s="186"/>
      <c r="B320" s="187"/>
    </row>
    <row r="321">
      <c r="A321" s="186"/>
      <c r="B321" s="187"/>
    </row>
    <row r="322">
      <c r="A322" s="186"/>
      <c r="B322" s="187"/>
    </row>
    <row r="323">
      <c r="A323" s="186"/>
      <c r="B323" s="187"/>
    </row>
    <row r="324">
      <c r="A324" s="186"/>
      <c r="B324" s="187"/>
    </row>
    <row r="325">
      <c r="A325" s="186"/>
      <c r="B325" s="187"/>
    </row>
    <row r="326">
      <c r="A326" s="186"/>
      <c r="B326" s="187"/>
    </row>
    <row r="327">
      <c r="A327" s="186"/>
      <c r="B327" s="187"/>
    </row>
    <row r="328">
      <c r="A328" s="186"/>
      <c r="B328" s="187"/>
    </row>
    <row r="329">
      <c r="A329" s="186"/>
      <c r="B329" s="187"/>
    </row>
    <row r="330">
      <c r="A330" s="186"/>
      <c r="B330" s="187"/>
    </row>
    <row r="331">
      <c r="A331" s="186"/>
      <c r="B331" s="187"/>
    </row>
    <row r="332">
      <c r="A332" s="186"/>
      <c r="B332" s="187"/>
    </row>
    <row r="333">
      <c r="A333" s="186"/>
      <c r="B333" s="187"/>
    </row>
    <row r="334">
      <c r="A334" s="186"/>
      <c r="B334" s="187"/>
    </row>
    <row r="335">
      <c r="A335" s="186"/>
      <c r="B335" s="187"/>
    </row>
    <row r="336">
      <c r="A336" s="186"/>
      <c r="B336" s="187"/>
    </row>
    <row r="337">
      <c r="A337" s="186"/>
      <c r="B337" s="187"/>
    </row>
    <row r="338">
      <c r="A338" s="186"/>
      <c r="B338" s="187"/>
    </row>
    <row r="339">
      <c r="A339" s="186"/>
      <c r="B339" s="187"/>
    </row>
    <row r="340">
      <c r="A340" s="186"/>
      <c r="B340" s="187"/>
    </row>
    <row r="341">
      <c r="A341" s="186"/>
      <c r="B341" s="187"/>
    </row>
    <row r="342">
      <c r="A342" s="186"/>
      <c r="B342" s="187"/>
    </row>
    <row r="343">
      <c r="A343" s="186"/>
      <c r="B343" s="187"/>
    </row>
    <row r="344">
      <c r="A344" s="186"/>
      <c r="B344" s="187"/>
    </row>
    <row r="345">
      <c r="A345" s="186"/>
      <c r="B345" s="187"/>
    </row>
    <row r="346">
      <c r="A346" s="186"/>
      <c r="B346" s="187"/>
    </row>
    <row r="347">
      <c r="A347" s="186"/>
      <c r="B347" s="187"/>
    </row>
    <row r="348">
      <c r="A348" s="186"/>
      <c r="B348" s="187"/>
    </row>
    <row r="349">
      <c r="A349" s="186"/>
      <c r="B349" s="187"/>
    </row>
    <row r="350">
      <c r="A350" s="186"/>
      <c r="B350" s="187"/>
    </row>
    <row r="351">
      <c r="A351" s="186"/>
      <c r="B351" s="187"/>
    </row>
    <row r="352">
      <c r="A352" s="186"/>
      <c r="B352" s="187"/>
    </row>
    <row r="353">
      <c r="A353" s="186"/>
      <c r="B353" s="187"/>
    </row>
    <row r="354">
      <c r="A354" s="186"/>
      <c r="B354" s="187"/>
    </row>
    <row r="355">
      <c r="A355" s="186"/>
      <c r="B355" s="187"/>
    </row>
    <row r="356">
      <c r="A356" s="186"/>
      <c r="B356" s="187"/>
    </row>
    <row r="357">
      <c r="A357" s="186"/>
      <c r="B357" s="187"/>
    </row>
    <row r="358">
      <c r="A358" s="186"/>
      <c r="B358" s="187"/>
    </row>
    <row r="359">
      <c r="A359" s="186"/>
      <c r="B359" s="187"/>
    </row>
    <row r="360">
      <c r="A360" s="186"/>
      <c r="B360" s="187"/>
    </row>
    <row r="361">
      <c r="A361" s="186"/>
      <c r="B361" s="187"/>
    </row>
    <row r="362">
      <c r="A362" s="186"/>
      <c r="B362" s="187"/>
    </row>
    <row r="363">
      <c r="A363" s="186"/>
      <c r="B363" s="187"/>
    </row>
    <row r="364">
      <c r="A364" s="186"/>
      <c r="B364" s="187"/>
    </row>
    <row r="365">
      <c r="A365" s="186"/>
      <c r="B365" s="187"/>
    </row>
    <row r="366">
      <c r="A366" s="186"/>
      <c r="B366" s="187"/>
    </row>
    <row r="367">
      <c r="A367" s="186"/>
      <c r="B367" s="187"/>
    </row>
    <row r="368">
      <c r="A368" s="186"/>
      <c r="B368" s="187"/>
    </row>
    <row r="369">
      <c r="A369" s="186"/>
      <c r="B369" s="187"/>
    </row>
    <row r="370">
      <c r="A370" s="186"/>
      <c r="B370" s="187"/>
    </row>
    <row r="371">
      <c r="A371" s="186"/>
      <c r="B371" s="187"/>
    </row>
    <row r="372">
      <c r="A372" s="186"/>
      <c r="B372" s="187"/>
    </row>
    <row r="373">
      <c r="A373" s="186"/>
      <c r="B373" s="187"/>
    </row>
    <row r="374">
      <c r="A374" s="186"/>
      <c r="B374" s="187"/>
    </row>
    <row r="375">
      <c r="A375" s="186"/>
      <c r="B375" s="187"/>
    </row>
    <row r="376">
      <c r="A376" s="186"/>
      <c r="B376" s="187"/>
    </row>
    <row r="377">
      <c r="A377" s="186"/>
      <c r="B377" s="187"/>
    </row>
    <row r="378">
      <c r="A378" s="186"/>
      <c r="B378" s="187"/>
    </row>
    <row r="379">
      <c r="A379" s="186"/>
      <c r="B379" s="187"/>
    </row>
    <row r="380">
      <c r="A380" s="186"/>
      <c r="B380" s="187"/>
    </row>
    <row r="381">
      <c r="A381" s="186"/>
      <c r="B381" s="187"/>
    </row>
    <row r="382">
      <c r="A382" s="186"/>
      <c r="B382" s="187"/>
    </row>
    <row r="383">
      <c r="A383" s="186"/>
      <c r="B383" s="187"/>
    </row>
    <row r="384">
      <c r="A384" s="186"/>
      <c r="B384" s="187"/>
    </row>
    <row r="385">
      <c r="A385" s="186"/>
      <c r="B385" s="187"/>
    </row>
    <row r="386">
      <c r="A386" s="186"/>
      <c r="B386" s="187"/>
    </row>
    <row r="387">
      <c r="A387" s="186"/>
      <c r="B387" s="187"/>
    </row>
    <row r="388">
      <c r="A388" s="186"/>
      <c r="B388" s="187"/>
    </row>
    <row r="389">
      <c r="A389" s="186"/>
      <c r="B389" s="187"/>
    </row>
    <row r="390">
      <c r="A390" s="186"/>
      <c r="B390" s="187"/>
    </row>
    <row r="391">
      <c r="A391" s="186"/>
      <c r="B391" s="187"/>
    </row>
    <row r="392">
      <c r="A392" s="186"/>
      <c r="B392" s="187"/>
    </row>
    <row r="393">
      <c r="A393" s="186"/>
      <c r="B393" s="187"/>
    </row>
    <row r="394">
      <c r="A394" s="186"/>
      <c r="B394" s="187"/>
    </row>
    <row r="395">
      <c r="A395" s="186"/>
      <c r="B395" s="187"/>
    </row>
    <row r="396">
      <c r="A396" s="186"/>
      <c r="B396" s="187"/>
    </row>
    <row r="397">
      <c r="A397" s="186"/>
      <c r="B397" s="187"/>
    </row>
    <row r="398">
      <c r="A398" s="186"/>
      <c r="B398" s="187"/>
    </row>
    <row r="399">
      <c r="A399" s="186"/>
      <c r="B399" s="187"/>
    </row>
    <row r="400">
      <c r="A400" s="186"/>
      <c r="B400" s="187"/>
    </row>
    <row r="401">
      <c r="A401" s="186"/>
      <c r="B401" s="187"/>
    </row>
    <row r="402">
      <c r="A402" s="186"/>
      <c r="B402" s="187"/>
    </row>
    <row r="403">
      <c r="A403" s="186"/>
      <c r="B403" s="187"/>
    </row>
    <row r="404">
      <c r="A404" s="186"/>
      <c r="B404" s="187"/>
    </row>
    <row r="405">
      <c r="A405" s="186"/>
      <c r="B405" s="187"/>
    </row>
    <row r="406">
      <c r="A406" s="186"/>
      <c r="B406" s="187"/>
    </row>
    <row r="407">
      <c r="A407" s="186"/>
      <c r="B407" s="187"/>
    </row>
    <row r="408">
      <c r="A408" s="186"/>
      <c r="B408" s="187"/>
    </row>
    <row r="409">
      <c r="A409" s="186"/>
      <c r="B409" s="187"/>
    </row>
    <row r="410">
      <c r="A410" s="186"/>
      <c r="B410" s="187"/>
    </row>
    <row r="411">
      <c r="A411" s="186"/>
      <c r="B411" s="187"/>
    </row>
    <row r="412">
      <c r="A412" s="186"/>
      <c r="B412" s="187"/>
    </row>
    <row r="413">
      <c r="A413" s="186"/>
      <c r="B413" s="187"/>
    </row>
    <row r="414">
      <c r="A414" s="186"/>
      <c r="B414" s="187"/>
    </row>
    <row r="415">
      <c r="A415" s="186"/>
      <c r="B415" s="187"/>
    </row>
    <row r="416">
      <c r="A416" s="186"/>
      <c r="B416" s="187"/>
    </row>
    <row r="417">
      <c r="A417" s="186"/>
      <c r="B417" s="187"/>
    </row>
    <row r="418">
      <c r="A418" s="186"/>
      <c r="B418" s="187"/>
    </row>
    <row r="419">
      <c r="A419" s="186"/>
      <c r="B419" s="187"/>
    </row>
    <row r="420">
      <c r="A420" s="186"/>
      <c r="B420" s="187"/>
    </row>
    <row r="421">
      <c r="A421" s="186"/>
      <c r="B421" s="187"/>
    </row>
    <row r="422">
      <c r="A422" s="186"/>
      <c r="B422" s="187"/>
    </row>
    <row r="423">
      <c r="A423" s="186"/>
      <c r="B423" s="187"/>
    </row>
    <row r="424">
      <c r="A424" s="186"/>
      <c r="B424" s="187"/>
    </row>
    <row r="425">
      <c r="A425" s="186"/>
      <c r="B425" s="187"/>
    </row>
    <row r="426">
      <c r="A426" s="186"/>
      <c r="B426" s="187"/>
    </row>
    <row r="427">
      <c r="A427" s="186"/>
      <c r="B427" s="187"/>
    </row>
    <row r="428">
      <c r="A428" s="186"/>
      <c r="B428" s="187"/>
    </row>
    <row r="429">
      <c r="A429" s="186"/>
      <c r="B429" s="187"/>
    </row>
    <row r="430">
      <c r="A430" s="186"/>
      <c r="B430" s="187"/>
    </row>
    <row r="431">
      <c r="A431" s="186"/>
      <c r="B431" s="187"/>
    </row>
    <row r="432">
      <c r="A432" s="186"/>
      <c r="B432" s="187"/>
    </row>
    <row r="433">
      <c r="A433" s="186"/>
      <c r="B433" s="187"/>
    </row>
    <row r="434">
      <c r="A434" s="186"/>
      <c r="B434" s="187"/>
    </row>
    <row r="435">
      <c r="A435" s="186"/>
      <c r="B435" s="187"/>
    </row>
    <row r="436">
      <c r="A436" s="186"/>
      <c r="B436" s="187"/>
    </row>
    <row r="437">
      <c r="A437" s="186"/>
      <c r="B437" s="187"/>
    </row>
    <row r="438">
      <c r="A438" s="186"/>
      <c r="B438" s="187"/>
    </row>
    <row r="439">
      <c r="A439" s="186"/>
      <c r="B439" s="187"/>
    </row>
    <row r="440">
      <c r="A440" s="186"/>
      <c r="B440" s="187"/>
    </row>
    <row r="441">
      <c r="A441" s="186"/>
      <c r="B441" s="187"/>
    </row>
    <row r="442">
      <c r="A442" s="186"/>
      <c r="B442" s="187"/>
    </row>
    <row r="443">
      <c r="A443" s="186"/>
      <c r="B443" s="187"/>
    </row>
    <row r="444">
      <c r="A444" s="186"/>
      <c r="B444" s="187"/>
    </row>
    <row r="445">
      <c r="A445" s="186"/>
      <c r="B445" s="187"/>
    </row>
    <row r="446">
      <c r="A446" s="186"/>
      <c r="B446" s="187"/>
    </row>
    <row r="447">
      <c r="A447" s="186"/>
      <c r="B447" s="187"/>
    </row>
    <row r="448">
      <c r="A448" s="186"/>
      <c r="B448" s="187"/>
    </row>
    <row r="449">
      <c r="A449" s="186"/>
      <c r="B449" s="187"/>
    </row>
    <row r="450">
      <c r="A450" s="186"/>
      <c r="B450" s="187"/>
    </row>
    <row r="451">
      <c r="A451" s="186"/>
      <c r="B451" s="187"/>
    </row>
    <row r="452">
      <c r="A452" s="186"/>
      <c r="B452" s="187"/>
    </row>
    <row r="453">
      <c r="A453" s="186"/>
      <c r="B453" s="187"/>
    </row>
    <row r="454">
      <c r="A454" s="186"/>
      <c r="B454" s="187"/>
    </row>
    <row r="455">
      <c r="A455" s="186"/>
      <c r="B455" s="187"/>
    </row>
    <row r="456">
      <c r="A456" s="186"/>
      <c r="B456" s="187"/>
    </row>
    <row r="457">
      <c r="A457" s="186"/>
      <c r="B457" s="187"/>
    </row>
    <row r="458">
      <c r="A458" s="186"/>
      <c r="B458" s="187"/>
    </row>
    <row r="459">
      <c r="A459" s="186"/>
      <c r="B459" s="187"/>
    </row>
    <row r="460">
      <c r="A460" s="186"/>
      <c r="B460" s="187"/>
    </row>
    <row r="461">
      <c r="A461" s="186"/>
      <c r="B461" s="187"/>
    </row>
    <row r="462">
      <c r="A462" s="186"/>
      <c r="B462" s="187"/>
    </row>
    <row r="463">
      <c r="A463" s="186"/>
      <c r="B463" s="187"/>
    </row>
    <row r="464">
      <c r="A464" s="186"/>
      <c r="B464" s="187"/>
    </row>
    <row r="465">
      <c r="A465" s="186"/>
      <c r="B465" s="187"/>
    </row>
    <row r="466">
      <c r="A466" s="186"/>
      <c r="B466" s="187"/>
    </row>
    <row r="467">
      <c r="A467" s="186"/>
      <c r="B467" s="187"/>
    </row>
    <row r="468">
      <c r="A468" s="186"/>
      <c r="B468" s="187"/>
    </row>
    <row r="469">
      <c r="A469" s="186"/>
      <c r="B469" s="187"/>
    </row>
    <row r="470">
      <c r="A470" s="186"/>
      <c r="B470" s="187"/>
    </row>
    <row r="471">
      <c r="A471" s="186"/>
      <c r="B471" s="187"/>
    </row>
    <row r="472">
      <c r="A472" s="186"/>
      <c r="B472" s="187"/>
    </row>
    <row r="473">
      <c r="A473" s="186"/>
      <c r="B473" s="187"/>
    </row>
    <row r="474">
      <c r="A474" s="186"/>
      <c r="B474" s="187"/>
    </row>
    <row r="475">
      <c r="A475" s="186"/>
      <c r="B475" s="187"/>
    </row>
    <row r="476">
      <c r="A476" s="186"/>
      <c r="B476" s="187"/>
    </row>
    <row r="477">
      <c r="A477" s="186"/>
      <c r="B477" s="187"/>
    </row>
    <row r="478">
      <c r="A478" s="186"/>
      <c r="B478" s="187"/>
    </row>
    <row r="479">
      <c r="A479" s="186"/>
      <c r="B479" s="187"/>
    </row>
    <row r="480">
      <c r="A480" s="186"/>
      <c r="B480" s="187"/>
    </row>
    <row r="481">
      <c r="A481" s="186"/>
      <c r="B481" s="187"/>
    </row>
    <row r="482">
      <c r="A482" s="186"/>
      <c r="B482" s="187"/>
    </row>
    <row r="483">
      <c r="A483" s="186"/>
      <c r="B483" s="187"/>
    </row>
    <row r="484">
      <c r="A484" s="186"/>
      <c r="B484" s="187"/>
    </row>
    <row r="485">
      <c r="A485" s="186"/>
      <c r="B485" s="187"/>
    </row>
    <row r="486">
      <c r="A486" s="186"/>
      <c r="B486" s="187"/>
    </row>
    <row r="487">
      <c r="A487" s="186"/>
      <c r="B487" s="187"/>
    </row>
    <row r="488">
      <c r="A488" s="186"/>
      <c r="B488" s="187"/>
    </row>
    <row r="489">
      <c r="A489" s="186"/>
      <c r="B489" s="187"/>
    </row>
    <row r="490">
      <c r="A490" s="186"/>
      <c r="B490" s="187"/>
    </row>
    <row r="491">
      <c r="A491" s="186"/>
      <c r="B491" s="187"/>
    </row>
    <row r="492">
      <c r="A492" s="186"/>
      <c r="B492" s="187"/>
    </row>
    <row r="493">
      <c r="A493" s="186"/>
      <c r="B493" s="187"/>
    </row>
    <row r="494">
      <c r="A494" s="186"/>
      <c r="B494" s="187"/>
    </row>
    <row r="495">
      <c r="A495" s="186"/>
      <c r="B495" s="187"/>
    </row>
    <row r="496">
      <c r="A496" s="186"/>
      <c r="B496" s="187"/>
    </row>
    <row r="497">
      <c r="A497" s="186"/>
      <c r="B497" s="187"/>
    </row>
    <row r="498">
      <c r="A498" s="186"/>
      <c r="B498" s="187"/>
    </row>
    <row r="499">
      <c r="A499" s="186"/>
      <c r="B499" s="187"/>
    </row>
    <row r="500">
      <c r="A500" s="186"/>
      <c r="B500" s="187"/>
    </row>
    <row r="501">
      <c r="A501" s="186"/>
      <c r="B501" s="187"/>
    </row>
    <row r="502">
      <c r="A502" s="186"/>
      <c r="B502" s="187"/>
    </row>
    <row r="503">
      <c r="A503" s="186"/>
      <c r="B503" s="187"/>
    </row>
    <row r="504">
      <c r="A504" s="186"/>
      <c r="B504" s="187"/>
    </row>
    <row r="505">
      <c r="A505" s="186"/>
      <c r="B505" s="187"/>
    </row>
    <row r="506">
      <c r="A506" s="186"/>
      <c r="B506" s="187"/>
    </row>
    <row r="507">
      <c r="A507" s="186"/>
      <c r="B507" s="187"/>
    </row>
    <row r="508">
      <c r="A508" s="186"/>
      <c r="B508" s="187"/>
    </row>
    <row r="509">
      <c r="A509" s="186"/>
      <c r="B509" s="187"/>
    </row>
    <row r="510">
      <c r="A510" s="186"/>
      <c r="B510" s="187"/>
    </row>
    <row r="511">
      <c r="A511" s="186"/>
      <c r="B511" s="187"/>
    </row>
    <row r="512">
      <c r="A512" s="186"/>
      <c r="B512" s="187"/>
    </row>
    <row r="513">
      <c r="A513" s="186"/>
      <c r="B513" s="187"/>
    </row>
    <row r="514">
      <c r="A514" s="186"/>
      <c r="B514" s="187"/>
    </row>
    <row r="515">
      <c r="A515" s="186"/>
      <c r="B515" s="187"/>
    </row>
    <row r="516">
      <c r="A516" s="186"/>
      <c r="B516" s="187"/>
    </row>
    <row r="517">
      <c r="A517" s="186"/>
      <c r="B517" s="187"/>
    </row>
    <row r="518">
      <c r="A518" s="186"/>
      <c r="B518" s="187"/>
    </row>
    <row r="519">
      <c r="A519" s="186"/>
      <c r="B519" s="187"/>
    </row>
    <row r="520">
      <c r="A520" s="186"/>
      <c r="B520" s="187"/>
    </row>
    <row r="521">
      <c r="A521" s="186"/>
      <c r="B521" s="187"/>
    </row>
    <row r="522">
      <c r="A522" s="186"/>
      <c r="B522" s="187"/>
    </row>
    <row r="523">
      <c r="A523" s="186"/>
      <c r="B523" s="187"/>
    </row>
    <row r="524">
      <c r="A524" s="186"/>
      <c r="B524" s="187"/>
    </row>
    <row r="525">
      <c r="A525" s="186"/>
      <c r="B525" s="187"/>
    </row>
    <row r="526">
      <c r="A526" s="186"/>
      <c r="B526" s="187"/>
    </row>
    <row r="527">
      <c r="A527" s="186"/>
      <c r="B527" s="187"/>
    </row>
    <row r="528">
      <c r="A528" s="186"/>
      <c r="B528" s="187"/>
    </row>
    <row r="529">
      <c r="A529" s="186"/>
      <c r="B529" s="187"/>
    </row>
    <row r="530">
      <c r="A530" s="186"/>
      <c r="B530" s="187"/>
    </row>
    <row r="531">
      <c r="A531" s="186"/>
      <c r="B531" s="187"/>
    </row>
    <row r="532">
      <c r="A532" s="186"/>
      <c r="B532" s="187"/>
    </row>
    <row r="533">
      <c r="A533" s="186"/>
      <c r="B533" s="187"/>
    </row>
    <row r="534">
      <c r="A534" s="186"/>
      <c r="B534" s="187"/>
    </row>
    <row r="535">
      <c r="A535" s="186"/>
      <c r="B535" s="187"/>
    </row>
    <row r="536">
      <c r="A536" s="186"/>
      <c r="B536" s="187"/>
    </row>
    <row r="537">
      <c r="A537" s="186"/>
      <c r="B537" s="187"/>
    </row>
    <row r="538">
      <c r="A538" s="186"/>
      <c r="B538" s="187"/>
    </row>
    <row r="539">
      <c r="A539" s="186"/>
      <c r="B539" s="187"/>
    </row>
    <row r="540">
      <c r="A540" s="186"/>
      <c r="B540" s="187"/>
    </row>
    <row r="541">
      <c r="A541" s="186"/>
      <c r="B541" s="187"/>
    </row>
    <row r="542">
      <c r="A542" s="186"/>
      <c r="B542" s="187"/>
    </row>
    <row r="543">
      <c r="A543" s="186"/>
      <c r="B543" s="187"/>
    </row>
    <row r="544">
      <c r="A544" s="186"/>
      <c r="B544" s="187"/>
    </row>
    <row r="545">
      <c r="A545" s="186"/>
      <c r="B545" s="187"/>
    </row>
    <row r="546">
      <c r="A546" s="186"/>
      <c r="B546" s="187"/>
    </row>
    <row r="547">
      <c r="A547" s="186"/>
      <c r="B547" s="187"/>
    </row>
    <row r="548">
      <c r="A548" s="186"/>
      <c r="B548" s="187"/>
    </row>
    <row r="549">
      <c r="A549" s="186"/>
      <c r="B549" s="187"/>
    </row>
    <row r="550">
      <c r="A550" s="186"/>
      <c r="B550" s="187"/>
    </row>
    <row r="551">
      <c r="A551" s="186"/>
      <c r="B551" s="187"/>
    </row>
    <row r="552">
      <c r="A552" s="186"/>
      <c r="B552" s="187"/>
    </row>
    <row r="553">
      <c r="A553" s="186"/>
      <c r="B553" s="187"/>
    </row>
    <row r="554">
      <c r="A554" s="186"/>
      <c r="B554" s="187"/>
    </row>
    <row r="555">
      <c r="A555" s="186"/>
      <c r="B555" s="187"/>
    </row>
    <row r="556">
      <c r="A556" s="186"/>
      <c r="B556" s="187"/>
    </row>
    <row r="557">
      <c r="A557" s="186"/>
      <c r="B557" s="187"/>
    </row>
    <row r="558">
      <c r="A558" s="186"/>
      <c r="B558" s="187"/>
    </row>
    <row r="559">
      <c r="A559" s="186"/>
      <c r="B559" s="187"/>
    </row>
    <row r="560">
      <c r="A560" s="186"/>
      <c r="B560" s="187"/>
    </row>
    <row r="561">
      <c r="A561" s="186"/>
      <c r="B561" s="187"/>
    </row>
    <row r="562">
      <c r="A562" s="186"/>
      <c r="B562" s="187"/>
    </row>
    <row r="563">
      <c r="A563" s="186"/>
      <c r="B563" s="187"/>
    </row>
    <row r="564">
      <c r="A564" s="186"/>
      <c r="B564" s="187"/>
    </row>
    <row r="565">
      <c r="A565" s="186"/>
      <c r="B565" s="187"/>
    </row>
    <row r="566">
      <c r="A566" s="186"/>
      <c r="B566" s="187"/>
    </row>
    <row r="567">
      <c r="A567" s="186"/>
      <c r="B567" s="187"/>
    </row>
    <row r="568">
      <c r="A568" s="186"/>
      <c r="B568" s="187"/>
    </row>
    <row r="569">
      <c r="A569" s="186"/>
      <c r="B569" s="187"/>
    </row>
    <row r="570">
      <c r="A570" s="186"/>
      <c r="B570" s="187"/>
    </row>
    <row r="571">
      <c r="A571" s="186"/>
      <c r="B571" s="187"/>
    </row>
    <row r="572">
      <c r="A572" s="186"/>
      <c r="B572" s="187"/>
    </row>
    <row r="573">
      <c r="A573" s="186"/>
      <c r="B573" s="187"/>
    </row>
    <row r="574">
      <c r="A574" s="186"/>
      <c r="B574" s="187"/>
    </row>
    <row r="575">
      <c r="A575" s="186"/>
      <c r="B575" s="187"/>
    </row>
    <row r="576">
      <c r="A576" s="186"/>
      <c r="B576" s="187"/>
    </row>
    <row r="577">
      <c r="A577" s="186"/>
      <c r="B577" s="187"/>
    </row>
    <row r="578">
      <c r="A578" s="186"/>
      <c r="B578" s="187"/>
    </row>
    <row r="579">
      <c r="A579" s="186"/>
      <c r="B579" s="187"/>
    </row>
    <row r="580">
      <c r="A580" s="186"/>
      <c r="B580" s="187"/>
    </row>
    <row r="581">
      <c r="A581" s="186"/>
      <c r="B581" s="187"/>
    </row>
    <row r="582">
      <c r="A582" s="186"/>
      <c r="B582" s="187"/>
    </row>
    <row r="583">
      <c r="A583" s="186"/>
      <c r="B583" s="187"/>
    </row>
    <row r="584">
      <c r="A584" s="186"/>
      <c r="B584" s="187"/>
    </row>
    <row r="585">
      <c r="A585" s="186"/>
      <c r="B585" s="187"/>
    </row>
    <row r="586">
      <c r="A586" s="186"/>
      <c r="B586" s="187"/>
    </row>
    <row r="587">
      <c r="A587" s="186"/>
      <c r="B587" s="187"/>
    </row>
    <row r="588">
      <c r="A588" s="186"/>
      <c r="B588" s="187"/>
    </row>
    <row r="589">
      <c r="A589" s="186"/>
      <c r="B589" s="187"/>
    </row>
    <row r="590">
      <c r="A590" s="186"/>
      <c r="B590" s="187"/>
    </row>
    <row r="591">
      <c r="A591" s="186"/>
      <c r="B591" s="187"/>
    </row>
    <row r="592">
      <c r="A592" s="186"/>
      <c r="B592" s="187"/>
    </row>
    <row r="593">
      <c r="A593" s="186"/>
      <c r="B593" s="187"/>
    </row>
    <row r="594">
      <c r="A594" s="186"/>
      <c r="B594" s="187"/>
    </row>
    <row r="595">
      <c r="A595" s="186"/>
      <c r="B595" s="187"/>
    </row>
    <row r="596">
      <c r="A596" s="186"/>
      <c r="B596" s="187"/>
    </row>
    <row r="597">
      <c r="A597" s="186"/>
      <c r="B597" s="187"/>
    </row>
    <row r="598">
      <c r="A598" s="186"/>
      <c r="B598" s="187"/>
    </row>
    <row r="599">
      <c r="A599" s="186"/>
      <c r="B599" s="187"/>
    </row>
    <row r="600">
      <c r="A600" s="186"/>
      <c r="B600" s="187"/>
    </row>
    <row r="601">
      <c r="A601" s="186"/>
      <c r="B601" s="187"/>
    </row>
    <row r="602">
      <c r="A602" s="186"/>
      <c r="B602" s="187"/>
    </row>
    <row r="603">
      <c r="A603" s="186"/>
      <c r="B603" s="187"/>
    </row>
    <row r="604">
      <c r="A604" s="186"/>
      <c r="B604" s="187"/>
    </row>
    <row r="605">
      <c r="A605" s="186"/>
      <c r="B605" s="187"/>
    </row>
    <row r="606">
      <c r="A606" s="186"/>
      <c r="B606" s="187"/>
    </row>
    <row r="607">
      <c r="A607" s="186"/>
      <c r="B607" s="187"/>
    </row>
    <row r="608">
      <c r="A608" s="186"/>
      <c r="B608" s="187"/>
    </row>
    <row r="609">
      <c r="A609" s="186"/>
      <c r="B609" s="187"/>
    </row>
    <row r="610">
      <c r="A610" s="186"/>
      <c r="B610" s="187"/>
    </row>
    <row r="611">
      <c r="A611" s="186"/>
      <c r="B611" s="187"/>
    </row>
    <row r="612">
      <c r="A612" s="186"/>
      <c r="B612" s="187"/>
    </row>
    <row r="613">
      <c r="A613" s="186"/>
      <c r="B613" s="187"/>
    </row>
    <row r="614">
      <c r="A614" s="186"/>
      <c r="B614" s="187"/>
    </row>
    <row r="615">
      <c r="A615" s="186"/>
      <c r="B615" s="187"/>
    </row>
    <row r="616">
      <c r="A616" s="186"/>
      <c r="B616" s="187"/>
    </row>
    <row r="617">
      <c r="A617" s="186"/>
      <c r="B617" s="187"/>
    </row>
    <row r="618">
      <c r="A618" s="186"/>
      <c r="B618" s="187"/>
    </row>
    <row r="619">
      <c r="A619" s="186"/>
      <c r="B619" s="187"/>
    </row>
    <row r="620">
      <c r="A620" s="186"/>
      <c r="B620" s="187"/>
    </row>
    <row r="621">
      <c r="A621" s="186"/>
      <c r="B621" s="187"/>
    </row>
    <row r="622">
      <c r="A622" s="186"/>
      <c r="B622" s="187"/>
    </row>
    <row r="623">
      <c r="A623" s="186"/>
      <c r="B623" s="187"/>
    </row>
    <row r="624">
      <c r="A624" s="186"/>
      <c r="B624" s="187"/>
    </row>
    <row r="625">
      <c r="A625" s="186"/>
      <c r="B625" s="187"/>
    </row>
    <row r="626">
      <c r="A626" s="186"/>
      <c r="B626" s="187"/>
    </row>
    <row r="627">
      <c r="A627" s="186"/>
      <c r="B627" s="187"/>
    </row>
    <row r="628">
      <c r="A628" s="186"/>
      <c r="B628" s="187"/>
    </row>
    <row r="629">
      <c r="A629" s="186"/>
      <c r="B629" s="187"/>
    </row>
    <row r="630">
      <c r="A630" s="186"/>
      <c r="B630" s="187"/>
    </row>
    <row r="631">
      <c r="A631" s="186"/>
      <c r="B631" s="187"/>
    </row>
    <row r="632">
      <c r="A632" s="186"/>
      <c r="B632" s="187"/>
    </row>
    <row r="633">
      <c r="A633" s="186"/>
      <c r="B633" s="187"/>
    </row>
    <row r="634">
      <c r="A634" s="186"/>
      <c r="B634" s="187"/>
    </row>
    <row r="635">
      <c r="A635" s="186"/>
      <c r="B635" s="187"/>
    </row>
    <row r="636">
      <c r="A636" s="186"/>
      <c r="B636" s="187"/>
    </row>
    <row r="637">
      <c r="A637" s="186"/>
      <c r="B637" s="187"/>
    </row>
    <row r="638">
      <c r="A638" s="186"/>
      <c r="B638" s="187"/>
    </row>
    <row r="639">
      <c r="A639" s="186"/>
      <c r="B639" s="187"/>
    </row>
    <row r="640">
      <c r="A640" s="186"/>
      <c r="B640" s="187"/>
    </row>
    <row r="641">
      <c r="A641" s="186"/>
      <c r="B641" s="187"/>
    </row>
    <row r="642">
      <c r="A642" s="186"/>
      <c r="B642" s="187"/>
    </row>
    <row r="643">
      <c r="A643" s="186"/>
      <c r="B643" s="187"/>
    </row>
    <row r="644">
      <c r="A644" s="186"/>
      <c r="B644" s="187"/>
    </row>
    <row r="645">
      <c r="A645" s="186"/>
      <c r="B645" s="187"/>
    </row>
    <row r="646">
      <c r="A646" s="186"/>
      <c r="B646" s="187"/>
    </row>
    <row r="647">
      <c r="A647" s="186"/>
      <c r="B647" s="187"/>
    </row>
    <row r="648">
      <c r="A648" s="186"/>
      <c r="B648" s="187"/>
    </row>
    <row r="649">
      <c r="A649" s="186"/>
      <c r="B649" s="187"/>
    </row>
    <row r="650">
      <c r="A650" s="186"/>
      <c r="B650" s="187"/>
    </row>
    <row r="651">
      <c r="A651" s="186"/>
      <c r="B651" s="187"/>
    </row>
    <row r="652">
      <c r="A652" s="186"/>
      <c r="B652" s="187"/>
    </row>
    <row r="653">
      <c r="A653" s="186"/>
      <c r="B653" s="187"/>
    </row>
    <row r="654">
      <c r="A654" s="186"/>
      <c r="B654" s="187"/>
    </row>
    <row r="655">
      <c r="A655" s="186"/>
      <c r="B655" s="187"/>
    </row>
    <row r="656">
      <c r="A656" s="186"/>
      <c r="B656" s="187"/>
    </row>
    <row r="657">
      <c r="A657" s="186"/>
      <c r="B657" s="187"/>
    </row>
    <row r="658">
      <c r="A658" s="186"/>
      <c r="B658" s="187"/>
    </row>
    <row r="659">
      <c r="A659" s="186"/>
      <c r="B659" s="187"/>
    </row>
    <row r="660">
      <c r="A660" s="186"/>
      <c r="B660" s="187"/>
    </row>
    <row r="661">
      <c r="A661" s="186"/>
      <c r="B661" s="187"/>
    </row>
    <row r="662">
      <c r="A662" s="186"/>
      <c r="B662" s="187"/>
    </row>
    <row r="663">
      <c r="A663" s="186"/>
      <c r="B663" s="187"/>
    </row>
    <row r="664">
      <c r="A664" s="186"/>
      <c r="B664" s="187"/>
    </row>
    <row r="665">
      <c r="A665" s="186"/>
      <c r="B665" s="187"/>
    </row>
    <row r="666">
      <c r="A666" s="186"/>
      <c r="B666" s="187"/>
    </row>
    <row r="667">
      <c r="A667" s="186"/>
      <c r="B667" s="187"/>
    </row>
    <row r="668">
      <c r="A668" s="186"/>
      <c r="B668" s="187"/>
    </row>
    <row r="669">
      <c r="A669" s="186"/>
      <c r="B669" s="187"/>
    </row>
    <row r="670">
      <c r="A670" s="186"/>
      <c r="B670" s="187"/>
    </row>
    <row r="671">
      <c r="A671" s="186"/>
      <c r="B671" s="187"/>
    </row>
    <row r="672">
      <c r="A672" s="186"/>
      <c r="B672" s="187"/>
    </row>
    <row r="673">
      <c r="A673" s="186"/>
      <c r="B673" s="187"/>
    </row>
    <row r="674">
      <c r="A674" s="186"/>
      <c r="B674" s="187"/>
    </row>
    <row r="675">
      <c r="A675" s="186"/>
      <c r="B675" s="187"/>
    </row>
    <row r="676">
      <c r="A676" s="186"/>
      <c r="B676" s="187"/>
    </row>
    <row r="677">
      <c r="A677" s="186"/>
      <c r="B677" s="187"/>
    </row>
    <row r="678">
      <c r="A678" s="186"/>
      <c r="B678" s="187"/>
    </row>
    <row r="679">
      <c r="A679" s="186"/>
      <c r="B679" s="187"/>
    </row>
    <row r="680">
      <c r="A680" s="186"/>
      <c r="B680" s="187"/>
    </row>
    <row r="681">
      <c r="A681" s="186"/>
      <c r="B681" s="187"/>
    </row>
    <row r="682">
      <c r="A682" s="186"/>
      <c r="B682" s="187"/>
    </row>
    <row r="683">
      <c r="A683" s="186"/>
      <c r="B683" s="187"/>
    </row>
    <row r="684">
      <c r="A684" s="186"/>
      <c r="B684" s="187"/>
    </row>
    <row r="685">
      <c r="A685" s="186"/>
      <c r="B685" s="187"/>
    </row>
    <row r="686">
      <c r="A686" s="186"/>
      <c r="B686" s="187"/>
    </row>
    <row r="687">
      <c r="A687" s="186"/>
      <c r="B687" s="187"/>
    </row>
    <row r="688">
      <c r="A688" s="186"/>
      <c r="B688" s="187"/>
    </row>
    <row r="689">
      <c r="A689" s="186"/>
      <c r="B689" s="187"/>
    </row>
    <row r="690">
      <c r="A690" s="186"/>
      <c r="B690" s="187"/>
    </row>
    <row r="691">
      <c r="A691" s="186"/>
      <c r="B691" s="187"/>
    </row>
    <row r="692">
      <c r="A692" s="186"/>
      <c r="B692" s="187"/>
    </row>
    <row r="693">
      <c r="A693" s="186"/>
      <c r="B693" s="187"/>
    </row>
    <row r="694">
      <c r="A694" s="186"/>
      <c r="B694" s="187"/>
    </row>
    <row r="695">
      <c r="A695" s="186"/>
      <c r="B695" s="187"/>
    </row>
    <row r="696">
      <c r="A696" s="186"/>
      <c r="B696" s="187"/>
    </row>
    <row r="697">
      <c r="A697" s="186"/>
      <c r="B697" s="187"/>
    </row>
    <row r="698">
      <c r="A698" s="186"/>
      <c r="B698" s="187"/>
    </row>
    <row r="699">
      <c r="A699" s="186"/>
      <c r="B699" s="187"/>
    </row>
    <row r="700">
      <c r="A700" s="186"/>
      <c r="B700" s="187"/>
    </row>
    <row r="701">
      <c r="A701" s="186"/>
      <c r="B701" s="187"/>
    </row>
    <row r="702">
      <c r="A702" s="186"/>
      <c r="B702" s="187"/>
    </row>
    <row r="703">
      <c r="A703" s="186"/>
      <c r="B703" s="187"/>
    </row>
    <row r="704">
      <c r="A704" s="186"/>
      <c r="B704" s="187"/>
    </row>
    <row r="705">
      <c r="A705" s="186"/>
      <c r="B705" s="187"/>
    </row>
    <row r="706">
      <c r="A706" s="186"/>
      <c r="B706" s="187"/>
    </row>
    <row r="707">
      <c r="A707" s="186"/>
      <c r="B707" s="187"/>
    </row>
    <row r="708">
      <c r="A708" s="186"/>
      <c r="B708" s="187"/>
    </row>
    <row r="709">
      <c r="A709" s="186"/>
      <c r="B709" s="187"/>
    </row>
    <row r="710">
      <c r="A710" s="186"/>
      <c r="B710" s="187"/>
    </row>
    <row r="711">
      <c r="A711" s="186"/>
      <c r="B711" s="187"/>
    </row>
    <row r="712">
      <c r="A712" s="186"/>
      <c r="B712" s="187"/>
    </row>
    <row r="713">
      <c r="A713" s="186"/>
      <c r="B713" s="187"/>
    </row>
    <row r="714">
      <c r="A714" s="186"/>
      <c r="B714" s="187"/>
    </row>
    <row r="715">
      <c r="A715" s="186"/>
      <c r="B715" s="187"/>
    </row>
    <row r="716">
      <c r="A716" s="186"/>
      <c r="B716" s="187"/>
    </row>
    <row r="717">
      <c r="A717" s="186"/>
      <c r="B717" s="187"/>
    </row>
    <row r="718">
      <c r="A718" s="186"/>
      <c r="B718" s="187"/>
    </row>
    <row r="719">
      <c r="A719" s="186"/>
      <c r="B719" s="187"/>
    </row>
    <row r="720">
      <c r="A720" s="186"/>
      <c r="B720" s="187"/>
    </row>
    <row r="721">
      <c r="A721" s="186"/>
      <c r="B721" s="187"/>
    </row>
    <row r="722">
      <c r="A722" s="186"/>
      <c r="B722" s="187"/>
    </row>
    <row r="723">
      <c r="A723" s="186"/>
      <c r="B723" s="187"/>
    </row>
    <row r="724">
      <c r="A724" s="186"/>
      <c r="B724" s="187"/>
    </row>
    <row r="725">
      <c r="A725" s="186"/>
      <c r="B725" s="187"/>
    </row>
    <row r="726">
      <c r="A726" s="186"/>
      <c r="B726" s="187"/>
    </row>
    <row r="727">
      <c r="A727" s="186"/>
      <c r="B727" s="187"/>
    </row>
    <row r="728">
      <c r="A728" s="186"/>
      <c r="B728" s="187"/>
    </row>
    <row r="729">
      <c r="A729" s="186"/>
      <c r="B729" s="187"/>
    </row>
    <row r="730">
      <c r="A730" s="186"/>
      <c r="B730" s="187"/>
    </row>
    <row r="731">
      <c r="A731" s="186"/>
      <c r="B731" s="187"/>
    </row>
    <row r="732">
      <c r="A732" s="186"/>
      <c r="B732" s="187"/>
    </row>
    <row r="733">
      <c r="A733" s="186"/>
      <c r="B733" s="187"/>
    </row>
    <row r="734">
      <c r="A734" s="186"/>
      <c r="B734" s="187"/>
    </row>
    <row r="735">
      <c r="A735" s="186"/>
      <c r="B735" s="187"/>
    </row>
    <row r="736">
      <c r="A736" s="186"/>
      <c r="B736" s="187"/>
    </row>
    <row r="737">
      <c r="A737" s="186"/>
      <c r="B737" s="187"/>
    </row>
    <row r="738">
      <c r="A738" s="186"/>
      <c r="B738" s="187"/>
    </row>
    <row r="739">
      <c r="A739" s="186"/>
      <c r="B739" s="187"/>
    </row>
    <row r="740">
      <c r="A740" s="186"/>
      <c r="B740" s="187"/>
    </row>
    <row r="741">
      <c r="A741" s="186"/>
      <c r="B741" s="187"/>
    </row>
    <row r="742">
      <c r="A742" s="186"/>
      <c r="B742" s="187"/>
    </row>
    <row r="743">
      <c r="A743" s="186"/>
      <c r="B743" s="187"/>
    </row>
    <row r="744">
      <c r="A744" s="186"/>
      <c r="B744" s="187"/>
    </row>
    <row r="745">
      <c r="A745" s="186"/>
      <c r="B745" s="187"/>
    </row>
    <row r="746">
      <c r="A746" s="186"/>
      <c r="B746" s="187"/>
    </row>
    <row r="747">
      <c r="A747" s="186"/>
      <c r="B747" s="187"/>
    </row>
    <row r="748">
      <c r="A748" s="186"/>
      <c r="B748" s="187"/>
    </row>
    <row r="749">
      <c r="A749" s="186"/>
      <c r="B749" s="187"/>
    </row>
    <row r="750">
      <c r="A750" s="186"/>
      <c r="B750" s="187"/>
    </row>
    <row r="751">
      <c r="A751" s="186"/>
      <c r="B751" s="187"/>
    </row>
    <row r="752">
      <c r="A752" s="186"/>
      <c r="B752" s="187"/>
    </row>
    <row r="753">
      <c r="A753" s="186"/>
      <c r="B753" s="187"/>
    </row>
    <row r="754">
      <c r="A754" s="186"/>
      <c r="B754" s="187"/>
    </row>
    <row r="755">
      <c r="A755" s="186"/>
      <c r="B755" s="187"/>
    </row>
    <row r="756">
      <c r="A756" s="186"/>
      <c r="B756" s="187"/>
    </row>
    <row r="757">
      <c r="A757" s="186"/>
      <c r="B757" s="187"/>
    </row>
    <row r="758">
      <c r="A758" s="186"/>
      <c r="B758" s="187"/>
    </row>
    <row r="759">
      <c r="A759" s="186"/>
      <c r="B759" s="187"/>
    </row>
    <row r="760">
      <c r="A760" s="186"/>
      <c r="B760" s="187"/>
    </row>
    <row r="761">
      <c r="A761" s="186"/>
      <c r="B761" s="187"/>
    </row>
    <row r="762">
      <c r="A762" s="186"/>
      <c r="B762" s="187"/>
    </row>
    <row r="763">
      <c r="A763" s="186"/>
      <c r="B763" s="187"/>
    </row>
    <row r="764">
      <c r="A764" s="186"/>
      <c r="B764" s="187"/>
    </row>
    <row r="765">
      <c r="A765" s="186"/>
      <c r="B765" s="187"/>
    </row>
    <row r="766">
      <c r="A766" s="186"/>
      <c r="B766" s="187"/>
    </row>
    <row r="767">
      <c r="A767" s="186"/>
      <c r="B767" s="187"/>
    </row>
    <row r="768">
      <c r="A768" s="186"/>
      <c r="B768" s="187"/>
    </row>
    <row r="769">
      <c r="A769" s="186"/>
      <c r="B769" s="187"/>
    </row>
    <row r="770">
      <c r="A770" s="186"/>
      <c r="B770" s="187"/>
    </row>
    <row r="771">
      <c r="A771" s="186"/>
      <c r="B771" s="187"/>
    </row>
    <row r="772">
      <c r="A772" s="186"/>
      <c r="B772" s="187"/>
    </row>
    <row r="773">
      <c r="A773" s="186"/>
      <c r="B773" s="187"/>
    </row>
    <row r="774">
      <c r="A774" s="186"/>
      <c r="B774" s="187"/>
    </row>
    <row r="775">
      <c r="A775" s="186"/>
      <c r="B775" s="187"/>
    </row>
    <row r="776">
      <c r="A776" s="186"/>
      <c r="B776" s="187"/>
    </row>
    <row r="777">
      <c r="A777" s="186"/>
      <c r="B777" s="187"/>
    </row>
    <row r="778">
      <c r="A778" s="186"/>
      <c r="B778" s="187"/>
    </row>
    <row r="779">
      <c r="A779" s="186"/>
      <c r="B779" s="187"/>
    </row>
    <row r="780">
      <c r="A780" s="186"/>
      <c r="B780" s="187"/>
    </row>
    <row r="781">
      <c r="A781" s="186"/>
      <c r="B781" s="187"/>
    </row>
    <row r="782">
      <c r="A782" s="186"/>
      <c r="B782" s="187"/>
    </row>
    <row r="783">
      <c r="A783" s="186"/>
      <c r="B783" s="187"/>
    </row>
    <row r="784">
      <c r="A784" s="186"/>
      <c r="B784" s="187"/>
    </row>
    <row r="785">
      <c r="A785" s="186"/>
      <c r="B785" s="187"/>
    </row>
    <row r="786">
      <c r="A786" s="186"/>
      <c r="B786" s="187"/>
    </row>
    <row r="787">
      <c r="A787" s="186"/>
      <c r="B787" s="187"/>
    </row>
    <row r="788">
      <c r="A788" s="186"/>
      <c r="B788" s="187"/>
    </row>
    <row r="789">
      <c r="A789" s="186"/>
      <c r="B789" s="187"/>
    </row>
    <row r="790">
      <c r="A790" s="186"/>
      <c r="B790" s="187"/>
    </row>
    <row r="791">
      <c r="A791" s="186"/>
      <c r="B791" s="187"/>
    </row>
    <row r="792">
      <c r="A792" s="186"/>
      <c r="B792" s="187"/>
    </row>
    <row r="793">
      <c r="A793" s="186"/>
      <c r="B793" s="187"/>
    </row>
    <row r="794">
      <c r="A794" s="186"/>
      <c r="B794" s="187"/>
    </row>
    <row r="795">
      <c r="A795" s="186"/>
      <c r="B795" s="187"/>
    </row>
    <row r="796">
      <c r="A796" s="186"/>
      <c r="B796" s="187"/>
    </row>
    <row r="797">
      <c r="A797" s="186"/>
      <c r="B797" s="187"/>
    </row>
    <row r="798">
      <c r="A798" s="186"/>
      <c r="B798" s="187"/>
    </row>
    <row r="799">
      <c r="A799" s="186"/>
      <c r="B799" s="187"/>
    </row>
    <row r="800">
      <c r="A800" s="186"/>
      <c r="B800" s="187"/>
    </row>
    <row r="801">
      <c r="A801" s="186"/>
      <c r="B801" s="187"/>
    </row>
    <row r="802">
      <c r="A802" s="186"/>
      <c r="B802" s="187"/>
    </row>
    <row r="803">
      <c r="A803" s="186"/>
      <c r="B803" s="187"/>
    </row>
    <row r="804">
      <c r="A804" s="186"/>
      <c r="B804" s="187"/>
    </row>
    <row r="805">
      <c r="A805" s="186"/>
      <c r="B805" s="187"/>
    </row>
    <row r="806">
      <c r="A806" s="186"/>
      <c r="B806" s="187"/>
    </row>
    <row r="807">
      <c r="A807" s="186"/>
      <c r="B807" s="187"/>
    </row>
    <row r="808">
      <c r="A808" s="186"/>
      <c r="B808" s="187"/>
    </row>
    <row r="809">
      <c r="A809" s="186"/>
      <c r="B809" s="187"/>
    </row>
    <row r="810">
      <c r="A810" s="186"/>
      <c r="B810" s="187"/>
    </row>
    <row r="811">
      <c r="A811" s="186"/>
      <c r="B811" s="187"/>
    </row>
    <row r="812">
      <c r="A812" s="186"/>
      <c r="B812" s="187"/>
    </row>
    <row r="813">
      <c r="A813" s="186"/>
      <c r="B813" s="187"/>
    </row>
    <row r="814">
      <c r="A814" s="186"/>
      <c r="B814" s="187"/>
    </row>
    <row r="815">
      <c r="A815" s="186"/>
      <c r="B815" s="187"/>
    </row>
    <row r="816">
      <c r="A816" s="186"/>
      <c r="B816" s="187"/>
    </row>
    <row r="817">
      <c r="A817" s="186"/>
      <c r="B817" s="187"/>
    </row>
    <row r="818">
      <c r="A818" s="186"/>
      <c r="B818" s="187"/>
    </row>
    <row r="819">
      <c r="A819" s="186"/>
      <c r="B819" s="187"/>
    </row>
    <row r="820">
      <c r="A820" s="186"/>
      <c r="B820" s="187"/>
    </row>
    <row r="821">
      <c r="A821" s="186"/>
      <c r="B821" s="187"/>
    </row>
    <row r="822">
      <c r="A822" s="186"/>
      <c r="B822" s="187"/>
    </row>
    <row r="823">
      <c r="A823" s="186"/>
      <c r="B823" s="187"/>
    </row>
    <row r="824">
      <c r="A824" s="186"/>
      <c r="B824" s="187"/>
    </row>
    <row r="825">
      <c r="A825" s="186"/>
      <c r="B825" s="187"/>
    </row>
    <row r="826">
      <c r="A826" s="186"/>
      <c r="B826" s="187"/>
    </row>
    <row r="827">
      <c r="A827" s="186"/>
      <c r="B827" s="187"/>
    </row>
    <row r="828">
      <c r="A828" s="186"/>
      <c r="B828" s="187"/>
    </row>
    <row r="829">
      <c r="A829" s="186"/>
      <c r="B829" s="187"/>
    </row>
    <row r="830">
      <c r="A830" s="186"/>
      <c r="B830" s="187"/>
    </row>
    <row r="831">
      <c r="A831" s="186"/>
      <c r="B831" s="187"/>
    </row>
    <row r="832">
      <c r="A832" s="186"/>
      <c r="B832" s="187"/>
    </row>
    <row r="833">
      <c r="A833" s="186"/>
      <c r="B833" s="187"/>
    </row>
    <row r="834">
      <c r="A834" s="186"/>
      <c r="B834" s="187"/>
    </row>
    <row r="835">
      <c r="A835" s="186"/>
      <c r="B835" s="187"/>
    </row>
    <row r="836">
      <c r="A836" s="186"/>
      <c r="B836" s="187"/>
    </row>
    <row r="837">
      <c r="A837" s="186"/>
      <c r="B837" s="187"/>
    </row>
    <row r="838">
      <c r="A838" s="186"/>
      <c r="B838" s="187"/>
    </row>
    <row r="839">
      <c r="A839" s="186"/>
      <c r="B839" s="187"/>
    </row>
    <row r="840">
      <c r="A840" s="186"/>
      <c r="B840" s="187"/>
    </row>
    <row r="841">
      <c r="A841" s="186"/>
      <c r="B841" s="187"/>
    </row>
    <row r="842">
      <c r="A842" s="186"/>
      <c r="B842" s="187"/>
    </row>
    <row r="843">
      <c r="A843" s="186"/>
      <c r="B843" s="187"/>
    </row>
    <row r="844">
      <c r="A844" s="186"/>
      <c r="B844" s="187"/>
    </row>
    <row r="845">
      <c r="A845" s="186"/>
      <c r="B845" s="187"/>
    </row>
    <row r="846">
      <c r="A846" s="186"/>
      <c r="B846" s="187"/>
    </row>
    <row r="847">
      <c r="A847" s="186"/>
      <c r="B847" s="187"/>
    </row>
    <row r="848">
      <c r="A848" s="186"/>
      <c r="B848" s="187"/>
    </row>
    <row r="849">
      <c r="A849" s="186"/>
      <c r="B849" s="187"/>
    </row>
    <row r="850">
      <c r="A850" s="186"/>
      <c r="B850" s="187"/>
    </row>
    <row r="851">
      <c r="A851" s="186"/>
      <c r="B851" s="187"/>
    </row>
    <row r="852">
      <c r="A852" s="186"/>
      <c r="B852" s="187"/>
    </row>
    <row r="853">
      <c r="A853" s="186"/>
      <c r="B853" s="187"/>
    </row>
    <row r="854">
      <c r="A854" s="186"/>
      <c r="B854" s="187"/>
    </row>
    <row r="855">
      <c r="A855" s="186"/>
      <c r="B855" s="187"/>
    </row>
    <row r="856">
      <c r="A856" s="186"/>
      <c r="B856" s="187"/>
    </row>
    <row r="857">
      <c r="A857" s="186"/>
      <c r="B857" s="187"/>
    </row>
    <row r="858">
      <c r="A858" s="186"/>
      <c r="B858" s="187"/>
    </row>
    <row r="859">
      <c r="A859" s="186"/>
      <c r="B859" s="187"/>
    </row>
    <row r="860">
      <c r="A860" s="186"/>
      <c r="B860" s="187"/>
    </row>
    <row r="861">
      <c r="A861" s="186"/>
      <c r="B861" s="187"/>
    </row>
    <row r="862">
      <c r="A862" s="186"/>
      <c r="B862" s="187"/>
    </row>
    <row r="863">
      <c r="A863" s="186"/>
      <c r="B863" s="187"/>
    </row>
    <row r="864">
      <c r="A864" s="186"/>
      <c r="B864" s="187"/>
    </row>
    <row r="865">
      <c r="A865" s="186"/>
      <c r="B865" s="187"/>
    </row>
    <row r="866">
      <c r="A866" s="186"/>
      <c r="B866" s="187"/>
    </row>
    <row r="867">
      <c r="A867" s="186"/>
      <c r="B867" s="187"/>
    </row>
    <row r="868">
      <c r="A868" s="186"/>
      <c r="B868" s="187"/>
    </row>
    <row r="869">
      <c r="A869" s="186"/>
      <c r="B869" s="187"/>
    </row>
    <row r="870">
      <c r="A870" s="186"/>
      <c r="B870" s="187"/>
    </row>
    <row r="871">
      <c r="A871" s="186"/>
      <c r="B871" s="187"/>
    </row>
    <row r="872">
      <c r="A872" s="186"/>
      <c r="B872" s="187"/>
    </row>
    <row r="873">
      <c r="A873" s="186"/>
      <c r="B873" s="187"/>
    </row>
    <row r="874">
      <c r="A874" s="186"/>
      <c r="B874" s="187"/>
    </row>
    <row r="875">
      <c r="A875" s="186"/>
      <c r="B875" s="187"/>
    </row>
    <row r="876">
      <c r="A876" s="186"/>
      <c r="B876" s="187"/>
    </row>
    <row r="877">
      <c r="A877" s="186"/>
      <c r="B877" s="187"/>
    </row>
    <row r="878">
      <c r="A878" s="186"/>
      <c r="B878" s="187"/>
    </row>
    <row r="879">
      <c r="A879" s="186"/>
      <c r="B879" s="187"/>
    </row>
    <row r="880">
      <c r="A880" s="186"/>
      <c r="B880" s="187"/>
    </row>
    <row r="881">
      <c r="A881" s="186"/>
      <c r="B881" s="187"/>
    </row>
    <row r="882">
      <c r="A882" s="186"/>
      <c r="B882" s="187"/>
    </row>
    <row r="883">
      <c r="A883" s="186"/>
      <c r="B883" s="187"/>
    </row>
    <row r="884">
      <c r="A884" s="186"/>
      <c r="B884" s="187"/>
    </row>
    <row r="885">
      <c r="A885" s="186"/>
      <c r="B885" s="187"/>
    </row>
    <row r="886">
      <c r="A886" s="186"/>
      <c r="B886" s="187"/>
    </row>
    <row r="887">
      <c r="A887" s="186"/>
      <c r="B887" s="187"/>
    </row>
    <row r="888">
      <c r="A888" s="186"/>
      <c r="B888" s="187"/>
    </row>
    <row r="889">
      <c r="A889" s="186"/>
      <c r="B889" s="187"/>
    </row>
    <row r="890">
      <c r="A890" s="186"/>
      <c r="B890" s="187"/>
    </row>
    <row r="891">
      <c r="A891" s="186"/>
      <c r="B891" s="187"/>
    </row>
    <row r="892">
      <c r="A892" s="186"/>
      <c r="B892" s="187"/>
    </row>
    <row r="893">
      <c r="A893" s="186"/>
      <c r="B893" s="187"/>
    </row>
    <row r="894">
      <c r="A894" s="186"/>
      <c r="B894" s="187"/>
    </row>
    <row r="895">
      <c r="A895" s="186"/>
      <c r="B895" s="187"/>
    </row>
    <row r="896">
      <c r="A896" s="186"/>
      <c r="B896" s="187"/>
    </row>
    <row r="897">
      <c r="A897" s="186"/>
      <c r="B897" s="187"/>
    </row>
    <row r="898">
      <c r="A898" s="186"/>
      <c r="B898" s="187"/>
    </row>
    <row r="899">
      <c r="A899" s="186"/>
      <c r="B899" s="187"/>
    </row>
    <row r="900">
      <c r="A900" s="186"/>
      <c r="B900" s="187"/>
    </row>
    <row r="901">
      <c r="A901" s="186"/>
      <c r="B901" s="187"/>
    </row>
    <row r="902">
      <c r="A902" s="186"/>
      <c r="B902" s="187"/>
    </row>
    <row r="903">
      <c r="A903" s="186"/>
      <c r="B903" s="187"/>
    </row>
    <row r="904">
      <c r="A904" s="186"/>
      <c r="B904" s="187"/>
    </row>
    <row r="905">
      <c r="A905" s="186"/>
      <c r="B905" s="187"/>
    </row>
    <row r="906">
      <c r="A906" s="186"/>
      <c r="B906" s="187"/>
    </row>
    <row r="907">
      <c r="A907" s="186"/>
      <c r="B907" s="187"/>
    </row>
    <row r="908">
      <c r="A908" s="186"/>
      <c r="B908" s="187"/>
    </row>
    <row r="909">
      <c r="A909" s="186"/>
      <c r="B909" s="187"/>
    </row>
    <row r="910">
      <c r="A910" s="186"/>
      <c r="B910" s="187"/>
    </row>
    <row r="911">
      <c r="A911" s="186"/>
      <c r="B911" s="187"/>
    </row>
    <row r="912">
      <c r="A912" s="186"/>
      <c r="B912" s="187"/>
    </row>
    <row r="913">
      <c r="A913" s="186"/>
      <c r="B913" s="187"/>
    </row>
    <row r="914">
      <c r="A914" s="186"/>
      <c r="B914" s="187"/>
    </row>
    <row r="915">
      <c r="A915" s="186"/>
      <c r="B915" s="187"/>
    </row>
    <row r="916">
      <c r="A916" s="186"/>
      <c r="B916" s="187"/>
    </row>
    <row r="917">
      <c r="A917" s="186"/>
      <c r="B917" s="187"/>
    </row>
    <row r="918">
      <c r="A918" s="186"/>
      <c r="B918" s="187"/>
    </row>
    <row r="919">
      <c r="A919" s="186"/>
      <c r="B919" s="187"/>
    </row>
    <row r="920">
      <c r="A920" s="186"/>
      <c r="B920" s="187"/>
    </row>
    <row r="921">
      <c r="A921" s="186"/>
      <c r="B921" s="187"/>
    </row>
    <row r="922">
      <c r="A922" s="186"/>
      <c r="B922" s="187"/>
    </row>
    <row r="923">
      <c r="A923" s="186"/>
      <c r="B923" s="187"/>
    </row>
    <row r="924">
      <c r="A924" s="186"/>
      <c r="B924" s="187"/>
    </row>
    <row r="925">
      <c r="A925" s="186"/>
      <c r="B925" s="187"/>
    </row>
    <row r="926">
      <c r="A926" s="186"/>
      <c r="B926" s="187"/>
    </row>
    <row r="927">
      <c r="A927" s="186"/>
      <c r="B927" s="187"/>
    </row>
    <row r="928">
      <c r="A928" s="186"/>
      <c r="B928" s="187"/>
    </row>
    <row r="929">
      <c r="A929" s="186"/>
      <c r="B929" s="187"/>
    </row>
    <row r="930">
      <c r="A930" s="186"/>
      <c r="B930" s="187"/>
    </row>
    <row r="931">
      <c r="A931" s="186"/>
      <c r="B931" s="187"/>
    </row>
    <row r="932">
      <c r="A932" s="186"/>
      <c r="B932" s="187"/>
    </row>
    <row r="933">
      <c r="A933" s="186"/>
      <c r="B933" s="187"/>
    </row>
    <row r="934">
      <c r="A934" s="186"/>
      <c r="B934" s="187"/>
    </row>
    <row r="935">
      <c r="A935" s="186"/>
      <c r="B935" s="187"/>
    </row>
    <row r="936">
      <c r="A936" s="186"/>
      <c r="B936" s="187"/>
    </row>
    <row r="937">
      <c r="A937" s="186"/>
      <c r="B937" s="187"/>
    </row>
    <row r="938">
      <c r="A938" s="186"/>
      <c r="B938" s="187"/>
    </row>
    <row r="939">
      <c r="A939" s="186"/>
      <c r="B939" s="187"/>
    </row>
    <row r="940">
      <c r="A940" s="186"/>
      <c r="B940" s="187"/>
    </row>
    <row r="941">
      <c r="A941" s="186"/>
      <c r="B941" s="187"/>
    </row>
    <row r="942">
      <c r="A942" s="186"/>
      <c r="B942" s="187"/>
    </row>
    <row r="943">
      <c r="A943" s="186"/>
      <c r="B943" s="187"/>
    </row>
    <row r="944">
      <c r="A944" s="186"/>
      <c r="B944" s="187"/>
    </row>
    <row r="945">
      <c r="A945" s="186"/>
      <c r="B945" s="187"/>
    </row>
    <row r="946">
      <c r="A946" s="186"/>
      <c r="B946" s="187"/>
    </row>
    <row r="947">
      <c r="A947" s="186"/>
      <c r="B947" s="187"/>
    </row>
    <row r="948">
      <c r="A948" s="186"/>
      <c r="B948" s="187"/>
    </row>
    <row r="949">
      <c r="A949" s="186"/>
      <c r="B949" s="187"/>
    </row>
    <row r="950">
      <c r="A950" s="186"/>
      <c r="B950" s="187"/>
    </row>
    <row r="951">
      <c r="A951" s="186"/>
      <c r="B951" s="187"/>
    </row>
    <row r="952">
      <c r="A952" s="186"/>
      <c r="B952" s="187"/>
    </row>
    <row r="953">
      <c r="A953" s="186"/>
      <c r="B953" s="187"/>
    </row>
    <row r="954">
      <c r="A954" s="186"/>
      <c r="B954" s="187"/>
    </row>
    <row r="955">
      <c r="A955" s="186"/>
      <c r="B955" s="187"/>
    </row>
    <row r="956">
      <c r="A956" s="186"/>
      <c r="B956" s="187"/>
    </row>
    <row r="957">
      <c r="A957" s="186"/>
      <c r="B957" s="187"/>
    </row>
    <row r="958">
      <c r="A958" s="186"/>
      <c r="B958" s="187"/>
    </row>
    <row r="959">
      <c r="A959" s="186"/>
      <c r="B959" s="187"/>
    </row>
    <row r="960">
      <c r="A960" s="186"/>
      <c r="B960" s="187"/>
    </row>
    <row r="961">
      <c r="A961" s="186"/>
      <c r="B961" s="187"/>
    </row>
    <row r="962">
      <c r="A962" s="186"/>
      <c r="B962" s="187"/>
    </row>
    <row r="963">
      <c r="A963" s="186"/>
      <c r="B963" s="187"/>
    </row>
    <row r="964">
      <c r="A964" s="186"/>
      <c r="B964" s="187"/>
    </row>
    <row r="965">
      <c r="A965" s="186"/>
      <c r="B965" s="187"/>
    </row>
    <row r="966">
      <c r="A966" s="186"/>
      <c r="B966" s="187"/>
    </row>
    <row r="967">
      <c r="A967" s="186"/>
      <c r="B967" s="187"/>
    </row>
    <row r="968">
      <c r="A968" s="186"/>
      <c r="B968" s="187"/>
    </row>
    <row r="969">
      <c r="A969" s="186"/>
      <c r="B969" s="187"/>
    </row>
    <row r="970">
      <c r="A970" s="186"/>
      <c r="B970" s="187"/>
    </row>
    <row r="971">
      <c r="A971" s="186"/>
      <c r="B971" s="187"/>
    </row>
    <row r="972">
      <c r="A972" s="186"/>
      <c r="B972" s="187"/>
    </row>
    <row r="973">
      <c r="A973" s="186"/>
      <c r="B973" s="187"/>
    </row>
    <row r="974">
      <c r="A974" s="186"/>
      <c r="B974" s="187"/>
    </row>
    <row r="975">
      <c r="A975" s="186"/>
      <c r="B975" s="187"/>
    </row>
    <row r="976">
      <c r="A976" s="186"/>
      <c r="B976" s="187"/>
    </row>
    <row r="977">
      <c r="A977" s="186"/>
      <c r="B977" s="187"/>
    </row>
    <row r="978">
      <c r="A978" s="186"/>
      <c r="B978" s="187"/>
    </row>
    <row r="979">
      <c r="A979" s="186"/>
      <c r="B979" s="187"/>
    </row>
    <row r="980">
      <c r="A980" s="186"/>
      <c r="B980" s="187"/>
    </row>
    <row r="981">
      <c r="A981" s="186"/>
      <c r="B981" s="187"/>
    </row>
    <row r="982">
      <c r="A982" s="186"/>
      <c r="B982" s="187"/>
    </row>
    <row r="983">
      <c r="A983" s="186"/>
      <c r="B983" s="187"/>
    </row>
    <row r="984">
      <c r="A984" s="186"/>
      <c r="B984" s="187"/>
    </row>
    <row r="985">
      <c r="A985" s="186"/>
      <c r="B985" s="187"/>
    </row>
    <row r="986">
      <c r="A986" s="186"/>
      <c r="B986" s="187"/>
    </row>
    <row r="987">
      <c r="A987" s="186"/>
      <c r="B987" s="187"/>
    </row>
    <row r="988">
      <c r="A988" s="186"/>
      <c r="B988" s="187"/>
    </row>
    <row r="989">
      <c r="A989" s="186"/>
      <c r="B989" s="187"/>
    </row>
    <row r="990">
      <c r="A990" s="186"/>
      <c r="B990" s="187"/>
    </row>
    <row r="991">
      <c r="A991" s="186"/>
      <c r="B991" s="187"/>
    </row>
    <row r="992">
      <c r="A992" s="186"/>
      <c r="B992" s="187"/>
    </row>
    <row r="993">
      <c r="A993" s="186"/>
      <c r="B993" s="187"/>
    </row>
    <row r="994">
      <c r="A994" s="186"/>
      <c r="B994" s="187"/>
    </row>
    <row r="995">
      <c r="A995" s="186"/>
      <c r="B995" s="187"/>
    </row>
    <row r="996">
      <c r="A996" s="186"/>
      <c r="B996" s="187"/>
    </row>
    <row r="997">
      <c r="A997" s="186"/>
      <c r="B997" s="187"/>
    </row>
    <row r="998">
      <c r="A998" s="186"/>
      <c r="B998" s="187"/>
    </row>
    <row r="999">
      <c r="A999" s="186"/>
      <c r="B999" s="187"/>
    </row>
    <row r="1000">
      <c r="A1000" s="186"/>
      <c r="B1000" s="18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9.11"/>
    <col customWidth="1" min="2" max="7" width="15.33"/>
    <col customWidth="1" min="8" max="8" width="21.22"/>
  </cols>
  <sheetData>
    <row r="1" ht="36.0" customHeight="1">
      <c r="A1" s="189"/>
      <c r="B1" s="190"/>
      <c r="C1" s="190"/>
      <c r="D1" s="190"/>
      <c r="E1" s="190"/>
      <c r="F1" s="190"/>
      <c r="G1" s="190"/>
      <c r="H1" s="191"/>
    </row>
    <row r="2" ht="36.0" customHeight="1">
      <c r="A2" s="192"/>
      <c r="B2" s="193"/>
      <c r="C2" s="194"/>
      <c r="D2" s="194"/>
      <c r="E2" s="195"/>
      <c r="F2" s="195"/>
      <c r="G2" s="195"/>
      <c r="H2" s="196"/>
    </row>
    <row r="3" ht="24.0" customHeight="1">
      <c r="A3" s="8"/>
      <c r="B3" s="197"/>
      <c r="C3" s="197"/>
      <c r="D3" s="197"/>
      <c r="E3" s="197"/>
      <c r="F3" s="197"/>
      <c r="G3" s="197"/>
      <c r="H3" s="198"/>
    </row>
    <row r="4" ht="36.0" customHeight="1">
      <c r="A4" s="11" t="s">
        <v>1</v>
      </c>
      <c r="B4" s="199" t="s">
        <v>2</v>
      </c>
      <c r="C4" s="200"/>
      <c r="D4" s="200" t="s">
        <v>3</v>
      </c>
      <c r="E4" s="200" t="s">
        <v>5</v>
      </c>
      <c r="F4" s="200" t="s">
        <v>6</v>
      </c>
      <c r="G4" s="200" t="s">
        <v>7</v>
      </c>
      <c r="H4" s="200" t="s">
        <v>8</v>
      </c>
    </row>
    <row r="5" ht="18.0" customHeight="1">
      <c r="A5" s="13"/>
      <c r="B5" s="201"/>
      <c r="C5" s="202" t="s">
        <v>43</v>
      </c>
      <c r="D5" s="201"/>
      <c r="E5" s="201"/>
      <c r="F5" s="201"/>
      <c r="G5" s="201"/>
    </row>
    <row r="6" ht="30.0" customHeight="1">
      <c r="A6" s="203" t="s">
        <v>31</v>
      </c>
      <c r="B6" s="204"/>
      <c r="C6" s="205"/>
      <c r="D6" s="206"/>
      <c r="E6" s="207"/>
      <c r="F6" s="204"/>
      <c r="G6" s="208"/>
      <c r="H6" s="206"/>
    </row>
    <row r="7" ht="30.0" customHeight="1">
      <c r="A7" s="203" t="s">
        <v>9</v>
      </c>
      <c r="B7" s="204"/>
      <c r="C7" s="205"/>
      <c r="D7" s="206"/>
      <c r="E7" s="207"/>
      <c r="F7" s="204"/>
      <c r="G7" s="208"/>
      <c r="H7" s="206"/>
    </row>
    <row r="8" ht="30.0" customHeight="1">
      <c r="A8" s="203" t="s">
        <v>21</v>
      </c>
      <c r="B8" s="204"/>
      <c r="C8" s="205"/>
      <c r="D8" s="206"/>
      <c r="E8" s="207"/>
      <c r="F8" s="204"/>
      <c r="G8" s="208"/>
      <c r="H8" s="206"/>
    </row>
    <row r="9" ht="30.0" customHeight="1">
      <c r="A9" s="203" t="s">
        <v>35</v>
      </c>
      <c r="B9" s="204">
        <v>2750.0</v>
      </c>
      <c r="C9" s="205">
        <f>SUM('الحظور'!LO6:MR6)</f>
        <v>0</v>
      </c>
      <c r="D9" s="206">
        <f>(B9)*C9</f>
        <v>0</v>
      </c>
      <c r="E9" s="207">
        <v>0.0</v>
      </c>
      <c r="F9" s="204">
        <f>'السلف و الغرامات'!C9</f>
        <v>50000</v>
      </c>
      <c r="G9" s="208">
        <v>0.0</v>
      </c>
      <c r="H9" s="206">
        <f>(B9)*C9+E9-F9-G9</f>
        <v>-50000</v>
      </c>
    </row>
    <row r="10" ht="30.0" customHeight="1">
      <c r="A10" s="209" t="s">
        <v>12</v>
      </c>
      <c r="B10" s="204"/>
      <c r="C10" s="205"/>
      <c r="D10" s="206"/>
      <c r="E10" s="207"/>
      <c r="F10" s="204"/>
      <c r="G10" s="208"/>
      <c r="H10" s="206"/>
    </row>
    <row r="11" ht="30.0" customHeight="1">
      <c r="A11" s="203" t="s">
        <v>37</v>
      </c>
      <c r="B11" s="204"/>
      <c r="C11" s="205"/>
      <c r="D11" s="206"/>
      <c r="E11" s="207"/>
      <c r="F11" s="204"/>
      <c r="G11" s="208"/>
      <c r="H11" s="206"/>
    </row>
    <row r="12" ht="30.0" customHeight="1">
      <c r="A12" s="203" t="s">
        <v>14</v>
      </c>
      <c r="B12" s="204"/>
      <c r="C12" s="205"/>
      <c r="D12" s="206"/>
      <c r="E12" s="207"/>
      <c r="F12" s="204"/>
      <c r="G12" s="208"/>
      <c r="H12" s="206"/>
    </row>
    <row r="13" ht="30.0" customHeight="1">
      <c r="A13" s="203" t="s">
        <v>39</v>
      </c>
      <c r="B13" s="204"/>
      <c r="C13" s="205"/>
      <c r="D13" s="206"/>
      <c r="E13" s="207"/>
      <c r="F13" s="204"/>
      <c r="G13" s="208"/>
      <c r="H13" s="206"/>
    </row>
    <row r="14" ht="30.0" hidden="1" customHeight="1">
      <c r="A14" s="203" t="s">
        <v>10</v>
      </c>
      <c r="B14" s="204"/>
      <c r="C14" s="205"/>
      <c r="D14" s="206"/>
      <c r="E14" s="207"/>
      <c r="F14" s="204"/>
      <c r="G14" s="208"/>
      <c r="H14" s="206"/>
    </row>
    <row r="15" ht="30.0" customHeight="1">
      <c r="A15" s="203" t="s">
        <v>24</v>
      </c>
      <c r="B15" s="204"/>
      <c r="C15" s="205"/>
      <c r="D15" s="206"/>
      <c r="E15" s="207"/>
      <c r="F15" s="204"/>
      <c r="G15" s="208"/>
      <c r="H15" s="206"/>
    </row>
    <row r="16" ht="30.0" customHeight="1">
      <c r="A16" s="210" t="s">
        <v>40</v>
      </c>
      <c r="B16" s="204"/>
      <c r="C16" s="205"/>
      <c r="D16" s="206"/>
      <c r="E16" s="207"/>
      <c r="F16" s="204"/>
      <c r="G16" s="208"/>
      <c r="H16" s="206"/>
    </row>
    <row r="17" ht="30.0" hidden="1" customHeight="1">
      <c r="A17" s="211" t="s">
        <v>44</v>
      </c>
      <c r="B17" s="212">
        <v>1750.0</v>
      </c>
      <c r="C17" s="205" t="str">
        <f>SUM(#REF!)</f>
        <v>#REF!</v>
      </c>
      <c r="D17" s="212" t="str">
        <f>(B17)*C17</f>
        <v>#REF!</v>
      </c>
      <c r="E17" s="207">
        <v>0.0</v>
      </c>
      <c r="F17" s="213" t="str">
        <f>#REF!</f>
        <v>#REF!</v>
      </c>
      <c r="G17" s="214">
        <v>0.0</v>
      </c>
      <c r="H17" s="215" t="str">
        <f>(B17)*C17+E17-F17-G17</f>
        <v>#REF!</v>
      </c>
    </row>
    <row r="18" ht="19.5" customHeight="1">
      <c r="A18" s="216"/>
      <c r="B18" s="217"/>
      <c r="C18" s="218"/>
      <c r="D18" s="219"/>
      <c r="E18" s="217"/>
      <c r="F18" s="217"/>
      <c r="G18" s="220"/>
      <c r="H18" s="219"/>
    </row>
    <row r="19" ht="19.5" customHeight="1">
      <c r="A19" s="216"/>
      <c r="B19" s="217"/>
      <c r="C19" s="218"/>
      <c r="D19" s="219"/>
      <c r="E19" s="217"/>
      <c r="F19" s="217"/>
      <c r="G19" s="220"/>
      <c r="H19" s="219"/>
    </row>
    <row r="20" ht="19.5" customHeight="1">
      <c r="A20" s="216"/>
      <c r="B20" s="217"/>
      <c r="C20" s="218"/>
      <c r="D20" s="219"/>
      <c r="E20" s="217"/>
      <c r="F20" s="217"/>
      <c r="G20" s="220"/>
      <c r="H20" s="219"/>
    </row>
  </sheetData>
  <conditionalFormatting sqref="A1:B2">
    <cfRule type="notContainsBlanks" dxfId="6" priority="1">
      <formula>LEN(TRIM(A1))&gt;0</formula>
    </cfRule>
  </conditionalFormatting>
  <conditionalFormatting sqref="H1:H20">
    <cfRule type="cellIs" dxfId="8" priority="2" operator="lessThan">
      <formula>0</formula>
    </cfRule>
  </conditionalFormatting>
  <conditionalFormatting sqref="H1:H20">
    <cfRule type="cellIs" dxfId="9" priority="3" operator="greaterThanOrEqual">
      <formula>500000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14.44"/>
    <col customWidth="1" min="2" max="2" width="9.56"/>
    <col customWidth="1" min="3" max="3" width="7.22"/>
    <col customWidth="1" min="7" max="7" width="14.67"/>
    <col customWidth="1" min="8" max="8" width="16.44"/>
    <col customWidth="1" min="9" max="9" width="4.22"/>
  </cols>
  <sheetData>
    <row r="1" ht="26.25" hidden="1" customHeight="1">
      <c r="A1" s="189"/>
      <c r="B1" s="190"/>
      <c r="C1" s="190"/>
      <c r="D1" s="190"/>
      <c r="E1" s="190"/>
      <c r="F1" s="190"/>
      <c r="G1" s="190"/>
      <c r="H1" s="191"/>
    </row>
    <row r="2" ht="26.25" hidden="1" customHeight="1">
      <c r="A2" s="221"/>
      <c r="B2" s="195"/>
      <c r="C2" s="195"/>
      <c r="D2" s="195"/>
      <c r="E2" s="195"/>
      <c r="F2" s="195"/>
      <c r="G2" s="195"/>
      <c r="H2" s="196"/>
    </row>
    <row r="3" hidden="1">
      <c r="A3" s="8"/>
      <c r="B3" s="197"/>
      <c r="C3" s="197"/>
      <c r="D3" s="197"/>
      <c r="E3" s="197"/>
      <c r="F3" s="197"/>
      <c r="G3" s="197"/>
      <c r="H3" s="198"/>
    </row>
    <row r="4">
      <c r="A4" s="11" t="s">
        <v>1</v>
      </c>
      <c r="B4" s="199" t="s">
        <v>2</v>
      </c>
      <c r="C4" s="200"/>
      <c r="D4" s="200" t="s">
        <v>3</v>
      </c>
      <c r="E4" s="200" t="s">
        <v>5</v>
      </c>
      <c r="F4" s="200" t="s">
        <v>6</v>
      </c>
      <c r="G4" s="200" t="s">
        <v>7</v>
      </c>
      <c r="H4" s="200" t="s">
        <v>8</v>
      </c>
      <c r="I4" s="222"/>
    </row>
    <row r="5">
      <c r="A5" s="223"/>
      <c r="B5" s="224"/>
      <c r="C5" s="225" t="s">
        <v>43</v>
      </c>
      <c r="D5" s="224"/>
      <c r="E5" s="224"/>
      <c r="F5" s="224"/>
      <c r="G5" s="224"/>
      <c r="H5" s="226"/>
      <c r="I5" s="227"/>
    </row>
    <row r="6" ht="22.5" customHeight="1">
      <c r="A6" s="228" t="s">
        <v>31</v>
      </c>
      <c r="B6" s="229">
        <v>3000.0</v>
      </c>
      <c r="C6" s="230">
        <f>SUM('الحظور'!KI3:LM3)</f>
        <v>282.75</v>
      </c>
      <c r="D6" s="231">
        <f t="shared" ref="D6:D16" si="1">(B6)*C6</f>
        <v>848250</v>
      </c>
      <c r="E6" s="229">
        <v>9250.0</v>
      </c>
      <c r="F6" s="232">
        <f>SUM('السلف و الغرامات'!AI6:BL6)</f>
        <v>157500</v>
      </c>
      <c r="G6" s="232">
        <v>700000.0</v>
      </c>
      <c r="H6" s="231">
        <f t="shared" ref="H6:H16" si="2">(B6)*C6+E6-F6-G6</f>
        <v>0</v>
      </c>
      <c r="I6" s="233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</row>
    <row r="7" ht="22.5" customHeight="1">
      <c r="A7" s="228" t="s">
        <v>9</v>
      </c>
      <c r="B7" s="232">
        <v>3000.0</v>
      </c>
      <c r="C7" s="230">
        <f>SUM('الحظور'!KI4:LM4)</f>
        <v>260.5</v>
      </c>
      <c r="D7" s="235">
        <f t="shared" si="1"/>
        <v>781500</v>
      </c>
      <c r="E7" s="232">
        <v>0.0</v>
      </c>
      <c r="F7" s="232">
        <f>SUM('السلف و الغرامات'!AI7:BL7)</f>
        <v>342000</v>
      </c>
      <c r="G7" s="232">
        <v>439500.0</v>
      </c>
      <c r="H7" s="235">
        <f t="shared" si="2"/>
        <v>0</v>
      </c>
      <c r="I7" s="233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</row>
    <row r="8" ht="22.5" customHeight="1">
      <c r="A8" s="228" t="s">
        <v>21</v>
      </c>
      <c r="B8" s="229">
        <v>3000.0</v>
      </c>
      <c r="C8" s="230">
        <f>SUM('الحظور'!KI5:LM5)</f>
        <v>236</v>
      </c>
      <c r="D8" s="231">
        <f t="shared" si="1"/>
        <v>708000</v>
      </c>
      <c r="E8" s="229">
        <v>3000.0</v>
      </c>
      <c r="F8" s="232">
        <f>SUM('السلف و الغرامات'!AI8:BL8)</f>
        <v>405666</v>
      </c>
      <c r="G8" s="232">
        <v>305334.0</v>
      </c>
      <c r="H8" s="231">
        <f t="shared" si="2"/>
        <v>0</v>
      </c>
      <c r="I8" s="233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</row>
    <row r="9" ht="22.5" customHeight="1">
      <c r="A9" s="236" t="s">
        <v>35</v>
      </c>
      <c r="B9" s="237">
        <v>2750.0</v>
      </c>
      <c r="C9" s="238">
        <f>SUM('الحظور'!KI6:LM6)</f>
        <v>163</v>
      </c>
      <c r="D9" s="239">
        <f t="shared" si="1"/>
        <v>448250</v>
      </c>
      <c r="E9" s="237">
        <v>187000.0</v>
      </c>
      <c r="F9" s="240">
        <f>SUM('السلف و الغرامات'!AI9:BL9)</f>
        <v>395416</v>
      </c>
      <c r="G9" s="240">
        <v>239834.0</v>
      </c>
      <c r="H9" s="239">
        <f t="shared" si="2"/>
        <v>0</v>
      </c>
      <c r="I9" s="233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</row>
    <row r="10" ht="22.5" customHeight="1">
      <c r="A10" s="241" t="s">
        <v>12</v>
      </c>
      <c r="B10" s="242">
        <v>2500.0</v>
      </c>
      <c r="C10" s="243">
        <f>SUM('الحظور'!KI7:LM7)</f>
        <v>152.9</v>
      </c>
      <c r="D10" s="244">
        <f t="shared" si="1"/>
        <v>382250</v>
      </c>
      <c r="E10" s="242">
        <v>100000.0</v>
      </c>
      <c r="F10" s="245">
        <f>SUM('السلف و الغرامات'!AI10:BL10)</f>
        <v>117250</v>
      </c>
      <c r="G10" s="245">
        <v>365000.0</v>
      </c>
      <c r="H10" s="244">
        <f t="shared" si="2"/>
        <v>0</v>
      </c>
      <c r="I10" s="233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</row>
    <row r="11" ht="22.5" customHeight="1">
      <c r="A11" s="228" t="s">
        <v>37</v>
      </c>
      <c r="B11" s="229">
        <v>2500.0</v>
      </c>
      <c r="C11" s="230">
        <f>SUM('الحظور'!KI8:LM8)</f>
        <v>246.75</v>
      </c>
      <c r="D11" s="231">
        <f t="shared" si="1"/>
        <v>616875</v>
      </c>
      <c r="E11" s="229">
        <v>101000.0</v>
      </c>
      <c r="F11" s="232">
        <f>SUM('السلف و الغرامات'!AI11:BL11)</f>
        <v>681417</v>
      </c>
      <c r="G11" s="232">
        <v>150542.0</v>
      </c>
      <c r="H11" s="231">
        <f t="shared" si="2"/>
        <v>-114084</v>
      </c>
      <c r="I11" s="233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</row>
    <row r="12" ht="22.5" customHeight="1">
      <c r="A12" s="228" t="s">
        <v>14</v>
      </c>
      <c r="B12" s="229">
        <v>2500.0</v>
      </c>
      <c r="C12" s="230">
        <f>SUM('الحظور'!KI9:LM9)</f>
        <v>251.25</v>
      </c>
      <c r="D12" s="231">
        <f t="shared" si="1"/>
        <v>628125</v>
      </c>
      <c r="E12" s="229">
        <v>0.0</v>
      </c>
      <c r="F12" s="232">
        <f>SUM('السلف و الغرامات'!AI12:BL12)</f>
        <v>682000</v>
      </c>
      <c r="G12" s="232">
        <v>0.0</v>
      </c>
      <c r="H12" s="231">
        <f t="shared" si="2"/>
        <v>-53875</v>
      </c>
      <c r="I12" s="233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</row>
    <row r="13" ht="22.5" customHeight="1">
      <c r="A13" s="228" t="s">
        <v>39</v>
      </c>
      <c r="B13" s="229">
        <v>2250.0</v>
      </c>
      <c r="C13" s="230">
        <f>SUM('الحظور'!KI10:LM10)</f>
        <v>273.7</v>
      </c>
      <c r="D13" s="231">
        <f t="shared" si="1"/>
        <v>615825</v>
      </c>
      <c r="E13" s="229">
        <v>2591.0</v>
      </c>
      <c r="F13" s="232">
        <f>SUM('السلف و الغرامات'!AI13:BL13)</f>
        <v>358416</v>
      </c>
      <c r="G13" s="232">
        <v>260000.0</v>
      </c>
      <c r="H13" s="231">
        <f t="shared" si="2"/>
        <v>0</v>
      </c>
      <c r="I13" s="233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</row>
    <row r="14" ht="22.5" hidden="1" customHeight="1">
      <c r="A14" s="228" t="s">
        <v>10</v>
      </c>
      <c r="B14" s="229">
        <v>2000.0</v>
      </c>
      <c r="C14" s="230" t="str">
        <f>SUM(#REF!)</f>
        <v>#REF!</v>
      </c>
      <c r="D14" s="231" t="str">
        <f t="shared" si="1"/>
        <v>#REF!</v>
      </c>
      <c r="E14" s="229">
        <v>6000.0</v>
      </c>
      <c r="F14" s="232" t="str">
        <f>SUM(#REF!)</f>
        <v>#REF!</v>
      </c>
      <c r="G14" s="232">
        <v>0.0</v>
      </c>
      <c r="H14" s="246" t="str">
        <f t="shared" si="2"/>
        <v>#REF!</v>
      </c>
      <c r="I14" s="233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 ht="22.5" customHeight="1">
      <c r="A15" s="228" t="s">
        <v>24</v>
      </c>
      <c r="B15" s="229">
        <v>2000.0</v>
      </c>
      <c r="C15" s="230">
        <f>SUM('الحظور'!KI11:LM11)</f>
        <v>220</v>
      </c>
      <c r="D15" s="231">
        <f t="shared" si="1"/>
        <v>440000</v>
      </c>
      <c r="E15" s="229">
        <v>0.0</v>
      </c>
      <c r="F15" s="232">
        <f>SUM('السلف و الغرامات'!AI14:BL14)</f>
        <v>172418</v>
      </c>
      <c r="G15" s="232">
        <v>267582.0</v>
      </c>
      <c r="H15" s="231">
        <f t="shared" si="2"/>
        <v>0</v>
      </c>
      <c r="I15" s="233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</row>
    <row r="16" ht="22.5" customHeight="1">
      <c r="A16" s="236" t="s">
        <v>40</v>
      </c>
      <c r="B16" s="237">
        <v>2000.0</v>
      </c>
      <c r="C16" s="238" t="str">
        <f>SUM(#REF!)</f>
        <v>#REF!</v>
      </c>
      <c r="D16" s="239" t="str">
        <f t="shared" si="1"/>
        <v>#REF!</v>
      </c>
      <c r="E16" s="237">
        <v>0.0</v>
      </c>
      <c r="F16" s="240">
        <f>SUM('السلف و الغرامات'!AI15:BL15)</f>
        <v>0</v>
      </c>
      <c r="G16" s="240">
        <v>346000.0</v>
      </c>
      <c r="H16" s="239" t="str">
        <f t="shared" si="2"/>
        <v>#REF!</v>
      </c>
      <c r="I16" s="233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</row>
    <row r="17">
      <c r="A17" s="227"/>
      <c r="B17" s="227"/>
      <c r="C17" s="227"/>
      <c r="D17" s="227"/>
      <c r="E17" s="227"/>
      <c r="F17" s="227"/>
      <c r="G17" s="227"/>
      <c r="H17" s="227"/>
      <c r="I17" s="227"/>
    </row>
  </sheetData>
  <conditionalFormatting sqref="A1:B2">
    <cfRule type="notContainsBlanks" dxfId="6" priority="1">
      <formula>LEN(TRIM(A1))&gt;0</formula>
    </cfRule>
  </conditionalFormatting>
  <conditionalFormatting sqref="H1:H16">
    <cfRule type="cellIs" dxfId="8" priority="2" operator="lessThan">
      <formula>0</formula>
    </cfRule>
  </conditionalFormatting>
  <conditionalFormatting sqref="H1:H16">
    <cfRule type="cellIs" dxfId="9" priority="3" operator="greaterThanOrEqual">
      <formula>500000</formula>
    </cfRule>
  </conditionalFormatting>
  <printOptions gridLines="1" horizontalCentered="1" verticalCentered="1"/>
  <pageMargins bottom="0.3950308576292829" footer="0.0" header="0.0" left="0.3950308576292829" right="0.4014734209725931" top="0.40380932113215584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75" outlineLevelRow="1"/>
  <cols>
    <col customWidth="1" min="1" max="1" width="1.89"/>
    <col customWidth="1" min="2" max="2" width="11.22"/>
    <col customWidth="1" min="3" max="3" width="12.33"/>
    <col customWidth="1" hidden="1" min="4" max="64" width="10.11"/>
    <col customWidth="1" min="65" max="183" width="10.11"/>
  </cols>
  <sheetData>
    <row r="1" ht="35.25" customHeight="1">
      <c r="A1" s="247"/>
      <c r="B1" s="248"/>
      <c r="C1" s="249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  <c r="DV1" s="250"/>
      <c r="DW1" s="250"/>
      <c r="DX1" s="250"/>
      <c r="DY1" s="250"/>
      <c r="DZ1" s="250"/>
      <c r="EA1" s="250"/>
      <c r="EB1" s="250"/>
      <c r="EC1" s="250"/>
      <c r="ED1" s="250"/>
      <c r="EE1" s="250"/>
      <c r="EF1" s="250"/>
      <c r="EG1" s="250"/>
      <c r="EH1" s="250"/>
      <c r="EI1" s="250"/>
      <c r="EJ1" s="250"/>
      <c r="EK1" s="250"/>
      <c r="EL1" s="250"/>
      <c r="EM1" s="250"/>
      <c r="EN1" s="250"/>
      <c r="EO1" s="250"/>
      <c r="EP1" s="250"/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250"/>
      <c r="FB1" s="250"/>
      <c r="FC1" s="250"/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N1" s="250"/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50"/>
      <c r="FZ1" s="250"/>
      <c r="GA1" s="250"/>
    </row>
    <row r="2" ht="26.25" customHeight="1">
      <c r="A2" s="251"/>
      <c r="B2" s="252"/>
      <c r="C2" s="253"/>
      <c r="D2" s="254">
        <v>45778.0</v>
      </c>
      <c r="E2" s="254">
        <v>45779.0</v>
      </c>
      <c r="F2" s="254">
        <v>45780.0</v>
      </c>
      <c r="G2" s="254">
        <v>45781.0</v>
      </c>
      <c r="H2" s="254">
        <v>45782.0</v>
      </c>
      <c r="I2" s="254">
        <v>45783.0</v>
      </c>
      <c r="J2" s="254">
        <v>45784.0</v>
      </c>
      <c r="K2" s="254">
        <v>45785.0</v>
      </c>
      <c r="L2" s="254">
        <v>45786.0</v>
      </c>
      <c r="M2" s="254">
        <v>45787.0</v>
      </c>
      <c r="N2" s="254">
        <v>45788.0</v>
      </c>
      <c r="O2" s="254">
        <v>45789.0</v>
      </c>
      <c r="P2" s="254">
        <v>45790.0</v>
      </c>
      <c r="Q2" s="254">
        <v>45791.0</v>
      </c>
      <c r="R2" s="254">
        <v>45792.0</v>
      </c>
      <c r="S2" s="254">
        <v>45793.0</v>
      </c>
      <c r="T2" s="254">
        <v>45794.0</v>
      </c>
      <c r="U2" s="254">
        <v>45795.0</v>
      </c>
      <c r="V2" s="254">
        <v>45796.0</v>
      </c>
      <c r="W2" s="254">
        <v>45797.0</v>
      </c>
      <c r="X2" s="254">
        <v>45798.0</v>
      </c>
      <c r="Y2" s="254">
        <v>45799.0</v>
      </c>
      <c r="Z2" s="254">
        <v>45800.0</v>
      </c>
      <c r="AA2" s="254">
        <v>45801.0</v>
      </c>
      <c r="AB2" s="254">
        <v>45802.0</v>
      </c>
      <c r="AC2" s="254">
        <v>45803.0</v>
      </c>
      <c r="AD2" s="254">
        <v>45804.0</v>
      </c>
      <c r="AE2" s="254">
        <v>45805.0</v>
      </c>
      <c r="AF2" s="254">
        <v>45806.0</v>
      </c>
      <c r="AG2" s="254">
        <v>45807.0</v>
      </c>
      <c r="AH2" s="254">
        <v>45808.0</v>
      </c>
      <c r="AI2" s="254">
        <v>45809.0</v>
      </c>
      <c r="AJ2" s="254">
        <v>45810.0</v>
      </c>
      <c r="AK2" s="254">
        <v>45811.0</v>
      </c>
      <c r="AL2" s="254">
        <v>45812.0</v>
      </c>
      <c r="AM2" s="254">
        <v>45813.0</v>
      </c>
      <c r="AN2" s="254">
        <v>45814.0</v>
      </c>
      <c r="AO2" s="254">
        <v>45815.0</v>
      </c>
      <c r="AP2" s="254">
        <v>45816.0</v>
      </c>
      <c r="AQ2" s="254">
        <v>45817.0</v>
      </c>
      <c r="AR2" s="254">
        <v>45818.0</v>
      </c>
      <c r="AS2" s="254">
        <v>45819.0</v>
      </c>
      <c r="AT2" s="254">
        <v>45820.0</v>
      </c>
      <c r="AU2" s="254">
        <v>45821.0</v>
      </c>
      <c r="AV2" s="254">
        <v>45822.0</v>
      </c>
      <c r="AW2" s="254">
        <v>45823.0</v>
      </c>
      <c r="AX2" s="254">
        <v>45824.0</v>
      </c>
      <c r="AY2" s="254">
        <v>45825.0</v>
      </c>
      <c r="AZ2" s="254">
        <v>45826.0</v>
      </c>
      <c r="BA2" s="254">
        <v>45827.0</v>
      </c>
      <c r="BB2" s="254">
        <v>45828.0</v>
      </c>
      <c r="BC2" s="254">
        <v>45829.0</v>
      </c>
      <c r="BD2" s="254">
        <v>45830.0</v>
      </c>
      <c r="BE2" s="254">
        <v>45831.0</v>
      </c>
      <c r="BF2" s="254">
        <v>45832.0</v>
      </c>
      <c r="BG2" s="254">
        <v>45833.0</v>
      </c>
      <c r="BH2" s="254">
        <v>45834.0</v>
      </c>
      <c r="BI2" s="254">
        <v>45835.0</v>
      </c>
      <c r="BJ2" s="254">
        <v>45836.0</v>
      </c>
      <c r="BK2" s="254">
        <v>45837.0</v>
      </c>
      <c r="BL2" s="254">
        <v>45838.0</v>
      </c>
      <c r="BM2" s="255" t="s">
        <v>45</v>
      </c>
      <c r="BN2" s="254">
        <v>45839.0</v>
      </c>
      <c r="BO2" s="254">
        <v>45840.0</v>
      </c>
      <c r="BP2" s="254">
        <v>45841.0</v>
      </c>
      <c r="BQ2" s="254">
        <v>45842.0</v>
      </c>
      <c r="BR2" s="254">
        <v>45843.0</v>
      </c>
      <c r="BS2" s="254">
        <v>45844.0</v>
      </c>
      <c r="BT2" s="254">
        <v>45845.0</v>
      </c>
      <c r="BU2" s="254">
        <v>45846.0</v>
      </c>
      <c r="BV2" s="254">
        <v>45847.0</v>
      </c>
      <c r="BW2" s="254">
        <v>45848.0</v>
      </c>
      <c r="BX2" s="254">
        <v>45849.0</v>
      </c>
      <c r="BY2" s="254">
        <v>45850.0</v>
      </c>
      <c r="BZ2" s="254">
        <v>45851.0</v>
      </c>
      <c r="CA2" s="254">
        <v>45852.0</v>
      </c>
      <c r="CB2" s="254">
        <v>45853.0</v>
      </c>
      <c r="CC2" s="254">
        <v>45854.0</v>
      </c>
      <c r="CD2" s="254">
        <v>45855.0</v>
      </c>
      <c r="CE2" s="254">
        <v>45856.0</v>
      </c>
      <c r="CF2" s="254">
        <v>45857.0</v>
      </c>
      <c r="CG2" s="254">
        <v>45858.0</v>
      </c>
      <c r="CH2" s="254">
        <v>45859.0</v>
      </c>
      <c r="CI2" s="254">
        <v>45860.0</v>
      </c>
      <c r="CJ2" s="254">
        <v>45861.0</v>
      </c>
      <c r="CK2" s="254">
        <v>45862.0</v>
      </c>
      <c r="CL2" s="254">
        <v>45863.0</v>
      </c>
      <c r="CM2" s="254">
        <v>45864.0</v>
      </c>
      <c r="CN2" s="254">
        <v>45865.0</v>
      </c>
      <c r="CO2" s="254">
        <v>45866.0</v>
      </c>
      <c r="CP2" s="254">
        <v>45867.0</v>
      </c>
      <c r="CQ2" s="254">
        <v>45868.0</v>
      </c>
      <c r="CR2" s="254">
        <v>45869.0</v>
      </c>
      <c r="CS2" s="254">
        <v>45870.0</v>
      </c>
      <c r="CT2" s="254">
        <v>45871.0</v>
      </c>
      <c r="CU2" s="254">
        <v>45872.0</v>
      </c>
      <c r="CV2" s="254">
        <v>45873.0</v>
      </c>
      <c r="CW2" s="254">
        <v>45874.0</v>
      </c>
      <c r="CX2" s="254">
        <v>45875.0</v>
      </c>
      <c r="CY2" s="254">
        <v>45876.0</v>
      </c>
      <c r="CZ2" s="254">
        <v>45877.0</v>
      </c>
      <c r="DA2" s="254">
        <v>45878.0</v>
      </c>
      <c r="DB2" s="254">
        <v>45879.0</v>
      </c>
      <c r="DC2" s="254">
        <v>45880.0</v>
      </c>
      <c r="DD2" s="254">
        <v>45881.0</v>
      </c>
      <c r="DE2" s="254">
        <v>45882.0</v>
      </c>
      <c r="DF2" s="254">
        <v>45883.0</v>
      </c>
      <c r="DG2" s="254">
        <v>45884.0</v>
      </c>
      <c r="DH2" s="254">
        <v>45885.0</v>
      </c>
      <c r="DI2" s="254">
        <v>45886.0</v>
      </c>
      <c r="DJ2" s="254">
        <v>45887.0</v>
      </c>
      <c r="DK2" s="254">
        <v>45888.0</v>
      </c>
      <c r="DL2" s="254">
        <v>45889.0</v>
      </c>
      <c r="DM2" s="254">
        <v>45890.0</v>
      </c>
      <c r="DN2" s="254">
        <v>45891.0</v>
      </c>
      <c r="DO2" s="254">
        <v>45892.0</v>
      </c>
      <c r="DP2" s="254">
        <v>45893.0</v>
      </c>
      <c r="DQ2" s="254">
        <v>45894.0</v>
      </c>
      <c r="DR2" s="254">
        <v>45895.0</v>
      </c>
      <c r="DS2" s="254">
        <v>45896.0</v>
      </c>
      <c r="DT2" s="254">
        <v>45897.0</v>
      </c>
      <c r="DU2" s="254">
        <v>45898.0</v>
      </c>
      <c r="DV2" s="254">
        <v>45899.0</v>
      </c>
      <c r="DW2" s="254">
        <v>45900.0</v>
      </c>
      <c r="DX2" s="254">
        <v>45901.0</v>
      </c>
      <c r="DY2" s="254">
        <v>45902.0</v>
      </c>
      <c r="DZ2" s="254">
        <v>45903.0</v>
      </c>
      <c r="EA2" s="254">
        <v>45904.0</v>
      </c>
      <c r="EB2" s="254">
        <v>45905.0</v>
      </c>
      <c r="EC2" s="254">
        <v>45906.0</v>
      </c>
      <c r="ED2" s="254">
        <v>45907.0</v>
      </c>
      <c r="EE2" s="254">
        <v>45908.0</v>
      </c>
      <c r="EF2" s="254">
        <v>45909.0</v>
      </c>
      <c r="EG2" s="254">
        <v>45910.0</v>
      </c>
      <c r="EH2" s="254">
        <v>45911.0</v>
      </c>
      <c r="EI2" s="254">
        <v>45912.0</v>
      </c>
      <c r="EJ2" s="254">
        <v>45913.0</v>
      </c>
      <c r="EK2" s="254">
        <v>45914.0</v>
      </c>
      <c r="EL2" s="254">
        <v>45915.0</v>
      </c>
      <c r="EM2" s="254">
        <v>45916.0</v>
      </c>
      <c r="EN2" s="254">
        <v>45917.0</v>
      </c>
      <c r="EO2" s="254">
        <v>45918.0</v>
      </c>
      <c r="EP2" s="254">
        <v>45919.0</v>
      </c>
      <c r="EQ2" s="254">
        <v>45920.0</v>
      </c>
      <c r="ER2" s="254">
        <v>45921.0</v>
      </c>
      <c r="ES2" s="254">
        <v>45922.0</v>
      </c>
      <c r="ET2" s="254">
        <v>45923.0</v>
      </c>
      <c r="EU2" s="254">
        <v>45924.0</v>
      </c>
      <c r="EV2" s="254">
        <v>45925.0</v>
      </c>
      <c r="EW2" s="254">
        <v>45926.0</v>
      </c>
      <c r="EX2" s="254">
        <v>45927.0</v>
      </c>
      <c r="EY2" s="254">
        <v>45928.0</v>
      </c>
      <c r="EZ2" s="254">
        <v>45929.0</v>
      </c>
      <c r="FA2" s="254">
        <v>45930.0</v>
      </c>
      <c r="FB2" s="254">
        <v>45931.0</v>
      </c>
      <c r="FC2" s="254">
        <v>45932.0</v>
      </c>
      <c r="FD2" s="254">
        <v>45933.0</v>
      </c>
      <c r="FE2" s="254">
        <v>45934.0</v>
      </c>
      <c r="FF2" s="254">
        <v>45935.0</v>
      </c>
      <c r="FG2" s="254">
        <v>45936.0</v>
      </c>
      <c r="FH2" s="254">
        <v>45937.0</v>
      </c>
      <c r="FI2" s="254">
        <v>45938.0</v>
      </c>
      <c r="FJ2" s="254">
        <v>45939.0</v>
      </c>
      <c r="FK2" s="254">
        <v>45940.0</v>
      </c>
      <c r="FL2" s="254">
        <v>45941.0</v>
      </c>
      <c r="FM2" s="254">
        <v>45942.0</v>
      </c>
      <c r="FN2" s="254">
        <v>45943.0</v>
      </c>
      <c r="FO2" s="254">
        <v>45944.0</v>
      </c>
      <c r="FP2" s="254">
        <v>45945.0</v>
      </c>
      <c r="FQ2" s="254">
        <v>45946.0</v>
      </c>
      <c r="FR2" s="254">
        <v>45947.0</v>
      </c>
      <c r="FS2" s="254">
        <v>45948.0</v>
      </c>
      <c r="FT2" s="254">
        <v>45949.0</v>
      </c>
      <c r="FU2" s="254">
        <v>45950.0</v>
      </c>
      <c r="FV2" s="254">
        <v>45951.0</v>
      </c>
      <c r="FW2" s="254">
        <v>45952.0</v>
      </c>
      <c r="FX2" s="254">
        <v>45953.0</v>
      </c>
      <c r="FY2" s="254">
        <v>45954.0</v>
      </c>
      <c r="FZ2" s="254">
        <v>45955.0</v>
      </c>
      <c r="GA2" s="254">
        <v>45956.0</v>
      </c>
    </row>
    <row r="3" ht="18.0" customHeight="1">
      <c r="A3" s="256"/>
      <c r="B3" s="257"/>
      <c r="C3" s="258" t="s">
        <v>46</v>
      </c>
      <c r="D3" s="259"/>
      <c r="E3" s="259"/>
      <c r="F3" s="259"/>
      <c r="G3" s="259"/>
      <c r="H3" s="259"/>
      <c r="I3" s="259"/>
      <c r="J3" s="259"/>
      <c r="K3" s="260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5" t="s">
        <v>47</v>
      </c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59"/>
      <c r="CB3" s="259"/>
      <c r="CC3" s="259"/>
      <c r="CD3" s="259"/>
      <c r="CE3" s="259"/>
      <c r="CF3" s="259"/>
      <c r="CG3" s="259"/>
      <c r="CH3" s="259"/>
      <c r="CI3" s="259"/>
      <c r="CJ3" s="259"/>
      <c r="CK3" s="259"/>
      <c r="CL3" s="259"/>
      <c r="CM3" s="259"/>
      <c r="CN3" s="259"/>
      <c r="CO3" s="259"/>
      <c r="CP3" s="259"/>
      <c r="CQ3" s="259"/>
      <c r="CR3" s="259"/>
      <c r="CS3" s="259"/>
      <c r="CT3" s="259"/>
      <c r="CU3" s="259"/>
      <c r="CV3" s="259"/>
      <c r="CW3" s="259"/>
      <c r="CX3" s="259"/>
      <c r="CY3" s="259"/>
      <c r="CZ3" s="259"/>
      <c r="DA3" s="259"/>
      <c r="DB3" s="259"/>
      <c r="DC3" s="259"/>
      <c r="DD3" s="259"/>
      <c r="DE3" s="259"/>
      <c r="DF3" s="259"/>
      <c r="DG3" s="259"/>
      <c r="DH3" s="259"/>
      <c r="DI3" s="259"/>
      <c r="DJ3" s="259"/>
      <c r="DK3" s="259"/>
      <c r="DL3" s="259"/>
      <c r="DM3" s="259"/>
      <c r="DN3" s="259"/>
      <c r="DO3" s="259"/>
      <c r="DP3" s="259"/>
      <c r="DQ3" s="259"/>
      <c r="DR3" s="259"/>
      <c r="DS3" s="259"/>
      <c r="DT3" s="259"/>
      <c r="DU3" s="259"/>
      <c r="DV3" s="259"/>
      <c r="DW3" s="259"/>
      <c r="DX3" s="259"/>
      <c r="DY3" s="259"/>
      <c r="DZ3" s="259"/>
      <c r="EA3" s="259"/>
      <c r="EB3" s="259"/>
      <c r="EC3" s="259"/>
      <c r="ED3" s="259"/>
      <c r="EE3" s="259"/>
      <c r="EF3" s="259"/>
      <c r="EG3" s="259"/>
      <c r="EH3" s="259"/>
      <c r="EI3" s="259"/>
      <c r="EJ3" s="259"/>
      <c r="EK3" s="259"/>
      <c r="EL3" s="259"/>
      <c r="EM3" s="259"/>
      <c r="EN3" s="259"/>
      <c r="EO3" s="259"/>
      <c r="EP3" s="259"/>
      <c r="EQ3" s="259"/>
      <c r="ER3" s="259"/>
      <c r="ES3" s="259"/>
      <c r="ET3" s="259"/>
      <c r="EU3" s="259"/>
      <c r="EV3" s="259"/>
      <c r="EW3" s="259"/>
      <c r="EX3" s="259"/>
      <c r="EY3" s="259"/>
      <c r="EZ3" s="259"/>
      <c r="FA3" s="259"/>
      <c r="FB3" s="259"/>
      <c r="FC3" s="259"/>
      <c r="FD3" s="259"/>
      <c r="FE3" s="259"/>
      <c r="FF3" s="259"/>
      <c r="FG3" s="259"/>
      <c r="FH3" s="259"/>
      <c r="FI3" s="259"/>
      <c r="FJ3" s="259"/>
      <c r="FK3" s="259"/>
      <c r="FL3" s="259"/>
      <c r="FM3" s="259"/>
      <c r="FN3" s="259"/>
      <c r="FO3" s="259"/>
      <c r="FP3" s="259"/>
      <c r="FQ3" s="259"/>
      <c r="FR3" s="259"/>
      <c r="FS3" s="259"/>
      <c r="FT3" s="259"/>
      <c r="FU3" s="259"/>
      <c r="FV3" s="259"/>
      <c r="FW3" s="259"/>
      <c r="FX3" s="259"/>
      <c r="FY3" s="259"/>
      <c r="FZ3" s="259"/>
      <c r="GA3" s="259"/>
    </row>
    <row r="4" ht="18.0" customHeight="1">
      <c r="A4" s="256"/>
      <c r="B4" s="261"/>
      <c r="C4" s="262"/>
      <c r="D4" s="263">
        <f t="shared" ref="D4:BL4" si="1">D2</f>
        <v>45778</v>
      </c>
      <c r="E4" s="263">
        <f t="shared" si="1"/>
        <v>45779</v>
      </c>
      <c r="F4" s="263">
        <f t="shared" si="1"/>
        <v>45780</v>
      </c>
      <c r="G4" s="263">
        <f t="shared" si="1"/>
        <v>45781</v>
      </c>
      <c r="H4" s="263">
        <f t="shared" si="1"/>
        <v>45782</v>
      </c>
      <c r="I4" s="263">
        <f t="shared" si="1"/>
        <v>45783</v>
      </c>
      <c r="J4" s="263">
        <f t="shared" si="1"/>
        <v>45784</v>
      </c>
      <c r="K4" s="263">
        <f t="shared" si="1"/>
        <v>45785</v>
      </c>
      <c r="L4" s="263">
        <f t="shared" si="1"/>
        <v>45786</v>
      </c>
      <c r="M4" s="263">
        <f t="shared" si="1"/>
        <v>45787</v>
      </c>
      <c r="N4" s="263">
        <f t="shared" si="1"/>
        <v>45788</v>
      </c>
      <c r="O4" s="263">
        <f t="shared" si="1"/>
        <v>45789</v>
      </c>
      <c r="P4" s="263">
        <f t="shared" si="1"/>
        <v>45790</v>
      </c>
      <c r="Q4" s="263">
        <f t="shared" si="1"/>
        <v>45791</v>
      </c>
      <c r="R4" s="263">
        <f t="shared" si="1"/>
        <v>45792</v>
      </c>
      <c r="S4" s="263">
        <f t="shared" si="1"/>
        <v>45793</v>
      </c>
      <c r="T4" s="263">
        <f t="shared" si="1"/>
        <v>45794</v>
      </c>
      <c r="U4" s="263">
        <f t="shared" si="1"/>
        <v>45795</v>
      </c>
      <c r="V4" s="263">
        <f t="shared" si="1"/>
        <v>45796</v>
      </c>
      <c r="W4" s="263">
        <f t="shared" si="1"/>
        <v>45797</v>
      </c>
      <c r="X4" s="263">
        <f t="shared" si="1"/>
        <v>45798</v>
      </c>
      <c r="Y4" s="263">
        <f t="shared" si="1"/>
        <v>45799</v>
      </c>
      <c r="Z4" s="263">
        <f t="shared" si="1"/>
        <v>45800</v>
      </c>
      <c r="AA4" s="263">
        <f t="shared" si="1"/>
        <v>45801</v>
      </c>
      <c r="AB4" s="263">
        <f t="shared" si="1"/>
        <v>45802</v>
      </c>
      <c r="AC4" s="263">
        <f t="shared" si="1"/>
        <v>45803</v>
      </c>
      <c r="AD4" s="263">
        <f t="shared" si="1"/>
        <v>45804</v>
      </c>
      <c r="AE4" s="263">
        <f t="shared" si="1"/>
        <v>45805</v>
      </c>
      <c r="AF4" s="263">
        <f t="shared" si="1"/>
        <v>45806</v>
      </c>
      <c r="AG4" s="263">
        <f t="shared" si="1"/>
        <v>45807</v>
      </c>
      <c r="AH4" s="263">
        <f t="shared" si="1"/>
        <v>45808</v>
      </c>
      <c r="AI4" s="264">
        <f t="shared" si="1"/>
        <v>45809</v>
      </c>
      <c r="AJ4" s="264">
        <f t="shared" si="1"/>
        <v>45810</v>
      </c>
      <c r="AK4" s="264">
        <f t="shared" si="1"/>
        <v>45811</v>
      </c>
      <c r="AL4" s="264">
        <f t="shared" si="1"/>
        <v>45812</v>
      </c>
      <c r="AM4" s="264">
        <f t="shared" si="1"/>
        <v>45813</v>
      </c>
      <c r="AN4" s="264">
        <f t="shared" si="1"/>
        <v>45814</v>
      </c>
      <c r="AO4" s="264">
        <f t="shared" si="1"/>
        <v>45815</v>
      </c>
      <c r="AP4" s="264">
        <f t="shared" si="1"/>
        <v>45816</v>
      </c>
      <c r="AQ4" s="264">
        <f t="shared" si="1"/>
        <v>45817</v>
      </c>
      <c r="AR4" s="264">
        <f t="shared" si="1"/>
        <v>45818</v>
      </c>
      <c r="AS4" s="264">
        <f t="shared" si="1"/>
        <v>45819</v>
      </c>
      <c r="AT4" s="264">
        <f t="shared" si="1"/>
        <v>45820</v>
      </c>
      <c r="AU4" s="264">
        <f t="shared" si="1"/>
        <v>45821</v>
      </c>
      <c r="AV4" s="264">
        <f t="shared" si="1"/>
        <v>45822</v>
      </c>
      <c r="AW4" s="264">
        <f t="shared" si="1"/>
        <v>45823</v>
      </c>
      <c r="AX4" s="264">
        <f t="shared" si="1"/>
        <v>45824</v>
      </c>
      <c r="AY4" s="264">
        <f t="shared" si="1"/>
        <v>45825</v>
      </c>
      <c r="AZ4" s="264">
        <f t="shared" si="1"/>
        <v>45826</v>
      </c>
      <c r="BA4" s="264">
        <f t="shared" si="1"/>
        <v>45827</v>
      </c>
      <c r="BB4" s="264">
        <f t="shared" si="1"/>
        <v>45828</v>
      </c>
      <c r="BC4" s="264">
        <f t="shared" si="1"/>
        <v>45829</v>
      </c>
      <c r="BD4" s="264">
        <f t="shared" si="1"/>
        <v>45830</v>
      </c>
      <c r="BE4" s="264">
        <f t="shared" si="1"/>
        <v>45831</v>
      </c>
      <c r="BF4" s="264">
        <f t="shared" si="1"/>
        <v>45832</v>
      </c>
      <c r="BG4" s="264">
        <f t="shared" si="1"/>
        <v>45833</v>
      </c>
      <c r="BH4" s="264">
        <f t="shared" si="1"/>
        <v>45834</v>
      </c>
      <c r="BI4" s="264">
        <f t="shared" si="1"/>
        <v>45835</v>
      </c>
      <c r="BJ4" s="264">
        <f t="shared" si="1"/>
        <v>45836</v>
      </c>
      <c r="BK4" s="264">
        <f t="shared" si="1"/>
        <v>45837</v>
      </c>
      <c r="BL4" s="264">
        <f t="shared" si="1"/>
        <v>45838</v>
      </c>
      <c r="BM4" s="265" t="s">
        <v>48</v>
      </c>
      <c r="BN4" s="264">
        <f t="shared" ref="BN4:GA4" si="2">BN2</f>
        <v>45839</v>
      </c>
      <c r="BO4" s="264">
        <f t="shared" si="2"/>
        <v>45840</v>
      </c>
      <c r="BP4" s="264">
        <f t="shared" si="2"/>
        <v>45841</v>
      </c>
      <c r="BQ4" s="264">
        <f t="shared" si="2"/>
        <v>45842</v>
      </c>
      <c r="BR4" s="264">
        <f t="shared" si="2"/>
        <v>45843</v>
      </c>
      <c r="BS4" s="264">
        <f t="shared" si="2"/>
        <v>45844</v>
      </c>
      <c r="BT4" s="264">
        <f t="shared" si="2"/>
        <v>45845</v>
      </c>
      <c r="BU4" s="264">
        <f t="shared" si="2"/>
        <v>45846</v>
      </c>
      <c r="BV4" s="264">
        <f t="shared" si="2"/>
        <v>45847</v>
      </c>
      <c r="BW4" s="264">
        <f t="shared" si="2"/>
        <v>45848</v>
      </c>
      <c r="BX4" s="264">
        <f t="shared" si="2"/>
        <v>45849</v>
      </c>
      <c r="BY4" s="264">
        <f t="shared" si="2"/>
        <v>45850</v>
      </c>
      <c r="BZ4" s="264">
        <f t="shared" si="2"/>
        <v>45851</v>
      </c>
      <c r="CA4" s="264">
        <f t="shared" si="2"/>
        <v>45852</v>
      </c>
      <c r="CB4" s="264">
        <f t="shared" si="2"/>
        <v>45853</v>
      </c>
      <c r="CC4" s="264">
        <f t="shared" si="2"/>
        <v>45854</v>
      </c>
      <c r="CD4" s="264">
        <f t="shared" si="2"/>
        <v>45855</v>
      </c>
      <c r="CE4" s="264">
        <f t="shared" si="2"/>
        <v>45856</v>
      </c>
      <c r="CF4" s="264">
        <f t="shared" si="2"/>
        <v>45857</v>
      </c>
      <c r="CG4" s="264">
        <f t="shared" si="2"/>
        <v>45858</v>
      </c>
      <c r="CH4" s="264">
        <f t="shared" si="2"/>
        <v>45859</v>
      </c>
      <c r="CI4" s="264">
        <f t="shared" si="2"/>
        <v>45860</v>
      </c>
      <c r="CJ4" s="264">
        <f t="shared" si="2"/>
        <v>45861</v>
      </c>
      <c r="CK4" s="264">
        <f t="shared" si="2"/>
        <v>45862</v>
      </c>
      <c r="CL4" s="264">
        <f t="shared" si="2"/>
        <v>45863</v>
      </c>
      <c r="CM4" s="264">
        <f t="shared" si="2"/>
        <v>45864</v>
      </c>
      <c r="CN4" s="264">
        <f t="shared" si="2"/>
        <v>45865</v>
      </c>
      <c r="CO4" s="264">
        <f t="shared" si="2"/>
        <v>45866</v>
      </c>
      <c r="CP4" s="264">
        <f t="shared" si="2"/>
        <v>45867</v>
      </c>
      <c r="CQ4" s="264">
        <f t="shared" si="2"/>
        <v>45868</v>
      </c>
      <c r="CR4" s="264">
        <f t="shared" si="2"/>
        <v>45869</v>
      </c>
      <c r="CS4" s="264">
        <f t="shared" si="2"/>
        <v>45870</v>
      </c>
      <c r="CT4" s="264">
        <f t="shared" si="2"/>
        <v>45871</v>
      </c>
      <c r="CU4" s="264">
        <f t="shared" si="2"/>
        <v>45872</v>
      </c>
      <c r="CV4" s="264">
        <f t="shared" si="2"/>
        <v>45873</v>
      </c>
      <c r="CW4" s="264">
        <f t="shared" si="2"/>
        <v>45874</v>
      </c>
      <c r="CX4" s="264">
        <f t="shared" si="2"/>
        <v>45875</v>
      </c>
      <c r="CY4" s="264">
        <f t="shared" si="2"/>
        <v>45876</v>
      </c>
      <c r="CZ4" s="264">
        <f t="shared" si="2"/>
        <v>45877</v>
      </c>
      <c r="DA4" s="264">
        <f t="shared" si="2"/>
        <v>45878</v>
      </c>
      <c r="DB4" s="264">
        <f t="shared" si="2"/>
        <v>45879</v>
      </c>
      <c r="DC4" s="264">
        <f t="shared" si="2"/>
        <v>45880</v>
      </c>
      <c r="DD4" s="264">
        <f t="shared" si="2"/>
        <v>45881</v>
      </c>
      <c r="DE4" s="264">
        <f t="shared" si="2"/>
        <v>45882</v>
      </c>
      <c r="DF4" s="264">
        <f t="shared" si="2"/>
        <v>45883</v>
      </c>
      <c r="DG4" s="264">
        <f t="shared" si="2"/>
        <v>45884</v>
      </c>
      <c r="DH4" s="264">
        <f t="shared" si="2"/>
        <v>45885</v>
      </c>
      <c r="DI4" s="264">
        <f t="shared" si="2"/>
        <v>45886</v>
      </c>
      <c r="DJ4" s="264">
        <f t="shared" si="2"/>
        <v>45887</v>
      </c>
      <c r="DK4" s="264">
        <f t="shared" si="2"/>
        <v>45888</v>
      </c>
      <c r="DL4" s="264">
        <f t="shared" si="2"/>
        <v>45889</v>
      </c>
      <c r="DM4" s="264">
        <f t="shared" si="2"/>
        <v>45890</v>
      </c>
      <c r="DN4" s="264">
        <f t="shared" si="2"/>
        <v>45891</v>
      </c>
      <c r="DO4" s="264">
        <f t="shared" si="2"/>
        <v>45892</v>
      </c>
      <c r="DP4" s="264">
        <f t="shared" si="2"/>
        <v>45893</v>
      </c>
      <c r="DQ4" s="264">
        <f t="shared" si="2"/>
        <v>45894</v>
      </c>
      <c r="DR4" s="264">
        <f t="shared" si="2"/>
        <v>45895</v>
      </c>
      <c r="DS4" s="264">
        <f t="shared" si="2"/>
        <v>45896</v>
      </c>
      <c r="DT4" s="264">
        <f t="shared" si="2"/>
        <v>45897</v>
      </c>
      <c r="DU4" s="264">
        <f t="shared" si="2"/>
        <v>45898</v>
      </c>
      <c r="DV4" s="264">
        <f t="shared" si="2"/>
        <v>45899</v>
      </c>
      <c r="DW4" s="264">
        <f t="shared" si="2"/>
        <v>45900</v>
      </c>
      <c r="DX4" s="264">
        <f t="shared" si="2"/>
        <v>45901</v>
      </c>
      <c r="DY4" s="264">
        <f t="shared" si="2"/>
        <v>45902</v>
      </c>
      <c r="DZ4" s="264">
        <f t="shared" si="2"/>
        <v>45903</v>
      </c>
      <c r="EA4" s="264">
        <f t="shared" si="2"/>
        <v>45904</v>
      </c>
      <c r="EB4" s="264">
        <f t="shared" si="2"/>
        <v>45905</v>
      </c>
      <c r="EC4" s="264">
        <f t="shared" si="2"/>
        <v>45906</v>
      </c>
      <c r="ED4" s="264">
        <f t="shared" si="2"/>
        <v>45907</v>
      </c>
      <c r="EE4" s="264">
        <f t="shared" si="2"/>
        <v>45908</v>
      </c>
      <c r="EF4" s="264">
        <f t="shared" si="2"/>
        <v>45909</v>
      </c>
      <c r="EG4" s="264">
        <f t="shared" si="2"/>
        <v>45910</v>
      </c>
      <c r="EH4" s="264">
        <f t="shared" si="2"/>
        <v>45911</v>
      </c>
      <c r="EI4" s="264">
        <f t="shared" si="2"/>
        <v>45912</v>
      </c>
      <c r="EJ4" s="264">
        <f t="shared" si="2"/>
        <v>45913</v>
      </c>
      <c r="EK4" s="264">
        <f t="shared" si="2"/>
        <v>45914</v>
      </c>
      <c r="EL4" s="264">
        <f t="shared" si="2"/>
        <v>45915</v>
      </c>
      <c r="EM4" s="264">
        <f t="shared" si="2"/>
        <v>45916</v>
      </c>
      <c r="EN4" s="264">
        <f t="shared" si="2"/>
        <v>45917</v>
      </c>
      <c r="EO4" s="264">
        <f t="shared" si="2"/>
        <v>45918</v>
      </c>
      <c r="EP4" s="264">
        <f t="shared" si="2"/>
        <v>45919</v>
      </c>
      <c r="EQ4" s="264">
        <f t="shared" si="2"/>
        <v>45920</v>
      </c>
      <c r="ER4" s="264">
        <f t="shared" si="2"/>
        <v>45921</v>
      </c>
      <c r="ES4" s="264">
        <f t="shared" si="2"/>
        <v>45922</v>
      </c>
      <c r="ET4" s="264">
        <f t="shared" si="2"/>
        <v>45923</v>
      </c>
      <c r="EU4" s="264">
        <f t="shared" si="2"/>
        <v>45924</v>
      </c>
      <c r="EV4" s="264">
        <f t="shared" si="2"/>
        <v>45925</v>
      </c>
      <c r="EW4" s="264">
        <f t="shared" si="2"/>
        <v>45926</v>
      </c>
      <c r="EX4" s="264">
        <f t="shared" si="2"/>
        <v>45927</v>
      </c>
      <c r="EY4" s="264">
        <f t="shared" si="2"/>
        <v>45928</v>
      </c>
      <c r="EZ4" s="264">
        <f t="shared" si="2"/>
        <v>45929</v>
      </c>
      <c r="FA4" s="264">
        <f t="shared" si="2"/>
        <v>45930</v>
      </c>
      <c r="FB4" s="264">
        <f t="shared" si="2"/>
        <v>45931</v>
      </c>
      <c r="FC4" s="264">
        <f t="shared" si="2"/>
        <v>45932</v>
      </c>
      <c r="FD4" s="264">
        <f t="shared" si="2"/>
        <v>45933</v>
      </c>
      <c r="FE4" s="264">
        <f t="shared" si="2"/>
        <v>45934</v>
      </c>
      <c r="FF4" s="264">
        <f t="shared" si="2"/>
        <v>45935</v>
      </c>
      <c r="FG4" s="264">
        <f t="shared" si="2"/>
        <v>45936</v>
      </c>
      <c r="FH4" s="264">
        <f t="shared" si="2"/>
        <v>45937</v>
      </c>
      <c r="FI4" s="264">
        <f t="shared" si="2"/>
        <v>45938</v>
      </c>
      <c r="FJ4" s="264">
        <f t="shared" si="2"/>
        <v>45939</v>
      </c>
      <c r="FK4" s="264">
        <f t="shared" si="2"/>
        <v>45940</v>
      </c>
      <c r="FL4" s="264">
        <f t="shared" si="2"/>
        <v>45941</v>
      </c>
      <c r="FM4" s="264">
        <f t="shared" si="2"/>
        <v>45942</v>
      </c>
      <c r="FN4" s="264">
        <f t="shared" si="2"/>
        <v>45943</v>
      </c>
      <c r="FO4" s="264">
        <f t="shared" si="2"/>
        <v>45944</v>
      </c>
      <c r="FP4" s="264">
        <f t="shared" si="2"/>
        <v>45945</v>
      </c>
      <c r="FQ4" s="264">
        <f t="shared" si="2"/>
        <v>45946</v>
      </c>
      <c r="FR4" s="264">
        <f t="shared" si="2"/>
        <v>45947</v>
      </c>
      <c r="FS4" s="264">
        <f t="shared" si="2"/>
        <v>45948</v>
      </c>
      <c r="FT4" s="264">
        <f t="shared" si="2"/>
        <v>45949</v>
      </c>
      <c r="FU4" s="264">
        <f t="shared" si="2"/>
        <v>45950</v>
      </c>
      <c r="FV4" s="264">
        <f t="shared" si="2"/>
        <v>45951</v>
      </c>
      <c r="FW4" s="264">
        <f t="shared" si="2"/>
        <v>45952</v>
      </c>
      <c r="FX4" s="264">
        <f t="shared" si="2"/>
        <v>45953</v>
      </c>
      <c r="FY4" s="264">
        <f t="shared" si="2"/>
        <v>45954</v>
      </c>
      <c r="FZ4" s="264">
        <f t="shared" si="2"/>
        <v>45955</v>
      </c>
      <c r="GA4" s="264">
        <f t="shared" si="2"/>
        <v>45956</v>
      </c>
    </row>
    <row r="5" ht="19.5" customHeight="1">
      <c r="A5" s="266"/>
      <c r="B5" s="267"/>
      <c r="C5" s="268" t="s">
        <v>49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69"/>
      <c r="BA5" s="269"/>
      <c r="BB5" s="269"/>
      <c r="BC5" s="269"/>
      <c r="BD5" s="269"/>
      <c r="BE5" s="269"/>
      <c r="BF5" s="269"/>
      <c r="BG5" s="269"/>
      <c r="BH5" s="269"/>
      <c r="BI5" s="269"/>
      <c r="BJ5" s="269"/>
      <c r="BK5" s="269"/>
      <c r="BL5" s="269"/>
      <c r="BM5" s="270"/>
      <c r="BN5" s="269"/>
      <c r="BO5" s="269"/>
      <c r="BP5" s="269"/>
      <c r="BQ5" s="269"/>
      <c r="BR5" s="269"/>
      <c r="BS5" s="269"/>
      <c r="BT5" s="269"/>
      <c r="BU5" s="269"/>
      <c r="BV5" s="269"/>
      <c r="BW5" s="269"/>
      <c r="BX5" s="269"/>
      <c r="BY5" s="269"/>
      <c r="BZ5" s="269"/>
      <c r="CA5" s="269"/>
      <c r="CB5" s="269"/>
      <c r="CC5" s="269"/>
      <c r="CD5" s="269"/>
      <c r="CE5" s="269"/>
      <c r="CF5" s="269"/>
      <c r="CG5" s="269"/>
      <c r="CH5" s="269"/>
      <c r="CI5" s="269"/>
      <c r="CJ5" s="269"/>
      <c r="CK5" s="269"/>
      <c r="CL5" s="269"/>
      <c r="CM5" s="269"/>
      <c r="CN5" s="269"/>
      <c r="CO5" s="269"/>
      <c r="CP5" s="269"/>
      <c r="CQ5" s="269"/>
      <c r="CR5" s="269"/>
      <c r="CS5" s="269"/>
      <c r="CT5" s="269"/>
      <c r="CU5" s="269"/>
      <c r="CV5" s="269"/>
      <c r="CW5" s="269"/>
      <c r="CX5" s="269"/>
      <c r="CY5" s="269"/>
      <c r="CZ5" s="269"/>
      <c r="DA5" s="269"/>
      <c r="DB5" s="269"/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/>
      <c r="DN5" s="269"/>
      <c r="DO5" s="269"/>
      <c r="DP5" s="269"/>
      <c r="DQ5" s="269"/>
      <c r="DR5" s="269"/>
      <c r="DS5" s="269"/>
      <c r="DT5" s="269"/>
      <c r="DU5" s="269"/>
      <c r="DV5" s="269"/>
      <c r="DW5" s="269"/>
      <c r="DX5" s="269"/>
      <c r="DY5" s="269"/>
      <c r="DZ5" s="269"/>
      <c r="EA5" s="269"/>
      <c r="EB5" s="269"/>
      <c r="EC5" s="269"/>
      <c r="ED5" s="269"/>
      <c r="EE5" s="269"/>
      <c r="EF5" s="269"/>
      <c r="EG5" s="269"/>
      <c r="EH5" s="269"/>
      <c r="EI5" s="269"/>
      <c r="EJ5" s="269"/>
      <c r="EK5" s="269"/>
      <c r="EL5" s="269"/>
      <c r="EM5" s="269"/>
      <c r="EN5" s="269"/>
      <c r="EO5" s="269"/>
      <c r="EP5" s="269"/>
      <c r="EQ5" s="269"/>
      <c r="ER5" s="269"/>
      <c r="ES5" s="269"/>
      <c r="ET5" s="269"/>
      <c r="EU5" s="269"/>
      <c r="EV5" s="269"/>
      <c r="EW5" s="269"/>
      <c r="EX5" s="269"/>
      <c r="EY5" s="269"/>
      <c r="EZ5" s="269"/>
      <c r="FA5" s="269"/>
      <c r="FB5" s="269"/>
      <c r="FC5" s="269"/>
      <c r="FD5" s="269"/>
      <c r="FE5" s="269"/>
      <c r="FF5" s="269"/>
      <c r="FG5" s="269"/>
      <c r="FH5" s="269"/>
      <c r="FI5" s="269"/>
      <c r="FJ5" s="269"/>
      <c r="FK5" s="269"/>
      <c r="FL5" s="269"/>
      <c r="FM5" s="269"/>
      <c r="FN5" s="269"/>
      <c r="FO5" s="269"/>
      <c r="FP5" s="269"/>
      <c r="FQ5" s="269"/>
      <c r="FR5" s="269"/>
      <c r="FS5" s="269"/>
      <c r="FT5" s="269"/>
      <c r="FU5" s="269"/>
      <c r="FV5" s="269"/>
      <c r="FW5" s="269"/>
      <c r="FX5" s="269"/>
      <c r="FY5" s="269"/>
      <c r="FZ5" s="269"/>
      <c r="GA5" s="269"/>
    </row>
    <row r="6" ht="19.5" customHeight="1">
      <c r="A6" s="271"/>
      <c r="B6" s="157" t="s">
        <v>31</v>
      </c>
      <c r="C6" s="272">
        <f t="shared" ref="C6:C16" si="3">sum(BM6:CQ6)</f>
        <v>0</v>
      </c>
      <c r="D6" s="273">
        <v>20000.0</v>
      </c>
      <c r="E6" s="274"/>
      <c r="F6" s="273">
        <v>27000.0</v>
      </c>
      <c r="G6" s="273">
        <v>36000.0</v>
      </c>
      <c r="H6" s="274"/>
      <c r="I6" s="273"/>
      <c r="J6" s="274"/>
      <c r="K6" s="274"/>
      <c r="L6" s="273">
        <v>150000.0</v>
      </c>
      <c r="M6" s="273">
        <v>25000.0</v>
      </c>
      <c r="N6" s="274"/>
      <c r="O6" s="274"/>
      <c r="P6" s="274"/>
      <c r="Q6" s="273">
        <v>13000.0</v>
      </c>
      <c r="R6" s="273">
        <v>33000.0</v>
      </c>
      <c r="S6" s="274"/>
      <c r="T6" s="274"/>
      <c r="U6" s="274"/>
      <c r="V6" s="274"/>
      <c r="W6" s="274"/>
      <c r="X6" s="274"/>
      <c r="Y6" s="274"/>
      <c r="Z6" s="273">
        <v>35000.0</v>
      </c>
      <c r="AA6" s="273">
        <v>100000.0</v>
      </c>
      <c r="AB6" s="274"/>
      <c r="AC6" s="274"/>
      <c r="AD6" s="274"/>
      <c r="AE6" s="274"/>
      <c r="AF6" s="273">
        <v>26100.0</v>
      </c>
      <c r="AG6" s="273">
        <v>35000.0</v>
      </c>
      <c r="AH6" s="273">
        <v>287000.0</v>
      </c>
      <c r="AI6" s="275"/>
      <c r="AJ6" s="275"/>
      <c r="AK6" s="276">
        <v>5000.0</v>
      </c>
      <c r="AL6" s="276">
        <v>20000.0</v>
      </c>
      <c r="AM6" s="276">
        <v>5000.0</v>
      </c>
      <c r="AN6" s="275"/>
      <c r="AO6" s="275"/>
      <c r="AP6" s="275"/>
      <c r="AQ6" s="276">
        <v>30000.0</v>
      </c>
      <c r="AR6" s="276">
        <v>26500.0</v>
      </c>
      <c r="AS6" s="276"/>
      <c r="AT6" s="276">
        <v>34000.0</v>
      </c>
      <c r="AU6" s="275"/>
      <c r="AV6" s="275"/>
      <c r="AW6" s="275"/>
      <c r="AX6" s="275"/>
      <c r="AY6" s="275"/>
      <c r="AZ6" s="275"/>
      <c r="BA6" s="275"/>
      <c r="BB6" s="275"/>
      <c r="BC6" s="275"/>
      <c r="BD6" s="275"/>
      <c r="BE6" s="275"/>
      <c r="BF6" s="276">
        <v>12000.0</v>
      </c>
      <c r="BG6" s="275"/>
      <c r="BH6" s="275"/>
      <c r="BI6" s="275"/>
      <c r="BJ6" s="275"/>
      <c r="BK6" s="276">
        <v>25000.0</v>
      </c>
      <c r="BL6" s="275"/>
      <c r="BM6" s="277"/>
      <c r="BN6" s="278"/>
      <c r="BO6" s="278"/>
      <c r="BP6" s="278"/>
      <c r="BQ6" s="278"/>
      <c r="BR6" s="278"/>
      <c r="BS6" s="278"/>
      <c r="BT6" s="278"/>
      <c r="BU6" s="278"/>
      <c r="BV6" s="278"/>
      <c r="BW6" s="278"/>
      <c r="BX6" s="278"/>
      <c r="BY6" s="278"/>
      <c r="BZ6" s="278"/>
      <c r="CA6" s="278"/>
      <c r="CB6" s="278"/>
      <c r="CC6" s="278"/>
      <c r="CD6" s="278"/>
      <c r="CE6" s="278"/>
      <c r="CF6" s="278"/>
      <c r="CG6" s="278"/>
      <c r="CH6" s="278"/>
      <c r="CI6" s="278"/>
      <c r="CJ6" s="278"/>
      <c r="CK6" s="278"/>
      <c r="CL6" s="278"/>
      <c r="CM6" s="278"/>
      <c r="CN6" s="278"/>
      <c r="CO6" s="278"/>
      <c r="CP6" s="278"/>
      <c r="CQ6" s="278"/>
      <c r="CR6" s="278"/>
      <c r="CS6" s="278"/>
      <c r="CT6" s="278"/>
      <c r="CU6" s="278"/>
      <c r="CV6" s="278"/>
      <c r="CW6" s="278"/>
      <c r="CX6" s="278"/>
      <c r="CY6" s="278"/>
      <c r="CZ6" s="278"/>
      <c r="DA6" s="278"/>
      <c r="DB6" s="278"/>
      <c r="DC6" s="278"/>
      <c r="DD6" s="278"/>
      <c r="DE6" s="278"/>
      <c r="DF6" s="278"/>
      <c r="DG6" s="278"/>
      <c r="DH6" s="278"/>
      <c r="DI6" s="278"/>
      <c r="DJ6" s="278"/>
      <c r="DK6" s="278"/>
      <c r="DL6" s="278"/>
      <c r="DM6" s="278"/>
      <c r="DN6" s="278"/>
      <c r="DO6" s="278"/>
      <c r="DP6" s="278"/>
      <c r="DQ6" s="278"/>
      <c r="DR6" s="278"/>
      <c r="DS6" s="278"/>
      <c r="DT6" s="278"/>
      <c r="DU6" s="279"/>
      <c r="DV6" s="279"/>
      <c r="DW6" s="279"/>
      <c r="DX6" s="279"/>
      <c r="DY6" s="279"/>
      <c r="DZ6" s="279"/>
      <c r="EA6" s="279"/>
      <c r="EB6" s="279"/>
      <c r="EC6" s="279"/>
      <c r="ED6" s="279"/>
      <c r="EE6" s="279"/>
      <c r="EF6" s="279"/>
      <c r="EG6" s="279"/>
      <c r="EH6" s="279"/>
      <c r="EI6" s="279"/>
      <c r="EJ6" s="279"/>
      <c r="EK6" s="279"/>
      <c r="EL6" s="279"/>
      <c r="EM6" s="279"/>
      <c r="EN6" s="279"/>
      <c r="EO6" s="279"/>
      <c r="EP6" s="279"/>
      <c r="EQ6" s="279"/>
      <c r="ER6" s="279"/>
      <c r="ES6" s="279"/>
      <c r="ET6" s="279"/>
      <c r="EU6" s="279"/>
      <c r="EV6" s="279"/>
      <c r="EW6" s="279"/>
      <c r="EX6" s="279"/>
      <c r="EY6" s="279"/>
      <c r="EZ6" s="279"/>
      <c r="FA6" s="279"/>
      <c r="FB6" s="279"/>
      <c r="FC6" s="279"/>
      <c r="FD6" s="279"/>
      <c r="FE6" s="279"/>
      <c r="FF6" s="279"/>
      <c r="FG6" s="279"/>
      <c r="FH6" s="279"/>
      <c r="FI6" s="279"/>
      <c r="FJ6" s="279"/>
      <c r="FK6" s="279"/>
      <c r="FL6" s="279"/>
      <c r="FM6" s="279"/>
      <c r="FN6" s="279"/>
      <c r="FO6" s="279"/>
      <c r="FP6" s="279"/>
      <c r="FQ6" s="279"/>
      <c r="FR6" s="279"/>
      <c r="FS6" s="279"/>
      <c r="FT6" s="279"/>
      <c r="FU6" s="279"/>
      <c r="FV6" s="279"/>
      <c r="FW6" s="279"/>
      <c r="FX6" s="279"/>
      <c r="FY6" s="279"/>
      <c r="FZ6" s="279"/>
      <c r="GA6" s="279"/>
    </row>
    <row r="7" ht="19.5" customHeight="1">
      <c r="A7" s="266"/>
      <c r="B7" s="157" t="s">
        <v>9</v>
      </c>
      <c r="C7" s="272">
        <f t="shared" si="3"/>
        <v>0</v>
      </c>
      <c r="D7" s="280"/>
      <c r="E7" s="280"/>
      <c r="F7" s="280"/>
      <c r="G7" s="281">
        <v>150000.0</v>
      </c>
      <c r="H7" s="280"/>
      <c r="I7" s="280"/>
      <c r="J7" s="280"/>
      <c r="K7" s="280"/>
      <c r="L7" s="280"/>
      <c r="M7" s="280"/>
      <c r="N7" s="280"/>
      <c r="O7" s="280"/>
      <c r="P7" s="280"/>
      <c r="Q7" s="281">
        <v>150000.0</v>
      </c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2"/>
      <c r="AJ7" s="282"/>
      <c r="AK7" s="283">
        <v>2000.0</v>
      </c>
      <c r="AL7" s="282"/>
      <c r="AM7" s="282"/>
      <c r="AN7" s="282"/>
      <c r="AO7" s="282"/>
      <c r="AP7" s="282"/>
      <c r="AQ7" s="283">
        <v>140000.0</v>
      </c>
      <c r="AR7" s="282"/>
      <c r="AS7" s="282"/>
      <c r="AT7" s="282"/>
      <c r="AU7" s="282"/>
      <c r="AV7" s="283">
        <v>10000.0</v>
      </c>
      <c r="AW7" s="283">
        <v>190000.0</v>
      </c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77"/>
      <c r="BN7" s="284"/>
      <c r="BO7" s="284"/>
      <c r="BP7" s="284"/>
      <c r="BQ7" s="284"/>
      <c r="BR7" s="284"/>
      <c r="BS7" s="284"/>
      <c r="BT7" s="284"/>
      <c r="BU7" s="284"/>
      <c r="BV7" s="284"/>
      <c r="BW7" s="284"/>
      <c r="BX7" s="284"/>
      <c r="BY7" s="284"/>
      <c r="BZ7" s="284"/>
      <c r="CA7" s="284"/>
      <c r="CB7" s="284"/>
      <c r="CC7" s="284"/>
      <c r="CD7" s="284"/>
      <c r="CE7" s="284"/>
      <c r="CF7" s="284"/>
      <c r="CG7" s="284"/>
      <c r="CH7" s="284"/>
      <c r="CI7" s="284"/>
      <c r="CJ7" s="284"/>
      <c r="CK7" s="284"/>
      <c r="CL7" s="284"/>
      <c r="CM7" s="284"/>
      <c r="CN7" s="284"/>
      <c r="CO7" s="284"/>
      <c r="CP7" s="284"/>
      <c r="CQ7" s="284"/>
      <c r="CR7" s="284"/>
      <c r="CS7" s="284"/>
      <c r="CT7" s="284"/>
      <c r="CU7" s="284"/>
      <c r="CV7" s="284"/>
      <c r="CW7" s="284"/>
      <c r="CX7" s="284"/>
      <c r="CY7" s="284"/>
      <c r="CZ7" s="284"/>
      <c r="DA7" s="284"/>
      <c r="DB7" s="284"/>
      <c r="DC7" s="284"/>
      <c r="DD7" s="284"/>
      <c r="DE7" s="284"/>
      <c r="DF7" s="284"/>
      <c r="DG7" s="284"/>
      <c r="DH7" s="284"/>
      <c r="DI7" s="284"/>
      <c r="DJ7" s="284"/>
      <c r="DK7" s="284"/>
      <c r="DL7" s="284"/>
      <c r="DM7" s="284"/>
      <c r="DN7" s="284"/>
      <c r="DO7" s="284"/>
      <c r="DP7" s="284"/>
      <c r="DQ7" s="284"/>
      <c r="DR7" s="284"/>
      <c r="DS7" s="284"/>
      <c r="DT7" s="284"/>
      <c r="DU7" s="285"/>
      <c r="DV7" s="285"/>
      <c r="DW7" s="285"/>
      <c r="DX7" s="285"/>
      <c r="DY7" s="285"/>
      <c r="DZ7" s="285"/>
      <c r="EA7" s="285"/>
      <c r="EB7" s="285"/>
      <c r="EC7" s="285"/>
      <c r="ED7" s="285"/>
      <c r="EE7" s="285"/>
      <c r="EF7" s="285"/>
      <c r="EG7" s="285"/>
      <c r="EH7" s="285"/>
      <c r="EI7" s="285"/>
      <c r="EJ7" s="285"/>
      <c r="EK7" s="285"/>
      <c r="EL7" s="285"/>
      <c r="EM7" s="285"/>
      <c r="EN7" s="285"/>
      <c r="EO7" s="285"/>
      <c r="EP7" s="285"/>
      <c r="EQ7" s="285"/>
      <c r="ER7" s="285"/>
      <c r="ES7" s="285"/>
      <c r="ET7" s="285"/>
      <c r="EU7" s="285"/>
      <c r="EV7" s="285"/>
      <c r="EW7" s="285"/>
      <c r="EX7" s="285"/>
      <c r="EY7" s="285"/>
      <c r="EZ7" s="285"/>
      <c r="FA7" s="285"/>
      <c r="FB7" s="285"/>
      <c r="FC7" s="285"/>
      <c r="FD7" s="285"/>
      <c r="FE7" s="285"/>
      <c r="FF7" s="285"/>
      <c r="FG7" s="285"/>
      <c r="FH7" s="285"/>
      <c r="FI7" s="285"/>
      <c r="FJ7" s="285"/>
      <c r="FK7" s="285"/>
      <c r="FL7" s="285"/>
      <c r="FM7" s="285"/>
      <c r="FN7" s="285"/>
      <c r="FO7" s="285"/>
      <c r="FP7" s="285"/>
      <c r="FQ7" s="285"/>
      <c r="FR7" s="285"/>
      <c r="FS7" s="285"/>
      <c r="FT7" s="285"/>
      <c r="FU7" s="285"/>
      <c r="FV7" s="285"/>
      <c r="FW7" s="285"/>
      <c r="FX7" s="285"/>
      <c r="FY7" s="285"/>
      <c r="FZ7" s="285"/>
      <c r="GA7" s="285"/>
    </row>
    <row r="8" ht="18.75" customHeight="1">
      <c r="A8" s="266"/>
      <c r="B8" s="157" t="s">
        <v>21</v>
      </c>
      <c r="C8" s="272">
        <f t="shared" si="3"/>
        <v>150000</v>
      </c>
      <c r="D8" s="281">
        <v>75000.0</v>
      </c>
      <c r="E8" s="280"/>
      <c r="F8" s="280"/>
      <c r="G8" s="280"/>
      <c r="H8" s="281">
        <v>25000.0</v>
      </c>
      <c r="I8" s="280"/>
      <c r="J8" s="280"/>
      <c r="K8" s="280"/>
      <c r="L8" s="280"/>
      <c r="M8" s="281"/>
      <c r="N8" s="281">
        <v>35000.0</v>
      </c>
      <c r="O8" s="281"/>
      <c r="P8" s="281">
        <v>5000.0</v>
      </c>
      <c r="Q8" s="281">
        <v>52000.0</v>
      </c>
      <c r="R8" s="281">
        <v>75000.0</v>
      </c>
      <c r="S8" s="280"/>
      <c r="T8" s="280"/>
      <c r="U8" s="280"/>
      <c r="V8" s="280"/>
      <c r="W8" s="280"/>
      <c r="X8" s="281">
        <v>25000.0</v>
      </c>
      <c r="Y8" s="280"/>
      <c r="Z8" s="280"/>
      <c r="AA8" s="280"/>
      <c r="AB8" s="281">
        <v>2500.0</v>
      </c>
      <c r="AC8" s="280"/>
      <c r="AD8" s="280"/>
      <c r="AE8" s="280"/>
      <c r="AF8" s="281">
        <v>10000.0</v>
      </c>
      <c r="AG8" s="281">
        <v>25000.0</v>
      </c>
      <c r="AH8" s="281">
        <v>34000.0</v>
      </c>
      <c r="AI8" s="283">
        <v>140000.0</v>
      </c>
      <c r="AJ8" s="283">
        <v>15000.0</v>
      </c>
      <c r="AK8" s="283">
        <v>12500.0</v>
      </c>
      <c r="AL8" s="282"/>
      <c r="AM8" s="282"/>
      <c r="AN8" s="282"/>
      <c r="AO8" s="282"/>
      <c r="AP8" s="282"/>
      <c r="AQ8" s="283">
        <v>22000.0</v>
      </c>
      <c r="AR8" s="283">
        <v>57000.0</v>
      </c>
      <c r="AS8" s="283">
        <v>25000.0</v>
      </c>
      <c r="AT8" s="283">
        <v>10000.0</v>
      </c>
      <c r="AU8" s="282"/>
      <c r="AV8" s="283">
        <v>25000.0</v>
      </c>
      <c r="AW8" s="283">
        <v>10000.0</v>
      </c>
      <c r="AX8" s="283">
        <v>4166.0</v>
      </c>
      <c r="AY8" s="282"/>
      <c r="AZ8" s="282"/>
      <c r="BA8" s="283">
        <v>25000.0</v>
      </c>
      <c r="BB8" s="283">
        <v>25000.0</v>
      </c>
      <c r="BC8" s="282"/>
      <c r="BD8" s="282"/>
      <c r="BE8" s="282"/>
      <c r="BF8" s="282"/>
      <c r="BG8" s="283">
        <v>25000.0</v>
      </c>
      <c r="BH8" s="282"/>
      <c r="BI8" s="282"/>
      <c r="BJ8" s="282"/>
      <c r="BK8" s="283">
        <v>10000.0</v>
      </c>
      <c r="BL8" s="282"/>
      <c r="BM8" s="277"/>
      <c r="BN8" s="286">
        <v>25000.0</v>
      </c>
      <c r="BO8" s="284"/>
      <c r="BP8" s="284"/>
      <c r="BQ8" s="284"/>
      <c r="BR8" s="284"/>
      <c r="BS8" s="284"/>
      <c r="BT8" s="284"/>
      <c r="BU8" s="284"/>
      <c r="BV8" s="284"/>
      <c r="BW8" s="286">
        <v>75000.0</v>
      </c>
      <c r="BX8" s="286">
        <v>15000.0</v>
      </c>
      <c r="BY8" s="286">
        <v>35000.0</v>
      </c>
      <c r="BZ8" s="284"/>
      <c r="CA8" s="284"/>
      <c r="CB8" s="284"/>
      <c r="CC8" s="284"/>
      <c r="CD8" s="284"/>
      <c r="CE8" s="284"/>
      <c r="CF8" s="284"/>
      <c r="CG8" s="284"/>
      <c r="CH8" s="284"/>
      <c r="CI8" s="284"/>
      <c r="CJ8" s="284"/>
      <c r="CK8" s="284"/>
      <c r="CL8" s="284"/>
      <c r="CM8" s="284"/>
      <c r="CN8" s="284"/>
      <c r="CO8" s="284"/>
      <c r="CP8" s="284"/>
      <c r="CQ8" s="284"/>
      <c r="CR8" s="284"/>
      <c r="CS8" s="284"/>
      <c r="CT8" s="284"/>
      <c r="CU8" s="284"/>
      <c r="CV8" s="284"/>
      <c r="CW8" s="284"/>
      <c r="CX8" s="284"/>
      <c r="CY8" s="284"/>
      <c r="CZ8" s="284"/>
      <c r="DA8" s="284"/>
      <c r="DB8" s="284"/>
      <c r="DC8" s="284"/>
      <c r="DD8" s="284"/>
      <c r="DE8" s="284"/>
      <c r="DF8" s="284"/>
      <c r="DG8" s="284"/>
      <c r="DH8" s="284"/>
      <c r="DI8" s="284"/>
      <c r="DJ8" s="284"/>
      <c r="DK8" s="284"/>
      <c r="DL8" s="284"/>
      <c r="DM8" s="284"/>
      <c r="DN8" s="284"/>
      <c r="DO8" s="284"/>
      <c r="DP8" s="284"/>
      <c r="DQ8" s="284"/>
      <c r="DR8" s="284"/>
      <c r="DS8" s="284"/>
      <c r="DT8" s="284"/>
      <c r="DU8" s="285"/>
      <c r="DV8" s="285"/>
      <c r="DW8" s="285"/>
      <c r="DX8" s="285"/>
      <c r="DY8" s="285"/>
      <c r="DZ8" s="285"/>
      <c r="EA8" s="285"/>
      <c r="EB8" s="285"/>
      <c r="EC8" s="285"/>
      <c r="ED8" s="285"/>
      <c r="EE8" s="285"/>
      <c r="EF8" s="285"/>
      <c r="EG8" s="285"/>
      <c r="EH8" s="285"/>
      <c r="EI8" s="285"/>
      <c r="EJ8" s="285"/>
      <c r="EK8" s="285"/>
      <c r="EL8" s="285"/>
      <c r="EM8" s="285"/>
      <c r="EN8" s="285"/>
      <c r="EO8" s="285"/>
      <c r="EP8" s="285"/>
      <c r="EQ8" s="285"/>
      <c r="ER8" s="285"/>
      <c r="ES8" s="285"/>
      <c r="ET8" s="285"/>
      <c r="EU8" s="285"/>
      <c r="EV8" s="285"/>
      <c r="EW8" s="285"/>
      <c r="EX8" s="285"/>
      <c r="EY8" s="285"/>
      <c r="EZ8" s="285"/>
      <c r="FA8" s="285"/>
      <c r="FB8" s="285"/>
      <c r="FC8" s="285"/>
      <c r="FD8" s="285"/>
      <c r="FE8" s="285"/>
      <c r="FF8" s="285"/>
      <c r="FG8" s="285"/>
      <c r="FH8" s="285"/>
      <c r="FI8" s="285"/>
      <c r="FJ8" s="285"/>
      <c r="FK8" s="285"/>
      <c r="FL8" s="285"/>
      <c r="FM8" s="285"/>
      <c r="FN8" s="285"/>
      <c r="FO8" s="285"/>
      <c r="FP8" s="285"/>
      <c r="FQ8" s="285"/>
      <c r="FR8" s="285"/>
      <c r="FS8" s="285"/>
      <c r="FT8" s="285"/>
      <c r="FU8" s="285"/>
      <c r="FV8" s="285"/>
      <c r="FW8" s="285"/>
      <c r="FX8" s="285"/>
      <c r="FY8" s="285"/>
      <c r="FZ8" s="285"/>
      <c r="GA8" s="285"/>
    </row>
    <row r="9" ht="19.5" customHeight="1">
      <c r="A9" s="266"/>
      <c r="B9" s="157" t="s">
        <v>35</v>
      </c>
      <c r="C9" s="272">
        <f t="shared" si="3"/>
        <v>50000</v>
      </c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3">
        <v>2000.0</v>
      </c>
      <c r="R9" s="274"/>
      <c r="S9" s="274"/>
      <c r="T9" s="274"/>
      <c r="U9" s="273">
        <v>15000.0</v>
      </c>
      <c r="V9" s="274"/>
      <c r="W9" s="274"/>
      <c r="X9" s="273">
        <v>25000.0</v>
      </c>
      <c r="Y9" s="274"/>
      <c r="Z9" s="273">
        <v>25000.0</v>
      </c>
      <c r="AA9" s="274"/>
      <c r="AB9" s="273">
        <v>100000.0</v>
      </c>
      <c r="AC9" s="274"/>
      <c r="AD9" s="274"/>
      <c r="AE9" s="273">
        <v>250000.0</v>
      </c>
      <c r="AF9" s="274"/>
      <c r="AG9" s="273">
        <v>25000.0</v>
      </c>
      <c r="AH9" s="273">
        <v>25000.0</v>
      </c>
      <c r="AI9" s="276"/>
      <c r="AJ9" s="275"/>
      <c r="AK9" s="276">
        <v>10000.0</v>
      </c>
      <c r="AL9" s="276"/>
      <c r="AM9" s="275"/>
      <c r="AN9" s="276"/>
      <c r="AO9" s="276">
        <v>5000.0</v>
      </c>
      <c r="AP9" s="275"/>
      <c r="AQ9" s="276">
        <v>10000.0</v>
      </c>
      <c r="AR9" s="275"/>
      <c r="AS9" s="275"/>
      <c r="AT9" s="276">
        <v>25000.0</v>
      </c>
      <c r="AU9" s="275"/>
      <c r="AV9" s="275"/>
      <c r="AW9" s="275"/>
      <c r="AX9" s="276">
        <v>4166.0</v>
      </c>
      <c r="AY9" s="276">
        <v>25000.0</v>
      </c>
      <c r="AZ9" s="275"/>
      <c r="BA9" s="276">
        <v>5000.0</v>
      </c>
      <c r="BB9" s="276">
        <v>25000.0</v>
      </c>
      <c r="BC9" s="276">
        <v>50000.0</v>
      </c>
      <c r="BD9" s="275"/>
      <c r="BE9" s="276">
        <v>5000.0</v>
      </c>
      <c r="BF9" s="276">
        <v>50000.0</v>
      </c>
      <c r="BG9" s="276">
        <v>150000.0</v>
      </c>
      <c r="BH9" s="275"/>
      <c r="BI9" s="275"/>
      <c r="BJ9" s="276">
        <v>25000.0</v>
      </c>
      <c r="BK9" s="275"/>
      <c r="BL9" s="276">
        <v>6250.0</v>
      </c>
      <c r="BM9" s="287"/>
      <c r="BN9" s="288"/>
      <c r="BO9" s="278"/>
      <c r="BP9" s="278"/>
      <c r="BQ9" s="278"/>
      <c r="BR9" s="288">
        <v>25000.0</v>
      </c>
      <c r="BS9" s="278"/>
      <c r="BT9" s="278"/>
      <c r="BU9" s="278"/>
      <c r="BV9" s="288">
        <v>25000.0</v>
      </c>
      <c r="BW9" s="278"/>
      <c r="BX9" s="278"/>
      <c r="BY9" s="278"/>
      <c r="BZ9" s="278"/>
      <c r="CA9" s="278"/>
      <c r="CB9" s="278"/>
      <c r="CC9" s="278"/>
      <c r="CD9" s="278"/>
      <c r="CE9" s="278"/>
      <c r="CF9" s="278"/>
      <c r="CG9" s="278"/>
      <c r="CH9" s="278"/>
      <c r="CI9" s="278"/>
      <c r="CJ9" s="278"/>
      <c r="CK9" s="278"/>
      <c r="CL9" s="278"/>
      <c r="CM9" s="278"/>
      <c r="CN9" s="278"/>
      <c r="CO9" s="278"/>
      <c r="CP9" s="278"/>
      <c r="CQ9" s="278"/>
      <c r="CR9" s="278"/>
      <c r="CS9" s="278"/>
      <c r="CT9" s="278"/>
      <c r="CU9" s="278"/>
      <c r="CV9" s="278"/>
      <c r="CW9" s="278"/>
      <c r="CX9" s="278"/>
      <c r="CY9" s="278"/>
      <c r="CZ9" s="278"/>
      <c r="DA9" s="278"/>
      <c r="DB9" s="278"/>
      <c r="DC9" s="278"/>
      <c r="DD9" s="278"/>
      <c r="DE9" s="278"/>
      <c r="DF9" s="278"/>
      <c r="DG9" s="278"/>
      <c r="DH9" s="278"/>
      <c r="DI9" s="278"/>
      <c r="DJ9" s="278"/>
      <c r="DK9" s="278"/>
      <c r="DL9" s="278"/>
      <c r="DM9" s="278"/>
      <c r="DN9" s="278"/>
      <c r="DO9" s="278"/>
      <c r="DP9" s="278"/>
      <c r="DQ9" s="278"/>
      <c r="DR9" s="278"/>
      <c r="DS9" s="278"/>
      <c r="DT9" s="278"/>
      <c r="DU9" s="279"/>
      <c r="DV9" s="279"/>
      <c r="DW9" s="279"/>
      <c r="DX9" s="279"/>
      <c r="DY9" s="279"/>
      <c r="DZ9" s="279"/>
      <c r="EA9" s="279"/>
      <c r="EB9" s="279"/>
      <c r="EC9" s="279"/>
      <c r="ED9" s="279"/>
      <c r="EE9" s="279"/>
      <c r="EF9" s="279"/>
      <c r="EG9" s="279"/>
      <c r="EH9" s="279"/>
      <c r="EI9" s="279"/>
      <c r="EJ9" s="279"/>
      <c r="EK9" s="279"/>
      <c r="EL9" s="279"/>
      <c r="EM9" s="279"/>
      <c r="EN9" s="279"/>
      <c r="EO9" s="279"/>
      <c r="EP9" s="279"/>
      <c r="EQ9" s="279"/>
      <c r="ER9" s="279"/>
      <c r="ES9" s="279"/>
      <c r="ET9" s="279"/>
      <c r="EU9" s="279"/>
      <c r="EV9" s="279"/>
      <c r="EW9" s="279"/>
      <c r="EX9" s="279"/>
      <c r="EY9" s="279"/>
      <c r="EZ9" s="279"/>
      <c r="FA9" s="279"/>
      <c r="FB9" s="279"/>
      <c r="FC9" s="279"/>
      <c r="FD9" s="279"/>
      <c r="FE9" s="279"/>
      <c r="FF9" s="279"/>
      <c r="FG9" s="279"/>
      <c r="FH9" s="279"/>
      <c r="FI9" s="279"/>
      <c r="FJ9" s="279"/>
      <c r="FK9" s="279"/>
      <c r="FL9" s="279"/>
      <c r="FM9" s="279"/>
      <c r="FN9" s="279"/>
      <c r="FO9" s="279"/>
      <c r="FP9" s="279"/>
      <c r="FQ9" s="279"/>
      <c r="FR9" s="279"/>
      <c r="FS9" s="279"/>
      <c r="FT9" s="279"/>
      <c r="FU9" s="279"/>
      <c r="FV9" s="279"/>
      <c r="FW9" s="279"/>
      <c r="FX9" s="279"/>
      <c r="FY9" s="279"/>
      <c r="FZ9" s="279"/>
      <c r="GA9" s="279"/>
    </row>
    <row r="10" ht="19.5" customHeight="1">
      <c r="A10" s="266"/>
      <c r="B10" s="157" t="s">
        <v>12</v>
      </c>
      <c r="C10" s="272">
        <f t="shared" si="3"/>
        <v>35000</v>
      </c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1">
        <v>100000.0</v>
      </c>
      <c r="O10" s="280"/>
      <c r="P10" s="280"/>
      <c r="Q10" s="280"/>
      <c r="R10" s="281">
        <v>10000.0</v>
      </c>
      <c r="S10" s="280"/>
      <c r="T10" s="280"/>
      <c r="U10" s="280"/>
      <c r="V10" s="280"/>
      <c r="W10" s="280"/>
      <c r="X10" s="280"/>
      <c r="Y10" s="280"/>
      <c r="Z10" s="280"/>
      <c r="AA10" s="280"/>
      <c r="AB10" s="281">
        <v>12500.0</v>
      </c>
      <c r="AC10" s="280"/>
      <c r="AD10" s="280"/>
      <c r="AE10" s="281">
        <v>75000.0</v>
      </c>
      <c r="AF10" s="280"/>
      <c r="AG10" s="280"/>
      <c r="AH10" s="281">
        <v>34000.0</v>
      </c>
      <c r="AI10" s="282"/>
      <c r="AJ10" s="283">
        <v>20000.0</v>
      </c>
      <c r="AK10" s="283">
        <v>2000.0</v>
      </c>
      <c r="AL10" s="282"/>
      <c r="AM10" s="283">
        <v>10000.0</v>
      </c>
      <c r="AN10" s="282"/>
      <c r="AO10" s="282"/>
      <c r="AP10" s="282"/>
      <c r="AQ10" s="282"/>
      <c r="AR10" s="283">
        <v>25000.0</v>
      </c>
      <c r="AS10" s="282"/>
      <c r="AT10" s="283">
        <v>25000.0</v>
      </c>
      <c r="AU10" s="282"/>
      <c r="AV10" s="282"/>
      <c r="AW10" s="282"/>
      <c r="AX10" s="283"/>
      <c r="AY10" s="282"/>
      <c r="AZ10" s="282"/>
      <c r="BA10" s="283">
        <v>25000.0</v>
      </c>
      <c r="BB10" s="283">
        <v>2000.0</v>
      </c>
      <c r="BC10" s="282"/>
      <c r="BD10" s="282"/>
      <c r="BE10" s="283">
        <v>2000.0</v>
      </c>
      <c r="BF10" s="282"/>
      <c r="BG10" s="282"/>
      <c r="BH10" s="282"/>
      <c r="BI10" s="282"/>
      <c r="BJ10" s="282"/>
      <c r="BK10" s="282"/>
      <c r="BL10" s="283">
        <v>6250.0</v>
      </c>
      <c r="BM10" s="287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6">
        <v>35000.0</v>
      </c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5"/>
      <c r="DV10" s="285"/>
      <c r="DW10" s="285"/>
      <c r="DX10" s="285"/>
      <c r="DY10" s="285"/>
      <c r="DZ10" s="285"/>
      <c r="EA10" s="285"/>
      <c r="EB10" s="285"/>
      <c r="EC10" s="285"/>
      <c r="ED10" s="285"/>
      <c r="EE10" s="285"/>
      <c r="EF10" s="285"/>
      <c r="EG10" s="285"/>
      <c r="EH10" s="285"/>
      <c r="EI10" s="285"/>
      <c r="EJ10" s="285"/>
      <c r="EK10" s="285"/>
      <c r="EL10" s="285"/>
      <c r="EM10" s="285"/>
      <c r="EN10" s="285"/>
      <c r="EO10" s="285"/>
      <c r="EP10" s="285"/>
      <c r="EQ10" s="285"/>
      <c r="ER10" s="285"/>
      <c r="ES10" s="285"/>
      <c r="ET10" s="285"/>
      <c r="EU10" s="285"/>
      <c r="EV10" s="285"/>
      <c r="EW10" s="285"/>
      <c r="EX10" s="285"/>
      <c r="EY10" s="285"/>
      <c r="EZ10" s="285"/>
      <c r="FA10" s="285"/>
      <c r="FB10" s="285"/>
      <c r="FC10" s="285"/>
      <c r="FD10" s="285"/>
      <c r="FE10" s="285"/>
      <c r="FF10" s="285"/>
      <c r="FG10" s="285"/>
      <c r="FH10" s="285"/>
      <c r="FI10" s="285"/>
      <c r="FJ10" s="285"/>
      <c r="FK10" s="285"/>
      <c r="FL10" s="285"/>
      <c r="FM10" s="285"/>
      <c r="FN10" s="285"/>
      <c r="FO10" s="285"/>
      <c r="FP10" s="285"/>
      <c r="FQ10" s="285"/>
      <c r="FR10" s="285"/>
      <c r="FS10" s="285"/>
      <c r="FT10" s="285"/>
      <c r="FU10" s="285"/>
      <c r="FV10" s="285"/>
      <c r="FW10" s="285"/>
      <c r="FX10" s="285"/>
      <c r="FY10" s="285"/>
      <c r="FZ10" s="285"/>
      <c r="GA10" s="285"/>
    </row>
    <row r="11" ht="22.5" customHeight="1">
      <c r="A11" s="271"/>
      <c r="B11" s="157" t="s">
        <v>37</v>
      </c>
      <c r="C11" s="272">
        <f t="shared" si="3"/>
        <v>313000</v>
      </c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3">
        <v>10000.0</v>
      </c>
      <c r="P11" s="274"/>
      <c r="Q11" s="273">
        <v>47000.0</v>
      </c>
      <c r="R11" s="274"/>
      <c r="S11" s="273">
        <v>15000.0</v>
      </c>
      <c r="T11" s="273"/>
      <c r="U11" s="274"/>
      <c r="V11" s="274"/>
      <c r="W11" s="274"/>
      <c r="X11" s="274"/>
      <c r="Y11" s="274"/>
      <c r="Z11" s="274"/>
      <c r="AA11" s="273">
        <v>100000.0</v>
      </c>
      <c r="AB11" s="274"/>
      <c r="AC11" s="274"/>
      <c r="AD11" s="274"/>
      <c r="AE11" s="274"/>
      <c r="AF11" s="274"/>
      <c r="AG11" s="273">
        <v>5000.0</v>
      </c>
      <c r="AH11" s="273">
        <v>39000.0</v>
      </c>
      <c r="AI11" s="276"/>
      <c r="AJ11" s="276">
        <v>75000.0</v>
      </c>
      <c r="AK11" s="275"/>
      <c r="AL11" s="275"/>
      <c r="AM11" s="276">
        <v>75000.0</v>
      </c>
      <c r="AN11" s="275"/>
      <c r="AO11" s="275"/>
      <c r="AP11" s="275"/>
      <c r="AQ11" s="276">
        <v>10000.0</v>
      </c>
      <c r="AR11" s="276">
        <v>152000.0</v>
      </c>
      <c r="AS11" s="275"/>
      <c r="AT11" s="275"/>
      <c r="AU11" s="275"/>
      <c r="AV11" s="275"/>
      <c r="AW11" s="275"/>
      <c r="AX11" s="276">
        <v>4167.0</v>
      </c>
      <c r="AY11" s="275"/>
      <c r="AZ11" s="275"/>
      <c r="BA11" s="276">
        <v>10000.0</v>
      </c>
      <c r="BB11" s="276">
        <v>2000.0</v>
      </c>
      <c r="BC11" s="276">
        <v>25000.0</v>
      </c>
      <c r="BD11" s="276">
        <v>10000.0</v>
      </c>
      <c r="BE11" s="276">
        <v>2000.0</v>
      </c>
      <c r="BF11" s="275"/>
      <c r="BG11" s="276">
        <v>70000.0</v>
      </c>
      <c r="BH11" s="276">
        <v>140000.0</v>
      </c>
      <c r="BI11" s="275"/>
      <c r="BJ11" s="275"/>
      <c r="BK11" s="276">
        <v>100000.0</v>
      </c>
      <c r="BL11" s="276">
        <v>6250.0</v>
      </c>
      <c r="BM11" s="289">
        <v>113000.0</v>
      </c>
      <c r="BN11" s="288"/>
      <c r="BO11" s="278"/>
      <c r="BP11" s="288"/>
      <c r="BQ11" s="288">
        <v>50000.0</v>
      </c>
      <c r="BR11" s="278"/>
      <c r="BS11" s="278"/>
      <c r="BT11" s="278"/>
      <c r="BU11" s="278"/>
      <c r="BV11" s="278"/>
      <c r="BW11" s="278"/>
      <c r="BX11" s="288">
        <v>150000.0</v>
      </c>
      <c r="BY11" s="278"/>
      <c r="BZ11" s="278"/>
      <c r="CA11" s="278"/>
      <c r="CB11" s="278"/>
      <c r="CC11" s="278"/>
      <c r="CD11" s="278"/>
      <c r="CE11" s="278"/>
      <c r="CF11" s="278"/>
      <c r="CG11" s="278"/>
      <c r="CH11" s="278"/>
      <c r="CI11" s="278"/>
      <c r="CJ11" s="278"/>
      <c r="CK11" s="278"/>
      <c r="CL11" s="278"/>
      <c r="CM11" s="278"/>
      <c r="CN11" s="278"/>
      <c r="CO11" s="278"/>
      <c r="CP11" s="278"/>
      <c r="CQ11" s="278"/>
      <c r="CR11" s="278"/>
      <c r="CS11" s="278"/>
      <c r="CT11" s="278"/>
      <c r="CU11" s="278"/>
      <c r="CV11" s="278"/>
      <c r="CW11" s="278"/>
      <c r="CX11" s="278"/>
      <c r="CY11" s="278"/>
      <c r="CZ11" s="278"/>
      <c r="DA11" s="278"/>
      <c r="DB11" s="278"/>
      <c r="DC11" s="278"/>
      <c r="DD11" s="278"/>
      <c r="DE11" s="278"/>
      <c r="DF11" s="278"/>
      <c r="DG11" s="278"/>
      <c r="DH11" s="278"/>
      <c r="DI11" s="278"/>
      <c r="DJ11" s="278"/>
      <c r="DK11" s="278"/>
      <c r="DL11" s="278"/>
      <c r="DM11" s="278"/>
      <c r="DN11" s="278"/>
      <c r="DO11" s="278"/>
      <c r="DP11" s="278"/>
      <c r="DQ11" s="278"/>
      <c r="DR11" s="278"/>
      <c r="DS11" s="278"/>
      <c r="DT11" s="278"/>
      <c r="DU11" s="279"/>
      <c r="DV11" s="279"/>
      <c r="DW11" s="279"/>
      <c r="DX11" s="279"/>
      <c r="DY11" s="279"/>
      <c r="DZ11" s="279"/>
      <c r="EA11" s="279"/>
      <c r="EB11" s="279"/>
      <c r="EC11" s="279"/>
      <c r="ED11" s="279"/>
      <c r="EE11" s="279"/>
      <c r="EF11" s="279"/>
      <c r="EG11" s="279"/>
      <c r="EH11" s="279"/>
      <c r="EI11" s="279"/>
      <c r="EJ11" s="279"/>
      <c r="EK11" s="279"/>
      <c r="EL11" s="279"/>
      <c r="EM11" s="279"/>
      <c r="EN11" s="279"/>
      <c r="EO11" s="279"/>
      <c r="EP11" s="279"/>
      <c r="EQ11" s="279"/>
      <c r="ER11" s="279"/>
      <c r="ES11" s="279"/>
      <c r="ET11" s="279"/>
      <c r="EU11" s="279"/>
      <c r="EV11" s="279"/>
      <c r="EW11" s="279"/>
      <c r="EX11" s="279"/>
      <c r="EY11" s="279"/>
      <c r="EZ11" s="279"/>
      <c r="FA11" s="279"/>
      <c r="FB11" s="279"/>
      <c r="FC11" s="279"/>
      <c r="FD11" s="279"/>
      <c r="FE11" s="279"/>
      <c r="FF11" s="279"/>
      <c r="FG11" s="279"/>
      <c r="FH11" s="279"/>
      <c r="FI11" s="279"/>
      <c r="FJ11" s="279"/>
      <c r="FK11" s="279"/>
      <c r="FL11" s="279"/>
      <c r="FM11" s="279"/>
      <c r="FN11" s="279"/>
      <c r="FO11" s="279"/>
      <c r="FP11" s="279"/>
      <c r="FQ11" s="279"/>
      <c r="FR11" s="279"/>
      <c r="FS11" s="279"/>
      <c r="FT11" s="279"/>
      <c r="FU11" s="279"/>
      <c r="FV11" s="279"/>
      <c r="FW11" s="279"/>
      <c r="FX11" s="279"/>
      <c r="FY11" s="279"/>
      <c r="FZ11" s="279"/>
      <c r="GA11" s="279"/>
    </row>
    <row r="12" ht="19.5" customHeight="1">
      <c r="A12" s="266"/>
      <c r="B12" s="157" t="s">
        <v>14</v>
      </c>
      <c r="C12" s="272">
        <f t="shared" si="3"/>
        <v>108000</v>
      </c>
      <c r="D12" s="280"/>
      <c r="E12" s="280"/>
      <c r="F12" s="280"/>
      <c r="G12" s="280"/>
      <c r="H12" s="280"/>
      <c r="I12" s="280"/>
      <c r="J12" s="280"/>
      <c r="K12" s="280"/>
      <c r="L12" s="280"/>
      <c r="M12" s="281">
        <v>5000.0</v>
      </c>
      <c r="N12" s="281">
        <v>25000.0</v>
      </c>
      <c r="O12" s="280"/>
      <c r="P12" s="280"/>
      <c r="Q12" s="280"/>
      <c r="R12" s="280"/>
      <c r="S12" s="280"/>
      <c r="T12" s="280"/>
      <c r="U12" s="280"/>
      <c r="V12" s="281">
        <v>75000.0</v>
      </c>
      <c r="W12" s="280"/>
      <c r="X12" s="280"/>
      <c r="Y12" s="281">
        <v>5000.0</v>
      </c>
      <c r="Z12" s="280"/>
      <c r="AA12" s="280"/>
      <c r="AB12" s="280"/>
      <c r="AC12" s="280"/>
      <c r="AD12" s="281">
        <v>50000.0</v>
      </c>
      <c r="AE12" s="280"/>
      <c r="AF12" s="280"/>
      <c r="AG12" s="281">
        <v>208000.0</v>
      </c>
      <c r="AH12" s="281">
        <v>46000.0</v>
      </c>
      <c r="AI12" s="283"/>
      <c r="AJ12" s="282"/>
      <c r="AK12" s="282"/>
      <c r="AL12" s="282"/>
      <c r="AM12" s="282"/>
      <c r="AN12" s="283"/>
      <c r="AO12" s="283">
        <v>5000.0</v>
      </c>
      <c r="AP12" s="282"/>
      <c r="AQ12" s="282"/>
      <c r="AR12" s="282"/>
      <c r="AS12" s="282"/>
      <c r="AT12" s="283">
        <v>85000.0</v>
      </c>
      <c r="AU12" s="282"/>
      <c r="AV12" s="283">
        <v>10000.0</v>
      </c>
      <c r="AW12" s="282"/>
      <c r="AX12" s="282"/>
      <c r="AY12" s="283">
        <v>75000.0</v>
      </c>
      <c r="AZ12" s="283">
        <v>500000.0</v>
      </c>
      <c r="BA12" s="283">
        <v>3000.0</v>
      </c>
      <c r="BB12" s="283">
        <v>2000.0</v>
      </c>
      <c r="BC12" s="282"/>
      <c r="BD12" s="282"/>
      <c r="BE12" s="283">
        <v>2000.0</v>
      </c>
      <c r="BF12" s="282"/>
      <c r="BG12" s="282"/>
      <c r="BH12" s="282"/>
      <c r="BI12" s="282"/>
      <c r="BJ12" s="282"/>
      <c r="BK12" s="282"/>
      <c r="BL12" s="282"/>
      <c r="BM12" s="289">
        <v>53000.0</v>
      </c>
      <c r="BN12" s="286"/>
      <c r="BO12" s="284"/>
      <c r="BP12" s="286"/>
      <c r="BQ12" s="286">
        <v>50000.0</v>
      </c>
      <c r="BR12" s="284"/>
      <c r="BS12" s="284"/>
      <c r="BT12" s="284"/>
      <c r="BU12" s="284"/>
      <c r="BV12" s="284"/>
      <c r="BW12" s="284"/>
      <c r="BX12" s="286">
        <v>5000.0</v>
      </c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5"/>
      <c r="DV12" s="285"/>
      <c r="DW12" s="285"/>
      <c r="DX12" s="285"/>
      <c r="DY12" s="285"/>
      <c r="DZ12" s="285"/>
      <c r="EA12" s="285"/>
      <c r="EB12" s="285"/>
      <c r="EC12" s="285"/>
      <c r="ED12" s="285"/>
      <c r="EE12" s="285"/>
      <c r="EF12" s="285"/>
      <c r="EG12" s="285"/>
      <c r="EH12" s="285"/>
      <c r="EI12" s="285"/>
      <c r="EJ12" s="285"/>
      <c r="EK12" s="285"/>
      <c r="EL12" s="285"/>
      <c r="EM12" s="285"/>
      <c r="EN12" s="285"/>
      <c r="EO12" s="285"/>
      <c r="EP12" s="285"/>
      <c r="EQ12" s="285"/>
      <c r="ER12" s="285"/>
      <c r="ES12" s="285"/>
      <c r="ET12" s="285"/>
      <c r="EU12" s="285"/>
      <c r="EV12" s="285"/>
      <c r="EW12" s="285"/>
      <c r="EX12" s="285"/>
      <c r="EY12" s="285"/>
      <c r="EZ12" s="285"/>
      <c r="FA12" s="285"/>
      <c r="FB12" s="285"/>
      <c r="FC12" s="285"/>
      <c r="FD12" s="285"/>
      <c r="FE12" s="285"/>
      <c r="FF12" s="285"/>
      <c r="FG12" s="285"/>
      <c r="FH12" s="285"/>
      <c r="FI12" s="285"/>
      <c r="FJ12" s="285"/>
      <c r="FK12" s="285"/>
      <c r="FL12" s="285"/>
      <c r="FM12" s="285"/>
      <c r="FN12" s="285"/>
      <c r="FO12" s="285"/>
      <c r="FP12" s="285"/>
      <c r="FQ12" s="285"/>
      <c r="FR12" s="285"/>
      <c r="FS12" s="285"/>
      <c r="FT12" s="285"/>
      <c r="FU12" s="285"/>
      <c r="FV12" s="285"/>
      <c r="FW12" s="285"/>
      <c r="FX12" s="285"/>
      <c r="FY12" s="285"/>
      <c r="FZ12" s="285"/>
      <c r="GA12" s="285"/>
    </row>
    <row r="13" ht="19.5" customHeight="1">
      <c r="A13" s="266"/>
      <c r="B13" s="157" t="s">
        <v>39</v>
      </c>
      <c r="C13" s="272">
        <f t="shared" si="3"/>
        <v>170000</v>
      </c>
      <c r="D13" s="273">
        <v>10000.0</v>
      </c>
      <c r="E13" s="274"/>
      <c r="F13" s="274"/>
      <c r="G13" s="274"/>
      <c r="H13" s="274"/>
      <c r="I13" s="274"/>
      <c r="J13" s="274"/>
      <c r="K13" s="274"/>
      <c r="L13" s="273">
        <v>30000.0</v>
      </c>
      <c r="M13" s="274"/>
      <c r="N13" s="274"/>
      <c r="O13" s="274"/>
      <c r="P13" s="274"/>
      <c r="Q13" s="273">
        <v>202000.0</v>
      </c>
      <c r="R13" s="274"/>
      <c r="S13" s="274"/>
      <c r="T13" s="273">
        <v>5000.0</v>
      </c>
      <c r="U13" s="274"/>
      <c r="V13" s="274"/>
      <c r="W13" s="273">
        <v>2000.0</v>
      </c>
      <c r="X13" s="274"/>
      <c r="Y13" s="274"/>
      <c r="Z13" s="274"/>
      <c r="AA13" s="273">
        <v>5000.0</v>
      </c>
      <c r="AB13" s="274"/>
      <c r="AC13" s="274"/>
      <c r="AD13" s="273"/>
      <c r="AE13" s="273">
        <v>20000.0</v>
      </c>
      <c r="AF13" s="273">
        <v>263000.0</v>
      </c>
      <c r="AG13" s="273">
        <v>10000.0</v>
      </c>
      <c r="AH13" s="273">
        <v>46000.0</v>
      </c>
      <c r="AI13" s="275"/>
      <c r="AJ13" s="275"/>
      <c r="AK13" s="275"/>
      <c r="AL13" s="276">
        <v>5000.0</v>
      </c>
      <c r="AM13" s="276">
        <v>10000.0</v>
      </c>
      <c r="AN13" s="275"/>
      <c r="AO13" s="275"/>
      <c r="AP13" s="275"/>
      <c r="AQ13" s="276">
        <v>85000.0</v>
      </c>
      <c r="AR13" s="275"/>
      <c r="AS13" s="275"/>
      <c r="AT13" s="275"/>
      <c r="AU13" s="276">
        <v>15000.0</v>
      </c>
      <c r="AV13" s="276">
        <v>15000.0</v>
      </c>
      <c r="AW13" s="275"/>
      <c r="AX13" s="276">
        <v>4166.0</v>
      </c>
      <c r="AY13" s="276">
        <v>25000.0</v>
      </c>
      <c r="AZ13" s="276">
        <v>25000.0</v>
      </c>
      <c r="BA13" s="276">
        <v>4000.0</v>
      </c>
      <c r="BB13" s="276">
        <v>2000.0</v>
      </c>
      <c r="BC13" s="275"/>
      <c r="BD13" s="275"/>
      <c r="BE13" s="276">
        <v>2000.0</v>
      </c>
      <c r="BF13" s="276">
        <v>110000.0</v>
      </c>
      <c r="BG13" s="275"/>
      <c r="BH13" s="275"/>
      <c r="BI13" s="276">
        <v>50000.0</v>
      </c>
      <c r="BJ13" s="275"/>
      <c r="BK13" s="275"/>
      <c r="BL13" s="276">
        <v>6250.0</v>
      </c>
      <c r="BM13" s="290"/>
      <c r="BN13" s="278"/>
      <c r="BO13" s="278"/>
      <c r="BP13" s="278"/>
      <c r="BQ13" s="278"/>
      <c r="BR13" s="278"/>
      <c r="BS13" s="278"/>
      <c r="BT13" s="278"/>
      <c r="BU13" s="288">
        <v>150000.0</v>
      </c>
      <c r="BV13" s="278"/>
      <c r="BW13" s="278"/>
      <c r="BX13" s="278"/>
      <c r="BY13" s="278"/>
      <c r="BZ13" s="288">
        <v>5000.0</v>
      </c>
      <c r="CA13" s="288">
        <v>15000.0</v>
      </c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9"/>
      <c r="DV13" s="279"/>
      <c r="DW13" s="279"/>
      <c r="DX13" s="279"/>
      <c r="DY13" s="279"/>
      <c r="DZ13" s="279"/>
      <c r="EA13" s="279"/>
      <c r="EB13" s="279"/>
      <c r="EC13" s="279"/>
      <c r="ED13" s="279"/>
      <c r="EE13" s="279"/>
      <c r="EF13" s="279"/>
      <c r="EG13" s="279"/>
      <c r="EH13" s="279"/>
      <c r="EI13" s="279"/>
      <c r="EJ13" s="279"/>
      <c r="EK13" s="279"/>
      <c r="EL13" s="279"/>
      <c r="EM13" s="279"/>
      <c r="EN13" s="279"/>
      <c r="EO13" s="279"/>
      <c r="EP13" s="279"/>
      <c r="EQ13" s="279"/>
      <c r="ER13" s="279"/>
      <c r="ES13" s="279"/>
      <c r="ET13" s="279"/>
      <c r="EU13" s="279"/>
      <c r="EV13" s="279"/>
      <c r="EW13" s="279"/>
      <c r="EX13" s="279"/>
      <c r="EY13" s="279"/>
      <c r="EZ13" s="279"/>
      <c r="FA13" s="279"/>
      <c r="FB13" s="279"/>
      <c r="FC13" s="279"/>
      <c r="FD13" s="279"/>
      <c r="FE13" s="279"/>
      <c r="FF13" s="279"/>
      <c r="FG13" s="279"/>
      <c r="FH13" s="279"/>
      <c r="FI13" s="279"/>
      <c r="FJ13" s="279"/>
      <c r="FK13" s="279"/>
      <c r="FL13" s="279"/>
      <c r="FM13" s="279"/>
      <c r="FN13" s="279"/>
      <c r="FO13" s="279"/>
      <c r="FP13" s="279"/>
      <c r="FQ13" s="279"/>
      <c r="FR13" s="279"/>
      <c r="FS13" s="279"/>
      <c r="FT13" s="279"/>
      <c r="FU13" s="279"/>
      <c r="FV13" s="279"/>
      <c r="FW13" s="279"/>
      <c r="FX13" s="279"/>
      <c r="FY13" s="279"/>
      <c r="FZ13" s="279"/>
      <c r="GA13" s="279"/>
    </row>
    <row r="14" ht="19.5" customHeight="1">
      <c r="A14" s="271"/>
      <c r="B14" s="157" t="s">
        <v>24</v>
      </c>
      <c r="C14" s="272">
        <f t="shared" si="3"/>
        <v>35000</v>
      </c>
      <c r="D14" s="274"/>
      <c r="E14" s="274"/>
      <c r="F14" s="274"/>
      <c r="G14" s="274"/>
      <c r="H14" s="273">
        <v>50000.0</v>
      </c>
      <c r="I14" s="274"/>
      <c r="J14" s="274"/>
      <c r="K14" s="274"/>
      <c r="L14" s="274"/>
      <c r="M14" s="274"/>
      <c r="N14" s="274"/>
      <c r="O14" s="273">
        <v>10000.0</v>
      </c>
      <c r="P14" s="274"/>
      <c r="Q14" s="274"/>
      <c r="R14" s="274"/>
      <c r="S14" s="273">
        <v>20000.0</v>
      </c>
      <c r="T14" s="273">
        <v>10000.0</v>
      </c>
      <c r="U14" s="274"/>
      <c r="V14" s="273">
        <v>10000.0</v>
      </c>
      <c r="W14" s="274"/>
      <c r="X14" s="273">
        <v>25000.0</v>
      </c>
      <c r="Y14" s="273">
        <v>25000.0</v>
      </c>
      <c r="Z14" s="274"/>
      <c r="AA14" s="274"/>
      <c r="AB14" s="273">
        <v>25000.0</v>
      </c>
      <c r="AC14" s="274"/>
      <c r="AD14" s="274"/>
      <c r="AE14" s="273">
        <v>75000.0</v>
      </c>
      <c r="AF14" s="274"/>
      <c r="AG14" s="274"/>
      <c r="AH14" s="273">
        <v>47000.0</v>
      </c>
      <c r="AI14" s="275"/>
      <c r="AJ14" s="276">
        <v>13000.0</v>
      </c>
      <c r="AK14" s="276">
        <v>2000.0</v>
      </c>
      <c r="AL14" s="276">
        <v>15000.0</v>
      </c>
      <c r="AM14" s="275"/>
      <c r="AN14" s="275"/>
      <c r="AO14" s="275"/>
      <c r="AP14" s="275"/>
      <c r="AQ14" s="276"/>
      <c r="AR14" s="276">
        <v>50000.0</v>
      </c>
      <c r="AS14" s="275"/>
      <c r="AT14" s="275"/>
      <c r="AU14" s="275"/>
      <c r="AV14" s="276"/>
      <c r="AW14" s="275"/>
      <c r="AX14" s="276">
        <v>4168.0</v>
      </c>
      <c r="AY14" s="275"/>
      <c r="AZ14" s="275"/>
      <c r="BA14" s="275"/>
      <c r="BB14" s="276">
        <v>2000.0</v>
      </c>
      <c r="BC14" s="276">
        <v>25000.0</v>
      </c>
      <c r="BD14" s="275"/>
      <c r="BE14" s="276">
        <v>25000.0</v>
      </c>
      <c r="BF14" s="275"/>
      <c r="BG14" s="275"/>
      <c r="BH14" s="275"/>
      <c r="BI14" s="276"/>
      <c r="BJ14" s="276">
        <v>30000.0</v>
      </c>
      <c r="BK14" s="275"/>
      <c r="BL14" s="276">
        <v>6250.0</v>
      </c>
      <c r="BM14" s="287"/>
      <c r="BN14" s="278"/>
      <c r="BO14" s="278"/>
      <c r="BP14" s="278"/>
      <c r="BQ14" s="278"/>
      <c r="BR14" s="278"/>
      <c r="BS14" s="278"/>
      <c r="BT14" s="278"/>
      <c r="BU14" s="278"/>
      <c r="BV14" s="278"/>
      <c r="BW14" s="278"/>
      <c r="BX14" s="278"/>
      <c r="BY14" s="288">
        <v>35000.0</v>
      </c>
      <c r="BZ14" s="278"/>
      <c r="CA14" s="278"/>
      <c r="CB14" s="278"/>
      <c r="CC14" s="278"/>
      <c r="CD14" s="278"/>
      <c r="CE14" s="278"/>
      <c r="CF14" s="278"/>
      <c r="CG14" s="278"/>
      <c r="CH14" s="278"/>
      <c r="CI14" s="278"/>
      <c r="CJ14" s="278"/>
      <c r="CK14" s="278"/>
      <c r="CL14" s="278"/>
      <c r="CM14" s="278"/>
      <c r="CN14" s="278"/>
      <c r="CO14" s="278"/>
      <c r="CP14" s="278"/>
      <c r="CQ14" s="278"/>
      <c r="CR14" s="278"/>
      <c r="CS14" s="278"/>
      <c r="CT14" s="278"/>
      <c r="CU14" s="278"/>
      <c r="CV14" s="278"/>
      <c r="CW14" s="278"/>
      <c r="CX14" s="278"/>
      <c r="CY14" s="278"/>
      <c r="CZ14" s="278"/>
      <c r="DA14" s="278"/>
      <c r="DB14" s="278"/>
      <c r="DC14" s="278"/>
      <c r="DD14" s="278"/>
      <c r="DE14" s="278"/>
      <c r="DF14" s="278"/>
      <c r="DG14" s="278"/>
      <c r="DH14" s="278"/>
      <c r="DI14" s="278"/>
      <c r="DJ14" s="278"/>
      <c r="DK14" s="278"/>
      <c r="DL14" s="278"/>
      <c r="DM14" s="278"/>
      <c r="DN14" s="278"/>
      <c r="DO14" s="278"/>
      <c r="DP14" s="278"/>
      <c r="DQ14" s="278"/>
      <c r="DR14" s="278"/>
      <c r="DS14" s="278"/>
      <c r="DT14" s="278"/>
      <c r="DU14" s="279"/>
      <c r="DV14" s="279"/>
      <c r="DW14" s="279"/>
      <c r="DX14" s="279"/>
      <c r="DY14" s="279"/>
      <c r="DZ14" s="279"/>
      <c r="EA14" s="279"/>
      <c r="EB14" s="279"/>
      <c r="EC14" s="279"/>
      <c r="ED14" s="279"/>
      <c r="EE14" s="279"/>
      <c r="EF14" s="279"/>
      <c r="EG14" s="279"/>
      <c r="EH14" s="279"/>
      <c r="EI14" s="279"/>
      <c r="EJ14" s="279"/>
      <c r="EK14" s="279"/>
      <c r="EL14" s="279"/>
      <c r="EM14" s="279"/>
      <c r="EN14" s="279"/>
      <c r="EO14" s="279"/>
      <c r="EP14" s="279"/>
      <c r="EQ14" s="279"/>
      <c r="ER14" s="279"/>
      <c r="ES14" s="279"/>
      <c r="ET14" s="279"/>
      <c r="EU14" s="279"/>
      <c r="EV14" s="279"/>
      <c r="EW14" s="279"/>
      <c r="EX14" s="279"/>
      <c r="EY14" s="279"/>
      <c r="EZ14" s="279"/>
      <c r="FA14" s="279"/>
      <c r="FB14" s="279"/>
      <c r="FC14" s="279"/>
      <c r="FD14" s="279"/>
      <c r="FE14" s="279"/>
      <c r="FF14" s="279"/>
      <c r="FG14" s="279"/>
      <c r="FH14" s="279"/>
      <c r="FI14" s="279"/>
      <c r="FJ14" s="279"/>
      <c r="FK14" s="279"/>
      <c r="FL14" s="279"/>
      <c r="FM14" s="279"/>
      <c r="FN14" s="279"/>
      <c r="FO14" s="279"/>
      <c r="FP14" s="279"/>
      <c r="FQ14" s="279"/>
      <c r="FR14" s="279"/>
      <c r="FS14" s="279"/>
      <c r="FT14" s="279"/>
      <c r="FU14" s="279"/>
      <c r="FV14" s="279"/>
      <c r="FW14" s="279"/>
      <c r="FX14" s="279"/>
      <c r="FY14" s="279"/>
      <c r="FZ14" s="279"/>
      <c r="GA14" s="279"/>
    </row>
    <row r="15" ht="19.5" customHeight="1">
      <c r="A15" s="271"/>
      <c r="B15" s="157" t="s">
        <v>40</v>
      </c>
      <c r="C15" s="272">
        <f t="shared" si="3"/>
        <v>0</v>
      </c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77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5"/>
      <c r="DV15" s="285"/>
      <c r="DW15" s="285"/>
      <c r="DX15" s="285"/>
      <c r="DY15" s="285"/>
      <c r="DZ15" s="285"/>
      <c r="EA15" s="285"/>
      <c r="EB15" s="285"/>
      <c r="EC15" s="285"/>
      <c r="ED15" s="285"/>
      <c r="EE15" s="285"/>
      <c r="EF15" s="285"/>
      <c r="EG15" s="285"/>
      <c r="EH15" s="285"/>
      <c r="EI15" s="285"/>
      <c r="EJ15" s="285"/>
      <c r="EK15" s="285"/>
      <c r="EL15" s="285"/>
      <c r="EM15" s="285"/>
      <c r="EN15" s="285"/>
      <c r="EO15" s="285"/>
      <c r="EP15" s="285"/>
      <c r="EQ15" s="285"/>
      <c r="ER15" s="285"/>
      <c r="ES15" s="285"/>
      <c r="ET15" s="285"/>
      <c r="EU15" s="285"/>
      <c r="EV15" s="285"/>
      <c r="EW15" s="285"/>
      <c r="EX15" s="285"/>
      <c r="EY15" s="285"/>
      <c r="EZ15" s="285"/>
      <c r="FA15" s="285"/>
      <c r="FB15" s="285"/>
      <c r="FC15" s="285"/>
      <c r="FD15" s="285"/>
      <c r="FE15" s="285"/>
      <c r="FF15" s="285"/>
      <c r="FG15" s="285"/>
      <c r="FH15" s="285"/>
      <c r="FI15" s="285"/>
      <c r="FJ15" s="285"/>
      <c r="FK15" s="285"/>
      <c r="FL15" s="285"/>
      <c r="FM15" s="285"/>
      <c r="FN15" s="285"/>
      <c r="FO15" s="285"/>
      <c r="FP15" s="285"/>
      <c r="FQ15" s="285"/>
      <c r="FR15" s="285"/>
      <c r="FS15" s="285"/>
      <c r="FT15" s="285"/>
      <c r="FU15" s="285"/>
      <c r="FV15" s="285"/>
      <c r="FW15" s="285"/>
      <c r="FX15" s="285"/>
      <c r="FY15" s="285"/>
      <c r="FZ15" s="285"/>
      <c r="GA15" s="285"/>
    </row>
    <row r="16" ht="19.5" customHeight="1">
      <c r="A16" s="271"/>
      <c r="B16" s="210" t="s">
        <v>41</v>
      </c>
      <c r="C16" s="272">
        <f t="shared" si="3"/>
        <v>0</v>
      </c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77"/>
      <c r="BN16" s="284"/>
      <c r="BO16" s="284"/>
      <c r="BP16" s="284"/>
      <c r="BQ16" s="284"/>
      <c r="BR16" s="284"/>
      <c r="BS16" s="284"/>
      <c r="BT16" s="284"/>
      <c r="BU16" s="284"/>
      <c r="BV16" s="284"/>
      <c r="BW16" s="284"/>
      <c r="BX16" s="284"/>
      <c r="BY16" s="284"/>
      <c r="BZ16" s="284"/>
      <c r="CA16" s="284"/>
      <c r="CB16" s="284"/>
      <c r="CC16" s="284"/>
      <c r="CD16" s="284"/>
      <c r="CE16" s="284"/>
      <c r="CF16" s="284"/>
      <c r="CG16" s="284"/>
      <c r="CH16" s="284"/>
      <c r="CI16" s="284"/>
      <c r="CJ16" s="284"/>
      <c r="CK16" s="284"/>
      <c r="CL16" s="284"/>
      <c r="CM16" s="284"/>
      <c r="CN16" s="284"/>
      <c r="CO16" s="284"/>
      <c r="CP16" s="284"/>
      <c r="CQ16" s="284"/>
      <c r="CR16" s="284"/>
      <c r="CS16" s="284"/>
      <c r="CT16" s="284"/>
      <c r="CU16" s="284"/>
      <c r="CV16" s="284"/>
      <c r="CW16" s="284"/>
      <c r="CX16" s="284"/>
      <c r="CY16" s="284"/>
      <c r="CZ16" s="284"/>
      <c r="DA16" s="284"/>
      <c r="DB16" s="284"/>
      <c r="DC16" s="284"/>
      <c r="DD16" s="284"/>
      <c r="DE16" s="284"/>
      <c r="DF16" s="284"/>
      <c r="DG16" s="284"/>
      <c r="DH16" s="284"/>
      <c r="DI16" s="284"/>
      <c r="DJ16" s="284"/>
      <c r="DK16" s="284"/>
      <c r="DL16" s="284"/>
      <c r="DM16" s="284"/>
      <c r="DN16" s="284"/>
      <c r="DO16" s="284"/>
      <c r="DP16" s="284"/>
      <c r="DQ16" s="284"/>
      <c r="DR16" s="284"/>
      <c r="DS16" s="284"/>
      <c r="DT16" s="284"/>
      <c r="DU16" s="285"/>
      <c r="DV16" s="285"/>
      <c r="DW16" s="285"/>
      <c r="DX16" s="291"/>
      <c r="DY16" s="291"/>
      <c r="DZ16" s="291"/>
      <c r="EA16" s="291"/>
      <c r="EB16" s="291"/>
      <c r="EC16" s="291"/>
      <c r="ED16" s="291"/>
      <c r="EE16" s="291"/>
      <c r="EF16" s="291"/>
      <c r="EG16" s="291"/>
      <c r="EH16" s="291"/>
      <c r="EI16" s="291"/>
      <c r="EJ16" s="291"/>
      <c r="EK16" s="291"/>
      <c r="EL16" s="291"/>
      <c r="EM16" s="291"/>
      <c r="EN16" s="291"/>
      <c r="EO16" s="291"/>
      <c r="EP16" s="291"/>
      <c r="EQ16" s="291"/>
      <c r="ER16" s="291"/>
      <c r="ES16" s="291"/>
      <c r="ET16" s="291"/>
      <c r="EU16" s="291"/>
      <c r="EV16" s="291"/>
      <c r="EW16" s="291"/>
      <c r="EX16" s="291"/>
      <c r="EY16" s="291"/>
      <c r="EZ16" s="291"/>
      <c r="FA16" s="291"/>
      <c r="FB16" s="291"/>
      <c r="FC16" s="291"/>
      <c r="FD16" s="291"/>
      <c r="FE16" s="291"/>
      <c r="FF16" s="291"/>
      <c r="FG16" s="291"/>
      <c r="FH16" s="291"/>
      <c r="FI16" s="291"/>
      <c r="FJ16" s="291"/>
      <c r="FK16" s="291"/>
      <c r="FL16" s="291"/>
      <c r="FM16" s="291"/>
      <c r="FN16" s="291"/>
      <c r="FO16" s="291"/>
      <c r="FP16" s="291"/>
      <c r="FQ16" s="291"/>
      <c r="FR16" s="291"/>
      <c r="FS16" s="291"/>
      <c r="FT16" s="291"/>
      <c r="FU16" s="291"/>
      <c r="FV16" s="291"/>
      <c r="FW16" s="291"/>
      <c r="FX16" s="291"/>
      <c r="FY16" s="291"/>
      <c r="FZ16" s="291"/>
      <c r="GA16" s="291"/>
    </row>
    <row r="17" ht="30.0" customHeight="1" outlineLevel="1">
      <c r="A17" s="292"/>
      <c r="B17" s="293" t="s">
        <v>50</v>
      </c>
      <c r="C17" s="294">
        <f t="shared" ref="C17:C18" si="4">sum(D17:FZ17)</f>
        <v>11541000</v>
      </c>
      <c r="D17" s="295">
        <v>4250000.0</v>
      </c>
      <c r="E17" s="295">
        <v>3000000.0</v>
      </c>
      <c r="F17" s="295">
        <v>250000.0</v>
      </c>
      <c r="G17" s="295"/>
      <c r="H17" s="295"/>
      <c r="I17" s="296"/>
      <c r="J17" s="295">
        <v>875000.0</v>
      </c>
      <c r="K17" s="295"/>
      <c r="L17" s="296"/>
      <c r="M17" s="295">
        <v>500000.0</v>
      </c>
      <c r="N17" s="296"/>
      <c r="O17" s="296"/>
      <c r="P17" s="296"/>
      <c r="Q17" s="296"/>
      <c r="R17" s="295"/>
      <c r="S17" s="296"/>
      <c r="T17" s="296"/>
      <c r="U17" s="296"/>
      <c r="V17" s="295">
        <v>255000.0</v>
      </c>
      <c r="W17" s="296"/>
      <c r="X17" s="295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5">
        <v>50000.0</v>
      </c>
      <c r="AJ17" s="295">
        <v>500000.0</v>
      </c>
      <c r="AK17" s="296"/>
      <c r="AL17" s="296"/>
      <c r="AM17" s="295">
        <v>500000.0</v>
      </c>
      <c r="AN17" s="296"/>
      <c r="AO17" s="295">
        <v>45000.0</v>
      </c>
      <c r="AP17" s="296"/>
      <c r="AQ17" s="296"/>
      <c r="AR17" s="295"/>
      <c r="AS17" s="296"/>
      <c r="AT17" s="296"/>
      <c r="AU17" s="295"/>
      <c r="AV17" s="296"/>
      <c r="AW17" s="295">
        <v>500000.0</v>
      </c>
      <c r="AX17" s="296"/>
      <c r="AY17" s="296"/>
      <c r="AZ17" s="296"/>
      <c r="BA17" s="296"/>
      <c r="BB17" s="295">
        <v>15000.0</v>
      </c>
      <c r="BC17" s="295"/>
      <c r="BD17" s="296"/>
      <c r="BE17" s="296"/>
      <c r="BF17" s="296"/>
      <c r="BG17" s="296"/>
      <c r="BH17" s="296"/>
      <c r="BI17" s="295">
        <v>270000.0</v>
      </c>
      <c r="BJ17" s="296"/>
      <c r="BK17" s="297">
        <v>50000.0</v>
      </c>
      <c r="BL17" s="298"/>
      <c r="BM17" s="299"/>
      <c r="BN17" s="297">
        <v>126000.0</v>
      </c>
      <c r="BO17" s="298"/>
      <c r="BP17" s="297">
        <v>330000.0</v>
      </c>
      <c r="BQ17" s="298"/>
      <c r="BR17" s="297">
        <v>25000.0</v>
      </c>
      <c r="BS17" s="298"/>
      <c r="BT17" s="298"/>
      <c r="BU17" s="298"/>
      <c r="BV17" s="298"/>
      <c r="BW17" s="298"/>
      <c r="BX17" s="298"/>
      <c r="BY17" s="298"/>
      <c r="BZ17" s="298"/>
      <c r="CA17" s="298"/>
      <c r="CB17" s="298"/>
      <c r="CC17" s="298"/>
      <c r="CD17" s="298"/>
      <c r="CE17" s="298"/>
      <c r="CF17" s="298"/>
      <c r="CG17" s="298"/>
      <c r="CH17" s="298"/>
      <c r="CI17" s="298"/>
      <c r="CJ17" s="298"/>
      <c r="CK17" s="298"/>
      <c r="CL17" s="298"/>
      <c r="CM17" s="298"/>
      <c r="CN17" s="298"/>
      <c r="CO17" s="298"/>
      <c r="CP17" s="298"/>
      <c r="CQ17" s="298"/>
      <c r="CR17" s="298"/>
      <c r="CS17" s="298"/>
      <c r="CT17" s="298"/>
      <c r="CU17" s="298"/>
      <c r="CV17" s="298"/>
      <c r="CW17" s="298"/>
      <c r="CX17" s="298"/>
      <c r="CY17" s="298"/>
      <c r="CZ17" s="298"/>
      <c r="DA17" s="298"/>
      <c r="DB17" s="298"/>
      <c r="DC17" s="298"/>
      <c r="DD17" s="298"/>
      <c r="DE17" s="298"/>
      <c r="DF17" s="298"/>
      <c r="DG17" s="298"/>
      <c r="DH17" s="298"/>
      <c r="DI17" s="298"/>
      <c r="DJ17" s="298"/>
      <c r="DK17" s="298"/>
      <c r="DL17" s="298"/>
      <c r="DM17" s="298"/>
      <c r="DN17" s="298"/>
      <c r="DO17" s="298"/>
      <c r="DP17" s="298"/>
      <c r="DQ17" s="298"/>
      <c r="DR17" s="298"/>
      <c r="DS17" s="298"/>
      <c r="DT17" s="298"/>
      <c r="DU17" s="298"/>
      <c r="DV17" s="298"/>
      <c r="DW17" s="298"/>
      <c r="DX17" s="300"/>
      <c r="DY17" s="300"/>
      <c r="DZ17" s="300"/>
      <c r="EA17" s="300"/>
      <c r="EB17" s="300"/>
      <c r="EC17" s="300"/>
      <c r="ED17" s="300"/>
      <c r="EE17" s="300"/>
      <c r="EF17" s="300"/>
      <c r="EG17" s="300"/>
      <c r="EH17" s="300"/>
      <c r="EI17" s="300"/>
      <c r="EJ17" s="300"/>
      <c r="EK17" s="300"/>
      <c r="EL17" s="300"/>
      <c r="EM17" s="300"/>
      <c r="EN17" s="300"/>
      <c r="EO17" s="300"/>
      <c r="EP17" s="300"/>
      <c r="EQ17" s="300"/>
      <c r="ER17" s="300"/>
      <c r="ES17" s="300"/>
      <c r="ET17" s="300"/>
      <c r="EU17" s="300"/>
      <c r="EV17" s="300"/>
      <c r="EW17" s="300"/>
      <c r="EX17" s="300"/>
      <c r="EY17" s="300"/>
      <c r="EZ17" s="300"/>
      <c r="FA17" s="300"/>
      <c r="FB17" s="300"/>
      <c r="FC17" s="300"/>
      <c r="FD17" s="300"/>
      <c r="FE17" s="300"/>
      <c r="FF17" s="300"/>
      <c r="FG17" s="300"/>
      <c r="FH17" s="300"/>
      <c r="FI17" s="300"/>
      <c r="FJ17" s="300"/>
      <c r="FK17" s="300"/>
      <c r="FL17" s="300"/>
      <c r="FM17" s="300"/>
      <c r="FN17" s="300"/>
      <c r="FO17" s="300"/>
      <c r="FP17" s="300"/>
      <c r="FQ17" s="300"/>
      <c r="FR17" s="300"/>
      <c r="FS17" s="300"/>
      <c r="FT17" s="300"/>
      <c r="FU17" s="300"/>
      <c r="FV17" s="300"/>
      <c r="FW17" s="300"/>
      <c r="FX17" s="300"/>
      <c r="FY17" s="300"/>
      <c r="FZ17" s="300"/>
      <c r="GA17" s="300"/>
    </row>
    <row r="18" ht="30.0" customHeight="1" outlineLevel="1">
      <c r="A18" s="292"/>
      <c r="B18" s="301" t="s">
        <v>51</v>
      </c>
      <c r="C18" s="302">
        <f t="shared" si="4"/>
        <v>43356500</v>
      </c>
      <c r="D18" s="295">
        <v>5000000.0</v>
      </c>
      <c r="E18" s="295">
        <v>5000000.0</v>
      </c>
      <c r="F18" s="295">
        <v>1090000.0</v>
      </c>
      <c r="G18" s="295">
        <v>1.2675E7</v>
      </c>
      <c r="H18" s="295">
        <v>1000000.0</v>
      </c>
      <c r="I18" s="295">
        <v>1000000.0</v>
      </c>
      <c r="J18" s="295"/>
      <c r="K18" s="296"/>
      <c r="L18" s="296"/>
      <c r="M18" s="295"/>
      <c r="N18" s="296"/>
      <c r="O18" s="296"/>
      <c r="P18" s="296"/>
      <c r="Q18" s="296"/>
      <c r="R18" s="295"/>
      <c r="S18" s="296"/>
      <c r="T18" s="295">
        <v>325000.0</v>
      </c>
      <c r="U18" s="295">
        <v>595000.0</v>
      </c>
      <c r="V18" s="295">
        <v>485000.0</v>
      </c>
      <c r="W18" s="296"/>
      <c r="X18" s="295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5">
        <v>292000.0</v>
      </c>
      <c r="AK18" s="295">
        <v>128000.0</v>
      </c>
      <c r="AL18" s="296"/>
      <c r="AM18" s="296"/>
      <c r="AN18" s="296"/>
      <c r="AO18" s="296"/>
      <c r="AP18" s="296"/>
      <c r="AQ18" s="296"/>
      <c r="AR18" s="296"/>
      <c r="AS18" s="296"/>
      <c r="AT18" s="296"/>
      <c r="AU18" s="295"/>
      <c r="AV18" s="296"/>
      <c r="AW18" s="296"/>
      <c r="AX18" s="296"/>
      <c r="AY18" s="295">
        <v>1375000.0</v>
      </c>
      <c r="AZ18" s="296"/>
      <c r="BA18" s="295">
        <v>25000.0</v>
      </c>
      <c r="BB18" s="295">
        <v>750000.0</v>
      </c>
      <c r="BC18" s="296"/>
      <c r="BD18" s="296"/>
      <c r="BE18" s="296"/>
      <c r="BF18" s="296"/>
      <c r="BG18" s="296"/>
      <c r="BH18" s="296"/>
      <c r="BI18" s="295">
        <v>430000.0</v>
      </c>
      <c r="BJ18" s="295">
        <v>355000.0</v>
      </c>
      <c r="BK18" s="295">
        <v>2500000.0</v>
      </c>
      <c r="BL18" s="295">
        <v>6019000.0</v>
      </c>
      <c r="BM18" s="303"/>
      <c r="BN18" s="295">
        <v>850000.0</v>
      </c>
      <c r="BO18" s="295">
        <v>493500.0</v>
      </c>
      <c r="BP18" s="295">
        <v>200000.0</v>
      </c>
      <c r="BQ18" s="295">
        <v>100000.0</v>
      </c>
      <c r="BR18" s="296"/>
      <c r="BS18" s="296"/>
      <c r="BT18" s="295">
        <v>1831000.0</v>
      </c>
      <c r="BU18" s="295">
        <v>40000.0</v>
      </c>
      <c r="BV18" s="295">
        <v>123000.0</v>
      </c>
      <c r="BW18" s="295">
        <v>550000.0</v>
      </c>
      <c r="BX18" s="295">
        <v>125000.0</v>
      </c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  <c r="CO18" s="296"/>
      <c r="CP18" s="296"/>
      <c r="CQ18" s="296"/>
      <c r="CR18" s="296"/>
      <c r="CS18" s="296"/>
      <c r="CT18" s="296"/>
      <c r="CU18" s="296"/>
      <c r="CV18" s="296"/>
      <c r="CW18" s="296"/>
      <c r="CX18" s="296"/>
      <c r="CY18" s="296"/>
      <c r="CZ18" s="296"/>
      <c r="DA18" s="296"/>
      <c r="DB18" s="296"/>
      <c r="DC18" s="296"/>
      <c r="DD18" s="296"/>
      <c r="DE18" s="296"/>
      <c r="DF18" s="296"/>
      <c r="DG18" s="296"/>
      <c r="DH18" s="296"/>
      <c r="DI18" s="296"/>
      <c r="DJ18" s="296"/>
      <c r="DK18" s="296"/>
      <c r="DL18" s="296"/>
      <c r="DM18" s="296"/>
      <c r="DN18" s="296"/>
      <c r="DO18" s="296"/>
      <c r="DP18" s="296"/>
      <c r="DQ18" s="296"/>
      <c r="DR18" s="298"/>
      <c r="DS18" s="298"/>
      <c r="DT18" s="298"/>
      <c r="DU18" s="298"/>
      <c r="DV18" s="298"/>
      <c r="DW18" s="298"/>
      <c r="DX18" s="298"/>
      <c r="DY18" s="298"/>
      <c r="DZ18" s="298"/>
      <c r="EA18" s="298"/>
      <c r="EB18" s="298"/>
      <c r="EC18" s="298"/>
      <c r="ED18" s="298"/>
      <c r="EE18" s="298"/>
      <c r="EF18" s="298"/>
      <c r="EG18" s="298"/>
      <c r="EH18" s="298"/>
      <c r="EI18" s="298"/>
      <c r="EJ18" s="298"/>
      <c r="EK18" s="298"/>
      <c r="EL18" s="298"/>
      <c r="EM18" s="298"/>
      <c r="EN18" s="298"/>
      <c r="EO18" s="298"/>
      <c r="EP18" s="298"/>
      <c r="EQ18" s="298"/>
      <c r="ER18" s="298"/>
      <c r="ES18" s="298"/>
      <c r="ET18" s="298"/>
      <c r="EU18" s="298"/>
      <c r="EV18" s="298"/>
      <c r="EW18" s="298"/>
      <c r="EX18" s="298"/>
      <c r="EY18" s="298"/>
      <c r="EZ18" s="298"/>
      <c r="FA18" s="298"/>
      <c r="FB18" s="298"/>
      <c r="FC18" s="298"/>
      <c r="FD18" s="298"/>
      <c r="FE18" s="298"/>
      <c r="FF18" s="298"/>
      <c r="FG18" s="298"/>
      <c r="FH18" s="298"/>
      <c r="FI18" s="298"/>
      <c r="FJ18" s="298"/>
      <c r="FK18" s="298"/>
      <c r="FL18" s="298"/>
      <c r="FM18" s="298"/>
      <c r="FN18" s="298"/>
      <c r="FO18" s="298"/>
      <c r="FP18" s="298"/>
      <c r="FQ18" s="298"/>
      <c r="FR18" s="298"/>
      <c r="FS18" s="298"/>
      <c r="FT18" s="298"/>
      <c r="FU18" s="298"/>
      <c r="FV18" s="298"/>
      <c r="FW18" s="298"/>
      <c r="FX18" s="298"/>
      <c r="FY18" s="298"/>
      <c r="FZ18" s="298"/>
      <c r="GA18" s="298"/>
    </row>
  </sheetData>
  <conditionalFormatting sqref="Y12">
    <cfRule type="notContainsBlanks" dxfId="10" priority="1">
      <formula>LEN(TRIM(Y12))&gt;0</formula>
    </cfRule>
  </conditionalFormatting>
  <conditionalFormatting sqref="A17:GA17">
    <cfRule type="notContainsBlanks" dxfId="11" priority="2">
      <formula>LEN(TRIM(A17))&gt;0</formula>
    </cfRule>
  </conditionalFormatting>
  <conditionalFormatting sqref="A18:GA18">
    <cfRule type="notContainsBlanks" dxfId="12" priority="3">
      <formula>LEN(TRIM(A18))&gt;0</formula>
    </cfRule>
  </conditionalFormatting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75" outlineLevelRow="1"/>
  <cols>
    <col customWidth="1" min="1" max="1" width="1.89"/>
    <col customWidth="1" min="2" max="2" width="11.22"/>
    <col customWidth="1" min="3" max="3" width="12.33"/>
    <col customWidth="1" hidden="1" min="4" max="64" width="10.11"/>
    <col customWidth="1" min="65" max="183" width="10.11"/>
  </cols>
  <sheetData>
    <row r="1" ht="35.25" customHeight="1">
      <c r="A1" s="304" t="s">
        <v>52</v>
      </c>
      <c r="B1" s="248"/>
      <c r="C1" s="249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  <c r="DV1" s="250"/>
      <c r="DW1" s="250"/>
      <c r="DX1" s="250"/>
      <c r="DY1" s="250"/>
      <c r="DZ1" s="250"/>
      <c r="EA1" s="250"/>
      <c r="EB1" s="250"/>
      <c r="EC1" s="250"/>
      <c r="ED1" s="250"/>
      <c r="EE1" s="250"/>
      <c r="EF1" s="250"/>
      <c r="EG1" s="250"/>
      <c r="EH1" s="250"/>
      <c r="EI1" s="250"/>
      <c r="EJ1" s="250"/>
      <c r="EK1" s="250"/>
      <c r="EL1" s="250"/>
      <c r="EM1" s="250"/>
      <c r="EN1" s="250"/>
      <c r="EO1" s="250"/>
      <c r="EP1" s="250"/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250"/>
      <c r="FB1" s="250"/>
      <c r="FC1" s="250"/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N1" s="250"/>
      <c r="FO1" s="250"/>
      <c r="FP1" s="250"/>
      <c r="FQ1" s="250"/>
      <c r="FR1" s="250"/>
      <c r="FS1" s="250"/>
      <c r="FT1" s="250"/>
      <c r="FU1" s="250"/>
      <c r="FV1" s="250"/>
      <c r="FW1" s="250"/>
      <c r="FX1" s="250"/>
      <c r="FY1" s="250"/>
      <c r="FZ1" s="250"/>
      <c r="GA1" s="250"/>
    </row>
    <row r="2" ht="26.25" customHeight="1">
      <c r="A2" s="251"/>
      <c r="B2" s="252"/>
      <c r="C2" s="253"/>
      <c r="D2" s="254">
        <v>45778.0</v>
      </c>
      <c r="E2" s="254">
        <v>45779.0</v>
      </c>
      <c r="F2" s="254">
        <v>45780.0</v>
      </c>
      <c r="G2" s="254">
        <v>45781.0</v>
      </c>
      <c r="H2" s="254">
        <v>45782.0</v>
      </c>
      <c r="I2" s="254">
        <v>45783.0</v>
      </c>
      <c r="J2" s="254">
        <v>45784.0</v>
      </c>
      <c r="K2" s="254">
        <v>45785.0</v>
      </c>
      <c r="L2" s="254">
        <v>45786.0</v>
      </c>
      <c r="M2" s="254">
        <v>45787.0</v>
      </c>
      <c r="N2" s="254">
        <v>45788.0</v>
      </c>
      <c r="O2" s="254">
        <v>45789.0</v>
      </c>
      <c r="P2" s="254">
        <v>45790.0</v>
      </c>
      <c r="Q2" s="254">
        <v>45791.0</v>
      </c>
      <c r="R2" s="254">
        <v>45792.0</v>
      </c>
      <c r="S2" s="254">
        <v>45793.0</v>
      </c>
      <c r="T2" s="254">
        <v>45794.0</v>
      </c>
      <c r="U2" s="254">
        <v>45795.0</v>
      </c>
      <c r="V2" s="254">
        <v>45796.0</v>
      </c>
      <c r="W2" s="254">
        <v>45797.0</v>
      </c>
      <c r="X2" s="254">
        <v>45798.0</v>
      </c>
      <c r="Y2" s="254">
        <v>45799.0</v>
      </c>
      <c r="Z2" s="254">
        <v>45800.0</v>
      </c>
      <c r="AA2" s="254">
        <v>45801.0</v>
      </c>
      <c r="AB2" s="254">
        <v>45802.0</v>
      </c>
      <c r="AC2" s="254">
        <v>45803.0</v>
      </c>
      <c r="AD2" s="254">
        <v>45804.0</v>
      </c>
      <c r="AE2" s="254">
        <v>45805.0</v>
      </c>
      <c r="AF2" s="254">
        <v>45806.0</v>
      </c>
      <c r="AG2" s="254">
        <v>45807.0</v>
      </c>
      <c r="AH2" s="254">
        <v>45808.0</v>
      </c>
      <c r="AI2" s="254">
        <v>45809.0</v>
      </c>
      <c r="AJ2" s="254">
        <v>45810.0</v>
      </c>
      <c r="AK2" s="254">
        <v>45811.0</v>
      </c>
      <c r="AL2" s="254">
        <v>45812.0</v>
      </c>
      <c r="AM2" s="254">
        <v>45813.0</v>
      </c>
      <c r="AN2" s="254">
        <v>45814.0</v>
      </c>
      <c r="AO2" s="254">
        <v>45815.0</v>
      </c>
      <c r="AP2" s="254">
        <v>45816.0</v>
      </c>
      <c r="AQ2" s="254">
        <v>45817.0</v>
      </c>
      <c r="AR2" s="254">
        <v>45818.0</v>
      </c>
      <c r="AS2" s="254">
        <v>45819.0</v>
      </c>
      <c r="AT2" s="254">
        <v>45820.0</v>
      </c>
      <c r="AU2" s="254">
        <v>45821.0</v>
      </c>
      <c r="AV2" s="254">
        <v>45822.0</v>
      </c>
      <c r="AW2" s="254">
        <v>45823.0</v>
      </c>
      <c r="AX2" s="254">
        <v>45824.0</v>
      </c>
      <c r="AY2" s="254">
        <v>45825.0</v>
      </c>
      <c r="AZ2" s="254">
        <v>45826.0</v>
      </c>
      <c r="BA2" s="254">
        <v>45827.0</v>
      </c>
      <c r="BB2" s="254">
        <v>45828.0</v>
      </c>
      <c r="BC2" s="254">
        <v>45829.0</v>
      </c>
      <c r="BD2" s="254">
        <v>45830.0</v>
      </c>
      <c r="BE2" s="254">
        <v>45831.0</v>
      </c>
      <c r="BF2" s="254">
        <v>45832.0</v>
      </c>
      <c r="BG2" s="254">
        <v>45833.0</v>
      </c>
      <c r="BH2" s="254">
        <v>45834.0</v>
      </c>
      <c r="BI2" s="254">
        <v>45835.0</v>
      </c>
      <c r="BJ2" s="254">
        <v>45836.0</v>
      </c>
      <c r="BK2" s="254">
        <v>45837.0</v>
      </c>
      <c r="BL2" s="254">
        <v>45838.0</v>
      </c>
      <c r="BM2" s="255" t="s">
        <v>45</v>
      </c>
      <c r="BN2" s="254">
        <v>45839.0</v>
      </c>
      <c r="BO2" s="254">
        <v>45840.0</v>
      </c>
      <c r="BP2" s="254">
        <v>45841.0</v>
      </c>
      <c r="BQ2" s="254">
        <v>45842.0</v>
      </c>
      <c r="BR2" s="254">
        <v>45843.0</v>
      </c>
      <c r="BS2" s="254">
        <v>45844.0</v>
      </c>
      <c r="BT2" s="254">
        <v>45845.0</v>
      </c>
      <c r="BU2" s="254">
        <v>45846.0</v>
      </c>
      <c r="BV2" s="254">
        <v>45847.0</v>
      </c>
      <c r="BW2" s="254">
        <v>45848.0</v>
      </c>
      <c r="BX2" s="254">
        <v>45849.0</v>
      </c>
      <c r="BY2" s="254">
        <v>45850.0</v>
      </c>
      <c r="BZ2" s="254">
        <v>45851.0</v>
      </c>
      <c r="CA2" s="254">
        <v>45852.0</v>
      </c>
      <c r="CB2" s="254">
        <v>45853.0</v>
      </c>
      <c r="CC2" s="254">
        <v>45854.0</v>
      </c>
      <c r="CD2" s="254">
        <v>45855.0</v>
      </c>
      <c r="CE2" s="254">
        <v>45856.0</v>
      </c>
      <c r="CF2" s="254">
        <v>45857.0</v>
      </c>
      <c r="CG2" s="254">
        <v>45858.0</v>
      </c>
      <c r="CH2" s="254">
        <v>45859.0</v>
      </c>
      <c r="CI2" s="254">
        <v>45860.0</v>
      </c>
      <c r="CJ2" s="254">
        <v>45861.0</v>
      </c>
      <c r="CK2" s="254">
        <v>45862.0</v>
      </c>
      <c r="CL2" s="254">
        <v>45863.0</v>
      </c>
      <c r="CM2" s="254">
        <v>45864.0</v>
      </c>
      <c r="CN2" s="254">
        <v>45865.0</v>
      </c>
      <c r="CO2" s="254">
        <v>45866.0</v>
      </c>
      <c r="CP2" s="254">
        <v>45867.0</v>
      </c>
      <c r="CQ2" s="254">
        <v>45868.0</v>
      </c>
      <c r="CR2" s="254">
        <v>45869.0</v>
      </c>
      <c r="CS2" s="254">
        <v>45870.0</v>
      </c>
      <c r="CT2" s="254">
        <v>45871.0</v>
      </c>
      <c r="CU2" s="254">
        <v>45872.0</v>
      </c>
      <c r="CV2" s="254">
        <v>45873.0</v>
      </c>
      <c r="CW2" s="254">
        <v>45874.0</v>
      </c>
      <c r="CX2" s="254">
        <v>45875.0</v>
      </c>
      <c r="CY2" s="254">
        <v>45876.0</v>
      </c>
      <c r="CZ2" s="254">
        <v>45877.0</v>
      </c>
      <c r="DA2" s="254">
        <v>45878.0</v>
      </c>
      <c r="DB2" s="254">
        <v>45879.0</v>
      </c>
      <c r="DC2" s="254">
        <v>45880.0</v>
      </c>
      <c r="DD2" s="254">
        <v>45881.0</v>
      </c>
      <c r="DE2" s="254">
        <v>45882.0</v>
      </c>
      <c r="DF2" s="254">
        <v>45883.0</v>
      </c>
      <c r="DG2" s="254">
        <v>45884.0</v>
      </c>
      <c r="DH2" s="254">
        <v>45885.0</v>
      </c>
      <c r="DI2" s="254">
        <v>45886.0</v>
      </c>
      <c r="DJ2" s="254">
        <v>45887.0</v>
      </c>
      <c r="DK2" s="254">
        <v>45888.0</v>
      </c>
      <c r="DL2" s="254">
        <v>45889.0</v>
      </c>
      <c r="DM2" s="254">
        <v>45890.0</v>
      </c>
      <c r="DN2" s="254">
        <v>45891.0</v>
      </c>
      <c r="DO2" s="254">
        <v>45892.0</v>
      </c>
      <c r="DP2" s="254">
        <v>45893.0</v>
      </c>
      <c r="DQ2" s="254">
        <v>45894.0</v>
      </c>
      <c r="DR2" s="254">
        <v>45895.0</v>
      </c>
      <c r="DS2" s="254">
        <v>45896.0</v>
      </c>
      <c r="DT2" s="254">
        <v>45897.0</v>
      </c>
      <c r="DU2" s="254">
        <v>45898.0</v>
      </c>
      <c r="DV2" s="254">
        <v>45899.0</v>
      </c>
      <c r="DW2" s="254">
        <v>45900.0</v>
      </c>
      <c r="DX2" s="254">
        <v>45901.0</v>
      </c>
      <c r="DY2" s="254">
        <v>45902.0</v>
      </c>
      <c r="DZ2" s="254">
        <v>45903.0</v>
      </c>
      <c r="EA2" s="254">
        <v>45904.0</v>
      </c>
      <c r="EB2" s="254">
        <v>45905.0</v>
      </c>
      <c r="EC2" s="254">
        <v>45906.0</v>
      </c>
      <c r="ED2" s="254">
        <v>45907.0</v>
      </c>
      <c r="EE2" s="254">
        <v>45908.0</v>
      </c>
      <c r="EF2" s="254">
        <v>45909.0</v>
      </c>
      <c r="EG2" s="254">
        <v>45910.0</v>
      </c>
      <c r="EH2" s="254">
        <v>45911.0</v>
      </c>
      <c r="EI2" s="254">
        <v>45912.0</v>
      </c>
      <c r="EJ2" s="254">
        <v>45913.0</v>
      </c>
      <c r="EK2" s="254">
        <v>45914.0</v>
      </c>
      <c r="EL2" s="254">
        <v>45915.0</v>
      </c>
      <c r="EM2" s="254">
        <v>45916.0</v>
      </c>
      <c r="EN2" s="254">
        <v>45917.0</v>
      </c>
      <c r="EO2" s="254">
        <v>45918.0</v>
      </c>
      <c r="EP2" s="254">
        <v>45919.0</v>
      </c>
      <c r="EQ2" s="254">
        <v>45920.0</v>
      </c>
      <c r="ER2" s="254">
        <v>45921.0</v>
      </c>
      <c r="ES2" s="254">
        <v>45922.0</v>
      </c>
      <c r="ET2" s="254">
        <v>45923.0</v>
      </c>
      <c r="EU2" s="254">
        <v>45924.0</v>
      </c>
      <c r="EV2" s="254">
        <v>45925.0</v>
      </c>
      <c r="EW2" s="254">
        <v>45926.0</v>
      </c>
      <c r="EX2" s="254">
        <v>45927.0</v>
      </c>
      <c r="EY2" s="254">
        <v>45928.0</v>
      </c>
      <c r="EZ2" s="254">
        <v>45929.0</v>
      </c>
      <c r="FA2" s="254">
        <v>45930.0</v>
      </c>
      <c r="FB2" s="254">
        <v>45931.0</v>
      </c>
      <c r="FC2" s="254">
        <v>45932.0</v>
      </c>
      <c r="FD2" s="254">
        <v>45933.0</v>
      </c>
      <c r="FE2" s="254">
        <v>45934.0</v>
      </c>
      <c r="FF2" s="254">
        <v>45935.0</v>
      </c>
      <c r="FG2" s="254">
        <v>45936.0</v>
      </c>
      <c r="FH2" s="254">
        <v>45937.0</v>
      </c>
      <c r="FI2" s="254">
        <v>45938.0</v>
      </c>
      <c r="FJ2" s="254">
        <v>45939.0</v>
      </c>
      <c r="FK2" s="254">
        <v>45940.0</v>
      </c>
      <c r="FL2" s="254">
        <v>45941.0</v>
      </c>
      <c r="FM2" s="254">
        <v>45942.0</v>
      </c>
      <c r="FN2" s="254">
        <v>45943.0</v>
      </c>
      <c r="FO2" s="254">
        <v>45944.0</v>
      </c>
      <c r="FP2" s="254">
        <v>45945.0</v>
      </c>
      <c r="FQ2" s="254">
        <v>45946.0</v>
      </c>
      <c r="FR2" s="254">
        <v>45947.0</v>
      </c>
      <c r="FS2" s="254">
        <v>45948.0</v>
      </c>
      <c r="FT2" s="254">
        <v>45949.0</v>
      </c>
      <c r="FU2" s="254">
        <v>45950.0</v>
      </c>
      <c r="FV2" s="254">
        <v>45951.0</v>
      </c>
      <c r="FW2" s="254">
        <v>45952.0</v>
      </c>
      <c r="FX2" s="254">
        <v>45953.0</v>
      </c>
      <c r="FY2" s="254">
        <v>45954.0</v>
      </c>
      <c r="FZ2" s="254">
        <v>45955.0</v>
      </c>
      <c r="GA2" s="254">
        <v>45956.0</v>
      </c>
    </row>
    <row r="3" ht="18.0" customHeight="1">
      <c r="A3" s="256"/>
      <c r="B3" s="257"/>
      <c r="C3" s="258" t="s">
        <v>46</v>
      </c>
      <c r="D3" s="259"/>
      <c r="E3" s="259"/>
      <c r="F3" s="259"/>
      <c r="G3" s="259"/>
      <c r="H3" s="259"/>
      <c r="I3" s="259"/>
      <c r="J3" s="259"/>
      <c r="K3" s="260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5" t="s">
        <v>47</v>
      </c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59"/>
      <c r="CB3" s="259"/>
      <c r="CC3" s="259"/>
      <c r="CD3" s="259"/>
      <c r="CE3" s="259"/>
      <c r="CF3" s="259"/>
      <c r="CG3" s="259"/>
      <c r="CH3" s="259"/>
      <c r="CI3" s="259"/>
      <c r="CJ3" s="259"/>
      <c r="CK3" s="259"/>
      <c r="CL3" s="259"/>
      <c r="CM3" s="259"/>
      <c r="CN3" s="259"/>
      <c r="CO3" s="259"/>
      <c r="CP3" s="259"/>
      <c r="CQ3" s="259"/>
      <c r="CR3" s="259"/>
      <c r="CS3" s="259"/>
      <c r="CT3" s="259"/>
      <c r="CU3" s="259"/>
      <c r="CV3" s="259"/>
      <c r="CW3" s="259"/>
      <c r="CX3" s="259"/>
      <c r="CY3" s="259"/>
      <c r="CZ3" s="259"/>
      <c r="DA3" s="259"/>
      <c r="DB3" s="259"/>
      <c r="DC3" s="259"/>
      <c r="DD3" s="259"/>
      <c r="DE3" s="259"/>
      <c r="DF3" s="259"/>
      <c r="DG3" s="259"/>
      <c r="DH3" s="259"/>
      <c r="DI3" s="259"/>
      <c r="DJ3" s="259"/>
      <c r="DK3" s="259"/>
      <c r="DL3" s="259"/>
      <c r="DM3" s="259"/>
      <c r="DN3" s="259"/>
      <c r="DO3" s="259"/>
      <c r="DP3" s="259"/>
      <c r="DQ3" s="259"/>
      <c r="DR3" s="259"/>
      <c r="DS3" s="259"/>
      <c r="DT3" s="259"/>
      <c r="DU3" s="259"/>
      <c r="DV3" s="259"/>
      <c r="DW3" s="259"/>
      <c r="DX3" s="259"/>
      <c r="DY3" s="259"/>
      <c r="DZ3" s="259"/>
      <c r="EA3" s="259"/>
      <c r="EB3" s="259"/>
      <c r="EC3" s="259"/>
      <c r="ED3" s="259"/>
      <c r="EE3" s="259"/>
      <c r="EF3" s="259"/>
      <c r="EG3" s="259"/>
      <c r="EH3" s="259"/>
      <c r="EI3" s="259"/>
      <c r="EJ3" s="259"/>
      <c r="EK3" s="259"/>
      <c r="EL3" s="259"/>
      <c r="EM3" s="259"/>
      <c r="EN3" s="259"/>
      <c r="EO3" s="259"/>
      <c r="EP3" s="259"/>
      <c r="EQ3" s="259"/>
      <c r="ER3" s="259"/>
      <c r="ES3" s="259"/>
      <c r="ET3" s="259"/>
      <c r="EU3" s="259"/>
      <c r="EV3" s="259"/>
      <c r="EW3" s="259"/>
      <c r="EX3" s="259"/>
      <c r="EY3" s="259"/>
      <c r="EZ3" s="259"/>
      <c r="FA3" s="259"/>
      <c r="FB3" s="259"/>
      <c r="FC3" s="259"/>
      <c r="FD3" s="259"/>
      <c r="FE3" s="259"/>
      <c r="FF3" s="259"/>
      <c r="FG3" s="259"/>
      <c r="FH3" s="259"/>
      <c r="FI3" s="259"/>
      <c r="FJ3" s="259"/>
      <c r="FK3" s="259"/>
      <c r="FL3" s="259"/>
      <c r="FM3" s="259"/>
      <c r="FN3" s="259"/>
      <c r="FO3" s="259"/>
      <c r="FP3" s="259"/>
      <c r="FQ3" s="259"/>
      <c r="FR3" s="259"/>
      <c r="FS3" s="259"/>
      <c r="FT3" s="259"/>
      <c r="FU3" s="259"/>
      <c r="FV3" s="259"/>
      <c r="FW3" s="259"/>
      <c r="FX3" s="259"/>
      <c r="FY3" s="259"/>
      <c r="FZ3" s="259"/>
      <c r="GA3" s="259"/>
    </row>
    <row r="4" ht="18.0" customHeight="1">
      <c r="A4" s="256"/>
      <c r="B4" s="261"/>
      <c r="C4" s="262"/>
      <c r="D4" s="263">
        <f t="shared" ref="D4:BL4" si="1">D2</f>
        <v>45778</v>
      </c>
      <c r="E4" s="263">
        <f t="shared" si="1"/>
        <v>45779</v>
      </c>
      <c r="F4" s="263">
        <f t="shared" si="1"/>
        <v>45780</v>
      </c>
      <c r="G4" s="263">
        <f t="shared" si="1"/>
        <v>45781</v>
      </c>
      <c r="H4" s="263">
        <f t="shared" si="1"/>
        <v>45782</v>
      </c>
      <c r="I4" s="263">
        <f t="shared" si="1"/>
        <v>45783</v>
      </c>
      <c r="J4" s="263">
        <f t="shared" si="1"/>
        <v>45784</v>
      </c>
      <c r="K4" s="263">
        <f t="shared" si="1"/>
        <v>45785</v>
      </c>
      <c r="L4" s="263">
        <f t="shared" si="1"/>
        <v>45786</v>
      </c>
      <c r="M4" s="263">
        <f t="shared" si="1"/>
        <v>45787</v>
      </c>
      <c r="N4" s="263">
        <f t="shared" si="1"/>
        <v>45788</v>
      </c>
      <c r="O4" s="263">
        <f t="shared" si="1"/>
        <v>45789</v>
      </c>
      <c r="P4" s="263">
        <f t="shared" si="1"/>
        <v>45790</v>
      </c>
      <c r="Q4" s="263">
        <f t="shared" si="1"/>
        <v>45791</v>
      </c>
      <c r="R4" s="263">
        <f t="shared" si="1"/>
        <v>45792</v>
      </c>
      <c r="S4" s="263">
        <f t="shared" si="1"/>
        <v>45793</v>
      </c>
      <c r="T4" s="263">
        <f t="shared" si="1"/>
        <v>45794</v>
      </c>
      <c r="U4" s="263">
        <f t="shared" si="1"/>
        <v>45795</v>
      </c>
      <c r="V4" s="263">
        <f t="shared" si="1"/>
        <v>45796</v>
      </c>
      <c r="W4" s="263">
        <f t="shared" si="1"/>
        <v>45797</v>
      </c>
      <c r="X4" s="263">
        <f t="shared" si="1"/>
        <v>45798</v>
      </c>
      <c r="Y4" s="263">
        <f t="shared" si="1"/>
        <v>45799</v>
      </c>
      <c r="Z4" s="263">
        <f t="shared" si="1"/>
        <v>45800</v>
      </c>
      <c r="AA4" s="263">
        <f t="shared" si="1"/>
        <v>45801</v>
      </c>
      <c r="AB4" s="263">
        <f t="shared" si="1"/>
        <v>45802</v>
      </c>
      <c r="AC4" s="263">
        <f t="shared" si="1"/>
        <v>45803</v>
      </c>
      <c r="AD4" s="263">
        <f t="shared" si="1"/>
        <v>45804</v>
      </c>
      <c r="AE4" s="263">
        <f t="shared" si="1"/>
        <v>45805</v>
      </c>
      <c r="AF4" s="263">
        <f t="shared" si="1"/>
        <v>45806</v>
      </c>
      <c r="AG4" s="263">
        <f t="shared" si="1"/>
        <v>45807</v>
      </c>
      <c r="AH4" s="263">
        <f t="shared" si="1"/>
        <v>45808</v>
      </c>
      <c r="AI4" s="264">
        <f t="shared" si="1"/>
        <v>45809</v>
      </c>
      <c r="AJ4" s="264">
        <f t="shared" si="1"/>
        <v>45810</v>
      </c>
      <c r="AK4" s="264">
        <f t="shared" si="1"/>
        <v>45811</v>
      </c>
      <c r="AL4" s="264">
        <f t="shared" si="1"/>
        <v>45812</v>
      </c>
      <c r="AM4" s="264">
        <f t="shared" si="1"/>
        <v>45813</v>
      </c>
      <c r="AN4" s="264">
        <f t="shared" si="1"/>
        <v>45814</v>
      </c>
      <c r="AO4" s="264">
        <f t="shared" si="1"/>
        <v>45815</v>
      </c>
      <c r="AP4" s="264">
        <f t="shared" si="1"/>
        <v>45816</v>
      </c>
      <c r="AQ4" s="264">
        <f t="shared" si="1"/>
        <v>45817</v>
      </c>
      <c r="AR4" s="264">
        <f t="shared" si="1"/>
        <v>45818</v>
      </c>
      <c r="AS4" s="264">
        <f t="shared" si="1"/>
        <v>45819</v>
      </c>
      <c r="AT4" s="264">
        <f t="shared" si="1"/>
        <v>45820</v>
      </c>
      <c r="AU4" s="264">
        <f t="shared" si="1"/>
        <v>45821</v>
      </c>
      <c r="AV4" s="264">
        <f t="shared" si="1"/>
        <v>45822</v>
      </c>
      <c r="AW4" s="264">
        <f t="shared" si="1"/>
        <v>45823</v>
      </c>
      <c r="AX4" s="264">
        <f t="shared" si="1"/>
        <v>45824</v>
      </c>
      <c r="AY4" s="264">
        <f t="shared" si="1"/>
        <v>45825</v>
      </c>
      <c r="AZ4" s="264">
        <f t="shared" si="1"/>
        <v>45826</v>
      </c>
      <c r="BA4" s="264">
        <f t="shared" si="1"/>
        <v>45827</v>
      </c>
      <c r="BB4" s="264">
        <f t="shared" si="1"/>
        <v>45828</v>
      </c>
      <c r="BC4" s="264">
        <f t="shared" si="1"/>
        <v>45829</v>
      </c>
      <c r="BD4" s="264">
        <f t="shared" si="1"/>
        <v>45830</v>
      </c>
      <c r="BE4" s="264">
        <f t="shared" si="1"/>
        <v>45831</v>
      </c>
      <c r="BF4" s="264">
        <f t="shared" si="1"/>
        <v>45832</v>
      </c>
      <c r="BG4" s="264">
        <f t="shared" si="1"/>
        <v>45833</v>
      </c>
      <c r="BH4" s="264">
        <f t="shared" si="1"/>
        <v>45834</v>
      </c>
      <c r="BI4" s="264">
        <f t="shared" si="1"/>
        <v>45835</v>
      </c>
      <c r="BJ4" s="264">
        <f t="shared" si="1"/>
        <v>45836</v>
      </c>
      <c r="BK4" s="264">
        <f t="shared" si="1"/>
        <v>45837</v>
      </c>
      <c r="BL4" s="264">
        <f t="shared" si="1"/>
        <v>45838</v>
      </c>
      <c r="BM4" s="265" t="s">
        <v>48</v>
      </c>
      <c r="BN4" s="264">
        <f t="shared" ref="BN4:GA4" si="2">BN2</f>
        <v>45839</v>
      </c>
      <c r="BO4" s="264">
        <f t="shared" si="2"/>
        <v>45840</v>
      </c>
      <c r="BP4" s="264">
        <f t="shared" si="2"/>
        <v>45841</v>
      </c>
      <c r="BQ4" s="264">
        <f t="shared" si="2"/>
        <v>45842</v>
      </c>
      <c r="BR4" s="264">
        <f t="shared" si="2"/>
        <v>45843</v>
      </c>
      <c r="BS4" s="264">
        <f t="shared" si="2"/>
        <v>45844</v>
      </c>
      <c r="BT4" s="264">
        <f t="shared" si="2"/>
        <v>45845</v>
      </c>
      <c r="BU4" s="264">
        <f t="shared" si="2"/>
        <v>45846</v>
      </c>
      <c r="BV4" s="264">
        <f t="shared" si="2"/>
        <v>45847</v>
      </c>
      <c r="BW4" s="264">
        <f t="shared" si="2"/>
        <v>45848</v>
      </c>
      <c r="BX4" s="264">
        <f t="shared" si="2"/>
        <v>45849</v>
      </c>
      <c r="BY4" s="264">
        <f t="shared" si="2"/>
        <v>45850</v>
      </c>
      <c r="BZ4" s="264">
        <f t="shared" si="2"/>
        <v>45851</v>
      </c>
      <c r="CA4" s="264">
        <f t="shared" si="2"/>
        <v>45852</v>
      </c>
      <c r="CB4" s="264">
        <f t="shared" si="2"/>
        <v>45853</v>
      </c>
      <c r="CC4" s="264">
        <f t="shared" si="2"/>
        <v>45854</v>
      </c>
      <c r="CD4" s="264">
        <f t="shared" si="2"/>
        <v>45855</v>
      </c>
      <c r="CE4" s="264">
        <f t="shared" si="2"/>
        <v>45856</v>
      </c>
      <c r="CF4" s="264">
        <f t="shared" si="2"/>
        <v>45857</v>
      </c>
      <c r="CG4" s="264">
        <f t="shared" si="2"/>
        <v>45858</v>
      </c>
      <c r="CH4" s="264">
        <f t="shared" si="2"/>
        <v>45859</v>
      </c>
      <c r="CI4" s="264">
        <f t="shared" si="2"/>
        <v>45860</v>
      </c>
      <c r="CJ4" s="264">
        <f t="shared" si="2"/>
        <v>45861</v>
      </c>
      <c r="CK4" s="264">
        <f t="shared" si="2"/>
        <v>45862</v>
      </c>
      <c r="CL4" s="264">
        <f t="shared" si="2"/>
        <v>45863</v>
      </c>
      <c r="CM4" s="264">
        <f t="shared" si="2"/>
        <v>45864</v>
      </c>
      <c r="CN4" s="264">
        <f t="shared" si="2"/>
        <v>45865</v>
      </c>
      <c r="CO4" s="264">
        <f t="shared" si="2"/>
        <v>45866</v>
      </c>
      <c r="CP4" s="264">
        <f t="shared" si="2"/>
        <v>45867</v>
      </c>
      <c r="CQ4" s="264">
        <f t="shared" si="2"/>
        <v>45868</v>
      </c>
      <c r="CR4" s="264">
        <f t="shared" si="2"/>
        <v>45869</v>
      </c>
      <c r="CS4" s="264">
        <f t="shared" si="2"/>
        <v>45870</v>
      </c>
      <c r="CT4" s="264">
        <f t="shared" si="2"/>
        <v>45871</v>
      </c>
      <c r="CU4" s="264">
        <f t="shared" si="2"/>
        <v>45872</v>
      </c>
      <c r="CV4" s="264">
        <f t="shared" si="2"/>
        <v>45873</v>
      </c>
      <c r="CW4" s="264">
        <f t="shared" si="2"/>
        <v>45874</v>
      </c>
      <c r="CX4" s="264">
        <f t="shared" si="2"/>
        <v>45875</v>
      </c>
      <c r="CY4" s="264">
        <f t="shared" si="2"/>
        <v>45876</v>
      </c>
      <c r="CZ4" s="264">
        <f t="shared" si="2"/>
        <v>45877</v>
      </c>
      <c r="DA4" s="264">
        <f t="shared" si="2"/>
        <v>45878</v>
      </c>
      <c r="DB4" s="264">
        <f t="shared" si="2"/>
        <v>45879</v>
      </c>
      <c r="DC4" s="264">
        <f t="shared" si="2"/>
        <v>45880</v>
      </c>
      <c r="DD4" s="264">
        <f t="shared" si="2"/>
        <v>45881</v>
      </c>
      <c r="DE4" s="264">
        <f t="shared" si="2"/>
        <v>45882</v>
      </c>
      <c r="DF4" s="264">
        <f t="shared" si="2"/>
        <v>45883</v>
      </c>
      <c r="DG4" s="264">
        <f t="shared" si="2"/>
        <v>45884</v>
      </c>
      <c r="DH4" s="264">
        <f t="shared" si="2"/>
        <v>45885</v>
      </c>
      <c r="DI4" s="264">
        <f t="shared" si="2"/>
        <v>45886</v>
      </c>
      <c r="DJ4" s="264">
        <f t="shared" si="2"/>
        <v>45887</v>
      </c>
      <c r="DK4" s="264">
        <f t="shared" si="2"/>
        <v>45888</v>
      </c>
      <c r="DL4" s="264">
        <f t="shared" si="2"/>
        <v>45889</v>
      </c>
      <c r="DM4" s="264">
        <f t="shared" si="2"/>
        <v>45890</v>
      </c>
      <c r="DN4" s="264">
        <f t="shared" si="2"/>
        <v>45891</v>
      </c>
      <c r="DO4" s="264">
        <f t="shared" si="2"/>
        <v>45892</v>
      </c>
      <c r="DP4" s="264">
        <f t="shared" si="2"/>
        <v>45893</v>
      </c>
      <c r="DQ4" s="264">
        <f t="shared" si="2"/>
        <v>45894</v>
      </c>
      <c r="DR4" s="264">
        <f t="shared" si="2"/>
        <v>45895</v>
      </c>
      <c r="DS4" s="264">
        <f t="shared" si="2"/>
        <v>45896</v>
      </c>
      <c r="DT4" s="264">
        <f t="shared" si="2"/>
        <v>45897</v>
      </c>
      <c r="DU4" s="264">
        <f t="shared" si="2"/>
        <v>45898</v>
      </c>
      <c r="DV4" s="264">
        <f t="shared" si="2"/>
        <v>45899</v>
      </c>
      <c r="DW4" s="264">
        <f t="shared" si="2"/>
        <v>45900</v>
      </c>
      <c r="DX4" s="264">
        <f t="shared" si="2"/>
        <v>45901</v>
      </c>
      <c r="DY4" s="264">
        <f t="shared" si="2"/>
        <v>45902</v>
      </c>
      <c r="DZ4" s="264">
        <f t="shared" si="2"/>
        <v>45903</v>
      </c>
      <c r="EA4" s="264">
        <f t="shared" si="2"/>
        <v>45904</v>
      </c>
      <c r="EB4" s="264">
        <f t="shared" si="2"/>
        <v>45905</v>
      </c>
      <c r="EC4" s="264">
        <f t="shared" si="2"/>
        <v>45906</v>
      </c>
      <c r="ED4" s="264">
        <f t="shared" si="2"/>
        <v>45907</v>
      </c>
      <c r="EE4" s="264">
        <f t="shared" si="2"/>
        <v>45908</v>
      </c>
      <c r="EF4" s="264">
        <f t="shared" si="2"/>
        <v>45909</v>
      </c>
      <c r="EG4" s="264">
        <f t="shared" si="2"/>
        <v>45910</v>
      </c>
      <c r="EH4" s="264">
        <f t="shared" si="2"/>
        <v>45911</v>
      </c>
      <c r="EI4" s="264">
        <f t="shared" si="2"/>
        <v>45912</v>
      </c>
      <c r="EJ4" s="264">
        <f t="shared" si="2"/>
        <v>45913</v>
      </c>
      <c r="EK4" s="264">
        <f t="shared" si="2"/>
        <v>45914</v>
      </c>
      <c r="EL4" s="264">
        <f t="shared" si="2"/>
        <v>45915</v>
      </c>
      <c r="EM4" s="264">
        <f t="shared" si="2"/>
        <v>45916</v>
      </c>
      <c r="EN4" s="264">
        <f t="shared" si="2"/>
        <v>45917</v>
      </c>
      <c r="EO4" s="264">
        <f t="shared" si="2"/>
        <v>45918</v>
      </c>
      <c r="EP4" s="264">
        <f t="shared" si="2"/>
        <v>45919</v>
      </c>
      <c r="EQ4" s="264">
        <f t="shared" si="2"/>
        <v>45920</v>
      </c>
      <c r="ER4" s="264">
        <f t="shared" si="2"/>
        <v>45921</v>
      </c>
      <c r="ES4" s="264">
        <f t="shared" si="2"/>
        <v>45922</v>
      </c>
      <c r="ET4" s="264">
        <f t="shared" si="2"/>
        <v>45923</v>
      </c>
      <c r="EU4" s="264">
        <f t="shared" si="2"/>
        <v>45924</v>
      </c>
      <c r="EV4" s="264">
        <f t="shared" si="2"/>
        <v>45925</v>
      </c>
      <c r="EW4" s="264">
        <f t="shared" si="2"/>
        <v>45926</v>
      </c>
      <c r="EX4" s="264">
        <f t="shared" si="2"/>
        <v>45927</v>
      </c>
      <c r="EY4" s="264">
        <f t="shared" si="2"/>
        <v>45928</v>
      </c>
      <c r="EZ4" s="264">
        <f t="shared" si="2"/>
        <v>45929</v>
      </c>
      <c r="FA4" s="264">
        <f t="shared" si="2"/>
        <v>45930</v>
      </c>
      <c r="FB4" s="264">
        <f t="shared" si="2"/>
        <v>45931</v>
      </c>
      <c r="FC4" s="264">
        <f t="shared" si="2"/>
        <v>45932</v>
      </c>
      <c r="FD4" s="264">
        <f t="shared" si="2"/>
        <v>45933</v>
      </c>
      <c r="FE4" s="264">
        <f t="shared" si="2"/>
        <v>45934</v>
      </c>
      <c r="FF4" s="264">
        <f t="shared" si="2"/>
        <v>45935</v>
      </c>
      <c r="FG4" s="264">
        <f t="shared" si="2"/>
        <v>45936</v>
      </c>
      <c r="FH4" s="264">
        <f t="shared" si="2"/>
        <v>45937</v>
      </c>
      <c r="FI4" s="264">
        <f t="shared" si="2"/>
        <v>45938</v>
      </c>
      <c r="FJ4" s="264">
        <f t="shared" si="2"/>
        <v>45939</v>
      </c>
      <c r="FK4" s="264">
        <f t="shared" si="2"/>
        <v>45940</v>
      </c>
      <c r="FL4" s="264">
        <f t="shared" si="2"/>
        <v>45941</v>
      </c>
      <c r="FM4" s="264">
        <f t="shared" si="2"/>
        <v>45942</v>
      </c>
      <c r="FN4" s="264">
        <f t="shared" si="2"/>
        <v>45943</v>
      </c>
      <c r="FO4" s="264">
        <f t="shared" si="2"/>
        <v>45944</v>
      </c>
      <c r="FP4" s="264">
        <f t="shared" si="2"/>
        <v>45945</v>
      </c>
      <c r="FQ4" s="264">
        <f t="shared" si="2"/>
        <v>45946</v>
      </c>
      <c r="FR4" s="264">
        <f t="shared" si="2"/>
        <v>45947</v>
      </c>
      <c r="FS4" s="264">
        <f t="shared" si="2"/>
        <v>45948</v>
      </c>
      <c r="FT4" s="264">
        <f t="shared" si="2"/>
        <v>45949</v>
      </c>
      <c r="FU4" s="264">
        <f t="shared" si="2"/>
        <v>45950</v>
      </c>
      <c r="FV4" s="264">
        <f t="shared" si="2"/>
        <v>45951</v>
      </c>
      <c r="FW4" s="264">
        <f t="shared" si="2"/>
        <v>45952</v>
      </c>
      <c r="FX4" s="264">
        <f t="shared" si="2"/>
        <v>45953</v>
      </c>
      <c r="FY4" s="264">
        <f t="shared" si="2"/>
        <v>45954</v>
      </c>
      <c r="FZ4" s="264">
        <f t="shared" si="2"/>
        <v>45955</v>
      </c>
      <c r="GA4" s="264">
        <f t="shared" si="2"/>
        <v>45956</v>
      </c>
    </row>
    <row r="5" ht="19.5" customHeight="1">
      <c r="A5" s="266"/>
      <c r="B5" s="267"/>
      <c r="C5" s="268" t="s">
        <v>49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69"/>
      <c r="BA5" s="269"/>
      <c r="BB5" s="269"/>
      <c r="BC5" s="269"/>
      <c r="BD5" s="269"/>
      <c r="BE5" s="269"/>
      <c r="BF5" s="269"/>
      <c r="BG5" s="269"/>
      <c r="BH5" s="269"/>
      <c r="BI5" s="269"/>
      <c r="BJ5" s="269"/>
      <c r="BK5" s="269"/>
      <c r="BL5" s="269"/>
      <c r="BM5" s="270"/>
      <c r="BN5" s="269"/>
      <c r="BO5" s="269"/>
      <c r="BP5" s="269"/>
      <c r="BQ5" s="269"/>
      <c r="BR5" s="269"/>
      <c r="BS5" s="269"/>
      <c r="BT5" s="269"/>
      <c r="BU5" s="269"/>
      <c r="BV5" s="269"/>
      <c r="BW5" s="269"/>
      <c r="BX5" s="269"/>
      <c r="BY5" s="269"/>
      <c r="BZ5" s="269"/>
      <c r="CA5" s="269"/>
      <c r="CB5" s="269"/>
      <c r="CC5" s="269"/>
      <c r="CD5" s="269"/>
      <c r="CE5" s="269"/>
      <c r="CF5" s="269"/>
      <c r="CG5" s="269"/>
      <c r="CH5" s="269"/>
      <c r="CI5" s="269"/>
      <c r="CJ5" s="269"/>
      <c r="CK5" s="269"/>
      <c r="CL5" s="269"/>
      <c r="CM5" s="269"/>
      <c r="CN5" s="269"/>
      <c r="CO5" s="269"/>
      <c r="CP5" s="269"/>
      <c r="CQ5" s="269"/>
      <c r="CR5" s="269"/>
      <c r="CS5" s="269"/>
      <c r="CT5" s="269"/>
      <c r="CU5" s="269"/>
      <c r="CV5" s="269"/>
      <c r="CW5" s="269"/>
      <c r="CX5" s="269"/>
      <c r="CY5" s="269"/>
      <c r="CZ5" s="269"/>
      <c r="DA5" s="269"/>
      <c r="DB5" s="269"/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/>
      <c r="DN5" s="269"/>
      <c r="DO5" s="269"/>
      <c r="DP5" s="269"/>
      <c r="DQ5" s="269"/>
      <c r="DR5" s="269"/>
      <c r="DS5" s="269"/>
      <c r="DT5" s="269"/>
      <c r="DU5" s="269"/>
      <c r="DV5" s="269"/>
      <c r="DW5" s="269"/>
      <c r="DX5" s="269"/>
      <c r="DY5" s="269"/>
      <c r="DZ5" s="269"/>
      <c r="EA5" s="269"/>
      <c r="EB5" s="269"/>
      <c r="EC5" s="269"/>
      <c r="ED5" s="269"/>
      <c r="EE5" s="269"/>
      <c r="EF5" s="269"/>
      <c r="EG5" s="269"/>
      <c r="EH5" s="269"/>
      <c r="EI5" s="269"/>
      <c r="EJ5" s="269"/>
      <c r="EK5" s="269"/>
      <c r="EL5" s="269"/>
      <c r="EM5" s="269"/>
      <c r="EN5" s="269"/>
      <c r="EO5" s="269"/>
      <c r="EP5" s="269"/>
      <c r="EQ5" s="269"/>
      <c r="ER5" s="269"/>
      <c r="ES5" s="269"/>
      <c r="ET5" s="269"/>
      <c r="EU5" s="269"/>
      <c r="EV5" s="269"/>
      <c r="EW5" s="269"/>
      <c r="EX5" s="269"/>
      <c r="EY5" s="269"/>
      <c r="EZ5" s="269"/>
      <c r="FA5" s="269"/>
      <c r="FB5" s="269"/>
      <c r="FC5" s="269"/>
      <c r="FD5" s="269"/>
      <c r="FE5" s="269"/>
      <c r="FF5" s="269"/>
      <c r="FG5" s="269"/>
      <c r="FH5" s="269"/>
      <c r="FI5" s="269"/>
      <c r="FJ5" s="269"/>
      <c r="FK5" s="269"/>
      <c r="FL5" s="269"/>
      <c r="FM5" s="269"/>
      <c r="FN5" s="269"/>
      <c r="FO5" s="269"/>
      <c r="FP5" s="269"/>
      <c r="FQ5" s="269"/>
      <c r="FR5" s="269"/>
      <c r="FS5" s="269"/>
      <c r="FT5" s="269"/>
      <c r="FU5" s="269"/>
      <c r="FV5" s="269"/>
      <c r="FW5" s="269"/>
      <c r="FX5" s="269"/>
      <c r="FY5" s="269"/>
      <c r="FZ5" s="269"/>
      <c r="GA5" s="269"/>
    </row>
    <row r="6" ht="19.5" customHeight="1">
      <c r="A6" s="271"/>
      <c r="B6" s="157" t="s">
        <v>31</v>
      </c>
      <c r="C6" s="272">
        <f t="shared" ref="C6:C16" si="3">sum(BM6:CQ6)</f>
        <v>0</v>
      </c>
      <c r="D6" s="273">
        <v>20000.0</v>
      </c>
      <c r="E6" s="274"/>
      <c r="F6" s="273">
        <v>27000.0</v>
      </c>
      <c r="G6" s="273">
        <v>36000.0</v>
      </c>
      <c r="H6" s="274"/>
      <c r="I6" s="273"/>
      <c r="J6" s="274"/>
      <c r="K6" s="274"/>
      <c r="L6" s="273">
        <v>150000.0</v>
      </c>
      <c r="M6" s="273">
        <v>25000.0</v>
      </c>
      <c r="N6" s="274"/>
      <c r="O6" s="274"/>
      <c r="P6" s="274"/>
      <c r="Q6" s="273">
        <v>13000.0</v>
      </c>
      <c r="R6" s="273">
        <v>33000.0</v>
      </c>
      <c r="S6" s="274"/>
      <c r="T6" s="274"/>
      <c r="U6" s="274"/>
      <c r="V6" s="274"/>
      <c r="W6" s="274"/>
      <c r="X6" s="274"/>
      <c r="Y6" s="274"/>
      <c r="Z6" s="273">
        <v>35000.0</v>
      </c>
      <c r="AA6" s="273">
        <v>100000.0</v>
      </c>
      <c r="AB6" s="274"/>
      <c r="AC6" s="274"/>
      <c r="AD6" s="274"/>
      <c r="AE6" s="274"/>
      <c r="AF6" s="273">
        <v>26100.0</v>
      </c>
      <c r="AG6" s="273">
        <v>35000.0</v>
      </c>
      <c r="AH6" s="273">
        <v>287000.0</v>
      </c>
      <c r="AI6" s="275"/>
      <c r="AJ6" s="275"/>
      <c r="AK6" s="276">
        <v>5000.0</v>
      </c>
      <c r="AL6" s="276">
        <v>20000.0</v>
      </c>
      <c r="AM6" s="276">
        <v>5000.0</v>
      </c>
      <c r="AN6" s="275"/>
      <c r="AO6" s="275"/>
      <c r="AP6" s="275"/>
      <c r="AQ6" s="276">
        <v>30000.0</v>
      </c>
      <c r="AR6" s="276">
        <v>26500.0</v>
      </c>
      <c r="AS6" s="276"/>
      <c r="AT6" s="276">
        <v>34000.0</v>
      </c>
      <c r="AU6" s="275"/>
      <c r="AV6" s="275"/>
      <c r="AW6" s="275"/>
      <c r="AX6" s="275"/>
      <c r="AY6" s="275"/>
      <c r="AZ6" s="275"/>
      <c r="BA6" s="275"/>
      <c r="BB6" s="275"/>
      <c r="BC6" s="275"/>
      <c r="BD6" s="275"/>
      <c r="BE6" s="275"/>
      <c r="BF6" s="276">
        <v>12000.0</v>
      </c>
      <c r="BG6" s="275"/>
      <c r="BH6" s="275"/>
      <c r="BI6" s="275"/>
      <c r="BJ6" s="275"/>
      <c r="BK6" s="276">
        <v>25000.0</v>
      </c>
      <c r="BL6" s="275"/>
      <c r="BM6" s="277"/>
      <c r="BN6" s="278"/>
      <c r="BO6" s="278"/>
      <c r="BP6" s="278"/>
      <c r="BQ6" s="278"/>
      <c r="BR6" s="278"/>
      <c r="BS6" s="278"/>
      <c r="BT6" s="278"/>
      <c r="BU6" s="278"/>
      <c r="BV6" s="278"/>
      <c r="BW6" s="278"/>
      <c r="BX6" s="278"/>
      <c r="BY6" s="278"/>
      <c r="BZ6" s="278"/>
      <c r="CA6" s="278"/>
      <c r="CB6" s="278"/>
      <c r="CC6" s="278"/>
      <c r="CD6" s="278"/>
      <c r="CE6" s="278"/>
      <c r="CF6" s="278"/>
      <c r="CG6" s="278"/>
      <c r="CH6" s="278"/>
      <c r="CI6" s="278"/>
      <c r="CJ6" s="278"/>
      <c r="CK6" s="278"/>
      <c r="CL6" s="278"/>
      <c r="CM6" s="278"/>
      <c r="CN6" s="278"/>
      <c r="CO6" s="278"/>
      <c r="CP6" s="278"/>
      <c r="CQ6" s="278"/>
      <c r="CR6" s="278"/>
      <c r="CS6" s="278"/>
      <c r="CT6" s="278"/>
      <c r="CU6" s="278"/>
      <c r="CV6" s="278"/>
      <c r="CW6" s="278"/>
      <c r="CX6" s="278"/>
      <c r="CY6" s="278"/>
      <c r="CZ6" s="278"/>
      <c r="DA6" s="278"/>
      <c r="DB6" s="278"/>
      <c r="DC6" s="278"/>
      <c r="DD6" s="278"/>
      <c r="DE6" s="278"/>
      <c r="DF6" s="278"/>
      <c r="DG6" s="278"/>
      <c r="DH6" s="278"/>
      <c r="DI6" s="278"/>
      <c r="DJ6" s="278"/>
      <c r="DK6" s="278"/>
      <c r="DL6" s="278"/>
      <c r="DM6" s="278"/>
      <c r="DN6" s="278"/>
      <c r="DO6" s="278"/>
      <c r="DP6" s="278"/>
      <c r="DQ6" s="278"/>
      <c r="DR6" s="278"/>
      <c r="DS6" s="278"/>
      <c r="DT6" s="278"/>
      <c r="DU6" s="279"/>
      <c r="DV6" s="279"/>
      <c r="DW6" s="279"/>
      <c r="DX6" s="279"/>
      <c r="DY6" s="279"/>
      <c r="DZ6" s="279"/>
      <c r="EA6" s="279"/>
      <c r="EB6" s="279"/>
      <c r="EC6" s="279"/>
      <c r="ED6" s="279"/>
      <c r="EE6" s="279"/>
      <c r="EF6" s="279"/>
      <c r="EG6" s="279"/>
      <c r="EH6" s="279"/>
      <c r="EI6" s="279"/>
      <c r="EJ6" s="279"/>
      <c r="EK6" s="279"/>
      <c r="EL6" s="279"/>
      <c r="EM6" s="279"/>
      <c r="EN6" s="279"/>
      <c r="EO6" s="279"/>
      <c r="EP6" s="279"/>
      <c r="EQ6" s="279"/>
      <c r="ER6" s="279"/>
      <c r="ES6" s="279"/>
      <c r="ET6" s="279"/>
      <c r="EU6" s="279"/>
      <c r="EV6" s="279"/>
      <c r="EW6" s="279"/>
      <c r="EX6" s="279"/>
      <c r="EY6" s="279"/>
      <c r="EZ6" s="279"/>
      <c r="FA6" s="279"/>
      <c r="FB6" s="279"/>
      <c r="FC6" s="279"/>
      <c r="FD6" s="279"/>
      <c r="FE6" s="279"/>
      <c r="FF6" s="279"/>
      <c r="FG6" s="279"/>
      <c r="FH6" s="279"/>
      <c r="FI6" s="279"/>
      <c r="FJ6" s="279"/>
      <c r="FK6" s="279"/>
      <c r="FL6" s="279"/>
      <c r="FM6" s="279"/>
      <c r="FN6" s="279"/>
      <c r="FO6" s="279"/>
      <c r="FP6" s="279"/>
      <c r="FQ6" s="279"/>
      <c r="FR6" s="279"/>
      <c r="FS6" s="279"/>
      <c r="FT6" s="279"/>
      <c r="FU6" s="279"/>
      <c r="FV6" s="279"/>
      <c r="FW6" s="279"/>
      <c r="FX6" s="279"/>
      <c r="FY6" s="279"/>
      <c r="FZ6" s="279"/>
      <c r="GA6" s="279"/>
    </row>
    <row r="7" ht="19.5" customHeight="1">
      <c r="A7" s="266"/>
      <c r="B7" s="157" t="s">
        <v>9</v>
      </c>
      <c r="C7" s="272">
        <f t="shared" si="3"/>
        <v>0</v>
      </c>
      <c r="D7" s="280"/>
      <c r="E7" s="280"/>
      <c r="F7" s="280"/>
      <c r="G7" s="281">
        <v>150000.0</v>
      </c>
      <c r="H7" s="280"/>
      <c r="I7" s="280"/>
      <c r="J7" s="280"/>
      <c r="K7" s="280"/>
      <c r="L7" s="280"/>
      <c r="M7" s="280"/>
      <c r="N7" s="280"/>
      <c r="O7" s="280"/>
      <c r="P7" s="280"/>
      <c r="Q7" s="281">
        <v>150000.0</v>
      </c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2"/>
      <c r="AJ7" s="282"/>
      <c r="AK7" s="283">
        <v>2000.0</v>
      </c>
      <c r="AL7" s="282"/>
      <c r="AM7" s="282"/>
      <c r="AN7" s="282"/>
      <c r="AO7" s="282"/>
      <c r="AP7" s="282"/>
      <c r="AQ7" s="283">
        <v>140000.0</v>
      </c>
      <c r="AR7" s="282"/>
      <c r="AS7" s="282"/>
      <c r="AT7" s="282"/>
      <c r="AU7" s="282"/>
      <c r="AV7" s="283">
        <v>10000.0</v>
      </c>
      <c r="AW7" s="283">
        <v>190000.0</v>
      </c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77"/>
      <c r="BN7" s="284"/>
      <c r="BO7" s="284"/>
      <c r="BP7" s="284"/>
      <c r="BQ7" s="284"/>
      <c r="BR7" s="284"/>
      <c r="BS7" s="284"/>
      <c r="BT7" s="284"/>
      <c r="BU7" s="284"/>
      <c r="BV7" s="284"/>
      <c r="BW7" s="284"/>
      <c r="BX7" s="284"/>
      <c r="BY7" s="284"/>
      <c r="BZ7" s="284"/>
      <c r="CA7" s="284"/>
      <c r="CB7" s="284"/>
      <c r="CC7" s="284"/>
      <c r="CD7" s="284"/>
      <c r="CE7" s="284"/>
      <c r="CF7" s="284"/>
      <c r="CG7" s="284"/>
      <c r="CH7" s="284"/>
      <c r="CI7" s="284"/>
      <c r="CJ7" s="284"/>
      <c r="CK7" s="284"/>
      <c r="CL7" s="284"/>
      <c r="CM7" s="284"/>
      <c r="CN7" s="284"/>
      <c r="CO7" s="284"/>
      <c r="CP7" s="284"/>
      <c r="CQ7" s="284"/>
      <c r="CR7" s="284"/>
      <c r="CS7" s="284"/>
      <c r="CT7" s="284"/>
      <c r="CU7" s="284"/>
      <c r="CV7" s="284"/>
      <c r="CW7" s="284"/>
      <c r="CX7" s="284"/>
      <c r="CY7" s="284"/>
      <c r="CZ7" s="284"/>
      <c r="DA7" s="284"/>
      <c r="DB7" s="284"/>
      <c r="DC7" s="284"/>
      <c r="DD7" s="284"/>
      <c r="DE7" s="284"/>
      <c r="DF7" s="284"/>
      <c r="DG7" s="284"/>
      <c r="DH7" s="284"/>
      <c r="DI7" s="284"/>
      <c r="DJ7" s="284"/>
      <c r="DK7" s="284"/>
      <c r="DL7" s="284"/>
      <c r="DM7" s="284"/>
      <c r="DN7" s="284"/>
      <c r="DO7" s="284"/>
      <c r="DP7" s="284"/>
      <c r="DQ7" s="284"/>
      <c r="DR7" s="284"/>
      <c r="DS7" s="284"/>
      <c r="DT7" s="284"/>
      <c r="DU7" s="285"/>
      <c r="DV7" s="285"/>
      <c r="DW7" s="285"/>
      <c r="DX7" s="285"/>
      <c r="DY7" s="285"/>
      <c r="DZ7" s="285"/>
      <c r="EA7" s="285"/>
      <c r="EB7" s="285"/>
      <c r="EC7" s="285"/>
      <c r="ED7" s="285"/>
      <c r="EE7" s="285"/>
      <c r="EF7" s="285"/>
      <c r="EG7" s="285"/>
      <c r="EH7" s="285"/>
      <c r="EI7" s="285"/>
      <c r="EJ7" s="285"/>
      <c r="EK7" s="285"/>
      <c r="EL7" s="285"/>
      <c r="EM7" s="285"/>
      <c r="EN7" s="285"/>
      <c r="EO7" s="285"/>
      <c r="EP7" s="285"/>
      <c r="EQ7" s="285"/>
      <c r="ER7" s="285"/>
      <c r="ES7" s="285"/>
      <c r="ET7" s="285"/>
      <c r="EU7" s="285"/>
      <c r="EV7" s="285"/>
      <c r="EW7" s="285"/>
      <c r="EX7" s="285"/>
      <c r="EY7" s="285"/>
      <c r="EZ7" s="285"/>
      <c r="FA7" s="285"/>
      <c r="FB7" s="285"/>
      <c r="FC7" s="285"/>
      <c r="FD7" s="285"/>
      <c r="FE7" s="285"/>
      <c r="FF7" s="285"/>
      <c r="FG7" s="285"/>
      <c r="FH7" s="285"/>
      <c r="FI7" s="285"/>
      <c r="FJ7" s="285"/>
      <c r="FK7" s="285"/>
      <c r="FL7" s="285"/>
      <c r="FM7" s="285"/>
      <c r="FN7" s="285"/>
      <c r="FO7" s="285"/>
      <c r="FP7" s="285"/>
      <c r="FQ7" s="285"/>
      <c r="FR7" s="285"/>
      <c r="FS7" s="285"/>
      <c r="FT7" s="285"/>
      <c r="FU7" s="285"/>
      <c r="FV7" s="285"/>
      <c r="FW7" s="285"/>
      <c r="FX7" s="285"/>
      <c r="FY7" s="285"/>
      <c r="FZ7" s="285"/>
      <c r="GA7" s="285"/>
    </row>
    <row r="8" ht="18.75" customHeight="1">
      <c r="A8" s="266"/>
      <c r="B8" s="157" t="s">
        <v>21</v>
      </c>
      <c r="C8" s="272">
        <f t="shared" si="3"/>
        <v>150000</v>
      </c>
      <c r="D8" s="281">
        <v>75000.0</v>
      </c>
      <c r="E8" s="280"/>
      <c r="F8" s="280"/>
      <c r="G8" s="280"/>
      <c r="H8" s="281">
        <v>25000.0</v>
      </c>
      <c r="I8" s="280"/>
      <c r="J8" s="280"/>
      <c r="K8" s="280"/>
      <c r="L8" s="280"/>
      <c r="M8" s="281"/>
      <c r="N8" s="281">
        <v>35000.0</v>
      </c>
      <c r="O8" s="281"/>
      <c r="P8" s="281">
        <v>5000.0</v>
      </c>
      <c r="Q8" s="281">
        <v>52000.0</v>
      </c>
      <c r="R8" s="281">
        <v>75000.0</v>
      </c>
      <c r="S8" s="280"/>
      <c r="T8" s="280"/>
      <c r="U8" s="280"/>
      <c r="V8" s="280"/>
      <c r="W8" s="280"/>
      <c r="X8" s="281">
        <v>25000.0</v>
      </c>
      <c r="Y8" s="280"/>
      <c r="Z8" s="280"/>
      <c r="AA8" s="280"/>
      <c r="AB8" s="281">
        <v>2500.0</v>
      </c>
      <c r="AC8" s="280"/>
      <c r="AD8" s="280"/>
      <c r="AE8" s="280"/>
      <c r="AF8" s="281">
        <v>10000.0</v>
      </c>
      <c r="AG8" s="281">
        <v>25000.0</v>
      </c>
      <c r="AH8" s="281">
        <v>34000.0</v>
      </c>
      <c r="AI8" s="283">
        <v>140000.0</v>
      </c>
      <c r="AJ8" s="283">
        <v>15000.0</v>
      </c>
      <c r="AK8" s="283">
        <v>12500.0</v>
      </c>
      <c r="AL8" s="282"/>
      <c r="AM8" s="282"/>
      <c r="AN8" s="282"/>
      <c r="AO8" s="282"/>
      <c r="AP8" s="282"/>
      <c r="AQ8" s="283">
        <v>22000.0</v>
      </c>
      <c r="AR8" s="283">
        <v>57000.0</v>
      </c>
      <c r="AS8" s="283">
        <v>25000.0</v>
      </c>
      <c r="AT8" s="283">
        <v>10000.0</v>
      </c>
      <c r="AU8" s="282"/>
      <c r="AV8" s="283">
        <v>25000.0</v>
      </c>
      <c r="AW8" s="283">
        <v>10000.0</v>
      </c>
      <c r="AX8" s="283">
        <v>4166.0</v>
      </c>
      <c r="AY8" s="282"/>
      <c r="AZ8" s="282"/>
      <c r="BA8" s="283">
        <v>25000.0</v>
      </c>
      <c r="BB8" s="283">
        <v>25000.0</v>
      </c>
      <c r="BC8" s="282"/>
      <c r="BD8" s="282"/>
      <c r="BE8" s="282"/>
      <c r="BF8" s="282"/>
      <c r="BG8" s="283">
        <v>25000.0</v>
      </c>
      <c r="BH8" s="282"/>
      <c r="BI8" s="282"/>
      <c r="BJ8" s="282"/>
      <c r="BK8" s="283">
        <v>10000.0</v>
      </c>
      <c r="BL8" s="282"/>
      <c r="BM8" s="277"/>
      <c r="BN8" s="286">
        <v>25000.0</v>
      </c>
      <c r="BO8" s="284"/>
      <c r="BP8" s="284"/>
      <c r="BQ8" s="284"/>
      <c r="BR8" s="284"/>
      <c r="BS8" s="284"/>
      <c r="BT8" s="284"/>
      <c r="BU8" s="284"/>
      <c r="BV8" s="284"/>
      <c r="BW8" s="286">
        <v>75000.0</v>
      </c>
      <c r="BX8" s="286">
        <v>15000.0</v>
      </c>
      <c r="BY8" s="286">
        <v>35000.0</v>
      </c>
      <c r="BZ8" s="284"/>
      <c r="CA8" s="284"/>
      <c r="CB8" s="284"/>
      <c r="CC8" s="284"/>
      <c r="CD8" s="284"/>
      <c r="CE8" s="284"/>
      <c r="CF8" s="284"/>
      <c r="CG8" s="284"/>
      <c r="CH8" s="284"/>
      <c r="CI8" s="284"/>
      <c r="CJ8" s="284"/>
      <c r="CK8" s="284"/>
      <c r="CL8" s="284"/>
      <c r="CM8" s="284"/>
      <c r="CN8" s="284"/>
      <c r="CO8" s="284"/>
      <c r="CP8" s="284"/>
      <c r="CQ8" s="284"/>
      <c r="CR8" s="284"/>
      <c r="CS8" s="284"/>
      <c r="CT8" s="284"/>
      <c r="CU8" s="284"/>
      <c r="CV8" s="284"/>
      <c r="CW8" s="284"/>
      <c r="CX8" s="284"/>
      <c r="CY8" s="284"/>
      <c r="CZ8" s="284"/>
      <c r="DA8" s="284"/>
      <c r="DB8" s="284"/>
      <c r="DC8" s="284"/>
      <c r="DD8" s="284"/>
      <c r="DE8" s="284"/>
      <c r="DF8" s="284"/>
      <c r="DG8" s="284"/>
      <c r="DH8" s="284"/>
      <c r="DI8" s="284"/>
      <c r="DJ8" s="284"/>
      <c r="DK8" s="284"/>
      <c r="DL8" s="284"/>
      <c r="DM8" s="284"/>
      <c r="DN8" s="284"/>
      <c r="DO8" s="284"/>
      <c r="DP8" s="284"/>
      <c r="DQ8" s="284"/>
      <c r="DR8" s="284"/>
      <c r="DS8" s="284"/>
      <c r="DT8" s="284"/>
      <c r="DU8" s="285"/>
      <c r="DV8" s="285"/>
      <c r="DW8" s="285"/>
      <c r="DX8" s="285"/>
      <c r="DY8" s="285"/>
      <c r="DZ8" s="285"/>
      <c r="EA8" s="285"/>
      <c r="EB8" s="285"/>
      <c r="EC8" s="285"/>
      <c r="ED8" s="285"/>
      <c r="EE8" s="285"/>
      <c r="EF8" s="285"/>
      <c r="EG8" s="285"/>
      <c r="EH8" s="285"/>
      <c r="EI8" s="285"/>
      <c r="EJ8" s="285"/>
      <c r="EK8" s="285"/>
      <c r="EL8" s="285"/>
      <c r="EM8" s="285"/>
      <c r="EN8" s="285"/>
      <c r="EO8" s="285"/>
      <c r="EP8" s="285"/>
      <c r="EQ8" s="285"/>
      <c r="ER8" s="285"/>
      <c r="ES8" s="285"/>
      <c r="ET8" s="285"/>
      <c r="EU8" s="285"/>
      <c r="EV8" s="285"/>
      <c r="EW8" s="285"/>
      <c r="EX8" s="285"/>
      <c r="EY8" s="285"/>
      <c r="EZ8" s="285"/>
      <c r="FA8" s="285"/>
      <c r="FB8" s="285"/>
      <c r="FC8" s="285"/>
      <c r="FD8" s="285"/>
      <c r="FE8" s="285"/>
      <c r="FF8" s="285"/>
      <c r="FG8" s="285"/>
      <c r="FH8" s="285"/>
      <c r="FI8" s="285"/>
      <c r="FJ8" s="285"/>
      <c r="FK8" s="285"/>
      <c r="FL8" s="285"/>
      <c r="FM8" s="285"/>
      <c r="FN8" s="285"/>
      <c r="FO8" s="285"/>
      <c r="FP8" s="285"/>
      <c r="FQ8" s="285"/>
      <c r="FR8" s="285"/>
      <c r="FS8" s="285"/>
      <c r="FT8" s="285"/>
      <c r="FU8" s="285"/>
      <c r="FV8" s="285"/>
      <c r="FW8" s="285"/>
      <c r="FX8" s="285"/>
      <c r="FY8" s="285"/>
      <c r="FZ8" s="285"/>
      <c r="GA8" s="285"/>
    </row>
    <row r="9" ht="19.5" customHeight="1">
      <c r="A9" s="266"/>
      <c r="B9" s="157" t="s">
        <v>35</v>
      </c>
      <c r="C9" s="272">
        <f t="shared" si="3"/>
        <v>50000</v>
      </c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3">
        <v>2000.0</v>
      </c>
      <c r="R9" s="274"/>
      <c r="S9" s="274"/>
      <c r="T9" s="274"/>
      <c r="U9" s="273">
        <v>15000.0</v>
      </c>
      <c r="V9" s="274"/>
      <c r="W9" s="274"/>
      <c r="X9" s="273">
        <v>25000.0</v>
      </c>
      <c r="Y9" s="274"/>
      <c r="Z9" s="273">
        <v>25000.0</v>
      </c>
      <c r="AA9" s="274"/>
      <c r="AB9" s="273">
        <v>100000.0</v>
      </c>
      <c r="AC9" s="274"/>
      <c r="AD9" s="274"/>
      <c r="AE9" s="273">
        <v>250000.0</v>
      </c>
      <c r="AF9" s="274"/>
      <c r="AG9" s="273">
        <v>25000.0</v>
      </c>
      <c r="AH9" s="273">
        <v>25000.0</v>
      </c>
      <c r="AI9" s="276"/>
      <c r="AJ9" s="275"/>
      <c r="AK9" s="276">
        <v>10000.0</v>
      </c>
      <c r="AL9" s="276"/>
      <c r="AM9" s="275"/>
      <c r="AN9" s="276"/>
      <c r="AO9" s="276">
        <v>5000.0</v>
      </c>
      <c r="AP9" s="275"/>
      <c r="AQ9" s="276">
        <v>10000.0</v>
      </c>
      <c r="AR9" s="275"/>
      <c r="AS9" s="275"/>
      <c r="AT9" s="276">
        <v>25000.0</v>
      </c>
      <c r="AU9" s="275"/>
      <c r="AV9" s="275"/>
      <c r="AW9" s="275"/>
      <c r="AX9" s="276">
        <v>4166.0</v>
      </c>
      <c r="AY9" s="276">
        <v>25000.0</v>
      </c>
      <c r="AZ9" s="275"/>
      <c r="BA9" s="276">
        <v>5000.0</v>
      </c>
      <c r="BB9" s="276">
        <v>25000.0</v>
      </c>
      <c r="BC9" s="276">
        <v>50000.0</v>
      </c>
      <c r="BD9" s="275"/>
      <c r="BE9" s="276">
        <v>5000.0</v>
      </c>
      <c r="BF9" s="276">
        <v>50000.0</v>
      </c>
      <c r="BG9" s="276">
        <v>150000.0</v>
      </c>
      <c r="BH9" s="275"/>
      <c r="BI9" s="275"/>
      <c r="BJ9" s="276">
        <v>25000.0</v>
      </c>
      <c r="BK9" s="275"/>
      <c r="BL9" s="276">
        <v>6250.0</v>
      </c>
      <c r="BM9" s="287"/>
      <c r="BN9" s="288"/>
      <c r="BO9" s="278"/>
      <c r="BP9" s="278"/>
      <c r="BQ9" s="278"/>
      <c r="BR9" s="288">
        <v>25000.0</v>
      </c>
      <c r="BS9" s="278"/>
      <c r="BT9" s="278"/>
      <c r="BU9" s="278"/>
      <c r="BV9" s="288">
        <v>25000.0</v>
      </c>
      <c r="BW9" s="278"/>
      <c r="BX9" s="278"/>
      <c r="BY9" s="278"/>
      <c r="BZ9" s="278"/>
      <c r="CA9" s="278"/>
      <c r="CB9" s="278"/>
      <c r="CC9" s="278"/>
      <c r="CD9" s="278"/>
      <c r="CE9" s="278"/>
      <c r="CF9" s="278"/>
      <c r="CG9" s="278"/>
      <c r="CH9" s="278"/>
      <c r="CI9" s="278"/>
      <c r="CJ9" s="278"/>
      <c r="CK9" s="278"/>
      <c r="CL9" s="278"/>
      <c r="CM9" s="278"/>
      <c r="CN9" s="278"/>
      <c r="CO9" s="278"/>
      <c r="CP9" s="278"/>
      <c r="CQ9" s="278"/>
      <c r="CR9" s="278"/>
      <c r="CS9" s="278"/>
      <c r="CT9" s="278"/>
      <c r="CU9" s="278"/>
      <c r="CV9" s="278"/>
      <c r="CW9" s="278"/>
      <c r="CX9" s="278"/>
      <c r="CY9" s="278"/>
      <c r="CZ9" s="278"/>
      <c r="DA9" s="278"/>
      <c r="DB9" s="278"/>
      <c r="DC9" s="278"/>
      <c r="DD9" s="278"/>
      <c r="DE9" s="278"/>
      <c r="DF9" s="278"/>
      <c r="DG9" s="278"/>
      <c r="DH9" s="278"/>
      <c r="DI9" s="278"/>
      <c r="DJ9" s="278"/>
      <c r="DK9" s="278"/>
      <c r="DL9" s="278"/>
      <c r="DM9" s="278"/>
      <c r="DN9" s="278"/>
      <c r="DO9" s="278"/>
      <c r="DP9" s="278"/>
      <c r="DQ9" s="278"/>
      <c r="DR9" s="278"/>
      <c r="DS9" s="278"/>
      <c r="DT9" s="278"/>
      <c r="DU9" s="279"/>
      <c r="DV9" s="279"/>
      <c r="DW9" s="279"/>
      <c r="DX9" s="279"/>
      <c r="DY9" s="279"/>
      <c r="DZ9" s="279"/>
      <c r="EA9" s="279"/>
      <c r="EB9" s="279"/>
      <c r="EC9" s="279"/>
      <c r="ED9" s="279"/>
      <c r="EE9" s="279"/>
      <c r="EF9" s="279"/>
      <c r="EG9" s="279"/>
      <c r="EH9" s="279"/>
      <c r="EI9" s="279"/>
      <c r="EJ9" s="279"/>
      <c r="EK9" s="279"/>
      <c r="EL9" s="279"/>
      <c r="EM9" s="279"/>
      <c r="EN9" s="279"/>
      <c r="EO9" s="279"/>
      <c r="EP9" s="279"/>
      <c r="EQ9" s="279"/>
      <c r="ER9" s="279"/>
      <c r="ES9" s="279"/>
      <c r="ET9" s="279"/>
      <c r="EU9" s="279"/>
      <c r="EV9" s="279"/>
      <c r="EW9" s="279"/>
      <c r="EX9" s="279"/>
      <c r="EY9" s="279"/>
      <c r="EZ9" s="279"/>
      <c r="FA9" s="279"/>
      <c r="FB9" s="279"/>
      <c r="FC9" s="279"/>
      <c r="FD9" s="279"/>
      <c r="FE9" s="279"/>
      <c r="FF9" s="279"/>
      <c r="FG9" s="279"/>
      <c r="FH9" s="279"/>
      <c r="FI9" s="279"/>
      <c r="FJ9" s="279"/>
      <c r="FK9" s="279"/>
      <c r="FL9" s="279"/>
      <c r="FM9" s="279"/>
      <c r="FN9" s="279"/>
      <c r="FO9" s="279"/>
      <c r="FP9" s="279"/>
      <c r="FQ9" s="279"/>
      <c r="FR9" s="279"/>
      <c r="FS9" s="279"/>
      <c r="FT9" s="279"/>
      <c r="FU9" s="279"/>
      <c r="FV9" s="279"/>
      <c r="FW9" s="279"/>
      <c r="FX9" s="279"/>
      <c r="FY9" s="279"/>
      <c r="FZ9" s="279"/>
      <c r="GA9" s="279"/>
    </row>
    <row r="10" ht="19.5" customHeight="1">
      <c r="A10" s="266"/>
      <c r="B10" s="157" t="s">
        <v>12</v>
      </c>
      <c r="C10" s="272">
        <f t="shared" si="3"/>
        <v>35000</v>
      </c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1">
        <v>100000.0</v>
      </c>
      <c r="O10" s="280"/>
      <c r="P10" s="280"/>
      <c r="Q10" s="280"/>
      <c r="R10" s="281">
        <v>10000.0</v>
      </c>
      <c r="S10" s="280"/>
      <c r="T10" s="280"/>
      <c r="U10" s="280"/>
      <c r="V10" s="280"/>
      <c r="W10" s="280"/>
      <c r="X10" s="280"/>
      <c r="Y10" s="280"/>
      <c r="Z10" s="280"/>
      <c r="AA10" s="280"/>
      <c r="AB10" s="281">
        <v>12500.0</v>
      </c>
      <c r="AC10" s="280"/>
      <c r="AD10" s="280"/>
      <c r="AE10" s="281">
        <v>75000.0</v>
      </c>
      <c r="AF10" s="280"/>
      <c r="AG10" s="280"/>
      <c r="AH10" s="281">
        <v>34000.0</v>
      </c>
      <c r="AI10" s="282"/>
      <c r="AJ10" s="283">
        <v>20000.0</v>
      </c>
      <c r="AK10" s="283">
        <v>2000.0</v>
      </c>
      <c r="AL10" s="282"/>
      <c r="AM10" s="283">
        <v>10000.0</v>
      </c>
      <c r="AN10" s="282"/>
      <c r="AO10" s="282"/>
      <c r="AP10" s="282"/>
      <c r="AQ10" s="282"/>
      <c r="AR10" s="283">
        <v>25000.0</v>
      </c>
      <c r="AS10" s="282"/>
      <c r="AT10" s="283">
        <v>25000.0</v>
      </c>
      <c r="AU10" s="282"/>
      <c r="AV10" s="282"/>
      <c r="AW10" s="282"/>
      <c r="AX10" s="283"/>
      <c r="AY10" s="282"/>
      <c r="AZ10" s="282"/>
      <c r="BA10" s="283">
        <v>25000.0</v>
      </c>
      <c r="BB10" s="283">
        <v>2000.0</v>
      </c>
      <c r="BC10" s="282"/>
      <c r="BD10" s="282"/>
      <c r="BE10" s="283">
        <v>2000.0</v>
      </c>
      <c r="BF10" s="282"/>
      <c r="BG10" s="282"/>
      <c r="BH10" s="282"/>
      <c r="BI10" s="282"/>
      <c r="BJ10" s="282"/>
      <c r="BK10" s="282"/>
      <c r="BL10" s="283">
        <v>6250.0</v>
      </c>
      <c r="BM10" s="287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6">
        <v>35000.0</v>
      </c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5"/>
      <c r="DV10" s="285"/>
      <c r="DW10" s="285"/>
      <c r="DX10" s="285"/>
      <c r="DY10" s="285"/>
      <c r="DZ10" s="285"/>
      <c r="EA10" s="285"/>
      <c r="EB10" s="285"/>
      <c r="EC10" s="285"/>
      <c r="ED10" s="285"/>
      <c r="EE10" s="285"/>
      <c r="EF10" s="285"/>
      <c r="EG10" s="285"/>
      <c r="EH10" s="285"/>
      <c r="EI10" s="285"/>
      <c r="EJ10" s="285"/>
      <c r="EK10" s="285"/>
      <c r="EL10" s="285"/>
      <c r="EM10" s="285"/>
      <c r="EN10" s="285"/>
      <c r="EO10" s="285"/>
      <c r="EP10" s="285"/>
      <c r="EQ10" s="285"/>
      <c r="ER10" s="285"/>
      <c r="ES10" s="285"/>
      <c r="ET10" s="285"/>
      <c r="EU10" s="285"/>
      <c r="EV10" s="285"/>
      <c r="EW10" s="285"/>
      <c r="EX10" s="285"/>
      <c r="EY10" s="285"/>
      <c r="EZ10" s="285"/>
      <c r="FA10" s="285"/>
      <c r="FB10" s="285"/>
      <c r="FC10" s="285"/>
      <c r="FD10" s="285"/>
      <c r="FE10" s="285"/>
      <c r="FF10" s="285"/>
      <c r="FG10" s="285"/>
      <c r="FH10" s="285"/>
      <c r="FI10" s="285"/>
      <c r="FJ10" s="285"/>
      <c r="FK10" s="285"/>
      <c r="FL10" s="285"/>
      <c r="FM10" s="285"/>
      <c r="FN10" s="285"/>
      <c r="FO10" s="285"/>
      <c r="FP10" s="285"/>
      <c r="FQ10" s="285"/>
      <c r="FR10" s="285"/>
      <c r="FS10" s="285"/>
      <c r="FT10" s="285"/>
      <c r="FU10" s="285"/>
      <c r="FV10" s="285"/>
      <c r="FW10" s="285"/>
      <c r="FX10" s="285"/>
      <c r="FY10" s="285"/>
      <c r="FZ10" s="285"/>
      <c r="GA10" s="285"/>
    </row>
    <row r="11" ht="22.5" customHeight="1">
      <c r="A11" s="271"/>
      <c r="B11" s="157" t="s">
        <v>37</v>
      </c>
      <c r="C11" s="272">
        <f t="shared" si="3"/>
        <v>313000</v>
      </c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3">
        <v>10000.0</v>
      </c>
      <c r="P11" s="274"/>
      <c r="Q11" s="273">
        <v>47000.0</v>
      </c>
      <c r="R11" s="274"/>
      <c r="S11" s="273">
        <v>15000.0</v>
      </c>
      <c r="T11" s="273"/>
      <c r="U11" s="274"/>
      <c r="V11" s="274"/>
      <c r="W11" s="274"/>
      <c r="X11" s="274"/>
      <c r="Y11" s="274"/>
      <c r="Z11" s="274"/>
      <c r="AA11" s="273">
        <v>100000.0</v>
      </c>
      <c r="AB11" s="274"/>
      <c r="AC11" s="274"/>
      <c r="AD11" s="274"/>
      <c r="AE11" s="274"/>
      <c r="AF11" s="274"/>
      <c r="AG11" s="273">
        <v>5000.0</v>
      </c>
      <c r="AH11" s="273">
        <v>39000.0</v>
      </c>
      <c r="AI11" s="276"/>
      <c r="AJ11" s="276">
        <v>75000.0</v>
      </c>
      <c r="AK11" s="275"/>
      <c r="AL11" s="275"/>
      <c r="AM11" s="276">
        <v>75000.0</v>
      </c>
      <c r="AN11" s="275"/>
      <c r="AO11" s="275"/>
      <c r="AP11" s="275"/>
      <c r="AQ11" s="276">
        <v>10000.0</v>
      </c>
      <c r="AR11" s="276">
        <v>152000.0</v>
      </c>
      <c r="AS11" s="275"/>
      <c r="AT11" s="275"/>
      <c r="AU11" s="275"/>
      <c r="AV11" s="275"/>
      <c r="AW11" s="275"/>
      <c r="AX11" s="276">
        <v>4167.0</v>
      </c>
      <c r="AY11" s="275"/>
      <c r="AZ11" s="275"/>
      <c r="BA11" s="276">
        <v>10000.0</v>
      </c>
      <c r="BB11" s="276">
        <v>2000.0</v>
      </c>
      <c r="BC11" s="276">
        <v>25000.0</v>
      </c>
      <c r="BD11" s="276">
        <v>10000.0</v>
      </c>
      <c r="BE11" s="276">
        <v>2000.0</v>
      </c>
      <c r="BF11" s="275"/>
      <c r="BG11" s="276">
        <v>70000.0</v>
      </c>
      <c r="BH11" s="276">
        <v>140000.0</v>
      </c>
      <c r="BI11" s="275"/>
      <c r="BJ11" s="275"/>
      <c r="BK11" s="276">
        <v>100000.0</v>
      </c>
      <c r="BL11" s="276">
        <v>6250.0</v>
      </c>
      <c r="BM11" s="289">
        <v>113000.0</v>
      </c>
      <c r="BN11" s="288"/>
      <c r="BO11" s="278"/>
      <c r="BP11" s="288"/>
      <c r="BQ11" s="288">
        <v>50000.0</v>
      </c>
      <c r="BR11" s="278"/>
      <c r="BS11" s="278"/>
      <c r="BT11" s="278"/>
      <c r="BU11" s="278"/>
      <c r="BV11" s="278"/>
      <c r="BW11" s="278"/>
      <c r="BX11" s="288">
        <v>150000.0</v>
      </c>
      <c r="BY11" s="278"/>
      <c r="BZ11" s="278"/>
      <c r="CA11" s="278"/>
      <c r="CB11" s="278"/>
      <c r="CC11" s="278"/>
      <c r="CD11" s="278"/>
      <c r="CE11" s="278"/>
      <c r="CF11" s="278"/>
      <c r="CG11" s="278"/>
      <c r="CH11" s="278"/>
      <c r="CI11" s="278"/>
      <c r="CJ11" s="278"/>
      <c r="CK11" s="278"/>
      <c r="CL11" s="278"/>
      <c r="CM11" s="278"/>
      <c r="CN11" s="278"/>
      <c r="CO11" s="278"/>
      <c r="CP11" s="278"/>
      <c r="CQ11" s="278"/>
      <c r="CR11" s="278"/>
      <c r="CS11" s="278"/>
      <c r="CT11" s="278"/>
      <c r="CU11" s="278"/>
      <c r="CV11" s="278"/>
      <c r="CW11" s="278"/>
      <c r="CX11" s="278"/>
      <c r="CY11" s="278"/>
      <c r="CZ11" s="278"/>
      <c r="DA11" s="278"/>
      <c r="DB11" s="278"/>
      <c r="DC11" s="278"/>
      <c r="DD11" s="278"/>
      <c r="DE11" s="278"/>
      <c r="DF11" s="278"/>
      <c r="DG11" s="278"/>
      <c r="DH11" s="278"/>
      <c r="DI11" s="278"/>
      <c r="DJ11" s="278"/>
      <c r="DK11" s="278"/>
      <c r="DL11" s="278"/>
      <c r="DM11" s="278"/>
      <c r="DN11" s="278"/>
      <c r="DO11" s="278"/>
      <c r="DP11" s="278"/>
      <c r="DQ11" s="278"/>
      <c r="DR11" s="278"/>
      <c r="DS11" s="278"/>
      <c r="DT11" s="278"/>
      <c r="DU11" s="279"/>
      <c r="DV11" s="279"/>
      <c r="DW11" s="279"/>
      <c r="DX11" s="279"/>
      <c r="DY11" s="279"/>
      <c r="DZ11" s="279"/>
      <c r="EA11" s="279"/>
      <c r="EB11" s="279"/>
      <c r="EC11" s="279"/>
      <c r="ED11" s="279"/>
      <c r="EE11" s="279"/>
      <c r="EF11" s="279"/>
      <c r="EG11" s="279"/>
      <c r="EH11" s="279"/>
      <c r="EI11" s="279"/>
      <c r="EJ11" s="279"/>
      <c r="EK11" s="279"/>
      <c r="EL11" s="279"/>
      <c r="EM11" s="279"/>
      <c r="EN11" s="279"/>
      <c r="EO11" s="279"/>
      <c r="EP11" s="279"/>
      <c r="EQ11" s="279"/>
      <c r="ER11" s="279"/>
      <c r="ES11" s="279"/>
      <c r="ET11" s="279"/>
      <c r="EU11" s="279"/>
      <c r="EV11" s="279"/>
      <c r="EW11" s="279"/>
      <c r="EX11" s="279"/>
      <c r="EY11" s="279"/>
      <c r="EZ11" s="279"/>
      <c r="FA11" s="279"/>
      <c r="FB11" s="279"/>
      <c r="FC11" s="279"/>
      <c r="FD11" s="279"/>
      <c r="FE11" s="279"/>
      <c r="FF11" s="279"/>
      <c r="FG11" s="279"/>
      <c r="FH11" s="279"/>
      <c r="FI11" s="279"/>
      <c r="FJ11" s="279"/>
      <c r="FK11" s="279"/>
      <c r="FL11" s="279"/>
      <c r="FM11" s="279"/>
      <c r="FN11" s="279"/>
      <c r="FO11" s="279"/>
      <c r="FP11" s="279"/>
      <c r="FQ11" s="279"/>
      <c r="FR11" s="279"/>
      <c r="FS11" s="279"/>
      <c r="FT11" s="279"/>
      <c r="FU11" s="279"/>
      <c r="FV11" s="279"/>
      <c r="FW11" s="279"/>
      <c r="FX11" s="279"/>
      <c r="FY11" s="279"/>
      <c r="FZ11" s="279"/>
      <c r="GA11" s="279"/>
    </row>
    <row r="12" ht="19.5" customHeight="1">
      <c r="A12" s="266"/>
      <c r="B12" s="157" t="s">
        <v>14</v>
      </c>
      <c r="C12" s="272">
        <f t="shared" si="3"/>
        <v>108000</v>
      </c>
      <c r="D12" s="280"/>
      <c r="E12" s="280"/>
      <c r="F12" s="280"/>
      <c r="G12" s="280"/>
      <c r="H12" s="280"/>
      <c r="I12" s="280"/>
      <c r="J12" s="280"/>
      <c r="K12" s="280"/>
      <c r="L12" s="280"/>
      <c r="M12" s="281">
        <v>5000.0</v>
      </c>
      <c r="N12" s="281">
        <v>25000.0</v>
      </c>
      <c r="O12" s="280"/>
      <c r="P12" s="280"/>
      <c r="Q12" s="280"/>
      <c r="R12" s="280"/>
      <c r="S12" s="280"/>
      <c r="T12" s="280"/>
      <c r="U12" s="280"/>
      <c r="V12" s="281">
        <v>75000.0</v>
      </c>
      <c r="W12" s="280"/>
      <c r="X12" s="280"/>
      <c r="Y12" s="281">
        <v>5000.0</v>
      </c>
      <c r="Z12" s="280"/>
      <c r="AA12" s="280"/>
      <c r="AB12" s="280"/>
      <c r="AC12" s="280"/>
      <c r="AD12" s="281">
        <v>50000.0</v>
      </c>
      <c r="AE12" s="280"/>
      <c r="AF12" s="280"/>
      <c r="AG12" s="281">
        <v>208000.0</v>
      </c>
      <c r="AH12" s="281">
        <v>46000.0</v>
      </c>
      <c r="AI12" s="283"/>
      <c r="AJ12" s="282"/>
      <c r="AK12" s="282"/>
      <c r="AL12" s="282"/>
      <c r="AM12" s="282"/>
      <c r="AN12" s="283"/>
      <c r="AO12" s="283">
        <v>5000.0</v>
      </c>
      <c r="AP12" s="282"/>
      <c r="AQ12" s="282"/>
      <c r="AR12" s="282"/>
      <c r="AS12" s="282"/>
      <c r="AT12" s="283">
        <v>85000.0</v>
      </c>
      <c r="AU12" s="282"/>
      <c r="AV12" s="283">
        <v>10000.0</v>
      </c>
      <c r="AW12" s="282"/>
      <c r="AX12" s="282"/>
      <c r="AY12" s="283">
        <v>75000.0</v>
      </c>
      <c r="AZ12" s="283">
        <v>500000.0</v>
      </c>
      <c r="BA12" s="283">
        <v>3000.0</v>
      </c>
      <c r="BB12" s="283">
        <v>2000.0</v>
      </c>
      <c r="BC12" s="282"/>
      <c r="BD12" s="282"/>
      <c r="BE12" s="283">
        <v>2000.0</v>
      </c>
      <c r="BF12" s="282"/>
      <c r="BG12" s="282"/>
      <c r="BH12" s="282"/>
      <c r="BI12" s="282"/>
      <c r="BJ12" s="282"/>
      <c r="BK12" s="282"/>
      <c r="BL12" s="282"/>
      <c r="BM12" s="289">
        <v>53000.0</v>
      </c>
      <c r="BN12" s="286"/>
      <c r="BO12" s="284"/>
      <c r="BP12" s="286"/>
      <c r="BQ12" s="286">
        <v>50000.0</v>
      </c>
      <c r="BR12" s="284"/>
      <c r="BS12" s="284"/>
      <c r="BT12" s="284"/>
      <c r="BU12" s="284"/>
      <c r="BV12" s="284"/>
      <c r="BW12" s="284"/>
      <c r="BX12" s="286">
        <v>5000.0</v>
      </c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5"/>
      <c r="DV12" s="285"/>
      <c r="DW12" s="285"/>
      <c r="DX12" s="285"/>
      <c r="DY12" s="285"/>
      <c r="DZ12" s="285"/>
      <c r="EA12" s="285"/>
      <c r="EB12" s="285"/>
      <c r="EC12" s="285"/>
      <c r="ED12" s="285"/>
      <c r="EE12" s="285"/>
      <c r="EF12" s="285"/>
      <c r="EG12" s="285"/>
      <c r="EH12" s="285"/>
      <c r="EI12" s="285"/>
      <c r="EJ12" s="285"/>
      <c r="EK12" s="285"/>
      <c r="EL12" s="285"/>
      <c r="EM12" s="285"/>
      <c r="EN12" s="285"/>
      <c r="EO12" s="285"/>
      <c r="EP12" s="285"/>
      <c r="EQ12" s="285"/>
      <c r="ER12" s="285"/>
      <c r="ES12" s="285"/>
      <c r="ET12" s="285"/>
      <c r="EU12" s="285"/>
      <c r="EV12" s="285"/>
      <c r="EW12" s="285"/>
      <c r="EX12" s="285"/>
      <c r="EY12" s="285"/>
      <c r="EZ12" s="285"/>
      <c r="FA12" s="285"/>
      <c r="FB12" s="285"/>
      <c r="FC12" s="285"/>
      <c r="FD12" s="285"/>
      <c r="FE12" s="285"/>
      <c r="FF12" s="285"/>
      <c r="FG12" s="285"/>
      <c r="FH12" s="285"/>
      <c r="FI12" s="285"/>
      <c r="FJ12" s="285"/>
      <c r="FK12" s="285"/>
      <c r="FL12" s="285"/>
      <c r="FM12" s="285"/>
      <c r="FN12" s="285"/>
      <c r="FO12" s="285"/>
      <c r="FP12" s="285"/>
      <c r="FQ12" s="285"/>
      <c r="FR12" s="285"/>
      <c r="FS12" s="285"/>
      <c r="FT12" s="285"/>
      <c r="FU12" s="285"/>
      <c r="FV12" s="285"/>
      <c r="FW12" s="285"/>
      <c r="FX12" s="285"/>
      <c r="FY12" s="285"/>
      <c r="FZ12" s="285"/>
      <c r="GA12" s="285"/>
    </row>
    <row r="13" ht="19.5" customHeight="1">
      <c r="A13" s="266"/>
      <c r="B13" s="157" t="s">
        <v>39</v>
      </c>
      <c r="C13" s="272">
        <f t="shared" si="3"/>
        <v>170000</v>
      </c>
      <c r="D13" s="273">
        <v>10000.0</v>
      </c>
      <c r="E13" s="274"/>
      <c r="F13" s="274"/>
      <c r="G13" s="274"/>
      <c r="H13" s="274"/>
      <c r="I13" s="274"/>
      <c r="J13" s="274"/>
      <c r="K13" s="274"/>
      <c r="L13" s="273">
        <v>30000.0</v>
      </c>
      <c r="M13" s="274"/>
      <c r="N13" s="274"/>
      <c r="O13" s="274"/>
      <c r="P13" s="274"/>
      <c r="Q13" s="273">
        <v>202000.0</v>
      </c>
      <c r="R13" s="274"/>
      <c r="S13" s="274"/>
      <c r="T13" s="273">
        <v>5000.0</v>
      </c>
      <c r="U13" s="274"/>
      <c r="V13" s="274"/>
      <c r="W13" s="273">
        <v>2000.0</v>
      </c>
      <c r="X13" s="274"/>
      <c r="Y13" s="274"/>
      <c r="Z13" s="274"/>
      <c r="AA13" s="273">
        <v>5000.0</v>
      </c>
      <c r="AB13" s="274"/>
      <c r="AC13" s="274"/>
      <c r="AD13" s="273"/>
      <c r="AE13" s="273">
        <v>20000.0</v>
      </c>
      <c r="AF13" s="273">
        <v>263000.0</v>
      </c>
      <c r="AG13" s="273">
        <v>10000.0</v>
      </c>
      <c r="AH13" s="273">
        <v>46000.0</v>
      </c>
      <c r="AI13" s="275"/>
      <c r="AJ13" s="275"/>
      <c r="AK13" s="275"/>
      <c r="AL13" s="276">
        <v>5000.0</v>
      </c>
      <c r="AM13" s="276">
        <v>10000.0</v>
      </c>
      <c r="AN13" s="275"/>
      <c r="AO13" s="275"/>
      <c r="AP13" s="275"/>
      <c r="AQ13" s="276">
        <v>85000.0</v>
      </c>
      <c r="AR13" s="275"/>
      <c r="AS13" s="275"/>
      <c r="AT13" s="275"/>
      <c r="AU13" s="276">
        <v>15000.0</v>
      </c>
      <c r="AV13" s="276">
        <v>15000.0</v>
      </c>
      <c r="AW13" s="275"/>
      <c r="AX13" s="276">
        <v>4166.0</v>
      </c>
      <c r="AY13" s="276">
        <v>25000.0</v>
      </c>
      <c r="AZ13" s="276">
        <v>25000.0</v>
      </c>
      <c r="BA13" s="276">
        <v>4000.0</v>
      </c>
      <c r="BB13" s="276">
        <v>2000.0</v>
      </c>
      <c r="BC13" s="275"/>
      <c r="BD13" s="275"/>
      <c r="BE13" s="276">
        <v>2000.0</v>
      </c>
      <c r="BF13" s="276">
        <v>110000.0</v>
      </c>
      <c r="BG13" s="275"/>
      <c r="BH13" s="275"/>
      <c r="BI13" s="276">
        <v>50000.0</v>
      </c>
      <c r="BJ13" s="275"/>
      <c r="BK13" s="275"/>
      <c r="BL13" s="276">
        <v>6250.0</v>
      </c>
      <c r="BM13" s="290"/>
      <c r="BN13" s="278"/>
      <c r="BO13" s="278"/>
      <c r="BP13" s="278"/>
      <c r="BQ13" s="278"/>
      <c r="BR13" s="278"/>
      <c r="BS13" s="278"/>
      <c r="BT13" s="278"/>
      <c r="BU13" s="288">
        <v>150000.0</v>
      </c>
      <c r="BV13" s="278"/>
      <c r="BW13" s="278"/>
      <c r="BX13" s="278"/>
      <c r="BY13" s="278"/>
      <c r="BZ13" s="288">
        <v>5000.0</v>
      </c>
      <c r="CA13" s="288">
        <v>15000.0</v>
      </c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9"/>
      <c r="DV13" s="279"/>
      <c r="DW13" s="279"/>
      <c r="DX13" s="279"/>
      <c r="DY13" s="279"/>
      <c r="DZ13" s="279"/>
      <c r="EA13" s="279"/>
      <c r="EB13" s="279"/>
      <c r="EC13" s="279"/>
      <c r="ED13" s="279"/>
      <c r="EE13" s="279"/>
      <c r="EF13" s="279"/>
      <c r="EG13" s="279"/>
      <c r="EH13" s="279"/>
      <c r="EI13" s="279"/>
      <c r="EJ13" s="279"/>
      <c r="EK13" s="279"/>
      <c r="EL13" s="279"/>
      <c r="EM13" s="279"/>
      <c r="EN13" s="279"/>
      <c r="EO13" s="279"/>
      <c r="EP13" s="279"/>
      <c r="EQ13" s="279"/>
      <c r="ER13" s="279"/>
      <c r="ES13" s="279"/>
      <c r="ET13" s="279"/>
      <c r="EU13" s="279"/>
      <c r="EV13" s="279"/>
      <c r="EW13" s="279"/>
      <c r="EX13" s="279"/>
      <c r="EY13" s="279"/>
      <c r="EZ13" s="279"/>
      <c r="FA13" s="279"/>
      <c r="FB13" s="279"/>
      <c r="FC13" s="279"/>
      <c r="FD13" s="279"/>
      <c r="FE13" s="279"/>
      <c r="FF13" s="279"/>
      <c r="FG13" s="279"/>
      <c r="FH13" s="279"/>
      <c r="FI13" s="279"/>
      <c r="FJ13" s="279"/>
      <c r="FK13" s="279"/>
      <c r="FL13" s="279"/>
      <c r="FM13" s="279"/>
      <c r="FN13" s="279"/>
      <c r="FO13" s="279"/>
      <c r="FP13" s="279"/>
      <c r="FQ13" s="279"/>
      <c r="FR13" s="279"/>
      <c r="FS13" s="279"/>
      <c r="FT13" s="279"/>
      <c r="FU13" s="279"/>
      <c r="FV13" s="279"/>
      <c r="FW13" s="279"/>
      <c r="FX13" s="279"/>
      <c r="FY13" s="279"/>
      <c r="FZ13" s="279"/>
      <c r="GA13" s="279"/>
    </row>
    <row r="14" ht="19.5" customHeight="1">
      <c r="A14" s="271"/>
      <c r="B14" s="157" t="s">
        <v>24</v>
      </c>
      <c r="C14" s="272">
        <f t="shared" si="3"/>
        <v>35000</v>
      </c>
      <c r="D14" s="274"/>
      <c r="E14" s="274"/>
      <c r="F14" s="274"/>
      <c r="G14" s="274"/>
      <c r="H14" s="273">
        <v>50000.0</v>
      </c>
      <c r="I14" s="274"/>
      <c r="J14" s="274"/>
      <c r="K14" s="274"/>
      <c r="L14" s="274"/>
      <c r="M14" s="274"/>
      <c r="N14" s="274"/>
      <c r="O14" s="273">
        <v>10000.0</v>
      </c>
      <c r="P14" s="274"/>
      <c r="Q14" s="274"/>
      <c r="R14" s="274"/>
      <c r="S14" s="273">
        <v>20000.0</v>
      </c>
      <c r="T14" s="273">
        <v>10000.0</v>
      </c>
      <c r="U14" s="274"/>
      <c r="V14" s="273">
        <v>10000.0</v>
      </c>
      <c r="W14" s="274"/>
      <c r="X14" s="273">
        <v>25000.0</v>
      </c>
      <c r="Y14" s="273">
        <v>25000.0</v>
      </c>
      <c r="Z14" s="274"/>
      <c r="AA14" s="274"/>
      <c r="AB14" s="273">
        <v>25000.0</v>
      </c>
      <c r="AC14" s="274"/>
      <c r="AD14" s="274"/>
      <c r="AE14" s="273">
        <v>75000.0</v>
      </c>
      <c r="AF14" s="274"/>
      <c r="AG14" s="274"/>
      <c r="AH14" s="273">
        <v>47000.0</v>
      </c>
      <c r="AI14" s="275"/>
      <c r="AJ14" s="276">
        <v>13000.0</v>
      </c>
      <c r="AK14" s="276">
        <v>2000.0</v>
      </c>
      <c r="AL14" s="276">
        <v>15000.0</v>
      </c>
      <c r="AM14" s="275"/>
      <c r="AN14" s="275"/>
      <c r="AO14" s="275"/>
      <c r="AP14" s="275"/>
      <c r="AQ14" s="276"/>
      <c r="AR14" s="276">
        <v>50000.0</v>
      </c>
      <c r="AS14" s="275"/>
      <c r="AT14" s="275"/>
      <c r="AU14" s="275"/>
      <c r="AV14" s="276"/>
      <c r="AW14" s="275"/>
      <c r="AX14" s="276">
        <v>4168.0</v>
      </c>
      <c r="AY14" s="275"/>
      <c r="AZ14" s="275"/>
      <c r="BA14" s="275"/>
      <c r="BB14" s="276">
        <v>2000.0</v>
      </c>
      <c r="BC14" s="276">
        <v>25000.0</v>
      </c>
      <c r="BD14" s="275"/>
      <c r="BE14" s="276">
        <v>25000.0</v>
      </c>
      <c r="BF14" s="275"/>
      <c r="BG14" s="275"/>
      <c r="BH14" s="275"/>
      <c r="BI14" s="276"/>
      <c r="BJ14" s="276">
        <v>30000.0</v>
      </c>
      <c r="BK14" s="275"/>
      <c r="BL14" s="276">
        <v>6250.0</v>
      </c>
      <c r="BM14" s="287"/>
      <c r="BN14" s="278"/>
      <c r="BO14" s="278"/>
      <c r="BP14" s="278"/>
      <c r="BQ14" s="278"/>
      <c r="BR14" s="278"/>
      <c r="BS14" s="278"/>
      <c r="BT14" s="278"/>
      <c r="BU14" s="278"/>
      <c r="BV14" s="278"/>
      <c r="BW14" s="278"/>
      <c r="BX14" s="278"/>
      <c r="BY14" s="288">
        <v>35000.0</v>
      </c>
      <c r="BZ14" s="278"/>
      <c r="CA14" s="278"/>
      <c r="CB14" s="278"/>
      <c r="CC14" s="278"/>
      <c r="CD14" s="278"/>
      <c r="CE14" s="278"/>
      <c r="CF14" s="278"/>
      <c r="CG14" s="278"/>
      <c r="CH14" s="278"/>
      <c r="CI14" s="278"/>
      <c r="CJ14" s="278"/>
      <c r="CK14" s="278"/>
      <c r="CL14" s="278"/>
      <c r="CM14" s="278"/>
      <c r="CN14" s="278"/>
      <c r="CO14" s="278"/>
      <c r="CP14" s="278"/>
      <c r="CQ14" s="278"/>
      <c r="CR14" s="278"/>
      <c r="CS14" s="278"/>
      <c r="CT14" s="278"/>
      <c r="CU14" s="278"/>
      <c r="CV14" s="278"/>
      <c r="CW14" s="278"/>
      <c r="CX14" s="278"/>
      <c r="CY14" s="278"/>
      <c r="CZ14" s="278"/>
      <c r="DA14" s="278"/>
      <c r="DB14" s="278"/>
      <c r="DC14" s="278"/>
      <c r="DD14" s="278"/>
      <c r="DE14" s="278"/>
      <c r="DF14" s="278"/>
      <c r="DG14" s="278"/>
      <c r="DH14" s="278"/>
      <c r="DI14" s="278"/>
      <c r="DJ14" s="278"/>
      <c r="DK14" s="278"/>
      <c r="DL14" s="278"/>
      <c r="DM14" s="278"/>
      <c r="DN14" s="278"/>
      <c r="DO14" s="278"/>
      <c r="DP14" s="278"/>
      <c r="DQ14" s="278"/>
      <c r="DR14" s="278"/>
      <c r="DS14" s="278"/>
      <c r="DT14" s="278"/>
      <c r="DU14" s="279"/>
      <c r="DV14" s="279"/>
      <c r="DW14" s="279"/>
      <c r="DX14" s="279"/>
      <c r="DY14" s="279"/>
      <c r="DZ14" s="279"/>
      <c r="EA14" s="279"/>
      <c r="EB14" s="279"/>
      <c r="EC14" s="279"/>
      <c r="ED14" s="279"/>
      <c r="EE14" s="279"/>
      <c r="EF14" s="279"/>
      <c r="EG14" s="279"/>
      <c r="EH14" s="279"/>
      <c r="EI14" s="279"/>
      <c r="EJ14" s="279"/>
      <c r="EK14" s="279"/>
      <c r="EL14" s="279"/>
      <c r="EM14" s="279"/>
      <c r="EN14" s="279"/>
      <c r="EO14" s="279"/>
      <c r="EP14" s="279"/>
      <c r="EQ14" s="279"/>
      <c r="ER14" s="279"/>
      <c r="ES14" s="279"/>
      <c r="ET14" s="279"/>
      <c r="EU14" s="279"/>
      <c r="EV14" s="279"/>
      <c r="EW14" s="279"/>
      <c r="EX14" s="279"/>
      <c r="EY14" s="279"/>
      <c r="EZ14" s="279"/>
      <c r="FA14" s="279"/>
      <c r="FB14" s="279"/>
      <c r="FC14" s="279"/>
      <c r="FD14" s="279"/>
      <c r="FE14" s="279"/>
      <c r="FF14" s="279"/>
      <c r="FG14" s="279"/>
      <c r="FH14" s="279"/>
      <c r="FI14" s="279"/>
      <c r="FJ14" s="279"/>
      <c r="FK14" s="279"/>
      <c r="FL14" s="279"/>
      <c r="FM14" s="279"/>
      <c r="FN14" s="279"/>
      <c r="FO14" s="279"/>
      <c r="FP14" s="279"/>
      <c r="FQ14" s="279"/>
      <c r="FR14" s="279"/>
      <c r="FS14" s="279"/>
      <c r="FT14" s="279"/>
      <c r="FU14" s="279"/>
      <c r="FV14" s="279"/>
      <c r="FW14" s="279"/>
      <c r="FX14" s="279"/>
      <c r="FY14" s="279"/>
      <c r="FZ14" s="279"/>
      <c r="GA14" s="279"/>
    </row>
    <row r="15" ht="19.5" customHeight="1">
      <c r="A15" s="271"/>
      <c r="B15" s="157" t="s">
        <v>40</v>
      </c>
      <c r="C15" s="272">
        <f t="shared" si="3"/>
        <v>0</v>
      </c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77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5"/>
      <c r="DV15" s="285"/>
      <c r="DW15" s="285"/>
      <c r="DX15" s="285"/>
      <c r="DY15" s="285"/>
      <c r="DZ15" s="285"/>
      <c r="EA15" s="285"/>
      <c r="EB15" s="285"/>
      <c r="EC15" s="285"/>
      <c r="ED15" s="285"/>
      <c r="EE15" s="285"/>
      <c r="EF15" s="285"/>
      <c r="EG15" s="285"/>
      <c r="EH15" s="285"/>
      <c r="EI15" s="285"/>
      <c r="EJ15" s="285"/>
      <c r="EK15" s="285"/>
      <c r="EL15" s="285"/>
      <c r="EM15" s="285"/>
      <c r="EN15" s="285"/>
      <c r="EO15" s="285"/>
      <c r="EP15" s="285"/>
      <c r="EQ15" s="285"/>
      <c r="ER15" s="285"/>
      <c r="ES15" s="285"/>
      <c r="ET15" s="285"/>
      <c r="EU15" s="285"/>
      <c r="EV15" s="285"/>
      <c r="EW15" s="285"/>
      <c r="EX15" s="285"/>
      <c r="EY15" s="285"/>
      <c r="EZ15" s="285"/>
      <c r="FA15" s="285"/>
      <c r="FB15" s="285"/>
      <c r="FC15" s="285"/>
      <c r="FD15" s="285"/>
      <c r="FE15" s="285"/>
      <c r="FF15" s="285"/>
      <c r="FG15" s="285"/>
      <c r="FH15" s="285"/>
      <c r="FI15" s="285"/>
      <c r="FJ15" s="285"/>
      <c r="FK15" s="285"/>
      <c r="FL15" s="285"/>
      <c r="FM15" s="285"/>
      <c r="FN15" s="285"/>
      <c r="FO15" s="285"/>
      <c r="FP15" s="285"/>
      <c r="FQ15" s="285"/>
      <c r="FR15" s="285"/>
      <c r="FS15" s="285"/>
      <c r="FT15" s="285"/>
      <c r="FU15" s="285"/>
      <c r="FV15" s="285"/>
      <c r="FW15" s="285"/>
      <c r="FX15" s="285"/>
      <c r="FY15" s="285"/>
      <c r="FZ15" s="285"/>
      <c r="GA15" s="285"/>
    </row>
    <row r="16" ht="19.5" customHeight="1">
      <c r="A16" s="271"/>
      <c r="B16" s="210" t="s">
        <v>41</v>
      </c>
      <c r="C16" s="272">
        <f t="shared" si="3"/>
        <v>0</v>
      </c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77"/>
      <c r="BN16" s="284"/>
      <c r="BO16" s="284"/>
      <c r="BP16" s="284"/>
      <c r="BQ16" s="284"/>
      <c r="BR16" s="284"/>
      <c r="BS16" s="284"/>
      <c r="BT16" s="284"/>
      <c r="BU16" s="284"/>
      <c r="BV16" s="284"/>
      <c r="BW16" s="284"/>
      <c r="BX16" s="284"/>
      <c r="BY16" s="284"/>
      <c r="BZ16" s="284"/>
      <c r="CA16" s="284"/>
      <c r="CB16" s="284"/>
      <c r="CC16" s="284"/>
      <c r="CD16" s="284"/>
      <c r="CE16" s="284"/>
      <c r="CF16" s="284"/>
      <c r="CG16" s="284"/>
      <c r="CH16" s="284"/>
      <c r="CI16" s="284"/>
      <c r="CJ16" s="284"/>
      <c r="CK16" s="284"/>
      <c r="CL16" s="284"/>
      <c r="CM16" s="284"/>
      <c r="CN16" s="284"/>
      <c r="CO16" s="284"/>
      <c r="CP16" s="284"/>
      <c r="CQ16" s="284"/>
      <c r="CR16" s="284"/>
      <c r="CS16" s="284"/>
      <c r="CT16" s="284"/>
      <c r="CU16" s="284"/>
      <c r="CV16" s="284"/>
      <c r="CW16" s="284"/>
      <c r="CX16" s="284"/>
      <c r="CY16" s="284"/>
      <c r="CZ16" s="284"/>
      <c r="DA16" s="284"/>
      <c r="DB16" s="284"/>
      <c r="DC16" s="284"/>
      <c r="DD16" s="284"/>
      <c r="DE16" s="284"/>
      <c r="DF16" s="284"/>
      <c r="DG16" s="284"/>
      <c r="DH16" s="284"/>
      <c r="DI16" s="284"/>
      <c r="DJ16" s="284"/>
      <c r="DK16" s="284"/>
      <c r="DL16" s="284"/>
      <c r="DM16" s="284"/>
      <c r="DN16" s="284"/>
      <c r="DO16" s="284"/>
      <c r="DP16" s="284"/>
      <c r="DQ16" s="284"/>
      <c r="DR16" s="284"/>
      <c r="DS16" s="284"/>
      <c r="DT16" s="284"/>
      <c r="DU16" s="285"/>
      <c r="DV16" s="285"/>
      <c r="DW16" s="285"/>
      <c r="DX16" s="291"/>
      <c r="DY16" s="291"/>
      <c r="DZ16" s="291"/>
      <c r="EA16" s="291"/>
      <c r="EB16" s="291"/>
      <c r="EC16" s="291"/>
      <c r="ED16" s="291"/>
      <c r="EE16" s="291"/>
      <c r="EF16" s="291"/>
      <c r="EG16" s="291"/>
      <c r="EH16" s="291"/>
      <c r="EI16" s="291"/>
      <c r="EJ16" s="291"/>
      <c r="EK16" s="291"/>
      <c r="EL16" s="291"/>
      <c r="EM16" s="291"/>
      <c r="EN16" s="291"/>
      <c r="EO16" s="291"/>
      <c r="EP16" s="291"/>
      <c r="EQ16" s="291"/>
      <c r="ER16" s="291"/>
      <c r="ES16" s="291"/>
      <c r="ET16" s="291"/>
      <c r="EU16" s="291"/>
      <c r="EV16" s="291"/>
      <c r="EW16" s="291"/>
      <c r="EX16" s="291"/>
      <c r="EY16" s="291"/>
      <c r="EZ16" s="291"/>
      <c r="FA16" s="291"/>
      <c r="FB16" s="291"/>
      <c r="FC16" s="291"/>
      <c r="FD16" s="291"/>
      <c r="FE16" s="291"/>
      <c r="FF16" s="291"/>
      <c r="FG16" s="291"/>
      <c r="FH16" s="291"/>
      <c r="FI16" s="291"/>
      <c r="FJ16" s="291"/>
      <c r="FK16" s="291"/>
      <c r="FL16" s="291"/>
      <c r="FM16" s="291"/>
      <c r="FN16" s="291"/>
      <c r="FO16" s="291"/>
      <c r="FP16" s="291"/>
      <c r="FQ16" s="291"/>
      <c r="FR16" s="291"/>
      <c r="FS16" s="291"/>
      <c r="FT16" s="291"/>
      <c r="FU16" s="291"/>
      <c r="FV16" s="291"/>
      <c r="FW16" s="291"/>
      <c r="FX16" s="291"/>
      <c r="FY16" s="291"/>
      <c r="FZ16" s="291"/>
      <c r="GA16" s="291"/>
    </row>
    <row r="17" ht="30.0" customHeight="1" outlineLevel="1">
      <c r="A17" s="292"/>
      <c r="B17" s="293" t="s">
        <v>50</v>
      </c>
      <c r="C17" s="294">
        <f t="shared" ref="C17:C18" si="4">sum(D17:FZ17)</f>
        <v>11541000</v>
      </c>
      <c r="D17" s="295">
        <v>4250000.0</v>
      </c>
      <c r="E17" s="295">
        <v>3000000.0</v>
      </c>
      <c r="F17" s="295">
        <v>250000.0</v>
      </c>
      <c r="G17" s="295"/>
      <c r="H17" s="295"/>
      <c r="I17" s="296"/>
      <c r="J17" s="295">
        <v>875000.0</v>
      </c>
      <c r="K17" s="295"/>
      <c r="L17" s="296"/>
      <c r="M17" s="295">
        <v>500000.0</v>
      </c>
      <c r="N17" s="296"/>
      <c r="O17" s="296"/>
      <c r="P17" s="296"/>
      <c r="Q17" s="296"/>
      <c r="R17" s="295"/>
      <c r="S17" s="296"/>
      <c r="T17" s="296"/>
      <c r="U17" s="296"/>
      <c r="V17" s="295">
        <v>255000.0</v>
      </c>
      <c r="W17" s="296"/>
      <c r="X17" s="295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5">
        <v>50000.0</v>
      </c>
      <c r="AJ17" s="295">
        <v>500000.0</v>
      </c>
      <c r="AK17" s="296"/>
      <c r="AL17" s="296"/>
      <c r="AM17" s="295">
        <v>500000.0</v>
      </c>
      <c r="AN17" s="296"/>
      <c r="AO17" s="295">
        <v>45000.0</v>
      </c>
      <c r="AP17" s="296"/>
      <c r="AQ17" s="296"/>
      <c r="AR17" s="295"/>
      <c r="AS17" s="296"/>
      <c r="AT17" s="296"/>
      <c r="AU17" s="295"/>
      <c r="AV17" s="296"/>
      <c r="AW17" s="295">
        <v>500000.0</v>
      </c>
      <c r="AX17" s="296"/>
      <c r="AY17" s="296"/>
      <c r="AZ17" s="296"/>
      <c r="BA17" s="296"/>
      <c r="BB17" s="295">
        <v>15000.0</v>
      </c>
      <c r="BC17" s="295"/>
      <c r="BD17" s="296"/>
      <c r="BE17" s="296"/>
      <c r="BF17" s="296"/>
      <c r="BG17" s="296"/>
      <c r="BH17" s="296"/>
      <c r="BI17" s="295">
        <v>270000.0</v>
      </c>
      <c r="BJ17" s="296"/>
      <c r="BK17" s="297">
        <v>50000.0</v>
      </c>
      <c r="BL17" s="298"/>
      <c r="BM17" s="299"/>
      <c r="BN17" s="297">
        <v>126000.0</v>
      </c>
      <c r="BO17" s="298"/>
      <c r="BP17" s="297">
        <v>330000.0</v>
      </c>
      <c r="BQ17" s="298"/>
      <c r="BR17" s="297">
        <v>25000.0</v>
      </c>
      <c r="BS17" s="298"/>
      <c r="BT17" s="298"/>
      <c r="BU17" s="298"/>
      <c r="BV17" s="298"/>
      <c r="BW17" s="298"/>
      <c r="BX17" s="298"/>
      <c r="BY17" s="298"/>
      <c r="BZ17" s="298"/>
      <c r="CA17" s="298"/>
      <c r="CB17" s="298"/>
      <c r="CC17" s="298"/>
      <c r="CD17" s="298"/>
      <c r="CE17" s="298"/>
      <c r="CF17" s="298"/>
      <c r="CG17" s="298"/>
      <c r="CH17" s="298"/>
      <c r="CI17" s="298"/>
      <c r="CJ17" s="298"/>
      <c r="CK17" s="298"/>
      <c r="CL17" s="298"/>
      <c r="CM17" s="298"/>
      <c r="CN17" s="298"/>
      <c r="CO17" s="298"/>
      <c r="CP17" s="298"/>
      <c r="CQ17" s="298"/>
      <c r="CR17" s="298"/>
      <c r="CS17" s="298"/>
      <c r="CT17" s="298"/>
      <c r="CU17" s="298"/>
      <c r="CV17" s="298"/>
      <c r="CW17" s="298"/>
      <c r="CX17" s="298"/>
      <c r="CY17" s="298"/>
      <c r="CZ17" s="298"/>
      <c r="DA17" s="298"/>
      <c r="DB17" s="298"/>
      <c r="DC17" s="298"/>
      <c r="DD17" s="298"/>
      <c r="DE17" s="298"/>
      <c r="DF17" s="298"/>
      <c r="DG17" s="298"/>
      <c r="DH17" s="298"/>
      <c r="DI17" s="298"/>
      <c r="DJ17" s="298"/>
      <c r="DK17" s="298"/>
      <c r="DL17" s="298"/>
      <c r="DM17" s="298"/>
      <c r="DN17" s="298"/>
      <c r="DO17" s="298"/>
      <c r="DP17" s="298"/>
      <c r="DQ17" s="298"/>
      <c r="DR17" s="298"/>
      <c r="DS17" s="298"/>
      <c r="DT17" s="298"/>
      <c r="DU17" s="298"/>
      <c r="DV17" s="298"/>
      <c r="DW17" s="298"/>
      <c r="DX17" s="300"/>
      <c r="DY17" s="300"/>
      <c r="DZ17" s="300"/>
      <c r="EA17" s="300"/>
      <c r="EB17" s="300"/>
      <c r="EC17" s="300"/>
      <c r="ED17" s="300"/>
      <c r="EE17" s="300"/>
      <c r="EF17" s="300"/>
      <c r="EG17" s="300"/>
      <c r="EH17" s="300"/>
      <c r="EI17" s="300"/>
      <c r="EJ17" s="300"/>
      <c r="EK17" s="300"/>
      <c r="EL17" s="300"/>
      <c r="EM17" s="300"/>
      <c r="EN17" s="300"/>
      <c r="EO17" s="300"/>
      <c r="EP17" s="300"/>
      <c r="EQ17" s="300"/>
      <c r="ER17" s="300"/>
      <c r="ES17" s="300"/>
      <c r="ET17" s="300"/>
      <c r="EU17" s="300"/>
      <c r="EV17" s="300"/>
      <c r="EW17" s="300"/>
      <c r="EX17" s="300"/>
      <c r="EY17" s="300"/>
      <c r="EZ17" s="300"/>
      <c r="FA17" s="300"/>
      <c r="FB17" s="300"/>
      <c r="FC17" s="300"/>
      <c r="FD17" s="300"/>
      <c r="FE17" s="300"/>
      <c r="FF17" s="300"/>
      <c r="FG17" s="300"/>
      <c r="FH17" s="300"/>
      <c r="FI17" s="300"/>
      <c r="FJ17" s="300"/>
      <c r="FK17" s="300"/>
      <c r="FL17" s="300"/>
      <c r="FM17" s="300"/>
      <c r="FN17" s="300"/>
      <c r="FO17" s="300"/>
      <c r="FP17" s="300"/>
      <c r="FQ17" s="300"/>
      <c r="FR17" s="300"/>
      <c r="FS17" s="300"/>
      <c r="FT17" s="300"/>
      <c r="FU17" s="300"/>
      <c r="FV17" s="300"/>
      <c r="FW17" s="300"/>
      <c r="FX17" s="300"/>
      <c r="FY17" s="300"/>
      <c r="FZ17" s="300"/>
      <c r="GA17" s="300"/>
    </row>
    <row r="18" ht="30.0" customHeight="1" outlineLevel="1">
      <c r="A18" s="292"/>
      <c r="B18" s="301" t="s">
        <v>51</v>
      </c>
      <c r="C18" s="302">
        <f t="shared" si="4"/>
        <v>43356500</v>
      </c>
      <c r="D18" s="295">
        <v>5000000.0</v>
      </c>
      <c r="E18" s="295">
        <v>5000000.0</v>
      </c>
      <c r="F18" s="295">
        <v>1090000.0</v>
      </c>
      <c r="G18" s="295">
        <v>1.2675E7</v>
      </c>
      <c r="H18" s="295">
        <v>1000000.0</v>
      </c>
      <c r="I18" s="295">
        <v>1000000.0</v>
      </c>
      <c r="J18" s="295"/>
      <c r="K18" s="296"/>
      <c r="L18" s="296"/>
      <c r="M18" s="295"/>
      <c r="N18" s="296"/>
      <c r="O18" s="296"/>
      <c r="P18" s="296"/>
      <c r="Q18" s="296"/>
      <c r="R18" s="295"/>
      <c r="S18" s="296"/>
      <c r="T18" s="295">
        <v>325000.0</v>
      </c>
      <c r="U18" s="295">
        <v>595000.0</v>
      </c>
      <c r="V18" s="295">
        <v>485000.0</v>
      </c>
      <c r="W18" s="296"/>
      <c r="X18" s="295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5">
        <v>292000.0</v>
      </c>
      <c r="AK18" s="295">
        <v>128000.0</v>
      </c>
      <c r="AL18" s="296"/>
      <c r="AM18" s="296"/>
      <c r="AN18" s="296"/>
      <c r="AO18" s="296"/>
      <c r="AP18" s="296"/>
      <c r="AQ18" s="296"/>
      <c r="AR18" s="296"/>
      <c r="AS18" s="296"/>
      <c r="AT18" s="296"/>
      <c r="AU18" s="295"/>
      <c r="AV18" s="296"/>
      <c r="AW18" s="296"/>
      <c r="AX18" s="296"/>
      <c r="AY18" s="295">
        <v>1375000.0</v>
      </c>
      <c r="AZ18" s="296"/>
      <c r="BA18" s="295">
        <v>25000.0</v>
      </c>
      <c r="BB18" s="295">
        <v>750000.0</v>
      </c>
      <c r="BC18" s="296"/>
      <c r="BD18" s="296"/>
      <c r="BE18" s="296"/>
      <c r="BF18" s="296"/>
      <c r="BG18" s="296"/>
      <c r="BH18" s="296"/>
      <c r="BI18" s="295">
        <v>430000.0</v>
      </c>
      <c r="BJ18" s="295">
        <v>355000.0</v>
      </c>
      <c r="BK18" s="295">
        <v>2500000.0</v>
      </c>
      <c r="BL18" s="295">
        <v>6019000.0</v>
      </c>
      <c r="BM18" s="303"/>
      <c r="BN18" s="295">
        <v>850000.0</v>
      </c>
      <c r="BO18" s="295">
        <v>493500.0</v>
      </c>
      <c r="BP18" s="295">
        <v>200000.0</v>
      </c>
      <c r="BQ18" s="295">
        <v>100000.0</v>
      </c>
      <c r="BR18" s="296"/>
      <c r="BS18" s="296"/>
      <c r="BT18" s="295">
        <v>1831000.0</v>
      </c>
      <c r="BU18" s="295">
        <v>40000.0</v>
      </c>
      <c r="BV18" s="295">
        <v>123000.0</v>
      </c>
      <c r="BW18" s="295">
        <v>550000.0</v>
      </c>
      <c r="BX18" s="295">
        <v>125000.0</v>
      </c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  <c r="CO18" s="296"/>
      <c r="CP18" s="296"/>
      <c r="CQ18" s="296"/>
      <c r="CR18" s="296"/>
      <c r="CS18" s="296"/>
      <c r="CT18" s="296"/>
      <c r="CU18" s="296"/>
      <c r="CV18" s="296"/>
      <c r="CW18" s="296"/>
      <c r="CX18" s="296"/>
      <c r="CY18" s="296"/>
      <c r="CZ18" s="296"/>
      <c r="DA18" s="296"/>
      <c r="DB18" s="296"/>
      <c r="DC18" s="296"/>
      <c r="DD18" s="296"/>
      <c r="DE18" s="296"/>
      <c r="DF18" s="296"/>
      <c r="DG18" s="296"/>
      <c r="DH18" s="296"/>
      <c r="DI18" s="296"/>
      <c r="DJ18" s="296"/>
      <c r="DK18" s="296"/>
      <c r="DL18" s="296"/>
      <c r="DM18" s="296"/>
      <c r="DN18" s="296"/>
      <c r="DO18" s="296"/>
      <c r="DP18" s="296"/>
      <c r="DQ18" s="296"/>
      <c r="DR18" s="298"/>
      <c r="DS18" s="298"/>
      <c r="DT18" s="298"/>
      <c r="DU18" s="298"/>
      <c r="DV18" s="298"/>
      <c r="DW18" s="298"/>
      <c r="DX18" s="298"/>
      <c r="DY18" s="298"/>
      <c r="DZ18" s="298"/>
      <c r="EA18" s="298"/>
      <c r="EB18" s="298"/>
      <c r="EC18" s="298"/>
      <c r="ED18" s="298"/>
      <c r="EE18" s="298"/>
      <c r="EF18" s="298"/>
      <c r="EG18" s="298"/>
      <c r="EH18" s="298"/>
      <c r="EI18" s="298"/>
      <c r="EJ18" s="298"/>
      <c r="EK18" s="298"/>
      <c r="EL18" s="298"/>
      <c r="EM18" s="298"/>
      <c r="EN18" s="298"/>
      <c r="EO18" s="298"/>
      <c r="EP18" s="298"/>
      <c r="EQ18" s="298"/>
      <c r="ER18" s="298"/>
      <c r="ES18" s="298"/>
      <c r="ET18" s="298"/>
      <c r="EU18" s="298"/>
      <c r="EV18" s="298"/>
      <c r="EW18" s="298"/>
      <c r="EX18" s="298"/>
      <c r="EY18" s="298"/>
      <c r="EZ18" s="298"/>
      <c r="FA18" s="298"/>
      <c r="FB18" s="298"/>
      <c r="FC18" s="298"/>
      <c r="FD18" s="298"/>
      <c r="FE18" s="298"/>
      <c r="FF18" s="298"/>
      <c r="FG18" s="298"/>
      <c r="FH18" s="298"/>
      <c r="FI18" s="298"/>
      <c r="FJ18" s="298"/>
      <c r="FK18" s="298"/>
      <c r="FL18" s="298"/>
      <c r="FM18" s="298"/>
      <c r="FN18" s="298"/>
      <c r="FO18" s="298"/>
      <c r="FP18" s="298"/>
      <c r="FQ18" s="298"/>
      <c r="FR18" s="298"/>
      <c r="FS18" s="298"/>
      <c r="FT18" s="298"/>
      <c r="FU18" s="298"/>
      <c r="FV18" s="298"/>
      <c r="FW18" s="298"/>
      <c r="FX18" s="298"/>
      <c r="FY18" s="298"/>
      <c r="FZ18" s="298"/>
      <c r="GA18" s="298"/>
    </row>
  </sheetData>
  <conditionalFormatting sqref="Y12">
    <cfRule type="notContainsBlanks" dxfId="10" priority="1">
      <formula>LEN(TRIM(Y12))&gt;0</formula>
    </cfRule>
  </conditionalFormatting>
  <conditionalFormatting sqref="A17:GA17">
    <cfRule type="notContainsBlanks" dxfId="11" priority="2">
      <formula>LEN(TRIM(A17))&gt;0</formula>
    </cfRule>
  </conditionalFormatting>
  <conditionalFormatting sqref="A18:GA18">
    <cfRule type="notContainsBlanks" dxfId="12" priority="3">
      <formula>LEN(TRIM(A18))&gt;0</formula>
    </cfRule>
  </conditionalFormatting>
  <hyperlinks>
    <hyperlink r:id="rId1" ref="A1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75"/>
  <cols>
    <col customWidth="1" hidden="1" min="1" max="1" width="9.22"/>
    <col customWidth="1" min="2" max="2" width="12.56"/>
    <col customWidth="1" min="3" max="3" width="7.22"/>
    <col customWidth="1" min="4" max="4" width="6.22"/>
    <col customWidth="1" hidden="1" min="5" max="16" width="4.0"/>
    <col customWidth="1" hidden="1" min="17" max="22" width="4.67"/>
    <col customWidth="1" hidden="1" min="23" max="23" width="3.89"/>
    <col customWidth="1" hidden="1" min="24" max="52" width="4.67"/>
    <col customWidth="1" hidden="1" min="53" max="53" width="4.0"/>
    <col customWidth="1" hidden="1" min="54" max="58" width="4.67"/>
    <col customWidth="1" hidden="1" min="59" max="80" width="4.89"/>
    <col customWidth="1" hidden="1" min="81" max="89" width="4.0"/>
    <col customWidth="1" hidden="1" min="90" max="110" width="4.89"/>
    <col customWidth="1" hidden="1" min="111" max="113" width="4.0"/>
    <col customWidth="1" hidden="1" min="114" max="114" width="4.67"/>
    <col customWidth="1" hidden="1" min="115" max="119" width="4.0"/>
    <col customWidth="1" hidden="1" min="120" max="141" width="4.89"/>
    <col customWidth="1" hidden="1" min="142" max="142" width="3.89"/>
    <col customWidth="1" hidden="1" min="143" max="143" width="4.67"/>
    <col customWidth="1" hidden="1" min="144" max="145" width="3.89"/>
    <col customWidth="1" hidden="1" min="146" max="146" width="3.44"/>
    <col customWidth="1" hidden="1" min="147" max="147" width="4.67"/>
    <col customWidth="1" hidden="1" min="148" max="150" width="3.89"/>
    <col customWidth="1" hidden="1" min="151" max="152" width="4.0"/>
    <col customWidth="1" hidden="1" min="153" max="153" width="4.67"/>
    <col customWidth="1" hidden="1" min="154" max="154" width="4.0"/>
    <col customWidth="1" hidden="1" min="155" max="156" width="4.67"/>
    <col customWidth="1" hidden="1" min="157" max="161" width="4.0"/>
    <col customWidth="1" hidden="1" min="162" max="162" width="4.67"/>
    <col customWidth="1" hidden="1" min="163" max="167" width="4.0"/>
    <col customWidth="1" hidden="1" min="168" max="168" width="4.67"/>
    <col customWidth="1" hidden="1" min="169" max="172" width="4.0"/>
    <col customWidth="1" hidden="1" min="173" max="173" width="3.11"/>
    <col customWidth="1" hidden="1" min="174" max="174" width="3.44"/>
    <col customWidth="1" hidden="1" min="175" max="175" width="3.89"/>
    <col customWidth="1" hidden="1" min="176" max="176" width="3.33"/>
    <col customWidth="1" hidden="1" min="177" max="178" width="3.89"/>
    <col customWidth="1" hidden="1" min="179" max="180" width="3.11"/>
    <col customWidth="1" hidden="1" min="181" max="181" width="3.44"/>
    <col customWidth="1" hidden="1" min="182" max="200" width="4.0"/>
    <col customWidth="1" hidden="1" min="201" max="201" width="3.22"/>
    <col customWidth="1" hidden="1" min="202" max="202" width="3.44"/>
    <col customWidth="1" hidden="1" min="203" max="203" width="3.89"/>
    <col customWidth="1" hidden="1" min="204" max="204" width="3.33"/>
    <col customWidth="1" hidden="1" min="205" max="205" width="3.89"/>
    <col customWidth="1" hidden="1" min="206" max="206" width="3.44"/>
    <col customWidth="1" hidden="1" min="207" max="208" width="3.89"/>
    <col customWidth="1" hidden="1" min="209" max="209" width="3.44"/>
    <col customWidth="1" hidden="1" min="210" max="231" width="4.0"/>
    <col customWidth="1" hidden="1" min="232" max="233" width="3.78"/>
    <col customWidth="1" hidden="1" min="234" max="234" width="4.44"/>
    <col customWidth="1" hidden="1" min="235" max="235" width="3.44"/>
    <col customWidth="1" hidden="1" min="236" max="237" width="4.44"/>
    <col customWidth="1" hidden="1" min="238" max="238" width="5.44"/>
    <col customWidth="1" hidden="1" min="239" max="239" width="3.44"/>
    <col customWidth="1" hidden="1" min="240" max="242" width="4.44"/>
    <col customWidth="1" hidden="1" min="243" max="243" width="4.0"/>
    <col customWidth="1" hidden="1" min="244" max="247" width="4.44"/>
    <col customWidth="1" hidden="1" min="248" max="248" width="5.44"/>
    <col customWidth="1" hidden="1" min="249" max="249" width="4.44"/>
    <col customWidth="1" hidden="1" min="250" max="250" width="4.0"/>
    <col customWidth="1" hidden="1" min="251" max="253" width="4.44"/>
    <col customWidth="1" hidden="1" min="254" max="254" width="5.44"/>
    <col customWidth="1" hidden="1" min="255" max="259" width="4.44"/>
    <col customWidth="1" hidden="1" min="260" max="260" width="4.0"/>
    <col customWidth="1" hidden="1" min="261" max="261" width="4.44"/>
    <col customWidth="1" hidden="1" min="262" max="262" width="4.33"/>
    <col customWidth="1" hidden="1" min="263" max="263" width="3.44"/>
    <col customWidth="1" hidden="1" min="264" max="266" width="4.44"/>
    <col customWidth="1" hidden="1" min="267" max="267" width="5.44"/>
    <col customWidth="1" hidden="1" min="268" max="268" width="4.44"/>
    <col customWidth="1" hidden="1" min="269" max="270" width="5.44"/>
    <col customWidth="1" hidden="1" min="271" max="271" width="3.44"/>
    <col customWidth="1" hidden="1" min="272" max="275" width="4.44"/>
    <col customWidth="1" hidden="1" min="276" max="276" width="5.44"/>
    <col customWidth="1" hidden="1" min="277" max="277" width="4.44"/>
    <col customWidth="1" hidden="1" min="278" max="278" width="4.0"/>
    <col customWidth="1" hidden="1" min="279" max="280" width="5.44"/>
    <col customWidth="1" hidden="1" min="281" max="282" width="4.44"/>
    <col customWidth="1" hidden="1" min="283" max="283" width="5.44"/>
    <col customWidth="1" hidden="1" min="284" max="284" width="4.44"/>
    <col customWidth="1" hidden="1" min="285" max="285" width="4.0"/>
    <col customWidth="1" hidden="1" min="286" max="286" width="4.44"/>
    <col customWidth="1" hidden="1" min="287" max="287" width="4.0"/>
    <col customWidth="1" hidden="1" min="288" max="288" width="4.44"/>
    <col customWidth="1" hidden="1" min="289" max="289" width="4.0"/>
    <col customWidth="1" hidden="1" min="290" max="290" width="5.44"/>
    <col customWidth="1" hidden="1" min="291" max="292" width="4.44"/>
    <col customWidth="1" hidden="1" min="293" max="293" width="4.0"/>
    <col customWidth="1" hidden="1" min="294" max="294" width="4.22"/>
    <col customWidth="1" hidden="1" min="295" max="295" width="5.0"/>
    <col customWidth="1" hidden="1" min="296" max="296" width="3.89"/>
    <col customWidth="1" hidden="1" min="297" max="297" width="6.11"/>
    <col customWidth="1" hidden="1" min="298" max="298" width="5.0"/>
    <col customWidth="1" hidden="1" min="299" max="299" width="3.89"/>
    <col customWidth="1" hidden="1" min="300" max="300" width="3.33"/>
    <col customWidth="1" hidden="1" min="301" max="301" width="3.89"/>
    <col customWidth="1" hidden="1" min="302" max="303" width="5.0"/>
    <col customWidth="1" hidden="1" min="304" max="305" width="4.0"/>
    <col customWidth="1" hidden="1" min="306" max="306" width="6.11"/>
    <col customWidth="1" hidden="1" min="307" max="309" width="5.0"/>
    <col customWidth="1" hidden="1" min="310" max="310" width="4.0"/>
    <col customWidth="1" hidden="1" min="311" max="312" width="6.11"/>
    <col customWidth="1" hidden="1" min="313" max="314" width="5.0"/>
    <col customWidth="1" hidden="1" min="315" max="315" width="4.0"/>
    <col customWidth="1" hidden="1" min="316" max="316" width="5.0"/>
    <col customWidth="1" hidden="1" min="317" max="317" width="4.0"/>
    <col customWidth="1" hidden="1" min="318" max="318" width="5.0"/>
    <col customWidth="1" hidden="1" min="319" max="319" width="4.0"/>
    <col customWidth="1" hidden="1" min="320" max="320" width="5.0"/>
    <col customWidth="1" hidden="1" min="321" max="323" width="4.0"/>
    <col customWidth="1" hidden="1" min="324" max="324" width="5.0"/>
    <col customWidth="1" hidden="1" min="325" max="325" width="4.89"/>
    <col customWidth="1" min="326" max="326" width="0.33"/>
    <col customWidth="1" min="327" max="357" width="4.56"/>
    <col customWidth="1" min="358" max="358" width="0.33"/>
    <col customWidth="1" min="359" max="389" width="4.56"/>
    <col customWidth="1" min="390" max="390" width="3.33"/>
    <col customWidth="1" min="391" max="391" width="3.89"/>
    <col customWidth="1" min="392" max="392" width="3.44"/>
    <col customWidth="1" min="393" max="393" width="3.89"/>
    <col customWidth="1" min="394" max="394" width="3.56"/>
    <col customWidth="1" min="395" max="396" width="3.22"/>
    <col customWidth="1" min="397" max="397" width="3.56"/>
    <col customWidth="1" min="398" max="398" width="3.89"/>
    <col customWidth="1" min="399" max="399" width="3.44"/>
    <col customWidth="1" min="400" max="401" width="4.0"/>
    <col customWidth="1" min="402" max="402" width="4.33"/>
  </cols>
  <sheetData>
    <row r="1" ht="20.25" customHeight="1">
      <c r="A1" s="26"/>
      <c r="B1" s="26" t="s">
        <v>53</v>
      </c>
      <c r="C1" s="26"/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8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/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2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2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2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3" t="s">
        <v>27</v>
      </c>
      <c r="GM1" s="31"/>
      <c r="GN1" s="31"/>
      <c r="GO1" s="31"/>
      <c r="GP1" s="31"/>
      <c r="GQ1" s="33" t="s">
        <v>28</v>
      </c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4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4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5"/>
      <c r="LO1" s="36"/>
      <c r="LP1" s="37"/>
      <c r="LQ1" s="37"/>
      <c r="LR1" s="37"/>
      <c r="LS1" s="37"/>
      <c r="LT1" s="37"/>
      <c r="LU1" s="37"/>
      <c r="LV1" s="37"/>
      <c r="LW1" s="37"/>
      <c r="LX1" s="37"/>
      <c r="LY1" s="37"/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  <c r="NE1" s="37"/>
      <c r="NF1" s="37"/>
      <c r="NG1" s="37"/>
      <c r="NH1" s="37"/>
      <c r="NI1" s="37"/>
      <c r="NJ1" s="37"/>
      <c r="NK1" s="37"/>
      <c r="NL1" s="37"/>
      <c r="NM1" s="37"/>
      <c r="NN1" s="37"/>
      <c r="NO1" s="37"/>
      <c r="NP1" s="37"/>
      <c r="NQ1" s="37"/>
      <c r="NR1" s="37"/>
      <c r="NS1" s="37"/>
      <c r="NT1" s="37"/>
      <c r="NU1" s="37"/>
      <c r="NV1" s="37"/>
      <c r="NW1" s="37"/>
      <c r="NX1" s="37"/>
      <c r="NY1" s="37"/>
      <c r="NZ1" s="37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</row>
    <row r="2" ht="20.25" customHeight="1">
      <c r="A2" s="38"/>
      <c r="B2" s="305" t="s">
        <v>54</v>
      </c>
      <c r="C2" s="38"/>
      <c r="D2" s="38"/>
      <c r="E2" s="39">
        <v>45521.0</v>
      </c>
      <c r="F2" s="39">
        <v>45522.0</v>
      </c>
      <c r="G2" s="39">
        <v>45523.0</v>
      </c>
      <c r="H2" s="39">
        <v>45524.0</v>
      </c>
      <c r="I2" s="39">
        <v>45525.0</v>
      </c>
      <c r="J2" s="39">
        <v>45526.0</v>
      </c>
      <c r="K2" s="39">
        <v>45527.0</v>
      </c>
      <c r="L2" s="39">
        <v>45528.0</v>
      </c>
      <c r="M2" s="39">
        <v>45529.0</v>
      </c>
      <c r="N2" s="39">
        <v>45530.0</v>
      </c>
      <c r="O2" s="39">
        <v>45531.0</v>
      </c>
      <c r="P2" s="39">
        <v>45532.0</v>
      </c>
      <c r="Q2" s="39">
        <v>45533.0</v>
      </c>
      <c r="R2" s="39">
        <v>45534.0</v>
      </c>
      <c r="S2" s="39">
        <v>45535.0</v>
      </c>
      <c r="T2" s="39">
        <v>45536.0</v>
      </c>
      <c r="U2" s="39">
        <v>45537.0</v>
      </c>
      <c r="V2" s="39">
        <v>45538.0</v>
      </c>
      <c r="W2" s="39">
        <v>45539.0</v>
      </c>
      <c r="X2" s="39">
        <v>45540.0</v>
      </c>
      <c r="Y2" s="39">
        <v>45541.0</v>
      </c>
      <c r="Z2" s="39">
        <v>45542.0</v>
      </c>
      <c r="AA2" s="39">
        <v>45543.0</v>
      </c>
      <c r="AB2" s="39">
        <v>45544.0</v>
      </c>
      <c r="AC2" s="39">
        <v>45545.0</v>
      </c>
      <c r="AD2" s="39">
        <v>45546.0</v>
      </c>
      <c r="AE2" s="39">
        <v>45547.0</v>
      </c>
      <c r="AF2" s="39">
        <v>45548.0</v>
      </c>
      <c r="AG2" s="39">
        <v>45549.0</v>
      </c>
      <c r="AH2" s="39">
        <v>45550.0</v>
      </c>
      <c r="AI2" s="39">
        <v>45551.0</v>
      </c>
      <c r="AJ2" s="39">
        <v>45552.0</v>
      </c>
      <c r="AK2" s="39">
        <v>45553.0</v>
      </c>
      <c r="AL2" s="39">
        <v>45554.0</v>
      </c>
      <c r="AM2" s="39">
        <v>45555.0</v>
      </c>
      <c r="AN2" s="39">
        <v>45556.0</v>
      </c>
      <c r="AO2" s="39">
        <v>45557.0</v>
      </c>
      <c r="AP2" s="39">
        <v>45558.0</v>
      </c>
      <c r="AQ2" s="39">
        <v>45559.0</v>
      </c>
      <c r="AR2" s="39">
        <v>45560.0</v>
      </c>
      <c r="AS2" s="39">
        <v>45561.0</v>
      </c>
      <c r="AT2" s="39">
        <v>45562.0</v>
      </c>
      <c r="AU2" s="39">
        <v>45563.0</v>
      </c>
      <c r="AV2" s="39"/>
      <c r="AW2" s="39">
        <v>45565.0</v>
      </c>
      <c r="AX2" s="39">
        <v>45566.0</v>
      </c>
      <c r="AY2" s="39">
        <v>45567.0</v>
      </c>
      <c r="AZ2" s="39">
        <v>45568.0</v>
      </c>
      <c r="BA2" s="39">
        <v>45569.0</v>
      </c>
      <c r="BB2" s="39">
        <v>45570.0</v>
      </c>
      <c r="BC2" s="39">
        <v>45571.0</v>
      </c>
      <c r="BD2" s="39">
        <v>45572.0</v>
      </c>
      <c r="BE2" s="39">
        <v>45573.0</v>
      </c>
      <c r="BF2" s="39">
        <v>45574.0</v>
      </c>
      <c r="BG2" s="39">
        <v>45575.0</v>
      </c>
      <c r="BH2" s="39">
        <v>45576.0</v>
      </c>
      <c r="BI2" s="39">
        <v>45577.0</v>
      </c>
      <c r="BJ2" s="39">
        <v>45578.0</v>
      </c>
      <c r="BK2" s="39">
        <v>45579.0</v>
      </c>
      <c r="BL2" s="39">
        <v>45580.0</v>
      </c>
      <c r="BM2" s="39">
        <v>45581.0</v>
      </c>
      <c r="BN2" s="39">
        <v>45582.0</v>
      </c>
      <c r="BO2" s="39">
        <v>45583.0</v>
      </c>
      <c r="BP2" s="39">
        <v>45584.0</v>
      </c>
      <c r="BQ2" s="39">
        <v>45585.0</v>
      </c>
      <c r="BR2" s="39">
        <v>45586.0</v>
      </c>
      <c r="BS2" s="39">
        <v>45587.0</v>
      </c>
      <c r="BT2" s="39">
        <v>45588.0</v>
      </c>
      <c r="BU2" s="40">
        <v>45589.0</v>
      </c>
      <c r="BV2" s="39">
        <v>45590.0</v>
      </c>
      <c r="BW2" s="39">
        <v>45591.0</v>
      </c>
      <c r="BX2" s="39">
        <v>45592.0</v>
      </c>
      <c r="BY2" s="39">
        <v>45593.0</v>
      </c>
      <c r="BZ2" s="39">
        <v>45594.0</v>
      </c>
      <c r="CA2" s="39">
        <v>45595.0</v>
      </c>
      <c r="CB2" s="39">
        <v>45596.0</v>
      </c>
      <c r="CC2" s="39">
        <v>45597.0</v>
      </c>
      <c r="CD2" s="39">
        <v>45598.0</v>
      </c>
      <c r="CE2" s="39">
        <v>45599.0</v>
      </c>
      <c r="CF2" s="39">
        <v>45600.0</v>
      </c>
      <c r="CG2" s="39">
        <v>45601.0</v>
      </c>
      <c r="CH2" s="39">
        <v>45602.0</v>
      </c>
      <c r="CI2" s="39">
        <v>45603.0</v>
      </c>
      <c r="CJ2" s="39">
        <v>45604.0</v>
      </c>
      <c r="CK2" s="39">
        <v>45605.0</v>
      </c>
      <c r="CL2" s="39">
        <v>45606.0</v>
      </c>
      <c r="CM2" s="39">
        <v>45607.0</v>
      </c>
      <c r="CN2" s="39">
        <v>45608.0</v>
      </c>
      <c r="CO2" s="39">
        <v>45609.0</v>
      </c>
      <c r="CP2" s="39">
        <v>45610.0</v>
      </c>
      <c r="CQ2" s="39">
        <v>45611.0</v>
      </c>
      <c r="CR2" s="39">
        <v>45612.0</v>
      </c>
      <c r="CS2" s="39">
        <v>45613.0</v>
      </c>
      <c r="CT2" s="39">
        <v>45614.0</v>
      </c>
      <c r="CU2" s="39">
        <v>45615.0</v>
      </c>
      <c r="CV2" s="39">
        <v>45616.0</v>
      </c>
      <c r="CW2" s="39">
        <v>45617.0</v>
      </c>
      <c r="CX2" s="39">
        <v>45618.0</v>
      </c>
      <c r="CY2" s="39">
        <v>45619.0</v>
      </c>
      <c r="CZ2" s="40">
        <v>45620.0</v>
      </c>
      <c r="DA2" s="39">
        <v>45621.0</v>
      </c>
      <c r="DB2" s="39">
        <v>45622.0</v>
      </c>
      <c r="DC2" s="39">
        <v>45623.0</v>
      </c>
      <c r="DD2" s="39">
        <v>45624.0</v>
      </c>
      <c r="DE2" s="39">
        <v>45625.0</v>
      </c>
      <c r="DF2" s="39">
        <v>45626.0</v>
      </c>
      <c r="DG2" s="39">
        <v>45627.0</v>
      </c>
      <c r="DH2" s="39">
        <v>45628.0</v>
      </c>
      <c r="DI2" s="39">
        <v>45629.0</v>
      </c>
      <c r="DJ2" s="39">
        <v>45630.0</v>
      </c>
      <c r="DK2" s="39">
        <v>45631.0</v>
      </c>
      <c r="DL2" s="39">
        <v>45632.0</v>
      </c>
      <c r="DM2" s="39">
        <v>45633.0</v>
      </c>
      <c r="DN2" s="39">
        <v>45634.0</v>
      </c>
      <c r="DO2" s="39">
        <v>45635.0</v>
      </c>
      <c r="DP2" s="39">
        <v>45636.0</v>
      </c>
      <c r="DQ2" s="39">
        <v>45637.0</v>
      </c>
      <c r="DR2" s="39">
        <v>45638.0</v>
      </c>
      <c r="DS2" s="39">
        <v>45639.0</v>
      </c>
      <c r="DT2" s="39">
        <v>45640.0</v>
      </c>
      <c r="DU2" s="39">
        <v>45641.0</v>
      </c>
      <c r="DV2" s="39">
        <v>45642.0</v>
      </c>
      <c r="DW2" s="39">
        <v>45643.0</v>
      </c>
      <c r="DX2" s="39">
        <v>45644.0</v>
      </c>
      <c r="DY2" s="39">
        <v>45645.0</v>
      </c>
      <c r="DZ2" s="39">
        <v>45646.0</v>
      </c>
      <c r="EA2" s="39">
        <v>45647.0</v>
      </c>
      <c r="EB2" s="39">
        <v>45648.0</v>
      </c>
      <c r="EC2" s="39">
        <v>45649.0</v>
      </c>
      <c r="ED2" s="40">
        <v>45650.0</v>
      </c>
      <c r="EE2" s="39">
        <v>45651.0</v>
      </c>
      <c r="EF2" s="39">
        <v>45652.0</v>
      </c>
      <c r="EG2" s="39">
        <v>45653.0</v>
      </c>
      <c r="EH2" s="39">
        <v>45654.0</v>
      </c>
      <c r="EI2" s="39">
        <v>45655.0</v>
      </c>
      <c r="EJ2" s="39">
        <v>45656.0</v>
      </c>
      <c r="EK2" s="39">
        <v>45657.0</v>
      </c>
      <c r="EL2" s="39">
        <v>45658.0</v>
      </c>
      <c r="EM2" s="39">
        <v>45659.0</v>
      </c>
      <c r="EN2" s="39">
        <v>45660.0</v>
      </c>
      <c r="EO2" s="39">
        <v>45661.0</v>
      </c>
      <c r="EP2" s="39">
        <v>45662.0</v>
      </c>
      <c r="EQ2" s="39">
        <v>45663.0</v>
      </c>
      <c r="ER2" s="39">
        <v>45664.0</v>
      </c>
      <c r="ES2" s="39">
        <v>45665.0</v>
      </c>
      <c r="ET2" s="39">
        <v>45666.0</v>
      </c>
      <c r="EU2" s="39">
        <v>45667.0</v>
      </c>
      <c r="EV2" s="39">
        <v>45668.0</v>
      </c>
      <c r="EW2" s="39">
        <v>45669.0</v>
      </c>
      <c r="EX2" s="39">
        <v>45670.0</v>
      </c>
      <c r="EY2" s="39">
        <v>45671.0</v>
      </c>
      <c r="EZ2" s="39">
        <v>45672.0</v>
      </c>
      <c r="FA2" s="39">
        <v>45673.0</v>
      </c>
      <c r="FB2" s="39">
        <v>45674.0</v>
      </c>
      <c r="FC2" s="39">
        <v>45675.0</v>
      </c>
      <c r="FD2" s="39">
        <v>45676.0</v>
      </c>
      <c r="FE2" s="39">
        <v>45677.0</v>
      </c>
      <c r="FF2" s="39">
        <v>45678.0</v>
      </c>
      <c r="FG2" s="39">
        <v>45679.0</v>
      </c>
      <c r="FH2" s="39">
        <v>45680.0</v>
      </c>
      <c r="FI2" s="39">
        <v>45681.0</v>
      </c>
      <c r="FJ2" s="39">
        <v>45682.0</v>
      </c>
      <c r="FK2" s="39">
        <v>45683.0</v>
      </c>
      <c r="FL2" s="39">
        <v>45684.0</v>
      </c>
      <c r="FM2" s="39">
        <v>45685.0</v>
      </c>
      <c r="FN2" s="39">
        <v>45686.0</v>
      </c>
      <c r="FO2" s="39">
        <v>45687.0</v>
      </c>
      <c r="FP2" s="39">
        <v>45688.0</v>
      </c>
      <c r="FQ2" s="39">
        <v>45689.0</v>
      </c>
      <c r="FR2" s="39">
        <v>45690.0</v>
      </c>
      <c r="FS2" s="39">
        <v>45691.0</v>
      </c>
      <c r="FT2" s="39">
        <v>45692.0</v>
      </c>
      <c r="FU2" s="39">
        <v>45693.0</v>
      </c>
      <c r="FV2" s="39">
        <v>45694.0</v>
      </c>
      <c r="FW2" s="39">
        <v>45695.0</v>
      </c>
      <c r="FX2" s="39">
        <v>45696.0</v>
      </c>
      <c r="FY2" s="39">
        <v>45697.0</v>
      </c>
      <c r="FZ2" s="39">
        <v>45698.0</v>
      </c>
      <c r="GA2" s="39">
        <v>45699.0</v>
      </c>
      <c r="GB2" s="39">
        <v>45700.0</v>
      </c>
      <c r="GC2" s="39">
        <v>45701.0</v>
      </c>
      <c r="GD2" s="39">
        <v>45702.0</v>
      </c>
      <c r="GE2" s="39">
        <v>45703.0</v>
      </c>
      <c r="GF2" s="39">
        <v>45704.0</v>
      </c>
      <c r="GG2" s="39">
        <v>45705.0</v>
      </c>
      <c r="GH2" s="39">
        <v>45706.0</v>
      </c>
      <c r="GI2" s="39">
        <v>45707.0</v>
      </c>
      <c r="GJ2" s="39">
        <v>45708.0</v>
      </c>
      <c r="GK2" s="39">
        <v>45709.0</v>
      </c>
      <c r="GL2" s="39">
        <v>45710.0</v>
      </c>
      <c r="GM2" s="39">
        <v>45711.0</v>
      </c>
      <c r="GN2" s="39">
        <v>45712.0</v>
      </c>
      <c r="GO2" s="39">
        <v>45713.0</v>
      </c>
      <c r="GP2" s="39">
        <v>45714.0</v>
      </c>
      <c r="GQ2" s="39">
        <v>45715.0</v>
      </c>
      <c r="GR2" s="39">
        <v>45716.0</v>
      </c>
      <c r="GS2" s="39">
        <v>45717.0</v>
      </c>
      <c r="GT2" s="39">
        <v>45718.0</v>
      </c>
      <c r="GU2" s="39">
        <v>45719.0</v>
      </c>
      <c r="GV2" s="39">
        <v>45720.0</v>
      </c>
      <c r="GW2" s="39">
        <v>45721.0</v>
      </c>
      <c r="GX2" s="39">
        <v>45722.0</v>
      </c>
      <c r="GY2" s="39">
        <v>45723.0</v>
      </c>
      <c r="GZ2" s="39">
        <v>45724.0</v>
      </c>
      <c r="HA2" s="39">
        <v>45725.0</v>
      </c>
      <c r="HB2" s="39">
        <v>45726.0</v>
      </c>
      <c r="HC2" s="39">
        <v>45727.0</v>
      </c>
      <c r="HD2" s="39">
        <v>45728.0</v>
      </c>
      <c r="HE2" s="39">
        <v>45729.0</v>
      </c>
      <c r="HF2" s="39">
        <v>45730.0</v>
      </c>
      <c r="HG2" s="39">
        <v>45731.0</v>
      </c>
      <c r="HH2" s="39">
        <v>45732.0</v>
      </c>
      <c r="HI2" s="39">
        <v>45733.0</v>
      </c>
      <c r="HJ2" s="39">
        <v>45734.0</v>
      </c>
      <c r="HK2" s="39">
        <v>45735.0</v>
      </c>
      <c r="HL2" s="39">
        <v>45736.0</v>
      </c>
      <c r="HM2" s="39">
        <v>45737.0</v>
      </c>
      <c r="HN2" s="39">
        <v>45738.0</v>
      </c>
      <c r="HO2" s="39">
        <v>45739.0</v>
      </c>
      <c r="HP2" s="39">
        <v>45740.0</v>
      </c>
      <c r="HQ2" s="39">
        <v>45741.0</v>
      </c>
      <c r="HR2" s="39">
        <v>45742.0</v>
      </c>
      <c r="HS2" s="39">
        <v>45743.0</v>
      </c>
      <c r="HT2" s="39">
        <v>45744.0</v>
      </c>
      <c r="HU2" s="39">
        <v>45745.0</v>
      </c>
      <c r="HV2" s="39">
        <v>45746.0</v>
      </c>
      <c r="HW2" s="39">
        <v>45747.0</v>
      </c>
      <c r="HX2" s="39">
        <v>45748.0</v>
      </c>
      <c r="HY2" s="39">
        <v>45749.0</v>
      </c>
      <c r="HZ2" s="39">
        <v>45750.0</v>
      </c>
      <c r="IA2" s="39">
        <v>45751.0</v>
      </c>
      <c r="IB2" s="39">
        <v>45752.0</v>
      </c>
      <c r="IC2" s="39">
        <v>45753.0</v>
      </c>
      <c r="ID2" s="39">
        <v>45754.0</v>
      </c>
      <c r="IE2" s="39">
        <v>45755.0</v>
      </c>
      <c r="IF2" s="39">
        <v>45756.0</v>
      </c>
      <c r="IG2" s="39">
        <v>45757.0</v>
      </c>
      <c r="IH2" s="39">
        <v>45758.0</v>
      </c>
      <c r="II2" s="39">
        <v>45759.0</v>
      </c>
      <c r="IJ2" s="39">
        <v>45760.0</v>
      </c>
      <c r="IK2" s="39">
        <v>45761.0</v>
      </c>
      <c r="IL2" s="39">
        <v>45762.0</v>
      </c>
      <c r="IM2" s="39">
        <v>45763.0</v>
      </c>
      <c r="IN2" s="39">
        <v>45764.0</v>
      </c>
      <c r="IO2" s="39">
        <v>45765.0</v>
      </c>
      <c r="IP2" s="39">
        <v>45766.0</v>
      </c>
      <c r="IQ2" s="39">
        <v>45767.0</v>
      </c>
      <c r="IR2" s="39">
        <v>45768.0</v>
      </c>
      <c r="IS2" s="39">
        <v>45769.0</v>
      </c>
      <c r="IT2" s="39">
        <v>45770.0</v>
      </c>
      <c r="IU2" s="39">
        <v>45771.0</v>
      </c>
      <c r="IV2" s="39">
        <v>45772.0</v>
      </c>
      <c r="IW2" s="39">
        <v>45773.0</v>
      </c>
      <c r="IX2" s="39">
        <v>45774.0</v>
      </c>
      <c r="IY2" s="39">
        <v>45775.0</v>
      </c>
      <c r="IZ2" s="39">
        <v>45776.0</v>
      </c>
      <c r="JA2" s="39">
        <v>45777.0</v>
      </c>
      <c r="JB2" s="41"/>
      <c r="JC2" s="39">
        <v>45778.0</v>
      </c>
      <c r="JD2" s="39">
        <v>45779.0</v>
      </c>
      <c r="JE2" s="39">
        <v>45780.0</v>
      </c>
      <c r="JF2" s="39">
        <v>45781.0</v>
      </c>
      <c r="JG2" s="39">
        <v>45782.0</v>
      </c>
      <c r="JH2" s="39">
        <v>45783.0</v>
      </c>
      <c r="JI2" s="39">
        <v>45784.0</v>
      </c>
      <c r="JJ2" s="39">
        <v>45785.0</v>
      </c>
      <c r="JK2" s="39">
        <v>45786.0</v>
      </c>
      <c r="JL2" s="39">
        <v>45787.0</v>
      </c>
      <c r="JM2" s="39">
        <v>45788.0</v>
      </c>
      <c r="JN2" s="39">
        <v>45789.0</v>
      </c>
      <c r="JO2" s="39">
        <v>45790.0</v>
      </c>
      <c r="JP2" s="39">
        <v>45791.0</v>
      </c>
      <c r="JQ2" s="39">
        <v>45792.0</v>
      </c>
      <c r="JR2" s="39">
        <v>45793.0</v>
      </c>
      <c r="JS2" s="39">
        <v>45794.0</v>
      </c>
      <c r="JT2" s="39">
        <v>45795.0</v>
      </c>
      <c r="JU2" s="39">
        <v>45796.0</v>
      </c>
      <c r="JV2" s="39">
        <v>45797.0</v>
      </c>
      <c r="JW2" s="39">
        <v>45798.0</v>
      </c>
      <c r="JX2" s="39">
        <v>45799.0</v>
      </c>
      <c r="JY2" s="39">
        <v>45800.0</v>
      </c>
      <c r="JZ2" s="39">
        <v>45801.0</v>
      </c>
      <c r="KA2" s="39">
        <v>45802.0</v>
      </c>
      <c r="KB2" s="39">
        <v>45803.0</v>
      </c>
      <c r="KC2" s="39">
        <v>45804.0</v>
      </c>
      <c r="KD2" s="39">
        <v>45805.0</v>
      </c>
      <c r="KE2" s="39">
        <v>45806.0</v>
      </c>
      <c r="KF2" s="39">
        <v>45807.0</v>
      </c>
      <c r="KG2" s="39">
        <v>45808.0</v>
      </c>
      <c r="KH2" s="41"/>
      <c r="KI2" s="39">
        <v>45809.0</v>
      </c>
      <c r="KJ2" s="39">
        <v>45810.0</v>
      </c>
      <c r="KK2" s="39">
        <v>45811.0</v>
      </c>
      <c r="KL2" s="39">
        <v>45812.0</v>
      </c>
      <c r="KM2" s="39">
        <v>45813.0</v>
      </c>
      <c r="KN2" s="39">
        <v>45814.0</v>
      </c>
      <c r="KO2" s="39">
        <v>45815.0</v>
      </c>
      <c r="KP2" s="39">
        <v>45816.0</v>
      </c>
      <c r="KQ2" s="39">
        <v>45817.0</v>
      </c>
      <c r="KR2" s="39">
        <v>45818.0</v>
      </c>
      <c r="KS2" s="39">
        <v>45819.0</v>
      </c>
      <c r="KT2" s="39">
        <v>45820.0</v>
      </c>
      <c r="KU2" s="39">
        <v>45821.0</v>
      </c>
      <c r="KV2" s="39">
        <v>45822.0</v>
      </c>
      <c r="KW2" s="39">
        <v>45823.0</v>
      </c>
      <c r="KX2" s="39">
        <v>45824.0</v>
      </c>
      <c r="KY2" s="39">
        <v>45825.0</v>
      </c>
      <c r="KZ2" s="39">
        <v>45826.0</v>
      </c>
      <c r="LA2" s="39">
        <v>45827.0</v>
      </c>
      <c r="LB2" s="39">
        <v>45828.0</v>
      </c>
      <c r="LC2" s="39">
        <v>45829.0</v>
      </c>
      <c r="LD2" s="39">
        <v>45830.0</v>
      </c>
      <c r="LE2" s="39">
        <v>45831.0</v>
      </c>
      <c r="LF2" s="39">
        <v>45832.0</v>
      </c>
      <c r="LG2" s="39">
        <v>45833.0</v>
      </c>
      <c r="LH2" s="39">
        <v>45834.0</v>
      </c>
      <c r="LI2" s="39">
        <v>45835.0</v>
      </c>
      <c r="LJ2" s="39">
        <v>45836.0</v>
      </c>
      <c r="LK2" s="39">
        <v>45837.0</v>
      </c>
      <c r="LL2" s="39">
        <v>45838.0</v>
      </c>
      <c r="LM2" s="42" t="s">
        <v>30</v>
      </c>
      <c r="LN2" s="43"/>
      <c r="LO2" s="44">
        <v>45839.0</v>
      </c>
      <c r="LP2" s="39">
        <v>45840.0</v>
      </c>
      <c r="LQ2" s="39">
        <v>45841.0</v>
      </c>
      <c r="LR2" s="39">
        <v>45842.0</v>
      </c>
      <c r="LS2" s="39">
        <v>45843.0</v>
      </c>
      <c r="LT2" s="39">
        <v>45844.0</v>
      </c>
      <c r="LU2" s="39">
        <v>45845.0</v>
      </c>
      <c r="LV2" s="39">
        <v>45846.0</v>
      </c>
      <c r="LW2" s="39">
        <v>45847.0</v>
      </c>
      <c r="LX2" s="39">
        <v>45848.0</v>
      </c>
      <c r="LY2" s="39">
        <v>45849.0</v>
      </c>
      <c r="LZ2" s="39">
        <v>45850.0</v>
      </c>
      <c r="MA2" s="39">
        <v>45851.0</v>
      </c>
      <c r="MB2" s="39">
        <v>45852.0</v>
      </c>
      <c r="MC2" s="39">
        <v>45853.0</v>
      </c>
      <c r="MD2" s="39">
        <v>45854.0</v>
      </c>
      <c r="ME2" s="39">
        <v>45855.0</v>
      </c>
      <c r="MF2" s="39">
        <v>45856.0</v>
      </c>
      <c r="MG2" s="39">
        <v>45857.0</v>
      </c>
      <c r="MH2" s="39">
        <v>45858.0</v>
      </c>
      <c r="MI2" s="39">
        <v>45859.0</v>
      </c>
      <c r="MJ2" s="39">
        <v>45860.0</v>
      </c>
      <c r="MK2" s="39">
        <v>45861.0</v>
      </c>
      <c r="ML2" s="39">
        <v>45862.0</v>
      </c>
      <c r="MM2" s="39">
        <v>45863.0</v>
      </c>
      <c r="MN2" s="39">
        <v>45864.0</v>
      </c>
      <c r="MO2" s="39">
        <v>45865.0</v>
      </c>
      <c r="MP2" s="39">
        <v>45866.0</v>
      </c>
      <c r="MQ2" s="39">
        <v>45867.0</v>
      </c>
      <c r="MR2" s="39">
        <v>45868.0</v>
      </c>
      <c r="MS2" s="39">
        <v>45869.0</v>
      </c>
      <c r="MT2" s="41"/>
      <c r="MU2" s="45">
        <v>45839.0</v>
      </c>
      <c r="MV2" s="46">
        <v>45840.0</v>
      </c>
      <c r="MW2" s="46">
        <v>45841.0</v>
      </c>
      <c r="MX2" s="46">
        <v>45842.0</v>
      </c>
      <c r="MY2" s="46">
        <v>45843.0</v>
      </c>
      <c r="MZ2" s="46">
        <v>45844.0</v>
      </c>
      <c r="NA2" s="46">
        <v>45845.0</v>
      </c>
      <c r="NB2" s="46">
        <v>45846.0</v>
      </c>
      <c r="NC2" s="46">
        <v>45847.0</v>
      </c>
      <c r="ND2" s="46">
        <v>45848.0</v>
      </c>
      <c r="NE2" s="46">
        <v>45849.0</v>
      </c>
      <c r="NF2" s="46">
        <v>45850.0</v>
      </c>
      <c r="NG2" s="46">
        <v>45851.0</v>
      </c>
      <c r="NH2" s="46">
        <v>45852.0</v>
      </c>
      <c r="NI2" s="46">
        <v>45853.0</v>
      </c>
      <c r="NJ2" s="46">
        <v>45854.0</v>
      </c>
      <c r="NK2" s="46">
        <v>45855.0</v>
      </c>
      <c r="NL2" s="46">
        <v>45856.0</v>
      </c>
      <c r="NM2" s="46">
        <v>45857.0</v>
      </c>
      <c r="NN2" s="46">
        <v>45858.0</v>
      </c>
      <c r="NO2" s="46">
        <v>45859.0</v>
      </c>
      <c r="NP2" s="46">
        <v>45860.0</v>
      </c>
      <c r="NQ2" s="46">
        <v>45861.0</v>
      </c>
      <c r="NR2" s="46">
        <v>45862.0</v>
      </c>
      <c r="NS2" s="46">
        <v>45863.0</v>
      </c>
      <c r="NT2" s="46">
        <v>45864.0</v>
      </c>
      <c r="NU2" s="46">
        <v>45865.0</v>
      </c>
      <c r="NV2" s="46">
        <v>45866.0</v>
      </c>
      <c r="NW2" s="46">
        <v>45867.0</v>
      </c>
      <c r="NX2" s="46">
        <v>45868.0</v>
      </c>
      <c r="NY2" s="46">
        <v>45869.0</v>
      </c>
      <c r="NZ2" s="34"/>
      <c r="OA2" s="39">
        <v>45901.0</v>
      </c>
      <c r="OB2" s="39">
        <v>45902.0</v>
      </c>
      <c r="OC2" s="39">
        <v>45903.0</v>
      </c>
      <c r="OD2" s="39">
        <v>45904.0</v>
      </c>
      <c r="OE2" s="39">
        <v>45905.0</v>
      </c>
      <c r="OF2" s="39">
        <v>45906.0</v>
      </c>
      <c r="OG2" s="39">
        <v>45907.0</v>
      </c>
      <c r="OH2" s="39">
        <v>45908.0</v>
      </c>
      <c r="OI2" s="39">
        <v>45909.0</v>
      </c>
      <c r="OJ2" s="39">
        <v>45910.0</v>
      </c>
      <c r="OK2" s="39">
        <v>45911.0</v>
      </c>
      <c r="OL2" s="39">
        <v>45912.0</v>
      </c>
    </row>
    <row r="3" ht="22.5" customHeight="1">
      <c r="A3" s="306"/>
      <c r="B3" s="307"/>
      <c r="C3" s="308" t="s">
        <v>55</v>
      </c>
      <c r="D3" s="308" t="s">
        <v>56</v>
      </c>
      <c r="E3" s="309">
        <f t="shared" ref="E3:JA3" si="1">E2</f>
        <v>45521</v>
      </c>
      <c r="F3" s="309">
        <f t="shared" si="1"/>
        <v>45522</v>
      </c>
      <c r="G3" s="309">
        <f t="shared" si="1"/>
        <v>45523</v>
      </c>
      <c r="H3" s="309">
        <f t="shared" si="1"/>
        <v>45524</v>
      </c>
      <c r="I3" s="309">
        <f t="shared" si="1"/>
        <v>45525</v>
      </c>
      <c r="J3" s="309">
        <f t="shared" si="1"/>
        <v>45526</v>
      </c>
      <c r="K3" s="309">
        <f t="shared" si="1"/>
        <v>45527</v>
      </c>
      <c r="L3" s="309">
        <f t="shared" si="1"/>
        <v>45528</v>
      </c>
      <c r="M3" s="309">
        <f t="shared" si="1"/>
        <v>45529</v>
      </c>
      <c r="N3" s="309">
        <f t="shared" si="1"/>
        <v>45530</v>
      </c>
      <c r="O3" s="309">
        <f t="shared" si="1"/>
        <v>45531</v>
      </c>
      <c r="P3" s="309">
        <f t="shared" si="1"/>
        <v>45532</v>
      </c>
      <c r="Q3" s="309">
        <f t="shared" si="1"/>
        <v>45533</v>
      </c>
      <c r="R3" s="309">
        <f t="shared" si="1"/>
        <v>45534</v>
      </c>
      <c r="S3" s="309">
        <f t="shared" si="1"/>
        <v>45535</v>
      </c>
      <c r="T3" s="309">
        <f t="shared" si="1"/>
        <v>45536</v>
      </c>
      <c r="U3" s="309">
        <f t="shared" si="1"/>
        <v>45537</v>
      </c>
      <c r="V3" s="309">
        <f t="shared" si="1"/>
        <v>45538</v>
      </c>
      <c r="W3" s="309">
        <f t="shared" si="1"/>
        <v>45539</v>
      </c>
      <c r="X3" s="309">
        <f t="shared" si="1"/>
        <v>45540</v>
      </c>
      <c r="Y3" s="309">
        <f t="shared" si="1"/>
        <v>45541</v>
      </c>
      <c r="Z3" s="309">
        <f t="shared" si="1"/>
        <v>45542</v>
      </c>
      <c r="AA3" s="309">
        <f t="shared" si="1"/>
        <v>45543</v>
      </c>
      <c r="AB3" s="309">
        <f t="shared" si="1"/>
        <v>45544</v>
      </c>
      <c r="AC3" s="309">
        <f t="shared" si="1"/>
        <v>45545</v>
      </c>
      <c r="AD3" s="309">
        <f t="shared" si="1"/>
        <v>45546</v>
      </c>
      <c r="AE3" s="309">
        <f t="shared" si="1"/>
        <v>45547</v>
      </c>
      <c r="AF3" s="309">
        <f t="shared" si="1"/>
        <v>45548</v>
      </c>
      <c r="AG3" s="309">
        <f t="shared" si="1"/>
        <v>45549</v>
      </c>
      <c r="AH3" s="309">
        <f t="shared" si="1"/>
        <v>45550</v>
      </c>
      <c r="AI3" s="309">
        <f t="shared" si="1"/>
        <v>45551</v>
      </c>
      <c r="AJ3" s="309">
        <f t="shared" si="1"/>
        <v>45552</v>
      </c>
      <c r="AK3" s="309">
        <f t="shared" si="1"/>
        <v>45553</v>
      </c>
      <c r="AL3" s="309">
        <f t="shared" si="1"/>
        <v>45554</v>
      </c>
      <c r="AM3" s="309">
        <f t="shared" si="1"/>
        <v>45555</v>
      </c>
      <c r="AN3" s="309">
        <f t="shared" si="1"/>
        <v>45556</v>
      </c>
      <c r="AO3" s="309">
        <f t="shared" si="1"/>
        <v>45557</v>
      </c>
      <c r="AP3" s="309">
        <f t="shared" si="1"/>
        <v>45558</v>
      </c>
      <c r="AQ3" s="309">
        <f t="shared" si="1"/>
        <v>45559</v>
      </c>
      <c r="AR3" s="309">
        <f t="shared" si="1"/>
        <v>45560</v>
      </c>
      <c r="AS3" s="309">
        <f t="shared" si="1"/>
        <v>45561</v>
      </c>
      <c r="AT3" s="309">
        <f t="shared" si="1"/>
        <v>45562</v>
      </c>
      <c r="AU3" s="309">
        <f t="shared" si="1"/>
        <v>45563</v>
      </c>
      <c r="AV3" s="309" t="str">
        <f t="shared" si="1"/>
        <v/>
      </c>
      <c r="AW3" s="309">
        <f t="shared" si="1"/>
        <v>45565</v>
      </c>
      <c r="AX3" s="309">
        <f t="shared" si="1"/>
        <v>45566</v>
      </c>
      <c r="AY3" s="309">
        <f t="shared" si="1"/>
        <v>45567</v>
      </c>
      <c r="AZ3" s="309">
        <f t="shared" si="1"/>
        <v>45568</v>
      </c>
      <c r="BA3" s="309">
        <f t="shared" si="1"/>
        <v>45569</v>
      </c>
      <c r="BB3" s="309">
        <f t="shared" si="1"/>
        <v>45570</v>
      </c>
      <c r="BC3" s="309">
        <f t="shared" si="1"/>
        <v>45571</v>
      </c>
      <c r="BD3" s="309">
        <f t="shared" si="1"/>
        <v>45572</v>
      </c>
      <c r="BE3" s="309">
        <f t="shared" si="1"/>
        <v>45573</v>
      </c>
      <c r="BF3" s="309">
        <f t="shared" si="1"/>
        <v>45574</v>
      </c>
      <c r="BG3" s="309">
        <f t="shared" si="1"/>
        <v>45575</v>
      </c>
      <c r="BH3" s="309">
        <f t="shared" si="1"/>
        <v>45576</v>
      </c>
      <c r="BI3" s="309">
        <f t="shared" si="1"/>
        <v>45577</v>
      </c>
      <c r="BJ3" s="309">
        <f t="shared" si="1"/>
        <v>45578</v>
      </c>
      <c r="BK3" s="309">
        <f t="shared" si="1"/>
        <v>45579</v>
      </c>
      <c r="BL3" s="309">
        <f t="shared" si="1"/>
        <v>45580</v>
      </c>
      <c r="BM3" s="309">
        <f t="shared" si="1"/>
        <v>45581</v>
      </c>
      <c r="BN3" s="309">
        <f t="shared" si="1"/>
        <v>45582</v>
      </c>
      <c r="BO3" s="309">
        <f t="shared" si="1"/>
        <v>45583</v>
      </c>
      <c r="BP3" s="309">
        <f t="shared" si="1"/>
        <v>45584</v>
      </c>
      <c r="BQ3" s="309">
        <f t="shared" si="1"/>
        <v>45585</v>
      </c>
      <c r="BR3" s="309">
        <f t="shared" si="1"/>
        <v>45586</v>
      </c>
      <c r="BS3" s="309">
        <f t="shared" si="1"/>
        <v>45587</v>
      </c>
      <c r="BT3" s="309">
        <f t="shared" si="1"/>
        <v>45588</v>
      </c>
      <c r="BU3" s="310">
        <f t="shared" si="1"/>
        <v>45589</v>
      </c>
      <c r="BV3" s="309">
        <f t="shared" si="1"/>
        <v>45590</v>
      </c>
      <c r="BW3" s="309">
        <f t="shared" si="1"/>
        <v>45591</v>
      </c>
      <c r="BX3" s="309">
        <f t="shared" si="1"/>
        <v>45592</v>
      </c>
      <c r="BY3" s="309">
        <f t="shared" si="1"/>
        <v>45593</v>
      </c>
      <c r="BZ3" s="309">
        <f t="shared" si="1"/>
        <v>45594</v>
      </c>
      <c r="CA3" s="309">
        <f t="shared" si="1"/>
        <v>45595</v>
      </c>
      <c r="CB3" s="309">
        <f t="shared" si="1"/>
        <v>45596</v>
      </c>
      <c r="CC3" s="309">
        <f t="shared" si="1"/>
        <v>45597</v>
      </c>
      <c r="CD3" s="309">
        <f t="shared" si="1"/>
        <v>45598</v>
      </c>
      <c r="CE3" s="309">
        <f t="shared" si="1"/>
        <v>45599</v>
      </c>
      <c r="CF3" s="309">
        <f t="shared" si="1"/>
        <v>45600</v>
      </c>
      <c r="CG3" s="309">
        <f t="shared" si="1"/>
        <v>45601</v>
      </c>
      <c r="CH3" s="309">
        <f t="shared" si="1"/>
        <v>45602</v>
      </c>
      <c r="CI3" s="309">
        <f t="shared" si="1"/>
        <v>45603</v>
      </c>
      <c r="CJ3" s="309">
        <f t="shared" si="1"/>
        <v>45604</v>
      </c>
      <c r="CK3" s="309">
        <f t="shared" si="1"/>
        <v>45605</v>
      </c>
      <c r="CL3" s="309">
        <f t="shared" si="1"/>
        <v>45606</v>
      </c>
      <c r="CM3" s="309">
        <f t="shared" si="1"/>
        <v>45607</v>
      </c>
      <c r="CN3" s="309">
        <f t="shared" si="1"/>
        <v>45608</v>
      </c>
      <c r="CO3" s="309">
        <f t="shared" si="1"/>
        <v>45609</v>
      </c>
      <c r="CP3" s="309">
        <f t="shared" si="1"/>
        <v>45610</v>
      </c>
      <c r="CQ3" s="309">
        <f t="shared" si="1"/>
        <v>45611</v>
      </c>
      <c r="CR3" s="309">
        <f t="shared" si="1"/>
        <v>45612</v>
      </c>
      <c r="CS3" s="309">
        <f t="shared" si="1"/>
        <v>45613</v>
      </c>
      <c r="CT3" s="309">
        <f t="shared" si="1"/>
        <v>45614</v>
      </c>
      <c r="CU3" s="309">
        <f t="shared" si="1"/>
        <v>45615</v>
      </c>
      <c r="CV3" s="309">
        <f t="shared" si="1"/>
        <v>45616</v>
      </c>
      <c r="CW3" s="309">
        <f t="shared" si="1"/>
        <v>45617</v>
      </c>
      <c r="CX3" s="309">
        <f t="shared" si="1"/>
        <v>45618</v>
      </c>
      <c r="CY3" s="309">
        <f t="shared" si="1"/>
        <v>45619</v>
      </c>
      <c r="CZ3" s="310">
        <f t="shared" si="1"/>
        <v>45620</v>
      </c>
      <c r="DA3" s="309">
        <f t="shared" si="1"/>
        <v>45621</v>
      </c>
      <c r="DB3" s="309">
        <f t="shared" si="1"/>
        <v>45622</v>
      </c>
      <c r="DC3" s="309">
        <f t="shared" si="1"/>
        <v>45623</v>
      </c>
      <c r="DD3" s="309">
        <f t="shared" si="1"/>
        <v>45624</v>
      </c>
      <c r="DE3" s="309">
        <f t="shared" si="1"/>
        <v>45625</v>
      </c>
      <c r="DF3" s="309">
        <f t="shared" si="1"/>
        <v>45626</v>
      </c>
      <c r="DG3" s="309">
        <f t="shared" si="1"/>
        <v>45627</v>
      </c>
      <c r="DH3" s="309">
        <f t="shared" si="1"/>
        <v>45628</v>
      </c>
      <c r="DI3" s="309">
        <f t="shared" si="1"/>
        <v>45629</v>
      </c>
      <c r="DJ3" s="309">
        <f t="shared" si="1"/>
        <v>45630</v>
      </c>
      <c r="DK3" s="309">
        <f t="shared" si="1"/>
        <v>45631</v>
      </c>
      <c r="DL3" s="309">
        <f t="shared" si="1"/>
        <v>45632</v>
      </c>
      <c r="DM3" s="309">
        <f t="shared" si="1"/>
        <v>45633</v>
      </c>
      <c r="DN3" s="309">
        <f t="shared" si="1"/>
        <v>45634</v>
      </c>
      <c r="DO3" s="309">
        <f t="shared" si="1"/>
        <v>45635</v>
      </c>
      <c r="DP3" s="309">
        <f t="shared" si="1"/>
        <v>45636</v>
      </c>
      <c r="DQ3" s="309">
        <f t="shared" si="1"/>
        <v>45637</v>
      </c>
      <c r="DR3" s="309">
        <f t="shared" si="1"/>
        <v>45638</v>
      </c>
      <c r="DS3" s="309">
        <f t="shared" si="1"/>
        <v>45639</v>
      </c>
      <c r="DT3" s="309">
        <f t="shared" si="1"/>
        <v>45640</v>
      </c>
      <c r="DU3" s="309">
        <f t="shared" si="1"/>
        <v>45641</v>
      </c>
      <c r="DV3" s="309">
        <f t="shared" si="1"/>
        <v>45642</v>
      </c>
      <c r="DW3" s="309">
        <f t="shared" si="1"/>
        <v>45643</v>
      </c>
      <c r="DX3" s="309">
        <f t="shared" si="1"/>
        <v>45644</v>
      </c>
      <c r="DY3" s="309">
        <f t="shared" si="1"/>
        <v>45645</v>
      </c>
      <c r="DZ3" s="309">
        <f t="shared" si="1"/>
        <v>45646</v>
      </c>
      <c r="EA3" s="309">
        <f t="shared" si="1"/>
        <v>45647</v>
      </c>
      <c r="EB3" s="309">
        <f t="shared" si="1"/>
        <v>45648</v>
      </c>
      <c r="EC3" s="309">
        <f t="shared" si="1"/>
        <v>45649</v>
      </c>
      <c r="ED3" s="310">
        <f t="shared" si="1"/>
        <v>45650</v>
      </c>
      <c r="EE3" s="309">
        <f t="shared" si="1"/>
        <v>45651</v>
      </c>
      <c r="EF3" s="309">
        <f t="shared" si="1"/>
        <v>45652</v>
      </c>
      <c r="EG3" s="309">
        <f t="shared" si="1"/>
        <v>45653</v>
      </c>
      <c r="EH3" s="309">
        <f t="shared" si="1"/>
        <v>45654</v>
      </c>
      <c r="EI3" s="309">
        <f t="shared" si="1"/>
        <v>45655</v>
      </c>
      <c r="EJ3" s="309">
        <f t="shared" si="1"/>
        <v>45656</v>
      </c>
      <c r="EK3" s="309">
        <f t="shared" si="1"/>
        <v>45657</v>
      </c>
      <c r="EL3" s="309">
        <f t="shared" si="1"/>
        <v>45658</v>
      </c>
      <c r="EM3" s="309">
        <f t="shared" si="1"/>
        <v>45659</v>
      </c>
      <c r="EN3" s="309">
        <f t="shared" si="1"/>
        <v>45660</v>
      </c>
      <c r="EO3" s="309">
        <f t="shared" si="1"/>
        <v>45661</v>
      </c>
      <c r="EP3" s="309">
        <f t="shared" si="1"/>
        <v>45662</v>
      </c>
      <c r="EQ3" s="309">
        <f t="shared" si="1"/>
        <v>45663</v>
      </c>
      <c r="ER3" s="309">
        <f t="shared" si="1"/>
        <v>45664</v>
      </c>
      <c r="ES3" s="309">
        <f t="shared" si="1"/>
        <v>45665</v>
      </c>
      <c r="ET3" s="309">
        <f t="shared" si="1"/>
        <v>45666</v>
      </c>
      <c r="EU3" s="309">
        <f t="shared" si="1"/>
        <v>45667</v>
      </c>
      <c r="EV3" s="309">
        <f t="shared" si="1"/>
        <v>45668</v>
      </c>
      <c r="EW3" s="309">
        <f t="shared" si="1"/>
        <v>45669</v>
      </c>
      <c r="EX3" s="309">
        <f t="shared" si="1"/>
        <v>45670</v>
      </c>
      <c r="EY3" s="309">
        <f t="shared" si="1"/>
        <v>45671</v>
      </c>
      <c r="EZ3" s="309">
        <f t="shared" si="1"/>
        <v>45672</v>
      </c>
      <c r="FA3" s="309">
        <f t="shared" si="1"/>
        <v>45673</v>
      </c>
      <c r="FB3" s="309">
        <f t="shared" si="1"/>
        <v>45674</v>
      </c>
      <c r="FC3" s="309">
        <f t="shared" si="1"/>
        <v>45675</v>
      </c>
      <c r="FD3" s="309">
        <f t="shared" si="1"/>
        <v>45676</v>
      </c>
      <c r="FE3" s="309">
        <f t="shared" si="1"/>
        <v>45677</v>
      </c>
      <c r="FF3" s="309">
        <f t="shared" si="1"/>
        <v>45678</v>
      </c>
      <c r="FG3" s="309">
        <f t="shared" si="1"/>
        <v>45679</v>
      </c>
      <c r="FH3" s="309">
        <f t="shared" si="1"/>
        <v>45680</v>
      </c>
      <c r="FI3" s="309">
        <f t="shared" si="1"/>
        <v>45681</v>
      </c>
      <c r="FJ3" s="309">
        <f t="shared" si="1"/>
        <v>45682</v>
      </c>
      <c r="FK3" s="309">
        <f t="shared" si="1"/>
        <v>45683</v>
      </c>
      <c r="FL3" s="309">
        <f t="shared" si="1"/>
        <v>45684</v>
      </c>
      <c r="FM3" s="309">
        <f t="shared" si="1"/>
        <v>45685</v>
      </c>
      <c r="FN3" s="309">
        <f t="shared" si="1"/>
        <v>45686</v>
      </c>
      <c r="FO3" s="309">
        <f t="shared" si="1"/>
        <v>45687</v>
      </c>
      <c r="FP3" s="309">
        <f t="shared" si="1"/>
        <v>45688</v>
      </c>
      <c r="FQ3" s="309">
        <f t="shared" si="1"/>
        <v>45689</v>
      </c>
      <c r="FR3" s="309">
        <f t="shared" si="1"/>
        <v>45690</v>
      </c>
      <c r="FS3" s="309">
        <f t="shared" si="1"/>
        <v>45691</v>
      </c>
      <c r="FT3" s="309">
        <f t="shared" si="1"/>
        <v>45692</v>
      </c>
      <c r="FU3" s="309">
        <f t="shared" si="1"/>
        <v>45693</v>
      </c>
      <c r="FV3" s="309">
        <f t="shared" si="1"/>
        <v>45694</v>
      </c>
      <c r="FW3" s="309">
        <f t="shared" si="1"/>
        <v>45695</v>
      </c>
      <c r="FX3" s="309">
        <f t="shared" si="1"/>
        <v>45696</v>
      </c>
      <c r="FY3" s="309">
        <f t="shared" si="1"/>
        <v>45697</v>
      </c>
      <c r="FZ3" s="309">
        <f t="shared" si="1"/>
        <v>45698</v>
      </c>
      <c r="GA3" s="309">
        <f t="shared" si="1"/>
        <v>45699</v>
      </c>
      <c r="GB3" s="309">
        <f t="shared" si="1"/>
        <v>45700</v>
      </c>
      <c r="GC3" s="309">
        <f t="shared" si="1"/>
        <v>45701</v>
      </c>
      <c r="GD3" s="309">
        <f t="shared" si="1"/>
        <v>45702</v>
      </c>
      <c r="GE3" s="309">
        <f t="shared" si="1"/>
        <v>45703</v>
      </c>
      <c r="GF3" s="309">
        <f t="shared" si="1"/>
        <v>45704</v>
      </c>
      <c r="GG3" s="309">
        <f t="shared" si="1"/>
        <v>45705</v>
      </c>
      <c r="GH3" s="309">
        <f t="shared" si="1"/>
        <v>45706</v>
      </c>
      <c r="GI3" s="309">
        <f t="shared" si="1"/>
        <v>45707</v>
      </c>
      <c r="GJ3" s="309">
        <f t="shared" si="1"/>
        <v>45708</v>
      </c>
      <c r="GK3" s="309">
        <f t="shared" si="1"/>
        <v>45709</v>
      </c>
      <c r="GL3" s="309">
        <f t="shared" si="1"/>
        <v>45710</v>
      </c>
      <c r="GM3" s="309">
        <f t="shared" si="1"/>
        <v>45711</v>
      </c>
      <c r="GN3" s="309">
        <f t="shared" si="1"/>
        <v>45712</v>
      </c>
      <c r="GO3" s="309">
        <f t="shared" si="1"/>
        <v>45713</v>
      </c>
      <c r="GP3" s="309">
        <f t="shared" si="1"/>
        <v>45714</v>
      </c>
      <c r="GQ3" s="309">
        <f t="shared" si="1"/>
        <v>45715</v>
      </c>
      <c r="GR3" s="309">
        <f t="shared" si="1"/>
        <v>45716</v>
      </c>
      <c r="GS3" s="309">
        <f t="shared" si="1"/>
        <v>45717</v>
      </c>
      <c r="GT3" s="309">
        <f t="shared" si="1"/>
        <v>45718</v>
      </c>
      <c r="GU3" s="309">
        <f t="shared" si="1"/>
        <v>45719</v>
      </c>
      <c r="GV3" s="309">
        <f t="shared" si="1"/>
        <v>45720</v>
      </c>
      <c r="GW3" s="309">
        <f t="shared" si="1"/>
        <v>45721</v>
      </c>
      <c r="GX3" s="309">
        <f t="shared" si="1"/>
        <v>45722</v>
      </c>
      <c r="GY3" s="309">
        <f t="shared" si="1"/>
        <v>45723</v>
      </c>
      <c r="GZ3" s="309">
        <f t="shared" si="1"/>
        <v>45724</v>
      </c>
      <c r="HA3" s="309">
        <f t="shared" si="1"/>
        <v>45725</v>
      </c>
      <c r="HB3" s="309">
        <f t="shared" si="1"/>
        <v>45726</v>
      </c>
      <c r="HC3" s="309">
        <f t="shared" si="1"/>
        <v>45727</v>
      </c>
      <c r="HD3" s="309">
        <f t="shared" si="1"/>
        <v>45728</v>
      </c>
      <c r="HE3" s="309">
        <f t="shared" si="1"/>
        <v>45729</v>
      </c>
      <c r="HF3" s="309">
        <f t="shared" si="1"/>
        <v>45730</v>
      </c>
      <c r="HG3" s="309">
        <f t="shared" si="1"/>
        <v>45731</v>
      </c>
      <c r="HH3" s="309">
        <f t="shared" si="1"/>
        <v>45732</v>
      </c>
      <c r="HI3" s="309">
        <f t="shared" si="1"/>
        <v>45733</v>
      </c>
      <c r="HJ3" s="309">
        <f t="shared" si="1"/>
        <v>45734</v>
      </c>
      <c r="HK3" s="309">
        <f t="shared" si="1"/>
        <v>45735</v>
      </c>
      <c r="HL3" s="309">
        <f t="shared" si="1"/>
        <v>45736</v>
      </c>
      <c r="HM3" s="309">
        <f t="shared" si="1"/>
        <v>45737</v>
      </c>
      <c r="HN3" s="309">
        <f t="shared" si="1"/>
        <v>45738</v>
      </c>
      <c r="HO3" s="309">
        <f t="shared" si="1"/>
        <v>45739</v>
      </c>
      <c r="HP3" s="309">
        <f t="shared" si="1"/>
        <v>45740</v>
      </c>
      <c r="HQ3" s="309">
        <f t="shared" si="1"/>
        <v>45741</v>
      </c>
      <c r="HR3" s="309">
        <f t="shared" si="1"/>
        <v>45742</v>
      </c>
      <c r="HS3" s="309">
        <f t="shared" si="1"/>
        <v>45743</v>
      </c>
      <c r="HT3" s="309">
        <f t="shared" si="1"/>
        <v>45744</v>
      </c>
      <c r="HU3" s="309">
        <f t="shared" si="1"/>
        <v>45745</v>
      </c>
      <c r="HV3" s="309">
        <f t="shared" si="1"/>
        <v>45746</v>
      </c>
      <c r="HW3" s="309">
        <f t="shared" si="1"/>
        <v>45747</v>
      </c>
      <c r="HX3" s="309">
        <f t="shared" si="1"/>
        <v>45748</v>
      </c>
      <c r="HY3" s="309">
        <f t="shared" si="1"/>
        <v>45749</v>
      </c>
      <c r="HZ3" s="309">
        <f t="shared" si="1"/>
        <v>45750</v>
      </c>
      <c r="IA3" s="309">
        <f t="shared" si="1"/>
        <v>45751</v>
      </c>
      <c r="IB3" s="309">
        <f t="shared" si="1"/>
        <v>45752</v>
      </c>
      <c r="IC3" s="309">
        <f t="shared" si="1"/>
        <v>45753</v>
      </c>
      <c r="ID3" s="309">
        <f t="shared" si="1"/>
        <v>45754</v>
      </c>
      <c r="IE3" s="309">
        <f t="shared" si="1"/>
        <v>45755</v>
      </c>
      <c r="IF3" s="309">
        <f t="shared" si="1"/>
        <v>45756</v>
      </c>
      <c r="IG3" s="309">
        <f t="shared" si="1"/>
        <v>45757</v>
      </c>
      <c r="IH3" s="309">
        <f t="shared" si="1"/>
        <v>45758</v>
      </c>
      <c r="II3" s="309">
        <f t="shared" si="1"/>
        <v>45759</v>
      </c>
      <c r="IJ3" s="309">
        <f t="shared" si="1"/>
        <v>45760</v>
      </c>
      <c r="IK3" s="309">
        <f t="shared" si="1"/>
        <v>45761</v>
      </c>
      <c r="IL3" s="309">
        <f t="shared" si="1"/>
        <v>45762</v>
      </c>
      <c r="IM3" s="309">
        <f t="shared" si="1"/>
        <v>45763</v>
      </c>
      <c r="IN3" s="309">
        <f t="shared" si="1"/>
        <v>45764</v>
      </c>
      <c r="IO3" s="309">
        <f t="shared" si="1"/>
        <v>45765</v>
      </c>
      <c r="IP3" s="309">
        <f t="shared" si="1"/>
        <v>45766</v>
      </c>
      <c r="IQ3" s="309">
        <f t="shared" si="1"/>
        <v>45767</v>
      </c>
      <c r="IR3" s="309">
        <f t="shared" si="1"/>
        <v>45768</v>
      </c>
      <c r="IS3" s="309">
        <f t="shared" si="1"/>
        <v>45769</v>
      </c>
      <c r="IT3" s="309">
        <f t="shared" si="1"/>
        <v>45770</v>
      </c>
      <c r="IU3" s="309">
        <f t="shared" si="1"/>
        <v>45771</v>
      </c>
      <c r="IV3" s="309">
        <f t="shared" si="1"/>
        <v>45772</v>
      </c>
      <c r="IW3" s="309">
        <f t="shared" si="1"/>
        <v>45773</v>
      </c>
      <c r="IX3" s="309">
        <f t="shared" si="1"/>
        <v>45774</v>
      </c>
      <c r="IY3" s="309">
        <f t="shared" si="1"/>
        <v>45775</v>
      </c>
      <c r="IZ3" s="309">
        <f t="shared" si="1"/>
        <v>45776</v>
      </c>
      <c r="JA3" s="309">
        <f t="shared" si="1"/>
        <v>45777</v>
      </c>
      <c r="JB3" s="311"/>
      <c r="JC3" s="309">
        <f t="shared" ref="JC3:KG3" si="2">JC2</f>
        <v>45778</v>
      </c>
      <c r="JD3" s="309">
        <f t="shared" si="2"/>
        <v>45779</v>
      </c>
      <c r="JE3" s="309">
        <f t="shared" si="2"/>
        <v>45780</v>
      </c>
      <c r="JF3" s="309">
        <f t="shared" si="2"/>
        <v>45781</v>
      </c>
      <c r="JG3" s="309">
        <f t="shared" si="2"/>
        <v>45782</v>
      </c>
      <c r="JH3" s="309">
        <f t="shared" si="2"/>
        <v>45783</v>
      </c>
      <c r="JI3" s="309">
        <f t="shared" si="2"/>
        <v>45784</v>
      </c>
      <c r="JJ3" s="309">
        <f t="shared" si="2"/>
        <v>45785</v>
      </c>
      <c r="JK3" s="309">
        <f t="shared" si="2"/>
        <v>45786</v>
      </c>
      <c r="JL3" s="309">
        <f t="shared" si="2"/>
        <v>45787</v>
      </c>
      <c r="JM3" s="309">
        <f t="shared" si="2"/>
        <v>45788</v>
      </c>
      <c r="JN3" s="309">
        <f t="shared" si="2"/>
        <v>45789</v>
      </c>
      <c r="JO3" s="309">
        <f t="shared" si="2"/>
        <v>45790</v>
      </c>
      <c r="JP3" s="309">
        <f t="shared" si="2"/>
        <v>45791</v>
      </c>
      <c r="JQ3" s="309">
        <f t="shared" si="2"/>
        <v>45792</v>
      </c>
      <c r="JR3" s="309">
        <f t="shared" si="2"/>
        <v>45793</v>
      </c>
      <c r="JS3" s="309">
        <f t="shared" si="2"/>
        <v>45794</v>
      </c>
      <c r="JT3" s="309">
        <f t="shared" si="2"/>
        <v>45795</v>
      </c>
      <c r="JU3" s="309">
        <f t="shared" si="2"/>
        <v>45796</v>
      </c>
      <c r="JV3" s="309">
        <f t="shared" si="2"/>
        <v>45797</v>
      </c>
      <c r="JW3" s="309">
        <f t="shared" si="2"/>
        <v>45798</v>
      </c>
      <c r="JX3" s="309">
        <f t="shared" si="2"/>
        <v>45799</v>
      </c>
      <c r="JY3" s="309">
        <f t="shared" si="2"/>
        <v>45800</v>
      </c>
      <c r="JZ3" s="309">
        <f t="shared" si="2"/>
        <v>45801</v>
      </c>
      <c r="KA3" s="309">
        <f t="shared" si="2"/>
        <v>45802</v>
      </c>
      <c r="KB3" s="309">
        <f t="shared" si="2"/>
        <v>45803</v>
      </c>
      <c r="KC3" s="309">
        <f t="shared" si="2"/>
        <v>45804</v>
      </c>
      <c r="KD3" s="309">
        <f t="shared" si="2"/>
        <v>45805</v>
      </c>
      <c r="KE3" s="309">
        <f t="shared" si="2"/>
        <v>45806</v>
      </c>
      <c r="KF3" s="309">
        <f t="shared" si="2"/>
        <v>45807</v>
      </c>
      <c r="KG3" s="309">
        <f t="shared" si="2"/>
        <v>45808</v>
      </c>
      <c r="KH3" s="311"/>
      <c r="KI3" s="309">
        <f t="shared" ref="KI3:LL3" si="3">KI2</f>
        <v>45809</v>
      </c>
      <c r="KJ3" s="309">
        <f t="shared" si="3"/>
        <v>45810</v>
      </c>
      <c r="KK3" s="309">
        <f t="shared" si="3"/>
        <v>45811</v>
      </c>
      <c r="KL3" s="309">
        <f t="shared" si="3"/>
        <v>45812</v>
      </c>
      <c r="KM3" s="309">
        <f t="shared" si="3"/>
        <v>45813</v>
      </c>
      <c r="KN3" s="309">
        <f t="shared" si="3"/>
        <v>45814</v>
      </c>
      <c r="KO3" s="309">
        <f t="shared" si="3"/>
        <v>45815</v>
      </c>
      <c r="KP3" s="309">
        <f t="shared" si="3"/>
        <v>45816</v>
      </c>
      <c r="KQ3" s="309">
        <f t="shared" si="3"/>
        <v>45817</v>
      </c>
      <c r="KR3" s="309">
        <f t="shared" si="3"/>
        <v>45818</v>
      </c>
      <c r="KS3" s="309">
        <f t="shared" si="3"/>
        <v>45819</v>
      </c>
      <c r="KT3" s="309">
        <f t="shared" si="3"/>
        <v>45820</v>
      </c>
      <c r="KU3" s="309">
        <f t="shared" si="3"/>
        <v>45821</v>
      </c>
      <c r="KV3" s="309">
        <f t="shared" si="3"/>
        <v>45822</v>
      </c>
      <c r="KW3" s="309">
        <f t="shared" si="3"/>
        <v>45823</v>
      </c>
      <c r="KX3" s="309">
        <f t="shared" si="3"/>
        <v>45824</v>
      </c>
      <c r="KY3" s="309">
        <f t="shared" si="3"/>
        <v>45825</v>
      </c>
      <c r="KZ3" s="309">
        <f t="shared" si="3"/>
        <v>45826</v>
      </c>
      <c r="LA3" s="309">
        <f t="shared" si="3"/>
        <v>45827</v>
      </c>
      <c r="LB3" s="309">
        <f t="shared" si="3"/>
        <v>45828</v>
      </c>
      <c r="LC3" s="309">
        <f t="shared" si="3"/>
        <v>45829</v>
      </c>
      <c r="LD3" s="309">
        <f t="shared" si="3"/>
        <v>45830</v>
      </c>
      <c r="LE3" s="309">
        <f t="shared" si="3"/>
        <v>45831</v>
      </c>
      <c r="LF3" s="309">
        <f t="shared" si="3"/>
        <v>45832</v>
      </c>
      <c r="LG3" s="309">
        <f t="shared" si="3"/>
        <v>45833</v>
      </c>
      <c r="LH3" s="309">
        <f t="shared" si="3"/>
        <v>45834</v>
      </c>
      <c r="LI3" s="309">
        <f t="shared" si="3"/>
        <v>45835</v>
      </c>
      <c r="LJ3" s="309">
        <f t="shared" si="3"/>
        <v>45836</v>
      </c>
      <c r="LK3" s="309">
        <f t="shared" si="3"/>
        <v>45837</v>
      </c>
      <c r="LL3" s="309">
        <f t="shared" si="3"/>
        <v>45838</v>
      </c>
      <c r="LM3" s="312" t="s">
        <v>57</v>
      </c>
      <c r="LN3" s="313"/>
      <c r="LO3" s="314">
        <f t="shared" ref="LO3:MS3" si="4">LO2</f>
        <v>45839</v>
      </c>
      <c r="LP3" s="309">
        <f t="shared" si="4"/>
        <v>45840</v>
      </c>
      <c r="LQ3" s="309">
        <f t="shared" si="4"/>
        <v>45841</v>
      </c>
      <c r="LR3" s="309">
        <f t="shared" si="4"/>
        <v>45842</v>
      </c>
      <c r="LS3" s="309">
        <f t="shared" si="4"/>
        <v>45843</v>
      </c>
      <c r="LT3" s="309">
        <f t="shared" si="4"/>
        <v>45844</v>
      </c>
      <c r="LU3" s="309">
        <f t="shared" si="4"/>
        <v>45845</v>
      </c>
      <c r="LV3" s="309">
        <f t="shared" si="4"/>
        <v>45846</v>
      </c>
      <c r="LW3" s="309">
        <f t="shared" si="4"/>
        <v>45847</v>
      </c>
      <c r="LX3" s="309">
        <f t="shared" si="4"/>
        <v>45848</v>
      </c>
      <c r="LY3" s="309">
        <f t="shared" si="4"/>
        <v>45849</v>
      </c>
      <c r="LZ3" s="309">
        <f t="shared" si="4"/>
        <v>45850</v>
      </c>
      <c r="MA3" s="309">
        <f t="shared" si="4"/>
        <v>45851</v>
      </c>
      <c r="MB3" s="309">
        <f t="shared" si="4"/>
        <v>45852</v>
      </c>
      <c r="MC3" s="309">
        <f t="shared" si="4"/>
        <v>45853</v>
      </c>
      <c r="MD3" s="309">
        <f t="shared" si="4"/>
        <v>45854</v>
      </c>
      <c r="ME3" s="309">
        <f t="shared" si="4"/>
        <v>45855</v>
      </c>
      <c r="MF3" s="309">
        <f t="shared" si="4"/>
        <v>45856</v>
      </c>
      <c r="MG3" s="309">
        <f t="shared" si="4"/>
        <v>45857</v>
      </c>
      <c r="MH3" s="309">
        <f t="shared" si="4"/>
        <v>45858</v>
      </c>
      <c r="MI3" s="309">
        <f t="shared" si="4"/>
        <v>45859</v>
      </c>
      <c r="MJ3" s="309">
        <f t="shared" si="4"/>
        <v>45860</v>
      </c>
      <c r="MK3" s="309">
        <f t="shared" si="4"/>
        <v>45861</v>
      </c>
      <c r="ML3" s="309">
        <f t="shared" si="4"/>
        <v>45862</v>
      </c>
      <c r="MM3" s="309">
        <f t="shared" si="4"/>
        <v>45863</v>
      </c>
      <c r="MN3" s="309">
        <f t="shared" si="4"/>
        <v>45864</v>
      </c>
      <c r="MO3" s="309">
        <f t="shared" si="4"/>
        <v>45865</v>
      </c>
      <c r="MP3" s="309">
        <f t="shared" si="4"/>
        <v>45866</v>
      </c>
      <c r="MQ3" s="309">
        <f t="shared" si="4"/>
        <v>45867</v>
      </c>
      <c r="MR3" s="309">
        <f t="shared" si="4"/>
        <v>45868</v>
      </c>
      <c r="MS3" s="309">
        <f t="shared" si="4"/>
        <v>45869</v>
      </c>
      <c r="MT3" s="311"/>
      <c r="MU3" s="315">
        <f t="shared" ref="MU3:NY3" si="5">MU2</f>
        <v>45839</v>
      </c>
      <c r="MV3" s="316">
        <f t="shared" si="5"/>
        <v>45840</v>
      </c>
      <c r="MW3" s="316">
        <f t="shared" si="5"/>
        <v>45841</v>
      </c>
      <c r="MX3" s="316">
        <f t="shared" si="5"/>
        <v>45842</v>
      </c>
      <c r="MY3" s="316">
        <f t="shared" si="5"/>
        <v>45843</v>
      </c>
      <c r="MZ3" s="316">
        <f t="shared" si="5"/>
        <v>45844</v>
      </c>
      <c r="NA3" s="316">
        <f t="shared" si="5"/>
        <v>45845</v>
      </c>
      <c r="NB3" s="316">
        <f t="shared" si="5"/>
        <v>45846</v>
      </c>
      <c r="NC3" s="316">
        <f t="shared" si="5"/>
        <v>45847</v>
      </c>
      <c r="ND3" s="316">
        <f t="shared" si="5"/>
        <v>45848</v>
      </c>
      <c r="NE3" s="316">
        <f t="shared" si="5"/>
        <v>45849</v>
      </c>
      <c r="NF3" s="316">
        <f t="shared" si="5"/>
        <v>45850</v>
      </c>
      <c r="NG3" s="316">
        <f t="shared" si="5"/>
        <v>45851</v>
      </c>
      <c r="NH3" s="316">
        <f t="shared" si="5"/>
        <v>45852</v>
      </c>
      <c r="NI3" s="316">
        <f t="shared" si="5"/>
        <v>45853</v>
      </c>
      <c r="NJ3" s="316">
        <f t="shared" si="5"/>
        <v>45854</v>
      </c>
      <c r="NK3" s="316">
        <f t="shared" si="5"/>
        <v>45855</v>
      </c>
      <c r="NL3" s="316">
        <f t="shared" si="5"/>
        <v>45856</v>
      </c>
      <c r="NM3" s="316">
        <f t="shared" si="5"/>
        <v>45857</v>
      </c>
      <c r="NN3" s="316">
        <f t="shared" si="5"/>
        <v>45858</v>
      </c>
      <c r="NO3" s="316">
        <f t="shared" si="5"/>
        <v>45859</v>
      </c>
      <c r="NP3" s="316">
        <f t="shared" si="5"/>
        <v>45860</v>
      </c>
      <c r="NQ3" s="316">
        <f t="shared" si="5"/>
        <v>45861</v>
      </c>
      <c r="NR3" s="316">
        <f t="shared" si="5"/>
        <v>45862</v>
      </c>
      <c r="NS3" s="316">
        <f t="shared" si="5"/>
        <v>45863</v>
      </c>
      <c r="NT3" s="316">
        <f t="shared" si="5"/>
        <v>45864</v>
      </c>
      <c r="NU3" s="316">
        <f t="shared" si="5"/>
        <v>45865</v>
      </c>
      <c r="NV3" s="316">
        <f t="shared" si="5"/>
        <v>45866</v>
      </c>
      <c r="NW3" s="316">
        <f t="shared" si="5"/>
        <v>45867</v>
      </c>
      <c r="NX3" s="316">
        <f t="shared" si="5"/>
        <v>45868</v>
      </c>
      <c r="NY3" s="316">
        <f t="shared" si="5"/>
        <v>45869</v>
      </c>
      <c r="NZ3" s="34"/>
      <c r="OA3" s="309">
        <f t="shared" ref="OA3:OL3" si="6">OA2</f>
        <v>45901</v>
      </c>
      <c r="OB3" s="309">
        <f t="shared" si="6"/>
        <v>45902</v>
      </c>
      <c r="OC3" s="309">
        <f t="shared" si="6"/>
        <v>45903</v>
      </c>
      <c r="OD3" s="309">
        <f t="shared" si="6"/>
        <v>45904</v>
      </c>
      <c r="OE3" s="309">
        <f t="shared" si="6"/>
        <v>45905</v>
      </c>
      <c r="OF3" s="309">
        <f t="shared" si="6"/>
        <v>45906</v>
      </c>
      <c r="OG3" s="309">
        <f t="shared" si="6"/>
        <v>45907</v>
      </c>
      <c r="OH3" s="309">
        <f t="shared" si="6"/>
        <v>45908</v>
      </c>
      <c r="OI3" s="309">
        <f t="shared" si="6"/>
        <v>45909</v>
      </c>
      <c r="OJ3" s="309">
        <f t="shared" si="6"/>
        <v>45910</v>
      </c>
      <c r="OK3" s="309">
        <f t="shared" si="6"/>
        <v>45911</v>
      </c>
      <c r="OL3" s="309">
        <f t="shared" si="6"/>
        <v>45912</v>
      </c>
    </row>
    <row r="4" ht="1.5" customHeight="1">
      <c r="A4" s="306"/>
      <c r="B4" s="306" t="s">
        <v>58</v>
      </c>
      <c r="C4" s="308" t="s">
        <v>55</v>
      </c>
      <c r="D4" s="308" t="s">
        <v>56</v>
      </c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309"/>
      <c r="AR4" s="309"/>
      <c r="AS4" s="309"/>
      <c r="AT4" s="309"/>
      <c r="AU4" s="309"/>
      <c r="AV4" s="309"/>
      <c r="AW4" s="309"/>
      <c r="AX4" s="309"/>
      <c r="AY4" s="309"/>
      <c r="AZ4" s="309"/>
      <c r="BA4" s="309"/>
      <c r="BB4" s="309"/>
      <c r="BC4" s="309"/>
      <c r="BD4" s="309"/>
      <c r="BE4" s="309"/>
      <c r="BF4" s="309"/>
      <c r="BG4" s="309"/>
      <c r="BH4" s="309"/>
      <c r="BI4" s="309"/>
      <c r="BJ4" s="309"/>
      <c r="BK4" s="309"/>
      <c r="BL4" s="309"/>
      <c r="BM4" s="309"/>
      <c r="BN4" s="309"/>
      <c r="BO4" s="309"/>
      <c r="BP4" s="309"/>
      <c r="BQ4" s="309"/>
      <c r="BR4" s="309"/>
      <c r="BS4" s="309"/>
      <c r="BT4" s="309"/>
      <c r="BU4" s="310"/>
      <c r="BV4" s="309"/>
      <c r="BW4" s="309"/>
      <c r="BX4" s="309"/>
      <c r="BY4" s="309"/>
      <c r="BZ4" s="309"/>
      <c r="CA4" s="309"/>
      <c r="CB4" s="309"/>
      <c r="CC4" s="309"/>
      <c r="CD4" s="309"/>
      <c r="CE4" s="309"/>
      <c r="CF4" s="309"/>
      <c r="CG4" s="309"/>
      <c r="CH4" s="309"/>
      <c r="CI4" s="309"/>
      <c r="CJ4" s="309"/>
      <c r="CK4" s="309"/>
      <c r="CL4" s="309"/>
      <c r="CM4" s="309"/>
      <c r="CN4" s="309"/>
      <c r="CO4" s="309"/>
      <c r="CP4" s="309"/>
      <c r="CQ4" s="309"/>
      <c r="CR4" s="309"/>
      <c r="CS4" s="309"/>
      <c r="CT4" s="309"/>
      <c r="CU4" s="309"/>
      <c r="CV4" s="309"/>
      <c r="CW4" s="309"/>
      <c r="CX4" s="309"/>
      <c r="CY4" s="309"/>
      <c r="CZ4" s="310"/>
      <c r="DA4" s="309"/>
      <c r="DB4" s="309"/>
      <c r="DC4" s="309"/>
      <c r="DD4" s="309"/>
      <c r="DE4" s="309"/>
      <c r="DF4" s="309"/>
      <c r="DG4" s="309"/>
      <c r="DH4" s="309"/>
      <c r="DI4" s="309"/>
      <c r="DJ4" s="309"/>
      <c r="DK4" s="309"/>
      <c r="DL4" s="309"/>
      <c r="DM4" s="309"/>
      <c r="DN4" s="309"/>
      <c r="DO4" s="309"/>
      <c r="DP4" s="309"/>
      <c r="DQ4" s="309"/>
      <c r="DR4" s="309"/>
      <c r="DS4" s="309"/>
      <c r="DT4" s="309"/>
      <c r="DU4" s="309"/>
      <c r="DV4" s="309"/>
      <c r="DW4" s="309"/>
      <c r="DX4" s="309"/>
      <c r="DY4" s="309"/>
      <c r="DZ4" s="309"/>
      <c r="EA4" s="309"/>
      <c r="EB4" s="309"/>
      <c r="EC4" s="309"/>
      <c r="ED4" s="310"/>
      <c r="EE4" s="309"/>
      <c r="EF4" s="309"/>
      <c r="EG4" s="309"/>
      <c r="EH4" s="309"/>
      <c r="EI4" s="309"/>
      <c r="EJ4" s="309"/>
      <c r="EK4" s="309"/>
      <c r="EL4" s="309"/>
      <c r="EM4" s="309"/>
      <c r="EN4" s="309"/>
      <c r="EO4" s="309"/>
      <c r="EP4" s="309"/>
      <c r="EQ4" s="309"/>
      <c r="ER4" s="309"/>
      <c r="ES4" s="309"/>
      <c r="ET4" s="309"/>
      <c r="EU4" s="309"/>
      <c r="EV4" s="309"/>
      <c r="EW4" s="309"/>
      <c r="EX4" s="309"/>
      <c r="EY4" s="309"/>
      <c r="EZ4" s="309"/>
      <c r="FA4" s="309"/>
      <c r="FB4" s="309"/>
      <c r="FC4" s="309"/>
      <c r="FD4" s="309"/>
      <c r="FE4" s="309"/>
      <c r="FF4" s="309"/>
      <c r="FG4" s="309"/>
      <c r="FH4" s="309"/>
      <c r="FI4" s="309"/>
      <c r="FJ4" s="309"/>
      <c r="FK4" s="309"/>
      <c r="FL4" s="309"/>
      <c r="FM4" s="309"/>
      <c r="FN4" s="309"/>
      <c r="FO4" s="309"/>
      <c r="FP4" s="309"/>
      <c r="FQ4" s="309"/>
      <c r="FR4" s="309"/>
      <c r="FS4" s="309"/>
      <c r="FT4" s="309"/>
      <c r="FU4" s="309"/>
      <c r="FV4" s="309"/>
      <c r="FW4" s="309"/>
      <c r="FX4" s="309"/>
      <c r="FY4" s="309"/>
      <c r="FZ4" s="309"/>
      <c r="GA4" s="309"/>
      <c r="GB4" s="309"/>
      <c r="GC4" s="309"/>
      <c r="GD4" s="309"/>
      <c r="GE4" s="309"/>
      <c r="GF4" s="309"/>
      <c r="GG4" s="309"/>
      <c r="GH4" s="309"/>
      <c r="GI4" s="309"/>
      <c r="GJ4" s="309"/>
      <c r="GK4" s="309"/>
      <c r="GL4" s="309"/>
      <c r="GM4" s="309"/>
      <c r="GN4" s="309"/>
      <c r="GO4" s="309"/>
      <c r="GP4" s="309"/>
      <c r="GQ4" s="309"/>
      <c r="GR4" s="309"/>
      <c r="GS4" s="309"/>
      <c r="GT4" s="309"/>
      <c r="GU4" s="309"/>
      <c r="GV4" s="309"/>
      <c r="GW4" s="309"/>
      <c r="GX4" s="309"/>
      <c r="GY4" s="309"/>
      <c r="GZ4" s="309"/>
      <c r="HA4" s="309"/>
      <c r="HB4" s="309"/>
      <c r="HC4" s="309"/>
      <c r="HD4" s="309"/>
      <c r="HE4" s="309"/>
      <c r="HF4" s="309"/>
      <c r="HG4" s="309"/>
      <c r="HH4" s="309"/>
      <c r="HI4" s="309"/>
      <c r="HJ4" s="309"/>
      <c r="HK4" s="309"/>
      <c r="HL4" s="309"/>
      <c r="HM4" s="309"/>
      <c r="HN4" s="309"/>
      <c r="HO4" s="309"/>
      <c r="HP4" s="309"/>
      <c r="HQ4" s="309"/>
      <c r="HR4" s="309"/>
      <c r="HS4" s="309"/>
      <c r="HT4" s="309"/>
      <c r="HU4" s="309"/>
      <c r="HV4" s="309"/>
      <c r="HW4" s="309"/>
      <c r="HX4" s="309"/>
      <c r="HY4" s="309"/>
      <c r="HZ4" s="309"/>
      <c r="IA4" s="309"/>
      <c r="IB4" s="309"/>
      <c r="IC4" s="309"/>
      <c r="ID4" s="309"/>
      <c r="IE4" s="309"/>
      <c r="IF4" s="309"/>
      <c r="IG4" s="309"/>
      <c r="IH4" s="317"/>
      <c r="II4" s="317"/>
      <c r="IJ4" s="317"/>
      <c r="IK4" s="317"/>
      <c r="IL4" s="317"/>
      <c r="IM4" s="317"/>
      <c r="IN4" s="317"/>
      <c r="IO4" s="317"/>
      <c r="IP4" s="317"/>
      <c r="IQ4" s="317"/>
      <c r="IR4" s="317"/>
      <c r="IS4" s="317"/>
      <c r="IT4" s="317"/>
      <c r="IU4" s="317"/>
      <c r="IV4" s="317"/>
      <c r="IW4" s="317"/>
      <c r="IX4" s="317"/>
      <c r="IY4" s="317"/>
      <c r="IZ4" s="317"/>
      <c r="JA4" s="317"/>
      <c r="JB4" s="318"/>
      <c r="JC4" s="317"/>
      <c r="JD4" s="317"/>
      <c r="JE4" s="317"/>
      <c r="JF4" s="317"/>
      <c r="JG4" s="317"/>
      <c r="JH4" s="317"/>
      <c r="JI4" s="317"/>
      <c r="JJ4" s="317"/>
      <c r="JK4" s="317"/>
      <c r="JL4" s="317"/>
      <c r="JM4" s="317"/>
      <c r="JN4" s="317"/>
      <c r="JO4" s="317"/>
      <c r="JP4" s="317"/>
      <c r="JQ4" s="317"/>
      <c r="JR4" s="317"/>
      <c r="JS4" s="317"/>
      <c r="JT4" s="317"/>
      <c r="JU4" s="317"/>
      <c r="JV4" s="317"/>
      <c r="JW4" s="317"/>
      <c r="JX4" s="317"/>
      <c r="JY4" s="317"/>
      <c r="JZ4" s="317"/>
      <c r="KA4" s="317"/>
      <c r="KB4" s="317"/>
      <c r="KC4" s="317"/>
      <c r="KD4" s="317"/>
      <c r="KE4" s="317"/>
      <c r="KF4" s="317"/>
      <c r="KG4" s="317"/>
      <c r="KH4" s="319"/>
      <c r="KI4" s="320"/>
      <c r="KJ4" s="320"/>
      <c r="KK4" s="320"/>
      <c r="KL4" s="320"/>
      <c r="KM4" s="320"/>
      <c r="KN4" s="320"/>
      <c r="KO4" s="320"/>
      <c r="KP4" s="320"/>
      <c r="KQ4" s="320"/>
      <c r="KR4" s="320"/>
      <c r="KS4" s="320"/>
      <c r="KT4" s="320"/>
      <c r="KU4" s="320"/>
      <c r="KV4" s="320"/>
      <c r="KW4" s="320"/>
      <c r="KX4" s="320"/>
      <c r="KY4" s="320"/>
      <c r="KZ4" s="320"/>
      <c r="LA4" s="320"/>
      <c r="LB4" s="320"/>
      <c r="LC4" s="320"/>
      <c r="LD4" s="320"/>
      <c r="LE4" s="320"/>
      <c r="LF4" s="320"/>
      <c r="LG4" s="320"/>
      <c r="LH4" s="320"/>
      <c r="LI4" s="320"/>
      <c r="LJ4" s="320"/>
      <c r="LK4" s="320"/>
      <c r="LL4" s="320"/>
      <c r="LM4" s="320"/>
      <c r="LN4" s="321"/>
      <c r="LO4" s="322"/>
      <c r="LP4" s="320"/>
      <c r="LQ4" s="320"/>
      <c r="LR4" s="320"/>
      <c r="LS4" s="320"/>
      <c r="LT4" s="320"/>
      <c r="LU4" s="320"/>
      <c r="LV4" s="320"/>
      <c r="LW4" s="320"/>
      <c r="LX4" s="320"/>
      <c r="LY4" s="320"/>
      <c r="LZ4" s="320"/>
      <c r="MA4" s="320"/>
      <c r="MB4" s="320"/>
      <c r="MC4" s="320"/>
      <c r="MD4" s="320"/>
      <c r="ME4" s="320"/>
      <c r="MF4" s="320"/>
      <c r="MG4" s="320"/>
      <c r="MH4" s="320"/>
      <c r="MI4" s="320"/>
      <c r="MJ4" s="320"/>
      <c r="MK4" s="320"/>
      <c r="ML4" s="320"/>
      <c r="MM4" s="320"/>
      <c r="MN4" s="320"/>
      <c r="MO4" s="320"/>
      <c r="MP4" s="320"/>
      <c r="MQ4" s="320"/>
      <c r="MR4" s="320"/>
      <c r="MS4" s="320"/>
      <c r="MT4" s="319"/>
      <c r="MU4" s="323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4"/>
      <c r="OA4" s="317"/>
      <c r="OB4" s="317"/>
      <c r="OC4" s="317"/>
      <c r="OD4" s="317"/>
      <c r="OE4" s="317"/>
      <c r="OF4" s="317"/>
      <c r="OG4" s="317"/>
      <c r="OH4" s="317"/>
      <c r="OI4" s="317"/>
      <c r="OJ4" s="317"/>
      <c r="OK4" s="317"/>
      <c r="OL4" s="317"/>
    </row>
    <row r="5" ht="1.5" customHeight="1">
      <c r="A5" s="325"/>
      <c r="B5" s="325"/>
      <c r="C5" s="308" t="s">
        <v>55</v>
      </c>
      <c r="D5" s="308" t="s">
        <v>56</v>
      </c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09"/>
      <c r="BJ5" s="309"/>
      <c r="BK5" s="309"/>
      <c r="BL5" s="309"/>
      <c r="BM5" s="309"/>
      <c r="BN5" s="309"/>
      <c r="BO5" s="309"/>
      <c r="BP5" s="309"/>
      <c r="BQ5" s="309"/>
      <c r="BR5" s="309"/>
      <c r="BS5" s="309"/>
      <c r="BT5" s="309"/>
      <c r="BU5" s="310"/>
      <c r="BV5" s="309"/>
      <c r="BW5" s="309"/>
      <c r="BX5" s="309"/>
      <c r="BY5" s="309"/>
      <c r="BZ5" s="309"/>
      <c r="CA5" s="309"/>
      <c r="CB5" s="309"/>
      <c r="CC5" s="309"/>
      <c r="CD5" s="309"/>
      <c r="CE5" s="309"/>
      <c r="CF5" s="309"/>
      <c r="CG5" s="309"/>
      <c r="CH5" s="309"/>
      <c r="CI5" s="309"/>
      <c r="CJ5" s="309"/>
      <c r="CK5" s="309"/>
      <c r="CL5" s="309"/>
      <c r="CM5" s="309"/>
      <c r="CN5" s="309"/>
      <c r="CO5" s="309"/>
      <c r="CP5" s="309"/>
      <c r="CQ5" s="309"/>
      <c r="CR5" s="309"/>
      <c r="CS5" s="309"/>
      <c r="CT5" s="309"/>
      <c r="CU5" s="309"/>
      <c r="CV5" s="309"/>
      <c r="CW5" s="309"/>
      <c r="CX5" s="309"/>
      <c r="CY5" s="309"/>
      <c r="CZ5" s="310"/>
      <c r="DA5" s="309"/>
      <c r="DB5" s="309"/>
      <c r="DC5" s="309"/>
      <c r="DD5" s="309"/>
      <c r="DE5" s="309"/>
      <c r="DF5" s="309"/>
      <c r="DG5" s="309"/>
      <c r="DH5" s="309"/>
      <c r="DI5" s="309"/>
      <c r="DJ5" s="309"/>
      <c r="DK5" s="309"/>
      <c r="DL5" s="309"/>
      <c r="DM5" s="309"/>
      <c r="DN5" s="309"/>
      <c r="DO5" s="309"/>
      <c r="DP5" s="309"/>
      <c r="DQ5" s="309"/>
      <c r="DR5" s="309"/>
      <c r="DS5" s="309"/>
      <c r="DT5" s="309"/>
      <c r="DU5" s="309"/>
      <c r="DV5" s="309"/>
      <c r="DW5" s="309"/>
      <c r="DX5" s="309"/>
      <c r="DY5" s="309"/>
      <c r="DZ5" s="309"/>
      <c r="EA5" s="309"/>
      <c r="EB5" s="309"/>
      <c r="EC5" s="309"/>
      <c r="ED5" s="310"/>
      <c r="EE5" s="309"/>
      <c r="EF5" s="309"/>
      <c r="EG5" s="309"/>
      <c r="EH5" s="309"/>
      <c r="EI5" s="309"/>
      <c r="EJ5" s="309"/>
      <c r="EK5" s="309"/>
      <c r="EL5" s="309"/>
      <c r="EM5" s="309"/>
      <c r="EN5" s="309"/>
      <c r="EO5" s="309"/>
      <c r="EP5" s="309"/>
      <c r="EQ5" s="309"/>
      <c r="ER5" s="309"/>
      <c r="ES5" s="309"/>
      <c r="ET5" s="309"/>
      <c r="EU5" s="309"/>
      <c r="EV5" s="309"/>
      <c r="EW5" s="309"/>
      <c r="EX5" s="309"/>
      <c r="EY5" s="309"/>
      <c r="EZ5" s="309"/>
      <c r="FA5" s="309"/>
      <c r="FB5" s="309"/>
      <c r="FC5" s="309"/>
      <c r="FD5" s="309"/>
      <c r="FE5" s="309"/>
      <c r="FF5" s="309"/>
      <c r="FG5" s="309"/>
      <c r="FH5" s="309"/>
      <c r="FI5" s="309"/>
      <c r="FJ5" s="309"/>
      <c r="FK5" s="309"/>
      <c r="FL5" s="309"/>
      <c r="FM5" s="309"/>
      <c r="FN5" s="309"/>
      <c r="FO5" s="309"/>
      <c r="FP5" s="309"/>
      <c r="FQ5" s="309"/>
      <c r="FR5" s="309"/>
      <c r="FS5" s="309"/>
      <c r="FT5" s="309"/>
      <c r="FU5" s="309"/>
      <c r="FV5" s="309"/>
      <c r="FW5" s="309"/>
      <c r="FX5" s="309"/>
      <c r="FY5" s="309"/>
      <c r="FZ5" s="309"/>
      <c r="GA5" s="309"/>
      <c r="GB5" s="309"/>
      <c r="GC5" s="309"/>
      <c r="GD5" s="309"/>
      <c r="GE5" s="309"/>
      <c r="GF5" s="309"/>
      <c r="GG5" s="309"/>
      <c r="GH5" s="309"/>
      <c r="GI5" s="309"/>
      <c r="GJ5" s="309"/>
      <c r="GK5" s="309"/>
      <c r="GL5" s="309"/>
      <c r="GM5" s="309"/>
      <c r="GN5" s="309"/>
      <c r="GO5" s="309"/>
      <c r="GP5" s="309"/>
      <c r="GQ5" s="309"/>
      <c r="GR5" s="309"/>
      <c r="GS5" s="309"/>
      <c r="GT5" s="309"/>
      <c r="GU5" s="309"/>
      <c r="GV5" s="309"/>
      <c r="GW5" s="309"/>
      <c r="GX5" s="309"/>
      <c r="GY5" s="309"/>
      <c r="GZ5" s="309"/>
      <c r="HA5" s="309"/>
      <c r="HB5" s="309"/>
      <c r="HC5" s="309"/>
      <c r="HD5" s="309"/>
      <c r="HE5" s="309"/>
      <c r="HF5" s="309"/>
      <c r="HG5" s="309"/>
      <c r="HH5" s="309"/>
      <c r="HI5" s="309"/>
      <c r="HJ5" s="309"/>
      <c r="HK5" s="309"/>
      <c r="HL5" s="309"/>
      <c r="HM5" s="309"/>
      <c r="HN5" s="309"/>
      <c r="HO5" s="309"/>
      <c r="HP5" s="309"/>
      <c r="HQ5" s="309"/>
      <c r="HR5" s="309"/>
      <c r="HS5" s="309"/>
      <c r="HT5" s="309"/>
      <c r="HU5" s="309"/>
      <c r="HV5" s="309"/>
      <c r="HW5" s="309"/>
      <c r="HX5" s="309"/>
      <c r="HY5" s="309"/>
      <c r="HZ5" s="309"/>
      <c r="IA5" s="309"/>
      <c r="IB5" s="309"/>
      <c r="IC5" s="309"/>
      <c r="ID5" s="309"/>
      <c r="IE5" s="309"/>
      <c r="IF5" s="309"/>
      <c r="IG5" s="309"/>
      <c r="IH5" s="317"/>
      <c r="II5" s="317"/>
      <c r="IJ5" s="317"/>
      <c r="IK5" s="317"/>
      <c r="IL5" s="317"/>
      <c r="IM5" s="317"/>
      <c r="IN5" s="317"/>
      <c r="IO5" s="317"/>
      <c r="IP5" s="317"/>
      <c r="IQ5" s="317"/>
      <c r="IR5" s="317"/>
      <c r="IS5" s="317"/>
      <c r="IT5" s="317"/>
      <c r="IU5" s="317"/>
      <c r="IV5" s="317"/>
      <c r="IW5" s="317"/>
      <c r="IX5" s="317"/>
      <c r="IY5" s="317"/>
      <c r="IZ5" s="317"/>
      <c r="JA5" s="317"/>
      <c r="JB5" s="318"/>
      <c r="JC5" s="317"/>
      <c r="JD5" s="317"/>
      <c r="JE5" s="317"/>
      <c r="JF5" s="317"/>
      <c r="JG5" s="317"/>
      <c r="JH5" s="317"/>
      <c r="JI5" s="317"/>
      <c r="JJ5" s="317"/>
      <c r="JK5" s="317"/>
      <c r="JL5" s="317"/>
      <c r="JM5" s="317"/>
      <c r="JN5" s="317"/>
      <c r="JO5" s="317"/>
      <c r="JP5" s="317"/>
      <c r="JQ5" s="317"/>
      <c r="JR5" s="317"/>
      <c r="JS5" s="317"/>
      <c r="JT5" s="317"/>
      <c r="JU5" s="317"/>
      <c r="JV5" s="317"/>
      <c r="JW5" s="317"/>
      <c r="JX5" s="317"/>
      <c r="JY5" s="317"/>
      <c r="JZ5" s="317"/>
      <c r="KA5" s="317"/>
      <c r="KB5" s="317"/>
      <c r="KC5" s="317"/>
      <c r="KD5" s="317"/>
      <c r="KE5" s="317"/>
      <c r="KF5" s="317"/>
      <c r="KG5" s="326"/>
      <c r="KH5" s="327"/>
      <c r="KI5" s="328"/>
      <c r="KJ5" s="328"/>
      <c r="KK5" s="328"/>
      <c r="KL5" s="328"/>
      <c r="KM5" s="328"/>
      <c r="KN5" s="328"/>
      <c r="KO5" s="328"/>
      <c r="KP5" s="328"/>
      <c r="KQ5" s="328"/>
      <c r="KR5" s="328"/>
      <c r="KS5" s="328"/>
      <c r="KT5" s="328"/>
      <c r="KU5" s="328"/>
      <c r="KV5" s="328"/>
      <c r="KW5" s="328"/>
      <c r="KX5" s="328"/>
      <c r="KY5" s="328"/>
      <c r="KZ5" s="328"/>
      <c r="LA5" s="328"/>
      <c r="LB5" s="328"/>
      <c r="LC5" s="328"/>
      <c r="LD5" s="328"/>
      <c r="LE5" s="328"/>
      <c r="LF5" s="328"/>
      <c r="LG5" s="328"/>
      <c r="LH5" s="328"/>
      <c r="LI5" s="328"/>
      <c r="LJ5" s="328"/>
      <c r="LK5" s="328"/>
      <c r="LL5" s="328"/>
      <c r="LM5" s="328"/>
      <c r="LN5" s="327"/>
      <c r="LO5" s="328"/>
      <c r="LP5" s="328"/>
      <c r="LQ5" s="328"/>
      <c r="LR5" s="328"/>
      <c r="LS5" s="328"/>
      <c r="LT5" s="328"/>
      <c r="LU5" s="328"/>
      <c r="LV5" s="328"/>
      <c r="LW5" s="328"/>
      <c r="LX5" s="328"/>
      <c r="LY5" s="328"/>
      <c r="LZ5" s="328"/>
      <c r="MA5" s="328"/>
      <c r="MB5" s="328"/>
      <c r="MC5" s="328"/>
      <c r="MD5" s="328"/>
      <c r="ME5" s="328"/>
      <c r="MF5" s="328"/>
      <c r="MG5" s="328"/>
      <c r="MH5" s="328"/>
      <c r="MI5" s="328"/>
      <c r="MJ5" s="328"/>
      <c r="MK5" s="328"/>
      <c r="ML5" s="328"/>
      <c r="MM5" s="328"/>
      <c r="MN5" s="328"/>
      <c r="MO5" s="328"/>
      <c r="MP5" s="328"/>
      <c r="MQ5" s="328"/>
      <c r="MR5" s="328"/>
      <c r="MS5" s="328"/>
      <c r="MT5" s="327"/>
      <c r="MU5" s="322"/>
      <c r="MV5" s="320"/>
      <c r="MW5" s="320"/>
      <c r="MX5" s="320"/>
      <c r="MY5" s="320"/>
      <c r="MZ5" s="320"/>
      <c r="NA5" s="320"/>
      <c r="NB5" s="320"/>
      <c r="NC5" s="320"/>
      <c r="ND5" s="320"/>
      <c r="NE5" s="320"/>
      <c r="NF5" s="320"/>
      <c r="NG5" s="320"/>
      <c r="NH5" s="320"/>
      <c r="NI5" s="320"/>
      <c r="NJ5" s="320"/>
      <c r="NK5" s="320"/>
      <c r="NL5" s="320"/>
      <c r="NM5" s="320"/>
      <c r="NN5" s="320"/>
      <c r="NO5" s="320"/>
      <c r="NP5" s="320"/>
      <c r="NQ5" s="320"/>
      <c r="NR5" s="320"/>
      <c r="NS5" s="320"/>
      <c r="NT5" s="320"/>
      <c r="NU5" s="320"/>
      <c r="NV5" s="320"/>
      <c r="NW5" s="320"/>
      <c r="NX5" s="320"/>
      <c r="NY5" s="320"/>
      <c r="NZ5" s="319"/>
      <c r="OA5" s="320"/>
      <c r="OB5" s="320"/>
      <c r="OC5" s="317"/>
      <c r="OD5" s="317"/>
      <c r="OE5" s="317"/>
      <c r="OF5" s="317"/>
      <c r="OG5" s="317"/>
      <c r="OH5" s="317"/>
      <c r="OI5" s="317"/>
      <c r="OJ5" s="317"/>
      <c r="OK5" s="317"/>
      <c r="OL5" s="317"/>
    </row>
    <row r="6" ht="30.0" customHeight="1">
      <c r="A6" s="47">
        <f>sum(GW6:MR6)*3000</f>
        <v>3508350</v>
      </c>
      <c r="B6" s="48" t="s">
        <v>31</v>
      </c>
      <c r="C6" s="49">
        <f t="shared" ref="C6:C16" si="7">SUM(LO6:MS6)</f>
        <v>80</v>
      </c>
      <c r="D6" s="48">
        <f t="shared" ref="D6:D16" si="8">SUM(MU6:NY6)</f>
        <v>33.25</v>
      </c>
      <c r="E6" s="50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2"/>
      <c r="BV6" s="51"/>
      <c r="BW6" s="51"/>
      <c r="BX6" s="51"/>
      <c r="BY6" s="51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4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4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84"/>
      <c r="GT6" s="84"/>
      <c r="GU6" s="84"/>
      <c r="GV6" s="84"/>
      <c r="GW6" s="84">
        <v>10.0</v>
      </c>
      <c r="GX6" s="84">
        <v>10.0</v>
      </c>
      <c r="GY6" s="84">
        <v>10.0</v>
      </c>
      <c r="GZ6" s="84">
        <v>10.0</v>
      </c>
      <c r="HA6" s="84">
        <v>6.0</v>
      </c>
      <c r="HB6" s="84">
        <v>6.0</v>
      </c>
      <c r="HC6" s="84">
        <v>8.5</v>
      </c>
      <c r="HD6" s="84">
        <v>11.0</v>
      </c>
      <c r="HE6" s="84">
        <v>7.0</v>
      </c>
      <c r="HF6" s="84">
        <v>10.0</v>
      </c>
      <c r="HG6" s="84">
        <v>8.0</v>
      </c>
      <c r="HH6" s="84">
        <v>7.5</v>
      </c>
      <c r="HI6" s="84">
        <v>11.0</v>
      </c>
      <c r="HJ6" s="84">
        <v>8.5</v>
      </c>
      <c r="HK6" s="84">
        <v>7.0</v>
      </c>
      <c r="HL6" s="84">
        <v>6.0</v>
      </c>
      <c r="HM6" s="84">
        <v>7.0</v>
      </c>
      <c r="HN6" s="84">
        <v>13.0</v>
      </c>
      <c r="HO6" s="84">
        <v>10.0</v>
      </c>
      <c r="HP6" s="84">
        <v>10.5</v>
      </c>
      <c r="HQ6" s="84">
        <v>8.5</v>
      </c>
      <c r="HR6" s="84">
        <v>8.5</v>
      </c>
      <c r="HS6" s="84">
        <v>12.0</v>
      </c>
      <c r="HT6" s="84">
        <v>0.0</v>
      </c>
      <c r="HU6" s="84">
        <v>3.0</v>
      </c>
      <c r="HV6" s="84">
        <v>7.0</v>
      </c>
      <c r="HW6" s="84">
        <v>0.0</v>
      </c>
      <c r="HX6" s="58">
        <v>11.0</v>
      </c>
      <c r="HY6" s="58">
        <v>7.0</v>
      </c>
      <c r="HZ6" s="59">
        <v>10.0</v>
      </c>
      <c r="IA6" s="58">
        <v>11.0</v>
      </c>
      <c r="IB6" s="58">
        <v>11.5</v>
      </c>
      <c r="IC6" s="58">
        <v>12.5</v>
      </c>
      <c r="ID6" s="60">
        <v>9.0</v>
      </c>
      <c r="IE6" s="58">
        <v>11.0</v>
      </c>
      <c r="IF6" s="58">
        <v>13.0</v>
      </c>
      <c r="IG6" s="58">
        <v>8.0</v>
      </c>
      <c r="IH6" s="58">
        <v>0.0</v>
      </c>
      <c r="II6" s="58">
        <v>10.0</v>
      </c>
      <c r="IJ6" s="58">
        <v>11.0</v>
      </c>
      <c r="IK6" s="58">
        <v>9.0</v>
      </c>
      <c r="IL6" s="58">
        <v>13.0</v>
      </c>
      <c r="IM6" s="58">
        <v>9.0</v>
      </c>
      <c r="IN6" s="58">
        <v>10.5</v>
      </c>
      <c r="IO6" s="58">
        <v>0.0</v>
      </c>
      <c r="IP6" s="58">
        <v>10.0</v>
      </c>
      <c r="IQ6" s="58">
        <v>9.0</v>
      </c>
      <c r="IR6" s="58">
        <v>9.0</v>
      </c>
      <c r="IS6" s="58">
        <v>10.0</v>
      </c>
      <c r="IT6" s="58">
        <v>9.0</v>
      </c>
      <c r="IU6" s="58">
        <v>9.0</v>
      </c>
      <c r="IV6" s="58">
        <v>9.5</v>
      </c>
      <c r="IW6" s="58">
        <v>9.0</v>
      </c>
      <c r="IX6" s="58">
        <v>8.0</v>
      </c>
      <c r="IY6" s="58">
        <v>10.0</v>
      </c>
      <c r="IZ6" s="58">
        <v>10.0</v>
      </c>
      <c r="JA6" s="58">
        <v>13.0</v>
      </c>
      <c r="JB6" s="61"/>
      <c r="JC6" s="62">
        <v>13.0</v>
      </c>
      <c r="JD6" s="62">
        <v>6.0</v>
      </c>
      <c r="JE6" s="62">
        <v>10.0</v>
      </c>
      <c r="JF6" s="62">
        <v>9.0</v>
      </c>
      <c r="JG6" s="62">
        <v>9.0</v>
      </c>
      <c r="JH6" s="62">
        <v>8.0</v>
      </c>
      <c r="JI6" s="63">
        <v>0.0</v>
      </c>
      <c r="JJ6" s="63">
        <v>0.0</v>
      </c>
      <c r="JK6" s="64">
        <v>9.0</v>
      </c>
      <c r="JL6" s="62">
        <v>12.0</v>
      </c>
      <c r="JM6" s="62">
        <v>9.0</v>
      </c>
      <c r="JN6" s="64">
        <v>17.0</v>
      </c>
      <c r="JO6" s="62">
        <v>10.0</v>
      </c>
      <c r="JP6" s="64">
        <v>13.0</v>
      </c>
      <c r="JQ6" s="64">
        <v>15.0</v>
      </c>
      <c r="JR6" s="62">
        <v>9.0</v>
      </c>
      <c r="JS6" s="64">
        <v>14.0</v>
      </c>
      <c r="JT6" s="62">
        <v>11.0</v>
      </c>
      <c r="JU6" s="62">
        <v>10.0</v>
      </c>
      <c r="JV6" s="62">
        <v>9.0</v>
      </c>
      <c r="JW6" s="62">
        <v>11.0</v>
      </c>
      <c r="JX6" s="62">
        <v>12.0</v>
      </c>
      <c r="JY6" s="62">
        <v>10.0</v>
      </c>
      <c r="JZ6" s="62">
        <v>11.0</v>
      </c>
      <c r="KA6" s="62">
        <v>13.0</v>
      </c>
      <c r="KB6" s="62">
        <v>11.0</v>
      </c>
      <c r="KC6" s="62">
        <v>6.7</v>
      </c>
      <c r="KD6" s="62">
        <v>10.0</v>
      </c>
      <c r="KE6" s="62">
        <v>11.0</v>
      </c>
      <c r="KF6" s="62">
        <v>10.0</v>
      </c>
      <c r="KG6" s="65">
        <v>10.0</v>
      </c>
      <c r="KH6" s="66"/>
      <c r="KI6" s="67">
        <v>10.0</v>
      </c>
      <c r="KJ6" s="68">
        <v>10.0</v>
      </c>
      <c r="KK6" s="67">
        <v>10.0</v>
      </c>
      <c r="KL6" s="67">
        <v>7.0</v>
      </c>
      <c r="KM6" s="67">
        <v>10.0</v>
      </c>
      <c r="KN6" s="67">
        <v>7.0</v>
      </c>
      <c r="KO6" s="67">
        <v>2.5</v>
      </c>
      <c r="KP6" s="67">
        <v>9.0</v>
      </c>
      <c r="KQ6" s="67">
        <v>9.25</v>
      </c>
      <c r="KR6" s="67">
        <v>5.0</v>
      </c>
      <c r="KS6" s="67">
        <v>10.0</v>
      </c>
      <c r="KT6" s="67">
        <v>8.0</v>
      </c>
      <c r="KU6" s="67">
        <v>8.0</v>
      </c>
      <c r="KV6" s="67">
        <v>17.0</v>
      </c>
      <c r="KW6" s="67">
        <v>6.0</v>
      </c>
      <c r="KX6" s="67">
        <v>7.0</v>
      </c>
      <c r="KY6" s="67">
        <v>7.5</v>
      </c>
      <c r="KZ6" s="67">
        <v>10.0</v>
      </c>
      <c r="LA6" s="67">
        <v>10.0</v>
      </c>
      <c r="LB6" s="67">
        <v>6.5</v>
      </c>
      <c r="LC6" s="67">
        <v>14.0</v>
      </c>
      <c r="LD6" s="67">
        <v>9.0</v>
      </c>
      <c r="LE6" s="67">
        <v>8.0</v>
      </c>
      <c r="LF6" s="67">
        <v>12.0</v>
      </c>
      <c r="LG6" s="67">
        <v>12.0</v>
      </c>
      <c r="LH6" s="67">
        <v>3.0</v>
      </c>
      <c r="LI6" s="67" t="s">
        <v>32</v>
      </c>
      <c r="LJ6" s="67">
        <v>10.0</v>
      </c>
      <c r="LK6" s="67">
        <v>10.0</v>
      </c>
      <c r="LL6" s="67">
        <v>5.0</v>
      </c>
      <c r="LM6" s="67">
        <v>30.0</v>
      </c>
      <c r="LN6" s="69"/>
      <c r="LO6" s="67">
        <v>9.0</v>
      </c>
      <c r="LP6" s="67">
        <v>9.0</v>
      </c>
      <c r="LQ6" s="67">
        <v>9.0</v>
      </c>
      <c r="LR6" s="67"/>
      <c r="LS6" s="67"/>
      <c r="LT6" s="67"/>
      <c r="LU6" s="67">
        <v>9.0</v>
      </c>
      <c r="LV6" s="67">
        <v>9.0</v>
      </c>
      <c r="LW6" s="67">
        <v>8.0</v>
      </c>
      <c r="LX6" s="67">
        <v>9.0</v>
      </c>
      <c r="LY6" s="67"/>
      <c r="LZ6" s="67">
        <v>9.0</v>
      </c>
      <c r="MA6" s="67">
        <v>9.0</v>
      </c>
      <c r="MB6" s="70"/>
      <c r="MC6" s="70"/>
      <c r="MD6" s="70"/>
      <c r="ME6" s="70"/>
      <c r="MF6" s="70"/>
      <c r="MG6" s="70"/>
      <c r="MH6" s="70"/>
      <c r="MI6" s="70"/>
      <c r="MJ6" s="70"/>
      <c r="MK6" s="70"/>
      <c r="ML6" s="70"/>
      <c r="MM6" s="70"/>
      <c r="MN6" s="70"/>
      <c r="MO6" s="70"/>
      <c r="MP6" s="70"/>
      <c r="MQ6" s="70"/>
      <c r="MR6" s="70"/>
      <c r="MS6" s="70"/>
      <c r="MT6" s="71"/>
      <c r="MU6" s="72"/>
      <c r="MV6" s="73">
        <v>5.0</v>
      </c>
      <c r="MW6" s="73">
        <v>1.75</v>
      </c>
      <c r="MX6" s="73">
        <v>10.0</v>
      </c>
      <c r="MY6" s="72"/>
      <c r="MZ6" s="72"/>
      <c r="NA6" s="73">
        <v>2.0</v>
      </c>
      <c r="NB6" s="73">
        <v>1.0</v>
      </c>
      <c r="NC6" s="72"/>
      <c r="ND6" s="73">
        <v>0.5</v>
      </c>
      <c r="NE6" s="73">
        <v>7.5</v>
      </c>
      <c r="NF6" s="73">
        <v>0.25</v>
      </c>
      <c r="NG6" s="73">
        <v>5.25</v>
      </c>
      <c r="NH6" s="72"/>
      <c r="NI6" s="72"/>
      <c r="NJ6" s="72"/>
      <c r="NK6" s="72"/>
      <c r="NL6" s="72"/>
      <c r="NM6" s="72"/>
      <c r="NN6" s="72"/>
      <c r="NO6" s="72"/>
      <c r="NP6" s="72"/>
      <c r="NQ6" s="72"/>
      <c r="NR6" s="72"/>
      <c r="NS6" s="72"/>
      <c r="NT6" s="72"/>
      <c r="NU6" s="72"/>
      <c r="NV6" s="72"/>
      <c r="NW6" s="72"/>
      <c r="NX6" s="72"/>
      <c r="NY6" s="72"/>
      <c r="NZ6" s="74"/>
      <c r="OA6" s="75"/>
      <c r="OB6" s="75"/>
      <c r="OC6" s="76"/>
      <c r="OD6" s="77"/>
      <c r="OE6" s="77"/>
      <c r="OF6" s="77"/>
      <c r="OG6" s="77"/>
      <c r="OH6" s="77"/>
      <c r="OI6" s="77"/>
      <c r="OJ6" s="77"/>
      <c r="OK6" s="77"/>
      <c r="OL6" s="78"/>
    </row>
    <row r="7" ht="30.0" customHeight="1">
      <c r="A7" s="79">
        <v>6458000.0</v>
      </c>
      <c r="B7" s="48" t="s">
        <v>9</v>
      </c>
      <c r="C7" s="80">
        <f t="shared" si="7"/>
        <v>67</v>
      </c>
      <c r="D7" s="81">
        <f t="shared" si="8"/>
        <v>30.5</v>
      </c>
      <c r="E7" s="50"/>
      <c r="F7" s="51"/>
      <c r="G7" s="51"/>
      <c r="H7" s="51"/>
      <c r="I7" s="51"/>
      <c r="J7" s="51"/>
      <c r="K7" s="51"/>
      <c r="L7" s="51"/>
      <c r="M7" s="51"/>
      <c r="N7" s="51"/>
      <c r="O7" s="82"/>
      <c r="P7" s="82">
        <v>9.0</v>
      </c>
      <c r="Q7" s="82">
        <v>11.5</v>
      </c>
      <c r="R7" s="82">
        <v>11.0</v>
      </c>
      <c r="S7" s="82">
        <v>12.5</v>
      </c>
      <c r="T7" s="82">
        <v>11.5</v>
      </c>
      <c r="U7" s="82">
        <v>13.5</v>
      </c>
      <c r="V7" s="82">
        <v>18.0</v>
      </c>
      <c r="W7" s="82">
        <v>5.0</v>
      </c>
      <c r="X7" s="82">
        <v>11.5</v>
      </c>
      <c r="Y7" s="82">
        <v>14.0</v>
      </c>
      <c r="Z7" s="82">
        <v>13.0</v>
      </c>
      <c r="AA7" s="82">
        <v>22.0</v>
      </c>
      <c r="AB7" s="82">
        <v>11.0</v>
      </c>
      <c r="AC7" s="82">
        <v>5.0</v>
      </c>
      <c r="AD7" s="82">
        <v>13.5</v>
      </c>
      <c r="AE7" s="82">
        <v>20.0</v>
      </c>
      <c r="AF7" s="82"/>
      <c r="AG7" s="82">
        <v>15.0</v>
      </c>
      <c r="AH7" s="82">
        <v>16.0</v>
      </c>
      <c r="AI7" s="82">
        <v>2.0</v>
      </c>
      <c r="AJ7" s="82">
        <v>20.0</v>
      </c>
      <c r="AK7" s="82">
        <v>15.0</v>
      </c>
      <c r="AL7" s="82">
        <v>3.0</v>
      </c>
      <c r="AM7" s="82">
        <v>10.0</v>
      </c>
      <c r="AN7" s="82">
        <v>15.0</v>
      </c>
      <c r="AO7" s="82">
        <v>11.0</v>
      </c>
      <c r="AP7" s="82">
        <v>12.5</v>
      </c>
      <c r="AQ7" s="82">
        <v>13.0</v>
      </c>
      <c r="AR7" s="82">
        <v>13.0</v>
      </c>
      <c r="AS7" s="82">
        <v>11.0</v>
      </c>
      <c r="AT7" s="82">
        <v>24.0</v>
      </c>
      <c r="AU7" s="82">
        <v>5.0</v>
      </c>
      <c r="AV7" s="82">
        <v>11.0</v>
      </c>
      <c r="AW7" s="82">
        <v>15.0</v>
      </c>
      <c r="AX7" s="82">
        <v>10.3</v>
      </c>
      <c r="AY7" s="82">
        <v>5.0</v>
      </c>
      <c r="AZ7" s="82">
        <v>13.0</v>
      </c>
      <c r="BA7" s="82">
        <v>5.0</v>
      </c>
      <c r="BB7" s="82">
        <v>12.0</v>
      </c>
      <c r="BC7" s="82">
        <v>11.3</v>
      </c>
      <c r="BD7" s="82">
        <v>13.0</v>
      </c>
      <c r="BE7" s="82">
        <v>11.0</v>
      </c>
      <c r="BF7" s="82">
        <v>12.3</v>
      </c>
      <c r="BG7" s="82">
        <v>13.0</v>
      </c>
      <c r="BH7" s="82">
        <v>4.0</v>
      </c>
      <c r="BI7" s="82">
        <v>12.0</v>
      </c>
      <c r="BJ7" s="82">
        <v>13.0</v>
      </c>
      <c r="BK7" s="82">
        <v>12.0</v>
      </c>
      <c r="BL7" s="82">
        <v>7.0</v>
      </c>
      <c r="BM7" s="82"/>
      <c r="BN7" s="82"/>
      <c r="BO7" s="82"/>
      <c r="BP7" s="82"/>
      <c r="BQ7" s="82"/>
      <c r="BR7" s="82"/>
      <c r="BS7" s="82">
        <v>13.0</v>
      </c>
      <c r="BT7" s="82">
        <v>15.3</v>
      </c>
      <c r="BU7" s="83">
        <v>16.3</v>
      </c>
      <c r="BV7" s="82">
        <v>15.3</v>
      </c>
      <c r="BW7" s="82">
        <v>13.0</v>
      </c>
      <c r="BX7" s="82">
        <v>14.0</v>
      </c>
      <c r="BY7" s="82">
        <v>10.3</v>
      </c>
      <c r="BZ7" s="84">
        <v>15.0</v>
      </c>
      <c r="CA7" s="84">
        <v>12.0</v>
      </c>
      <c r="CB7" s="84">
        <v>14.0</v>
      </c>
      <c r="CC7" s="84">
        <v>9.0</v>
      </c>
      <c r="CD7" s="84">
        <v>13.0</v>
      </c>
      <c r="CE7" s="84">
        <v>12.0</v>
      </c>
      <c r="CF7" s="84">
        <v>11.3</v>
      </c>
      <c r="CG7" s="84">
        <v>14.0</v>
      </c>
      <c r="CH7" s="84">
        <v>9.0</v>
      </c>
      <c r="CI7" s="84">
        <v>11.0</v>
      </c>
      <c r="CJ7" s="84">
        <v>1.3</v>
      </c>
      <c r="CK7" s="84">
        <v>10.0</v>
      </c>
      <c r="CL7" s="84">
        <v>14.0</v>
      </c>
      <c r="CM7" s="84">
        <v>12.0</v>
      </c>
      <c r="CN7" s="84">
        <v>21.0</v>
      </c>
      <c r="CO7" s="84">
        <v>4.0</v>
      </c>
      <c r="CP7" s="84">
        <v>15.0</v>
      </c>
      <c r="CQ7" s="84">
        <v>0.0</v>
      </c>
      <c r="CR7" s="84">
        <v>6.0</v>
      </c>
      <c r="CS7" s="84">
        <v>0.0</v>
      </c>
      <c r="CT7" s="84">
        <v>9.0</v>
      </c>
      <c r="CU7" s="84">
        <v>15.0</v>
      </c>
      <c r="CV7" s="84">
        <v>0.0</v>
      </c>
      <c r="CW7" s="84">
        <v>10.0</v>
      </c>
      <c r="CX7" s="84">
        <v>10.0</v>
      </c>
      <c r="CY7" s="84">
        <v>11.0</v>
      </c>
      <c r="CZ7" s="52">
        <v>14.0</v>
      </c>
      <c r="DA7" s="84">
        <v>10.0</v>
      </c>
      <c r="DB7" s="84">
        <v>11.0</v>
      </c>
      <c r="DC7" s="84">
        <v>11.0</v>
      </c>
      <c r="DD7" s="84">
        <v>11.0</v>
      </c>
      <c r="DE7" s="84">
        <v>6.0</v>
      </c>
      <c r="DF7" s="84">
        <v>0.0</v>
      </c>
      <c r="DG7" s="84"/>
      <c r="DH7" s="84"/>
      <c r="DI7" s="84"/>
      <c r="DJ7" s="84"/>
      <c r="DK7" s="85">
        <v>6.0</v>
      </c>
      <c r="DL7" s="85">
        <v>9.0</v>
      </c>
      <c r="DM7" s="85">
        <v>8.0</v>
      </c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52"/>
      <c r="EE7" s="84"/>
      <c r="EF7" s="84"/>
      <c r="EG7" s="84"/>
      <c r="EH7" s="84">
        <v>6.0</v>
      </c>
      <c r="EI7" s="84">
        <v>5.5</v>
      </c>
      <c r="EJ7" s="84">
        <v>7.5</v>
      </c>
      <c r="EK7" s="84"/>
      <c r="EL7" s="84">
        <v>7.0</v>
      </c>
      <c r="EM7" s="84"/>
      <c r="EN7" s="84"/>
      <c r="EO7" s="84">
        <v>10.5</v>
      </c>
      <c r="EP7" s="84">
        <v>7.0</v>
      </c>
      <c r="EQ7" s="84">
        <v>8.0</v>
      </c>
      <c r="ER7" s="84">
        <v>5.0</v>
      </c>
      <c r="ES7" s="84"/>
      <c r="ET7" s="84"/>
      <c r="EU7" s="84"/>
      <c r="EV7" s="84"/>
      <c r="EW7" s="84">
        <v>10.0</v>
      </c>
      <c r="EX7" s="84">
        <v>8.0</v>
      </c>
      <c r="EY7" s="84">
        <v>11.0</v>
      </c>
      <c r="EZ7" s="84">
        <v>11.0</v>
      </c>
      <c r="FA7" s="84">
        <v>13.0</v>
      </c>
      <c r="FB7" s="84"/>
      <c r="FC7" s="84">
        <v>10.5</v>
      </c>
      <c r="FD7" s="84">
        <v>11.0</v>
      </c>
      <c r="FE7" s="84">
        <v>11.0</v>
      </c>
      <c r="FF7" s="84">
        <v>11.0</v>
      </c>
      <c r="FG7" s="84">
        <v>8.5</v>
      </c>
      <c r="FH7" s="84">
        <v>11.0</v>
      </c>
      <c r="FI7" s="84">
        <v>15.0</v>
      </c>
      <c r="FJ7" s="84">
        <v>8.0</v>
      </c>
      <c r="FK7" s="84">
        <v>10.0</v>
      </c>
      <c r="FL7" s="84">
        <v>10.0</v>
      </c>
      <c r="FM7" s="84">
        <v>10.5</v>
      </c>
      <c r="FN7" s="84">
        <v>11.5</v>
      </c>
      <c r="FO7" s="84">
        <v>10.5</v>
      </c>
      <c r="FP7" s="84">
        <v>9.0</v>
      </c>
      <c r="FQ7" s="84">
        <v>8.0</v>
      </c>
      <c r="FR7" s="84">
        <v>11.0</v>
      </c>
      <c r="FS7" s="84">
        <v>10.0</v>
      </c>
      <c r="FT7" s="84">
        <v>9.0</v>
      </c>
      <c r="FU7" s="84">
        <v>13.0</v>
      </c>
      <c r="FV7" s="84"/>
      <c r="FW7" s="84"/>
      <c r="FX7" s="84">
        <v>10.0</v>
      </c>
      <c r="FY7" s="84">
        <v>11.0</v>
      </c>
      <c r="FZ7" s="84">
        <v>7.0</v>
      </c>
      <c r="GA7" s="84">
        <v>9.0</v>
      </c>
      <c r="GB7" s="84">
        <v>8.0</v>
      </c>
      <c r="GC7" s="84">
        <v>12.0</v>
      </c>
      <c r="GD7" s="84">
        <v>14.0</v>
      </c>
      <c r="GE7" s="84">
        <v>7.5</v>
      </c>
      <c r="GF7" s="84"/>
      <c r="GG7" s="84">
        <v>10.0</v>
      </c>
      <c r="GH7" s="84">
        <v>12.0</v>
      </c>
      <c r="GI7" s="84">
        <v>9.0</v>
      </c>
      <c r="GJ7" s="84">
        <v>8.0</v>
      </c>
      <c r="GK7" s="84"/>
      <c r="GL7" s="84">
        <v>11.0</v>
      </c>
      <c r="GM7" s="84">
        <v>12.0</v>
      </c>
      <c r="GN7" s="84">
        <v>7.0</v>
      </c>
      <c r="GO7" s="84"/>
      <c r="GP7" s="84">
        <v>11.5</v>
      </c>
      <c r="GQ7" s="84">
        <v>10.0</v>
      </c>
      <c r="GR7" s="84">
        <v>16.0</v>
      </c>
      <c r="GS7" s="329">
        <v>8.0</v>
      </c>
      <c r="GT7" s="84">
        <v>6.5</v>
      </c>
      <c r="GU7" s="84">
        <v>16.0</v>
      </c>
      <c r="GV7" s="84">
        <v>6.0</v>
      </c>
      <c r="GW7" s="84">
        <v>7.0</v>
      </c>
      <c r="GX7" s="84">
        <v>9.0</v>
      </c>
      <c r="GY7" s="84">
        <v>11.5</v>
      </c>
      <c r="GZ7" s="84">
        <v>10.5</v>
      </c>
      <c r="HA7" s="84">
        <v>6.0</v>
      </c>
      <c r="HB7" s="84">
        <v>11.0</v>
      </c>
      <c r="HC7" s="84">
        <v>10.0</v>
      </c>
      <c r="HD7" s="84">
        <v>10.0</v>
      </c>
      <c r="HE7" s="84">
        <v>9.0</v>
      </c>
      <c r="HF7" s="84">
        <v>10.0</v>
      </c>
      <c r="HG7" s="84">
        <v>11.5</v>
      </c>
      <c r="HH7" s="84">
        <v>11.0</v>
      </c>
      <c r="HI7" s="84">
        <v>8.0</v>
      </c>
      <c r="HJ7" s="84" t="s">
        <v>33</v>
      </c>
      <c r="HK7" s="84">
        <v>11.0</v>
      </c>
      <c r="HL7" s="84">
        <v>9.0</v>
      </c>
      <c r="HM7" s="84"/>
      <c r="HN7" s="84">
        <v>10.5</v>
      </c>
      <c r="HO7" s="84">
        <v>10.5</v>
      </c>
      <c r="HP7" s="84">
        <v>9.0</v>
      </c>
      <c r="HQ7" s="84">
        <v>10.5</v>
      </c>
      <c r="HR7" s="84">
        <v>6.0</v>
      </c>
      <c r="HS7" s="84"/>
      <c r="HT7" s="84"/>
      <c r="HU7" s="84"/>
      <c r="HV7" s="84">
        <v>9.0</v>
      </c>
      <c r="HW7" s="84"/>
      <c r="HX7" s="58">
        <v>0.0</v>
      </c>
      <c r="HY7" s="58">
        <v>10.0</v>
      </c>
      <c r="HZ7" s="58">
        <v>13.0</v>
      </c>
      <c r="IA7" s="58">
        <v>3.0</v>
      </c>
      <c r="IB7" s="58">
        <v>9.5</v>
      </c>
      <c r="IC7" s="58">
        <v>10.5</v>
      </c>
      <c r="ID7" s="58">
        <v>11.0</v>
      </c>
      <c r="IE7" s="58">
        <v>0.0</v>
      </c>
      <c r="IF7" s="58">
        <v>0.0</v>
      </c>
      <c r="IG7" s="58">
        <v>0.0</v>
      </c>
      <c r="IH7" s="88">
        <v>10.0</v>
      </c>
      <c r="II7" s="88">
        <v>9.0</v>
      </c>
      <c r="IJ7" s="88">
        <v>11.0</v>
      </c>
      <c r="IK7" s="88">
        <v>10.5</v>
      </c>
      <c r="IL7" s="88">
        <v>7.0</v>
      </c>
      <c r="IM7" s="88">
        <v>11.0</v>
      </c>
      <c r="IN7" s="88">
        <v>12.0</v>
      </c>
      <c r="IO7" s="88">
        <v>4.0</v>
      </c>
      <c r="IP7" s="88">
        <v>10.0</v>
      </c>
      <c r="IQ7" s="88">
        <v>12.0</v>
      </c>
      <c r="IR7" s="88">
        <v>10.0</v>
      </c>
      <c r="IS7" s="88">
        <v>10.0</v>
      </c>
      <c r="IT7" s="88">
        <v>14.0</v>
      </c>
      <c r="IU7" s="88">
        <v>9.0</v>
      </c>
      <c r="IV7" s="88">
        <v>4.0</v>
      </c>
      <c r="IW7" s="88">
        <v>10.0</v>
      </c>
      <c r="IX7" s="88">
        <v>9.0</v>
      </c>
      <c r="IY7" s="88">
        <v>12.0</v>
      </c>
      <c r="IZ7" s="88">
        <v>9.0</v>
      </c>
      <c r="JA7" s="88">
        <v>8.0</v>
      </c>
      <c r="JB7" s="89"/>
      <c r="JC7" s="90">
        <v>10.0</v>
      </c>
      <c r="JD7" s="90">
        <v>10.0</v>
      </c>
      <c r="JE7" s="90">
        <v>10.0</v>
      </c>
      <c r="JF7" s="90">
        <v>10.0</v>
      </c>
      <c r="JG7" s="90">
        <v>10.0</v>
      </c>
      <c r="JH7" s="90">
        <v>11.0</v>
      </c>
      <c r="JI7" s="90">
        <v>9.0</v>
      </c>
      <c r="JJ7" s="90">
        <v>10.0</v>
      </c>
      <c r="JK7" s="90">
        <v>10.0</v>
      </c>
      <c r="JL7" s="90"/>
      <c r="JM7" s="90"/>
      <c r="JN7" s="90"/>
      <c r="JO7" s="90"/>
      <c r="JP7" s="90"/>
      <c r="JQ7" s="90"/>
      <c r="JR7" s="90">
        <v>10.0</v>
      </c>
      <c r="JS7" s="90">
        <v>17.25</v>
      </c>
      <c r="JT7" s="90">
        <v>10.0</v>
      </c>
      <c r="JU7" s="90">
        <v>12.0</v>
      </c>
      <c r="JV7" s="90">
        <v>8.75</v>
      </c>
      <c r="JW7" s="90">
        <v>10.0</v>
      </c>
      <c r="JX7" s="90">
        <v>9.0</v>
      </c>
      <c r="JY7" s="90">
        <v>10.0</v>
      </c>
      <c r="JZ7" s="62">
        <v>11.5</v>
      </c>
      <c r="KA7" s="90">
        <v>10.0</v>
      </c>
      <c r="KB7" s="62">
        <v>12.5</v>
      </c>
      <c r="KC7" s="90">
        <v>12.0</v>
      </c>
      <c r="KD7" s="90">
        <v>15.0</v>
      </c>
      <c r="KE7" s="90">
        <v>6.0</v>
      </c>
      <c r="KF7" s="90">
        <v>7.0</v>
      </c>
      <c r="KG7" s="91">
        <v>9.0</v>
      </c>
      <c r="KH7" s="92"/>
      <c r="KI7" s="67">
        <v>11.5</v>
      </c>
      <c r="KJ7" s="68">
        <v>9.0</v>
      </c>
      <c r="KK7" s="68">
        <v>10.0</v>
      </c>
      <c r="KL7" s="68">
        <v>10.0</v>
      </c>
      <c r="KM7" s="68">
        <v>10.0</v>
      </c>
      <c r="KN7" s="68" t="s">
        <v>32</v>
      </c>
      <c r="KO7" s="68">
        <v>10.0</v>
      </c>
      <c r="KP7" s="68">
        <v>10.0</v>
      </c>
      <c r="KQ7" s="68">
        <v>10.0</v>
      </c>
      <c r="KR7" s="68" t="s">
        <v>32</v>
      </c>
      <c r="KS7" s="68">
        <v>10.0</v>
      </c>
      <c r="KT7" s="68">
        <v>10.0</v>
      </c>
      <c r="KU7" s="68">
        <v>10.0</v>
      </c>
      <c r="KV7" s="68" t="s">
        <v>32</v>
      </c>
      <c r="KW7" s="68">
        <v>10.0</v>
      </c>
      <c r="KX7" s="68">
        <v>10.0</v>
      </c>
      <c r="KY7" s="68">
        <v>10.0</v>
      </c>
      <c r="KZ7" s="68" t="s">
        <v>32</v>
      </c>
      <c r="LA7" s="68">
        <v>10.0</v>
      </c>
      <c r="LB7" s="68">
        <v>10.0</v>
      </c>
      <c r="LC7" s="68">
        <v>10.0</v>
      </c>
      <c r="LD7" s="68">
        <v>10.0</v>
      </c>
      <c r="LE7" s="68">
        <v>10.0</v>
      </c>
      <c r="LF7" s="68">
        <v>10.0</v>
      </c>
      <c r="LG7" s="68">
        <v>10.0</v>
      </c>
      <c r="LH7" s="68">
        <v>10.0</v>
      </c>
      <c r="LI7" s="68">
        <v>10.0</v>
      </c>
      <c r="LJ7" s="68">
        <v>10.0</v>
      </c>
      <c r="LK7" s="68">
        <v>10.0</v>
      </c>
      <c r="LL7" s="68">
        <v>10.0</v>
      </c>
      <c r="LM7" s="68"/>
      <c r="LN7" s="92"/>
      <c r="LO7" s="68">
        <v>9.0</v>
      </c>
      <c r="LP7" s="68">
        <v>9.0</v>
      </c>
      <c r="LQ7" s="68">
        <v>9.0</v>
      </c>
      <c r="LR7" s="68"/>
      <c r="LS7" s="68">
        <v>9.0</v>
      </c>
      <c r="LT7" s="68"/>
      <c r="LU7" s="68">
        <v>9.0</v>
      </c>
      <c r="LV7" s="68">
        <v>8.0</v>
      </c>
      <c r="LW7" s="68"/>
      <c r="LX7" s="68">
        <v>5.0</v>
      </c>
      <c r="LY7" s="68"/>
      <c r="LZ7" s="68">
        <v>9.0</v>
      </c>
      <c r="MA7" s="68"/>
      <c r="MB7" s="68"/>
      <c r="MC7" s="68"/>
      <c r="MD7" s="68"/>
      <c r="ME7" s="68"/>
      <c r="MF7" s="68"/>
      <c r="MG7" s="68"/>
      <c r="MH7" s="68"/>
      <c r="MI7" s="68"/>
      <c r="MJ7" s="68"/>
      <c r="MK7" s="68"/>
      <c r="ML7" s="68"/>
      <c r="MM7" s="68"/>
      <c r="MN7" s="68"/>
      <c r="MO7" s="68"/>
      <c r="MP7" s="68"/>
      <c r="MQ7" s="68"/>
      <c r="MR7" s="70"/>
      <c r="MS7" s="70"/>
      <c r="MT7" s="93"/>
      <c r="MU7" s="94">
        <v>2.0</v>
      </c>
      <c r="MV7" s="94">
        <v>2.0</v>
      </c>
      <c r="MW7" s="94">
        <v>2.0</v>
      </c>
      <c r="MX7" s="94">
        <v>8.0</v>
      </c>
      <c r="MY7" s="94">
        <v>2.0</v>
      </c>
      <c r="MZ7" s="94"/>
      <c r="NA7" s="94">
        <v>2.0</v>
      </c>
      <c r="NB7" s="94"/>
      <c r="NC7" s="94"/>
      <c r="ND7" s="94"/>
      <c r="NE7" s="95">
        <v>7.5</v>
      </c>
      <c r="NF7" s="94">
        <v>5.0</v>
      </c>
      <c r="NG7" s="94"/>
      <c r="NH7" s="94"/>
      <c r="NI7" s="94"/>
      <c r="NJ7" s="94"/>
      <c r="NK7" s="94"/>
      <c r="NL7" s="94"/>
      <c r="NM7" s="94"/>
      <c r="NN7" s="94"/>
      <c r="NO7" s="94"/>
      <c r="NP7" s="94"/>
      <c r="NQ7" s="94"/>
      <c r="NR7" s="94"/>
      <c r="NS7" s="94"/>
      <c r="NT7" s="94"/>
      <c r="NU7" s="94"/>
      <c r="NV7" s="94"/>
      <c r="NW7" s="94"/>
      <c r="NX7" s="94"/>
      <c r="NY7" s="94"/>
      <c r="NZ7" s="96"/>
      <c r="OA7" s="97"/>
      <c r="OB7" s="97"/>
      <c r="OC7" s="98"/>
      <c r="OD7" s="99"/>
      <c r="OE7" s="99"/>
      <c r="OF7" s="99"/>
      <c r="OG7" s="99"/>
      <c r="OH7" s="99"/>
      <c r="OI7" s="99"/>
      <c r="OJ7" s="99"/>
      <c r="OK7" s="99"/>
      <c r="OL7" s="99"/>
    </row>
    <row r="8" ht="30.0" customHeight="1">
      <c r="A8" s="100"/>
      <c r="B8" s="48" t="s">
        <v>21</v>
      </c>
      <c r="C8" s="49">
        <f t="shared" si="7"/>
        <v>72</v>
      </c>
      <c r="D8" s="48">
        <f t="shared" si="8"/>
        <v>14.85</v>
      </c>
      <c r="E8" s="101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>
        <v>10.0</v>
      </c>
      <c r="AY8" s="82">
        <v>5.0</v>
      </c>
      <c r="AZ8" s="82">
        <v>12.0</v>
      </c>
      <c r="BA8" s="102"/>
      <c r="BB8" s="82">
        <v>9.3</v>
      </c>
      <c r="BC8" s="82">
        <v>9.0</v>
      </c>
      <c r="BD8" s="103">
        <v>11.0</v>
      </c>
      <c r="BE8" s="82"/>
      <c r="BF8" s="82">
        <v>9.0</v>
      </c>
      <c r="BG8" s="82"/>
      <c r="BH8" s="82"/>
      <c r="BI8" s="82"/>
      <c r="BJ8" s="82">
        <v>10.0</v>
      </c>
      <c r="BK8" s="82">
        <v>10.0</v>
      </c>
      <c r="BL8" s="82">
        <v>9.3</v>
      </c>
      <c r="BM8" s="82">
        <v>9.0</v>
      </c>
      <c r="BN8" s="82">
        <v>12.0</v>
      </c>
      <c r="BO8" s="82"/>
      <c r="BP8" s="82">
        <v>7.3</v>
      </c>
      <c r="BQ8" s="82">
        <v>9.0</v>
      </c>
      <c r="BR8" s="82">
        <v>10.3</v>
      </c>
      <c r="BS8" s="82">
        <v>9.3</v>
      </c>
      <c r="BT8" s="82"/>
      <c r="BU8" s="52">
        <v>5.0</v>
      </c>
      <c r="BV8" s="82">
        <v>12.0</v>
      </c>
      <c r="BW8" s="51">
        <v>10.3</v>
      </c>
      <c r="BX8" s="51">
        <v>10.0</v>
      </c>
      <c r="BY8" s="51">
        <v>10.3</v>
      </c>
      <c r="BZ8" s="84">
        <v>8.0</v>
      </c>
      <c r="CA8" s="84">
        <v>13.0</v>
      </c>
      <c r="CB8" s="84">
        <v>9.0</v>
      </c>
      <c r="CC8" s="84">
        <v>3.0</v>
      </c>
      <c r="CD8" s="84">
        <v>11.3</v>
      </c>
      <c r="CE8" s="84">
        <v>11.0</v>
      </c>
      <c r="CF8" s="84">
        <v>10.0</v>
      </c>
      <c r="CG8" s="84">
        <v>13.0</v>
      </c>
      <c r="CH8" s="84">
        <v>9.0</v>
      </c>
      <c r="CI8" s="84">
        <v>10.0</v>
      </c>
      <c r="CJ8" s="84"/>
      <c r="CK8" s="84">
        <v>8.3</v>
      </c>
      <c r="CL8" s="84">
        <v>8.0</v>
      </c>
      <c r="CM8" s="84">
        <v>9.0</v>
      </c>
      <c r="CN8" s="84">
        <v>12.0</v>
      </c>
      <c r="CO8" s="84">
        <v>11.0</v>
      </c>
      <c r="CP8" s="84">
        <v>0.0</v>
      </c>
      <c r="CQ8" s="84">
        <v>0.0</v>
      </c>
      <c r="CR8" s="84">
        <v>7.0</v>
      </c>
      <c r="CS8" s="84">
        <v>7.0</v>
      </c>
      <c r="CT8" s="84">
        <v>0.0</v>
      </c>
      <c r="CU8" s="84">
        <v>13.0</v>
      </c>
      <c r="CV8" s="84"/>
      <c r="CW8" s="84"/>
      <c r="CX8" s="84"/>
      <c r="CY8" s="84">
        <v>9.0</v>
      </c>
      <c r="CZ8" s="52">
        <v>8.0</v>
      </c>
      <c r="DA8" s="84">
        <v>11.3</v>
      </c>
      <c r="DB8" s="84">
        <v>9.0</v>
      </c>
      <c r="DC8" s="84">
        <v>12.0</v>
      </c>
      <c r="DD8" s="84">
        <v>12.0</v>
      </c>
      <c r="DE8" s="84">
        <v>9.15</v>
      </c>
      <c r="DF8" s="84">
        <v>11.0</v>
      </c>
      <c r="DG8" s="84">
        <v>9.0</v>
      </c>
      <c r="DH8" s="84">
        <v>10.0</v>
      </c>
      <c r="DI8" s="84">
        <v>8.0</v>
      </c>
      <c r="DJ8" s="84">
        <v>13.0</v>
      </c>
      <c r="DK8" s="84">
        <v>8.0</v>
      </c>
      <c r="DL8" s="85">
        <v>13.0</v>
      </c>
      <c r="DM8" s="85">
        <v>8.0</v>
      </c>
      <c r="DN8" s="85">
        <v>11.0</v>
      </c>
      <c r="DO8" s="85">
        <v>12.0</v>
      </c>
      <c r="DP8" s="85">
        <v>11.0</v>
      </c>
      <c r="DQ8" s="84">
        <v>8.0</v>
      </c>
      <c r="DR8" s="84">
        <v>12.0</v>
      </c>
      <c r="DS8" s="84"/>
      <c r="DT8" s="84">
        <v>11.0</v>
      </c>
      <c r="DU8" s="84">
        <v>9.5</v>
      </c>
      <c r="DV8" s="84">
        <v>11.5</v>
      </c>
      <c r="DW8" s="84">
        <v>10.0</v>
      </c>
      <c r="DX8" s="84">
        <v>9.5</v>
      </c>
      <c r="DY8" s="84">
        <v>14.0</v>
      </c>
      <c r="DZ8" s="84"/>
      <c r="EA8" s="84">
        <v>11.0</v>
      </c>
      <c r="EB8" s="84">
        <v>7.5</v>
      </c>
      <c r="EC8" s="84">
        <v>8.0</v>
      </c>
      <c r="ED8" s="52">
        <v>10.0</v>
      </c>
      <c r="EE8" s="84">
        <v>11.5</v>
      </c>
      <c r="EF8" s="84">
        <v>10.0</v>
      </c>
      <c r="EG8" s="84"/>
      <c r="EH8" s="84">
        <v>10.0</v>
      </c>
      <c r="EI8" s="84">
        <v>8.5</v>
      </c>
      <c r="EJ8" s="84">
        <v>8.0</v>
      </c>
      <c r="EK8" s="84">
        <v>8.0</v>
      </c>
      <c r="EL8" s="84"/>
      <c r="EM8" s="84">
        <v>13.5</v>
      </c>
      <c r="EN8" s="84">
        <v>10.5</v>
      </c>
      <c r="EO8" s="84">
        <v>13.5</v>
      </c>
      <c r="EP8" s="84">
        <v>9.0</v>
      </c>
      <c r="EQ8" s="84">
        <v>12.0</v>
      </c>
      <c r="ER8" s="84">
        <v>12.0</v>
      </c>
      <c r="ES8" s="84">
        <v>8.3</v>
      </c>
      <c r="ET8" s="84">
        <v>10.0</v>
      </c>
      <c r="EU8" s="84"/>
      <c r="EV8" s="84">
        <v>9.0</v>
      </c>
      <c r="EW8" s="84">
        <v>9.5</v>
      </c>
      <c r="EX8" s="84">
        <v>11.5</v>
      </c>
      <c r="EY8" s="84">
        <v>18.0</v>
      </c>
      <c r="EZ8" s="84">
        <v>6.5</v>
      </c>
      <c r="FA8" s="84">
        <v>11.0</v>
      </c>
      <c r="FB8" s="84">
        <v>3.5</v>
      </c>
      <c r="FC8" s="84">
        <v>9.0</v>
      </c>
      <c r="FD8" s="84">
        <v>10.0</v>
      </c>
      <c r="FE8" s="84">
        <v>3.0</v>
      </c>
      <c r="FF8" s="84">
        <v>12.0</v>
      </c>
      <c r="FG8" s="84">
        <v>9.0</v>
      </c>
      <c r="FH8" s="84">
        <v>9.0</v>
      </c>
      <c r="FI8" s="84"/>
      <c r="FJ8" s="84">
        <v>9.5</v>
      </c>
      <c r="FK8" s="84">
        <v>9.0</v>
      </c>
      <c r="FL8" s="84">
        <v>11.75</v>
      </c>
      <c r="FM8" s="84">
        <v>11.0</v>
      </c>
      <c r="FN8" s="84">
        <v>9.0</v>
      </c>
      <c r="FO8" s="84">
        <v>8.5</v>
      </c>
      <c r="FP8" s="330"/>
      <c r="FQ8" s="84">
        <v>8.0</v>
      </c>
      <c r="FR8" s="84">
        <v>11.0</v>
      </c>
      <c r="FS8" s="84">
        <v>9.0</v>
      </c>
      <c r="FT8" s="84">
        <v>16.0</v>
      </c>
      <c r="FU8" s="84">
        <v>8.0</v>
      </c>
      <c r="FV8" s="84">
        <v>10.0</v>
      </c>
      <c r="FW8" s="84">
        <v>10.0</v>
      </c>
      <c r="FX8" s="84">
        <v>9.0</v>
      </c>
      <c r="FY8" s="84">
        <v>10.0</v>
      </c>
      <c r="FZ8" s="84">
        <v>15.0</v>
      </c>
      <c r="GA8" s="84">
        <v>12.0</v>
      </c>
      <c r="GB8" s="84">
        <v>11.0</v>
      </c>
      <c r="GC8" s="84">
        <v>9.0</v>
      </c>
      <c r="GD8" s="84">
        <v>10.0</v>
      </c>
      <c r="GE8" s="84">
        <v>14.0</v>
      </c>
      <c r="GF8" s="84">
        <v>13.0</v>
      </c>
      <c r="GG8" s="84">
        <v>10.0</v>
      </c>
      <c r="GH8" s="84"/>
      <c r="GI8" s="84">
        <v>11.0</v>
      </c>
      <c r="GJ8" s="84">
        <v>8.0</v>
      </c>
      <c r="GK8" s="84">
        <v>11.0</v>
      </c>
      <c r="GL8" s="84">
        <v>12.0</v>
      </c>
      <c r="GM8" s="84">
        <v>9.0</v>
      </c>
      <c r="GN8" s="84">
        <v>12.0</v>
      </c>
      <c r="GO8" s="84">
        <v>16.0</v>
      </c>
      <c r="GP8" s="84">
        <v>15.0</v>
      </c>
      <c r="GQ8" s="84">
        <v>14.0</v>
      </c>
      <c r="GR8" s="84">
        <v>20.0</v>
      </c>
      <c r="GS8" s="329" t="s">
        <v>32</v>
      </c>
      <c r="GT8" s="84">
        <v>8.0</v>
      </c>
      <c r="GU8" s="84">
        <v>4.0</v>
      </c>
      <c r="GV8" s="84" t="s">
        <v>32</v>
      </c>
      <c r="GW8" s="84">
        <v>5.0</v>
      </c>
      <c r="GX8" s="84">
        <v>5.5</v>
      </c>
      <c r="GY8" s="84">
        <v>8.5</v>
      </c>
      <c r="GZ8" s="84">
        <v>3.5</v>
      </c>
      <c r="HA8" s="84" t="s">
        <v>32</v>
      </c>
      <c r="HB8" s="84">
        <v>8.0</v>
      </c>
      <c r="HC8" s="84">
        <v>12.0</v>
      </c>
      <c r="HD8" s="84">
        <v>3.0</v>
      </c>
      <c r="HE8" s="84">
        <v>11.0</v>
      </c>
      <c r="HF8" s="84" t="s">
        <v>32</v>
      </c>
      <c r="HG8" s="84">
        <v>12.0</v>
      </c>
      <c r="HH8" s="84">
        <v>12.0</v>
      </c>
      <c r="HI8" s="84">
        <v>5.0</v>
      </c>
      <c r="HJ8" s="84">
        <v>2.0</v>
      </c>
      <c r="HK8" s="84">
        <v>7.5</v>
      </c>
      <c r="HL8" s="84">
        <v>7.0</v>
      </c>
      <c r="HM8" s="84">
        <v>7.0</v>
      </c>
      <c r="HN8" s="84">
        <v>5.0</v>
      </c>
      <c r="HO8" s="84">
        <v>12.0</v>
      </c>
      <c r="HP8" s="84">
        <v>11.0</v>
      </c>
      <c r="HQ8" s="84">
        <v>4.5</v>
      </c>
      <c r="HR8" s="84" t="s">
        <v>32</v>
      </c>
      <c r="HS8" s="84">
        <v>4.5</v>
      </c>
      <c r="HT8" s="84">
        <v>6.5</v>
      </c>
      <c r="HU8" s="84">
        <v>1.5</v>
      </c>
      <c r="HV8" s="84">
        <v>5.0</v>
      </c>
      <c r="HW8" s="84" t="s">
        <v>32</v>
      </c>
      <c r="HX8" s="105" t="s">
        <v>34</v>
      </c>
      <c r="HY8" s="58">
        <v>3.0</v>
      </c>
      <c r="HZ8" s="58">
        <v>8.0</v>
      </c>
      <c r="IA8" s="58">
        <v>7.0</v>
      </c>
      <c r="IB8" s="58">
        <v>6.0</v>
      </c>
      <c r="IC8" s="58">
        <v>8.75</v>
      </c>
      <c r="ID8" s="58">
        <v>10.75</v>
      </c>
      <c r="IE8" s="58">
        <v>9.0</v>
      </c>
      <c r="IF8" s="58">
        <v>9.25</v>
      </c>
      <c r="IG8" s="58">
        <v>7.75</v>
      </c>
      <c r="IH8" s="58">
        <v>9.25</v>
      </c>
      <c r="II8" s="58">
        <v>9.5</v>
      </c>
      <c r="IJ8" s="58">
        <v>7.25</v>
      </c>
      <c r="IK8" s="58" t="s">
        <v>32</v>
      </c>
      <c r="IL8" s="58">
        <v>6.5</v>
      </c>
      <c r="IM8" s="58">
        <v>9.0</v>
      </c>
      <c r="IN8" s="58">
        <v>11.5</v>
      </c>
      <c r="IO8" s="58">
        <v>12.5</v>
      </c>
      <c r="IP8" s="58">
        <v>9.5</v>
      </c>
      <c r="IQ8" s="58">
        <v>9.0</v>
      </c>
      <c r="IR8" s="58">
        <v>9.25</v>
      </c>
      <c r="IS8" s="58">
        <v>12.5</v>
      </c>
      <c r="IT8" s="58">
        <v>10.75</v>
      </c>
      <c r="IU8" s="58">
        <v>19.0</v>
      </c>
      <c r="IV8" s="58">
        <v>3.0</v>
      </c>
      <c r="IW8" s="58">
        <v>11.0</v>
      </c>
      <c r="IX8" s="58">
        <v>6.5</v>
      </c>
      <c r="IY8" s="58">
        <v>10.0</v>
      </c>
      <c r="IZ8" s="58">
        <v>0.0</v>
      </c>
      <c r="JA8" s="58">
        <v>10.0</v>
      </c>
      <c r="JB8" s="61"/>
      <c r="JC8" s="62">
        <v>11.0</v>
      </c>
      <c r="JD8" s="62"/>
      <c r="JE8" s="62">
        <v>10.5</v>
      </c>
      <c r="JF8" s="62">
        <v>14.5</v>
      </c>
      <c r="JG8" s="62">
        <v>10.0</v>
      </c>
      <c r="JH8" s="62">
        <v>15.0</v>
      </c>
      <c r="JI8" s="62">
        <v>10.5</v>
      </c>
      <c r="JJ8" s="62">
        <v>11.0</v>
      </c>
      <c r="JK8" s="62"/>
      <c r="JL8" s="62">
        <v>12.0</v>
      </c>
      <c r="JM8" s="62">
        <v>14.0</v>
      </c>
      <c r="JN8" s="62">
        <v>10.0</v>
      </c>
      <c r="JO8" s="62">
        <v>8.0</v>
      </c>
      <c r="JP8" s="62">
        <v>2.0</v>
      </c>
      <c r="JQ8" s="62">
        <v>3.0</v>
      </c>
      <c r="JR8" s="62"/>
      <c r="JS8" s="62"/>
      <c r="JT8" s="62"/>
      <c r="JU8" s="62">
        <v>10.0</v>
      </c>
      <c r="JV8" s="62"/>
      <c r="JW8" s="62">
        <v>4.0</v>
      </c>
      <c r="JX8" s="62">
        <v>11.0</v>
      </c>
      <c r="JY8" s="62"/>
      <c r="JZ8" s="62">
        <v>11.0</v>
      </c>
      <c r="KA8" s="62">
        <v>8.5</v>
      </c>
      <c r="KB8" s="62">
        <v>8.0</v>
      </c>
      <c r="KC8" s="62">
        <v>12.0</v>
      </c>
      <c r="KD8" s="62">
        <v>14.75</v>
      </c>
      <c r="KE8" s="62">
        <v>12.5</v>
      </c>
      <c r="KF8" s="62">
        <v>11.0</v>
      </c>
      <c r="KG8" s="65">
        <v>10.0</v>
      </c>
      <c r="KH8" s="66"/>
      <c r="KI8" s="67">
        <v>16.5</v>
      </c>
      <c r="KJ8" s="68">
        <v>9.0</v>
      </c>
      <c r="KK8" s="67">
        <v>12.5</v>
      </c>
      <c r="KL8" s="67">
        <v>16.5</v>
      </c>
      <c r="KM8" s="67">
        <v>9.0</v>
      </c>
      <c r="KN8" s="67">
        <v>16.0</v>
      </c>
      <c r="KO8" s="67" t="s">
        <v>32</v>
      </c>
      <c r="KP8" s="67">
        <v>7.0</v>
      </c>
      <c r="KQ8" s="67">
        <v>14.5</v>
      </c>
      <c r="KR8" s="67">
        <v>4.5</v>
      </c>
      <c r="KS8" s="67">
        <v>13.0</v>
      </c>
      <c r="KT8" s="67">
        <v>3.0</v>
      </c>
      <c r="KU8" s="67">
        <v>5.0</v>
      </c>
      <c r="KV8" s="67">
        <v>6.5</v>
      </c>
      <c r="KW8" s="67">
        <v>8.0</v>
      </c>
      <c r="KX8" s="67" t="s">
        <v>32</v>
      </c>
      <c r="KY8" s="67">
        <v>6.5</v>
      </c>
      <c r="KZ8" s="67" t="s">
        <v>32</v>
      </c>
      <c r="LA8" s="67" t="s">
        <v>32</v>
      </c>
      <c r="LB8" s="67" t="s">
        <v>32</v>
      </c>
      <c r="LC8" s="67">
        <v>8.0</v>
      </c>
      <c r="LD8" s="67">
        <v>6.5</v>
      </c>
      <c r="LE8" s="67">
        <v>9.0</v>
      </c>
      <c r="LF8" s="67">
        <v>9.0</v>
      </c>
      <c r="LG8" s="67" t="s">
        <v>32</v>
      </c>
      <c r="LH8" s="67">
        <v>9.0</v>
      </c>
      <c r="LI8" s="67" t="s">
        <v>32</v>
      </c>
      <c r="LJ8" s="67">
        <v>11.0</v>
      </c>
      <c r="LK8" s="67">
        <v>9.5</v>
      </c>
      <c r="LL8" s="67">
        <v>5.5</v>
      </c>
      <c r="LM8" s="67">
        <v>21.0</v>
      </c>
      <c r="LN8" s="66"/>
      <c r="LO8" s="67"/>
      <c r="LP8" s="67">
        <v>9.0</v>
      </c>
      <c r="LQ8" s="67">
        <v>9.0</v>
      </c>
      <c r="LR8" s="67"/>
      <c r="LS8" s="67">
        <v>9.0</v>
      </c>
      <c r="LT8" s="67"/>
      <c r="LU8" s="67">
        <v>9.0</v>
      </c>
      <c r="LV8" s="67">
        <v>9.0</v>
      </c>
      <c r="LW8" s="67">
        <v>9.0</v>
      </c>
      <c r="LX8" s="67">
        <v>9.0</v>
      </c>
      <c r="LY8" s="67"/>
      <c r="LZ8" s="67">
        <v>9.0</v>
      </c>
      <c r="MA8" s="67"/>
      <c r="MB8" s="67"/>
      <c r="MC8" s="67"/>
      <c r="MD8" s="67"/>
      <c r="ME8" s="67"/>
      <c r="MF8" s="67"/>
      <c r="MG8" s="67"/>
      <c r="MH8" s="67"/>
      <c r="MI8" s="67"/>
      <c r="MJ8" s="67"/>
      <c r="MK8" s="67"/>
      <c r="ML8" s="67"/>
      <c r="MM8" s="67"/>
      <c r="MN8" s="67"/>
      <c r="MO8" s="67"/>
      <c r="MP8" s="67"/>
      <c r="MQ8" s="67"/>
      <c r="MR8" s="70"/>
      <c r="MS8" s="70"/>
      <c r="MT8" s="106"/>
      <c r="MU8" s="73"/>
      <c r="MV8" s="73">
        <v>3.0</v>
      </c>
      <c r="MW8" s="73"/>
      <c r="MX8" s="73"/>
      <c r="MY8" s="73"/>
      <c r="MZ8" s="73"/>
      <c r="NA8" s="73"/>
      <c r="NB8" s="73"/>
      <c r="NC8" s="73"/>
      <c r="ND8" s="73">
        <v>1.1</v>
      </c>
      <c r="NE8" s="73">
        <v>9.25</v>
      </c>
      <c r="NF8" s="73">
        <v>1.5</v>
      </c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107"/>
      <c r="OA8" s="108"/>
      <c r="OB8" s="108"/>
      <c r="OC8" s="109"/>
      <c r="OD8" s="78"/>
      <c r="OE8" s="78"/>
      <c r="OF8" s="78"/>
      <c r="OG8" s="78"/>
      <c r="OH8" s="78"/>
      <c r="OI8" s="78"/>
      <c r="OJ8" s="78"/>
      <c r="OK8" s="78"/>
      <c r="OL8" s="78"/>
    </row>
    <row r="9" ht="30.0" customHeight="1">
      <c r="A9" s="110"/>
      <c r="B9" s="111" t="s">
        <v>35</v>
      </c>
      <c r="C9" s="49">
        <f t="shared" si="7"/>
        <v>0</v>
      </c>
      <c r="D9" s="48">
        <f t="shared" si="8"/>
        <v>0</v>
      </c>
      <c r="E9" s="101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>
        <v>10.0</v>
      </c>
      <c r="AS9" s="82">
        <v>10.0</v>
      </c>
      <c r="AT9" s="82">
        <v>10.0</v>
      </c>
      <c r="AU9" s="82">
        <v>12.0</v>
      </c>
      <c r="AV9" s="102"/>
      <c r="AW9" s="82">
        <v>14.0</v>
      </c>
      <c r="AX9" s="82">
        <v>11.0</v>
      </c>
      <c r="AY9" s="82">
        <v>10.0</v>
      </c>
      <c r="AZ9" s="82">
        <v>11.0</v>
      </c>
      <c r="BA9" s="102"/>
      <c r="BB9" s="82">
        <v>11.0</v>
      </c>
      <c r="BC9" s="82">
        <v>11.3</v>
      </c>
      <c r="BD9" s="82">
        <v>13.0</v>
      </c>
      <c r="BE9" s="82">
        <v>13.0</v>
      </c>
      <c r="BF9" s="82">
        <v>12.0</v>
      </c>
      <c r="BG9" s="82">
        <v>16.0</v>
      </c>
      <c r="BH9" s="82">
        <v>3.0</v>
      </c>
      <c r="BI9" s="82">
        <v>10.3</v>
      </c>
      <c r="BJ9" s="82">
        <v>13.0</v>
      </c>
      <c r="BK9" s="82">
        <v>13.0</v>
      </c>
      <c r="BL9" s="82">
        <v>16.0</v>
      </c>
      <c r="BM9" s="82">
        <v>12.0</v>
      </c>
      <c r="BN9" s="82">
        <v>13.0</v>
      </c>
      <c r="BO9" s="82">
        <v>9.0</v>
      </c>
      <c r="BP9" s="82">
        <v>13.0</v>
      </c>
      <c r="BQ9" s="82">
        <v>11.0</v>
      </c>
      <c r="BR9" s="82">
        <v>12.0</v>
      </c>
      <c r="BS9" s="82">
        <v>10.3</v>
      </c>
      <c r="BT9" s="82">
        <v>12.3</v>
      </c>
      <c r="BU9" s="52">
        <v>10.3</v>
      </c>
      <c r="BV9" s="82">
        <v>9.3</v>
      </c>
      <c r="BW9" s="51">
        <v>10.3</v>
      </c>
      <c r="BX9" s="51">
        <v>15.0</v>
      </c>
      <c r="BY9" s="51">
        <v>10.3</v>
      </c>
      <c r="BZ9" s="84">
        <v>12.0</v>
      </c>
      <c r="CA9" s="84">
        <v>12.0</v>
      </c>
      <c r="CB9" s="84">
        <v>13.3</v>
      </c>
      <c r="CC9" s="84">
        <v>9.0</v>
      </c>
      <c r="CD9" s="84">
        <v>11.3</v>
      </c>
      <c r="CE9" s="84">
        <v>11.0</v>
      </c>
      <c r="CF9" s="84">
        <v>14.0</v>
      </c>
      <c r="CG9" s="84">
        <v>14.0</v>
      </c>
      <c r="CH9" s="84" t="s">
        <v>28</v>
      </c>
      <c r="CI9" s="84">
        <v>12.3</v>
      </c>
      <c r="CJ9" s="84">
        <v>0.0</v>
      </c>
      <c r="CK9" s="84">
        <v>10.3</v>
      </c>
      <c r="CL9" s="84">
        <v>18.0</v>
      </c>
      <c r="CM9" s="84">
        <v>6.0</v>
      </c>
      <c r="CN9" s="84">
        <v>14.0</v>
      </c>
      <c r="CO9" s="84">
        <v>12.0</v>
      </c>
      <c r="CP9" s="84">
        <v>13.0</v>
      </c>
      <c r="CQ9" s="84">
        <v>6.0</v>
      </c>
      <c r="CR9" s="84">
        <v>11.0</v>
      </c>
      <c r="CS9" s="84">
        <v>11.0</v>
      </c>
      <c r="CT9" s="84">
        <v>13.3</v>
      </c>
      <c r="CU9" s="84">
        <v>10.0</v>
      </c>
      <c r="CV9" s="84">
        <v>7.0</v>
      </c>
      <c r="CW9" s="84">
        <v>7.0</v>
      </c>
      <c r="CX9" s="84">
        <v>11.0</v>
      </c>
      <c r="CY9" s="84">
        <v>10.3</v>
      </c>
      <c r="CZ9" s="52">
        <v>8.3</v>
      </c>
      <c r="DA9" s="84">
        <v>12.0</v>
      </c>
      <c r="DB9" s="84">
        <v>9.0</v>
      </c>
      <c r="DC9" s="84">
        <v>11.0</v>
      </c>
      <c r="DD9" s="84">
        <v>12.0</v>
      </c>
      <c r="DE9" s="84">
        <v>7.0</v>
      </c>
      <c r="DF9" s="84">
        <v>11.45</v>
      </c>
      <c r="DG9" s="84">
        <v>14.3</v>
      </c>
      <c r="DH9" s="84">
        <v>16.0</v>
      </c>
      <c r="DI9" s="84">
        <v>11.0</v>
      </c>
      <c r="DJ9" s="84"/>
      <c r="DK9" s="84">
        <v>14.5</v>
      </c>
      <c r="DL9" s="84">
        <v>9.5</v>
      </c>
      <c r="DM9" s="84">
        <v>8.0</v>
      </c>
      <c r="DN9" s="84">
        <v>12.0</v>
      </c>
      <c r="DO9" s="84">
        <v>10.5</v>
      </c>
      <c r="DP9" s="84">
        <v>13.0</v>
      </c>
      <c r="DQ9" s="84">
        <v>12.0</v>
      </c>
      <c r="DR9" s="84">
        <v>7.5</v>
      </c>
      <c r="DS9" s="85">
        <v>6.0</v>
      </c>
      <c r="DT9" s="84">
        <v>9.0</v>
      </c>
      <c r="DU9" s="84">
        <v>9.0</v>
      </c>
      <c r="DV9" s="84">
        <v>12.0</v>
      </c>
      <c r="DW9" s="84">
        <v>13.5</v>
      </c>
      <c r="DX9" s="84">
        <v>12.0</v>
      </c>
      <c r="DY9" s="84">
        <v>8.5</v>
      </c>
      <c r="DZ9" s="84"/>
      <c r="EA9" s="84">
        <v>16.5</v>
      </c>
      <c r="EB9" s="84">
        <v>12.0</v>
      </c>
      <c r="EC9" s="84">
        <v>12.0</v>
      </c>
      <c r="ED9" s="52">
        <v>11.0</v>
      </c>
      <c r="EE9" s="84">
        <v>12.0</v>
      </c>
      <c r="EF9" s="84">
        <v>9.5</v>
      </c>
      <c r="EG9" s="84">
        <v>11.5</v>
      </c>
      <c r="EH9" s="84">
        <v>11.5</v>
      </c>
      <c r="EI9" s="84">
        <v>11.0</v>
      </c>
      <c r="EJ9" s="84">
        <v>11.0</v>
      </c>
      <c r="EK9" s="84">
        <v>7.5</v>
      </c>
      <c r="EL9" s="84">
        <v>5.0</v>
      </c>
      <c r="EM9" s="84">
        <v>10.75</v>
      </c>
      <c r="EN9" s="84">
        <v>10.0</v>
      </c>
      <c r="EO9" s="84">
        <v>9.5</v>
      </c>
      <c r="EP9" s="84">
        <v>9.0</v>
      </c>
      <c r="EQ9" s="84">
        <v>10.75</v>
      </c>
      <c r="ER9" s="84">
        <v>12.2</v>
      </c>
      <c r="ES9" s="84">
        <v>5.0</v>
      </c>
      <c r="ET9" s="84">
        <v>12.0</v>
      </c>
      <c r="EU9" s="84">
        <v>10.0</v>
      </c>
      <c r="EV9" s="84">
        <v>9.5</v>
      </c>
      <c r="EW9" s="84">
        <v>8.75</v>
      </c>
      <c r="EX9" s="84">
        <v>10.6</v>
      </c>
      <c r="EY9" s="84">
        <v>10.25</v>
      </c>
      <c r="EZ9" s="84">
        <v>13.0</v>
      </c>
      <c r="FA9" s="84">
        <v>9.5</v>
      </c>
      <c r="FB9" s="84">
        <v>9.5</v>
      </c>
      <c r="FC9" s="84">
        <v>11.2</v>
      </c>
      <c r="FD9" s="84">
        <v>11.7</v>
      </c>
      <c r="FE9" s="84">
        <v>10.0</v>
      </c>
      <c r="FF9" s="84">
        <v>12.45</v>
      </c>
      <c r="FG9" s="84">
        <v>16.0</v>
      </c>
      <c r="FH9" s="84">
        <v>14.0</v>
      </c>
      <c r="FI9" s="84">
        <v>7.6</v>
      </c>
      <c r="FJ9" s="84"/>
      <c r="FK9" s="84">
        <v>16.0</v>
      </c>
      <c r="FL9" s="84">
        <v>11.2</v>
      </c>
      <c r="FM9" s="84">
        <v>10.0</v>
      </c>
      <c r="FN9" s="84">
        <v>11.2</v>
      </c>
      <c r="FO9" s="84">
        <v>12.0</v>
      </c>
      <c r="FP9" s="84">
        <v>9.5</v>
      </c>
      <c r="FQ9" s="84">
        <v>11.0</v>
      </c>
      <c r="FR9" s="84">
        <v>12.0</v>
      </c>
      <c r="FS9" s="84">
        <v>10.5</v>
      </c>
      <c r="FT9" s="84">
        <v>12.0</v>
      </c>
      <c r="FU9" s="84">
        <v>11.0</v>
      </c>
      <c r="FV9" s="84">
        <v>12.0</v>
      </c>
      <c r="FW9" s="84">
        <v>10.0</v>
      </c>
      <c r="FX9" s="84">
        <v>11.0</v>
      </c>
      <c r="FY9" s="84">
        <v>9.5</v>
      </c>
      <c r="FZ9" s="84">
        <v>11.0</v>
      </c>
      <c r="GA9" s="84">
        <v>10.0</v>
      </c>
      <c r="GB9" s="84">
        <v>10.5</v>
      </c>
      <c r="GC9" s="84">
        <v>13.5</v>
      </c>
      <c r="GD9" s="84">
        <v>5.0</v>
      </c>
      <c r="GE9" s="84">
        <v>14.0</v>
      </c>
      <c r="GF9" s="84">
        <v>11.0</v>
      </c>
      <c r="GG9" s="84">
        <v>10.5</v>
      </c>
      <c r="GH9" s="84">
        <v>10.0</v>
      </c>
      <c r="GI9" s="84">
        <v>10.5</v>
      </c>
      <c r="GJ9" s="84">
        <v>10.5</v>
      </c>
      <c r="GK9" s="84">
        <v>12.0</v>
      </c>
      <c r="GL9" s="84"/>
      <c r="GM9" s="84">
        <v>11.0</v>
      </c>
      <c r="GN9" s="84">
        <v>10.5</v>
      </c>
      <c r="GO9" s="84">
        <v>9.0</v>
      </c>
      <c r="GP9" s="84">
        <v>12.0</v>
      </c>
      <c r="GQ9" s="84">
        <v>116.0</v>
      </c>
      <c r="GR9" s="84"/>
      <c r="GS9" s="329">
        <v>15.0</v>
      </c>
      <c r="GT9" s="84">
        <v>10.0</v>
      </c>
      <c r="GU9" s="84">
        <v>12.0</v>
      </c>
      <c r="GV9" s="84">
        <v>9.0</v>
      </c>
      <c r="GW9" s="84">
        <v>10.5</v>
      </c>
      <c r="GX9" s="84">
        <v>8.0</v>
      </c>
      <c r="GY9" s="84">
        <v>12.5</v>
      </c>
      <c r="GZ9" s="84">
        <v>10.0</v>
      </c>
      <c r="HA9" s="84">
        <v>22.0</v>
      </c>
      <c r="HB9" s="84">
        <v>8.0</v>
      </c>
      <c r="HC9" s="84">
        <v>10.5</v>
      </c>
      <c r="HD9" s="84">
        <v>15.5</v>
      </c>
      <c r="HE9" s="84">
        <v>12.0</v>
      </c>
      <c r="HF9" s="84">
        <v>7.0</v>
      </c>
      <c r="HG9" s="84">
        <v>11.0</v>
      </c>
      <c r="HH9" s="84">
        <v>8.0</v>
      </c>
      <c r="HI9" s="84">
        <v>10.0</v>
      </c>
      <c r="HJ9" s="84">
        <v>8.5</v>
      </c>
      <c r="HK9" s="84" t="s">
        <v>32</v>
      </c>
      <c r="HL9" s="84">
        <v>4.5</v>
      </c>
      <c r="HM9" s="84">
        <v>7.0</v>
      </c>
      <c r="HN9" s="84">
        <v>9.5</v>
      </c>
      <c r="HO9" s="84">
        <v>15.0</v>
      </c>
      <c r="HP9" s="84">
        <v>7.5</v>
      </c>
      <c r="HQ9" s="84">
        <v>8.5</v>
      </c>
      <c r="HR9" s="84">
        <v>8.0</v>
      </c>
      <c r="HS9" s="84">
        <v>8.0</v>
      </c>
      <c r="HT9" s="84">
        <v>8.5</v>
      </c>
      <c r="HU9" s="84">
        <v>17.5</v>
      </c>
      <c r="HV9" s="84">
        <v>3.0</v>
      </c>
      <c r="HW9" s="84">
        <v>13.0</v>
      </c>
      <c r="HX9" s="58">
        <v>13.0</v>
      </c>
      <c r="HY9" s="58">
        <v>9.0</v>
      </c>
      <c r="HZ9" s="58">
        <v>12.0</v>
      </c>
      <c r="IA9" s="58">
        <v>11.0</v>
      </c>
      <c r="IB9" s="58">
        <v>17.0</v>
      </c>
      <c r="IC9" s="58">
        <v>6.0</v>
      </c>
      <c r="ID9" s="58">
        <v>10.5</v>
      </c>
      <c r="IE9" s="58">
        <v>10.0</v>
      </c>
      <c r="IF9" s="58">
        <v>11.0</v>
      </c>
      <c r="IG9" s="58">
        <v>5.5</v>
      </c>
      <c r="IH9" s="58">
        <v>10.5</v>
      </c>
      <c r="II9" s="58">
        <v>5.5</v>
      </c>
      <c r="IJ9" s="58">
        <v>10.0</v>
      </c>
      <c r="IK9" s="58">
        <v>11.5</v>
      </c>
      <c r="IL9" s="58">
        <v>11.0</v>
      </c>
      <c r="IM9" s="58">
        <v>9.5</v>
      </c>
      <c r="IN9" s="58">
        <v>10.25</v>
      </c>
      <c r="IO9" s="58">
        <v>9.0</v>
      </c>
      <c r="IP9" s="58">
        <v>12.0</v>
      </c>
      <c r="IQ9" s="58">
        <v>12.0</v>
      </c>
      <c r="IR9" s="58">
        <v>10.0</v>
      </c>
      <c r="IS9" s="58">
        <v>10.0</v>
      </c>
      <c r="IT9" s="58">
        <v>3.25</v>
      </c>
      <c r="IU9" s="58">
        <v>10.0</v>
      </c>
      <c r="IV9" s="58">
        <v>7.0</v>
      </c>
      <c r="IW9" s="58">
        <v>7.5</v>
      </c>
      <c r="IX9" s="58">
        <v>12.0</v>
      </c>
      <c r="IY9" s="58">
        <v>8.5</v>
      </c>
      <c r="IZ9" s="58">
        <v>9.0</v>
      </c>
      <c r="JA9" s="58">
        <v>14.5</v>
      </c>
      <c r="JB9" s="61"/>
      <c r="JC9" s="62">
        <v>2.5</v>
      </c>
      <c r="JD9" s="62">
        <v>9.0</v>
      </c>
      <c r="JE9" s="62">
        <v>8.0</v>
      </c>
      <c r="JF9" s="62">
        <v>11.5</v>
      </c>
      <c r="JG9" s="62">
        <v>9.0</v>
      </c>
      <c r="JH9" s="62"/>
      <c r="JI9" s="62">
        <v>11.25</v>
      </c>
      <c r="JJ9" s="62">
        <v>11.0</v>
      </c>
      <c r="JK9" s="62">
        <v>8.5</v>
      </c>
      <c r="JL9" s="62">
        <v>10.5</v>
      </c>
      <c r="JM9" s="62">
        <v>9.5</v>
      </c>
      <c r="JN9" s="62">
        <v>9.0</v>
      </c>
      <c r="JO9" s="62">
        <v>8.5</v>
      </c>
      <c r="JP9" s="62">
        <v>11.25</v>
      </c>
      <c r="JQ9" s="62">
        <v>8.5</v>
      </c>
      <c r="JR9" s="62">
        <v>10.0</v>
      </c>
      <c r="JS9" s="62">
        <v>7.75</v>
      </c>
      <c r="JT9" s="62">
        <v>7.5</v>
      </c>
      <c r="JU9" s="62">
        <v>9.0</v>
      </c>
      <c r="JV9" s="62">
        <v>9.0</v>
      </c>
      <c r="JW9" s="62">
        <v>8.0</v>
      </c>
      <c r="JX9" s="62">
        <v>9.25</v>
      </c>
      <c r="JY9" s="62">
        <v>7.0</v>
      </c>
      <c r="JZ9" s="62">
        <v>5.0</v>
      </c>
      <c r="KA9" s="62">
        <v>5.0</v>
      </c>
      <c r="KB9" s="62">
        <v>7.25</v>
      </c>
      <c r="KC9" s="62">
        <v>8.5</v>
      </c>
      <c r="KD9" s="62"/>
      <c r="KE9" s="62"/>
      <c r="KF9" s="62"/>
      <c r="KG9" s="65">
        <v>7.0</v>
      </c>
      <c r="KH9" s="66"/>
      <c r="KI9" s="67">
        <v>6.0</v>
      </c>
      <c r="KJ9" s="68">
        <v>4.5</v>
      </c>
      <c r="KK9" s="67">
        <v>5.0</v>
      </c>
      <c r="KL9" s="67">
        <v>8.0</v>
      </c>
      <c r="KM9" s="67">
        <v>8.5</v>
      </c>
      <c r="KN9" s="67">
        <v>8.0</v>
      </c>
      <c r="KO9" s="67" t="s">
        <v>32</v>
      </c>
      <c r="KP9" s="67">
        <v>1.0</v>
      </c>
      <c r="KQ9" s="67">
        <v>8.75</v>
      </c>
      <c r="KR9" s="67">
        <v>14.0</v>
      </c>
      <c r="KS9" s="67">
        <v>9.0</v>
      </c>
      <c r="KT9" s="67">
        <v>13.25</v>
      </c>
      <c r="KU9" s="67">
        <v>4.0</v>
      </c>
      <c r="KV9" s="67">
        <v>12.0</v>
      </c>
      <c r="KW9" s="67">
        <v>5.0</v>
      </c>
      <c r="KX9" s="67">
        <v>11.0</v>
      </c>
      <c r="KY9" s="67">
        <v>7.0</v>
      </c>
      <c r="KZ9" s="67">
        <v>6.0</v>
      </c>
      <c r="LA9" s="67">
        <v>5.0</v>
      </c>
      <c r="LB9" s="67" t="s">
        <v>32</v>
      </c>
      <c r="LC9" s="67">
        <v>1.5</v>
      </c>
      <c r="LD9" s="67">
        <v>0.0</v>
      </c>
      <c r="LE9" s="67">
        <v>0.0</v>
      </c>
      <c r="LF9" s="67">
        <v>0.0</v>
      </c>
      <c r="LG9" s="67">
        <v>0.0</v>
      </c>
      <c r="LH9" s="67">
        <v>5.0</v>
      </c>
      <c r="LI9" s="67">
        <v>8.0</v>
      </c>
      <c r="LJ9" s="67">
        <v>4.5</v>
      </c>
      <c r="LK9" s="67">
        <v>8.0</v>
      </c>
      <c r="LL9" s="67" t="s">
        <v>32</v>
      </c>
      <c r="LM9" s="67"/>
      <c r="LN9" s="66"/>
      <c r="LO9" s="67"/>
      <c r="LP9" s="112"/>
      <c r="LQ9" s="67"/>
      <c r="LR9" s="67"/>
      <c r="LS9" s="67"/>
      <c r="LT9" s="67"/>
      <c r="LU9" s="67"/>
      <c r="LV9" s="67"/>
      <c r="LW9" s="67"/>
      <c r="LX9" s="67"/>
      <c r="LY9" s="67"/>
      <c r="LZ9" s="67"/>
      <c r="MA9" s="67"/>
      <c r="MB9" s="67"/>
      <c r="MC9" s="67"/>
      <c r="MD9" s="67"/>
      <c r="ME9" s="67"/>
      <c r="MF9" s="67"/>
      <c r="MG9" s="67"/>
      <c r="MH9" s="67"/>
      <c r="MI9" s="67"/>
      <c r="MJ9" s="67"/>
      <c r="MK9" s="67"/>
      <c r="ML9" s="67"/>
      <c r="MM9" s="67"/>
      <c r="MN9" s="67"/>
      <c r="MO9" s="67"/>
      <c r="MP9" s="67"/>
      <c r="MQ9" s="67"/>
      <c r="MR9" s="70"/>
      <c r="MS9" s="70"/>
      <c r="MT9" s="106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107"/>
      <c r="OA9" s="108"/>
      <c r="OB9" s="108"/>
      <c r="OC9" s="109"/>
      <c r="OD9" s="78"/>
      <c r="OE9" s="78"/>
      <c r="OF9" s="78"/>
      <c r="OG9" s="78"/>
      <c r="OH9" s="78"/>
      <c r="OI9" s="78"/>
      <c r="OJ9" s="78"/>
      <c r="OK9" s="78"/>
      <c r="OL9" s="78"/>
    </row>
    <row r="10" ht="30.0" customHeight="1">
      <c r="A10" s="113"/>
      <c r="B10" s="114" t="s">
        <v>12</v>
      </c>
      <c r="C10" s="49">
        <f t="shared" si="7"/>
        <v>24.5</v>
      </c>
      <c r="D10" s="48">
        <f t="shared" si="8"/>
        <v>10.5</v>
      </c>
      <c r="E10" s="115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>
        <v>11.0</v>
      </c>
      <c r="AD10" s="116">
        <v>11.5</v>
      </c>
      <c r="AE10" s="116">
        <v>16.0</v>
      </c>
      <c r="AF10" s="116"/>
      <c r="AG10" s="116">
        <v>21.0</v>
      </c>
      <c r="AH10" s="116"/>
      <c r="AI10" s="116">
        <v>11.0</v>
      </c>
      <c r="AJ10" s="116">
        <v>12.0</v>
      </c>
      <c r="AK10" s="116">
        <v>10.5</v>
      </c>
      <c r="AL10" s="116">
        <v>9.5</v>
      </c>
      <c r="AM10" s="116">
        <v>9.5</v>
      </c>
      <c r="AN10" s="116">
        <v>9.5</v>
      </c>
      <c r="AO10" s="116">
        <v>6.5</v>
      </c>
      <c r="AP10" s="116">
        <v>10.0</v>
      </c>
      <c r="AQ10" s="116"/>
      <c r="AR10" s="116">
        <v>14.0</v>
      </c>
      <c r="AS10" s="116">
        <v>10.3</v>
      </c>
      <c r="AT10" s="116">
        <v>2.3</v>
      </c>
      <c r="AU10" s="116">
        <v>13.0</v>
      </c>
      <c r="AV10" s="116">
        <v>11.0</v>
      </c>
      <c r="AW10" s="116">
        <v>10.0</v>
      </c>
      <c r="AX10" s="117"/>
      <c r="AY10" s="116">
        <v>5.0</v>
      </c>
      <c r="AZ10" s="116">
        <v>12.0</v>
      </c>
      <c r="BA10" s="117"/>
      <c r="BB10" s="116">
        <v>9.3</v>
      </c>
      <c r="BC10" s="116">
        <v>14.0</v>
      </c>
      <c r="BD10" s="117"/>
      <c r="BE10" s="116">
        <v>12.3</v>
      </c>
      <c r="BF10" s="116">
        <v>9.0</v>
      </c>
      <c r="BG10" s="117"/>
      <c r="BH10" s="116"/>
      <c r="BI10" s="116">
        <v>14.0</v>
      </c>
      <c r="BJ10" s="116"/>
      <c r="BK10" s="116">
        <v>12.0</v>
      </c>
      <c r="BL10" s="116"/>
      <c r="BM10" s="116"/>
      <c r="BN10" s="116">
        <v>12.0</v>
      </c>
      <c r="BO10" s="116">
        <v>4.0</v>
      </c>
      <c r="BP10" s="116">
        <v>10.0</v>
      </c>
      <c r="BQ10" s="116">
        <v>10.3</v>
      </c>
      <c r="BR10" s="116">
        <v>11.0</v>
      </c>
      <c r="BS10" s="116">
        <v>8.3</v>
      </c>
      <c r="BT10" s="116">
        <v>12.0</v>
      </c>
      <c r="BU10" s="118">
        <v>11.0</v>
      </c>
      <c r="BV10" s="116">
        <v>14.0</v>
      </c>
      <c r="BW10" s="119">
        <v>5.3</v>
      </c>
      <c r="BX10" s="119"/>
      <c r="BY10" s="119">
        <v>11.0</v>
      </c>
      <c r="BZ10" s="120">
        <v>12.0</v>
      </c>
      <c r="CA10" s="120">
        <v>9.0</v>
      </c>
      <c r="CB10" s="120">
        <v>12.3</v>
      </c>
      <c r="CC10" s="120"/>
      <c r="CD10" s="120" t="s">
        <v>36</v>
      </c>
      <c r="CE10" s="120">
        <v>13.0</v>
      </c>
      <c r="CF10" s="120">
        <v>12.0</v>
      </c>
      <c r="CG10" s="120"/>
      <c r="CH10" s="120">
        <v>9.0</v>
      </c>
      <c r="CI10" s="120">
        <v>9.0</v>
      </c>
      <c r="CJ10" s="120"/>
      <c r="CK10" s="120">
        <v>11.0</v>
      </c>
      <c r="CL10" s="120">
        <v>10.0</v>
      </c>
      <c r="CM10" s="120">
        <v>11.3</v>
      </c>
      <c r="CN10" s="120">
        <v>22.0</v>
      </c>
      <c r="CO10" s="120">
        <v>10.3</v>
      </c>
      <c r="CP10" s="120">
        <v>11.0</v>
      </c>
      <c r="CQ10" s="120">
        <v>4.3</v>
      </c>
      <c r="CR10" s="120">
        <v>2.0</v>
      </c>
      <c r="CS10" s="120">
        <v>9.3</v>
      </c>
      <c r="CT10" s="120">
        <v>21.0</v>
      </c>
      <c r="CU10" s="120"/>
      <c r="CV10" s="120"/>
      <c r="CW10" s="120"/>
      <c r="CX10" s="120">
        <v>11.0</v>
      </c>
      <c r="CY10" s="120"/>
      <c r="CZ10" s="118">
        <v>9.0</v>
      </c>
      <c r="DA10" s="120">
        <v>10.0</v>
      </c>
      <c r="DB10" s="120">
        <v>9.0</v>
      </c>
      <c r="DC10" s="120">
        <v>10.0</v>
      </c>
      <c r="DD10" s="120">
        <v>11.0</v>
      </c>
      <c r="DE10" s="120"/>
      <c r="DF10" s="120">
        <v>12.0</v>
      </c>
      <c r="DG10" s="120">
        <v>9.0</v>
      </c>
      <c r="DH10" s="120">
        <v>9.0</v>
      </c>
      <c r="DI10" s="120">
        <v>9.0</v>
      </c>
      <c r="DJ10" s="120">
        <v>11.0</v>
      </c>
      <c r="DK10" s="120">
        <v>4.0</v>
      </c>
      <c r="DL10" s="120">
        <v>12.0</v>
      </c>
      <c r="DM10" s="120"/>
      <c r="DN10" s="121">
        <v>12.0</v>
      </c>
      <c r="DO10" s="121">
        <v>12.0</v>
      </c>
      <c r="DP10" s="121">
        <v>12.0</v>
      </c>
      <c r="DQ10" s="121">
        <v>12.0</v>
      </c>
      <c r="DR10" s="121">
        <v>12.0</v>
      </c>
      <c r="DS10" s="122"/>
      <c r="DT10" s="121">
        <v>13.0</v>
      </c>
      <c r="DU10" s="120">
        <v>7.0</v>
      </c>
      <c r="DV10" s="120">
        <v>8.5</v>
      </c>
      <c r="DW10" s="120">
        <v>8.0</v>
      </c>
      <c r="DX10" s="120">
        <v>7.5</v>
      </c>
      <c r="DY10" s="120"/>
      <c r="DZ10" s="120"/>
      <c r="EA10" s="120">
        <v>8.0</v>
      </c>
      <c r="EB10" s="120">
        <v>8.0</v>
      </c>
      <c r="EC10" s="120">
        <v>9.2</v>
      </c>
      <c r="ED10" s="118">
        <v>9.0</v>
      </c>
      <c r="EE10" s="120">
        <v>9.0</v>
      </c>
      <c r="EF10" s="120">
        <v>8.0</v>
      </c>
      <c r="EG10" s="120"/>
      <c r="EH10" s="120">
        <v>7.0</v>
      </c>
      <c r="EI10" s="120">
        <v>6.0</v>
      </c>
      <c r="EJ10" s="120">
        <v>7.0</v>
      </c>
      <c r="EK10" s="120">
        <v>5.0</v>
      </c>
      <c r="EL10" s="331"/>
      <c r="EM10" s="120">
        <v>8.0</v>
      </c>
      <c r="EN10" s="120">
        <v>7.0</v>
      </c>
      <c r="EO10" s="120">
        <v>9.0</v>
      </c>
      <c r="EP10" s="332">
        <v>8.5</v>
      </c>
      <c r="EQ10" s="332">
        <v>8.5</v>
      </c>
      <c r="ER10" s="120">
        <v>9.0</v>
      </c>
      <c r="ES10" s="120">
        <v>9.25</v>
      </c>
      <c r="ET10" s="120">
        <v>9.0</v>
      </c>
      <c r="EU10" s="120">
        <v>5.0</v>
      </c>
      <c r="EV10" s="120">
        <v>8.5</v>
      </c>
      <c r="EW10" s="120"/>
      <c r="EX10" s="120">
        <v>6.0</v>
      </c>
      <c r="EY10" s="120">
        <v>16.0</v>
      </c>
      <c r="EZ10" s="120"/>
      <c r="FA10" s="120">
        <v>9.0</v>
      </c>
      <c r="FB10" s="120"/>
      <c r="FC10" s="120">
        <v>10.0</v>
      </c>
      <c r="FD10" s="120">
        <v>10.0</v>
      </c>
      <c r="FE10" s="120">
        <v>8.25</v>
      </c>
      <c r="FF10" s="120">
        <v>9.5</v>
      </c>
      <c r="FG10" s="120">
        <v>8.0</v>
      </c>
      <c r="FH10" s="120">
        <v>8.5</v>
      </c>
      <c r="FI10" s="120"/>
      <c r="FJ10" s="120">
        <v>5.3</v>
      </c>
      <c r="FK10" s="120">
        <v>7.0</v>
      </c>
      <c r="FL10" s="120"/>
      <c r="FM10" s="120"/>
      <c r="FN10" s="120">
        <v>10.0</v>
      </c>
      <c r="FO10" s="120">
        <v>5.0</v>
      </c>
      <c r="FP10" s="120">
        <v>7.5</v>
      </c>
      <c r="FQ10" s="120">
        <v>9.0</v>
      </c>
      <c r="FR10" s="120">
        <v>12.0</v>
      </c>
      <c r="FS10" s="120">
        <v>9.0</v>
      </c>
      <c r="FT10" s="120"/>
      <c r="FU10" s="120">
        <v>10.0</v>
      </c>
      <c r="FV10" s="120">
        <v>8.0</v>
      </c>
      <c r="FW10" s="120"/>
      <c r="FX10" s="120">
        <v>10.0</v>
      </c>
      <c r="FY10" s="120">
        <v>11.0</v>
      </c>
      <c r="FZ10" s="120">
        <v>11.0</v>
      </c>
      <c r="GA10" s="120">
        <v>21.0</v>
      </c>
      <c r="GB10" s="120">
        <v>6.0</v>
      </c>
      <c r="GC10" s="120">
        <v>10.0</v>
      </c>
      <c r="GD10" s="120">
        <v>9.0</v>
      </c>
      <c r="GE10" s="120"/>
      <c r="GF10" s="120"/>
      <c r="GG10" s="120">
        <v>16.0</v>
      </c>
      <c r="GH10" s="120">
        <v>6.0</v>
      </c>
      <c r="GI10" s="120">
        <v>8.5</v>
      </c>
      <c r="GJ10" s="120">
        <v>5.5</v>
      </c>
      <c r="GK10" s="120">
        <v>5.5</v>
      </c>
      <c r="GL10" s="120">
        <v>9.0</v>
      </c>
      <c r="GM10" s="120">
        <v>7.5</v>
      </c>
      <c r="GN10" s="120">
        <v>15.0</v>
      </c>
      <c r="GO10" s="120">
        <v>6.0</v>
      </c>
      <c r="GP10" s="120">
        <v>8.5</v>
      </c>
      <c r="GQ10" s="120">
        <v>7.0</v>
      </c>
      <c r="GR10" s="120">
        <v>7.0</v>
      </c>
      <c r="GS10" s="333">
        <v>4.0</v>
      </c>
      <c r="GT10" s="120">
        <v>3.5</v>
      </c>
      <c r="GU10" s="120">
        <v>6.5</v>
      </c>
      <c r="GV10" s="120">
        <v>5.0</v>
      </c>
      <c r="GW10" s="120">
        <v>8.0</v>
      </c>
      <c r="GX10" s="120">
        <v>8.5</v>
      </c>
      <c r="GY10" s="120" t="s">
        <v>32</v>
      </c>
      <c r="GZ10" s="120">
        <v>11.0</v>
      </c>
      <c r="HA10" s="120">
        <v>6.0</v>
      </c>
      <c r="HB10" s="120">
        <v>7.5</v>
      </c>
      <c r="HC10" s="120">
        <v>5.5</v>
      </c>
      <c r="HD10" s="120">
        <v>7.0</v>
      </c>
      <c r="HE10" s="120">
        <v>6.5</v>
      </c>
      <c r="HF10" s="120">
        <v>16.0</v>
      </c>
      <c r="HG10" s="120">
        <v>5.5</v>
      </c>
      <c r="HH10" s="120">
        <v>5.0</v>
      </c>
      <c r="HI10" s="120">
        <v>5.0</v>
      </c>
      <c r="HJ10" s="120">
        <v>7.0</v>
      </c>
      <c r="HK10" s="120">
        <v>3.5</v>
      </c>
      <c r="HL10" s="120">
        <v>5.0</v>
      </c>
      <c r="HM10" s="120" t="s">
        <v>32</v>
      </c>
      <c r="HN10" s="120">
        <v>3.5</v>
      </c>
      <c r="HO10" s="120">
        <v>13.5</v>
      </c>
      <c r="HP10" s="120">
        <v>3.5</v>
      </c>
      <c r="HQ10" s="120">
        <v>6.0</v>
      </c>
      <c r="HR10" s="120">
        <v>6.0</v>
      </c>
      <c r="HS10" s="120" t="s">
        <v>32</v>
      </c>
      <c r="HT10" s="120">
        <v>7.0</v>
      </c>
      <c r="HU10" s="120">
        <v>5.0</v>
      </c>
      <c r="HV10" s="120">
        <v>13.0</v>
      </c>
      <c r="HW10" s="120" t="s">
        <v>32</v>
      </c>
      <c r="HX10" s="128">
        <v>0.0</v>
      </c>
      <c r="HY10" s="128">
        <v>6.0</v>
      </c>
      <c r="HZ10" s="128">
        <v>10.0</v>
      </c>
      <c r="IA10" s="128">
        <v>8.0</v>
      </c>
      <c r="IB10" s="128">
        <v>13.0</v>
      </c>
      <c r="IC10" s="128">
        <v>13.5</v>
      </c>
      <c r="ID10" s="128">
        <v>9.0</v>
      </c>
      <c r="IE10" s="128">
        <v>9.5</v>
      </c>
      <c r="IF10" s="128">
        <v>6.0</v>
      </c>
      <c r="IG10" s="128">
        <v>0.0</v>
      </c>
      <c r="IH10" s="128">
        <v>0.0</v>
      </c>
      <c r="II10" s="128">
        <v>8.0</v>
      </c>
      <c r="IJ10" s="128"/>
      <c r="IK10" s="128"/>
      <c r="IL10" s="128">
        <v>12.0</v>
      </c>
      <c r="IM10" s="128">
        <v>10.0</v>
      </c>
      <c r="IN10" s="128">
        <v>8.0</v>
      </c>
      <c r="IO10" s="128">
        <v>11.0</v>
      </c>
      <c r="IP10" s="128">
        <v>5.0</v>
      </c>
      <c r="IQ10" s="128">
        <v>12.0</v>
      </c>
      <c r="IR10" s="129">
        <v>10.5</v>
      </c>
      <c r="IS10" s="128">
        <v>4.5</v>
      </c>
      <c r="IT10" s="128">
        <v>12.0</v>
      </c>
      <c r="IU10" s="128">
        <v>8.0</v>
      </c>
      <c r="IV10" s="128">
        <v>5.0</v>
      </c>
      <c r="IW10" s="128">
        <v>13.0</v>
      </c>
      <c r="IX10" s="128">
        <v>9.0</v>
      </c>
      <c r="IY10" s="128"/>
      <c r="IZ10" s="128">
        <v>8.0</v>
      </c>
      <c r="JA10" s="128">
        <v>3.5</v>
      </c>
      <c r="JB10" s="130"/>
      <c r="JC10" s="131">
        <v>6.0</v>
      </c>
      <c r="JD10" s="131">
        <v>10.0</v>
      </c>
      <c r="JE10" s="131"/>
      <c r="JF10" s="131"/>
      <c r="JG10" s="131">
        <v>10.0</v>
      </c>
      <c r="JH10" s="131">
        <v>11.0</v>
      </c>
      <c r="JI10" s="131">
        <v>10.0</v>
      </c>
      <c r="JJ10" s="131"/>
      <c r="JK10" s="131"/>
      <c r="JL10" s="131">
        <v>12.0</v>
      </c>
      <c r="JM10" s="131">
        <v>14.5</v>
      </c>
      <c r="JN10" s="131">
        <v>9.0</v>
      </c>
      <c r="JO10" s="131">
        <v>10.0</v>
      </c>
      <c r="JP10" s="131"/>
      <c r="JQ10" s="131">
        <v>9.5</v>
      </c>
      <c r="JR10" s="131">
        <v>9.5</v>
      </c>
      <c r="JS10" s="131">
        <v>16.0</v>
      </c>
      <c r="JT10" s="131">
        <v>9.0</v>
      </c>
      <c r="JU10" s="131">
        <v>8.25</v>
      </c>
      <c r="JV10" s="131">
        <v>8.75</v>
      </c>
      <c r="JW10" s="131"/>
      <c r="JX10" s="131">
        <v>11.0</v>
      </c>
      <c r="JY10" s="131"/>
      <c r="JZ10" s="131">
        <v>10.5</v>
      </c>
      <c r="KA10" s="131">
        <v>9.0</v>
      </c>
      <c r="KB10" s="131">
        <v>10.0</v>
      </c>
      <c r="KC10" s="131"/>
      <c r="KD10" s="131">
        <v>11.0</v>
      </c>
      <c r="KE10" s="131"/>
      <c r="KF10" s="131"/>
      <c r="KG10" s="132"/>
      <c r="KH10" s="133"/>
      <c r="KI10" s="134">
        <v>8.5</v>
      </c>
      <c r="KJ10" s="68">
        <v>11.5</v>
      </c>
      <c r="KK10" s="134">
        <v>12.0</v>
      </c>
      <c r="KL10" s="134">
        <v>10.0</v>
      </c>
      <c r="KM10" s="134" t="s">
        <v>32</v>
      </c>
      <c r="KN10" s="134">
        <v>16.0</v>
      </c>
      <c r="KO10" s="135" t="s">
        <v>32</v>
      </c>
      <c r="KP10" s="134" t="s">
        <v>32</v>
      </c>
      <c r="KQ10" s="134" t="s">
        <v>32</v>
      </c>
      <c r="KR10" s="134">
        <v>9.5</v>
      </c>
      <c r="KS10" s="134">
        <v>6.0</v>
      </c>
      <c r="KT10" s="134" t="s">
        <v>32</v>
      </c>
      <c r="KU10" s="134" t="s">
        <v>32</v>
      </c>
      <c r="KV10" s="134" t="s">
        <v>32</v>
      </c>
      <c r="KW10" s="134">
        <v>5.25</v>
      </c>
      <c r="KX10" s="134">
        <v>6.5</v>
      </c>
      <c r="KY10" s="134">
        <v>9.5</v>
      </c>
      <c r="KZ10" s="134">
        <v>6.5</v>
      </c>
      <c r="LA10" s="134" t="s">
        <v>32</v>
      </c>
      <c r="LB10" s="134">
        <v>10.0</v>
      </c>
      <c r="LC10" s="134" t="s">
        <v>32</v>
      </c>
      <c r="LD10" s="134">
        <v>7.0</v>
      </c>
      <c r="LE10" s="134" t="s">
        <v>32</v>
      </c>
      <c r="LF10" s="134">
        <v>8.25</v>
      </c>
      <c r="LG10" s="134">
        <v>6.0</v>
      </c>
      <c r="LH10" s="134" t="s">
        <v>32</v>
      </c>
      <c r="LI10" s="134">
        <v>10.0</v>
      </c>
      <c r="LJ10" s="134">
        <v>7.0</v>
      </c>
      <c r="LK10" s="134" t="s">
        <v>32</v>
      </c>
      <c r="LL10" s="134" t="s">
        <v>32</v>
      </c>
      <c r="LM10" s="134">
        <v>3.4</v>
      </c>
      <c r="LN10" s="133"/>
      <c r="LO10" s="134"/>
      <c r="LP10" s="134"/>
      <c r="LQ10" s="134"/>
      <c r="LR10" s="134"/>
      <c r="LS10" s="134"/>
      <c r="LT10" s="134"/>
      <c r="LU10" s="134">
        <v>7.0</v>
      </c>
      <c r="LV10" s="67"/>
      <c r="LW10" s="134">
        <v>8.5</v>
      </c>
      <c r="LX10" s="134">
        <v>9.0</v>
      </c>
      <c r="LY10" s="134"/>
      <c r="LZ10" s="134"/>
      <c r="MA10" s="134"/>
      <c r="MB10" s="134"/>
      <c r="MC10" s="134"/>
      <c r="MD10" s="134"/>
      <c r="ME10" s="134"/>
      <c r="MF10" s="134"/>
      <c r="MG10" s="134"/>
      <c r="MH10" s="134"/>
      <c r="MI10" s="134"/>
      <c r="MJ10" s="134"/>
      <c r="MK10" s="134"/>
      <c r="ML10" s="134"/>
      <c r="MM10" s="134"/>
      <c r="MN10" s="134"/>
      <c r="MO10" s="134"/>
      <c r="MP10" s="134"/>
      <c r="MQ10" s="134"/>
      <c r="MR10" s="70"/>
      <c r="MS10" s="70"/>
      <c r="MT10" s="136"/>
      <c r="MU10" s="137"/>
      <c r="MV10" s="137"/>
      <c r="MW10" s="137"/>
      <c r="MX10" s="137"/>
      <c r="MY10" s="137"/>
      <c r="MZ10" s="137"/>
      <c r="NA10" s="137"/>
      <c r="NB10" s="137"/>
      <c r="NC10" s="137"/>
      <c r="ND10" s="137"/>
      <c r="NE10" s="137">
        <v>10.5</v>
      </c>
      <c r="NF10" s="137"/>
      <c r="NG10" s="137"/>
      <c r="NH10" s="137"/>
      <c r="NI10" s="137"/>
      <c r="NJ10" s="137"/>
      <c r="NK10" s="137"/>
      <c r="NL10" s="137"/>
      <c r="NM10" s="137"/>
      <c r="NN10" s="137"/>
      <c r="NO10" s="137"/>
      <c r="NP10" s="137"/>
      <c r="NQ10" s="137"/>
      <c r="NR10" s="137"/>
      <c r="NS10" s="137"/>
      <c r="NT10" s="137"/>
      <c r="NU10" s="137"/>
      <c r="NV10" s="137"/>
      <c r="NW10" s="137"/>
      <c r="NX10" s="137"/>
      <c r="NY10" s="137"/>
      <c r="NZ10" s="138"/>
      <c r="OA10" s="139"/>
      <c r="OB10" s="139"/>
      <c r="OC10" s="140"/>
      <c r="OD10" s="141"/>
      <c r="OE10" s="141"/>
      <c r="OF10" s="141"/>
      <c r="OG10" s="141"/>
      <c r="OH10" s="141"/>
      <c r="OI10" s="141"/>
      <c r="OJ10" s="141"/>
      <c r="OK10" s="141"/>
      <c r="OL10" s="141"/>
    </row>
    <row r="11" ht="30.0" customHeight="1">
      <c r="A11" s="100"/>
      <c r="B11" s="48" t="s">
        <v>37</v>
      </c>
      <c r="C11" s="49">
        <f t="shared" si="7"/>
        <v>52.75</v>
      </c>
      <c r="D11" s="48">
        <f t="shared" si="8"/>
        <v>0.6</v>
      </c>
      <c r="E11" s="50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2"/>
      <c r="BV11" s="51"/>
      <c r="BW11" s="51"/>
      <c r="BX11" s="51"/>
      <c r="BY11" s="51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4"/>
      <c r="DA11" s="53"/>
      <c r="DB11" s="53"/>
      <c r="DC11" s="53"/>
      <c r="DD11" s="53"/>
      <c r="DE11" s="53"/>
      <c r="DF11" s="53"/>
      <c r="DG11" s="53"/>
      <c r="DH11" s="84">
        <v>6.0</v>
      </c>
      <c r="DI11" s="84">
        <v>6.0</v>
      </c>
      <c r="DJ11" s="84">
        <v>6.0</v>
      </c>
      <c r="DK11" s="84">
        <v>6.0</v>
      </c>
      <c r="DL11" s="84">
        <v>7.0</v>
      </c>
      <c r="DM11" s="84">
        <v>8.0</v>
      </c>
      <c r="DN11" s="85">
        <v>10.0</v>
      </c>
      <c r="DO11" s="85">
        <v>10.0</v>
      </c>
      <c r="DP11" s="85">
        <v>10.0</v>
      </c>
      <c r="DQ11" s="85">
        <v>10.0</v>
      </c>
      <c r="DR11" s="85">
        <v>10.0</v>
      </c>
      <c r="DS11" s="85">
        <v>9.0</v>
      </c>
      <c r="DT11" s="85">
        <v>9.0</v>
      </c>
      <c r="DU11" s="84">
        <v>9.0</v>
      </c>
      <c r="DV11" s="84">
        <v>9.0</v>
      </c>
      <c r="DW11" s="84">
        <v>9.0</v>
      </c>
      <c r="DX11" s="84">
        <v>9.0</v>
      </c>
      <c r="DY11" s="84">
        <v>9.0</v>
      </c>
      <c r="DZ11" s="84"/>
      <c r="EA11" s="85">
        <v>12.0</v>
      </c>
      <c r="EB11" s="85">
        <v>12.0</v>
      </c>
      <c r="EC11" s="85">
        <v>12.0</v>
      </c>
      <c r="ED11" s="142">
        <v>14.0</v>
      </c>
      <c r="EE11" s="84">
        <v>8.0</v>
      </c>
      <c r="EF11" s="84">
        <v>9.0</v>
      </c>
      <c r="EG11" s="84">
        <v>14.0</v>
      </c>
      <c r="EH11" s="84">
        <v>13.0</v>
      </c>
      <c r="EI11" s="84">
        <v>11.0</v>
      </c>
      <c r="EJ11" s="84">
        <v>12.0</v>
      </c>
      <c r="EK11" s="84">
        <v>4.0</v>
      </c>
      <c r="EL11" s="84">
        <v>9.6</v>
      </c>
      <c r="EM11" s="84">
        <v>14.0</v>
      </c>
      <c r="EN11" s="84">
        <v>15.0</v>
      </c>
      <c r="EO11" s="84">
        <v>13.0</v>
      </c>
      <c r="EP11" s="84">
        <v>10.0</v>
      </c>
      <c r="EQ11" s="84">
        <v>11.2</v>
      </c>
      <c r="ER11" s="84">
        <v>13.0</v>
      </c>
      <c r="ES11" s="84">
        <v>11.5</v>
      </c>
      <c r="ET11" s="84">
        <v>13.5</v>
      </c>
      <c r="EU11" s="84">
        <v>4.5</v>
      </c>
      <c r="EV11" s="84">
        <v>9.0</v>
      </c>
      <c r="EW11" s="84">
        <v>10.25</v>
      </c>
      <c r="EX11" s="84">
        <v>11.0</v>
      </c>
      <c r="EY11" s="84">
        <v>9.75</v>
      </c>
      <c r="EZ11" s="84">
        <v>14.25</v>
      </c>
      <c r="FA11" s="84">
        <v>13.0</v>
      </c>
      <c r="FB11" s="84"/>
      <c r="FC11" s="84">
        <v>13.0</v>
      </c>
      <c r="FD11" s="84">
        <v>12.0</v>
      </c>
      <c r="FE11" s="84">
        <v>12.0</v>
      </c>
      <c r="FF11" s="84">
        <v>11.7</v>
      </c>
      <c r="FG11" s="84">
        <v>15.1</v>
      </c>
      <c r="FH11" s="84">
        <v>13.0</v>
      </c>
      <c r="FI11" s="84">
        <v>8.0</v>
      </c>
      <c r="FJ11" s="84">
        <v>10.0</v>
      </c>
      <c r="FK11" s="84">
        <v>13.0</v>
      </c>
      <c r="FL11" s="84">
        <v>10.2</v>
      </c>
      <c r="FM11" s="84">
        <v>11.0</v>
      </c>
      <c r="FN11" s="84">
        <v>11.0</v>
      </c>
      <c r="FO11" s="84">
        <v>10.0</v>
      </c>
      <c r="FP11" s="84">
        <v>11.0</v>
      </c>
      <c r="FQ11" s="84">
        <v>12.0</v>
      </c>
      <c r="FR11" s="84">
        <v>10.0</v>
      </c>
      <c r="FS11" s="84">
        <v>11.5</v>
      </c>
      <c r="FT11" s="84">
        <v>12.0</v>
      </c>
      <c r="FU11" s="84">
        <v>10.5</v>
      </c>
      <c r="FV11" s="84">
        <v>13.5</v>
      </c>
      <c r="FW11" s="84">
        <v>7.0</v>
      </c>
      <c r="FX11" s="84">
        <v>12.0</v>
      </c>
      <c r="FY11" s="84">
        <v>12.0</v>
      </c>
      <c r="FZ11" s="84">
        <v>13.5</v>
      </c>
      <c r="GA11" s="84">
        <v>11.0</v>
      </c>
      <c r="GB11" s="84">
        <v>10.0</v>
      </c>
      <c r="GC11" s="84">
        <v>8.5</v>
      </c>
      <c r="GD11" s="84">
        <v>6.5</v>
      </c>
      <c r="GE11" s="84">
        <v>12.0</v>
      </c>
      <c r="GF11" s="84">
        <v>11.0</v>
      </c>
      <c r="GG11" s="84">
        <v>10.0</v>
      </c>
      <c r="GH11" s="84">
        <v>10.0</v>
      </c>
      <c r="GI11" s="84"/>
      <c r="GJ11" s="84"/>
      <c r="GK11" s="84">
        <v>9.0</v>
      </c>
      <c r="GL11" s="84">
        <v>9.5</v>
      </c>
      <c r="GM11" s="84">
        <v>6.0</v>
      </c>
      <c r="GN11" s="84">
        <v>10.5</v>
      </c>
      <c r="GO11" s="84">
        <v>13.5</v>
      </c>
      <c r="GP11" s="84">
        <v>13.0</v>
      </c>
      <c r="GQ11" s="84">
        <v>12.0</v>
      </c>
      <c r="GR11" s="84">
        <v>12.0</v>
      </c>
      <c r="GS11" s="329">
        <v>9.5</v>
      </c>
      <c r="GT11" s="84">
        <v>9.0</v>
      </c>
      <c r="GU11" s="84">
        <v>16.0</v>
      </c>
      <c r="GV11" s="84">
        <v>9.5</v>
      </c>
      <c r="GW11" s="84">
        <v>9.5</v>
      </c>
      <c r="GX11" s="84">
        <v>6.5</v>
      </c>
      <c r="GY11" s="84">
        <v>6.5</v>
      </c>
      <c r="GZ11" s="84">
        <v>9.0</v>
      </c>
      <c r="HA11" s="84">
        <v>10.0</v>
      </c>
      <c r="HB11" s="84">
        <v>11.5</v>
      </c>
      <c r="HC11" s="84">
        <v>8.5</v>
      </c>
      <c r="HD11" s="84">
        <v>6.0</v>
      </c>
      <c r="HE11" s="84">
        <v>12.0</v>
      </c>
      <c r="HF11" s="84">
        <v>10.0</v>
      </c>
      <c r="HG11" s="84">
        <v>7.0</v>
      </c>
      <c r="HH11" s="84">
        <v>8.0</v>
      </c>
      <c r="HI11" s="84">
        <v>5.0</v>
      </c>
      <c r="HJ11" s="84">
        <v>4.5</v>
      </c>
      <c r="HK11" s="84">
        <v>10.0</v>
      </c>
      <c r="HL11" s="84">
        <v>16.5</v>
      </c>
      <c r="HM11" s="84">
        <v>6.5</v>
      </c>
      <c r="HN11" s="84">
        <v>10.0</v>
      </c>
      <c r="HO11" s="84">
        <v>8.5</v>
      </c>
      <c r="HP11" s="84">
        <v>7.0</v>
      </c>
      <c r="HQ11" s="84">
        <v>5.0</v>
      </c>
      <c r="HR11" s="84">
        <v>11.0</v>
      </c>
      <c r="HS11" s="84">
        <v>6.5</v>
      </c>
      <c r="HT11" s="84">
        <v>9.5</v>
      </c>
      <c r="HU11" s="84">
        <v>9.5</v>
      </c>
      <c r="HV11" s="84">
        <v>9.0</v>
      </c>
      <c r="HW11" s="84">
        <v>4.0</v>
      </c>
      <c r="HX11" s="58">
        <v>8.5</v>
      </c>
      <c r="HY11" s="58">
        <v>8.0</v>
      </c>
      <c r="HZ11" s="58">
        <v>10.5</v>
      </c>
      <c r="IA11" s="58">
        <v>8.5</v>
      </c>
      <c r="IB11" s="58">
        <v>11.0</v>
      </c>
      <c r="IC11" s="58">
        <v>9.5</v>
      </c>
      <c r="ID11" s="58">
        <v>11.5</v>
      </c>
      <c r="IE11" s="58">
        <v>3.0</v>
      </c>
      <c r="IF11" s="58">
        <v>15.5</v>
      </c>
      <c r="IG11" s="58">
        <v>16.0</v>
      </c>
      <c r="IH11" s="58">
        <v>9.0</v>
      </c>
      <c r="II11" s="58">
        <v>9.5</v>
      </c>
      <c r="IJ11" s="58">
        <v>9.5</v>
      </c>
      <c r="IK11" s="58">
        <v>12.0</v>
      </c>
      <c r="IL11" s="58">
        <v>14.0</v>
      </c>
      <c r="IM11" s="58">
        <v>13.5</v>
      </c>
      <c r="IN11" s="58">
        <v>14.0</v>
      </c>
      <c r="IO11" s="58">
        <v>5.0</v>
      </c>
      <c r="IP11" s="58">
        <v>8.0</v>
      </c>
      <c r="IQ11" s="58">
        <v>9.5</v>
      </c>
      <c r="IR11" s="58">
        <v>14.0</v>
      </c>
      <c r="IS11" s="58">
        <v>12.5</v>
      </c>
      <c r="IT11" s="58">
        <v>6.5</v>
      </c>
      <c r="IU11" s="58">
        <v>11.0</v>
      </c>
      <c r="IV11" s="58">
        <v>0.0</v>
      </c>
      <c r="IW11" s="58">
        <v>10.0</v>
      </c>
      <c r="IX11" s="58">
        <v>8.0</v>
      </c>
      <c r="IY11" s="58">
        <v>8.5</v>
      </c>
      <c r="IZ11" s="58">
        <v>11.0</v>
      </c>
      <c r="JA11" s="58">
        <v>13.0</v>
      </c>
      <c r="JB11" s="61"/>
      <c r="JC11" s="62">
        <v>11.0</v>
      </c>
      <c r="JD11" s="62"/>
      <c r="JE11" s="62">
        <v>8.0</v>
      </c>
      <c r="JF11" s="62">
        <v>11.5</v>
      </c>
      <c r="JG11" s="62">
        <v>6.5</v>
      </c>
      <c r="JH11" s="62">
        <v>9.0</v>
      </c>
      <c r="JI11" s="62">
        <v>6.5</v>
      </c>
      <c r="JJ11" s="62">
        <v>8.5</v>
      </c>
      <c r="JK11" s="62">
        <v>5.0</v>
      </c>
      <c r="JL11" s="62">
        <v>6.0</v>
      </c>
      <c r="JM11" s="62">
        <v>9.0</v>
      </c>
      <c r="JN11" s="62">
        <v>11.5</v>
      </c>
      <c r="JO11" s="62">
        <v>8.5</v>
      </c>
      <c r="JP11" s="62">
        <v>11.0</v>
      </c>
      <c r="JQ11" s="62">
        <v>7.0</v>
      </c>
      <c r="JR11" s="62">
        <v>7.0</v>
      </c>
      <c r="JS11" s="62">
        <v>7.0</v>
      </c>
      <c r="JT11" s="62">
        <v>9.25</v>
      </c>
      <c r="JU11" s="62">
        <v>7.0</v>
      </c>
      <c r="JV11" s="62">
        <v>7.0</v>
      </c>
      <c r="JW11" s="62">
        <v>7.0</v>
      </c>
      <c r="JX11" s="62"/>
      <c r="JY11" s="62"/>
      <c r="JZ11" s="62"/>
      <c r="KA11" s="62"/>
      <c r="KB11" s="62"/>
      <c r="KC11" s="62"/>
      <c r="KD11" s="62"/>
      <c r="KE11" s="62">
        <v>9.0</v>
      </c>
      <c r="KF11" s="62">
        <v>5.0</v>
      </c>
      <c r="KG11" s="65"/>
      <c r="KH11" s="66"/>
      <c r="KI11" s="67">
        <v>5.0</v>
      </c>
      <c r="KJ11" s="68">
        <v>5.0</v>
      </c>
      <c r="KK11" s="67">
        <v>7.0</v>
      </c>
      <c r="KL11" s="67">
        <v>8.0</v>
      </c>
      <c r="KM11" s="67">
        <v>10.0</v>
      </c>
      <c r="KN11" s="143">
        <v>9.0</v>
      </c>
      <c r="KO11" s="67">
        <v>10.0</v>
      </c>
      <c r="KP11" s="144">
        <v>7.0</v>
      </c>
      <c r="KQ11" s="67">
        <v>8.0</v>
      </c>
      <c r="KR11" s="67">
        <v>5.5</v>
      </c>
      <c r="KS11" s="67">
        <v>12.0</v>
      </c>
      <c r="KT11" s="67">
        <v>3.0</v>
      </c>
      <c r="KU11" s="67">
        <v>3.0</v>
      </c>
      <c r="KV11" s="67">
        <v>8.5</v>
      </c>
      <c r="KW11" s="67">
        <v>4.0</v>
      </c>
      <c r="KX11" s="67">
        <v>8.0</v>
      </c>
      <c r="KY11" s="67">
        <v>10.0</v>
      </c>
      <c r="KZ11" s="67">
        <v>5.0</v>
      </c>
      <c r="LA11" s="67">
        <v>9.0</v>
      </c>
      <c r="LB11" s="67">
        <v>16.5</v>
      </c>
      <c r="LC11" s="67">
        <v>8.0</v>
      </c>
      <c r="LD11" s="67">
        <v>6.0</v>
      </c>
      <c r="LE11" s="67">
        <v>9.0</v>
      </c>
      <c r="LF11" s="67">
        <v>6.0</v>
      </c>
      <c r="LG11" s="67">
        <v>15.0</v>
      </c>
      <c r="LH11" s="67">
        <v>8.0</v>
      </c>
      <c r="LI11" s="67">
        <v>7.0</v>
      </c>
      <c r="LJ11" s="67">
        <v>11.0</v>
      </c>
      <c r="LK11" s="67">
        <v>7.0</v>
      </c>
      <c r="LL11" s="67">
        <v>6.25</v>
      </c>
      <c r="LM11" s="67">
        <v>10.0</v>
      </c>
      <c r="LN11" s="66"/>
      <c r="LO11" s="67">
        <v>7.0</v>
      </c>
      <c r="LP11" s="67">
        <v>6.75</v>
      </c>
      <c r="LQ11" s="67"/>
      <c r="LR11" s="67"/>
      <c r="LS11" s="67"/>
      <c r="LT11" s="67"/>
      <c r="LU11" s="67">
        <v>9.0</v>
      </c>
      <c r="LV11" s="67">
        <v>9.0</v>
      </c>
      <c r="LW11" s="67">
        <v>7.5</v>
      </c>
      <c r="LX11" s="67">
        <v>9.0</v>
      </c>
      <c r="LY11" s="67"/>
      <c r="LZ11" s="67">
        <v>4.5</v>
      </c>
      <c r="MA11" s="67"/>
      <c r="MB11" s="67"/>
      <c r="MC11" s="67"/>
      <c r="MD11" s="67"/>
      <c r="ME11" s="67"/>
      <c r="MF11" s="67"/>
      <c r="MG11" s="67"/>
      <c r="MH11" s="67"/>
      <c r="MI11" s="67"/>
      <c r="MJ11" s="67"/>
      <c r="MK11" s="67"/>
      <c r="ML11" s="67"/>
      <c r="MM11" s="67"/>
      <c r="MN11" s="67"/>
      <c r="MO11" s="67"/>
      <c r="MP11" s="67"/>
      <c r="MQ11" s="67"/>
      <c r="MR11" s="70"/>
      <c r="MS11" s="70"/>
      <c r="MT11" s="106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>
        <v>0.6</v>
      </c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107"/>
      <c r="OA11" s="108"/>
      <c r="OB11" s="108"/>
      <c r="OC11" s="109"/>
      <c r="OD11" s="78"/>
      <c r="OE11" s="78"/>
      <c r="OF11" s="78"/>
      <c r="OG11" s="78"/>
      <c r="OH11" s="78"/>
      <c r="OI11" s="78"/>
      <c r="OJ11" s="78"/>
      <c r="OK11" s="78"/>
      <c r="OL11" s="78"/>
    </row>
    <row r="12" ht="30.0" customHeight="1">
      <c r="A12" s="110"/>
      <c r="B12" s="111" t="s">
        <v>14</v>
      </c>
      <c r="C12" s="49">
        <f t="shared" si="7"/>
        <v>44</v>
      </c>
      <c r="D12" s="48">
        <f t="shared" si="8"/>
        <v>6.1</v>
      </c>
      <c r="E12" s="101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>
        <v>13.0</v>
      </c>
      <c r="AB12" s="82">
        <v>10.0</v>
      </c>
      <c r="AC12" s="82">
        <v>10.0</v>
      </c>
      <c r="AD12" s="82">
        <v>11.5</v>
      </c>
      <c r="AE12" s="82">
        <v>12.0</v>
      </c>
      <c r="AF12" s="82">
        <v>11.0</v>
      </c>
      <c r="AG12" s="82">
        <v>11.0</v>
      </c>
      <c r="AH12" s="82">
        <v>19.0</v>
      </c>
      <c r="AI12" s="82">
        <v>9.5</v>
      </c>
      <c r="AJ12" s="82">
        <v>10.5</v>
      </c>
      <c r="AK12" s="82">
        <v>9.5</v>
      </c>
      <c r="AL12" s="82">
        <v>16.0</v>
      </c>
      <c r="AM12" s="82">
        <v>10.5</v>
      </c>
      <c r="AN12" s="82">
        <v>10.0</v>
      </c>
      <c r="AO12" s="82"/>
      <c r="AP12" s="82"/>
      <c r="AQ12" s="82">
        <v>12.5</v>
      </c>
      <c r="AR12" s="82">
        <v>13.3</v>
      </c>
      <c r="AS12" s="82">
        <v>12.3</v>
      </c>
      <c r="AT12" s="82">
        <v>15.0</v>
      </c>
      <c r="AU12" s="82">
        <v>8.3</v>
      </c>
      <c r="AV12" s="82">
        <v>11.3</v>
      </c>
      <c r="AW12" s="82">
        <v>14.3</v>
      </c>
      <c r="AX12" s="82">
        <v>10.3</v>
      </c>
      <c r="AY12" s="82">
        <v>5.0</v>
      </c>
      <c r="AZ12" s="82">
        <v>14.0</v>
      </c>
      <c r="BA12" s="102"/>
      <c r="BB12" s="82">
        <v>11.3</v>
      </c>
      <c r="BC12" s="82">
        <v>11.3</v>
      </c>
      <c r="BD12" s="82">
        <v>10.0</v>
      </c>
      <c r="BE12" s="82">
        <v>11.0</v>
      </c>
      <c r="BF12" s="82">
        <v>9.0</v>
      </c>
      <c r="BG12" s="82">
        <v>12.0</v>
      </c>
      <c r="BH12" s="82"/>
      <c r="BI12" s="82">
        <v>14.0</v>
      </c>
      <c r="BJ12" s="82"/>
      <c r="BK12" s="82">
        <v>10.3</v>
      </c>
      <c r="BL12" s="82">
        <v>11.3</v>
      </c>
      <c r="BM12" s="82">
        <v>9.3</v>
      </c>
      <c r="BN12" s="82">
        <v>15.3</v>
      </c>
      <c r="BO12" s="82">
        <v>2.0</v>
      </c>
      <c r="BP12" s="82">
        <v>10.3</v>
      </c>
      <c r="BQ12" s="82">
        <v>10.3</v>
      </c>
      <c r="BR12" s="82">
        <v>10.0</v>
      </c>
      <c r="BS12" s="82">
        <v>12.3</v>
      </c>
      <c r="BT12" s="82">
        <v>10.0</v>
      </c>
      <c r="BU12" s="52">
        <v>12.3</v>
      </c>
      <c r="BV12" s="82">
        <v>12.0</v>
      </c>
      <c r="BW12" s="51"/>
      <c r="BX12" s="51">
        <v>10.0</v>
      </c>
      <c r="BY12" s="51">
        <v>11.3</v>
      </c>
      <c r="BZ12" s="84">
        <v>10.3</v>
      </c>
      <c r="CA12" s="84">
        <v>11.3</v>
      </c>
      <c r="CB12" s="84">
        <v>12.0</v>
      </c>
      <c r="CC12" s="84">
        <v>4.0</v>
      </c>
      <c r="CD12" s="84">
        <v>13.0</v>
      </c>
      <c r="CE12" s="84">
        <v>11.0</v>
      </c>
      <c r="CF12" s="84">
        <v>11.0</v>
      </c>
      <c r="CG12" s="84">
        <v>14.0</v>
      </c>
      <c r="CH12" s="84">
        <v>7.0</v>
      </c>
      <c r="CI12" s="84">
        <v>11.0</v>
      </c>
      <c r="CJ12" s="84"/>
      <c r="CK12" s="84">
        <v>11.0</v>
      </c>
      <c r="CL12" s="84">
        <v>10.0</v>
      </c>
      <c r="CM12" s="84">
        <v>10.0</v>
      </c>
      <c r="CN12" s="84">
        <v>11.0</v>
      </c>
      <c r="CO12" s="84">
        <v>11.0</v>
      </c>
      <c r="CP12" s="84">
        <v>11.0</v>
      </c>
      <c r="CQ12" s="84">
        <v>4.3</v>
      </c>
      <c r="CR12" s="84">
        <v>10.0</v>
      </c>
      <c r="CS12" s="84">
        <v>10.3</v>
      </c>
      <c r="CT12" s="84">
        <v>11.0</v>
      </c>
      <c r="CU12" s="84">
        <v>12.0</v>
      </c>
      <c r="CV12" s="84"/>
      <c r="CW12" s="84"/>
      <c r="CX12" s="84">
        <v>11.0</v>
      </c>
      <c r="CY12" s="84">
        <v>9.3</v>
      </c>
      <c r="CZ12" s="52">
        <v>10.0</v>
      </c>
      <c r="DA12" s="84">
        <v>11.3</v>
      </c>
      <c r="DB12" s="84">
        <v>10.0</v>
      </c>
      <c r="DC12" s="84">
        <v>10.3</v>
      </c>
      <c r="DD12" s="84">
        <v>12.0</v>
      </c>
      <c r="DE12" s="84">
        <v>7.3</v>
      </c>
      <c r="DF12" s="84">
        <v>11.0</v>
      </c>
      <c r="DG12" s="84">
        <v>10.3</v>
      </c>
      <c r="DH12" s="84">
        <v>10.0</v>
      </c>
      <c r="DI12" s="84">
        <v>8.3</v>
      </c>
      <c r="DJ12" s="85">
        <v>12.0</v>
      </c>
      <c r="DK12" s="85">
        <v>12.0</v>
      </c>
      <c r="DL12" s="85">
        <v>13.0</v>
      </c>
      <c r="DM12" s="85">
        <v>10.0</v>
      </c>
      <c r="DN12" s="85">
        <v>12.0</v>
      </c>
      <c r="DO12" s="85">
        <v>10.0</v>
      </c>
      <c r="DP12" s="85">
        <v>12.0</v>
      </c>
      <c r="DQ12" s="85">
        <v>13.0</v>
      </c>
      <c r="DR12" s="85">
        <v>12.0</v>
      </c>
      <c r="DS12" s="85">
        <v>15.0</v>
      </c>
      <c r="DT12" s="84">
        <v>8.0</v>
      </c>
      <c r="DU12" s="84">
        <v>12.0</v>
      </c>
      <c r="DV12" s="84"/>
      <c r="DW12" s="84">
        <v>11.0</v>
      </c>
      <c r="DX12" s="84">
        <v>12.0</v>
      </c>
      <c r="DY12" s="145">
        <v>11.0</v>
      </c>
      <c r="DZ12" s="145"/>
      <c r="EA12" s="85">
        <v>12.0</v>
      </c>
      <c r="EB12" s="85">
        <v>12.0</v>
      </c>
      <c r="EC12" s="85">
        <v>12.0</v>
      </c>
      <c r="ED12" s="142">
        <v>14.0</v>
      </c>
      <c r="EE12" s="84"/>
      <c r="EF12" s="84"/>
      <c r="EG12" s="84">
        <v>9.3</v>
      </c>
      <c r="EH12" s="84">
        <v>9.0</v>
      </c>
      <c r="EI12" s="84">
        <v>8.0</v>
      </c>
      <c r="EJ12" s="84"/>
      <c r="EK12" s="84"/>
      <c r="EL12" s="84">
        <v>6.25</v>
      </c>
      <c r="EM12" s="84">
        <v>8.0</v>
      </c>
      <c r="EN12" s="84">
        <v>10.0</v>
      </c>
      <c r="EO12" s="84">
        <v>12.0</v>
      </c>
      <c r="EP12" s="84">
        <v>9.0</v>
      </c>
      <c r="EQ12" s="84">
        <v>9.5</v>
      </c>
      <c r="ER12" s="84">
        <v>8.0</v>
      </c>
      <c r="ES12" s="84">
        <v>9.0</v>
      </c>
      <c r="ET12" s="84">
        <v>9.25</v>
      </c>
      <c r="EU12" s="84">
        <v>3.0</v>
      </c>
      <c r="EV12" s="84">
        <v>9.1</v>
      </c>
      <c r="EW12" s="84">
        <v>10.0</v>
      </c>
      <c r="EX12" s="84">
        <v>13.0</v>
      </c>
      <c r="EY12" s="84">
        <v>10.0</v>
      </c>
      <c r="EZ12" s="84">
        <v>7.5</v>
      </c>
      <c r="FA12" s="84">
        <v>13.0</v>
      </c>
      <c r="FB12" s="84"/>
      <c r="FC12" s="84">
        <v>10.5</v>
      </c>
      <c r="FD12" s="84">
        <v>12.0</v>
      </c>
      <c r="FE12" s="84">
        <v>8.0</v>
      </c>
      <c r="FF12" s="84">
        <v>10.5</v>
      </c>
      <c r="FG12" s="84">
        <v>9.0</v>
      </c>
      <c r="FH12" s="84">
        <v>10.0</v>
      </c>
      <c r="FI12" s="84">
        <v>10.5</v>
      </c>
      <c r="FJ12" s="84">
        <v>6.0</v>
      </c>
      <c r="FK12" s="84">
        <v>7.0</v>
      </c>
      <c r="FL12" s="84">
        <v>9.0</v>
      </c>
      <c r="FM12" s="84">
        <v>9.0</v>
      </c>
      <c r="FN12" s="84">
        <v>10.3</v>
      </c>
      <c r="FO12" s="84">
        <v>10.0</v>
      </c>
      <c r="FP12" s="84">
        <v>9.0</v>
      </c>
      <c r="FQ12" s="84">
        <v>9.0</v>
      </c>
      <c r="FR12" s="84">
        <v>10.0</v>
      </c>
      <c r="FS12" s="84">
        <v>9.0</v>
      </c>
      <c r="FT12" s="84">
        <v>8.0</v>
      </c>
      <c r="FU12" s="84"/>
      <c r="FV12" s="84">
        <v>10.0</v>
      </c>
      <c r="FW12" s="84">
        <v>11.0</v>
      </c>
      <c r="FX12" s="84">
        <v>12.0</v>
      </c>
      <c r="FY12" s="84">
        <v>8.0</v>
      </c>
      <c r="FZ12" s="84">
        <v>9.0</v>
      </c>
      <c r="GA12" s="84">
        <v>6.0</v>
      </c>
      <c r="GB12" s="84">
        <v>12.0</v>
      </c>
      <c r="GC12" s="84">
        <v>2.0</v>
      </c>
      <c r="GD12" s="84">
        <v>15.0</v>
      </c>
      <c r="GE12" s="84">
        <v>12.0</v>
      </c>
      <c r="GF12" s="84">
        <v>13.0</v>
      </c>
      <c r="GG12" s="84">
        <v>10.0</v>
      </c>
      <c r="GH12" s="84">
        <v>10.0</v>
      </c>
      <c r="GI12" s="84">
        <v>10.0</v>
      </c>
      <c r="GJ12" s="84">
        <v>5.5</v>
      </c>
      <c r="GK12" s="84">
        <v>11.5</v>
      </c>
      <c r="GL12" s="84">
        <v>8.0</v>
      </c>
      <c r="GM12" s="84">
        <v>7.5</v>
      </c>
      <c r="GN12" s="84">
        <v>5.5</v>
      </c>
      <c r="GO12" s="84">
        <v>6.0</v>
      </c>
      <c r="GP12" s="84">
        <v>9.25</v>
      </c>
      <c r="GQ12" s="84">
        <v>8.0</v>
      </c>
      <c r="GR12" s="84">
        <v>16.0</v>
      </c>
      <c r="GS12" s="329">
        <v>13.0</v>
      </c>
      <c r="GT12" s="84">
        <v>9.5</v>
      </c>
      <c r="GU12" s="84">
        <v>4.0</v>
      </c>
      <c r="GV12" s="84">
        <v>4.5</v>
      </c>
      <c r="GW12" s="84">
        <v>7.0</v>
      </c>
      <c r="GX12" s="84">
        <v>11.0</v>
      </c>
      <c r="GY12" s="84">
        <v>11.0</v>
      </c>
      <c r="GZ12" s="84">
        <v>4.5</v>
      </c>
      <c r="HA12" s="84">
        <v>5.5</v>
      </c>
      <c r="HB12" s="84">
        <v>8.0</v>
      </c>
      <c r="HC12" s="84">
        <v>14.0</v>
      </c>
      <c r="HD12" s="84">
        <v>8.0</v>
      </c>
      <c r="HE12" s="84">
        <v>7.0</v>
      </c>
      <c r="HF12" s="84">
        <v>8.0</v>
      </c>
      <c r="HG12" s="84">
        <v>7.0</v>
      </c>
      <c r="HH12" s="84">
        <v>7.5</v>
      </c>
      <c r="HI12" s="84">
        <v>4.5</v>
      </c>
      <c r="HJ12" s="84">
        <v>7.5</v>
      </c>
      <c r="HK12" s="84">
        <v>6.0</v>
      </c>
      <c r="HL12" s="84" t="s">
        <v>38</v>
      </c>
      <c r="HM12" s="84">
        <v>7.0</v>
      </c>
      <c r="HN12" s="84">
        <v>6.5</v>
      </c>
      <c r="HO12" s="84">
        <v>9.0</v>
      </c>
      <c r="HP12" s="84">
        <v>12.0</v>
      </c>
      <c r="HQ12" s="84">
        <v>7.0</v>
      </c>
      <c r="HR12" s="84">
        <v>6.5</v>
      </c>
      <c r="HS12" s="84">
        <v>6.5</v>
      </c>
      <c r="HT12" s="84">
        <v>4.5</v>
      </c>
      <c r="HU12" s="84">
        <v>7.5</v>
      </c>
      <c r="HV12" s="84">
        <v>4.0</v>
      </c>
      <c r="HW12" s="84" t="s">
        <v>32</v>
      </c>
      <c r="HX12" s="58">
        <v>0.0</v>
      </c>
      <c r="HY12" s="58">
        <v>8.0</v>
      </c>
      <c r="HZ12" s="58">
        <v>12.0</v>
      </c>
      <c r="IA12" s="58">
        <v>9.5</v>
      </c>
      <c r="IB12" s="58">
        <v>11.5</v>
      </c>
      <c r="IC12" s="58">
        <v>9.5</v>
      </c>
      <c r="ID12" s="58">
        <v>18.0</v>
      </c>
      <c r="IE12" s="58">
        <v>5.0</v>
      </c>
      <c r="IF12" s="58">
        <v>8.5</v>
      </c>
      <c r="IG12" s="58">
        <v>10.5</v>
      </c>
      <c r="IH12" s="58">
        <v>11.5</v>
      </c>
      <c r="II12" s="58">
        <v>10.0</v>
      </c>
      <c r="IJ12" s="58" t="s">
        <v>32</v>
      </c>
      <c r="IK12" s="58">
        <v>10.5</v>
      </c>
      <c r="IL12" s="58">
        <v>9.0</v>
      </c>
      <c r="IM12" s="58">
        <v>10.0</v>
      </c>
      <c r="IN12" s="58">
        <v>11.5</v>
      </c>
      <c r="IO12" s="58">
        <v>9.5</v>
      </c>
      <c r="IP12" s="58">
        <v>7.5</v>
      </c>
      <c r="IQ12" s="58">
        <v>10.5</v>
      </c>
      <c r="IR12" s="58">
        <v>9.5</v>
      </c>
      <c r="IS12" s="58">
        <v>9.5</v>
      </c>
      <c r="IT12" s="58">
        <v>15.0</v>
      </c>
      <c r="IU12" s="58">
        <v>17.0</v>
      </c>
      <c r="IV12" s="58" t="s">
        <v>32</v>
      </c>
      <c r="IW12" s="58">
        <v>11.0</v>
      </c>
      <c r="IX12" s="58">
        <v>12.0</v>
      </c>
      <c r="IY12" s="58">
        <v>6.5</v>
      </c>
      <c r="IZ12" s="58">
        <v>8.0</v>
      </c>
      <c r="JA12" s="58">
        <v>8.0</v>
      </c>
      <c r="JB12" s="61"/>
      <c r="JC12" s="62">
        <v>6.5</v>
      </c>
      <c r="JD12" s="62"/>
      <c r="JE12" s="62">
        <v>8.5</v>
      </c>
      <c r="JF12" s="62">
        <v>9.0</v>
      </c>
      <c r="JG12" s="62">
        <v>16.0</v>
      </c>
      <c r="JH12" s="62"/>
      <c r="JI12" s="62">
        <v>9.0</v>
      </c>
      <c r="JJ12" s="62">
        <v>12.25</v>
      </c>
      <c r="JK12" s="62"/>
      <c r="JL12" s="62">
        <v>15.5</v>
      </c>
      <c r="JM12" s="62">
        <v>17.5</v>
      </c>
      <c r="JN12" s="62"/>
      <c r="JO12" s="62">
        <v>11.0</v>
      </c>
      <c r="JP12" s="62">
        <v>4.5</v>
      </c>
      <c r="JQ12" s="62">
        <v>8.5</v>
      </c>
      <c r="JR12" s="62">
        <v>6.5</v>
      </c>
      <c r="JS12" s="62">
        <v>15.25</v>
      </c>
      <c r="JT12" s="62">
        <v>9.0</v>
      </c>
      <c r="JU12" s="62">
        <v>6.5</v>
      </c>
      <c r="JV12" s="62">
        <v>11.5</v>
      </c>
      <c r="JW12" s="62">
        <v>17.5</v>
      </c>
      <c r="JX12" s="62">
        <v>3.0</v>
      </c>
      <c r="JY12" s="62"/>
      <c r="JZ12" s="62">
        <v>11.0</v>
      </c>
      <c r="KA12" s="62">
        <v>14.0</v>
      </c>
      <c r="KB12" s="62">
        <v>5.0</v>
      </c>
      <c r="KC12" s="62"/>
      <c r="KD12" s="62">
        <v>17.0</v>
      </c>
      <c r="KE12" s="62"/>
      <c r="KF12" s="62">
        <v>7.0</v>
      </c>
      <c r="KG12" s="65">
        <v>7.0</v>
      </c>
      <c r="KH12" s="66"/>
      <c r="KI12" s="67">
        <v>11.0</v>
      </c>
      <c r="KJ12" s="68">
        <v>11.0</v>
      </c>
      <c r="KK12" s="67">
        <v>11.75</v>
      </c>
      <c r="KL12" s="67">
        <v>17.0</v>
      </c>
      <c r="KM12" s="67">
        <v>11.0</v>
      </c>
      <c r="KN12" s="67">
        <v>16.0</v>
      </c>
      <c r="KO12" s="146" t="s">
        <v>32</v>
      </c>
      <c r="KP12" s="67">
        <v>7.0</v>
      </c>
      <c r="KQ12" s="67">
        <v>14.0</v>
      </c>
      <c r="KR12" s="67">
        <v>4.5</v>
      </c>
      <c r="KS12" s="67">
        <v>6.5</v>
      </c>
      <c r="KT12" s="67" t="s">
        <v>32</v>
      </c>
      <c r="KU12" s="67" t="s">
        <v>32</v>
      </c>
      <c r="KV12" s="67">
        <v>18.5</v>
      </c>
      <c r="KW12" s="67">
        <v>8.75</v>
      </c>
      <c r="KX12" s="67">
        <v>9.5</v>
      </c>
      <c r="KY12" s="67">
        <v>10.25</v>
      </c>
      <c r="KZ12" s="67">
        <v>8.0</v>
      </c>
      <c r="LA12" s="67" t="s">
        <v>32</v>
      </c>
      <c r="LB12" s="67">
        <v>7.5</v>
      </c>
      <c r="LC12" s="67">
        <v>6.5</v>
      </c>
      <c r="LD12" s="67" t="s">
        <v>32</v>
      </c>
      <c r="LE12" s="67">
        <v>6.5</v>
      </c>
      <c r="LF12" s="67" t="s">
        <v>32</v>
      </c>
      <c r="LG12" s="67">
        <v>7.0</v>
      </c>
      <c r="LH12" s="67">
        <v>8.5</v>
      </c>
      <c r="LI12" s="67">
        <v>15.0</v>
      </c>
      <c r="LJ12" s="67">
        <v>5.0</v>
      </c>
      <c r="LK12" s="67">
        <v>5.5</v>
      </c>
      <c r="LL12" s="67" t="s">
        <v>32</v>
      </c>
      <c r="LM12" s="67">
        <v>25.0</v>
      </c>
      <c r="LN12" s="66"/>
      <c r="LO12" s="67"/>
      <c r="LP12" s="67"/>
      <c r="LQ12" s="67"/>
      <c r="LR12" s="67"/>
      <c r="LS12" s="67"/>
      <c r="LT12" s="67"/>
      <c r="LU12" s="67">
        <v>9.0</v>
      </c>
      <c r="LV12" s="67">
        <v>9.0</v>
      </c>
      <c r="LW12" s="67">
        <v>8.0</v>
      </c>
      <c r="LX12" s="67">
        <v>9.0</v>
      </c>
      <c r="LY12" s="67"/>
      <c r="LZ12" s="67">
        <v>9.0</v>
      </c>
      <c r="MA12" s="67"/>
      <c r="MB12" s="67"/>
      <c r="MC12" s="67"/>
      <c r="MD12" s="67"/>
      <c r="ME12" s="67"/>
      <c r="MF12" s="67"/>
      <c r="MG12" s="67"/>
      <c r="MH12" s="67"/>
      <c r="MI12" s="67"/>
      <c r="MJ12" s="67"/>
      <c r="MK12" s="67"/>
      <c r="ML12" s="67"/>
      <c r="MM12" s="67"/>
      <c r="MN12" s="67"/>
      <c r="MO12" s="67"/>
      <c r="MP12" s="67"/>
      <c r="MQ12" s="67"/>
      <c r="MR12" s="70"/>
      <c r="MS12" s="70"/>
      <c r="MT12" s="106"/>
      <c r="MU12" s="73"/>
      <c r="MV12" s="73"/>
      <c r="MW12" s="73"/>
      <c r="MX12" s="73"/>
      <c r="MY12" s="73"/>
      <c r="MZ12" s="73"/>
      <c r="NA12" s="73">
        <v>0.6</v>
      </c>
      <c r="NB12" s="73">
        <v>0.25</v>
      </c>
      <c r="NC12" s="73"/>
      <c r="ND12" s="73"/>
      <c r="NE12" s="73">
        <v>5.25</v>
      </c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107"/>
      <c r="OA12" s="108"/>
      <c r="OB12" s="108"/>
      <c r="OC12" s="109"/>
      <c r="OD12" s="78"/>
      <c r="OE12" s="78"/>
      <c r="OF12" s="78"/>
      <c r="OG12" s="78"/>
      <c r="OH12" s="78"/>
      <c r="OI12" s="78"/>
      <c r="OJ12" s="78"/>
      <c r="OK12" s="78"/>
      <c r="OL12" s="78"/>
    </row>
    <row r="13" ht="30.0" customHeight="1">
      <c r="A13" s="100"/>
      <c r="B13" s="48" t="s">
        <v>39</v>
      </c>
      <c r="C13" s="49">
        <f t="shared" si="7"/>
        <v>60.25</v>
      </c>
      <c r="D13" s="48">
        <f t="shared" si="8"/>
        <v>7.5</v>
      </c>
      <c r="E13" s="101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>
        <v>10.0</v>
      </c>
      <c r="AO13" s="82">
        <v>14.0</v>
      </c>
      <c r="AP13" s="82">
        <v>11.0</v>
      </c>
      <c r="AQ13" s="82">
        <v>12.0</v>
      </c>
      <c r="AR13" s="82">
        <v>13.3</v>
      </c>
      <c r="AS13" s="82">
        <v>12.3</v>
      </c>
      <c r="AT13" s="82">
        <v>15.0</v>
      </c>
      <c r="AU13" s="82">
        <v>8.3</v>
      </c>
      <c r="AV13" s="82">
        <v>11.3</v>
      </c>
      <c r="AW13" s="82">
        <v>14.3</v>
      </c>
      <c r="AX13" s="82">
        <v>10.3</v>
      </c>
      <c r="AY13" s="82">
        <v>5.0</v>
      </c>
      <c r="AZ13" s="102"/>
      <c r="BA13" s="102"/>
      <c r="BB13" s="82">
        <v>11.3</v>
      </c>
      <c r="BC13" s="82">
        <v>11.3</v>
      </c>
      <c r="BD13" s="82">
        <v>10.0</v>
      </c>
      <c r="BE13" s="82">
        <v>11.0</v>
      </c>
      <c r="BF13" s="82">
        <v>9.0</v>
      </c>
      <c r="BG13" s="82">
        <v>12.0</v>
      </c>
      <c r="BH13" s="82"/>
      <c r="BI13" s="82">
        <v>14.0</v>
      </c>
      <c r="BJ13" s="82"/>
      <c r="BK13" s="82">
        <v>10.3</v>
      </c>
      <c r="BL13" s="82">
        <v>11.3</v>
      </c>
      <c r="BM13" s="82">
        <v>9.3</v>
      </c>
      <c r="BN13" s="82">
        <v>15.3</v>
      </c>
      <c r="BO13" s="82"/>
      <c r="BP13" s="82">
        <v>10.3</v>
      </c>
      <c r="BQ13" s="82">
        <v>10.3</v>
      </c>
      <c r="BR13" s="82">
        <v>10.0</v>
      </c>
      <c r="BS13" s="82">
        <v>12.3</v>
      </c>
      <c r="BT13" s="82">
        <v>10.0</v>
      </c>
      <c r="BU13" s="52"/>
      <c r="BV13" s="82">
        <v>12.0</v>
      </c>
      <c r="BW13" s="51"/>
      <c r="BX13" s="51">
        <v>10.0</v>
      </c>
      <c r="BY13" s="51">
        <v>11.3</v>
      </c>
      <c r="BZ13" s="84">
        <v>10.3</v>
      </c>
      <c r="CA13" s="84">
        <v>11.3</v>
      </c>
      <c r="CB13" s="84">
        <v>12.0</v>
      </c>
      <c r="CC13" s="84"/>
      <c r="CD13" s="84">
        <v>13.0</v>
      </c>
      <c r="CE13" s="84"/>
      <c r="CF13" s="84"/>
      <c r="CG13" s="84">
        <v>8.0</v>
      </c>
      <c r="CH13" s="84">
        <v>11.0</v>
      </c>
      <c r="CI13" s="84">
        <v>11.0</v>
      </c>
      <c r="CJ13" s="84"/>
      <c r="CK13" s="84">
        <v>11.0</v>
      </c>
      <c r="CL13" s="84">
        <v>10.0</v>
      </c>
      <c r="CM13" s="84">
        <v>11.3</v>
      </c>
      <c r="CN13" s="84">
        <v>22.0</v>
      </c>
      <c r="CO13" s="84">
        <v>10.3</v>
      </c>
      <c r="CP13" s="84">
        <v>0.0</v>
      </c>
      <c r="CQ13" s="84">
        <v>0.0</v>
      </c>
      <c r="CR13" s="84">
        <v>10.0</v>
      </c>
      <c r="CS13" s="84">
        <v>10.3</v>
      </c>
      <c r="CT13" s="84">
        <v>11.0</v>
      </c>
      <c r="CU13" s="84">
        <v>12.0</v>
      </c>
      <c r="CV13" s="84"/>
      <c r="CW13" s="84"/>
      <c r="CX13" s="84">
        <v>11.0</v>
      </c>
      <c r="CY13" s="84">
        <v>6.3</v>
      </c>
      <c r="CZ13" s="52">
        <v>10.3</v>
      </c>
      <c r="DA13" s="84">
        <v>13.0</v>
      </c>
      <c r="DB13" s="84">
        <v>9.0</v>
      </c>
      <c r="DC13" s="84">
        <v>9.5</v>
      </c>
      <c r="DD13" s="84"/>
      <c r="DE13" s="84">
        <v>6.0</v>
      </c>
      <c r="DF13" s="84">
        <v>11.0</v>
      </c>
      <c r="DG13" s="84">
        <v>10.3</v>
      </c>
      <c r="DH13" s="84">
        <v>10.3</v>
      </c>
      <c r="DI13" s="84">
        <v>8.5</v>
      </c>
      <c r="DJ13" s="84">
        <v>11.45</v>
      </c>
      <c r="DK13" s="84">
        <v>11.0</v>
      </c>
      <c r="DL13" s="85">
        <v>9.0</v>
      </c>
      <c r="DM13" s="85">
        <v>9.0</v>
      </c>
      <c r="DN13" s="85">
        <v>12.0</v>
      </c>
      <c r="DO13" s="85">
        <v>12.0</v>
      </c>
      <c r="DP13" s="85">
        <v>12.0</v>
      </c>
      <c r="DQ13" s="85">
        <v>12.0</v>
      </c>
      <c r="DR13" s="85">
        <v>12.0</v>
      </c>
      <c r="DS13" s="84"/>
      <c r="DT13" s="84"/>
      <c r="DU13" s="84"/>
      <c r="DV13" s="84">
        <v>11.0</v>
      </c>
      <c r="DW13" s="84">
        <v>10.0</v>
      </c>
      <c r="DX13" s="84">
        <v>11.0</v>
      </c>
      <c r="DY13" s="84"/>
      <c r="DZ13" s="84"/>
      <c r="EA13" s="84">
        <v>8.0</v>
      </c>
      <c r="EB13" s="84">
        <v>7.0</v>
      </c>
      <c r="EC13" s="84"/>
      <c r="ED13" s="52">
        <v>9.15</v>
      </c>
      <c r="EE13" s="84">
        <v>6.0</v>
      </c>
      <c r="EF13" s="84">
        <v>8.0</v>
      </c>
      <c r="EG13" s="84"/>
      <c r="EH13" s="84">
        <v>8.0</v>
      </c>
      <c r="EI13" s="84">
        <v>9.5</v>
      </c>
      <c r="EJ13" s="84">
        <v>8.0</v>
      </c>
      <c r="EK13" s="84">
        <v>9.0</v>
      </c>
      <c r="EL13" s="84">
        <v>5.0</v>
      </c>
      <c r="EM13" s="84">
        <v>13.25</v>
      </c>
      <c r="EN13" s="84">
        <v>12.0</v>
      </c>
      <c r="EO13" s="84">
        <v>12.0</v>
      </c>
      <c r="EP13" s="84">
        <v>9.0</v>
      </c>
      <c r="EQ13" s="84">
        <v>9.5</v>
      </c>
      <c r="ER13" s="84">
        <v>8.0</v>
      </c>
      <c r="ES13" s="84">
        <v>9.0</v>
      </c>
      <c r="ET13" s="84">
        <v>9.25</v>
      </c>
      <c r="EU13" s="84"/>
      <c r="EV13" s="84">
        <v>9.2</v>
      </c>
      <c r="EW13" s="84">
        <v>10.0</v>
      </c>
      <c r="EX13" s="84">
        <v>12.0</v>
      </c>
      <c r="EY13" s="84"/>
      <c r="EZ13" s="84"/>
      <c r="FA13" s="84">
        <v>12.0</v>
      </c>
      <c r="FB13" s="84"/>
      <c r="FC13" s="84">
        <v>10.5</v>
      </c>
      <c r="FD13" s="84">
        <v>10.0</v>
      </c>
      <c r="FE13" s="84">
        <v>8.25</v>
      </c>
      <c r="FF13" s="84">
        <v>10.5</v>
      </c>
      <c r="FG13" s="84">
        <v>8.0</v>
      </c>
      <c r="FH13" s="84">
        <v>10.0</v>
      </c>
      <c r="FI13" s="84">
        <v>8.0</v>
      </c>
      <c r="FJ13" s="84">
        <v>5.25</v>
      </c>
      <c r="FK13" s="84">
        <v>7.0</v>
      </c>
      <c r="FL13" s="84">
        <v>9.0</v>
      </c>
      <c r="FM13" s="84">
        <v>9.0</v>
      </c>
      <c r="FN13" s="84">
        <v>9.5</v>
      </c>
      <c r="FO13" s="84">
        <v>10.0</v>
      </c>
      <c r="FP13" s="84">
        <v>8.5</v>
      </c>
      <c r="FQ13" s="84"/>
      <c r="FR13" s="84">
        <v>12.0</v>
      </c>
      <c r="FS13" s="84"/>
      <c r="FT13" s="84">
        <v>10.0</v>
      </c>
      <c r="FU13" s="84">
        <v>10.0</v>
      </c>
      <c r="FV13" s="84">
        <v>10.0</v>
      </c>
      <c r="FW13" s="84">
        <v>8.0</v>
      </c>
      <c r="FX13" s="84">
        <v>11.0</v>
      </c>
      <c r="FY13" s="84">
        <v>12.0</v>
      </c>
      <c r="FZ13" s="84">
        <v>11.0</v>
      </c>
      <c r="GA13" s="84">
        <v>11.0</v>
      </c>
      <c r="GB13" s="84">
        <v>13.0</v>
      </c>
      <c r="GC13" s="84">
        <v>15.0</v>
      </c>
      <c r="GD13" s="84">
        <v>8.0</v>
      </c>
      <c r="GE13" s="84">
        <v>14.0</v>
      </c>
      <c r="GF13" s="84">
        <v>12.0</v>
      </c>
      <c r="GG13" s="84">
        <v>12.0</v>
      </c>
      <c r="GH13" s="84">
        <v>9.0</v>
      </c>
      <c r="GI13" s="84">
        <v>10.5</v>
      </c>
      <c r="GJ13" s="84">
        <v>6.5</v>
      </c>
      <c r="GK13" s="84">
        <v>6.0</v>
      </c>
      <c r="GL13" s="84">
        <v>11.5</v>
      </c>
      <c r="GM13" s="84">
        <v>16.0</v>
      </c>
      <c r="GN13" s="334">
        <v>13.0</v>
      </c>
      <c r="GO13" s="84">
        <v>16.0</v>
      </c>
      <c r="GP13" s="84">
        <v>16.0</v>
      </c>
      <c r="GQ13" s="84">
        <v>12.0</v>
      </c>
      <c r="GR13" s="84">
        <v>18.0</v>
      </c>
      <c r="GS13" s="329">
        <v>15.0</v>
      </c>
      <c r="GT13" s="84">
        <v>11.0</v>
      </c>
      <c r="GU13" s="84">
        <v>6.5</v>
      </c>
      <c r="GV13" s="84">
        <v>9.0</v>
      </c>
      <c r="GW13" s="84">
        <v>10.0</v>
      </c>
      <c r="GX13" s="84">
        <v>17.0</v>
      </c>
      <c r="GY13" s="84" t="s">
        <v>38</v>
      </c>
      <c r="GZ13" s="84" t="s">
        <v>38</v>
      </c>
      <c r="HA13" s="84" t="s">
        <v>38</v>
      </c>
      <c r="HB13" s="84">
        <v>5.0</v>
      </c>
      <c r="HC13" s="84" t="s">
        <v>38</v>
      </c>
      <c r="HD13" s="84" t="s">
        <v>38</v>
      </c>
      <c r="HE13" s="84">
        <v>9.0</v>
      </c>
      <c r="HF13" s="84">
        <v>4.5</v>
      </c>
      <c r="HG13" s="84">
        <v>11.0</v>
      </c>
      <c r="HH13" s="84">
        <v>9.0</v>
      </c>
      <c r="HI13" s="84">
        <v>13.0</v>
      </c>
      <c r="HJ13" s="84">
        <v>6.0</v>
      </c>
      <c r="HK13" s="84">
        <v>11.0</v>
      </c>
      <c r="HL13" s="84">
        <v>10.0</v>
      </c>
      <c r="HM13" s="84">
        <v>7.0</v>
      </c>
      <c r="HN13" s="84">
        <v>6.0</v>
      </c>
      <c r="HO13" s="84">
        <v>12.0</v>
      </c>
      <c r="HP13" s="84">
        <v>10.5</v>
      </c>
      <c r="HQ13" s="84">
        <v>10.0</v>
      </c>
      <c r="HR13" s="84">
        <v>10.5</v>
      </c>
      <c r="HS13" s="84">
        <v>6.5</v>
      </c>
      <c r="HT13" s="84">
        <v>6.5</v>
      </c>
      <c r="HU13" s="84" t="s">
        <v>32</v>
      </c>
      <c r="HV13" s="84">
        <v>5.5</v>
      </c>
      <c r="HW13" s="84" t="s">
        <v>32</v>
      </c>
      <c r="HX13" s="58">
        <v>0.0</v>
      </c>
      <c r="HY13" s="58">
        <v>10.0</v>
      </c>
      <c r="HZ13" s="58"/>
      <c r="IA13" s="58">
        <v>8.0</v>
      </c>
      <c r="IB13" s="58">
        <v>11.5</v>
      </c>
      <c r="IC13" s="58">
        <v>9.5</v>
      </c>
      <c r="ID13" s="58">
        <v>8.0</v>
      </c>
      <c r="IE13" s="58">
        <v>14.0</v>
      </c>
      <c r="IF13" s="58">
        <v>13.0</v>
      </c>
      <c r="IG13" s="58">
        <v>11.5</v>
      </c>
      <c r="IH13" s="58">
        <v>11.0</v>
      </c>
      <c r="II13" s="58">
        <v>6.5</v>
      </c>
      <c r="IJ13" s="58">
        <v>0.0</v>
      </c>
      <c r="IK13" s="58">
        <v>13.0</v>
      </c>
      <c r="IL13" s="58">
        <v>11.5</v>
      </c>
      <c r="IM13" s="58">
        <v>12.0</v>
      </c>
      <c r="IN13" s="58">
        <v>14.0</v>
      </c>
      <c r="IO13" s="58">
        <v>9.5</v>
      </c>
      <c r="IP13" s="58">
        <v>0.0</v>
      </c>
      <c r="IQ13" s="58">
        <v>5.5</v>
      </c>
      <c r="IR13" s="58">
        <v>4.5</v>
      </c>
      <c r="IS13" s="58">
        <v>15.5</v>
      </c>
      <c r="IT13" s="58">
        <v>10.0</v>
      </c>
      <c r="IU13" s="58">
        <v>10.0</v>
      </c>
      <c r="IV13" s="58">
        <v>17.5</v>
      </c>
      <c r="IW13" s="58">
        <v>20.5</v>
      </c>
      <c r="IX13" s="58">
        <v>17.5</v>
      </c>
      <c r="IY13" s="58">
        <v>17.5</v>
      </c>
      <c r="IZ13" s="58">
        <v>8.0</v>
      </c>
      <c r="JA13" s="58">
        <v>7.5</v>
      </c>
      <c r="JB13" s="61"/>
      <c r="JC13" s="62">
        <v>10.0</v>
      </c>
      <c r="JD13" s="62"/>
      <c r="JE13" s="62"/>
      <c r="JF13" s="62">
        <v>15.0</v>
      </c>
      <c r="JG13" s="62">
        <v>17.0</v>
      </c>
      <c r="JH13" s="62">
        <v>14.5</v>
      </c>
      <c r="JI13" s="62">
        <v>11.0</v>
      </c>
      <c r="JJ13" s="62">
        <v>8.5</v>
      </c>
      <c r="JK13" s="62">
        <v>9.0</v>
      </c>
      <c r="JL13" s="62">
        <v>16.5</v>
      </c>
      <c r="JM13" s="62">
        <v>16.5</v>
      </c>
      <c r="JN13" s="62">
        <v>11.0</v>
      </c>
      <c r="JO13" s="62">
        <v>10.5</v>
      </c>
      <c r="JP13" s="62">
        <v>11.0</v>
      </c>
      <c r="JQ13" s="62">
        <v>10.5</v>
      </c>
      <c r="JR13" s="62">
        <v>11.0</v>
      </c>
      <c r="JS13" s="62">
        <v>9.75</v>
      </c>
      <c r="JT13" s="62">
        <v>10.25</v>
      </c>
      <c r="JU13" s="62">
        <v>14.0</v>
      </c>
      <c r="JV13" s="62">
        <v>14.5</v>
      </c>
      <c r="JW13" s="62">
        <v>12.75</v>
      </c>
      <c r="JX13" s="62">
        <v>11.0</v>
      </c>
      <c r="JY13" s="62">
        <v>5.5</v>
      </c>
      <c r="JZ13" s="62">
        <v>13.5</v>
      </c>
      <c r="KA13" s="62">
        <v>13.0</v>
      </c>
      <c r="KB13" s="62">
        <v>11.5</v>
      </c>
      <c r="KC13" s="62">
        <v>13.0</v>
      </c>
      <c r="KD13" s="62">
        <v>12.0</v>
      </c>
      <c r="KE13" s="62">
        <v>7.0</v>
      </c>
      <c r="KF13" s="62">
        <v>11.5</v>
      </c>
      <c r="KG13" s="65">
        <v>10.0</v>
      </c>
      <c r="KH13" s="66"/>
      <c r="KI13" s="67">
        <v>13.0</v>
      </c>
      <c r="KJ13" s="68">
        <v>11.0</v>
      </c>
      <c r="KK13" s="67">
        <v>11.0</v>
      </c>
      <c r="KL13" s="67">
        <v>16.5</v>
      </c>
      <c r="KM13" s="67">
        <v>7.0</v>
      </c>
      <c r="KN13" s="67">
        <v>9.0</v>
      </c>
      <c r="KO13" s="67">
        <v>9.0</v>
      </c>
      <c r="KP13" s="67">
        <v>4.75</v>
      </c>
      <c r="KQ13" s="67">
        <v>10.0</v>
      </c>
      <c r="KR13" s="67" t="s">
        <v>32</v>
      </c>
      <c r="KS13" s="67">
        <v>12.0</v>
      </c>
      <c r="KT13" s="67">
        <v>4.0</v>
      </c>
      <c r="KU13" s="67">
        <v>3.75</v>
      </c>
      <c r="KV13" s="67">
        <v>13.5</v>
      </c>
      <c r="KW13" s="67" t="s">
        <v>32</v>
      </c>
      <c r="KX13" s="67">
        <v>11.0</v>
      </c>
      <c r="KY13" s="67">
        <v>12.5</v>
      </c>
      <c r="KZ13" s="67">
        <v>10.75</v>
      </c>
      <c r="LA13" s="67">
        <v>14.5</v>
      </c>
      <c r="LB13" s="67">
        <v>15.0</v>
      </c>
      <c r="LC13" s="67">
        <v>5.0</v>
      </c>
      <c r="LD13" s="67">
        <v>4.45</v>
      </c>
      <c r="LE13" s="67">
        <v>11.0</v>
      </c>
      <c r="LF13" s="67">
        <v>8.0</v>
      </c>
      <c r="LG13" s="67">
        <v>10.0</v>
      </c>
      <c r="LH13" s="67">
        <v>8.0</v>
      </c>
      <c r="LI13" s="67">
        <v>9.0</v>
      </c>
      <c r="LJ13" s="67">
        <v>8.0</v>
      </c>
      <c r="LK13" s="67">
        <v>5.0</v>
      </c>
      <c r="LL13" s="67">
        <v>2.0</v>
      </c>
      <c r="LM13" s="67">
        <v>15.0</v>
      </c>
      <c r="LN13" s="66"/>
      <c r="LO13" s="67">
        <v>6.25</v>
      </c>
      <c r="LP13" s="67">
        <v>4.0</v>
      </c>
      <c r="LQ13" s="67">
        <v>8.0</v>
      </c>
      <c r="LR13" s="67"/>
      <c r="LS13" s="67"/>
      <c r="LT13" s="67"/>
      <c r="LU13" s="67">
        <v>8.0</v>
      </c>
      <c r="LV13" s="67">
        <v>8.0</v>
      </c>
      <c r="LW13" s="67">
        <v>8.0</v>
      </c>
      <c r="LX13" s="67">
        <v>9.0</v>
      </c>
      <c r="LY13" s="67"/>
      <c r="LZ13" s="67">
        <v>9.0</v>
      </c>
      <c r="MA13" s="67"/>
      <c r="MB13" s="67"/>
      <c r="MC13" s="67"/>
      <c r="MD13" s="67"/>
      <c r="ME13" s="67"/>
      <c r="MF13" s="67"/>
      <c r="MG13" s="67"/>
      <c r="MH13" s="67"/>
      <c r="MI13" s="67"/>
      <c r="MJ13" s="67"/>
      <c r="MK13" s="67"/>
      <c r="ML13" s="67"/>
      <c r="MM13" s="67"/>
      <c r="MN13" s="67"/>
      <c r="MO13" s="67"/>
      <c r="MP13" s="67"/>
      <c r="MQ13" s="67"/>
      <c r="MR13" s="70"/>
      <c r="MS13" s="70"/>
      <c r="MT13" s="106"/>
      <c r="MU13" s="73"/>
      <c r="MV13" s="73"/>
      <c r="MW13" s="73"/>
      <c r="MX13" s="73"/>
      <c r="MY13" s="73"/>
      <c r="MZ13" s="73"/>
      <c r="NA13" s="73"/>
      <c r="NB13" s="73"/>
      <c r="NC13" s="73"/>
      <c r="ND13" s="73">
        <v>1.5</v>
      </c>
      <c r="NE13" s="73">
        <v>5.5</v>
      </c>
      <c r="NF13" s="73">
        <v>0.5</v>
      </c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107"/>
      <c r="OA13" s="108"/>
      <c r="OB13" s="108"/>
      <c r="OC13" s="109"/>
      <c r="OD13" s="78"/>
      <c r="OE13" s="78"/>
      <c r="OF13" s="78"/>
      <c r="OG13" s="78"/>
      <c r="OH13" s="78"/>
      <c r="OI13" s="78"/>
      <c r="OJ13" s="78"/>
      <c r="OK13" s="78"/>
      <c r="OL13" s="78"/>
    </row>
    <row r="14" ht="30.0" customHeight="1">
      <c r="A14" s="100"/>
      <c r="B14" s="48" t="s">
        <v>24</v>
      </c>
      <c r="C14" s="49">
        <f t="shared" si="7"/>
        <v>52</v>
      </c>
      <c r="D14" s="48">
        <f t="shared" si="8"/>
        <v>13.75</v>
      </c>
      <c r="E14" s="50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2"/>
      <c r="BV14" s="51"/>
      <c r="BW14" s="51"/>
      <c r="BX14" s="51"/>
      <c r="BY14" s="51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4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4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8"/>
      <c r="HY14" s="58">
        <v>11.0</v>
      </c>
      <c r="HZ14" s="58">
        <v>9.5</v>
      </c>
      <c r="IA14" s="58">
        <v>6.5</v>
      </c>
      <c r="IB14" s="58">
        <v>16.0</v>
      </c>
      <c r="IC14" s="58">
        <v>10.0</v>
      </c>
      <c r="ID14" s="58">
        <v>18.0</v>
      </c>
      <c r="IE14" s="58">
        <v>4.0</v>
      </c>
      <c r="IF14" s="58"/>
      <c r="IG14" s="58"/>
      <c r="IH14" s="58"/>
      <c r="II14" s="58">
        <v>8.5</v>
      </c>
      <c r="IJ14" s="58">
        <v>4.5</v>
      </c>
      <c r="IK14" s="58">
        <v>9.0</v>
      </c>
      <c r="IL14" s="58">
        <v>10.5</v>
      </c>
      <c r="IM14" s="58">
        <v>9.5</v>
      </c>
      <c r="IN14" s="58">
        <v>11.0</v>
      </c>
      <c r="IO14" s="58">
        <v>9.5</v>
      </c>
      <c r="IP14" s="58"/>
      <c r="IQ14" s="58">
        <v>9.0</v>
      </c>
      <c r="IR14" s="58">
        <v>10.0</v>
      </c>
      <c r="IS14" s="58">
        <v>9.5</v>
      </c>
      <c r="IT14" s="58">
        <v>10.0</v>
      </c>
      <c r="IU14" s="58">
        <v>17.0</v>
      </c>
      <c r="IV14" s="58">
        <v>7.5</v>
      </c>
      <c r="IW14" s="58">
        <v>12.5</v>
      </c>
      <c r="IX14" s="58">
        <v>8.0</v>
      </c>
      <c r="IY14" s="58">
        <v>14.5</v>
      </c>
      <c r="IZ14" s="58">
        <v>9.0</v>
      </c>
      <c r="JA14" s="58">
        <v>8.0</v>
      </c>
      <c r="JB14" s="61"/>
      <c r="JC14" s="62">
        <v>5.0</v>
      </c>
      <c r="JD14" s="62">
        <v>10.5</v>
      </c>
      <c r="JE14" s="62">
        <v>6.5</v>
      </c>
      <c r="JF14" s="62"/>
      <c r="JG14" s="62">
        <v>14.25</v>
      </c>
      <c r="JH14" s="62">
        <v>12.5</v>
      </c>
      <c r="JI14" s="62">
        <v>9.75</v>
      </c>
      <c r="JJ14" s="62">
        <v>8.0</v>
      </c>
      <c r="JK14" s="149"/>
      <c r="JL14" s="62">
        <v>10.5</v>
      </c>
      <c r="JM14" s="62">
        <v>10.0</v>
      </c>
      <c r="JN14" s="62">
        <v>8.0</v>
      </c>
      <c r="JO14" s="62">
        <v>15.5</v>
      </c>
      <c r="JP14" s="149"/>
      <c r="JQ14" s="62">
        <v>6.5</v>
      </c>
      <c r="JR14" s="62">
        <v>10.0</v>
      </c>
      <c r="JS14" s="62">
        <v>9.25</v>
      </c>
      <c r="JT14" s="62">
        <v>6.0</v>
      </c>
      <c r="JU14" s="62">
        <v>4.0</v>
      </c>
      <c r="JV14" s="62">
        <v>9.0</v>
      </c>
      <c r="JW14" s="62">
        <v>9.0</v>
      </c>
      <c r="JX14" s="62">
        <v>6.0</v>
      </c>
      <c r="JY14" s="62">
        <v>6.0</v>
      </c>
      <c r="JZ14" s="62">
        <v>7.0</v>
      </c>
      <c r="KA14" s="62">
        <v>10.0</v>
      </c>
      <c r="KB14" s="62">
        <v>9.5</v>
      </c>
      <c r="KC14" s="62">
        <v>10.0</v>
      </c>
      <c r="KD14" s="62">
        <v>10.0</v>
      </c>
      <c r="KE14" s="149"/>
      <c r="KF14" s="149"/>
      <c r="KG14" s="150"/>
      <c r="KH14" s="151"/>
      <c r="KI14" s="67">
        <v>10.5</v>
      </c>
      <c r="KJ14" s="68">
        <v>8.5</v>
      </c>
      <c r="KK14" s="67">
        <v>10.0</v>
      </c>
      <c r="KL14" s="67">
        <v>12.0</v>
      </c>
      <c r="KM14" s="67">
        <v>19.0</v>
      </c>
      <c r="KN14" s="67">
        <v>7.0</v>
      </c>
      <c r="KO14" s="67">
        <v>7.0</v>
      </c>
      <c r="KP14" s="67">
        <v>6.0</v>
      </c>
      <c r="KQ14" s="67">
        <v>11.5</v>
      </c>
      <c r="KR14" s="67">
        <v>12.0</v>
      </c>
      <c r="KS14" s="67">
        <v>4.5</v>
      </c>
      <c r="KT14" s="67">
        <v>7.0</v>
      </c>
      <c r="KU14" s="67">
        <v>9.5</v>
      </c>
      <c r="KV14" s="67">
        <v>1.5</v>
      </c>
      <c r="KW14" s="67" t="s">
        <v>32</v>
      </c>
      <c r="KX14" s="67">
        <v>11.0</v>
      </c>
      <c r="KY14" s="67">
        <v>6.0</v>
      </c>
      <c r="KZ14" s="67">
        <v>6.0</v>
      </c>
      <c r="LA14" s="67" t="s">
        <v>32</v>
      </c>
      <c r="LB14" s="67">
        <v>11.0</v>
      </c>
      <c r="LC14" s="67">
        <v>6.0</v>
      </c>
      <c r="LD14" s="67">
        <v>6.0</v>
      </c>
      <c r="LE14" s="67">
        <v>8.0</v>
      </c>
      <c r="LF14" s="67" t="s">
        <v>32</v>
      </c>
      <c r="LG14" s="67" t="s">
        <v>32</v>
      </c>
      <c r="LH14" s="67">
        <v>11.5</v>
      </c>
      <c r="LI14" s="67">
        <v>1.0</v>
      </c>
      <c r="LJ14" s="67">
        <v>6.5</v>
      </c>
      <c r="LK14" s="67" t="s">
        <v>32</v>
      </c>
      <c r="LL14" s="67" t="s">
        <v>32</v>
      </c>
      <c r="LM14" s="67">
        <v>21.0</v>
      </c>
      <c r="LN14" s="151"/>
      <c r="LO14" s="67">
        <v>3.0</v>
      </c>
      <c r="LP14" s="67">
        <v>5.0</v>
      </c>
      <c r="LQ14" s="67"/>
      <c r="LR14" s="67"/>
      <c r="LS14" s="67"/>
      <c r="LT14" s="67"/>
      <c r="LU14" s="67">
        <v>9.0</v>
      </c>
      <c r="LV14" s="67">
        <v>8.0</v>
      </c>
      <c r="LW14" s="67">
        <v>9.0</v>
      </c>
      <c r="LX14" s="67">
        <v>9.0</v>
      </c>
      <c r="LY14" s="67"/>
      <c r="LZ14" s="67"/>
      <c r="MA14" s="67"/>
      <c r="MB14" s="67">
        <v>9.0</v>
      </c>
      <c r="MC14" s="67"/>
      <c r="MD14" s="67"/>
      <c r="ME14" s="67"/>
      <c r="MF14" s="67"/>
      <c r="MG14" s="67"/>
      <c r="MH14" s="67"/>
      <c r="MI14" s="67"/>
      <c r="MJ14" s="67"/>
      <c r="MK14" s="67"/>
      <c r="ML14" s="67"/>
      <c r="MM14" s="67"/>
      <c r="MN14" s="67"/>
      <c r="MO14" s="67"/>
      <c r="MP14" s="67"/>
      <c r="MQ14" s="67"/>
      <c r="MR14" s="67"/>
      <c r="MS14" s="67"/>
      <c r="MT14" s="106"/>
      <c r="MU14" s="73"/>
      <c r="MV14" s="73"/>
      <c r="MW14" s="73"/>
      <c r="MX14" s="73"/>
      <c r="MY14" s="73"/>
      <c r="MZ14" s="73"/>
      <c r="NA14" s="73"/>
      <c r="NB14" s="73"/>
      <c r="NC14" s="73">
        <v>2.0</v>
      </c>
      <c r="ND14" s="73"/>
      <c r="NE14" s="73">
        <v>10.5</v>
      </c>
      <c r="NF14" s="73"/>
      <c r="NG14" s="73"/>
      <c r="NH14" s="73">
        <v>1.25</v>
      </c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152"/>
      <c r="OA14" s="153"/>
      <c r="OB14" s="153"/>
      <c r="OC14" s="154"/>
      <c r="OD14" s="155"/>
      <c r="OE14" s="155"/>
      <c r="OF14" s="155"/>
      <c r="OG14" s="155"/>
      <c r="OH14" s="155"/>
      <c r="OI14" s="155"/>
      <c r="OJ14" s="155"/>
      <c r="OK14" s="155"/>
      <c r="OL14" s="155"/>
    </row>
    <row r="15" ht="30.0" customHeight="1">
      <c r="A15" s="156"/>
      <c r="B15" s="157" t="s">
        <v>40</v>
      </c>
      <c r="C15" s="49">
        <f t="shared" si="7"/>
        <v>51.4</v>
      </c>
      <c r="D15" s="48">
        <f t="shared" si="8"/>
        <v>4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9"/>
      <c r="BV15" s="158"/>
      <c r="BW15" s="158"/>
      <c r="BX15" s="158"/>
      <c r="BY15" s="158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160"/>
      <c r="CL15" s="160"/>
      <c r="CM15" s="160"/>
      <c r="CN15" s="160"/>
      <c r="CO15" s="160"/>
      <c r="CP15" s="160"/>
      <c r="CQ15" s="160"/>
      <c r="CR15" s="160"/>
      <c r="CS15" s="160"/>
      <c r="CT15" s="160"/>
      <c r="CU15" s="160"/>
      <c r="CV15" s="160"/>
      <c r="CW15" s="160"/>
      <c r="CX15" s="160"/>
      <c r="CY15" s="160"/>
      <c r="CZ15" s="161"/>
      <c r="DA15" s="160"/>
      <c r="DB15" s="160"/>
      <c r="DC15" s="160"/>
      <c r="DD15" s="160"/>
      <c r="DE15" s="160"/>
      <c r="DF15" s="160"/>
      <c r="DG15" s="160"/>
      <c r="DH15" s="160"/>
      <c r="DI15" s="160"/>
      <c r="DJ15" s="160"/>
      <c r="DK15" s="160"/>
      <c r="DL15" s="160"/>
      <c r="DM15" s="160"/>
      <c r="DN15" s="160"/>
      <c r="DO15" s="160"/>
      <c r="DP15" s="160"/>
      <c r="DQ15" s="160"/>
      <c r="DR15" s="160"/>
      <c r="DS15" s="160"/>
      <c r="DT15" s="160"/>
      <c r="DU15" s="160"/>
      <c r="DV15" s="160"/>
      <c r="DW15" s="160"/>
      <c r="DX15" s="160"/>
      <c r="DY15" s="160"/>
      <c r="DZ15" s="160"/>
      <c r="EA15" s="160"/>
      <c r="EB15" s="160"/>
      <c r="EC15" s="160"/>
      <c r="ED15" s="161"/>
      <c r="EE15" s="160"/>
      <c r="EF15" s="160"/>
      <c r="EG15" s="160"/>
      <c r="EH15" s="160"/>
      <c r="EI15" s="160"/>
      <c r="EJ15" s="160"/>
      <c r="EK15" s="160"/>
      <c r="EL15" s="160"/>
      <c r="EM15" s="160"/>
      <c r="EN15" s="160"/>
      <c r="EO15" s="160"/>
      <c r="EP15" s="160"/>
      <c r="EQ15" s="160"/>
      <c r="ER15" s="160"/>
      <c r="ES15" s="160"/>
      <c r="ET15" s="160"/>
      <c r="EU15" s="160"/>
      <c r="EV15" s="160"/>
      <c r="EW15" s="160"/>
      <c r="EX15" s="160"/>
      <c r="EY15" s="160"/>
      <c r="EZ15" s="160"/>
      <c r="FA15" s="160"/>
      <c r="FB15" s="160"/>
      <c r="FC15" s="160"/>
      <c r="FD15" s="160"/>
      <c r="FE15" s="160"/>
      <c r="FF15" s="160"/>
      <c r="FG15" s="160"/>
      <c r="FH15" s="160"/>
      <c r="FI15" s="160"/>
      <c r="FJ15" s="160"/>
      <c r="FK15" s="160"/>
      <c r="FL15" s="160"/>
      <c r="FM15" s="160"/>
      <c r="FN15" s="160"/>
      <c r="FO15" s="160"/>
      <c r="FP15" s="160"/>
      <c r="FQ15" s="160"/>
      <c r="FR15" s="160"/>
      <c r="FS15" s="160"/>
      <c r="FT15" s="160"/>
      <c r="FU15" s="160"/>
      <c r="FV15" s="160"/>
      <c r="FW15" s="160"/>
      <c r="FX15" s="160"/>
      <c r="FY15" s="160"/>
      <c r="FZ15" s="160"/>
      <c r="GA15" s="160"/>
      <c r="GB15" s="160"/>
      <c r="GC15" s="160"/>
      <c r="GD15" s="160"/>
      <c r="GE15" s="160"/>
      <c r="GF15" s="160"/>
      <c r="GG15" s="160"/>
      <c r="GH15" s="160"/>
      <c r="GI15" s="160"/>
      <c r="GJ15" s="160"/>
      <c r="GK15" s="160"/>
      <c r="GL15" s="160"/>
      <c r="GM15" s="160"/>
      <c r="GN15" s="160"/>
      <c r="GO15" s="160"/>
      <c r="GP15" s="160"/>
      <c r="GQ15" s="160"/>
      <c r="GR15" s="160"/>
      <c r="GS15" s="160"/>
      <c r="GT15" s="160"/>
      <c r="GU15" s="160"/>
      <c r="GV15" s="160"/>
      <c r="GW15" s="160"/>
      <c r="GX15" s="160"/>
      <c r="GY15" s="160"/>
      <c r="GZ15" s="160"/>
      <c r="HA15" s="160"/>
      <c r="HB15" s="160"/>
      <c r="HC15" s="160"/>
      <c r="HD15" s="160"/>
      <c r="HE15" s="160"/>
      <c r="HF15" s="160"/>
      <c r="HG15" s="160"/>
      <c r="HH15" s="160"/>
      <c r="HI15" s="160"/>
      <c r="HJ15" s="160"/>
      <c r="HK15" s="160"/>
      <c r="HL15" s="160"/>
      <c r="HM15" s="160"/>
      <c r="HN15" s="160"/>
      <c r="HO15" s="160"/>
      <c r="HP15" s="160"/>
      <c r="HQ15" s="160"/>
      <c r="HR15" s="160"/>
      <c r="HS15" s="160"/>
      <c r="HT15" s="160"/>
      <c r="HU15" s="160"/>
      <c r="HV15" s="160"/>
      <c r="HW15" s="160"/>
      <c r="HX15" s="163"/>
      <c r="HY15" s="163"/>
      <c r="HZ15" s="163"/>
      <c r="IA15" s="163"/>
      <c r="IB15" s="163"/>
      <c r="IC15" s="163"/>
      <c r="ID15" s="163"/>
      <c r="IE15" s="163"/>
      <c r="IF15" s="163"/>
      <c r="IG15" s="163"/>
      <c r="IH15" s="163"/>
      <c r="II15" s="163"/>
      <c r="IJ15" s="163"/>
      <c r="IK15" s="163"/>
      <c r="IL15" s="163"/>
      <c r="IM15" s="163"/>
      <c r="IN15" s="163"/>
      <c r="IO15" s="163"/>
      <c r="IP15" s="163"/>
      <c r="IQ15" s="163"/>
      <c r="IR15" s="163"/>
      <c r="IS15" s="163"/>
      <c r="IT15" s="163"/>
      <c r="IU15" s="163"/>
      <c r="IV15" s="163"/>
      <c r="IW15" s="163"/>
      <c r="IX15" s="163"/>
      <c r="IY15" s="163"/>
      <c r="IZ15" s="163"/>
      <c r="JA15" s="163"/>
      <c r="JB15" s="164"/>
      <c r="JC15" s="165"/>
      <c r="JD15" s="165"/>
      <c r="JE15" s="165"/>
      <c r="JF15" s="165"/>
      <c r="JG15" s="165"/>
      <c r="JH15" s="165"/>
      <c r="JI15" s="165"/>
      <c r="JJ15" s="165"/>
      <c r="JK15" s="166"/>
      <c r="JL15" s="165"/>
      <c r="JM15" s="165"/>
      <c r="JN15" s="165"/>
      <c r="JO15" s="165"/>
      <c r="JP15" s="166"/>
      <c r="JQ15" s="165"/>
      <c r="JR15" s="165"/>
      <c r="JS15" s="165"/>
      <c r="JT15" s="165"/>
      <c r="JU15" s="165"/>
      <c r="JV15" s="165"/>
      <c r="JW15" s="165"/>
      <c r="JX15" s="165"/>
      <c r="JY15" s="165"/>
      <c r="JZ15" s="165"/>
      <c r="KA15" s="165"/>
      <c r="KB15" s="165"/>
      <c r="KC15" s="165"/>
      <c r="KD15" s="165"/>
      <c r="KE15" s="166"/>
      <c r="KF15" s="166"/>
      <c r="KG15" s="166"/>
      <c r="KH15" s="151"/>
      <c r="KI15" s="167"/>
      <c r="KJ15" s="168"/>
      <c r="KK15" s="167"/>
      <c r="KL15" s="167"/>
      <c r="KM15" s="167"/>
      <c r="KN15" s="167"/>
      <c r="KO15" s="167"/>
      <c r="KP15" s="167"/>
      <c r="KQ15" s="167"/>
      <c r="KR15" s="167"/>
      <c r="KS15" s="167"/>
      <c r="KT15" s="167"/>
      <c r="KU15" s="167"/>
      <c r="KV15" s="167"/>
      <c r="KW15" s="167"/>
      <c r="KX15" s="167"/>
      <c r="KY15" s="167"/>
      <c r="KZ15" s="167"/>
      <c r="LA15" s="167"/>
      <c r="LB15" s="167"/>
      <c r="LC15" s="167"/>
      <c r="LD15" s="167"/>
      <c r="LE15" s="167"/>
      <c r="LF15" s="167"/>
      <c r="LG15" s="167"/>
      <c r="LH15" s="167"/>
      <c r="LI15" s="167"/>
      <c r="LJ15" s="167"/>
      <c r="LK15" s="167"/>
      <c r="LL15" s="167"/>
      <c r="LM15" s="167"/>
      <c r="LN15" s="151"/>
      <c r="LO15" s="67"/>
      <c r="LP15" s="67"/>
      <c r="LQ15" s="67"/>
      <c r="LR15" s="67"/>
      <c r="LS15" s="67"/>
      <c r="LT15" s="67"/>
      <c r="LU15" s="67">
        <v>7.1</v>
      </c>
      <c r="LV15" s="67">
        <v>7.1</v>
      </c>
      <c r="LW15" s="67">
        <v>7.1</v>
      </c>
      <c r="LX15" s="67">
        <v>7.5</v>
      </c>
      <c r="LY15" s="67"/>
      <c r="LZ15" s="67">
        <v>7.6</v>
      </c>
      <c r="MA15" s="67">
        <v>7.5</v>
      </c>
      <c r="MB15" s="67">
        <v>7.5</v>
      </c>
      <c r="MC15" s="67"/>
      <c r="MD15" s="67"/>
      <c r="ME15" s="67"/>
      <c r="MF15" s="67"/>
      <c r="MG15" s="67"/>
      <c r="MH15" s="67"/>
      <c r="MI15" s="67"/>
      <c r="MJ15" s="67"/>
      <c r="MK15" s="67"/>
      <c r="ML15" s="67"/>
      <c r="MM15" s="67"/>
      <c r="MN15" s="67"/>
      <c r="MO15" s="67"/>
      <c r="MP15" s="67"/>
      <c r="MQ15" s="67"/>
      <c r="MR15" s="67"/>
      <c r="MS15" s="67"/>
      <c r="MT15" s="106"/>
      <c r="MU15" s="73"/>
      <c r="MV15" s="73"/>
      <c r="MW15" s="73"/>
      <c r="MX15" s="73"/>
      <c r="MY15" s="73"/>
      <c r="MZ15" s="73"/>
      <c r="NA15" s="73"/>
      <c r="NB15" s="73"/>
      <c r="NC15" s="73"/>
      <c r="ND15" s="73"/>
      <c r="NE15" s="73">
        <v>4.0</v>
      </c>
      <c r="NF15" s="73"/>
      <c r="NG15" s="73"/>
      <c r="NH15" s="73"/>
      <c r="NI15" s="73"/>
      <c r="NJ15" s="73"/>
      <c r="NK15" s="73"/>
      <c r="NL15" s="73"/>
      <c r="NM15" s="73"/>
      <c r="NN15" s="73"/>
      <c r="NO15" s="73"/>
      <c r="NP15" s="73"/>
      <c r="NQ15" s="73"/>
      <c r="NR15" s="73"/>
      <c r="NS15" s="73"/>
      <c r="NT15" s="73"/>
      <c r="NU15" s="73"/>
      <c r="NV15" s="73"/>
      <c r="NW15" s="73"/>
      <c r="NX15" s="73"/>
      <c r="NY15" s="73"/>
      <c r="NZ15" s="169"/>
      <c r="OA15" s="170"/>
      <c r="OB15" s="170"/>
      <c r="OC15" s="170"/>
      <c r="OD15" s="170"/>
      <c r="OE15" s="170"/>
      <c r="OF15" s="170"/>
      <c r="OG15" s="170"/>
      <c r="OH15" s="170"/>
      <c r="OI15" s="170"/>
      <c r="OJ15" s="170"/>
      <c r="OK15" s="170"/>
      <c r="OL15" s="170"/>
    </row>
    <row r="16" ht="30.0" customHeight="1">
      <c r="A16" s="156"/>
      <c r="B16" s="171" t="s">
        <v>41</v>
      </c>
      <c r="C16" s="49">
        <f t="shared" si="7"/>
        <v>22.7</v>
      </c>
      <c r="D16" s="48">
        <f t="shared" si="8"/>
        <v>9.5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9"/>
      <c r="BV16" s="158"/>
      <c r="BW16" s="158"/>
      <c r="BX16" s="158"/>
      <c r="BY16" s="158"/>
      <c r="BZ16" s="160"/>
      <c r="CA16" s="160"/>
      <c r="CB16" s="160"/>
      <c r="CC16" s="160"/>
      <c r="CD16" s="160"/>
      <c r="CE16" s="160"/>
      <c r="CF16" s="160"/>
      <c r="CG16" s="160"/>
      <c r="CH16" s="160"/>
      <c r="CI16" s="160"/>
      <c r="CJ16" s="160"/>
      <c r="CK16" s="160"/>
      <c r="CL16" s="160"/>
      <c r="CM16" s="160"/>
      <c r="CN16" s="160"/>
      <c r="CO16" s="160"/>
      <c r="CP16" s="160"/>
      <c r="CQ16" s="160"/>
      <c r="CR16" s="160"/>
      <c r="CS16" s="160"/>
      <c r="CT16" s="160"/>
      <c r="CU16" s="160"/>
      <c r="CV16" s="160"/>
      <c r="CW16" s="160"/>
      <c r="CX16" s="160"/>
      <c r="CY16" s="160"/>
      <c r="CZ16" s="161"/>
      <c r="DA16" s="160"/>
      <c r="DB16" s="160"/>
      <c r="DC16" s="160"/>
      <c r="DD16" s="160"/>
      <c r="DE16" s="160"/>
      <c r="DF16" s="160"/>
      <c r="DG16" s="160"/>
      <c r="DH16" s="160"/>
      <c r="DI16" s="160"/>
      <c r="DJ16" s="160"/>
      <c r="DK16" s="160"/>
      <c r="DL16" s="160"/>
      <c r="DM16" s="160"/>
      <c r="DN16" s="160"/>
      <c r="DO16" s="160"/>
      <c r="DP16" s="160"/>
      <c r="DQ16" s="160"/>
      <c r="DR16" s="160"/>
      <c r="DS16" s="160"/>
      <c r="DT16" s="160"/>
      <c r="DU16" s="160"/>
      <c r="DV16" s="160"/>
      <c r="DW16" s="160"/>
      <c r="DX16" s="160"/>
      <c r="DY16" s="160"/>
      <c r="DZ16" s="160"/>
      <c r="EA16" s="160"/>
      <c r="EB16" s="160"/>
      <c r="EC16" s="160"/>
      <c r="ED16" s="161"/>
      <c r="EE16" s="160"/>
      <c r="EF16" s="160"/>
      <c r="EG16" s="160"/>
      <c r="EH16" s="160"/>
      <c r="EI16" s="160"/>
      <c r="EJ16" s="160"/>
      <c r="EK16" s="160"/>
      <c r="EL16" s="160"/>
      <c r="EM16" s="160"/>
      <c r="EN16" s="160"/>
      <c r="EO16" s="160"/>
      <c r="EP16" s="160"/>
      <c r="EQ16" s="160"/>
      <c r="ER16" s="160"/>
      <c r="ES16" s="160"/>
      <c r="ET16" s="160"/>
      <c r="EU16" s="160"/>
      <c r="EV16" s="160"/>
      <c r="EW16" s="160"/>
      <c r="EX16" s="160"/>
      <c r="EY16" s="160"/>
      <c r="EZ16" s="160"/>
      <c r="FA16" s="160"/>
      <c r="FB16" s="160"/>
      <c r="FC16" s="160"/>
      <c r="FD16" s="160"/>
      <c r="FE16" s="160"/>
      <c r="FF16" s="160"/>
      <c r="FG16" s="160"/>
      <c r="FH16" s="160"/>
      <c r="FI16" s="160"/>
      <c r="FJ16" s="160"/>
      <c r="FK16" s="160"/>
      <c r="FL16" s="160"/>
      <c r="FM16" s="160"/>
      <c r="FN16" s="160"/>
      <c r="FO16" s="160"/>
      <c r="FP16" s="160"/>
      <c r="FQ16" s="160"/>
      <c r="FR16" s="160"/>
      <c r="FS16" s="160"/>
      <c r="FT16" s="160"/>
      <c r="FU16" s="160"/>
      <c r="FV16" s="160"/>
      <c r="FW16" s="160"/>
      <c r="FX16" s="160"/>
      <c r="FY16" s="160"/>
      <c r="FZ16" s="160"/>
      <c r="GA16" s="160"/>
      <c r="GB16" s="160"/>
      <c r="GC16" s="160"/>
      <c r="GD16" s="160"/>
      <c r="GE16" s="160"/>
      <c r="GF16" s="160"/>
      <c r="GG16" s="160"/>
      <c r="GH16" s="160"/>
      <c r="GI16" s="160"/>
      <c r="GJ16" s="160"/>
      <c r="GK16" s="160"/>
      <c r="GL16" s="160"/>
      <c r="GM16" s="160"/>
      <c r="GN16" s="160"/>
      <c r="GO16" s="160"/>
      <c r="GP16" s="160"/>
      <c r="GQ16" s="160"/>
      <c r="GR16" s="160"/>
      <c r="GS16" s="160"/>
      <c r="GT16" s="160"/>
      <c r="GU16" s="160"/>
      <c r="GV16" s="160"/>
      <c r="GW16" s="160"/>
      <c r="GX16" s="160"/>
      <c r="GY16" s="160"/>
      <c r="GZ16" s="160"/>
      <c r="HA16" s="160"/>
      <c r="HB16" s="160"/>
      <c r="HC16" s="160"/>
      <c r="HD16" s="160"/>
      <c r="HE16" s="160"/>
      <c r="HF16" s="160"/>
      <c r="HG16" s="160"/>
      <c r="HH16" s="160"/>
      <c r="HI16" s="160"/>
      <c r="HJ16" s="160"/>
      <c r="HK16" s="160"/>
      <c r="HL16" s="160"/>
      <c r="HM16" s="160"/>
      <c r="HN16" s="160"/>
      <c r="HO16" s="160"/>
      <c r="HP16" s="160"/>
      <c r="HQ16" s="160"/>
      <c r="HR16" s="160"/>
      <c r="HS16" s="160"/>
      <c r="HT16" s="160"/>
      <c r="HU16" s="160"/>
      <c r="HV16" s="160"/>
      <c r="HW16" s="160"/>
      <c r="HX16" s="163"/>
      <c r="HY16" s="163"/>
      <c r="HZ16" s="163"/>
      <c r="IA16" s="163"/>
      <c r="IB16" s="163"/>
      <c r="IC16" s="163"/>
      <c r="ID16" s="163"/>
      <c r="IE16" s="163"/>
      <c r="IF16" s="163"/>
      <c r="IG16" s="163"/>
      <c r="IH16" s="163"/>
      <c r="II16" s="163"/>
      <c r="IJ16" s="163"/>
      <c r="IK16" s="163"/>
      <c r="IL16" s="163"/>
      <c r="IM16" s="163"/>
      <c r="IN16" s="163"/>
      <c r="IO16" s="163"/>
      <c r="IP16" s="163"/>
      <c r="IQ16" s="163"/>
      <c r="IR16" s="163"/>
      <c r="IS16" s="163"/>
      <c r="IT16" s="163"/>
      <c r="IU16" s="163"/>
      <c r="IV16" s="163"/>
      <c r="IW16" s="163"/>
      <c r="IX16" s="163"/>
      <c r="IY16" s="163"/>
      <c r="IZ16" s="163"/>
      <c r="JA16" s="163"/>
      <c r="JB16" s="164"/>
      <c r="JC16" s="165"/>
      <c r="JD16" s="165"/>
      <c r="JE16" s="165"/>
      <c r="JF16" s="165"/>
      <c r="JG16" s="165"/>
      <c r="JH16" s="165"/>
      <c r="JI16" s="165"/>
      <c r="JJ16" s="165"/>
      <c r="JK16" s="166"/>
      <c r="JL16" s="165"/>
      <c r="JM16" s="165"/>
      <c r="JN16" s="165"/>
      <c r="JO16" s="165"/>
      <c r="JP16" s="166"/>
      <c r="JQ16" s="165"/>
      <c r="JR16" s="165"/>
      <c r="JS16" s="165"/>
      <c r="JT16" s="165"/>
      <c r="JU16" s="165"/>
      <c r="JV16" s="165"/>
      <c r="JW16" s="165"/>
      <c r="JX16" s="165"/>
      <c r="JY16" s="165"/>
      <c r="JZ16" s="165"/>
      <c r="KA16" s="165"/>
      <c r="KB16" s="165"/>
      <c r="KC16" s="165"/>
      <c r="KD16" s="165"/>
      <c r="KE16" s="166"/>
      <c r="KF16" s="166"/>
      <c r="KG16" s="166"/>
      <c r="KH16" s="151"/>
      <c r="KI16" s="167"/>
      <c r="KJ16" s="168"/>
      <c r="KK16" s="167"/>
      <c r="KL16" s="167"/>
      <c r="KM16" s="167"/>
      <c r="KN16" s="167"/>
      <c r="KO16" s="167"/>
      <c r="KP16" s="167"/>
      <c r="KQ16" s="167"/>
      <c r="KR16" s="167"/>
      <c r="KS16" s="167"/>
      <c r="KT16" s="167"/>
      <c r="KU16" s="167"/>
      <c r="KV16" s="167"/>
      <c r="KW16" s="167"/>
      <c r="KX16" s="167"/>
      <c r="KY16" s="167"/>
      <c r="KZ16" s="167"/>
      <c r="LA16" s="167"/>
      <c r="LB16" s="167"/>
      <c r="LC16" s="167"/>
      <c r="LD16" s="167"/>
      <c r="LE16" s="167"/>
      <c r="LF16" s="167"/>
      <c r="LG16" s="167"/>
      <c r="LH16" s="167"/>
      <c r="LI16" s="167"/>
      <c r="LJ16" s="167"/>
      <c r="LK16" s="167"/>
      <c r="LL16" s="167"/>
      <c r="LM16" s="167"/>
      <c r="LN16" s="151"/>
      <c r="LO16" s="67"/>
      <c r="LP16" s="67"/>
      <c r="LQ16" s="67"/>
      <c r="LR16" s="67"/>
      <c r="LS16" s="67"/>
      <c r="LT16" s="67"/>
      <c r="LU16" s="67"/>
      <c r="LV16" s="67"/>
      <c r="LW16" s="67"/>
      <c r="LX16" s="67">
        <v>6.0</v>
      </c>
      <c r="LY16" s="67"/>
      <c r="LZ16" s="67">
        <v>9.0</v>
      </c>
      <c r="MA16" s="67">
        <v>7.7</v>
      </c>
      <c r="MB16" s="67"/>
      <c r="MC16" s="67"/>
      <c r="MD16" s="67"/>
      <c r="ME16" s="67"/>
      <c r="MF16" s="67"/>
      <c r="MG16" s="67"/>
      <c r="MH16" s="67"/>
      <c r="MI16" s="67"/>
      <c r="MJ16" s="67"/>
      <c r="MK16" s="67"/>
      <c r="ML16" s="67"/>
      <c r="MM16" s="67"/>
      <c r="MN16" s="67"/>
      <c r="MO16" s="67"/>
      <c r="MP16" s="67"/>
      <c r="MQ16" s="67"/>
      <c r="MR16" s="67"/>
      <c r="MS16" s="67"/>
      <c r="MT16" s="106"/>
      <c r="MU16" s="73"/>
      <c r="MV16" s="73"/>
      <c r="MW16" s="73"/>
      <c r="MX16" s="73"/>
      <c r="MY16" s="73"/>
      <c r="MZ16" s="73"/>
      <c r="NA16" s="73"/>
      <c r="NB16" s="73"/>
      <c r="NC16" s="73"/>
      <c r="ND16" s="73"/>
      <c r="NE16" s="73">
        <v>7.5</v>
      </c>
      <c r="NF16" s="73">
        <v>2.0</v>
      </c>
      <c r="NG16" s="73"/>
      <c r="NH16" s="73"/>
      <c r="NI16" s="73"/>
      <c r="NJ16" s="73"/>
      <c r="NK16" s="73"/>
      <c r="NL16" s="73"/>
      <c r="NM16" s="73"/>
      <c r="NN16" s="73"/>
      <c r="NO16" s="73"/>
      <c r="NP16" s="73"/>
      <c r="NQ16" s="73"/>
      <c r="NR16" s="73"/>
      <c r="NS16" s="73"/>
      <c r="NT16" s="73"/>
      <c r="NU16" s="73"/>
      <c r="NV16" s="73"/>
      <c r="NW16" s="73"/>
      <c r="NX16" s="73"/>
      <c r="NY16" s="73"/>
      <c r="NZ16" s="169"/>
      <c r="OA16" s="170"/>
      <c r="OB16" s="170"/>
      <c r="OC16" s="170"/>
      <c r="OD16" s="170"/>
      <c r="OE16" s="170"/>
      <c r="OF16" s="170"/>
      <c r="OG16" s="170"/>
      <c r="OH16" s="170"/>
      <c r="OI16" s="170"/>
      <c r="OJ16" s="170"/>
      <c r="OK16" s="170"/>
      <c r="OL16" s="170"/>
    </row>
  </sheetData>
  <mergeCells count="1">
    <mergeCell ref="X1:AN1"/>
  </mergeCells>
  <conditionalFormatting sqref="E1:E16">
    <cfRule type="notContainsBlanks" dxfId="3" priority="1">
      <formula>LEN(TRIM(E1))&gt;0</formula>
    </cfRule>
  </conditionalFormatting>
  <conditionalFormatting sqref="KI6:LL16 LO6:MS16">
    <cfRule type="containsText" dxfId="4" priority="2" operator="containsText" text="x">
      <formula>NOT(ISERROR(SEARCH(("x"),(KI6))))</formula>
    </cfRule>
  </conditionalFormatting>
  <conditionalFormatting sqref="LM1:LM16">
    <cfRule type="cellIs" dxfId="5" priority="3" operator="greaterThan">
      <formula>0</formula>
    </cfRule>
  </conditionalFormatting>
  <conditionalFormatting sqref="LG8 MM8">
    <cfRule type="notContainsBlanks" dxfId="6" priority="4">
      <formula>LEN(TRIM(LG8))&gt;0</formula>
    </cfRule>
  </conditionalFormatting>
  <conditionalFormatting sqref="KI6:LL16 LO6:MS16">
    <cfRule type="containsBlanks" dxfId="6" priority="5">
      <formula>LEN(TRIM(KI6))=0</formula>
    </cfRule>
  </conditionalFormatting>
  <conditionalFormatting sqref="KI6:LL16 LO6:MS16">
    <cfRule type="cellIs" dxfId="7" priority="6" operator="greaterThan">
      <formula>0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9.11"/>
    <col customWidth="1" min="2" max="7" width="15.33"/>
    <col customWidth="1" min="8" max="8" width="21.22"/>
  </cols>
  <sheetData>
    <row r="1" ht="36.0" customHeight="1">
      <c r="A1" s="189"/>
      <c r="B1" s="190"/>
      <c r="C1" s="190"/>
      <c r="D1" s="190"/>
      <c r="E1" s="190"/>
      <c r="F1" s="190"/>
      <c r="G1" s="190"/>
      <c r="H1" s="191"/>
    </row>
    <row r="2" ht="36.0" customHeight="1">
      <c r="A2" s="192"/>
      <c r="B2" s="193"/>
      <c r="C2" s="194"/>
      <c r="D2" s="194"/>
      <c r="E2" s="195"/>
      <c r="F2" s="195"/>
      <c r="G2" s="195"/>
      <c r="H2" s="196"/>
    </row>
    <row r="3" ht="24.0" customHeight="1">
      <c r="A3" s="8"/>
      <c r="B3" s="197"/>
      <c r="C3" s="197"/>
      <c r="D3" s="197"/>
      <c r="E3" s="197"/>
      <c r="F3" s="197"/>
      <c r="G3" s="197"/>
      <c r="H3" s="198"/>
    </row>
    <row r="4" ht="36.0" customHeight="1">
      <c r="A4" s="11" t="s">
        <v>1</v>
      </c>
      <c r="B4" s="199" t="s">
        <v>59</v>
      </c>
      <c r="C4" s="199" t="s">
        <v>60</v>
      </c>
      <c r="D4" s="200" t="s">
        <v>3</v>
      </c>
      <c r="E4" s="200" t="s">
        <v>6</v>
      </c>
      <c r="F4" s="199" t="s">
        <v>61</v>
      </c>
      <c r="G4" s="199" t="s">
        <v>62</v>
      </c>
      <c r="H4" s="200" t="s">
        <v>8</v>
      </c>
    </row>
    <row r="5" ht="36.0" customHeight="1">
      <c r="A5" s="11"/>
      <c r="B5" s="199"/>
      <c r="C5" s="199"/>
      <c r="D5" s="200"/>
      <c r="E5" s="200"/>
      <c r="F5" s="199"/>
      <c r="G5" s="199"/>
      <c r="H5" s="200"/>
    </row>
    <row r="6" ht="27.0" customHeight="1">
      <c r="A6" s="203" t="s">
        <v>31</v>
      </c>
      <c r="B6" s="335">
        <v>300.0</v>
      </c>
      <c r="C6" s="205">
        <f t="shared" ref="C6:C8" si="1">D6/26/9</f>
        <v>2777.777778</v>
      </c>
      <c r="D6" s="204">
        <v>650000.0</v>
      </c>
      <c r="E6" s="204">
        <v>0.0</v>
      </c>
      <c r="F6" s="207">
        <v>125000.0</v>
      </c>
      <c r="G6" s="336"/>
      <c r="H6" s="206">
        <f t="shared" ref="H6:H8" si="2">B6+(G6)*1.5*(C6)-E6+F6</f>
        <v>958333.3333</v>
      </c>
    </row>
    <row r="7" ht="27.0" customHeight="1">
      <c r="A7" s="203" t="s">
        <v>9</v>
      </c>
      <c r="B7" s="335">
        <f>'الحظور'!C4</f>
        <v>67</v>
      </c>
      <c r="C7" s="205">
        <f t="shared" si="1"/>
        <v>2777.777778</v>
      </c>
      <c r="D7" s="207">
        <v>650000.0</v>
      </c>
      <c r="E7" s="204">
        <f>'السلف و الغرامات'!C7</f>
        <v>0</v>
      </c>
      <c r="F7" s="207">
        <v>100000.0</v>
      </c>
      <c r="G7" s="336"/>
      <c r="H7" s="206">
        <f t="shared" si="2"/>
        <v>286111.1111</v>
      </c>
    </row>
    <row r="8" ht="27.0" customHeight="1">
      <c r="A8" s="203" t="s">
        <v>21</v>
      </c>
      <c r="B8" s="335">
        <f>'الحظور'!C5</f>
        <v>72</v>
      </c>
      <c r="C8" s="205">
        <f t="shared" si="1"/>
        <v>2991.452991</v>
      </c>
      <c r="D8" s="204">
        <v>700000.0</v>
      </c>
      <c r="E8" s="204">
        <f>'السلف و الغرامات'!C8</f>
        <v>150000</v>
      </c>
      <c r="F8" s="207">
        <v>100000.0</v>
      </c>
      <c r="G8" s="336">
        <f>'الحظور'!D5</f>
        <v>14.85</v>
      </c>
      <c r="H8" s="206">
        <f t="shared" si="2"/>
        <v>232019.2308</v>
      </c>
    </row>
    <row r="9" ht="27.0" customHeight="1">
      <c r="A9" s="203" t="s">
        <v>35</v>
      </c>
      <c r="B9" s="335">
        <f>'الحظور'!C6</f>
        <v>0</v>
      </c>
      <c r="C9" s="205">
        <v>3000.0</v>
      </c>
      <c r="D9" s="206">
        <f>C9*(B9)</f>
        <v>0</v>
      </c>
      <c r="E9" s="204">
        <f>'السلف و الغرامات'!C9</f>
        <v>50000</v>
      </c>
      <c r="F9" s="207"/>
      <c r="G9" s="336">
        <f>'الحظور'!D6</f>
        <v>0</v>
      </c>
      <c r="H9" s="206">
        <f>D9-E9+F9</f>
        <v>-50000</v>
      </c>
    </row>
    <row r="10" ht="27.0" customHeight="1">
      <c r="A10" s="209" t="s">
        <v>12</v>
      </c>
      <c r="B10" s="335">
        <f>'الحظور'!C7</f>
        <v>24.5</v>
      </c>
      <c r="C10" s="205">
        <f t="shared" ref="C10:C16" si="3">D10/26/9</f>
        <v>1923.076923</v>
      </c>
      <c r="D10" s="204">
        <v>450000.0</v>
      </c>
      <c r="E10" s="204">
        <f>'السلف و الغرامات'!C10</f>
        <v>35000</v>
      </c>
      <c r="F10" s="207">
        <v>100000.0</v>
      </c>
      <c r="G10" s="336">
        <f>'الحظور'!D7</f>
        <v>10.5</v>
      </c>
      <c r="H10" s="206">
        <f t="shared" ref="H10:H16" si="4">B10+(G10)*1.5*(C10)-E10+F10</f>
        <v>142403.8462</v>
      </c>
    </row>
    <row r="11" ht="27.0" customHeight="1">
      <c r="A11" s="203" t="s">
        <v>37</v>
      </c>
      <c r="B11" s="335">
        <f>'الحظور'!C8</f>
        <v>52.75</v>
      </c>
      <c r="C11" s="205">
        <f t="shared" si="3"/>
        <v>2136.752137</v>
      </c>
      <c r="D11" s="204">
        <v>500000.0</v>
      </c>
      <c r="E11" s="204">
        <f>'السلف و الغرامات'!C11</f>
        <v>313000</v>
      </c>
      <c r="F11" s="207">
        <v>100000.0</v>
      </c>
      <c r="G11" s="336">
        <f>'الحظور'!D8</f>
        <v>0.6</v>
      </c>
      <c r="H11" s="206">
        <f t="shared" si="4"/>
        <v>-98363.24786</v>
      </c>
    </row>
    <row r="12" ht="27.0" customHeight="1">
      <c r="A12" s="203" t="s">
        <v>14</v>
      </c>
      <c r="B12" s="335">
        <f>'الحظور'!C9</f>
        <v>44</v>
      </c>
      <c r="C12" s="205">
        <f t="shared" si="3"/>
        <v>2136.752137</v>
      </c>
      <c r="D12" s="204">
        <v>500000.0</v>
      </c>
      <c r="E12" s="204">
        <f>'السلف و الغرامات'!C12</f>
        <v>108000</v>
      </c>
      <c r="F12" s="207">
        <v>100000.0</v>
      </c>
      <c r="G12" s="336">
        <f>'الحظور'!D9</f>
        <v>6.1</v>
      </c>
      <c r="H12" s="206">
        <f t="shared" si="4"/>
        <v>105568.3761</v>
      </c>
    </row>
    <row r="13" ht="27.0" customHeight="1">
      <c r="A13" s="203" t="s">
        <v>39</v>
      </c>
      <c r="B13" s="335">
        <f>'الحظور'!C10</f>
        <v>60.25</v>
      </c>
      <c r="C13" s="205">
        <f t="shared" si="3"/>
        <v>1923.076923</v>
      </c>
      <c r="D13" s="204">
        <v>450000.0</v>
      </c>
      <c r="E13" s="204">
        <f>'السلف و الغرامات'!C13</f>
        <v>170000</v>
      </c>
      <c r="F13" s="207">
        <v>100000.0</v>
      </c>
      <c r="G13" s="336">
        <f>'الحظور'!D10</f>
        <v>7.5</v>
      </c>
      <c r="H13" s="206">
        <f t="shared" si="4"/>
        <v>67500</v>
      </c>
    </row>
    <row r="14" ht="27.0" customHeight="1">
      <c r="A14" s="203" t="s">
        <v>24</v>
      </c>
      <c r="B14" s="335">
        <f>'الحظور'!C11</f>
        <v>52</v>
      </c>
      <c r="C14" s="205">
        <f t="shared" si="3"/>
        <v>1709.401709</v>
      </c>
      <c r="D14" s="204">
        <v>400000.0</v>
      </c>
      <c r="E14" s="204">
        <f>'السلف و الغرامات'!C14</f>
        <v>35000</v>
      </c>
      <c r="F14" s="207">
        <v>100000.0</v>
      </c>
      <c r="G14" s="336">
        <f>'الحظور'!D11</f>
        <v>13.75</v>
      </c>
      <c r="H14" s="206">
        <f t="shared" si="4"/>
        <v>189145.2991</v>
      </c>
    </row>
    <row r="15" ht="27.0" customHeight="1">
      <c r="A15" s="210" t="s">
        <v>40</v>
      </c>
      <c r="B15" s="335">
        <f>'الحظور'!C12</f>
        <v>51.4</v>
      </c>
      <c r="C15" s="205">
        <f t="shared" si="3"/>
        <v>1495.726496</v>
      </c>
      <c r="D15" s="337">
        <v>350000.0</v>
      </c>
      <c r="E15" s="204">
        <f>'السلف و الغرامات'!C15</f>
        <v>0</v>
      </c>
      <c r="F15" s="338">
        <v>100000.0</v>
      </c>
      <c r="G15" s="336">
        <f>'الحظور'!D12</f>
        <v>4</v>
      </c>
      <c r="H15" s="206">
        <f t="shared" si="4"/>
        <v>185854.7009</v>
      </c>
    </row>
    <row r="16" ht="27.0" customHeight="1">
      <c r="A16" s="210" t="s">
        <v>41</v>
      </c>
      <c r="B16" s="335">
        <f>'الحظور'!C13</f>
        <v>22.7</v>
      </c>
      <c r="C16" s="205">
        <f t="shared" si="3"/>
        <v>2991.452991</v>
      </c>
      <c r="D16" s="337">
        <v>700000.0</v>
      </c>
      <c r="E16" s="204">
        <f>'السلف و الغرامات'!C16</f>
        <v>0</v>
      </c>
      <c r="F16" s="338">
        <v>100000.0</v>
      </c>
      <c r="G16" s="336">
        <f>'الحظور'!D13</f>
        <v>9.5</v>
      </c>
      <c r="H16" s="206">
        <f t="shared" si="4"/>
        <v>210534.188</v>
      </c>
    </row>
  </sheetData>
  <conditionalFormatting sqref="A1:B2">
    <cfRule type="notContainsBlanks" dxfId="6" priority="1">
      <formula>LEN(TRIM(A1))&gt;0</formula>
    </cfRule>
  </conditionalFormatting>
  <conditionalFormatting sqref="H1:H16">
    <cfRule type="cellIs" dxfId="8" priority="2" operator="lessThan">
      <formula>0</formula>
    </cfRule>
  </conditionalFormatting>
  <conditionalFormatting sqref="H1:H16">
    <cfRule type="cellIs" dxfId="9" priority="3" operator="greaterThanOrEqual">
      <formula>500000</formula>
    </cfRule>
  </conditionalFormatting>
  <drawing r:id="rId1"/>
</worksheet>
</file>