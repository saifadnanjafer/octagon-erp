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اجه الرئيسية" sheetId="1" r:id="rId5"/>
    <sheet state="visible" name="الديون" sheetId="2" r:id="rId6"/>
    <sheet state="hidden" name="كشف حساب" sheetId="3" r:id="rId7"/>
    <sheet state="visible" name="السجل" sheetId="4" r:id="rId8"/>
    <sheet state="visible" name="الحركات" sheetId="5" r:id="rId9"/>
    <sheet state="visible" name="واردات" sheetId="6" r:id="rId10"/>
    <sheet state="visible" name="حضور " sheetId="7" r:id="rId11"/>
    <sheet state="visible" name="رواتب" sheetId="8" r:id="rId12"/>
    <sheet state="visible" name="حضور عمل خارجي" sheetId="9" r:id="rId13"/>
    <sheet state="hidden" name="لوحة التحكم" sheetId="10" r:id="rId14"/>
  </sheets>
  <definedNames/>
  <calcPr/>
</workbook>
</file>

<file path=xl/sharedStrings.xml><?xml version="1.0" encoding="utf-8"?>
<sst xmlns="http://schemas.openxmlformats.org/spreadsheetml/2006/main" count="2051" uniqueCount="279">
  <si>
    <t>WORKSHOP AUTO SERVICE CENTERACCOUNTING DASHBOARD</t>
  </si>
  <si>
    <t>تسديد خارجي</t>
  </si>
  <si>
    <t>الرواتب</t>
  </si>
  <si>
    <t>قبض</t>
  </si>
  <si>
    <t>صرف</t>
  </si>
  <si>
    <t>دفع الى الورشه</t>
  </si>
  <si>
    <t>ديون علينا</t>
  </si>
  <si>
    <t xml:space="preserve">دفع سيف اجمالي </t>
  </si>
  <si>
    <t>السلفة</t>
  </si>
  <si>
    <t>ديون لنا</t>
  </si>
  <si>
    <t>الاسم</t>
  </si>
  <si>
    <t>الاجر</t>
  </si>
  <si>
    <t>إجمالي السلف</t>
  </si>
  <si>
    <t>الغرامات</t>
  </si>
  <si>
    <t>الراتب الكلي</t>
  </si>
  <si>
    <t>صافي الراتب</t>
  </si>
  <si>
    <t>المستلم</t>
  </si>
  <si>
    <t>التاريخ</t>
  </si>
  <si>
    <t>نوع الدين</t>
  </si>
  <si>
    <t>المبلغ</t>
  </si>
  <si>
    <t>المسدد</t>
  </si>
  <si>
    <t>المتبقي</t>
  </si>
  <si>
    <t>علينا</t>
  </si>
  <si>
    <t>لنا</t>
  </si>
  <si>
    <t>يوسف يعقوب</t>
  </si>
  <si>
    <t>نعيم حديد</t>
  </si>
  <si>
    <t>الابرار</t>
  </si>
  <si>
    <t>حسين سالم</t>
  </si>
  <si>
    <t>حيدر يافوز</t>
  </si>
  <si>
    <t>خضر عبد الخالق</t>
  </si>
  <si>
    <t>حنان</t>
  </si>
  <si>
    <t>اشرف</t>
  </si>
  <si>
    <t>الماجد لتجارة الاخشاب</t>
  </si>
  <si>
    <t>الفردان التجارية</t>
  </si>
  <si>
    <t>نعيم السراي للاضائة الحديثة</t>
  </si>
  <si>
    <t>الخورة</t>
  </si>
  <si>
    <t>حيدر محمد</t>
  </si>
  <si>
    <t>عبود</t>
  </si>
  <si>
    <t>كشف حساب الابرار لشهر فبراير</t>
  </si>
  <si>
    <t>رقم الوصل</t>
  </si>
  <si>
    <t>قيمة الوصولات خلال شهر فبراير</t>
  </si>
  <si>
    <t>المدفوع</t>
  </si>
  <si>
    <t>قيمة الطلب السابق</t>
  </si>
  <si>
    <t>متبقي 2025</t>
  </si>
  <si>
    <t>التأريخ</t>
  </si>
  <si>
    <t>العمود 1</t>
  </si>
  <si>
    <t>العمود 2</t>
  </si>
  <si>
    <t>العمود 3</t>
  </si>
  <si>
    <t>العمود 4</t>
  </si>
  <si>
    <t>العمود 5</t>
  </si>
  <si>
    <t>اعلان مون لاين</t>
  </si>
  <si>
    <t>نوع العملية</t>
  </si>
  <si>
    <t>المبلغ بالدينار</t>
  </si>
  <si>
    <t xml:space="preserve">داخل </t>
  </si>
  <si>
    <t>خارج</t>
  </si>
  <si>
    <t>الصارف</t>
  </si>
  <si>
    <t>دفع</t>
  </si>
  <si>
    <t>الحركة اليومية للقاصة</t>
  </si>
  <si>
    <t>رقم المستند</t>
  </si>
  <si>
    <t>سند دفع</t>
  </si>
  <si>
    <t>سمنت مقاوم 100 . حصو + رمل 110 . جاي 5</t>
  </si>
  <si>
    <t>JOZYF</t>
  </si>
  <si>
    <t>سلفة</t>
  </si>
  <si>
    <t>علي الباكستاني</t>
  </si>
  <si>
    <t>مبلغ تسديد الابرار</t>
  </si>
  <si>
    <t>SIFE</t>
  </si>
  <si>
    <t>تسديد حساب فاتورة</t>
  </si>
  <si>
    <t>سلفف الى حسين من يوسف راتب حسين شهر 12</t>
  </si>
  <si>
    <t>تسديد نعيم</t>
  </si>
  <si>
    <t>تسديد يوسف</t>
  </si>
  <si>
    <t>سند قبض</t>
  </si>
  <si>
    <t>من سيف</t>
  </si>
  <si>
    <t>سند صرف</t>
  </si>
  <si>
    <t>تصليح ماييكرو</t>
  </si>
  <si>
    <t>HUSSEN</t>
  </si>
  <si>
    <t>بانزين</t>
  </si>
  <si>
    <t>تصليح مواد</t>
  </si>
  <si>
    <t>اجرة</t>
  </si>
  <si>
    <t>يافوز</t>
  </si>
  <si>
    <t>براغي</t>
  </si>
  <si>
    <t>متبقي حساب الميز الفاشل الرصاصي</t>
  </si>
  <si>
    <t>غدة للولد</t>
  </si>
  <si>
    <t>عربانة</t>
  </si>
  <si>
    <t>كيلون باب</t>
  </si>
  <si>
    <t>نضارات لحيم</t>
  </si>
  <si>
    <t>مشروبات</t>
  </si>
  <si>
    <t>خضر</t>
  </si>
  <si>
    <t>كهرباء</t>
  </si>
  <si>
    <t>المنار للقرطاسية</t>
  </si>
  <si>
    <t>رصيد</t>
  </si>
  <si>
    <t>غراض</t>
  </si>
  <si>
    <t>انشائية</t>
  </si>
  <si>
    <t>ماء مقطر</t>
  </si>
  <si>
    <t>مسواك</t>
  </si>
  <si>
    <t>غراض مكينه</t>
  </si>
  <si>
    <t>جاي و شكر</t>
  </si>
  <si>
    <t>مقطر</t>
  </si>
  <si>
    <t>اوكسجين</t>
  </si>
  <si>
    <t>عمال</t>
  </si>
  <si>
    <t>زيت حبر</t>
  </si>
  <si>
    <t>سجاد</t>
  </si>
  <si>
    <t>راتب</t>
  </si>
  <si>
    <t>حيدر المحاسب</t>
  </si>
  <si>
    <t>تسديد الابرار</t>
  </si>
  <si>
    <t>صرف ورشه</t>
  </si>
  <si>
    <t>اجرة الابرار</t>
  </si>
  <si>
    <t>معجون</t>
  </si>
  <si>
    <t>اجرة حروف</t>
  </si>
  <si>
    <t>شركة</t>
  </si>
  <si>
    <t>براين</t>
  </si>
  <si>
    <t>عم يز</t>
  </si>
  <si>
    <t>جاه</t>
  </si>
  <si>
    <t>سجاد رعد</t>
  </si>
  <si>
    <t>عبدالله هاشم</t>
  </si>
  <si>
    <t>يوسف احمد</t>
  </si>
  <si>
    <t>اجرة نعيم</t>
  </si>
  <si>
    <t xml:space="preserve">مصطفى عبد الخالق </t>
  </si>
  <si>
    <t>جاكوج</t>
  </si>
  <si>
    <t>حجر</t>
  </si>
  <si>
    <t>ريوك</t>
  </si>
  <si>
    <t>احمد</t>
  </si>
  <si>
    <t>شراء مفروشات</t>
  </si>
  <si>
    <t>صوندة</t>
  </si>
  <si>
    <t>سجاد حديد</t>
  </si>
  <si>
    <t>علي يوسف</t>
  </si>
  <si>
    <t>محمد حسين الحداد</t>
  </si>
  <si>
    <t>مشتريات</t>
  </si>
  <si>
    <t>واير لحيم</t>
  </si>
  <si>
    <t>غداء</t>
  </si>
  <si>
    <t>اميري</t>
  </si>
  <si>
    <t>احمد امين</t>
  </si>
  <si>
    <t>محجون</t>
  </si>
  <si>
    <t>صبغ</t>
  </si>
  <si>
    <t>X</t>
  </si>
  <si>
    <t>اغراض</t>
  </si>
  <si>
    <t>عشة</t>
  </si>
  <si>
    <t>شراء</t>
  </si>
  <si>
    <t>حديد</t>
  </si>
  <si>
    <t>جينكو</t>
  </si>
  <si>
    <t>تيب</t>
  </si>
  <si>
    <t>سفرة</t>
  </si>
  <si>
    <t>فرجة</t>
  </si>
  <si>
    <t>جفوف</t>
  </si>
  <si>
    <t>واير لحم</t>
  </si>
  <si>
    <t>قفل</t>
  </si>
  <si>
    <t>برينة</t>
  </si>
  <si>
    <t>عبدللة عامر 2</t>
  </si>
  <si>
    <t>علي رجاء 2</t>
  </si>
  <si>
    <t>يافوز من سيف</t>
  </si>
  <si>
    <t>بروش</t>
  </si>
  <si>
    <t>اجؤة</t>
  </si>
  <si>
    <t>هياب</t>
  </si>
  <si>
    <t>تسديد يوسف من سيف</t>
  </si>
  <si>
    <t>ثنر</t>
  </si>
  <si>
    <t>قفال هوائي</t>
  </si>
  <si>
    <t>قناع لحيم</t>
  </si>
  <si>
    <t>الى يوسف</t>
  </si>
  <si>
    <t>مسدس صبغ</t>
  </si>
  <si>
    <t>مصلب سمنت</t>
  </si>
  <si>
    <t>صبغ رش</t>
  </si>
  <si>
    <t>قفايص</t>
  </si>
  <si>
    <t>صوندة كهرباء</t>
  </si>
  <si>
    <t>علي عارف</t>
  </si>
  <si>
    <t>تمن و لبن</t>
  </si>
  <si>
    <t>حيدر عبدلله علي يافوز اكل</t>
  </si>
  <si>
    <t>IQD11٬000</t>
  </si>
  <si>
    <t>IQD8٬000</t>
  </si>
  <si>
    <t>اكل  . علي عدنان . حسين . حيدر محمد . خضر. عبود</t>
  </si>
  <si>
    <t>IQD   10٬000</t>
  </si>
  <si>
    <t>سحور</t>
  </si>
  <si>
    <t>نقل</t>
  </si>
  <si>
    <t>بوكس كهرباء</t>
  </si>
  <si>
    <t>حساب محمد</t>
  </si>
  <si>
    <t>IQD   800٬000</t>
  </si>
  <si>
    <t>IQD   20٬000</t>
  </si>
  <si>
    <t>صرف ورشة</t>
  </si>
  <si>
    <t>محمد فؤاد سالم</t>
  </si>
  <si>
    <t>مصطفى حسين</t>
  </si>
  <si>
    <t>فطور</t>
  </si>
  <si>
    <t>صولدر</t>
  </si>
  <si>
    <t>جاي شكر</t>
  </si>
  <si>
    <t>علي سعد</t>
  </si>
  <si>
    <t>ماء</t>
  </si>
  <si>
    <t>نت</t>
  </si>
  <si>
    <t>من سيف الى حسين صرف ورشة</t>
  </si>
  <si>
    <t>الفردان اجرة مع طلب سابق</t>
  </si>
  <si>
    <t>اكل</t>
  </si>
  <si>
    <t>كلبسات</t>
  </si>
  <si>
    <t>تايت</t>
  </si>
  <si>
    <t>الكهرباء</t>
  </si>
  <si>
    <t>اكل خارج</t>
  </si>
  <si>
    <t>رمل</t>
  </si>
  <si>
    <t>اجرة للفاو</t>
  </si>
  <si>
    <t>اكل الولد</t>
  </si>
  <si>
    <t>حسين سيارة</t>
  </si>
  <si>
    <t>جعفر المعماري</t>
  </si>
  <si>
    <t>اجرة نقل سندويج</t>
  </si>
  <si>
    <t>اجرة حديد</t>
  </si>
  <si>
    <t>حجر *4</t>
  </si>
  <si>
    <t>بنزين</t>
  </si>
  <si>
    <t>صرف ورشه من سيف</t>
  </si>
  <si>
    <t>تسديد  صفاء خشب</t>
  </si>
  <si>
    <t>اجرة فوم</t>
  </si>
  <si>
    <t>خضر صرف وشة</t>
  </si>
  <si>
    <t>جاي + سكر</t>
  </si>
  <si>
    <t>حيدر يافوز بغداد</t>
  </si>
  <si>
    <t xml:space="preserve">يافوز </t>
  </si>
  <si>
    <t>عبود اجرة</t>
  </si>
  <si>
    <t>خبز</t>
  </si>
  <si>
    <t>نقليات</t>
  </si>
  <si>
    <t>ببسيات</t>
  </si>
  <si>
    <t>مواد احتياطية تحويل ماستر</t>
  </si>
  <si>
    <t>من سيف الى حسين صرف ورشة وارد من اكاديمية ياس التعليمية</t>
  </si>
  <si>
    <t>فندق</t>
  </si>
  <si>
    <t>كروه من بصره الى عياده و الى البصرة</t>
  </si>
  <si>
    <t>تكاسي السفرة</t>
  </si>
  <si>
    <t>عشه +اغده</t>
  </si>
  <si>
    <t xml:space="preserve"> صاله</t>
  </si>
  <si>
    <t>نشائيه</t>
  </si>
  <si>
    <t>موجه</t>
  </si>
  <si>
    <t>لد شريط ابيض</t>
  </si>
  <si>
    <t>چكاير حيدر صباغ</t>
  </si>
  <si>
    <t>عبد الرحمن الى يافوز</t>
  </si>
  <si>
    <t>طعام طريق الرجعة</t>
  </si>
  <si>
    <t>نعيم</t>
  </si>
  <si>
    <t>المجموع</t>
  </si>
  <si>
    <t>واردات مشاريع</t>
  </si>
  <si>
    <t>المصدر</t>
  </si>
  <si>
    <t>بلدية البصرة</t>
  </si>
  <si>
    <t>متبقي الميز الرصاصي</t>
  </si>
  <si>
    <t>اكاديمية ياس التعليميه</t>
  </si>
  <si>
    <t>متبقي فايبر اكس</t>
  </si>
  <si>
    <t>اليوم</t>
  </si>
  <si>
    <t>الراتب الاسمي</t>
  </si>
  <si>
    <t xml:space="preserve">دخول </t>
  </si>
  <si>
    <t>خروج</t>
  </si>
  <si>
    <t>ساعات حضور</t>
  </si>
  <si>
    <t>ايام حضور</t>
  </si>
  <si>
    <t>سعر الساعة</t>
  </si>
  <si>
    <t>غرامات</t>
  </si>
  <si>
    <t>مكافئات</t>
  </si>
  <si>
    <t>الراتب اليومي</t>
  </si>
  <si>
    <t>مصطفى عبد الخالق</t>
  </si>
  <si>
    <t>عبدالله عامر</t>
  </si>
  <si>
    <t>عبدالله الاسمر</t>
  </si>
  <si>
    <t>سجاد الحداد</t>
  </si>
  <si>
    <t>علي رجاء</t>
  </si>
  <si>
    <t>علي عدنان</t>
  </si>
  <si>
    <t>1</t>
  </si>
  <si>
    <t>عدد الأيام</t>
  </si>
  <si>
    <t>عدد الساعات</t>
  </si>
  <si>
    <t>العمل الخارجي</t>
  </si>
  <si>
    <t>الاضافي</t>
  </si>
  <si>
    <t>المكافئات</t>
  </si>
  <si>
    <t>اجمالي</t>
  </si>
  <si>
    <t>يناير</t>
  </si>
  <si>
    <t>فبراير</t>
  </si>
  <si>
    <t>مارس</t>
  </si>
  <si>
    <t>المكان</t>
  </si>
  <si>
    <t>الساعات</t>
  </si>
  <si>
    <t>الملاحظات</t>
  </si>
  <si>
    <t>فك جسر التربية</t>
  </si>
  <si>
    <t>رمضان كريم ( جسر المشاة)</t>
  </si>
  <si>
    <t>شدجسر التربية</t>
  </si>
  <si>
    <t xml:space="preserve">رمضان كريم </t>
  </si>
  <si>
    <t>بساطات</t>
  </si>
  <si>
    <t>برواز كورنيش</t>
  </si>
  <si>
    <t>برواز الجامعة</t>
  </si>
  <si>
    <t>التربية</t>
  </si>
  <si>
    <t>اعلانات متفرقة</t>
  </si>
  <si>
    <t>برواز</t>
  </si>
  <si>
    <t>بغداد</t>
  </si>
  <si>
    <t>موظف وقتي</t>
  </si>
  <si>
    <t>اسم الموظف</t>
  </si>
  <si>
    <t xml:space="preserve"> الشهر </t>
  </si>
  <si>
    <t xml:space="preserve">ايام الدوام الرسمي </t>
  </si>
  <si>
    <t>اجمالي الساعات</t>
  </si>
  <si>
    <t>وقت العمل الخارجي</t>
  </si>
  <si>
    <t xml:space="preserve">راتب الشهر الاجمالي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</si>
</sst>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 IQD   ]#,##0"/>
    <numFmt numFmtId="165" formatCode="&quot; &quot;mmm"/>
    <numFmt numFmtId="166" formatCode="#,##0[$ IQD   ]"/>
    <numFmt numFmtId="167" formatCode="yyyy/MM/dd"/>
    <numFmt numFmtId="168" formatCode="[$$]#,##0"/>
    <numFmt numFmtId="169" formatCode="[$IQD]#,##0"/>
    <numFmt numFmtId="170" formatCode="#,##0.0"/>
    <numFmt numFmtId="171" formatCode="ddd"/>
    <numFmt numFmtId="172" formatCode="h:mm:ss am/pm"/>
  </numFmts>
  <fonts count="48">
    <font>
      <sz val="11.0"/>
      <color theme="1"/>
      <name val="Calibri"/>
      <scheme val="minor"/>
    </font>
    <font>
      <b/>
      <sz val="36.0"/>
      <color rgb="FFFFFF00"/>
      <name val="Calibri"/>
    </font>
    <font/>
    <font>
      <sz val="11.0"/>
      <color theme="1"/>
      <name val="Calibri"/>
    </font>
    <font>
      <b/>
      <sz val="15.0"/>
      <color rgb="FFFFFF00"/>
      <name val="Calibri"/>
    </font>
    <font>
      <b/>
      <sz val="14.0"/>
      <color rgb="FFFFFFFF"/>
      <name val="Calibri"/>
    </font>
    <font>
      <b/>
      <sz val="34.0"/>
      <color rgb="FF00FF00"/>
      <name val="Calibri"/>
    </font>
    <font>
      <b/>
      <sz val="15.0"/>
      <color rgb="FFFFFFFF"/>
      <name val="Calibri"/>
    </font>
    <font>
      <sz val="12.0"/>
      <color rgb="FFFFFF00"/>
      <name val="Calibri"/>
    </font>
    <font>
      <sz val="11.0"/>
      <color rgb="FFFFFF00"/>
      <name val="Calibri"/>
    </font>
    <font>
      <sz val="16.0"/>
      <color rgb="FFFFFF00"/>
      <name val="Calibri"/>
    </font>
    <font>
      <sz val="15.0"/>
      <color rgb="FFFFFF00"/>
      <name val="Calibri"/>
      <scheme val="minor"/>
    </font>
    <font>
      <sz val="15.0"/>
      <color rgb="FFFFFF00"/>
      <name val="Calibri"/>
    </font>
    <font>
      <b/>
      <sz val="15.0"/>
      <color rgb="FFFFFF00"/>
      <name val="Calibri"/>
      <scheme val="minor"/>
    </font>
    <font>
      <sz val="12.0"/>
      <color theme="1"/>
      <name val="Calibri"/>
    </font>
    <font>
      <sz val="12.0"/>
      <color theme="1"/>
      <name val="Calibri"/>
      <scheme val="minor"/>
    </font>
    <font>
      <sz val="15.0"/>
      <color theme="1"/>
      <name val="Calibri"/>
      <scheme val="minor"/>
    </font>
    <font>
      <color theme="1"/>
      <name val="Calibri"/>
      <scheme val="minor"/>
    </font>
    <font>
      <sz val="49.0"/>
      <color rgb="FFFFFF00"/>
      <name val="Calibri"/>
      <scheme val="minor"/>
    </font>
    <font>
      <sz val="13.0"/>
      <color theme="1"/>
      <name val="Calibri"/>
      <scheme val="minor"/>
    </font>
    <font>
      <b/>
      <sz val="14.0"/>
      <color rgb="FF0000FF"/>
      <name val="Calibri"/>
      <scheme val="minor"/>
    </font>
    <font>
      <b/>
      <sz val="14.0"/>
      <color theme="1"/>
      <name val="Calibri"/>
      <scheme val="minor"/>
    </font>
    <font>
      <sz val="13.0"/>
      <color rgb="FFFF0000"/>
      <name val="Calibri"/>
      <scheme val="minor"/>
    </font>
    <font>
      <sz val="13.0"/>
      <color rgb="FF000000"/>
      <name val="Calibri"/>
      <scheme val="minor"/>
    </font>
    <font>
      <b/>
      <sz val="13.0"/>
      <color rgb="FF0000FF"/>
      <name val="Calibri"/>
      <scheme val="minor"/>
    </font>
    <font>
      <b/>
      <sz val="13.0"/>
      <color rgb="FFFFFF00"/>
      <name val="Calibri"/>
    </font>
    <font>
      <b/>
      <sz val="13.0"/>
      <color rgb="FFFFFF00"/>
      <name val="Calibri"/>
      <scheme val="minor"/>
    </font>
    <font>
      <sz val="11.0"/>
      <color rgb="FF000000"/>
      <name val="Calibri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theme="1"/>
      <name val="Calibri"/>
    </font>
    <font>
      <sz val="13.0"/>
      <color rgb="FF0000FF"/>
      <name val="Calibri"/>
      <scheme val="minor"/>
    </font>
    <font>
      <color rgb="FF000000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color rgb="FF0000FF"/>
      <name val="Calibri"/>
      <scheme val="minor"/>
    </font>
    <font>
      <b/>
      <sz val="17.0"/>
      <color rgb="FF000000"/>
      <name val="Amiri"/>
    </font>
    <font>
      <b/>
      <sz val="17.0"/>
      <color rgb="FF000000"/>
      <name val="Calibri"/>
      <scheme val="minor"/>
    </font>
    <font>
      <b/>
      <sz val="17.0"/>
      <color rgb="FFFFFFFF"/>
      <name val="Calibri"/>
      <scheme val="minor"/>
    </font>
    <font>
      <sz val="16.0"/>
      <color rgb="FFFFFFFF"/>
      <name val="Calibri"/>
      <scheme val="minor"/>
    </font>
    <font>
      <b/>
      <sz val="15.0"/>
      <color rgb="FF000000"/>
      <name val="Amiri"/>
    </font>
    <font>
      <sz val="17.0"/>
      <color rgb="FF000000"/>
      <name val="Calibri"/>
      <scheme val="minor"/>
    </font>
    <font>
      <b/>
      <sz val="14.0"/>
      <color rgb="FF000000"/>
      <name val="Amiri"/>
    </font>
    <font>
      <sz val="16.0"/>
      <color theme="1"/>
      <name val="Calibri"/>
      <scheme val="minor"/>
    </font>
    <font>
      <b/>
      <sz val="17.0"/>
      <color rgb="FF000000"/>
      <name val="Calibri"/>
    </font>
    <font>
      <sz val="16.0"/>
      <color rgb="FF000000"/>
      <name val="Calibri"/>
    </font>
    <font>
      <sz val="16.0"/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000000"/>
        <bgColor rgb="FF000000"/>
      </patternFill>
    </fill>
    <fill>
      <patternFill patternType="solid">
        <fgColor rgb="FF121212"/>
        <bgColor rgb="FF121212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56">
    <border/>
    <border>
      <left/>
      <top/>
    </border>
    <border>
      <top/>
    </border>
    <border>
      <right/>
      <top/>
    </border>
    <border>
      <left/>
    </border>
    <border>
      <right/>
    </border>
    <border>
      <bottom/>
    </border>
    <border>
      <right/>
      <bottom/>
    </border>
    <border>
      <left/>
      <right/>
      <top/>
      <bottom/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</border>
    <border>
      <left/>
      <right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ck">
        <color rgb="FFFFFFFF"/>
      </right>
      <bottom style="thick">
        <color rgb="FFFFFFFF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left style="thick">
        <color rgb="FF000000"/>
      </left>
      <right style="thin">
        <color rgb="FFB7B7B7"/>
      </right>
      <top style="thick">
        <color rgb="FF000000"/>
      </top>
      <bottom style="thin">
        <color rgb="FFB7B7B7"/>
      </bottom>
    </border>
    <border>
      <left style="thin">
        <color rgb="FFB7B7B7"/>
      </left>
      <top style="thick">
        <color rgb="FF000000"/>
      </top>
      <bottom style="thin">
        <color rgb="FFB7B7B7"/>
      </bottom>
    </border>
    <border>
      <left style="thin">
        <color rgb="FFB7B7B7"/>
      </left>
      <right style="thick">
        <color rgb="FF000000"/>
      </right>
      <top style="thick">
        <color rgb="FF000000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ck">
        <color rgb="FF000000"/>
      </right>
      <top style="thin">
        <color rgb="FFB7B7B7"/>
      </top>
      <bottom style="thin">
        <color rgb="FFB7B7B7"/>
      </bottom>
    </border>
    <border>
      <left style="thick">
        <color rgb="FF000000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top style="thin">
        <color rgb="FFB7B7B7"/>
      </top>
      <bottom style="thick">
        <color rgb="FF000000"/>
      </bottom>
    </border>
    <border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ck">
        <color rgb="FF000000"/>
      </right>
      <top style="thin">
        <color rgb="FFB7B7B7"/>
      </top>
      <bottom style="thick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ck">
        <color rgb="FF000000"/>
      </left>
      <right style="thin">
        <color rgb="FFB7B7B7"/>
      </right>
      <top style="thin">
        <color rgb="FFB7B7B7"/>
      </top>
    </border>
    <border>
      <left style="thick">
        <color rgb="FFFFFFFF"/>
      </left>
      <right style="thick">
        <color rgb="FF000000"/>
      </right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left style="thick">
        <color rgb="FF000000"/>
      </left>
      <right style="thin">
        <color rgb="FFB7B7B7"/>
      </right>
      <bottom style="thin">
        <color rgb="FFB7B7B7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3" fontId="3" numFmtId="3" xfId="0" applyFill="1" applyFont="1" applyNumberFormat="1"/>
    <xf borderId="0" fillId="3" fontId="3" numFmtId="0" xfId="0" applyFont="1"/>
    <xf borderId="6" fillId="3" fontId="3" numFmtId="164" xfId="0" applyBorder="1" applyFont="1" applyNumberFormat="1"/>
    <xf borderId="6" fillId="3" fontId="3" numFmtId="164" xfId="0" applyAlignment="1" applyBorder="1" applyFont="1" applyNumberFormat="1">
      <alignment shrinkToFit="0" wrapText="1"/>
    </xf>
    <xf borderId="6" fillId="3" fontId="3" numFmtId="0" xfId="0" applyBorder="1" applyFont="1"/>
    <xf borderId="7" fillId="3" fontId="3" numFmtId="165" xfId="0" applyBorder="1" applyFont="1" applyNumberFormat="1"/>
    <xf borderId="0" fillId="4" fontId="3" numFmtId="3" xfId="0" applyFill="1" applyFont="1" applyNumberFormat="1"/>
    <xf borderId="0" fillId="4" fontId="3" numFmtId="0" xfId="0" applyFont="1"/>
    <xf borderId="8" fillId="4" fontId="3" numFmtId="164" xfId="0" applyBorder="1" applyFont="1" applyNumberFormat="1"/>
    <xf borderId="9" fillId="4" fontId="3" numFmtId="164" xfId="0" applyAlignment="1" applyBorder="1" applyFont="1" applyNumberFormat="1">
      <alignment shrinkToFit="0" wrapText="1"/>
    </xf>
    <xf borderId="9" fillId="4" fontId="3" numFmtId="164" xfId="0" applyBorder="1" applyFont="1" applyNumberFormat="1"/>
    <xf borderId="9" fillId="4" fontId="3" numFmtId="0" xfId="0" applyBorder="1" applyFont="1"/>
    <xf borderId="8" fillId="4" fontId="3" numFmtId="165" xfId="0" applyBorder="1" applyFont="1" applyNumberFormat="1"/>
    <xf borderId="10" fillId="2" fontId="4" numFmtId="164" xfId="0" applyAlignment="1" applyBorder="1" applyFont="1" applyNumberFormat="1">
      <alignment horizontal="center"/>
    </xf>
    <xf borderId="10" fillId="2" fontId="4" numFmtId="164" xfId="0" applyAlignment="1" applyBorder="1" applyFont="1" applyNumberFormat="1">
      <alignment horizontal="center" shrinkToFit="0" wrapText="1"/>
    </xf>
    <xf borderId="10" fillId="2" fontId="4" numFmtId="0" xfId="0" applyAlignment="1" applyBorder="1" applyFont="1">
      <alignment horizontal="center"/>
    </xf>
    <xf borderId="10" fillId="2" fontId="4" numFmtId="164" xfId="0" applyAlignment="1" applyBorder="1" applyFont="1" applyNumberFormat="1">
      <alignment horizontal="center" readingOrder="0"/>
    </xf>
    <xf borderId="10" fillId="2" fontId="4" numFmtId="0" xfId="0" applyAlignment="1" applyBorder="1" applyFont="1">
      <alignment horizontal="center" readingOrder="0"/>
    </xf>
    <xf borderId="10" fillId="2" fontId="5" numFmtId="164" xfId="0" applyAlignment="1" applyBorder="1" applyFont="1" applyNumberFormat="1">
      <alignment horizontal="center" vertical="bottom"/>
    </xf>
    <xf borderId="10" fillId="2" fontId="5" numFmtId="164" xfId="0" applyAlignment="1" applyBorder="1" applyFont="1" applyNumberFormat="1">
      <alignment horizontal="center" shrinkToFit="0" vertical="bottom" wrapText="1"/>
    </xf>
    <xf borderId="11" fillId="4" fontId="3" numFmtId="164" xfId="0" applyBorder="1" applyFont="1" applyNumberFormat="1"/>
    <xf borderId="11" fillId="4" fontId="3" numFmtId="0" xfId="0" applyBorder="1" applyFont="1"/>
    <xf borderId="12" fillId="4" fontId="3" numFmtId="164" xfId="0" applyBorder="1" applyFont="1" applyNumberFormat="1"/>
    <xf borderId="8" fillId="4" fontId="3" numFmtId="0" xfId="0" applyBorder="1" applyFont="1"/>
    <xf borderId="13" fillId="2" fontId="6" numFmtId="164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2" fontId="5" numFmtId="164" xfId="0" applyAlignment="1" applyBorder="1" applyFont="1" applyNumberForma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4" fontId="3" numFmtId="164" xfId="0" applyFont="1" applyNumberFormat="1"/>
    <xf borderId="0" fillId="4" fontId="3" numFmtId="164" xfId="0" applyAlignment="1" applyFont="1" applyNumberFormat="1">
      <alignment shrinkToFit="0" wrapText="1"/>
    </xf>
    <xf borderId="10" fillId="2" fontId="7" numFmtId="0" xfId="0" applyAlignment="1" applyBorder="1" applyFont="1">
      <alignment horizontal="center" readingOrder="0" vertical="center"/>
    </xf>
    <xf borderId="10" fillId="2" fontId="5" numFmtId="164" xfId="0" applyAlignment="1" applyBorder="1" applyFont="1" applyNumberFormat="1">
      <alignment horizontal="center" readingOrder="0" vertical="center"/>
    </xf>
    <xf borderId="10" fillId="2" fontId="7" numFmtId="165" xfId="0" applyAlignment="1" applyBorder="1" applyFont="1" applyNumberFormat="1">
      <alignment horizontal="center" readingOrder="0" vertical="center"/>
    </xf>
    <xf borderId="10" fillId="2" fontId="8" numFmtId="164" xfId="0" applyAlignment="1" applyBorder="1" applyFont="1" applyNumberFormat="1">
      <alignment horizontal="center" vertical="center"/>
    </xf>
    <xf borderId="10" fillId="2" fontId="8" numFmtId="165" xfId="0" applyAlignment="1" applyBorder="1" applyFont="1" applyNumberFormat="1">
      <alignment horizontal="center" vertical="center"/>
    </xf>
    <xf borderId="0" fillId="4" fontId="3" numFmtId="164" xfId="0" applyFont="1" applyNumberFormat="1"/>
    <xf borderId="0" fillId="4" fontId="3" numFmtId="165" xfId="0" applyFont="1" applyNumberFormat="1"/>
    <xf borderId="0" fillId="3" fontId="9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0" numFmtId="166" xfId="0" applyAlignment="1" applyFont="1" applyNumberFormat="1">
      <alignment horizontal="center" shrinkToFit="0" vertical="center" wrapText="1"/>
    </xf>
    <xf borderId="0" fillId="3" fontId="10" numFmtId="164" xfId="0" applyAlignment="1" applyFont="1" applyNumberFormat="1">
      <alignment horizontal="center" shrinkToFit="0" vertical="center" wrapText="1"/>
    </xf>
    <xf borderId="0" fillId="3" fontId="11" numFmtId="0" xfId="0" applyAlignment="1" applyFont="1">
      <alignment horizontal="center" readingOrder="0" vertical="center"/>
    </xf>
    <xf borderId="0" fillId="3" fontId="12" numFmtId="164" xfId="0" applyAlignment="1" applyFont="1" applyNumberFormat="1">
      <alignment horizontal="center" shrinkToFit="0" vertical="center" wrapText="1"/>
    </xf>
    <xf borderId="0" fillId="5" fontId="13" numFmtId="164" xfId="0" applyAlignment="1" applyFill="1" applyFont="1" applyNumberForma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6" fontId="14" numFmtId="0" xfId="0" applyAlignment="1" applyFont="1">
      <alignment horizontal="center" shrinkToFit="0" vertical="center" wrapText="1"/>
    </xf>
    <xf borderId="0" fillId="6" fontId="14" numFmtId="166" xfId="0" applyAlignment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6" fontId="14" numFmtId="0" xfId="0" applyAlignment="1" applyFont="1">
      <alignment horizontal="center" readingOrder="0" vertical="center"/>
    </xf>
    <xf borderId="0" fillId="0" fontId="16" numFmtId="0" xfId="0" applyAlignment="1" applyFont="1">
      <alignment horizontal="center"/>
    </xf>
    <xf borderId="0" fillId="0" fontId="16" numFmtId="164" xfId="0" applyAlignment="1" applyFont="1" applyNumberFormat="1">
      <alignment horizontal="center" vertical="center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5" fontId="18" numFmtId="164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0" numFmtId="164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164" xfId="0" applyAlignment="1" applyFont="1" applyNumberFormat="1">
      <alignment horizontal="center" readingOrder="0" vertical="center"/>
    </xf>
    <xf borderId="0" fillId="0" fontId="19" numFmtId="167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0" fontId="19" numFmtId="164" xfId="0" applyAlignment="1" applyFont="1" applyNumberFormat="1">
      <alignment horizontal="center" readingOrder="0" vertical="bottom"/>
    </xf>
    <xf borderId="0" fillId="0" fontId="22" numFmtId="164" xfId="0" applyAlignment="1" applyFont="1" applyNumberForma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0" fontId="23" numFmtId="164" xfId="0" applyAlignment="1" applyFont="1" applyNumberFormat="1">
      <alignment horizontal="center" readingOrder="0" vertical="bottom"/>
    </xf>
    <xf borderId="0" fillId="0" fontId="19" numFmtId="14" xfId="0" applyAlignment="1" applyFont="1" applyNumberFormat="1">
      <alignment horizontal="center" readingOrder="0" vertical="bottom"/>
    </xf>
    <xf borderId="14" fillId="0" fontId="19" numFmtId="167" xfId="0" applyAlignment="1" applyBorder="1" applyFont="1" applyNumberFormat="1">
      <alignment horizontal="center" readingOrder="0" vertical="center"/>
    </xf>
    <xf borderId="14" fillId="0" fontId="19" numFmtId="0" xfId="0" applyAlignment="1" applyBorder="1" applyFont="1">
      <alignment horizontal="center" readingOrder="0"/>
    </xf>
    <xf borderId="14" fillId="0" fontId="19" numFmtId="164" xfId="0" applyAlignment="1" applyBorder="1" applyFont="1" applyNumberFormat="1">
      <alignment horizontal="center" readingOrder="0" vertical="center"/>
    </xf>
    <xf borderId="14" fillId="0" fontId="19" numFmtId="164" xfId="0" applyAlignment="1" applyBorder="1" applyFont="1" applyNumberFormat="1">
      <alignment horizontal="center"/>
    </xf>
    <xf borderId="0" fillId="0" fontId="24" numFmtId="164" xfId="0" applyAlignment="1" applyFont="1" applyNumberFormat="1">
      <alignment horizontal="center" readingOrder="0" vertical="center"/>
    </xf>
    <xf borderId="0" fillId="0" fontId="3" numFmtId="167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/>
    </xf>
    <xf borderId="0" fillId="0" fontId="3" numFmtId="167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7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/>
    </xf>
    <xf borderId="0" fillId="7" fontId="3" numFmtId="164" xfId="0" applyAlignment="1" applyFill="1" applyFont="1" applyNumberFormat="1">
      <alignment horizontal="center" shrinkToFit="0" vertical="center" wrapText="1"/>
    </xf>
    <xf borderId="0" fillId="6" fontId="3" numFmtId="164" xfId="0" applyAlignment="1" applyFont="1" applyNumberFormat="1">
      <alignment horizontal="center" shrinkToFit="0" vertical="center" wrapText="1"/>
    </xf>
    <xf borderId="0" fillId="0" fontId="17" numFmtId="168" xfId="0" applyAlignment="1" applyFont="1" applyNumberFormat="1">
      <alignment readingOrder="0"/>
    </xf>
    <xf borderId="0" fillId="0" fontId="17" numFmtId="164" xfId="0" applyAlignment="1" applyFont="1" applyNumberFormat="1">
      <alignment readingOrder="0"/>
    </xf>
    <xf borderId="0" fillId="0" fontId="17" numFmtId="164" xfId="0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0" numFmtId="167" xfId="0" applyAlignment="1" applyFont="1" applyNumberFormat="1">
      <alignment horizontal="center" shrinkToFit="0" vertical="center" wrapText="1"/>
    </xf>
    <xf borderId="0" fillId="0" fontId="0" numFmtId="167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0" numFmtId="167" xfId="0" applyAlignment="1" applyFont="1" applyNumberFormat="1">
      <alignment shrinkToFit="0" vertical="center" wrapText="1"/>
    </xf>
    <xf borderId="0" fillId="0" fontId="0" numFmtId="164" xfId="0" applyAlignment="1" applyFont="1" applyNumberFormat="1">
      <alignment readingOrder="0" shrinkToFit="0" vertical="center" wrapText="1"/>
    </xf>
    <xf borderId="0" fillId="0" fontId="0" numFmtId="164" xfId="0" applyAlignment="1" applyFont="1" applyNumberFormat="1">
      <alignment shrinkToFit="0" vertical="center" wrapText="1"/>
    </xf>
    <xf borderId="0" fillId="0" fontId="0" numFmtId="167" xfId="0" applyAlignment="1" applyFont="1" applyNumberFormat="1">
      <alignment readingOrder="0" shrinkToFit="0" vertical="center" wrapText="1"/>
    </xf>
    <xf borderId="0" fillId="0" fontId="0" numFmtId="0" xfId="0" applyAlignment="1" applyFont="1">
      <alignment horizontal="center" shrinkToFit="0" vertical="center" wrapText="1"/>
    </xf>
    <xf borderId="19" fillId="3" fontId="25" numFmtId="167" xfId="0" applyAlignment="1" applyBorder="1" applyFont="1" applyNumberFormat="1">
      <alignment horizontal="center" vertical="center"/>
    </xf>
    <xf borderId="19" fillId="3" fontId="25" numFmtId="164" xfId="0" applyAlignment="1" applyBorder="1" applyFont="1" applyNumberFormat="1">
      <alignment horizontal="center" vertical="center"/>
    </xf>
    <xf borderId="19" fillId="3" fontId="25" numFmtId="164" xfId="0" applyAlignment="1" applyBorder="1" applyFont="1" applyNumberFormat="1">
      <alignment horizontal="center" readingOrder="0" vertical="center"/>
    </xf>
    <xf borderId="19" fillId="3" fontId="8" numFmtId="169" xfId="0" applyAlignment="1" applyBorder="1" applyFont="1" applyNumberFormat="1">
      <alignment horizontal="center" vertical="center"/>
    </xf>
    <xf borderId="19" fillId="3" fontId="25" numFmtId="169" xfId="0" applyAlignment="1" applyBorder="1" applyFont="1" applyNumberFormat="1">
      <alignment horizontal="center" vertical="center"/>
    </xf>
    <xf borderId="19" fillId="3" fontId="25" numFmtId="168" xfId="0" applyAlignment="1" applyBorder="1" applyFont="1" applyNumberFormat="1">
      <alignment horizontal="center" vertical="center"/>
    </xf>
    <xf borderId="19" fillId="3" fontId="25" numFmtId="166" xfId="0" applyAlignment="1" applyBorder="1" applyFont="1" applyNumberFormat="1">
      <alignment horizontal="center" vertical="center"/>
    </xf>
    <xf borderId="19" fillId="3" fontId="26" numFmtId="0" xfId="0" applyAlignment="1" applyBorder="1" applyFont="1">
      <alignment horizontal="center" readingOrder="0"/>
    </xf>
    <xf borderId="19" fillId="3" fontId="25" numFmtId="3" xfId="0" applyAlignment="1" applyBorder="1" applyFont="1" applyNumberFormat="1">
      <alignment horizontal="center" vertical="center"/>
    </xf>
    <xf borderId="0" fillId="3" fontId="25" numFmtId="167" xfId="0" applyAlignment="1" applyFont="1" applyNumberFormat="1">
      <alignment horizontal="center" vertical="center"/>
    </xf>
    <xf borderId="0" fillId="3" fontId="25" numFmtId="164" xfId="0" applyAlignment="1" applyFont="1" applyNumberFormat="1">
      <alignment horizontal="center" vertical="center"/>
    </xf>
    <xf borderId="0" fillId="3" fontId="25" numFmtId="164" xfId="0" applyAlignment="1" applyFont="1" applyNumberFormat="1">
      <alignment horizontal="center" readingOrder="0" vertical="center"/>
    </xf>
    <xf borderId="0" fillId="3" fontId="8" numFmtId="169" xfId="0" applyAlignment="1" applyFont="1" applyNumberFormat="1">
      <alignment horizontal="center" vertical="center"/>
    </xf>
    <xf borderId="0" fillId="3" fontId="25" numFmtId="168" xfId="0" applyAlignment="1" applyFont="1" applyNumberFormat="1">
      <alignment horizontal="center" vertical="center"/>
    </xf>
    <xf borderId="0" fillId="3" fontId="25" numFmtId="169" xfId="0" applyAlignment="1" applyFont="1" applyNumberFormat="1">
      <alignment horizontal="center" vertical="center"/>
    </xf>
    <xf borderId="0" fillId="3" fontId="25" numFmtId="166" xfId="0" applyAlignment="1" applyFont="1" applyNumberFormat="1">
      <alignment horizontal="center" readingOrder="0" vertical="center"/>
    </xf>
    <xf borderId="0" fillId="3" fontId="26" numFmtId="0" xfId="0" applyAlignment="1" applyFont="1">
      <alignment horizontal="center" readingOrder="0"/>
    </xf>
    <xf borderId="0" fillId="3" fontId="25" numFmtId="3" xfId="0" applyAlignment="1" applyFont="1" applyNumberFormat="1">
      <alignment horizontal="center" vertical="center"/>
    </xf>
    <xf borderId="19" fillId="6" fontId="27" numFmtId="167" xfId="0" applyAlignment="1" applyBorder="1" applyFont="1" applyNumberFormat="1">
      <alignment horizontal="center" shrinkToFit="0" vertical="bottom" wrapText="1"/>
    </xf>
    <xf borderId="19" fillId="6" fontId="27" numFmtId="0" xfId="0" applyAlignment="1" applyBorder="1" applyFont="1">
      <alignment horizontal="center" vertical="bottom"/>
    </xf>
    <xf borderId="19" fillId="6" fontId="27" numFmtId="0" xfId="0" applyAlignment="1" applyBorder="1" applyFont="1">
      <alignment horizontal="center" shrinkToFit="0" vertical="bottom" wrapText="1"/>
    </xf>
    <xf borderId="19" fillId="6" fontId="27" numFmtId="169" xfId="0" applyAlignment="1" applyBorder="1" applyFont="1" applyNumberFormat="1">
      <alignment horizontal="center" vertical="bottom"/>
    </xf>
    <xf borderId="19" fillId="6" fontId="27" numFmtId="169" xfId="0" applyAlignment="1" applyBorder="1" applyFont="1" applyNumberFormat="1">
      <alignment horizontal="center" readingOrder="0" vertical="bottom"/>
    </xf>
    <xf borderId="19" fillId="6" fontId="27" numFmtId="164" xfId="0" applyAlignment="1" applyBorder="1" applyFont="1" applyNumberFormat="1">
      <alignment horizontal="center" shrinkToFit="0" vertical="bottom" wrapText="1"/>
    </xf>
    <xf borderId="19" fillId="6" fontId="27" numFmtId="169" xfId="0" applyAlignment="1" applyBorder="1" applyFont="1" applyNumberFormat="1">
      <alignment horizontal="center" shrinkToFit="0" vertical="bottom" wrapText="1"/>
    </xf>
    <xf borderId="19" fillId="6" fontId="27" numFmtId="166" xfId="0" applyAlignment="1" applyBorder="1" applyFont="1" applyNumberFormat="1">
      <alignment horizontal="center" shrinkToFit="0" vertical="bottom" wrapText="1"/>
    </xf>
    <xf borderId="19" fillId="6" fontId="3" numFmtId="0" xfId="0" applyAlignment="1" applyBorder="1" applyFont="1">
      <alignment horizontal="center" vertical="bottom"/>
    </xf>
    <xf borderId="19" fillId="6" fontId="27" numFmtId="3" xfId="0" applyAlignment="1" applyBorder="1" applyFont="1" applyNumberFormat="1">
      <alignment horizontal="center" shrinkToFit="0" vertical="bottom" wrapText="1"/>
    </xf>
    <xf borderId="0" fillId="6" fontId="27" numFmtId="167" xfId="0" applyAlignment="1" applyFont="1" applyNumberFormat="1">
      <alignment horizontal="center" shrinkToFit="0" vertical="bottom" wrapText="1"/>
    </xf>
    <xf borderId="0" fillId="6" fontId="27" numFmtId="0" xfId="0" applyAlignment="1" applyFont="1">
      <alignment horizontal="center" vertical="bottom"/>
    </xf>
    <xf borderId="0" fillId="6" fontId="27" numFmtId="169" xfId="0" applyAlignment="1" applyFont="1" applyNumberFormat="1">
      <alignment horizontal="center" vertical="bottom"/>
    </xf>
    <xf borderId="0" fillId="6" fontId="27" numFmtId="169" xfId="0" applyAlignment="1" applyFont="1" applyNumberFormat="1">
      <alignment horizontal="center" readingOrder="0" vertical="bottom"/>
    </xf>
    <xf borderId="0" fillId="6" fontId="27" numFmtId="164" xfId="0" applyAlignment="1" applyFont="1" applyNumberFormat="1">
      <alignment horizontal="center" shrinkToFit="0" vertical="bottom" wrapText="1"/>
    </xf>
    <xf borderId="0" fillId="6" fontId="27" numFmtId="169" xfId="0" applyAlignment="1" applyFont="1" applyNumberFormat="1">
      <alignment horizontal="center" shrinkToFit="0" vertical="bottom" wrapText="1"/>
    </xf>
    <xf borderId="0" fillId="6" fontId="27" numFmtId="166" xfId="0" applyAlignment="1" applyFont="1" applyNumberFormat="1">
      <alignment horizontal="center" shrinkToFit="0" vertical="bottom" wrapText="1"/>
    </xf>
    <xf borderId="0" fillId="6" fontId="3" numFmtId="0" xfId="0" applyAlignment="1" applyFont="1">
      <alignment horizontal="center" vertical="bottom"/>
    </xf>
    <xf borderId="0" fillId="6" fontId="27" numFmtId="3" xfId="0" applyAlignment="1" applyFont="1" applyNumberFormat="1">
      <alignment horizontal="center" vertical="bottom"/>
    </xf>
    <xf borderId="0" fillId="6" fontId="27" numFmtId="3" xfId="0" applyAlignment="1" applyFont="1" applyNumberFormat="1">
      <alignment horizontal="center" shrinkToFit="0" vertical="bottom" wrapText="1"/>
    </xf>
    <xf borderId="0" fillId="6" fontId="27" numFmtId="169" xfId="0" applyAlignment="1" applyFont="1" applyNumberFormat="1">
      <alignment horizontal="center" readingOrder="0" shrinkToFit="0" vertical="bottom" wrapText="1"/>
    </xf>
    <xf borderId="0" fillId="6" fontId="27" numFmtId="169" xfId="0" applyAlignment="1" applyFont="1" applyNumberFormat="1">
      <alignment horizontal="center" readingOrder="0" shrinkToFit="0" vertical="bottom" wrapText="1"/>
    </xf>
    <xf borderId="0" fillId="6" fontId="27" numFmtId="164" xfId="0" applyAlignment="1" applyFont="1" applyNumberFormat="1">
      <alignment horizontal="center" readingOrder="0" shrinkToFit="0" vertical="bottom" wrapText="1"/>
    </xf>
    <xf borderId="0" fillId="6" fontId="27" numFmtId="0" xfId="0" applyAlignment="1" applyFont="1">
      <alignment horizontal="center" readingOrder="0" vertical="bottom"/>
    </xf>
    <xf borderId="0" fillId="6" fontId="27" numFmtId="0" xfId="0" applyAlignment="1" applyFont="1">
      <alignment horizontal="center" shrinkToFit="0" vertical="bottom" wrapText="1"/>
    </xf>
    <xf borderId="0" fillId="6" fontId="27" numFmtId="169" xfId="0" applyAlignment="1" applyFont="1" applyNumberForma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27" numFmtId="164" xfId="0" applyAlignment="1" applyFont="1" applyNumberFormat="1">
      <alignment horizontal="center" vertical="bottom"/>
    </xf>
    <xf borderId="0" fillId="6" fontId="27" numFmtId="167" xfId="0" applyAlignment="1" applyFont="1" applyNumberFormat="1">
      <alignment horizontal="center" readingOrder="0" shrinkToFit="0" vertical="bottom" wrapText="1"/>
    </xf>
    <xf borderId="0" fillId="6" fontId="27" numFmtId="164" xfId="0" applyAlignment="1" applyFont="1" applyNumberFormat="1">
      <alignment horizontal="center" readingOrder="0" vertical="bottom"/>
    </xf>
    <xf borderId="0" fillId="6" fontId="27" numFmtId="167" xfId="0" applyAlignment="1" applyFont="1" applyNumberFormat="1">
      <alignment horizontal="center" readingOrder="0" vertical="bottom"/>
    </xf>
    <xf borderId="0" fillId="6" fontId="27" numFmtId="0" xfId="0" applyAlignment="1" applyFont="1">
      <alignment horizontal="center" readingOrder="0" vertical="bottom"/>
    </xf>
    <xf borderId="0" fillId="6" fontId="27" numFmtId="14" xfId="0" applyAlignment="1" applyFont="1" applyNumberFormat="1">
      <alignment horizontal="center" readingOrder="0" vertical="bottom"/>
    </xf>
    <xf borderId="0" fillId="6" fontId="27" numFmtId="0" xfId="0" applyAlignment="1" applyFont="1">
      <alignment horizontal="center" readingOrder="0" shrinkToFit="0" vertical="bottom" wrapText="1"/>
    </xf>
    <xf borderId="0" fillId="0" fontId="17" numFmtId="0" xfId="0" applyAlignment="1" applyFont="1">
      <alignment horizontal="center" readingOrder="0"/>
    </xf>
    <xf borderId="0" fillId="6" fontId="3" numFmtId="169" xfId="0" applyAlignment="1" applyFont="1" applyNumberFormat="1">
      <alignment horizontal="center" readingOrder="0" vertical="bottom"/>
    </xf>
    <xf borderId="0" fillId="6" fontId="3" numFmtId="169" xfId="0" applyAlignment="1" applyFont="1" applyNumberFormat="1">
      <alignment horizontal="center" vertical="bottom"/>
    </xf>
    <xf borderId="0" fillId="6" fontId="27" numFmtId="167" xfId="0" applyAlignment="1" applyFont="1" applyNumberFormat="1">
      <alignment horizontal="center" vertical="bottom"/>
    </xf>
    <xf borderId="0" fillId="8" fontId="28" numFmtId="164" xfId="0" applyAlignment="1" applyFill="1" applyFont="1" applyNumberFormat="1">
      <alignment horizontal="center"/>
    </xf>
    <xf borderId="0" fillId="8" fontId="29" numFmtId="164" xfId="0" applyAlignment="1" applyFont="1" applyNumberFormat="1">
      <alignment horizontal="center" readingOrder="0"/>
    </xf>
    <xf borderId="0" fillId="8" fontId="29" numFmtId="0" xfId="0" applyAlignment="1" applyFont="1">
      <alignment horizontal="center" readingOrder="0"/>
    </xf>
    <xf borderId="0" fillId="0" fontId="30" numFmtId="167" xfId="0" applyAlignment="1" applyFont="1" applyNumberFormat="1">
      <alignment horizontal="center" readingOrder="0"/>
    </xf>
    <xf borderId="0" fillId="0" fontId="30" numFmtId="164" xfId="0" applyAlignment="1" applyFont="1" applyNumberFormat="1">
      <alignment horizontal="center" readingOrder="0"/>
    </xf>
    <xf borderId="0" fillId="0" fontId="30" numFmtId="0" xfId="0" applyAlignment="1" applyFont="1">
      <alignment horizontal="center" readingOrder="0"/>
    </xf>
    <xf borderId="0" fillId="0" fontId="14" numFmtId="167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167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  <xf borderId="0" fillId="0" fontId="3" numFmtId="170" xfId="0" applyAlignment="1" applyFont="1" applyNumberFormat="1">
      <alignment horizontal="center" readingOrder="0" shrinkToFit="0" vertical="center" wrapText="1"/>
    </xf>
    <xf borderId="0" fillId="0" fontId="3" numFmtId="16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6" fontId="27" numFmtId="49" xfId="0" applyAlignment="1" applyFont="1" applyNumberFormat="1">
      <alignment horizontal="center" shrinkToFit="0" vertical="center" wrapText="1"/>
    </xf>
    <xf borderId="0" fillId="6" fontId="27" numFmtId="167" xfId="0" applyAlignment="1" applyFont="1" applyNumberFormat="1">
      <alignment horizontal="center" shrinkToFit="0" vertical="center" wrapText="1"/>
    </xf>
    <xf borderId="0" fillId="6" fontId="27" numFmtId="171" xfId="0" applyAlignment="1" applyFont="1" applyNumberFormat="1">
      <alignment horizontal="center" shrinkToFit="0" vertical="center" wrapText="1"/>
    </xf>
    <xf borderId="0" fillId="6" fontId="27" numFmtId="169" xfId="0" applyAlignment="1" applyFont="1" applyNumberFormat="1">
      <alignment horizontal="center" shrinkToFit="0" vertical="center" wrapText="1"/>
    </xf>
    <xf borderId="0" fillId="6" fontId="27" numFmtId="172" xfId="0" applyAlignment="1" applyFont="1" applyNumberFormat="1">
      <alignment horizontal="center" shrinkToFit="0" vertical="center" wrapText="1"/>
    </xf>
    <xf borderId="0" fillId="6" fontId="27" numFmtId="4" xfId="0" applyAlignment="1" applyFont="1" applyNumberFormat="1">
      <alignment shrinkToFit="0" vertical="center" wrapText="1"/>
    </xf>
    <xf borderId="0" fillId="6" fontId="27" numFmtId="170" xfId="0" applyAlignment="1" applyFont="1" applyNumberFormat="1">
      <alignment horizontal="center" shrinkToFit="0" vertical="center" wrapText="1"/>
    </xf>
    <xf borderId="0" fillId="6" fontId="27" numFmtId="164" xfId="0" applyAlignment="1" applyFont="1" applyNumberFormat="1">
      <alignment horizontal="center" shrinkToFit="0" vertical="center" wrapText="1"/>
    </xf>
    <xf borderId="0" fillId="6" fontId="27" numFmtId="49" xfId="0" applyAlignment="1" applyFont="1" applyNumberFormat="1">
      <alignment horizontal="center" readingOrder="0" shrinkToFit="0" vertical="center" wrapText="1"/>
    </xf>
    <xf borderId="0" fillId="6" fontId="27" numFmtId="169" xfId="0" applyAlignment="1" applyFont="1" applyNumberFormat="1">
      <alignment horizontal="center" readingOrder="0" shrinkToFit="0" vertical="center" wrapText="1"/>
    </xf>
    <xf borderId="0" fillId="6" fontId="27" numFmtId="172" xfId="0" applyAlignment="1" applyFont="1" applyNumberFormat="1">
      <alignment horizontal="center" readingOrder="0" shrinkToFit="0" vertical="center" wrapText="1"/>
    </xf>
    <xf borderId="0" fillId="6" fontId="27" numFmtId="167" xfId="0" applyAlignment="1" applyFont="1" applyNumberFormat="1">
      <alignment horizontal="center" readingOrder="0" shrinkToFit="0" vertical="center" wrapText="1"/>
    </xf>
    <xf borderId="0" fillId="6" fontId="27" numFmtId="171" xfId="0" applyAlignment="1" applyFont="1" applyNumberFormat="1">
      <alignment horizontal="center" readingOrder="0" shrinkToFit="0" vertical="center" wrapText="1"/>
    </xf>
    <xf borderId="0" fillId="6" fontId="27" numFmtId="170" xfId="0" applyAlignment="1" applyFont="1" applyNumberFormat="1">
      <alignment horizontal="center" readingOrder="0" shrinkToFit="0" vertical="center" wrapText="1"/>
    </xf>
    <xf borderId="20" fillId="6" fontId="27" numFmtId="49" xfId="0" applyAlignment="1" applyBorder="1" applyFont="1" applyNumberFormat="1">
      <alignment horizontal="center" readingOrder="0" shrinkToFit="0" vertical="center" wrapText="1"/>
    </xf>
    <xf borderId="21" fillId="9" fontId="27" numFmtId="167" xfId="0" applyAlignment="1" applyBorder="1" applyFill="1" applyFont="1" applyNumberFormat="1">
      <alignment horizontal="center" readingOrder="0" shrinkToFit="0" vertical="center" wrapText="1"/>
    </xf>
    <xf borderId="22" fillId="6" fontId="27" numFmtId="171" xfId="0" applyAlignment="1" applyBorder="1" applyFont="1" applyNumberFormat="1">
      <alignment horizontal="center" shrinkToFit="0" vertical="center" wrapText="1"/>
    </xf>
    <xf borderId="22" fillId="6" fontId="27" numFmtId="169" xfId="0" applyAlignment="1" applyBorder="1" applyFont="1" applyNumberFormat="1">
      <alignment horizontal="center" shrinkToFit="0" vertical="center" wrapText="1"/>
    </xf>
    <xf borderId="22" fillId="6" fontId="27" numFmtId="172" xfId="0" applyAlignment="1" applyBorder="1" applyFont="1" applyNumberFormat="1">
      <alignment horizontal="center" shrinkToFit="0" vertical="center" wrapText="1"/>
    </xf>
    <xf borderId="22" fillId="6" fontId="27" numFmtId="4" xfId="0" applyAlignment="1" applyBorder="1" applyFont="1" applyNumberFormat="1">
      <alignment horizontal="center" shrinkToFit="0" vertical="center" wrapText="1"/>
    </xf>
    <xf borderId="22" fillId="6" fontId="27" numFmtId="170" xfId="0" applyAlignment="1" applyBorder="1" applyFont="1" applyNumberFormat="1">
      <alignment horizontal="center" shrinkToFit="0" vertical="center" wrapText="1"/>
    </xf>
    <xf borderId="22" fillId="6" fontId="27" numFmtId="164" xfId="0" applyAlignment="1" applyBorder="1" applyFont="1" applyNumberFormat="1">
      <alignment horizontal="center" readingOrder="0" shrinkToFit="0" vertical="center" wrapText="1"/>
    </xf>
    <xf borderId="22" fillId="6" fontId="27" numFmtId="169" xfId="0" applyAlignment="1" applyBorder="1" applyFont="1" applyNumberFormat="1">
      <alignment horizontal="center" readingOrder="0" shrinkToFit="0" vertical="center" wrapText="1"/>
    </xf>
    <xf borderId="22" fillId="6" fontId="27" numFmtId="170" xfId="0" applyAlignment="1" applyBorder="1" applyFont="1" applyNumberFormat="1">
      <alignment horizontal="center" readingOrder="0" shrinkToFit="0" vertical="center" wrapText="1"/>
    </xf>
    <xf borderId="23" fillId="6" fontId="27" numFmtId="169" xfId="0" applyAlignment="1" applyBorder="1" applyFont="1" applyNumberFormat="1">
      <alignment horizontal="center" readingOrder="0" shrinkToFit="0" vertical="center" wrapText="1"/>
    </xf>
    <xf borderId="24" fillId="6" fontId="27" numFmtId="49" xfId="0" applyAlignment="1" applyBorder="1" applyFont="1" applyNumberFormat="1">
      <alignment horizontal="center" readingOrder="0" shrinkToFit="0" vertical="center" wrapText="1"/>
    </xf>
    <xf borderId="25" fillId="6" fontId="27" numFmtId="171" xfId="0" applyAlignment="1" applyBorder="1" applyFont="1" applyNumberFormat="1">
      <alignment horizontal="center" shrinkToFit="0" vertical="center" wrapText="1"/>
    </xf>
    <xf borderId="25" fillId="6" fontId="27" numFmtId="169" xfId="0" applyAlignment="1" applyBorder="1" applyFont="1" applyNumberFormat="1">
      <alignment horizontal="center" shrinkToFit="0" vertical="center" wrapText="1"/>
    </xf>
    <xf borderId="25" fillId="6" fontId="27" numFmtId="172" xfId="0" applyAlignment="1" applyBorder="1" applyFont="1" applyNumberFormat="1">
      <alignment horizontal="center" shrinkToFit="0" vertical="center" wrapText="1"/>
    </xf>
    <xf borderId="25" fillId="6" fontId="27" numFmtId="4" xfId="0" applyAlignment="1" applyBorder="1" applyFont="1" applyNumberFormat="1">
      <alignment horizontal="center" shrinkToFit="0" vertical="center" wrapText="1"/>
    </xf>
    <xf borderId="25" fillId="6" fontId="27" numFmtId="170" xfId="0" applyAlignment="1" applyBorder="1" applyFont="1" applyNumberFormat="1">
      <alignment horizontal="center" shrinkToFit="0" vertical="center" wrapText="1"/>
    </xf>
    <xf borderId="25" fillId="6" fontId="27" numFmtId="164" xfId="0" applyAlignment="1" applyBorder="1" applyFont="1" applyNumberFormat="1">
      <alignment horizontal="center" readingOrder="0" shrinkToFit="0" vertical="center" wrapText="1"/>
    </xf>
    <xf borderId="25" fillId="6" fontId="27" numFmtId="169" xfId="0" applyAlignment="1" applyBorder="1" applyFont="1" applyNumberFormat="1">
      <alignment horizontal="center" readingOrder="0" shrinkToFit="0" vertical="center" wrapText="1"/>
    </xf>
    <xf borderId="26" fillId="6" fontId="27" numFmtId="169" xfId="0" applyAlignment="1" applyBorder="1" applyFont="1" applyNumberFormat="1">
      <alignment horizontal="center" readingOrder="0" shrinkToFit="0" vertical="center" wrapText="1"/>
    </xf>
    <xf borderId="27" fillId="9" fontId="27" numFmtId="0" xfId="0" applyAlignment="1" applyBorder="1" applyFont="1">
      <alignment horizontal="center" readingOrder="0" shrinkToFit="0" vertical="center" wrapText="1"/>
    </xf>
    <xf borderId="21" fillId="9" fontId="27" numFmtId="171" xfId="0" applyAlignment="1" applyBorder="1" applyFont="1" applyNumberFormat="1">
      <alignment horizontal="center" readingOrder="0" shrinkToFit="0" vertical="center" wrapText="1"/>
    </xf>
    <xf borderId="21" fillId="9" fontId="27" numFmtId="169" xfId="0" applyAlignment="1" applyBorder="1" applyFont="1" applyNumberFormat="1">
      <alignment horizontal="center" readingOrder="0" shrinkToFit="0" vertical="center" wrapText="1"/>
    </xf>
    <xf borderId="21" fillId="9" fontId="27" numFmtId="172" xfId="0" applyAlignment="1" applyBorder="1" applyFont="1" applyNumberFormat="1">
      <alignment horizontal="center" shrinkToFit="0" vertical="center" wrapText="1"/>
    </xf>
    <xf borderId="21" fillId="9" fontId="27" numFmtId="4" xfId="0" applyAlignment="1" applyBorder="1" applyFont="1" applyNumberFormat="1">
      <alignment horizontal="center" shrinkToFit="0" vertical="center" wrapText="1"/>
    </xf>
    <xf borderId="28" fillId="9" fontId="27" numFmtId="170" xfId="0" applyAlignment="1" applyBorder="1" applyFont="1" applyNumberFormat="1">
      <alignment horizontal="center" shrinkToFit="0" vertical="center" wrapText="1"/>
    </xf>
    <xf borderId="21" fillId="9" fontId="27" numFmtId="169" xfId="0" applyAlignment="1" applyBorder="1" applyFont="1" applyNumberFormat="1">
      <alignment horizontal="center" shrinkToFit="0" vertical="center" wrapText="1"/>
    </xf>
    <xf borderId="21" fillId="9" fontId="27" numFmtId="164" xfId="0" applyAlignment="1" applyBorder="1" applyFont="1" applyNumberFormat="1">
      <alignment horizontal="center" shrinkToFit="0" vertical="center" wrapText="1"/>
    </xf>
    <xf borderId="21" fillId="9" fontId="27" numFmtId="170" xfId="0" applyAlignment="1" applyBorder="1" applyFont="1" applyNumberFormat="1">
      <alignment horizontal="center" shrinkToFit="0" vertical="center" wrapText="1"/>
    </xf>
    <xf borderId="29" fillId="9" fontId="27" numFmtId="169" xfId="0" applyAlignment="1" applyBorder="1" applyFont="1" applyNumberFormat="1">
      <alignment horizontal="center" shrinkToFit="0" vertical="center" wrapText="1"/>
    </xf>
    <xf borderId="30" fillId="9" fontId="27" numFmtId="0" xfId="0" applyAlignment="1" applyBorder="1" applyFont="1">
      <alignment horizontal="center" readingOrder="0" shrinkToFit="0" vertical="center" wrapText="1"/>
    </xf>
    <xf borderId="31" fillId="9" fontId="27" numFmtId="167" xfId="0" applyAlignment="1" applyBorder="1" applyFont="1" applyNumberFormat="1">
      <alignment horizontal="center" readingOrder="0" shrinkToFit="0" vertical="center" wrapText="1"/>
    </xf>
    <xf borderId="31" fillId="9" fontId="27" numFmtId="171" xfId="0" applyAlignment="1" applyBorder="1" applyFont="1" applyNumberFormat="1">
      <alignment horizontal="center" readingOrder="0" shrinkToFit="0" vertical="center" wrapText="1"/>
    </xf>
    <xf borderId="31" fillId="9" fontId="27" numFmtId="169" xfId="0" applyAlignment="1" applyBorder="1" applyFont="1" applyNumberFormat="1">
      <alignment horizontal="center" readingOrder="0" shrinkToFit="0" vertical="center" wrapText="1"/>
    </xf>
    <xf borderId="31" fillId="9" fontId="27" numFmtId="172" xfId="0" applyAlignment="1" applyBorder="1" applyFont="1" applyNumberFormat="1">
      <alignment horizontal="center" shrinkToFit="0" vertical="center" wrapText="1"/>
    </xf>
    <xf borderId="31" fillId="9" fontId="27" numFmtId="4" xfId="0" applyAlignment="1" applyBorder="1" applyFont="1" applyNumberFormat="1">
      <alignment horizontal="center" shrinkToFit="0" vertical="center" wrapText="1"/>
    </xf>
    <xf borderId="32" fillId="9" fontId="27" numFmtId="170" xfId="0" applyAlignment="1" applyBorder="1" applyFont="1" applyNumberFormat="1">
      <alignment horizontal="center" shrinkToFit="0" vertical="center" wrapText="1"/>
    </xf>
    <xf borderId="31" fillId="9" fontId="27" numFmtId="169" xfId="0" applyAlignment="1" applyBorder="1" applyFont="1" applyNumberFormat="1">
      <alignment horizontal="center" shrinkToFit="0" vertical="center" wrapText="1"/>
    </xf>
    <xf borderId="31" fillId="9" fontId="27" numFmtId="164" xfId="0" applyAlignment="1" applyBorder="1" applyFont="1" applyNumberFormat="1">
      <alignment horizontal="center" shrinkToFit="0" vertical="center" wrapText="1"/>
    </xf>
    <xf borderId="31" fillId="9" fontId="27" numFmtId="170" xfId="0" applyAlignment="1" applyBorder="1" applyFont="1" applyNumberFormat="1">
      <alignment horizontal="center" shrinkToFit="0" vertical="center" wrapText="1"/>
    </xf>
    <xf borderId="33" fillId="9" fontId="27" numFmtId="169" xfId="0" applyAlignment="1" applyBorder="1" applyFont="1" applyNumberFormat="1">
      <alignment horizontal="center" shrinkToFit="0" vertical="center" wrapText="1"/>
    </xf>
    <xf borderId="31" fillId="9" fontId="27" numFmtId="172" xfId="0" applyAlignment="1" applyBorder="1" applyFont="1" applyNumberFormat="1">
      <alignment horizontal="center" readingOrder="0" shrinkToFit="0" vertical="center" wrapText="1"/>
    </xf>
    <xf borderId="30" fillId="9" fontId="27" numFmtId="49" xfId="0" applyAlignment="1" applyBorder="1" applyFont="1" applyNumberFormat="1">
      <alignment horizontal="center" shrinkToFit="0" vertical="center" wrapText="1"/>
    </xf>
    <xf borderId="31" fillId="9" fontId="27" numFmtId="167" xfId="0" applyAlignment="1" applyBorder="1" applyFont="1" applyNumberFormat="1">
      <alignment horizontal="center" shrinkToFit="0" vertical="center" wrapText="1"/>
    </xf>
    <xf borderId="31" fillId="9" fontId="27" numFmtId="171" xfId="0" applyAlignment="1" applyBorder="1" applyFont="1" applyNumberFormat="1">
      <alignment horizontal="center" shrinkToFit="0" vertical="center" wrapText="1"/>
    </xf>
    <xf borderId="34" fillId="9" fontId="27" numFmtId="49" xfId="0" applyAlignment="1" applyBorder="1" applyFont="1" applyNumberFormat="1">
      <alignment horizontal="center" shrinkToFit="0" vertical="center" wrapText="1"/>
    </xf>
    <xf borderId="35" fillId="9" fontId="27" numFmtId="167" xfId="0" applyAlignment="1" applyBorder="1" applyFont="1" applyNumberFormat="1">
      <alignment horizontal="center" shrinkToFit="0" vertical="center" wrapText="1"/>
    </xf>
    <xf borderId="35" fillId="9" fontId="27" numFmtId="171" xfId="0" applyAlignment="1" applyBorder="1" applyFont="1" applyNumberFormat="1">
      <alignment horizontal="center" shrinkToFit="0" vertical="center" wrapText="1"/>
    </xf>
    <xf borderId="35" fillId="9" fontId="27" numFmtId="169" xfId="0" applyAlignment="1" applyBorder="1" applyFont="1" applyNumberFormat="1">
      <alignment horizontal="center" shrinkToFit="0" vertical="center" wrapText="1"/>
    </xf>
    <xf borderId="35" fillId="9" fontId="27" numFmtId="172" xfId="0" applyAlignment="1" applyBorder="1" applyFont="1" applyNumberFormat="1">
      <alignment horizontal="center" shrinkToFit="0" vertical="center" wrapText="1"/>
    </xf>
    <xf borderId="35" fillId="9" fontId="27" numFmtId="4" xfId="0" applyAlignment="1" applyBorder="1" applyFont="1" applyNumberFormat="1">
      <alignment horizontal="center" shrinkToFit="0" vertical="center" wrapText="1"/>
    </xf>
    <xf borderId="36" fillId="9" fontId="27" numFmtId="170" xfId="0" applyAlignment="1" applyBorder="1" applyFont="1" applyNumberFormat="1">
      <alignment horizontal="center" shrinkToFit="0" vertical="center" wrapText="1"/>
    </xf>
    <xf borderId="37" fillId="9" fontId="27" numFmtId="164" xfId="0" applyAlignment="1" applyBorder="1" applyFont="1" applyNumberFormat="1">
      <alignment horizontal="center" shrinkToFit="0" vertical="center" wrapText="1"/>
    </xf>
    <xf borderId="35" fillId="9" fontId="27" numFmtId="164" xfId="0" applyAlignment="1" applyBorder="1" applyFont="1" applyNumberFormat="1">
      <alignment horizontal="center" shrinkToFit="0" vertical="center" wrapText="1"/>
    </xf>
    <xf borderId="38" fillId="9" fontId="27" numFmtId="169" xfId="0" applyAlignment="1" applyBorder="1" applyFont="1" applyNumberFormat="1">
      <alignment horizontal="center" shrinkToFit="0" vertical="center" wrapText="1"/>
    </xf>
    <xf borderId="0" fillId="6" fontId="27" numFmtId="4" xfId="0" applyAlignment="1" applyFont="1" applyNumberFormat="1">
      <alignment horizontal="center" shrinkToFit="0" vertical="center" wrapText="1"/>
    </xf>
    <xf borderId="27" fillId="9" fontId="27" numFmtId="49" xfId="0" applyAlignment="1" applyBorder="1" applyFont="1" applyNumberFormat="1">
      <alignment horizontal="center" readingOrder="0" shrinkToFit="0" vertical="center" wrapText="1"/>
    </xf>
    <xf borderId="21" fillId="9" fontId="27" numFmtId="172" xfId="0" applyAlignment="1" applyBorder="1" applyFont="1" applyNumberFormat="1">
      <alignment horizontal="center" readingOrder="0" shrinkToFit="0" vertical="center" wrapText="1"/>
    </xf>
    <xf borderId="30" fillId="9" fontId="27" numFmtId="49" xfId="0" applyAlignment="1" applyBorder="1" applyFont="1" applyNumberFormat="1">
      <alignment horizontal="center" readingOrder="0" shrinkToFit="0" vertical="center" wrapText="1"/>
    </xf>
    <xf borderId="31" fillId="9" fontId="27" numFmtId="164" xfId="0" applyAlignment="1" applyBorder="1" applyFont="1" applyNumberFormat="1">
      <alignment horizontal="center" readingOrder="0" shrinkToFit="0" vertical="center" wrapText="1"/>
    </xf>
    <xf borderId="31" fillId="9" fontId="27" numFmtId="169" xfId="0" applyAlignment="1" applyBorder="1" applyFont="1" applyNumberFormat="1">
      <alignment horizontal="center" readingOrder="0" shrinkToFit="0" vertical="center" wrapText="1"/>
    </xf>
    <xf borderId="31" fillId="9" fontId="27" numFmtId="172" xfId="0" applyAlignment="1" applyBorder="1" applyFont="1" applyNumberFormat="1">
      <alignment horizontal="center" readingOrder="0" shrinkToFit="0" vertical="center" wrapText="1"/>
    </xf>
    <xf borderId="31" fillId="9" fontId="27" numFmtId="4" xfId="0" applyAlignment="1" applyBorder="1" applyFont="1" applyNumberFormat="1">
      <alignment horizontal="center" readingOrder="0" shrinkToFit="0" vertical="center" wrapText="1"/>
    </xf>
    <xf borderId="31" fillId="9" fontId="27" numFmtId="170" xfId="0" applyAlignment="1" applyBorder="1" applyFont="1" applyNumberFormat="1">
      <alignment horizontal="center" readingOrder="0" shrinkToFit="0" vertical="center" wrapText="1"/>
    </xf>
    <xf borderId="31" fillId="9" fontId="27" numFmtId="164" xfId="0" applyAlignment="1" applyBorder="1" applyFont="1" applyNumberFormat="1">
      <alignment horizontal="center" readingOrder="0" shrinkToFit="0" vertical="center" wrapText="1"/>
    </xf>
    <xf borderId="31" fillId="9" fontId="27" numFmtId="0" xfId="0" applyAlignment="1" applyBorder="1" applyFont="1">
      <alignment horizontal="center" readingOrder="0" shrinkToFit="0" vertical="center" wrapText="1"/>
    </xf>
    <xf borderId="33" fillId="9" fontId="27" numFmtId="169" xfId="0" applyAlignment="1" applyBorder="1" applyFont="1" applyNumberFormat="1">
      <alignment horizontal="center" readingOrder="0" shrinkToFit="0" vertical="center" wrapText="1"/>
    </xf>
    <xf borderId="34" fillId="9" fontId="27" numFmtId="49" xfId="0" applyAlignment="1" applyBorder="1" applyFont="1" applyNumberFormat="1">
      <alignment horizontal="center" readingOrder="0" shrinkToFit="0" vertical="center" wrapText="1"/>
    </xf>
    <xf borderId="35" fillId="9" fontId="27" numFmtId="169" xfId="0" applyAlignment="1" applyBorder="1" applyFont="1" applyNumberFormat="1">
      <alignment horizontal="center" readingOrder="0" shrinkToFit="0" vertical="center" wrapText="1"/>
    </xf>
    <xf borderId="35" fillId="9" fontId="27" numFmtId="172" xfId="0" applyAlignment="1" applyBorder="1" applyFont="1" applyNumberFormat="1">
      <alignment horizontal="center" readingOrder="0" shrinkToFit="0" vertical="center" wrapText="1"/>
    </xf>
    <xf borderId="35" fillId="9" fontId="27" numFmtId="4" xfId="0" applyAlignment="1" applyBorder="1" applyFont="1" applyNumberFormat="1">
      <alignment horizontal="center" readingOrder="0" shrinkToFit="0" vertical="center" wrapText="1"/>
    </xf>
    <xf borderId="35" fillId="9" fontId="27" numFmtId="170" xfId="0" applyAlignment="1" applyBorder="1" applyFont="1" applyNumberFormat="1">
      <alignment horizontal="center" readingOrder="0" shrinkToFit="0" vertical="center" wrapText="1"/>
    </xf>
    <xf borderId="35" fillId="9" fontId="27" numFmtId="164" xfId="0" applyAlignment="1" applyBorder="1" applyFont="1" applyNumberFormat="1">
      <alignment horizontal="center" readingOrder="0" shrinkToFit="0" vertical="center" wrapText="1"/>
    </xf>
    <xf borderId="35" fillId="9" fontId="27" numFmtId="0" xfId="0" applyAlignment="1" applyBorder="1" applyFont="1">
      <alignment horizontal="center" readingOrder="0" shrinkToFit="0" vertical="center" wrapText="1"/>
    </xf>
    <xf borderId="38" fillId="9" fontId="27" numFmtId="169" xfId="0" applyAlignment="1" applyBorder="1" applyFont="1" applyNumberFormat="1">
      <alignment horizontal="center" readingOrder="0" shrinkToFit="0" vertical="center" wrapText="1"/>
    </xf>
    <xf borderId="39" fillId="6" fontId="27" numFmtId="49" xfId="0" applyAlignment="1" applyBorder="1" applyFont="1" applyNumberFormat="1">
      <alignment horizontal="center" readingOrder="0" shrinkToFit="0" vertical="center" wrapText="1"/>
    </xf>
    <xf borderId="40" fillId="6" fontId="27" numFmtId="167" xfId="0" applyAlignment="1" applyBorder="1" applyFont="1" applyNumberFormat="1">
      <alignment horizontal="center" readingOrder="0" shrinkToFit="0" vertical="center" wrapText="1"/>
    </xf>
    <xf borderId="40" fillId="6" fontId="27" numFmtId="171" xfId="0" applyAlignment="1" applyBorder="1" applyFont="1" applyNumberFormat="1">
      <alignment horizontal="center" readingOrder="0" shrinkToFit="0" vertical="center" wrapText="1"/>
    </xf>
    <xf borderId="40" fillId="6" fontId="27" numFmtId="169" xfId="0" applyAlignment="1" applyBorder="1" applyFont="1" applyNumberFormat="1">
      <alignment horizontal="center" readingOrder="0" shrinkToFit="0" vertical="center" wrapText="1"/>
    </xf>
    <xf borderId="40" fillId="6" fontId="27" numFmtId="172" xfId="0" applyAlignment="1" applyBorder="1" applyFont="1" applyNumberFormat="1">
      <alignment horizontal="center" readingOrder="0" shrinkToFit="0" vertical="center" wrapText="1"/>
    </xf>
    <xf borderId="40" fillId="6" fontId="27" numFmtId="4" xfId="0" applyAlignment="1" applyBorder="1" applyFont="1" applyNumberFormat="1">
      <alignment horizontal="center" readingOrder="0" shrinkToFit="0" vertical="center" wrapText="1"/>
    </xf>
    <xf borderId="40" fillId="6" fontId="27" numFmtId="170" xfId="0" applyAlignment="1" applyBorder="1" applyFont="1" applyNumberFormat="1">
      <alignment horizontal="center" readingOrder="0" shrinkToFit="0" vertical="center" wrapText="1"/>
    </xf>
    <xf borderId="40" fillId="6" fontId="27" numFmtId="164" xfId="0" applyAlignment="1" applyBorder="1" applyFont="1" applyNumberFormat="1">
      <alignment horizontal="center" readingOrder="0" shrinkToFit="0" vertical="center" wrapText="1"/>
    </xf>
    <xf borderId="40" fillId="6" fontId="27" numFmtId="0" xfId="0" applyAlignment="1" applyBorder="1" applyFont="1">
      <alignment horizontal="center" readingOrder="0" shrinkToFit="0" vertical="center" wrapText="1"/>
    </xf>
    <xf borderId="41" fillId="6" fontId="27" numFmtId="169" xfId="0" applyAlignment="1" applyBorder="1" applyFont="1" applyNumberFormat="1">
      <alignment horizontal="center" readingOrder="0" shrinkToFit="0" vertical="center" wrapText="1"/>
    </xf>
    <xf borderId="42" fillId="6" fontId="27" numFmtId="49" xfId="0" applyAlignment="1" applyBorder="1" applyFont="1" applyNumberFormat="1">
      <alignment horizontal="center" readingOrder="0" shrinkToFit="0" vertical="center" wrapText="1"/>
    </xf>
    <xf borderId="43" fillId="6" fontId="27" numFmtId="167" xfId="0" applyAlignment="1" applyBorder="1" applyFont="1" applyNumberFormat="1">
      <alignment horizontal="center" readingOrder="0" shrinkToFit="0" vertical="center" wrapText="1"/>
    </xf>
    <xf borderId="43" fillId="6" fontId="27" numFmtId="171" xfId="0" applyAlignment="1" applyBorder="1" applyFont="1" applyNumberFormat="1">
      <alignment horizontal="center" readingOrder="0" shrinkToFit="0" vertical="center" wrapText="1"/>
    </xf>
    <xf borderId="43" fillId="6" fontId="27" numFmtId="169" xfId="0" applyAlignment="1" applyBorder="1" applyFont="1" applyNumberFormat="1">
      <alignment horizontal="center" readingOrder="0" shrinkToFit="0" vertical="center" wrapText="1"/>
    </xf>
    <xf borderId="43" fillId="6" fontId="27" numFmtId="172" xfId="0" applyAlignment="1" applyBorder="1" applyFont="1" applyNumberFormat="1">
      <alignment horizontal="center" shrinkToFit="0" vertical="center" wrapText="1"/>
    </xf>
    <xf borderId="43" fillId="6" fontId="27" numFmtId="4" xfId="0" applyAlignment="1" applyBorder="1" applyFont="1" applyNumberFormat="1">
      <alignment horizontal="center" shrinkToFit="0" vertical="center" wrapText="1"/>
    </xf>
    <xf borderId="43" fillId="6" fontId="27" numFmtId="170" xfId="0" applyAlignment="1" applyBorder="1" applyFont="1" applyNumberFormat="1">
      <alignment horizontal="center" shrinkToFit="0" vertical="center" wrapText="1"/>
    </xf>
    <xf borderId="43" fillId="6" fontId="27" numFmtId="169" xfId="0" applyAlignment="1" applyBorder="1" applyFont="1" applyNumberFormat="1">
      <alignment horizontal="center" shrinkToFit="0" vertical="center" wrapText="1"/>
    </xf>
    <xf borderId="43" fillId="6" fontId="27" numFmtId="164" xfId="0" applyAlignment="1" applyBorder="1" applyFont="1" applyNumberFormat="1">
      <alignment horizontal="center" shrinkToFit="0" vertical="center" wrapText="1"/>
    </xf>
    <xf borderId="44" fillId="6" fontId="27" numFmtId="169" xfId="0" applyAlignment="1" applyBorder="1" applyFont="1" applyNumberFormat="1">
      <alignment horizontal="center" shrinkToFit="0" vertical="center" wrapText="1"/>
    </xf>
    <xf borderId="21" fillId="9" fontId="27" numFmtId="167" xfId="0" applyAlignment="1" applyBorder="1" applyFont="1" applyNumberFormat="1">
      <alignment horizontal="center" shrinkToFit="0" vertical="center" wrapText="1"/>
    </xf>
    <xf borderId="21" fillId="9" fontId="27" numFmtId="171" xfId="0" applyAlignment="1" applyBorder="1" applyFont="1" applyNumberFormat="1">
      <alignment horizontal="center" shrinkToFit="0" vertical="center" wrapText="1"/>
    </xf>
    <xf borderId="21" fillId="9" fontId="27" numFmtId="0" xfId="0" applyAlignment="1" applyBorder="1" applyFont="1">
      <alignment horizontal="center" readingOrder="0" shrinkToFit="0" vertical="center" wrapText="1"/>
    </xf>
    <xf borderId="45" fillId="9" fontId="27" numFmtId="49" xfId="0" applyAlignment="1" applyBorder="1" applyFont="1" applyNumberFormat="1">
      <alignment horizontal="center" shrinkToFit="0" vertical="center" wrapText="1"/>
    </xf>
    <xf borderId="35" fillId="9" fontId="27" numFmtId="170" xfId="0" applyAlignment="1" applyBorder="1" applyFont="1" applyNumberFormat="1">
      <alignment horizontal="center" shrinkToFit="0" vertical="center" wrapText="1"/>
    </xf>
    <xf borderId="14" fillId="6" fontId="27" numFmtId="49" xfId="0" applyAlignment="1" applyBorder="1" applyFont="1" applyNumberFormat="1">
      <alignment horizontal="center" readingOrder="0" shrinkToFit="0" vertical="center" wrapText="1"/>
    </xf>
    <xf borderId="20" fillId="6" fontId="27" numFmtId="167" xfId="0" applyAlignment="1" applyBorder="1" applyFont="1" applyNumberFormat="1">
      <alignment horizontal="center" readingOrder="0" shrinkToFit="0" vertical="center" wrapText="1"/>
    </xf>
    <xf borderId="22" fillId="6" fontId="27" numFmtId="171" xfId="0" applyAlignment="1" applyBorder="1" applyFont="1" applyNumberFormat="1">
      <alignment horizontal="center" readingOrder="0" shrinkToFit="0" vertical="center" wrapText="1"/>
    </xf>
    <xf borderId="22" fillId="6" fontId="27" numFmtId="164" xfId="0" applyAlignment="1" applyBorder="1" applyFont="1" applyNumberFormat="1">
      <alignment horizontal="center" shrinkToFit="0" vertical="center" wrapText="1"/>
    </xf>
    <xf borderId="46" fillId="6" fontId="27" numFmtId="169" xfId="0" applyAlignment="1" applyBorder="1" applyFont="1" applyNumberFormat="1">
      <alignment horizontal="center" shrinkToFit="0" vertical="center" wrapText="1"/>
    </xf>
    <xf borderId="17" fillId="6" fontId="27" numFmtId="49" xfId="0" applyAlignment="1" applyBorder="1" applyFont="1" applyNumberFormat="1">
      <alignment horizontal="center" readingOrder="0" shrinkToFit="0" vertical="center" wrapText="1"/>
    </xf>
    <xf borderId="24" fillId="6" fontId="27" numFmtId="167" xfId="0" applyAlignment="1" applyBorder="1" applyFont="1" applyNumberFormat="1">
      <alignment horizontal="center" readingOrder="0" shrinkToFit="0" vertical="center" wrapText="1"/>
    </xf>
    <xf borderId="25" fillId="6" fontId="27" numFmtId="171" xfId="0" applyAlignment="1" applyBorder="1" applyFont="1" applyNumberFormat="1">
      <alignment horizontal="center" readingOrder="0" shrinkToFit="0" vertical="center" wrapText="1"/>
    </xf>
    <xf borderId="25" fillId="6" fontId="27" numFmtId="164" xfId="0" applyAlignment="1" applyBorder="1" applyFont="1" applyNumberFormat="1">
      <alignment horizontal="center" shrinkToFit="0" vertical="center" wrapText="1"/>
    </xf>
    <xf borderId="47" fillId="6" fontId="27" numFmtId="169" xfId="0" applyAlignment="1" applyBorder="1" applyFont="1" applyNumberFormat="1">
      <alignment horizontal="center" shrinkToFit="0" vertical="center" wrapText="1"/>
    </xf>
    <xf borderId="48" fillId="9" fontId="27" numFmtId="49" xfId="0" applyAlignment="1" applyBorder="1" applyFont="1" applyNumberFormat="1">
      <alignment horizontal="center" readingOrder="0" shrinkToFit="0" vertical="center" wrapText="1"/>
    </xf>
    <xf borderId="22" fillId="6" fontId="27" numFmtId="167" xfId="0" applyAlignment="1" applyBorder="1" applyFont="1" applyNumberFormat="1">
      <alignment horizontal="center" readingOrder="0" shrinkToFit="0" vertical="center" wrapText="1"/>
    </xf>
    <xf borderId="22" fillId="6" fontId="27" numFmtId="0" xfId="0" applyAlignment="1" applyBorder="1" applyFont="1">
      <alignment horizontal="center" shrinkToFit="0" vertical="center" wrapText="1"/>
    </xf>
    <xf borderId="23" fillId="6" fontId="27" numFmtId="169" xfId="0" applyAlignment="1" applyBorder="1" applyFont="1" applyNumberFormat="1">
      <alignment horizontal="center" shrinkToFit="0" vertical="center" wrapText="1"/>
    </xf>
    <xf borderId="25" fillId="6" fontId="27" numFmtId="167" xfId="0" applyAlignment="1" applyBorder="1" applyFont="1" applyNumberFormat="1">
      <alignment horizontal="center" readingOrder="0" shrinkToFit="0" vertical="center" wrapText="1"/>
    </xf>
    <xf borderId="25" fillId="6" fontId="27" numFmtId="0" xfId="0" applyAlignment="1" applyBorder="1" applyFont="1">
      <alignment horizontal="center" shrinkToFit="0" vertical="center" wrapText="1"/>
    </xf>
    <xf borderId="26" fillId="6" fontId="27" numFmtId="169" xfId="0" applyAlignment="1" applyBorder="1" applyFont="1" applyNumberFormat="1">
      <alignment horizontal="center" shrinkToFit="0" vertical="center" wrapText="1"/>
    </xf>
    <xf borderId="20" fillId="6" fontId="27" numFmtId="49" xfId="0" applyAlignment="1" applyBorder="1" applyFont="1" applyNumberFormat="1">
      <alignment horizontal="center" shrinkToFit="0" vertical="center" wrapText="1"/>
    </xf>
    <xf borderId="22" fillId="6" fontId="27" numFmtId="167" xfId="0" applyAlignment="1" applyBorder="1" applyFont="1" applyNumberFormat="1">
      <alignment horizontal="center" shrinkToFit="0" vertical="center" wrapText="1"/>
    </xf>
    <xf borderId="24" fillId="6" fontId="27" numFmtId="49" xfId="0" applyAlignment="1" applyBorder="1" applyFont="1" applyNumberFormat="1">
      <alignment horizontal="center" shrinkToFit="0" vertical="center" wrapText="1"/>
    </xf>
    <xf borderId="25" fillId="6" fontId="27" numFmtId="167" xfId="0" applyAlignment="1" applyBorder="1" applyFont="1" applyNumberFormat="1">
      <alignment horizontal="center" shrinkToFit="0" vertical="center" wrapText="1"/>
    </xf>
    <xf borderId="0" fillId="6" fontId="27" numFmtId="0" xfId="0" applyAlignment="1" applyFont="1">
      <alignment horizontal="center" shrinkToFit="0" vertical="center" wrapText="1"/>
    </xf>
    <xf borderId="0" fillId="10" fontId="31" numFmtId="49" xfId="0" applyAlignment="1" applyFill="1" applyFont="1" applyNumberFormat="1">
      <alignment horizontal="center" readingOrder="0" vertical="center"/>
    </xf>
    <xf borderId="0" fillId="10" fontId="31" numFmtId="3" xfId="0" applyAlignment="1" applyFont="1" applyNumberFormat="1">
      <alignment horizontal="center" readingOrder="0" vertical="center"/>
    </xf>
    <xf borderId="0" fillId="10" fontId="31" numFmtId="4" xfId="0" applyAlignment="1" applyFont="1" applyNumberFormat="1">
      <alignment horizontal="center" readingOrder="0" vertical="center"/>
    </xf>
    <xf borderId="0" fillId="10" fontId="31" numFmtId="164" xfId="0" applyAlignment="1" applyFont="1" applyNumberFormat="1">
      <alignment horizontal="center" readingOrder="0" vertical="center"/>
    </xf>
    <xf borderId="0" fillId="10" fontId="31" numFmtId="167" xfId="0" applyAlignment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/>
    </xf>
    <xf borderId="0" fillId="6" fontId="32" numFmtId="164" xfId="0" applyFont="1" applyNumberFormat="1"/>
    <xf borderId="13" fillId="11" fontId="19" numFmtId="49" xfId="0" applyAlignment="1" applyBorder="1" applyFill="1" applyFont="1" applyNumberFormat="1">
      <alignment horizontal="center" readingOrder="0" vertical="center"/>
    </xf>
    <xf borderId="14" fillId="11" fontId="19" numFmtId="3" xfId="0" applyAlignment="1" applyBorder="1" applyFont="1" applyNumberFormat="1">
      <alignment horizontal="center" shrinkToFit="0" vertical="center" wrapText="1"/>
    </xf>
    <xf borderId="14" fillId="11" fontId="19" numFmtId="4" xfId="0" applyAlignment="1" applyBorder="1" applyFont="1" applyNumberFormat="1">
      <alignment horizontal="center" shrinkToFit="0" vertical="center" wrapText="1"/>
    </xf>
    <xf borderId="14" fillId="11" fontId="19" numFmtId="164" xfId="0" applyAlignment="1" applyBorder="1" applyFont="1" applyNumberFormat="1">
      <alignment horizontal="center" shrinkToFit="0" vertical="center" wrapText="1"/>
    </xf>
    <xf borderId="0" fillId="11" fontId="19" numFmtId="164" xfId="0" applyAlignment="1" applyFont="1" applyNumberFormat="1">
      <alignment horizontal="center" shrinkToFit="0" vertical="center" wrapText="1"/>
    </xf>
    <xf borderId="14" fillId="11" fontId="19" numFmtId="164" xfId="0" applyAlignment="1" applyBorder="1" applyFont="1" applyNumberFormat="1">
      <alignment horizontal="center" readingOrder="0" shrinkToFit="0" vertical="center" wrapText="1"/>
    </xf>
    <xf borderId="49" fillId="11" fontId="19" numFmtId="165" xfId="0" applyAlignment="1" applyBorder="1" applyFont="1" applyNumberFormat="1">
      <alignment horizontal="center" readingOrder="0"/>
    </xf>
    <xf borderId="0" fillId="0" fontId="28" numFmtId="0" xfId="0" applyAlignment="1" applyFont="1">
      <alignment horizontal="center" readingOrder="0"/>
    </xf>
    <xf borderId="50" fillId="11" fontId="19" numFmtId="49" xfId="0" applyAlignment="1" applyBorder="1" applyFont="1" applyNumberFormat="1">
      <alignment horizontal="center" readingOrder="0" vertical="center"/>
    </xf>
    <xf borderId="0" fillId="11" fontId="19" numFmtId="3" xfId="0" applyAlignment="1" applyFont="1" applyNumberFormat="1">
      <alignment horizontal="center" shrinkToFit="0" vertical="center" wrapText="1"/>
    </xf>
    <xf borderId="0" fillId="11" fontId="19" numFmtId="4" xfId="0" applyAlignment="1" applyFont="1" applyNumberFormat="1">
      <alignment horizontal="center" shrinkToFit="0" vertical="center" wrapText="1"/>
    </xf>
    <xf borderId="0" fillId="11" fontId="19" numFmtId="164" xfId="0" applyAlignment="1" applyFont="1" applyNumberFormat="1">
      <alignment horizontal="center" readingOrder="0" shrinkToFit="0" vertical="center" wrapText="1"/>
    </xf>
    <xf borderId="51" fillId="11" fontId="19" numFmtId="165" xfId="0" applyAlignment="1" applyBorder="1" applyFont="1" applyNumberFormat="1">
      <alignment horizontal="center" readingOrder="0"/>
    </xf>
    <xf borderId="50" fillId="11" fontId="19" numFmtId="49" xfId="0" applyAlignment="1" applyBorder="1" applyFont="1" applyNumberFormat="1">
      <alignment horizontal="center" vertical="center"/>
    </xf>
    <xf borderId="16" fillId="11" fontId="19" numFmtId="49" xfId="0" applyAlignment="1" applyBorder="1" applyFont="1" applyNumberFormat="1">
      <alignment horizontal="center" vertical="center"/>
    </xf>
    <xf borderId="17" fillId="11" fontId="19" numFmtId="3" xfId="0" applyAlignment="1" applyBorder="1" applyFont="1" applyNumberFormat="1">
      <alignment horizontal="center" shrinkToFit="0" vertical="center" wrapText="1"/>
    </xf>
    <xf borderId="17" fillId="11" fontId="19" numFmtId="4" xfId="0" applyAlignment="1" applyBorder="1" applyFont="1" applyNumberFormat="1">
      <alignment horizontal="center" shrinkToFit="0" vertical="center" wrapText="1"/>
    </xf>
    <xf borderId="17" fillId="11" fontId="19" numFmtId="164" xfId="0" applyAlignment="1" applyBorder="1" applyFont="1" applyNumberFormat="1">
      <alignment horizontal="center" shrinkToFit="0" vertical="center" wrapText="1"/>
    </xf>
    <xf borderId="17" fillId="11" fontId="19" numFmtId="164" xfId="0" applyAlignment="1" applyBorder="1" applyFont="1" applyNumberFormat="1">
      <alignment horizontal="center" readingOrder="0" shrinkToFit="0" vertical="center" wrapText="1"/>
    </xf>
    <xf borderId="52" fillId="11" fontId="19" numFmtId="165" xfId="0" applyAlignment="1" applyBorder="1" applyFont="1" applyNumberFormat="1">
      <alignment horizontal="center" readingOrder="0"/>
    </xf>
    <xf borderId="53" fillId="6" fontId="19" numFmtId="49" xfId="0" applyAlignment="1" applyBorder="1" applyFont="1" applyNumberFormat="1">
      <alignment horizontal="center" readingOrder="0" vertical="center"/>
    </xf>
    <xf borderId="54" fillId="6" fontId="19" numFmtId="3" xfId="0" applyAlignment="1" applyBorder="1" applyFont="1" applyNumberFormat="1">
      <alignment horizontal="center" shrinkToFit="0" vertical="center" wrapText="1"/>
    </xf>
    <xf borderId="54" fillId="6" fontId="19" numFmtId="4" xfId="0" applyAlignment="1" applyBorder="1" applyFont="1" applyNumberFormat="1">
      <alignment horizontal="center" shrinkToFit="0" vertical="center" wrapText="1"/>
    </xf>
    <xf borderId="54" fillId="6" fontId="19" numFmtId="164" xfId="0" applyAlignment="1" applyBorder="1" applyFont="1" applyNumberFormat="1">
      <alignment horizontal="center" shrinkToFit="0" vertical="center" wrapText="1"/>
    </xf>
    <xf borderId="53" fillId="6" fontId="19" numFmtId="164" xfId="0" applyAlignment="1" applyBorder="1" applyFont="1" applyNumberFormat="1">
      <alignment horizontal="center" shrinkToFit="0" vertical="center" wrapText="1"/>
    </xf>
    <xf borderId="54" fillId="6" fontId="16" numFmtId="0" xfId="0" applyAlignment="1" applyBorder="1" applyFont="1">
      <alignment horizontal="center" readingOrder="0" vertical="center"/>
    </xf>
    <xf borderId="54" fillId="6" fontId="17" numFmtId="167" xfId="0" applyAlignment="1" applyBorder="1" applyFont="1" applyNumberFormat="1">
      <alignment horizontal="center"/>
    </xf>
    <xf borderId="55" fillId="6" fontId="32" numFmtId="164" xfId="0" applyBorder="1" applyFont="1" applyNumberFormat="1"/>
    <xf borderId="16" fillId="11" fontId="19" numFmtId="49" xfId="0" applyAlignment="1" applyBorder="1" applyFont="1" applyNumberFormat="1">
      <alignment horizontal="center" readingOrder="0" vertical="center"/>
    </xf>
    <xf borderId="55" fillId="6" fontId="19" numFmtId="164" xfId="0" applyAlignment="1" applyBorder="1" applyFont="1" applyNumberFormat="1">
      <alignment horizontal="center" shrinkToFit="0" vertical="center" wrapText="1"/>
    </xf>
    <xf borderId="54" fillId="6" fontId="19" numFmtId="0" xfId="0" applyAlignment="1" applyBorder="1" applyFont="1">
      <alignment horizontal="center" readingOrder="0"/>
    </xf>
    <xf borderId="54" fillId="6" fontId="28" numFmtId="0" xfId="0" applyAlignment="1" applyBorder="1" applyFont="1">
      <alignment horizontal="center" readingOrder="0"/>
    </xf>
    <xf borderId="0" fillId="6" fontId="19" numFmtId="49" xfId="0" applyAlignment="1" applyFont="1" applyNumberFormat="1">
      <alignment horizontal="center" readingOrder="0" vertical="center"/>
    </xf>
    <xf borderId="0" fillId="6" fontId="19" numFmtId="3" xfId="0" applyAlignment="1" applyFont="1" applyNumberFormat="1">
      <alignment horizontal="center" shrinkToFit="0" vertical="center" wrapText="1"/>
    </xf>
    <xf borderId="0" fillId="6" fontId="19" numFmtId="4" xfId="0" applyAlignment="1" applyFont="1" applyNumberFormat="1">
      <alignment horizontal="center" shrinkToFit="0" vertical="center" wrapText="1"/>
    </xf>
    <xf borderId="0" fillId="6" fontId="19" numFmtId="164" xfId="0" applyAlignment="1" applyFont="1" applyNumberFormat="1">
      <alignment horizontal="center" shrinkToFit="0" vertical="center" wrapText="1"/>
    </xf>
    <xf borderId="0" fillId="6" fontId="19" numFmtId="0" xfId="0" applyAlignment="1" applyFont="1">
      <alignment horizontal="center" readingOrder="0" vertical="center"/>
    </xf>
    <xf borderId="0" fillId="11" fontId="19" numFmtId="49" xfId="0" applyAlignment="1" applyFont="1" applyNumberFormat="1">
      <alignment horizontal="center" readingOrder="0" vertical="center"/>
    </xf>
    <xf borderId="0" fillId="11" fontId="19" numFmtId="165" xfId="0" applyAlignment="1" applyFont="1" applyNumberFormat="1">
      <alignment horizontal="center" readingOrder="0"/>
    </xf>
    <xf borderId="0" fillId="0" fontId="17" numFmtId="49" xfId="0" applyAlignment="1" applyFont="1" applyNumberFormat="1">
      <alignment horizontal="center"/>
    </xf>
    <xf borderId="0" fillId="0" fontId="17" numFmtId="3" xfId="0" applyAlignment="1" applyFont="1" applyNumberFormat="1">
      <alignment horizontal="center"/>
    </xf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4" numFmtId="167" xfId="0" applyAlignment="1" applyFont="1" applyNumberFormat="1">
      <alignment horizontal="center" readingOrder="0" vertical="center"/>
    </xf>
    <xf borderId="0" fillId="0" fontId="34" numFmtId="172" xfId="0" applyAlignment="1" applyFont="1" applyNumberFormat="1">
      <alignment horizontal="center" readingOrder="0" vertical="center"/>
    </xf>
    <xf borderId="0" fillId="0" fontId="34" numFmtId="4" xfId="0" applyAlignment="1" applyFont="1" applyNumberFormat="1">
      <alignment horizontal="center" readingOrder="0" vertical="center"/>
    </xf>
    <xf borderId="0" fillId="0" fontId="34" numFmtId="169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17" numFmtId="172" xfId="0" applyAlignment="1" applyFont="1" applyNumberFormat="1">
      <alignment horizontal="center" readingOrder="0" vertical="center"/>
    </xf>
    <xf borderId="0" fillId="0" fontId="34" numFmtId="4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vertical="center"/>
    </xf>
    <xf borderId="0" fillId="0" fontId="36" numFmtId="169" xfId="0" applyAlignment="1" applyFont="1" applyNumberFormat="1">
      <alignment horizontal="center" vertical="center"/>
    </xf>
    <xf borderId="0" fillId="0" fontId="17" numFmtId="0" xfId="0" applyAlignment="1" applyFont="1">
      <alignment readingOrder="0"/>
    </xf>
    <xf borderId="0" fillId="6" fontId="33" numFmtId="164" xfId="0" applyAlignment="1" applyFont="1" applyNumberFormat="1">
      <alignment horizontal="center" shrinkToFit="0" vertical="center" wrapText="1"/>
    </xf>
    <xf borderId="0" fillId="6" fontId="35" numFmtId="172" xfId="0" applyAlignment="1" applyFont="1" applyNumberFormat="1">
      <alignment horizontal="center" shrinkToFit="0" vertical="center" wrapText="1"/>
    </xf>
    <xf borderId="0" fillId="6" fontId="35" numFmtId="172" xfId="0" applyAlignment="1" applyFont="1" applyNumberFormat="1">
      <alignment horizontal="center" readingOrder="0" shrinkToFit="0" vertical="center" wrapText="1"/>
    </xf>
    <xf borderId="0" fillId="6" fontId="33" numFmtId="166" xfId="0" applyAlignment="1" applyFont="1" applyNumberFormat="1">
      <alignment horizontal="center" shrinkToFit="0" vertical="center" wrapText="1"/>
    </xf>
    <xf borderId="0" fillId="0" fontId="35" numFmtId="0" xfId="0" applyAlignment="1" applyFont="1">
      <alignment horizontal="center" vertical="center"/>
    </xf>
    <xf borderId="0" fillId="0" fontId="17" numFmtId="172" xfId="0" applyAlignment="1" applyFont="1" applyNumberForma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6" fontId="37" numFmtId="0" xfId="0" applyAlignment="1" applyFont="1">
      <alignment horizontal="center" readingOrder="0" shrinkToFit="0" vertical="center" wrapText="1"/>
    </xf>
    <xf borderId="0" fillId="6" fontId="38" numFmtId="0" xfId="0" applyAlignment="1" applyFont="1">
      <alignment horizontal="center"/>
    </xf>
    <xf borderId="0" fillId="6" fontId="37" numFmtId="0" xfId="0" applyAlignment="1" applyFont="1">
      <alignment horizontal="center" readingOrder="0" vertical="center"/>
    </xf>
    <xf borderId="0" fillId="6" fontId="39" numFmtId="0" xfId="0" applyAlignment="1" applyFont="1">
      <alignment horizontal="center" readingOrder="0" shrinkToFit="0" vertical="center" wrapText="1"/>
    </xf>
    <xf borderId="0" fillId="6" fontId="40" numFmtId="167" xfId="0" applyAlignment="1" applyFont="1" applyNumberFormat="1">
      <alignment horizontal="center" readingOrder="0" shrinkToFit="0" vertical="center" wrapText="1"/>
    </xf>
    <xf borderId="0" fillId="6" fontId="40" numFmtId="164" xfId="0" applyAlignment="1" applyFont="1" applyNumberFormat="1">
      <alignment horizontal="center" readingOrder="0" shrinkToFit="0" vertical="center" wrapText="1"/>
    </xf>
    <xf borderId="0" fillId="6" fontId="41" numFmtId="0" xfId="0" applyAlignment="1" applyFont="1">
      <alignment horizontal="center" readingOrder="0" shrinkToFit="0" vertical="center" wrapText="1"/>
    </xf>
    <xf borderId="0" fillId="6" fontId="42" numFmtId="164" xfId="0" applyAlignment="1" applyFont="1" applyNumberFormat="1">
      <alignment horizontal="center" shrinkToFit="0" vertical="center" wrapText="1"/>
    </xf>
    <xf borderId="0" fillId="6" fontId="38" numFmtId="0" xfId="0" applyAlignment="1" applyFont="1">
      <alignment readingOrder="0"/>
    </xf>
    <xf borderId="0" fillId="6" fontId="43" numFmtId="0" xfId="0" applyAlignment="1" applyFont="1">
      <alignment vertical="center"/>
    </xf>
    <xf borderId="0" fillId="6" fontId="17" numFmtId="0" xfId="0" applyFont="1"/>
    <xf borderId="0" fillId="6" fontId="44" numFmtId="167" xfId="0" applyAlignment="1" applyFont="1" applyNumberFormat="1">
      <alignment horizontal="center"/>
    </xf>
    <xf borderId="0" fillId="6" fontId="44" numFmtId="164" xfId="0" applyAlignment="1" applyFont="1" applyNumberFormat="1">
      <alignment horizontal="center"/>
    </xf>
    <xf borderId="0" fillId="6" fontId="45" numFmtId="0" xfId="0" applyAlignment="1" applyFont="1">
      <alignment horizontal="center" readingOrder="0" shrinkToFit="0" vertical="center" wrapText="1"/>
    </xf>
    <xf borderId="0" fillId="6" fontId="45" numFmtId="0" xfId="0" applyAlignment="1" applyFont="1">
      <alignment horizontal="center" readingOrder="0" vertical="center"/>
    </xf>
    <xf borderId="0" fillId="6" fontId="4" numFmtId="164" xfId="0" applyAlignment="1" applyFont="1" applyNumberFormat="1">
      <alignment horizontal="center" shrinkToFit="0" vertical="center" wrapText="1"/>
    </xf>
    <xf borderId="0" fillId="6" fontId="46" numFmtId="167" xfId="0" applyAlignment="1" applyFont="1" applyNumberFormat="1">
      <alignment horizontal="center" shrinkToFit="0" vertical="center" wrapText="1"/>
    </xf>
    <xf borderId="0" fillId="6" fontId="46" numFmtId="164" xfId="0" applyAlignment="1" applyFont="1" applyNumberFormat="1">
      <alignment horizontal="center" shrinkToFit="0" vertical="center" wrapText="1"/>
    </xf>
    <xf borderId="0" fillId="6" fontId="45" numFmtId="3" xfId="0" applyAlignment="1" applyFont="1" applyNumberFormat="1">
      <alignment horizontal="center" readingOrder="0" shrinkToFit="0" vertical="center" wrapText="1"/>
    </xf>
    <xf borderId="0" fillId="6" fontId="45" numFmtId="0" xfId="0" applyAlignment="1" applyFont="1">
      <alignment horizontal="center" readingOrder="0" vertical="center"/>
    </xf>
    <xf borderId="0" fillId="6" fontId="38" numFmtId="0" xfId="0" applyFont="1"/>
    <xf borderId="0" fillId="6" fontId="45" numFmtId="0" xfId="0" applyAlignment="1" applyFont="1">
      <alignment horizontal="center" readingOrder="0" vertical="center"/>
    </xf>
    <xf borderId="0" fillId="6" fontId="47" numFmtId="167" xfId="0" applyAlignment="1" applyFont="1" applyNumberFormat="1">
      <alignment horizontal="center"/>
    </xf>
    <xf borderId="0" fillId="6" fontId="47" numFmtId="164" xfId="0" applyAlignment="1" applyFont="1" applyNumberFormat="1">
      <alignment horizontal="center"/>
    </xf>
    <xf borderId="0" fillId="6" fontId="45" numFmtId="0" xfId="0" applyAlignment="1" applyFont="1">
      <alignment horizontal="center" shrinkToFit="0" vertical="center" wrapText="1"/>
    </xf>
    <xf borderId="0" fillId="6" fontId="45" numFmtId="3" xfId="0" applyAlignment="1" applyFont="1" applyNumberFormat="1">
      <alignment horizontal="center" shrinkToFit="0" vertical="center" wrapText="1"/>
    </xf>
    <xf borderId="0" fillId="6" fontId="45" numFmtId="3" xfId="0" applyAlignment="1" applyFont="1" applyNumberFormat="1">
      <alignment horizontal="center" readingOrder="0" vertical="center"/>
    </xf>
    <xf borderId="0" fillId="6" fontId="47" numFmtId="164" xfId="0" applyAlignment="1" applyFont="1" applyNumberFormat="1">
      <alignment horizontal="center" readingOrder="0"/>
    </xf>
    <xf borderId="0" fillId="6" fontId="45" numFmtId="164" xfId="0" applyAlignment="1" applyFont="1" applyNumberFormat="1">
      <alignment horizontal="center" shrinkToFit="0" vertical="center" wrapText="1"/>
    </xf>
    <xf borderId="0" fillId="6" fontId="45" numFmtId="164" xfId="0" applyAlignment="1" applyFont="1" applyNumberFormat="1">
      <alignment horizontal="center" readingOrder="0" vertical="center"/>
    </xf>
    <xf borderId="0" fillId="6" fontId="42" numFmtId="0" xfId="0" applyFont="1"/>
    <xf borderId="0" fillId="6" fontId="17" numFmtId="0" xfId="0" applyAlignment="1" applyFont="1">
      <alignment readingOrder="0"/>
    </xf>
    <xf borderId="0" fillId="6" fontId="47" numFmtId="167" xfId="0" applyAlignment="1" applyFont="1" applyNumberFormat="1">
      <alignment horizontal="center" readingOrder="0"/>
    </xf>
    <xf borderId="0" fillId="6" fontId="47" numFmtId="164" xfId="0" applyAlignment="1" applyFont="1" applyNumberForma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5">
    <tableStyle count="4" pivot="0" name="السج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الحركات-style">
      <tableStyleElement dxfId="2" type="firstRowStripe"/>
      <tableStyleElement dxfId="3" type="secondRowStripe"/>
    </tableStyle>
    <tableStyle count="4" pivot="0" name="حضور 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حضور عمل خارجي-style">
      <tableStyleElement dxfId="2" type="firstRowStripe"/>
      <tableStyleElement dxfId="3" type="secondRowStripe"/>
    </tableStyle>
    <tableStyle count="2" pivot="0" name="حضور عمل خارجي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77</xdr:row>
      <xdr:rowOff>0</xdr:rowOff>
    </xdr:from>
    <xdr:ext cx="1238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7" displayName="Transaction_Register_Summary" name="Transaction_Register_Summary" id="1">
  <tableColumns count="6">
    <tableColumn name="التأريخ" id="1"/>
    <tableColumn name="العمود 1" id="2"/>
    <tableColumn name="العمود 2" id="3"/>
    <tableColumn name="العمود 3" id="4"/>
    <tableColumn name="العمود 4" id="5"/>
    <tableColumn name="العمود 5" id="6"/>
  </tableColumns>
  <tableStyleInfo name="السجل-style" showColumnStripes="0" showFirstColumn="1" showLastColumn="1" showRowStripes="1"/>
</table>
</file>

<file path=xl/tables/table2.xml><?xml version="1.0" encoding="utf-8"?>
<table xmlns="http://schemas.openxmlformats.org/spreadsheetml/2006/main" headerRowCount="0" ref="B5:G28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حركات-style" showColumnStripes="0" showFirstColumn="1" showLastColumn="1" showRowStripes="1"/>
</table>
</file>

<file path=xl/tables/table3.xml><?xml version="1.0" encoding="utf-8"?>
<table xmlns="http://schemas.openxmlformats.org/spreadsheetml/2006/main" ref="A1:M1029" displayName="جدول_1" name="جدول_1" id="3">
  <tableColumns count="13">
    <tableColumn name="الاسم" id="1"/>
    <tableColumn name="التأريخ" id="2"/>
    <tableColumn name="اليوم" id="3"/>
    <tableColumn name="الراتب الاسمي" id="4"/>
    <tableColumn name="دخول " id="5"/>
    <tableColumn name="خروج" id="6"/>
    <tableColumn name="ساعات حضور" id="7"/>
    <tableColumn name="ايام حضور" id="8"/>
    <tableColumn name="سعر الساعة" id="9"/>
    <tableColumn name="غرامات" id="10"/>
    <tableColumn name="السلفة" id="11"/>
    <tableColumn name="مكافئات" id="12"/>
    <tableColumn name="الراتب اليومي" id="13"/>
  </tableColumns>
  <tableStyleInfo name="حضور -style" showColumnStripes="0" showFirstColumn="1" showLastColumn="1" showRowStripes="1"/>
</table>
</file>

<file path=xl/tables/table4.xml><?xml version="1.0" encoding="utf-8"?>
<table xmlns="http://schemas.openxmlformats.org/spreadsheetml/2006/main" headerRowCount="0" ref="C18:C22" displayName="Table_2" name="Table_2" id="4">
  <tableColumns count="1">
    <tableColumn name="Column1" id="1"/>
  </tableColumns>
  <tableStyleInfo name="حضور عمل خارجي-style" showColumnStripes="0" showFirstColumn="1" showLastColumn="1" showRowStripes="1"/>
</table>
</file>

<file path=xl/tables/table5.xml><?xml version="1.0" encoding="utf-8"?>
<table xmlns="http://schemas.openxmlformats.org/spreadsheetml/2006/main" headerRowCount="0" ref="D18:E22" displayName="Table_3" name="Table_3" id="5">
  <tableColumns count="2">
    <tableColumn name="Column1" id="1"/>
    <tableColumn name="Column2" id="2"/>
  </tableColumns>
  <tableStyleInfo name="حضور عمل خارجي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3.43"/>
    <col customWidth="1" min="3" max="3" width="22.71"/>
    <col customWidth="1" min="4" max="4" width="28.57"/>
    <col customWidth="1" min="5" max="7" width="24.57"/>
    <col customWidth="1" min="8" max="8" width="33.0"/>
    <col customWidth="1" min="9" max="9" width="25.57"/>
    <col customWidth="1" min="10" max="10" width="19.86"/>
  </cols>
  <sheetData>
    <row r="1" ht="41.25" customHeight="1">
      <c r="A1" s="1"/>
      <c r="B1" s="2"/>
      <c r="C1" s="3" t="s">
        <v>0</v>
      </c>
      <c r="D1" s="4"/>
      <c r="E1" s="4"/>
      <c r="F1" s="4"/>
      <c r="G1" s="4"/>
      <c r="H1" s="4"/>
      <c r="I1" s="5"/>
      <c r="J1" s="2"/>
    </row>
    <row r="2" ht="41.25" customHeight="1">
      <c r="A2" s="1"/>
      <c r="B2" s="2"/>
      <c r="C2" s="6"/>
      <c r="I2" s="7"/>
      <c r="J2" s="2"/>
    </row>
    <row r="3" ht="41.25" customHeight="1">
      <c r="A3" s="1"/>
      <c r="B3" s="2"/>
      <c r="C3" s="6"/>
      <c r="I3" s="7"/>
      <c r="J3" s="2"/>
    </row>
    <row r="4" ht="26.25" customHeight="1">
      <c r="A4" s="8"/>
      <c r="B4" s="9"/>
      <c r="C4" s="10"/>
      <c r="D4" s="11"/>
      <c r="E4" s="10"/>
      <c r="F4" s="12"/>
      <c r="G4" s="10"/>
      <c r="H4" s="10"/>
      <c r="I4" s="13"/>
      <c r="J4" s="9"/>
    </row>
    <row r="5" ht="26.25" customHeight="1">
      <c r="A5" s="14"/>
      <c r="B5" s="15"/>
      <c r="C5" s="16"/>
      <c r="D5" s="17"/>
      <c r="E5" s="18"/>
      <c r="F5" s="19"/>
      <c r="G5" s="18"/>
      <c r="H5" s="16"/>
      <c r="I5" s="20"/>
      <c r="J5" s="15"/>
    </row>
    <row r="6" ht="42.75" customHeight="1">
      <c r="A6" s="14"/>
      <c r="B6" s="15"/>
      <c r="C6" s="21" t="s">
        <v>1</v>
      </c>
      <c r="D6" s="21" t="s">
        <v>2</v>
      </c>
      <c r="E6" s="22" t="s">
        <v>3</v>
      </c>
      <c r="F6" s="23" t="s">
        <v>4</v>
      </c>
      <c r="G6" s="24" t="s">
        <v>5</v>
      </c>
      <c r="H6" s="25" t="s">
        <v>6</v>
      </c>
      <c r="I6" s="21" t="s">
        <v>7</v>
      </c>
      <c r="J6" s="15"/>
    </row>
    <row r="7" ht="42.75" customHeight="1">
      <c r="A7" s="14"/>
      <c r="B7" s="15"/>
      <c r="C7" s="26">
        <f>I7-G7</f>
        <v>20812000</v>
      </c>
      <c r="D7" s="26">
        <f>SUMIFS('رواتب'!J:J,'رواتب'!A:A,"اجمالي")</f>
        <v>13397241.83</v>
      </c>
      <c r="E7" s="27">
        <f>SUMIFS('الحركات'!D:D,'الحركات'!B:B,"سند قبض")</f>
        <v>22343000</v>
      </c>
      <c r="F7" s="26">
        <f>SUMIFS('الحركات'!D:D,'الحركات'!B:B,"سند صرف")</f>
        <v>-4613991</v>
      </c>
      <c r="G7" s="26">
        <f>SUMIFS('الحركات'!D:D,'الحركات'!B:B,"سند دفع")+E7</f>
        <v>17798000</v>
      </c>
      <c r="H7" s="26">
        <f>'الديون'!F2</f>
        <v>19012000</v>
      </c>
      <c r="I7" s="26">
        <f>SUMIFS('الحركات'!H:H,'الحركات'!G:G,"sife")</f>
        <v>38610000</v>
      </c>
      <c r="J7" s="15"/>
    </row>
    <row r="8" ht="26.25" customHeight="1">
      <c r="A8" s="14"/>
      <c r="B8" s="15"/>
      <c r="C8" s="16"/>
      <c r="D8" s="16"/>
      <c r="E8" s="28"/>
      <c r="F8" s="29"/>
      <c r="G8" s="30"/>
      <c r="H8" s="31"/>
      <c r="I8" s="20"/>
      <c r="J8" s="15"/>
    </row>
    <row r="9" ht="43.5" customHeight="1">
      <c r="A9" s="14"/>
      <c r="B9" s="15"/>
      <c r="C9" s="16"/>
      <c r="D9" s="21" t="s">
        <v>8</v>
      </c>
      <c r="E9" s="32">
        <f>SUM('الحركات'!D4:D32)</f>
        <v>785000</v>
      </c>
      <c r="F9" s="33"/>
      <c r="G9" s="34"/>
      <c r="H9" s="24" t="s">
        <v>9</v>
      </c>
      <c r="I9" s="20"/>
      <c r="J9" s="15"/>
    </row>
    <row r="10" ht="43.5" customHeight="1">
      <c r="A10" s="14"/>
      <c r="B10" s="15"/>
      <c r="C10" s="16"/>
      <c r="D10" s="35">
        <f>SUMIFS('رواتب'!G:G,'رواتب'!A:A,"اجمالي")</f>
        <v>7306503.494</v>
      </c>
      <c r="E10" s="36"/>
      <c r="F10" s="37"/>
      <c r="G10" s="38"/>
      <c r="H10" s="35">
        <f>'الديون'!G2</f>
        <v>10098250</v>
      </c>
      <c r="I10" s="20"/>
      <c r="J10" s="15"/>
    </row>
    <row r="11" ht="26.25" customHeight="1">
      <c r="A11" s="14"/>
      <c r="B11" s="15"/>
      <c r="C11" s="39"/>
      <c r="D11" s="40"/>
      <c r="E11" s="39"/>
      <c r="F11" s="15"/>
      <c r="G11" s="39"/>
      <c r="H11" s="39"/>
      <c r="I11" s="20"/>
      <c r="J11" s="15"/>
    </row>
    <row r="12" ht="37.5" customHeight="1">
      <c r="A12" s="14"/>
      <c r="B12" s="41" t="s">
        <v>10</v>
      </c>
      <c r="C12" s="42" t="s">
        <v>11</v>
      </c>
      <c r="D12" s="42" t="s">
        <v>12</v>
      </c>
      <c r="E12" s="42" t="s">
        <v>13</v>
      </c>
      <c r="F12" s="41" t="s">
        <v>14</v>
      </c>
      <c r="G12" s="42" t="s">
        <v>15</v>
      </c>
      <c r="H12" s="42" t="s">
        <v>16</v>
      </c>
      <c r="I12" s="43" t="s">
        <v>17</v>
      </c>
      <c r="J12" s="15"/>
    </row>
    <row r="13" ht="37.5" customHeight="1">
      <c r="A13" s="14"/>
      <c r="B13" s="44" t="str">
        <f>IFERROR(__xludf.DUMMYFUNCTION("QUERY('رواتب'!A24:M31,""select A,F,G,H,J,K,L,M order by A desc limit 12"",1)"),"حسين سالم")</f>
        <v>حسين سالم</v>
      </c>
      <c r="C13" s="44" t="str">
        <f>IFERROR(__xludf.DUMMYFUNCTION("""COMPUTED_VALUE""")," IQD   692٬593")</f>
        <v> IQD   692٬593</v>
      </c>
      <c r="D13" s="44" t="str">
        <f>IFERROR(__xludf.DUMMYFUNCTION("""COMPUTED_VALUE""")," IQD   206٬750")</f>
        <v> IQD   206٬750</v>
      </c>
      <c r="E13" s="44" t="str">
        <f>IFERROR(__xludf.DUMMYFUNCTION("""COMPUTED_VALUE""")," IQD   50٬000")</f>
        <v> IQD   50٬000</v>
      </c>
      <c r="F13" s="44" t="str">
        <f>IFERROR(__xludf.DUMMYFUNCTION("""COMPUTED_VALUE""")," IQD   727٬689")</f>
        <v> IQD   727٬689</v>
      </c>
      <c r="G13" s="44" t="str">
        <f>IFERROR(__xludf.DUMMYFUNCTION("""COMPUTED_VALUE""")," IQD   470٬939")</f>
        <v> IQD   470٬939</v>
      </c>
      <c r="H13" s="44" t="str">
        <f>IFERROR(__xludf.DUMMYFUNCTION("""COMPUTED_VALUE"""),"")</f>
        <v/>
      </c>
      <c r="I13" s="45" t="str">
        <f>IFERROR(__xludf.DUMMYFUNCTION("""COMPUTED_VALUE""")," مارس")</f>
        <v> مارس</v>
      </c>
      <c r="J13" s="15"/>
    </row>
    <row r="14" ht="37.5" customHeight="1">
      <c r="A14" s="14"/>
      <c r="B14" s="44" t="str">
        <f>IFERROR(__xludf.DUMMYFUNCTION("""COMPUTED_VALUE"""),"يوسف احمد")</f>
        <v>يوسف احمد</v>
      </c>
      <c r="C14" s="44">
        <f>IFERROR(__xludf.DUMMYFUNCTION("""COMPUTED_VALUE"""),55555.555555555555)</f>
        <v>55555.55556</v>
      </c>
      <c r="D14" s="44">
        <f>IFERROR(__xludf.DUMMYFUNCTION("""COMPUTED_VALUE"""),0.0)</f>
        <v>0</v>
      </c>
      <c r="E14" s="44">
        <f>IFERROR(__xludf.DUMMYFUNCTION("""COMPUTED_VALUE"""),0.0)</f>
        <v>0</v>
      </c>
      <c r="F14" s="44">
        <f>IFERROR(__xludf.DUMMYFUNCTION("""COMPUTED_VALUE"""),47839.50617283951)</f>
        <v>47839.50617</v>
      </c>
      <c r="G14" s="44">
        <f>IFERROR(__xludf.DUMMYFUNCTION("""COMPUTED_VALUE"""),-0.49382716049149167)</f>
        <v>-0.4938271605</v>
      </c>
      <c r="H14" s="44">
        <f>IFERROR(__xludf.DUMMYFUNCTION("""COMPUTED_VALUE"""),50000.0)</f>
        <v>50000</v>
      </c>
      <c r="I14" s="45">
        <f>IFERROR(__xludf.DUMMYFUNCTION("""COMPUTED_VALUE"""),46099.0)</f>
        <v>46099</v>
      </c>
      <c r="J14" s="15"/>
    </row>
    <row r="15" ht="37.5" customHeight="1">
      <c r="A15" s="14"/>
      <c r="B15" s="44" t="str">
        <f>IFERROR(__xludf.DUMMYFUNCTION("""COMPUTED_VALUE"""),"محمد فؤاد سالم")</f>
        <v>محمد فؤاد سالم</v>
      </c>
      <c r="C15" s="44">
        <f>IFERROR(__xludf.DUMMYFUNCTION("""COMPUTED_VALUE"""),48148.148148148146)</f>
        <v>48148.14815</v>
      </c>
      <c r="D15" s="44">
        <f>IFERROR(__xludf.DUMMYFUNCTION("""COMPUTED_VALUE"""),0.0)</f>
        <v>0</v>
      </c>
      <c r="E15" s="44">
        <f>IFERROR(__xludf.DUMMYFUNCTION("""COMPUTED_VALUE"""),0.0)</f>
        <v>0</v>
      </c>
      <c r="F15" s="44">
        <f>IFERROR(__xludf.DUMMYFUNCTION("""COMPUTED_VALUE"""),45473.25102880658)</f>
        <v>45473.25103</v>
      </c>
      <c r="G15" s="44">
        <f>IFERROR(__xludf.DUMMYFUNCTION("""COMPUTED_VALUE"""),0.25102880658232607)</f>
        <v>0.2510288066</v>
      </c>
      <c r="H15" s="44">
        <f>IFERROR(__xludf.DUMMYFUNCTION("""COMPUTED_VALUE"""),50000.0)</f>
        <v>50000</v>
      </c>
      <c r="I15" s="45">
        <f>IFERROR(__xludf.DUMMYFUNCTION("""COMPUTED_VALUE"""),46098.0)</f>
        <v>46098</v>
      </c>
      <c r="J15" s="15"/>
    </row>
    <row r="16" ht="37.5" customHeight="1">
      <c r="A16" s="14"/>
      <c r="B16" s="44" t="str">
        <f>IFERROR(__xludf.DUMMYFUNCTION("""COMPUTED_VALUE"""),"علي الباكستاني")</f>
        <v>علي الباكستاني</v>
      </c>
      <c r="C16" s="44">
        <f>IFERROR(__xludf.DUMMYFUNCTION("""COMPUTED_VALUE"""),0.0)</f>
        <v>0</v>
      </c>
      <c r="D16" s="44">
        <f>IFERROR(__xludf.DUMMYFUNCTION("""COMPUTED_VALUE"""),15000.0)</f>
        <v>15000</v>
      </c>
      <c r="E16" s="44">
        <f>IFERROR(__xludf.DUMMYFUNCTION("""COMPUTED_VALUE"""),50000.0)</f>
        <v>50000</v>
      </c>
      <c r="F16" s="44">
        <f>IFERROR(__xludf.DUMMYFUNCTION("""COMPUTED_VALUE"""),550000.0)</f>
        <v>550000</v>
      </c>
      <c r="G16" s="44">
        <f>IFERROR(__xludf.DUMMYFUNCTION("""COMPUTED_VALUE"""),485000.0)</f>
        <v>485000</v>
      </c>
      <c r="H16" s="44"/>
      <c r="I16" s="45">
        <f>IFERROR(__xludf.DUMMYFUNCTION("""COMPUTED_VALUE"""),46097.0)</f>
        <v>46097</v>
      </c>
      <c r="J16" s="15"/>
    </row>
    <row r="17" ht="31.5" customHeight="1">
      <c r="A17" s="14"/>
      <c r="B17" s="44" t="str">
        <f>IFERROR(__xludf.DUMMYFUNCTION("""COMPUTED_VALUE"""),"خضر عبد الخالق")</f>
        <v>خضر عبد الخالق</v>
      </c>
      <c r="C17" s="44">
        <f>IFERROR(__xludf.DUMMYFUNCTION("""COMPUTED_VALUE"""),222222.2222222222)</f>
        <v>222222.2222</v>
      </c>
      <c r="D17" s="44">
        <f>IFERROR(__xludf.DUMMYFUNCTION("""COMPUTED_VALUE"""),88500.0)</f>
        <v>88500</v>
      </c>
      <c r="E17" s="44">
        <f>IFERROR(__xludf.DUMMYFUNCTION("""COMPUTED_VALUE"""),50000.0)</f>
        <v>50000</v>
      </c>
      <c r="F17" s="44">
        <f>IFERROR(__xludf.DUMMYFUNCTION("""COMPUTED_VALUE"""),299691.35802469135)</f>
        <v>299691.358</v>
      </c>
      <c r="G17" s="44">
        <f>IFERROR(__xludf.DUMMYFUNCTION("""COMPUTED_VALUE"""),161191.35802469135)</f>
        <v>161191.358</v>
      </c>
      <c r="H17" s="44"/>
      <c r="I17" s="45">
        <f>IFERROR(__xludf.DUMMYFUNCTION("""COMPUTED_VALUE"""),46095.0)</f>
        <v>46095</v>
      </c>
      <c r="J17" s="15"/>
    </row>
    <row r="18" ht="33.75" customHeight="1">
      <c r="A18" s="14"/>
      <c r="B18" s="44" t="str">
        <f>IFERROR(__xludf.DUMMYFUNCTION("""COMPUTED_VALUE"""),"حيدر يافوز")</f>
        <v>حيدر يافوز</v>
      </c>
      <c r="C18" s="44">
        <f>IFERROR(__xludf.DUMMYFUNCTION("""COMPUTED_VALUE"""),550000.0000000001)</f>
        <v>550000</v>
      </c>
      <c r="D18" s="44">
        <f>IFERROR(__xludf.DUMMYFUNCTION("""COMPUTED_VALUE"""),353500.0)</f>
        <v>353500</v>
      </c>
      <c r="E18" s="44">
        <f>IFERROR(__xludf.DUMMYFUNCTION("""COMPUTED_VALUE"""),0.0)</f>
        <v>0</v>
      </c>
      <c r="F18" s="44">
        <f>IFERROR(__xludf.DUMMYFUNCTION("""COMPUTED_VALUE"""),722506.8587105622)</f>
        <v>722506.8587</v>
      </c>
      <c r="G18" s="44">
        <f>IFERROR(__xludf.DUMMYFUNCTION("""COMPUTED_VALUE"""),369006.8587105622)</f>
        <v>369006.8587</v>
      </c>
      <c r="H18" s="44"/>
      <c r="I18" s="45">
        <f>IFERROR(__xludf.DUMMYFUNCTION("""COMPUTED_VALUE"""),46094.0)</f>
        <v>46094</v>
      </c>
      <c r="J18" s="15"/>
    </row>
    <row r="19" ht="33.75" customHeight="1">
      <c r="A19" s="14"/>
      <c r="B19" s="44" t="str">
        <f>IFERROR(__xludf.DUMMYFUNCTION("""COMPUTED_VALUE"""),"حيدر المحاسب")</f>
        <v>حيدر المحاسب</v>
      </c>
      <c r="C19" s="44">
        <f>IFERROR(__xludf.DUMMYFUNCTION("""COMPUTED_VALUE"""),0.0)</f>
        <v>0</v>
      </c>
      <c r="D19" s="44">
        <f>IFERROR(__xludf.DUMMYFUNCTION("""COMPUTED_VALUE"""),182000.0)</f>
        <v>182000</v>
      </c>
      <c r="E19" s="44">
        <f>IFERROR(__xludf.DUMMYFUNCTION("""COMPUTED_VALUE"""),25000.0)</f>
        <v>25000</v>
      </c>
      <c r="F19" s="44">
        <f>IFERROR(__xludf.DUMMYFUNCTION("""COMPUTED_VALUE"""),350000.0)</f>
        <v>350000</v>
      </c>
      <c r="G19" s="44">
        <f>IFERROR(__xludf.DUMMYFUNCTION("""COMPUTED_VALUE"""),143000.0)</f>
        <v>143000</v>
      </c>
      <c r="H19" s="44"/>
      <c r="I19" s="45">
        <f>IFERROR(__xludf.DUMMYFUNCTION("""COMPUTED_VALUE"""),46096.0)</f>
        <v>46096</v>
      </c>
      <c r="J19" s="15"/>
    </row>
    <row r="20" ht="33.75" customHeight="1">
      <c r="A20" s="14"/>
      <c r="B20" s="15"/>
      <c r="C20" s="39"/>
      <c r="D20" s="39"/>
      <c r="E20" s="39"/>
      <c r="F20" s="46"/>
      <c r="G20" s="46"/>
      <c r="H20" s="46"/>
      <c r="I20" s="47"/>
      <c r="J20" s="15"/>
    </row>
    <row r="21" ht="33.75" customHeight="1">
      <c r="A21" s="14"/>
      <c r="B21" s="15"/>
      <c r="C21" s="39"/>
      <c r="D21" s="39"/>
      <c r="E21" s="39"/>
      <c r="F21" s="15"/>
      <c r="G21" s="15"/>
      <c r="H21" s="15"/>
      <c r="I21" s="47"/>
      <c r="J21" s="15"/>
    </row>
    <row r="22" ht="33.75" customHeight="1">
      <c r="A22" s="14"/>
      <c r="B22" s="15"/>
      <c r="C22" s="39"/>
      <c r="D22" s="39"/>
      <c r="E22" s="39"/>
      <c r="F22" s="15"/>
      <c r="G22" s="15"/>
      <c r="H22" s="15"/>
      <c r="I22" s="47"/>
      <c r="J22" s="15"/>
    </row>
    <row r="23" ht="33.75" customHeight="1">
      <c r="A23" s="14"/>
      <c r="B23" s="15"/>
      <c r="C23" s="39"/>
      <c r="D23" s="39"/>
      <c r="E23" s="39"/>
      <c r="F23" s="15"/>
      <c r="G23" s="15"/>
      <c r="H23" s="15"/>
      <c r="I23" s="47"/>
      <c r="J23" s="15"/>
    </row>
    <row r="24" ht="33.75" customHeight="1">
      <c r="A24" s="14"/>
      <c r="B24" s="15"/>
      <c r="C24" s="39"/>
      <c r="D24" s="39"/>
      <c r="E24" s="39"/>
      <c r="F24" s="15"/>
      <c r="G24" s="15"/>
      <c r="H24" s="15"/>
      <c r="I24" s="47"/>
      <c r="J24" s="15"/>
    </row>
    <row r="25" ht="33.75" customHeight="1">
      <c r="A25" s="14"/>
      <c r="B25" s="15"/>
      <c r="C25" s="39"/>
      <c r="D25" s="39"/>
      <c r="E25" s="39"/>
      <c r="F25" s="15"/>
      <c r="G25" s="15"/>
      <c r="H25" s="15"/>
      <c r="I25" s="47"/>
      <c r="J25" s="15"/>
    </row>
    <row r="26" ht="33.75" customHeight="1">
      <c r="A26" s="14"/>
      <c r="B26" s="15"/>
      <c r="C26" s="39"/>
      <c r="D26" s="39"/>
      <c r="E26" s="39"/>
      <c r="F26" s="15"/>
      <c r="G26" s="15"/>
      <c r="H26" s="15"/>
      <c r="I26" s="47"/>
      <c r="J26" s="15"/>
    </row>
    <row r="27" ht="33.75" customHeight="1">
      <c r="A27" s="14"/>
      <c r="B27" s="15"/>
      <c r="C27" s="39"/>
      <c r="D27" s="39"/>
      <c r="E27" s="39"/>
      <c r="F27" s="15"/>
      <c r="G27" s="15"/>
      <c r="H27" s="15"/>
      <c r="I27" s="47"/>
      <c r="J27" s="15"/>
    </row>
    <row r="28" ht="33.75" customHeight="1">
      <c r="A28" s="14"/>
      <c r="B28" s="15"/>
      <c r="C28" s="39"/>
      <c r="D28" s="39"/>
      <c r="E28" s="39"/>
      <c r="F28" s="15"/>
      <c r="G28" s="15"/>
      <c r="H28" s="15"/>
      <c r="I28" s="47"/>
      <c r="J28" s="15"/>
    </row>
    <row r="29" ht="26.25" customHeight="1">
      <c r="A29" s="14"/>
      <c r="B29" s="15"/>
      <c r="C29" s="39"/>
      <c r="D29" s="39"/>
      <c r="E29" s="39"/>
      <c r="F29" s="15"/>
      <c r="G29" s="15"/>
      <c r="H29" s="15"/>
      <c r="I29" s="47"/>
      <c r="J29" s="15"/>
    </row>
    <row r="30" ht="26.25" customHeight="1">
      <c r="A30" s="14"/>
      <c r="B30" s="15"/>
      <c r="C30" s="39"/>
      <c r="D30" s="39"/>
      <c r="E30" s="39"/>
      <c r="F30" s="15"/>
      <c r="G30" s="15"/>
      <c r="H30" s="15"/>
      <c r="I30" s="47"/>
      <c r="J30" s="15"/>
    </row>
    <row r="31" ht="26.25" customHeight="1">
      <c r="A31" s="14"/>
      <c r="B31" s="15"/>
      <c r="C31" s="16"/>
      <c r="D31" s="40"/>
      <c r="E31" s="16"/>
      <c r="F31" s="15"/>
      <c r="G31" s="16"/>
      <c r="H31" s="15"/>
      <c r="I31" s="20"/>
      <c r="J31" s="15"/>
    </row>
    <row r="32" ht="26.25" customHeight="1">
      <c r="A32" s="14"/>
      <c r="B32" s="15"/>
      <c r="C32" s="16"/>
      <c r="D32" s="40"/>
      <c r="E32" s="16"/>
      <c r="F32" s="15"/>
      <c r="G32" s="16"/>
      <c r="H32" s="15"/>
      <c r="I32" s="20"/>
      <c r="J32" s="15"/>
    </row>
  </sheetData>
  <mergeCells count="2">
    <mergeCell ref="C1:I3"/>
    <mergeCell ref="E9:G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2.86"/>
    <col customWidth="1" hidden="1" min="3" max="4" width="20.43"/>
    <col customWidth="1" min="5" max="5" width="20.43"/>
    <col customWidth="1" min="6" max="7" width="34.0"/>
  </cols>
  <sheetData>
    <row r="1" ht="37.5" customHeight="1">
      <c r="A1" s="48" t="s">
        <v>10</v>
      </c>
      <c r="B1" s="49" t="s">
        <v>18</v>
      </c>
      <c r="C1" s="50" t="s">
        <v>19</v>
      </c>
      <c r="D1" s="51" t="s">
        <v>20</v>
      </c>
      <c r="E1" s="51" t="s">
        <v>21</v>
      </c>
      <c r="F1" s="52" t="s">
        <v>22</v>
      </c>
      <c r="G1" s="53" t="s">
        <v>23</v>
      </c>
    </row>
    <row r="2" ht="37.5" customHeight="1">
      <c r="A2" s="48"/>
      <c r="B2" s="49"/>
      <c r="C2" s="50"/>
      <c r="D2" s="51"/>
      <c r="E2" s="51"/>
      <c r="F2" s="54">
        <f>SUMIFS(E:E,B:B,"علينا")</f>
        <v>19012000</v>
      </c>
      <c r="G2" s="54">
        <f>SUMIFS(E:E,B:B,"لنا")</f>
        <v>10098250</v>
      </c>
    </row>
    <row r="3" ht="26.25" customHeight="1">
      <c r="A3" s="55" t="s">
        <v>24</v>
      </c>
      <c r="B3" s="56" t="s">
        <v>22</v>
      </c>
      <c r="C3" s="57">
        <f>SUMIFS('السجل'!C:C,'السجل'!B:B,A3)</f>
        <v>45370000</v>
      </c>
      <c r="D3" s="57">
        <f>SUMIFS('السجل'!D:D,'السجل'!B:B,A3)</f>
        <v>26455000</v>
      </c>
      <c r="E3" s="58">
        <f t="shared" ref="E3:E32" si="1">IF(C3="","",C3-IF(D3="",0,D3))</f>
        <v>18915000</v>
      </c>
      <c r="F3" s="59"/>
      <c r="G3" s="59"/>
    </row>
    <row r="4" ht="26.25" customHeight="1">
      <c r="A4" s="55" t="s">
        <v>25</v>
      </c>
      <c r="B4" s="56" t="s">
        <v>22</v>
      </c>
      <c r="C4" s="57">
        <f>SUMIFS('السجل'!C:C,'السجل'!B:B,A4)</f>
        <v>6181000</v>
      </c>
      <c r="D4" s="57">
        <f>SUMIFS('السجل'!D:D,'السجل'!B:B,A4)</f>
        <v>6180000</v>
      </c>
      <c r="E4" s="58">
        <f t="shared" si="1"/>
        <v>1000</v>
      </c>
      <c r="F4" s="59"/>
      <c r="G4" s="59"/>
    </row>
    <row r="5" ht="26.25" customHeight="1">
      <c r="A5" s="55" t="s">
        <v>26</v>
      </c>
      <c r="B5" s="56" t="s">
        <v>22</v>
      </c>
      <c r="C5" s="57">
        <f>SUMIFS('السجل'!C:C,'السجل'!B:B,A5)</f>
        <v>9201000</v>
      </c>
      <c r="D5" s="57">
        <f>SUMIFS('السجل'!D:D,'السجل'!B:B,A5)</f>
        <v>9200000</v>
      </c>
      <c r="E5" s="58">
        <f t="shared" si="1"/>
        <v>1000</v>
      </c>
      <c r="F5" s="59"/>
      <c r="G5" s="59"/>
    </row>
    <row r="6" ht="26.25" customHeight="1">
      <c r="A6" s="55" t="s">
        <v>27</v>
      </c>
      <c r="B6" s="56" t="s">
        <v>23</v>
      </c>
      <c r="C6" s="57">
        <f>SUMIFS('السجل'!C:C,'السجل'!B:B,A6)</f>
        <v>2724750</v>
      </c>
      <c r="D6" s="57">
        <f>SUMIFS('السجل'!D:D,'السجل'!B:B,A6)</f>
        <v>542000</v>
      </c>
      <c r="E6" s="58">
        <f t="shared" si="1"/>
        <v>2182750</v>
      </c>
      <c r="F6" s="59"/>
      <c r="G6" s="59"/>
    </row>
    <row r="7" ht="26.25" customHeight="1">
      <c r="A7" s="55" t="s">
        <v>28</v>
      </c>
      <c r="B7" s="56" t="s">
        <v>23</v>
      </c>
      <c r="C7" s="57">
        <f>SUMIFS('السجل'!C:C,'السجل'!B:B,A7)</f>
        <v>954000</v>
      </c>
      <c r="D7" s="57">
        <f>SUMIFS('السجل'!D:D,'السجل'!B:B,A7)</f>
        <v>367000</v>
      </c>
      <c r="E7" s="58">
        <f t="shared" si="1"/>
        <v>587000</v>
      </c>
      <c r="F7" s="59"/>
      <c r="G7" s="59"/>
    </row>
    <row r="8" ht="26.25" customHeight="1">
      <c r="A8" s="55" t="s">
        <v>29</v>
      </c>
      <c r="B8" s="56" t="s">
        <v>23</v>
      </c>
      <c r="C8" s="57">
        <f>SUMIFS('السجل'!C:C,'السجل'!B:B,A8)</f>
        <v>998500</v>
      </c>
      <c r="D8" s="57">
        <f>SUMIFS('السجل'!D:D,'السجل'!B:B,A8)</f>
        <v>345000</v>
      </c>
      <c r="E8" s="58">
        <f t="shared" si="1"/>
        <v>653500</v>
      </c>
      <c r="F8" s="59"/>
      <c r="G8" s="59"/>
    </row>
    <row r="9" ht="26.25" customHeight="1">
      <c r="A9" s="55" t="s">
        <v>30</v>
      </c>
      <c r="B9" s="56" t="s">
        <v>23</v>
      </c>
      <c r="C9" s="57">
        <f>SUMIFS('السجل'!C:C,'السجل'!B:B,A9)</f>
        <v>1500000</v>
      </c>
      <c r="D9" s="57">
        <f>SUMIFS('السجل'!D:D,'السجل'!B:B,A9)</f>
        <v>350000</v>
      </c>
      <c r="E9" s="58">
        <f t="shared" si="1"/>
        <v>1150000</v>
      </c>
      <c r="F9" s="59"/>
      <c r="G9" s="59"/>
    </row>
    <row r="10" ht="26.25" customHeight="1">
      <c r="A10" s="55" t="s">
        <v>31</v>
      </c>
      <c r="B10" s="56" t="s">
        <v>23</v>
      </c>
      <c r="C10" s="57">
        <f>SUMIFS('السجل'!C:C,'السجل'!B:B,A10)</f>
        <v>6000000</v>
      </c>
      <c r="D10" s="57">
        <f>SUMIFS('السجل'!D:D,'السجل'!B:B,A10)</f>
        <v>750000</v>
      </c>
      <c r="E10" s="58">
        <f t="shared" si="1"/>
        <v>5250000</v>
      </c>
      <c r="F10" s="59"/>
      <c r="G10" s="59"/>
    </row>
    <row r="11" ht="26.25" customHeight="1">
      <c r="A11" s="60" t="s">
        <v>32</v>
      </c>
      <c r="B11" s="56" t="s">
        <v>22</v>
      </c>
      <c r="C11" s="57">
        <f>SUMIFS('السجل'!C:C,'السجل'!B:B,A11)</f>
        <v>435000</v>
      </c>
      <c r="D11" s="57">
        <f>SUMIFS('السجل'!D:D,'السجل'!B:B,A11)</f>
        <v>435000</v>
      </c>
      <c r="E11" s="58">
        <f t="shared" si="1"/>
        <v>0</v>
      </c>
      <c r="F11" s="59"/>
      <c r="G11" s="59"/>
    </row>
    <row r="12" ht="26.25" customHeight="1">
      <c r="A12" s="55" t="s">
        <v>33</v>
      </c>
      <c r="B12" s="61" t="s">
        <v>22</v>
      </c>
      <c r="C12" s="57">
        <f>SUMIFS('السجل'!C:C,'السجل'!B:B,A12)</f>
        <v>53000</v>
      </c>
      <c r="D12" s="57">
        <f>SUMIFS('السجل'!D:D,'السجل'!B:B,A12)</f>
        <v>53000</v>
      </c>
      <c r="E12" s="58">
        <f t="shared" si="1"/>
        <v>0</v>
      </c>
      <c r="F12" s="59"/>
      <c r="G12" s="59"/>
    </row>
    <row r="13" ht="26.25" customHeight="1">
      <c r="A13" s="60" t="s">
        <v>34</v>
      </c>
      <c r="B13" s="61" t="s">
        <v>22</v>
      </c>
      <c r="C13" s="57">
        <f>SUMIFS('السجل'!C:C,'السجل'!B:B,A13)</f>
        <v>45000</v>
      </c>
      <c r="D13" s="57">
        <f>SUMIFS('السجل'!D:D,'السجل'!B:B,A13)</f>
        <v>0</v>
      </c>
      <c r="E13" s="58">
        <f t="shared" si="1"/>
        <v>45000</v>
      </c>
      <c r="F13" s="59"/>
      <c r="G13" s="59"/>
    </row>
    <row r="14" ht="26.25" customHeight="1">
      <c r="A14" s="60" t="s">
        <v>35</v>
      </c>
      <c r="B14" s="61" t="s">
        <v>22</v>
      </c>
      <c r="C14" s="57">
        <f>SUMIFS('السجل'!C:C,'السجل'!B:B,A14)</f>
        <v>50000</v>
      </c>
      <c r="D14" s="57">
        <f>SUMIFS('السجل'!D:D,'السجل'!B:B,A14)</f>
        <v>0</v>
      </c>
      <c r="E14" s="58">
        <f t="shared" si="1"/>
        <v>50000</v>
      </c>
      <c r="F14" s="62"/>
      <c r="G14" s="63"/>
    </row>
    <row r="15" ht="26.25" customHeight="1">
      <c r="A15" s="64" t="s">
        <v>36</v>
      </c>
      <c r="B15" s="56" t="s">
        <v>23</v>
      </c>
      <c r="C15" s="57">
        <f>SUMIFS('السجل'!C:C,'السجل'!B:B,A15)</f>
        <v>265000</v>
      </c>
      <c r="D15" s="57">
        <f>SUMIFS('السجل'!D:D,'السجل'!B:B,A15)</f>
        <v>0</v>
      </c>
      <c r="E15" s="58">
        <f t="shared" si="1"/>
        <v>265000</v>
      </c>
      <c r="F15" s="62"/>
      <c r="G15" s="63"/>
    </row>
    <row r="16" ht="26.25" customHeight="1">
      <c r="A16" s="64" t="s">
        <v>37</v>
      </c>
      <c r="B16" s="56" t="s">
        <v>23</v>
      </c>
      <c r="C16" s="57">
        <f>SUMIFS('السجل'!C:C,'السجل'!B:B,A16)</f>
        <v>10000</v>
      </c>
      <c r="D16" s="57">
        <f>SUMIFS('السجل'!D:D,'السجل'!B:B,A16)</f>
        <v>0</v>
      </c>
      <c r="E16" s="58">
        <f t="shared" si="1"/>
        <v>10000</v>
      </c>
      <c r="F16" s="62"/>
      <c r="G16" s="63"/>
    </row>
    <row r="17" ht="26.25" customHeight="1">
      <c r="A17" s="65"/>
      <c r="B17" s="66"/>
      <c r="C17" s="57">
        <f>SUMIFS('السجل'!C:C,'السجل'!B:B,A17)</f>
        <v>0</v>
      </c>
      <c r="D17" s="57">
        <f>SUMIFS('السجل'!D:D,'السجل'!B:B,A17)</f>
        <v>0</v>
      </c>
      <c r="E17" s="58">
        <f t="shared" si="1"/>
        <v>0</v>
      </c>
      <c r="F17" s="62"/>
      <c r="G17" s="63"/>
    </row>
    <row r="18" ht="26.25" customHeight="1">
      <c r="A18" s="65"/>
      <c r="B18" s="66"/>
      <c r="C18" s="57">
        <f>SUMIFS('السجل'!C:C,'السجل'!B:B,A18)</f>
        <v>0</v>
      </c>
      <c r="D18" s="57">
        <f>SUMIFS('السجل'!D:D,'السجل'!B:B,A18)</f>
        <v>0</v>
      </c>
      <c r="E18" s="58">
        <f t="shared" si="1"/>
        <v>0</v>
      </c>
      <c r="F18" s="62"/>
      <c r="G18" s="63"/>
    </row>
    <row r="19" ht="26.25" customHeight="1">
      <c r="A19" s="65"/>
      <c r="B19" s="66"/>
      <c r="C19" s="57">
        <f>SUMIFS('السجل'!C:C,'السجل'!B:B,A19)</f>
        <v>0</v>
      </c>
      <c r="D19" s="57">
        <f>SUMIFS('السجل'!D:D,'السجل'!B:B,A19)</f>
        <v>0</v>
      </c>
      <c r="E19" s="58">
        <f t="shared" si="1"/>
        <v>0</v>
      </c>
      <c r="F19" s="62"/>
      <c r="G19" s="63"/>
    </row>
    <row r="20" ht="26.25" customHeight="1">
      <c r="A20" s="65"/>
      <c r="B20" s="66"/>
      <c r="C20" s="57">
        <f>SUMIFS('السجل'!C:C,'السجل'!B:B,A20)</f>
        <v>0</v>
      </c>
      <c r="D20" s="57">
        <f>SUMIFS('السجل'!D:D,'السجل'!B:B,A20)</f>
        <v>0</v>
      </c>
      <c r="E20" s="58">
        <f t="shared" si="1"/>
        <v>0</v>
      </c>
      <c r="F20" s="62"/>
      <c r="G20" s="63"/>
    </row>
    <row r="21" ht="26.25" customHeight="1">
      <c r="A21" s="65"/>
      <c r="B21" s="66"/>
      <c r="C21" s="57">
        <f>SUMIFS('السجل'!C:C,'السجل'!B:B,A21)</f>
        <v>0</v>
      </c>
      <c r="D21" s="57">
        <f>SUMIFS('السجل'!D:D,'السجل'!B:B,A21)</f>
        <v>0</v>
      </c>
      <c r="E21" s="58">
        <f t="shared" si="1"/>
        <v>0</v>
      </c>
      <c r="F21" s="62"/>
      <c r="G21" s="63"/>
    </row>
    <row r="22" ht="26.25" customHeight="1">
      <c r="A22" s="65"/>
      <c r="B22" s="66"/>
      <c r="C22" s="57">
        <f>SUMIFS('السجل'!C:C,'السجل'!B:B,A22)</f>
        <v>0</v>
      </c>
      <c r="D22" s="57">
        <f>SUMIFS('السجل'!D:D,'السجل'!B:B,A22)</f>
        <v>0</v>
      </c>
      <c r="E22" s="58">
        <f t="shared" si="1"/>
        <v>0</v>
      </c>
      <c r="F22" s="62"/>
      <c r="G22" s="63"/>
    </row>
    <row r="23" ht="26.25" customHeight="1">
      <c r="A23" s="65"/>
      <c r="B23" s="66"/>
      <c r="C23" s="57">
        <f>SUMIFS('السجل'!C:C,'السجل'!B:B,A23)</f>
        <v>0</v>
      </c>
      <c r="D23" s="57">
        <f>SUMIFS('السجل'!D:D,'السجل'!B:B,A23)</f>
        <v>0</v>
      </c>
      <c r="E23" s="58">
        <f t="shared" si="1"/>
        <v>0</v>
      </c>
      <c r="F23" s="62"/>
      <c r="G23" s="63"/>
    </row>
    <row r="24" ht="26.25" customHeight="1">
      <c r="A24" s="65"/>
      <c r="B24" s="66"/>
      <c r="C24" s="57">
        <f>SUMIFS('السجل'!C:C,'السجل'!B:B,A24)</f>
        <v>0</v>
      </c>
      <c r="D24" s="57">
        <f>SUMIFS('السجل'!D:D,'السجل'!B:B,A24)</f>
        <v>0</v>
      </c>
      <c r="E24" s="58">
        <f t="shared" si="1"/>
        <v>0</v>
      </c>
      <c r="F24" s="62"/>
      <c r="G24" s="63"/>
    </row>
    <row r="25" ht="26.25" customHeight="1">
      <c r="A25" s="65"/>
      <c r="B25" s="66"/>
      <c r="C25" s="57">
        <f>SUMIFS('السجل'!C:C,'السجل'!B:B,A25)</f>
        <v>0</v>
      </c>
      <c r="D25" s="57">
        <f>SUMIFS('السجل'!D:D,'السجل'!B:B,A25)</f>
        <v>0</v>
      </c>
      <c r="E25" s="58">
        <f t="shared" si="1"/>
        <v>0</v>
      </c>
      <c r="F25" s="62"/>
      <c r="G25" s="63"/>
    </row>
    <row r="26" ht="26.25" customHeight="1">
      <c r="A26" s="65"/>
      <c r="B26" s="66"/>
      <c r="C26" s="57">
        <f>SUMIFS('السجل'!C:C,'السجل'!B:B,A26)</f>
        <v>0</v>
      </c>
      <c r="D26" s="57">
        <f>SUMIFS('السجل'!D:D,'السجل'!B:B,A26)</f>
        <v>0</v>
      </c>
      <c r="E26" s="58">
        <f t="shared" si="1"/>
        <v>0</v>
      </c>
      <c r="F26" s="62"/>
      <c r="G26" s="63"/>
    </row>
    <row r="27" ht="26.25" customHeight="1">
      <c r="A27" s="65"/>
      <c r="B27" s="66"/>
      <c r="C27" s="57">
        <f>SUMIFS('السجل'!C:C,'السجل'!B:B,A27)</f>
        <v>0</v>
      </c>
      <c r="D27" s="57">
        <f>SUMIFS('السجل'!D:D,'السجل'!B:B,A27)</f>
        <v>0</v>
      </c>
      <c r="E27" s="58">
        <f t="shared" si="1"/>
        <v>0</v>
      </c>
      <c r="F27" s="62"/>
      <c r="G27" s="63"/>
    </row>
    <row r="28" ht="26.25" customHeight="1">
      <c r="A28" s="65"/>
      <c r="B28" s="66"/>
      <c r="C28" s="57">
        <f>SUMIFS('السجل'!C:C,'السجل'!B:B,A28)</f>
        <v>0</v>
      </c>
      <c r="D28" s="57">
        <f>SUMIFS('السجل'!D:D,'السجل'!B:B,A28)</f>
        <v>0</v>
      </c>
      <c r="E28" s="58">
        <f t="shared" si="1"/>
        <v>0</v>
      </c>
      <c r="F28" s="62"/>
      <c r="G28" s="63"/>
    </row>
    <row r="29" ht="26.25" customHeight="1">
      <c r="A29" s="65"/>
      <c r="B29" s="66"/>
      <c r="C29" s="57">
        <f>SUMIFS('السجل'!C:C,'السجل'!B:B,A29)</f>
        <v>0</v>
      </c>
      <c r="D29" s="57">
        <f>SUMIFS('السجل'!D:D,'السجل'!B:B,A29)</f>
        <v>0</v>
      </c>
      <c r="E29" s="58">
        <f t="shared" si="1"/>
        <v>0</v>
      </c>
      <c r="F29" s="62"/>
      <c r="G29" s="63"/>
    </row>
    <row r="30" ht="26.25" customHeight="1">
      <c r="A30" s="65"/>
      <c r="B30" s="66"/>
      <c r="C30" s="57">
        <f>SUMIFS('السجل'!C:C,'السجل'!B:B,A30)</f>
        <v>0</v>
      </c>
      <c r="D30" s="57">
        <f>SUMIFS('السجل'!D:D,'السجل'!B:B,A30)</f>
        <v>0</v>
      </c>
      <c r="E30" s="58">
        <f t="shared" si="1"/>
        <v>0</v>
      </c>
      <c r="F30" s="62"/>
      <c r="G30" s="63"/>
    </row>
    <row r="31" ht="26.25" customHeight="1">
      <c r="A31" s="65"/>
      <c r="B31" s="66"/>
      <c r="C31" s="57">
        <f>SUMIFS('السجل'!C:C,'السجل'!B:B,A31)</f>
        <v>0</v>
      </c>
      <c r="D31" s="57">
        <f>SUMIFS('السجل'!D:D,'السجل'!B:B,A31)</f>
        <v>0</v>
      </c>
      <c r="E31" s="58">
        <f t="shared" si="1"/>
        <v>0</v>
      </c>
      <c r="F31" s="62"/>
      <c r="G31" s="63"/>
    </row>
    <row r="32" ht="26.25" customHeight="1">
      <c r="A32" s="65"/>
      <c r="B32" s="66"/>
      <c r="C32" s="57">
        <f>SUMIFS('السجل'!C:C,'السجل'!B:B,A32)</f>
        <v>0</v>
      </c>
      <c r="D32" s="57">
        <f>SUMIFS('السجل'!D:D,'السجل'!B:B,A32)</f>
        <v>0</v>
      </c>
      <c r="E32" s="58">
        <f t="shared" si="1"/>
        <v>0</v>
      </c>
      <c r="F32" s="62"/>
      <c r="G32" s="63"/>
    </row>
    <row r="33" ht="26.25" customHeight="1">
      <c r="A33" s="65"/>
      <c r="B33" s="66"/>
      <c r="F33" s="62"/>
      <c r="G33" s="63"/>
    </row>
    <row r="34" ht="26.25" customHeight="1">
      <c r="A34" s="65"/>
      <c r="B34" s="66"/>
      <c r="F34" s="62"/>
      <c r="G34" s="63"/>
    </row>
    <row r="35" ht="26.25" customHeight="1">
      <c r="A35" s="65"/>
      <c r="B35" s="66"/>
      <c r="F35" s="62"/>
      <c r="G35" s="63"/>
    </row>
    <row r="36" ht="26.25" customHeight="1">
      <c r="A36" s="65"/>
      <c r="B36" s="66"/>
      <c r="F36" s="62"/>
      <c r="G36" s="63"/>
    </row>
    <row r="37" ht="26.25" customHeight="1">
      <c r="A37" s="65"/>
      <c r="B37" s="66"/>
      <c r="F37" s="62"/>
      <c r="G37" s="63"/>
    </row>
    <row r="38" ht="26.25" customHeight="1">
      <c r="A38" s="65"/>
      <c r="B38" s="66"/>
      <c r="F38" s="62"/>
      <c r="G38" s="63"/>
    </row>
    <row r="39" ht="26.25" customHeight="1">
      <c r="A39" s="65"/>
      <c r="B39" s="66"/>
      <c r="F39" s="62"/>
      <c r="G39" s="63"/>
    </row>
    <row r="40" ht="26.25" customHeight="1">
      <c r="A40" s="65"/>
      <c r="B40" s="66"/>
      <c r="F40" s="62"/>
      <c r="G40" s="63"/>
    </row>
    <row r="41" ht="26.25" customHeight="1">
      <c r="A41" s="65"/>
      <c r="B41" s="66"/>
      <c r="F41" s="62"/>
      <c r="G41" s="63"/>
    </row>
    <row r="42" ht="26.25" customHeight="1">
      <c r="A42" s="65"/>
      <c r="B42" s="66"/>
      <c r="F42" s="62"/>
      <c r="G42" s="63"/>
    </row>
    <row r="43" ht="26.25" customHeight="1">
      <c r="A43" s="65"/>
      <c r="B43" s="66"/>
      <c r="F43" s="62"/>
      <c r="G43" s="63"/>
    </row>
    <row r="44" ht="26.25" customHeight="1">
      <c r="A44" s="65"/>
      <c r="B44" s="66"/>
      <c r="F44" s="62"/>
      <c r="G44" s="63"/>
    </row>
    <row r="45" ht="26.25" customHeight="1">
      <c r="A45" s="65"/>
      <c r="B45" s="66"/>
      <c r="F45" s="62"/>
      <c r="G45" s="63"/>
    </row>
    <row r="46" ht="26.25" customHeight="1">
      <c r="A46" s="65"/>
      <c r="B46" s="66"/>
      <c r="F46" s="62"/>
      <c r="G46" s="63"/>
    </row>
    <row r="47" ht="26.25" customHeight="1">
      <c r="A47" s="65"/>
      <c r="B47" s="66"/>
      <c r="F47" s="62"/>
      <c r="G47" s="63"/>
    </row>
    <row r="48" ht="26.25" customHeight="1">
      <c r="A48" s="65"/>
      <c r="B48" s="66"/>
      <c r="F48" s="62"/>
      <c r="G48" s="63"/>
    </row>
    <row r="49" ht="26.25" customHeight="1">
      <c r="A49" s="65"/>
      <c r="B49" s="66"/>
      <c r="F49" s="62"/>
      <c r="G49" s="63"/>
    </row>
    <row r="50" ht="26.25" customHeight="1">
      <c r="A50" s="65"/>
      <c r="B50" s="66"/>
      <c r="F50" s="62"/>
      <c r="G50" s="63"/>
    </row>
    <row r="51" ht="26.25" customHeight="1">
      <c r="A51" s="65"/>
      <c r="B51" s="66"/>
      <c r="F51" s="62"/>
      <c r="G51" s="63"/>
    </row>
    <row r="52" ht="26.25" customHeight="1">
      <c r="A52" s="65"/>
      <c r="B52" s="66"/>
      <c r="F52" s="62"/>
      <c r="G52" s="63"/>
    </row>
    <row r="53" ht="26.25" customHeight="1">
      <c r="A53" s="65"/>
      <c r="B53" s="66"/>
      <c r="F53" s="62"/>
      <c r="G53" s="63"/>
    </row>
    <row r="54" ht="26.25" customHeight="1">
      <c r="A54" s="65"/>
      <c r="B54" s="66"/>
      <c r="F54" s="62"/>
      <c r="G54" s="63"/>
    </row>
    <row r="55" ht="26.25" customHeight="1">
      <c r="A55" s="65"/>
      <c r="B55" s="66"/>
      <c r="F55" s="62"/>
      <c r="G55" s="63"/>
    </row>
    <row r="56" ht="26.25" customHeight="1">
      <c r="A56" s="65"/>
      <c r="B56" s="66"/>
      <c r="F56" s="62"/>
      <c r="G56" s="63"/>
    </row>
    <row r="57" ht="26.25" customHeight="1">
      <c r="A57" s="65"/>
      <c r="B57" s="66"/>
      <c r="F57" s="62"/>
      <c r="G57" s="63"/>
    </row>
    <row r="58" ht="26.25" customHeight="1">
      <c r="A58" s="65"/>
      <c r="B58" s="66"/>
      <c r="F58" s="62"/>
      <c r="G58" s="63"/>
    </row>
    <row r="59" ht="26.25" customHeight="1">
      <c r="A59" s="65"/>
      <c r="B59" s="66"/>
      <c r="F59" s="62"/>
      <c r="G59" s="63"/>
    </row>
    <row r="60" ht="26.25" customHeight="1">
      <c r="A60" s="65"/>
      <c r="B60" s="66"/>
      <c r="F60" s="62"/>
      <c r="G60" s="63"/>
    </row>
    <row r="61" ht="26.25" customHeight="1">
      <c r="A61" s="65"/>
      <c r="B61" s="66"/>
      <c r="F61" s="62"/>
      <c r="G61" s="63"/>
    </row>
    <row r="62" ht="26.25" customHeight="1">
      <c r="A62" s="65"/>
      <c r="B62" s="66"/>
      <c r="F62" s="62"/>
      <c r="G62" s="63"/>
    </row>
    <row r="63" ht="26.25" customHeight="1">
      <c r="A63" s="65"/>
      <c r="B63" s="66"/>
      <c r="F63" s="62"/>
      <c r="G63" s="63"/>
    </row>
    <row r="64" ht="26.25" customHeight="1">
      <c r="A64" s="65"/>
      <c r="B64" s="66"/>
      <c r="F64" s="62"/>
      <c r="G64" s="63"/>
    </row>
    <row r="65" ht="26.25" customHeight="1">
      <c r="A65" s="65"/>
      <c r="B65" s="66"/>
      <c r="F65" s="62"/>
      <c r="G65" s="63"/>
    </row>
    <row r="66" ht="26.25" customHeight="1">
      <c r="A66" s="65"/>
      <c r="B66" s="66"/>
      <c r="F66" s="62"/>
      <c r="G66" s="63"/>
    </row>
    <row r="67" ht="26.25" customHeight="1">
      <c r="A67" s="65"/>
      <c r="B67" s="66"/>
      <c r="F67" s="62"/>
      <c r="G67" s="63"/>
    </row>
    <row r="68" ht="26.25" customHeight="1">
      <c r="A68" s="65"/>
      <c r="B68" s="66"/>
      <c r="F68" s="62"/>
      <c r="G68" s="63"/>
    </row>
    <row r="69" ht="26.25" customHeight="1">
      <c r="A69" s="65"/>
      <c r="B69" s="66"/>
      <c r="F69" s="62"/>
      <c r="G69" s="63"/>
    </row>
    <row r="70" ht="26.25" customHeight="1">
      <c r="A70" s="65"/>
      <c r="B70" s="66"/>
      <c r="F70" s="62"/>
      <c r="G70" s="63"/>
    </row>
    <row r="71" ht="26.25" customHeight="1">
      <c r="A71" s="65"/>
      <c r="B71" s="66"/>
      <c r="F71" s="62"/>
      <c r="G71" s="63"/>
    </row>
    <row r="72" ht="26.25" customHeight="1">
      <c r="A72" s="65"/>
      <c r="B72" s="66"/>
      <c r="F72" s="62"/>
      <c r="G72" s="63"/>
    </row>
    <row r="73" ht="26.25" customHeight="1">
      <c r="A73" s="65"/>
      <c r="B73" s="66"/>
      <c r="F73" s="62"/>
      <c r="G73" s="63"/>
    </row>
    <row r="74" ht="26.25" customHeight="1">
      <c r="A74" s="65"/>
      <c r="B74" s="66"/>
      <c r="F74" s="62"/>
      <c r="G74" s="63"/>
    </row>
    <row r="75" ht="26.25" customHeight="1">
      <c r="A75" s="65"/>
      <c r="B75" s="66"/>
      <c r="F75" s="62"/>
      <c r="G75" s="63"/>
    </row>
    <row r="76" ht="26.25" customHeight="1">
      <c r="A76" s="65"/>
      <c r="B76" s="66"/>
      <c r="F76" s="62"/>
      <c r="G76" s="63"/>
    </row>
    <row r="77" ht="26.25" customHeight="1">
      <c r="A77" s="65"/>
      <c r="B77" s="66"/>
      <c r="F77" s="62"/>
      <c r="G77" s="63"/>
    </row>
    <row r="78" ht="26.25" customHeight="1">
      <c r="A78" s="65"/>
      <c r="B78" s="66"/>
      <c r="F78" s="62"/>
      <c r="G78" s="63"/>
    </row>
    <row r="79" ht="26.25" customHeight="1">
      <c r="A79" s="65"/>
      <c r="B79" s="66"/>
      <c r="F79" s="62"/>
      <c r="G79" s="63"/>
    </row>
    <row r="80" ht="26.25" customHeight="1">
      <c r="A80" s="65"/>
      <c r="B80" s="66"/>
      <c r="F80" s="62"/>
      <c r="G80" s="63"/>
    </row>
    <row r="81" ht="26.25" customHeight="1">
      <c r="A81" s="65"/>
      <c r="B81" s="66"/>
      <c r="F81" s="62"/>
      <c r="G81" s="63"/>
    </row>
    <row r="82" ht="26.25" customHeight="1">
      <c r="A82" s="65"/>
      <c r="B82" s="66"/>
      <c r="F82" s="62"/>
      <c r="G82" s="63"/>
    </row>
    <row r="83" ht="26.25" customHeight="1">
      <c r="A83" s="65"/>
      <c r="B83" s="66"/>
      <c r="F83" s="62"/>
      <c r="G83" s="63"/>
    </row>
    <row r="84" ht="26.25" customHeight="1">
      <c r="A84" s="65"/>
      <c r="B84" s="66"/>
      <c r="F84" s="62"/>
      <c r="G84" s="63"/>
    </row>
    <row r="85" ht="26.25" customHeight="1">
      <c r="A85" s="65"/>
      <c r="B85" s="66"/>
      <c r="F85" s="62"/>
      <c r="G85" s="63"/>
    </row>
    <row r="86" ht="26.25" customHeight="1">
      <c r="A86" s="65"/>
      <c r="B86" s="66"/>
      <c r="F86" s="62"/>
      <c r="G86" s="63"/>
    </row>
    <row r="87" ht="26.25" customHeight="1">
      <c r="A87" s="65"/>
      <c r="B87" s="66"/>
      <c r="F87" s="62"/>
      <c r="G87" s="63"/>
    </row>
    <row r="88" ht="26.25" customHeight="1">
      <c r="A88" s="65"/>
      <c r="B88" s="66"/>
      <c r="F88" s="62"/>
      <c r="G88" s="63"/>
    </row>
    <row r="89" ht="26.25" customHeight="1">
      <c r="A89" s="65"/>
      <c r="B89" s="66"/>
      <c r="F89" s="62"/>
      <c r="G89" s="63"/>
    </row>
    <row r="90" ht="26.25" customHeight="1">
      <c r="A90" s="65"/>
      <c r="B90" s="66"/>
      <c r="F90" s="62"/>
      <c r="G90" s="63"/>
    </row>
    <row r="91" ht="26.25" customHeight="1">
      <c r="A91" s="65"/>
      <c r="B91" s="66"/>
      <c r="F91" s="62"/>
      <c r="G91" s="63"/>
    </row>
    <row r="92" ht="26.25" customHeight="1">
      <c r="A92" s="65"/>
      <c r="B92" s="66"/>
      <c r="F92" s="62"/>
      <c r="G92" s="63"/>
    </row>
    <row r="93" ht="26.25" customHeight="1">
      <c r="A93" s="65"/>
      <c r="B93" s="66"/>
      <c r="F93" s="62"/>
      <c r="G93" s="63"/>
    </row>
    <row r="94" ht="26.25" customHeight="1">
      <c r="A94" s="65"/>
      <c r="B94" s="66"/>
      <c r="F94" s="62"/>
      <c r="G94" s="63"/>
    </row>
    <row r="95" ht="26.25" customHeight="1">
      <c r="A95" s="65"/>
      <c r="B95" s="66"/>
      <c r="F95" s="62"/>
      <c r="G95" s="63"/>
    </row>
    <row r="96" ht="26.25" customHeight="1">
      <c r="A96" s="65"/>
      <c r="B96" s="66"/>
      <c r="F96" s="62"/>
      <c r="G96" s="63"/>
    </row>
    <row r="97" ht="26.25" customHeight="1">
      <c r="A97" s="65"/>
      <c r="B97" s="66"/>
      <c r="F97" s="62"/>
      <c r="G97" s="63"/>
    </row>
    <row r="98" ht="26.25" customHeight="1">
      <c r="A98" s="65"/>
      <c r="B98" s="66"/>
      <c r="F98" s="62"/>
      <c r="G98" s="63"/>
    </row>
    <row r="99" ht="26.25" customHeight="1">
      <c r="A99" s="65"/>
      <c r="B99" s="66"/>
      <c r="F99" s="62"/>
      <c r="G99" s="63"/>
    </row>
    <row r="100" ht="26.25" customHeight="1">
      <c r="A100" s="65"/>
      <c r="B100" s="66"/>
      <c r="F100" s="62"/>
      <c r="G100" s="63"/>
    </row>
    <row r="101" ht="26.25" customHeight="1">
      <c r="A101" s="65"/>
      <c r="B101" s="66"/>
      <c r="F101" s="62"/>
      <c r="G101" s="63"/>
    </row>
    <row r="102" ht="26.25" customHeight="1">
      <c r="A102" s="65"/>
      <c r="B102" s="66"/>
      <c r="F102" s="62"/>
      <c r="G102" s="63"/>
    </row>
    <row r="103" ht="26.25" customHeight="1">
      <c r="A103" s="65"/>
      <c r="B103" s="66"/>
      <c r="F103" s="62"/>
      <c r="G103" s="63"/>
    </row>
    <row r="104" ht="26.25" customHeight="1">
      <c r="A104" s="65"/>
      <c r="B104" s="66"/>
      <c r="F104" s="62"/>
      <c r="G104" s="63"/>
    </row>
    <row r="105" ht="26.25" customHeight="1">
      <c r="A105" s="65"/>
      <c r="B105" s="66"/>
      <c r="F105" s="62"/>
      <c r="G105" s="63"/>
    </row>
    <row r="106" ht="26.25" customHeight="1">
      <c r="A106" s="65"/>
      <c r="B106" s="66"/>
      <c r="F106" s="62"/>
      <c r="G106" s="63"/>
    </row>
    <row r="107" ht="26.25" customHeight="1">
      <c r="A107" s="65"/>
      <c r="B107" s="66"/>
      <c r="F107" s="62"/>
      <c r="G107" s="63"/>
    </row>
    <row r="108" ht="26.25" customHeight="1">
      <c r="A108" s="65"/>
      <c r="B108" s="66"/>
      <c r="F108" s="62"/>
      <c r="G108" s="63"/>
    </row>
    <row r="109" ht="26.25" customHeight="1">
      <c r="A109" s="65"/>
      <c r="B109" s="66"/>
      <c r="F109" s="62"/>
      <c r="G109" s="63"/>
    </row>
    <row r="110" ht="26.25" customHeight="1">
      <c r="A110" s="65"/>
      <c r="B110" s="66"/>
      <c r="F110" s="62"/>
      <c r="G110" s="63"/>
    </row>
    <row r="111" ht="26.25" customHeight="1">
      <c r="A111" s="65"/>
      <c r="B111" s="66"/>
      <c r="F111" s="62"/>
      <c r="G111" s="63"/>
    </row>
    <row r="112" ht="26.25" customHeight="1">
      <c r="A112" s="65"/>
      <c r="B112" s="66"/>
      <c r="F112" s="62"/>
      <c r="G112" s="63"/>
    </row>
    <row r="113" ht="26.25" customHeight="1">
      <c r="A113" s="65"/>
      <c r="B113" s="66"/>
      <c r="F113" s="62"/>
      <c r="G113" s="63"/>
    </row>
    <row r="114" ht="26.25" customHeight="1">
      <c r="A114" s="65"/>
      <c r="B114" s="66"/>
      <c r="F114" s="62"/>
      <c r="G114" s="63"/>
    </row>
    <row r="115" ht="26.25" customHeight="1">
      <c r="A115" s="65"/>
      <c r="B115" s="66"/>
      <c r="F115" s="62"/>
      <c r="G115" s="63"/>
    </row>
    <row r="116" ht="26.25" customHeight="1">
      <c r="A116" s="65"/>
      <c r="B116" s="66"/>
      <c r="F116" s="62"/>
      <c r="G116" s="63"/>
    </row>
    <row r="117" ht="26.25" customHeight="1">
      <c r="A117" s="65"/>
      <c r="B117" s="66"/>
      <c r="F117" s="62"/>
      <c r="G117" s="63"/>
    </row>
    <row r="118" ht="26.25" customHeight="1">
      <c r="A118" s="65"/>
      <c r="B118" s="66"/>
      <c r="F118" s="62"/>
      <c r="G118" s="63"/>
    </row>
    <row r="119" ht="26.25" customHeight="1">
      <c r="A119" s="65"/>
      <c r="B119" s="66"/>
      <c r="F119" s="62"/>
      <c r="G119" s="63"/>
    </row>
    <row r="120" ht="26.25" customHeight="1">
      <c r="A120" s="65"/>
      <c r="B120" s="66"/>
      <c r="F120" s="62"/>
      <c r="G120" s="63"/>
    </row>
    <row r="121" ht="26.25" customHeight="1">
      <c r="A121" s="65"/>
      <c r="B121" s="66"/>
      <c r="F121" s="62"/>
      <c r="G121" s="63"/>
    </row>
    <row r="122" ht="26.25" customHeight="1">
      <c r="A122" s="65"/>
      <c r="B122" s="66"/>
      <c r="F122" s="62"/>
      <c r="G122" s="63"/>
    </row>
    <row r="123" ht="26.25" customHeight="1">
      <c r="A123" s="65"/>
      <c r="B123" s="66"/>
      <c r="F123" s="62"/>
      <c r="G123" s="63"/>
    </row>
    <row r="124" ht="26.25" customHeight="1">
      <c r="A124" s="65"/>
      <c r="B124" s="66"/>
      <c r="F124" s="62"/>
      <c r="G124" s="63"/>
    </row>
    <row r="125" ht="26.25" customHeight="1">
      <c r="A125" s="65"/>
      <c r="B125" s="66"/>
      <c r="F125" s="62"/>
      <c r="G125" s="63"/>
    </row>
    <row r="126" ht="26.25" customHeight="1">
      <c r="A126" s="65"/>
      <c r="B126" s="66"/>
      <c r="F126" s="62"/>
      <c r="G126" s="63"/>
    </row>
    <row r="127" ht="26.25" customHeight="1">
      <c r="A127" s="65"/>
      <c r="B127" s="66"/>
      <c r="F127" s="62"/>
      <c r="G127" s="63"/>
    </row>
    <row r="128" ht="26.25" customHeight="1">
      <c r="A128" s="65"/>
      <c r="B128" s="66"/>
      <c r="F128" s="62"/>
      <c r="G128" s="63"/>
    </row>
    <row r="129" ht="26.25" customHeight="1">
      <c r="A129" s="65"/>
      <c r="B129" s="66"/>
      <c r="F129" s="62"/>
      <c r="G129" s="63"/>
    </row>
    <row r="130" ht="26.25" customHeight="1">
      <c r="A130" s="65"/>
      <c r="B130" s="66"/>
      <c r="F130" s="62"/>
      <c r="G130" s="63"/>
    </row>
    <row r="131" ht="26.25" customHeight="1">
      <c r="A131" s="65"/>
      <c r="B131" s="66"/>
      <c r="F131" s="62"/>
      <c r="G131" s="63"/>
    </row>
    <row r="132" ht="26.25" customHeight="1">
      <c r="A132" s="65"/>
      <c r="B132" s="66"/>
      <c r="F132" s="62"/>
      <c r="G132" s="63"/>
    </row>
    <row r="133" ht="26.25" customHeight="1">
      <c r="A133" s="65"/>
      <c r="B133" s="66"/>
      <c r="F133" s="62"/>
      <c r="G133" s="63"/>
    </row>
    <row r="134" ht="26.25" customHeight="1">
      <c r="A134" s="65"/>
      <c r="B134" s="66"/>
      <c r="F134" s="62"/>
      <c r="G134" s="63"/>
    </row>
    <row r="135" ht="26.25" customHeight="1">
      <c r="A135" s="65"/>
      <c r="B135" s="66"/>
      <c r="F135" s="62"/>
      <c r="G135" s="63"/>
    </row>
    <row r="136" ht="26.25" customHeight="1">
      <c r="A136" s="65"/>
      <c r="B136" s="66"/>
      <c r="F136" s="62"/>
      <c r="G136" s="63"/>
    </row>
    <row r="137" ht="26.25" customHeight="1">
      <c r="A137" s="65"/>
      <c r="B137" s="66"/>
      <c r="F137" s="62"/>
      <c r="G137" s="63"/>
    </row>
    <row r="138" ht="26.25" customHeight="1">
      <c r="A138" s="65"/>
      <c r="B138" s="66"/>
      <c r="F138" s="62"/>
      <c r="G138" s="63"/>
    </row>
    <row r="139" ht="26.25" customHeight="1">
      <c r="A139" s="65"/>
      <c r="B139" s="66"/>
      <c r="F139" s="62"/>
      <c r="G139" s="63"/>
    </row>
    <row r="140" ht="26.25" customHeight="1">
      <c r="A140" s="65"/>
      <c r="B140" s="66"/>
      <c r="F140" s="62"/>
      <c r="G140" s="63"/>
    </row>
    <row r="141" ht="26.25" customHeight="1">
      <c r="A141" s="65"/>
      <c r="B141" s="66"/>
      <c r="F141" s="62"/>
      <c r="G141" s="63"/>
    </row>
    <row r="142" ht="26.25" customHeight="1">
      <c r="A142" s="65"/>
      <c r="B142" s="66"/>
      <c r="F142" s="62"/>
      <c r="G142" s="63"/>
    </row>
    <row r="143" ht="26.25" customHeight="1">
      <c r="A143" s="65"/>
      <c r="B143" s="66"/>
      <c r="F143" s="62"/>
      <c r="G143" s="63"/>
    </row>
    <row r="144" ht="26.25" customHeight="1">
      <c r="A144" s="65"/>
      <c r="B144" s="66"/>
      <c r="F144" s="62"/>
      <c r="G144" s="63"/>
    </row>
    <row r="145" ht="26.25" customHeight="1">
      <c r="A145" s="65"/>
      <c r="B145" s="66"/>
      <c r="F145" s="62"/>
      <c r="G145" s="63"/>
    </row>
    <row r="146" ht="26.25" customHeight="1">
      <c r="A146" s="65"/>
      <c r="B146" s="66"/>
      <c r="F146" s="62"/>
      <c r="G146" s="63"/>
    </row>
    <row r="147" ht="26.25" customHeight="1">
      <c r="A147" s="65"/>
      <c r="B147" s="66"/>
      <c r="F147" s="62"/>
      <c r="G147" s="63"/>
    </row>
    <row r="148" ht="26.25" customHeight="1">
      <c r="A148" s="65"/>
      <c r="B148" s="66"/>
      <c r="F148" s="62"/>
      <c r="G148" s="63"/>
    </row>
    <row r="149" ht="26.25" customHeight="1">
      <c r="A149" s="65"/>
      <c r="B149" s="66"/>
      <c r="F149" s="62"/>
      <c r="G149" s="63"/>
    </row>
    <row r="150" ht="26.25" customHeight="1">
      <c r="A150" s="65"/>
      <c r="B150" s="66"/>
      <c r="F150" s="62"/>
      <c r="G150" s="63"/>
    </row>
    <row r="151" ht="26.25" customHeight="1">
      <c r="A151" s="65"/>
      <c r="B151" s="66"/>
      <c r="F151" s="62"/>
      <c r="G151" s="63"/>
    </row>
    <row r="152" ht="26.25" customHeight="1">
      <c r="A152" s="65"/>
      <c r="B152" s="66"/>
      <c r="F152" s="62"/>
      <c r="G152" s="63"/>
    </row>
    <row r="153" ht="26.25" customHeight="1">
      <c r="A153" s="65"/>
      <c r="B153" s="66"/>
      <c r="F153" s="62"/>
      <c r="G153" s="63"/>
    </row>
    <row r="154" ht="26.25" customHeight="1">
      <c r="A154" s="65"/>
      <c r="B154" s="66"/>
      <c r="F154" s="62"/>
      <c r="G154" s="63"/>
    </row>
    <row r="155" ht="26.25" customHeight="1">
      <c r="A155" s="65"/>
      <c r="B155" s="66"/>
      <c r="F155" s="62"/>
      <c r="G155" s="63"/>
    </row>
    <row r="156" ht="26.25" customHeight="1">
      <c r="A156" s="65"/>
      <c r="B156" s="66"/>
      <c r="F156" s="62"/>
      <c r="G156" s="63"/>
    </row>
    <row r="157" ht="26.25" customHeight="1">
      <c r="A157" s="65"/>
      <c r="B157" s="66"/>
      <c r="F157" s="62"/>
      <c r="G157" s="63"/>
    </row>
    <row r="158" ht="26.25" customHeight="1">
      <c r="A158" s="65"/>
      <c r="B158" s="66"/>
      <c r="F158" s="62"/>
      <c r="G158" s="63"/>
    </row>
    <row r="159" ht="26.25" customHeight="1">
      <c r="A159" s="65"/>
      <c r="B159" s="66"/>
      <c r="F159" s="62"/>
      <c r="G159" s="63"/>
    </row>
    <row r="160" ht="26.25" customHeight="1">
      <c r="A160" s="65"/>
      <c r="B160" s="66"/>
      <c r="F160" s="62"/>
      <c r="G160" s="63"/>
    </row>
    <row r="161" ht="26.25" customHeight="1">
      <c r="A161" s="65"/>
      <c r="B161" s="66"/>
      <c r="F161" s="62"/>
      <c r="G161" s="63"/>
    </row>
    <row r="162" ht="26.25" customHeight="1">
      <c r="A162" s="65"/>
      <c r="B162" s="66"/>
      <c r="F162" s="62"/>
      <c r="G162" s="63"/>
    </row>
    <row r="163" ht="26.25" customHeight="1">
      <c r="A163" s="65"/>
      <c r="B163" s="66"/>
      <c r="F163" s="62"/>
      <c r="G163" s="63"/>
    </row>
    <row r="164" ht="26.25" customHeight="1">
      <c r="A164" s="65"/>
      <c r="B164" s="66"/>
      <c r="F164" s="62"/>
      <c r="G164" s="63"/>
    </row>
    <row r="165" ht="26.25" customHeight="1">
      <c r="A165" s="65"/>
      <c r="B165" s="66"/>
      <c r="F165" s="62"/>
      <c r="G165" s="63"/>
    </row>
    <row r="166" ht="26.25" customHeight="1">
      <c r="A166" s="65"/>
      <c r="B166" s="66"/>
      <c r="F166" s="62"/>
      <c r="G166" s="63"/>
    </row>
    <row r="167" ht="26.25" customHeight="1">
      <c r="A167" s="65"/>
      <c r="B167" s="66"/>
      <c r="F167" s="62"/>
      <c r="G167" s="63"/>
    </row>
    <row r="168" ht="26.25" customHeight="1">
      <c r="A168" s="65"/>
      <c r="B168" s="66"/>
      <c r="F168" s="62"/>
      <c r="G168" s="63"/>
    </row>
    <row r="169" ht="26.25" customHeight="1">
      <c r="A169" s="65"/>
      <c r="B169" s="66"/>
      <c r="F169" s="62"/>
      <c r="G169" s="63"/>
    </row>
    <row r="170" ht="26.25" customHeight="1">
      <c r="A170" s="65"/>
      <c r="B170" s="66"/>
      <c r="F170" s="62"/>
      <c r="G170" s="63"/>
    </row>
    <row r="171" ht="26.25" customHeight="1">
      <c r="A171" s="65"/>
      <c r="B171" s="66"/>
      <c r="F171" s="62"/>
      <c r="G171" s="63"/>
    </row>
    <row r="172" ht="26.25" customHeight="1">
      <c r="A172" s="65"/>
      <c r="B172" s="66"/>
      <c r="F172" s="62"/>
      <c r="G172" s="63"/>
    </row>
    <row r="173" ht="26.25" customHeight="1">
      <c r="A173" s="65"/>
      <c r="B173" s="66"/>
      <c r="F173" s="62"/>
      <c r="G173" s="63"/>
    </row>
    <row r="174" ht="26.25" customHeight="1">
      <c r="A174" s="65"/>
      <c r="B174" s="66"/>
      <c r="F174" s="62"/>
      <c r="G174" s="63"/>
    </row>
    <row r="175" ht="26.25" customHeight="1">
      <c r="A175" s="65"/>
      <c r="B175" s="66"/>
      <c r="F175" s="62"/>
      <c r="G175" s="63"/>
    </row>
    <row r="176" ht="26.25" customHeight="1">
      <c r="A176" s="65"/>
      <c r="B176" s="66"/>
      <c r="F176" s="62"/>
      <c r="G176" s="63"/>
    </row>
    <row r="177" ht="26.25" customHeight="1">
      <c r="A177" s="65"/>
      <c r="B177" s="66"/>
      <c r="F177" s="62"/>
      <c r="G177" s="63"/>
    </row>
    <row r="178" ht="26.25" customHeight="1">
      <c r="A178" s="65"/>
      <c r="B178" s="66"/>
      <c r="F178" s="62"/>
      <c r="G178" s="63"/>
    </row>
    <row r="179" ht="26.25" customHeight="1">
      <c r="A179" s="65"/>
      <c r="B179" s="66"/>
      <c r="F179" s="62"/>
      <c r="G179" s="63"/>
    </row>
    <row r="180" ht="26.25" customHeight="1">
      <c r="A180" s="65"/>
      <c r="B180" s="66"/>
      <c r="F180" s="62"/>
      <c r="G180" s="63"/>
    </row>
    <row r="181" ht="26.25" customHeight="1">
      <c r="A181" s="65"/>
      <c r="B181" s="66"/>
      <c r="F181" s="62"/>
      <c r="G181" s="63"/>
    </row>
    <row r="182" ht="26.25" customHeight="1">
      <c r="A182" s="65"/>
      <c r="B182" s="66"/>
      <c r="F182" s="62"/>
      <c r="G182" s="63"/>
    </row>
    <row r="183" ht="26.25" customHeight="1">
      <c r="A183" s="65"/>
      <c r="B183" s="66"/>
      <c r="F183" s="62"/>
      <c r="G183" s="63"/>
    </row>
    <row r="184" ht="26.25" customHeight="1">
      <c r="A184" s="65"/>
      <c r="B184" s="66"/>
      <c r="F184" s="62"/>
      <c r="G184" s="63"/>
    </row>
    <row r="185" ht="26.25" customHeight="1">
      <c r="A185" s="65"/>
      <c r="B185" s="66"/>
      <c r="F185" s="62"/>
      <c r="G185" s="63"/>
    </row>
    <row r="186" ht="26.25" customHeight="1">
      <c r="A186" s="65"/>
      <c r="B186" s="66"/>
      <c r="F186" s="62"/>
      <c r="G186" s="63"/>
    </row>
    <row r="187" ht="26.25" customHeight="1">
      <c r="A187" s="65"/>
      <c r="B187" s="66"/>
      <c r="F187" s="62"/>
      <c r="G187" s="63"/>
    </row>
    <row r="188" ht="26.25" customHeight="1">
      <c r="A188" s="65"/>
      <c r="B188" s="66"/>
      <c r="F188" s="62"/>
      <c r="G188" s="63"/>
    </row>
    <row r="189" ht="26.25" customHeight="1">
      <c r="A189" s="65"/>
      <c r="B189" s="66"/>
      <c r="F189" s="62"/>
      <c r="G189" s="63"/>
    </row>
    <row r="190" ht="26.25" customHeight="1">
      <c r="A190" s="65"/>
      <c r="B190" s="66"/>
      <c r="F190" s="62"/>
      <c r="G190" s="63"/>
    </row>
    <row r="191" ht="26.25" customHeight="1">
      <c r="A191" s="65"/>
      <c r="B191" s="66"/>
      <c r="F191" s="62"/>
      <c r="G191" s="63"/>
    </row>
    <row r="192" ht="26.25" customHeight="1">
      <c r="A192" s="65"/>
      <c r="B192" s="66"/>
      <c r="F192" s="62"/>
      <c r="G192" s="63"/>
    </row>
    <row r="193" ht="26.25" customHeight="1">
      <c r="A193" s="65"/>
      <c r="B193" s="66"/>
      <c r="F193" s="62"/>
      <c r="G193" s="63"/>
    </row>
    <row r="194" ht="26.25" customHeight="1">
      <c r="A194" s="65"/>
      <c r="B194" s="66"/>
      <c r="F194" s="62"/>
      <c r="G194" s="63"/>
    </row>
    <row r="195" ht="26.25" customHeight="1">
      <c r="A195" s="65"/>
      <c r="B195" s="66"/>
      <c r="F195" s="62"/>
      <c r="G195" s="63"/>
    </row>
    <row r="196" ht="26.25" customHeight="1">
      <c r="A196" s="65"/>
      <c r="B196" s="66"/>
      <c r="F196" s="62"/>
      <c r="G196" s="63"/>
    </row>
    <row r="197" ht="26.25" customHeight="1">
      <c r="A197" s="65"/>
      <c r="B197" s="66"/>
      <c r="F197" s="62"/>
      <c r="G197" s="63"/>
    </row>
    <row r="198" ht="26.25" customHeight="1">
      <c r="A198" s="65"/>
      <c r="B198" s="66"/>
      <c r="F198" s="62"/>
      <c r="G198" s="63"/>
    </row>
    <row r="199" ht="26.25" customHeight="1">
      <c r="A199" s="65"/>
      <c r="B199" s="66"/>
      <c r="F199" s="62"/>
      <c r="G199" s="63"/>
    </row>
    <row r="200" ht="26.25" customHeight="1">
      <c r="A200" s="65"/>
      <c r="B200" s="66"/>
      <c r="F200" s="62"/>
      <c r="G200" s="63"/>
    </row>
    <row r="201" ht="26.25" customHeight="1">
      <c r="A201" s="65"/>
      <c r="B201" s="66"/>
      <c r="F201" s="62"/>
      <c r="G201" s="63"/>
    </row>
    <row r="202" ht="26.25" customHeight="1">
      <c r="A202" s="65"/>
      <c r="B202" s="66"/>
      <c r="F202" s="62"/>
      <c r="G202" s="63"/>
    </row>
    <row r="203" ht="26.25" customHeight="1">
      <c r="A203" s="65"/>
      <c r="B203" s="66"/>
      <c r="F203" s="62"/>
      <c r="G203" s="63"/>
    </row>
    <row r="204" ht="26.25" customHeight="1">
      <c r="A204" s="65"/>
      <c r="B204" s="66"/>
      <c r="F204" s="62"/>
      <c r="G204" s="63"/>
    </row>
    <row r="205" ht="26.25" customHeight="1">
      <c r="A205" s="65"/>
      <c r="B205" s="66"/>
      <c r="F205" s="62"/>
      <c r="G205" s="63"/>
    </row>
    <row r="206" ht="26.25" customHeight="1">
      <c r="A206" s="65"/>
      <c r="B206" s="66"/>
      <c r="F206" s="62"/>
      <c r="G206" s="63"/>
    </row>
    <row r="207" ht="26.25" customHeight="1">
      <c r="A207" s="65"/>
      <c r="B207" s="66"/>
      <c r="F207" s="62"/>
      <c r="G207" s="63"/>
    </row>
    <row r="208" ht="26.25" customHeight="1">
      <c r="A208" s="65"/>
      <c r="B208" s="66"/>
      <c r="F208" s="62"/>
      <c r="G208" s="63"/>
    </row>
    <row r="209" ht="26.25" customHeight="1">
      <c r="A209" s="65"/>
      <c r="B209" s="66"/>
      <c r="F209" s="62"/>
      <c r="G209" s="63"/>
    </row>
    <row r="210" ht="26.25" customHeight="1">
      <c r="A210" s="65"/>
      <c r="B210" s="66"/>
      <c r="F210" s="62"/>
      <c r="G210" s="63"/>
    </row>
    <row r="211" ht="26.25" customHeight="1">
      <c r="A211" s="65"/>
      <c r="B211" s="66"/>
      <c r="F211" s="62"/>
      <c r="G211" s="63"/>
    </row>
    <row r="212" ht="26.25" customHeight="1">
      <c r="A212" s="65"/>
      <c r="B212" s="66"/>
      <c r="F212" s="62"/>
      <c r="G212" s="63"/>
    </row>
    <row r="213" ht="26.25" customHeight="1">
      <c r="A213" s="65"/>
      <c r="B213" s="66"/>
      <c r="F213" s="62"/>
      <c r="G213" s="63"/>
    </row>
    <row r="214" ht="26.25" customHeight="1">
      <c r="A214" s="65"/>
      <c r="B214" s="66"/>
      <c r="F214" s="62"/>
      <c r="G214" s="63"/>
    </row>
    <row r="215" ht="26.25" customHeight="1">
      <c r="A215" s="65"/>
      <c r="B215" s="66"/>
      <c r="F215" s="62"/>
      <c r="G215" s="63"/>
    </row>
    <row r="216" ht="26.25" customHeight="1">
      <c r="A216" s="65"/>
      <c r="B216" s="66"/>
      <c r="F216" s="62"/>
      <c r="G216" s="63"/>
    </row>
    <row r="217" ht="26.25" customHeight="1">
      <c r="A217" s="65"/>
      <c r="B217" s="66"/>
      <c r="F217" s="62"/>
      <c r="G217" s="63"/>
    </row>
    <row r="218" ht="26.25" customHeight="1">
      <c r="A218" s="65"/>
      <c r="B218" s="66"/>
      <c r="F218" s="62"/>
      <c r="G218" s="63"/>
    </row>
    <row r="219" ht="26.25" customHeight="1">
      <c r="A219" s="65"/>
      <c r="B219" s="66"/>
      <c r="F219" s="62"/>
      <c r="G219" s="63"/>
    </row>
    <row r="220" ht="26.25" customHeight="1">
      <c r="A220" s="65"/>
      <c r="B220" s="66"/>
      <c r="F220" s="62"/>
      <c r="G220" s="63"/>
    </row>
    <row r="221" ht="26.25" customHeight="1">
      <c r="A221" s="65"/>
      <c r="B221" s="66"/>
      <c r="F221" s="62"/>
      <c r="G221" s="63"/>
    </row>
    <row r="222" ht="26.25" customHeight="1">
      <c r="A222" s="65"/>
      <c r="B222" s="66"/>
      <c r="F222" s="62"/>
      <c r="G222" s="63"/>
    </row>
    <row r="223" ht="26.25" customHeight="1">
      <c r="A223" s="65"/>
      <c r="B223" s="66"/>
      <c r="F223" s="62"/>
      <c r="G223" s="63"/>
    </row>
    <row r="224" ht="26.25" customHeight="1">
      <c r="A224" s="65"/>
      <c r="B224" s="66"/>
      <c r="F224" s="62"/>
      <c r="G224" s="63"/>
    </row>
    <row r="225" ht="26.25" customHeight="1">
      <c r="A225" s="65"/>
      <c r="B225" s="66"/>
      <c r="F225" s="62"/>
      <c r="G225" s="63"/>
    </row>
    <row r="226" ht="26.25" customHeight="1">
      <c r="A226" s="65"/>
      <c r="B226" s="66"/>
      <c r="F226" s="62"/>
      <c r="G226" s="63"/>
    </row>
    <row r="227" ht="26.25" customHeight="1">
      <c r="A227" s="65"/>
      <c r="B227" s="66"/>
      <c r="F227" s="62"/>
      <c r="G227" s="63"/>
    </row>
    <row r="228" ht="26.25" customHeight="1">
      <c r="A228" s="65"/>
      <c r="B228" s="66"/>
      <c r="F228" s="62"/>
      <c r="G228" s="63"/>
    </row>
    <row r="229" ht="26.25" customHeight="1">
      <c r="A229" s="65"/>
      <c r="B229" s="66"/>
      <c r="F229" s="62"/>
      <c r="G229" s="63"/>
    </row>
    <row r="230" ht="26.25" customHeight="1">
      <c r="A230" s="65"/>
      <c r="B230" s="66"/>
      <c r="F230" s="62"/>
      <c r="G230" s="63"/>
    </row>
    <row r="231" ht="26.25" customHeight="1">
      <c r="A231" s="65"/>
      <c r="B231" s="66"/>
      <c r="F231" s="62"/>
      <c r="G231" s="63"/>
    </row>
    <row r="232" ht="26.25" customHeight="1">
      <c r="A232" s="65"/>
      <c r="B232" s="66"/>
      <c r="F232" s="62"/>
      <c r="G232" s="63"/>
    </row>
    <row r="233" ht="26.25" customHeight="1">
      <c r="A233" s="65"/>
      <c r="B233" s="66"/>
      <c r="F233" s="62"/>
      <c r="G233" s="63"/>
    </row>
    <row r="234" ht="26.25" customHeight="1">
      <c r="A234" s="65"/>
      <c r="B234" s="66"/>
      <c r="F234" s="62"/>
      <c r="G234" s="63"/>
    </row>
    <row r="235" ht="26.25" customHeight="1">
      <c r="A235" s="65"/>
      <c r="B235" s="66"/>
      <c r="F235" s="62"/>
      <c r="G235" s="63"/>
    </row>
    <row r="236" ht="26.25" customHeight="1">
      <c r="A236" s="65"/>
      <c r="B236" s="66"/>
      <c r="F236" s="62"/>
      <c r="G236" s="63"/>
    </row>
    <row r="237" ht="26.25" customHeight="1">
      <c r="A237" s="65"/>
      <c r="B237" s="66"/>
      <c r="F237" s="62"/>
      <c r="G237" s="63"/>
    </row>
    <row r="238" ht="26.25" customHeight="1">
      <c r="A238" s="65"/>
      <c r="B238" s="66"/>
      <c r="F238" s="62"/>
      <c r="G238" s="63"/>
    </row>
    <row r="239" ht="26.25" customHeight="1">
      <c r="A239" s="65"/>
      <c r="B239" s="66"/>
      <c r="F239" s="62"/>
      <c r="G239" s="63"/>
    </row>
    <row r="240" ht="26.25" customHeight="1">
      <c r="A240" s="65"/>
      <c r="B240" s="66"/>
      <c r="F240" s="62"/>
      <c r="G240" s="63"/>
    </row>
    <row r="241" ht="26.25" customHeight="1">
      <c r="A241" s="65"/>
      <c r="B241" s="66"/>
      <c r="F241" s="62"/>
      <c r="G241" s="63"/>
    </row>
    <row r="242" ht="26.25" customHeight="1">
      <c r="A242" s="65"/>
      <c r="B242" s="66"/>
      <c r="F242" s="62"/>
      <c r="G242" s="63"/>
    </row>
    <row r="243" ht="26.25" customHeight="1">
      <c r="A243" s="65"/>
      <c r="B243" s="66"/>
      <c r="F243" s="62"/>
      <c r="G243" s="63"/>
    </row>
    <row r="244" ht="26.25" customHeight="1">
      <c r="A244" s="65"/>
      <c r="B244" s="66"/>
      <c r="F244" s="62"/>
      <c r="G244" s="63"/>
    </row>
    <row r="245" ht="26.25" customHeight="1">
      <c r="A245" s="65"/>
      <c r="B245" s="66"/>
      <c r="F245" s="62"/>
      <c r="G245" s="63"/>
    </row>
    <row r="246" ht="26.25" customHeight="1">
      <c r="A246" s="65"/>
      <c r="B246" s="66"/>
      <c r="F246" s="62"/>
      <c r="G246" s="63"/>
    </row>
    <row r="247" ht="26.25" customHeight="1">
      <c r="A247" s="65"/>
      <c r="B247" s="66"/>
      <c r="F247" s="62"/>
      <c r="G247" s="63"/>
    </row>
    <row r="248" ht="26.25" customHeight="1">
      <c r="A248" s="65"/>
      <c r="B248" s="66"/>
      <c r="F248" s="62"/>
      <c r="G248" s="63"/>
    </row>
    <row r="249" ht="26.25" customHeight="1">
      <c r="A249" s="65"/>
      <c r="B249" s="66"/>
      <c r="F249" s="62"/>
      <c r="G249" s="63"/>
    </row>
    <row r="250" ht="26.25" customHeight="1">
      <c r="A250" s="65"/>
      <c r="B250" s="66"/>
      <c r="F250" s="62"/>
      <c r="G250" s="63"/>
    </row>
    <row r="251" ht="26.25" customHeight="1">
      <c r="A251" s="65"/>
      <c r="B251" s="66"/>
      <c r="F251" s="62"/>
      <c r="G251" s="63"/>
    </row>
    <row r="252" ht="26.25" customHeight="1">
      <c r="A252" s="65"/>
      <c r="B252" s="66"/>
      <c r="F252" s="62"/>
      <c r="G252" s="63"/>
    </row>
    <row r="253" ht="26.25" customHeight="1">
      <c r="A253" s="65"/>
      <c r="B253" s="66"/>
      <c r="F253" s="62"/>
      <c r="G253" s="63"/>
    </row>
    <row r="254" ht="26.25" customHeight="1">
      <c r="A254" s="65"/>
      <c r="B254" s="66"/>
      <c r="F254" s="62"/>
      <c r="G254" s="63"/>
    </row>
    <row r="255" ht="26.25" customHeight="1">
      <c r="A255" s="65"/>
      <c r="B255" s="66"/>
      <c r="F255" s="62"/>
      <c r="G255" s="63"/>
    </row>
    <row r="256" ht="26.25" customHeight="1">
      <c r="A256" s="65"/>
      <c r="B256" s="66"/>
      <c r="F256" s="62"/>
      <c r="G256" s="63"/>
    </row>
    <row r="257" ht="26.25" customHeight="1">
      <c r="A257" s="65"/>
      <c r="B257" s="66"/>
      <c r="F257" s="62"/>
      <c r="G257" s="63"/>
    </row>
    <row r="258" ht="26.25" customHeight="1">
      <c r="A258" s="65"/>
      <c r="B258" s="66"/>
      <c r="F258" s="62"/>
      <c r="G258" s="63"/>
    </row>
    <row r="259" ht="26.25" customHeight="1">
      <c r="A259" s="65"/>
      <c r="B259" s="66"/>
      <c r="F259" s="62"/>
      <c r="G259" s="63"/>
    </row>
    <row r="260" ht="26.25" customHeight="1">
      <c r="A260" s="65"/>
      <c r="B260" s="66"/>
      <c r="F260" s="62"/>
      <c r="G260" s="63"/>
    </row>
    <row r="261" ht="26.25" customHeight="1">
      <c r="A261" s="65"/>
      <c r="B261" s="66"/>
      <c r="F261" s="62"/>
      <c r="G261" s="63"/>
    </row>
    <row r="262" ht="26.25" customHeight="1">
      <c r="A262" s="65"/>
      <c r="B262" s="66"/>
      <c r="F262" s="62"/>
      <c r="G262" s="63"/>
    </row>
    <row r="263" ht="26.25" customHeight="1">
      <c r="A263" s="65"/>
      <c r="B263" s="66"/>
      <c r="F263" s="62"/>
      <c r="G263" s="63"/>
    </row>
    <row r="264" ht="26.25" customHeight="1">
      <c r="A264" s="65"/>
      <c r="B264" s="66"/>
      <c r="F264" s="62"/>
      <c r="G264" s="63"/>
    </row>
    <row r="265" ht="26.25" customHeight="1">
      <c r="A265" s="65"/>
      <c r="B265" s="66"/>
      <c r="F265" s="62"/>
      <c r="G265" s="63"/>
    </row>
    <row r="266" ht="26.25" customHeight="1">
      <c r="A266" s="65"/>
      <c r="B266" s="66"/>
      <c r="F266" s="62"/>
      <c r="G266" s="63"/>
    </row>
    <row r="267" ht="26.25" customHeight="1">
      <c r="A267" s="65"/>
      <c r="B267" s="66"/>
      <c r="F267" s="62"/>
      <c r="G267" s="63"/>
    </row>
    <row r="268" ht="26.25" customHeight="1">
      <c r="A268" s="65"/>
      <c r="B268" s="66"/>
      <c r="F268" s="62"/>
      <c r="G268" s="63"/>
    </row>
    <row r="269" ht="26.25" customHeight="1">
      <c r="A269" s="65"/>
      <c r="B269" s="66"/>
      <c r="F269" s="62"/>
      <c r="G269" s="63"/>
    </row>
    <row r="270" ht="26.25" customHeight="1">
      <c r="A270" s="65"/>
      <c r="B270" s="66"/>
      <c r="F270" s="62"/>
      <c r="G270" s="63"/>
    </row>
    <row r="271" ht="26.25" customHeight="1">
      <c r="A271" s="65"/>
      <c r="B271" s="66"/>
      <c r="F271" s="62"/>
      <c r="G271" s="63"/>
    </row>
    <row r="272" ht="26.25" customHeight="1">
      <c r="A272" s="65"/>
      <c r="B272" s="66"/>
      <c r="F272" s="62"/>
      <c r="G272" s="63"/>
    </row>
    <row r="273" ht="26.25" customHeight="1">
      <c r="A273" s="65"/>
      <c r="B273" s="66"/>
      <c r="F273" s="62"/>
      <c r="G273" s="63"/>
    </row>
    <row r="274" ht="26.25" customHeight="1">
      <c r="A274" s="65"/>
      <c r="B274" s="66"/>
      <c r="F274" s="62"/>
      <c r="G274" s="63"/>
    </row>
    <row r="275" ht="26.25" customHeight="1">
      <c r="A275" s="65"/>
      <c r="B275" s="66"/>
      <c r="F275" s="62"/>
      <c r="G275" s="63"/>
    </row>
    <row r="276" ht="26.25" customHeight="1">
      <c r="A276" s="65"/>
      <c r="B276" s="66"/>
      <c r="F276" s="62"/>
      <c r="G276" s="63"/>
    </row>
    <row r="277" ht="26.25" customHeight="1">
      <c r="A277" s="65"/>
      <c r="B277" s="66"/>
      <c r="F277" s="62"/>
      <c r="G277" s="63"/>
    </row>
    <row r="278" ht="26.25" customHeight="1">
      <c r="A278" s="65"/>
      <c r="B278" s="66"/>
      <c r="F278" s="62"/>
      <c r="G278" s="63"/>
    </row>
    <row r="279" ht="26.25" customHeight="1">
      <c r="A279" s="65"/>
      <c r="B279" s="66"/>
      <c r="F279" s="62"/>
      <c r="G279" s="63"/>
    </row>
    <row r="280" ht="26.25" customHeight="1">
      <c r="A280" s="65"/>
      <c r="B280" s="66"/>
      <c r="F280" s="62"/>
      <c r="G280" s="63"/>
    </row>
    <row r="281" ht="26.25" customHeight="1">
      <c r="A281" s="65"/>
      <c r="B281" s="66"/>
      <c r="F281" s="62"/>
      <c r="G281" s="63"/>
    </row>
    <row r="282" ht="26.25" customHeight="1">
      <c r="A282" s="65"/>
      <c r="B282" s="66"/>
      <c r="F282" s="62"/>
      <c r="G282" s="63"/>
    </row>
    <row r="283" ht="26.25" customHeight="1">
      <c r="A283" s="65"/>
      <c r="B283" s="66"/>
      <c r="F283" s="62"/>
      <c r="G283" s="63"/>
    </row>
    <row r="284" ht="26.25" customHeight="1">
      <c r="A284" s="65"/>
      <c r="B284" s="66"/>
      <c r="F284" s="62"/>
      <c r="G284" s="63"/>
    </row>
    <row r="285" ht="26.25" customHeight="1">
      <c r="A285" s="65"/>
      <c r="B285" s="66"/>
      <c r="F285" s="62"/>
      <c r="G285" s="63"/>
    </row>
    <row r="286" ht="26.25" customHeight="1">
      <c r="A286" s="65"/>
      <c r="B286" s="66"/>
      <c r="F286" s="62"/>
      <c r="G286" s="63"/>
    </row>
    <row r="287" ht="26.25" customHeight="1">
      <c r="A287" s="65"/>
      <c r="B287" s="66"/>
      <c r="F287" s="62"/>
      <c r="G287" s="63"/>
    </row>
    <row r="288" ht="26.25" customHeight="1">
      <c r="A288" s="65"/>
      <c r="B288" s="66"/>
      <c r="F288" s="62"/>
      <c r="G288" s="63"/>
    </row>
    <row r="289" ht="26.25" customHeight="1">
      <c r="A289" s="65"/>
      <c r="B289" s="66"/>
      <c r="F289" s="62"/>
      <c r="G289" s="63"/>
    </row>
    <row r="290" ht="26.25" customHeight="1">
      <c r="A290" s="65"/>
      <c r="B290" s="66"/>
      <c r="F290" s="62"/>
      <c r="G290" s="63"/>
    </row>
    <row r="291" ht="26.25" customHeight="1">
      <c r="A291" s="65"/>
      <c r="B291" s="66"/>
      <c r="F291" s="62"/>
      <c r="G291" s="63"/>
    </row>
    <row r="292" ht="26.25" customHeight="1">
      <c r="A292" s="65"/>
      <c r="B292" s="66"/>
      <c r="F292" s="62"/>
      <c r="G292" s="63"/>
    </row>
    <row r="293" ht="26.25" customHeight="1">
      <c r="A293" s="65"/>
      <c r="B293" s="66"/>
      <c r="F293" s="62"/>
      <c r="G293" s="63"/>
    </row>
    <row r="294" ht="26.25" customHeight="1">
      <c r="A294" s="65"/>
      <c r="B294" s="66"/>
      <c r="F294" s="62"/>
      <c r="G294" s="63"/>
    </row>
    <row r="295" ht="26.25" customHeight="1">
      <c r="A295" s="65"/>
      <c r="B295" s="66"/>
      <c r="F295" s="62"/>
      <c r="G295" s="63"/>
    </row>
    <row r="296" ht="26.25" customHeight="1">
      <c r="A296" s="65"/>
      <c r="B296" s="66"/>
      <c r="F296" s="62"/>
      <c r="G296" s="63"/>
    </row>
    <row r="297" ht="26.25" customHeight="1">
      <c r="A297" s="65"/>
      <c r="B297" s="66"/>
      <c r="F297" s="62"/>
      <c r="G297" s="63"/>
    </row>
    <row r="298" ht="26.25" customHeight="1">
      <c r="A298" s="65"/>
      <c r="B298" s="66"/>
      <c r="F298" s="62"/>
      <c r="G298" s="63"/>
    </row>
    <row r="299" ht="26.25" customHeight="1">
      <c r="A299" s="65"/>
      <c r="B299" s="66"/>
      <c r="F299" s="62"/>
      <c r="G299" s="63"/>
    </row>
    <row r="300" ht="26.25" customHeight="1">
      <c r="A300" s="65"/>
      <c r="B300" s="66"/>
      <c r="F300" s="62"/>
      <c r="G300" s="63"/>
    </row>
    <row r="301" ht="26.25" customHeight="1">
      <c r="A301" s="65"/>
      <c r="B301" s="66"/>
      <c r="F301" s="62"/>
      <c r="G301" s="63"/>
    </row>
    <row r="302" ht="26.25" customHeight="1">
      <c r="A302" s="65"/>
      <c r="B302" s="66"/>
      <c r="F302" s="62"/>
      <c r="G302" s="63"/>
    </row>
    <row r="303" ht="26.25" customHeight="1">
      <c r="A303" s="65"/>
      <c r="B303" s="66"/>
      <c r="F303" s="62"/>
      <c r="G303" s="63"/>
    </row>
    <row r="304" ht="26.25" customHeight="1">
      <c r="A304" s="65"/>
      <c r="B304" s="66"/>
      <c r="F304" s="62"/>
      <c r="G304" s="63"/>
    </row>
    <row r="305" ht="26.25" customHeight="1">
      <c r="A305" s="65"/>
      <c r="B305" s="66"/>
      <c r="F305" s="62"/>
      <c r="G305" s="63"/>
    </row>
    <row r="306" ht="26.25" customHeight="1">
      <c r="A306" s="65"/>
      <c r="B306" s="66"/>
      <c r="F306" s="62"/>
      <c r="G306" s="63"/>
    </row>
    <row r="307" ht="26.25" customHeight="1">
      <c r="A307" s="65"/>
      <c r="B307" s="66"/>
      <c r="F307" s="62"/>
      <c r="G307" s="63"/>
    </row>
    <row r="308" ht="26.25" customHeight="1">
      <c r="A308" s="65"/>
      <c r="B308" s="66"/>
      <c r="F308" s="62"/>
      <c r="G308" s="63"/>
    </row>
    <row r="309" ht="26.25" customHeight="1">
      <c r="A309" s="65"/>
      <c r="B309" s="66"/>
      <c r="F309" s="62"/>
      <c r="G309" s="63"/>
    </row>
    <row r="310" ht="26.25" customHeight="1">
      <c r="A310" s="65"/>
      <c r="B310" s="66"/>
      <c r="F310" s="62"/>
      <c r="G310" s="63"/>
    </row>
    <row r="311" ht="26.25" customHeight="1">
      <c r="A311" s="65"/>
      <c r="B311" s="66"/>
      <c r="F311" s="62"/>
      <c r="G311" s="63"/>
    </row>
    <row r="312" ht="26.25" customHeight="1">
      <c r="A312" s="65"/>
      <c r="B312" s="66"/>
      <c r="F312" s="62"/>
      <c r="G312" s="63"/>
    </row>
    <row r="313" ht="26.25" customHeight="1">
      <c r="A313" s="65"/>
      <c r="B313" s="66"/>
      <c r="F313" s="62"/>
      <c r="G313" s="63"/>
    </row>
    <row r="314" ht="26.25" customHeight="1">
      <c r="A314" s="65"/>
      <c r="B314" s="66"/>
      <c r="F314" s="62"/>
      <c r="G314" s="63"/>
    </row>
    <row r="315" ht="26.25" customHeight="1">
      <c r="A315" s="65"/>
      <c r="B315" s="66"/>
      <c r="F315" s="62"/>
      <c r="G315" s="63"/>
    </row>
    <row r="316" ht="26.25" customHeight="1">
      <c r="A316" s="65"/>
      <c r="B316" s="66"/>
      <c r="F316" s="62"/>
      <c r="G316" s="63"/>
    </row>
    <row r="317" ht="26.25" customHeight="1">
      <c r="A317" s="65"/>
      <c r="B317" s="66"/>
      <c r="F317" s="62"/>
      <c r="G317" s="63"/>
    </row>
    <row r="318" ht="26.25" customHeight="1">
      <c r="A318" s="65"/>
      <c r="B318" s="66"/>
      <c r="F318" s="62"/>
      <c r="G318" s="63"/>
    </row>
    <row r="319" ht="26.25" customHeight="1">
      <c r="A319" s="65"/>
      <c r="B319" s="66"/>
      <c r="F319" s="62"/>
      <c r="G319" s="63"/>
    </row>
    <row r="320" ht="26.25" customHeight="1">
      <c r="A320" s="65"/>
      <c r="B320" s="66"/>
      <c r="F320" s="62"/>
      <c r="G320" s="63"/>
    </row>
    <row r="321" ht="26.25" customHeight="1">
      <c r="A321" s="65"/>
      <c r="B321" s="66"/>
      <c r="F321" s="62"/>
      <c r="G321" s="63"/>
    </row>
    <row r="322" ht="26.25" customHeight="1">
      <c r="A322" s="65"/>
      <c r="B322" s="66"/>
      <c r="F322" s="62"/>
      <c r="G322" s="63"/>
    </row>
    <row r="323" ht="26.25" customHeight="1">
      <c r="A323" s="65"/>
      <c r="B323" s="66"/>
      <c r="F323" s="62"/>
      <c r="G323" s="63"/>
    </row>
    <row r="324" ht="26.25" customHeight="1">
      <c r="A324" s="65"/>
      <c r="B324" s="66"/>
      <c r="F324" s="62"/>
      <c r="G324" s="63"/>
    </row>
    <row r="325" ht="26.25" customHeight="1">
      <c r="A325" s="65"/>
      <c r="B325" s="66"/>
      <c r="F325" s="62"/>
      <c r="G325" s="63"/>
    </row>
    <row r="326" ht="26.25" customHeight="1">
      <c r="A326" s="65"/>
      <c r="B326" s="66"/>
      <c r="F326" s="62"/>
      <c r="G326" s="63"/>
    </row>
    <row r="327" ht="26.25" customHeight="1">
      <c r="A327" s="65"/>
      <c r="B327" s="66"/>
      <c r="F327" s="62"/>
      <c r="G327" s="63"/>
    </row>
    <row r="328" ht="26.25" customHeight="1">
      <c r="A328" s="65"/>
      <c r="B328" s="66"/>
      <c r="F328" s="62"/>
      <c r="G328" s="63"/>
    </row>
    <row r="329" ht="26.25" customHeight="1">
      <c r="A329" s="65"/>
      <c r="B329" s="66"/>
      <c r="F329" s="62"/>
      <c r="G329" s="63"/>
    </row>
    <row r="330" ht="26.25" customHeight="1">
      <c r="A330" s="65"/>
      <c r="B330" s="66"/>
      <c r="F330" s="62"/>
      <c r="G330" s="63"/>
    </row>
    <row r="331" ht="26.25" customHeight="1">
      <c r="A331" s="65"/>
      <c r="B331" s="66"/>
      <c r="F331" s="62"/>
      <c r="G331" s="63"/>
    </row>
    <row r="332" ht="26.25" customHeight="1">
      <c r="A332" s="65"/>
      <c r="B332" s="66"/>
      <c r="F332" s="62"/>
      <c r="G332" s="63"/>
    </row>
    <row r="333" ht="26.25" customHeight="1">
      <c r="A333" s="65"/>
      <c r="B333" s="66"/>
      <c r="F333" s="62"/>
      <c r="G333" s="63"/>
    </row>
    <row r="334" ht="26.25" customHeight="1">
      <c r="A334" s="65"/>
      <c r="B334" s="66"/>
      <c r="F334" s="62"/>
      <c r="G334" s="63"/>
    </row>
    <row r="335" ht="26.25" customHeight="1">
      <c r="A335" s="65"/>
      <c r="B335" s="66"/>
      <c r="F335" s="62"/>
      <c r="G335" s="63"/>
    </row>
    <row r="336" ht="26.25" customHeight="1">
      <c r="A336" s="65"/>
      <c r="B336" s="66"/>
      <c r="F336" s="62"/>
      <c r="G336" s="63"/>
    </row>
    <row r="337" ht="26.25" customHeight="1">
      <c r="A337" s="65"/>
      <c r="B337" s="66"/>
      <c r="F337" s="62"/>
      <c r="G337" s="63"/>
    </row>
    <row r="338" ht="26.25" customHeight="1">
      <c r="A338" s="65"/>
      <c r="B338" s="66"/>
      <c r="F338" s="62"/>
      <c r="G338" s="63"/>
    </row>
    <row r="339" ht="26.25" customHeight="1">
      <c r="A339" s="65"/>
      <c r="B339" s="66"/>
      <c r="F339" s="62"/>
      <c r="G339" s="63"/>
    </row>
    <row r="340" ht="26.25" customHeight="1">
      <c r="A340" s="65"/>
      <c r="B340" s="66"/>
      <c r="F340" s="62"/>
      <c r="G340" s="63"/>
    </row>
    <row r="341" ht="26.25" customHeight="1">
      <c r="A341" s="65"/>
      <c r="B341" s="66"/>
      <c r="F341" s="62"/>
      <c r="G341" s="63"/>
    </row>
    <row r="342" ht="26.25" customHeight="1">
      <c r="A342" s="65"/>
      <c r="B342" s="66"/>
      <c r="F342" s="62"/>
      <c r="G342" s="63"/>
    </row>
    <row r="343" ht="26.25" customHeight="1">
      <c r="A343" s="65"/>
      <c r="B343" s="66"/>
      <c r="F343" s="62"/>
      <c r="G343" s="63"/>
    </row>
    <row r="344" ht="26.25" customHeight="1">
      <c r="A344" s="65"/>
      <c r="B344" s="66"/>
      <c r="F344" s="62"/>
      <c r="G344" s="63"/>
    </row>
    <row r="345" ht="26.25" customHeight="1">
      <c r="A345" s="65"/>
      <c r="B345" s="66"/>
      <c r="F345" s="62"/>
      <c r="G345" s="63"/>
    </row>
    <row r="346" ht="26.25" customHeight="1">
      <c r="A346" s="65"/>
      <c r="B346" s="66"/>
      <c r="F346" s="62"/>
      <c r="G346" s="63"/>
    </row>
    <row r="347" ht="26.25" customHeight="1">
      <c r="A347" s="65"/>
      <c r="B347" s="66"/>
      <c r="F347" s="62"/>
      <c r="G347" s="63"/>
    </row>
    <row r="348" ht="26.25" customHeight="1">
      <c r="A348" s="65"/>
      <c r="B348" s="66"/>
      <c r="F348" s="62"/>
      <c r="G348" s="63"/>
    </row>
    <row r="349" ht="26.25" customHeight="1">
      <c r="A349" s="65"/>
      <c r="B349" s="66"/>
      <c r="F349" s="62"/>
      <c r="G349" s="63"/>
    </row>
    <row r="350" ht="26.25" customHeight="1">
      <c r="A350" s="65"/>
      <c r="B350" s="66"/>
      <c r="F350" s="62"/>
      <c r="G350" s="63"/>
    </row>
    <row r="351" ht="26.25" customHeight="1">
      <c r="A351" s="65"/>
      <c r="B351" s="66"/>
      <c r="F351" s="62"/>
      <c r="G351" s="63"/>
    </row>
    <row r="352" ht="26.25" customHeight="1">
      <c r="A352" s="65"/>
      <c r="B352" s="66"/>
      <c r="F352" s="62"/>
      <c r="G352" s="63"/>
    </row>
    <row r="353" ht="26.25" customHeight="1">
      <c r="A353" s="65"/>
      <c r="B353" s="66"/>
      <c r="F353" s="62"/>
      <c r="G353" s="63"/>
    </row>
    <row r="354" ht="26.25" customHeight="1">
      <c r="A354" s="65"/>
      <c r="B354" s="66"/>
      <c r="F354" s="62"/>
      <c r="G354" s="63"/>
    </row>
    <row r="355" ht="26.25" customHeight="1">
      <c r="A355" s="65"/>
      <c r="B355" s="66"/>
      <c r="F355" s="62"/>
      <c r="G355" s="63"/>
    </row>
    <row r="356" ht="26.25" customHeight="1">
      <c r="A356" s="65"/>
      <c r="B356" s="66"/>
      <c r="F356" s="62"/>
      <c r="G356" s="63"/>
    </row>
    <row r="357" ht="26.25" customHeight="1">
      <c r="A357" s="65"/>
      <c r="B357" s="66"/>
      <c r="F357" s="62"/>
      <c r="G357" s="63"/>
    </row>
    <row r="358" ht="26.25" customHeight="1">
      <c r="A358" s="65"/>
      <c r="B358" s="66"/>
      <c r="F358" s="62"/>
      <c r="G358" s="63"/>
    </row>
    <row r="359" ht="26.25" customHeight="1">
      <c r="A359" s="65"/>
      <c r="B359" s="66"/>
      <c r="F359" s="62"/>
      <c r="G359" s="63"/>
    </row>
    <row r="360" ht="26.25" customHeight="1">
      <c r="A360" s="65"/>
      <c r="B360" s="66"/>
      <c r="F360" s="62"/>
      <c r="G360" s="63"/>
    </row>
    <row r="361" ht="26.25" customHeight="1">
      <c r="A361" s="65"/>
      <c r="B361" s="66"/>
      <c r="F361" s="62"/>
      <c r="G361" s="63"/>
    </row>
    <row r="362" ht="26.25" customHeight="1">
      <c r="A362" s="65"/>
      <c r="B362" s="66"/>
      <c r="F362" s="62"/>
      <c r="G362" s="63"/>
    </row>
    <row r="363" ht="26.25" customHeight="1">
      <c r="A363" s="65"/>
      <c r="B363" s="66"/>
      <c r="F363" s="62"/>
      <c r="G363" s="63"/>
    </row>
    <row r="364" ht="26.25" customHeight="1">
      <c r="A364" s="65"/>
      <c r="B364" s="66"/>
      <c r="F364" s="62"/>
      <c r="G364" s="63"/>
    </row>
    <row r="365" ht="26.25" customHeight="1">
      <c r="A365" s="65"/>
      <c r="B365" s="66"/>
      <c r="F365" s="62"/>
      <c r="G365" s="63"/>
    </row>
    <row r="366" ht="26.25" customHeight="1">
      <c r="A366" s="65"/>
      <c r="B366" s="66"/>
      <c r="F366" s="62"/>
      <c r="G366" s="63"/>
    </row>
    <row r="367" ht="26.25" customHeight="1">
      <c r="A367" s="65"/>
      <c r="B367" s="66"/>
      <c r="F367" s="62"/>
      <c r="G367" s="63"/>
    </row>
    <row r="368" ht="26.25" customHeight="1">
      <c r="A368" s="65"/>
      <c r="B368" s="66"/>
      <c r="F368" s="62"/>
      <c r="G368" s="63"/>
    </row>
    <row r="369" ht="26.25" customHeight="1">
      <c r="A369" s="65"/>
      <c r="B369" s="66"/>
      <c r="F369" s="62"/>
      <c r="G369" s="63"/>
    </row>
    <row r="370" ht="26.25" customHeight="1">
      <c r="A370" s="65"/>
      <c r="B370" s="66"/>
      <c r="F370" s="62"/>
      <c r="G370" s="63"/>
    </row>
    <row r="371" ht="26.25" customHeight="1">
      <c r="A371" s="65"/>
      <c r="B371" s="66"/>
      <c r="F371" s="62"/>
      <c r="G371" s="63"/>
    </row>
    <row r="372" ht="26.25" customHeight="1">
      <c r="A372" s="65"/>
      <c r="B372" s="66"/>
      <c r="F372" s="62"/>
      <c r="G372" s="63"/>
    </row>
    <row r="373" ht="26.25" customHeight="1">
      <c r="A373" s="65"/>
      <c r="B373" s="66"/>
      <c r="F373" s="62"/>
      <c r="G373" s="63"/>
    </row>
    <row r="374" ht="26.25" customHeight="1">
      <c r="A374" s="65"/>
      <c r="B374" s="66"/>
      <c r="F374" s="62"/>
      <c r="G374" s="63"/>
    </row>
    <row r="375" ht="26.25" customHeight="1">
      <c r="A375" s="65"/>
      <c r="B375" s="66"/>
      <c r="F375" s="62"/>
      <c r="G375" s="63"/>
    </row>
    <row r="376" ht="26.25" customHeight="1">
      <c r="A376" s="65"/>
      <c r="B376" s="66"/>
      <c r="F376" s="62"/>
      <c r="G376" s="63"/>
    </row>
    <row r="377" ht="26.25" customHeight="1">
      <c r="A377" s="65"/>
      <c r="B377" s="66"/>
      <c r="F377" s="62"/>
      <c r="G377" s="63"/>
    </row>
    <row r="378" ht="26.25" customHeight="1">
      <c r="A378" s="65"/>
      <c r="B378" s="66"/>
      <c r="F378" s="62"/>
      <c r="G378" s="63"/>
    </row>
    <row r="379" ht="26.25" customHeight="1">
      <c r="A379" s="65"/>
      <c r="B379" s="66"/>
      <c r="F379" s="62"/>
      <c r="G379" s="63"/>
    </row>
    <row r="380" ht="26.25" customHeight="1">
      <c r="A380" s="65"/>
      <c r="B380" s="66"/>
      <c r="F380" s="62"/>
      <c r="G380" s="63"/>
    </row>
    <row r="381" ht="26.25" customHeight="1">
      <c r="A381" s="65"/>
      <c r="B381" s="66"/>
      <c r="F381" s="62"/>
      <c r="G381" s="63"/>
    </row>
    <row r="382" ht="26.25" customHeight="1">
      <c r="A382" s="65"/>
      <c r="B382" s="66"/>
      <c r="F382" s="62"/>
      <c r="G382" s="63"/>
    </row>
    <row r="383" ht="26.25" customHeight="1">
      <c r="A383" s="65"/>
      <c r="B383" s="66"/>
      <c r="F383" s="62"/>
      <c r="G383" s="63"/>
    </row>
    <row r="384" ht="26.25" customHeight="1">
      <c r="A384" s="65"/>
      <c r="B384" s="66"/>
      <c r="F384" s="62"/>
      <c r="G384" s="63"/>
    </row>
    <row r="385" ht="26.25" customHeight="1">
      <c r="A385" s="65"/>
      <c r="B385" s="66"/>
      <c r="F385" s="62"/>
      <c r="G385" s="63"/>
    </row>
    <row r="386" ht="26.25" customHeight="1">
      <c r="A386" s="65"/>
      <c r="B386" s="66"/>
      <c r="F386" s="62"/>
      <c r="G386" s="63"/>
    </row>
    <row r="387" ht="26.25" customHeight="1">
      <c r="A387" s="65"/>
      <c r="B387" s="66"/>
      <c r="F387" s="62"/>
      <c r="G387" s="63"/>
    </row>
    <row r="388" ht="26.25" customHeight="1">
      <c r="A388" s="65"/>
      <c r="B388" s="66"/>
      <c r="F388" s="62"/>
      <c r="G388" s="63"/>
    </row>
    <row r="389" ht="26.25" customHeight="1">
      <c r="A389" s="65"/>
      <c r="B389" s="66"/>
      <c r="F389" s="62"/>
      <c r="G389" s="63"/>
    </row>
    <row r="390" ht="26.25" customHeight="1">
      <c r="A390" s="65"/>
      <c r="B390" s="66"/>
      <c r="F390" s="62"/>
      <c r="G390" s="63"/>
    </row>
    <row r="391" ht="26.25" customHeight="1">
      <c r="A391" s="65"/>
      <c r="B391" s="66"/>
      <c r="F391" s="62"/>
      <c r="G391" s="63"/>
    </row>
    <row r="392" ht="26.25" customHeight="1">
      <c r="A392" s="65"/>
      <c r="B392" s="66"/>
      <c r="F392" s="62"/>
      <c r="G392" s="63"/>
    </row>
    <row r="393" ht="26.25" customHeight="1">
      <c r="A393" s="65"/>
      <c r="B393" s="66"/>
      <c r="F393" s="62"/>
      <c r="G393" s="63"/>
    </row>
    <row r="394" ht="26.25" customHeight="1">
      <c r="A394" s="65"/>
      <c r="B394" s="66"/>
      <c r="F394" s="62"/>
      <c r="G394" s="63"/>
    </row>
    <row r="395" ht="26.25" customHeight="1">
      <c r="A395" s="65"/>
      <c r="B395" s="66"/>
      <c r="F395" s="62"/>
      <c r="G395" s="63"/>
    </row>
    <row r="396" ht="26.25" customHeight="1">
      <c r="A396" s="65"/>
      <c r="B396" s="66"/>
      <c r="F396" s="62"/>
      <c r="G396" s="63"/>
    </row>
    <row r="397" ht="26.25" customHeight="1">
      <c r="A397" s="65"/>
      <c r="B397" s="66"/>
      <c r="F397" s="62"/>
      <c r="G397" s="63"/>
    </row>
    <row r="398" ht="26.25" customHeight="1">
      <c r="A398" s="65"/>
      <c r="B398" s="66"/>
      <c r="F398" s="62"/>
      <c r="G398" s="63"/>
    </row>
    <row r="399" ht="26.25" customHeight="1">
      <c r="A399" s="65"/>
      <c r="B399" s="66"/>
      <c r="F399" s="62"/>
      <c r="G399" s="63"/>
    </row>
    <row r="400" ht="26.25" customHeight="1">
      <c r="A400" s="65"/>
      <c r="B400" s="66"/>
      <c r="F400" s="62"/>
      <c r="G400" s="63"/>
    </row>
    <row r="401" ht="26.25" customHeight="1">
      <c r="A401" s="65"/>
      <c r="B401" s="66"/>
      <c r="F401" s="62"/>
      <c r="G401" s="63"/>
    </row>
    <row r="402" ht="26.25" customHeight="1">
      <c r="A402" s="65"/>
      <c r="B402" s="66"/>
      <c r="F402" s="62"/>
      <c r="G402" s="63"/>
    </row>
    <row r="403" ht="26.25" customHeight="1">
      <c r="A403" s="65"/>
      <c r="B403" s="66"/>
      <c r="F403" s="62"/>
      <c r="G403" s="63"/>
    </row>
    <row r="404" ht="26.25" customHeight="1">
      <c r="A404" s="65"/>
      <c r="B404" s="66"/>
      <c r="F404" s="62"/>
      <c r="G404" s="63"/>
    </row>
    <row r="405" ht="26.25" customHeight="1">
      <c r="A405" s="65"/>
      <c r="B405" s="66"/>
      <c r="F405" s="62"/>
      <c r="G405" s="63"/>
    </row>
    <row r="406" ht="26.25" customHeight="1">
      <c r="A406" s="65"/>
      <c r="B406" s="66"/>
      <c r="F406" s="62"/>
      <c r="G406" s="63"/>
    </row>
    <row r="407" ht="26.25" customHeight="1">
      <c r="A407" s="65"/>
      <c r="B407" s="66"/>
      <c r="F407" s="62"/>
      <c r="G407" s="63"/>
    </row>
    <row r="408" ht="26.25" customHeight="1">
      <c r="A408" s="65"/>
      <c r="B408" s="66"/>
      <c r="F408" s="62"/>
      <c r="G408" s="63"/>
    </row>
    <row r="409" ht="26.25" customHeight="1">
      <c r="A409" s="65"/>
      <c r="B409" s="66"/>
      <c r="F409" s="62"/>
      <c r="G409" s="63"/>
    </row>
    <row r="410" ht="26.25" customHeight="1">
      <c r="A410" s="65"/>
      <c r="B410" s="66"/>
      <c r="F410" s="62"/>
      <c r="G410" s="63"/>
    </row>
    <row r="411" ht="26.25" customHeight="1">
      <c r="A411" s="65"/>
      <c r="B411" s="66"/>
      <c r="F411" s="62"/>
      <c r="G411" s="63"/>
    </row>
    <row r="412" ht="26.25" customHeight="1">
      <c r="A412" s="65"/>
      <c r="B412" s="66"/>
      <c r="F412" s="62"/>
      <c r="G412" s="63"/>
    </row>
    <row r="413" ht="26.25" customHeight="1">
      <c r="A413" s="65"/>
      <c r="B413" s="66"/>
      <c r="F413" s="62"/>
      <c r="G413" s="63"/>
    </row>
    <row r="414" ht="26.25" customHeight="1">
      <c r="A414" s="65"/>
      <c r="B414" s="66"/>
      <c r="F414" s="62"/>
      <c r="G414" s="63"/>
    </row>
    <row r="415" ht="26.25" customHeight="1">
      <c r="A415" s="65"/>
      <c r="B415" s="66"/>
      <c r="F415" s="62"/>
      <c r="G415" s="63"/>
    </row>
    <row r="416" ht="26.25" customHeight="1">
      <c r="A416" s="65"/>
      <c r="B416" s="66"/>
      <c r="F416" s="62"/>
      <c r="G416" s="63"/>
    </row>
    <row r="417" ht="26.25" customHeight="1">
      <c r="A417" s="65"/>
      <c r="B417" s="66"/>
      <c r="F417" s="62"/>
      <c r="G417" s="63"/>
    </row>
    <row r="418" ht="26.25" customHeight="1">
      <c r="A418" s="65"/>
      <c r="B418" s="66"/>
      <c r="F418" s="62"/>
      <c r="G418" s="63"/>
    </row>
    <row r="419" ht="26.25" customHeight="1">
      <c r="A419" s="65"/>
      <c r="B419" s="66"/>
      <c r="F419" s="62"/>
      <c r="G419" s="63"/>
    </row>
    <row r="420" ht="26.25" customHeight="1">
      <c r="A420" s="65"/>
      <c r="B420" s="66"/>
      <c r="F420" s="62"/>
      <c r="G420" s="63"/>
    </row>
    <row r="421" ht="26.25" customHeight="1">
      <c r="A421" s="65"/>
      <c r="B421" s="66"/>
      <c r="F421" s="62"/>
      <c r="G421" s="63"/>
    </row>
    <row r="422" ht="26.25" customHeight="1">
      <c r="A422" s="65"/>
      <c r="B422" s="66"/>
      <c r="F422" s="62"/>
      <c r="G422" s="63"/>
    </row>
    <row r="423" ht="26.25" customHeight="1">
      <c r="A423" s="65"/>
      <c r="B423" s="66"/>
      <c r="F423" s="62"/>
      <c r="G423" s="63"/>
    </row>
    <row r="424" ht="26.25" customHeight="1">
      <c r="A424" s="65"/>
      <c r="B424" s="66"/>
      <c r="F424" s="62"/>
      <c r="G424" s="63"/>
    </row>
    <row r="425" ht="26.25" customHeight="1">
      <c r="A425" s="65"/>
      <c r="B425" s="66"/>
      <c r="F425" s="62"/>
      <c r="G425" s="63"/>
    </row>
    <row r="426" ht="26.25" customHeight="1">
      <c r="A426" s="65"/>
      <c r="B426" s="66"/>
      <c r="F426" s="62"/>
      <c r="G426" s="63"/>
    </row>
    <row r="427" ht="26.25" customHeight="1">
      <c r="A427" s="65"/>
      <c r="B427" s="66"/>
      <c r="F427" s="62"/>
      <c r="G427" s="63"/>
    </row>
    <row r="428" ht="26.25" customHeight="1">
      <c r="A428" s="65"/>
      <c r="B428" s="66"/>
      <c r="F428" s="62"/>
      <c r="G428" s="63"/>
    </row>
    <row r="429" ht="26.25" customHeight="1">
      <c r="A429" s="65"/>
      <c r="B429" s="66"/>
      <c r="F429" s="62"/>
      <c r="G429" s="63"/>
    </row>
    <row r="430" ht="26.25" customHeight="1">
      <c r="A430" s="65"/>
      <c r="B430" s="66"/>
      <c r="F430" s="62"/>
      <c r="G430" s="63"/>
    </row>
    <row r="431" ht="26.25" customHeight="1">
      <c r="A431" s="65"/>
      <c r="B431" s="66"/>
      <c r="F431" s="62"/>
      <c r="G431" s="63"/>
    </row>
    <row r="432" ht="26.25" customHeight="1">
      <c r="A432" s="65"/>
      <c r="B432" s="66"/>
      <c r="F432" s="62"/>
      <c r="G432" s="63"/>
    </row>
    <row r="433" ht="26.25" customHeight="1">
      <c r="A433" s="65"/>
      <c r="B433" s="66"/>
      <c r="F433" s="62"/>
      <c r="G433" s="63"/>
    </row>
    <row r="434" ht="26.25" customHeight="1">
      <c r="A434" s="65"/>
      <c r="B434" s="66"/>
      <c r="F434" s="62"/>
      <c r="G434" s="63"/>
    </row>
    <row r="435" ht="26.25" customHeight="1">
      <c r="A435" s="65"/>
      <c r="B435" s="66"/>
      <c r="F435" s="62"/>
      <c r="G435" s="63"/>
    </row>
    <row r="436" ht="26.25" customHeight="1">
      <c r="A436" s="65"/>
      <c r="B436" s="66"/>
      <c r="F436" s="62"/>
      <c r="G436" s="63"/>
    </row>
    <row r="437" ht="26.25" customHeight="1">
      <c r="A437" s="65"/>
      <c r="B437" s="66"/>
      <c r="F437" s="62"/>
      <c r="G437" s="63"/>
    </row>
    <row r="438" ht="26.25" customHeight="1">
      <c r="A438" s="65"/>
      <c r="B438" s="66"/>
      <c r="F438" s="62"/>
      <c r="G438" s="63"/>
    </row>
    <row r="439" ht="26.25" customHeight="1">
      <c r="A439" s="65"/>
      <c r="B439" s="66"/>
      <c r="F439" s="62"/>
      <c r="G439" s="63"/>
    </row>
    <row r="440" ht="26.25" customHeight="1">
      <c r="A440" s="65"/>
      <c r="B440" s="66"/>
      <c r="F440" s="62"/>
      <c r="G440" s="63"/>
    </row>
    <row r="441" ht="26.25" customHeight="1">
      <c r="A441" s="65"/>
      <c r="B441" s="66"/>
      <c r="F441" s="62"/>
      <c r="G441" s="63"/>
    </row>
    <row r="442" ht="26.25" customHeight="1">
      <c r="A442" s="65"/>
      <c r="B442" s="66"/>
      <c r="F442" s="62"/>
      <c r="G442" s="63"/>
    </row>
    <row r="443" ht="26.25" customHeight="1">
      <c r="A443" s="65"/>
      <c r="B443" s="66"/>
      <c r="F443" s="62"/>
      <c r="G443" s="63"/>
    </row>
    <row r="444" ht="26.25" customHeight="1">
      <c r="A444" s="65"/>
      <c r="B444" s="66"/>
      <c r="F444" s="62"/>
      <c r="G444" s="63"/>
    </row>
    <row r="445" ht="26.25" customHeight="1">
      <c r="A445" s="65"/>
      <c r="B445" s="66"/>
      <c r="F445" s="62"/>
      <c r="G445" s="63"/>
    </row>
    <row r="446" ht="26.25" customHeight="1">
      <c r="A446" s="65"/>
      <c r="B446" s="66"/>
      <c r="F446" s="62"/>
      <c r="G446" s="63"/>
    </row>
    <row r="447" ht="26.25" customHeight="1">
      <c r="A447" s="65"/>
      <c r="B447" s="66"/>
      <c r="F447" s="62"/>
      <c r="G447" s="63"/>
    </row>
    <row r="448" ht="26.25" customHeight="1">
      <c r="A448" s="65"/>
      <c r="B448" s="66"/>
      <c r="F448" s="62"/>
      <c r="G448" s="63"/>
    </row>
    <row r="449" ht="26.25" customHeight="1">
      <c r="A449" s="65"/>
      <c r="B449" s="66"/>
      <c r="F449" s="62"/>
      <c r="G449" s="63"/>
    </row>
    <row r="450" ht="26.25" customHeight="1">
      <c r="A450" s="65"/>
      <c r="B450" s="66"/>
      <c r="F450" s="62"/>
      <c r="G450" s="63"/>
    </row>
    <row r="451" ht="26.25" customHeight="1">
      <c r="A451" s="65"/>
      <c r="B451" s="66"/>
      <c r="F451" s="62"/>
      <c r="G451" s="63"/>
    </row>
    <row r="452" ht="26.25" customHeight="1">
      <c r="A452" s="65"/>
      <c r="B452" s="66"/>
      <c r="F452" s="62"/>
      <c r="G452" s="63"/>
    </row>
    <row r="453" ht="26.25" customHeight="1">
      <c r="A453" s="65"/>
      <c r="B453" s="66"/>
      <c r="F453" s="62"/>
      <c r="G453" s="63"/>
    </row>
    <row r="454" ht="26.25" customHeight="1">
      <c r="A454" s="65"/>
      <c r="B454" s="66"/>
      <c r="F454" s="62"/>
      <c r="G454" s="63"/>
    </row>
    <row r="455" ht="26.25" customHeight="1">
      <c r="A455" s="65"/>
      <c r="B455" s="66"/>
      <c r="F455" s="62"/>
      <c r="G455" s="63"/>
    </row>
    <row r="456" ht="26.25" customHeight="1">
      <c r="A456" s="65"/>
      <c r="B456" s="66"/>
      <c r="F456" s="62"/>
      <c r="G456" s="63"/>
    </row>
    <row r="457" ht="26.25" customHeight="1">
      <c r="A457" s="65"/>
      <c r="B457" s="66"/>
      <c r="F457" s="62"/>
      <c r="G457" s="63"/>
    </row>
    <row r="458" ht="26.25" customHeight="1">
      <c r="A458" s="65"/>
      <c r="B458" s="66"/>
      <c r="F458" s="62"/>
      <c r="G458" s="63"/>
    </row>
    <row r="459" ht="26.25" customHeight="1">
      <c r="A459" s="65"/>
      <c r="B459" s="66"/>
      <c r="F459" s="62"/>
      <c r="G459" s="63"/>
    </row>
    <row r="460" ht="26.25" customHeight="1">
      <c r="A460" s="65"/>
      <c r="B460" s="66"/>
      <c r="F460" s="62"/>
      <c r="G460" s="63"/>
    </row>
    <row r="461" ht="26.25" customHeight="1">
      <c r="A461" s="65"/>
      <c r="B461" s="66"/>
      <c r="F461" s="62"/>
      <c r="G461" s="63"/>
    </row>
    <row r="462" ht="26.25" customHeight="1">
      <c r="A462" s="65"/>
      <c r="B462" s="66"/>
      <c r="F462" s="62"/>
      <c r="G462" s="63"/>
    </row>
    <row r="463" ht="26.25" customHeight="1">
      <c r="A463" s="65"/>
      <c r="B463" s="66"/>
      <c r="F463" s="62"/>
      <c r="G463" s="63"/>
    </row>
    <row r="464" ht="26.25" customHeight="1">
      <c r="A464" s="65"/>
      <c r="B464" s="66"/>
      <c r="F464" s="62"/>
      <c r="G464" s="63"/>
    </row>
    <row r="465" ht="26.25" customHeight="1">
      <c r="A465" s="65"/>
      <c r="B465" s="66"/>
      <c r="F465" s="62"/>
      <c r="G465" s="63"/>
    </row>
    <row r="466" ht="26.25" customHeight="1">
      <c r="A466" s="65"/>
      <c r="B466" s="66"/>
      <c r="F466" s="62"/>
      <c r="G466" s="63"/>
    </row>
    <row r="467" ht="26.25" customHeight="1">
      <c r="A467" s="65"/>
      <c r="B467" s="66"/>
      <c r="F467" s="62"/>
      <c r="G467" s="63"/>
    </row>
    <row r="468" ht="26.25" customHeight="1">
      <c r="A468" s="65"/>
      <c r="B468" s="66"/>
      <c r="F468" s="62"/>
      <c r="G468" s="63"/>
    </row>
    <row r="469" ht="26.25" customHeight="1">
      <c r="A469" s="65"/>
      <c r="B469" s="66"/>
      <c r="F469" s="62"/>
      <c r="G469" s="63"/>
    </row>
    <row r="470" ht="26.25" customHeight="1">
      <c r="A470" s="65"/>
      <c r="B470" s="66"/>
      <c r="F470" s="62"/>
      <c r="G470" s="63"/>
    </row>
    <row r="471" ht="26.25" customHeight="1">
      <c r="A471" s="65"/>
      <c r="B471" s="66"/>
      <c r="F471" s="62"/>
      <c r="G471" s="63"/>
    </row>
    <row r="472" ht="26.25" customHeight="1">
      <c r="A472" s="65"/>
      <c r="B472" s="66"/>
      <c r="F472" s="62"/>
      <c r="G472" s="63"/>
    </row>
    <row r="473" ht="26.25" customHeight="1">
      <c r="A473" s="65"/>
      <c r="B473" s="66"/>
      <c r="F473" s="62"/>
      <c r="G473" s="63"/>
    </row>
    <row r="474" ht="26.25" customHeight="1">
      <c r="A474" s="65"/>
      <c r="B474" s="66"/>
      <c r="F474" s="62"/>
      <c r="G474" s="63"/>
    </row>
    <row r="475" ht="26.25" customHeight="1">
      <c r="A475" s="65"/>
      <c r="B475" s="66"/>
      <c r="F475" s="62"/>
      <c r="G475" s="63"/>
    </row>
    <row r="476" ht="26.25" customHeight="1">
      <c r="A476" s="65"/>
      <c r="B476" s="66"/>
      <c r="F476" s="62"/>
      <c r="G476" s="63"/>
    </row>
    <row r="477" ht="26.25" customHeight="1">
      <c r="A477" s="65"/>
      <c r="B477" s="66"/>
      <c r="F477" s="62"/>
      <c r="G477" s="63"/>
    </row>
    <row r="478" ht="26.25" customHeight="1">
      <c r="A478" s="65"/>
      <c r="B478" s="66"/>
      <c r="F478" s="62"/>
      <c r="G478" s="63"/>
    </row>
    <row r="479" ht="26.25" customHeight="1">
      <c r="A479" s="65"/>
      <c r="B479" s="66"/>
      <c r="F479" s="62"/>
      <c r="G479" s="63"/>
    </row>
    <row r="480" ht="26.25" customHeight="1">
      <c r="A480" s="65"/>
      <c r="B480" s="66"/>
      <c r="F480" s="62"/>
      <c r="G480" s="63"/>
    </row>
    <row r="481" ht="26.25" customHeight="1">
      <c r="A481" s="65"/>
      <c r="B481" s="66"/>
      <c r="F481" s="62"/>
      <c r="G481" s="63"/>
    </row>
    <row r="482" ht="26.25" customHeight="1">
      <c r="A482" s="65"/>
      <c r="B482" s="66"/>
      <c r="F482" s="62"/>
      <c r="G482" s="63"/>
    </row>
    <row r="483" ht="26.25" customHeight="1">
      <c r="A483" s="65"/>
      <c r="B483" s="66"/>
      <c r="F483" s="62"/>
      <c r="G483" s="63"/>
    </row>
    <row r="484" ht="26.25" customHeight="1">
      <c r="A484" s="65"/>
      <c r="B484" s="66"/>
      <c r="F484" s="62"/>
      <c r="G484" s="63"/>
    </row>
    <row r="485" ht="26.25" customHeight="1">
      <c r="A485" s="65"/>
      <c r="B485" s="66"/>
      <c r="F485" s="62"/>
      <c r="G485" s="63"/>
    </row>
    <row r="486" ht="26.25" customHeight="1">
      <c r="A486" s="65"/>
      <c r="B486" s="66"/>
      <c r="F486" s="62"/>
      <c r="G486" s="63"/>
    </row>
    <row r="487" ht="26.25" customHeight="1">
      <c r="A487" s="65"/>
      <c r="B487" s="66"/>
      <c r="F487" s="62"/>
      <c r="G487" s="63"/>
    </row>
    <row r="488" ht="26.25" customHeight="1">
      <c r="A488" s="65"/>
      <c r="B488" s="66"/>
      <c r="F488" s="62"/>
      <c r="G488" s="63"/>
    </row>
    <row r="489" ht="26.25" customHeight="1">
      <c r="A489" s="65"/>
      <c r="B489" s="66"/>
      <c r="F489" s="62"/>
      <c r="G489" s="63"/>
    </row>
    <row r="490" ht="26.25" customHeight="1">
      <c r="A490" s="65"/>
      <c r="B490" s="66"/>
      <c r="F490" s="62"/>
      <c r="G490" s="63"/>
    </row>
    <row r="491" ht="26.25" customHeight="1">
      <c r="A491" s="65"/>
      <c r="B491" s="66"/>
      <c r="F491" s="62"/>
      <c r="G491" s="63"/>
    </row>
    <row r="492" ht="26.25" customHeight="1">
      <c r="A492" s="65"/>
      <c r="B492" s="66"/>
      <c r="F492" s="62"/>
      <c r="G492" s="63"/>
    </row>
    <row r="493" ht="26.25" customHeight="1">
      <c r="A493" s="65"/>
      <c r="B493" s="66"/>
      <c r="F493" s="62"/>
      <c r="G493" s="63"/>
    </row>
    <row r="494" ht="26.25" customHeight="1">
      <c r="A494" s="65"/>
      <c r="B494" s="66"/>
      <c r="F494" s="62"/>
      <c r="G494" s="63"/>
    </row>
    <row r="495" ht="26.25" customHeight="1">
      <c r="A495" s="65"/>
      <c r="B495" s="66"/>
      <c r="F495" s="62"/>
      <c r="G495" s="63"/>
    </row>
    <row r="496" ht="26.25" customHeight="1">
      <c r="A496" s="65"/>
      <c r="B496" s="66"/>
      <c r="F496" s="62"/>
      <c r="G496" s="63"/>
    </row>
    <row r="497" ht="26.25" customHeight="1">
      <c r="A497" s="65"/>
      <c r="B497" s="66"/>
      <c r="F497" s="62"/>
      <c r="G497" s="63"/>
    </row>
    <row r="498" ht="26.25" customHeight="1">
      <c r="A498" s="65"/>
      <c r="B498" s="66"/>
      <c r="F498" s="62"/>
      <c r="G498" s="63"/>
    </row>
    <row r="499" ht="26.25" customHeight="1">
      <c r="A499" s="65"/>
      <c r="B499" s="66"/>
      <c r="F499" s="62"/>
      <c r="G499" s="63"/>
    </row>
    <row r="500" ht="26.25" customHeight="1">
      <c r="A500" s="65"/>
      <c r="B500" s="66"/>
      <c r="F500" s="62"/>
      <c r="G500" s="63"/>
    </row>
    <row r="501" ht="26.25" customHeight="1">
      <c r="A501" s="65"/>
      <c r="B501" s="66"/>
      <c r="F501" s="62"/>
      <c r="G501" s="63"/>
    </row>
    <row r="502" ht="26.25" customHeight="1">
      <c r="A502" s="65"/>
      <c r="B502" s="66"/>
      <c r="F502" s="62"/>
      <c r="G502" s="63"/>
    </row>
    <row r="503" ht="26.25" customHeight="1">
      <c r="A503" s="65"/>
      <c r="B503" s="66"/>
      <c r="F503" s="62"/>
      <c r="G503" s="63"/>
    </row>
    <row r="504" ht="26.25" customHeight="1">
      <c r="A504" s="65"/>
      <c r="B504" s="66"/>
      <c r="F504" s="62"/>
      <c r="G504" s="63"/>
    </row>
    <row r="505" ht="26.25" customHeight="1">
      <c r="A505" s="65"/>
      <c r="B505" s="66"/>
      <c r="F505" s="62"/>
      <c r="G505" s="63"/>
    </row>
    <row r="506" ht="26.25" customHeight="1">
      <c r="A506" s="65"/>
      <c r="B506" s="66"/>
      <c r="F506" s="62"/>
      <c r="G506" s="63"/>
    </row>
    <row r="507" ht="26.25" customHeight="1">
      <c r="A507" s="65"/>
      <c r="B507" s="66"/>
      <c r="F507" s="62"/>
      <c r="G507" s="63"/>
    </row>
    <row r="508" ht="26.25" customHeight="1">
      <c r="A508" s="65"/>
      <c r="B508" s="66"/>
      <c r="F508" s="62"/>
      <c r="G508" s="63"/>
    </row>
    <row r="509" ht="26.25" customHeight="1">
      <c r="A509" s="65"/>
      <c r="B509" s="66"/>
      <c r="F509" s="62"/>
      <c r="G509" s="63"/>
    </row>
    <row r="510" ht="26.25" customHeight="1">
      <c r="A510" s="65"/>
      <c r="B510" s="66"/>
      <c r="F510" s="62"/>
      <c r="G510" s="63"/>
    </row>
    <row r="511" ht="26.25" customHeight="1">
      <c r="A511" s="65"/>
      <c r="B511" s="66"/>
      <c r="F511" s="62"/>
      <c r="G511" s="63"/>
    </row>
    <row r="512" ht="26.25" customHeight="1">
      <c r="A512" s="65"/>
      <c r="B512" s="66"/>
      <c r="F512" s="62"/>
      <c r="G512" s="63"/>
    </row>
    <row r="513" ht="26.25" customHeight="1">
      <c r="A513" s="65"/>
      <c r="B513" s="66"/>
      <c r="F513" s="62"/>
      <c r="G513" s="63"/>
    </row>
    <row r="514" ht="26.25" customHeight="1">
      <c r="A514" s="65"/>
      <c r="B514" s="66"/>
      <c r="F514" s="62"/>
      <c r="G514" s="63"/>
    </row>
    <row r="515" ht="26.25" customHeight="1">
      <c r="A515" s="65"/>
      <c r="B515" s="66"/>
      <c r="F515" s="62"/>
      <c r="G515" s="63"/>
    </row>
    <row r="516" ht="26.25" customHeight="1">
      <c r="A516" s="65"/>
      <c r="B516" s="66"/>
      <c r="F516" s="62"/>
      <c r="G516" s="63"/>
    </row>
    <row r="517" ht="26.25" customHeight="1">
      <c r="A517" s="65"/>
      <c r="B517" s="66"/>
      <c r="F517" s="62"/>
      <c r="G517" s="63"/>
    </row>
    <row r="518" ht="26.25" customHeight="1">
      <c r="A518" s="65"/>
      <c r="B518" s="66"/>
      <c r="F518" s="62"/>
      <c r="G518" s="63"/>
    </row>
    <row r="519" ht="26.25" customHeight="1">
      <c r="A519" s="65"/>
      <c r="B519" s="66"/>
      <c r="F519" s="62"/>
      <c r="G519" s="63"/>
    </row>
    <row r="520" ht="26.25" customHeight="1">
      <c r="A520" s="65"/>
      <c r="B520" s="66"/>
      <c r="F520" s="62"/>
      <c r="G520" s="63"/>
    </row>
    <row r="521" ht="26.25" customHeight="1">
      <c r="A521" s="65"/>
      <c r="B521" s="66"/>
      <c r="F521" s="62"/>
      <c r="G521" s="63"/>
    </row>
    <row r="522" ht="26.25" customHeight="1">
      <c r="A522" s="65"/>
      <c r="B522" s="66"/>
      <c r="F522" s="62"/>
      <c r="G522" s="63"/>
    </row>
    <row r="523" ht="26.25" customHeight="1">
      <c r="A523" s="65"/>
      <c r="B523" s="66"/>
      <c r="F523" s="62"/>
      <c r="G523" s="63"/>
    </row>
    <row r="524" ht="26.25" customHeight="1">
      <c r="A524" s="65"/>
      <c r="B524" s="66"/>
      <c r="F524" s="62"/>
      <c r="G524" s="63"/>
    </row>
    <row r="525" ht="26.25" customHeight="1">
      <c r="A525" s="65"/>
      <c r="B525" s="66"/>
      <c r="F525" s="62"/>
      <c r="G525" s="63"/>
    </row>
    <row r="526" ht="26.25" customHeight="1">
      <c r="A526" s="65"/>
      <c r="B526" s="66"/>
      <c r="F526" s="62"/>
      <c r="G526" s="63"/>
    </row>
    <row r="527" ht="26.25" customHeight="1">
      <c r="A527" s="65"/>
      <c r="B527" s="66"/>
      <c r="F527" s="62"/>
      <c r="G527" s="63"/>
    </row>
    <row r="528" ht="26.25" customHeight="1">
      <c r="A528" s="65"/>
      <c r="B528" s="66"/>
      <c r="F528" s="62"/>
      <c r="G528" s="63"/>
    </row>
    <row r="529" ht="26.25" customHeight="1">
      <c r="A529" s="65"/>
      <c r="B529" s="66"/>
      <c r="F529" s="62"/>
      <c r="G529" s="63"/>
    </row>
    <row r="530" ht="26.25" customHeight="1">
      <c r="A530" s="65"/>
      <c r="B530" s="66"/>
      <c r="F530" s="62"/>
      <c r="G530" s="63"/>
    </row>
    <row r="531" ht="26.25" customHeight="1">
      <c r="A531" s="65"/>
      <c r="B531" s="66"/>
      <c r="F531" s="62"/>
      <c r="G531" s="63"/>
    </row>
    <row r="532" ht="26.25" customHeight="1">
      <c r="A532" s="65"/>
      <c r="B532" s="66"/>
      <c r="F532" s="62"/>
      <c r="G532" s="63"/>
    </row>
    <row r="533" ht="26.25" customHeight="1">
      <c r="A533" s="65"/>
      <c r="B533" s="66"/>
      <c r="F533" s="62"/>
      <c r="G533" s="63"/>
    </row>
    <row r="534" ht="26.25" customHeight="1">
      <c r="A534" s="65"/>
      <c r="B534" s="66"/>
      <c r="F534" s="62"/>
      <c r="G534" s="63"/>
    </row>
    <row r="535" ht="26.25" customHeight="1">
      <c r="A535" s="65"/>
      <c r="B535" s="66"/>
      <c r="F535" s="62"/>
      <c r="G535" s="63"/>
    </row>
    <row r="536" ht="26.25" customHeight="1">
      <c r="A536" s="65"/>
      <c r="B536" s="66"/>
      <c r="F536" s="62"/>
      <c r="G536" s="63"/>
    </row>
    <row r="537" ht="26.25" customHeight="1">
      <c r="A537" s="65"/>
      <c r="B537" s="66"/>
      <c r="F537" s="62"/>
      <c r="G537" s="63"/>
    </row>
    <row r="538" ht="26.25" customHeight="1">
      <c r="A538" s="65"/>
      <c r="B538" s="66"/>
      <c r="F538" s="62"/>
      <c r="G538" s="63"/>
    </row>
    <row r="539" ht="26.25" customHeight="1">
      <c r="A539" s="65"/>
      <c r="B539" s="66"/>
      <c r="F539" s="62"/>
      <c r="G539" s="63"/>
    </row>
    <row r="540" ht="26.25" customHeight="1">
      <c r="A540" s="65"/>
      <c r="B540" s="66"/>
      <c r="F540" s="62"/>
      <c r="G540" s="63"/>
    </row>
    <row r="541" ht="26.25" customHeight="1">
      <c r="A541" s="65"/>
      <c r="B541" s="66"/>
      <c r="F541" s="62"/>
      <c r="G541" s="63"/>
    </row>
    <row r="542" ht="26.25" customHeight="1">
      <c r="A542" s="65"/>
      <c r="B542" s="66"/>
      <c r="F542" s="62"/>
      <c r="G542" s="63"/>
    </row>
    <row r="543" ht="26.25" customHeight="1">
      <c r="A543" s="65"/>
      <c r="B543" s="66"/>
      <c r="F543" s="62"/>
      <c r="G543" s="63"/>
    </row>
    <row r="544" ht="26.25" customHeight="1">
      <c r="A544" s="65"/>
      <c r="B544" s="66"/>
      <c r="F544" s="62"/>
      <c r="G544" s="63"/>
    </row>
    <row r="545" ht="26.25" customHeight="1">
      <c r="A545" s="65"/>
      <c r="B545" s="66"/>
      <c r="F545" s="62"/>
      <c r="G545" s="63"/>
    </row>
    <row r="546" ht="26.25" customHeight="1">
      <c r="A546" s="65"/>
      <c r="B546" s="66"/>
      <c r="F546" s="62"/>
      <c r="G546" s="63"/>
    </row>
    <row r="547" ht="26.25" customHeight="1">
      <c r="A547" s="65"/>
      <c r="B547" s="66"/>
      <c r="F547" s="62"/>
      <c r="G547" s="63"/>
    </row>
    <row r="548" ht="26.25" customHeight="1">
      <c r="A548" s="65"/>
      <c r="B548" s="66"/>
      <c r="F548" s="62"/>
      <c r="G548" s="63"/>
    </row>
    <row r="549" ht="26.25" customHeight="1">
      <c r="A549" s="65"/>
      <c r="B549" s="66"/>
      <c r="F549" s="62"/>
      <c r="G549" s="63"/>
    </row>
    <row r="550" ht="26.25" customHeight="1">
      <c r="A550" s="65"/>
      <c r="B550" s="66"/>
      <c r="F550" s="62"/>
      <c r="G550" s="63"/>
    </row>
    <row r="551" ht="26.25" customHeight="1">
      <c r="A551" s="65"/>
      <c r="B551" s="66"/>
      <c r="F551" s="62"/>
      <c r="G551" s="63"/>
    </row>
    <row r="552" ht="26.25" customHeight="1">
      <c r="A552" s="65"/>
      <c r="B552" s="66"/>
      <c r="F552" s="62"/>
      <c r="G552" s="63"/>
    </row>
    <row r="553" ht="26.25" customHeight="1">
      <c r="A553" s="65"/>
      <c r="B553" s="66"/>
      <c r="F553" s="62"/>
      <c r="G553" s="63"/>
    </row>
    <row r="554" ht="26.25" customHeight="1">
      <c r="A554" s="65"/>
      <c r="B554" s="66"/>
      <c r="F554" s="62"/>
      <c r="G554" s="63"/>
    </row>
    <row r="555" ht="26.25" customHeight="1">
      <c r="A555" s="65"/>
      <c r="B555" s="66"/>
      <c r="F555" s="62"/>
      <c r="G555" s="63"/>
    </row>
    <row r="556" ht="26.25" customHeight="1">
      <c r="A556" s="65"/>
      <c r="B556" s="66"/>
      <c r="F556" s="62"/>
      <c r="G556" s="63"/>
    </row>
    <row r="557" ht="26.25" customHeight="1">
      <c r="A557" s="65"/>
      <c r="B557" s="66"/>
      <c r="F557" s="62"/>
      <c r="G557" s="63"/>
    </row>
    <row r="558" ht="26.25" customHeight="1">
      <c r="A558" s="65"/>
      <c r="B558" s="66"/>
      <c r="F558" s="62"/>
      <c r="G558" s="63"/>
    </row>
    <row r="559" ht="26.25" customHeight="1">
      <c r="A559" s="65"/>
      <c r="B559" s="66"/>
      <c r="F559" s="62"/>
      <c r="G559" s="63"/>
    </row>
    <row r="560" ht="26.25" customHeight="1">
      <c r="A560" s="65"/>
      <c r="B560" s="66"/>
      <c r="F560" s="62"/>
      <c r="G560" s="63"/>
    </row>
    <row r="561" ht="26.25" customHeight="1">
      <c r="A561" s="65"/>
      <c r="B561" s="66"/>
      <c r="F561" s="62"/>
      <c r="G561" s="63"/>
    </row>
    <row r="562" ht="26.25" customHeight="1">
      <c r="A562" s="65"/>
      <c r="B562" s="66"/>
      <c r="F562" s="62"/>
      <c r="G562" s="63"/>
    </row>
    <row r="563" ht="26.25" customHeight="1">
      <c r="A563" s="65"/>
      <c r="B563" s="66"/>
      <c r="F563" s="62"/>
      <c r="G563" s="63"/>
    </row>
    <row r="564" ht="26.25" customHeight="1">
      <c r="A564" s="65"/>
      <c r="B564" s="66"/>
      <c r="F564" s="62"/>
      <c r="G564" s="63"/>
    </row>
    <row r="565" ht="26.25" customHeight="1">
      <c r="A565" s="65"/>
      <c r="B565" s="66"/>
      <c r="F565" s="62"/>
      <c r="G565" s="63"/>
    </row>
    <row r="566" ht="26.25" customHeight="1">
      <c r="A566" s="65"/>
      <c r="B566" s="66"/>
      <c r="F566" s="62"/>
      <c r="G566" s="63"/>
    </row>
    <row r="567" ht="26.25" customHeight="1">
      <c r="A567" s="65"/>
      <c r="B567" s="66"/>
      <c r="F567" s="62"/>
      <c r="G567" s="63"/>
    </row>
    <row r="568" ht="26.25" customHeight="1">
      <c r="A568" s="65"/>
      <c r="B568" s="66"/>
      <c r="F568" s="62"/>
      <c r="G568" s="63"/>
    </row>
    <row r="569" ht="26.25" customHeight="1">
      <c r="A569" s="65"/>
      <c r="B569" s="66"/>
      <c r="F569" s="62"/>
      <c r="G569" s="63"/>
    </row>
    <row r="570" ht="26.25" customHeight="1">
      <c r="A570" s="65"/>
      <c r="B570" s="66"/>
      <c r="F570" s="62"/>
      <c r="G570" s="63"/>
    </row>
    <row r="571" ht="26.25" customHeight="1">
      <c r="A571" s="65"/>
      <c r="B571" s="66"/>
      <c r="F571" s="62"/>
      <c r="G571" s="63"/>
    </row>
    <row r="572" ht="26.25" customHeight="1">
      <c r="A572" s="65"/>
      <c r="B572" s="66"/>
      <c r="F572" s="62"/>
      <c r="G572" s="63"/>
    </row>
    <row r="573" ht="26.25" customHeight="1">
      <c r="A573" s="65"/>
      <c r="B573" s="66"/>
      <c r="F573" s="62"/>
      <c r="G573" s="63"/>
    </row>
    <row r="574" ht="26.25" customHeight="1">
      <c r="A574" s="65"/>
      <c r="B574" s="66"/>
      <c r="F574" s="62"/>
      <c r="G574" s="63"/>
    </row>
    <row r="575" ht="26.25" customHeight="1">
      <c r="A575" s="65"/>
      <c r="B575" s="66"/>
      <c r="F575" s="62"/>
      <c r="G575" s="63"/>
    </row>
    <row r="576" ht="26.25" customHeight="1">
      <c r="A576" s="65"/>
      <c r="B576" s="66"/>
      <c r="F576" s="62"/>
      <c r="G576" s="63"/>
    </row>
    <row r="577" ht="26.25" customHeight="1">
      <c r="A577" s="65"/>
      <c r="B577" s="66"/>
      <c r="F577" s="62"/>
      <c r="G577" s="63"/>
    </row>
    <row r="578" ht="26.25" customHeight="1">
      <c r="A578" s="65"/>
      <c r="B578" s="66"/>
      <c r="F578" s="62"/>
      <c r="G578" s="63"/>
    </row>
    <row r="579" ht="26.25" customHeight="1">
      <c r="A579" s="65"/>
      <c r="B579" s="66"/>
      <c r="F579" s="62"/>
      <c r="G579" s="63"/>
    </row>
    <row r="580" ht="26.25" customHeight="1">
      <c r="A580" s="65"/>
      <c r="B580" s="66"/>
      <c r="F580" s="62"/>
      <c r="G580" s="63"/>
    </row>
    <row r="581" ht="26.25" customHeight="1">
      <c r="A581" s="65"/>
      <c r="B581" s="66"/>
      <c r="F581" s="62"/>
      <c r="G581" s="63"/>
    </row>
    <row r="582" ht="26.25" customHeight="1">
      <c r="A582" s="65"/>
      <c r="B582" s="66"/>
      <c r="F582" s="62"/>
      <c r="G582" s="63"/>
    </row>
    <row r="583" ht="26.25" customHeight="1">
      <c r="A583" s="65"/>
      <c r="B583" s="66"/>
      <c r="F583" s="62"/>
      <c r="G583" s="63"/>
    </row>
    <row r="584" ht="26.25" customHeight="1">
      <c r="A584" s="65"/>
      <c r="B584" s="66"/>
      <c r="F584" s="62"/>
      <c r="G584" s="63"/>
    </row>
    <row r="585" ht="26.25" customHeight="1">
      <c r="A585" s="65"/>
      <c r="B585" s="66"/>
      <c r="F585" s="62"/>
      <c r="G585" s="63"/>
    </row>
    <row r="586" ht="26.25" customHeight="1">
      <c r="A586" s="65"/>
      <c r="B586" s="66"/>
      <c r="F586" s="62"/>
      <c r="G586" s="63"/>
    </row>
    <row r="587" ht="26.25" customHeight="1">
      <c r="A587" s="65"/>
      <c r="B587" s="66"/>
      <c r="F587" s="62"/>
      <c r="G587" s="63"/>
    </row>
    <row r="588" ht="26.25" customHeight="1">
      <c r="A588" s="65"/>
      <c r="B588" s="66"/>
      <c r="F588" s="62"/>
      <c r="G588" s="63"/>
    </row>
    <row r="589" ht="26.25" customHeight="1">
      <c r="A589" s="65"/>
      <c r="B589" s="66"/>
      <c r="F589" s="62"/>
      <c r="G589" s="63"/>
    </row>
    <row r="590" ht="26.25" customHeight="1">
      <c r="A590" s="65"/>
      <c r="B590" s="66"/>
      <c r="F590" s="62"/>
      <c r="G590" s="63"/>
    </row>
    <row r="591" ht="26.25" customHeight="1">
      <c r="A591" s="65"/>
      <c r="B591" s="66"/>
      <c r="F591" s="62"/>
      <c r="G591" s="63"/>
    </row>
    <row r="592" ht="26.25" customHeight="1">
      <c r="A592" s="65"/>
      <c r="B592" s="66"/>
      <c r="F592" s="62"/>
      <c r="G592" s="63"/>
    </row>
    <row r="593" ht="26.25" customHeight="1">
      <c r="A593" s="65"/>
      <c r="B593" s="66"/>
      <c r="F593" s="62"/>
      <c r="G593" s="63"/>
    </row>
    <row r="594" ht="26.25" customHeight="1">
      <c r="A594" s="65"/>
      <c r="B594" s="66"/>
      <c r="F594" s="62"/>
      <c r="G594" s="63"/>
    </row>
    <row r="595" ht="26.25" customHeight="1">
      <c r="A595" s="65"/>
      <c r="B595" s="66"/>
      <c r="F595" s="62"/>
      <c r="G595" s="63"/>
    </row>
    <row r="596" ht="26.25" customHeight="1">
      <c r="A596" s="65"/>
      <c r="B596" s="66"/>
      <c r="F596" s="62"/>
      <c r="G596" s="63"/>
    </row>
    <row r="597" ht="26.25" customHeight="1">
      <c r="A597" s="65"/>
      <c r="B597" s="66"/>
      <c r="F597" s="62"/>
      <c r="G597" s="63"/>
    </row>
    <row r="598" ht="26.25" customHeight="1">
      <c r="A598" s="65"/>
      <c r="B598" s="66"/>
      <c r="F598" s="62"/>
      <c r="G598" s="63"/>
    </row>
    <row r="599" ht="26.25" customHeight="1">
      <c r="A599" s="65"/>
      <c r="B599" s="66"/>
      <c r="F599" s="62"/>
      <c r="G599" s="63"/>
    </row>
    <row r="600" ht="26.25" customHeight="1">
      <c r="A600" s="65"/>
      <c r="B600" s="66"/>
      <c r="F600" s="62"/>
      <c r="G600" s="63"/>
    </row>
    <row r="601" ht="26.25" customHeight="1">
      <c r="A601" s="65"/>
      <c r="B601" s="66"/>
      <c r="F601" s="62"/>
      <c r="G601" s="63"/>
    </row>
    <row r="602" ht="26.25" customHeight="1">
      <c r="A602" s="65"/>
      <c r="B602" s="66"/>
      <c r="F602" s="62"/>
      <c r="G602" s="63"/>
    </row>
    <row r="603" ht="26.25" customHeight="1">
      <c r="A603" s="65"/>
      <c r="B603" s="66"/>
      <c r="F603" s="62"/>
      <c r="G603" s="63"/>
    </row>
    <row r="604" ht="26.25" customHeight="1">
      <c r="A604" s="65"/>
      <c r="B604" s="66"/>
      <c r="F604" s="62"/>
      <c r="G604" s="63"/>
    </row>
    <row r="605" ht="26.25" customHeight="1">
      <c r="A605" s="65"/>
      <c r="B605" s="66"/>
      <c r="F605" s="62"/>
      <c r="G605" s="63"/>
    </row>
    <row r="606" ht="26.25" customHeight="1">
      <c r="A606" s="65"/>
      <c r="B606" s="66"/>
      <c r="F606" s="62"/>
      <c r="G606" s="63"/>
    </row>
    <row r="607" ht="26.25" customHeight="1">
      <c r="A607" s="65"/>
      <c r="B607" s="66"/>
      <c r="F607" s="62"/>
      <c r="G607" s="63"/>
    </row>
    <row r="608" ht="26.25" customHeight="1">
      <c r="A608" s="65"/>
      <c r="B608" s="66"/>
      <c r="F608" s="62"/>
      <c r="G608" s="63"/>
    </row>
    <row r="609" ht="26.25" customHeight="1">
      <c r="A609" s="65"/>
      <c r="B609" s="66"/>
      <c r="F609" s="62"/>
      <c r="G609" s="63"/>
    </row>
    <row r="610" ht="26.25" customHeight="1">
      <c r="A610" s="65"/>
      <c r="B610" s="66"/>
      <c r="F610" s="62"/>
      <c r="G610" s="63"/>
    </row>
    <row r="611" ht="26.25" customHeight="1">
      <c r="A611" s="65"/>
      <c r="B611" s="66"/>
      <c r="F611" s="62"/>
      <c r="G611" s="63"/>
    </row>
    <row r="612" ht="26.25" customHeight="1">
      <c r="A612" s="65"/>
      <c r="B612" s="66"/>
      <c r="F612" s="62"/>
      <c r="G612" s="63"/>
    </row>
    <row r="613" ht="26.25" customHeight="1">
      <c r="A613" s="65"/>
      <c r="B613" s="66"/>
      <c r="F613" s="62"/>
      <c r="G613" s="63"/>
    </row>
    <row r="614" ht="26.25" customHeight="1">
      <c r="A614" s="65"/>
      <c r="B614" s="66"/>
      <c r="F614" s="62"/>
      <c r="G614" s="63"/>
    </row>
    <row r="615" ht="26.25" customHeight="1">
      <c r="A615" s="65"/>
      <c r="B615" s="66"/>
      <c r="F615" s="62"/>
      <c r="G615" s="63"/>
    </row>
    <row r="616" ht="26.25" customHeight="1">
      <c r="A616" s="65"/>
      <c r="B616" s="66"/>
      <c r="F616" s="62"/>
      <c r="G616" s="63"/>
    </row>
    <row r="617" ht="26.25" customHeight="1">
      <c r="A617" s="65"/>
      <c r="B617" s="66"/>
      <c r="F617" s="62"/>
      <c r="G617" s="63"/>
    </row>
    <row r="618" ht="26.25" customHeight="1">
      <c r="A618" s="65"/>
      <c r="B618" s="66"/>
      <c r="F618" s="62"/>
      <c r="G618" s="63"/>
    </row>
    <row r="619" ht="26.25" customHeight="1">
      <c r="A619" s="65"/>
      <c r="B619" s="66"/>
      <c r="F619" s="62"/>
      <c r="G619" s="63"/>
    </row>
    <row r="620" ht="26.25" customHeight="1">
      <c r="A620" s="65"/>
      <c r="B620" s="66"/>
      <c r="F620" s="62"/>
      <c r="G620" s="63"/>
    </row>
    <row r="621" ht="26.25" customHeight="1">
      <c r="A621" s="65"/>
      <c r="B621" s="66"/>
      <c r="F621" s="62"/>
      <c r="G621" s="63"/>
    </row>
    <row r="622" ht="26.25" customHeight="1">
      <c r="A622" s="65"/>
      <c r="B622" s="66"/>
      <c r="F622" s="62"/>
      <c r="G622" s="63"/>
    </row>
    <row r="623" ht="26.25" customHeight="1">
      <c r="A623" s="65"/>
      <c r="B623" s="66"/>
      <c r="F623" s="62"/>
      <c r="G623" s="63"/>
    </row>
    <row r="624" ht="26.25" customHeight="1">
      <c r="A624" s="65"/>
      <c r="B624" s="66"/>
      <c r="F624" s="62"/>
      <c r="G624" s="63"/>
    </row>
    <row r="625" ht="26.25" customHeight="1">
      <c r="A625" s="65"/>
      <c r="B625" s="66"/>
      <c r="F625" s="62"/>
      <c r="G625" s="63"/>
    </row>
    <row r="626" ht="26.25" customHeight="1">
      <c r="A626" s="65"/>
      <c r="B626" s="66"/>
      <c r="F626" s="62"/>
      <c r="G626" s="63"/>
    </row>
    <row r="627" ht="26.25" customHeight="1">
      <c r="A627" s="65"/>
      <c r="B627" s="66"/>
      <c r="F627" s="62"/>
      <c r="G627" s="63"/>
    </row>
    <row r="628" ht="26.25" customHeight="1">
      <c r="A628" s="65"/>
      <c r="B628" s="66"/>
      <c r="F628" s="62"/>
      <c r="G628" s="63"/>
    </row>
    <row r="629" ht="26.25" customHeight="1">
      <c r="A629" s="65"/>
      <c r="B629" s="66"/>
      <c r="F629" s="62"/>
      <c r="G629" s="63"/>
    </row>
    <row r="630" ht="26.25" customHeight="1">
      <c r="A630" s="65"/>
      <c r="B630" s="66"/>
      <c r="F630" s="62"/>
      <c r="G630" s="63"/>
    </row>
    <row r="631" ht="26.25" customHeight="1">
      <c r="A631" s="65"/>
      <c r="B631" s="66"/>
      <c r="F631" s="62"/>
      <c r="G631" s="63"/>
    </row>
    <row r="632" ht="26.25" customHeight="1">
      <c r="A632" s="65"/>
      <c r="B632" s="66"/>
      <c r="F632" s="62"/>
      <c r="G632" s="63"/>
    </row>
    <row r="633" ht="26.25" customHeight="1">
      <c r="A633" s="65"/>
      <c r="B633" s="66"/>
      <c r="F633" s="62"/>
      <c r="G633" s="63"/>
    </row>
    <row r="634" ht="26.25" customHeight="1">
      <c r="A634" s="65"/>
      <c r="B634" s="66"/>
      <c r="F634" s="62"/>
      <c r="G634" s="63"/>
    </row>
    <row r="635" ht="26.25" customHeight="1">
      <c r="A635" s="65"/>
      <c r="B635" s="66"/>
      <c r="F635" s="62"/>
      <c r="G635" s="63"/>
    </row>
    <row r="636" ht="26.25" customHeight="1">
      <c r="A636" s="65"/>
      <c r="B636" s="66"/>
      <c r="F636" s="62"/>
      <c r="G636" s="63"/>
    </row>
    <row r="637" ht="26.25" customHeight="1">
      <c r="A637" s="65"/>
      <c r="B637" s="66"/>
      <c r="F637" s="62"/>
      <c r="G637" s="63"/>
    </row>
    <row r="638" ht="26.25" customHeight="1">
      <c r="A638" s="65"/>
      <c r="B638" s="66"/>
      <c r="F638" s="62"/>
      <c r="G638" s="63"/>
    </row>
    <row r="639" ht="26.25" customHeight="1">
      <c r="A639" s="65"/>
      <c r="B639" s="66"/>
      <c r="F639" s="62"/>
      <c r="G639" s="63"/>
    </row>
    <row r="640" ht="26.25" customHeight="1">
      <c r="A640" s="65"/>
      <c r="B640" s="66"/>
      <c r="F640" s="62"/>
      <c r="G640" s="63"/>
    </row>
    <row r="641" ht="26.25" customHeight="1">
      <c r="A641" s="65"/>
      <c r="B641" s="66"/>
      <c r="F641" s="62"/>
      <c r="G641" s="63"/>
    </row>
    <row r="642" ht="26.25" customHeight="1">
      <c r="A642" s="65"/>
      <c r="B642" s="66"/>
      <c r="F642" s="62"/>
      <c r="G642" s="63"/>
    </row>
    <row r="643" ht="26.25" customHeight="1">
      <c r="A643" s="65"/>
      <c r="B643" s="66"/>
      <c r="F643" s="62"/>
      <c r="G643" s="63"/>
    </row>
    <row r="644" ht="26.25" customHeight="1">
      <c r="A644" s="65"/>
      <c r="B644" s="66"/>
      <c r="F644" s="62"/>
      <c r="G644" s="63"/>
    </row>
    <row r="645" ht="26.25" customHeight="1">
      <c r="A645" s="65"/>
      <c r="B645" s="66"/>
      <c r="F645" s="62"/>
      <c r="G645" s="63"/>
    </row>
    <row r="646" ht="26.25" customHeight="1">
      <c r="A646" s="65"/>
      <c r="B646" s="66"/>
      <c r="F646" s="62"/>
      <c r="G646" s="63"/>
    </row>
    <row r="647" ht="26.25" customHeight="1">
      <c r="A647" s="65"/>
      <c r="B647" s="66"/>
      <c r="F647" s="62"/>
      <c r="G647" s="63"/>
    </row>
    <row r="648" ht="26.25" customHeight="1">
      <c r="A648" s="65"/>
      <c r="B648" s="66"/>
      <c r="F648" s="62"/>
      <c r="G648" s="63"/>
    </row>
    <row r="649" ht="26.25" customHeight="1">
      <c r="A649" s="65"/>
      <c r="B649" s="66"/>
      <c r="F649" s="62"/>
      <c r="G649" s="63"/>
    </row>
    <row r="650" ht="26.25" customHeight="1">
      <c r="A650" s="65"/>
      <c r="B650" s="66"/>
      <c r="F650" s="62"/>
      <c r="G650" s="63"/>
    </row>
    <row r="651" ht="26.25" customHeight="1">
      <c r="A651" s="65"/>
      <c r="B651" s="66"/>
      <c r="F651" s="62"/>
      <c r="G651" s="63"/>
    </row>
    <row r="652" ht="26.25" customHeight="1">
      <c r="A652" s="65"/>
      <c r="B652" s="66"/>
      <c r="F652" s="62"/>
      <c r="G652" s="63"/>
    </row>
    <row r="653" ht="26.25" customHeight="1">
      <c r="A653" s="65"/>
      <c r="B653" s="66"/>
      <c r="F653" s="62"/>
      <c r="G653" s="63"/>
    </row>
    <row r="654" ht="26.25" customHeight="1">
      <c r="A654" s="65"/>
      <c r="B654" s="66"/>
      <c r="F654" s="62"/>
      <c r="G654" s="63"/>
    </row>
    <row r="655" ht="26.25" customHeight="1">
      <c r="A655" s="65"/>
      <c r="B655" s="66"/>
      <c r="F655" s="62"/>
      <c r="G655" s="63"/>
    </row>
    <row r="656" ht="26.25" customHeight="1">
      <c r="A656" s="65"/>
      <c r="B656" s="66"/>
      <c r="F656" s="62"/>
      <c r="G656" s="63"/>
    </row>
    <row r="657" ht="26.25" customHeight="1">
      <c r="A657" s="65"/>
      <c r="B657" s="66"/>
      <c r="F657" s="62"/>
      <c r="G657" s="63"/>
    </row>
    <row r="658" ht="26.25" customHeight="1">
      <c r="A658" s="65"/>
      <c r="B658" s="66"/>
      <c r="F658" s="62"/>
      <c r="G658" s="63"/>
    </row>
    <row r="659" ht="26.25" customHeight="1">
      <c r="A659" s="65"/>
      <c r="B659" s="66"/>
      <c r="F659" s="62"/>
      <c r="G659" s="63"/>
    </row>
    <row r="660" ht="26.25" customHeight="1">
      <c r="A660" s="65"/>
      <c r="B660" s="66"/>
      <c r="F660" s="62"/>
      <c r="G660" s="63"/>
    </row>
    <row r="661" ht="26.25" customHeight="1">
      <c r="A661" s="65"/>
      <c r="B661" s="66"/>
      <c r="F661" s="62"/>
      <c r="G661" s="63"/>
    </row>
    <row r="662" ht="26.25" customHeight="1">
      <c r="A662" s="65"/>
      <c r="B662" s="66"/>
      <c r="F662" s="62"/>
      <c r="G662" s="63"/>
    </row>
    <row r="663" ht="26.25" customHeight="1">
      <c r="A663" s="65"/>
      <c r="B663" s="66"/>
      <c r="F663" s="62"/>
      <c r="G663" s="63"/>
    </row>
    <row r="664" ht="26.25" customHeight="1">
      <c r="A664" s="65"/>
      <c r="B664" s="66"/>
      <c r="F664" s="62"/>
      <c r="G664" s="63"/>
    </row>
    <row r="665" ht="26.25" customHeight="1">
      <c r="A665" s="65"/>
      <c r="B665" s="66"/>
      <c r="F665" s="62"/>
      <c r="G665" s="63"/>
    </row>
    <row r="666" ht="26.25" customHeight="1">
      <c r="A666" s="65"/>
      <c r="B666" s="66"/>
      <c r="F666" s="62"/>
      <c r="G666" s="63"/>
    </row>
    <row r="667" ht="26.25" customHeight="1">
      <c r="A667" s="65"/>
      <c r="B667" s="66"/>
      <c r="F667" s="62"/>
      <c r="G667" s="63"/>
    </row>
    <row r="668" ht="26.25" customHeight="1">
      <c r="A668" s="65"/>
      <c r="B668" s="66"/>
      <c r="F668" s="62"/>
      <c r="G668" s="63"/>
    </row>
    <row r="669" ht="26.25" customHeight="1">
      <c r="A669" s="65"/>
      <c r="B669" s="66"/>
      <c r="F669" s="62"/>
      <c r="G669" s="63"/>
    </row>
    <row r="670" ht="26.25" customHeight="1">
      <c r="A670" s="65"/>
      <c r="B670" s="66"/>
      <c r="F670" s="62"/>
      <c r="G670" s="63"/>
    </row>
    <row r="671" ht="26.25" customHeight="1">
      <c r="A671" s="65"/>
      <c r="B671" s="66"/>
      <c r="F671" s="62"/>
      <c r="G671" s="63"/>
    </row>
    <row r="672" ht="26.25" customHeight="1">
      <c r="A672" s="65"/>
      <c r="B672" s="66"/>
      <c r="F672" s="62"/>
      <c r="G672" s="63"/>
    </row>
    <row r="673" ht="26.25" customHeight="1">
      <c r="A673" s="65"/>
      <c r="B673" s="66"/>
      <c r="F673" s="62"/>
      <c r="G673" s="63"/>
    </row>
    <row r="674" ht="26.25" customHeight="1">
      <c r="A674" s="65"/>
      <c r="B674" s="66"/>
      <c r="F674" s="62"/>
      <c r="G674" s="63"/>
    </row>
    <row r="675" ht="26.25" customHeight="1">
      <c r="A675" s="65"/>
      <c r="B675" s="66"/>
      <c r="F675" s="62"/>
      <c r="G675" s="63"/>
    </row>
    <row r="676" ht="26.25" customHeight="1">
      <c r="A676" s="65"/>
      <c r="B676" s="66"/>
      <c r="F676" s="62"/>
      <c r="G676" s="63"/>
    </row>
    <row r="677" ht="26.25" customHeight="1">
      <c r="A677" s="65"/>
      <c r="B677" s="66"/>
      <c r="F677" s="62"/>
      <c r="G677" s="63"/>
    </row>
    <row r="678" ht="26.25" customHeight="1">
      <c r="A678" s="65"/>
      <c r="B678" s="66"/>
      <c r="F678" s="62"/>
      <c r="G678" s="63"/>
    </row>
    <row r="679" ht="26.25" customHeight="1">
      <c r="A679" s="65"/>
      <c r="B679" s="66"/>
      <c r="F679" s="62"/>
      <c r="G679" s="63"/>
    </row>
    <row r="680" ht="26.25" customHeight="1">
      <c r="A680" s="65"/>
      <c r="B680" s="66"/>
      <c r="F680" s="62"/>
      <c r="G680" s="63"/>
    </row>
    <row r="681" ht="26.25" customHeight="1">
      <c r="A681" s="65"/>
      <c r="B681" s="66"/>
      <c r="F681" s="62"/>
      <c r="G681" s="63"/>
    </row>
    <row r="682" ht="26.25" customHeight="1">
      <c r="A682" s="65"/>
      <c r="B682" s="66"/>
      <c r="F682" s="62"/>
      <c r="G682" s="63"/>
    </row>
    <row r="683" ht="26.25" customHeight="1">
      <c r="A683" s="65"/>
      <c r="B683" s="66"/>
      <c r="F683" s="62"/>
      <c r="G683" s="63"/>
    </row>
    <row r="684" ht="26.25" customHeight="1">
      <c r="A684" s="65"/>
      <c r="B684" s="66"/>
      <c r="F684" s="62"/>
      <c r="G684" s="63"/>
    </row>
    <row r="685" ht="26.25" customHeight="1">
      <c r="A685" s="65"/>
      <c r="B685" s="66"/>
      <c r="F685" s="62"/>
      <c r="G685" s="63"/>
    </row>
    <row r="686" ht="26.25" customHeight="1">
      <c r="A686" s="65"/>
      <c r="B686" s="66"/>
      <c r="F686" s="62"/>
      <c r="G686" s="63"/>
    </row>
    <row r="687" ht="26.25" customHeight="1">
      <c r="A687" s="65"/>
      <c r="B687" s="66"/>
      <c r="F687" s="62"/>
      <c r="G687" s="63"/>
    </row>
    <row r="688" ht="26.25" customHeight="1">
      <c r="A688" s="65"/>
      <c r="B688" s="66"/>
      <c r="F688" s="62"/>
      <c r="G688" s="63"/>
    </row>
    <row r="689" ht="26.25" customHeight="1">
      <c r="A689" s="65"/>
      <c r="B689" s="66"/>
      <c r="F689" s="62"/>
      <c r="G689" s="63"/>
    </row>
    <row r="690" ht="26.25" customHeight="1">
      <c r="A690" s="65"/>
      <c r="B690" s="66"/>
      <c r="F690" s="62"/>
      <c r="G690" s="63"/>
    </row>
    <row r="691" ht="26.25" customHeight="1">
      <c r="A691" s="65"/>
      <c r="B691" s="66"/>
      <c r="F691" s="62"/>
      <c r="G691" s="63"/>
    </row>
    <row r="692" ht="26.25" customHeight="1">
      <c r="A692" s="65"/>
      <c r="B692" s="66"/>
      <c r="F692" s="62"/>
      <c r="G692" s="63"/>
    </row>
    <row r="693" ht="26.25" customHeight="1">
      <c r="A693" s="65"/>
      <c r="B693" s="66"/>
      <c r="F693" s="62"/>
      <c r="G693" s="63"/>
    </row>
    <row r="694" ht="26.25" customHeight="1">
      <c r="A694" s="65"/>
      <c r="B694" s="66"/>
      <c r="F694" s="62"/>
      <c r="G694" s="63"/>
    </row>
    <row r="695" ht="26.25" customHeight="1">
      <c r="A695" s="65"/>
      <c r="B695" s="66"/>
      <c r="F695" s="62"/>
      <c r="G695" s="63"/>
    </row>
    <row r="696" ht="26.25" customHeight="1">
      <c r="A696" s="65"/>
      <c r="B696" s="66"/>
      <c r="F696" s="62"/>
      <c r="G696" s="63"/>
    </row>
    <row r="697" ht="26.25" customHeight="1">
      <c r="A697" s="65"/>
      <c r="B697" s="66"/>
      <c r="F697" s="62"/>
      <c r="G697" s="63"/>
    </row>
    <row r="698" ht="26.25" customHeight="1">
      <c r="A698" s="65"/>
      <c r="B698" s="66"/>
      <c r="F698" s="62"/>
      <c r="G698" s="63"/>
    </row>
    <row r="699" ht="26.25" customHeight="1">
      <c r="A699" s="65"/>
      <c r="B699" s="66"/>
      <c r="F699" s="62"/>
      <c r="G699" s="63"/>
    </row>
    <row r="700" ht="26.25" customHeight="1">
      <c r="A700" s="65"/>
      <c r="B700" s="66"/>
      <c r="F700" s="62"/>
      <c r="G700" s="63"/>
    </row>
    <row r="701" ht="26.25" customHeight="1">
      <c r="A701" s="65"/>
      <c r="B701" s="66"/>
      <c r="F701" s="62"/>
      <c r="G701" s="63"/>
    </row>
    <row r="702" ht="26.25" customHeight="1">
      <c r="A702" s="65"/>
      <c r="B702" s="66"/>
      <c r="F702" s="62"/>
      <c r="G702" s="63"/>
    </row>
    <row r="703" ht="26.25" customHeight="1">
      <c r="A703" s="65"/>
      <c r="B703" s="66"/>
      <c r="F703" s="62"/>
      <c r="G703" s="63"/>
    </row>
    <row r="704" ht="26.25" customHeight="1">
      <c r="A704" s="65"/>
      <c r="B704" s="66"/>
      <c r="F704" s="62"/>
      <c r="G704" s="63"/>
    </row>
    <row r="705" ht="26.25" customHeight="1">
      <c r="A705" s="65"/>
      <c r="B705" s="66"/>
      <c r="F705" s="62"/>
      <c r="G705" s="63"/>
    </row>
    <row r="706" ht="26.25" customHeight="1">
      <c r="A706" s="65"/>
      <c r="B706" s="66"/>
      <c r="F706" s="62"/>
      <c r="G706" s="63"/>
    </row>
    <row r="707" ht="26.25" customHeight="1">
      <c r="A707" s="65"/>
      <c r="B707" s="66"/>
      <c r="F707" s="62"/>
      <c r="G707" s="63"/>
    </row>
    <row r="708" ht="26.25" customHeight="1">
      <c r="A708" s="65"/>
      <c r="B708" s="66"/>
      <c r="F708" s="62"/>
      <c r="G708" s="63"/>
    </row>
    <row r="709" ht="26.25" customHeight="1">
      <c r="A709" s="65"/>
      <c r="B709" s="66"/>
      <c r="F709" s="62"/>
      <c r="G709" s="63"/>
    </row>
    <row r="710" ht="26.25" customHeight="1">
      <c r="A710" s="65"/>
      <c r="B710" s="66"/>
      <c r="F710" s="62"/>
      <c r="G710" s="63"/>
    </row>
    <row r="711" ht="26.25" customHeight="1">
      <c r="A711" s="65"/>
      <c r="B711" s="66"/>
      <c r="F711" s="62"/>
      <c r="G711" s="63"/>
    </row>
    <row r="712" ht="26.25" customHeight="1">
      <c r="A712" s="65"/>
      <c r="B712" s="66"/>
      <c r="F712" s="62"/>
      <c r="G712" s="63"/>
    </row>
    <row r="713" ht="26.25" customHeight="1">
      <c r="A713" s="65"/>
      <c r="B713" s="66"/>
      <c r="F713" s="62"/>
      <c r="G713" s="63"/>
    </row>
    <row r="714" ht="26.25" customHeight="1">
      <c r="A714" s="65"/>
      <c r="B714" s="66"/>
      <c r="F714" s="62"/>
      <c r="G714" s="63"/>
    </row>
    <row r="715" ht="26.25" customHeight="1">
      <c r="A715" s="65"/>
      <c r="B715" s="66"/>
      <c r="F715" s="62"/>
      <c r="G715" s="63"/>
    </row>
    <row r="716" ht="26.25" customHeight="1">
      <c r="A716" s="65"/>
      <c r="B716" s="66"/>
      <c r="F716" s="62"/>
      <c r="G716" s="63"/>
    </row>
    <row r="717" ht="26.25" customHeight="1">
      <c r="A717" s="65"/>
      <c r="B717" s="66"/>
      <c r="F717" s="62"/>
      <c r="G717" s="63"/>
    </row>
    <row r="718" ht="26.25" customHeight="1">
      <c r="A718" s="65"/>
      <c r="B718" s="66"/>
      <c r="F718" s="62"/>
      <c r="G718" s="63"/>
    </row>
    <row r="719" ht="26.25" customHeight="1">
      <c r="A719" s="65"/>
      <c r="B719" s="66"/>
      <c r="F719" s="62"/>
      <c r="G719" s="63"/>
    </row>
    <row r="720" ht="26.25" customHeight="1">
      <c r="A720" s="65"/>
      <c r="B720" s="66"/>
      <c r="F720" s="62"/>
      <c r="G720" s="63"/>
    </row>
    <row r="721" ht="26.25" customHeight="1">
      <c r="A721" s="65"/>
      <c r="B721" s="66"/>
      <c r="F721" s="62"/>
      <c r="G721" s="63"/>
    </row>
    <row r="722" ht="26.25" customHeight="1">
      <c r="A722" s="65"/>
      <c r="B722" s="66"/>
      <c r="F722" s="62"/>
      <c r="G722" s="63"/>
    </row>
    <row r="723" ht="26.25" customHeight="1">
      <c r="A723" s="65"/>
      <c r="B723" s="66"/>
      <c r="F723" s="62"/>
      <c r="G723" s="63"/>
    </row>
    <row r="724" ht="26.25" customHeight="1">
      <c r="A724" s="65"/>
      <c r="B724" s="66"/>
      <c r="F724" s="62"/>
      <c r="G724" s="63"/>
    </row>
    <row r="725" ht="26.25" customHeight="1">
      <c r="A725" s="65"/>
      <c r="B725" s="66"/>
      <c r="F725" s="62"/>
      <c r="G725" s="63"/>
    </row>
    <row r="726" ht="26.25" customHeight="1">
      <c r="A726" s="65"/>
      <c r="B726" s="66"/>
      <c r="F726" s="62"/>
      <c r="G726" s="63"/>
    </row>
    <row r="727" ht="26.25" customHeight="1">
      <c r="A727" s="65"/>
      <c r="B727" s="66"/>
      <c r="F727" s="62"/>
      <c r="G727" s="63"/>
    </row>
    <row r="728" ht="26.25" customHeight="1">
      <c r="A728" s="65"/>
      <c r="B728" s="66"/>
      <c r="F728" s="62"/>
      <c r="G728" s="63"/>
    </row>
    <row r="729" ht="26.25" customHeight="1">
      <c r="A729" s="65"/>
      <c r="B729" s="66"/>
      <c r="F729" s="62"/>
      <c r="G729" s="63"/>
    </row>
    <row r="730" ht="26.25" customHeight="1">
      <c r="A730" s="65"/>
      <c r="B730" s="66"/>
      <c r="F730" s="62"/>
      <c r="G730" s="63"/>
    </row>
    <row r="731" ht="26.25" customHeight="1">
      <c r="A731" s="65"/>
      <c r="B731" s="66"/>
      <c r="F731" s="62"/>
      <c r="G731" s="63"/>
    </row>
    <row r="732" ht="26.25" customHeight="1">
      <c r="A732" s="65"/>
      <c r="B732" s="66"/>
      <c r="F732" s="62"/>
      <c r="G732" s="63"/>
    </row>
    <row r="733" ht="26.25" customHeight="1">
      <c r="A733" s="65"/>
      <c r="B733" s="66"/>
      <c r="F733" s="62"/>
      <c r="G733" s="63"/>
    </row>
    <row r="734" ht="26.25" customHeight="1">
      <c r="A734" s="65"/>
      <c r="B734" s="66"/>
      <c r="F734" s="62"/>
      <c r="G734" s="63"/>
    </row>
    <row r="735" ht="26.25" customHeight="1">
      <c r="A735" s="65"/>
      <c r="B735" s="66"/>
      <c r="F735" s="62"/>
      <c r="G735" s="63"/>
    </row>
    <row r="736" ht="26.25" customHeight="1">
      <c r="A736" s="65"/>
      <c r="B736" s="66"/>
      <c r="F736" s="62"/>
      <c r="G736" s="63"/>
    </row>
    <row r="737" ht="26.25" customHeight="1">
      <c r="A737" s="65"/>
      <c r="B737" s="66"/>
      <c r="F737" s="62"/>
      <c r="G737" s="63"/>
    </row>
    <row r="738" ht="26.25" customHeight="1">
      <c r="A738" s="65"/>
      <c r="B738" s="66"/>
      <c r="F738" s="62"/>
      <c r="G738" s="63"/>
    </row>
    <row r="739" ht="26.25" customHeight="1">
      <c r="A739" s="65"/>
      <c r="B739" s="66"/>
      <c r="F739" s="62"/>
      <c r="G739" s="63"/>
    </row>
    <row r="740" ht="26.25" customHeight="1">
      <c r="A740" s="65"/>
      <c r="B740" s="66"/>
      <c r="F740" s="62"/>
      <c r="G740" s="63"/>
    </row>
    <row r="741" ht="26.25" customHeight="1">
      <c r="A741" s="65"/>
      <c r="B741" s="66"/>
      <c r="F741" s="62"/>
      <c r="G741" s="63"/>
    </row>
    <row r="742" ht="26.25" customHeight="1">
      <c r="A742" s="65"/>
      <c r="B742" s="66"/>
      <c r="F742" s="62"/>
      <c r="G742" s="63"/>
    </row>
    <row r="743" ht="26.25" customHeight="1">
      <c r="A743" s="65"/>
      <c r="B743" s="66"/>
      <c r="F743" s="62"/>
      <c r="G743" s="63"/>
    </row>
    <row r="744" ht="26.25" customHeight="1">
      <c r="A744" s="65"/>
      <c r="B744" s="66"/>
      <c r="F744" s="62"/>
      <c r="G744" s="63"/>
    </row>
    <row r="745" ht="26.25" customHeight="1">
      <c r="A745" s="65"/>
      <c r="B745" s="66"/>
      <c r="F745" s="62"/>
      <c r="G745" s="63"/>
    </row>
    <row r="746" ht="26.25" customHeight="1">
      <c r="A746" s="65"/>
      <c r="B746" s="66"/>
      <c r="F746" s="62"/>
      <c r="G746" s="63"/>
    </row>
    <row r="747" ht="26.25" customHeight="1">
      <c r="A747" s="65"/>
      <c r="B747" s="66"/>
      <c r="F747" s="62"/>
      <c r="G747" s="63"/>
    </row>
    <row r="748" ht="26.25" customHeight="1">
      <c r="A748" s="65"/>
      <c r="B748" s="66"/>
      <c r="F748" s="62"/>
      <c r="G748" s="63"/>
    </row>
    <row r="749" ht="26.25" customHeight="1">
      <c r="A749" s="65"/>
      <c r="B749" s="66"/>
      <c r="F749" s="62"/>
      <c r="G749" s="63"/>
    </row>
    <row r="750" ht="26.25" customHeight="1">
      <c r="A750" s="65"/>
      <c r="B750" s="66"/>
      <c r="F750" s="62"/>
      <c r="G750" s="63"/>
    </row>
    <row r="751" ht="26.25" customHeight="1">
      <c r="A751" s="65"/>
      <c r="B751" s="66"/>
      <c r="F751" s="62"/>
      <c r="G751" s="63"/>
    </row>
    <row r="752" ht="26.25" customHeight="1">
      <c r="A752" s="65"/>
      <c r="B752" s="66"/>
      <c r="F752" s="62"/>
      <c r="G752" s="63"/>
    </row>
    <row r="753" ht="26.25" customHeight="1">
      <c r="A753" s="65"/>
      <c r="B753" s="66"/>
      <c r="F753" s="62"/>
      <c r="G753" s="63"/>
    </row>
    <row r="754" ht="26.25" customHeight="1">
      <c r="A754" s="65"/>
      <c r="B754" s="66"/>
      <c r="F754" s="62"/>
      <c r="G754" s="63"/>
    </row>
    <row r="755" ht="26.25" customHeight="1">
      <c r="A755" s="65"/>
      <c r="B755" s="66"/>
      <c r="F755" s="62"/>
      <c r="G755" s="63"/>
    </row>
    <row r="756" ht="26.25" customHeight="1">
      <c r="A756" s="65"/>
      <c r="B756" s="66"/>
      <c r="F756" s="62"/>
      <c r="G756" s="63"/>
    </row>
    <row r="757" ht="26.25" customHeight="1">
      <c r="A757" s="65"/>
      <c r="B757" s="66"/>
      <c r="F757" s="62"/>
      <c r="G757" s="63"/>
    </row>
    <row r="758" ht="26.25" customHeight="1">
      <c r="A758" s="65"/>
      <c r="B758" s="66"/>
      <c r="F758" s="62"/>
      <c r="G758" s="63"/>
    </row>
    <row r="759" ht="26.25" customHeight="1">
      <c r="A759" s="65"/>
      <c r="B759" s="66"/>
      <c r="F759" s="62"/>
      <c r="G759" s="63"/>
    </row>
    <row r="760" ht="26.25" customHeight="1">
      <c r="A760" s="65"/>
      <c r="B760" s="66"/>
      <c r="F760" s="62"/>
      <c r="G760" s="63"/>
    </row>
    <row r="761" ht="26.25" customHeight="1">
      <c r="A761" s="65"/>
      <c r="B761" s="66"/>
      <c r="F761" s="62"/>
      <c r="G761" s="63"/>
    </row>
    <row r="762" ht="26.25" customHeight="1">
      <c r="A762" s="65"/>
      <c r="B762" s="66"/>
      <c r="F762" s="62"/>
      <c r="G762" s="63"/>
    </row>
    <row r="763" ht="26.25" customHeight="1">
      <c r="A763" s="65"/>
      <c r="B763" s="66"/>
      <c r="F763" s="62"/>
      <c r="G763" s="63"/>
    </row>
    <row r="764" ht="26.25" customHeight="1">
      <c r="A764" s="65"/>
      <c r="B764" s="66"/>
      <c r="F764" s="62"/>
      <c r="G764" s="63"/>
    </row>
    <row r="765" ht="26.25" customHeight="1">
      <c r="A765" s="65"/>
      <c r="B765" s="66"/>
      <c r="F765" s="62"/>
      <c r="G765" s="63"/>
    </row>
    <row r="766" ht="26.25" customHeight="1">
      <c r="A766" s="65"/>
      <c r="B766" s="66"/>
      <c r="F766" s="62"/>
      <c r="G766" s="63"/>
    </row>
    <row r="767" ht="26.25" customHeight="1">
      <c r="A767" s="65"/>
      <c r="B767" s="66"/>
      <c r="F767" s="62"/>
      <c r="G767" s="63"/>
    </row>
    <row r="768" ht="26.25" customHeight="1">
      <c r="A768" s="65"/>
      <c r="B768" s="66"/>
      <c r="F768" s="62"/>
      <c r="G768" s="63"/>
    </row>
    <row r="769" ht="26.25" customHeight="1">
      <c r="A769" s="65"/>
      <c r="B769" s="66"/>
      <c r="F769" s="62"/>
      <c r="G769" s="63"/>
    </row>
    <row r="770" ht="26.25" customHeight="1">
      <c r="A770" s="65"/>
      <c r="B770" s="66"/>
      <c r="F770" s="62"/>
      <c r="G770" s="63"/>
    </row>
    <row r="771" ht="26.25" customHeight="1">
      <c r="A771" s="65"/>
      <c r="B771" s="66"/>
      <c r="F771" s="62"/>
      <c r="G771" s="63"/>
    </row>
    <row r="772" ht="26.25" customHeight="1">
      <c r="A772" s="65"/>
      <c r="B772" s="66"/>
      <c r="F772" s="62"/>
      <c r="G772" s="63"/>
    </row>
    <row r="773" ht="26.25" customHeight="1">
      <c r="A773" s="65"/>
      <c r="B773" s="66"/>
      <c r="F773" s="62"/>
      <c r="G773" s="63"/>
    </row>
    <row r="774" ht="26.25" customHeight="1">
      <c r="A774" s="65"/>
      <c r="B774" s="66"/>
      <c r="F774" s="62"/>
      <c r="G774" s="63"/>
    </row>
    <row r="775" ht="26.25" customHeight="1">
      <c r="A775" s="65"/>
      <c r="B775" s="66"/>
      <c r="F775" s="62"/>
      <c r="G775" s="63"/>
    </row>
    <row r="776" ht="26.25" customHeight="1">
      <c r="A776" s="65"/>
      <c r="B776" s="66"/>
      <c r="F776" s="62"/>
      <c r="G776" s="63"/>
    </row>
    <row r="777" ht="26.25" customHeight="1">
      <c r="A777" s="65"/>
      <c r="B777" s="66"/>
      <c r="F777" s="62"/>
      <c r="G777" s="63"/>
    </row>
    <row r="778" ht="26.25" customHeight="1">
      <c r="A778" s="65"/>
      <c r="B778" s="66"/>
      <c r="F778" s="62"/>
      <c r="G778" s="63"/>
    </row>
    <row r="779" ht="26.25" customHeight="1">
      <c r="A779" s="65"/>
      <c r="B779" s="66"/>
      <c r="F779" s="62"/>
      <c r="G779" s="63"/>
    </row>
    <row r="780" ht="26.25" customHeight="1">
      <c r="A780" s="65"/>
      <c r="B780" s="66"/>
      <c r="F780" s="62"/>
      <c r="G780" s="63"/>
    </row>
    <row r="781" ht="26.25" customHeight="1">
      <c r="A781" s="65"/>
      <c r="B781" s="66"/>
      <c r="F781" s="62"/>
      <c r="G781" s="63"/>
    </row>
    <row r="782" ht="26.25" customHeight="1">
      <c r="A782" s="65"/>
      <c r="B782" s="66"/>
      <c r="F782" s="62"/>
      <c r="G782" s="63"/>
    </row>
    <row r="783" ht="26.25" customHeight="1">
      <c r="A783" s="65"/>
      <c r="B783" s="66"/>
      <c r="F783" s="62"/>
      <c r="G783" s="63"/>
    </row>
    <row r="784" ht="26.25" customHeight="1">
      <c r="A784" s="65"/>
      <c r="B784" s="66"/>
      <c r="F784" s="62"/>
      <c r="G784" s="63"/>
    </row>
    <row r="785" ht="26.25" customHeight="1">
      <c r="A785" s="65"/>
      <c r="B785" s="66"/>
      <c r="F785" s="62"/>
      <c r="G785" s="63"/>
    </row>
    <row r="786" ht="26.25" customHeight="1">
      <c r="A786" s="65"/>
      <c r="B786" s="66"/>
      <c r="F786" s="62"/>
      <c r="G786" s="63"/>
    </row>
    <row r="787" ht="26.25" customHeight="1">
      <c r="A787" s="65"/>
      <c r="B787" s="66"/>
      <c r="F787" s="62"/>
      <c r="G787" s="63"/>
    </row>
    <row r="788" ht="26.25" customHeight="1">
      <c r="A788" s="65"/>
      <c r="B788" s="66"/>
      <c r="F788" s="62"/>
      <c r="G788" s="63"/>
    </row>
    <row r="789" ht="26.25" customHeight="1">
      <c r="A789" s="65"/>
      <c r="B789" s="66"/>
      <c r="F789" s="62"/>
      <c r="G789" s="63"/>
    </row>
    <row r="790" ht="26.25" customHeight="1">
      <c r="A790" s="65"/>
      <c r="B790" s="66"/>
      <c r="F790" s="62"/>
      <c r="G790" s="63"/>
    </row>
    <row r="791" ht="26.25" customHeight="1">
      <c r="A791" s="65"/>
      <c r="B791" s="66"/>
      <c r="F791" s="62"/>
      <c r="G791" s="63"/>
    </row>
    <row r="792" ht="26.25" customHeight="1">
      <c r="A792" s="65"/>
      <c r="B792" s="66"/>
      <c r="F792" s="62"/>
      <c r="G792" s="63"/>
    </row>
    <row r="793" ht="26.25" customHeight="1">
      <c r="A793" s="65"/>
      <c r="B793" s="66"/>
      <c r="F793" s="62"/>
      <c r="G793" s="63"/>
    </row>
    <row r="794" ht="26.25" customHeight="1">
      <c r="A794" s="65"/>
      <c r="B794" s="66"/>
      <c r="F794" s="62"/>
      <c r="G794" s="63"/>
    </row>
    <row r="795" ht="26.25" customHeight="1">
      <c r="A795" s="65"/>
      <c r="B795" s="66"/>
      <c r="F795" s="62"/>
      <c r="G795" s="63"/>
    </row>
    <row r="796" ht="26.25" customHeight="1">
      <c r="A796" s="65"/>
      <c r="B796" s="66"/>
      <c r="F796" s="62"/>
      <c r="G796" s="63"/>
    </row>
    <row r="797" ht="26.25" customHeight="1">
      <c r="A797" s="65"/>
      <c r="B797" s="66"/>
      <c r="F797" s="62"/>
      <c r="G797" s="63"/>
    </row>
    <row r="798" ht="26.25" customHeight="1">
      <c r="A798" s="65"/>
      <c r="B798" s="66"/>
      <c r="F798" s="62"/>
      <c r="G798" s="63"/>
    </row>
    <row r="799" ht="26.25" customHeight="1">
      <c r="A799" s="65"/>
      <c r="B799" s="66"/>
      <c r="F799" s="62"/>
      <c r="G799" s="63"/>
    </row>
    <row r="800" ht="26.25" customHeight="1">
      <c r="A800" s="65"/>
      <c r="B800" s="66"/>
      <c r="F800" s="62"/>
      <c r="G800" s="63"/>
    </row>
    <row r="801" ht="26.25" customHeight="1">
      <c r="A801" s="65"/>
      <c r="B801" s="66"/>
      <c r="F801" s="62"/>
      <c r="G801" s="63"/>
    </row>
    <row r="802" ht="26.25" customHeight="1">
      <c r="A802" s="65"/>
      <c r="B802" s="66"/>
      <c r="F802" s="62"/>
      <c r="G802" s="63"/>
    </row>
    <row r="803" ht="26.25" customHeight="1">
      <c r="A803" s="65"/>
      <c r="B803" s="66"/>
      <c r="F803" s="62"/>
      <c r="G803" s="63"/>
    </row>
    <row r="804" ht="26.25" customHeight="1">
      <c r="A804" s="65"/>
      <c r="B804" s="66"/>
      <c r="F804" s="62"/>
      <c r="G804" s="63"/>
    </row>
    <row r="805" ht="26.25" customHeight="1">
      <c r="A805" s="65"/>
      <c r="B805" s="66"/>
      <c r="F805" s="62"/>
      <c r="G805" s="63"/>
    </row>
    <row r="806" ht="26.25" customHeight="1">
      <c r="A806" s="65"/>
      <c r="B806" s="66"/>
      <c r="F806" s="62"/>
      <c r="G806" s="63"/>
    </row>
    <row r="807" ht="26.25" customHeight="1">
      <c r="A807" s="65"/>
      <c r="B807" s="66"/>
      <c r="F807" s="62"/>
      <c r="G807" s="63"/>
    </row>
    <row r="808" ht="26.25" customHeight="1">
      <c r="A808" s="65"/>
      <c r="B808" s="66"/>
      <c r="F808" s="62"/>
      <c r="G808" s="63"/>
    </row>
    <row r="809" ht="26.25" customHeight="1">
      <c r="A809" s="65"/>
      <c r="B809" s="66"/>
      <c r="F809" s="62"/>
      <c r="G809" s="63"/>
    </row>
    <row r="810" ht="26.25" customHeight="1">
      <c r="A810" s="65"/>
      <c r="B810" s="66"/>
      <c r="F810" s="62"/>
      <c r="G810" s="63"/>
    </row>
    <row r="811" ht="26.25" customHeight="1">
      <c r="A811" s="65"/>
      <c r="B811" s="66"/>
      <c r="F811" s="62"/>
      <c r="G811" s="63"/>
    </row>
    <row r="812" ht="26.25" customHeight="1">
      <c r="A812" s="65"/>
      <c r="B812" s="66"/>
      <c r="F812" s="62"/>
      <c r="G812" s="63"/>
    </row>
    <row r="813" ht="26.25" customHeight="1">
      <c r="A813" s="65"/>
      <c r="B813" s="66"/>
      <c r="F813" s="62"/>
      <c r="G813" s="63"/>
    </row>
    <row r="814" ht="26.25" customHeight="1">
      <c r="A814" s="65"/>
      <c r="B814" s="66"/>
      <c r="F814" s="62"/>
      <c r="G814" s="63"/>
    </row>
    <row r="815" ht="26.25" customHeight="1">
      <c r="A815" s="65"/>
      <c r="B815" s="66"/>
      <c r="F815" s="62"/>
      <c r="G815" s="63"/>
    </row>
    <row r="816" ht="26.25" customHeight="1">
      <c r="A816" s="65"/>
      <c r="B816" s="66"/>
      <c r="F816" s="62"/>
      <c r="G816" s="63"/>
    </row>
    <row r="817" ht="26.25" customHeight="1">
      <c r="A817" s="65"/>
      <c r="B817" s="66"/>
      <c r="F817" s="62"/>
      <c r="G817" s="63"/>
    </row>
    <row r="818" ht="26.25" customHeight="1">
      <c r="A818" s="65"/>
      <c r="B818" s="66"/>
      <c r="F818" s="62"/>
      <c r="G818" s="63"/>
    </row>
    <row r="819" ht="26.25" customHeight="1">
      <c r="A819" s="65"/>
      <c r="B819" s="66"/>
      <c r="F819" s="62"/>
      <c r="G819" s="63"/>
    </row>
    <row r="820" ht="26.25" customHeight="1">
      <c r="A820" s="65"/>
      <c r="B820" s="66"/>
      <c r="F820" s="62"/>
      <c r="G820" s="63"/>
    </row>
    <row r="821" ht="26.25" customHeight="1">
      <c r="A821" s="65"/>
      <c r="B821" s="66"/>
      <c r="F821" s="62"/>
      <c r="G821" s="63"/>
    </row>
    <row r="822" ht="26.25" customHeight="1">
      <c r="A822" s="65"/>
      <c r="B822" s="66"/>
      <c r="F822" s="62"/>
      <c r="G822" s="63"/>
    </row>
    <row r="823" ht="26.25" customHeight="1">
      <c r="A823" s="65"/>
      <c r="B823" s="66"/>
      <c r="F823" s="62"/>
      <c r="G823" s="63"/>
    </row>
    <row r="824" ht="26.25" customHeight="1">
      <c r="A824" s="65"/>
      <c r="B824" s="66"/>
      <c r="F824" s="62"/>
      <c r="G824" s="63"/>
    </row>
    <row r="825" ht="26.25" customHeight="1">
      <c r="A825" s="65"/>
      <c r="B825" s="66"/>
      <c r="F825" s="62"/>
      <c r="G825" s="63"/>
    </row>
    <row r="826" ht="26.25" customHeight="1">
      <c r="A826" s="65"/>
      <c r="B826" s="66"/>
      <c r="F826" s="62"/>
      <c r="G826" s="63"/>
    </row>
    <row r="827" ht="26.25" customHeight="1">
      <c r="A827" s="65"/>
      <c r="B827" s="66"/>
      <c r="F827" s="62"/>
      <c r="G827" s="63"/>
    </row>
    <row r="828" ht="26.25" customHeight="1">
      <c r="A828" s="65"/>
      <c r="B828" s="66"/>
      <c r="F828" s="62"/>
      <c r="G828" s="63"/>
    </row>
    <row r="829" ht="26.25" customHeight="1">
      <c r="A829" s="65"/>
      <c r="B829" s="66"/>
      <c r="F829" s="62"/>
      <c r="G829" s="63"/>
    </row>
    <row r="830" ht="26.25" customHeight="1">
      <c r="A830" s="65"/>
      <c r="B830" s="66"/>
      <c r="F830" s="62"/>
      <c r="G830" s="63"/>
    </row>
    <row r="831" ht="26.25" customHeight="1">
      <c r="A831" s="65"/>
      <c r="B831" s="66"/>
      <c r="F831" s="62"/>
      <c r="G831" s="63"/>
    </row>
    <row r="832" ht="26.25" customHeight="1">
      <c r="A832" s="65"/>
      <c r="B832" s="66"/>
      <c r="F832" s="62"/>
      <c r="G832" s="63"/>
    </row>
    <row r="833" ht="26.25" customHeight="1">
      <c r="A833" s="65"/>
      <c r="B833" s="66"/>
      <c r="F833" s="62"/>
      <c r="G833" s="63"/>
    </row>
    <row r="834" ht="26.25" customHeight="1">
      <c r="A834" s="65"/>
      <c r="B834" s="66"/>
      <c r="F834" s="62"/>
      <c r="G834" s="63"/>
    </row>
    <row r="835" ht="26.25" customHeight="1">
      <c r="A835" s="65"/>
      <c r="B835" s="66"/>
      <c r="F835" s="62"/>
      <c r="G835" s="63"/>
    </row>
    <row r="836" ht="26.25" customHeight="1">
      <c r="A836" s="65"/>
      <c r="B836" s="66"/>
      <c r="F836" s="62"/>
      <c r="G836" s="63"/>
    </row>
    <row r="837" ht="26.25" customHeight="1">
      <c r="A837" s="65"/>
      <c r="B837" s="66"/>
      <c r="F837" s="62"/>
      <c r="G837" s="63"/>
    </row>
    <row r="838" ht="26.25" customHeight="1">
      <c r="A838" s="65"/>
      <c r="B838" s="66"/>
      <c r="F838" s="62"/>
      <c r="G838" s="63"/>
    </row>
    <row r="839" ht="26.25" customHeight="1">
      <c r="A839" s="65"/>
      <c r="B839" s="66"/>
      <c r="F839" s="62"/>
      <c r="G839" s="63"/>
    </row>
    <row r="840" ht="26.25" customHeight="1">
      <c r="A840" s="65"/>
      <c r="B840" s="66"/>
      <c r="F840" s="62"/>
      <c r="G840" s="63"/>
    </row>
    <row r="841" ht="26.25" customHeight="1">
      <c r="A841" s="65"/>
      <c r="B841" s="66"/>
      <c r="F841" s="62"/>
      <c r="G841" s="63"/>
    </row>
    <row r="842" ht="26.25" customHeight="1">
      <c r="A842" s="65"/>
      <c r="B842" s="66"/>
      <c r="F842" s="62"/>
      <c r="G842" s="63"/>
    </row>
    <row r="843" ht="26.25" customHeight="1">
      <c r="A843" s="65"/>
      <c r="B843" s="66"/>
      <c r="F843" s="62"/>
      <c r="G843" s="63"/>
    </row>
    <row r="844" ht="26.25" customHeight="1">
      <c r="A844" s="65"/>
      <c r="B844" s="66"/>
      <c r="F844" s="62"/>
      <c r="G844" s="63"/>
    </row>
    <row r="845" ht="26.25" customHeight="1">
      <c r="A845" s="65"/>
      <c r="B845" s="66"/>
      <c r="F845" s="62"/>
      <c r="G845" s="63"/>
    </row>
    <row r="846" ht="26.25" customHeight="1">
      <c r="A846" s="65"/>
      <c r="B846" s="66"/>
      <c r="F846" s="62"/>
      <c r="G846" s="63"/>
    </row>
    <row r="847" ht="26.25" customHeight="1">
      <c r="A847" s="65"/>
      <c r="B847" s="66"/>
      <c r="F847" s="62"/>
      <c r="G847" s="63"/>
    </row>
    <row r="848" ht="26.25" customHeight="1">
      <c r="A848" s="65"/>
      <c r="B848" s="66"/>
      <c r="F848" s="62"/>
      <c r="G848" s="63"/>
    </row>
    <row r="849" ht="26.25" customHeight="1">
      <c r="A849" s="65"/>
      <c r="B849" s="66"/>
      <c r="F849" s="62"/>
      <c r="G849" s="63"/>
    </row>
    <row r="850" ht="26.25" customHeight="1">
      <c r="A850" s="65"/>
      <c r="B850" s="66"/>
      <c r="F850" s="62"/>
      <c r="G850" s="63"/>
    </row>
    <row r="851" ht="26.25" customHeight="1">
      <c r="A851" s="65"/>
      <c r="B851" s="66"/>
      <c r="F851" s="62"/>
      <c r="G851" s="63"/>
    </row>
    <row r="852" ht="26.25" customHeight="1">
      <c r="A852" s="65"/>
      <c r="B852" s="66"/>
      <c r="F852" s="62"/>
      <c r="G852" s="63"/>
    </row>
    <row r="853" ht="26.25" customHeight="1">
      <c r="A853" s="65"/>
      <c r="B853" s="66"/>
      <c r="F853" s="62"/>
      <c r="G853" s="63"/>
    </row>
    <row r="854" ht="26.25" customHeight="1">
      <c r="A854" s="65"/>
      <c r="B854" s="66"/>
      <c r="F854" s="62"/>
      <c r="G854" s="63"/>
    </row>
    <row r="855" ht="26.25" customHeight="1">
      <c r="A855" s="65"/>
      <c r="B855" s="66"/>
      <c r="F855" s="62"/>
      <c r="G855" s="63"/>
    </row>
    <row r="856" ht="26.25" customHeight="1">
      <c r="A856" s="65"/>
      <c r="B856" s="66"/>
      <c r="F856" s="62"/>
      <c r="G856" s="63"/>
    </row>
    <row r="857" ht="26.25" customHeight="1">
      <c r="A857" s="65"/>
      <c r="B857" s="66"/>
      <c r="F857" s="62"/>
      <c r="G857" s="63"/>
    </row>
    <row r="858" ht="26.25" customHeight="1">
      <c r="A858" s="65"/>
      <c r="B858" s="66"/>
      <c r="F858" s="62"/>
      <c r="G858" s="63"/>
    </row>
    <row r="859" ht="26.25" customHeight="1">
      <c r="A859" s="65"/>
      <c r="B859" s="66"/>
      <c r="F859" s="62"/>
      <c r="G859" s="63"/>
    </row>
    <row r="860" ht="26.25" customHeight="1">
      <c r="A860" s="65"/>
      <c r="B860" s="66"/>
      <c r="F860" s="62"/>
      <c r="G860" s="63"/>
    </row>
    <row r="861" ht="26.25" customHeight="1">
      <c r="A861" s="65"/>
      <c r="B861" s="66"/>
      <c r="F861" s="62"/>
      <c r="G861" s="63"/>
    </row>
    <row r="862" ht="26.25" customHeight="1">
      <c r="A862" s="65"/>
      <c r="B862" s="66"/>
      <c r="F862" s="62"/>
      <c r="G862" s="63"/>
    </row>
    <row r="863" ht="26.25" customHeight="1">
      <c r="A863" s="65"/>
      <c r="B863" s="66"/>
      <c r="F863" s="62"/>
      <c r="G863" s="63"/>
    </row>
    <row r="864" ht="26.25" customHeight="1">
      <c r="A864" s="65"/>
      <c r="B864" s="66"/>
      <c r="F864" s="62"/>
      <c r="G864" s="63"/>
    </row>
    <row r="865" ht="26.25" customHeight="1">
      <c r="A865" s="65"/>
      <c r="B865" s="66"/>
      <c r="F865" s="62"/>
      <c r="G865" s="63"/>
    </row>
    <row r="866" ht="26.25" customHeight="1">
      <c r="A866" s="65"/>
      <c r="B866" s="66"/>
      <c r="F866" s="62"/>
      <c r="G866" s="63"/>
    </row>
    <row r="867" ht="26.25" customHeight="1">
      <c r="A867" s="65"/>
      <c r="B867" s="66"/>
      <c r="F867" s="62"/>
      <c r="G867" s="63"/>
    </row>
    <row r="868" ht="26.25" customHeight="1">
      <c r="A868" s="65"/>
      <c r="B868" s="66"/>
      <c r="F868" s="62"/>
      <c r="G868" s="63"/>
    </row>
    <row r="869" ht="26.25" customHeight="1">
      <c r="A869" s="65"/>
      <c r="B869" s="66"/>
      <c r="F869" s="62"/>
      <c r="G869" s="63"/>
    </row>
    <row r="870" ht="26.25" customHeight="1">
      <c r="A870" s="65"/>
      <c r="B870" s="66"/>
      <c r="F870" s="62"/>
      <c r="G870" s="63"/>
    </row>
    <row r="871" ht="26.25" customHeight="1">
      <c r="A871" s="65"/>
      <c r="B871" s="66"/>
      <c r="F871" s="62"/>
      <c r="G871" s="63"/>
    </row>
    <row r="872" ht="26.25" customHeight="1">
      <c r="A872" s="65"/>
      <c r="B872" s="66"/>
      <c r="F872" s="62"/>
      <c r="G872" s="63"/>
    </row>
    <row r="873" ht="26.25" customHeight="1">
      <c r="A873" s="65"/>
      <c r="B873" s="66"/>
      <c r="F873" s="62"/>
      <c r="G873" s="63"/>
    </row>
    <row r="874" ht="26.25" customHeight="1">
      <c r="A874" s="65"/>
      <c r="B874" s="66"/>
      <c r="F874" s="62"/>
      <c r="G874" s="63"/>
    </row>
    <row r="875" ht="26.25" customHeight="1">
      <c r="A875" s="65"/>
      <c r="B875" s="66"/>
      <c r="F875" s="62"/>
      <c r="G875" s="63"/>
    </row>
    <row r="876" ht="26.25" customHeight="1">
      <c r="A876" s="65"/>
      <c r="B876" s="66"/>
      <c r="F876" s="62"/>
      <c r="G876" s="63"/>
    </row>
    <row r="877" ht="26.25" customHeight="1">
      <c r="A877" s="65"/>
      <c r="B877" s="66"/>
      <c r="F877" s="62"/>
      <c r="G877" s="63"/>
    </row>
    <row r="878" ht="26.25" customHeight="1">
      <c r="A878" s="65"/>
      <c r="B878" s="66"/>
      <c r="F878" s="62"/>
      <c r="G878" s="63"/>
    </row>
    <row r="879" ht="26.25" customHeight="1">
      <c r="A879" s="65"/>
      <c r="B879" s="66"/>
      <c r="F879" s="62"/>
      <c r="G879" s="63"/>
    </row>
    <row r="880" ht="26.25" customHeight="1">
      <c r="A880" s="65"/>
      <c r="B880" s="66"/>
      <c r="F880" s="62"/>
      <c r="G880" s="63"/>
    </row>
    <row r="881" ht="26.25" customHeight="1">
      <c r="A881" s="65"/>
      <c r="B881" s="66"/>
      <c r="F881" s="62"/>
      <c r="G881" s="63"/>
    </row>
    <row r="882" ht="26.25" customHeight="1">
      <c r="A882" s="65"/>
      <c r="B882" s="66"/>
      <c r="F882" s="62"/>
      <c r="G882" s="63"/>
    </row>
    <row r="883" ht="26.25" customHeight="1">
      <c r="A883" s="65"/>
      <c r="B883" s="66"/>
      <c r="F883" s="62"/>
      <c r="G883" s="63"/>
    </row>
    <row r="884" ht="26.25" customHeight="1">
      <c r="A884" s="65"/>
      <c r="B884" s="66"/>
      <c r="F884" s="62"/>
      <c r="G884" s="63"/>
    </row>
    <row r="885" ht="26.25" customHeight="1">
      <c r="A885" s="65"/>
      <c r="B885" s="66"/>
      <c r="F885" s="62"/>
      <c r="G885" s="63"/>
    </row>
    <row r="886" ht="26.25" customHeight="1">
      <c r="A886" s="65"/>
      <c r="B886" s="66"/>
      <c r="F886" s="62"/>
      <c r="G886" s="63"/>
    </row>
    <row r="887" ht="26.25" customHeight="1">
      <c r="A887" s="65"/>
      <c r="B887" s="66"/>
      <c r="F887" s="62"/>
      <c r="G887" s="63"/>
    </row>
    <row r="888" ht="26.25" customHeight="1">
      <c r="A888" s="65"/>
      <c r="B888" s="66"/>
      <c r="F888" s="62"/>
      <c r="G888" s="63"/>
    </row>
    <row r="889" ht="26.25" customHeight="1">
      <c r="A889" s="65"/>
      <c r="B889" s="66"/>
      <c r="F889" s="62"/>
      <c r="G889" s="63"/>
    </row>
    <row r="890" ht="26.25" customHeight="1">
      <c r="A890" s="65"/>
      <c r="B890" s="66"/>
      <c r="F890" s="62"/>
      <c r="G890" s="63"/>
    </row>
    <row r="891" ht="26.25" customHeight="1">
      <c r="A891" s="65"/>
      <c r="B891" s="66"/>
      <c r="F891" s="62"/>
      <c r="G891" s="63"/>
    </row>
    <row r="892" ht="26.25" customHeight="1">
      <c r="A892" s="65"/>
      <c r="B892" s="66"/>
      <c r="F892" s="62"/>
      <c r="G892" s="63"/>
    </row>
    <row r="893" ht="26.25" customHeight="1">
      <c r="A893" s="65"/>
      <c r="B893" s="66"/>
      <c r="F893" s="62"/>
      <c r="G893" s="63"/>
    </row>
    <row r="894" ht="26.25" customHeight="1">
      <c r="A894" s="65"/>
      <c r="B894" s="66"/>
      <c r="F894" s="62"/>
      <c r="G894" s="63"/>
    </row>
    <row r="895" ht="26.25" customHeight="1">
      <c r="A895" s="65"/>
      <c r="B895" s="66"/>
      <c r="F895" s="62"/>
      <c r="G895" s="63"/>
    </row>
    <row r="896" ht="26.25" customHeight="1">
      <c r="A896" s="65"/>
      <c r="B896" s="66"/>
      <c r="F896" s="62"/>
      <c r="G896" s="63"/>
    </row>
    <row r="897" ht="26.25" customHeight="1">
      <c r="A897" s="65"/>
      <c r="B897" s="66"/>
      <c r="F897" s="62"/>
      <c r="G897" s="63"/>
    </row>
    <row r="898" ht="26.25" customHeight="1">
      <c r="A898" s="65"/>
      <c r="B898" s="66"/>
      <c r="F898" s="62"/>
      <c r="G898" s="63"/>
    </row>
    <row r="899" ht="26.25" customHeight="1">
      <c r="A899" s="65"/>
      <c r="B899" s="66"/>
      <c r="F899" s="62"/>
      <c r="G899" s="63"/>
    </row>
    <row r="900" ht="26.25" customHeight="1">
      <c r="A900" s="65"/>
      <c r="B900" s="66"/>
      <c r="F900" s="62"/>
      <c r="G900" s="63"/>
    </row>
    <row r="901" ht="26.25" customHeight="1">
      <c r="A901" s="65"/>
      <c r="B901" s="66"/>
      <c r="F901" s="62"/>
      <c r="G901" s="63"/>
    </row>
    <row r="902" ht="26.25" customHeight="1">
      <c r="A902" s="65"/>
      <c r="B902" s="66"/>
      <c r="F902" s="62"/>
      <c r="G902" s="63"/>
    </row>
    <row r="903" ht="26.25" customHeight="1">
      <c r="A903" s="65"/>
      <c r="B903" s="66"/>
      <c r="F903" s="62"/>
      <c r="G903" s="63"/>
    </row>
    <row r="904" ht="26.25" customHeight="1">
      <c r="A904" s="65"/>
      <c r="B904" s="66"/>
      <c r="F904" s="62"/>
      <c r="G904" s="63"/>
    </row>
    <row r="905" ht="26.25" customHeight="1">
      <c r="A905" s="65"/>
      <c r="B905" s="66"/>
      <c r="F905" s="62"/>
      <c r="G905" s="63"/>
    </row>
    <row r="906" ht="26.25" customHeight="1">
      <c r="A906" s="65"/>
      <c r="B906" s="66"/>
      <c r="F906" s="62"/>
      <c r="G906" s="63"/>
    </row>
    <row r="907" ht="26.25" customHeight="1">
      <c r="A907" s="65"/>
      <c r="B907" s="66"/>
      <c r="F907" s="62"/>
      <c r="G907" s="63"/>
    </row>
    <row r="908" ht="26.25" customHeight="1">
      <c r="A908" s="65"/>
      <c r="B908" s="66"/>
      <c r="F908" s="62"/>
      <c r="G908" s="63"/>
    </row>
    <row r="909" ht="26.25" customHeight="1">
      <c r="A909" s="65"/>
      <c r="B909" s="66"/>
      <c r="F909" s="62"/>
      <c r="G909" s="63"/>
    </row>
    <row r="910" ht="26.25" customHeight="1">
      <c r="A910" s="65"/>
      <c r="B910" s="66"/>
      <c r="F910" s="62"/>
      <c r="G910" s="63"/>
    </row>
    <row r="911" ht="26.25" customHeight="1">
      <c r="A911" s="65"/>
      <c r="B911" s="66"/>
      <c r="F911" s="62"/>
      <c r="G911" s="63"/>
    </row>
    <row r="912" ht="26.25" customHeight="1">
      <c r="A912" s="65"/>
      <c r="B912" s="66"/>
      <c r="F912" s="62"/>
      <c r="G912" s="63"/>
    </row>
    <row r="913" ht="26.25" customHeight="1">
      <c r="A913" s="65"/>
      <c r="B913" s="66"/>
      <c r="F913" s="62"/>
      <c r="G913" s="63"/>
    </row>
    <row r="914" ht="26.25" customHeight="1">
      <c r="A914" s="65"/>
      <c r="B914" s="66"/>
      <c r="F914" s="62"/>
      <c r="G914" s="63"/>
    </row>
    <row r="915" ht="26.25" customHeight="1">
      <c r="A915" s="65"/>
      <c r="B915" s="66"/>
      <c r="F915" s="62"/>
      <c r="G915" s="63"/>
    </row>
    <row r="916" ht="26.25" customHeight="1">
      <c r="A916" s="65"/>
      <c r="B916" s="66"/>
      <c r="F916" s="62"/>
      <c r="G916" s="63"/>
    </row>
    <row r="917" ht="26.25" customHeight="1">
      <c r="A917" s="65"/>
      <c r="B917" s="66"/>
      <c r="F917" s="62"/>
      <c r="G917" s="63"/>
    </row>
    <row r="918" ht="26.25" customHeight="1">
      <c r="A918" s="65"/>
      <c r="B918" s="66"/>
      <c r="F918" s="62"/>
      <c r="G918" s="63"/>
    </row>
    <row r="919" ht="26.25" customHeight="1">
      <c r="A919" s="65"/>
      <c r="B919" s="66"/>
      <c r="F919" s="62"/>
      <c r="G919" s="63"/>
    </row>
    <row r="920" ht="26.25" customHeight="1">
      <c r="A920" s="65"/>
      <c r="B920" s="66"/>
      <c r="F920" s="62"/>
      <c r="G920" s="63"/>
    </row>
    <row r="921" ht="26.25" customHeight="1">
      <c r="A921" s="65"/>
      <c r="B921" s="66"/>
      <c r="F921" s="62"/>
      <c r="G921" s="63"/>
    </row>
    <row r="922" ht="26.25" customHeight="1">
      <c r="A922" s="65"/>
      <c r="B922" s="66"/>
      <c r="F922" s="62"/>
      <c r="G922" s="63"/>
    </row>
    <row r="923" ht="26.25" customHeight="1">
      <c r="A923" s="65"/>
      <c r="B923" s="66"/>
      <c r="F923" s="62"/>
      <c r="G923" s="63"/>
    </row>
    <row r="924" ht="26.25" customHeight="1">
      <c r="A924" s="65"/>
      <c r="B924" s="66"/>
      <c r="F924" s="62"/>
      <c r="G924" s="63"/>
    </row>
    <row r="925" ht="26.25" customHeight="1">
      <c r="A925" s="65"/>
      <c r="B925" s="66"/>
      <c r="F925" s="62"/>
      <c r="G925" s="63"/>
    </row>
    <row r="926" ht="26.25" customHeight="1">
      <c r="A926" s="65"/>
      <c r="B926" s="66"/>
      <c r="F926" s="62"/>
      <c r="G926" s="63"/>
    </row>
    <row r="927" ht="26.25" customHeight="1">
      <c r="A927" s="65"/>
      <c r="B927" s="66"/>
      <c r="F927" s="62"/>
      <c r="G927" s="63"/>
    </row>
    <row r="928" ht="26.25" customHeight="1">
      <c r="A928" s="65"/>
      <c r="B928" s="66"/>
      <c r="F928" s="62"/>
      <c r="G928" s="63"/>
    </row>
    <row r="929" ht="26.25" customHeight="1">
      <c r="A929" s="65"/>
      <c r="B929" s="66"/>
      <c r="F929" s="62"/>
      <c r="G929" s="63"/>
    </row>
    <row r="930" ht="26.25" customHeight="1">
      <c r="A930" s="65"/>
      <c r="B930" s="66"/>
      <c r="F930" s="62"/>
      <c r="G930" s="63"/>
    </row>
    <row r="931" ht="26.25" customHeight="1">
      <c r="A931" s="65"/>
      <c r="B931" s="66"/>
      <c r="F931" s="62"/>
      <c r="G931" s="63"/>
    </row>
    <row r="932" ht="26.25" customHeight="1">
      <c r="A932" s="65"/>
      <c r="B932" s="66"/>
      <c r="F932" s="62"/>
      <c r="G932" s="63"/>
    </row>
    <row r="933" ht="26.25" customHeight="1">
      <c r="A933" s="65"/>
      <c r="B933" s="66"/>
      <c r="F933" s="62"/>
      <c r="G933" s="63"/>
    </row>
    <row r="934" ht="26.25" customHeight="1">
      <c r="A934" s="65"/>
      <c r="B934" s="66"/>
      <c r="F934" s="62"/>
      <c r="G934" s="63"/>
    </row>
    <row r="935" ht="26.25" customHeight="1">
      <c r="A935" s="65"/>
      <c r="B935" s="66"/>
      <c r="F935" s="62"/>
      <c r="G935" s="63"/>
    </row>
    <row r="936" ht="26.25" customHeight="1">
      <c r="A936" s="65"/>
      <c r="B936" s="66"/>
      <c r="F936" s="62"/>
      <c r="G936" s="63"/>
    </row>
    <row r="937" ht="26.25" customHeight="1">
      <c r="A937" s="65"/>
      <c r="B937" s="66"/>
      <c r="F937" s="62"/>
      <c r="G937" s="63"/>
    </row>
    <row r="938" ht="26.25" customHeight="1">
      <c r="A938" s="65"/>
      <c r="B938" s="66"/>
      <c r="F938" s="62"/>
      <c r="G938" s="63"/>
    </row>
    <row r="939" ht="26.25" customHeight="1">
      <c r="A939" s="65"/>
      <c r="B939" s="66"/>
      <c r="F939" s="62"/>
      <c r="G939" s="63"/>
    </row>
    <row r="940" ht="26.25" customHeight="1">
      <c r="A940" s="65"/>
      <c r="B940" s="66"/>
      <c r="F940" s="62"/>
      <c r="G940" s="63"/>
    </row>
    <row r="941" ht="26.25" customHeight="1">
      <c r="A941" s="65"/>
      <c r="B941" s="66"/>
      <c r="F941" s="62"/>
      <c r="G941" s="63"/>
    </row>
    <row r="942" ht="26.25" customHeight="1">
      <c r="A942" s="65"/>
      <c r="B942" s="66"/>
      <c r="F942" s="62"/>
      <c r="G942" s="63"/>
    </row>
    <row r="943" ht="26.25" customHeight="1">
      <c r="A943" s="65"/>
      <c r="B943" s="66"/>
      <c r="F943" s="62"/>
      <c r="G943" s="63"/>
    </row>
    <row r="944" ht="26.25" customHeight="1">
      <c r="A944" s="65"/>
      <c r="B944" s="66"/>
      <c r="F944" s="62"/>
      <c r="G944" s="63"/>
    </row>
    <row r="945" ht="26.25" customHeight="1">
      <c r="A945" s="65"/>
      <c r="B945" s="66"/>
      <c r="F945" s="62"/>
      <c r="G945" s="63"/>
    </row>
    <row r="946" ht="26.25" customHeight="1">
      <c r="A946" s="65"/>
      <c r="B946" s="66"/>
      <c r="F946" s="62"/>
      <c r="G946" s="63"/>
    </row>
    <row r="947" ht="26.25" customHeight="1">
      <c r="A947" s="65"/>
      <c r="B947" s="66"/>
      <c r="F947" s="62"/>
      <c r="G947" s="63"/>
    </row>
    <row r="948" ht="26.25" customHeight="1">
      <c r="A948" s="65"/>
      <c r="B948" s="66"/>
      <c r="F948" s="62"/>
      <c r="G948" s="63"/>
    </row>
    <row r="949" ht="26.25" customHeight="1">
      <c r="A949" s="65"/>
      <c r="B949" s="66"/>
      <c r="F949" s="62"/>
      <c r="G949" s="63"/>
    </row>
    <row r="950" ht="26.25" customHeight="1">
      <c r="A950" s="65"/>
      <c r="B950" s="66"/>
      <c r="F950" s="62"/>
      <c r="G950" s="63"/>
    </row>
    <row r="951" ht="26.25" customHeight="1">
      <c r="A951" s="65"/>
      <c r="B951" s="66"/>
      <c r="F951" s="62"/>
      <c r="G951" s="63"/>
    </row>
    <row r="952" ht="26.25" customHeight="1">
      <c r="A952" s="65"/>
      <c r="B952" s="66"/>
      <c r="F952" s="62"/>
      <c r="G952" s="63"/>
    </row>
    <row r="953" ht="26.25" customHeight="1">
      <c r="A953" s="65"/>
      <c r="B953" s="66"/>
      <c r="F953" s="62"/>
      <c r="G953" s="63"/>
    </row>
    <row r="954" ht="26.25" customHeight="1">
      <c r="A954" s="65"/>
      <c r="B954" s="66"/>
      <c r="F954" s="62"/>
      <c r="G954" s="63"/>
    </row>
    <row r="955" ht="26.25" customHeight="1">
      <c r="A955" s="65"/>
      <c r="B955" s="66"/>
      <c r="F955" s="62"/>
      <c r="G955" s="63"/>
    </row>
    <row r="956" ht="26.25" customHeight="1">
      <c r="A956" s="65"/>
      <c r="B956" s="66"/>
      <c r="F956" s="62"/>
      <c r="G956" s="63"/>
    </row>
    <row r="957" ht="26.25" customHeight="1">
      <c r="A957" s="65"/>
      <c r="B957" s="66"/>
      <c r="F957" s="62"/>
      <c r="G957" s="63"/>
    </row>
    <row r="958" ht="26.25" customHeight="1">
      <c r="A958" s="65"/>
      <c r="B958" s="66"/>
      <c r="F958" s="62"/>
      <c r="G958" s="63"/>
    </row>
    <row r="959" ht="26.25" customHeight="1">
      <c r="A959" s="65"/>
      <c r="B959" s="66"/>
      <c r="F959" s="62"/>
      <c r="G959" s="63"/>
    </row>
    <row r="960" ht="26.25" customHeight="1">
      <c r="A960" s="65"/>
      <c r="B960" s="66"/>
      <c r="F960" s="62"/>
      <c r="G960" s="63"/>
    </row>
    <row r="961" ht="26.25" customHeight="1">
      <c r="A961" s="65"/>
      <c r="B961" s="66"/>
      <c r="F961" s="62"/>
      <c r="G961" s="63"/>
    </row>
    <row r="962" ht="26.25" customHeight="1">
      <c r="A962" s="65"/>
      <c r="B962" s="66"/>
      <c r="F962" s="62"/>
      <c r="G962" s="63"/>
    </row>
    <row r="963" ht="26.25" customHeight="1">
      <c r="A963" s="65"/>
      <c r="B963" s="66"/>
      <c r="F963" s="62"/>
      <c r="G963" s="63"/>
    </row>
    <row r="964" ht="26.25" customHeight="1">
      <c r="A964" s="65"/>
      <c r="B964" s="66"/>
      <c r="F964" s="62"/>
      <c r="G964" s="63"/>
    </row>
    <row r="965" ht="26.25" customHeight="1">
      <c r="A965" s="65"/>
      <c r="B965" s="66"/>
      <c r="F965" s="62"/>
      <c r="G965" s="63"/>
    </row>
    <row r="966" ht="26.25" customHeight="1">
      <c r="A966" s="65"/>
      <c r="B966" s="66"/>
      <c r="F966" s="62"/>
      <c r="G966" s="63"/>
    </row>
    <row r="967" ht="26.25" customHeight="1">
      <c r="A967" s="65"/>
      <c r="B967" s="66"/>
      <c r="F967" s="62"/>
      <c r="G967" s="63"/>
    </row>
    <row r="968" ht="26.25" customHeight="1">
      <c r="A968" s="65"/>
      <c r="B968" s="66"/>
      <c r="F968" s="62"/>
      <c r="G968" s="63"/>
    </row>
    <row r="969" ht="26.25" customHeight="1">
      <c r="A969" s="65"/>
      <c r="B969" s="66"/>
      <c r="F969" s="62"/>
      <c r="G969" s="63"/>
    </row>
    <row r="970" ht="26.25" customHeight="1">
      <c r="A970" s="65"/>
      <c r="B970" s="66"/>
      <c r="F970" s="62"/>
      <c r="G970" s="63"/>
    </row>
    <row r="971" ht="26.25" customHeight="1">
      <c r="A971" s="65"/>
      <c r="B971" s="66"/>
      <c r="F971" s="62"/>
      <c r="G971" s="63"/>
    </row>
    <row r="972" ht="26.25" customHeight="1">
      <c r="A972" s="65"/>
      <c r="B972" s="66"/>
      <c r="F972" s="62"/>
      <c r="G972" s="63"/>
    </row>
    <row r="973" ht="26.25" customHeight="1">
      <c r="A973" s="65"/>
      <c r="B973" s="66"/>
      <c r="F973" s="62"/>
      <c r="G973" s="63"/>
    </row>
    <row r="974" ht="26.25" customHeight="1">
      <c r="A974" s="65"/>
      <c r="B974" s="66"/>
      <c r="F974" s="62"/>
      <c r="G974" s="63"/>
    </row>
    <row r="975" ht="26.25" customHeight="1">
      <c r="A975" s="65"/>
      <c r="B975" s="66"/>
      <c r="F975" s="62"/>
      <c r="G975" s="63"/>
    </row>
    <row r="976" ht="26.25" customHeight="1">
      <c r="A976" s="65"/>
      <c r="B976" s="66"/>
      <c r="F976" s="62"/>
      <c r="G976" s="63"/>
    </row>
    <row r="977" ht="26.25" customHeight="1">
      <c r="A977" s="65"/>
      <c r="B977" s="66"/>
      <c r="F977" s="62"/>
      <c r="G977" s="63"/>
    </row>
    <row r="978" ht="26.25" customHeight="1">
      <c r="A978" s="65"/>
      <c r="B978" s="66"/>
      <c r="F978" s="62"/>
      <c r="G978" s="63"/>
    </row>
    <row r="979" ht="26.25" customHeight="1">
      <c r="A979" s="65"/>
      <c r="B979" s="66"/>
      <c r="F979" s="62"/>
      <c r="G979" s="63"/>
    </row>
    <row r="980" ht="26.25" customHeight="1">
      <c r="A980" s="65"/>
      <c r="B980" s="66"/>
      <c r="F980" s="62"/>
      <c r="G980" s="63"/>
    </row>
    <row r="981" ht="26.25" customHeight="1">
      <c r="A981" s="65"/>
      <c r="B981" s="66"/>
      <c r="F981" s="62"/>
      <c r="G981" s="63"/>
    </row>
    <row r="982" ht="26.25" customHeight="1">
      <c r="A982" s="65"/>
      <c r="B982" s="66"/>
      <c r="F982" s="62"/>
      <c r="G982" s="63"/>
    </row>
    <row r="983" ht="26.25" customHeight="1">
      <c r="A983" s="65"/>
      <c r="B983" s="66"/>
      <c r="F983" s="62"/>
      <c r="G983" s="63"/>
    </row>
    <row r="984" ht="26.25" customHeight="1">
      <c r="A984" s="65"/>
      <c r="B984" s="66"/>
      <c r="F984" s="62"/>
      <c r="G984" s="63"/>
    </row>
    <row r="985" ht="26.25" customHeight="1">
      <c r="A985" s="65"/>
      <c r="B985" s="66"/>
      <c r="F985" s="62"/>
      <c r="G985" s="63"/>
    </row>
    <row r="986" ht="26.25" customHeight="1">
      <c r="A986" s="65"/>
      <c r="B986" s="66"/>
      <c r="F986" s="62"/>
      <c r="G986" s="63"/>
    </row>
    <row r="987" ht="26.25" customHeight="1">
      <c r="A987" s="65"/>
      <c r="B987" s="66"/>
      <c r="F987" s="62"/>
      <c r="G987" s="63"/>
    </row>
    <row r="988" ht="26.25" customHeight="1">
      <c r="A988" s="65"/>
      <c r="B988" s="66"/>
      <c r="F988" s="62"/>
      <c r="G988" s="63"/>
    </row>
    <row r="989" ht="26.25" customHeight="1">
      <c r="A989" s="65"/>
      <c r="B989" s="66"/>
      <c r="F989" s="62"/>
      <c r="G989" s="63"/>
    </row>
    <row r="990" ht="26.25" customHeight="1">
      <c r="A990" s="65"/>
      <c r="B990" s="66"/>
      <c r="F990" s="62"/>
      <c r="G990" s="63"/>
    </row>
    <row r="991" ht="26.25" customHeight="1">
      <c r="A991" s="65"/>
      <c r="B991" s="66"/>
      <c r="F991" s="62"/>
      <c r="G991" s="63"/>
    </row>
    <row r="992" ht="26.25" customHeight="1">
      <c r="A992" s="65"/>
      <c r="B992" s="66"/>
      <c r="F992" s="62"/>
      <c r="G992" s="63"/>
    </row>
    <row r="993" ht="26.25" customHeight="1">
      <c r="A993" s="65"/>
      <c r="B993" s="66"/>
      <c r="F993" s="62"/>
      <c r="G993" s="63"/>
    </row>
    <row r="994" ht="26.25" customHeight="1">
      <c r="A994" s="65"/>
      <c r="B994" s="66"/>
      <c r="F994" s="62"/>
      <c r="G994" s="63"/>
    </row>
    <row r="995" ht="26.25" customHeight="1">
      <c r="A995" s="65"/>
      <c r="B995" s="66"/>
      <c r="F995" s="62"/>
      <c r="G995" s="63"/>
    </row>
    <row r="996" ht="26.25" customHeight="1">
      <c r="A996" s="65"/>
      <c r="B996" s="66"/>
      <c r="F996" s="62"/>
      <c r="G996" s="63"/>
    </row>
    <row r="997" ht="26.25" customHeight="1">
      <c r="A997" s="65"/>
      <c r="B997" s="66"/>
      <c r="F997" s="62"/>
      <c r="G997" s="63"/>
    </row>
    <row r="998" ht="26.25" customHeight="1">
      <c r="A998" s="65"/>
      <c r="B998" s="66"/>
      <c r="F998" s="62"/>
      <c r="G998" s="63"/>
    </row>
    <row r="999" ht="26.25" customHeight="1">
      <c r="A999" s="65"/>
      <c r="B999" s="66"/>
      <c r="F999" s="62"/>
      <c r="G999" s="63"/>
    </row>
    <row r="1000" ht="26.25" customHeight="1">
      <c r="A1000" s="65"/>
      <c r="B1000" s="66"/>
      <c r="F1000" s="62"/>
      <c r="G1000" s="63"/>
    </row>
    <row r="1001" ht="26.25" customHeight="1">
      <c r="A1001" s="65"/>
      <c r="B1001" s="66"/>
      <c r="F1001" s="62"/>
      <c r="G1001" s="63"/>
    </row>
  </sheetData>
  <dataValidations>
    <dataValidation type="list" allowBlank="1" showDropDown="1" showErrorMessage="1" sqref="A3:A13">
      <formula1>'السجل'!$B$2:$B1001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57"/>
    <col customWidth="1" min="3" max="3" width="39.86"/>
    <col customWidth="1" min="4" max="4" width="32.43"/>
    <col customWidth="1" min="5" max="7" width="28.14"/>
  </cols>
  <sheetData>
    <row r="1" ht="26.25" customHeight="1">
      <c r="A1" s="67" t="s">
        <v>38</v>
      </c>
      <c r="F1" s="67"/>
      <c r="G1" s="67"/>
    </row>
    <row r="2" ht="26.25" customHeight="1">
      <c r="F2" s="67"/>
      <c r="G2" s="67"/>
    </row>
    <row r="3" ht="26.25" customHeight="1">
      <c r="F3" s="67"/>
      <c r="G3" s="67"/>
    </row>
    <row r="4" ht="26.25" customHeight="1">
      <c r="A4" s="68"/>
      <c r="B4" s="69"/>
      <c r="C4" s="70">
        <f>SUM(C6:C18)</f>
        <v>8095000</v>
      </c>
      <c r="D4" s="71">
        <f> SUM(D6:D16)</f>
        <v>7000000</v>
      </c>
      <c r="E4" s="71">
        <f>E16</f>
        <v>1065000</v>
      </c>
      <c r="F4" s="71"/>
      <c r="G4" s="71"/>
    </row>
    <row r="5" ht="26.25" customHeight="1">
      <c r="A5" s="72" t="s">
        <v>17</v>
      </c>
      <c r="B5" s="72" t="s">
        <v>39</v>
      </c>
      <c r="C5" s="72" t="s">
        <v>40</v>
      </c>
      <c r="D5" s="73" t="s">
        <v>41</v>
      </c>
      <c r="E5" s="73" t="s">
        <v>21</v>
      </c>
      <c r="F5" s="73" t="s">
        <v>42</v>
      </c>
      <c r="G5" s="73"/>
    </row>
    <row r="6" ht="26.25" customHeight="1">
      <c r="A6" s="74">
        <v>46054.0</v>
      </c>
      <c r="B6" s="75" t="s">
        <v>43</v>
      </c>
      <c r="C6" s="76">
        <v>2139000.0</v>
      </c>
      <c r="D6" s="77">
        <v>2000000.0</v>
      </c>
      <c r="E6" s="76">
        <f>C6-D6</f>
        <v>139000</v>
      </c>
      <c r="F6" s="76">
        <f>C6</f>
        <v>2139000</v>
      </c>
      <c r="G6" s="76"/>
    </row>
    <row r="7" ht="26.25" customHeight="1">
      <c r="A7" s="74">
        <v>46055.0</v>
      </c>
      <c r="B7" s="78">
        <v>2087.0</v>
      </c>
      <c r="C7" s="76">
        <v>666000.0</v>
      </c>
      <c r="D7" s="79">
        <v>0.0</v>
      </c>
      <c r="E7" s="76">
        <f t="shared" ref="E7:E17" si="1">E6+C7-D7</f>
        <v>805000</v>
      </c>
      <c r="F7" s="76">
        <f t="shared" ref="F7:F17" si="2">F6+C7</f>
        <v>2805000</v>
      </c>
      <c r="G7" s="76"/>
    </row>
    <row r="8" ht="26.25" customHeight="1">
      <c r="A8" s="74">
        <v>46056.0</v>
      </c>
      <c r="B8" s="78">
        <v>2114.0</v>
      </c>
      <c r="C8" s="76">
        <v>1557000.0</v>
      </c>
      <c r="D8" s="79">
        <v>0.0</v>
      </c>
      <c r="E8" s="76">
        <f t="shared" si="1"/>
        <v>2362000</v>
      </c>
      <c r="F8" s="76">
        <f t="shared" si="2"/>
        <v>4362000</v>
      </c>
      <c r="G8" s="76"/>
    </row>
    <row r="9" ht="26.25" customHeight="1">
      <c r="A9" s="74">
        <v>46058.0</v>
      </c>
      <c r="B9" s="78">
        <v>2180.0</v>
      </c>
      <c r="C9" s="76">
        <v>967000.0</v>
      </c>
      <c r="D9" s="77">
        <v>2000000.0</v>
      </c>
      <c r="E9" s="76">
        <f t="shared" si="1"/>
        <v>1329000</v>
      </c>
      <c r="F9" s="76">
        <f t="shared" si="2"/>
        <v>5329000</v>
      </c>
      <c r="G9" s="76"/>
    </row>
    <row r="10" ht="26.25" customHeight="1">
      <c r="A10" s="74">
        <v>46060.0</v>
      </c>
      <c r="B10" s="78">
        <v>2190.0</v>
      </c>
      <c r="C10" s="76">
        <v>260000.0</v>
      </c>
      <c r="D10" s="79">
        <v>0.0</v>
      </c>
      <c r="E10" s="76">
        <f t="shared" si="1"/>
        <v>1589000</v>
      </c>
      <c r="F10" s="76">
        <f t="shared" si="2"/>
        <v>5589000</v>
      </c>
      <c r="G10" s="76"/>
    </row>
    <row r="11" ht="26.25" customHeight="1">
      <c r="A11" s="74">
        <v>46069.0</v>
      </c>
      <c r="B11" s="78">
        <v>2500.0</v>
      </c>
      <c r="C11" s="76">
        <v>287000.0</v>
      </c>
      <c r="D11" s="77">
        <v>1000000.0</v>
      </c>
      <c r="E11" s="76">
        <f t="shared" si="1"/>
        <v>876000</v>
      </c>
      <c r="F11" s="76">
        <f t="shared" si="2"/>
        <v>5876000</v>
      </c>
      <c r="G11" s="76"/>
    </row>
    <row r="12" ht="26.25" customHeight="1">
      <c r="A12" s="74">
        <v>46072.0</v>
      </c>
      <c r="B12" s="78">
        <v>2597.0</v>
      </c>
      <c r="C12" s="76">
        <v>814000.0</v>
      </c>
      <c r="D12" s="79">
        <v>0.0</v>
      </c>
      <c r="E12" s="76">
        <f t="shared" si="1"/>
        <v>1690000</v>
      </c>
      <c r="F12" s="76">
        <f t="shared" si="2"/>
        <v>6690000</v>
      </c>
      <c r="G12" s="76"/>
    </row>
    <row r="13" ht="26.25" customHeight="1">
      <c r="A13" s="74">
        <v>46075.0</v>
      </c>
      <c r="B13" s="78">
        <v>2644.0</v>
      </c>
      <c r="C13" s="76">
        <v>170000.0</v>
      </c>
      <c r="D13" s="79">
        <v>0.0</v>
      </c>
      <c r="E13" s="76">
        <f t="shared" si="1"/>
        <v>1860000</v>
      </c>
      <c r="F13" s="76">
        <f t="shared" si="2"/>
        <v>6860000</v>
      </c>
      <c r="G13" s="76"/>
    </row>
    <row r="14" ht="26.25" customHeight="1">
      <c r="A14" s="74">
        <v>46079.0</v>
      </c>
      <c r="B14" s="78">
        <v>2768.0</v>
      </c>
      <c r="C14" s="76">
        <v>485000.0</v>
      </c>
      <c r="D14" s="77">
        <v>2000000.0</v>
      </c>
      <c r="E14" s="76">
        <f t="shared" si="1"/>
        <v>345000</v>
      </c>
      <c r="F14" s="76">
        <f t="shared" si="2"/>
        <v>7345000</v>
      </c>
      <c r="G14" s="76"/>
    </row>
    <row r="15" ht="26.25" customHeight="1">
      <c r="A15" s="74">
        <v>46086.0</v>
      </c>
      <c r="B15" s="78">
        <v>2902.0</v>
      </c>
      <c r="C15" s="76">
        <v>232000.0</v>
      </c>
      <c r="D15" s="79">
        <v>0.0</v>
      </c>
      <c r="E15" s="76">
        <f t="shared" si="1"/>
        <v>577000</v>
      </c>
      <c r="F15" s="76">
        <f t="shared" si="2"/>
        <v>7577000</v>
      </c>
      <c r="G15" s="76"/>
    </row>
    <row r="16" ht="26.25" customHeight="1">
      <c r="A16" s="80">
        <v>46089.0</v>
      </c>
      <c r="B16" s="78">
        <v>2945.0</v>
      </c>
      <c r="C16" s="76">
        <v>488000.0</v>
      </c>
      <c r="D16" s="76">
        <v>0.0</v>
      </c>
      <c r="E16" s="76">
        <f t="shared" si="1"/>
        <v>1065000</v>
      </c>
      <c r="F16" s="76">
        <f t="shared" si="2"/>
        <v>8065000</v>
      </c>
      <c r="G16" s="76"/>
    </row>
    <row r="17" ht="26.25" customHeight="1">
      <c r="A17" s="80">
        <v>46090.0</v>
      </c>
      <c r="B17" s="78">
        <v>2958.0</v>
      </c>
      <c r="C17" s="76">
        <v>30000.0</v>
      </c>
      <c r="D17" s="76">
        <v>0.0</v>
      </c>
      <c r="E17" s="76">
        <f t="shared" si="1"/>
        <v>1095000</v>
      </c>
      <c r="F17" s="76">
        <f t="shared" si="2"/>
        <v>8095000</v>
      </c>
      <c r="G17" s="76"/>
    </row>
    <row r="18" ht="26.25" customHeight="1">
      <c r="A18" s="81"/>
      <c r="B18" s="82"/>
      <c r="C18" s="83"/>
      <c r="D18" s="84"/>
      <c r="E18" s="83"/>
      <c r="F18" s="83"/>
      <c r="G18" s="85"/>
    </row>
    <row r="19" ht="26.25" customHeight="1">
      <c r="A19" s="80"/>
      <c r="B19" s="78"/>
      <c r="C19" s="76"/>
      <c r="D19" s="76"/>
      <c r="E19" s="76"/>
      <c r="F19" s="76"/>
      <c r="G19" s="76"/>
    </row>
    <row r="20" ht="26.25" customHeight="1">
      <c r="A20" s="80"/>
      <c r="B20" s="78"/>
      <c r="C20" s="76"/>
      <c r="D20" s="76"/>
      <c r="E20" s="76"/>
      <c r="F20" s="76"/>
      <c r="G20" s="76"/>
    </row>
    <row r="21" ht="26.25" customHeight="1">
      <c r="A21" s="80"/>
      <c r="B21" s="78"/>
      <c r="C21" s="76"/>
      <c r="D21" s="76"/>
      <c r="E21" s="76"/>
      <c r="F21" s="76"/>
      <c r="G21" s="76"/>
    </row>
    <row r="22" ht="26.25" customHeight="1">
      <c r="A22" s="80"/>
      <c r="B22" s="78"/>
      <c r="C22" s="76"/>
      <c r="D22" s="76"/>
      <c r="E22" s="76"/>
      <c r="F22" s="76"/>
      <c r="G22" s="76"/>
    </row>
    <row r="23" ht="26.25" customHeight="1">
      <c r="A23" s="80"/>
      <c r="B23" s="78"/>
      <c r="C23" s="76"/>
      <c r="D23" s="76"/>
      <c r="E23" s="76"/>
      <c r="F23" s="76"/>
      <c r="G23" s="76"/>
    </row>
    <row r="24" ht="26.25" customHeight="1">
      <c r="A24" s="80"/>
      <c r="B24" s="78"/>
      <c r="C24" s="76"/>
      <c r="D24" s="76"/>
      <c r="E24" s="76"/>
      <c r="F24" s="76"/>
      <c r="G24" s="76"/>
    </row>
    <row r="25" ht="26.25" customHeight="1">
      <c r="A25" s="80"/>
      <c r="B25" s="78"/>
      <c r="C25" s="76"/>
      <c r="D25" s="76"/>
      <c r="E25" s="76"/>
      <c r="F25" s="76"/>
      <c r="G25" s="76"/>
    </row>
    <row r="26" ht="26.25" customHeight="1">
      <c r="A26" s="80"/>
      <c r="B26" s="78"/>
      <c r="C26" s="76"/>
      <c r="D26" s="76"/>
      <c r="E26" s="76"/>
      <c r="F26" s="76"/>
      <c r="G26" s="76"/>
    </row>
    <row r="27" ht="26.25" customHeight="1">
      <c r="A27" s="80"/>
      <c r="B27" s="78"/>
      <c r="C27" s="76"/>
      <c r="D27" s="76"/>
      <c r="E27" s="76"/>
      <c r="F27" s="76"/>
      <c r="G27" s="76"/>
    </row>
    <row r="28" ht="26.25" customHeight="1">
      <c r="A28" s="80"/>
      <c r="B28" s="78"/>
      <c r="C28" s="76"/>
      <c r="D28" s="76"/>
      <c r="E28" s="76"/>
      <c r="F28" s="76"/>
      <c r="G28" s="76"/>
    </row>
    <row r="29" ht="26.25" customHeight="1">
      <c r="A29" s="80"/>
      <c r="B29" s="78"/>
      <c r="C29" s="76"/>
      <c r="D29" s="76"/>
      <c r="E29" s="76"/>
      <c r="F29" s="76"/>
      <c r="G29" s="76"/>
    </row>
    <row r="30" ht="26.25" customHeight="1">
      <c r="A30" s="80"/>
      <c r="B30" s="78"/>
      <c r="C30" s="76"/>
      <c r="D30" s="76"/>
      <c r="E30" s="76"/>
      <c r="F30" s="76"/>
      <c r="G30" s="76"/>
    </row>
    <row r="31" ht="26.25" customHeight="1">
      <c r="A31" s="80"/>
      <c r="B31" s="78"/>
      <c r="C31" s="76"/>
      <c r="D31" s="76"/>
      <c r="E31" s="76"/>
      <c r="F31" s="76"/>
      <c r="G31" s="76"/>
    </row>
    <row r="32" ht="26.25" customHeight="1">
      <c r="A32" s="80"/>
      <c r="B32" s="78"/>
      <c r="C32" s="76"/>
      <c r="D32" s="76"/>
      <c r="E32" s="76"/>
      <c r="F32" s="76"/>
      <c r="G32" s="76"/>
    </row>
    <row r="33" ht="26.25" customHeight="1">
      <c r="A33" s="80"/>
      <c r="B33" s="78"/>
      <c r="C33" s="76"/>
      <c r="D33" s="76"/>
      <c r="E33" s="76"/>
      <c r="F33" s="76"/>
      <c r="G33" s="76"/>
    </row>
    <row r="34" ht="26.25" customHeight="1">
      <c r="A34" s="80"/>
      <c r="B34" s="78"/>
      <c r="C34" s="76"/>
      <c r="D34" s="76"/>
      <c r="E34" s="76"/>
      <c r="F34" s="76"/>
      <c r="G34" s="76"/>
    </row>
    <row r="35" ht="26.25" customHeight="1">
      <c r="A35" s="80"/>
      <c r="B35" s="78"/>
      <c r="C35" s="76"/>
      <c r="D35" s="76"/>
      <c r="E35" s="76"/>
      <c r="F35" s="76"/>
      <c r="G35" s="76"/>
    </row>
    <row r="36" ht="26.25" customHeight="1">
      <c r="A36" s="80"/>
      <c r="B36" s="78"/>
      <c r="C36" s="76"/>
      <c r="D36" s="76"/>
      <c r="E36" s="76"/>
      <c r="F36" s="76"/>
      <c r="G36" s="76"/>
    </row>
    <row r="37" ht="26.25" customHeight="1">
      <c r="A37" s="80"/>
      <c r="B37" s="78"/>
      <c r="C37" s="76"/>
      <c r="D37" s="76"/>
      <c r="E37" s="76"/>
      <c r="F37" s="76"/>
      <c r="G37" s="76"/>
    </row>
  </sheetData>
  <mergeCells count="1">
    <mergeCell ref="A1:E3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4.29"/>
    <col customWidth="1" min="12" max="12" width="20.43"/>
  </cols>
  <sheetData>
    <row r="1" ht="22.5" customHeight="1">
      <c r="A1" s="86" t="s">
        <v>44</v>
      </c>
      <c r="B1" s="87" t="s">
        <v>45</v>
      </c>
      <c r="C1" s="88" t="s">
        <v>46</v>
      </c>
      <c r="D1" s="88" t="s">
        <v>47</v>
      </c>
      <c r="E1" s="88" t="s">
        <v>48</v>
      </c>
      <c r="F1" s="89" t="s">
        <v>49</v>
      </c>
      <c r="J1" s="90"/>
    </row>
    <row r="2" ht="15.75" customHeight="1">
      <c r="A2" s="91"/>
      <c r="B2" s="92" t="s">
        <v>25</v>
      </c>
      <c r="C2" s="93">
        <v>3756000.0</v>
      </c>
      <c r="D2" s="94">
        <v>2835000.0</v>
      </c>
      <c r="E2" s="93">
        <f t="shared" ref="E2:E1007" si="1">IF(C2="","",C2-IF(D2="",0,D2))</f>
        <v>921000</v>
      </c>
      <c r="F2" s="95"/>
      <c r="J2" s="90"/>
    </row>
    <row r="3" ht="15.75" customHeight="1">
      <c r="A3" s="96">
        <v>46054.0</v>
      </c>
      <c r="B3" s="94" t="s">
        <v>26</v>
      </c>
      <c r="C3" s="94">
        <v>2139000.0</v>
      </c>
      <c r="D3" s="94">
        <v>2000000.0</v>
      </c>
      <c r="E3" s="94">
        <f t="shared" si="1"/>
        <v>139000</v>
      </c>
      <c r="F3" s="97"/>
      <c r="J3" s="90"/>
    </row>
    <row r="4" ht="15.75" customHeight="1">
      <c r="A4" s="96">
        <v>46055.0</v>
      </c>
      <c r="B4" s="94" t="s">
        <v>26</v>
      </c>
      <c r="C4" s="94">
        <v>666000.0</v>
      </c>
      <c r="D4" s="94"/>
      <c r="E4" s="94">
        <f t="shared" si="1"/>
        <v>666000</v>
      </c>
      <c r="F4" s="97"/>
      <c r="J4" s="90"/>
    </row>
    <row r="5" ht="15.75" customHeight="1">
      <c r="A5" s="96">
        <v>46056.0</v>
      </c>
      <c r="B5" s="94" t="s">
        <v>26</v>
      </c>
      <c r="C5" s="94">
        <v>1557000.0</v>
      </c>
      <c r="D5" s="94"/>
      <c r="E5" s="94">
        <f t="shared" si="1"/>
        <v>1557000</v>
      </c>
      <c r="F5" s="97"/>
      <c r="J5" s="90"/>
    </row>
    <row r="6" ht="15.75" customHeight="1">
      <c r="A6" s="96">
        <v>46058.0</v>
      </c>
      <c r="B6" s="94" t="s">
        <v>26</v>
      </c>
      <c r="C6" s="94">
        <v>967000.0</v>
      </c>
      <c r="D6" s="94"/>
      <c r="E6" s="94">
        <f t="shared" si="1"/>
        <v>967000</v>
      </c>
      <c r="F6" s="97"/>
      <c r="J6" s="90"/>
    </row>
    <row r="7" ht="15.75" customHeight="1">
      <c r="A7" s="96">
        <v>46060.0</v>
      </c>
      <c r="B7" s="94" t="s">
        <v>26</v>
      </c>
      <c r="C7" s="94">
        <v>260000.0</v>
      </c>
      <c r="D7" s="94"/>
      <c r="E7" s="94">
        <f t="shared" si="1"/>
        <v>260000</v>
      </c>
      <c r="F7" s="97"/>
      <c r="J7" s="90"/>
    </row>
    <row r="8" ht="15.75" customHeight="1">
      <c r="A8" s="96">
        <v>46069.0</v>
      </c>
      <c r="B8" s="94" t="s">
        <v>26</v>
      </c>
      <c r="C8" s="94">
        <v>287000.0</v>
      </c>
      <c r="D8" s="94">
        <v>2000000.0</v>
      </c>
      <c r="E8" s="94">
        <f t="shared" si="1"/>
        <v>-1713000</v>
      </c>
      <c r="F8" s="97"/>
      <c r="J8" s="98"/>
    </row>
    <row r="9" ht="15.75" customHeight="1">
      <c r="A9" s="96">
        <v>46072.0</v>
      </c>
      <c r="B9" s="94" t="s">
        <v>26</v>
      </c>
      <c r="C9" s="94">
        <v>814000.0</v>
      </c>
      <c r="D9" s="94"/>
      <c r="E9" s="94">
        <f t="shared" si="1"/>
        <v>814000</v>
      </c>
      <c r="F9" s="97"/>
      <c r="J9" s="98"/>
    </row>
    <row r="10" ht="15.75" customHeight="1">
      <c r="A10" s="96">
        <v>46075.0</v>
      </c>
      <c r="B10" s="94" t="s">
        <v>26</v>
      </c>
      <c r="C10" s="94">
        <v>170000.0</v>
      </c>
      <c r="D10" s="94">
        <v>1000000.0</v>
      </c>
      <c r="E10" s="94">
        <f t="shared" si="1"/>
        <v>-830000</v>
      </c>
      <c r="F10" s="97"/>
      <c r="J10" s="98"/>
    </row>
    <row r="11" ht="15.75" customHeight="1">
      <c r="A11" s="96">
        <v>46079.0</v>
      </c>
      <c r="B11" s="94" t="s">
        <v>26</v>
      </c>
      <c r="C11" s="94">
        <v>485000.0</v>
      </c>
      <c r="D11" s="94"/>
      <c r="E11" s="94">
        <f t="shared" si="1"/>
        <v>485000</v>
      </c>
      <c r="F11" s="97"/>
      <c r="J11" s="98"/>
    </row>
    <row r="12" ht="15.75" customHeight="1">
      <c r="A12" s="96">
        <v>46086.0</v>
      </c>
      <c r="B12" s="94" t="s">
        <v>26</v>
      </c>
      <c r="C12" s="94">
        <v>232000.0</v>
      </c>
      <c r="D12" s="94">
        <v>2000000.0</v>
      </c>
      <c r="E12" s="94">
        <f t="shared" si="1"/>
        <v>-1768000</v>
      </c>
      <c r="F12" s="97"/>
      <c r="J12" s="98"/>
    </row>
    <row r="13" ht="15.75" customHeight="1">
      <c r="A13" s="96">
        <v>46089.0</v>
      </c>
      <c r="B13" s="94" t="s">
        <v>26</v>
      </c>
      <c r="C13" s="94">
        <v>488000.0</v>
      </c>
      <c r="D13" s="94"/>
      <c r="E13" s="94">
        <f t="shared" si="1"/>
        <v>488000</v>
      </c>
      <c r="F13" s="97"/>
      <c r="J13" s="98"/>
    </row>
    <row r="14" ht="15.75" customHeight="1">
      <c r="A14" s="91">
        <v>46084.0</v>
      </c>
      <c r="B14" s="92" t="s">
        <v>27</v>
      </c>
      <c r="C14" s="93">
        <v>2518000.0</v>
      </c>
      <c r="D14" s="94">
        <v>542000.0</v>
      </c>
      <c r="E14" s="93">
        <f t="shared" si="1"/>
        <v>1976000</v>
      </c>
      <c r="F14" s="95"/>
      <c r="J14" s="98"/>
    </row>
    <row r="15" ht="15.75" customHeight="1">
      <c r="A15" s="91">
        <v>46082.0</v>
      </c>
      <c r="B15" s="92" t="s">
        <v>28</v>
      </c>
      <c r="C15" s="93">
        <v>601000.0</v>
      </c>
      <c r="D15" s="93">
        <v>367000.0</v>
      </c>
      <c r="E15" s="93">
        <f t="shared" si="1"/>
        <v>234000</v>
      </c>
      <c r="F15" s="95"/>
      <c r="J15" s="98"/>
    </row>
    <row r="16" ht="15.75" customHeight="1">
      <c r="A16" s="91">
        <v>46082.0</v>
      </c>
      <c r="B16" s="92" t="s">
        <v>29</v>
      </c>
      <c r="C16" s="93">
        <v>910000.0</v>
      </c>
      <c r="D16" s="93">
        <v>345000.0</v>
      </c>
      <c r="E16" s="93">
        <f t="shared" si="1"/>
        <v>565000</v>
      </c>
      <c r="F16" s="95"/>
      <c r="J16" s="90"/>
    </row>
    <row r="17" ht="15.75" customHeight="1">
      <c r="A17" s="91"/>
      <c r="B17" s="92" t="s">
        <v>30</v>
      </c>
      <c r="C17" s="93">
        <v>500000.0</v>
      </c>
      <c r="D17" s="93">
        <v>350000.0</v>
      </c>
      <c r="E17" s="93">
        <f t="shared" si="1"/>
        <v>150000</v>
      </c>
      <c r="F17" s="95"/>
      <c r="J17" s="90"/>
    </row>
    <row r="18" ht="15.75" customHeight="1">
      <c r="A18" s="91"/>
      <c r="B18" s="92" t="s">
        <v>30</v>
      </c>
      <c r="C18" s="93">
        <v>170000.0</v>
      </c>
      <c r="D18" s="93"/>
      <c r="E18" s="93">
        <f t="shared" si="1"/>
        <v>170000</v>
      </c>
      <c r="F18" s="95"/>
      <c r="J18" s="90"/>
    </row>
    <row r="19" ht="15.75" customHeight="1">
      <c r="A19" s="91"/>
      <c r="B19" s="92" t="s">
        <v>30</v>
      </c>
      <c r="C19" s="93">
        <v>250000.0</v>
      </c>
      <c r="D19" s="93"/>
      <c r="E19" s="93">
        <f t="shared" si="1"/>
        <v>250000</v>
      </c>
      <c r="F19" s="95"/>
      <c r="J19" s="90"/>
    </row>
    <row r="20" ht="15.75" customHeight="1">
      <c r="A20" s="91"/>
      <c r="B20" s="92" t="s">
        <v>30</v>
      </c>
      <c r="C20" s="93">
        <v>580000.0</v>
      </c>
      <c r="D20" s="93"/>
      <c r="E20" s="93">
        <f t="shared" si="1"/>
        <v>580000</v>
      </c>
      <c r="F20" s="95"/>
      <c r="J20" s="90"/>
    </row>
    <row r="21" ht="15.75" customHeight="1">
      <c r="A21" s="91"/>
      <c r="B21" s="92" t="s">
        <v>24</v>
      </c>
      <c r="C21" s="99">
        <v>6019000.0</v>
      </c>
      <c r="D21" s="93">
        <v>1375000.0</v>
      </c>
      <c r="E21" s="93">
        <f t="shared" si="1"/>
        <v>4644000</v>
      </c>
      <c r="F21" s="95"/>
      <c r="J21" s="90"/>
    </row>
    <row r="22" ht="15.75" customHeight="1">
      <c r="A22" s="91"/>
      <c r="B22" s="92" t="s">
        <v>24</v>
      </c>
      <c r="C22" s="100">
        <v>5000000.0</v>
      </c>
      <c r="D22" s="93">
        <v>7305000.0</v>
      </c>
      <c r="E22" s="93">
        <f t="shared" si="1"/>
        <v>-2305000</v>
      </c>
      <c r="F22" s="95"/>
      <c r="J22" s="90"/>
    </row>
    <row r="23" ht="15.75" customHeight="1">
      <c r="A23" s="91"/>
      <c r="B23" s="92" t="s">
        <v>24</v>
      </c>
      <c r="C23" s="99">
        <v>5000000.0</v>
      </c>
      <c r="D23" s="93">
        <v>2000000.0</v>
      </c>
      <c r="E23" s="93">
        <f t="shared" si="1"/>
        <v>3000000</v>
      </c>
      <c r="F23" s="95"/>
      <c r="J23" s="90"/>
    </row>
    <row r="24" ht="15.75" customHeight="1">
      <c r="A24" s="91"/>
      <c r="B24" s="92" t="s">
        <v>24</v>
      </c>
      <c r="C24" s="100">
        <v>1000000.0</v>
      </c>
      <c r="D24" s="93">
        <v>5000000.0</v>
      </c>
      <c r="E24" s="93">
        <f t="shared" si="1"/>
        <v>-4000000</v>
      </c>
      <c r="F24" s="95"/>
      <c r="J24" s="90"/>
    </row>
    <row r="25" ht="15.75" customHeight="1">
      <c r="A25" s="91"/>
      <c r="B25" s="92" t="s">
        <v>24</v>
      </c>
      <c r="C25" s="99">
        <v>1000000.0</v>
      </c>
      <c r="D25" s="93">
        <v>1.0E7</v>
      </c>
      <c r="E25" s="93">
        <f t="shared" si="1"/>
        <v>-9000000</v>
      </c>
      <c r="F25" s="95"/>
      <c r="J25" s="90"/>
    </row>
    <row r="26" ht="15.75" customHeight="1">
      <c r="A26" s="91"/>
      <c r="B26" s="92" t="s">
        <v>24</v>
      </c>
      <c r="C26" s="100">
        <v>1.2675E7</v>
      </c>
      <c r="D26" s="93">
        <v>775000.0</v>
      </c>
      <c r="E26" s="93">
        <f t="shared" si="1"/>
        <v>11900000</v>
      </c>
      <c r="F26" s="95"/>
      <c r="H26" s="101"/>
      <c r="J26" s="90"/>
    </row>
    <row r="27" ht="15.75" customHeight="1">
      <c r="A27" s="91"/>
      <c r="B27" s="92" t="s">
        <v>24</v>
      </c>
      <c r="C27" s="99">
        <v>1090000.0</v>
      </c>
      <c r="D27" s="93"/>
      <c r="E27" s="93">
        <f t="shared" si="1"/>
        <v>1090000</v>
      </c>
      <c r="F27" s="95"/>
      <c r="H27" s="102"/>
      <c r="J27" s="90"/>
    </row>
    <row r="28" ht="15.75" customHeight="1">
      <c r="A28" s="91"/>
      <c r="B28" s="92" t="s">
        <v>24</v>
      </c>
      <c r="C28" s="100">
        <v>325000.0</v>
      </c>
      <c r="D28" s="93"/>
      <c r="E28" s="93">
        <f t="shared" si="1"/>
        <v>325000</v>
      </c>
      <c r="F28" s="95"/>
      <c r="J28" s="90"/>
      <c r="L28" s="103"/>
    </row>
    <row r="29" ht="15.75" customHeight="1">
      <c r="A29" s="91"/>
      <c r="B29" s="92" t="s">
        <v>24</v>
      </c>
      <c r="C29" s="99">
        <v>595000.0</v>
      </c>
      <c r="D29" s="93"/>
      <c r="E29" s="93">
        <f t="shared" si="1"/>
        <v>595000</v>
      </c>
      <c r="F29" s="95"/>
      <c r="J29" s="90"/>
    </row>
    <row r="30" ht="15.75" customHeight="1">
      <c r="A30" s="91"/>
      <c r="B30" s="92" t="s">
        <v>24</v>
      </c>
      <c r="C30" s="100">
        <v>485000.0</v>
      </c>
      <c r="D30" s="93"/>
      <c r="E30" s="93">
        <f t="shared" si="1"/>
        <v>485000</v>
      </c>
      <c r="F30" s="95"/>
      <c r="J30" s="90"/>
    </row>
    <row r="31" ht="15.75" customHeight="1">
      <c r="A31" s="91"/>
      <c r="B31" s="92" t="s">
        <v>24</v>
      </c>
      <c r="C31" s="99">
        <v>293000.0</v>
      </c>
      <c r="D31" s="93"/>
      <c r="E31" s="93">
        <f t="shared" si="1"/>
        <v>293000</v>
      </c>
      <c r="F31" s="95"/>
      <c r="J31" s="90"/>
    </row>
    <row r="32" ht="15.75" customHeight="1">
      <c r="A32" s="91"/>
      <c r="B32" s="92" t="s">
        <v>24</v>
      </c>
      <c r="C32" s="100">
        <v>148000.0</v>
      </c>
      <c r="D32" s="93"/>
      <c r="E32" s="93">
        <f t="shared" si="1"/>
        <v>148000</v>
      </c>
      <c r="F32" s="95"/>
      <c r="J32" s="90"/>
    </row>
    <row r="33" ht="15.75" customHeight="1">
      <c r="A33" s="91"/>
      <c r="B33" s="92" t="s">
        <v>24</v>
      </c>
      <c r="C33" s="99">
        <v>80000.0</v>
      </c>
      <c r="D33" s="93"/>
      <c r="E33" s="93">
        <f t="shared" si="1"/>
        <v>80000</v>
      </c>
      <c r="F33" s="95"/>
      <c r="J33" s="90"/>
    </row>
    <row r="34" ht="15.75" customHeight="1">
      <c r="A34" s="91"/>
      <c r="B34" s="92" t="s">
        <v>24</v>
      </c>
      <c r="C34" s="100">
        <v>45000.0</v>
      </c>
      <c r="D34" s="93"/>
      <c r="E34" s="93">
        <f t="shared" si="1"/>
        <v>45000</v>
      </c>
      <c r="F34" s="95"/>
      <c r="J34" s="90"/>
    </row>
    <row r="35" ht="15.75" customHeight="1">
      <c r="A35" s="91"/>
      <c r="B35" s="92" t="s">
        <v>24</v>
      </c>
      <c r="C35" s="99">
        <v>17000.0</v>
      </c>
      <c r="D35" s="93"/>
      <c r="E35" s="93">
        <f t="shared" si="1"/>
        <v>17000</v>
      </c>
      <c r="F35" s="95"/>
      <c r="J35" s="90"/>
    </row>
    <row r="36" ht="15.75" customHeight="1">
      <c r="A36" s="91"/>
      <c r="B36" s="92" t="s">
        <v>24</v>
      </c>
      <c r="C36" s="100">
        <v>85000.0</v>
      </c>
      <c r="D36" s="93"/>
      <c r="E36" s="93">
        <f t="shared" si="1"/>
        <v>85000</v>
      </c>
      <c r="F36" s="95"/>
      <c r="J36" s="90"/>
    </row>
    <row r="37" ht="15.75" customHeight="1">
      <c r="A37" s="91"/>
      <c r="B37" s="92" t="s">
        <v>24</v>
      </c>
      <c r="C37" s="99">
        <v>1375000.0</v>
      </c>
      <c r="D37" s="93"/>
      <c r="E37" s="93">
        <f t="shared" si="1"/>
        <v>1375000</v>
      </c>
      <c r="F37" s="95"/>
      <c r="J37" s="90"/>
    </row>
    <row r="38" ht="15.75" customHeight="1">
      <c r="A38" s="91"/>
      <c r="B38" s="92" t="s">
        <v>24</v>
      </c>
      <c r="C38" s="100">
        <v>50000.0</v>
      </c>
      <c r="D38" s="93"/>
      <c r="E38" s="93">
        <f t="shared" si="1"/>
        <v>50000</v>
      </c>
      <c r="F38" s="95"/>
      <c r="J38" s="90"/>
    </row>
    <row r="39" ht="15.75" customHeight="1">
      <c r="A39" s="91"/>
      <c r="B39" s="92" t="s">
        <v>24</v>
      </c>
      <c r="C39" s="99">
        <v>750000.0</v>
      </c>
      <c r="D39" s="93"/>
      <c r="E39" s="93">
        <f t="shared" si="1"/>
        <v>750000</v>
      </c>
      <c r="F39" s="95"/>
      <c r="J39" s="90"/>
    </row>
    <row r="40" ht="15.75" customHeight="1">
      <c r="A40" s="91"/>
      <c r="B40" s="92" t="s">
        <v>24</v>
      </c>
      <c r="C40" s="100">
        <v>50000.0</v>
      </c>
      <c r="D40" s="93"/>
      <c r="E40" s="93">
        <f t="shared" si="1"/>
        <v>50000</v>
      </c>
      <c r="F40" s="95"/>
      <c r="J40" s="90"/>
    </row>
    <row r="41" ht="15.75" customHeight="1">
      <c r="A41" s="91"/>
      <c r="B41" s="92" t="s">
        <v>24</v>
      </c>
      <c r="C41" s="99">
        <v>220000.0</v>
      </c>
      <c r="D41" s="93"/>
      <c r="E41" s="93">
        <f t="shared" si="1"/>
        <v>220000</v>
      </c>
      <c r="F41" s="95"/>
      <c r="J41" s="90"/>
    </row>
    <row r="42" ht="15.75" customHeight="1">
      <c r="A42" s="91"/>
      <c r="B42" s="92" t="s">
        <v>24</v>
      </c>
      <c r="C42" s="100">
        <v>2450000.0</v>
      </c>
      <c r="D42" s="93"/>
      <c r="E42" s="93">
        <f t="shared" si="1"/>
        <v>2450000</v>
      </c>
      <c r="F42" s="95"/>
      <c r="J42" s="90"/>
    </row>
    <row r="43" ht="15.75" customHeight="1">
      <c r="A43" s="91"/>
      <c r="B43" s="92" t="s">
        <v>24</v>
      </c>
      <c r="C43" s="99">
        <v>130000.0</v>
      </c>
      <c r="D43" s="93"/>
      <c r="E43" s="93">
        <f t="shared" si="1"/>
        <v>130000</v>
      </c>
      <c r="F43" s="95"/>
      <c r="J43" s="90"/>
    </row>
    <row r="44" ht="15.75" customHeight="1">
      <c r="A44" s="91"/>
      <c r="B44" s="92" t="s">
        <v>24</v>
      </c>
      <c r="C44" s="100">
        <v>100000.0</v>
      </c>
      <c r="D44" s="93"/>
      <c r="E44" s="93">
        <f t="shared" si="1"/>
        <v>100000</v>
      </c>
      <c r="F44" s="95"/>
      <c r="J44" s="90"/>
    </row>
    <row r="45" ht="15.75" customHeight="1">
      <c r="A45" s="91"/>
      <c r="B45" s="92" t="s">
        <v>24</v>
      </c>
      <c r="C45" s="99">
        <v>30000.0</v>
      </c>
      <c r="D45" s="93"/>
      <c r="E45" s="93">
        <f t="shared" si="1"/>
        <v>30000</v>
      </c>
      <c r="F45" s="95"/>
      <c r="J45" s="90"/>
    </row>
    <row r="46" ht="15.75" customHeight="1">
      <c r="A46" s="91"/>
      <c r="B46" s="92" t="s">
        <v>24</v>
      </c>
      <c r="C46" s="100">
        <v>50000.0</v>
      </c>
      <c r="D46" s="93"/>
      <c r="E46" s="93">
        <f t="shared" si="1"/>
        <v>50000</v>
      </c>
      <c r="F46" s="95"/>
      <c r="J46" s="90"/>
    </row>
    <row r="47" ht="15.75" customHeight="1">
      <c r="A47" s="91"/>
      <c r="B47" s="92" t="s">
        <v>24</v>
      </c>
      <c r="C47" s="99">
        <v>100000.0</v>
      </c>
      <c r="D47" s="93"/>
      <c r="E47" s="93">
        <f t="shared" si="1"/>
        <v>100000</v>
      </c>
      <c r="F47" s="95"/>
      <c r="J47" s="90"/>
    </row>
    <row r="48" ht="15.75" customHeight="1">
      <c r="A48" s="91"/>
      <c r="B48" s="92" t="s">
        <v>24</v>
      </c>
      <c r="C48" s="100">
        <v>1750000.0</v>
      </c>
      <c r="D48" s="93"/>
      <c r="E48" s="93">
        <f t="shared" si="1"/>
        <v>1750000</v>
      </c>
      <c r="F48" s="95"/>
      <c r="J48" s="90"/>
    </row>
    <row r="49" ht="15.75" customHeight="1">
      <c r="A49" s="91"/>
      <c r="B49" s="92" t="s">
        <v>24</v>
      </c>
      <c r="C49" s="99">
        <v>75000.0</v>
      </c>
      <c r="D49" s="93"/>
      <c r="E49" s="93">
        <f t="shared" si="1"/>
        <v>75000</v>
      </c>
      <c r="F49" s="95"/>
      <c r="J49" s="90"/>
    </row>
    <row r="50" ht="15.75" customHeight="1">
      <c r="A50" s="91"/>
      <c r="B50" s="92" t="s">
        <v>24</v>
      </c>
      <c r="C50" s="100">
        <v>550000.0</v>
      </c>
      <c r="D50" s="93"/>
      <c r="E50" s="93">
        <f t="shared" si="1"/>
        <v>550000</v>
      </c>
      <c r="F50" s="95"/>
      <c r="J50" s="90"/>
    </row>
    <row r="51" ht="15.75" customHeight="1">
      <c r="A51" s="91"/>
      <c r="B51" s="92" t="s">
        <v>24</v>
      </c>
      <c r="C51" s="99">
        <v>160000.0</v>
      </c>
      <c r="D51" s="93"/>
      <c r="E51" s="93">
        <f t="shared" si="1"/>
        <v>160000</v>
      </c>
      <c r="F51" s="95"/>
      <c r="J51" s="90"/>
    </row>
    <row r="52" ht="15.75" customHeight="1">
      <c r="A52" s="91"/>
      <c r="B52" s="92" t="s">
        <v>24</v>
      </c>
      <c r="C52" s="100">
        <v>145000.0</v>
      </c>
      <c r="D52" s="93"/>
      <c r="E52" s="93">
        <f t="shared" si="1"/>
        <v>145000</v>
      </c>
      <c r="F52" s="95"/>
      <c r="J52" s="90"/>
    </row>
    <row r="53" ht="15.75" customHeight="1">
      <c r="A53" s="91"/>
      <c r="B53" s="92" t="s">
        <v>24</v>
      </c>
      <c r="C53" s="99">
        <v>596000.0</v>
      </c>
      <c r="D53" s="93"/>
      <c r="E53" s="93">
        <f t="shared" si="1"/>
        <v>596000</v>
      </c>
      <c r="F53" s="95"/>
      <c r="J53" s="90"/>
    </row>
    <row r="54" ht="15.75" customHeight="1">
      <c r="A54" s="91"/>
      <c r="B54" s="92" t="s">
        <v>24</v>
      </c>
      <c r="C54" s="100">
        <v>45000.0</v>
      </c>
      <c r="D54" s="93"/>
      <c r="E54" s="93">
        <f t="shared" si="1"/>
        <v>45000</v>
      </c>
      <c r="F54" s="95"/>
      <c r="J54" s="90"/>
    </row>
    <row r="55" ht="15.75" customHeight="1">
      <c r="A55" s="91"/>
      <c r="B55" s="92" t="s">
        <v>24</v>
      </c>
      <c r="C55" s="99">
        <v>90000.0</v>
      </c>
      <c r="D55" s="93"/>
      <c r="E55" s="93">
        <f t="shared" si="1"/>
        <v>90000</v>
      </c>
      <c r="F55" s="95"/>
      <c r="J55" s="90"/>
    </row>
    <row r="56" ht="15.75" customHeight="1">
      <c r="A56" s="91"/>
      <c r="B56" s="92" t="s">
        <v>24</v>
      </c>
      <c r="C56" s="100">
        <v>35000.0</v>
      </c>
      <c r="D56" s="93"/>
      <c r="E56" s="93">
        <f t="shared" si="1"/>
        <v>35000</v>
      </c>
      <c r="F56" s="95"/>
      <c r="J56" s="90"/>
    </row>
    <row r="57" ht="15.75" customHeight="1">
      <c r="A57" s="91"/>
      <c r="B57" s="92" t="s">
        <v>24</v>
      </c>
      <c r="C57" s="99">
        <v>100000.0</v>
      </c>
      <c r="D57" s="93"/>
      <c r="E57" s="93">
        <f t="shared" si="1"/>
        <v>100000</v>
      </c>
      <c r="F57" s="95"/>
      <c r="J57" s="90"/>
    </row>
    <row r="58" ht="15.75" customHeight="1">
      <c r="A58" s="91"/>
      <c r="B58" s="92" t="s">
        <v>24</v>
      </c>
      <c r="C58" s="100">
        <v>175000.0</v>
      </c>
      <c r="D58" s="93"/>
      <c r="E58" s="93">
        <f t="shared" si="1"/>
        <v>175000</v>
      </c>
      <c r="F58" s="95"/>
      <c r="J58" s="90"/>
    </row>
    <row r="59" ht="15.75" customHeight="1">
      <c r="A59" s="91"/>
      <c r="B59" s="92" t="s">
        <v>24</v>
      </c>
      <c r="C59" s="99">
        <v>200000.0</v>
      </c>
      <c r="D59" s="93"/>
      <c r="E59" s="93">
        <f t="shared" si="1"/>
        <v>200000</v>
      </c>
      <c r="F59" s="95"/>
      <c r="J59" s="90"/>
    </row>
    <row r="60" ht="15.75" customHeight="1">
      <c r="A60" s="91"/>
      <c r="B60" s="92" t="s">
        <v>24</v>
      </c>
      <c r="C60" s="100">
        <v>665000.0</v>
      </c>
      <c r="D60" s="93"/>
      <c r="E60" s="93">
        <f t="shared" si="1"/>
        <v>665000</v>
      </c>
      <c r="F60" s="95"/>
      <c r="J60" s="90"/>
    </row>
    <row r="61" ht="15.75" customHeight="1">
      <c r="A61" s="91"/>
      <c r="B61" s="92" t="s">
        <v>24</v>
      </c>
      <c r="C61" s="99">
        <v>35000.0</v>
      </c>
      <c r="D61" s="93"/>
      <c r="E61" s="93">
        <f t="shared" si="1"/>
        <v>35000</v>
      </c>
      <c r="F61" s="95"/>
      <c r="J61" s="90"/>
    </row>
    <row r="62" ht="15.75" customHeight="1">
      <c r="A62" s="91"/>
      <c r="B62" s="92" t="s">
        <v>24</v>
      </c>
      <c r="C62" s="100">
        <v>87000.0</v>
      </c>
      <c r="D62" s="93"/>
      <c r="E62" s="93">
        <f t="shared" si="1"/>
        <v>87000</v>
      </c>
      <c r="F62" s="95"/>
      <c r="J62" s="90"/>
    </row>
    <row r="63" ht="15.75" customHeight="1">
      <c r="A63" s="91"/>
      <c r="B63" s="92" t="s">
        <v>31</v>
      </c>
      <c r="C63" s="93">
        <v>2280750.0</v>
      </c>
      <c r="D63" s="93">
        <v>750000.0</v>
      </c>
      <c r="E63" s="93">
        <f t="shared" si="1"/>
        <v>1530750</v>
      </c>
      <c r="F63" s="95"/>
      <c r="J63" s="90"/>
    </row>
    <row r="64" ht="15.75" customHeight="1">
      <c r="A64" s="91"/>
      <c r="B64" s="92" t="s">
        <v>31</v>
      </c>
      <c r="C64" s="93">
        <v>3719250.0</v>
      </c>
      <c r="D64" s="93"/>
      <c r="E64" s="93">
        <f t="shared" si="1"/>
        <v>3719250</v>
      </c>
      <c r="F64" s="95"/>
      <c r="J64" s="90"/>
    </row>
    <row r="65" ht="15.75" customHeight="1">
      <c r="A65" s="91"/>
      <c r="B65" s="104" t="s">
        <v>32</v>
      </c>
      <c r="C65" s="93">
        <v>35000.0</v>
      </c>
      <c r="D65" s="93"/>
      <c r="E65" s="93">
        <f t="shared" si="1"/>
        <v>35000</v>
      </c>
      <c r="F65" s="95"/>
      <c r="J65" s="90"/>
    </row>
    <row r="66" ht="15.75" customHeight="1">
      <c r="A66" s="91"/>
      <c r="B66" s="104" t="s">
        <v>32</v>
      </c>
      <c r="C66" s="93">
        <v>330000.0</v>
      </c>
      <c r="D66" s="94">
        <v>435000.0</v>
      </c>
      <c r="E66" s="93">
        <f t="shared" si="1"/>
        <v>-105000</v>
      </c>
      <c r="F66" s="95"/>
      <c r="J66" s="90"/>
    </row>
    <row r="67" ht="15.75" customHeight="1">
      <c r="A67" s="105"/>
      <c r="B67" s="104" t="s">
        <v>32</v>
      </c>
      <c r="C67" s="93">
        <v>70000.0</v>
      </c>
      <c r="D67" s="93"/>
      <c r="E67" s="93">
        <f t="shared" si="1"/>
        <v>70000</v>
      </c>
      <c r="F67" s="95"/>
      <c r="J67" s="90"/>
    </row>
    <row r="68" ht="15.75" customHeight="1">
      <c r="A68" s="105"/>
      <c r="B68" s="92" t="s">
        <v>24</v>
      </c>
      <c r="C68" s="93">
        <v>1300000.0</v>
      </c>
      <c r="D68" s="93"/>
      <c r="E68" s="93">
        <f t="shared" si="1"/>
        <v>1300000</v>
      </c>
      <c r="F68" s="95"/>
      <c r="J68" s="90"/>
    </row>
    <row r="69" ht="15.75" customHeight="1">
      <c r="A69" s="105"/>
      <c r="B69" s="92" t="s">
        <v>24</v>
      </c>
      <c r="C69" s="93">
        <v>10000.0</v>
      </c>
      <c r="D69" s="93"/>
      <c r="E69" s="93">
        <f t="shared" si="1"/>
        <v>10000</v>
      </c>
      <c r="F69" s="95"/>
      <c r="J69" s="90"/>
    </row>
    <row r="70" ht="15.75" customHeight="1">
      <c r="A70" s="105"/>
      <c r="B70" s="92" t="s">
        <v>24</v>
      </c>
      <c r="C70" s="93">
        <v>180000.0</v>
      </c>
      <c r="D70" s="93"/>
      <c r="E70" s="93">
        <f t="shared" si="1"/>
        <v>180000</v>
      </c>
      <c r="F70" s="95"/>
      <c r="J70" s="90"/>
    </row>
    <row r="71" ht="15.75" customHeight="1">
      <c r="A71" s="105"/>
      <c r="B71" s="92" t="s">
        <v>24</v>
      </c>
      <c r="C71" s="93">
        <v>5000.0</v>
      </c>
      <c r="D71" s="93"/>
      <c r="E71" s="93">
        <f t="shared" si="1"/>
        <v>5000</v>
      </c>
      <c r="F71" s="95"/>
      <c r="J71" s="90"/>
    </row>
    <row r="72" ht="15.75" customHeight="1">
      <c r="A72" s="105"/>
      <c r="B72" s="92" t="s">
        <v>24</v>
      </c>
      <c r="C72" s="93">
        <v>5000.0</v>
      </c>
      <c r="D72" s="93"/>
      <c r="E72" s="93">
        <f t="shared" si="1"/>
        <v>5000</v>
      </c>
      <c r="F72" s="95"/>
      <c r="J72" s="90"/>
    </row>
    <row r="73" ht="15.75" customHeight="1">
      <c r="A73" s="105"/>
      <c r="B73" s="92" t="s">
        <v>24</v>
      </c>
      <c r="C73" s="93"/>
      <c r="D73" s="93"/>
      <c r="E73" s="93" t="str">
        <f t="shared" si="1"/>
        <v/>
      </c>
      <c r="F73" s="95"/>
      <c r="J73" s="90"/>
    </row>
    <row r="74" ht="15.75" customHeight="1">
      <c r="A74" s="105"/>
      <c r="B74" s="104" t="s">
        <v>33</v>
      </c>
      <c r="C74" s="94">
        <v>53000.0</v>
      </c>
      <c r="D74" s="94">
        <v>53000.0</v>
      </c>
      <c r="E74" s="93">
        <f t="shared" si="1"/>
        <v>0</v>
      </c>
      <c r="F74" s="95"/>
      <c r="J74" s="90"/>
    </row>
    <row r="75" ht="15.75" customHeight="1">
      <c r="A75" s="106">
        <v>46088.0</v>
      </c>
      <c r="B75" s="104" t="s">
        <v>34</v>
      </c>
      <c r="C75" s="94">
        <v>45000.0</v>
      </c>
      <c r="D75" s="93"/>
      <c r="E75" s="93">
        <f t="shared" si="1"/>
        <v>45000</v>
      </c>
      <c r="F75" s="95"/>
      <c r="J75" s="90"/>
    </row>
    <row r="76" ht="15.75" customHeight="1">
      <c r="A76" s="106"/>
      <c r="B76" s="104" t="s">
        <v>50</v>
      </c>
      <c r="C76" s="94">
        <v>600000.0</v>
      </c>
      <c r="D76" s="94">
        <v>450000.0</v>
      </c>
      <c r="E76" s="93">
        <f t="shared" si="1"/>
        <v>150000</v>
      </c>
      <c r="F76" s="95"/>
      <c r="J76" s="90"/>
    </row>
    <row r="77" ht="15.75" customHeight="1">
      <c r="A77" s="107"/>
      <c r="B77" s="104" t="s">
        <v>26</v>
      </c>
      <c r="C77" s="94">
        <v>30000.0</v>
      </c>
      <c r="D77" s="93"/>
      <c r="E77" s="93">
        <f t="shared" si="1"/>
        <v>30000</v>
      </c>
      <c r="F77" s="95"/>
      <c r="J77" s="90"/>
    </row>
    <row r="78" ht="15.75" customHeight="1">
      <c r="A78" s="106">
        <v>46093.0</v>
      </c>
      <c r="B78" s="104" t="s">
        <v>26</v>
      </c>
      <c r="C78" s="94">
        <v>374000.0</v>
      </c>
      <c r="D78" s="93"/>
      <c r="E78" s="93">
        <f t="shared" si="1"/>
        <v>374000</v>
      </c>
      <c r="F78" s="95"/>
      <c r="J78" s="90"/>
    </row>
    <row r="79" ht="15.75" customHeight="1">
      <c r="A79" s="106">
        <v>46093.0</v>
      </c>
      <c r="B79" s="104" t="s">
        <v>26</v>
      </c>
      <c r="C79" s="94">
        <v>300000.0</v>
      </c>
      <c r="D79" s="93"/>
      <c r="E79" s="93">
        <f t="shared" si="1"/>
        <v>300000</v>
      </c>
      <c r="F79" s="95"/>
      <c r="J79" s="90"/>
    </row>
    <row r="80" ht="15.75" customHeight="1">
      <c r="A80" s="106">
        <v>46095.0</v>
      </c>
      <c r="B80" s="104" t="s">
        <v>35</v>
      </c>
      <c r="C80" s="94">
        <v>50000.0</v>
      </c>
      <c r="D80" s="93"/>
      <c r="E80" s="93">
        <f t="shared" si="1"/>
        <v>50000</v>
      </c>
      <c r="F80" s="95"/>
      <c r="J80" s="90"/>
    </row>
    <row r="81" ht="15.75" customHeight="1">
      <c r="A81" s="106">
        <v>46097.0</v>
      </c>
      <c r="B81" s="92" t="s">
        <v>25</v>
      </c>
      <c r="C81" s="94">
        <v>2320000.0</v>
      </c>
      <c r="D81" s="94">
        <v>1000000.0</v>
      </c>
      <c r="E81" s="93">
        <f t="shared" si="1"/>
        <v>1320000</v>
      </c>
      <c r="F81" s="95"/>
      <c r="J81" s="90"/>
    </row>
    <row r="82" ht="15.75" customHeight="1">
      <c r="A82" s="106">
        <v>46098.0</v>
      </c>
      <c r="B82" s="92" t="s">
        <v>25</v>
      </c>
      <c r="C82" s="108">
        <v>105000.0</v>
      </c>
      <c r="D82" s="108">
        <v>2345000.0</v>
      </c>
      <c r="E82" s="109">
        <f t="shared" si="1"/>
        <v>-2240000</v>
      </c>
      <c r="J82" s="90"/>
    </row>
    <row r="83" ht="15.75" customHeight="1">
      <c r="A83" s="110"/>
      <c r="B83" s="107" t="s">
        <v>36</v>
      </c>
      <c r="C83" s="111">
        <v>5000.0</v>
      </c>
      <c r="D83" s="112"/>
      <c r="E83" s="109">
        <f t="shared" si="1"/>
        <v>5000</v>
      </c>
      <c r="J83" s="90"/>
    </row>
    <row r="84" ht="15.75" customHeight="1">
      <c r="A84" s="110"/>
      <c r="B84" s="107" t="s">
        <v>36</v>
      </c>
      <c r="C84" s="111">
        <v>260000.0</v>
      </c>
      <c r="D84" s="112"/>
      <c r="E84" s="109">
        <f t="shared" si="1"/>
        <v>260000</v>
      </c>
      <c r="J84" s="90"/>
    </row>
    <row r="85" ht="15.75" customHeight="1">
      <c r="A85" s="110"/>
      <c r="B85" s="107" t="s">
        <v>29</v>
      </c>
      <c r="C85" s="111">
        <v>88500.0</v>
      </c>
      <c r="D85" s="112"/>
      <c r="E85" s="109">
        <f t="shared" si="1"/>
        <v>88500</v>
      </c>
      <c r="J85" s="90"/>
    </row>
    <row r="86" ht="15.75" customHeight="1">
      <c r="A86" s="110"/>
      <c r="B86" s="107" t="s">
        <v>37</v>
      </c>
      <c r="C86" s="111">
        <v>10000.0</v>
      </c>
      <c r="D86" s="112"/>
      <c r="E86" s="109">
        <f t="shared" si="1"/>
        <v>10000</v>
      </c>
      <c r="J86" s="90"/>
    </row>
    <row r="87" ht="15.75" customHeight="1">
      <c r="A87" s="110"/>
      <c r="B87" s="92" t="s">
        <v>27</v>
      </c>
      <c r="C87" s="111">
        <v>206750.0</v>
      </c>
      <c r="D87" s="112"/>
      <c r="E87" s="109">
        <f t="shared" si="1"/>
        <v>206750</v>
      </c>
      <c r="J87" s="90"/>
    </row>
    <row r="88" ht="15.75" customHeight="1">
      <c r="A88" s="113">
        <v>46100.0</v>
      </c>
      <c r="B88" s="107" t="s">
        <v>26</v>
      </c>
      <c r="C88" s="111">
        <v>385000.0</v>
      </c>
      <c r="D88" s="112"/>
      <c r="E88" s="109">
        <f t="shared" si="1"/>
        <v>385000</v>
      </c>
      <c r="J88" s="90"/>
    </row>
    <row r="89" ht="15.75" customHeight="1">
      <c r="A89" s="110"/>
      <c r="B89" s="92" t="s">
        <v>28</v>
      </c>
      <c r="C89" s="111">
        <v>353000.0</v>
      </c>
      <c r="D89" s="112"/>
      <c r="E89" s="109">
        <f t="shared" si="1"/>
        <v>353000</v>
      </c>
      <c r="J89" s="90"/>
    </row>
    <row r="90" ht="15.75" customHeight="1">
      <c r="A90" s="110"/>
      <c r="B90" s="107" t="s">
        <v>26</v>
      </c>
      <c r="C90" s="111">
        <v>47000.0</v>
      </c>
      <c r="D90" s="111">
        <v>2200000.0</v>
      </c>
      <c r="E90" s="109">
        <f t="shared" si="1"/>
        <v>-2153000</v>
      </c>
      <c r="J90" s="90"/>
    </row>
    <row r="91" ht="15.75" customHeight="1">
      <c r="A91" s="110"/>
      <c r="B91" s="114"/>
      <c r="C91" s="112"/>
      <c r="D91" s="112"/>
      <c r="E91" s="109" t="str">
        <f t="shared" si="1"/>
        <v/>
      </c>
      <c r="J91" s="90"/>
    </row>
    <row r="92" ht="15.75" customHeight="1">
      <c r="A92" s="110"/>
      <c r="B92" s="114"/>
      <c r="C92" s="112"/>
      <c r="D92" s="112"/>
      <c r="E92" s="109" t="str">
        <f t="shared" si="1"/>
        <v/>
      </c>
      <c r="J92" s="90"/>
    </row>
    <row r="93" ht="15.75" customHeight="1">
      <c r="A93" s="110"/>
      <c r="B93" s="114"/>
      <c r="C93" s="112"/>
      <c r="D93" s="112"/>
      <c r="E93" s="109" t="str">
        <f t="shared" si="1"/>
        <v/>
      </c>
      <c r="J93" s="90"/>
    </row>
    <row r="94" ht="15.75" customHeight="1">
      <c r="A94" s="110"/>
      <c r="B94" s="114"/>
      <c r="C94" s="112"/>
      <c r="D94" s="112"/>
      <c r="E94" s="109" t="str">
        <f t="shared" si="1"/>
        <v/>
      </c>
      <c r="J94" s="90"/>
    </row>
    <row r="95" ht="15.75" customHeight="1">
      <c r="A95" s="110"/>
      <c r="B95" s="114"/>
      <c r="C95" s="112"/>
      <c r="D95" s="112"/>
      <c r="E95" s="109" t="str">
        <f t="shared" si="1"/>
        <v/>
      </c>
      <c r="J95" s="90"/>
    </row>
    <row r="96" ht="15.75" customHeight="1">
      <c r="A96" s="110"/>
      <c r="B96" s="114"/>
      <c r="C96" s="112"/>
      <c r="D96" s="112"/>
      <c r="E96" s="109" t="str">
        <f t="shared" si="1"/>
        <v/>
      </c>
      <c r="J96" s="90"/>
    </row>
    <row r="97" ht="15.75" customHeight="1">
      <c r="A97" s="110"/>
      <c r="B97" s="114"/>
      <c r="C97" s="112"/>
      <c r="D97" s="112"/>
      <c r="E97" s="109" t="str">
        <f t="shared" si="1"/>
        <v/>
      </c>
      <c r="J97" s="90"/>
    </row>
    <row r="98" ht="15.75" customHeight="1">
      <c r="A98" s="110"/>
      <c r="B98" s="114"/>
      <c r="C98" s="112"/>
      <c r="D98" s="112"/>
      <c r="E98" s="109" t="str">
        <f t="shared" si="1"/>
        <v/>
      </c>
      <c r="J98" s="90"/>
    </row>
    <row r="99" ht="15.75" customHeight="1">
      <c r="A99" s="110"/>
      <c r="B99" s="114"/>
      <c r="C99" s="112"/>
      <c r="D99" s="112"/>
      <c r="E99" s="109" t="str">
        <f t="shared" si="1"/>
        <v/>
      </c>
      <c r="J99" s="90"/>
    </row>
    <row r="100" ht="15.75" customHeight="1">
      <c r="A100" s="110"/>
      <c r="B100" s="114"/>
      <c r="C100" s="112"/>
      <c r="D100" s="112"/>
      <c r="E100" s="109" t="str">
        <f t="shared" si="1"/>
        <v/>
      </c>
      <c r="J100" s="90"/>
    </row>
    <row r="101" ht="15.75" customHeight="1">
      <c r="A101" s="110"/>
      <c r="B101" s="114"/>
      <c r="C101" s="112"/>
      <c r="D101" s="112"/>
      <c r="E101" s="109" t="str">
        <f t="shared" si="1"/>
        <v/>
      </c>
      <c r="J101" s="90"/>
    </row>
    <row r="102" ht="15.75" customHeight="1">
      <c r="A102" s="110"/>
      <c r="B102" s="114"/>
      <c r="C102" s="112"/>
      <c r="D102" s="112"/>
      <c r="E102" s="109" t="str">
        <f t="shared" si="1"/>
        <v/>
      </c>
      <c r="J102" s="90"/>
    </row>
    <row r="103" ht="15.75" customHeight="1">
      <c r="A103" s="110"/>
      <c r="B103" s="114"/>
      <c r="C103" s="112"/>
      <c r="D103" s="112"/>
      <c r="E103" s="109" t="str">
        <f t="shared" si="1"/>
        <v/>
      </c>
      <c r="J103" s="90"/>
    </row>
    <row r="104" ht="15.75" customHeight="1">
      <c r="A104" s="110"/>
      <c r="B104" s="114"/>
      <c r="C104" s="112"/>
      <c r="D104" s="112"/>
      <c r="E104" s="109" t="str">
        <f t="shared" si="1"/>
        <v/>
      </c>
      <c r="J104" s="90"/>
    </row>
    <row r="105" ht="15.75" customHeight="1">
      <c r="A105" s="110"/>
      <c r="B105" s="114"/>
      <c r="C105" s="112"/>
      <c r="D105" s="112"/>
      <c r="E105" s="109" t="str">
        <f t="shared" si="1"/>
        <v/>
      </c>
      <c r="J105" s="90"/>
    </row>
    <row r="106" ht="15.75" customHeight="1">
      <c r="A106" s="110"/>
      <c r="B106" s="114"/>
      <c r="C106" s="112"/>
      <c r="D106" s="112"/>
      <c r="E106" s="109" t="str">
        <f t="shared" si="1"/>
        <v/>
      </c>
      <c r="J106" s="90"/>
    </row>
    <row r="107" ht="15.75" customHeight="1">
      <c r="A107" s="110"/>
      <c r="B107" s="114"/>
      <c r="C107" s="112"/>
      <c r="D107" s="112"/>
      <c r="E107" s="109" t="str">
        <f t="shared" si="1"/>
        <v/>
      </c>
      <c r="J107" s="90"/>
    </row>
    <row r="108" ht="15.75" customHeight="1">
      <c r="A108" s="110"/>
      <c r="B108" s="114"/>
      <c r="C108" s="112"/>
      <c r="D108" s="112"/>
      <c r="E108" s="109" t="str">
        <f t="shared" si="1"/>
        <v/>
      </c>
      <c r="J108" s="90"/>
    </row>
    <row r="109" ht="15.75" customHeight="1">
      <c r="A109" s="110"/>
      <c r="B109" s="114"/>
      <c r="C109" s="112"/>
      <c r="D109" s="112"/>
      <c r="E109" s="109" t="str">
        <f t="shared" si="1"/>
        <v/>
      </c>
      <c r="J109" s="90"/>
    </row>
    <row r="110" ht="15.75" customHeight="1">
      <c r="A110" s="110"/>
      <c r="B110" s="114"/>
      <c r="C110" s="112"/>
      <c r="D110" s="112"/>
      <c r="E110" s="109" t="str">
        <f t="shared" si="1"/>
        <v/>
      </c>
      <c r="J110" s="90"/>
    </row>
    <row r="111" ht="15.75" customHeight="1">
      <c r="A111" s="110"/>
      <c r="B111" s="114"/>
      <c r="C111" s="112"/>
      <c r="D111" s="112"/>
      <c r="E111" s="109" t="str">
        <f t="shared" si="1"/>
        <v/>
      </c>
      <c r="J111" s="90"/>
    </row>
    <row r="112" ht="15.75" customHeight="1">
      <c r="A112" s="110"/>
      <c r="B112" s="114"/>
      <c r="C112" s="112"/>
      <c r="D112" s="112"/>
      <c r="E112" s="109" t="str">
        <f t="shared" si="1"/>
        <v/>
      </c>
      <c r="J112" s="90"/>
    </row>
    <row r="113" ht="15.75" customHeight="1">
      <c r="A113" s="110"/>
      <c r="B113" s="114"/>
      <c r="C113" s="112"/>
      <c r="D113" s="112"/>
      <c r="E113" s="109" t="str">
        <f t="shared" si="1"/>
        <v/>
      </c>
      <c r="J113" s="90"/>
    </row>
    <row r="114" ht="15.75" customHeight="1">
      <c r="A114" s="110"/>
      <c r="B114" s="114"/>
      <c r="C114" s="112"/>
      <c r="D114" s="112"/>
      <c r="E114" s="109" t="str">
        <f t="shared" si="1"/>
        <v/>
      </c>
      <c r="J114" s="90"/>
    </row>
    <row r="115" ht="15.75" customHeight="1">
      <c r="A115" s="110"/>
      <c r="B115" s="114"/>
      <c r="C115" s="112"/>
      <c r="D115" s="112"/>
      <c r="E115" s="109" t="str">
        <f t="shared" si="1"/>
        <v/>
      </c>
      <c r="J115" s="90"/>
    </row>
    <row r="116" ht="15.75" customHeight="1">
      <c r="A116" s="110"/>
      <c r="B116" s="114"/>
      <c r="C116" s="112"/>
      <c r="D116" s="112"/>
      <c r="E116" s="109" t="str">
        <f t="shared" si="1"/>
        <v/>
      </c>
      <c r="J116" s="90"/>
    </row>
    <row r="117" ht="15.75" customHeight="1">
      <c r="A117" s="110"/>
      <c r="B117" s="114"/>
      <c r="C117" s="112"/>
      <c r="D117" s="112"/>
      <c r="E117" s="109" t="str">
        <f t="shared" si="1"/>
        <v/>
      </c>
      <c r="J117" s="90"/>
    </row>
    <row r="118" ht="15.75" customHeight="1">
      <c r="A118" s="110"/>
      <c r="B118" s="114"/>
      <c r="C118" s="112"/>
      <c r="D118" s="112"/>
      <c r="E118" s="109" t="str">
        <f t="shared" si="1"/>
        <v/>
      </c>
      <c r="J118" s="90"/>
    </row>
    <row r="119" ht="15.75" customHeight="1">
      <c r="A119" s="110"/>
      <c r="B119" s="114"/>
      <c r="C119" s="112"/>
      <c r="D119" s="112"/>
      <c r="E119" s="109" t="str">
        <f t="shared" si="1"/>
        <v/>
      </c>
      <c r="J119" s="90"/>
    </row>
    <row r="120" ht="15.75" customHeight="1">
      <c r="A120" s="110"/>
      <c r="B120" s="114"/>
      <c r="C120" s="112"/>
      <c r="D120" s="112"/>
      <c r="E120" s="109" t="str">
        <f t="shared" si="1"/>
        <v/>
      </c>
      <c r="J120" s="90"/>
    </row>
    <row r="121" ht="15.75" customHeight="1">
      <c r="A121" s="110"/>
      <c r="B121" s="114"/>
      <c r="C121" s="112"/>
      <c r="D121" s="112"/>
      <c r="E121" s="109" t="str">
        <f t="shared" si="1"/>
        <v/>
      </c>
      <c r="J121" s="90"/>
    </row>
    <row r="122" ht="15.75" customHeight="1">
      <c r="A122" s="110"/>
      <c r="B122" s="114"/>
      <c r="C122" s="112"/>
      <c r="D122" s="112"/>
      <c r="E122" s="109" t="str">
        <f t="shared" si="1"/>
        <v/>
      </c>
      <c r="J122" s="90"/>
    </row>
    <row r="123" ht="15.75" customHeight="1">
      <c r="A123" s="110"/>
      <c r="B123" s="114"/>
      <c r="C123" s="112"/>
      <c r="D123" s="112"/>
      <c r="E123" s="109" t="str">
        <f t="shared" si="1"/>
        <v/>
      </c>
      <c r="J123" s="90"/>
    </row>
    <row r="124" ht="15.75" customHeight="1">
      <c r="A124" s="110"/>
      <c r="B124" s="114"/>
      <c r="C124" s="112"/>
      <c r="D124" s="112"/>
      <c r="E124" s="109" t="str">
        <f t="shared" si="1"/>
        <v/>
      </c>
      <c r="J124" s="90"/>
    </row>
    <row r="125" ht="15.75" customHeight="1">
      <c r="A125" s="110"/>
      <c r="B125" s="114"/>
      <c r="C125" s="112"/>
      <c r="D125" s="112"/>
      <c r="E125" s="109" t="str">
        <f t="shared" si="1"/>
        <v/>
      </c>
      <c r="J125" s="90"/>
    </row>
    <row r="126" ht="15.75" customHeight="1">
      <c r="A126" s="110"/>
      <c r="B126" s="114"/>
      <c r="C126" s="112"/>
      <c r="D126" s="112"/>
      <c r="E126" s="109" t="str">
        <f t="shared" si="1"/>
        <v/>
      </c>
      <c r="J126" s="90"/>
    </row>
    <row r="127" ht="15.75" customHeight="1">
      <c r="A127" s="110"/>
      <c r="B127" s="114"/>
      <c r="C127" s="112"/>
      <c r="D127" s="112"/>
      <c r="E127" s="109" t="str">
        <f t="shared" si="1"/>
        <v/>
      </c>
      <c r="J127" s="90"/>
    </row>
    <row r="128" ht="15.75" customHeight="1">
      <c r="A128" s="110"/>
      <c r="B128" s="114"/>
      <c r="C128" s="112"/>
      <c r="D128" s="112"/>
      <c r="E128" s="109" t="str">
        <f t="shared" si="1"/>
        <v/>
      </c>
      <c r="J128" s="90"/>
    </row>
    <row r="129" ht="15.75" customHeight="1">
      <c r="A129" s="110"/>
      <c r="B129" s="114"/>
      <c r="C129" s="112"/>
      <c r="D129" s="112"/>
      <c r="E129" s="109" t="str">
        <f t="shared" si="1"/>
        <v/>
      </c>
      <c r="J129" s="90"/>
    </row>
    <row r="130" ht="15.75" customHeight="1">
      <c r="A130" s="110"/>
      <c r="B130" s="114"/>
      <c r="C130" s="112"/>
      <c r="D130" s="112"/>
      <c r="E130" s="109" t="str">
        <f t="shared" si="1"/>
        <v/>
      </c>
      <c r="J130" s="90"/>
    </row>
    <row r="131" ht="15.75" customHeight="1">
      <c r="A131" s="110"/>
      <c r="B131" s="114"/>
      <c r="C131" s="112"/>
      <c r="D131" s="112"/>
      <c r="E131" s="109" t="str">
        <f t="shared" si="1"/>
        <v/>
      </c>
      <c r="J131" s="90"/>
    </row>
    <row r="132" ht="15.75" customHeight="1">
      <c r="A132" s="110"/>
      <c r="B132" s="114"/>
      <c r="C132" s="112"/>
      <c r="D132" s="112"/>
      <c r="E132" s="109" t="str">
        <f t="shared" si="1"/>
        <v/>
      </c>
      <c r="J132" s="90"/>
    </row>
    <row r="133" ht="15.75" customHeight="1">
      <c r="A133" s="110"/>
      <c r="B133" s="114"/>
      <c r="C133" s="112"/>
      <c r="D133" s="112"/>
      <c r="E133" s="109" t="str">
        <f t="shared" si="1"/>
        <v/>
      </c>
      <c r="J133" s="90"/>
    </row>
    <row r="134" ht="15.75" customHeight="1">
      <c r="A134" s="110"/>
      <c r="B134" s="114"/>
      <c r="C134" s="112"/>
      <c r="D134" s="112"/>
      <c r="E134" s="109" t="str">
        <f t="shared" si="1"/>
        <v/>
      </c>
      <c r="J134" s="90"/>
    </row>
    <row r="135" ht="15.75" customHeight="1">
      <c r="A135" s="110"/>
      <c r="B135" s="114"/>
      <c r="C135" s="112"/>
      <c r="D135" s="112"/>
      <c r="E135" s="109" t="str">
        <f t="shared" si="1"/>
        <v/>
      </c>
      <c r="J135" s="90"/>
    </row>
    <row r="136" ht="15.75" customHeight="1">
      <c r="A136" s="110"/>
      <c r="B136" s="114"/>
      <c r="C136" s="112"/>
      <c r="D136" s="112"/>
      <c r="E136" s="109" t="str">
        <f t="shared" si="1"/>
        <v/>
      </c>
      <c r="J136" s="90"/>
    </row>
    <row r="137" ht="15.75" customHeight="1">
      <c r="A137" s="110"/>
      <c r="B137" s="114"/>
      <c r="C137" s="112"/>
      <c r="D137" s="112"/>
      <c r="E137" s="109" t="str">
        <f t="shared" si="1"/>
        <v/>
      </c>
      <c r="J137" s="90"/>
    </row>
    <row r="138" ht="15.75" customHeight="1">
      <c r="A138" s="110"/>
      <c r="B138" s="114"/>
      <c r="C138" s="112"/>
      <c r="D138" s="112"/>
      <c r="E138" s="109" t="str">
        <f t="shared" si="1"/>
        <v/>
      </c>
      <c r="J138" s="90"/>
    </row>
    <row r="139" ht="15.75" customHeight="1">
      <c r="A139" s="110"/>
      <c r="B139" s="114"/>
      <c r="C139" s="112"/>
      <c r="D139" s="112"/>
      <c r="E139" s="109" t="str">
        <f t="shared" si="1"/>
        <v/>
      </c>
      <c r="J139" s="90"/>
    </row>
    <row r="140" ht="15.75" customHeight="1">
      <c r="A140" s="110"/>
      <c r="B140" s="114"/>
      <c r="C140" s="112"/>
      <c r="D140" s="112"/>
      <c r="E140" s="109" t="str">
        <f t="shared" si="1"/>
        <v/>
      </c>
      <c r="J140" s="90"/>
    </row>
    <row r="141" ht="15.75" customHeight="1">
      <c r="A141" s="110"/>
      <c r="B141" s="114"/>
      <c r="C141" s="112"/>
      <c r="D141" s="112"/>
      <c r="E141" s="109" t="str">
        <f t="shared" si="1"/>
        <v/>
      </c>
      <c r="J141" s="90"/>
    </row>
    <row r="142" ht="15.75" customHeight="1">
      <c r="A142" s="110"/>
      <c r="B142" s="114"/>
      <c r="C142" s="112"/>
      <c r="D142" s="112"/>
      <c r="E142" s="109" t="str">
        <f t="shared" si="1"/>
        <v/>
      </c>
      <c r="J142" s="90"/>
    </row>
    <row r="143" ht="15.75" customHeight="1">
      <c r="A143" s="110"/>
      <c r="B143" s="114"/>
      <c r="C143" s="112"/>
      <c r="D143" s="112"/>
      <c r="E143" s="109" t="str">
        <f t="shared" si="1"/>
        <v/>
      </c>
      <c r="J143" s="90"/>
    </row>
    <row r="144" ht="15.75" customHeight="1">
      <c r="A144" s="110"/>
      <c r="B144" s="114"/>
      <c r="C144" s="112"/>
      <c r="D144" s="112"/>
      <c r="E144" s="109" t="str">
        <f t="shared" si="1"/>
        <v/>
      </c>
      <c r="J144" s="90"/>
    </row>
    <row r="145" ht="15.75" customHeight="1">
      <c r="A145" s="110"/>
      <c r="B145" s="114"/>
      <c r="C145" s="112"/>
      <c r="D145" s="112"/>
      <c r="E145" s="109" t="str">
        <f t="shared" si="1"/>
        <v/>
      </c>
      <c r="J145" s="90"/>
    </row>
    <row r="146" ht="15.75" customHeight="1">
      <c r="A146" s="110"/>
      <c r="B146" s="114"/>
      <c r="C146" s="112"/>
      <c r="D146" s="112"/>
      <c r="E146" s="109" t="str">
        <f t="shared" si="1"/>
        <v/>
      </c>
      <c r="J146" s="90"/>
    </row>
    <row r="147" ht="15.75" customHeight="1">
      <c r="A147" s="110"/>
      <c r="B147" s="114"/>
      <c r="C147" s="112"/>
      <c r="D147" s="112"/>
      <c r="E147" s="109" t="str">
        <f t="shared" si="1"/>
        <v/>
      </c>
      <c r="J147" s="90"/>
    </row>
    <row r="148" ht="15.75" customHeight="1">
      <c r="A148" s="110"/>
      <c r="B148" s="114"/>
      <c r="C148" s="112"/>
      <c r="D148" s="112"/>
      <c r="E148" s="109" t="str">
        <f t="shared" si="1"/>
        <v/>
      </c>
      <c r="J148" s="90"/>
    </row>
    <row r="149" ht="15.75" customHeight="1">
      <c r="A149" s="110"/>
      <c r="B149" s="114"/>
      <c r="C149" s="112"/>
      <c r="D149" s="112"/>
      <c r="E149" s="109" t="str">
        <f t="shared" si="1"/>
        <v/>
      </c>
      <c r="J149" s="90"/>
    </row>
    <row r="150" ht="15.75" customHeight="1">
      <c r="A150" s="110"/>
      <c r="B150" s="114"/>
      <c r="C150" s="112"/>
      <c r="D150" s="112"/>
      <c r="E150" s="109" t="str">
        <f t="shared" si="1"/>
        <v/>
      </c>
      <c r="J150" s="90"/>
    </row>
    <row r="151" ht="15.75" customHeight="1">
      <c r="A151" s="110"/>
      <c r="B151" s="114"/>
      <c r="C151" s="112"/>
      <c r="D151" s="112"/>
      <c r="E151" s="109" t="str">
        <f t="shared" si="1"/>
        <v/>
      </c>
      <c r="J151" s="90"/>
    </row>
    <row r="152" ht="15.75" customHeight="1">
      <c r="A152" s="110"/>
      <c r="B152" s="114"/>
      <c r="C152" s="112"/>
      <c r="D152" s="112"/>
      <c r="E152" s="109" t="str">
        <f t="shared" si="1"/>
        <v/>
      </c>
      <c r="J152" s="90"/>
    </row>
    <row r="153" ht="15.75" customHeight="1">
      <c r="A153" s="110"/>
      <c r="B153" s="114"/>
      <c r="C153" s="112"/>
      <c r="D153" s="112"/>
      <c r="E153" s="109" t="str">
        <f t="shared" si="1"/>
        <v/>
      </c>
      <c r="J153" s="90"/>
    </row>
    <row r="154" ht="15.75" customHeight="1">
      <c r="A154" s="110"/>
      <c r="B154" s="114"/>
      <c r="C154" s="112"/>
      <c r="D154" s="112"/>
      <c r="E154" s="109" t="str">
        <f t="shared" si="1"/>
        <v/>
      </c>
      <c r="J154" s="90"/>
    </row>
    <row r="155" ht="15.75" customHeight="1">
      <c r="A155" s="110"/>
      <c r="B155" s="114"/>
      <c r="C155" s="112"/>
      <c r="D155" s="112"/>
      <c r="E155" s="109" t="str">
        <f t="shared" si="1"/>
        <v/>
      </c>
      <c r="J155" s="90"/>
    </row>
    <row r="156" ht="15.75" customHeight="1">
      <c r="A156" s="110"/>
      <c r="B156" s="114"/>
      <c r="C156" s="112"/>
      <c r="D156" s="112"/>
      <c r="E156" s="109" t="str">
        <f t="shared" si="1"/>
        <v/>
      </c>
      <c r="J156" s="90"/>
    </row>
    <row r="157" ht="15.75" customHeight="1">
      <c r="A157" s="110"/>
      <c r="B157" s="114"/>
      <c r="C157" s="112"/>
      <c r="D157" s="112"/>
      <c r="E157" s="109" t="str">
        <f t="shared" si="1"/>
        <v/>
      </c>
      <c r="J157" s="90"/>
    </row>
    <row r="158" ht="15.75" customHeight="1">
      <c r="A158" s="110"/>
      <c r="B158" s="114"/>
      <c r="C158" s="112"/>
      <c r="D158" s="112"/>
      <c r="E158" s="109" t="str">
        <f t="shared" si="1"/>
        <v/>
      </c>
      <c r="J158" s="90"/>
    </row>
    <row r="159" ht="15.75" customHeight="1">
      <c r="A159" s="110"/>
      <c r="B159" s="114"/>
      <c r="C159" s="112"/>
      <c r="D159" s="112"/>
      <c r="E159" s="109" t="str">
        <f t="shared" si="1"/>
        <v/>
      </c>
      <c r="J159" s="90"/>
    </row>
    <row r="160" ht="15.75" customHeight="1">
      <c r="A160" s="110"/>
      <c r="B160" s="114"/>
      <c r="C160" s="112"/>
      <c r="D160" s="112"/>
      <c r="E160" s="109" t="str">
        <f t="shared" si="1"/>
        <v/>
      </c>
      <c r="J160" s="90"/>
    </row>
    <row r="161" ht="15.75" customHeight="1">
      <c r="A161" s="110"/>
      <c r="B161" s="114"/>
      <c r="C161" s="112"/>
      <c r="D161" s="112"/>
      <c r="E161" s="109" t="str">
        <f t="shared" si="1"/>
        <v/>
      </c>
      <c r="J161" s="90"/>
    </row>
    <row r="162" ht="15.75" customHeight="1">
      <c r="A162" s="110"/>
      <c r="B162" s="114"/>
      <c r="C162" s="112"/>
      <c r="D162" s="112"/>
      <c r="E162" s="109" t="str">
        <f t="shared" si="1"/>
        <v/>
      </c>
      <c r="J162" s="90"/>
    </row>
    <row r="163" ht="15.75" customHeight="1">
      <c r="A163" s="110"/>
      <c r="B163" s="114"/>
      <c r="C163" s="112"/>
      <c r="D163" s="112"/>
      <c r="E163" s="109" t="str">
        <f t="shared" si="1"/>
        <v/>
      </c>
      <c r="J163" s="90"/>
    </row>
    <row r="164" ht="15.75" customHeight="1">
      <c r="A164" s="110"/>
      <c r="B164" s="114"/>
      <c r="C164" s="112"/>
      <c r="D164" s="112"/>
      <c r="E164" s="109" t="str">
        <f t="shared" si="1"/>
        <v/>
      </c>
      <c r="J164" s="90"/>
    </row>
    <row r="165" ht="15.75" customHeight="1">
      <c r="A165" s="110"/>
      <c r="B165" s="114"/>
      <c r="C165" s="112"/>
      <c r="D165" s="112"/>
      <c r="E165" s="109" t="str">
        <f t="shared" si="1"/>
        <v/>
      </c>
      <c r="J165" s="90"/>
    </row>
    <row r="166" ht="15.75" customHeight="1">
      <c r="A166" s="110"/>
      <c r="B166" s="114"/>
      <c r="C166" s="112"/>
      <c r="D166" s="112"/>
      <c r="E166" s="109" t="str">
        <f t="shared" si="1"/>
        <v/>
      </c>
      <c r="J166" s="90"/>
    </row>
    <row r="167" ht="15.75" customHeight="1">
      <c r="A167" s="110"/>
      <c r="B167" s="114"/>
      <c r="C167" s="112"/>
      <c r="D167" s="112"/>
      <c r="E167" s="109" t="str">
        <f t="shared" si="1"/>
        <v/>
      </c>
      <c r="J167" s="90"/>
    </row>
    <row r="168" ht="15.75" customHeight="1">
      <c r="A168" s="110"/>
      <c r="B168" s="114"/>
      <c r="C168" s="112"/>
      <c r="D168" s="112"/>
      <c r="E168" s="109" t="str">
        <f t="shared" si="1"/>
        <v/>
      </c>
      <c r="J168" s="90"/>
    </row>
    <row r="169" ht="15.75" customHeight="1">
      <c r="A169" s="110"/>
      <c r="B169" s="114"/>
      <c r="C169" s="112"/>
      <c r="D169" s="112"/>
      <c r="E169" s="109" t="str">
        <f t="shared" si="1"/>
        <v/>
      </c>
      <c r="J169" s="90"/>
    </row>
    <row r="170" ht="15.75" customHeight="1">
      <c r="A170" s="110"/>
      <c r="B170" s="114"/>
      <c r="C170" s="112"/>
      <c r="D170" s="112"/>
      <c r="E170" s="109" t="str">
        <f t="shared" si="1"/>
        <v/>
      </c>
      <c r="J170" s="90"/>
    </row>
    <row r="171" ht="15.75" customHeight="1">
      <c r="A171" s="110"/>
      <c r="B171" s="114"/>
      <c r="C171" s="112"/>
      <c r="D171" s="112"/>
      <c r="E171" s="109" t="str">
        <f t="shared" si="1"/>
        <v/>
      </c>
      <c r="J171" s="90"/>
    </row>
    <row r="172" ht="15.75" customHeight="1">
      <c r="A172" s="110"/>
      <c r="B172" s="114"/>
      <c r="C172" s="112"/>
      <c r="D172" s="112"/>
      <c r="E172" s="109" t="str">
        <f t="shared" si="1"/>
        <v/>
      </c>
      <c r="J172" s="90"/>
    </row>
    <row r="173" ht="15.75" customHeight="1">
      <c r="A173" s="110"/>
      <c r="B173" s="114"/>
      <c r="C173" s="112"/>
      <c r="D173" s="112"/>
      <c r="E173" s="109" t="str">
        <f t="shared" si="1"/>
        <v/>
      </c>
      <c r="J173" s="90"/>
    </row>
    <row r="174" ht="15.75" customHeight="1">
      <c r="A174" s="110"/>
      <c r="B174" s="114"/>
      <c r="C174" s="112"/>
      <c r="D174" s="112"/>
      <c r="E174" s="109" t="str">
        <f t="shared" si="1"/>
        <v/>
      </c>
      <c r="J174" s="90"/>
    </row>
    <row r="175" ht="15.75" customHeight="1">
      <c r="A175" s="110"/>
      <c r="B175" s="114"/>
      <c r="C175" s="112"/>
      <c r="D175" s="112"/>
      <c r="E175" s="109" t="str">
        <f t="shared" si="1"/>
        <v/>
      </c>
      <c r="J175" s="90"/>
    </row>
    <row r="176" ht="15.75" customHeight="1">
      <c r="A176" s="110"/>
      <c r="B176" s="114"/>
      <c r="C176" s="112"/>
      <c r="D176" s="112"/>
      <c r="E176" s="109" t="str">
        <f t="shared" si="1"/>
        <v/>
      </c>
      <c r="J176" s="90"/>
    </row>
    <row r="177" ht="15.75" customHeight="1">
      <c r="A177" s="110"/>
      <c r="B177" s="114"/>
      <c r="C177" s="112"/>
      <c r="D177" s="112"/>
      <c r="E177" s="109" t="str">
        <f t="shared" si="1"/>
        <v/>
      </c>
      <c r="J177" s="90"/>
    </row>
    <row r="178" ht="15.75" customHeight="1">
      <c r="A178" s="110"/>
      <c r="B178" s="114"/>
      <c r="C178" s="112"/>
      <c r="D178" s="112"/>
      <c r="E178" s="109" t="str">
        <f t="shared" si="1"/>
        <v/>
      </c>
      <c r="J178" s="90"/>
    </row>
    <row r="179" ht="15.75" customHeight="1">
      <c r="A179" s="110"/>
      <c r="B179" s="114"/>
      <c r="C179" s="112"/>
      <c r="D179" s="112"/>
      <c r="E179" s="109" t="str">
        <f t="shared" si="1"/>
        <v/>
      </c>
      <c r="J179" s="90"/>
    </row>
    <row r="180" ht="15.75" customHeight="1">
      <c r="A180" s="110"/>
      <c r="B180" s="114"/>
      <c r="C180" s="112"/>
      <c r="D180" s="112"/>
      <c r="E180" s="109" t="str">
        <f t="shared" si="1"/>
        <v/>
      </c>
      <c r="J180" s="90"/>
    </row>
    <row r="181" ht="15.75" customHeight="1">
      <c r="A181" s="110"/>
      <c r="B181" s="114"/>
      <c r="C181" s="112"/>
      <c r="D181" s="112"/>
      <c r="E181" s="109" t="str">
        <f t="shared" si="1"/>
        <v/>
      </c>
      <c r="J181" s="90"/>
    </row>
    <row r="182" ht="15.75" customHeight="1">
      <c r="A182" s="110"/>
      <c r="B182" s="114"/>
      <c r="C182" s="112"/>
      <c r="D182" s="112"/>
      <c r="E182" s="109" t="str">
        <f t="shared" si="1"/>
        <v/>
      </c>
      <c r="J182" s="90"/>
    </row>
    <row r="183" ht="15.75" customHeight="1">
      <c r="A183" s="110"/>
      <c r="B183" s="114"/>
      <c r="C183" s="112"/>
      <c r="D183" s="112"/>
      <c r="E183" s="109" t="str">
        <f t="shared" si="1"/>
        <v/>
      </c>
      <c r="J183" s="90"/>
    </row>
    <row r="184" ht="15.75" customHeight="1">
      <c r="A184" s="110"/>
      <c r="B184" s="114"/>
      <c r="C184" s="112"/>
      <c r="D184" s="112"/>
      <c r="E184" s="109" t="str">
        <f t="shared" si="1"/>
        <v/>
      </c>
      <c r="J184" s="90"/>
    </row>
    <row r="185" ht="15.75" customHeight="1">
      <c r="A185" s="110"/>
      <c r="B185" s="114"/>
      <c r="C185" s="112"/>
      <c r="D185" s="112"/>
      <c r="E185" s="109" t="str">
        <f t="shared" si="1"/>
        <v/>
      </c>
      <c r="J185" s="90"/>
    </row>
    <row r="186" ht="15.75" customHeight="1">
      <c r="A186" s="110"/>
      <c r="B186" s="114"/>
      <c r="C186" s="112"/>
      <c r="D186" s="112"/>
      <c r="E186" s="109" t="str">
        <f t="shared" si="1"/>
        <v/>
      </c>
      <c r="J186" s="90"/>
    </row>
    <row r="187" ht="15.75" customHeight="1">
      <c r="A187" s="110"/>
      <c r="B187" s="114"/>
      <c r="C187" s="112"/>
      <c r="D187" s="112"/>
      <c r="E187" s="109" t="str">
        <f t="shared" si="1"/>
        <v/>
      </c>
      <c r="J187" s="90"/>
    </row>
    <row r="188" ht="15.75" customHeight="1">
      <c r="A188" s="110"/>
      <c r="B188" s="114"/>
      <c r="C188" s="112"/>
      <c r="D188" s="112"/>
      <c r="E188" s="109" t="str">
        <f t="shared" si="1"/>
        <v/>
      </c>
      <c r="J188" s="90"/>
    </row>
    <row r="189" ht="15.75" customHeight="1">
      <c r="A189" s="110"/>
      <c r="B189" s="114"/>
      <c r="C189" s="112"/>
      <c r="D189" s="112"/>
      <c r="E189" s="109" t="str">
        <f t="shared" si="1"/>
        <v/>
      </c>
      <c r="J189" s="90"/>
    </row>
    <row r="190" ht="15.75" customHeight="1">
      <c r="A190" s="110"/>
      <c r="B190" s="114"/>
      <c r="C190" s="112"/>
      <c r="D190" s="112"/>
      <c r="E190" s="109" t="str">
        <f t="shared" si="1"/>
        <v/>
      </c>
      <c r="J190" s="90"/>
    </row>
    <row r="191" ht="15.75" customHeight="1">
      <c r="A191" s="110"/>
      <c r="B191" s="114"/>
      <c r="C191" s="112"/>
      <c r="D191" s="112"/>
      <c r="E191" s="109" t="str">
        <f t="shared" si="1"/>
        <v/>
      </c>
      <c r="J191" s="90"/>
    </row>
    <row r="192" ht="15.75" customHeight="1">
      <c r="A192" s="110"/>
      <c r="B192" s="114"/>
      <c r="C192" s="112"/>
      <c r="D192" s="112"/>
      <c r="E192" s="109" t="str">
        <f t="shared" si="1"/>
        <v/>
      </c>
      <c r="J192" s="90"/>
    </row>
    <row r="193" ht="15.75" customHeight="1">
      <c r="A193" s="110"/>
      <c r="B193" s="114"/>
      <c r="C193" s="112"/>
      <c r="D193" s="112"/>
      <c r="E193" s="109" t="str">
        <f t="shared" si="1"/>
        <v/>
      </c>
      <c r="J193" s="90"/>
    </row>
    <row r="194" ht="15.75" customHeight="1">
      <c r="A194" s="110"/>
      <c r="B194" s="114"/>
      <c r="C194" s="112"/>
      <c r="D194" s="112"/>
      <c r="E194" s="109" t="str">
        <f t="shared" si="1"/>
        <v/>
      </c>
      <c r="J194" s="90"/>
    </row>
    <row r="195" ht="15.75" customHeight="1">
      <c r="A195" s="110"/>
      <c r="B195" s="114"/>
      <c r="C195" s="112"/>
      <c r="D195" s="112"/>
      <c r="E195" s="109" t="str">
        <f t="shared" si="1"/>
        <v/>
      </c>
      <c r="J195" s="90"/>
    </row>
    <row r="196" ht="15.75" customHeight="1">
      <c r="A196" s="110"/>
      <c r="B196" s="114"/>
      <c r="C196" s="112"/>
      <c r="D196" s="112"/>
      <c r="E196" s="109" t="str">
        <f t="shared" si="1"/>
        <v/>
      </c>
      <c r="J196" s="90"/>
    </row>
    <row r="197" ht="15.75" customHeight="1">
      <c r="A197" s="110"/>
      <c r="B197" s="114"/>
      <c r="C197" s="112"/>
      <c r="D197" s="112"/>
      <c r="E197" s="109" t="str">
        <f t="shared" si="1"/>
        <v/>
      </c>
      <c r="J197" s="90"/>
    </row>
    <row r="198" ht="15.75" customHeight="1">
      <c r="A198" s="110"/>
      <c r="B198" s="114"/>
      <c r="C198" s="112"/>
      <c r="D198" s="112"/>
      <c r="E198" s="109" t="str">
        <f t="shared" si="1"/>
        <v/>
      </c>
      <c r="J198" s="90"/>
    </row>
    <row r="199" ht="15.75" customHeight="1">
      <c r="A199" s="110"/>
      <c r="B199" s="114"/>
      <c r="C199" s="112"/>
      <c r="D199" s="112"/>
      <c r="E199" s="109" t="str">
        <f t="shared" si="1"/>
        <v/>
      </c>
      <c r="J199" s="90"/>
    </row>
    <row r="200" ht="15.75" customHeight="1">
      <c r="A200" s="110"/>
      <c r="B200" s="114"/>
      <c r="C200" s="112"/>
      <c r="D200" s="112"/>
      <c r="E200" s="109" t="str">
        <f t="shared" si="1"/>
        <v/>
      </c>
      <c r="J200" s="90"/>
    </row>
    <row r="201" ht="15.75" customHeight="1">
      <c r="A201" s="110"/>
      <c r="B201" s="114"/>
      <c r="C201" s="112"/>
      <c r="D201" s="112"/>
      <c r="E201" s="109" t="str">
        <f t="shared" si="1"/>
        <v/>
      </c>
      <c r="J201" s="90"/>
    </row>
    <row r="202" ht="15.75" customHeight="1">
      <c r="A202" s="110"/>
      <c r="B202" s="114"/>
      <c r="C202" s="112"/>
      <c r="D202" s="112"/>
      <c r="E202" s="109" t="str">
        <f t="shared" si="1"/>
        <v/>
      </c>
      <c r="J202" s="90"/>
    </row>
    <row r="203" ht="15.75" customHeight="1">
      <c r="A203" s="110"/>
      <c r="B203" s="114"/>
      <c r="C203" s="112"/>
      <c r="D203" s="112"/>
      <c r="E203" s="109" t="str">
        <f t="shared" si="1"/>
        <v/>
      </c>
      <c r="J203" s="90"/>
    </row>
    <row r="204" ht="15.75" customHeight="1">
      <c r="A204" s="110"/>
      <c r="B204" s="114"/>
      <c r="C204" s="112"/>
      <c r="D204" s="112"/>
      <c r="E204" s="109" t="str">
        <f t="shared" si="1"/>
        <v/>
      </c>
      <c r="J204" s="90"/>
    </row>
    <row r="205" ht="15.75" customHeight="1">
      <c r="A205" s="110"/>
      <c r="B205" s="114"/>
      <c r="C205" s="112"/>
      <c r="D205" s="112"/>
      <c r="E205" s="109" t="str">
        <f t="shared" si="1"/>
        <v/>
      </c>
      <c r="J205" s="90"/>
    </row>
    <row r="206" ht="15.75" customHeight="1">
      <c r="A206" s="110"/>
      <c r="B206" s="114"/>
      <c r="C206" s="112"/>
      <c r="D206" s="112"/>
      <c r="E206" s="109" t="str">
        <f t="shared" si="1"/>
        <v/>
      </c>
      <c r="J206" s="90"/>
    </row>
    <row r="207" ht="15.75" customHeight="1">
      <c r="A207" s="110"/>
      <c r="B207" s="114"/>
      <c r="C207" s="112"/>
      <c r="D207" s="112"/>
      <c r="E207" s="109" t="str">
        <f t="shared" si="1"/>
        <v/>
      </c>
      <c r="J207" s="90"/>
    </row>
    <row r="208" ht="15.75" customHeight="1">
      <c r="A208" s="110"/>
      <c r="B208" s="114"/>
      <c r="C208" s="112"/>
      <c r="D208" s="112"/>
      <c r="E208" s="109" t="str">
        <f t="shared" si="1"/>
        <v/>
      </c>
      <c r="J208" s="90"/>
    </row>
    <row r="209" ht="15.75" customHeight="1">
      <c r="A209" s="110"/>
      <c r="B209" s="114"/>
      <c r="C209" s="112"/>
      <c r="D209" s="112"/>
      <c r="E209" s="109" t="str">
        <f t="shared" si="1"/>
        <v/>
      </c>
      <c r="J209" s="90"/>
    </row>
    <row r="210" ht="15.75" customHeight="1">
      <c r="A210" s="110"/>
      <c r="B210" s="114"/>
      <c r="C210" s="112"/>
      <c r="D210" s="112"/>
      <c r="E210" s="109" t="str">
        <f t="shared" si="1"/>
        <v/>
      </c>
      <c r="J210" s="90"/>
    </row>
    <row r="211" ht="15.75" customHeight="1">
      <c r="A211" s="110"/>
      <c r="B211" s="114"/>
      <c r="C211" s="112"/>
      <c r="D211" s="112"/>
      <c r="E211" s="109" t="str">
        <f t="shared" si="1"/>
        <v/>
      </c>
      <c r="J211" s="90"/>
    </row>
    <row r="212" ht="15.75" customHeight="1">
      <c r="A212" s="110"/>
      <c r="B212" s="114"/>
      <c r="C212" s="112"/>
      <c r="D212" s="112"/>
      <c r="E212" s="109" t="str">
        <f t="shared" si="1"/>
        <v/>
      </c>
      <c r="J212" s="90"/>
    </row>
    <row r="213" ht="15.75" customHeight="1">
      <c r="A213" s="110"/>
      <c r="B213" s="114"/>
      <c r="C213" s="112"/>
      <c r="D213" s="112"/>
      <c r="E213" s="109" t="str">
        <f t="shared" si="1"/>
        <v/>
      </c>
      <c r="J213" s="90"/>
    </row>
    <row r="214" ht="15.75" customHeight="1">
      <c r="A214" s="110"/>
      <c r="B214" s="114"/>
      <c r="C214" s="112"/>
      <c r="D214" s="112"/>
      <c r="E214" s="109" t="str">
        <f t="shared" si="1"/>
        <v/>
      </c>
      <c r="J214" s="90"/>
    </row>
    <row r="215" ht="15.75" customHeight="1">
      <c r="A215" s="110"/>
      <c r="B215" s="114"/>
      <c r="C215" s="112"/>
      <c r="D215" s="112"/>
      <c r="E215" s="109" t="str">
        <f t="shared" si="1"/>
        <v/>
      </c>
      <c r="J215" s="90"/>
    </row>
    <row r="216" ht="15.75" customHeight="1">
      <c r="A216" s="110"/>
      <c r="B216" s="114"/>
      <c r="C216" s="112"/>
      <c r="D216" s="112"/>
      <c r="E216" s="109" t="str">
        <f t="shared" si="1"/>
        <v/>
      </c>
      <c r="J216" s="90"/>
    </row>
    <row r="217" ht="15.75" customHeight="1">
      <c r="A217" s="110"/>
      <c r="B217" s="114"/>
      <c r="C217" s="112"/>
      <c r="D217" s="112"/>
      <c r="E217" s="109" t="str">
        <f t="shared" si="1"/>
        <v/>
      </c>
      <c r="J217" s="90"/>
    </row>
    <row r="218" ht="15.75" customHeight="1">
      <c r="A218" s="110"/>
      <c r="B218" s="114"/>
      <c r="C218" s="112"/>
      <c r="D218" s="112"/>
      <c r="E218" s="109" t="str">
        <f t="shared" si="1"/>
        <v/>
      </c>
      <c r="J218" s="90"/>
    </row>
    <row r="219" ht="15.75" customHeight="1">
      <c r="A219" s="110"/>
      <c r="B219" s="114"/>
      <c r="C219" s="112"/>
      <c r="D219" s="112"/>
      <c r="E219" s="109" t="str">
        <f t="shared" si="1"/>
        <v/>
      </c>
      <c r="J219" s="90"/>
    </row>
    <row r="220" ht="15.75" customHeight="1">
      <c r="A220" s="110"/>
      <c r="B220" s="114"/>
      <c r="C220" s="112"/>
      <c r="D220" s="112"/>
      <c r="E220" s="109" t="str">
        <f t="shared" si="1"/>
        <v/>
      </c>
      <c r="J220" s="90"/>
    </row>
    <row r="221" ht="15.75" customHeight="1">
      <c r="A221" s="110"/>
      <c r="B221" s="114"/>
      <c r="C221" s="112"/>
      <c r="D221" s="112"/>
      <c r="E221" s="109" t="str">
        <f t="shared" si="1"/>
        <v/>
      </c>
      <c r="J221" s="90"/>
    </row>
    <row r="222" ht="15.75" customHeight="1">
      <c r="A222" s="110"/>
      <c r="B222" s="114"/>
      <c r="C222" s="112"/>
      <c r="D222" s="112"/>
      <c r="E222" s="109" t="str">
        <f t="shared" si="1"/>
        <v/>
      </c>
      <c r="J222" s="90"/>
    </row>
    <row r="223" ht="15.75" customHeight="1">
      <c r="A223" s="110"/>
      <c r="B223" s="114"/>
      <c r="C223" s="112"/>
      <c r="D223" s="112"/>
      <c r="E223" s="109" t="str">
        <f t="shared" si="1"/>
        <v/>
      </c>
      <c r="J223" s="90"/>
    </row>
    <row r="224" ht="15.75" customHeight="1">
      <c r="A224" s="110"/>
      <c r="B224" s="114"/>
      <c r="C224" s="112"/>
      <c r="D224" s="112"/>
      <c r="E224" s="109" t="str">
        <f t="shared" si="1"/>
        <v/>
      </c>
      <c r="J224" s="90"/>
    </row>
    <row r="225" ht="15.75" customHeight="1">
      <c r="A225" s="110"/>
      <c r="B225" s="114"/>
      <c r="C225" s="112"/>
      <c r="D225" s="112"/>
      <c r="E225" s="109" t="str">
        <f t="shared" si="1"/>
        <v/>
      </c>
      <c r="J225" s="90"/>
    </row>
    <row r="226" ht="15.75" customHeight="1">
      <c r="A226" s="110"/>
      <c r="B226" s="114"/>
      <c r="C226" s="112"/>
      <c r="D226" s="112"/>
      <c r="E226" s="109" t="str">
        <f t="shared" si="1"/>
        <v/>
      </c>
      <c r="J226" s="90"/>
    </row>
    <row r="227" ht="15.75" customHeight="1">
      <c r="A227" s="110"/>
      <c r="B227" s="114"/>
      <c r="C227" s="112"/>
      <c r="D227" s="112"/>
      <c r="E227" s="109" t="str">
        <f t="shared" si="1"/>
        <v/>
      </c>
      <c r="J227" s="90"/>
    </row>
    <row r="228" ht="15.75" customHeight="1">
      <c r="A228" s="110"/>
      <c r="B228" s="114"/>
      <c r="C228" s="112"/>
      <c r="D228" s="112"/>
      <c r="E228" s="109" t="str">
        <f t="shared" si="1"/>
        <v/>
      </c>
      <c r="J228" s="90"/>
    </row>
    <row r="229" ht="15.75" customHeight="1">
      <c r="A229" s="110"/>
      <c r="B229" s="114"/>
      <c r="C229" s="112"/>
      <c r="D229" s="112"/>
      <c r="E229" s="109" t="str">
        <f t="shared" si="1"/>
        <v/>
      </c>
      <c r="J229" s="90"/>
    </row>
    <row r="230" ht="15.75" customHeight="1">
      <c r="A230" s="110"/>
      <c r="B230" s="114"/>
      <c r="C230" s="112"/>
      <c r="D230" s="112"/>
      <c r="E230" s="109" t="str">
        <f t="shared" si="1"/>
        <v/>
      </c>
      <c r="J230" s="90"/>
    </row>
    <row r="231" ht="15.75" customHeight="1">
      <c r="A231" s="110"/>
      <c r="B231" s="114"/>
      <c r="C231" s="112"/>
      <c r="D231" s="112"/>
      <c r="E231" s="109" t="str">
        <f t="shared" si="1"/>
        <v/>
      </c>
      <c r="J231" s="90"/>
    </row>
    <row r="232" ht="15.75" customHeight="1">
      <c r="A232" s="110"/>
      <c r="B232" s="114"/>
      <c r="C232" s="112"/>
      <c r="D232" s="112"/>
      <c r="E232" s="109" t="str">
        <f t="shared" si="1"/>
        <v/>
      </c>
      <c r="J232" s="90"/>
    </row>
    <row r="233" ht="15.75" customHeight="1">
      <c r="A233" s="110"/>
      <c r="B233" s="114"/>
      <c r="C233" s="112"/>
      <c r="D233" s="112"/>
      <c r="E233" s="109" t="str">
        <f t="shared" si="1"/>
        <v/>
      </c>
      <c r="J233" s="90"/>
    </row>
    <row r="234" ht="15.75" customHeight="1">
      <c r="A234" s="110"/>
      <c r="B234" s="114"/>
      <c r="C234" s="112"/>
      <c r="D234" s="112"/>
      <c r="E234" s="109" t="str">
        <f t="shared" si="1"/>
        <v/>
      </c>
      <c r="J234" s="90"/>
    </row>
    <row r="235" ht="15.75" customHeight="1">
      <c r="A235" s="110"/>
      <c r="B235" s="114"/>
      <c r="C235" s="112"/>
      <c r="D235" s="112"/>
      <c r="E235" s="109" t="str">
        <f t="shared" si="1"/>
        <v/>
      </c>
      <c r="J235" s="90"/>
    </row>
    <row r="236" ht="15.75" customHeight="1">
      <c r="A236" s="110"/>
      <c r="B236" s="114"/>
      <c r="C236" s="112"/>
      <c r="D236" s="112"/>
      <c r="E236" s="109" t="str">
        <f t="shared" si="1"/>
        <v/>
      </c>
      <c r="J236" s="90"/>
    </row>
    <row r="237" ht="15.75" customHeight="1">
      <c r="A237" s="110"/>
      <c r="B237" s="114"/>
      <c r="C237" s="112"/>
      <c r="D237" s="112"/>
      <c r="E237" s="109" t="str">
        <f t="shared" si="1"/>
        <v/>
      </c>
      <c r="J237" s="90"/>
    </row>
    <row r="238" ht="15.75" customHeight="1">
      <c r="A238" s="110"/>
      <c r="B238" s="114"/>
      <c r="C238" s="112"/>
      <c r="D238" s="112"/>
      <c r="E238" s="109" t="str">
        <f t="shared" si="1"/>
        <v/>
      </c>
      <c r="J238" s="90"/>
    </row>
    <row r="239" ht="15.75" customHeight="1">
      <c r="A239" s="110"/>
      <c r="B239" s="114"/>
      <c r="C239" s="112"/>
      <c r="D239" s="112"/>
      <c r="E239" s="109" t="str">
        <f t="shared" si="1"/>
        <v/>
      </c>
      <c r="J239" s="90"/>
    </row>
    <row r="240" ht="15.75" customHeight="1">
      <c r="A240" s="110"/>
      <c r="B240" s="114"/>
      <c r="C240" s="112"/>
      <c r="D240" s="112"/>
      <c r="E240" s="109" t="str">
        <f t="shared" si="1"/>
        <v/>
      </c>
      <c r="J240" s="90"/>
    </row>
    <row r="241" ht="15.75" customHeight="1">
      <c r="A241" s="110"/>
      <c r="B241" s="114"/>
      <c r="C241" s="112"/>
      <c r="D241" s="112"/>
      <c r="E241" s="109" t="str">
        <f t="shared" si="1"/>
        <v/>
      </c>
      <c r="J241" s="90"/>
    </row>
    <row r="242" ht="15.75" customHeight="1">
      <c r="A242" s="110"/>
      <c r="B242" s="114"/>
      <c r="C242" s="112"/>
      <c r="D242" s="112"/>
      <c r="E242" s="109" t="str">
        <f t="shared" si="1"/>
        <v/>
      </c>
      <c r="J242" s="90"/>
    </row>
    <row r="243" ht="15.75" customHeight="1">
      <c r="A243" s="110"/>
      <c r="B243" s="114"/>
      <c r="C243" s="112"/>
      <c r="D243" s="112"/>
      <c r="E243" s="109" t="str">
        <f t="shared" si="1"/>
        <v/>
      </c>
      <c r="J243" s="90"/>
    </row>
    <row r="244" ht="15.75" customHeight="1">
      <c r="A244" s="110"/>
      <c r="B244" s="114"/>
      <c r="C244" s="112"/>
      <c r="D244" s="112"/>
      <c r="E244" s="109" t="str">
        <f t="shared" si="1"/>
        <v/>
      </c>
      <c r="J244" s="90"/>
    </row>
    <row r="245" ht="15.75" customHeight="1">
      <c r="A245" s="110"/>
      <c r="B245" s="114"/>
      <c r="C245" s="112"/>
      <c r="D245" s="112"/>
      <c r="E245" s="109" t="str">
        <f t="shared" si="1"/>
        <v/>
      </c>
      <c r="J245" s="90"/>
    </row>
    <row r="246" ht="15.75" customHeight="1">
      <c r="A246" s="110"/>
      <c r="B246" s="114"/>
      <c r="C246" s="112"/>
      <c r="D246" s="112"/>
      <c r="E246" s="109" t="str">
        <f t="shared" si="1"/>
        <v/>
      </c>
      <c r="J246" s="90"/>
    </row>
    <row r="247" ht="15.75" customHeight="1">
      <c r="A247" s="110"/>
      <c r="B247" s="114"/>
      <c r="C247" s="112"/>
      <c r="D247" s="112"/>
      <c r="E247" s="109" t="str">
        <f t="shared" si="1"/>
        <v/>
      </c>
      <c r="J247" s="90"/>
    </row>
    <row r="248" ht="15.75" customHeight="1">
      <c r="A248" s="110"/>
      <c r="B248" s="114"/>
      <c r="C248" s="112"/>
      <c r="D248" s="112"/>
      <c r="E248" s="109" t="str">
        <f t="shared" si="1"/>
        <v/>
      </c>
      <c r="J248" s="90"/>
    </row>
    <row r="249" ht="15.75" customHeight="1">
      <c r="A249" s="110"/>
      <c r="B249" s="114"/>
      <c r="C249" s="112"/>
      <c r="D249" s="112"/>
      <c r="E249" s="109" t="str">
        <f t="shared" si="1"/>
        <v/>
      </c>
      <c r="J249" s="90"/>
    </row>
    <row r="250" ht="15.75" customHeight="1">
      <c r="A250" s="110"/>
      <c r="B250" s="114"/>
      <c r="C250" s="112"/>
      <c r="D250" s="112"/>
      <c r="E250" s="109" t="str">
        <f t="shared" si="1"/>
        <v/>
      </c>
      <c r="J250" s="90"/>
    </row>
    <row r="251" ht="15.75" customHeight="1">
      <c r="A251" s="110"/>
      <c r="B251" s="114"/>
      <c r="C251" s="112"/>
      <c r="D251" s="112"/>
      <c r="E251" s="109" t="str">
        <f t="shared" si="1"/>
        <v/>
      </c>
      <c r="J251" s="90"/>
    </row>
    <row r="252" ht="15.75" customHeight="1">
      <c r="A252" s="110"/>
      <c r="B252" s="114"/>
      <c r="C252" s="112"/>
      <c r="D252" s="112"/>
      <c r="E252" s="109" t="str">
        <f t="shared" si="1"/>
        <v/>
      </c>
      <c r="J252" s="90"/>
    </row>
    <row r="253" ht="15.75" customHeight="1">
      <c r="A253" s="110"/>
      <c r="B253" s="114"/>
      <c r="C253" s="112"/>
      <c r="D253" s="112"/>
      <c r="E253" s="109" t="str">
        <f t="shared" si="1"/>
        <v/>
      </c>
      <c r="J253" s="90"/>
    </row>
    <row r="254" ht="15.75" customHeight="1">
      <c r="A254" s="110"/>
      <c r="B254" s="114"/>
      <c r="C254" s="112"/>
      <c r="D254" s="112"/>
      <c r="E254" s="109" t="str">
        <f t="shared" si="1"/>
        <v/>
      </c>
      <c r="J254" s="90"/>
    </row>
    <row r="255" ht="15.75" customHeight="1">
      <c r="A255" s="110"/>
      <c r="B255" s="114"/>
      <c r="C255" s="112"/>
      <c r="D255" s="112"/>
      <c r="E255" s="109" t="str">
        <f t="shared" si="1"/>
        <v/>
      </c>
      <c r="J255" s="90"/>
    </row>
    <row r="256" ht="15.75" customHeight="1">
      <c r="A256" s="110"/>
      <c r="B256" s="114"/>
      <c r="C256" s="112"/>
      <c r="D256" s="112"/>
      <c r="E256" s="109" t="str">
        <f t="shared" si="1"/>
        <v/>
      </c>
      <c r="J256" s="90"/>
    </row>
    <row r="257" ht="15.75" customHeight="1">
      <c r="A257" s="110"/>
      <c r="B257" s="114"/>
      <c r="C257" s="112"/>
      <c r="D257" s="112"/>
      <c r="E257" s="109" t="str">
        <f t="shared" si="1"/>
        <v/>
      </c>
      <c r="J257" s="90"/>
    </row>
    <row r="258" ht="15.75" customHeight="1">
      <c r="A258" s="110"/>
      <c r="B258" s="114"/>
      <c r="C258" s="112"/>
      <c r="D258" s="112"/>
      <c r="E258" s="109" t="str">
        <f t="shared" si="1"/>
        <v/>
      </c>
      <c r="J258" s="90"/>
    </row>
    <row r="259" ht="15.75" customHeight="1">
      <c r="A259" s="110"/>
      <c r="B259" s="114"/>
      <c r="C259" s="112"/>
      <c r="D259" s="112"/>
      <c r="E259" s="109" t="str">
        <f t="shared" si="1"/>
        <v/>
      </c>
      <c r="J259" s="90"/>
    </row>
    <row r="260" ht="15.75" customHeight="1">
      <c r="A260" s="110"/>
      <c r="B260" s="114"/>
      <c r="C260" s="112"/>
      <c r="D260" s="112"/>
      <c r="E260" s="109" t="str">
        <f t="shared" si="1"/>
        <v/>
      </c>
      <c r="J260" s="90"/>
    </row>
    <row r="261" ht="15.75" customHeight="1">
      <c r="A261" s="110"/>
      <c r="B261" s="114"/>
      <c r="C261" s="112"/>
      <c r="D261" s="112"/>
      <c r="E261" s="109" t="str">
        <f t="shared" si="1"/>
        <v/>
      </c>
      <c r="J261" s="90"/>
    </row>
    <row r="262" ht="15.75" customHeight="1">
      <c r="A262" s="110"/>
      <c r="B262" s="114"/>
      <c r="C262" s="112"/>
      <c r="D262" s="112"/>
      <c r="E262" s="109" t="str">
        <f t="shared" si="1"/>
        <v/>
      </c>
      <c r="J262" s="90"/>
    </row>
    <row r="263" ht="15.75" customHeight="1">
      <c r="A263" s="110"/>
      <c r="B263" s="114"/>
      <c r="C263" s="112"/>
      <c r="D263" s="112"/>
      <c r="E263" s="109" t="str">
        <f t="shared" si="1"/>
        <v/>
      </c>
      <c r="J263" s="90"/>
    </row>
    <row r="264" ht="15.75" customHeight="1">
      <c r="A264" s="110"/>
      <c r="B264" s="114"/>
      <c r="C264" s="112"/>
      <c r="D264" s="112"/>
      <c r="E264" s="109" t="str">
        <f t="shared" si="1"/>
        <v/>
      </c>
      <c r="J264" s="90"/>
    </row>
    <row r="265" ht="15.75" customHeight="1">
      <c r="A265" s="110"/>
      <c r="B265" s="114"/>
      <c r="C265" s="112"/>
      <c r="D265" s="112"/>
      <c r="E265" s="109" t="str">
        <f t="shared" si="1"/>
        <v/>
      </c>
      <c r="J265" s="90"/>
    </row>
    <row r="266" ht="15.75" customHeight="1">
      <c r="A266" s="110"/>
      <c r="B266" s="114"/>
      <c r="C266" s="112"/>
      <c r="D266" s="112"/>
      <c r="E266" s="109" t="str">
        <f t="shared" si="1"/>
        <v/>
      </c>
      <c r="J266" s="90"/>
    </row>
    <row r="267" ht="15.75" customHeight="1">
      <c r="A267" s="110"/>
      <c r="B267" s="114"/>
      <c r="C267" s="112"/>
      <c r="D267" s="112"/>
      <c r="E267" s="109" t="str">
        <f t="shared" si="1"/>
        <v/>
      </c>
      <c r="J267" s="90"/>
    </row>
    <row r="268" ht="15.75" customHeight="1">
      <c r="A268" s="110"/>
      <c r="B268" s="114"/>
      <c r="C268" s="112"/>
      <c r="D268" s="112"/>
      <c r="E268" s="109" t="str">
        <f t="shared" si="1"/>
        <v/>
      </c>
      <c r="J268" s="90"/>
    </row>
    <row r="269" ht="15.75" customHeight="1">
      <c r="A269" s="110"/>
      <c r="B269" s="114"/>
      <c r="C269" s="112"/>
      <c r="D269" s="112"/>
      <c r="E269" s="109" t="str">
        <f t="shared" si="1"/>
        <v/>
      </c>
      <c r="J269" s="90"/>
    </row>
    <row r="270" ht="15.75" customHeight="1">
      <c r="A270" s="110"/>
      <c r="B270" s="114"/>
      <c r="C270" s="112"/>
      <c r="D270" s="112"/>
      <c r="E270" s="109" t="str">
        <f t="shared" si="1"/>
        <v/>
      </c>
      <c r="J270" s="90"/>
    </row>
    <row r="271" ht="15.75" customHeight="1">
      <c r="A271" s="110"/>
      <c r="B271" s="114"/>
      <c r="C271" s="112"/>
      <c r="D271" s="112"/>
      <c r="E271" s="109" t="str">
        <f t="shared" si="1"/>
        <v/>
      </c>
      <c r="J271" s="90"/>
    </row>
    <row r="272" ht="15.75" customHeight="1">
      <c r="A272" s="110"/>
      <c r="B272" s="114"/>
      <c r="C272" s="112"/>
      <c r="D272" s="112"/>
      <c r="E272" s="109" t="str">
        <f t="shared" si="1"/>
        <v/>
      </c>
      <c r="J272" s="90"/>
    </row>
    <row r="273" ht="15.75" customHeight="1">
      <c r="A273" s="110"/>
      <c r="B273" s="114"/>
      <c r="C273" s="112"/>
      <c r="D273" s="112"/>
      <c r="E273" s="109" t="str">
        <f t="shared" si="1"/>
        <v/>
      </c>
      <c r="J273" s="90"/>
    </row>
    <row r="274" ht="15.75" customHeight="1">
      <c r="A274" s="110"/>
      <c r="B274" s="114"/>
      <c r="C274" s="112"/>
      <c r="D274" s="112"/>
      <c r="E274" s="109" t="str">
        <f t="shared" si="1"/>
        <v/>
      </c>
      <c r="J274" s="90"/>
    </row>
    <row r="275" ht="15.75" customHeight="1">
      <c r="A275" s="110"/>
      <c r="B275" s="114"/>
      <c r="C275" s="112"/>
      <c r="D275" s="112"/>
      <c r="E275" s="109" t="str">
        <f t="shared" si="1"/>
        <v/>
      </c>
      <c r="J275" s="90"/>
    </row>
    <row r="276" ht="15.75" customHeight="1">
      <c r="A276" s="110"/>
      <c r="B276" s="114"/>
      <c r="C276" s="112"/>
      <c r="D276" s="112"/>
      <c r="E276" s="109" t="str">
        <f t="shared" si="1"/>
        <v/>
      </c>
      <c r="J276" s="90"/>
    </row>
    <row r="277" ht="15.75" customHeight="1">
      <c r="A277" s="110"/>
      <c r="B277" s="114"/>
      <c r="C277" s="112"/>
      <c r="D277" s="112"/>
      <c r="E277" s="109" t="str">
        <f t="shared" si="1"/>
        <v/>
      </c>
      <c r="J277" s="90"/>
    </row>
    <row r="278" ht="15.75" customHeight="1">
      <c r="A278" s="110"/>
      <c r="B278" s="114"/>
      <c r="C278" s="112"/>
      <c r="D278" s="112"/>
      <c r="E278" s="109" t="str">
        <f t="shared" si="1"/>
        <v/>
      </c>
      <c r="J278" s="90"/>
    </row>
    <row r="279" ht="15.75" customHeight="1">
      <c r="A279" s="110"/>
      <c r="B279" s="114"/>
      <c r="C279" s="112"/>
      <c r="D279" s="112"/>
      <c r="E279" s="109" t="str">
        <f t="shared" si="1"/>
        <v/>
      </c>
      <c r="J279" s="90"/>
    </row>
    <row r="280" ht="15.75" customHeight="1">
      <c r="A280" s="110"/>
      <c r="B280" s="114"/>
      <c r="C280" s="112"/>
      <c r="D280" s="112"/>
      <c r="E280" s="109" t="str">
        <f t="shared" si="1"/>
        <v/>
      </c>
      <c r="J280" s="90"/>
    </row>
    <row r="281" ht="15.75" customHeight="1">
      <c r="A281" s="110"/>
      <c r="B281" s="114"/>
      <c r="C281" s="112"/>
      <c r="D281" s="112"/>
      <c r="E281" s="109" t="str">
        <f t="shared" si="1"/>
        <v/>
      </c>
      <c r="J281" s="90"/>
    </row>
    <row r="282" ht="15.75" customHeight="1">
      <c r="A282" s="110"/>
      <c r="B282" s="114"/>
      <c r="C282" s="112"/>
      <c r="D282" s="112"/>
      <c r="E282" s="109" t="str">
        <f t="shared" si="1"/>
        <v/>
      </c>
      <c r="J282" s="90"/>
    </row>
    <row r="283" ht="15.75" customHeight="1">
      <c r="A283" s="110"/>
      <c r="B283" s="114"/>
      <c r="C283" s="112"/>
      <c r="D283" s="112"/>
      <c r="E283" s="109" t="str">
        <f t="shared" si="1"/>
        <v/>
      </c>
      <c r="J283" s="90"/>
    </row>
    <row r="284" ht="15.75" customHeight="1">
      <c r="A284" s="110"/>
      <c r="B284" s="114"/>
      <c r="C284" s="112"/>
      <c r="D284" s="112"/>
      <c r="E284" s="109" t="str">
        <f t="shared" si="1"/>
        <v/>
      </c>
      <c r="J284" s="90"/>
    </row>
    <row r="285" ht="15.75" customHeight="1">
      <c r="A285" s="110"/>
      <c r="B285" s="114"/>
      <c r="C285" s="112"/>
      <c r="D285" s="112"/>
      <c r="E285" s="109" t="str">
        <f t="shared" si="1"/>
        <v/>
      </c>
      <c r="J285" s="90"/>
    </row>
    <row r="286" ht="15.75" customHeight="1">
      <c r="A286" s="110"/>
      <c r="B286" s="114"/>
      <c r="C286" s="112"/>
      <c r="D286" s="112"/>
      <c r="E286" s="109" t="str">
        <f t="shared" si="1"/>
        <v/>
      </c>
      <c r="J286" s="90"/>
    </row>
    <row r="287" ht="15.75" customHeight="1">
      <c r="A287" s="110"/>
      <c r="B287" s="114"/>
      <c r="C287" s="112"/>
      <c r="D287" s="112"/>
      <c r="E287" s="109" t="str">
        <f t="shared" si="1"/>
        <v/>
      </c>
      <c r="J287" s="90"/>
    </row>
    <row r="288" ht="15.75" customHeight="1">
      <c r="A288" s="110"/>
      <c r="B288" s="114"/>
      <c r="C288" s="112"/>
      <c r="D288" s="112"/>
      <c r="E288" s="109" t="str">
        <f t="shared" si="1"/>
        <v/>
      </c>
      <c r="J288" s="90"/>
    </row>
    <row r="289" ht="15.75" customHeight="1">
      <c r="A289" s="110"/>
      <c r="B289" s="114"/>
      <c r="C289" s="112"/>
      <c r="D289" s="112"/>
      <c r="E289" s="109" t="str">
        <f t="shared" si="1"/>
        <v/>
      </c>
      <c r="J289" s="90"/>
    </row>
    <row r="290" ht="15.75" customHeight="1">
      <c r="A290" s="110"/>
      <c r="B290" s="114"/>
      <c r="C290" s="112"/>
      <c r="D290" s="112"/>
      <c r="E290" s="109" t="str">
        <f t="shared" si="1"/>
        <v/>
      </c>
      <c r="J290" s="90"/>
    </row>
    <row r="291" ht="15.75" customHeight="1">
      <c r="A291" s="110"/>
      <c r="B291" s="114"/>
      <c r="C291" s="112"/>
      <c r="D291" s="112"/>
      <c r="E291" s="109" t="str">
        <f t="shared" si="1"/>
        <v/>
      </c>
      <c r="J291" s="90"/>
    </row>
    <row r="292" ht="15.75" customHeight="1">
      <c r="A292" s="110"/>
      <c r="B292" s="114"/>
      <c r="C292" s="112"/>
      <c r="D292" s="112"/>
      <c r="E292" s="109" t="str">
        <f t="shared" si="1"/>
        <v/>
      </c>
      <c r="J292" s="90"/>
    </row>
    <row r="293" ht="15.75" customHeight="1">
      <c r="A293" s="110"/>
      <c r="B293" s="114"/>
      <c r="C293" s="112"/>
      <c r="D293" s="112"/>
      <c r="E293" s="109" t="str">
        <f t="shared" si="1"/>
        <v/>
      </c>
      <c r="J293" s="90"/>
    </row>
    <row r="294" ht="15.75" customHeight="1">
      <c r="A294" s="110"/>
      <c r="B294" s="114"/>
      <c r="C294" s="112"/>
      <c r="D294" s="112"/>
      <c r="E294" s="109" t="str">
        <f t="shared" si="1"/>
        <v/>
      </c>
      <c r="J294" s="90"/>
    </row>
    <row r="295" ht="15.75" customHeight="1">
      <c r="A295" s="110"/>
      <c r="B295" s="114"/>
      <c r="C295" s="112"/>
      <c r="D295" s="112"/>
      <c r="E295" s="109" t="str">
        <f t="shared" si="1"/>
        <v/>
      </c>
      <c r="J295" s="90"/>
    </row>
    <row r="296" ht="15.75" customHeight="1">
      <c r="A296" s="110"/>
      <c r="B296" s="114"/>
      <c r="C296" s="112"/>
      <c r="D296" s="112"/>
      <c r="E296" s="109" t="str">
        <f t="shared" si="1"/>
        <v/>
      </c>
      <c r="J296" s="90"/>
    </row>
    <row r="297" ht="15.75" customHeight="1">
      <c r="A297" s="110"/>
      <c r="B297" s="114"/>
      <c r="C297" s="112"/>
      <c r="D297" s="112"/>
      <c r="E297" s="109" t="str">
        <f t="shared" si="1"/>
        <v/>
      </c>
      <c r="J297" s="90"/>
    </row>
    <row r="298" ht="15.75" customHeight="1">
      <c r="A298" s="110"/>
      <c r="B298" s="114"/>
      <c r="C298" s="112"/>
      <c r="D298" s="112"/>
      <c r="E298" s="109" t="str">
        <f t="shared" si="1"/>
        <v/>
      </c>
      <c r="J298" s="90"/>
    </row>
    <row r="299" ht="15.75" customHeight="1">
      <c r="A299" s="110"/>
      <c r="B299" s="114"/>
      <c r="C299" s="112"/>
      <c r="D299" s="112"/>
      <c r="E299" s="109" t="str">
        <f t="shared" si="1"/>
        <v/>
      </c>
      <c r="J299" s="90"/>
    </row>
    <row r="300" ht="15.75" customHeight="1">
      <c r="A300" s="110"/>
      <c r="B300" s="114"/>
      <c r="C300" s="112"/>
      <c r="D300" s="112"/>
      <c r="E300" s="109" t="str">
        <f t="shared" si="1"/>
        <v/>
      </c>
      <c r="J300" s="90"/>
    </row>
    <row r="301" ht="15.75" customHeight="1">
      <c r="A301" s="110"/>
      <c r="B301" s="114"/>
      <c r="C301" s="112"/>
      <c r="D301" s="112"/>
      <c r="E301" s="109" t="str">
        <f t="shared" si="1"/>
        <v/>
      </c>
      <c r="J301" s="90"/>
    </row>
    <row r="302" ht="15.75" customHeight="1">
      <c r="A302" s="110"/>
      <c r="B302" s="114"/>
      <c r="C302" s="112"/>
      <c r="D302" s="112"/>
      <c r="E302" s="109" t="str">
        <f t="shared" si="1"/>
        <v/>
      </c>
      <c r="J302" s="90"/>
    </row>
    <row r="303" ht="15.75" customHeight="1">
      <c r="A303" s="110"/>
      <c r="B303" s="114"/>
      <c r="C303" s="112"/>
      <c r="D303" s="112"/>
      <c r="E303" s="109" t="str">
        <f t="shared" si="1"/>
        <v/>
      </c>
      <c r="J303" s="90"/>
    </row>
    <row r="304" ht="15.75" customHeight="1">
      <c r="A304" s="110"/>
      <c r="B304" s="114"/>
      <c r="C304" s="112"/>
      <c r="D304" s="112"/>
      <c r="E304" s="109" t="str">
        <f t="shared" si="1"/>
        <v/>
      </c>
      <c r="J304" s="90"/>
    </row>
    <row r="305" ht="15.75" customHeight="1">
      <c r="A305" s="110"/>
      <c r="B305" s="114"/>
      <c r="C305" s="112"/>
      <c r="D305" s="112"/>
      <c r="E305" s="109" t="str">
        <f t="shared" si="1"/>
        <v/>
      </c>
      <c r="J305" s="90"/>
    </row>
    <row r="306" ht="15.75" customHeight="1">
      <c r="A306" s="110"/>
      <c r="B306" s="114"/>
      <c r="C306" s="112"/>
      <c r="D306" s="112"/>
      <c r="E306" s="109" t="str">
        <f t="shared" si="1"/>
        <v/>
      </c>
      <c r="J306" s="90"/>
    </row>
    <row r="307" ht="15.75" customHeight="1">
      <c r="A307" s="110"/>
      <c r="B307" s="114"/>
      <c r="C307" s="112"/>
      <c r="D307" s="112"/>
      <c r="E307" s="109" t="str">
        <f t="shared" si="1"/>
        <v/>
      </c>
      <c r="J307" s="90"/>
    </row>
    <row r="308" ht="15.75" customHeight="1">
      <c r="A308" s="110"/>
      <c r="B308" s="114"/>
      <c r="C308" s="112"/>
      <c r="D308" s="112"/>
      <c r="E308" s="109" t="str">
        <f t="shared" si="1"/>
        <v/>
      </c>
      <c r="J308" s="90"/>
    </row>
    <row r="309" ht="15.75" customHeight="1">
      <c r="A309" s="110"/>
      <c r="B309" s="114"/>
      <c r="C309" s="112"/>
      <c r="D309" s="112"/>
      <c r="E309" s="109" t="str">
        <f t="shared" si="1"/>
        <v/>
      </c>
      <c r="J309" s="90"/>
    </row>
    <row r="310" ht="15.75" customHeight="1">
      <c r="A310" s="110"/>
      <c r="B310" s="114"/>
      <c r="C310" s="112"/>
      <c r="D310" s="112"/>
      <c r="E310" s="109" t="str">
        <f t="shared" si="1"/>
        <v/>
      </c>
      <c r="J310" s="90"/>
    </row>
    <row r="311" ht="15.75" customHeight="1">
      <c r="A311" s="110"/>
      <c r="B311" s="114"/>
      <c r="C311" s="112"/>
      <c r="D311" s="112"/>
      <c r="E311" s="109" t="str">
        <f t="shared" si="1"/>
        <v/>
      </c>
      <c r="J311" s="90"/>
    </row>
    <row r="312" ht="15.75" customHeight="1">
      <c r="A312" s="110"/>
      <c r="B312" s="114"/>
      <c r="C312" s="112"/>
      <c r="D312" s="112"/>
      <c r="E312" s="109" t="str">
        <f t="shared" si="1"/>
        <v/>
      </c>
      <c r="J312" s="90"/>
    </row>
    <row r="313" ht="15.75" customHeight="1">
      <c r="A313" s="110"/>
      <c r="B313" s="114"/>
      <c r="C313" s="112"/>
      <c r="D313" s="112"/>
      <c r="E313" s="109" t="str">
        <f t="shared" si="1"/>
        <v/>
      </c>
      <c r="J313" s="90"/>
    </row>
    <row r="314" ht="15.75" customHeight="1">
      <c r="A314" s="110"/>
      <c r="B314" s="114"/>
      <c r="C314" s="112"/>
      <c r="D314" s="112"/>
      <c r="E314" s="109" t="str">
        <f t="shared" si="1"/>
        <v/>
      </c>
      <c r="J314" s="90"/>
    </row>
    <row r="315" ht="15.75" customHeight="1">
      <c r="A315" s="110"/>
      <c r="B315" s="114"/>
      <c r="C315" s="112"/>
      <c r="D315" s="112"/>
      <c r="E315" s="109" t="str">
        <f t="shared" si="1"/>
        <v/>
      </c>
      <c r="J315" s="90"/>
    </row>
    <row r="316" ht="15.75" customHeight="1">
      <c r="A316" s="110"/>
      <c r="B316" s="114"/>
      <c r="C316" s="112"/>
      <c r="D316" s="112"/>
      <c r="E316" s="109" t="str">
        <f t="shared" si="1"/>
        <v/>
      </c>
      <c r="J316" s="90"/>
    </row>
    <row r="317" ht="15.75" customHeight="1">
      <c r="A317" s="110"/>
      <c r="B317" s="114"/>
      <c r="C317" s="112"/>
      <c r="D317" s="112"/>
      <c r="E317" s="109" t="str">
        <f t="shared" si="1"/>
        <v/>
      </c>
      <c r="J317" s="90"/>
    </row>
    <row r="318" ht="15.75" customHeight="1">
      <c r="A318" s="110"/>
      <c r="B318" s="114"/>
      <c r="C318" s="112"/>
      <c r="D318" s="112"/>
      <c r="E318" s="109" t="str">
        <f t="shared" si="1"/>
        <v/>
      </c>
      <c r="J318" s="90"/>
    </row>
    <row r="319" ht="15.75" customHeight="1">
      <c r="A319" s="110"/>
      <c r="B319" s="114"/>
      <c r="C319" s="112"/>
      <c r="D319" s="112"/>
      <c r="E319" s="109" t="str">
        <f t="shared" si="1"/>
        <v/>
      </c>
      <c r="J319" s="90"/>
    </row>
    <row r="320" ht="15.75" customHeight="1">
      <c r="A320" s="110"/>
      <c r="B320" s="114"/>
      <c r="C320" s="112"/>
      <c r="D320" s="112"/>
      <c r="E320" s="109" t="str">
        <f t="shared" si="1"/>
        <v/>
      </c>
      <c r="J320" s="90"/>
    </row>
    <row r="321" ht="15.75" customHeight="1">
      <c r="A321" s="110"/>
      <c r="B321" s="114"/>
      <c r="C321" s="112"/>
      <c r="D321" s="112"/>
      <c r="E321" s="109" t="str">
        <f t="shared" si="1"/>
        <v/>
      </c>
      <c r="J321" s="90"/>
    </row>
    <row r="322" ht="15.75" customHeight="1">
      <c r="A322" s="110"/>
      <c r="B322" s="114"/>
      <c r="C322" s="112"/>
      <c r="D322" s="112"/>
      <c r="E322" s="109" t="str">
        <f t="shared" si="1"/>
        <v/>
      </c>
      <c r="J322" s="90"/>
    </row>
    <row r="323" ht="15.75" customHeight="1">
      <c r="A323" s="110"/>
      <c r="B323" s="114"/>
      <c r="C323" s="112"/>
      <c r="D323" s="112"/>
      <c r="E323" s="109" t="str">
        <f t="shared" si="1"/>
        <v/>
      </c>
      <c r="J323" s="90"/>
    </row>
    <row r="324" ht="15.75" customHeight="1">
      <c r="A324" s="110"/>
      <c r="B324" s="114"/>
      <c r="C324" s="112"/>
      <c r="D324" s="112"/>
      <c r="E324" s="109" t="str">
        <f t="shared" si="1"/>
        <v/>
      </c>
      <c r="J324" s="90"/>
    </row>
    <row r="325" ht="15.75" customHeight="1">
      <c r="A325" s="110"/>
      <c r="B325" s="114"/>
      <c r="C325" s="112"/>
      <c r="D325" s="112"/>
      <c r="E325" s="109" t="str">
        <f t="shared" si="1"/>
        <v/>
      </c>
      <c r="J325" s="90"/>
    </row>
    <row r="326" ht="15.75" customHeight="1">
      <c r="A326" s="110"/>
      <c r="B326" s="114"/>
      <c r="C326" s="112"/>
      <c r="D326" s="112"/>
      <c r="E326" s="109" t="str">
        <f t="shared" si="1"/>
        <v/>
      </c>
      <c r="J326" s="90"/>
    </row>
    <row r="327" ht="15.75" customHeight="1">
      <c r="A327" s="110"/>
      <c r="B327" s="114"/>
      <c r="C327" s="112"/>
      <c r="D327" s="112"/>
      <c r="E327" s="109" t="str">
        <f t="shared" si="1"/>
        <v/>
      </c>
      <c r="J327" s="90"/>
    </row>
    <row r="328" ht="15.75" customHeight="1">
      <c r="A328" s="110"/>
      <c r="B328" s="114"/>
      <c r="C328" s="112"/>
      <c r="D328" s="112"/>
      <c r="E328" s="109" t="str">
        <f t="shared" si="1"/>
        <v/>
      </c>
      <c r="J328" s="90"/>
    </row>
    <row r="329" ht="15.75" customHeight="1">
      <c r="A329" s="110"/>
      <c r="B329" s="114"/>
      <c r="C329" s="112"/>
      <c r="D329" s="112"/>
      <c r="E329" s="109" t="str">
        <f t="shared" si="1"/>
        <v/>
      </c>
      <c r="J329" s="90"/>
    </row>
    <row r="330" ht="15.75" customHeight="1">
      <c r="A330" s="110"/>
      <c r="B330" s="114"/>
      <c r="C330" s="112"/>
      <c r="D330" s="112"/>
      <c r="E330" s="109" t="str">
        <f t="shared" si="1"/>
        <v/>
      </c>
      <c r="J330" s="90"/>
    </row>
    <row r="331" ht="15.75" customHeight="1">
      <c r="A331" s="110"/>
      <c r="B331" s="114"/>
      <c r="C331" s="112"/>
      <c r="D331" s="112"/>
      <c r="E331" s="109" t="str">
        <f t="shared" si="1"/>
        <v/>
      </c>
      <c r="J331" s="90"/>
    </row>
    <row r="332" ht="15.75" customHeight="1">
      <c r="A332" s="110"/>
      <c r="B332" s="114"/>
      <c r="C332" s="112"/>
      <c r="D332" s="112"/>
      <c r="E332" s="109" t="str">
        <f t="shared" si="1"/>
        <v/>
      </c>
      <c r="J332" s="90"/>
    </row>
    <row r="333" ht="15.75" customHeight="1">
      <c r="A333" s="110"/>
      <c r="B333" s="114"/>
      <c r="C333" s="112"/>
      <c r="D333" s="112"/>
      <c r="E333" s="109" t="str">
        <f t="shared" si="1"/>
        <v/>
      </c>
      <c r="J333" s="90"/>
    </row>
    <row r="334" ht="15.75" customHeight="1">
      <c r="A334" s="110"/>
      <c r="B334" s="114"/>
      <c r="C334" s="112"/>
      <c r="D334" s="112"/>
      <c r="E334" s="109" t="str">
        <f t="shared" si="1"/>
        <v/>
      </c>
      <c r="J334" s="90"/>
    </row>
    <row r="335" ht="15.75" customHeight="1">
      <c r="A335" s="110"/>
      <c r="B335" s="114"/>
      <c r="C335" s="112"/>
      <c r="D335" s="112"/>
      <c r="E335" s="109" t="str">
        <f t="shared" si="1"/>
        <v/>
      </c>
      <c r="J335" s="90"/>
    </row>
    <row r="336" ht="15.75" customHeight="1">
      <c r="A336" s="110"/>
      <c r="B336" s="114"/>
      <c r="C336" s="112"/>
      <c r="D336" s="112"/>
      <c r="E336" s="109" t="str">
        <f t="shared" si="1"/>
        <v/>
      </c>
      <c r="J336" s="90"/>
    </row>
    <row r="337" ht="15.75" customHeight="1">
      <c r="A337" s="110"/>
      <c r="B337" s="114"/>
      <c r="C337" s="112"/>
      <c r="D337" s="112"/>
      <c r="E337" s="109" t="str">
        <f t="shared" si="1"/>
        <v/>
      </c>
      <c r="J337" s="90"/>
    </row>
    <row r="338" ht="15.75" customHeight="1">
      <c r="A338" s="110"/>
      <c r="B338" s="114"/>
      <c r="C338" s="112"/>
      <c r="D338" s="112"/>
      <c r="E338" s="109" t="str">
        <f t="shared" si="1"/>
        <v/>
      </c>
      <c r="J338" s="90"/>
    </row>
    <row r="339" ht="15.75" customHeight="1">
      <c r="A339" s="110"/>
      <c r="B339" s="114"/>
      <c r="C339" s="112"/>
      <c r="D339" s="112"/>
      <c r="E339" s="109" t="str">
        <f t="shared" si="1"/>
        <v/>
      </c>
      <c r="J339" s="90"/>
    </row>
    <row r="340" ht="15.75" customHeight="1">
      <c r="A340" s="110"/>
      <c r="B340" s="114"/>
      <c r="C340" s="112"/>
      <c r="D340" s="112"/>
      <c r="E340" s="109" t="str">
        <f t="shared" si="1"/>
        <v/>
      </c>
      <c r="J340" s="90"/>
    </row>
    <row r="341" ht="15.75" customHeight="1">
      <c r="A341" s="110"/>
      <c r="B341" s="114"/>
      <c r="C341" s="112"/>
      <c r="D341" s="112"/>
      <c r="E341" s="109" t="str">
        <f t="shared" si="1"/>
        <v/>
      </c>
      <c r="J341" s="90"/>
    </row>
    <row r="342" ht="15.75" customHeight="1">
      <c r="A342" s="110"/>
      <c r="B342" s="114"/>
      <c r="C342" s="112"/>
      <c r="D342" s="112"/>
      <c r="E342" s="109" t="str">
        <f t="shared" si="1"/>
        <v/>
      </c>
      <c r="J342" s="90"/>
    </row>
    <row r="343" ht="15.75" customHeight="1">
      <c r="A343" s="110"/>
      <c r="B343" s="114"/>
      <c r="C343" s="112"/>
      <c r="D343" s="112"/>
      <c r="E343" s="109" t="str">
        <f t="shared" si="1"/>
        <v/>
      </c>
      <c r="J343" s="90"/>
    </row>
    <row r="344" ht="15.75" customHeight="1">
      <c r="A344" s="110"/>
      <c r="B344" s="114"/>
      <c r="C344" s="112"/>
      <c r="D344" s="112"/>
      <c r="E344" s="109" t="str">
        <f t="shared" si="1"/>
        <v/>
      </c>
      <c r="J344" s="90"/>
    </row>
    <row r="345" ht="15.75" customHeight="1">
      <c r="A345" s="110"/>
      <c r="B345" s="114"/>
      <c r="C345" s="112"/>
      <c r="D345" s="112"/>
      <c r="E345" s="109" t="str">
        <f t="shared" si="1"/>
        <v/>
      </c>
      <c r="J345" s="90"/>
    </row>
    <row r="346" ht="15.75" customHeight="1">
      <c r="A346" s="110"/>
      <c r="B346" s="114"/>
      <c r="C346" s="112"/>
      <c r="D346" s="112"/>
      <c r="E346" s="109" t="str">
        <f t="shared" si="1"/>
        <v/>
      </c>
      <c r="J346" s="90"/>
    </row>
    <row r="347" ht="15.75" customHeight="1">
      <c r="A347" s="110"/>
      <c r="B347" s="114"/>
      <c r="C347" s="112"/>
      <c r="D347" s="112"/>
      <c r="E347" s="109" t="str">
        <f t="shared" si="1"/>
        <v/>
      </c>
      <c r="J347" s="90"/>
    </row>
    <row r="348" ht="15.75" customHeight="1">
      <c r="A348" s="110"/>
      <c r="B348" s="114"/>
      <c r="C348" s="112"/>
      <c r="D348" s="112"/>
      <c r="E348" s="109" t="str">
        <f t="shared" si="1"/>
        <v/>
      </c>
      <c r="J348" s="90"/>
    </row>
    <row r="349" ht="15.75" customHeight="1">
      <c r="A349" s="110"/>
      <c r="B349" s="114"/>
      <c r="C349" s="112"/>
      <c r="D349" s="112"/>
      <c r="E349" s="109" t="str">
        <f t="shared" si="1"/>
        <v/>
      </c>
      <c r="J349" s="90"/>
    </row>
    <row r="350" ht="15.75" customHeight="1">
      <c r="A350" s="110"/>
      <c r="B350" s="114"/>
      <c r="C350" s="112"/>
      <c r="D350" s="112"/>
      <c r="E350" s="109" t="str">
        <f t="shared" si="1"/>
        <v/>
      </c>
      <c r="J350" s="90"/>
    </row>
    <row r="351" ht="15.75" customHeight="1">
      <c r="A351" s="110"/>
      <c r="B351" s="114"/>
      <c r="C351" s="112"/>
      <c r="D351" s="112"/>
      <c r="E351" s="109" t="str">
        <f t="shared" si="1"/>
        <v/>
      </c>
      <c r="J351" s="90"/>
    </row>
    <row r="352" ht="15.75" customHeight="1">
      <c r="A352" s="110"/>
      <c r="B352" s="114"/>
      <c r="C352" s="112"/>
      <c r="D352" s="112"/>
      <c r="E352" s="109" t="str">
        <f t="shared" si="1"/>
        <v/>
      </c>
      <c r="J352" s="90"/>
    </row>
    <row r="353" ht="15.75" customHeight="1">
      <c r="A353" s="110"/>
      <c r="B353" s="114"/>
      <c r="C353" s="112"/>
      <c r="D353" s="112"/>
      <c r="E353" s="109" t="str">
        <f t="shared" si="1"/>
        <v/>
      </c>
      <c r="J353" s="90"/>
    </row>
    <row r="354" ht="15.75" customHeight="1">
      <c r="A354" s="110"/>
      <c r="B354" s="114"/>
      <c r="C354" s="112"/>
      <c r="D354" s="112"/>
      <c r="E354" s="109" t="str">
        <f t="shared" si="1"/>
        <v/>
      </c>
      <c r="J354" s="90"/>
    </row>
    <row r="355" ht="15.75" customHeight="1">
      <c r="A355" s="110"/>
      <c r="B355" s="114"/>
      <c r="C355" s="112"/>
      <c r="D355" s="112"/>
      <c r="E355" s="109" t="str">
        <f t="shared" si="1"/>
        <v/>
      </c>
      <c r="J355" s="90"/>
    </row>
    <row r="356" ht="15.75" customHeight="1">
      <c r="A356" s="110"/>
      <c r="B356" s="114"/>
      <c r="C356" s="112"/>
      <c r="D356" s="112"/>
      <c r="E356" s="109" t="str">
        <f t="shared" si="1"/>
        <v/>
      </c>
      <c r="J356" s="90"/>
    </row>
    <row r="357" ht="15.75" customHeight="1">
      <c r="A357" s="110"/>
      <c r="B357" s="114"/>
      <c r="C357" s="112"/>
      <c r="D357" s="112"/>
      <c r="E357" s="109" t="str">
        <f t="shared" si="1"/>
        <v/>
      </c>
      <c r="J357" s="90"/>
    </row>
    <row r="358" ht="15.75" customHeight="1">
      <c r="A358" s="110"/>
      <c r="B358" s="114"/>
      <c r="C358" s="112"/>
      <c r="D358" s="112"/>
      <c r="E358" s="109" t="str">
        <f t="shared" si="1"/>
        <v/>
      </c>
      <c r="J358" s="90"/>
    </row>
    <row r="359" ht="15.75" customHeight="1">
      <c r="A359" s="110"/>
      <c r="B359" s="114"/>
      <c r="C359" s="112"/>
      <c r="D359" s="112"/>
      <c r="E359" s="109" t="str">
        <f t="shared" si="1"/>
        <v/>
      </c>
      <c r="J359" s="90"/>
    </row>
    <row r="360" ht="15.75" customHeight="1">
      <c r="A360" s="110"/>
      <c r="B360" s="114"/>
      <c r="C360" s="112"/>
      <c r="D360" s="112"/>
      <c r="E360" s="109" t="str">
        <f t="shared" si="1"/>
        <v/>
      </c>
      <c r="J360" s="90"/>
    </row>
    <row r="361" ht="15.75" customHeight="1">
      <c r="A361" s="110"/>
      <c r="B361" s="114"/>
      <c r="C361" s="112"/>
      <c r="D361" s="112"/>
      <c r="E361" s="109" t="str">
        <f t="shared" si="1"/>
        <v/>
      </c>
      <c r="J361" s="90"/>
    </row>
    <row r="362" ht="15.75" customHeight="1">
      <c r="A362" s="110"/>
      <c r="B362" s="114"/>
      <c r="C362" s="112"/>
      <c r="D362" s="112"/>
      <c r="E362" s="109" t="str">
        <f t="shared" si="1"/>
        <v/>
      </c>
      <c r="J362" s="90"/>
    </row>
    <row r="363" ht="15.75" customHeight="1">
      <c r="A363" s="110"/>
      <c r="B363" s="114"/>
      <c r="C363" s="112"/>
      <c r="D363" s="112"/>
      <c r="E363" s="109" t="str">
        <f t="shared" si="1"/>
        <v/>
      </c>
      <c r="J363" s="90"/>
    </row>
    <row r="364" ht="15.75" customHeight="1">
      <c r="A364" s="110"/>
      <c r="B364" s="114"/>
      <c r="C364" s="112"/>
      <c r="D364" s="112"/>
      <c r="E364" s="109" t="str">
        <f t="shared" si="1"/>
        <v/>
      </c>
      <c r="J364" s="90"/>
    </row>
    <row r="365" ht="15.75" customHeight="1">
      <c r="A365" s="110"/>
      <c r="B365" s="114"/>
      <c r="C365" s="112"/>
      <c r="D365" s="112"/>
      <c r="E365" s="109" t="str">
        <f t="shared" si="1"/>
        <v/>
      </c>
      <c r="J365" s="90"/>
    </row>
    <row r="366" ht="15.75" customHeight="1">
      <c r="A366" s="110"/>
      <c r="B366" s="114"/>
      <c r="C366" s="112"/>
      <c r="D366" s="112"/>
      <c r="E366" s="109" t="str">
        <f t="shared" si="1"/>
        <v/>
      </c>
      <c r="J366" s="90"/>
    </row>
    <row r="367" ht="15.75" customHeight="1">
      <c r="A367" s="110"/>
      <c r="B367" s="114"/>
      <c r="C367" s="112"/>
      <c r="D367" s="112"/>
      <c r="E367" s="109" t="str">
        <f t="shared" si="1"/>
        <v/>
      </c>
      <c r="J367" s="90"/>
    </row>
    <row r="368" ht="15.75" customHeight="1">
      <c r="A368" s="110"/>
      <c r="B368" s="114"/>
      <c r="C368" s="112"/>
      <c r="D368" s="112"/>
      <c r="E368" s="109" t="str">
        <f t="shared" si="1"/>
        <v/>
      </c>
      <c r="J368" s="90"/>
    </row>
    <row r="369" ht="15.75" customHeight="1">
      <c r="A369" s="110"/>
      <c r="B369" s="114"/>
      <c r="C369" s="112"/>
      <c r="D369" s="112"/>
      <c r="E369" s="109" t="str">
        <f t="shared" si="1"/>
        <v/>
      </c>
      <c r="J369" s="90"/>
    </row>
    <row r="370" ht="15.75" customHeight="1">
      <c r="A370" s="110"/>
      <c r="B370" s="114"/>
      <c r="C370" s="112"/>
      <c r="D370" s="112"/>
      <c r="E370" s="109" t="str">
        <f t="shared" si="1"/>
        <v/>
      </c>
      <c r="J370" s="90"/>
    </row>
    <row r="371" ht="15.75" customHeight="1">
      <c r="A371" s="110"/>
      <c r="B371" s="114"/>
      <c r="C371" s="112"/>
      <c r="D371" s="112"/>
      <c r="E371" s="109" t="str">
        <f t="shared" si="1"/>
        <v/>
      </c>
      <c r="J371" s="90"/>
    </row>
    <row r="372" ht="15.75" customHeight="1">
      <c r="A372" s="110"/>
      <c r="B372" s="114"/>
      <c r="C372" s="112"/>
      <c r="D372" s="112"/>
      <c r="E372" s="109" t="str">
        <f t="shared" si="1"/>
        <v/>
      </c>
      <c r="J372" s="90"/>
    </row>
    <row r="373" ht="15.75" customHeight="1">
      <c r="A373" s="110"/>
      <c r="B373" s="114"/>
      <c r="C373" s="112"/>
      <c r="D373" s="112"/>
      <c r="E373" s="109" t="str">
        <f t="shared" si="1"/>
        <v/>
      </c>
      <c r="J373" s="90"/>
    </row>
    <row r="374" ht="15.75" customHeight="1">
      <c r="A374" s="110"/>
      <c r="B374" s="114"/>
      <c r="C374" s="112"/>
      <c r="D374" s="112"/>
      <c r="E374" s="109" t="str">
        <f t="shared" si="1"/>
        <v/>
      </c>
      <c r="J374" s="90"/>
    </row>
    <row r="375" ht="15.75" customHeight="1">
      <c r="A375" s="110"/>
      <c r="B375" s="114"/>
      <c r="C375" s="112"/>
      <c r="D375" s="112"/>
      <c r="E375" s="109" t="str">
        <f t="shared" si="1"/>
        <v/>
      </c>
      <c r="J375" s="90"/>
    </row>
    <row r="376" ht="15.75" customHeight="1">
      <c r="A376" s="110"/>
      <c r="B376" s="114"/>
      <c r="C376" s="112"/>
      <c r="D376" s="112"/>
      <c r="E376" s="109" t="str">
        <f t="shared" si="1"/>
        <v/>
      </c>
      <c r="J376" s="90"/>
    </row>
    <row r="377" ht="15.75" customHeight="1">
      <c r="A377" s="110"/>
      <c r="B377" s="114"/>
      <c r="C377" s="112"/>
      <c r="D377" s="112"/>
      <c r="E377" s="109" t="str">
        <f t="shared" si="1"/>
        <v/>
      </c>
      <c r="J377" s="90"/>
    </row>
    <row r="378" ht="15.75" customHeight="1">
      <c r="A378" s="110"/>
      <c r="B378" s="114"/>
      <c r="C378" s="112"/>
      <c r="D378" s="112"/>
      <c r="E378" s="109" t="str">
        <f t="shared" si="1"/>
        <v/>
      </c>
      <c r="J378" s="90"/>
    </row>
    <row r="379" ht="15.75" customHeight="1">
      <c r="A379" s="110"/>
      <c r="B379" s="114"/>
      <c r="C379" s="112"/>
      <c r="D379" s="112"/>
      <c r="E379" s="109" t="str">
        <f t="shared" si="1"/>
        <v/>
      </c>
      <c r="J379" s="90"/>
    </row>
    <row r="380" ht="15.75" customHeight="1">
      <c r="A380" s="110"/>
      <c r="B380" s="114"/>
      <c r="C380" s="112"/>
      <c r="D380" s="112"/>
      <c r="E380" s="109" t="str">
        <f t="shared" si="1"/>
        <v/>
      </c>
      <c r="J380" s="90"/>
    </row>
    <row r="381" ht="15.75" customHeight="1">
      <c r="A381" s="110"/>
      <c r="B381" s="114"/>
      <c r="C381" s="112"/>
      <c r="D381" s="112"/>
      <c r="E381" s="109" t="str">
        <f t="shared" si="1"/>
        <v/>
      </c>
      <c r="J381" s="90"/>
    </row>
    <row r="382" ht="15.75" customHeight="1">
      <c r="A382" s="110"/>
      <c r="B382" s="114"/>
      <c r="C382" s="112"/>
      <c r="D382" s="112"/>
      <c r="E382" s="109" t="str">
        <f t="shared" si="1"/>
        <v/>
      </c>
      <c r="J382" s="90"/>
    </row>
    <row r="383" ht="15.75" customHeight="1">
      <c r="A383" s="110"/>
      <c r="B383" s="114"/>
      <c r="C383" s="112"/>
      <c r="D383" s="112"/>
      <c r="E383" s="109" t="str">
        <f t="shared" si="1"/>
        <v/>
      </c>
      <c r="J383" s="90"/>
    </row>
    <row r="384" ht="15.75" customHeight="1">
      <c r="A384" s="110"/>
      <c r="B384" s="114"/>
      <c r="C384" s="112"/>
      <c r="D384" s="112"/>
      <c r="E384" s="109" t="str">
        <f t="shared" si="1"/>
        <v/>
      </c>
      <c r="J384" s="90"/>
    </row>
    <row r="385" ht="15.75" customHeight="1">
      <c r="A385" s="110"/>
      <c r="B385" s="114"/>
      <c r="C385" s="112"/>
      <c r="D385" s="112"/>
      <c r="E385" s="109" t="str">
        <f t="shared" si="1"/>
        <v/>
      </c>
      <c r="J385" s="90"/>
    </row>
    <row r="386" ht="15.75" customHeight="1">
      <c r="A386" s="110"/>
      <c r="B386" s="114"/>
      <c r="C386" s="112"/>
      <c r="D386" s="112"/>
      <c r="E386" s="109" t="str">
        <f t="shared" si="1"/>
        <v/>
      </c>
      <c r="J386" s="90"/>
    </row>
    <row r="387" ht="15.75" customHeight="1">
      <c r="A387" s="110"/>
      <c r="B387" s="114"/>
      <c r="C387" s="112"/>
      <c r="D387" s="112"/>
      <c r="E387" s="109" t="str">
        <f t="shared" si="1"/>
        <v/>
      </c>
      <c r="J387" s="90"/>
    </row>
    <row r="388" ht="15.75" customHeight="1">
      <c r="A388" s="110"/>
      <c r="B388" s="114"/>
      <c r="C388" s="112"/>
      <c r="D388" s="112"/>
      <c r="E388" s="109" t="str">
        <f t="shared" si="1"/>
        <v/>
      </c>
      <c r="J388" s="90"/>
    </row>
    <row r="389" ht="15.75" customHeight="1">
      <c r="A389" s="110"/>
      <c r="B389" s="114"/>
      <c r="C389" s="112"/>
      <c r="D389" s="112"/>
      <c r="E389" s="109" t="str">
        <f t="shared" si="1"/>
        <v/>
      </c>
      <c r="J389" s="90"/>
    </row>
    <row r="390" ht="15.75" customHeight="1">
      <c r="A390" s="110"/>
      <c r="B390" s="114"/>
      <c r="C390" s="112"/>
      <c r="D390" s="112"/>
      <c r="E390" s="109" t="str">
        <f t="shared" si="1"/>
        <v/>
      </c>
      <c r="J390" s="90"/>
    </row>
    <row r="391" ht="15.75" customHeight="1">
      <c r="A391" s="110"/>
      <c r="B391" s="114"/>
      <c r="C391" s="112"/>
      <c r="D391" s="112"/>
      <c r="E391" s="109" t="str">
        <f t="shared" si="1"/>
        <v/>
      </c>
      <c r="J391" s="90"/>
    </row>
    <row r="392" ht="15.75" customHeight="1">
      <c r="A392" s="110"/>
      <c r="B392" s="114"/>
      <c r="C392" s="112"/>
      <c r="D392" s="112"/>
      <c r="E392" s="109" t="str">
        <f t="shared" si="1"/>
        <v/>
      </c>
      <c r="J392" s="90"/>
    </row>
    <row r="393" ht="15.75" customHeight="1">
      <c r="A393" s="110"/>
      <c r="B393" s="114"/>
      <c r="C393" s="112"/>
      <c r="D393" s="112"/>
      <c r="E393" s="109" t="str">
        <f t="shared" si="1"/>
        <v/>
      </c>
      <c r="J393" s="90"/>
    </row>
    <row r="394" ht="15.75" customHeight="1">
      <c r="A394" s="110"/>
      <c r="B394" s="114"/>
      <c r="C394" s="112"/>
      <c r="D394" s="112"/>
      <c r="E394" s="109" t="str">
        <f t="shared" si="1"/>
        <v/>
      </c>
      <c r="J394" s="90"/>
    </row>
    <row r="395" ht="15.75" customHeight="1">
      <c r="A395" s="110"/>
      <c r="B395" s="114"/>
      <c r="C395" s="112"/>
      <c r="D395" s="112"/>
      <c r="E395" s="109" t="str">
        <f t="shared" si="1"/>
        <v/>
      </c>
      <c r="J395" s="90"/>
    </row>
    <row r="396" ht="15.75" customHeight="1">
      <c r="A396" s="110"/>
      <c r="B396" s="114"/>
      <c r="C396" s="112"/>
      <c r="D396" s="112"/>
      <c r="E396" s="109" t="str">
        <f t="shared" si="1"/>
        <v/>
      </c>
      <c r="J396" s="90"/>
    </row>
    <row r="397" ht="15.75" customHeight="1">
      <c r="A397" s="110"/>
      <c r="B397" s="114"/>
      <c r="C397" s="112"/>
      <c r="D397" s="112"/>
      <c r="E397" s="109" t="str">
        <f t="shared" si="1"/>
        <v/>
      </c>
      <c r="J397" s="90"/>
    </row>
    <row r="398" ht="15.75" customHeight="1">
      <c r="A398" s="110"/>
      <c r="B398" s="114"/>
      <c r="C398" s="112"/>
      <c r="D398" s="112"/>
      <c r="E398" s="109" t="str">
        <f t="shared" si="1"/>
        <v/>
      </c>
      <c r="J398" s="90"/>
    </row>
    <row r="399" ht="15.75" customHeight="1">
      <c r="A399" s="110"/>
      <c r="B399" s="114"/>
      <c r="C399" s="112"/>
      <c r="D399" s="112"/>
      <c r="E399" s="109" t="str">
        <f t="shared" si="1"/>
        <v/>
      </c>
      <c r="J399" s="90"/>
    </row>
    <row r="400" ht="15.75" customHeight="1">
      <c r="A400" s="110"/>
      <c r="B400" s="114"/>
      <c r="C400" s="112"/>
      <c r="D400" s="112"/>
      <c r="E400" s="109" t="str">
        <f t="shared" si="1"/>
        <v/>
      </c>
      <c r="J400" s="90"/>
    </row>
    <row r="401" ht="15.75" customHeight="1">
      <c r="A401" s="110"/>
      <c r="B401" s="114"/>
      <c r="C401" s="112"/>
      <c r="D401" s="112"/>
      <c r="E401" s="109" t="str">
        <f t="shared" si="1"/>
        <v/>
      </c>
      <c r="J401" s="90"/>
    </row>
    <row r="402" ht="15.75" customHeight="1">
      <c r="A402" s="110"/>
      <c r="B402" s="114"/>
      <c r="C402" s="112"/>
      <c r="D402" s="112"/>
      <c r="E402" s="109" t="str">
        <f t="shared" si="1"/>
        <v/>
      </c>
      <c r="J402" s="90"/>
    </row>
    <row r="403" ht="15.75" customHeight="1">
      <c r="A403" s="110"/>
      <c r="B403" s="114"/>
      <c r="C403" s="112"/>
      <c r="D403" s="112"/>
      <c r="E403" s="109" t="str">
        <f t="shared" si="1"/>
        <v/>
      </c>
      <c r="J403" s="90"/>
    </row>
    <row r="404" ht="15.75" customHeight="1">
      <c r="A404" s="110"/>
      <c r="B404" s="114"/>
      <c r="C404" s="112"/>
      <c r="D404" s="112"/>
      <c r="E404" s="109" t="str">
        <f t="shared" si="1"/>
        <v/>
      </c>
      <c r="J404" s="90"/>
    </row>
    <row r="405" ht="15.75" customHeight="1">
      <c r="A405" s="110"/>
      <c r="B405" s="114"/>
      <c r="C405" s="112"/>
      <c r="D405" s="112"/>
      <c r="E405" s="109" t="str">
        <f t="shared" si="1"/>
        <v/>
      </c>
      <c r="J405" s="90"/>
    </row>
    <row r="406" ht="15.75" customHeight="1">
      <c r="A406" s="110"/>
      <c r="B406" s="114"/>
      <c r="C406" s="112"/>
      <c r="D406" s="112"/>
      <c r="E406" s="109" t="str">
        <f t="shared" si="1"/>
        <v/>
      </c>
      <c r="J406" s="90"/>
    </row>
    <row r="407" ht="15.75" customHeight="1">
      <c r="A407" s="110"/>
      <c r="B407" s="114"/>
      <c r="C407" s="112"/>
      <c r="D407" s="112"/>
      <c r="E407" s="109" t="str">
        <f t="shared" si="1"/>
        <v/>
      </c>
      <c r="J407" s="90"/>
    </row>
    <row r="408" ht="15.75" customHeight="1">
      <c r="A408" s="110"/>
      <c r="B408" s="114"/>
      <c r="C408" s="112"/>
      <c r="D408" s="112"/>
      <c r="E408" s="109" t="str">
        <f t="shared" si="1"/>
        <v/>
      </c>
      <c r="J408" s="90"/>
    </row>
    <row r="409" ht="15.75" customHeight="1">
      <c r="A409" s="110"/>
      <c r="B409" s="114"/>
      <c r="C409" s="112"/>
      <c r="D409" s="112"/>
      <c r="E409" s="109" t="str">
        <f t="shared" si="1"/>
        <v/>
      </c>
      <c r="J409" s="90"/>
    </row>
    <row r="410" ht="15.75" customHeight="1">
      <c r="A410" s="110"/>
      <c r="B410" s="114"/>
      <c r="C410" s="112"/>
      <c r="D410" s="112"/>
      <c r="E410" s="109" t="str">
        <f t="shared" si="1"/>
        <v/>
      </c>
      <c r="J410" s="90"/>
    </row>
    <row r="411" ht="15.75" customHeight="1">
      <c r="A411" s="110"/>
      <c r="B411" s="114"/>
      <c r="C411" s="112"/>
      <c r="D411" s="112"/>
      <c r="E411" s="109" t="str">
        <f t="shared" si="1"/>
        <v/>
      </c>
      <c r="J411" s="90"/>
    </row>
    <row r="412" ht="15.75" customHeight="1">
      <c r="A412" s="110"/>
      <c r="B412" s="114"/>
      <c r="C412" s="112"/>
      <c r="D412" s="112"/>
      <c r="E412" s="109" t="str">
        <f t="shared" si="1"/>
        <v/>
      </c>
      <c r="J412" s="90"/>
    </row>
    <row r="413" ht="15.75" customHeight="1">
      <c r="A413" s="110"/>
      <c r="B413" s="114"/>
      <c r="C413" s="112"/>
      <c r="D413" s="112"/>
      <c r="E413" s="109" t="str">
        <f t="shared" si="1"/>
        <v/>
      </c>
      <c r="J413" s="90"/>
    </row>
    <row r="414" ht="15.75" customHeight="1">
      <c r="A414" s="110"/>
      <c r="B414" s="114"/>
      <c r="C414" s="112"/>
      <c r="D414" s="112"/>
      <c r="E414" s="109" t="str">
        <f t="shared" si="1"/>
        <v/>
      </c>
      <c r="J414" s="90"/>
    </row>
    <row r="415" ht="15.75" customHeight="1">
      <c r="A415" s="110"/>
      <c r="B415" s="114"/>
      <c r="C415" s="112"/>
      <c r="D415" s="112"/>
      <c r="E415" s="109" t="str">
        <f t="shared" si="1"/>
        <v/>
      </c>
      <c r="J415" s="90"/>
    </row>
    <row r="416" ht="15.75" customHeight="1">
      <c r="A416" s="110"/>
      <c r="B416" s="114"/>
      <c r="C416" s="112"/>
      <c r="D416" s="112"/>
      <c r="E416" s="109" t="str">
        <f t="shared" si="1"/>
        <v/>
      </c>
      <c r="J416" s="90"/>
    </row>
    <row r="417" ht="15.75" customHeight="1">
      <c r="A417" s="110"/>
      <c r="B417" s="114"/>
      <c r="C417" s="112"/>
      <c r="D417" s="112"/>
      <c r="E417" s="109" t="str">
        <f t="shared" si="1"/>
        <v/>
      </c>
      <c r="J417" s="90"/>
    </row>
    <row r="418" ht="15.75" customHeight="1">
      <c r="A418" s="110"/>
      <c r="B418" s="114"/>
      <c r="C418" s="112"/>
      <c r="D418" s="112"/>
      <c r="E418" s="109" t="str">
        <f t="shared" si="1"/>
        <v/>
      </c>
      <c r="J418" s="90"/>
    </row>
    <row r="419" ht="15.75" customHeight="1">
      <c r="A419" s="110"/>
      <c r="B419" s="114"/>
      <c r="C419" s="112"/>
      <c r="D419" s="112"/>
      <c r="E419" s="109" t="str">
        <f t="shared" si="1"/>
        <v/>
      </c>
      <c r="J419" s="90"/>
    </row>
    <row r="420" ht="15.75" customHeight="1">
      <c r="A420" s="110"/>
      <c r="B420" s="114"/>
      <c r="C420" s="112"/>
      <c r="D420" s="112"/>
      <c r="E420" s="109" t="str">
        <f t="shared" si="1"/>
        <v/>
      </c>
      <c r="J420" s="90"/>
    </row>
    <row r="421" ht="15.75" customHeight="1">
      <c r="A421" s="110"/>
      <c r="B421" s="114"/>
      <c r="C421" s="112"/>
      <c r="D421" s="112"/>
      <c r="E421" s="109" t="str">
        <f t="shared" si="1"/>
        <v/>
      </c>
      <c r="J421" s="90"/>
    </row>
    <row r="422" ht="15.75" customHeight="1">
      <c r="A422" s="110"/>
      <c r="B422" s="114"/>
      <c r="C422" s="112"/>
      <c r="D422" s="112"/>
      <c r="E422" s="109" t="str">
        <f t="shared" si="1"/>
        <v/>
      </c>
      <c r="J422" s="90"/>
    </row>
    <row r="423" ht="15.75" customHeight="1">
      <c r="A423" s="110"/>
      <c r="B423" s="114"/>
      <c r="C423" s="112"/>
      <c r="D423" s="112"/>
      <c r="E423" s="109" t="str">
        <f t="shared" si="1"/>
        <v/>
      </c>
      <c r="J423" s="90"/>
    </row>
    <row r="424" ht="15.75" customHeight="1">
      <c r="A424" s="110"/>
      <c r="B424" s="114"/>
      <c r="C424" s="112"/>
      <c r="D424" s="112"/>
      <c r="E424" s="109" t="str">
        <f t="shared" si="1"/>
        <v/>
      </c>
      <c r="J424" s="90"/>
    </row>
    <row r="425" ht="15.75" customHeight="1">
      <c r="A425" s="110"/>
      <c r="B425" s="114"/>
      <c r="C425" s="112"/>
      <c r="D425" s="112"/>
      <c r="E425" s="109" t="str">
        <f t="shared" si="1"/>
        <v/>
      </c>
      <c r="J425" s="90"/>
    </row>
    <row r="426" ht="15.75" customHeight="1">
      <c r="A426" s="110"/>
      <c r="B426" s="114"/>
      <c r="C426" s="112"/>
      <c r="D426" s="112"/>
      <c r="E426" s="109" t="str">
        <f t="shared" si="1"/>
        <v/>
      </c>
      <c r="J426" s="90"/>
    </row>
    <row r="427" ht="15.75" customHeight="1">
      <c r="A427" s="110"/>
      <c r="B427" s="114"/>
      <c r="C427" s="112"/>
      <c r="D427" s="112"/>
      <c r="E427" s="109" t="str">
        <f t="shared" si="1"/>
        <v/>
      </c>
      <c r="J427" s="90"/>
    </row>
    <row r="428" ht="15.75" customHeight="1">
      <c r="A428" s="110"/>
      <c r="B428" s="114"/>
      <c r="C428" s="112"/>
      <c r="D428" s="112"/>
      <c r="E428" s="109" t="str">
        <f t="shared" si="1"/>
        <v/>
      </c>
      <c r="J428" s="90"/>
    </row>
    <row r="429" ht="15.75" customHeight="1">
      <c r="A429" s="110"/>
      <c r="B429" s="114"/>
      <c r="C429" s="112"/>
      <c r="D429" s="112"/>
      <c r="E429" s="109" t="str">
        <f t="shared" si="1"/>
        <v/>
      </c>
      <c r="J429" s="90"/>
    </row>
    <row r="430" ht="15.75" customHeight="1">
      <c r="A430" s="110"/>
      <c r="B430" s="114"/>
      <c r="C430" s="112"/>
      <c r="D430" s="112"/>
      <c r="E430" s="109" t="str">
        <f t="shared" si="1"/>
        <v/>
      </c>
      <c r="J430" s="90"/>
    </row>
    <row r="431" ht="15.75" customHeight="1">
      <c r="A431" s="110"/>
      <c r="B431" s="114"/>
      <c r="C431" s="112"/>
      <c r="D431" s="112"/>
      <c r="E431" s="109" t="str">
        <f t="shared" si="1"/>
        <v/>
      </c>
      <c r="J431" s="90"/>
    </row>
    <row r="432" ht="15.75" customHeight="1">
      <c r="A432" s="110"/>
      <c r="B432" s="114"/>
      <c r="C432" s="112"/>
      <c r="D432" s="112"/>
      <c r="E432" s="109" t="str">
        <f t="shared" si="1"/>
        <v/>
      </c>
      <c r="J432" s="90"/>
    </row>
    <row r="433" ht="15.75" customHeight="1">
      <c r="A433" s="110"/>
      <c r="B433" s="114"/>
      <c r="C433" s="112"/>
      <c r="D433" s="112"/>
      <c r="E433" s="109" t="str">
        <f t="shared" si="1"/>
        <v/>
      </c>
      <c r="J433" s="90"/>
    </row>
    <row r="434" ht="15.75" customHeight="1">
      <c r="A434" s="110"/>
      <c r="B434" s="114"/>
      <c r="C434" s="112"/>
      <c r="D434" s="112"/>
      <c r="E434" s="109" t="str">
        <f t="shared" si="1"/>
        <v/>
      </c>
      <c r="J434" s="90"/>
    </row>
    <row r="435" ht="15.75" customHeight="1">
      <c r="A435" s="110"/>
      <c r="B435" s="114"/>
      <c r="C435" s="112"/>
      <c r="D435" s="112"/>
      <c r="E435" s="109" t="str">
        <f t="shared" si="1"/>
        <v/>
      </c>
      <c r="J435" s="90"/>
    </row>
    <row r="436" ht="15.75" customHeight="1">
      <c r="A436" s="110"/>
      <c r="B436" s="114"/>
      <c r="C436" s="112"/>
      <c r="D436" s="112"/>
      <c r="E436" s="109" t="str">
        <f t="shared" si="1"/>
        <v/>
      </c>
      <c r="J436" s="90"/>
    </row>
    <row r="437" ht="15.75" customHeight="1">
      <c r="A437" s="110"/>
      <c r="B437" s="114"/>
      <c r="C437" s="112"/>
      <c r="D437" s="112"/>
      <c r="E437" s="109" t="str">
        <f t="shared" si="1"/>
        <v/>
      </c>
      <c r="J437" s="90"/>
    </row>
    <row r="438" ht="15.75" customHeight="1">
      <c r="A438" s="110"/>
      <c r="B438" s="114"/>
      <c r="C438" s="112"/>
      <c r="D438" s="112"/>
      <c r="E438" s="109" t="str">
        <f t="shared" si="1"/>
        <v/>
      </c>
      <c r="J438" s="90"/>
    </row>
    <row r="439" ht="15.75" customHeight="1">
      <c r="A439" s="110"/>
      <c r="B439" s="114"/>
      <c r="C439" s="112"/>
      <c r="D439" s="112"/>
      <c r="E439" s="109" t="str">
        <f t="shared" si="1"/>
        <v/>
      </c>
      <c r="J439" s="90"/>
    </row>
    <row r="440" ht="15.75" customHeight="1">
      <c r="A440" s="110"/>
      <c r="B440" s="114"/>
      <c r="C440" s="112"/>
      <c r="D440" s="112"/>
      <c r="E440" s="109" t="str">
        <f t="shared" si="1"/>
        <v/>
      </c>
      <c r="J440" s="90"/>
    </row>
    <row r="441" ht="15.75" customHeight="1">
      <c r="A441" s="110"/>
      <c r="B441" s="114"/>
      <c r="C441" s="112"/>
      <c r="D441" s="112"/>
      <c r="E441" s="109" t="str">
        <f t="shared" si="1"/>
        <v/>
      </c>
      <c r="J441" s="90"/>
    </row>
    <row r="442" ht="15.75" customHeight="1">
      <c r="A442" s="110"/>
      <c r="B442" s="114"/>
      <c r="C442" s="112"/>
      <c r="D442" s="112"/>
      <c r="E442" s="109" t="str">
        <f t="shared" si="1"/>
        <v/>
      </c>
      <c r="J442" s="90"/>
    </row>
    <row r="443" ht="15.75" customHeight="1">
      <c r="A443" s="110"/>
      <c r="B443" s="114"/>
      <c r="C443" s="112"/>
      <c r="D443" s="112"/>
      <c r="E443" s="109" t="str">
        <f t="shared" si="1"/>
        <v/>
      </c>
      <c r="J443" s="90"/>
    </row>
    <row r="444" ht="15.75" customHeight="1">
      <c r="A444" s="110"/>
      <c r="B444" s="114"/>
      <c r="C444" s="112"/>
      <c r="D444" s="112"/>
      <c r="E444" s="109" t="str">
        <f t="shared" si="1"/>
        <v/>
      </c>
      <c r="J444" s="90"/>
    </row>
    <row r="445" ht="15.75" customHeight="1">
      <c r="A445" s="110"/>
      <c r="B445" s="114"/>
      <c r="C445" s="112"/>
      <c r="D445" s="112"/>
      <c r="E445" s="109" t="str">
        <f t="shared" si="1"/>
        <v/>
      </c>
      <c r="J445" s="90"/>
    </row>
    <row r="446" ht="15.75" customHeight="1">
      <c r="A446" s="110"/>
      <c r="B446" s="114"/>
      <c r="C446" s="112"/>
      <c r="D446" s="112"/>
      <c r="E446" s="109" t="str">
        <f t="shared" si="1"/>
        <v/>
      </c>
      <c r="J446" s="90"/>
    </row>
    <row r="447" ht="15.75" customHeight="1">
      <c r="A447" s="110"/>
      <c r="B447" s="114"/>
      <c r="C447" s="112"/>
      <c r="D447" s="112"/>
      <c r="E447" s="109" t="str">
        <f t="shared" si="1"/>
        <v/>
      </c>
      <c r="J447" s="90"/>
    </row>
    <row r="448" ht="15.75" customHeight="1">
      <c r="A448" s="110"/>
      <c r="B448" s="114"/>
      <c r="C448" s="112"/>
      <c r="D448" s="112"/>
      <c r="E448" s="109" t="str">
        <f t="shared" si="1"/>
        <v/>
      </c>
      <c r="J448" s="90"/>
    </row>
    <row r="449" ht="15.75" customHeight="1">
      <c r="A449" s="110"/>
      <c r="B449" s="114"/>
      <c r="C449" s="112"/>
      <c r="D449" s="112"/>
      <c r="E449" s="109" t="str">
        <f t="shared" si="1"/>
        <v/>
      </c>
      <c r="J449" s="90"/>
    </row>
    <row r="450" ht="15.75" customHeight="1">
      <c r="A450" s="110"/>
      <c r="B450" s="114"/>
      <c r="C450" s="112"/>
      <c r="D450" s="112"/>
      <c r="E450" s="109" t="str">
        <f t="shared" si="1"/>
        <v/>
      </c>
      <c r="J450" s="90"/>
    </row>
    <row r="451" ht="15.75" customHeight="1">
      <c r="A451" s="110"/>
      <c r="B451" s="114"/>
      <c r="C451" s="112"/>
      <c r="D451" s="112"/>
      <c r="E451" s="109" t="str">
        <f t="shared" si="1"/>
        <v/>
      </c>
      <c r="J451" s="90"/>
    </row>
    <row r="452" ht="15.75" customHeight="1">
      <c r="A452" s="110"/>
      <c r="B452" s="114"/>
      <c r="C452" s="112"/>
      <c r="D452" s="112"/>
      <c r="E452" s="109" t="str">
        <f t="shared" si="1"/>
        <v/>
      </c>
      <c r="J452" s="90"/>
    </row>
    <row r="453" ht="15.75" customHeight="1">
      <c r="A453" s="110"/>
      <c r="B453" s="114"/>
      <c r="C453" s="112"/>
      <c r="D453" s="112"/>
      <c r="E453" s="109" t="str">
        <f t="shared" si="1"/>
        <v/>
      </c>
      <c r="J453" s="90"/>
    </row>
    <row r="454" ht="15.75" customHeight="1">
      <c r="A454" s="110"/>
      <c r="B454" s="114"/>
      <c r="C454" s="112"/>
      <c r="D454" s="112"/>
      <c r="E454" s="109" t="str">
        <f t="shared" si="1"/>
        <v/>
      </c>
      <c r="J454" s="90"/>
    </row>
    <row r="455" ht="15.75" customHeight="1">
      <c r="A455" s="110"/>
      <c r="B455" s="114"/>
      <c r="C455" s="112"/>
      <c r="D455" s="112"/>
      <c r="E455" s="109" t="str">
        <f t="shared" si="1"/>
        <v/>
      </c>
      <c r="J455" s="90"/>
    </row>
    <row r="456" ht="15.75" customHeight="1">
      <c r="A456" s="110"/>
      <c r="B456" s="114"/>
      <c r="C456" s="112"/>
      <c r="D456" s="112"/>
      <c r="E456" s="109" t="str">
        <f t="shared" si="1"/>
        <v/>
      </c>
      <c r="J456" s="90"/>
    </row>
    <row r="457" ht="15.75" customHeight="1">
      <c r="A457" s="110"/>
      <c r="B457" s="114"/>
      <c r="C457" s="112"/>
      <c r="D457" s="112"/>
      <c r="E457" s="109" t="str">
        <f t="shared" si="1"/>
        <v/>
      </c>
      <c r="J457" s="90"/>
    </row>
    <row r="458" ht="15.75" customHeight="1">
      <c r="A458" s="110"/>
      <c r="B458" s="114"/>
      <c r="C458" s="112"/>
      <c r="D458" s="112"/>
      <c r="E458" s="109" t="str">
        <f t="shared" si="1"/>
        <v/>
      </c>
      <c r="J458" s="90"/>
    </row>
    <row r="459" ht="15.75" customHeight="1">
      <c r="A459" s="110"/>
      <c r="B459" s="114"/>
      <c r="C459" s="112"/>
      <c r="D459" s="112"/>
      <c r="E459" s="109" t="str">
        <f t="shared" si="1"/>
        <v/>
      </c>
      <c r="J459" s="90"/>
    </row>
    <row r="460" ht="15.75" customHeight="1">
      <c r="A460" s="110"/>
      <c r="B460" s="114"/>
      <c r="C460" s="112"/>
      <c r="D460" s="112"/>
      <c r="E460" s="109" t="str">
        <f t="shared" si="1"/>
        <v/>
      </c>
      <c r="J460" s="90"/>
    </row>
    <row r="461" ht="15.75" customHeight="1">
      <c r="A461" s="110"/>
      <c r="B461" s="114"/>
      <c r="C461" s="112"/>
      <c r="D461" s="112"/>
      <c r="E461" s="109" t="str">
        <f t="shared" si="1"/>
        <v/>
      </c>
      <c r="J461" s="90"/>
    </row>
    <row r="462" ht="15.75" customHeight="1">
      <c r="A462" s="110"/>
      <c r="B462" s="114"/>
      <c r="C462" s="112"/>
      <c r="D462" s="112"/>
      <c r="E462" s="109" t="str">
        <f t="shared" si="1"/>
        <v/>
      </c>
      <c r="J462" s="90"/>
    </row>
    <row r="463" ht="15.75" customHeight="1">
      <c r="A463" s="110"/>
      <c r="B463" s="114"/>
      <c r="C463" s="112"/>
      <c r="D463" s="112"/>
      <c r="E463" s="109" t="str">
        <f t="shared" si="1"/>
        <v/>
      </c>
      <c r="J463" s="90"/>
    </row>
    <row r="464" ht="15.75" customHeight="1">
      <c r="A464" s="110"/>
      <c r="B464" s="114"/>
      <c r="C464" s="112"/>
      <c r="D464" s="112"/>
      <c r="E464" s="109" t="str">
        <f t="shared" si="1"/>
        <v/>
      </c>
      <c r="J464" s="90"/>
    </row>
    <row r="465" ht="15.75" customHeight="1">
      <c r="A465" s="110"/>
      <c r="B465" s="114"/>
      <c r="C465" s="112"/>
      <c r="D465" s="112"/>
      <c r="E465" s="109" t="str">
        <f t="shared" si="1"/>
        <v/>
      </c>
      <c r="J465" s="90"/>
    </row>
    <row r="466" ht="15.75" customHeight="1">
      <c r="A466" s="110"/>
      <c r="B466" s="114"/>
      <c r="C466" s="112"/>
      <c r="D466" s="112"/>
      <c r="E466" s="109" t="str">
        <f t="shared" si="1"/>
        <v/>
      </c>
      <c r="J466" s="90"/>
    </row>
    <row r="467" ht="15.75" customHeight="1">
      <c r="A467" s="110"/>
      <c r="B467" s="114"/>
      <c r="C467" s="112"/>
      <c r="D467" s="112"/>
      <c r="E467" s="109" t="str">
        <f t="shared" si="1"/>
        <v/>
      </c>
      <c r="J467" s="90"/>
    </row>
    <row r="468" ht="15.75" customHeight="1">
      <c r="A468" s="110"/>
      <c r="B468" s="114"/>
      <c r="C468" s="112"/>
      <c r="D468" s="112"/>
      <c r="E468" s="109" t="str">
        <f t="shared" si="1"/>
        <v/>
      </c>
      <c r="J468" s="90"/>
    </row>
    <row r="469" ht="15.75" customHeight="1">
      <c r="A469" s="110"/>
      <c r="B469" s="114"/>
      <c r="C469" s="112"/>
      <c r="D469" s="112"/>
      <c r="E469" s="109" t="str">
        <f t="shared" si="1"/>
        <v/>
      </c>
      <c r="J469" s="90"/>
    </row>
    <row r="470" ht="15.75" customHeight="1">
      <c r="A470" s="110"/>
      <c r="B470" s="114"/>
      <c r="C470" s="112"/>
      <c r="D470" s="112"/>
      <c r="E470" s="109" t="str">
        <f t="shared" si="1"/>
        <v/>
      </c>
      <c r="J470" s="90"/>
    </row>
    <row r="471" ht="15.75" customHeight="1">
      <c r="A471" s="110"/>
      <c r="B471" s="114"/>
      <c r="C471" s="112"/>
      <c r="D471" s="112"/>
      <c r="E471" s="109" t="str">
        <f t="shared" si="1"/>
        <v/>
      </c>
      <c r="J471" s="90"/>
    </row>
    <row r="472" ht="15.75" customHeight="1">
      <c r="A472" s="110"/>
      <c r="B472" s="114"/>
      <c r="C472" s="112"/>
      <c r="D472" s="112"/>
      <c r="E472" s="109" t="str">
        <f t="shared" si="1"/>
        <v/>
      </c>
      <c r="J472" s="90"/>
    </row>
    <row r="473" ht="15.75" customHeight="1">
      <c r="A473" s="110"/>
      <c r="B473" s="114"/>
      <c r="C473" s="112"/>
      <c r="D473" s="112"/>
      <c r="E473" s="109" t="str">
        <f t="shared" si="1"/>
        <v/>
      </c>
      <c r="J473" s="90"/>
    </row>
    <row r="474" ht="15.75" customHeight="1">
      <c r="A474" s="110"/>
      <c r="B474" s="114"/>
      <c r="C474" s="112"/>
      <c r="D474" s="112"/>
      <c r="E474" s="109" t="str">
        <f t="shared" si="1"/>
        <v/>
      </c>
      <c r="J474" s="90"/>
    </row>
    <row r="475" ht="15.75" customHeight="1">
      <c r="A475" s="110"/>
      <c r="B475" s="114"/>
      <c r="C475" s="112"/>
      <c r="D475" s="112"/>
      <c r="E475" s="109" t="str">
        <f t="shared" si="1"/>
        <v/>
      </c>
      <c r="J475" s="90"/>
    </row>
    <row r="476" ht="15.75" customHeight="1">
      <c r="A476" s="110"/>
      <c r="B476" s="114"/>
      <c r="C476" s="112"/>
      <c r="D476" s="112"/>
      <c r="E476" s="109" t="str">
        <f t="shared" si="1"/>
        <v/>
      </c>
      <c r="J476" s="90"/>
    </row>
    <row r="477" ht="15.75" customHeight="1">
      <c r="A477" s="110"/>
      <c r="B477" s="114"/>
      <c r="C477" s="112"/>
      <c r="D477" s="112"/>
      <c r="E477" s="109" t="str">
        <f t="shared" si="1"/>
        <v/>
      </c>
      <c r="J477" s="90"/>
    </row>
    <row r="478" ht="15.75" customHeight="1">
      <c r="A478" s="110"/>
      <c r="B478" s="114"/>
      <c r="C478" s="112"/>
      <c r="D478" s="112"/>
      <c r="E478" s="109" t="str">
        <f t="shared" si="1"/>
        <v/>
      </c>
      <c r="J478" s="90"/>
    </row>
    <row r="479" ht="15.75" customHeight="1">
      <c r="A479" s="110"/>
      <c r="B479" s="114"/>
      <c r="C479" s="112"/>
      <c r="D479" s="112"/>
      <c r="E479" s="109" t="str">
        <f t="shared" si="1"/>
        <v/>
      </c>
      <c r="J479" s="90"/>
    </row>
    <row r="480" ht="15.75" customHeight="1">
      <c r="A480" s="110"/>
      <c r="B480" s="114"/>
      <c r="C480" s="112"/>
      <c r="D480" s="112"/>
      <c r="E480" s="109" t="str">
        <f t="shared" si="1"/>
        <v/>
      </c>
      <c r="J480" s="90"/>
    </row>
    <row r="481" ht="15.75" customHeight="1">
      <c r="A481" s="110"/>
      <c r="B481" s="114"/>
      <c r="C481" s="112"/>
      <c r="D481" s="112"/>
      <c r="E481" s="109" t="str">
        <f t="shared" si="1"/>
        <v/>
      </c>
      <c r="J481" s="90"/>
    </row>
    <row r="482" ht="15.75" customHeight="1">
      <c r="A482" s="110"/>
      <c r="B482" s="114"/>
      <c r="C482" s="112"/>
      <c r="D482" s="112"/>
      <c r="E482" s="109" t="str">
        <f t="shared" si="1"/>
        <v/>
      </c>
      <c r="J482" s="90"/>
    </row>
    <row r="483" ht="15.75" customHeight="1">
      <c r="A483" s="110"/>
      <c r="B483" s="114"/>
      <c r="C483" s="112"/>
      <c r="D483" s="112"/>
      <c r="E483" s="109" t="str">
        <f t="shared" si="1"/>
        <v/>
      </c>
      <c r="J483" s="90"/>
    </row>
    <row r="484" ht="15.75" customHeight="1">
      <c r="A484" s="110"/>
      <c r="B484" s="114"/>
      <c r="C484" s="112"/>
      <c r="D484" s="112"/>
      <c r="E484" s="109" t="str">
        <f t="shared" si="1"/>
        <v/>
      </c>
      <c r="J484" s="90"/>
    </row>
    <row r="485" ht="15.75" customHeight="1">
      <c r="A485" s="110"/>
      <c r="B485" s="114"/>
      <c r="C485" s="112"/>
      <c r="D485" s="112"/>
      <c r="E485" s="109" t="str">
        <f t="shared" si="1"/>
        <v/>
      </c>
      <c r="J485" s="90"/>
    </row>
    <row r="486" ht="15.75" customHeight="1">
      <c r="A486" s="110"/>
      <c r="B486" s="114"/>
      <c r="C486" s="112"/>
      <c r="D486" s="112"/>
      <c r="E486" s="109" t="str">
        <f t="shared" si="1"/>
        <v/>
      </c>
      <c r="J486" s="90"/>
    </row>
    <row r="487" ht="15.75" customHeight="1">
      <c r="A487" s="110"/>
      <c r="B487" s="114"/>
      <c r="C487" s="112"/>
      <c r="D487" s="112"/>
      <c r="E487" s="109" t="str">
        <f t="shared" si="1"/>
        <v/>
      </c>
      <c r="J487" s="90"/>
    </row>
    <row r="488" ht="15.75" customHeight="1">
      <c r="A488" s="110"/>
      <c r="B488" s="114"/>
      <c r="C488" s="112"/>
      <c r="D488" s="112"/>
      <c r="E488" s="109" t="str">
        <f t="shared" si="1"/>
        <v/>
      </c>
      <c r="J488" s="90"/>
    </row>
    <row r="489" ht="15.75" customHeight="1">
      <c r="A489" s="110"/>
      <c r="B489" s="114"/>
      <c r="C489" s="112"/>
      <c r="D489" s="112"/>
      <c r="E489" s="109" t="str">
        <f t="shared" si="1"/>
        <v/>
      </c>
      <c r="J489" s="90"/>
    </row>
    <row r="490" ht="15.75" customHeight="1">
      <c r="A490" s="110"/>
      <c r="B490" s="114"/>
      <c r="C490" s="112"/>
      <c r="D490" s="112"/>
      <c r="E490" s="109" t="str">
        <f t="shared" si="1"/>
        <v/>
      </c>
      <c r="J490" s="90"/>
    </row>
    <row r="491" ht="15.75" customHeight="1">
      <c r="A491" s="110"/>
      <c r="B491" s="114"/>
      <c r="C491" s="112"/>
      <c r="D491" s="112"/>
      <c r="E491" s="109" t="str">
        <f t="shared" si="1"/>
        <v/>
      </c>
      <c r="J491" s="90"/>
    </row>
    <row r="492" ht="15.75" customHeight="1">
      <c r="A492" s="110"/>
      <c r="B492" s="114"/>
      <c r="C492" s="112"/>
      <c r="D492" s="112"/>
      <c r="E492" s="109" t="str">
        <f t="shared" si="1"/>
        <v/>
      </c>
      <c r="J492" s="90"/>
    </row>
    <row r="493" ht="15.75" customHeight="1">
      <c r="A493" s="110"/>
      <c r="B493" s="114"/>
      <c r="C493" s="112"/>
      <c r="D493" s="112"/>
      <c r="E493" s="109" t="str">
        <f t="shared" si="1"/>
        <v/>
      </c>
      <c r="J493" s="90"/>
    </row>
    <row r="494" ht="15.75" customHeight="1">
      <c r="A494" s="110"/>
      <c r="B494" s="114"/>
      <c r="C494" s="112"/>
      <c r="D494" s="112"/>
      <c r="E494" s="109" t="str">
        <f t="shared" si="1"/>
        <v/>
      </c>
      <c r="J494" s="90"/>
    </row>
    <row r="495" ht="15.75" customHeight="1">
      <c r="A495" s="110"/>
      <c r="B495" s="114"/>
      <c r="C495" s="112"/>
      <c r="D495" s="112"/>
      <c r="E495" s="109" t="str">
        <f t="shared" si="1"/>
        <v/>
      </c>
      <c r="J495" s="90"/>
    </row>
    <row r="496" ht="15.75" customHeight="1">
      <c r="A496" s="110"/>
      <c r="B496" s="114"/>
      <c r="C496" s="112"/>
      <c r="D496" s="112"/>
      <c r="E496" s="109" t="str">
        <f t="shared" si="1"/>
        <v/>
      </c>
      <c r="J496" s="90"/>
    </row>
    <row r="497" ht="15.75" customHeight="1">
      <c r="A497" s="110"/>
      <c r="B497" s="114"/>
      <c r="C497" s="112"/>
      <c r="D497" s="112"/>
      <c r="E497" s="109" t="str">
        <f t="shared" si="1"/>
        <v/>
      </c>
      <c r="J497" s="90"/>
    </row>
    <row r="498" ht="15.75" customHeight="1">
      <c r="A498" s="110"/>
      <c r="B498" s="114"/>
      <c r="C498" s="112"/>
      <c r="D498" s="112"/>
      <c r="E498" s="109" t="str">
        <f t="shared" si="1"/>
        <v/>
      </c>
      <c r="J498" s="90"/>
    </row>
    <row r="499" ht="15.75" customHeight="1">
      <c r="A499" s="110"/>
      <c r="B499" s="114"/>
      <c r="C499" s="112"/>
      <c r="D499" s="112"/>
      <c r="E499" s="109" t="str">
        <f t="shared" si="1"/>
        <v/>
      </c>
      <c r="J499" s="90"/>
    </row>
    <row r="500" ht="15.75" customHeight="1">
      <c r="A500" s="110"/>
      <c r="B500" s="114"/>
      <c r="C500" s="112"/>
      <c r="D500" s="112"/>
      <c r="E500" s="109" t="str">
        <f t="shared" si="1"/>
        <v/>
      </c>
      <c r="J500" s="90"/>
    </row>
    <row r="501" ht="15.75" customHeight="1">
      <c r="A501" s="110"/>
      <c r="B501" s="114"/>
      <c r="C501" s="112"/>
      <c r="D501" s="112"/>
      <c r="E501" s="109" t="str">
        <f t="shared" si="1"/>
        <v/>
      </c>
      <c r="J501" s="90"/>
    </row>
    <row r="502" ht="15.75" customHeight="1">
      <c r="A502" s="110"/>
      <c r="B502" s="114"/>
      <c r="C502" s="112"/>
      <c r="D502" s="112"/>
      <c r="E502" s="109" t="str">
        <f t="shared" si="1"/>
        <v/>
      </c>
      <c r="J502" s="90"/>
    </row>
    <row r="503" ht="15.75" customHeight="1">
      <c r="A503" s="110"/>
      <c r="B503" s="114"/>
      <c r="C503" s="112"/>
      <c r="D503" s="112"/>
      <c r="E503" s="109" t="str">
        <f t="shared" si="1"/>
        <v/>
      </c>
      <c r="J503" s="90"/>
    </row>
    <row r="504" ht="15.75" customHeight="1">
      <c r="A504" s="110"/>
      <c r="B504" s="114"/>
      <c r="C504" s="112"/>
      <c r="D504" s="112"/>
      <c r="E504" s="109" t="str">
        <f t="shared" si="1"/>
        <v/>
      </c>
      <c r="J504" s="90"/>
    </row>
    <row r="505" ht="15.75" customHeight="1">
      <c r="A505" s="110"/>
      <c r="B505" s="114"/>
      <c r="C505" s="112"/>
      <c r="D505" s="112"/>
      <c r="E505" s="109" t="str">
        <f t="shared" si="1"/>
        <v/>
      </c>
      <c r="J505" s="90"/>
    </row>
    <row r="506" ht="15.75" customHeight="1">
      <c r="A506" s="110"/>
      <c r="B506" s="114"/>
      <c r="C506" s="112"/>
      <c r="D506" s="112"/>
      <c r="E506" s="109" t="str">
        <f t="shared" si="1"/>
        <v/>
      </c>
      <c r="J506" s="90"/>
    </row>
    <row r="507" ht="15.75" customHeight="1">
      <c r="A507" s="110"/>
      <c r="B507" s="114"/>
      <c r="C507" s="112"/>
      <c r="D507" s="112"/>
      <c r="E507" s="109" t="str">
        <f t="shared" si="1"/>
        <v/>
      </c>
      <c r="J507" s="90"/>
    </row>
    <row r="508" ht="15.75" customHeight="1">
      <c r="A508" s="110"/>
      <c r="B508" s="114"/>
      <c r="C508" s="112"/>
      <c r="D508" s="112"/>
      <c r="E508" s="109" t="str">
        <f t="shared" si="1"/>
        <v/>
      </c>
      <c r="J508" s="90"/>
    </row>
    <row r="509" ht="15.75" customHeight="1">
      <c r="A509" s="110"/>
      <c r="B509" s="114"/>
      <c r="C509" s="112"/>
      <c r="D509" s="112"/>
      <c r="E509" s="109" t="str">
        <f t="shared" si="1"/>
        <v/>
      </c>
      <c r="J509" s="90"/>
    </row>
    <row r="510" ht="15.75" customHeight="1">
      <c r="A510" s="110"/>
      <c r="B510" s="114"/>
      <c r="C510" s="112"/>
      <c r="D510" s="112"/>
      <c r="E510" s="109" t="str">
        <f t="shared" si="1"/>
        <v/>
      </c>
      <c r="J510" s="90"/>
    </row>
    <row r="511" ht="15.75" customHeight="1">
      <c r="A511" s="110"/>
      <c r="B511" s="114"/>
      <c r="C511" s="112"/>
      <c r="D511" s="112"/>
      <c r="E511" s="109" t="str">
        <f t="shared" si="1"/>
        <v/>
      </c>
      <c r="J511" s="90"/>
    </row>
    <row r="512" ht="15.75" customHeight="1">
      <c r="A512" s="110"/>
      <c r="B512" s="114"/>
      <c r="C512" s="112"/>
      <c r="D512" s="112"/>
      <c r="E512" s="109" t="str">
        <f t="shared" si="1"/>
        <v/>
      </c>
      <c r="J512" s="90"/>
    </row>
    <row r="513" ht="15.75" customHeight="1">
      <c r="A513" s="110"/>
      <c r="B513" s="114"/>
      <c r="C513" s="112"/>
      <c r="D513" s="112"/>
      <c r="E513" s="109" t="str">
        <f t="shared" si="1"/>
        <v/>
      </c>
      <c r="J513" s="90"/>
    </row>
    <row r="514" ht="15.75" customHeight="1">
      <c r="A514" s="110"/>
      <c r="B514" s="114"/>
      <c r="C514" s="112"/>
      <c r="D514" s="112"/>
      <c r="E514" s="109" t="str">
        <f t="shared" si="1"/>
        <v/>
      </c>
      <c r="J514" s="90"/>
    </row>
    <row r="515" ht="15.75" customHeight="1">
      <c r="A515" s="110"/>
      <c r="B515" s="114"/>
      <c r="C515" s="112"/>
      <c r="D515" s="112"/>
      <c r="E515" s="109" t="str">
        <f t="shared" si="1"/>
        <v/>
      </c>
      <c r="J515" s="90"/>
    </row>
    <row r="516" ht="15.75" customHeight="1">
      <c r="A516" s="110"/>
      <c r="B516" s="114"/>
      <c r="C516" s="112"/>
      <c r="D516" s="112"/>
      <c r="E516" s="109" t="str">
        <f t="shared" si="1"/>
        <v/>
      </c>
      <c r="J516" s="90"/>
    </row>
    <row r="517" ht="15.75" customHeight="1">
      <c r="A517" s="110"/>
      <c r="B517" s="114"/>
      <c r="C517" s="112"/>
      <c r="D517" s="112"/>
      <c r="E517" s="109" t="str">
        <f t="shared" si="1"/>
        <v/>
      </c>
      <c r="J517" s="90"/>
    </row>
    <row r="518" ht="15.75" customHeight="1">
      <c r="A518" s="110"/>
      <c r="B518" s="114"/>
      <c r="C518" s="112"/>
      <c r="D518" s="112"/>
      <c r="E518" s="109" t="str">
        <f t="shared" si="1"/>
        <v/>
      </c>
      <c r="J518" s="90"/>
    </row>
    <row r="519" ht="15.75" customHeight="1">
      <c r="A519" s="110"/>
      <c r="B519" s="114"/>
      <c r="C519" s="112"/>
      <c r="D519" s="112"/>
      <c r="E519" s="109" t="str">
        <f t="shared" si="1"/>
        <v/>
      </c>
      <c r="J519" s="90"/>
    </row>
    <row r="520" ht="15.75" customHeight="1">
      <c r="A520" s="110"/>
      <c r="B520" s="114"/>
      <c r="C520" s="112"/>
      <c r="D520" s="112"/>
      <c r="E520" s="109" t="str">
        <f t="shared" si="1"/>
        <v/>
      </c>
      <c r="J520" s="90"/>
    </row>
    <row r="521" ht="15.75" customHeight="1">
      <c r="A521" s="110"/>
      <c r="B521" s="114"/>
      <c r="C521" s="112"/>
      <c r="D521" s="112"/>
      <c r="E521" s="109" t="str">
        <f t="shared" si="1"/>
        <v/>
      </c>
      <c r="J521" s="90"/>
    </row>
    <row r="522" ht="15.75" customHeight="1">
      <c r="A522" s="110"/>
      <c r="B522" s="114"/>
      <c r="C522" s="112"/>
      <c r="D522" s="112"/>
      <c r="E522" s="109" t="str">
        <f t="shared" si="1"/>
        <v/>
      </c>
      <c r="J522" s="90"/>
    </row>
    <row r="523" ht="15.75" customHeight="1">
      <c r="A523" s="110"/>
      <c r="B523" s="114"/>
      <c r="C523" s="112"/>
      <c r="D523" s="112"/>
      <c r="E523" s="109" t="str">
        <f t="shared" si="1"/>
        <v/>
      </c>
      <c r="J523" s="90"/>
    </row>
    <row r="524" ht="15.75" customHeight="1">
      <c r="A524" s="110"/>
      <c r="B524" s="114"/>
      <c r="C524" s="112"/>
      <c r="D524" s="112"/>
      <c r="E524" s="109" t="str">
        <f t="shared" si="1"/>
        <v/>
      </c>
      <c r="J524" s="90"/>
    </row>
    <row r="525" ht="15.75" customHeight="1">
      <c r="A525" s="110"/>
      <c r="B525" s="114"/>
      <c r="C525" s="112"/>
      <c r="D525" s="112"/>
      <c r="E525" s="109" t="str">
        <f t="shared" si="1"/>
        <v/>
      </c>
      <c r="J525" s="90"/>
    </row>
    <row r="526" ht="15.75" customHeight="1">
      <c r="A526" s="110"/>
      <c r="B526" s="114"/>
      <c r="C526" s="112"/>
      <c r="D526" s="112"/>
      <c r="E526" s="109" t="str">
        <f t="shared" si="1"/>
        <v/>
      </c>
      <c r="J526" s="90"/>
    </row>
    <row r="527" ht="15.75" customHeight="1">
      <c r="A527" s="110"/>
      <c r="B527" s="114"/>
      <c r="C527" s="112"/>
      <c r="D527" s="112"/>
      <c r="E527" s="109" t="str">
        <f t="shared" si="1"/>
        <v/>
      </c>
      <c r="J527" s="90"/>
    </row>
    <row r="528" ht="15.75" customHeight="1">
      <c r="A528" s="110"/>
      <c r="B528" s="114"/>
      <c r="C528" s="112"/>
      <c r="D528" s="112"/>
      <c r="E528" s="109" t="str">
        <f t="shared" si="1"/>
        <v/>
      </c>
      <c r="J528" s="90"/>
    </row>
    <row r="529" ht="15.75" customHeight="1">
      <c r="A529" s="110"/>
      <c r="B529" s="114"/>
      <c r="C529" s="112"/>
      <c r="D529" s="112"/>
      <c r="E529" s="109" t="str">
        <f t="shared" si="1"/>
        <v/>
      </c>
      <c r="J529" s="90"/>
    </row>
    <row r="530" ht="15.75" customHeight="1">
      <c r="A530" s="110"/>
      <c r="B530" s="114"/>
      <c r="C530" s="112"/>
      <c r="D530" s="112"/>
      <c r="E530" s="109" t="str">
        <f t="shared" si="1"/>
        <v/>
      </c>
      <c r="J530" s="90"/>
    </row>
    <row r="531" ht="15.75" customHeight="1">
      <c r="A531" s="110"/>
      <c r="B531" s="114"/>
      <c r="C531" s="112"/>
      <c r="D531" s="112"/>
      <c r="E531" s="109" t="str">
        <f t="shared" si="1"/>
        <v/>
      </c>
      <c r="J531" s="90"/>
    </row>
    <row r="532" ht="15.75" customHeight="1">
      <c r="A532" s="110"/>
      <c r="B532" s="114"/>
      <c r="C532" s="112"/>
      <c r="D532" s="112"/>
      <c r="E532" s="109" t="str">
        <f t="shared" si="1"/>
        <v/>
      </c>
      <c r="J532" s="90"/>
    </row>
    <row r="533" ht="15.75" customHeight="1">
      <c r="A533" s="110"/>
      <c r="B533" s="114"/>
      <c r="C533" s="112"/>
      <c r="D533" s="112"/>
      <c r="E533" s="109" t="str">
        <f t="shared" si="1"/>
        <v/>
      </c>
      <c r="J533" s="90"/>
    </row>
    <row r="534" ht="15.75" customHeight="1">
      <c r="A534" s="110"/>
      <c r="B534" s="114"/>
      <c r="C534" s="112"/>
      <c r="D534" s="112"/>
      <c r="E534" s="109" t="str">
        <f t="shared" si="1"/>
        <v/>
      </c>
      <c r="J534" s="90"/>
    </row>
    <row r="535" ht="15.75" customHeight="1">
      <c r="A535" s="110"/>
      <c r="B535" s="114"/>
      <c r="C535" s="112"/>
      <c r="D535" s="112"/>
      <c r="E535" s="109" t="str">
        <f t="shared" si="1"/>
        <v/>
      </c>
      <c r="J535" s="90"/>
    </row>
    <row r="536" ht="15.75" customHeight="1">
      <c r="A536" s="110"/>
      <c r="B536" s="114"/>
      <c r="C536" s="112"/>
      <c r="D536" s="112"/>
      <c r="E536" s="109" t="str">
        <f t="shared" si="1"/>
        <v/>
      </c>
      <c r="J536" s="90"/>
    </row>
    <row r="537" ht="15.75" customHeight="1">
      <c r="A537" s="110"/>
      <c r="B537" s="114"/>
      <c r="C537" s="112"/>
      <c r="D537" s="112"/>
      <c r="E537" s="109" t="str">
        <f t="shared" si="1"/>
        <v/>
      </c>
      <c r="J537" s="90"/>
    </row>
    <row r="538" ht="15.75" customHeight="1">
      <c r="A538" s="110"/>
      <c r="B538" s="114"/>
      <c r="C538" s="112"/>
      <c r="D538" s="112"/>
      <c r="E538" s="109" t="str">
        <f t="shared" si="1"/>
        <v/>
      </c>
      <c r="J538" s="90"/>
    </row>
    <row r="539" ht="15.75" customHeight="1">
      <c r="A539" s="110"/>
      <c r="B539" s="114"/>
      <c r="C539" s="112"/>
      <c r="D539" s="112"/>
      <c r="E539" s="109" t="str">
        <f t="shared" si="1"/>
        <v/>
      </c>
      <c r="J539" s="90"/>
    </row>
    <row r="540" ht="15.75" customHeight="1">
      <c r="A540" s="110"/>
      <c r="B540" s="114"/>
      <c r="C540" s="112"/>
      <c r="D540" s="112"/>
      <c r="E540" s="109" t="str">
        <f t="shared" si="1"/>
        <v/>
      </c>
      <c r="J540" s="90"/>
    </row>
    <row r="541" ht="15.75" customHeight="1">
      <c r="A541" s="110"/>
      <c r="B541" s="114"/>
      <c r="C541" s="112"/>
      <c r="D541" s="112"/>
      <c r="E541" s="109" t="str">
        <f t="shared" si="1"/>
        <v/>
      </c>
      <c r="J541" s="90"/>
    </row>
    <row r="542" ht="15.75" customHeight="1">
      <c r="A542" s="110"/>
      <c r="B542" s="114"/>
      <c r="C542" s="112"/>
      <c r="D542" s="112"/>
      <c r="E542" s="109" t="str">
        <f t="shared" si="1"/>
        <v/>
      </c>
      <c r="J542" s="90"/>
    </row>
    <row r="543" ht="15.75" customHeight="1">
      <c r="A543" s="110"/>
      <c r="B543" s="114"/>
      <c r="C543" s="112"/>
      <c r="D543" s="112"/>
      <c r="E543" s="109" t="str">
        <f t="shared" si="1"/>
        <v/>
      </c>
      <c r="J543" s="90"/>
    </row>
    <row r="544" ht="15.75" customHeight="1">
      <c r="A544" s="110"/>
      <c r="B544" s="114"/>
      <c r="C544" s="112"/>
      <c r="D544" s="112"/>
      <c r="E544" s="109" t="str">
        <f t="shared" si="1"/>
        <v/>
      </c>
      <c r="J544" s="90"/>
    </row>
    <row r="545" ht="15.75" customHeight="1">
      <c r="A545" s="110"/>
      <c r="B545" s="114"/>
      <c r="C545" s="112"/>
      <c r="D545" s="112"/>
      <c r="E545" s="109" t="str">
        <f t="shared" si="1"/>
        <v/>
      </c>
      <c r="J545" s="90"/>
    </row>
    <row r="546" ht="15.75" customHeight="1">
      <c r="A546" s="110"/>
      <c r="B546" s="114"/>
      <c r="C546" s="112"/>
      <c r="D546" s="112"/>
      <c r="E546" s="109" t="str">
        <f t="shared" si="1"/>
        <v/>
      </c>
      <c r="J546" s="90"/>
    </row>
    <row r="547" ht="15.75" customHeight="1">
      <c r="A547" s="110"/>
      <c r="B547" s="114"/>
      <c r="C547" s="112"/>
      <c r="D547" s="112"/>
      <c r="E547" s="109" t="str">
        <f t="shared" si="1"/>
        <v/>
      </c>
      <c r="J547" s="90"/>
    </row>
    <row r="548" ht="15.75" customHeight="1">
      <c r="A548" s="110"/>
      <c r="B548" s="114"/>
      <c r="C548" s="112"/>
      <c r="D548" s="112"/>
      <c r="E548" s="109" t="str">
        <f t="shared" si="1"/>
        <v/>
      </c>
      <c r="J548" s="90"/>
    </row>
    <row r="549" ht="15.75" customHeight="1">
      <c r="A549" s="110"/>
      <c r="B549" s="114"/>
      <c r="C549" s="112"/>
      <c r="D549" s="112"/>
      <c r="E549" s="109" t="str">
        <f t="shared" si="1"/>
        <v/>
      </c>
      <c r="J549" s="90"/>
    </row>
    <row r="550" ht="15.75" customHeight="1">
      <c r="A550" s="110"/>
      <c r="B550" s="114"/>
      <c r="C550" s="112"/>
      <c r="D550" s="112"/>
      <c r="E550" s="109" t="str">
        <f t="shared" si="1"/>
        <v/>
      </c>
      <c r="J550" s="90"/>
    </row>
    <row r="551" ht="15.75" customHeight="1">
      <c r="A551" s="110"/>
      <c r="B551" s="114"/>
      <c r="C551" s="112"/>
      <c r="D551" s="112"/>
      <c r="E551" s="109" t="str">
        <f t="shared" si="1"/>
        <v/>
      </c>
      <c r="J551" s="90"/>
    </row>
    <row r="552" ht="15.75" customHeight="1">
      <c r="A552" s="110"/>
      <c r="B552" s="114"/>
      <c r="C552" s="112"/>
      <c r="D552" s="112"/>
      <c r="E552" s="109" t="str">
        <f t="shared" si="1"/>
        <v/>
      </c>
      <c r="J552" s="90"/>
    </row>
    <row r="553" ht="15.75" customHeight="1">
      <c r="A553" s="110"/>
      <c r="B553" s="114"/>
      <c r="C553" s="112"/>
      <c r="D553" s="112"/>
      <c r="E553" s="109" t="str">
        <f t="shared" si="1"/>
        <v/>
      </c>
      <c r="J553" s="90"/>
    </row>
    <row r="554" ht="15.75" customHeight="1">
      <c r="A554" s="110"/>
      <c r="B554" s="114"/>
      <c r="C554" s="112"/>
      <c r="D554" s="112"/>
      <c r="E554" s="109" t="str">
        <f t="shared" si="1"/>
        <v/>
      </c>
      <c r="J554" s="90"/>
    </row>
    <row r="555" ht="15.75" customHeight="1">
      <c r="A555" s="110"/>
      <c r="B555" s="114"/>
      <c r="C555" s="112"/>
      <c r="D555" s="112"/>
      <c r="E555" s="109" t="str">
        <f t="shared" si="1"/>
        <v/>
      </c>
      <c r="J555" s="90"/>
    </row>
    <row r="556" ht="15.75" customHeight="1">
      <c r="A556" s="110"/>
      <c r="B556" s="114"/>
      <c r="C556" s="112"/>
      <c r="D556" s="112"/>
      <c r="E556" s="109" t="str">
        <f t="shared" si="1"/>
        <v/>
      </c>
      <c r="J556" s="90"/>
    </row>
    <row r="557" ht="15.75" customHeight="1">
      <c r="A557" s="110"/>
      <c r="B557" s="114"/>
      <c r="C557" s="112"/>
      <c r="D557" s="112"/>
      <c r="E557" s="109" t="str">
        <f t="shared" si="1"/>
        <v/>
      </c>
      <c r="J557" s="90"/>
    </row>
    <row r="558" ht="15.75" customHeight="1">
      <c r="A558" s="110"/>
      <c r="B558" s="114"/>
      <c r="C558" s="112"/>
      <c r="D558" s="112"/>
      <c r="E558" s="109" t="str">
        <f t="shared" si="1"/>
        <v/>
      </c>
      <c r="J558" s="90"/>
    </row>
    <row r="559" ht="15.75" customHeight="1">
      <c r="A559" s="110"/>
      <c r="B559" s="114"/>
      <c r="C559" s="112"/>
      <c r="D559" s="112"/>
      <c r="E559" s="109" t="str">
        <f t="shared" si="1"/>
        <v/>
      </c>
      <c r="J559" s="90"/>
    </row>
    <row r="560" ht="15.75" customHeight="1">
      <c r="A560" s="110"/>
      <c r="B560" s="114"/>
      <c r="C560" s="112"/>
      <c r="D560" s="112"/>
      <c r="E560" s="109" t="str">
        <f t="shared" si="1"/>
        <v/>
      </c>
      <c r="J560" s="90"/>
    </row>
    <row r="561" ht="15.75" customHeight="1">
      <c r="A561" s="110"/>
      <c r="B561" s="114"/>
      <c r="C561" s="112"/>
      <c r="D561" s="112"/>
      <c r="E561" s="109" t="str">
        <f t="shared" si="1"/>
        <v/>
      </c>
      <c r="J561" s="90"/>
    </row>
    <row r="562" ht="15.75" customHeight="1">
      <c r="A562" s="110"/>
      <c r="B562" s="114"/>
      <c r="C562" s="112"/>
      <c r="D562" s="112"/>
      <c r="E562" s="109" t="str">
        <f t="shared" si="1"/>
        <v/>
      </c>
      <c r="J562" s="90"/>
    </row>
    <row r="563" ht="15.75" customHeight="1">
      <c r="A563" s="110"/>
      <c r="B563" s="114"/>
      <c r="C563" s="112"/>
      <c r="D563" s="112"/>
      <c r="E563" s="109" t="str">
        <f t="shared" si="1"/>
        <v/>
      </c>
      <c r="J563" s="90"/>
    </row>
    <row r="564" ht="15.75" customHeight="1">
      <c r="A564" s="110"/>
      <c r="B564" s="114"/>
      <c r="C564" s="112"/>
      <c r="D564" s="112"/>
      <c r="E564" s="109" t="str">
        <f t="shared" si="1"/>
        <v/>
      </c>
      <c r="J564" s="90"/>
    </row>
    <row r="565" ht="15.75" customHeight="1">
      <c r="A565" s="110"/>
      <c r="B565" s="114"/>
      <c r="C565" s="112"/>
      <c r="D565" s="112"/>
      <c r="E565" s="109" t="str">
        <f t="shared" si="1"/>
        <v/>
      </c>
      <c r="J565" s="90"/>
    </row>
    <row r="566" ht="15.75" customHeight="1">
      <c r="A566" s="110"/>
      <c r="B566" s="114"/>
      <c r="C566" s="112"/>
      <c r="D566" s="112"/>
      <c r="E566" s="109" t="str">
        <f t="shared" si="1"/>
        <v/>
      </c>
      <c r="J566" s="90"/>
    </row>
    <row r="567" ht="15.75" customHeight="1">
      <c r="A567" s="110"/>
      <c r="B567" s="114"/>
      <c r="C567" s="112"/>
      <c r="D567" s="112"/>
      <c r="E567" s="109" t="str">
        <f t="shared" si="1"/>
        <v/>
      </c>
      <c r="J567" s="90"/>
    </row>
    <row r="568" ht="15.75" customHeight="1">
      <c r="A568" s="110"/>
      <c r="B568" s="114"/>
      <c r="C568" s="112"/>
      <c r="D568" s="112"/>
      <c r="E568" s="109" t="str">
        <f t="shared" si="1"/>
        <v/>
      </c>
      <c r="J568" s="90"/>
    </row>
    <row r="569" ht="15.75" customHeight="1">
      <c r="A569" s="110"/>
      <c r="B569" s="114"/>
      <c r="C569" s="112"/>
      <c r="D569" s="112"/>
      <c r="E569" s="109" t="str">
        <f t="shared" si="1"/>
        <v/>
      </c>
      <c r="J569" s="90"/>
    </row>
    <row r="570" ht="15.75" customHeight="1">
      <c r="A570" s="110"/>
      <c r="B570" s="114"/>
      <c r="C570" s="112"/>
      <c r="D570" s="112"/>
      <c r="E570" s="109" t="str">
        <f t="shared" si="1"/>
        <v/>
      </c>
      <c r="J570" s="90"/>
    </row>
    <row r="571" ht="15.75" customHeight="1">
      <c r="A571" s="110"/>
      <c r="B571" s="114"/>
      <c r="C571" s="112"/>
      <c r="D571" s="112"/>
      <c r="E571" s="109" t="str">
        <f t="shared" si="1"/>
        <v/>
      </c>
      <c r="J571" s="90"/>
    </row>
    <row r="572" ht="15.75" customHeight="1">
      <c r="A572" s="110"/>
      <c r="B572" s="114"/>
      <c r="C572" s="112"/>
      <c r="D572" s="112"/>
      <c r="E572" s="109" t="str">
        <f t="shared" si="1"/>
        <v/>
      </c>
      <c r="J572" s="90"/>
    </row>
    <row r="573" ht="15.75" customHeight="1">
      <c r="A573" s="110"/>
      <c r="B573" s="114"/>
      <c r="C573" s="112"/>
      <c r="D573" s="112"/>
      <c r="E573" s="109" t="str">
        <f t="shared" si="1"/>
        <v/>
      </c>
      <c r="J573" s="90"/>
    </row>
    <row r="574" ht="15.75" customHeight="1">
      <c r="A574" s="110"/>
      <c r="B574" s="114"/>
      <c r="C574" s="112"/>
      <c r="D574" s="112"/>
      <c r="E574" s="109" t="str">
        <f t="shared" si="1"/>
        <v/>
      </c>
      <c r="J574" s="90"/>
    </row>
    <row r="575" ht="15.75" customHeight="1">
      <c r="A575" s="110"/>
      <c r="B575" s="114"/>
      <c r="C575" s="112"/>
      <c r="D575" s="112"/>
      <c r="E575" s="109" t="str">
        <f t="shared" si="1"/>
        <v/>
      </c>
      <c r="J575" s="90"/>
    </row>
    <row r="576" ht="15.75" customHeight="1">
      <c r="A576" s="110"/>
      <c r="B576" s="114"/>
      <c r="C576" s="112"/>
      <c r="D576" s="112"/>
      <c r="E576" s="109" t="str">
        <f t="shared" si="1"/>
        <v/>
      </c>
      <c r="J576" s="90"/>
    </row>
    <row r="577" ht="15.75" customHeight="1">
      <c r="A577" s="110"/>
      <c r="B577" s="114"/>
      <c r="C577" s="112"/>
      <c r="D577" s="112"/>
      <c r="E577" s="109" t="str">
        <f t="shared" si="1"/>
        <v/>
      </c>
      <c r="J577" s="90"/>
    </row>
    <row r="578" ht="15.75" customHeight="1">
      <c r="A578" s="110"/>
      <c r="B578" s="114"/>
      <c r="C578" s="112"/>
      <c r="D578" s="112"/>
      <c r="E578" s="109" t="str">
        <f t="shared" si="1"/>
        <v/>
      </c>
      <c r="J578" s="90"/>
    </row>
    <row r="579" ht="15.75" customHeight="1">
      <c r="A579" s="110"/>
      <c r="B579" s="114"/>
      <c r="C579" s="112"/>
      <c r="D579" s="112"/>
      <c r="E579" s="109" t="str">
        <f t="shared" si="1"/>
        <v/>
      </c>
      <c r="J579" s="90"/>
    </row>
    <row r="580" ht="15.75" customHeight="1">
      <c r="A580" s="110"/>
      <c r="B580" s="114"/>
      <c r="C580" s="112"/>
      <c r="D580" s="112"/>
      <c r="E580" s="109" t="str">
        <f t="shared" si="1"/>
        <v/>
      </c>
      <c r="J580" s="90"/>
    </row>
    <row r="581" ht="15.75" customHeight="1">
      <c r="A581" s="110"/>
      <c r="B581" s="114"/>
      <c r="C581" s="112"/>
      <c r="D581" s="112"/>
      <c r="E581" s="109" t="str">
        <f t="shared" si="1"/>
        <v/>
      </c>
      <c r="J581" s="90"/>
    </row>
    <row r="582" ht="15.75" customHeight="1">
      <c r="A582" s="110"/>
      <c r="B582" s="114"/>
      <c r="C582" s="112"/>
      <c r="D582" s="112"/>
      <c r="E582" s="109" t="str">
        <f t="shared" si="1"/>
        <v/>
      </c>
      <c r="J582" s="90"/>
    </row>
    <row r="583" ht="15.75" customHeight="1">
      <c r="A583" s="110"/>
      <c r="B583" s="114"/>
      <c r="C583" s="112"/>
      <c r="D583" s="112"/>
      <c r="E583" s="109" t="str">
        <f t="shared" si="1"/>
        <v/>
      </c>
      <c r="J583" s="90"/>
    </row>
    <row r="584" ht="15.75" customHeight="1">
      <c r="A584" s="110"/>
      <c r="B584" s="114"/>
      <c r="C584" s="112"/>
      <c r="D584" s="112"/>
      <c r="E584" s="109" t="str">
        <f t="shared" si="1"/>
        <v/>
      </c>
      <c r="J584" s="90"/>
    </row>
    <row r="585" ht="15.75" customHeight="1">
      <c r="A585" s="110"/>
      <c r="B585" s="114"/>
      <c r="C585" s="112"/>
      <c r="D585" s="112"/>
      <c r="E585" s="109" t="str">
        <f t="shared" si="1"/>
        <v/>
      </c>
      <c r="J585" s="90"/>
    </row>
    <row r="586" ht="15.75" customHeight="1">
      <c r="A586" s="110"/>
      <c r="B586" s="114"/>
      <c r="C586" s="112"/>
      <c r="D586" s="112"/>
      <c r="E586" s="109" t="str">
        <f t="shared" si="1"/>
        <v/>
      </c>
      <c r="J586" s="90"/>
    </row>
    <row r="587" ht="15.75" customHeight="1">
      <c r="A587" s="110"/>
      <c r="B587" s="114"/>
      <c r="C587" s="112"/>
      <c r="D587" s="112"/>
      <c r="E587" s="109" t="str">
        <f t="shared" si="1"/>
        <v/>
      </c>
      <c r="J587" s="90"/>
    </row>
    <row r="588" ht="15.75" customHeight="1">
      <c r="A588" s="110"/>
      <c r="B588" s="114"/>
      <c r="C588" s="112"/>
      <c r="D588" s="112"/>
      <c r="E588" s="109" t="str">
        <f t="shared" si="1"/>
        <v/>
      </c>
      <c r="J588" s="90"/>
    </row>
    <row r="589" ht="15.75" customHeight="1">
      <c r="A589" s="110"/>
      <c r="B589" s="114"/>
      <c r="C589" s="112"/>
      <c r="D589" s="112"/>
      <c r="E589" s="109" t="str">
        <f t="shared" si="1"/>
        <v/>
      </c>
      <c r="J589" s="90"/>
    </row>
    <row r="590" ht="15.75" customHeight="1">
      <c r="A590" s="110"/>
      <c r="B590" s="114"/>
      <c r="C590" s="112"/>
      <c r="D590" s="112"/>
      <c r="E590" s="109" t="str">
        <f t="shared" si="1"/>
        <v/>
      </c>
      <c r="J590" s="90"/>
    </row>
    <row r="591" ht="15.75" customHeight="1">
      <c r="A591" s="110"/>
      <c r="B591" s="114"/>
      <c r="C591" s="112"/>
      <c r="D591" s="112"/>
      <c r="E591" s="109" t="str">
        <f t="shared" si="1"/>
        <v/>
      </c>
      <c r="J591" s="90"/>
    </row>
    <row r="592" ht="15.75" customHeight="1">
      <c r="A592" s="110"/>
      <c r="B592" s="114"/>
      <c r="C592" s="112"/>
      <c r="D592" s="112"/>
      <c r="E592" s="109" t="str">
        <f t="shared" si="1"/>
        <v/>
      </c>
      <c r="J592" s="90"/>
    </row>
    <row r="593" ht="15.75" customHeight="1">
      <c r="A593" s="110"/>
      <c r="B593" s="114"/>
      <c r="C593" s="112"/>
      <c r="D593" s="112"/>
      <c r="E593" s="109" t="str">
        <f t="shared" si="1"/>
        <v/>
      </c>
      <c r="J593" s="90"/>
    </row>
    <row r="594" ht="15.75" customHeight="1">
      <c r="A594" s="110"/>
      <c r="B594" s="114"/>
      <c r="C594" s="112"/>
      <c r="D594" s="112"/>
      <c r="E594" s="109" t="str">
        <f t="shared" si="1"/>
        <v/>
      </c>
      <c r="J594" s="90"/>
    </row>
    <row r="595" ht="15.75" customHeight="1">
      <c r="A595" s="110"/>
      <c r="B595" s="114"/>
      <c r="C595" s="112"/>
      <c r="D595" s="112"/>
      <c r="E595" s="109" t="str">
        <f t="shared" si="1"/>
        <v/>
      </c>
      <c r="J595" s="90"/>
    </row>
    <row r="596" ht="15.75" customHeight="1">
      <c r="A596" s="110"/>
      <c r="B596" s="114"/>
      <c r="C596" s="112"/>
      <c r="D596" s="112"/>
      <c r="E596" s="109" t="str">
        <f t="shared" si="1"/>
        <v/>
      </c>
      <c r="J596" s="90"/>
    </row>
    <row r="597" ht="15.75" customHeight="1">
      <c r="A597" s="110"/>
      <c r="B597" s="114"/>
      <c r="C597" s="112"/>
      <c r="D597" s="112"/>
      <c r="E597" s="109" t="str">
        <f t="shared" si="1"/>
        <v/>
      </c>
      <c r="J597" s="90"/>
    </row>
    <row r="598" ht="15.75" customHeight="1">
      <c r="A598" s="110"/>
      <c r="B598" s="114"/>
      <c r="C598" s="112"/>
      <c r="D598" s="112"/>
      <c r="E598" s="109" t="str">
        <f t="shared" si="1"/>
        <v/>
      </c>
      <c r="J598" s="90"/>
    </row>
    <row r="599" ht="15.75" customHeight="1">
      <c r="A599" s="110"/>
      <c r="B599" s="114"/>
      <c r="C599" s="112"/>
      <c r="D599" s="112"/>
      <c r="E599" s="109" t="str">
        <f t="shared" si="1"/>
        <v/>
      </c>
      <c r="J599" s="90"/>
    </row>
    <row r="600" ht="15.75" customHeight="1">
      <c r="A600" s="110"/>
      <c r="B600" s="114"/>
      <c r="C600" s="112"/>
      <c r="D600" s="112"/>
      <c r="E600" s="109" t="str">
        <f t="shared" si="1"/>
        <v/>
      </c>
      <c r="J600" s="90"/>
    </row>
    <row r="601" ht="15.75" customHeight="1">
      <c r="A601" s="110"/>
      <c r="B601" s="114"/>
      <c r="C601" s="112"/>
      <c r="D601" s="112"/>
      <c r="E601" s="109" t="str">
        <f t="shared" si="1"/>
        <v/>
      </c>
      <c r="J601" s="90"/>
    </row>
    <row r="602" ht="15.75" customHeight="1">
      <c r="A602" s="110"/>
      <c r="B602" s="114"/>
      <c r="C602" s="112"/>
      <c r="D602" s="112"/>
      <c r="E602" s="109" t="str">
        <f t="shared" si="1"/>
        <v/>
      </c>
      <c r="J602" s="90"/>
    </row>
    <row r="603" ht="15.75" customHeight="1">
      <c r="A603" s="110"/>
      <c r="B603" s="114"/>
      <c r="C603" s="112"/>
      <c r="D603" s="112"/>
      <c r="E603" s="109" t="str">
        <f t="shared" si="1"/>
        <v/>
      </c>
      <c r="J603" s="90"/>
    </row>
    <row r="604" ht="15.75" customHeight="1">
      <c r="A604" s="110"/>
      <c r="B604" s="114"/>
      <c r="C604" s="112"/>
      <c r="D604" s="112"/>
      <c r="E604" s="109" t="str">
        <f t="shared" si="1"/>
        <v/>
      </c>
      <c r="J604" s="90"/>
    </row>
    <row r="605" ht="15.75" customHeight="1">
      <c r="A605" s="110"/>
      <c r="B605" s="114"/>
      <c r="C605" s="112"/>
      <c r="D605" s="112"/>
      <c r="E605" s="109" t="str">
        <f t="shared" si="1"/>
        <v/>
      </c>
      <c r="J605" s="90"/>
    </row>
    <row r="606" ht="15.75" customHeight="1">
      <c r="A606" s="110"/>
      <c r="B606" s="114"/>
      <c r="C606" s="112"/>
      <c r="D606" s="112"/>
      <c r="E606" s="109" t="str">
        <f t="shared" si="1"/>
        <v/>
      </c>
      <c r="J606" s="90"/>
    </row>
    <row r="607" ht="15.75" customHeight="1">
      <c r="A607" s="110"/>
      <c r="B607" s="114"/>
      <c r="C607" s="112"/>
      <c r="D607" s="112"/>
      <c r="E607" s="109" t="str">
        <f t="shared" si="1"/>
        <v/>
      </c>
      <c r="J607" s="90"/>
    </row>
    <row r="608" ht="15.75" customHeight="1">
      <c r="A608" s="110"/>
      <c r="B608" s="114"/>
      <c r="C608" s="112"/>
      <c r="D608" s="112"/>
      <c r="E608" s="109" t="str">
        <f t="shared" si="1"/>
        <v/>
      </c>
      <c r="J608" s="90"/>
    </row>
    <row r="609" ht="15.75" customHeight="1">
      <c r="A609" s="110"/>
      <c r="B609" s="114"/>
      <c r="C609" s="112"/>
      <c r="D609" s="112"/>
      <c r="E609" s="109" t="str">
        <f t="shared" si="1"/>
        <v/>
      </c>
      <c r="J609" s="90"/>
    </row>
    <row r="610" ht="15.75" customHeight="1">
      <c r="A610" s="110"/>
      <c r="B610" s="114"/>
      <c r="C610" s="112"/>
      <c r="D610" s="112"/>
      <c r="E610" s="109" t="str">
        <f t="shared" si="1"/>
        <v/>
      </c>
      <c r="J610" s="90"/>
    </row>
    <row r="611" ht="15.75" customHeight="1">
      <c r="A611" s="110"/>
      <c r="B611" s="114"/>
      <c r="C611" s="112"/>
      <c r="D611" s="112"/>
      <c r="E611" s="109" t="str">
        <f t="shared" si="1"/>
        <v/>
      </c>
      <c r="J611" s="90"/>
    </row>
    <row r="612" ht="15.75" customHeight="1">
      <c r="A612" s="110"/>
      <c r="B612" s="114"/>
      <c r="C612" s="112"/>
      <c r="D612" s="112"/>
      <c r="E612" s="109" t="str">
        <f t="shared" si="1"/>
        <v/>
      </c>
      <c r="J612" s="90"/>
    </row>
    <row r="613" ht="15.75" customHeight="1">
      <c r="A613" s="110"/>
      <c r="B613" s="114"/>
      <c r="C613" s="112"/>
      <c r="D613" s="112"/>
      <c r="E613" s="109" t="str">
        <f t="shared" si="1"/>
        <v/>
      </c>
      <c r="J613" s="90"/>
    </row>
    <row r="614" ht="15.75" customHeight="1">
      <c r="A614" s="110"/>
      <c r="B614" s="114"/>
      <c r="C614" s="112"/>
      <c r="D614" s="112"/>
      <c r="E614" s="109" t="str">
        <f t="shared" si="1"/>
        <v/>
      </c>
      <c r="J614" s="90"/>
    </row>
    <row r="615" ht="15.75" customHeight="1">
      <c r="A615" s="110"/>
      <c r="B615" s="114"/>
      <c r="C615" s="112"/>
      <c r="D615" s="112"/>
      <c r="E615" s="109" t="str">
        <f t="shared" si="1"/>
        <v/>
      </c>
      <c r="J615" s="90"/>
    </row>
    <row r="616" ht="15.75" customHeight="1">
      <c r="A616" s="110"/>
      <c r="B616" s="114"/>
      <c r="C616" s="112"/>
      <c r="D616" s="112"/>
      <c r="E616" s="109" t="str">
        <f t="shared" si="1"/>
        <v/>
      </c>
      <c r="J616" s="90"/>
    </row>
    <row r="617" ht="15.75" customHeight="1">
      <c r="A617" s="110"/>
      <c r="B617" s="114"/>
      <c r="C617" s="112"/>
      <c r="D617" s="112"/>
      <c r="E617" s="109" t="str">
        <f t="shared" si="1"/>
        <v/>
      </c>
      <c r="J617" s="90"/>
    </row>
    <row r="618" ht="15.75" customHeight="1">
      <c r="A618" s="110"/>
      <c r="B618" s="114"/>
      <c r="C618" s="112"/>
      <c r="D618" s="112"/>
      <c r="E618" s="109" t="str">
        <f t="shared" si="1"/>
        <v/>
      </c>
      <c r="J618" s="90"/>
    </row>
    <row r="619" ht="15.75" customHeight="1">
      <c r="A619" s="110"/>
      <c r="B619" s="114"/>
      <c r="C619" s="112"/>
      <c r="D619" s="112"/>
      <c r="E619" s="109" t="str">
        <f t="shared" si="1"/>
        <v/>
      </c>
      <c r="J619" s="90"/>
    </row>
    <row r="620" ht="15.75" customHeight="1">
      <c r="A620" s="110"/>
      <c r="B620" s="114"/>
      <c r="C620" s="112"/>
      <c r="D620" s="112"/>
      <c r="E620" s="109" t="str">
        <f t="shared" si="1"/>
        <v/>
      </c>
      <c r="J620" s="90"/>
    </row>
    <row r="621" ht="15.75" customHeight="1">
      <c r="A621" s="110"/>
      <c r="B621" s="114"/>
      <c r="C621" s="112"/>
      <c r="D621" s="112"/>
      <c r="E621" s="109" t="str">
        <f t="shared" si="1"/>
        <v/>
      </c>
      <c r="J621" s="90"/>
    </row>
    <row r="622" ht="15.75" customHeight="1">
      <c r="A622" s="110"/>
      <c r="B622" s="114"/>
      <c r="C622" s="112"/>
      <c r="D622" s="112"/>
      <c r="E622" s="109" t="str">
        <f t="shared" si="1"/>
        <v/>
      </c>
      <c r="J622" s="90"/>
    </row>
    <row r="623" ht="15.75" customHeight="1">
      <c r="A623" s="110"/>
      <c r="B623" s="114"/>
      <c r="C623" s="112"/>
      <c r="D623" s="112"/>
      <c r="E623" s="109" t="str">
        <f t="shared" si="1"/>
        <v/>
      </c>
      <c r="J623" s="90"/>
    </row>
    <row r="624" ht="15.75" customHeight="1">
      <c r="A624" s="110"/>
      <c r="B624" s="114"/>
      <c r="C624" s="112"/>
      <c r="D624" s="112"/>
      <c r="E624" s="109" t="str">
        <f t="shared" si="1"/>
        <v/>
      </c>
      <c r="J624" s="90"/>
    </row>
    <row r="625" ht="15.75" customHeight="1">
      <c r="A625" s="110"/>
      <c r="B625" s="114"/>
      <c r="C625" s="112"/>
      <c r="D625" s="112"/>
      <c r="E625" s="109" t="str">
        <f t="shared" si="1"/>
        <v/>
      </c>
      <c r="J625" s="90"/>
    </row>
    <row r="626" ht="15.75" customHeight="1">
      <c r="A626" s="110"/>
      <c r="B626" s="114"/>
      <c r="C626" s="112"/>
      <c r="D626" s="112"/>
      <c r="E626" s="109" t="str">
        <f t="shared" si="1"/>
        <v/>
      </c>
      <c r="J626" s="90"/>
    </row>
    <row r="627" ht="15.75" customHeight="1">
      <c r="A627" s="110"/>
      <c r="B627" s="114"/>
      <c r="C627" s="112"/>
      <c r="D627" s="112"/>
      <c r="E627" s="109" t="str">
        <f t="shared" si="1"/>
        <v/>
      </c>
      <c r="J627" s="90"/>
    </row>
    <row r="628" ht="15.75" customHeight="1">
      <c r="A628" s="110"/>
      <c r="B628" s="114"/>
      <c r="C628" s="112"/>
      <c r="D628" s="112"/>
      <c r="E628" s="109" t="str">
        <f t="shared" si="1"/>
        <v/>
      </c>
      <c r="J628" s="90"/>
    </row>
    <row r="629" ht="15.75" customHeight="1">
      <c r="A629" s="110"/>
      <c r="B629" s="114"/>
      <c r="C629" s="112"/>
      <c r="D629" s="112"/>
      <c r="E629" s="109" t="str">
        <f t="shared" si="1"/>
        <v/>
      </c>
      <c r="J629" s="90"/>
    </row>
    <row r="630" ht="15.75" customHeight="1">
      <c r="A630" s="110"/>
      <c r="B630" s="114"/>
      <c r="C630" s="112"/>
      <c r="D630" s="112"/>
      <c r="E630" s="109" t="str">
        <f t="shared" si="1"/>
        <v/>
      </c>
      <c r="J630" s="90"/>
    </row>
    <row r="631" ht="15.75" customHeight="1">
      <c r="A631" s="110"/>
      <c r="B631" s="114"/>
      <c r="C631" s="112"/>
      <c r="D631" s="112"/>
      <c r="E631" s="109" t="str">
        <f t="shared" si="1"/>
        <v/>
      </c>
      <c r="J631" s="90"/>
    </row>
    <row r="632" ht="15.75" customHeight="1">
      <c r="A632" s="110"/>
      <c r="B632" s="114"/>
      <c r="C632" s="112"/>
      <c r="D632" s="112"/>
      <c r="E632" s="109" t="str">
        <f t="shared" si="1"/>
        <v/>
      </c>
      <c r="J632" s="90"/>
    </row>
    <row r="633" ht="15.75" customHeight="1">
      <c r="A633" s="110"/>
      <c r="B633" s="114"/>
      <c r="C633" s="112"/>
      <c r="D633" s="112"/>
      <c r="E633" s="109" t="str">
        <f t="shared" si="1"/>
        <v/>
      </c>
      <c r="J633" s="90"/>
    </row>
    <row r="634" ht="15.75" customHeight="1">
      <c r="A634" s="110"/>
      <c r="B634" s="114"/>
      <c r="C634" s="112"/>
      <c r="D634" s="112"/>
      <c r="E634" s="109" t="str">
        <f t="shared" si="1"/>
        <v/>
      </c>
      <c r="J634" s="90"/>
    </row>
    <row r="635" ht="15.75" customHeight="1">
      <c r="A635" s="110"/>
      <c r="B635" s="114"/>
      <c r="C635" s="112"/>
      <c r="D635" s="112"/>
      <c r="E635" s="109" t="str">
        <f t="shared" si="1"/>
        <v/>
      </c>
      <c r="J635" s="90"/>
    </row>
    <row r="636" ht="15.75" customHeight="1">
      <c r="A636" s="110"/>
      <c r="B636" s="114"/>
      <c r="C636" s="112"/>
      <c r="D636" s="112"/>
      <c r="E636" s="109" t="str">
        <f t="shared" si="1"/>
        <v/>
      </c>
      <c r="J636" s="90"/>
    </row>
    <row r="637" ht="15.75" customHeight="1">
      <c r="A637" s="110"/>
      <c r="B637" s="114"/>
      <c r="C637" s="112"/>
      <c r="D637" s="112"/>
      <c r="E637" s="109" t="str">
        <f t="shared" si="1"/>
        <v/>
      </c>
      <c r="J637" s="90"/>
    </row>
    <row r="638" ht="15.75" customHeight="1">
      <c r="A638" s="110"/>
      <c r="B638" s="114"/>
      <c r="C638" s="112"/>
      <c r="D638" s="112"/>
      <c r="E638" s="109" t="str">
        <f t="shared" si="1"/>
        <v/>
      </c>
      <c r="J638" s="90"/>
    </row>
    <row r="639" ht="15.75" customHeight="1">
      <c r="A639" s="110"/>
      <c r="B639" s="114"/>
      <c r="C639" s="112"/>
      <c r="D639" s="112"/>
      <c r="E639" s="109" t="str">
        <f t="shared" si="1"/>
        <v/>
      </c>
      <c r="J639" s="90"/>
    </row>
    <row r="640" ht="15.75" customHeight="1">
      <c r="A640" s="110"/>
      <c r="B640" s="114"/>
      <c r="C640" s="112"/>
      <c r="D640" s="112"/>
      <c r="E640" s="109" t="str">
        <f t="shared" si="1"/>
        <v/>
      </c>
      <c r="J640" s="90"/>
    </row>
    <row r="641" ht="15.75" customHeight="1">
      <c r="A641" s="110"/>
      <c r="B641" s="114"/>
      <c r="C641" s="112"/>
      <c r="D641" s="112"/>
      <c r="E641" s="109" t="str">
        <f t="shared" si="1"/>
        <v/>
      </c>
      <c r="J641" s="90"/>
    </row>
    <row r="642" ht="15.75" customHeight="1">
      <c r="A642" s="110"/>
      <c r="B642" s="114"/>
      <c r="C642" s="112"/>
      <c r="D642" s="112"/>
      <c r="E642" s="109" t="str">
        <f t="shared" si="1"/>
        <v/>
      </c>
      <c r="J642" s="90"/>
    </row>
    <row r="643" ht="15.75" customHeight="1">
      <c r="A643" s="110"/>
      <c r="B643" s="114"/>
      <c r="C643" s="112"/>
      <c r="D643" s="112"/>
      <c r="E643" s="109" t="str">
        <f t="shared" si="1"/>
        <v/>
      </c>
      <c r="J643" s="90"/>
    </row>
    <row r="644" ht="15.75" customHeight="1">
      <c r="A644" s="110"/>
      <c r="B644" s="114"/>
      <c r="C644" s="112"/>
      <c r="D644" s="112"/>
      <c r="E644" s="109" t="str">
        <f t="shared" si="1"/>
        <v/>
      </c>
      <c r="J644" s="90"/>
    </row>
    <row r="645" ht="15.75" customHeight="1">
      <c r="A645" s="110"/>
      <c r="B645" s="114"/>
      <c r="C645" s="112"/>
      <c r="D645" s="112"/>
      <c r="E645" s="109" t="str">
        <f t="shared" si="1"/>
        <v/>
      </c>
      <c r="J645" s="90"/>
    </row>
    <row r="646" ht="15.75" customHeight="1">
      <c r="A646" s="110"/>
      <c r="B646" s="114"/>
      <c r="C646" s="112"/>
      <c r="D646" s="112"/>
      <c r="E646" s="109" t="str">
        <f t="shared" si="1"/>
        <v/>
      </c>
      <c r="J646" s="90"/>
    </row>
    <row r="647" ht="15.75" customHeight="1">
      <c r="A647" s="110"/>
      <c r="B647" s="114"/>
      <c r="C647" s="112"/>
      <c r="D647" s="112"/>
      <c r="E647" s="109" t="str">
        <f t="shared" si="1"/>
        <v/>
      </c>
      <c r="J647" s="90"/>
    </row>
    <row r="648" ht="15.75" customHeight="1">
      <c r="A648" s="110"/>
      <c r="B648" s="114"/>
      <c r="C648" s="112"/>
      <c r="D648" s="112"/>
      <c r="E648" s="109" t="str">
        <f t="shared" si="1"/>
        <v/>
      </c>
      <c r="J648" s="90"/>
    </row>
    <row r="649" ht="15.75" customHeight="1">
      <c r="A649" s="110"/>
      <c r="B649" s="114"/>
      <c r="C649" s="112"/>
      <c r="D649" s="112"/>
      <c r="E649" s="109" t="str">
        <f t="shared" si="1"/>
        <v/>
      </c>
      <c r="J649" s="90"/>
    </row>
    <row r="650" ht="15.75" customHeight="1">
      <c r="A650" s="110"/>
      <c r="B650" s="114"/>
      <c r="C650" s="112"/>
      <c r="D650" s="112"/>
      <c r="E650" s="109" t="str">
        <f t="shared" si="1"/>
        <v/>
      </c>
      <c r="J650" s="90"/>
    </row>
    <row r="651" ht="15.75" customHeight="1">
      <c r="A651" s="110"/>
      <c r="B651" s="114"/>
      <c r="C651" s="112"/>
      <c r="D651" s="112"/>
      <c r="E651" s="109" t="str">
        <f t="shared" si="1"/>
        <v/>
      </c>
      <c r="J651" s="90"/>
    </row>
    <row r="652" ht="15.75" customHeight="1">
      <c r="A652" s="110"/>
      <c r="B652" s="114"/>
      <c r="C652" s="112"/>
      <c r="D652" s="112"/>
      <c r="E652" s="109" t="str">
        <f t="shared" si="1"/>
        <v/>
      </c>
      <c r="J652" s="90"/>
    </row>
    <row r="653" ht="15.75" customHeight="1">
      <c r="A653" s="110"/>
      <c r="B653" s="114"/>
      <c r="C653" s="112"/>
      <c r="D653" s="112"/>
      <c r="E653" s="109" t="str">
        <f t="shared" si="1"/>
        <v/>
      </c>
      <c r="J653" s="90"/>
    </row>
    <row r="654" ht="15.75" customHeight="1">
      <c r="A654" s="110"/>
      <c r="B654" s="114"/>
      <c r="C654" s="112"/>
      <c r="D654" s="112"/>
      <c r="E654" s="109" t="str">
        <f t="shared" si="1"/>
        <v/>
      </c>
      <c r="J654" s="90"/>
    </row>
    <row r="655" ht="15.75" customHeight="1">
      <c r="A655" s="110"/>
      <c r="B655" s="114"/>
      <c r="C655" s="112"/>
      <c r="D655" s="112"/>
      <c r="E655" s="109" t="str">
        <f t="shared" si="1"/>
        <v/>
      </c>
      <c r="J655" s="90"/>
    </row>
    <row r="656" ht="15.75" customHeight="1">
      <c r="A656" s="110"/>
      <c r="B656" s="114"/>
      <c r="C656" s="112"/>
      <c r="D656" s="112"/>
      <c r="E656" s="109" t="str">
        <f t="shared" si="1"/>
        <v/>
      </c>
      <c r="J656" s="90"/>
    </row>
    <row r="657" ht="15.75" customHeight="1">
      <c r="A657" s="110"/>
      <c r="B657" s="114"/>
      <c r="C657" s="112"/>
      <c r="D657" s="112"/>
      <c r="E657" s="109" t="str">
        <f t="shared" si="1"/>
        <v/>
      </c>
      <c r="J657" s="90"/>
    </row>
    <row r="658" ht="15.75" customHeight="1">
      <c r="A658" s="110"/>
      <c r="B658" s="114"/>
      <c r="C658" s="112"/>
      <c r="D658" s="112"/>
      <c r="E658" s="109" t="str">
        <f t="shared" si="1"/>
        <v/>
      </c>
      <c r="J658" s="90"/>
    </row>
    <row r="659" ht="15.75" customHeight="1">
      <c r="A659" s="110"/>
      <c r="B659" s="114"/>
      <c r="C659" s="112"/>
      <c r="D659" s="112"/>
      <c r="E659" s="109" t="str">
        <f t="shared" si="1"/>
        <v/>
      </c>
      <c r="J659" s="90"/>
    </row>
    <row r="660" ht="15.75" customHeight="1">
      <c r="A660" s="110"/>
      <c r="B660" s="114"/>
      <c r="C660" s="112"/>
      <c r="D660" s="112"/>
      <c r="E660" s="109" t="str">
        <f t="shared" si="1"/>
        <v/>
      </c>
      <c r="J660" s="90"/>
    </row>
    <row r="661" ht="15.75" customHeight="1">
      <c r="A661" s="110"/>
      <c r="B661" s="114"/>
      <c r="C661" s="112"/>
      <c r="D661" s="112"/>
      <c r="E661" s="109" t="str">
        <f t="shared" si="1"/>
        <v/>
      </c>
      <c r="J661" s="90"/>
    </row>
    <row r="662" ht="15.75" customHeight="1">
      <c r="A662" s="110"/>
      <c r="B662" s="114"/>
      <c r="C662" s="112"/>
      <c r="D662" s="112"/>
      <c r="E662" s="109" t="str">
        <f t="shared" si="1"/>
        <v/>
      </c>
      <c r="J662" s="90"/>
    </row>
    <row r="663" ht="15.75" customHeight="1">
      <c r="A663" s="110"/>
      <c r="B663" s="114"/>
      <c r="C663" s="112"/>
      <c r="D663" s="112"/>
      <c r="E663" s="109" t="str">
        <f t="shared" si="1"/>
        <v/>
      </c>
      <c r="J663" s="90"/>
    </row>
    <row r="664" ht="15.75" customHeight="1">
      <c r="A664" s="110"/>
      <c r="B664" s="114"/>
      <c r="C664" s="112"/>
      <c r="D664" s="112"/>
      <c r="E664" s="109" t="str">
        <f t="shared" si="1"/>
        <v/>
      </c>
      <c r="J664" s="90"/>
    </row>
    <row r="665" ht="15.75" customHeight="1">
      <c r="A665" s="110"/>
      <c r="B665" s="114"/>
      <c r="C665" s="112"/>
      <c r="D665" s="112"/>
      <c r="E665" s="109" t="str">
        <f t="shared" si="1"/>
        <v/>
      </c>
      <c r="J665" s="90"/>
    </row>
    <row r="666" ht="15.75" customHeight="1">
      <c r="A666" s="110"/>
      <c r="B666" s="114"/>
      <c r="C666" s="112"/>
      <c r="D666" s="112"/>
      <c r="E666" s="109" t="str">
        <f t="shared" si="1"/>
        <v/>
      </c>
      <c r="J666" s="90"/>
    </row>
    <row r="667" ht="15.75" customHeight="1">
      <c r="A667" s="110"/>
      <c r="B667" s="114"/>
      <c r="C667" s="112"/>
      <c r="D667" s="112"/>
      <c r="E667" s="109" t="str">
        <f t="shared" si="1"/>
        <v/>
      </c>
      <c r="J667" s="90"/>
    </row>
    <row r="668" ht="15.75" customHeight="1">
      <c r="A668" s="110"/>
      <c r="B668" s="114"/>
      <c r="C668" s="112"/>
      <c r="D668" s="112"/>
      <c r="E668" s="109" t="str">
        <f t="shared" si="1"/>
        <v/>
      </c>
      <c r="J668" s="90"/>
    </row>
    <row r="669" ht="15.75" customHeight="1">
      <c r="A669" s="110"/>
      <c r="B669" s="114"/>
      <c r="C669" s="112"/>
      <c r="D669" s="112"/>
      <c r="E669" s="109" t="str">
        <f t="shared" si="1"/>
        <v/>
      </c>
      <c r="J669" s="90"/>
    </row>
    <row r="670" ht="15.75" customHeight="1">
      <c r="A670" s="110"/>
      <c r="B670" s="114"/>
      <c r="C670" s="112"/>
      <c r="D670" s="112"/>
      <c r="E670" s="109" t="str">
        <f t="shared" si="1"/>
        <v/>
      </c>
      <c r="J670" s="90"/>
    </row>
    <row r="671" ht="15.75" customHeight="1">
      <c r="A671" s="110"/>
      <c r="B671" s="114"/>
      <c r="C671" s="112"/>
      <c r="D671" s="112"/>
      <c r="E671" s="109" t="str">
        <f t="shared" si="1"/>
        <v/>
      </c>
      <c r="J671" s="90"/>
    </row>
    <row r="672" ht="15.75" customHeight="1">
      <c r="A672" s="110"/>
      <c r="B672" s="114"/>
      <c r="C672" s="112"/>
      <c r="D672" s="112"/>
      <c r="E672" s="109" t="str">
        <f t="shared" si="1"/>
        <v/>
      </c>
      <c r="J672" s="90"/>
    </row>
    <row r="673" ht="15.75" customHeight="1">
      <c r="A673" s="110"/>
      <c r="B673" s="114"/>
      <c r="C673" s="112"/>
      <c r="D673" s="112"/>
      <c r="E673" s="109" t="str">
        <f t="shared" si="1"/>
        <v/>
      </c>
      <c r="J673" s="90"/>
    </row>
    <row r="674" ht="15.75" customHeight="1">
      <c r="A674" s="110"/>
      <c r="B674" s="114"/>
      <c r="C674" s="112"/>
      <c r="D674" s="112"/>
      <c r="E674" s="109" t="str">
        <f t="shared" si="1"/>
        <v/>
      </c>
      <c r="J674" s="90"/>
    </row>
    <row r="675" ht="15.75" customHeight="1">
      <c r="A675" s="110"/>
      <c r="B675" s="114"/>
      <c r="C675" s="112"/>
      <c r="D675" s="112"/>
      <c r="E675" s="109" t="str">
        <f t="shared" si="1"/>
        <v/>
      </c>
      <c r="J675" s="90"/>
    </row>
    <row r="676" ht="15.75" customHeight="1">
      <c r="A676" s="110"/>
      <c r="B676" s="114"/>
      <c r="C676" s="112"/>
      <c r="D676" s="112"/>
      <c r="E676" s="109" t="str">
        <f t="shared" si="1"/>
        <v/>
      </c>
      <c r="J676" s="90"/>
    </row>
    <row r="677" ht="15.75" customHeight="1">
      <c r="A677" s="110"/>
      <c r="B677" s="114"/>
      <c r="C677" s="112"/>
      <c r="D677" s="112"/>
      <c r="E677" s="109" t="str">
        <f t="shared" si="1"/>
        <v/>
      </c>
      <c r="J677" s="90"/>
    </row>
    <row r="678" ht="15.75" customHeight="1">
      <c r="A678" s="110"/>
      <c r="B678" s="114"/>
      <c r="C678" s="112"/>
      <c r="D678" s="112"/>
      <c r="E678" s="109" t="str">
        <f t="shared" si="1"/>
        <v/>
      </c>
      <c r="J678" s="90"/>
    </row>
    <row r="679" ht="15.75" customHeight="1">
      <c r="A679" s="110"/>
      <c r="B679" s="114"/>
      <c r="C679" s="112"/>
      <c r="D679" s="112"/>
      <c r="E679" s="109" t="str">
        <f t="shared" si="1"/>
        <v/>
      </c>
      <c r="J679" s="90"/>
    </row>
    <row r="680" ht="15.75" customHeight="1">
      <c r="A680" s="110"/>
      <c r="B680" s="114"/>
      <c r="C680" s="112"/>
      <c r="D680" s="112"/>
      <c r="E680" s="109" t="str">
        <f t="shared" si="1"/>
        <v/>
      </c>
      <c r="J680" s="90"/>
    </row>
    <row r="681" ht="15.75" customHeight="1">
      <c r="A681" s="110"/>
      <c r="B681" s="114"/>
      <c r="C681" s="112"/>
      <c r="D681" s="112"/>
      <c r="E681" s="109" t="str">
        <f t="shared" si="1"/>
        <v/>
      </c>
      <c r="J681" s="90"/>
    </row>
    <row r="682" ht="15.75" customHeight="1">
      <c r="A682" s="110"/>
      <c r="B682" s="114"/>
      <c r="C682" s="112"/>
      <c r="D682" s="112"/>
      <c r="E682" s="109" t="str">
        <f t="shared" si="1"/>
        <v/>
      </c>
      <c r="J682" s="90"/>
    </row>
    <row r="683" ht="15.75" customHeight="1">
      <c r="A683" s="110"/>
      <c r="B683" s="114"/>
      <c r="C683" s="112"/>
      <c r="D683" s="112"/>
      <c r="E683" s="109" t="str">
        <f t="shared" si="1"/>
        <v/>
      </c>
      <c r="J683" s="90"/>
    </row>
    <row r="684" ht="15.75" customHeight="1">
      <c r="A684" s="110"/>
      <c r="B684" s="114"/>
      <c r="C684" s="112"/>
      <c r="D684" s="112"/>
      <c r="E684" s="109" t="str">
        <f t="shared" si="1"/>
        <v/>
      </c>
      <c r="J684" s="90"/>
    </row>
    <row r="685" ht="15.75" customHeight="1">
      <c r="A685" s="110"/>
      <c r="B685" s="114"/>
      <c r="C685" s="112"/>
      <c r="D685" s="112"/>
      <c r="E685" s="109" t="str">
        <f t="shared" si="1"/>
        <v/>
      </c>
      <c r="J685" s="90"/>
    </row>
    <row r="686" ht="15.75" customHeight="1">
      <c r="A686" s="110"/>
      <c r="B686" s="114"/>
      <c r="C686" s="112"/>
      <c r="D686" s="112"/>
      <c r="E686" s="109" t="str">
        <f t="shared" si="1"/>
        <v/>
      </c>
      <c r="J686" s="90"/>
    </row>
    <row r="687" ht="15.75" customHeight="1">
      <c r="A687" s="110"/>
      <c r="B687" s="114"/>
      <c r="C687" s="112"/>
      <c r="D687" s="112"/>
      <c r="E687" s="109" t="str">
        <f t="shared" si="1"/>
        <v/>
      </c>
      <c r="J687" s="90"/>
    </row>
    <row r="688" ht="15.75" customHeight="1">
      <c r="A688" s="110"/>
      <c r="B688" s="114"/>
      <c r="C688" s="112"/>
      <c r="D688" s="112"/>
      <c r="E688" s="109" t="str">
        <f t="shared" si="1"/>
        <v/>
      </c>
      <c r="J688" s="90"/>
    </row>
    <row r="689" ht="15.75" customHeight="1">
      <c r="A689" s="110"/>
      <c r="B689" s="114"/>
      <c r="C689" s="112"/>
      <c r="D689" s="112"/>
      <c r="E689" s="109" t="str">
        <f t="shared" si="1"/>
        <v/>
      </c>
      <c r="J689" s="90"/>
    </row>
    <row r="690" ht="15.75" customHeight="1">
      <c r="A690" s="110"/>
      <c r="B690" s="114"/>
      <c r="C690" s="112"/>
      <c r="D690" s="112"/>
      <c r="E690" s="109" t="str">
        <f t="shared" si="1"/>
        <v/>
      </c>
      <c r="J690" s="90"/>
    </row>
    <row r="691" ht="15.75" customHeight="1">
      <c r="A691" s="110"/>
      <c r="B691" s="114"/>
      <c r="C691" s="112"/>
      <c r="D691" s="112"/>
      <c r="E691" s="109" t="str">
        <f t="shared" si="1"/>
        <v/>
      </c>
      <c r="J691" s="90"/>
    </row>
    <row r="692" ht="15.75" customHeight="1">
      <c r="A692" s="110"/>
      <c r="B692" s="114"/>
      <c r="C692" s="112"/>
      <c r="D692" s="112"/>
      <c r="E692" s="109" t="str">
        <f t="shared" si="1"/>
        <v/>
      </c>
      <c r="J692" s="90"/>
    </row>
    <row r="693" ht="15.75" customHeight="1">
      <c r="A693" s="110"/>
      <c r="B693" s="114"/>
      <c r="C693" s="112"/>
      <c r="D693" s="112"/>
      <c r="E693" s="109" t="str">
        <f t="shared" si="1"/>
        <v/>
      </c>
      <c r="J693" s="90"/>
    </row>
    <row r="694" ht="15.75" customHeight="1">
      <c r="A694" s="110"/>
      <c r="B694" s="114"/>
      <c r="C694" s="112"/>
      <c r="D694" s="112"/>
      <c r="E694" s="109" t="str">
        <f t="shared" si="1"/>
        <v/>
      </c>
      <c r="J694" s="90"/>
    </row>
    <row r="695" ht="15.75" customHeight="1">
      <c r="A695" s="110"/>
      <c r="B695" s="114"/>
      <c r="C695" s="112"/>
      <c r="D695" s="112"/>
      <c r="E695" s="109" t="str">
        <f t="shared" si="1"/>
        <v/>
      </c>
      <c r="J695" s="90"/>
    </row>
    <row r="696" ht="15.75" customHeight="1">
      <c r="A696" s="110"/>
      <c r="B696" s="114"/>
      <c r="C696" s="112"/>
      <c r="D696" s="112"/>
      <c r="E696" s="109" t="str">
        <f t="shared" si="1"/>
        <v/>
      </c>
      <c r="J696" s="90"/>
    </row>
    <row r="697" ht="15.75" customHeight="1">
      <c r="A697" s="110"/>
      <c r="B697" s="114"/>
      <c r="C697" s="112"/>
      <c r="D697" s="112"/>
      <c r="E697" s="109" t="str">
        <f t="shared" si="1"/>
        <v/>
      </c>
      <c r="J697" s="90"/>
    </row>
    <row r="698" ht="15.75" customHeight="1">
      <c r="A698" s="110"/>
      <c r="B698" s="114"/>
      <c r="C698" s="112"/>
      <c r="D698" s="112"/>
      <c r="E698" s="109" t="str">
        <f t="shared" si="1"/>
        <v/>
      </c>
      <c r="J698" s="90"/>
    </row>
    <row r="699" ht="15.75" customHeight="1">
      <c r="A699" s="110"/>
      <c r="B699" s="114"/>
      <c r="C699" s="112"/>
      <c r="D699" s="112"/>
      <c r="E699" s="109" t="str">
        <f t="shared" si="1"/>
        <v/>
      </c>
      <c r="J699" s="90"/>
    </row>
    <row r="700" ht="15.75" customHeight="1">
      <c r="A700" s="110"/>
      <c r="B700" s="114"/>
      <c r="C700" s="112"/>
      <c r="D700" s="112"/>
      <c r="E700" s="109" t="str">
        <f t="shared" si="1"/>
        <v/>
      </c>
      <c r="J700" s="90"/>
    </row>
    <row r="701" ht="15.75" customHeight="1">
      <c r="A701" s="110"/>
      <c r="B701" s="114"/>
      <c r="C701" s="112"/>
      <c r="D701" s="112"/>
      <c r="E701" s="109" t="str">
        <f t="shared" si="1"/>
        <v/>
      </c>
      <c r="J701" s="90"/>
    </row>
    <row r="702" ht="15.75" customHeight="1">
      <c r="A702" s="110"/>
      <c r="B702" s="114"/>
      <c r="C702" s="112"/>
      <c r="D702" s="112"/>
      <c r="E702" s="109" t="str">
        <f t="shared" si="1"/>
        <v/>
      </c>
      <c r="J702" s="90"/>
    </row>
    <row r="703" ht="15.75" customHeight="1">
      <c r="A703" s="110"/>
      <c r="B703" s="114"/>
      <c r="C703" s="112"/>
      <c r="D703" s="112"/>
      <c r="E703" s="109" t="str">
        <f t="shared" si="1"/>
        <v/>
      </c>
      <c r="J703" s="90"/>
    </row>
    <row r="704" ht="15.75" customHeight="1">
      <c r="A704" s="110"/>
      <c r="B704" s="114"/>
      <c r="C704" s="112"/>
      <c r="D704" s="112"/>
      <c r="E704" s="109" t="str">
        <f t="shared" si="1"/>
        <v/>
      </c>
      <c r="J704" s="90"/>
    </row>
    <row r="705" ht="15.75" customHeight="1">
      <c r="A705" s="110"/>
      <c r="B705" s="114"/>
      <c r="C705" s="112"/>
      <c r="D705" s="112"/>
      <c r="E705" s="109" t="str">
        <f t="shared" si="1"/>
        <v/>
      </c>
      <c r="J705" s="90"/>
    </row>
    <row r="706" ht="15.75" customHeight="1">
      <c r="A706" s="110"/>
      <c r="B706" s="114"/>
      <c r="C706" s="112"/>
      <c r="D706" s="112"/>
      <c r="E706" s="109" t="str">
        <f t="shared" si="1"/>
        <v/>
      </c>
      <c r="J706" s="90"/>
    </row>
    <row r="707" ht="15.75" customHeight="1">
      <c r="A707" s="110"/>
      <c r="B707" s="114"/>
      <c r="C707" s="112"/>
      <c r="D707" s="112"/>
      <c r="E707" s="109" t="str">
        <f t="shared" si="1"/>
        <v/>
      </c>
      <c r="J707" s="90"/>
    </row>
    <row r="708" ht="15.75" customHeight="1">
      <c r="A708" s="110"/>
      <c r="B708" s="114"/>
      <c r="C708" s="112"/>
      <c r="D708" s="112"/>
      <c r="E708" s="109" t="str">
        <f t="shared" si="1"/>
        <v/>
      </c>
      <c r="J708" s="90"/>
    </row>
    <row r="709" ht="15.75" customHeight="1">
      <c r="A709" s="110"/>
      <c r="B709" s="114"/>
      <c r="C709" s="112"/>
      <c r="D709" s="112"/>
      <c r="E709" s="109" t="str">
        <f t="shared" si="1"/>
        <v/>
      </c>
      <c r="J709" s="90"/>
    </row>
    <row r="710" ht="15.75" customHeight="1">
      <c r="A710" s="110"/>
      <c r="B710" s="114"/>
      <c r="C710" s="112"/>
      <c r="D710" s="112"/>
      <c r="E710" s="109" t="str">
        <f t="shared" si="1"/>
        <v/>
      </c>
      <c r="J710" s="90"/>
    </row>
    <row r="711" ht="15.75" customHeight="1">
      <c r="A711" s="110"/>
      <c r="B711" s="114"/>
      <c r="C711" s="112"/>
      <c r="D711" s="112"/>
      <c r="E711" s="109" t="str">
        <f t="shared" si="1"/>
        <v/>
      </c>
      <c r="J711" s="90"/>
    </row>
    <row r="712" ht="15.75" customHeight="1">
      <c r="A712" s="110"/>
      <c r="B712" s="114"/>
      <c r="C712" s="112"/>
      <c r="D712" s="112"/>
      <c r="E712" s="109" t="str">
        <f t="shared" si="1"/>
        <v/>
      </c>
      <c r="J712" s="90"/>
    </row>
    <row r="713" ht="15.75" customHeight="1">
      <c r="A713" s="110"/>
      <c r="B713" s="114"/>
      <c r="C713" s="112"/>
      <c r="D713" s="112"/>
      <c r="E713" s="109" t="str">
        <f t="shared" si="1"/>
        <v/>
      </c>
      <c r="J713" s="90"/>
    </row>
    <row r="714" ht="15.75" customHeight="1">
      <c r="A714" s="110"/>
      <c r="B714" s="114"/>
      <c r="C714" s="112"/>
      <c r="D714" s="112"/>
      <c r="E714" s="109" t="str">
        <f t="shared" si="1"/>
        <v/>
      </c>
      <c r="J714" s="90"/>
    </row>
    <row r="715" ht="15.75" customHeight="1">
      <c r="A715" s="110"/>
      <c r="B715" s="114"/>
      <c r="C715" s="112"/>
      <c r="D715" s="112"/>
      <c r="E715" s="109" t="str">
        <f t="shared" si="1"/>
        <v/>
      </c>
      <c r="J715" s="90"/>
    </row>
    <row r="716" ht="15.75" customHeight="1">
      <c r="A716" s="110"/>
      <c r="B716" s="114"/>
      <c r="C716" s="112"/>
      <c r="D716" s="112"/>
      <c r="E716" s="109" t="str">
        <f t="shared" si="1"/>
        <v/>
      </c>
      <c r="J716" s="90"/>
    </row>
    <row r="717" ht="15.75" customHeight="1">
      <c r="A717" s="110"/>
      <c r="B717" s="114"/>
      <c r="C717" s="112"/>
      <c r="D717" s="112"/>
      <c r="E717" s="109" t="str">
        <f t="shared" si="1"/>
        <v/>
      </c>
      <c r="J717" s="90"/>
    </row>
    <row r="718" ht="15.75" customHeight="1">
      <c r="A718" s="110"/>
      <c r="B718" s="114"/>
      <c r="C718" s="112"/>
      <c r="D718" s="112"/>
      <c r="E718" s="109" t="str">
        <f t="shared" si="1"/>
        <v/>
      </c>
      <c r="J718" s="90"/>
    </row>
    <row r="719" ht="15.75" customHeight="1">
      <c r="A719" s="110"/>
      <c r="B719" s="114"/>
      <c r="C719" s="112"/>
      <c r="D719" s="112"/>
      <c r="E719" s="109" t="str">
        <f t="shared" si="1"/>
        <v/>
      </c>
      <c r="J719" s="90"/>
    </row>
    <row r="720" ht="15.75" customHeight="1">
      <c r="A720" s="110"/>
      <c r="B720" s="114"/>
      <c r="C720" s="112"/>
      <c r="D720" s="112"/>
      <c r="E720" s="109" t="str">
        <f t="shared" si="1"/>
        <v/>
      </c>
      <c r="J720" s="90"/>
    </row>
    <row r="721" ht="15.75" customHeight="1">
      <c r="A721" s="110"/>
      <c r="B721" s="114"/>
      <c r="C721" s="112"/>
      <c r="D721" s="112"/>
      <c r="E721" s="109" t="str">
        <f t="shared" si="1"/>
        <v/>
      </c>
      <c r="J721" s="90"/>
    </row>
    <row r="722" ht="15.75" customHeight="1">
      <c r="A722" s="110"/>
      <c r="B722" s="114"/>
      <c r="C722" s="112"/>
      <c r="D722" s="112"/>
      <c r="E722" s="109" t="str">
        <f t="shared" si="1"/>
        <v/>
      </c>
      <c r="J722" s="90"/>
    </row>
    <row r="723" ht="15.75" customHeight="1">
      <c r="A723" s="110"/>
      <c r="B723" s="114"/>
      <c r="C723" s="112"/>
      <c r="D723" s="112"/>
      <c r="E723" s="109" t="str">
        <f t="shared" si="1"/>
        <v/>
      </c>
      <c r="J723" s="90"/>
    </row>
    <row r="724" ht="15.75" customHeight="1">
      <c r="A724" s="110"/>
      <c r="B724" s="114"/>
      <c r="C724" s="112"/>
      <c r="D724" s="112"/>
      <c r="E724" s="109" t="str">
        <f t="shared" si="1"/>
        <v/>
      </c>
      <c r="J724" s="90"/>
    </row>
    <row r="725" ht="15.75" customHeight="1">
      <c r="A725" s="110"/>
      <c r="B725" s="114"/>
      <c r="C725" s="112"/>
      <c r="D725" s="112"/>
      <c r="E725" s="109" t="str">
        <f t="shared" si="1"/>
        <v/>
      </c>
      <c r="J725" s="90"/>
    </row>
    <row r="726" ht="15.75" customHeight="1">
      <c r="A726" s="110"/>
      <c r="B726" s="114"/>
      <c r="C726" s="112"/>
      <c r="D726" s="112"/>
      <c r="E726" s="109" t="str">
        <f t="shared" si="1"/>
        <v/>
      </c>
      <c r="J726" s="90"/>
    </row>
    <row r="727" ht="15.75" customHeight="1">
      <c r="A727" s="110"/>
      <c r="B727" s="114"/>
      <c r="C727" s="112"/>
      <c r="D727" s="112"/>
      <c r="E727" s="109" t="str">
        <f t="shared" si="1"/>
        <v/>
      </c>
      <c r="J727" s="90"/>
    </row>
    <row r="728" ht="15.75" customHeight="1">
      <c r="A728" s="110"/>
      <c r="B728" s="114"/>
      <c r="C728" s="112"/>
      <c r="D728" s="112"/>
      <c r="E728" s="109" t="str">
        <f t="shared" si="1"/>
        <v/>
      </c>
      <c r="J728" s="90"/>
    </row>
    <row r="729" ht="15.75" customHeight="1">
      <c r="A729" s="110"/>
      <c r="B729" s="114"/>
      <c r="C729" s="112"/>
      <c r="D729" s="112"/>
      <c r="E729" s="109" t="str">
        <f t="shared" si="1"/>
        <v/>
      </c>
      <c r="J729" s="90"/>
    </row>
    <row r="730" ht="15.75" customHeight="1">
      <c r="A730" s="110"/>
      <c r="B730" s="114"/>
      <c r="C730" s="112"/>
      <c r="D730" s="112"/>
      <c r="E730" s="109" t="str">
        <f t="shared" si="1"/>
        <v/>
      </c>
      <c r="J730" s="90"/>
    </row>
    <row r="731" ht="15.75" customHeight="1">
      <c r="A731" s="110"/>
      <c r="B731" s="114"/>
      <c r="C731" s="112"/>
      <c r="D731" s="112"/>
      <c r="E731" s="109" t="str">
        <f t="shared" si="1"/>
        <v/>
      </c>
      <c r="J731" s="90"/>
    </row>
    <row r="732" ht="15.75" customHeight="1">
      <c r="A732" s="110"/>
      <c r="B732" s="114"/>
      <c r="C732" s="112"/>
      <c r="D732" s="112"/>
      <c r="E732" s="109" t="str">
        <f t="shared" si="1"/>
        <v/>
      </c>
      <c r="J732" s="90"/>
    </row>
    <row r="733" ht="15.75" customHeight="1">
      <c r="A733" s="110"/>
      <c r="B733" s="114"/>
      <c r="C733" s="112"/>
      <c r="D733" s="112"/>
      <c r="E733" s="109" t="str">
        <f t="shared" si="1"/>
        <v/>
      </c>
      <c r="J733" s="90"/>
    </row>
    <row r="734" ht="15.75" customHeight="1">
      <c r="A734" s="110"/>
      <c r="B734" s="114"/>
      <c r="C734" s="112"/>
      <c r="D734" s="112"/>
      <c r="E734" s="109" t="str">
        <f t="shared" si="1"/>
        <v/>
      </c>
      <c r="J734" s="90"/>
    </row>
    <row r="735" ht="15.75" customHeight="1">
      <c r="A735" s="110"/>
      <c r="B735" s="114"/>
      <c r="C735" s="112"/>
      <c r="D735" s="112"/>
      <c r="E735" s="109" t="str">
        <f t="shared" si="1"/>
        <v/>
      </c>
      <c r="J735" s="90"/>
    </row>
    <row r="736" ht="15.75" customHeight="1">
      <c r="A736" s="110"/>
      <c r="B736" s="114"/>
      <c r="C736" s="112"/>
      <c r="D736" s="112"/>
      <c r="E736" s="109" t="str">
        <f t="shared" si="1"/>
        <v/>
      </c>
      <c r="J736" s="90"/>
    </row>
    <row r="737" ht="15.75" customHeight="1">
      <c r="A737" s="110"/>
      <c r="B737" s="114"/>
      <c r="C737" s="112"/>
      <c r="D737" s="112"/>
      <c r="E737" s="109" t="str">
        <f t="shared" si="1"/>
        <v/>
      </c>
      <c r="J737" s="90"/>
    </row>
    <row r="738" ht="15.75" customHeight="1">
      <c r="A738" s="110"/>
      <c r="B738" s="114"/>
      <c r="C738" s="112"/>
      <c r="D738" s="112"/>
      <c r="E738" s="109" t="str">
        <f t="shared" si="1"/>
        <v/>
      </c>
      <c r="J738" s="90"/>
    </row>
    <row r="739" ht="15.75" customHeight="1">
      <c r="A739" s="110"/>
      <c r="B739" s="114"/>
      <c r="C739" s="112"/>
      <c r="D739" s="112"/>
      <c r="E739" s="109" t="str">
        <f t="shared" si="1"/>
        <v/>
      </c>
      <c r="J739" s="90"/>
    </row>
    <row r="740" ht="15.75" customHeight="1">
      <c r="A740" s="110"/>
      <c r="B740" s="114"/>
      <c r="C740" s="112"/>
      <c r="D740" s="112"/>
      <c r="E740" s="109" t="str">
        <f t="shared" si="1"/>
        <v/>
      </c>
      <c r="J740" s="90"/>
    </row>
    <row r="741" ht="15.75" customHeight="1">
      <c r="A741" s="110"/>
      <c r="B741" s="114"/>
      <c r="C741" s="112"/>
      <c r="D741" s="112"/>
      <c r="E741" s="109" t="str">
        <f t="shared" si="1"/>
        <v/>
      </c>
      <c r="J741" s="90"/>
    </row>
    <row r="742" ht="15.75" customHeight="1">
      <c r="A742" s="110"/>
      <c r="B742" s="114"/>
      <c r="C742" s="112"/>
      <c r="D742" s="112"/>
      <c r="E742" s="109" t="str">
        <f t="shared" si="1"/>
        <v/>
      </c>
      <c r="J742" s="90"/>
    </row>
    <row r="743" ht="15.75" customHeight="1">
      <c r="A743" s="110"/>
      <c r="B743" s="114"/>
      <c r="C743" s="112"/>
      <c r="D743" s="112"/>
      <c r="E743" s="109" t="str">
        <f t="shared" si="1"/>
        <v/>
      </c>
      <c r="J743" s="90"/>
    </row>
    <row r="744" ht="15.75" customHeight="1">
      <c r="A744" s="110"/>
      <c r="B744" s="114"/>
      <c r="C744" s="112"/>
      <c r="D744" s="112"/>
      <c r="E744" s="109" t="str">
        <f t="shared" si="1"/>
        <v/>
      </c>
      <c r="J744" s="90"/>
    </row>
    <row r="745" ht="15.75" customHeight="1">
      <c r="A745" s="110"/>
      <c r="B745" s="114"/>
      <c r="C745" s="112"/>
      <c r="D745" s="112"/>
      <c r="E745" s="109" t="str">
        <f t="shared" si="1"/>
        <v/>
      </c>
      <c r="J745" s="90"/>
    </row>
    <row r="746" ht="15.75" customHeight="1">
      <c r="A746" s="110"/>
      <c r="B746" s="114"/>
      <c r="C746" s="112"/>
      <c r="D746" s="112"/>
      <c r="E746" s="109" t="str">
        <f t="shared" si="1"/>
        <v/>
      </c>
      <c r="J746" s="90"/>
    </row>
    <row r="747" ht="15.75" customHeight="1">
      <c r="A747" s="110"/>
      <c r="B747" s="114"/>
      <c r="C747" s="112"/>
      <c r="D747" s="112"/>
      <c r="E747" s="109" t="str">
        <f t="shared" si="1"/>
        <v/>
      </c>
      <c r="J747" s="90"/>
    </row>
    <row r="748" ht="15.75" customHeight="1">
      <c r="A748" s="110"/>
      <c r="B748" s="114"/>
      <c r="C748" s="112"/>
      <c r="D748" s="112"/>
      <c r="E748" s="109" t="str">
        <f t="shared" si="1"/>
        <v/>
      </c>
      <c r="J748" s="90"/>
    </row>
    <row r="749" ht="15.75" customHeight="1">
      <c r="A749" s="110"/>
      <c r="B749" s="114"/>
      <c r="C749" s="112"/>
      <c r="D749" s="112"/>
      <c r="E749" s="109" t="str">
        <f t="shared" si="1"/>
        <v/>
      </c>
      <c r="J749" s="90"/>
    </row>
    <row r="750" ht="15.75" customHeight="1">
      <c r="A750" s="110"/>
      <c r="B750" s="114"/>
      <c r="C750" s="112"/>
      <c r="D750" s="112"/>
      <c r="E750" s="109" t="str">
        <f t="shared" si="1"/>
        <v/>
      </c>
      <c r="J750" s="90"/>
    </row>
    <row r="751" ht="15.75" customHeight="1">
      <c r="A751" s="110"/>
      <c r="B751" s="114"/>
      <c r="C751" s="112"/>
      <c r="D751" s="112"/>
      <c r="E751" s="109" t="str">
        <f t="shared" si="1"/>
        <v/>
      </c>
      <c r="J751" s="90"/>
    </row>
    <row r="752" ht="15.75" customHeight="1">
      <c r="A752" s="110"/>
      <c r="B752" s="114"/>
      <c r="C752" s="112"/>
      <c r="D752" s="112"/>
      <c r="E752" s="109" t="str">
        <f t="shared" si="1"/>
        <v/>
      </c>
      <c r="J752" s="90"/>
    </row>
    <row r="753" ht="15.75" customHeight="1">
      <c r="A753" s="110"/>
      <c r="B753" s="114"/>
      <c r="C753" s="112"/>
      <c r="D753" s="112"/>
      <c r="E753" s="109" t="str">
        <f t="shared" si="1"/>
        <v/>
      </c>
      <c r="J753" s="90"/>
    </row>
    <row r="754" ht="15.75" customHeight="1">
      <c r="A754" s="110"/>
      <c r="B754" s="114"/>
      <c r="C754" s="112"/>
      <c r="D754" s="112"/>
      <c r="E754" s="109" t="str">
        <f t="shared" si="1"/>
        <v/>
      </c>
      <c r="J754" s="90"/>
    </row>
    <row r="755" ht="15.75" customHeight="1">
      <c r="A755" s="110"/>
      <c r="B755" s="114"/>
      <c r="C755" s="112"/>
      <c r="D755" s="112"/>
      <c r="E755" s="109" t="str">
        <f t="shared" si="1"/>
        <v/>
      </c>
      <c r="J755" s="90"/>
    </row>
    <row r="756" ht="15.75" customHeight="1">
      <c r="A756" s="110"/>
      <c r="B756" s="114"/>
      <c r="C756" s="112"/>
      <c r="D756" s="112"/>
      <c r="E756" s="109" t="str">
        <f t="shared" si="1"/>
        <v/>
      </c>
      <c r="J756" s="90"/>
    </row>
    <row r="757" ht="15.75" customHeight="1">
      <c r="A757" s="110"/>
      <c r="B757" s="114"/>
      <c r="C757" s="112"/>
      <c r="D757" s="112"/>
      <c r="E757" s="109" t="str">
        <f t="shared" si="1"/>
        <v/>
      </c>
      <c r="J757" s="90"/>
    </row>
    <row r="758" ht="15.75" customHeight="1">
      <c r="A758" s="110"/>
      <c r="B758" s="114"/>
      <c r="C758" s="112"/>
      <c r="D758" s="112"/>
      <c r="E758" s="109" t="str">
        <f t="shared" si="1"/>
        <v/>
      </c>
      <c r="J758" s="90"/>
    </row>
    <row r="759" ht="15.75" customHeight="1">
      <c r="A759" s="110"/>
      <c r="B759" s="114"/>
      <c r="C759" s="112"/>
      <c r="D759" s="112"/>
      <c r="E759" s="109" t="str">
        <f t="shared" si="1"/>
        <v/>
      </c>
      <c r="J759" s="90"/>
    </row>
    <row r="760" ht="15.75" customHeight="1">
      <c r="A760" s="110"/>
      <c r="B760" s="114"/>
      <c r="C760" s="112"/>
      <c r="D760" s="112"/>
      <c r="E760" s="109" t="str">
        <f t="shared" si="1"/>
        <v/>
      </c>
      <c r="J760" s="90"/>
    </row>
    <row r="761" ht="15.75" customHeight="1">
      <c r="A761" s="110"/>
      <c r="B761" s="114"/>
      <c r="C761" s="112"/>
      <c r="D761" s="112"/>
      <c r="E761" s="109" t="str">
        <f t="shared" si="1"/>
        <v/>
      </c>
      <c r="J761" s="90"/>
    </row>
    <row r="762" ht="15.75" customHeight="1">
      <c r="A762" s="110"/>
      <c r="B762" s="114"/>
      <c r="C762" s="112"/>
      <c r="D762" s="112"/>
      <c r="E762" s="109" t="str">
        <f t="shared" si="1"/>
        <v/>
      </c>
      <c r="J762" s="90"/>
    </row>
    <row r="763" ht="15.75" customHeight="1">
      <c r="A763" s="110"/>
      <c r="B763" s="114"/>
      <c r="C763" s="112"/>
      <c r="D763" s="112"/>
      <c r="E763" s="109" t="str">
        <f t="shared" si="1"/>
        <v/>
      </c>
      <c r="J763" s="90"/>
    </row>
    <row r="764" ht="15.75" customHeight="1">
      <c r="A764" s="110"/>
      <c r="B764" s="114"/>
      <c r="C764" s="112"/>
      <c r="D764" s="112"/>
      <c r="E764" s="109" t="str">
        <f t="shared" si="1"/>
        <v/>
      </c>
      <c r="J764" s="90"/>
    </row>
    <row r="765" ht="15.75" customHeight="1">
      <c r="A765" s="110"/>
      <c r="B765" s="114"/>
      <c r="C765" s="112"/>
      <c r="D765" s="112"/>
      <c r="E765" s="109" t="str">
        <f t="shared" si="1"/>
        <v/>
      </c>
      <c r="J765" s="90"/>
    </row>
    <row r="766" ht="15.75" customHeight="1">
      <c r="A766" s="110"/>
      <c r="B766" s="114"/>
      <c r="C766" s="112"/>
      <c r="D766" s="112"/>
      <c r="E766" s="109" t="str">
        <f t="shared" si="1"/>
        <v/>
      </c>
      <c r="J766" s="90"/>
    </row>
    <row r="767" ht="15.75" customHeight="1">
      <c r="A767" s="110"/>
      <c r="B767" s="114"/>
      <c r="C767" s="112"/>
      <c r="D767" s="112"/>
      <c r="E767" s="109" t="str">
        <f t="shared" si="1"/>
        <v/>
      </c>
      <c r="J767" s="90"/>
    </row>
    <row r="768" ht="15.75" customHeight="1">
      <c r="A768" s="110"/>
      <c r="B768" s="114"/>
      <c r="C768" s="112"/>
      <c r="D768" s="112"/>
      <c r="E768" s="109" t="str">
        <f t="shared" si="1"/>
        <v/>
      </c>
      <c r="J768" s="90"/>
    </row>
    <row r="769" ht="15.75" customHeight="1">
      <c r="A769" s="110"/>
      <c r="B769" s="114"/>
      <c r="C769" s="112"/>
      <c r="D769" s="112"/>
      <c r="E769" s="109" t="str">
        <f t="shared" si="1"/>
        <v/>
      </c>
      <c r="J769" s="90"/>
    </row>
    <row r="770" ht="15.75" customHeight="1">
      <c r="A770" s="110"/>
      <c r="B770" s="114"/>
      <c r="C770" s="112"/>
      <c r="D770" s="112"/>
      <c r="E770" s="109" t="str">
        <f t="shared" si="1"/>
        <v/>
      </c>
      <c r="J770" s="90"/>
    </row>
    <row r="771" ht="15.75" customHeight="1">
      <c r="A771" s="110"/>
      <c r="B771" s="114"/>
      <c r="C771" s="112"/>
      <c r="D771" s="112"/>
      <c r="E771" s="109" t="str">
        <f t="shared" si="1"/>
        <v/>
      </c>
      <c r="J771" s="90"/>
    </row>
    <row r="772" ht="15.75" customHeight="1">
      <c r="A772" s="110"/>
      <c r="B772" s="114"/>
      <c r="C772" s="112"/>
      <c r="D772" s="112"/>
      <c r="E772" s="109" t="str">
        <f t="shared" si="1"/>
        <v/>
      </c>
      <c r="J772" s="90"/>
    </row>
    <row r="773" ht="15.75" customHeight="1">
      <c r="A773" s="110"/>
      <c r="B773" s="114"/>
      <c r="C773" s="112"/>
      <c r="D773" s="112"/>
      <c r="E773" s="109" t="str">
        <f t="shared" si="1"/>
        <v/>
      </c>
      <c r="J773" s="90"/>
    </row>
    <row r="774" ht="15.75" customHeight="1">
      <c r="A774" s="110"/>
      <c r="B774" s="114"/>
      <c r="C774" s="112"/>
      <c r="D774" s="112"/>
      <c r="E774" s="109" t="str">
        <f t="shared" si="1"/>
        <v/>
      </c>
      <c r="J774" s="90"/>
    </row>
    <row r="775" ht="15.75" customHeight="1">
      <c r="A775" s="110"/>
      <c r="B775" s="114"/>
      <c r="C775" s="112"/>
      <c r="D775" s="112"/>
      <c r="E775" s="109" t="str">
        <f t="shared" si="1"/>
        <v/>
      </c>
      <c r="J775" s="90"/>
    </row>
    <row r="776" ht="15.75" customHeight="1">
      <c r="A776" s="110"/>
      <c r="B776" s="114"/>
      <c r="C776" s="112"/>
      <c r="D776" s="112"/>
      <c r="E776" s="109" t="str">
        <f t="shared" si="1"/>
        <v/>
      </c>
      <c r="J776" s="90"/>
    </row>
    <row r="777" ht="15.75" customHeight="1">
      <c r="A777" s="110"/>
      <c r="B777" s="114"/>
      <c r="C777" s="112"/>
      <c r="D777" s="112"/>
      <c r="E777" s="109" t="str">
        <f t="shared" si="1"/>
        <v/>
      </c>
      <c r="J777" s="90"/>
    </row>
    <row r="778" ht="15.75" customHeight="1">
      <c r="A778" s="110"/>
      <c r="B778" s="114"/>
      <c r="C778" s="112"/>
      <c r="D778" s="112"/>
      <c r="E778" s="109" t="str">
        <f t="shared" si="1"/>
        <v/>
      </c>
      <c r="J778" s="90"/>
    </row>
    <row r="779" ht="15.75" customHeight="1">
      <c r="A779" s="110"/>
      <c r="B779" s="114"/>
      <c r="C779" s="112"/>
      <c r="D779" s="112"/>
      <c r="E779" s="109" t="str">
        <f t="shared" si="1"/>
        <v/>
      </c>
      <c r="J779" s="90"/>
    </row>
    <row r="780" ht="15.75" customHeight="1">
      <c r="A780" s="110"/>
      <c r="B780" s="114"/>
      <c r="C780" s="112"/>
      <c r="D780" s="112"/>
      <c r="E780" s="109" t="str">
        <f t="shared" si="1"/>
        <v/>
      </c>
      <c r="J780" s="90"/>
    </row>
    <row r="781" ht="15.75" customHeight="1">
      <c r="A781" s="110"/>
      <c r="B781" s="114"/>
      <c r="C781" s="112"/>
      <c r="D781" s="112"/>
      <c r="E781" s="109" t="str">
        <f t="shared" si="1"/>
        <v/>
      </c>
      <c r="J781" s="90"/>
    </row>
    <row r="782" ht="15.75" customHeight="1">
      <c r="A782" s="110"/>
      <c r="B782" s="114"/>
      <c r="C782" s="112"/>
      <c r="D782" s="112"/>
      <c r="E782" s="109" t="str">
        <f t="shared" si="1"/>
        <v/>
      </c>
      <c r="J782" s="90"/>
    </row>
    <row r="783" ht="15.75" customHeight="1">
      <c r="A783" s="110"/>
      <c r="B783" s="114"/>
      <c r="C783" s="112"/>
      <c r="D783" s="112"/>
      <c r="E783" s="109" t="str">
        <f t="shared" si="1"/>
        <v/>
      </c>
      <c r="J783" s="90"/>
    </row>
    <row r="784" ht="15.75" customHeight="1">
      <c r="A784" s="110"/>
      <c r="B784" s="114"/>
      <c r="C784" s="112"/>
      <c r="D784" s="112"/>
      <c r="E784" s="109" t="str">
        <f t="shared" si="1"/>
        <v/>
      </c>
      <c r="J784" s="90"/>
    </row>
    <row r="785" ht="15.75" customHeight="1">
      <c r="A785" s="110"/>
      <c r="B785" s="114"/>
      <c r="C785" s="112"/>
      <c r="D785" s="112"/>
      <c r="E785" s="109" t="str">
        <f t="shared" si="1"/>
        <v/>
      </c>
      <c r="J785" s="90"/>
    </row>
    <row r="786" ht="15.75" customHeight="1">
      <c r="A786" s="110"/>
      <c r="B786" s="114"/>
      <c r="C786" s="112"/>
      <c r="D786" s="112"/>
      <c r="E786" s="109" t="str">
        <f t="shared" si="1"/>
        <v/>
      </c>
      <c r="J786" s="90"/>
    </row>
    <row r="787" ht="15.75" customHeight="1">
      <c r="A787" s="110"/>
      <c r="B787" s="114"/>
      <c r="C787" s="112"/>
      <c r="D787" s="112"/>
      <c r="E787" s="109" t="str">
        <f t="shared" si="1"/>
        <v/>
      </c>
      <c r="J787" s="90"/>
    </row>
    <row r="788" ht="15.75" customHeight="1">
      <c r="A788" s="110"/>
      <c r="B788" s="114"/>
      <c r="C788" s="112"/>
      <c r="D788" s="112"/>
      <c r="E788" s="109" t="str">
        <f t="shared" si="1"/>
        <v/>
      </c>
      <c r="J788" s="90"/>
    </row>
    <row r="789" ht="15.75" customHeight="1">
      <c r="A789" s="110"/>
      <c r="B789" s="114"/>
      <c r="C789" s="112"/>
      <c r="D789" s="112"/>
      <c r="E789" s="109" t="str">
        <f t="shared" si="1"/>
        <v/>
      </c>
      <c r="J789" s="90"/>
    </row>
    <row r="790" ht="15.75" customHeight="1">
      <c r="A790" s="110"/>
      <c r="B790" s="114"/>
      <c r="C790" s="112"/>
      <c r="D790" s="112"/>
      <c r="E790" s="109" t="str">
        <f t="shared" si="1"/>
        <v/>
      </c>
      <c r="J790" s="90"/>
    </row>
    <row r="791" ht="15.75" customHeight="1">
      <c r="A791" s="110"/>
      <c r="B791" s="114"/>
      <c r="C791" s="112"/>
      <c r="D791" s="112"/>
      <c r="E791" s="109" t="str">
        <f t="shared" si="1"/>
        <v/>
      </c>
      <c r="J791" s="90"/>
    </row>
    <row r="792" ht="15.75" customHeight="1">
      <c r="A792" s="110"/>
      <c r="B792" s="114"/>
      <c r="C792" s="112"/>
      <c r="D792" s="112"/>
      <c r="E792" s="109" t="str">
        <f t="shared" si="1"/>
        <v/>
      </c>
      <c r="J792" s="90"/>
    </row>
    <row r="793" ht="15.75" customHeight="1">
      <c r="A793" s="110"/>
      <c r="B793" s="114"/>
      <c r="C793" s="112"/>
      <c r="D793" s="112"/>
      <c r="E793" s="109" t="str">
        <f t="shared" si="1"/>
        <v/>
      </c>
      <c r="J793" s="90"/>
    </row>
    <row r="794" ht="15.75" customHeight="1">
      <c r="A794" s="110"/>
      <c r="B794" s="114"/>
      <c r="C794" s="112"/>
      <c r="D794" s="112"/>
      <c r="E794" s="109" t="str">
        <f t="shared" si="1"/>
        <v/>
      </c>
      <c r="J794" s="90"/>
    </row>
    <row r="795" ht="15.75" customHeight="1">
      <c r="A795" s="110"/>
      <c r="B795" s="114"/>
      <c r="C795" s="112"/>
      <c r="D795" s="112"/>
      <c r="E795" s="109" t="str">
        <f t="shared" si="1"/>
        <v/>
      </c>
      <c r="J795" s="90"/>
    </row>
    <row r="796" ht="15.75" customHeight="1">
      <c r="A796" s="110"/>
      <c r="B796" s="114"/>
      <c r="C796" s="112"/>
      <c r="D796" s="112"/>
      <c r="E796" s="109" t="str">
        <f t="shared" si="1"/>
        <v/>
      </c>
      <c r="J796" s="90"/>
    </row>
    <row r="797" ht="15.75" customHeight="1">
      <c r="A797" s="110"/>
      <c r="B797" s="114"/>
      <c r="C797" s="112"/>
      <c r="D797" s="112"/>
      <c r="E797" s="109" t="str">
        <f t="shared" si="1"/>
        <v/>
      </c>
      <c r="J797" s="90"/>
    </row>
    <row r="798" ht="15.75" customHeight="1">
      <c r="A798" s="110"/>
      <c r="B798" s="114"/>
      <c r="C798" s="112"/>
      <c r="D798" s="112"/>
      <c r="E798" s="109" t="str">
        <f t="shared" si="1"/>
        <v/>
      </c>
      <c r="J798" s="90"/>
    </row>
    <row r="799" ht="15.75" customHeight="1">
      <c r="A799" s="110"/>
      <c r="B799" s="114"/>
      <c r="C799" s="112"/>
      <c r="D799" s="112"/>
      <c r="E799" s="109" t="str">
        <f t="shared" si="1"/>
        <v/>
      </c>
      <c r="J799" s="90"/>
    </row>
    <row r="800" ht="15.75" customHeight="1">
      <c r="A800" s="110"/>
      <c r="B800" s="114"/>
      <c r="C800" s="112"/>
      <c r="D800" s="112"/>
      <c r="E800" s="109" t="str">
        <f t="shared" si="1"/>
        <v/>
      </c>
      <c r="J800" s="90"/>
    </row>
    <row r="801" ht="15.75" customHeight="1">
      <c r="A801" s="110"/>
      <c r="B801" s="114"/>
      <c r="C801" s="112"/>
      <c r="D801" s="112"/>
      <c r="E801" s="109" t="str">
        <f t="shared" si="1"/>
        <v/>
      </c>
      <c r="J801" s="90"/>
    </row>
    <row r="802" ht="15.75" customHeight="1">
      <c r="A802" s="110"/>
      <c r="B802" s="114"/>
      <c r="C802" s="112"/>
      <c r="D802" s="112"/>
      <c r="E802" s="109" t="str">
        <f t="shared" si="1"/>
        <v/>
      </c>
      <c r="J802" s="90"/>
    </row>
    <row r="803" ht="15.75" customHeight="1">
      <c r="A803" s="110"/>
      <c r="B803" s="114"/>
      <c r="C803" s="112"/>
      <c r="D803" s="112"/>
      <c r="E803" s="109" t="str">
        <f t="shared" si="1"/>
        <v/>
      </c>
      <c r="J803" s="90"/>
    </row>
    <row r="804" ht="15.75" customHeight="1">
      <c r="A804" s="110"/>
      <c r="B804" s="114"/>
      <c r="C804" s="112"/>
      <c r="D804" s="112"/>
      <c r="E804" s="109" t="str">
        <f t="shared" si="1"/>
        <v/>
      </c>
      <c r="J804" s="90"/>
    </row>
    <row r="805" ht="15.75" customHeight="1">
      <c r="A805" s="110"/>
      <c r="B805" s="114"/>
      <c r="C805" s="112"/>
      <c r="D805" s="112"/>
      <c r="E805" s="109" t="str">
        <f t="shared" si="1"/>
        <v/>
      </c>
      <c r="J805" s="90"/>
    </row>
    <row r="806" ht="15.75" customHeight="1">
      <c r="A806" s="110"/>
      <c r="B806" s="114"/>
      <c r="C806" s="112"/>
      <c r="D806" s="112"/>
      <c r="E806" s="109" t="str">
        <f t="shared" si="1"/>
        <v/>
      </c>
      <c r="J806" s="90"/>
    </row>
    <row r="807" ht="15.75" customHeight="1">
      <c r="A807" s="110"/>
      <c r="B807" s="114"/>
      <c r="C807" s="112"/>
      <c r="D807" s="112"/>
      <c r="E807" s="109" t="str">
        <f t="shared" si="1"/>
        <v/>
      </c>
      <c r="J807" s="90"/>
    </row>
    <row r="808" ht="15.75" customHeight="1">
      <c r="A808" s="110"/>
      <c r="B808" s="114"/>
      <c r="C808" s="112"/>
      <c r="D808" s="112"/>
      <c r="E808" s="109" t="str">
        <f t="shared" si="1"/>
        <v/>
      </c>
      <c r="J808" s="90"/>
    </row>
    <row r="809" ht="15.75" customHeight="1">
      <c r="A809" s="110"/>
      <c r="B809" s="114"/>
      <c r="C809" s="112"/>
      <c r="D809" s="112"/>
      <c r="E809" s="109" t="str">
        <f t="shared" si="1"/>
        <v/>
      </c>
      <c r="J809" s="90"/>
    </row>
    <row r="810" ht="15.75" customHeight="1">
      <c r="A810" s="110"/>
      <c r="B810" s="114"/>
      <c r="C810" s="112"/>
      <c r="D810" s="112"/>
      <c r="E810" s="109" t="str">
        <f t="shared" si="1"/>
        <v/>
      </c>
      <c r="J810" s="90"/>
    </row>
    <row r="811" ht="15.75" customHeight="1">
      <c r="A811" s="110"/>
      <c r="B811" s="114"/>
      <c r="C811" s="112"/>
      <c r="D811" s="112"/>
      <c r="E811" s="109" t="str">
        <f t="shared" si="1"/>
        <v/>
      </c>
      <c r="J811" s="90"/>
    </row>
    <row r="812" ht="15.75" customHeight="1">
      <c r="A812" s="110"/>
      <c r="B812" s="114"/>
      <c r="C812" s="112"/>
      <c r="D812" s="112"/>
      <c r="E812" s="109" t="str">
        <f t="shared" si="1"/>
        <v/>
      </c>
      <c r="J812" s="90"/>
    </row>
    <row r="813" ht="15.75" customHeight="1">
      <c r="A813" s="110"/>
      <c r="B813" s="114"/>
      <c r="C813" s="112"/>
      <c r="D813" s="112"/>
      <c r="E813" s="109" t="str">
        <f t="shared" si="1"/>
        <v/>
      </c>
      <c r="J813" s="90"/>
    </row>
    <row r="814" ht="15.75" customHeight="1">
      <c r="A814" s="110"/>
      <c r="B814" s="114"/>
      <c r="C814" s="112"/>
      <c r="D814" s="112"/>
      <c r="E814" s="109" t="str">
        <f t="shared" si="1"/>
        <v/>
      </c>
      <c r="J814" s="90"/>
    </row>
    <row r="815" ht="15.75" customHeight="1">
      <c r="A815" s="110"/>
      <c r="B815" s="114"/>
      <c r="C815" s="112"/>
      <c r="D815" s="112"/>
      <c r="E815" s="109" t="str">
        <f t="shared" si="1"/>
        <v/>
      </c>
      <c r="J815" s="90"/>
    </row>
    <row r="816" ht="15.75" customHeight="1">
      <c r="A816" s="110"/>
      <c r="B816" s="114"/>
      <c r="C816" s="112"/>
      <c r="D816" s="112"/>
      <c r="E816" s="109" t="str">
        <f t="shared" si="1"/>
        <v/>
      </c>
      <c r="J816" s="90"/>
    </row>
    <row r="817" ht="15.75" customHeight="1">
      <c r="A817" s="110"/>
      <c r="B817" s="114"/>
      <c r="C817" s="112"/>
      <c r="D817" s="112"/>
      <c r="E817" s="109" t="str">
        <f t="shared" si="1"/>
        <v/>
      </c>
      <c r="J817" s="90"/>
    </row>
    <row r="818" ht="15.75" customHeight="1">
      <c r="A818" s="110"/>
      <c r="B818" s="114"/>
      <c r="C818" s="112"/>
      <c r="D818" s="112"/>
      <c r="E818" s="109" t="str">
        <f t="shared" si="1"/>
        <v/>
      </c>
      <c r="J818" s="90"/>
    </row>
    <row r="819" ht="15.75" customHeight="1">
      <c r="A819" s="110"/>
      <c r="B819" s="114"/>
      <c r="C819" s="112"/>
      <c r="D819" s="112"/>
      <c r="E819" s="109" t="str">
        <f t="shared" si="1"/>
        <v/>
      </c>
      <c r="J819" s="90"/>
    </row>
    <row r="820" ht="15.75" customHeight="1">
      <c r="A820" s="110"/>
      <c r="B820" s="114"/>
      <c r="C820" s="112"/>
      <c r="D820" s="112"/>
      <c r="E820" s="109" t="str">
        <f t="shared" si="1"/>
        <v/>
      </c>
      <c r="J820" s="90"/>
    </row>
    <row r="821" ht="15.75" customHeight="1">
      <c r="A821" s="110"/>
      <c r="B821" s="114"/>
      <c r="C821" s="112"/>
      <c r="D821" s="112"/>
      <c r="E821" s="109" t="str">
        <f t="shared" si="1"/>
        <v/>
      </c>
      <c r="J821" s="90"/>
    </row>
    <row r="822" ht="15.75" customHeight="1">
      <c r="A822" s="110"/>
      <c r="B822" s="114"/>
      <c r="C822" s="112"/>
      <c r="D822" s="112"/>
      <c r="E822" s="109" t="str">
        <f t="shared" si="1"/>
        <v/>
      </c>
      <c r="J822" s="90"/>
    </row>
    <row r="823" ht="15.75" customHeight="1">
      <c r="A823" s="110"/>
      <c r="B823" s="114"/>
      <c r="C823" s="112"/>
      <c r="D823" s="112"/>
      <c r="E823" s="109" t="str">
        <f t="shared" si="1"/>
        <v/>
      </c>
      <c r="J823" s="90"/>
    </row>
    <row r="824" ht="15.75" customHeight="1">
      <c r="A824" s="110"/>
      <c r="B824" s="114"/>
      <c r="C824" s="112"/>
      <c r="D824" s="112"/>
      <c r="E824" s="109" t="str">
        <f t="shared" si="1"/>
        <v/>
      </c>
      <c r="J824" s="90"/>
    </row>
    <row r="825" ht="15.75" customHeight="1">
      <c r="A825" s="110"/>
      <c r="B825" s="114"/>
      <c r="C825" s="112"/>
      <c r="D825" s="112"/>
      <c r="E825" s="109" t="str">
        <f t="shared" si="1"/>
        <v/>
      </c>
      <c r="J825" s="90"/>
    </row>
    <row r="826" ht="15.75" customHeight="1">
      <c r="A826" s="110"/>
      <c r="B826" s="114"/>
      <c r="C826" s="112"/>
      <c r="D826" s="112"/>
      <c r="E826" s="109" t="str">
        <f t="shared" si="1"/>
        <v/>
      </c>
      <c r="J826" s="90"/>
    </row>
    <row r="827" ht="15.75" customHeight="1">
      <c r="A827" s="110"/>
      <c r="B827" s="114"/>
      <c r="C827" s="112"/>
      <c r="D827" s="112"/>
      <c r="E827" s="109" t="str">
        <f t="shared" si="1"/>
        <v/>
      </c>
      <c r="J827" s="90"/>
    </row>
    <row r="828" ht="15.75" customHeight="1">
      <c r="A828" s="110"/>
      <c r="B828" s="114"/>
      <c r="C828" s="112"/>
      <c r="D828" s="112"/>
      <c r="E828" s="109" t="str">
        <f t="shared" si="1"/>
        <v/>
      </c>
      <c r="J828" s="90"/>
    </row>
    <row r="829" ht="15.75" customHeight="1">
      <c r="A829" s="110"/>
      <c r="B829" s="114"/>
      <c r="C829" s="112"/>
      <c r="D829" s="112"/>
      <c r="E829" s="109" t="str">
        <f t="shared" si="1"/>
        <v/>
      </c>
      <c r="J829" s="90"/>
    </row>
    <row r="830" ht="15.75" customHeight="1">
      <c r="A830" s="110"/>
      <c r="B830" s="114"/>
      <c r="C830" s="112"/>
      <c r="D830" s="112"/>
      <c r="E830" s="109" t="str">
        <f t="shared" si="1"/>
        <v/>
      </c>
      <c r="J830" s="90"/>
    </row>
    <row r="831" ht="15.75" customHeight="1">
      <c r="A831" s="110"/>
      <c r="B831" s="114"/>
      <c r="C831" s="112"/>
      <c r="D831" s="112"/>
      <c r="E831" s="109" t="str">
        <f t="shared" si="1"/>
        <v/>
      </c>
      <c r="J831" s="90"/>
    </row>
    <row r="832" ht="15.75" customHeight="1">
      <c r="A832" s="110"/>
      <c r="B832" s="114"/>
      <c r="C832" s="112"/>
      <c r="D832" s="112"/>
      <c r="E832" s="109" t="str">
        <f t="shared" si="1"/>
        <v/>
      </c>
      <c r="J832" s="90"/>
    </row>
    <row r="833" ht="15.75" customHeight="1">
      <c r="A833" s="110"/>
      <c r="B833" s="114"/>
      <c r="C833" s="112"/>
      <c r="D833" s="112"/>
      <c r="E833" s="109" t="str">
        <f t="shared" si="1"/>
        <v/>
      </c>
      <c r="J833" s="90"/>
    </row>
    <row r="834" ht="15.75" customHeight="1">
      <c r="A834" s="110"/>
      <c r="B834" s="114"/>
      <c r="C834" s="112"/>
      <c r="D834" s="112"/>
      <c r="E834" s="109" t="str">
        <f t="shared" si="1"/>
        <v/>
      </c>
      <c r="J834" s="90"/>
    </row>
    <row r="835" ht="15.75" customHeight="1">
      <c r="A835" s="110"/>
      <c r="B835" s="114"/>
      <c r="C835" s="112"/>
      <c r="D835" s="112"/>
      <c r="E835" s="109" t="str">
        <f t="shared" si="1"/>
        <v/>
      </c>
      <c r="J835" s="90"/>
    </row>
    <row r="836" ht="15.75" customHeight="1">
      <c r="A836" s="110"/>
      <c r="B836" s="114"/>
      <c r="C836" s="112"/>
      <c r="D836" s="112"/>
      <c r="E836" s="109" t="str">
        <f t="shared" si="1"/>
        <v/>
      </c>
      <c r="J836" s="90"/>
    </row>
    <row r="837" ht="15.75" customHeight="1">
      <c r="A837" s="110"/>
      <c r="B837" s="114"/>
      <c r="C837" s="112"/>
      <c r="D837" s="112"/>
      <c r="E837" s="109" t="str">
        <f t="shared" si="1"/>
        <v/>
      </c>
      <c r="J837" s="90"/>
    </row>
    <row r="838" ht="15.75" customHeight="1">
      <c r="A838" s="110"/>
      <c r="B838" s="114"/>
      <c r="C838" s="112"/>
      <c r="D838" s="112"/>
      <c r="E838" s="109" t="str">
        <f t="shared" si="1"/>
        <v/>
      </c>
      <c r="J838" s="90"/>
    </row>
    <row r="839" ht="15.75" customHeight="1">
      <c r="A839" s="110"/>
      <c r="B839" s="114"/>
      <c r="C839" s="112"/>
      <c r="D839" s="112"/>
      <c r="E839" s="109" t="str">
        <f t="shared" si="1"/>
        <v/>
      </c>
      <c r="J839" s="90"/>
    </row>
    <row r="840" ht="15.75" customHeight="1">
      <c r="A840" s="110"/>
      <c r="B840" s="114"/>
      <c r="C840" s="112"/>
      <c r="D840" s="112"/>
      <c r="E840" s="109" t="str">
        <f t="shared" si="1"/>
        <v/>
      </c>
      <c r="J840" s="90"/>
    </row>
    <row r="841" ht="15.75" customHeight="1">
      <c r="A841" s="110"/>
      <c r="B841" s="114"/>
      <c r="C841" s="112"/>
      <c r="D841" s="112"/>
      <c r="E841" s="109" t="str">
        <f t="shared" si="1"/>
        <v/>
      </c>
      <c r="J841" s="90"/>
    </row>
    <row r="842" ht="15.75" customHeight="1">
      <c r="A842" s="110"/>
      <c r="B842" s="114"/>
      <c r="C842" s="112"/>
      <c r="D842" s="112"/>
      <c r="E842" s="109" t="str">
        <f t="shared" si="1"/>
        <v/>
      </c>
      <c r="J842" s="90"/>
    </row>
    <row r="843" ht="15.75" customHeight="1">
      <c r="A843" s="110"/>
      <c r="B843" s="114"/>
      <c r="C843" s="112"/>
      <c r="D843" s="112"/>
      <c r="E843" s="109" t="str">
        <f t="shared" si="1"/>
        <v/>
      </c>
      <c r="J843" s="90"/>
    </row>
    <row r="844" ht="15.75" customHeight="1">
      <c r="A844" s="110"/>
      <c r="B844" s="114"/>
      <c r="C844" s="112"/>
      <c r="D844" s="112"/>
      <c r="E844" s="109" t="str">
        <f t="shared" si="1"/>
        <v/>
      </c>
      <c r="J844" s="90"/>
    </row>
    <row r="845" ht="15.75" customHeight="1">
      <c r="A845" s="110"/>
      <c r="B845" s="114"/>
      <c r="C845" s="112"/>
      <c r="D845" s="112"/>
      <c r="E845" s="109" t="str">
        <f t="shared" si="1"/>
        <v/>
      </c>
      <c r="J845" s="90"/>
    </row>
    <row r="846" ht="15.75" customHeight="1">
      <c r="A846" s="110"/>
      <c r="B846" s="114"/>
      <c r="C846" s="112"/>
      <c r="D846" s="112"/>
      <c r="E846" s="109" t="str">
        <f t="shared" si="1"/>
        <v/>
      </c>
      <c r="J846" s="90"/>
    </row>
    <row r="847" ht="15.75" customHeight="1">
      <c r="A847" s="110"/>
      <c r="B847" s="114"/>
      <c r="C847" s="112"/>
      <c r="D847" s="112"/>
      <c r="E847" s="109" t="str">
        <f t="shared" si="1"/>
        <v/>
      </c>
      <c r="J847" s="90"/>
    </row>
    <row r="848" ht="15.75" customHeight="1">
      <c r="A848" s="110"/>
      <c r="B848" s="114"/>
      <c r="C848" s="112"/>
      <c r="D848" s="112"/>
      <c r="E848" s="109" t="str">
        <f t="shared" si="1"/>
        <v/>
      </c>
      <c r="J848" s="90"/>
    </row>
    <row r="849" ht="15.75" customHeight="1">
      <c r="A849" s="110"/>
      <c r="B849" s="114"/>
      <c r="C849" s="112"/>
      <c r="D849" s="112"/>
      <c r="E849" s="109" t="str">
        <f t="shared" si="1"/>
        <v/>
      </c>
      <c r="J849" s="90"/>
    </row>
    <row r="850" ht="15.75" customHeight="1">
      <c r="A850" s="110"/>
      <c r="B850" s="114"/>
      <c r="C850" s="112"/>
      <c r="D850" s="112"/>
      <c r="E850" s="109" t="str">
        <f t="shared" si="1"/>
        <v/>
      </c>
      <c r="J850" s="90"/>
    </row>
    <row r="851" ht="15.75" customHeight="1">
      <c r="A851" s="110"/>
      <c r="B851" s="114"/>
      <c r="C851" s="112"/>
      <c r="D851" s="112"/>
      <c r="E851" s="109" t="str">
        <f t="shared" si="1"/>
        <v/>
      </c>
      <c r="J851" s="90"/>
    </row>
    <row r="852" ht="15.75" customHeight="1">
      <c r="A852" s="110"/>
      <c r="B852" s="114"/>
      <c r="C852" s="112"/>
      <c r="D852" s="112"/>
      <c r="E852" s="109" t="str">
        <f t="shared" si="1"/>
        <v/>
      </c>
      <c r="J852" s="90"/>
    </row>
    <row r="853" ht="15.75" customHeight="1">
      <c r="A853" s="110"/>
      <c r="B853" s="114"/>
      <c r="C853" s="112"/>
      <c r="D853" s="112"/>
      <c r="E853" s="109" t="str">
        <f t="shared" si="1"/>
        <v/>
      </c>
      <c r="J853" s="90"/>
    </row>
    <row r="854" ht="15.75" customHeight="1">
      <c r="A854" s="110"/>
      <c r="B854" s="114"/>
      <c r="C854" s="112"/>
      <c r="D854" s="112"/>
      <c r="E854" s="109" t="str">
        <f t="shared" si="1"/>
        <v/>
      </c>
      <c r="J854" s="90"/>
    </row>
    <row r="855" ht="15.75" customHeight="1">
      <c r="A855" s="110"/>
      <c r="B855" s="114"/>
      <c r="C855" s="112"/>
      <c r="D855" s="112"/>
      <c r="E855" s="109" t="str">
        <f t="shared" si="1"/>
        <v/>
      </c>
      <c r="J855" s="90"/>
    </row>
    <row r="856" ht="15.75" customHeight="1">
      <c r="A856" s="110"/>
      <c r="B856" s="114"/>
      <c r="C856" s="112"/>
      <c r="D856" s="112"/>
      <c r="E856" s="109" t="str">
        <f t="shared" si="1"/>
        <v/>
      </c>
      <c r="J856" s="90"/>
    </row>
    <row r="857" ht="15.75" customHeight="1">
      <c r="A857" s="110"/>
      <c r="B857" s="114"/>
      <c r="C857" s="112"/>
      <c r="D857" s="112"/>
      <c r="E857" s="109" t="str">
        <f t="shared" si="1"/>
        <v/>
      </c>
      <c r="J857" s="90"/>
    </row>
    <row r="858" ht="15.75" customHeight="1">
      <c r="A858" s="110"/>
      <c r="B858" s="114"/>
      <c r="C858" s="112"/>
      <c r="D858" s="112"/>
      <c r="E858" s="109" t="str">
        <f t="shared" si="1"/>
        <v/>
      </c>
      <c r="J858" s="90"/>
    </row>
    <row r="859" ht="15.75" customHeight="1">
      <c r="A859" s="110"/>
      <c r="B859" s="114"/>
      <c r="C859" s="112"/>
      <c r="D859" s="112"/>
      <c r="E859" s="109" t="str">
        <f t="shared" si="1"/>
        <v/>
      </c>
      <c r="J859" s="90"/>
    </row>
    <row r="860" ht="15.75" customHeight="1">
      <c r="A860" s="110"/>
      <c r="B860" s="114"/>
      <c r="C860" s="112"/>
      <c r="D860" s="112"/>
      <c r="E860" s="109" t="str">
        <f t="shared" si="1"/>
        <v/>
      </c>
      <c r="J860" s="90"/>
    </row>
    <row r="861" ht="15.75" customHeight="1">
      <c r="A861" s="110"/>
      <c r="B861" s="114"/>
      <c r="C861" s="112"/>
      <c r="D861" s="112"/>
      <c r="E861" s="109" t="str">
        <f t="shared" si="1"/>
        <v/>
      </c>
      <c r="J861" s="90"/>
    </row>
    <row r="862" ht="15.75" customHeight="1">
      <c r="A862" s="110"/>
      <c r="B862" s="114"/>
      <c r="C862" s="112"/>
      <c r="D862" s="112"/>
      <c r="E862" s="109" t="str">
        <f t="shared" si="1"/>
        <v/>
      </c>
      <c r="J862" s="90"/>
    </row>
    <row r="863" ht="15.75" customHeight="1">
      <c r="A863" s="110"/>
      <c r="B863" s="114"/>
      <c r="C863" s="112"/>
      <c r="D863" s="112"/>
      <c r="E863" s="109" t="str">
        <f t="shared" si="1"/>
        <v/>
      </c>
      <c r="J863" s="90"/>
    </row>
    <row r="864" ht="15.75" customHeight="1">
      <c r="A864" s="110"/>
      <c r="B864" s="114"/>
      <c r="C864" s="112"/>
      <c r="D864" s="112"/>
      <c r="E864" s="109" t="str">
        <f t="shared" si="1"/>
        <v/>
      </c>
      <c r="J864" s="90"/>
    </row>
    <row r="865" ht="15.75" customHeight="1">
      <c r="A865" s="110"/>
      <c r="B865" s="114"/>
      <c r="C865" s="112"/>
      <c r="D865" s="112"/>
      <c r="E865" s="109" t="str">
        <f t="shared" si="1"/>
        <v/>
      </c>
      <c r="J865" s="90"/>
    </row>
    <row r="866" ht="15.75" customHeight="1">
      <c r="A866" s="110"/>
      <c r="B866" s="114"/>
      <c r="C866" s="112"/>
      <c r="D866" s="112"/>
      <c r="E866" s="109" t="str">
        <f t="shared" si="1"/>
        <v/>
      </c>
      <c r="J866" s="90"/>
    </row>
    <row r="867" ht="15.75" customHeight="1">
      <c r="A867" s="110"/>
      <c r="B867" s="114"/>
      <c r="C867" s="112"/>
      <c r="D867" s="112"/>
      <c r="E867" s="109" t="str">
        <f t="shared" si="1"/>
        <v/>
      </c>
      <c r="J867" s="90"/>
    </row>
    <row r="868" ht="15.75" customHeight="1">
      <c r="A868" s="110"/>
      <c r="B868" s="114"/>
      <c r="C868" s="112"/>
      <c r="D868" s="112"/>
      <c r="E868" s="109" t="str">
        <f t="shared" si="1"/>
        <v/>
      </c>
      <c r="J868" s="90"/>
    </row>
    <row r="869" ht="15.75" customHeight="1">
      <c r="A869" s="110"/>
      <c r="B869" s="114"/>
      <c r="C869" s="112"/>
      <c r="D869" s="112"/>
      <c r="E869" s="109" t="str">
        <f t="shared" si="1"/>
        <v/>
      </c>
      <c r="J869" s="90"/>
    </row>
    <row r="870" ht="15.75" customHeight="1">
      <c r="A870" s="110"/>
      <c r="B870" s="114"/>
      <c r="C870" s="112"/>
      <c r="D870" s="112"/>
      <c r="E870" s="109" t="str">
        <f t="shared" si="1"/>
        <v/>
      </c>
      <c r="J870" s="90"/>
    </row>
    <row r="871" ht="15.75" customHeight="1">
      <c r="A871" s="110"/>
      <c r="B871" s="114"/>
      <c r="C871" s="112"/>
      <c r="D871" s="112"/>
      <c r="E871" s="109" t="str">
        <f t="shared" si="1"/>
        <v/>
      </c>
      <c r="J871" s="90"/>
    </row>
    <row r="872" ht="15.75" customHeight="1">
      <c r="A872" s="110"/>
      <c r="B872" s="114"/>
      <c r="C872" s="112"/>
      <c r="D872" s="112"/>
      <c r="E872" s="109" t="str">
        <f t="shared" si="1"/>
        <v/>
      </c>
      <c r="J872" s="90"/>
    </row>
    <row r="873" ht="15.75" customHeight="1">
      <c r="A873" s="110"/>
      <c r="B873" s="114"/>
      <c r="C873" s="112"/>
      <c r="D873" s="112"/>
      <c r="E873" s="109" t="str">
        <f t="shared" si="1"/>
        <v/>
      </c>
      <c r="J873" s="90"/>
    </row>
    <row r="874" ht="15.75" customHeight="1">
      <c r="A874" s="110"/>
      <c r="B874" s="114"/>
      <c r="C874" s="112"/>
      <c r="D874" s="112"/>
      <c r="E874" s="109" t="str">
        <f t="shared" si="1"/>
        <v/>
      </c>
      <c r="J874" s="90"/>
    </row>
    <row r="875" ht="15.75" customHeight="1">
      <c r="A875" s="110"/>
      <c r="B875" s="114"/>
      <c r="C875" s="112"/>
      <c r="D875" s="112"/>
      <c r="E875" s="109" t="str">
        <f t="shared" si="1"/>
        <v/>
      </c>
      <c r="J875" s="90"/>
    </row>
    <row r="876" ht="15.75" customHeight="1">
      <c r="A876" s="110"/>
      <c r="B876" s="114"/>
      <c r="C876" s="112"/>
      <c r="D876" s="112"/>
      <c r="E876" s="109" t="str">
        <f t="shared" si="1"/>
        <v/>
      </c>
      <c r="J876" s="90"/>
    </row>
    <row r="877" ht="15.75" customHeight="1">
      <c r="A877" s="110"/>
      <c r="B877" s="114"/>
      <c r="C877" s="112"/>
      <c r="D877" s="112"/>
      <c r="E877" s="109" t="str">
        <f t="shared" si="1"/>
        <v/>
      </c>
      <c r="J877" s="90"/>
    </row>
    <row r="878" ht="15.75" customHeight="1">
      <c r="A878" s="110"/>
      <c r="B878" s="114"/>
      <c r="C878" s="112"/>
      <c r="D878" s="112"/>
      <c r="E878" s="109" t="str">
        <f t="shared" si="1"/>
        <v/>
      </c>
      <c r="J878" s="90"/>
    </row>
    <row r="879" ht="15.75" customHeight="1">
      <c r="A879" s="110"/>
      <c r="B879" s="114"/>
      <c r="C879" s="112"/>
      <c r="D879" s="112"/>
      <c r="E879" s="109" t="str">
        <f t="shared" si="1"/>
        <v/>
      </c>
      <c r="J879" s="90"/>
    </row>
    <row r="880" ht="15.75" customHeight="1">
      <c r="A880" s="110"/>
      <c r="B880" s="114"/>
      <c r="C880" s="112"/>
      <c r="D880" s="112"/>
      <c r="E880" s="109" t="str">
        <f t="shared" si="1"/>
        <v/>
      </c>
      <c r="J880" s="90"/>
    </row>
    <row r="881" ht="15.75" customHeight="1">
      <c r="A881" s="110"/>
      <c r="B881" s="114"/>
      <c r="C881" s="112"/>
      <c r="D881" s="112"/>
      <c r="E881" s="109" t="str">
        <f t="shared" si="1"/>
        <v/>
      </c>
      <c r="J881" s="90"/>
    </row>
    <row r="882" ht="15.75" customHeight="1">
      <c r="A882" s="110"/>
      <c r="B882" s="114"/>
      <c r="C882" s="112"/>
      <c r="D882" s="112"/>
      <c r="E882" s="109" t="str">
        <f t="shared" si="1"/>
        <v/>
      </c>
      <c r="J882" s="90"/>
    </row>
    <row r="883" ht="15.75" customHeight="1">
      <c r="A883" s="110"/>
      <c r="B883" s="114"/>
      <c r="C883" s="112"/>
      <c r="D883" s="112"/>
      <c r="E883" s="109" t="str">
        <f t="shared" si="1"/>
        <v/>
      </c>
      <c r="J883" s="90"/>
    </row>
    <row r="884" ht="15.75" customHeight="1">
      <c r="A884" s="110"/>
      <c r="B884" s="114"/>
      <c r="C884" s="112"/>
      <c r="D884" s="112"/>
      <c r="E884" s="109" t="str">
        <f t="shared" si="1"/>
        <v/>
      </c>
      <c r="J884" s="90"/>
    </row>
    <row r="885" ht="15.75" customHeight="1">
      <c r="A885" s="110"/>
      <c r="B885" s="114"/>
      <c r="C885" s="112"/>
      <c r="D885" s="112"/>
      <c r="E885" s="109" t="str">
        <f t="shared" si="1"/>
        <v/>
      </c>
      <c r="J885" s="90"/>
    </row>
    <row r="886" ht="15.75" customHeight="1">
      <c r="A886" s="110"/>
      <c r="B886" s="114"/>
      <c r="C886" s="112"/>
      <c r="D886" s="112"/>
      <c r="E886" s="109" t="str">
        <f t="shared" si="1"/>
        <v/>
      </c>
      <c r="J886" s="90"/>
    </row>
    <row r="887" ht="15.75" customHeight="1">
      <c r="A887" s="110"/>
      <c r="B887" s="114"/>
      <c r="C887" s="112"/>
      <c r="D887" s="112"/>
      <c r="E887" s="109" t="str">
        <f t="shared" si="1"/>
        <v/>
      </c>
      <c r="J887" s="90"/>
    </row>
    <row r="888" ht="15.75" customHeight="1">
      <c r="A888" s="110"/>
      <c r="B888" s="114"/>
      <c r="C888" s="112"/>
      <c r="D888" s="112"/>
      <c r="E888" s="109" t="str">
        <f t="shared" si="1"/>
        <v/>
      </c>
      <c r="J888" s="90"/>
    </row>
    <row r="889" ht="15.75" customHeight="1">
      <c r="A889" s="110"/>
      <c r="B889" s="114"/>
      <c r="C889" s="112"/>
      <c r="D889" s="112"/>
      <c r="E889" s="109" t="str">
        <f t="shared" si="1"/>
        <v/>
      </c>
      <c r="J889" s="90"/>
    </row>
    <row r="890" ht="15.75" customHeight="1">
      <c r="A890" s="110"/>
      <c r="B890" s="114"/>
      <c r="C890" s="112"/>
      <c r="D890" s="112"/>
      <c r="E890" s="109" t="str">
        <f t="shared" si="1"/>
        <v/>
      </c>
      <c r="J890" s="90"/>
    </row>
    <row r="891" ht="15.75" customHeight="1">
      <c r="A891" s="110"/>
      <c r="B891" s="114"/>
      <c r="C891" s="112"/>
      <c r="D891" s="112"/>
      <c r="E891" s="109" t="str">
        <f t="shared" si="1"/>
        <v/>
      </c>
      <c r="J891" s="90"/>
    </row>
    <row r="892" ht="15.75" customHeight="1">
      <c r="A892" s="110"/>
      <c r="B892" s="114"/>
      <c r="C892" s="112"/>
      <c r="D892" s="112"/>
      <c r="E892" s="109" t="str">
        <f t="shared" si="1"/>
        <v/>
      </c>
      <c r="J892" s="90"/>
    </row>
    <row r="893" ht="15.75" customHeight="1">
      <c r="A893" s="110"/>
      <c r="B893" s="114"/>
      <c r="C893" s="112"/>
      <c r="D893" s="112"/>
      <c r="E893" s="109" t="str">
        <f t="shared" si="1"/>
        <v/>
      </c>
      <c r="J893" s="90"/>
    </row>
    <row r="894" ht="15.75" customHeight="1">
      <c r="A894" s="110"/>
      <c r="B894" s="114"/>
      <c r="C894" s="112"/>
      <c r="D894" s="112"/>
      <c r="E894" s="109" t="str">
        <f t="shared" si="1"/>
        <v/>
      </c>
      <c r="J894" s="90"/>
    </row>
    <row r="895" ht="15.75" customHeight="1">
      <c r="A895" s="110"/>
      <c r="B895" s="114"/>
      <c r="C895" s="112"/>
      <c r="D895" s="112"/>
      <c r="E895" s="109" t="str">
        <f t="shared" si="1"/>
        <v/>
      </c>
      <c r="J895" s="90"/>
    </row>
    <row r="896" ht="15.75" customHeight="1">
      <c r="A896" s="110"/>
      <c r="B896" s="114"/>
      <c r="C896" s="112"/>
      <c r="D896" s="112"/>
      <c r="E896" s="109" t="str">
        <f t="shared" si="1"/>
        <v/>
      </c>
      <c r="J896" s="90"/>
    </row>
    <row r="897" ht="15.75" customHeight="1">
      <c r="A897" s="110"/>
      <c r="B897" s="114"/>
      <c r="C897" s="112"/>
      <c r="D897" s="112"/>
      <c r="E897" s="109" t="str">
        <f t="shared" si="1"/>
        <v/>
      </c>
      <c r="J897" s="90"/>
    </row>
    <row r="898" ht="15.75" customHeight="1">
      <c r="A898" s="110"/>
      <c r="B898" s="114"/>
      <c r="C898" s="112"/>
      <c r="D898" s="112"/>
      <c r="E898" s="109" t="str">
        <f t="shared" si="1"/>
        <v/>
      </c>
      <c r="J898" s="90"/>
    </row>
    <row r="899" ht="15.75" customHeight="1">
      <c r="A899" s="110"/>
      <c r="B899" s="114"/>
      <c r="C899" s="112"/>
      <c r="D899" s="112"/>
      <c r="E899" s="109" t="str">
        <f t="shared" si="1"/>
        <v/>
      </c>
      <c r="J899" s="90"/>
    </row>
    <row r="900" ht="15.75" customHeight="1">
      <c r="A900" s="110"/>
      <c r="B900" s="114"/>
      <c r="C900" s="112"/>
      <c r="D900" s="112"/>
      <c r="E900" s="109" t="str">
        <f t="shared" si="1"/>
        <v/>
      </c>
      <c r="J900" s="90"/>
    </row>
    <row r="901" ht="15.75" customHeight="1">
      <c r="A901" s="110"/>
      <c r="B901" s="114"/>
      <c r="C901" s="112"/>
      <c r="D901" s="112"/>
      <c r="E901" s="109" t="str">
        <f t="shared" si="1"/>
        <v/>
      </c>
      <c r="J901" s="90"/>
    </row>
    <row r="902" ht="15.75" customHeight="1">
      <c r="A902" s="110"/>
      <c r="B902" s="114"/>
      <c r="C902" s="112"/>
      <c r="D902" s="112"/>
      <c r="E902" s="109" t="str">
        <f t="shared" si="1"/>
        <v/>
      </c>
      <c r="J902" s="90"/>
    </row>
    <row r="903" ht="15.75" customHeight="1">
      <c r="A903" s="110"/>
      <c r="B903" s="114"/>
      <c r="C903" s="112"/>
      <c r="D903" s="112"/>
      <c r="E903" s="109" t="str">
        <f t="shared" si="1"/>
        <v/>
      </c>
      <c r="J903" s="90"/>
    </row>
    <row r="904" ht="15.75" customHeight="1">
      <c r="A904" s="110"/>
      <c r="B904" s="114"/>
      <c r="C904" s="112"/>
      <c r="D904" s="112"/>
      <c r="E904" s="109" t="str">
        <f t="shared" si="1"/>
        <v/>
      </c>
      <c r="J904" s="90"/>
    </row>
    <row r="905" ht="15.75" customHeight="1">
      <c r="A905" s="110"/>
      <c r="B905" s="114"/>
      <c r="C905" s="112"/>
      <c r="D905" s="112"/>
      <c r="E905" s="109" t="str">
        <f t="shared" si="1"/>
        <v/>
      </c>
      <c r="J905" s="90"/>
    </row>
    <row r="906" ht="15.75" customHeight="1">
      <c r="A906" s="110"/>
      <c r="B906" s="114"/>
      <c r="C906" s="112"/>
      <c r="D906" s="112"/>
      <c r="E906" s="109" t="str">
        <f t="shared" si="1"/>
        <v/>
      </c>
      <c r="J906" s="90"/>
    </row>
    <row r="907" ht="15.75" customHeight="1">
      <c r="A907" s="110"/>
      <c r="B907" s="114"/>
      <c r="C907" s="112"/>
      <c r="D907" s="112"/>
      <c r="E907" s="109" t="str">
        <f t="shared" si="1"/>
        <v/>
      </c>
      <c r="J907" s="90"/>
    </row>
    <row r="908" ht="15.75" customHeight="1">
      <c r="A908" s="110"/>
      <c r="B908" s="114"/>
      <c r="C908" s="112"/>
      <c r="D908" s="112"/>
      <c r="E908" s="109" t="str">
        <f t="shared" si="1"/>
        <v/>
      </c>
      <c r="J908" s="90"/>
    </row>
    <row r="909" ht="15.75" customHeight="1">
      <c r="A909" s="110"/>
      <c r="B909" s="114"/>
      <c r="C909" s="112"/>
      <c r="D909" s="112"/>
      <c r="E909" s="109" t="str">
        <f t="shared" si="1"/>
        <v/>
      </c>
      <c r="J909" s="90"/>
    </row>
    <row r="910" ht="15.75" customHeight="1">
      <c r="A910" s="110"/>
      <c r="B910" s="114"/>
      <c r="C910" s="112"/>
      <c r="D910" s="112"/>
      <c r="E910" s="109" t="str">
        <f t="shared" si="1"/>
        <v/>
      </c>
      <c r="J910" s="90"/>
    </row>
    <row r="911" ht="15.75" customHeight="1">
      <c r="A911" s="110"/>
      <c r="B911" s="114"/>
      <c r="C911" s="112"/>
      <c r="D911" s="112"/>
      <c r="E911" s="109" t="str">
        <f t="shared" si="1"/>
        <v/>
      </c>
      <c r="J911" s="90"/>
    </row>
    <row r="912" ht="15.75" customHeight="1">
      <c r="A912" s="110"/>
      <c r="B912" s="114"/>
      <c r="C912" s="112"/>
      <c r="D912" s="112"/>
      <c r="E912" s="109" t="str">
        <f t="shared" si="1"/>
        <v/>
      </c>
      <c r="J912" s="90"/>
    </row>
    <row r="913" ht="15.75" customHeight="1">
      <c r="A913" s="110"/>
      <c r="B913" s="114"/>
      <c r="C913" s="112"/>
      <c r="D913" s="112"/>
      <c r="E913" s="109" t="str">
        <f t="shared" si="1"/>
        <v/>
      </c>
      <c r="J913" s="90"/>
    </row>
    <row r="914" ht="15.75" customHeight="1">
      <c r="A914" s="110"/>
      <c r="B914" s="114"/>
      <c r="C914" s="112"/>
      <c r="D914" s="112"/>
      <c r="E914" s="109" t="str">
        <f t="shared" si="1"/>
        <v/>
      </c>
      <c r="J914" s="90"/>
    </row>
    <row r="915" ht="15.75" customHeight="1">
      <c r="A915" s="110"/>
      <c r="B915" s="114"/>
      <c r="C915" s="112"/>
      <c r="D915" s="112"/>
      <c r="E915" s="109" t="str">
        <f t="shared" si="1"/>
        <v/>
      </c>
      <c r="J915" s="90"/>
    </row>
    <row r="916" ht="15.75" customHeight="1">
      <c r="A916" s="110"/>
      <c r="B916" s="114"/>
      <c r="C916" s="112"/>
      <c r="D916" s="112"/>
      <c r="E916" s="109" t="str">
        <f t="shared" si="1"/>
        <v/>
      </c>
      <c r="J916" s="90"/>
    </row>
    <row r="917" ht="15.75" customHeight="1">
      <c r="A917" s="110"/>
      <c r="B917" s="114"/>
      <c r="C917" s="112"/>
      <c r="D917" s="112"/>
      <c r="E917" s="109" t="str">
        <f t="shared" si="1"/>
        <v/>
      </c>
      <c r="J917" s="90"/>
    </row>
    <row r="918" ht="15.75" customHeight="1">
      <c r="A918" s="110"/>
      <c r="B918" s="114"/>
      <c r="C918" s="112"/>
      <c r="D918" s="112"/>
      <c r="E918" s="109" t="str">
        <f t="shared" si="1"/>
        <v/>
      </c>
      <c r="J918" s="90"/>
    </row>
    <row r="919" ht="15.75" customHeight="1">
      <c r="A919" s="110"/>
      <c r="B919" s="114"/>
      <c r="C919" s="112"/>
      <c r="D919" s="112"/>
      <c r="E919" s="109" t="str">
        <f t="shared" si="1"/>
        <v/>
      </c>
      <c r="J919" s="90"/>
    </row>
    <row r="920" ht="15.75" customHeight="1">
      <c r="A920" s="110"/>
      <c r="B920" s="114"/>
      <c r="C920" s="112"/>
      <c r="D920" s="112"/>
      <c r="E920" s="109" t="str">
        <f t="shared" si="1"/>
        <v/>
      </c>
      <c r="J920" s="90"/>
    </row>
    <row r="921" ht="15.75" customHeight="1">
      <c r="A921" s="110"/>
      <c r="B921" s="114"/>
      <c r="C921" s="112"/>
      <c r="D921" s="112"/>
      <c r="E921" s="109" t="str">
        <f t="shared" si="1"/>
        <v/>
      </c>
      <c r="J921" s="90"/>
    </row>
    <row r="922" ht="15.75" customHeight="1">
      <c r="A922" s="110"/>
      <c r="B922" s="114"/>
      <c r="C922" s="112"/>
      <c r="D922" s="112"/>
      <c r="E922" s="109" t="str">
        <f t="shared" si="1"/>
        <v/>
      </c>
      <c r="J922" s="90"/>
    </row>
    <row r="923" ht="15.75" customHeight="1">
      <c r="A923" s="110"/>
      <c r="B923" s="114"/>
      <c r="C923" s="112"/>
      <c r="D923" s="112"/>
      <c r="E923" s="109" t="str">
        <f t="shared" si="1"/>
        <v/>
      </c>
      <c r="J923" s="90"/>
    </row>
    <row r="924" ht="15.75" customHeight="1">
      <c r="A924" s="110"/>
      <c r="B924" s="114"/>
      <c r="C924" s="112"/>
      <c r="D924" s="112"/>
      <c r="E924" s="109" t="str">
        <f t="shared" si="1"/>
        <v/>
      </c>
      <c r="J924" s="90"/>
    </row>
    <row r="925" ht="15.75" customHeight="1">
      <c r="A925" s="110"/>
      <c r="B925" s="114"/>
      <c r="C925" s="112"/>
      <c r="D925" s="112"/>
      <c r="E925" s="109" t="str">
        <f t="shared" si="1"/>
        <v/>
      </c>
      <c r="J925" s="90"/>
    </row>
    <row r="926" ht="15.75" customHeight="1">
      <c r="A926" s="110"/>
      <c r="B926" s="114"/>
      <c r="C926" s="112"/>
      <c r="D926" s="112"/>
      <c r="E926" s="109" t="str">
        <f t="shared" si="1"/>
        <v/>
      </c>
      <c r="J926" s="90"/>
    </row>
    <row r="927" ht="15.75" customHeight="1">
      <c r="A927" s="110"/>
      <c r="B927" s="114"/>
      <c r="C927" s="112"/>
      <c r="D927" s="112"/>
      <c r="E927" s="109" t="str">
        <f t="shared" si="1"/>
        <v/>
      </c>
      <c r="J927" s="90"/>
    </row>
    <row r="928" ht="15.75" customHeight="1">
      <c r="A928" s="110"/>
      <c r="B928" s="114"/>
      <c r="C928" s="112"/>
      <c r="D928" s="112"/>
      <c r="E928" s="109" t="str">
        <f t="shared" si="1"/>
        <v/>
      </c>
      <c r="J928" s="90"/>
    </row>
    <row r="929" ht="15.75" customHeight="1">
      <c r="A929" s="110"/>
      <c r="B929" s="114"/>
      <c r="C929" s="112"/>
      <c r="D929" s="112"/>
      <c r="E929" s="109" t="str">
        <f t="shared" si="1"/>
        <v/>
      </c>
      <c r="J929" s="90"/>
    </row>
    <row r="930" ht="15.75" customHeight="1">
      <c r="A930" s="110"/>
      <c r="B930" s="114"/>
      <c r="C930" s="112"/>
      <c r="D930" s="112"/>
      <c r="E930" s="109" t="str">
        <f t="shared" si="1"/>
        <v/>
      </c>
      <c r="J930" s="90"/>
    </row>
    <row r="931" ht="15.75" customHeight="1">
      <c r="A931" s="110"/>
      <c r="B931" s="114"/>
      <c r="C931" s="112"/>
      <c r="D931" s="112"/>
      <c r="E931" s="109" t="str">
        <f t="shared" si="1"/>
        <v/>
      </c>
      <c r="J931" s="90"/>
    </row>
    <row r="932" ht="15.75" customHeight="1">
      <c r="A932" s="110"/>
      <c r="B932" s="114"/>
      <c r="C932" s="112"/>
      <c r="D932" s="112"/>
      <c r="E932" s="109" t="str">
        <f t="shared" si="1"/>
        <v/>
      </c>
      <c r="J932" s="90"/>
    </row>
    <row r="933" ht="15.75" customHeight="1">
      <c r="A933" s="110"/>
      <c r="B933" s="114"/>
      <c r="C933" s="112"/>
      <c r="D933" s="112"/>
      <c r="E933" s="109" t="str">
        <f t="shared" si="1"/>
        <v/>
      </c>
      <c r="J933" s="90"/>
    </row>
    <row r="934" ht="15.75" customHeight="1">
      <c r="A934" s="110"/>
      <c r="B934" s="114"/>
      <c r="C934" s="112"/>
      <c r="D934" s="112"/>
      <c r="E934" s="109" t="str">
        <f t="shared" si="1"/>
        <v/>
      </c>
      <c r="J934" s="90"/>
    </row>
    <row r="935" ht="15.75" customHeight="1">
      <c r="A935" s="110"/>
      <c r="B935" s="114"/>
      <c r="C935" s="112"/>
      <c r="D935" s="112"/>
      <c r="E935" s="109" t="str">
        <f t="shared" si="1"/>
        <v/>
      </c>
      <c r="J935" s="90"/>
    </row>
    <row r="936" ht="15.75" customHeight="1">
      <c r="A936" s="110"/>
      <c r="B936" s="114"/>
      <c r="C936" s="112"/>
      <c r="D936" s="112"/>
      <c r="E936" s="109" t="str">
        <f t="shared" si="1"/>
        <v/>
      </c>
      <c r="J936" s="90"/>
    </row>
    <row r="937" ht="15.75" customHeight="1">
      <c r="A937" s="110"/>
      <c r="B937" s="114"/>
      <c r="C937" s="112"/>
      <c r="D937" s="112"/>
      <c r="E937" s="109" t="str">
        <f t="shared" si="1"/>
        <v/>
      </c>
      <c r="J937" s="90"/>
    </row>
    <row r="938" ht="15.75" customHeight="1">
      <c r="A938" s="110"/>
      <c r="B938" s="114"/>
      <c r="C938" s="112"/>
      <c r="D938" s="112"/>
      <c r="E938" s="109" t="str">
        <f t="shared" si="1"/>
        <v/>
      </c>
      <c r="J938" s="90"/>
    </row>
    <row r="939" ht="15.75" customHeight="1">
      <c r="A939" s="110"/>
      <c r="B939" s="114"/>
      <c r="C939" s="112"/>
      <c r="D939" s="112"/>
      <c r="E939" s="109" t="str">
        <f t="shared" si="1"/>
        <v/>
      </c>
      <c r="J939" s="90"/>
    </row>
    <row r="940" ht="15.75" customHeight="1">
      <c r="A940" s="110"/>
      <c r="B940" s="114"/>
      <c r="C940" s="112"/>
      <c r="D940" s="112"/>
      <c r="E940" s="109" t="str">
        <f t="shared" si="1"/>
        <v/>
      </c>
      <c r="J940" s="90"/>
    </row>
    <row r="941" ht="15.75" customHeight="1">
      <c r="A941" s="110"/>
      <c r="B941" s="114"/>
      <c r="C941" s="112"/>
      <c r="D941" s="112"/>
      <c r="E941" s="109" t="str">
        <f t="shared" si="1"/>
        <v/>
      </c>
      <c r="J941" s="90"/>
    </row>
    <row r="942" ht="15.75" customHeight="1">
      <c r="A942" s="110"/>
      <c r="B942" s="114"/>
      <c r="C942" s="112"/>
      <c r="D942" s="112"/>
      <c r="E942" s="109" t="str">
        <f t="shared" si="1"/>
        <v/>
      </c>
      <c r="J942" s="90"/>
    </row>
    <row r="943" ht="15.75" customHeight="1">
      <c r="A943" s="110"/>
      <c r="B943" s="114"/>
      <c r="C943" s="112"/>
      <c r="D943" s="112"/>
      <c r="E943" s="109" t="str">
        <f t="shared" si="1"/>
        <v/>
      </c>
      <c r="J943" s="90"/>
    </row>
    <row r="944" ht="15.75" customHeight="1">
      <c r="A944" s="110"/>
      <c r="B944" s="114"/>
      <c r="C944" s="112"/>
      <c r="D944" s="112"/>
      <c r="E944" s="109" t="str">
        <f t="shared" si="1"/>
        <v/>
      </c>
      <c r="J944" s="90"/>
    </row>
    <row r="945" ht="15.75" customHeight="1">
      <c r="A945" s="110"/>
      <c r="B945" s="114"/>
      <c r="C945" s="112"/>
      <c r="D945" s="112"/>
      <c r="E945" s="109" t="str">
        <f t="shared" si="1"/>
        <v/>
      </c>
      <c r="J945" s="90"/>
    </row>
    <row r="946" ht="15.75" customHeight="1">
      <c r="A946" s="110"/>
      <c r="B946" s="114"/>
      <c r="C946" s="112"/>
      <c r="D946" s="112"/>
      <c r="E946" s="109" t="str">
        <f t="shared" si="1"/>
        <v/>
      </c>
      <c r="J946" s="90"/>
    </row>
    <row r="947" ht="15.75" customHeight="1">
      <c r="A947" s="110"/>
      <c r="B947" s="114"/>
      <c r="C947" s="112"/>
      <c r="D947" s="112"/>
      <c r="E947" s="109" t="str">
        <f t="shared" si="1"/>
        <v/>
      </c>
      <c r="J947" s="90"/>
    </row>
    <row r="948" ht="15.75" customHeight="1">
      <c r="A948" s="110"/>
      <c r="B948" s="114"/>
      <c r="C948" s="112"/>
      <c r="D948" s="112"/>
      <c r="E948" s="109" t="str">
        <f t="shared" si="1"/>
        <v/>
      </c>
      <c r="J948" s="90"/>
    </row>
    <row r="949" ht="15.75" customHeight="1">
      <c r="A949" s="110"/>
      <c r="B949" s="114"/>
      <c r="C949" s="112"/>
      <c r="D949" s="112"/>
      <c r="E949" s="109" t="str">
        <f t="shared" si="1"/>
        <v/>
      </c>
      <c r="J949" s="90"/>
    </row>
    <row r="950" ht="15.75" customHeight="1">
      <c r="A950" s="110"/>
      <c r="B950" s="114"/>
      <c r="C950" s="112"/>
      <c r="D950" s="112"/>
      <c r="E950" s="109" t="str">
        <f t="shared" si="1"/>
        <v/>
      </c>
      <c r="J950" s="90"/>
    </row>
    <row r="951" ht="15.75" customHeight="1">
      <c r="A951" s="110"/>
      <c r="B951" s="114"/>
      <c r="C951" s="112"/>
      <c r="D951" s="112"/>
      <c r="E951" s="109" t="str">
        <f t="shared" si="1"/>
        <v/>
      </c>
      <c r="J951" s="90"/>
    </row>
    <row r="952" ht="15.75" customHeight="1">
      <c r="A952" s="110"/>
      <c r="B952" s="114"/>
      <c r="C952" s="112"/>
      <c r="D952" s="112"/>
      <c r="E952" s="109" t="str">
        <f t="shared" si="1"/>
        <v/>
      </c>
      <c r="J952" s="90"/>
    </row>
    <row r="953" ht="15.75" customHeight="1">
      <c r="A953" s="110"/>
      <c r="B953" s="114"/>
      <c r="C953" s="112"/>
      <c r="D953" s="112"/>
      <c r="E953" s="109" t="str">
        <f t="shared" si="1"/>
        <v/>
      </c>
      <c r="J953" s="90"/>
    </row>
    <row r="954" ht="15.75" customHeight="1">
      <c r="A954" s="110"/>
      <c r="B954" s="114"/>
      <c r="C954" s="112"/>
      <c r="D954" s="112"/>
      <c r="E954" s="109" t="str">
        <f t="shared" si="1"/>
        <v/>
      </c>
      <c r="J954" s="90"/>
    </row>
    <row r="955" ht="15.75" customHeight="1">
      <c r="A955" s="110"/>
      <c r="B955" s="114"/>
      <c r="C955" s="112"/>
      <c r="D955" s="112"/>
      <c r="E955" s="109" t="str">
        <f t="shared" si="1"/>
        <v/>
      </c>
      <c r="J955" s="90"/>
    </row>
    <row r="956" ht="15.75" customHeight="1">
      <c r="A956" s="110"/>
      <c r="B956" s="114"/>
      <c r="C956" s="112"/>
      <c r="D956" s="112"/>
      <c r="E956" s="109" t="str">
        <f t="shared" si="1"/>
        <v/>
      </c>
      <c r="J956" s="90"/>
    </row>
    <row r="957" ht="15.75" customHeight="1">
      <c r="A957" s="110"/>
      <c r="B957" s="114"/>
      <c r="C957" s="112"/>
      <c r="D957" s="112"/>
      <c r="E957" s="109" t="str">
        <f t="shared" si="1"/>
        <v/>
      </c>
      <c r="J957" s="90"/>
    </row>
    <row r="958" ht="15.75" customHeight="1">
      <c r="A958" s="110"/>
      <c r="B958" s="114"/>
      <c r="C958" s="112"/>
      <c r="D958" s="112"/>
      <c r="E958" s="109" t="str">
        <f t="shared" si="1"/>
        <v/>
      </c>
      <c r="J958" s="90"/>
    </row>
    <row r="959" ht="15.75" customHeight="1">
      <c r="A959" s="110"/>
      <c r="B959" s="114"/>
      <c r="C959" s="112"/>
      <c r="D959" s="112"/>
      <c r="E959" s="109" t="str">
        <f t="shared" si="1"/>
        <v/>
      </c>
      <c r="J959" s="90"/>
    </row>
    <row r="960" ht="15.75" customHeight="1">
      <c r="A960" s="110"/>
      <c r="B960" s="114"/>
      <c r="C960" s="112"/>
      <c r="D960" s="112"/>
      <c r="E960" s="109" t="str">
        <f t="shared" si="1"/>
        <v/>
      </c>
      <c r="J960" s="90"/>
    </row>
    <row r="961" ht="15.75" customHeight="1">
      <c r="A961" s="110"/>
      <c r="B961" s="114"/>
      <c r="C961" s="112"/>
      <c r="D961" s="112"/>
      <c r="E961" s="109" t="str">
        <f t="shared" si="1"/>
        <v/>
      </c>
      <c r="J961" s="90"/>
    </row>
    <row r="962" ht="15.75" customHeight="1">
      <c r="A962" s="110"/>
      <c r="B962" s="114"/>
      <c r="C962" s="112"/>
      <c r="D962" s="112"/>
      <c r="E962" s="109" t="str">
        <f t="shared" si="1"/>
        <v/>
      </c>
      <c r="J962" s="90"/>
    </row>
    <row r="963" ht="15.75" customHeight="1">
      <c r="A963" s="110"/>
      <c r="B963" s="114"/>
      <c r="C963" s="112"/>
      <c r="D963" s="112"/>
      <c r="E963" s="109" t="str">
        <f t="shared" si="1"/>
        <v/>
      </c>
      <c r="J963" s="90"/>
    </row>
    <row r="964" ht="15.75" customHeight="1">
      <c r="A964" s="110"/>
      <c r="B964" s="114"/>
      <c r="C964" s="112"/>
      <c r="D964" s="112"/>
      <c r="E964" s="109" t="str">
        <f t="shared" si="1"/>
        <v/>
      </c>
      <c r="J964" s="90"/>
    </row>
    <row r="965" ht="15.75" customHeight="1">
      <c r="A965" s="110"/>
      <c r="B965" s="114"/>
      <c r="C965" s="112"/>
      <c r="D965" s="112"/>
      <c r="E965" s="109" t="str">
        <f t="shared" si="1"/>
        <v/>
      </c>
      <c r="J965" s="90"/>
    </row>
    <row r="966" ht="15.75" customHeight="1">
      <c r="A966" s="110"/>
      <c r="B966" s="114"/>
      <c r="C966" s="112"/>
      <c r="D966" s="112"/>
      <c r="E966" s="109" t="str">
        <f t="shared" si="1"/>
        <v/>
      </c>
      <c r="J966" s="90"/>
    </row>
    <row r="967" ht="15.75" customHeight="1">
      <c r="A967" s="110"/>
      <c r="B967" s="114"/>
      <c r="C967" s="112"/>
      <c r="D967" s="112"/>
      <c r="E967" s="109" t="str">
        <f t="shared" si="1"/>
        <v/>
      </c>
      <c r="J967" s="90"/>
    </row>
    <row r="968" ht="15.75" customHeight="1">
      <c r="A968" s="110"/>
      <c r="B968" s="114"/>
      <c r="C968" s="112"/>
      <c r="D968" s="112"/>
      <c r="E968" s="109" t="str">
        <f t="shared" si="1"/>
        <v/>
      </c>
      <c r="J968" s="90"/>
    </row>
    <row r="969" ht="15.75" customHeight="1">
      <c r="A969" s="110"/>
      <c r="B969" s="114"/>
      <c r="C969" s="112"/>
      <c r="D969" s="112"/>
      <c r="E969" s="109" t="str">
        <f t="shared" si="1"/>
        <v/>
      </c>
      <c r="J969" s="90"/>
    </row>
    <row r="970" ht="15.75" customHeight="1">
      <c r="A970" s="110"/>
      <c r="B970" s="114"/>
      <c r="C970" s="112"/>
      <c r="D970" s="112"/>
      <c r="E970" s="109" t="str">
        <f t="shared" si="1"/>
        <v/>
      </c>
      <c r="J970" s="90"/>
    </row>
    <row r="971" ht="15.75" customHeight="1">
      <c r="A971" s="110"/>
      <c r="B971" s="114"/>
      <c r="C971" s="112"/>
      <c r="D971" s="112"/>
      <c r="E971" s="109" t="str">
        <f t="shared" si="1"/>
        <v/>
      </c>
      <c r="J971" s="90"/>
    </row>
    <row r="972" ht="15.75" customHeight="1">
      <c r="A972" s="110"/>
      <c r="B972" s="114"/>
      <c r="C972" s="112"/>
      <c r="D972" s="112"/>
      <c r="E972" s="109" t="str">
        <f t="shared" si="1"/>
        <v/>
      </c>
      <c r="J972" s="90"/>
    </row>
    <row r="973" ht="15.75" customHeight="1">
      <c r="A973" s="110"/>
      <c r="B973" s="114"/>
      <c r="C973" s="112"/>
      <c r="D973" s="112"/>
      <c r="E973" s="109" t="str">
        <f t="shared" si="1"/>
        <v/>
      </c>
      <c r="J973" s="90"/>
    </row>
    <row r="974" ht="15.75" customHeight="1">
      <c r="A974" s="110"/>
      <c r="B974" s="114"/>
      <c r="C974" s="112"/>
      <c r="D974" s="112"/>
      <c r="E974" s="109" t="str">
        <f t="shared" si="1"/>
        <v/>
      </c>
      <c r="J974" s="90"/>
    </row>
    <row r="975" ht="15.75" customHeight="1">
      <c r="A975" s="110"/>
      <c r="B975" s="114"/>
      <c r="C975" s="112"/>
      <c r="D975" s="112"/>
      <c r="E975" s="109" t="str">
        <f t="shared" si="1"/>
        <v/>
      </c>
      <c r="J975" s="90"/>
    </row>
    <row r="976" ht="15.75" customHeight="1">
      <c r="A976" s="110"/>
      <c r="B976" s="114"/>
      <c r="C976" s="112"/>
      <c r="D976" s="112"/>
      <c r="E976" s="109" t="str">
        <f t="shared" si="1"/>
        <v/>
      </c>
      <c r="J976" s="90"/>
    </row>
    <row r="977" ht="15.75" customHeight="1">
      <c r="A977" s="110"/>
      <c r="B977" s="114"/>
      <c r="C977" s="112"/>
      <c r="D977" s="112"/>
      <c r="E977" s="109" t="str">
        <f t="shared" si="1"/>
        <v/>
      </c>
      <c r="J977" s="90"/>
    </row>
    <row r="978" ht="15.75" customHeight="1">
      <c r="A978" s="110"/>
      <c r="B978" s="114"/>
      <c r="C978" s="112"/>
      <c r="D978" s="112"/>
      <c r="E978" s="109" t="str">
        <f t="shared" si="1"/>
        <v/>
      </c>
      <c r="J978" s="90"/>
    </row>
    <row r="979" ht="15.75" customHeight="1">
      <c r="A979" s="110"/>
      <c r="B979" s="114"/>
      <c r="C979" s="112"/>
      <c r="D979" s="112"/>
      <c r="E979" s="109" t="str">
        <f t="shared" si="1"/>
        <v/>
      </c>
      <c r="J979" s="90"/>
    </row>
    <row r="980" ht="15.75" customHeight="1">
      <c r="A980" s="110"/>
      <c r="B980" s="114"/>
      <c r="C980" s="112"/>
      <c r="D980" s="112"/>
      <c r="E980" s="109" t="str">
        <f t="shared" si="1"/>
        <v/>
      </c>
      <c r="J980" s="90"/>
    </row>
    <row r="981" ht="15.75" customHeight="1">
      <c r="A981" s="110"/>
      <c r="B981" s="114"/>
      <c r="C981" s="112"/>
      <c r="D981" s="112"/>
      <c r="E981" s="109" t="str">
        <f t="shared" si="1"/>
        <v/>
      </c>
      <c r="J981" s="90"/>
    </row>
    <row r="982" ht="15.75" customHeight="1">
      <c r="A982" s="110"/>
      <c r="B982" s="114"/>
      <c r="C982" s="112"/>
      <c r="D982" s="112"/>
      <c r="E982" s="109" t="str">
        <f t="shared" si="1"/>
        <v/>
      </c>
      <c r="J982" s="90"/>
    </row>
    <row r="983" ht="15.75" customHeight="1">
      <c r="A983" s="110"/>
      <c r="B983" s="114"/>
      <c r="C983" s="112"/>
      <c r="D983" s="112"/>
      <c r="E983" s="109" t="str">
        <f t="shared" si="1"/>
        <v/>
      </c>
      <c r="J983" s="90"/>
    </row>
    <row r="984" ht="15.75" customHeight="1">
      <c r="A984" s="110"/>
      <c r="B984" s="114"/>
      <c r="C984" s="112"/>
      <c r="D984" s="112"/>
      <c r="E984" s="109" t="str">
        <f t="shared" si="1"/>
        <v/>
      </c>
      <c r="J984" s="90"/>
    </row>
    <row r="985" ht="15.75" customHeight="1">
      <c r="A985" s="110"/>
      <c r="B985" s="114"/>
      <c r="C985" s="112"/>
      <c r="D985" s="112"/>
      <c r="E985" s="109" t="str">
        <f t="shared" si="1"/>
        <v/>
      </c>
      <c r="J985" s="90"/>
    </row>
    <row r="986" ht="15.75" customHeight="1">
      <c r="A986" s="110"/>
      <c r="B986" s="114"/>
      <c r="C986" s="112"/>
      <c r="D986" s="112"/>
      <c r="E986" s="109" t="str">
        <f t="shared" si="1"/>
        <v/>
      </c>
      <c r="J986" s="90"/>
    </row>
    <row r="987" ht="15.75" customHeight="1">
      <c r="A987" s="110"/>
      <c r="B987" s="114"/>
      <c r="C987" s="112"/>
      <c r="D987" s="112"/>
      <c r="E987" s="109" t="str">
        <f t="shared" si="1"/>
        <v/>
      </c>
      <c r="J987" s="90"/>
    </row>
    <row r="988" ht="15.75" customHeight="1">
      <c r="A988" s="110"/>
      <c r="B988" s="114"/>
      <c r="C988" s="112"/>
      <c r="D988" s="112"/>
      <c r="E988" s="109" t="str">
        <f t="shared" si="1"/>
        <v/>
      </c>
      <c r="J988" s="90"/>
    </row>
    <row r="989" ht="15.75" customHeight="1">
      <c r="A989" s="110"/>
      <c r="B989" s="114"/>
      <c r="C989" s="112"/>
      <c r="D989" s="112"/>
      <c r="E989" s="109" t="str">
        <f t="shared" si="1"/>
        <v/>
      </c>
      <c r="J989" s="90"/>
    </row>
    <row r="990" ht="15.75" customHeight="1">
      <c r="A990" s="110"/>
      <c r="B990" s="114"/>
      <c r="C990" s="112"/>
      <c r="D990" s="112"/>
      <c r="E990" s="109" t="str">
        <f t="shared" si="1"/>
        <v/>
      </c>
      <c r="J990" s="90"/>
    </row>
    <row r="991" ht="15.75" customHeight="1">
      <c r="A991" s="110"/>
      <c r="B991" s="114"/>
      <c r="C991" s="112"/>
      <c r="D991" s="112"/>
      <c r="E991" s="109" t="str">
        <f t="shared" si="1"/>
        <v/>
      </c>
      <c r="J991" s="90"/>
    </row>
    <row r="992" ht="15.75" customHeight="1">
      <c r="A992" s="110"/>
      <c r="B992" s="114"/>
      <c r="C992" s="112"/>
      <c r="D992" s="112"/>
      <c r="E992" s="109" t="str">
        <f t="shared" si="1"/>
        <v/>
      </c>
      <c r="J992" s="90"/>
    </row>
    <row r="993" ht="15.75" customHeight="1">
      <c r="A993" s="110"/>
      <c r="B993" s="114"/>
      <c r="C993" s="112"/>
      <c r="D993" s="112"/>
      <c r="E993" s="109" t="str">
        <f t="shared" si="1"/>
        <v/>
      </c>
      <c r="J993" s="90"/>
    </row>
    <row r="994" ht="15.75" customHeight="1">
      <c r="A994" s="110"/>
      <c r="B994" s="114"/>
      <c r="C994" s="112"/>
      <c r="D994" s="112"/>
      <c r="E994" s="109" t="str">
        <f t="shared" si="1"/>
        <v/>
      </c>
      <c r="J994" s="90"/>
    </row>
    <row r="995" ht="15.75" customHeight="1">
      <c r="A995" s="110"/>
      <c r="B995" s="114"/>
      <c r="C995" s="112"/>
      <c r="D995" s="112"/>
      <c r="E995" s="109" t="str">
        <f t="shared" si="1"/>
        <v/>
      </c>
      <c r="J995" s="90"/>
    </row>
    <row r="996" ht="15.75" customHeight="1">
      <c r="A996" s="110"/>
      <c r="B996" s="114"/>
      <c r="C996" s="112"/>
      <c r="D996" s="112"/>
      <c r="E996" s="109" t="str">
        <f t="shared" si="1"/>
        <v/>
      </c>
      <c r="J996" s="90"/>
    </row>
    <row r="997" ht="15.75" customHeight="1">
      <c r="A997" s="110"/>
      <c r="B997" s="114"/>
      <c r="C997" s="112"/>
      <c r="D997" s="112"/>
      <c r="E997" s="109" t="str">
        <f t="shared" si="1"/>
        <v/>
      </c>
      <c r="J997" s="90"/>
    </row>
    <row r="998" ht="15.75" customHeight="1">
      <c r="A998" s="110"/>
      <c r="B998" s="114"/>
      <c r="C998" s="112"/>
      <c r="D998" s="112"/>
      <c r="E998" s="109" t="str">
        <f t="shared" si="1"/>
        <v/>
      </c>
      <c r="J998" s="90"/>
    </row>
    <row r="999" ht="15.75" customHeight="1">
      <c r="A999" s="110"/>
      <c r="B999" s="114"/>
      <c r="C999" s="112"/>
      <c r="D999" s="112"/>
      <c r="E999" s="109" t="str">
        <f t="shared" si="1"/>
        <v/>
      </c>
      <c r="J999" s="90"/>
    </row>
    <row r="1000" ht="15.75" customHeight="1">
      <c r="A1000" s="110"/>
      <c r="B1000" s="114"/>
      <c r="C1000" s="112"/>
      <c r="D1000" s="112"/>
      <c r="E1000" s="109" t="str">
        <f t="shared" si="1"/>
        <v/>
      </c>
      <c r="J1000" s="90"/>
    </row>
    <row r="1001" ht="15.75" customHeight="1">
      <c r="A1001" s="110"/>
      <c r="B1001" s="114"/>
      <c r="C1001" s="112"/>
      <c r="D1001" s="112"/>
      <c r="E1001" s="109" t="str">
        <f t="shared" si="1"/>
        <v/>
      </c>
      <c r="J1001" s="90"/>
    </row>
    <row r="1002" ht="15.75" customHeight="1">
      <c r="A1002" s="110"/>
      <c r="B1002" s="114"/>
      <c r="C1002" s="112"/>
      <c r="D1002" s="112"/>
      <c r="E1002" s="109" t="str">
        <f t="shared" si="1"/>
        <v/>
      </c>
      <c r="J1002" s="90"/>
    </row>
    <row r="1003" ht="15.75" customHeight="1">
      <c r="A1003" s="110"/>
      <c r="B1003" s="114"/>
      <c r="C1003" s="112"/>
      <c r="D1003" s="112"/>
      <c r="E1003" s="109" t="str">
        <f t="shared" si="1"/>
        <v/>
      </c>
      <c r="J1003" s="90"/>
    </row>
    <row r="1004" ht="15.75" customHeight="1">
      <c r="A1004" s="110"/>
      <c r="B1004" s="114"/>
      <c r="C1004" s="112"/>
      <c r="D1004" s="112"/>
      <c r="E1004" s="109" t="str">
        <f t="shared" si="1"/>
        <v/>
      </c>
      <c r="J1004" s="90"/>
    </row>
    <row r="1005" ht="15.75" customHeight="1">
      <c r="A1005" s="110"/>
      <c r="B1005" s="114"/>
      <c r="C1005" s="112"/>
      <c r="D1005" s="112"/>
      <c r="E1005" s="109" t="str">
        <f t="shared" si="1"/>
        <v/>
      </c>
      <c r="J1005" s="90"/>
    </row>
    <row r="1006" ht="15.75" customHeight="1">
      <c r="A1006" s="110"/>
      <c r="B1006" s="114"/>
      <c r="C1006" s="112"/>
      <c r="D1006" s="112"/>
      <c r="E1006" s="109" t="str">
        <f t="shared" si="1"/>
        <v/>
      </c>
      <c r="J1006" s="90"/>
    </row>
    <row r="1007" ht="15.75" customHeight="1">
      <c r="A1007" s="110"/>
      <c r="B1007" s="114"/>
      <c r="C1007" s="112"/>
      <c r="D1007" s="112"/>
      <c r="E1007" s="109" t="str">
        <f t="shared" si="1"/>
        <v/>
      </c>
      <c r="J1007" s="90"/>
    </row>
  </sheetData>
  <dataValidations>
    <dataValidation type="custom" allowBlank="1" showDropDown="1" sqref="A2:A1007">
      <formula1>OR(NOT(ISERROR(DATEVALUE(A2))), AND(ISNUMBER(A2), LEFT(CELL("format", A2))="D"))</formula1>
    </dataValidation>
    <dataValidation type="custom" allowBlank="1" showDropDown="1" sqref="C2:E100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31.14"/>
    <col customWidth="1" min="5" max="6" width="18.43"/>
    <col customWidth="1" min="9" max="9" width="18.86"/>
    <col customWidth="1" min="11" max="11" width="30.86"/>
  </cols>
  <sheetData>
    <row r="1" ht="34.5" customHeight="1">
      <c r="A1" s="115"/>
      <c r="B1" s="116"/>
      <c r="C1" s="117"/>
      <c r="D1" s="118"/>
      <c r="E1" s="119">
        <f t="shared" ref="E1:F1" si="1">SUM(E4:E1007)</f>
        <v>22343000</v>
      </c>
      <c r="F1" s="118">
        <f t="shared" si="1"/>
        <v>21558000</v>
      </c>
      <c r="G1" s="120"/>
      <c r="H1" s="119"/>
      <c r="I1" s="121"/>
      <c r="J1" s="122"/>
      <c r="K1" s="123"/>
    </row>
    <row r="2" ht="39.0" customHeight="1">
      <c r="A2" s="124" t="s">
        <v>17</v>
      </c>
      <c r="B2" s="125" t="s">
        <v>51</v>
      </c>
      <c r="C2" s="126">
        <f>E1-F1</f>
        <v>785000</v>
      </c>
      <c r="D2" s="127" t="s">
        <v>52</v>
      </c>
      <c r="E2" s="128" t="s">
        <v>53</v>
      </c>
      <c r="F2" s="128" t="s">
        <v>54</v>
      </c>
      <c r="G2" s="128" t="s">
        <v>55</v>
      </c>
      <c r="H2" s="129" t="s">
        <v>56</v>
      </c>
      <c r="I2" s="130" t="s">
        <v>57</v>
      </c>
      <c r="J2" s="131" t="b">
        <v>0</v>
      </c>
      <c r="K2" s="132" t="s">
        <v>58</v>
      </c>
    </row>
    <row r="3" ht="34.5" customHeight="1">
      <c r="A3" s="133">
        <v>46037.0</v>
      </c>
      <c r="B3" s="134" t="s">
        <v>59</v>
      </c>
      <c r="C3" s="135" t="s">
        <v>60</v>
      </c>
      <c r="D3" s="136">
        <v>0.0</v>
      </c>
      <c r="E3" s="137">
        <v>0.0</v>
      </c>
      <c r="F3" s="137">
        <v>0.0</v>
      </c>
      <c r="G3" s="138" t="s">
        <v>61</v>
      </c>
      <c r="H3" s="139">
        <v>212000.0</v>
      </c>
      <c r="I3" s="140">
        <v>0.0</v>
      </c>
      <c r="J3" s="141"/>
      <c r="K3" s="142">
        <v>1.0</v>
      </c>
    </row>
    <row r="4" ht="26.25" customHeight="1">
      <c r="A4" s="143">
        <v>46037.0</v>
      </c>
      <c r="B4" s="144" t="s">
        <v>62</v>
      </c>
      <c r="C4" s="144" t="s">
        <v>63</v>
      </c>
      <c r="D4" s="145">
        <v>0.0</v>
      </c>
      <c r="E4" s="146">
        <v>0.0</v>
      </c>
      <c r="F4" s="146">
        <v>0.0</v>
      </c>
      <c r="G4" s="147" t="s">
        <v>61</v>
      </c>
      <c r="H4" s="148">
        <v>10000.0</v>
      </c>
      <c r="I4" s="149">
        <f t="shared" ref="I4:I1007" si="2">I3+D4</f>
        <v>0</v>
      </c>
      <c r="J4" s="150"/>
      <c r="K4" s="151"/>
    </row>
    <row r="5" ht="26.25" customHeight="1">
      <c r="A5" s="143">
        <v>46038.0</v>
      </c>
      <c r="B5" s="144" t="s">
        <v>59</v>
      </c>
      <c r="C5" s="148" t="s">
        <v>64</v>
      </c>
      <c r="D5" s="148">
        <v>0.0</v>
      </c>
      <c r="E5" s="146">
        <v>0.0</v>
      </c>
      <c r="F5" s="146">
        <v>0.0</v>
      </c>
      <c r="G5" s="147" t="s">
        <v>65</v>
      </c>
      <c r="H5" s="148">
        <v>2000000.0</v>
      </c>
      <c r="I5" s="149">
        <f t="shared" si="2"/>
        <v>0</v>
      </c>
      <c r="J5" s="150"/>
      <c r="K5" s="152">
        <v>2.0</v>
      </c>
    </row>
    <row r="6" ht="26.25" customHeight="1">
      <c r="A6" s="143">
        <v>46039.0</v>
      </c>
      <c r="B6" s="144" t="s">
        <v>59</v>
      </c>
      <c r="C6" s="144" t="s">
        <v>66</v>
      </c>
      <c r="D6" s="145">
        <v>0.0</v>
      </c>
      <c r="E6" s="146">
        <v>0.0</v>
      </c>
      <c r="F6" s="146">
        <v>0.0</v>
      </c>
      <c r="G6" s="147" t="s">
        <v>65</v>
      </c>
      <c r="H6" s="148">
        <v>176000.0</v>
      </c>
      <c r="I6" s="149">
        <f t="shared" si="2"/>
        <v>0</v>
      </c>
      <c r="J6" s="150"/>
      <c r="K6" s="152">
        <v>3.0</v>
      </c>
    </row>
    <row r="7" ht="26.25" customHeight="1">
      <c r="A7" s="143">
        <v>46039.0</v>
      </c>
      <c r="B7" s="144" t="s">
        <v>59</v>
      </c>
      <c r="C7" s="153" t="s">
        <v>67</v>
      </c>
      <c r="D7" s="148">
        <v>0.0</v>
      </c>
      <c r="E7" s="146">
        <v>0.0</v>
      </c>
      <c r="F7" s="146">
        <v>0.0</v>
      </c>
      <c r="G7" s="147" t="s">
        <v>61</v>
      </c>
      <c r="H7" s="148">
        <v>1300000.0</v>
      </c>
      <c r="I7" s="149">
        <f t="shared" si="2"/>
        <v>0</v>
      </c>
      <c r="J7" s="150"/>
      <c r="K7" s="151"/>
    </row>
    <row r="8" ht="26.25" customHeight="1">
      <c r="A8" s="143">
        <v>46040.0</v>
      </c>
      <c r="B8" s="144" t="s">
        <v>59</v>
      </c>
      <c r="C8" s="144" t="s">
        <v>68</v>
      </c>
      <c r="D8" s="145">
        <v>0.0</v>
      </c>
      <c r="E8" s="146">
        <v>0.0</v>
      </c>
      <c r="F8" s="146">
        <v>0.0</v>
      </c>
      <c r="G8" s="147" t="s">
        <v>65</v>
      </c>
      <c r="H8" s="148">
        <v>1000000.0</v>
      </c>
      <c r="I8" s="149">
        <f t="shared" si="2"/>
        <v>0</v>
      </c>
      <c r="J8" s="150"/>
      <c r="K8" s="152">
        <v>4.0</v>
      </c>
    </row>
    <row r="9" ht="26.25" customHeight="1">
      <c r="A9" s="143">
        <v>46041.0</v>
      </c>
      <c r="B9" s="144" t="s">
        <v>59</v>
      </c>
      <c r="C9" s="144" t="s">
        <v>69</v>
      </c>
      <c r="D9" s="145">
        <v>0.0</v>
      </c>
      <c r="E9" s="146">
        <v>0.0</v>
      </c>
      <c r="F9" s="146">
        <v>0.0</v>
      </c>
      <c r="G9" s="147" t="s">
        <v>65</v>
      </c>
      <c r="H9" s="148">
        <v>776000.0</v>
      </c>
      <c r="I9" s="149">
        <f t="shared" si="2"/>
        <v>0</v>
      </c>
      <c r="J9" s="150"/>
      <c r="K9" s="152">
        <v>5.0</v>
      </c>
    </row>
    <row r="10" ht="26.25" customHeight="1">
      <c r="A10" s="143">
        <v>46041.0</v>
      </c>
      <c r="B10" s="153" t="s">
        <v>70</v>
      </c>
      <c r="C10" s="153" t="s">
        <v>71</v>
      </c>
      <c r="D10" s="154">
        <v>2893000.0</v>
      </c>
      <c r="E10" s="154">
        <v>2893000.0</v>
      </c>
      <c r="F10" s="146">
        <v>0.0</v>
      </c>
      <c r="G10" s="155" t="s">
        <v>65</v>
      </c>
      <c r="H10" s="146">
        <v>2893000.0</v>
      </c>
      <c r="I10" s="149">
        <f t="shared" si="2"/>
        <v>2893000</v>
      </c>
      <c r="J10" s="150"/>
      <c r="K10" s="151"/>
    </row>
    <row r="11" ht="26.25" customHeight="1">
      <c r="A11" s="143">
        <v>46041.0</v>
      </c>
      <c r="B11" s="144" t="s">
        <v>72</v>
      </c>
      <c r="C11" s="148" t="s">
        <v>73</v>
      </c>
      <c r="D11" s="148">
        <v>-30000.0</v>
      </c>
      <c r="E11" s="146">
        <v>0.0</v>
      </c>
      <c r="F11" s="154">
        <v>30000.0</v>
      </c>
      <c r="G11" s="147" t="s">
        <v>74</v>
      </c>
      <c r="H11" s="146">
        <v>0.0</v>
      </c>
      <c r="I11" s="149">
        <f t="shared" si="2"/>
        <v>2863000</v>
      </c>
      <c r="J11" s="150"/>
      <c r="K11" s="152">
        <v>22.0</v>
      </c>
    </row>
    <row r="12" ht="26.25" customHeight="1">
      <c r="A12" s="143">
        <v>46041.0</v>
      </c>
      <c r="B12" s="144" t="s">
        <v>72</v>
      </c>
      <c r="C12" s="144"/>
      <c r="D12" s="145">
        <v>-2000.0</v>
      </c>
      <c r="E12" s="146">
        <v>0.0</v>
      </c>
      <c r="F12" s="146">
        <v>2000.0</v>
      </c>
      <c r="G12" s="147" t="s">
        <v>74</v>
      </c>
      <c r="H12" s="146">
        <v>0.0</v>
      </c>
      <c r="I12" s="149">
        <f t="shared" si="2"/>
        <v>2861000</v>
      </c>
      <c r="J12" s="150"/>
      <c r="K12" s="152">
        <v>23.0</v>
      </c>
    </row>
    <row r="13" ht="26.25" customHeight="1">
      <c r="A13" s="143">
        <v>46041.0</v>
      </c>
      <c r="B13" s="144" t="s">
        <v>72</v>
      </c>
      <c r="C13" s="148" t="s">
        <v>75</v>
      </c>
      <c r="D13" s="148">
        <v>-10000.0</v>
      </c>
      <c r="E13" s="146">
        <v>0.0</v>
      </c>
      <c r="F13" s="154">
        <v>10000.0</v>
      </c>
      <c r="G13" s="147" t="s">
        <v>74</v>
      </c>
      <c r="H13" s="146">
        <v>0.0</v>
      </c>
      <c r="I13" s="149">
        <f t="shared" si="2"/>
        <v>2851000</v>
      </c>
      <c r="J13" s="150"/>
      <c r="K13" s="152">
        <v>24.0</v>
      </c>
    </row>
    <row r="14" ht="26.25" customHeight="1">
      <c r="A14" s="143">
        <v>46041.0</v>
      </c>
      <c r="B14" s="144" t="s">
        <v>72</v>
      </c>
      <c r="C14" s="144" t="s">
        <v>76</v>
      </c>
      <c r="D14" s="145">
        <v>-60000.0</v>
      </c>
      <c r="E14" s="146">
        <v>0.0</v>
      </c>
      <c r="F14" s="146">
        <v>60000.0</v>
      </c>
      <c r="G14" s="147" t="s">
        <v>74</v>
      </c>
      <c r="H14" s="146">
        <v>0.0</v>
      </c>
      <c r="I14" s="149">
        <f t="shared" si="2"/>
        <v>2791000</v>
      </c>
      <c r="J14" s="150"/>
      <c r="K14" s="152">
        <v>25.0</v>
      </c>
    </row>
    <row r="15" ht="26.25" customHeight="1">
      <c r="A15" s="143">
        <v>46041.0</v>
      </c>
      <c r="B15" s="144" t="s">
        <v>72</v>
      </c>
      <c r="C15" s="144" t="s">
        <v>77</v>
      </c>
      <c r="D15" s="145">
        <v>-15000.0</v>
      </c>
      <c r="E15" s="146">
        <v>0.0</v>
      </c>
      <c r="F15" s="146">
        <v>15000.0</v>
      </c>
      <c r="G15" s="147" t="s">
        <v>74</v>
      </c>
      <c r="H15" s="146">
        <v>0.0</v>
      </c>
      <c r="I15" s="149">
        <f t="shared" si="2"/>
        <v>2776000</v>
      </c>
      <c r="J15" s="150"/>
      <c r="K15" s="152">
        <v>26.0</v>
      </c>
    </row>
    <row r="16" ht="26.25" customHeight="1">
      <c r="A16" s="143">
        <v>46041.0</v>
      </c>
      <c r="B16" s="144" t="s">
        <v>72</v>
      </c>
      <c r="C16" s="148" t="s">
        <v>77</v>
      </c>
      <c r="D16" s="148">
        <v>-7000.0</v>
      </c>
      <c r="E16" s="146">
        <v>0.0</v>
      </c>
      <c r="F16" s="154">
        <v>7000.0</v>
      </c>
      <c r="G16" s="147" t="s">
        <v>74</v>
      </c>
      <c r="H16" s="146">
        <v>0.0</v>
      </c>
      <c r="I16" s="149">
        <f t="shared" si="2"/>
        <v>2769000</v>
      </c>
      <c r="J16" s="150"/>
      <c r="K16" s="152">
        <v>27.0</v>
      </c>
    </row>
    <row r="17" ht="26.25" customHeight="1">
      <c r="A17" s="143">
        <v>46041.0</v>
      </c>
      <c r="B17" s="144" t="s">
        <v>62</v>
      </c>
      <c r="C17" s="144" t="s">
        <v>78</v>
      </c>
      <c r="D17" s="145">
        <v>-5000.0</v>
      </c>
      <c r="E17" s="146">
        <v>0.0</v>
      </c>
      <c r="F17" s="146">
        <v>5000.0</v>
      </c>
      <c r="G17" s="147" t="s">
        <v>74</v>
      </c>
      <c r="H17" s="146">
        <v>0.0</v>
      </c>
      <c r="I17" s="149">
        <f t="shared" si="2"/>
        <v>2764000</v>
      </c>
      <c r="J17" s="150"/>
      <c r="K17" s="152">
        <v>30.0</v>
      </c>
    </row>
    <row r="18" ht="26.25" customHeight="1">
      <c r="A18" s="143">
        <v>46041.0</v>
      </c>
      <c r="B18" s="144" t="s">
        <v>72</v>
      </c>
      <c r="C18" s="144" t="s">
        <v>79</v>
      </c>
      <c r="D18" s="145">
        <v>-5000.0</v>
      </c>
      <c r="E18" s="146">
        <v>0.0</v>
      </c>
      <c r="F18" s="146">
        <v>5000.0</v>
      </c>
      <c r="G18" s="147" t="s">
        <v>74</v>
      </c>
      <c r="H18" s="146">
        <v>0.0</v>
      </c>
      <c r="I18" s="149">
        <f t="shared" si="2"/>
        <v>2759000</v>
      </c>
      <c r="J18" s="150"/>
      <c r="K18" s="152">
        <v>31.0</v>
      </c>
    </row>
    <row r="19" ht="26.25" customHeight="1">
      <c r="A19" s="143">
        <v>46041.0</v>
      </c>
      <c r="B19" s="144" t="s">
        <v>72</v>
      </c>
      <c r="C19" s="144" t="s">
        <v>76</v>
      </c>
      <c r="D19" s="145">
        <v>-60000.0</v>
      </c>
      <c r="E19" s="146">
        <v>0.0</v>
      </c>
      <c r="F19" s="146">
        <v>60000.0</v>
      </c>
      <c r="G19" s="147" t="s">
        <v>74</v>
      </c>
      <c r="H19" s="146">
        <v>0.0</v>
      </c>
      <c r="I19" s="149">
        <f t="shared" si="2"/>
        <v>2699000</v>
      </c>
      <c r="J19" s="150"/>
      <c r="K19" s="152">
        <v>52.0</v>
      </c>
    </row>
    <row r="20" ht="26.25" customHeight="1">
      <c r="A20" s="143">
        <v>46041.0</v>
      </c>
      <c r="B20" s="144" t="s">
        <v>62</v>
      </c>
      <c r="C20" s="148" t="s">
        <v>78</v>
      </c>
      <c r="D20" s="148">
        <v>-5000.0</v>
      </c>
      <c r="E20" s="146">
        <v>0.0</v>
      </c>
      <c r="F20" s="154">
        <v>5000.0</v>
      </c>
      <c r="G20" s="147" t="s">
        <v>74</v>
      </c>
      <c r="H20" s="146">
        <v>0.0</v>
      </c>
      <c r="I20" s="149">
        <f t="shared" si="2"/>
        <v>2694000</v>
      </c>
      <c r="J20" s="150"/>
      <c r="K20" s="152">
        <v>56.0</v>
      </c>
    </row>
    <row r="21" ht="26.25" customHeight="1">
      <c r="A21" s="143">
        <v>46041.0</v>
      </c>
      <c r="B21" s="144" t="s">
        <v>62</v>
      </c>
      <c r="C21" s="156" t="s">
        <v>27</v>
      </c>
      <c r="D21" s="148">
        <v>-5000.0</v>
      </c>
      <c r="E21" s="146">
        <v>0.0</v>
      </c>
      <c r="F21" s="154">
        <v>5000.0</v>
      </c>
      <c r="G21" s="147" t="s">
        <v>74</v>
      </c>
      <c r="H21" s="146">
        <v>0.0</v>
      </c>
      <c r="I21" s="149">
        <f t="shared" si="2"/>
        <v>2689000</v>
      </c>
      <c r="J21" s="150"/>
      <c r="K21" s="152">
        <v>51.0</v>
      </c>
    </row>
    <row r="22" ht="26.25" customHeight="1">
      <c r="A22" s="143">
        <v>46041.0</v>
      </c>
      <c r="B22" s="144" t="s">
        <v>62</v>
      </c>
      <c r="C22" s="156" t="s">
        <v>27</v>
      </c>
      <c r="D22" s="148">
        <v>-25000.0</v>
      </c>
      <c r="E22" s="146">
        <v>0.0</v>
      </c>
      <c r="F22" s="154">
        <v>25000.0</v>
      </c>
      <c r="G22" s="147" t="s">
        <v>74</v>
      </c>
      <c r="H22" s="146">
        <v>0.0</v>
      </c>
      <c r="I22" s="149">
        <f t="shared" si="2"/>
        <v>2664000</v>
      </c>
      <c r="J22" s="150"/>
      <c r="K22" s="152">
        <v>53.0</v>
      </c>
    </row>
    <row r="23" ht="26.25" customHeight="1">
      <c r="A23" s="143">
        <v>46041.0</v>
      </c>
      <c r="B23" s="144" t="s">
        <v>62</v>
      </c>
      <c r="C23" s="144" t="s">
        <v>36</v>
      </c>
      <c r="D23" s="145">
        <v>-10000.0</v>
      </c>
      <c r="E23" s="146">
        <v>0.0</v>
      </c>
      <c r="F23" s="146">
        <v>10000.0</v>
      </c>
      <c r="G23" s="147" t="s">
        <v>74</v>
      </c>
      <c r="H23" s="146">
        <v>0.0</v>
      </c>
      <c r="I23" s="149">
        <f t="shared" si="2"/>
        <v>2654000</v>
      </c>
      <c r="J23" s="150"/>
      <c r="K23" s="152">
        <v>55.0</v>
      </c>
    </row>
    <row r="24" ht="26.25" customHeight="1">
      <c r="A24" s="143">
        <v>46041.0</v>
      </c>
      <c r="B24" s="144" t="s">
        <v>62</v>
      </c>
      <c r="C24" s="153" t="s">
        <v>36</v>
      </c>
      <c r="D24" s="148">
        <v>-10000.0</v>
      </c>
      <c r="E24" s="146">
        <v>0.0</v>
      </c>
      <c r="F24" s="154">
        <v>10000.0</v>
      </c>
      <c r="G24" s="147" t="s">
        <v>74</v>
      </c>
      <c r="H24" s="146">
        <v>0.0</v>
      </c>
      <c r="I24" s="149">
        <f t="shared" si="2"/>
        <v>2644000</v>
      </c>
      <c r="J24" s="150"/>
      <c r="K24" s="152">
        <v>29.0</v>
      </c>
    </row>
    <row r="25" ht="26.25" customHeight="1">
      <c r="A25" s="143">
        <v>46041.0</v>
      </c>
      <c r="B25" s="144" t="s">
        <v>62</v>
      </c>
      <c r="C25" s="156" t="s">
        <v>63</v>
      </c>
      <c r="D25" s="145">
        <v>-5000.0</v>
      </c>
      <c r="E25" s="146">
        <v>0.0</v>
      </c>
      <c r="F25" s="146">
        <v>5000.0</v>
      </c>
      <c r="G25" s="147" t="s">
        <v>74</v>
      </c>
      <c r="H25" s="146">
        <v>0.0</v>
      </c>
      <c r="I25" s="149">
        <f t="shared" si="2"/>
        <v>2639000</v>
      </c>
      <c r="J25" s="150"/>
      <c r="K25" s="152">
        <v>28.0</v>
      </c>
    </row>
    <row r="26" ht="26.25" customHeight="1">
      <c r="A26" s="143">
        <v>46041.0</v>
      </c>
      <c r="B26" s="144" t="s">
        <v>62</v>
      </c>
      <c r="C26" s="156" t="s">
        <v>63</v>
      </c>
      <c r="D26" s="145">
        <v>-5000.0</v>
      </c>
      <c r="E26" s="146">
        <v>0.0</v>
      </c>
      <c r="F26" s="146">
        <v>5000.0</v>
      </c>
      <c r="G26" s="147" t="s">
        <v>74</v>
      </c>
      <c r="H26" s="146">
        <v>0.0</v>
      </c>
      <c r="I26" s="149">
        <f t="shared" si="2"/>
        <v>2634000</v>
      </c>
      <c r="J26" s="150"/>
      <c r="K26" s="152">
        <v>54.0</v>
      </c>
    </row>
    <row r="27" ht="26.25" customHeight="1">
      <c r="A27" s="143">
        <v>46042.0</v>
      </c>
      <c r="B27" s="144" t="s">
        <v>70</v>
      </c>
      <c r="C27" s="144" t="s">
        <v>80</v>
      </c>
      <c r="D27" s="145">
        <v>500000.0</v>
      </c>
      <c r="E27" s="145">
        <v>500000.0</v>
      </c>
      <c r="F27" s="146">
        <v>0.0</v>
      </c>
      <c r="G27" s="155" t="s">
        <v>74</v>
      </c>
      <c r="H27" s="146">
        <v>500000.0</v>
      </c>
      <c r="I27" s="149">
        <f t="shared" si="2"/>
        <v>3134000</v>
      </c>
      <c r="J27" s="150"/>
      <c r="K27" s="152">
        <v>6.0</v>
      </c>
    </row>
    <row r="28" ht="26.25" customHeight="1">
      <c r="A28" s="143">
        <v>46042.0</v>
      </c>
      <c r="B28" s="144" t="s">
        <v>62</v>
      </c>
      <c r="C28" s="148" t="s">
        <v>81</v>
      </c>
      <c r="D28" s="148">
        <v>-25000.0</v>
      </c>
      <c r="E28" s="146">
        <v>0.0</v>
      </c>
      <c r="F28" s="154">
        <v>25000.0</v>
      </c>
      <c r="G28" s="147" t="s">
        <v>74</v>
      </c>
      <c r="H28" s="146">
        <v>0.0</v>
      </c>
      <c r="I28" s="149">
        <f t="shared" si="2"/>
        <v>3109000</v>
      </c>
      <c r="J28" s="150"/>
      <c r="K28" s="152">
        <v>57.0</v>
      </c>
    </row>
    <row r="29" ht="26.25" customHeight="1">
      <c r="A29" s="143">
        <v>46043.0</v>
      </c>
      <c r="B29" s="144" t="s">
        <v>62</v>
      </c>
      <c r="C29" s="156" t="s">
        <v>27</v>
      </c>
      <c r="D29" s="145">
        <v>-125000.0</v>
      </c>
      <c r="E29" s="146">
        <v>0.0</v>
      </c>
      <c r="F29" s="146">
        <v>125000.0</v>
      </c>
      <c r="G29" s="147" t="s">
        <v>74</v>
      </c>
      <c r="H29" s="146">
        <v>0.0</v>
      </c>
      <c r="I29" s="149">
        <f t="shared" si="2"/>
        <v>2984000</v>
      </c>
      <c r="J29" s="150"/>
      <c r="K29" s="152">
        <v>60.0</v>
      </c>
    </row>
    <row r="30" ht="26.25" customHeight="1">
      <c r="A30" s="143">
        <v>46043.0</v>
      </c>
      <c r="B30" s="144" t="s">
        <v>72</v>
      </c>
      <c r="C30" s="144" t="s">
        <v>82</v>
      </c>
      <c r="D30" s="145">
        <v>-35000.0</v>
      </c>
      <c r="E30" s="146">
        <v>0.0</v>
      </c>
      <c r="F30" s="146">
        <v>35000.0</v>
      </c>
      <c r="G30" s="147" t="s">
        <v>74</v>
      </c>
      <c r="H30" s="146">
        <v>0.0</v>
      </c>
      <c r="I30" s="149">
        <f t="shared" si="2"/>
        <v>2949000</v>
      </c>
      <c r="J30" s="150"/>
      <c r="K30" s="152">
        <v>58.0</v>
      </c>
    </row>
    <row r="31" ht="26.25" customHeight="1">
      <c r="A31" s="143">
        <v>46043.0</v>
      </c>
      <c r="B31" s="144" t="s">
        <v>72</v>
      </c>
      <c r="C31" s="148" t="s">
        <v>79</v>
      </c>
      <c r="D31" s="148">
        <v>-5000.0</v>
      </c>
      <c r="E31" s="146">
        <v>0.0</v>
      </c>
      <c r="F31" s="154">
        <v>5000.0</v>
      </c>
      <c r="G31" s="147" t="s">
        <v>74</v>
      </c>
      <c r="H31" s="146">
        <v>0.0</v>
      </c>
      <c r="I31" s="149">
        <f t="shared" si="2"/>
        <v>2944000</v>
      </c>
      <c r="J31" s="150"/>
      <c r="K31" s="152">
        <v>59.0</v>
      </c>
    </row>
    <row r="32" ht="26.25" customHeight="1">
      <c r="A32" s="143">
        <v>46043.0</v>
      </c>
      <c r="B32" s="144" t="s">
        <v>62</v>
      </c>
      <c r="C32" s="148" t="s">
        <v>78</v>
      </c>
      <c r="D32" s="148">
        <v>-25000.0</v>
      </c>
      <c r="E32" s="146">
        <v>0.0</v>
      </c>
      <c r="F32" s="154">
        <v>25000.0</v>
      </c>
      <c r="G32" s="147" t="s">
        <v>74</v>
      </c>
      <c r="H32" s="146">
        <v>0.0</v>
      </c>
      <c r="I32" s="149">
        <f t="shared" si="2"/>
        <v>2919000</v>
      </c>
      <c r="J32" s="150"/>
      <c r="K32" s="152">
        <v>61.0</v>
      </c>
    </row>
    <row r="33" ht="26.25" customHeight="1">
      <c r="A33" s="143">
        <v>46043.0</v>
      </c>
      <c r="B33" s="144" t="s">
        <v>72</v>
      </c>
      <c r="C33" s="144" t="s">
        <v>77</v>
      </c>
      <c r="D33" s="145">
        <v>-10000.0</v>
      </c>
      <c r="E33" s="146">
        <v>0.0</v>
      </c>
      <c r="F33" s="146">
        <v>10000.0</v>
      </c>
      <c r="G33" s="147" t="s">
        <v>74</v>
      </c>
      <c r="H33" s="146">
        <v>0.0</v>
      </c>
      <c r="I33" s="149">
        <f t="shared" si="2"/>
        <v>2909000</v>
      </c>
      <c r="J33" s="150"/>
      <c r="K33" s="152">
        <v>62.0</v>
      </c>
    </row>
    <row r="34" ht="26.25" customHeight="1">
      <c r="A34" s="143">
        <v>46043.0</v>
      </c>
      <c r="B34" s="144" t="s">
        <v>72</v>
      </c>
      <c r="C34" s="144" t="s">
        <v>83</v>
      </c>
      <c r="D34" s="145">
        <v>-8000.0</v>
      </c>
      <c r="E34" s="146">
        <v>0.0</v>
      </c>
      <c r="F34" s="146">
        <v>8000.0</v>
      </c>
      <c r="G34" s="147" t="s">
        <v>74</v>
      </c>
      <c r="H34" s="146">
        <v>0.0</v>
      </c>
      <c r="I34" s="149">
        <f t="shared" si="2"/>
        <v>2901000</v>
      </c>
      <c r="J34" s="150"/>
      <c r="K34" s="152">
        <v>63.0</v>
      </c>
    </row>
    <row r="35" ht="26.25" customHeight="1">
      <c r="A35" s="143">
        <v>46043.0</v>
      </c>
      <c r="B35" s="144" t="s">
        <v>72</v>
      </c>
      <c r="C35" s="144" t="s">
        <v>84</v>
      </c>
      <c r="D35" s="145">
        <v>-7000.0</v>
      </c>
      <c r="E35" s="146">
        <v>0.0</v>
      </c>
      <c r="F35" s="146">
        <v>7000.0</v>
      </c>
      <c r="G35" s="147" t="s">
        <v>74</v>
      </c>
      <c r="H35" s="146">
        <v>0.0</v>
      </c>
      <c r="I35" s="149">
        <f t="shared" si="2"/>
        <v>2894000</v>
      </c>
      <c r="J35" s="150"/>
      <c r="K35" s="152">
        <v>64.0</v>
      </c>
    </row>
    <row r="36" ht="26.25" customHeight="1">
      <c r="A36" s="143">
        <v>46043.0</v>
      </c>
      <c r="B36" s="144" t="s">
        <v>62</v>
      </c>
      <c r="C36" s="144" t="s">
        <v>85</v>
      </c>
      <c r="D36" s="145">
        <v>-5000.0</v>
      </c>
      <c r="E36" s="146">
        <v>0.0</v>
      </c>
      <c r="F36" s="146">
        <v>5000.0</v>
      </c>
      <c r="G36" s="147" t="s">
        <v>74</v>
      </c>
      <c r="H36" s="146">
        <v>0.0</v>
      </c>
      <c r="I36" s="149">
        <f t="shared" si="2"/>
        <v>2889000</v>
      </c>
      <c r="J36" s="150"/>
      <c r="K36" s="152">
        <v>65.0</v>
      </c>
    </row>
    <row r="37" ht="26.25" customHeight="1">
      <c r="A37" s="143">
        <v>46043.0</v>
      </c>
      <c r="B37" s="144" t="s">
        <v>72</v>
      </c>
      <c r="C37" s="156" t="s">
        <v>86</v>
      </c>
      <c r="D37" s="145">
        <v>-500000.0</v>
      </c>
      <c r="E37" s="146">
        <v>0.0</v>
      </c>
      <c r="F37" s="146">
        <v>500000.0</v>
      </c>
      <c r="G37" s="147" t="s">
        <v>74</v>
      </c>
      <c r="H37" s="146">
        <v>0.0</v>
      </c>
      <c r="I37" s="149">
        <f t="shared" si="2"/>
        <v>2389000</v>
      </c>
      <c r="J37" s="150"/>
      <c r="K37" s="152">
        <v>7.0</v>
      </c>
    </row>
    <row r="38" ht="26.25" customHeight="1">
      <c r="A38" s="143">
        <v>46044.0</v>
      </c>
      <c r="B38" s="144" t="s">
        <v>72</v>
      </c>
      <c r="C38" s="157" t="s">
        <v>87</v>
      </c>
      <c r="D38" s="148">
        <v>-180000.0</v>
      </c>
      <c r="E38" s="146">
        <v>0.0</v>
      </c>
      <c r="F38" s="154">
        <v>180000.0</v>
      </c>
      <c r="G38" s="147" t="s">
        <v>74</v>
      </c>
      <c r="H38" s="146">
        <v>0.0</v>
      </c>
      <c r="I38" s="149">
        <f t="shared" si="2"/>
        <v>2209000</v>
      </c>
      <c r="J38" s="150"/>
      <c r="K38" s="152">
        <v>8.0</v>
      </c>
    </row>
    <row r="39" ht="26.25" customHeight="1">
      <c r="A39" s="143">
        <v>46045.0</v>
      </c>
      <c r="B39" s="144" t="s">
        <v>72</v>
      </c>
      <c r="C39" s="157" t="s">
        <v>88</v>
      </c>
      <c r="D39" s="148">
        <v>-43500.0</v>
      </c>
      <c r="E39" s="146">
        <v>0.0</v>
      </c>
      <c r="F39" s="154">
        <v>43500.0</v>
      </c>
      <c r="G39" s="147" t="s">
        <v>74</v>
      </c>
      <c r="H39" s="146">
        <v>0.0</v>
      </c>
      <c r="I39" s="149">
        <f t="shared" si="2"/>
        <v>2165500</v>
      </c>
      <c r="J39" s="150"/>
      <c r="K39" s="152">
        <v>9.0</v>
      </c>
    </row>
    <row r="40" ht="26.25" customHeight="1">
      <c r="A40" s="143">
        <v>46046.0</v>
      </c>
      <c r="B40" s="144" t="s">
        <v>72</v>
      </c>
      <c r="C40" s="157" t="s">
        <v>88</v>
      </c>
      <c r="D40" s="148">
        <v>-84000.0</v>
      </c>
      <c r="E40" s="146">
        <v>0.0</v>
      </c>
      <c r="F40" s="154">
        <v>84000.0</v>
      </c>
      <c r="G40" s="147" t="s">
        <v>74</v>
      </c>
      <c r="H40" s="146">
        <v>0.0</v>
      </c>
      <c r="I40" s="149">
        <f t="shared" si="2"/>
        <v>2081500</v>
      </c>
      <c r="J40" s="150"/>
      <c r="K40" s="152">
        <v>10.0</v>
      </c>
    </row>
    <row r="41" ht="26.25" customHeight="1">
      <c r="A41" s="143">
        <v>46047.0</v>
      </c>
      <c r="B41" s="144" t="s">
        <v>62</v>
      </c>
      <c r="C41" s="156" t="s">
        <v>27</v>
      </c>
      <c r="D41" s="145">
        <v>-5000.0</v>
      </c>
      <c r="E41" s="146">
        <v>0.0</v>
      </c>
      <c r="F41" s="146">
        <v>5000.0</v>
      </c>
      <c r="G41" s="147" t="s">
        <v>74</v>
      </c>
      <c r="H41" s="146">
        <v>0.0</v>
      </c>
      <c r="I41" s="149">
        <f t="shared" si="2"/>
        <v>2076500</v>
      </c>
      <c r="J41" s="150"/>
      <c r="K41" s="152">
        <v>69.0</v>
      </c>
    </row>
    <row r="42" ht="26.25" customHeight="1">
      <c r="A42" s="143">
        <v>46047.0</v>
      </c>
      <c r="B42" s="144" t="s">
        <v>62</v>
      </c>
      <c r="C42" s="144" t="s">
        <v>78</v>
      </c>
      <c r="D42" s="145">
        <v>-5000.0</v>
      </c>
      <c r="E42" s="146">
        <v>0.0</v>
      </c>
      <c r="F42" s="146">
        <v>5000.0</v>
      </c>
      <c r="G42" s="147" t="s">
        <v>74</v>
      </c>
      <c r="H42" s="146">
        <v>0.0</v>
      </c>
      <c r="I42" s="149">
        <f t="shared" si="2"/>
        <v>2071500</v>
      </c>
      <c r="J42" s="150"/>
      <c r="K42" s="152">
        <v>67.0</v>
      </c>
    </row>
    <row r="43" ht="26.25" customHeight="1">
      <c r="A43" s="143">
        <v>46047.0</v>
      </c>
      <c r="B43" s="144" t="s">
        <v>72</v>
      </c>
      <c r="C43" s="144" t="s">
        <v>77</v>
      </c>
      <c r="D43" s="145">
        <v>-10000.0</v>
      </c>
      <c r="E43" s="146">
        <v>0.0</v>
      </c>
      <c r="F43" s="146">
        <v>10000.0</v>
      </c>
      <c r="G43" s="147" t="s">
        <v>74</v>
      </c>
      <c r="H43" s="146">
        <v>0.0</v>
      </c>
      <c r="I43" s="149">
        <f t="shared" si="2"/>
        <v>2061500</v>
      </c>
      <c r="J43" s="150"/>
      <c r="K43" s="152">
        <v>70.0</v>
      </c>
    </row>
    <row r="44" ht="26.25" customHeight="1">
      <c r="A44" s="143">
        <v>46047.0</v>
      </c>
      <c r="B44" s="144" t="s">
        <v>72</v>
      </c>
      <c r="C44" s="144" t="s">
        <v>89</v>
      </c>
      <c r="D44" s="145">
        <v>-11000.0</v>
      </c>
      <c r="E44" s="146">
        <v>0.0</v>
      </c>
      <c r="F44" s="146">
        <v>11000.0</v>
      </c>
      <c r="G44" s="147" t="s">
        <v>74</v>
      </c>
      <c r="H44" s="146">
        <v>0.0</v>
      </c>
      <c r="I44" s="149">
        <f t="shared" si="2"/>
        <v>2050500</v>
      </c>
      <c r="J44" s="150"/>
      <c r="K44" s="152">
        <v>72.0</v>
      </c>
    </row>
    <row r="45" ht="26.25" customHeight="1">
      <c r="A45" s="143">
        <v>46047.0</v>
      </c>
      <c r="B45" s="144" t="s">
        <v>72</v>
      </c>
      <c r="C45" s="144" t="s">
        <v>75</v>
      </c>
      <c r="D45" s="145">
        <v>-10000.0</v>
      </c>
      <c r="E45" s="146">
        <v>0.0</v>
      </c>
      <c r="F45" s="146">
        <v>10000.0</v>
      </c>
      <c r="G45" s="147" t="s">
        <v>74</v>
      </c>
      <c r="H45" s="146">
        <v>0.0</v>
      </c>
      <c r="I45" s="149">
        <f t="shared" si="2"/>
        <v>2040500</v>
      </c>
      <c r="J45" s="150"/>
      <c r="K45" s="152">
        <v>73.0</v>
      </c>
    </row>
    <row r="46" ht="26.25" customHeight="1">
      <c r="A46" s="143">
        <v>46047.0</v>
      </c>
      <c r="B46" s="144" t="s">
        <v>72</v>
      </c>
      <c r="C46" s="144" t="s">
        <v>90</v>
      </c>
      <c r="D46" s="145">
        <v>-4000.0</v>
      </c>
      <c r="E46" s="146">
        <v>0.0</v>
      </c>
      <c r="F46" s="146">
        <v>4000.0</v>
      </c>
      <c r="G46" s="147" t="s">
        <v>74</v>
      </c>
      <c r="H46" s="146">
        <v>0.0</v>
      </c>
      <c r="I46" s="149">
        <f t="shared" si="2"/>
        <v>2036500</v>
      </c>
      <c r="J46" s="150"/>
      <c r="K46" s="152">
        <v>74.0</v>
      </c>
    </row>
    <row r="47" ht="26.25" customHeight="1">
      <c r="A47" s="143">
        <v>46047.0</v>
      </c>
      <c r="B47" s="144" t="s">
        <v>72</v>
      </c>
      <c r="C47" s="144" t="s">
        <v>91</v>
      </c>
      <c r="D47" s="145">
        <v>-25000.0</v>
      </c>
      <c r="E47" s="146">
        <v>0.0</v>
      </c>
      <c r="F47" s="146">
        <v>25000.0</v>
      </c>
      <c r="G47" s="147" t="s">
        <v>74</v>
      </c>
      <c r="H47" s="146">
        <v>0.0</v>
      </c>
      <c r="I47" s="149">
        <f t="shared" si="2"/>
        <v>2011500</v>
      </c>
      <c r="J47" s="150"/>
      <c r="K47" s="152">
        <v>75.0</v>
      </c>
    </row>
    <row r="48" ht="26.25" customHeight="1">
      <c r="A48" s="143">
        <v>46047.0</v>
      </c>
      <c r="B48" s="144" t="s">
        <v>62</v>
      </c>
      <c r="C48" s="144" t="s">
        <v>86</v>
      </c>
      <c r="D48" s="145">
        <v>-5000.0</v>
      </c>
      <c r="E48" s="146">
        <v>0.0</v>
      </c>
      <c r="F48" s="146">
        <v>5000.0</v>
      </c>
      <c r="G48" s="147" t="s">
        <v>74</v>
      </c>
      <c r="H48" s="146">
        <v>0.0</v>
      </c>
      <c r="I48" s="149">
        <f t="shared" si="2"/>
        <v>2006500</v>
      </c>
      <c r="J48" s="150"/>
      <c r="K48" s="152">
        <v>66.0</v>
      </c>
    </row>
    <row r="49" ht="26.25" customHeight="1">
      <c r="A49" s="143">
        <v>46047.0</v>
      </c>
      <c r="B49" s="144" t="s">
        <v>62</v>
      </c>
      <c r="C49" s="144" t="s">
        <v>86</v>
      </c>
      <c r="D49" s="145">
        <v>-50000.0</v>
      </c>
      <c r="E49" s="146">
        <v>0.0</v>
      </c>
      <c r="F49" s="146">
        <v>50000.0</v>
      </c>
      <c r="G49" s="147" t="s">
        <v>74</v>
      </c>
      <c r="H49" s="146">
        <v>0.0</v>
      </c>
      <c r="I49" s="149">
        <f t="shared" si="2"/>
        <v>1956500</v>
      </c>
      <c r="J49" s="150"/>
      <c r="K49" s="152">
        <v>71.0</v>
      </c>
    </row>
    <row r="50" ht="26.25" customHeight="1">
      <c r="A50" s="143">
        <v>46047.0</v>
      </c>
      <c r="B50" s="144" t="s">
        <v>62</v>
      </c>
      <c r="C50" s="156" t="s">
        <v>63</v>
      </c>
      <c r="D50" s="145">
        <v>-5000.0</v>
      </c>
      <c r="E50" s="146">
        <v>0.0</v>
      </c>
      <c r="F50" s="146">
        <v>5000.0</v>
      </c>
      <c r="G50" s="147" t="s">
        <v>74</v>
      </c>
      <c r="H50" s="146">
        <v>0.0</v>
      </c>
      <c r="I50" s="149">
        <f t="shared" si="2"/>
        <v>1951500</v>
      </c>
      <c r="J50" s="150"/>
      <c r="K50" s="152">
        <v>68.0</v>
      </c>
    </row>
    <row r="51" ht="26.25" customHeight="1">
      <c r="A51" s="143">
        <v>46050.0</v>
      </c>
      <c r="B51" s="144" t="s">
        <v>62</v>
      </c>
      <c r="C51" s="156" t="s">
        <v>27</v>
      </c>
      <c r="D51" s="145">
        <v>-50000.0</v>
      </c>
      <c r="E51" s="146">
        <v>0.0</v>
      </c>
      <c r="F51" s="146">
        <v>50000.0</v>
      </c>
      <c r="G51" s="147" t="s">
        <v>74</v>
      </c>
      <c r="H51" s="146">
        <v>0.0</v>
      </c>
      <c r="I51" s="149">
        <f t="shared" si="2"/>
        <v>1901500</v>
      </c>
      <c r="J51" s="150"/>
      <c r="K51" s="152">
        <v>106.0</v>
      </c>
    </row>
    <row r="52" ht="26.25" customHeight="1">
      <c r="A52" s="143">
        <v>46050.0</v>
      </c>
      <c r="B52" s="144" t="s">
        <v>72</v>
      </c>
      <c r="C52" s="144" t="s">
        <v>77</v>
      </c>
      <c r="D52" s="145">
        <v>-10000.0</v>
      </c>
      <c r="E52" s="146">
        <v>0.0</v>
      </c>
      <c r="F52" s="146">
        <v>10000.0</v>
      </c>
      <c r="G52" s="147" t="s">
        <v>74</v>
      </c>
      <c r="H52" s="146">
        <v>0.0</v>
      </c>
      <c r="I52" s="149">
        <f t="shared" si="2"/>
        <v>1891500</v>
      </c>
      <c r="J52" s="150"/>
      <c r="K52" s="152">
        <v>94.0</v>
      </c>
    </row>
    <row r="53" ht="26.25" customHeight="1">
      <c r="A53" s="143">
        <v>46050.0</v>
      </c>
      <c r="B53" s="144" t="s">
        <v>72</v>
      </c>
      <c r="C53" s="144" t="s">
        <v>92</v>
      </c>
      <c r="D53" s="145">
        <v>-5000.0</v>
      </c>
      <c r="E53" s="146">
        <v>0.0</v>
      </c>
      <c r="F53" s="146">
        <v>5000.0</v>
      </c>
      <c r="G53" s="147" t="s">
        <v>74</v>
      </c>
      <c r="H53" s="146">
        <v>0.0</v>
      </c>
      <c r="I53" s="149">
        <f t="shared" si="2"/>
        <v>1886500</v>
      </c>
      <c r="J53" s="150"/>
      <c r="K53" s="152">
        <v>95.0</v>
      </c>
    </row>
    <row r="54" ht="26.25" customHeight="1">
      <c r="A54" s="143">
        <v>46050.0</v>
      </c>
      <c r="B54" s="144" t="s">
        <v>72</v>
      </c>
      <c r="C54" s="144" t="s">
        <v>93</v>
      </c>
      <c r="D54" s="145">
        <v>-25000.0</v>
      </c>
      <c r="E54" s="146">
        <v>0.0</v>
      </c>
      <c r="F54" s="146">
        <v>25000.0</v>
      </c>
      <c r="G54" s="147" t="s">
        <v>74</v>
      </c>
      <c r="H54" s="146">
        <v>0.0</v>
      </c>
      <c r="I54" s="149">
        <f t="shared" si="2"/>
        <v>1861500</v>
      </c>
      <c r="J54" s="150"/>
      <c r="K54" s="152">
        <v>96.0</v>
      </c>
    </row>
    <row r="55" ht="26.25" customHeight="1">
      <c r="A55" s="143">
        <v>46050.0</v>
      </c>
      <c r="B55" s="144" t="s">
        <v>72</v>
      </c>
      <c r="C55" s="144" t="s">
        <v>94</v>
      </c>
      <c r="D55" s="145">
        <v>-10000.0</v>
      </c>
      <c r="E55" s="146">
        <v>0.0</v>
      </c>
      <c r="F55" s="146">
        <v>10000.0</v>
      </c>
      <c r="G55" s="147" t="s">
        <v>74</v>
      </c>
      <c r="H55" s="146">
        <v>0.0</v>
      </c>
      <c r="I55" s="149">
        <f t="shared" si="2"/>
        <v>1851500</v>
      </c>
      <c r="J55" s="150"/>
      <c r="K55" s="152">
        <v>97.0</v>
      </c>
    </row>
    <row r="56" ht="26.25" customHeight="1">
      <c r="A56" s="143">
        <v>46050.0</v>
      </c>
      <c r="B56" s="144" t="s">
        <v>72</v>
      </c>
      <c r="C56" s="144" t="s">
        <v>91</v>
      </c>
      <c r="D56" s="145">
        <v>-18000.0</v>
      </c>
      <c r="E56" s="146">
        <v>0.0</v>
      </c>
      <c r="F56" s="146">
        <v>18000.0</v>
      </c>
      <c r="G56" s="147" t="s">
        <v>74</v>
      </c>
      <c r="H56" s="146">
        <v>0.0</v>
      </c>
      <c r="I56" s="149">
        <f t="shared" si="2"/>
        <v>1833500</v>
      </c>
      <c r="J56" s="150"/>
      <c r="K56" s="152">
        <v>98.0</v>
      </c>
    </row>
    <row r="57" ht="26.25" customHeight="1">
      <c r="A57" s="143">
        <v>46050.0</v>
      </c>
      <c r="B57" s="144" t="s">
        <v>62</v>
      </c>
      <c r="C57" s="144" t="s">
        <v>78</v>
      </c>
      <c r="D57" s="145">
        <v>-25000.0</v>
      </c>
      <c r="E57" s="146">
        <v>0.0</v>
      </c>
      <c r="F57" s="146">
        <v>25000.0</v>
      </c>
      <c r="G57" s="147" t="s">
        <v>74</v>
      </c>
      <c r="H57" s="146">
        <v>0.0</v>
      </c>
      <c r="I57" s="149">
        <f t="shared" si="2"/>
        <v>1808500</v>
      </c>
      <c r="J57" s="150"/>
      <c r="K57" s="152">
        <v>99.0</v>
      </c>
    </row>
    <row r="58" ht="26.25" customHeight="1">
      <c r="A58" s="143">
        <v>46050.0</v>
      </c>
      <c r="B58" s="144" t="s">
        <v>72</v>
      </c>
      <c r="C58" s="144" t="s">
        <v>77</v>
      </c>
      <c r="D58" s="145">
        <v>-10000.0</v>
      </c>
      <c r="E58" s="146">
        <v>0.0</v>
      </c>
      <c r="F58" s="146">
        <v>10000.0</v>
      </c>
      <c r="G58" s="147" t="s">
        <v>74</v>
      </c>
      <c r="H58" s="146">
        <v>0.0</v>
      </c>
      <c r="I58" s="149">
        <f t="shared" si="2"/>
        <v>1798500</v>
      </c>
      <c r="J58" s="150"/>
      <c r="K58" s="152">
        <v>102.0</v>
      </c>
    </row>
    <row r="59" ht="26.25" customHeight="1">
      <c r="A59" s="143">
        <v>46050.0</v>
      </c>
      <c r="B59" s="144" t="s">
        <v>72</v>
      </c>
      <c r="C59" s="144" t="s">
        <v>77</v>
      </c>
      <c r="D59" s="145">
        <v>-8000.0</v>
      </c>
      <c r="E59" s="146">
        <v>0.0</v>
      </c>
      <c r="F59" s="146">
        <v>8000.0</v>
      </c>
      <c r="G59" s="147" t="s">
        <v>74</v>
      </c>
      <c r="H59" s="146">
        <v>0.0</v>
      </c>
      <c r="I59" s="149">
        <f t="shared" si="2"/>
        <v>1790500</v>
      </c>
      <c r="J59" s="150"/>
      <c r="K59" s="152">
        <v>103.0</v>
      </c>
    </row>
    <row r="60" ht="26.25" customHeight="1">
      <c r="A60" s="143">
        <v>46050.0</v>
      </c>
      <c r="B60" s="144" t="s">
        <v>72</v>
      </c>
      <c r="C60" s="144" t="s">
        <v>95</v>
      </c>
      <c r="D60" s="145">
        <v>-2000.0</v>
      </c>
      <c r="E60" s="146">
        <v>0.0</v>
      </c>
      <c r="F60" s="146">
        <v>2000.0</v>
      </c>
      <c r="G60" s="147" t="s">
        <v>74</v>
      </c>
      <c r="H60" s="146">
        <v>0.0</v>
      </c>
      <c r="I60" s="149">
        <f t="shared" si="2"/>
        <v>1788500</v>
      </c>
      <c r="J60" s="150"/>
      <c r="K60" s="152">
        <v>104.0</v>
      </c>
    </row>
    <row r="61" ht="26.25" customHeight="1">
      <c r="A61" s="143">
        <v>46050.0</v>
      </c>
      <c r="B61" s="148" t="s">
        <v>72</v>
      </c>
      <c r="C61" s="148" t="s">
        <v>96</v>
      </c>
      <c r="D61" s="148">
        <v>-30000.0</v>
      </c>
      <c r="E61" s="146">
        <v>0.0</v>
      </c>
      <c r="F61" s="154">
        <v>30000.0</v>
      </c>
      <c r="G61" s="147" t="s">
        <v>74</v>
      </c>
      <c r="H61" s="146">
        <v>0.0</v>
      </c>
      <c r="I61" s="149">
        <f t="shared" si="2"/>
        <v>1758500</v>
      </c>
      <c r="J61" s="150"/>
      <c r="K61" s="152">
        <v>108.0</v>
      </c>
    </row>
    <row r="62" ht="26.25" customHeight="1">
      <c r="A62" s="143">
        <v>46050.0</v>
      </c>
      <c r="B62" s="148" t="s">
        <v>72</v>
      </c>
      <c r="C62" s="148" t="s">
        <v>77</v>
      </c>
      <c r="D62" s="148">
        <v>-15000.0</v>
      </c>
      <c r="E62" s="146">
        <v>0.0</v>
      </c>
      <c r="F62" s="154">
        <v>15000.0</v>
      </c>
      <c r="G62" s="147" t="s">
        <v>74</v>
      </c>
      <c r="H62" s="146">
        <v>0.0</v>
      </c>
      <c r="I62" s="149">
        <f t="shared" si="2"/>
        <v>1743500</v>
      </c>
      <c r="J62" s="150"/>
      <c r="K62" s="152">
        <v>109.0</v>
      </c>
    </row>
    <row r="63" ht="26.25" customHeight="1">
      <c r="A63" s="143">
        <v>46050.0</v>
      </c>
      <c r="B63" s="148" t="s">
        <v>72</v>
      </c>
      <c r="C63" s="148" t="s">
        <v>97</v>
      </c>
      <c r="D63" s="148">
        <v>-10000.0</v>
      </c>
      <c r="E63" s="146">
        <v>0.0</v>
      </c>
      <c r="F63" s="154">
        <v>10000.0</v>
      </c>
      <c r="G63" s="147" t="s">
        <v>74</v>
      </c>
      <c r="H63" s="146">
        <v>0.0</v>
      </c>
      <c r="I63" s="149">
        <f t="shared" si="2"/>
        <v>1733500</v>
      </c>
      <c r="J63" s="150"/>
      <c r="K63" s="152">
        <v>110.0</v>
      </c>
    </row>
    <row r="64" ht="26.25" customHeight="1">
      <c r="A64" s="143">
        <v>46050.0</v>
      </c>
      <c r="B64" s="148" t="s">
        <v>72</v>
      </c>
      <c r="C64" s="148" t="s">
        <v>98</v>
      </c>
      <c r="D64" s="148">
        <v>-10000.0</v>
      </c>
      <c r="E64" s="146">
        <v>0.0</v>
      </c>
      <c r="F64" s="154">
        <v>10000.0</v>
      </c>
      <c r="G64" s="147" t="s">
        <v>74</v>
      </c>
      <c r="H64" s="146">
        <v>0.0</v>
      </c>
      <c r="I64" s="149">
        <f t="shared" si="2"/>
        <v>1723500</v>
      </c>
      <c r="J64" s="150"/>
      <c r="K64" s="152">
        <v>111.0</v>
      </c>
    </row>
    <row r="65" ht="26.25" customHeight="1">
      <c r="A65" s="143">
        <v>46050.0</v>
      </c>
      <c r="B65" s="148" t="s">
        <v>72</v>
      </c>
      <c r="C65" s="148" t="s">
        <v>99</v>
      </c>
      <c r="D65" s="148">
        <v>-5000.0</v>
      </c>
      <c r="E65" s="146">
        <v>0.0</v>
      </c>
      <c r="F65" s="154">
        <v>5000.0</v>
      </c>
      <c r="G65" s="147" t="s">
        <v>74</v>
      </c>
      <c r="H65" s="146">
        <v>0.0</v>
      </c>
      <c r="I65" s="149">
        <f t="shared" si="2"/>
        <v>1718500</v>
      </c>
      <c r="J65" s="150"/>
      <c r="K65" s="152">
        <v>112.0</v>
      </c>
    </row>
    <row r="66" ht="26.25" customHeight="1">
      <c r="A66" s="143">
        <v>46050.0</v>
      </c>
      <c r="B66" s="148" t="s">
        <v>62</v>
      </c>
      <c r="C66" s="148" t="s">
        <v>36</v>
      </c>
      <c r="D66" s="148">
        <v>-50000.0</v>
      </c>
      <c r="E66" s="146">
        <v>0.0</v>
      </c>
      <c r="F66" s="154">
        <v>50000.0</v>
      </c>
      <c r="G66" s="147" t="s">
        <v>74</v>
      </c>
      <c r="H66" s="146">
        <v>0.0</v>
      </c>
      <c r="I66" s="149">
        <f t="shared" si="2"/>
        <v>1668500</v>
      </c>
      <c r="J66" s="150"/>
      <c r="K66" s="152">
        <v>107.0</v>
      </c>
    </row>
    <row r="67" ht="26.25" customHeight="1">
      <c r="A67" s="143">
        <v>46050.0</v>
      </c>
      <c r="B67" s="144" t="s">
        <v>62</v>
      </c>
      <c r="C67" s="144" t="s">
        <v>86</v>
      </c>
      <c r="D67" s="145">
        <v>-25000.0</v>
      </c>
      <c r="E67" s="146">
        <v>0.0</v>
      </c>
      <c r="F67" s="146">
        <v>25000.0</v>
      </c>
      <c r="G67" s="147" t="s">
        <v>74</v>
      </c>
      <c r="H67" s="146">
        <v>0.0</v>
      </c>
      <c r="I67" s="149">
        <f t="shared" si="2"/>
        <v>1643500</v>
      </c>
      <c r="J67" s="150"/>
      <c r="K67" s="152">
        <v>100.0</v>
      </c>
    </row>
    <row r="68" ht="26.25" customHeight="1">
      <c r="A68" s="143">
        <v>46050.0</v>
      </c>
      <c r="B68" s="144" t="s">
        <v>62</v>
      </c>
      <c r="C68" s="144" t="s">
        <v>86</v>
      </c>
      <c r="D68" s="145">
        <v>-25000.0</v>
      </c>
      <c r="E68" s="146">
        <v>0.0</v>
      </c>
      <c r="F68" s="146">
        <v>25000.0</v>
      </c>
      <c r="G68" s="147" t="s">
        <v>74</v>
      </c>
      <c r="H68" s="146">
        <v>0.0</v>
      </c>
      <c r="I68" s="149">
        <f t="shared" si="2"/>
        <v>1618500</v>
      </c>
      <c r="J68" s="150"/>
      <c r="K68" s="152">
        <v>105.0</v>
      </c>
    </row>
    <row r="69" ht="26.25" customHeight="1">
      <c r="A69" s="143">
        <v>46050.0</v>
      </c>
      <c r="B69" s="144" t="s">
        <v>62</v>
      </c>
      <c r="C69" s="144" t="s">
        <v>100</v>
      </c>
      <c r="D69" s="145">
        <v>-25000.0</v>
      </c>
      <c r="E69" s="146">
        <v>0.0</v>
      </c>
      <c r="F69" s="146">
        <v>25000.0</v>
      </c>
      <c r="G69" s="147" t="s">
        <v>74</v>
      </c>
      <c r="H69" s="146">
        <v>0.0</v>
      </c>
      <c r="I69" s="149">
        <f t="shared" si="2"/>
        <v>1593500</v>
      </c>
      <c r="J69" s="150"/>
      <c r="K69" s="152">
        <v>101.0</v>
      </c>
    </row>
    <row r="70" ht="26.25" customHeight="1">
      <c r="A70" s="143">
        <v>46051.0</v>
      </c>
      <c r="B70" s="144" t="s">
        <v>72</v>
      </c>
      <c r="C70" s="148" t="s">
        <v>87</v>
      </c>
      <c r="D70" s="148">
        <v>-175000.0</v>
      </c>
      <c r="E70" s="146">
        <v>0.0</v>
      </c>
      <c r="F70" s="154">
        <v>175000.0</v>
      </c>
      <c r="G70" s="147" t="s">
        <v>74</v>
      </c>
      <c r="H70" s="146">
        <v>0.0</v>
      </c>
      <c r="I70" s="149">
        <f t="shared" si="2"/>
        <v>1418500</v>
      </c>
      <c r="J70" s="150"/>
      <c r="K70" s="152">
        <v>14.0</v>
      </c>
    </row>
    <row r="71" ht="26.25" customHeight="1">
      <c r="A71" s="143">
        <v>46053.0</v>
      </c>
      <c r="B71" s="144" t="s">
        <v>101</v>
      </c>
      <c r="C71" s="156" t="s">
        <v>102</v>
      </c>
      <c r="D71" s="145">
        <v>-167000.0</v>
      </c>
      <c r="E71" s="146">
        <v>0.0</v>
      </c>
      <c r="F71" s="146">
        <v>167000.0</v>
      </c>
      <c r="G71" s="147" t="s">
        <v>74</v>
      </c>
      <c r="H71" s="146">
        <v>0.0</v>
      </c>
      <c r="I71" s="149">
        <f t="shared" si="2"/>
        <v>1251500</v>
      </c>
      <c r="J71" s="150"/>
      <c r="K71" s="152">
        <v>33.0</v>
      </c>
    </row>
    <row r="72" ht="26.25" customHeight="1">
      <c r="A72" s="143">
        <v>46053.0</v>
      </c>
      <c r="B72" s="144" t="s">
        <v>101</v>
      </c>
      <c r="C72" s="156" t="s">
        <v>63</v>
      </c>
      <c r="D72" s="145">
        <v>-480000.0</v>
      </c>
      <c r="E72" s="146">
        <v>0.0</v>
      </c>
      <c r="F72" s="146">
        <v>480000.0</v>
      </c>
      <c r="G72" s="147" t="s">
        <v>74</v>
      </c>
      <c r="H72" s="146">
        <v>0.0</v>
      </c>
      <c r="I72" s="149">
        <f t="shared" si="2"/>
        <v>771500</v>
      </c>
      <c r="J72" s="150"/>
      <c r="K72" s="152">
        <v>36.0</v>
      </c>
    </row>
    <row r="73" ht="26.25" customHeight="1">
      <c r="A73" s="143">
        <v>46053.0</v>
      </c>
      <c r="B73" s="144" t="s">
        <v>101</v>
      </c>
      <c r="C73" s="158" t="s">
        <v>28</v>
      </c>
      <c r="D73" s="145">
        <v>-300000.0</v>
      </c>
      <c r="E73" s="146">
        <v>0.0</v>
      </c>
      <c r="F73" s="146">
        <v>300000.0</v>
      </c>
      <c r="G73" s="147" t="s">
        <v>74</v>
      </c>
      <c r="H73" s="146">
        <v>0.0</v>
      </c>
      <c r="I73" s="149">
        <f t="shared" si="2"/>
        <v>471500</v>
      </c>
      <c r="J73" s="150"/>
      <c r="K73" s="152">
        <v>35.0</v>
      </c>
    </row>
    <row r="74" ht="26.25" customHeight="1">
      <c r="A74" s="143">
        <v>46054.0</v>
      </c>
      <c r="B74" s="144" t="s">
        <v>59</v>
      </c>
      <c r="C74" s="148" t="s">
        <v>103</v>
      </c>
      <c r="D74" s="148">
        <v>0.0</v>
      </c>
      <c r="E74" s="148">
        <v>0.0</v>
      </c>
      <c r="F74" s="146">
        <v>0.0</v>
      </c>
      <c r="G74" s="147" t="s">
        <v>65</v>
      </c>
      <c r="H74" s="148">
        <v>1000000.0</v>
      </c>
      <c r="I74" s="149">
        <f t="shared" si="2"/>
        <v>471500</v>
      </c>
      <c r="J74" s="150"/>
      <c r="K74" s="152">
        <v>15.0</v>
      </c>
    </row>
    <row r="75" ht="26.25" customHeight="1">
      <c r="A75" s="143">
        <v>46054.0</v>
      </c>
      <c r="B75" s="148" t="s">
        <v>59</v>
      </c>
      <c r="C75" s="148" t="s">
        <v>103</v>
      </c>
      <c r="D75" s="148">
        <v>0.0</v>
      </c>
      <c r="E75" s="148">
        <v>0.0</v>
      </c>
      <c r="F75" s="146">
        <v>0.0</v>
      </c>
      <c r="G75" s="147" t="s">
        <v>65</v>
      </c>
      <c r="H75" s="148">
        <v>1000000.0</v>
      </c>
      <c r="I75" s="149">
        <f t="shared" si="2"/>
        <v>471500</v>
      </c>
      <c r="J75" s="150"/>
      <c r="K75" s="151"/>
    </row>
    <row r="76" ht="26.25" customHeight="1">
      <c r="A76" s="143">
        <v>46055.0</v>
      </c>
      <c r="B76" s="144" t="s">
        <v>62</v>
      </c>
      <c r="C76" s="144" t="s">
        <v>36</v>
      </c>
      <c r="D76" s="145">
        <v>-5000.0</v>
      </c>
      <c r="E76" s="146">
        <v>0.0</v>
      </c>
      <c r="F76" s="146">
        <v>5000.0</v>
      </c>
      <c r="G76" s="147" t="s">
        <v>74</v>
      </c>
      <c r="H76" s="146">
        <v>0.0</v>
      </c>
      <c r="I76" s="149">
        <f t="shared" si="2"/>
        <v>466500</v>
      </c>
      <c r="J76" s="150"/>
      <c r="K76" s="152">
        <v>87.0</v>
      </c>
    </row>
    <row r="77" ht="26.25" customHeight="1">
      <c r="A77" s="143">
        <v>46055.0</v>
      </c>
      <c r="B77" s="144" t="s">
        <v>70</v>
      </c>
      <c r="C77" s="148" t="s">
        <v>104</v>
      </c>
      <c r="D77" s="145">
        <v>1000000.0</v>
      </c>
      <c r="E77" s="145">
        <v>1000000.0</v>
      </c>
      <c r="F77" s="146">
        <v>0.0</v>
      </c>
      <c r="G77" s="147" t="s">
        <v>65</v>
      </c>
      <c r="H77" s="146">
        <v>1000000.0</v>
      </c>
      <c r="I77" s="149">
        <f t="shared" si="2"/>
        <v>1466500</v>
      </c>
      <c r="J77" s="150"/>
      <c r="K77" s="152">
        <v>48.0</v>
      </c>
    </row>
    <row r="78" ht="26.25" customHeight="1">
      <c r="A78" s="143">
        <v>46055.0</v>
      </c>
      <c r="B78" s="144" t="s">
        <v>101</v>
      </c>
      <c r="C78" s="156" t="s">
        <v>27</v>
      </c>
      <c r="D78" s="145">
        <v>-750000.0</v>
      </c>
      <c r="E78" s="146">
        <v>0.0</v>
      </c>
      <c r="F78" s="146">
        <v>750000.0</v>
      </c>
      <c r="G78" s="147" t="s">
        <v>74</v>
      </c>
      <c r="H78" s="146">
        <v>0.0</v>
      </c>
      <c r="I78" s="149">
        <f t="shared" si="2"/>
        <v>716500</v>
      </c>
      <c r="J78" s="150"/>
      <c r="K78" s="152">
        <v>80.0</v>
      </c>
    </row>
    <row r="79" ht="26.25" customHeight="1">
      <c r="A79" s="143">
        <v>46055.0</v>
      </c>
      <c r="B79" s="144" t="s">
        <v>62</v>
      </c>
      <c r="C79" s="156" t="s">
        <v>27</v>
      </c>
      <c r="D79" s="145">
        <v>-5000.0</v>
      </c>
      <c r="E79" s="146">
        <v>0.0</v>
      </c>
      <c r="F79" s="146">
        <v>5000.0</v>
      </c>
      <c r="G79" s="147" t="s">
        <v>74</v>
      </c>
      <c r="H79" s="146">
        <v>0.0</v>
      </c>
      <c r="I79" s="149">
        <f t="shared" si="2"/>
        <v>711500</v>
      </c>
      <c r="J79" s="150"/>
      <c r="K79" s="152">
        <v>89.0</v>
      </c>
    </row>
    <row r="80" ht="26.25" customHeight="1">
      <c r="A80" s="143">
        <v>46055.0</v>
      </c>
      <c r="B80" s="144" t="s">
        <v>62</v>
      </c>
      <c r="C80" s="156" t="s">
        <v>27</v>
      </c>
      <c r="D80" s="145">
        <v>-10000.0</v>
      </c>
      <c r="E80" s="146">
        <v>0.0</v>
      </c>
      <c r="F80" s="146">
        <v>10000.0</v>
      </c>
      <c r="G80" s="147" t="s">
        <v>74</v>
      </c>
      <c r="H80" s="146">
        <v>0.0</v>
      </c>
      <c r="I80" s="149">
        <f t="shared" si="2"/>
        <v>701500</v>
      </c>
      <c r="J80" s="150"/>
      <c r="K80" s="152">
        <v>92.0</v>
      </c>
    </row>
    <row r="81" ht="26.25" customHeight="1">
      <c r="A81" s="143">
        <v>46055.0</v>
      </c>
      <c r="B81" s="144" t="s">
        <v>72</v>
      </c>
      <c r="C81" s="148" t="s">
        <v>105</v>
      </c>
      <c r="D81" s="148">
        <v>-10000.0</v>
      </c>
      <c r="E81" s="146">
        <v>0.0</v>
      </c>
      <c r="F81" s="154">
        <v>10000.0</v>
      </c>
      <c r="G81" s="147" t="s">
        <v>74</v>
      </c>
      <c r="H81" s="146">
        <v>0.0</v>
      </c>
      <c r="I81" s="149">
        <f t="shared" si="2"/>
        <v>691500</v>
      </c>
      <c r="J81" s="150"/>
      <c r="K81" s="152">
        <v>16.0</v>
      </c>
    </row>
    <row r="82" ht="26.25" customHeight="1">
      <c r="A82" s="143">
        <v>46055.0</v>
      </c>
      <c r="B82" s="144" t="s">
        <v>72</v>
      </c>
      <c r="C82" s="144" t="s">
        <v>77</v>
      </c>
      <c r="D82" s="145">
        <v>-10000.0</v>
      </c>
      <c r="E82" s="146">
        <v>0.0</v>
      </c>
      <c r="F82" s="146">
        <v>10000.0</v>
      </c>
      <c r="G82" s="147" t="s">
        <v>74</v>
      </c>
      <c r="H82" s="146">
        <v>0.0</v>
      </c>
      <c r="I82" s="149">
        <f t="shared" si="2"/>
        <v>681500</v>
      </c>
      <c r="J82" s="150"/>
      <c r="K82" s="152">
        <v>76.0</v>
      </c>
    </row>
    <row r="83" ht="26.25" customHeight="1">
      <c r="A83" s="143">
        <v>46055.0</v>
      </c>
      <c r="B83" s="144" t="s">
        <v>72</v>
      </c>
      <c r="C83" s="144" t="s">
        <v>77</v>
      </c>
      <c r="D83" s="145">
        <v>-7000.0</v>
      </c>
      <c r="E83" s="146">
        <v>0.0</v>
      </c>
      <c r="F83" s="146">
        <v>7000.0</v>
      </c>
      <c r="G83" s="147" t="s">
        <v>74</v>
      </c>
      <c r="H83" s="146">
        <v>0.0</v>
      </c>
      <c r="I83" s="149">
        <f t="shared" si="2"/>
        <v>674500</v>
      </c>
      <c r="J83" s="150"/>
      <c r="K83" s="152">
        <v>77.0</v>
      </c>
    </row>
    <row r="84" ht="26.25" customHeight="1">
      <c r="A84" s="143">
        <v>46055.0</v>
      </c>
      <c r="B84" s="144" t="s">
        <v>72</v>
      </c>
      <c r="C84" s="144" t="s">
        <v>95</v>
      </c>
      <c r="D84" s="145">
        <v>-5000.0</v>
      </c>
      <c r="E84" s="146">
        <v>0.0</v>
      </c>
      <c r="F84" s="146">
        <v>5000.0</v>
      </c>
      <c r="G84" s="147" t="s">
        <v>74</v>
      </c>
      <c r="H84" s="146">
        <v>0.0</v>
      </c>
      <c r="I84" s="149">
        <f t="shared" si="2"/>
        <v>669500</v>
      </c>
      <c r="J84" s="150"/>
      <c r="K84" s="152">
        <v>78.0</v>
      </c>
    </row>
    <row r="85" ht="26.25" customHeight="1">
      <c r="A85" s="143">
        <v>46055.0</v>
      </c>
      <c r="B85" s="144" t="s">
        <v>72</v>
      </c>
      <c r="C85" s="144" t="s">
        <v>106</v>
      </c>
      <c r="D85" s="145">
        <v>-6000.0</v>
      </c>
      <c r="E85" s="146">
        <v>0.0</v>
      </c>
      <c r="F85" s="146">
        <v>6000.0</v>
      </c>
      <c r="G85" s="147" t="s">
        <v>74</v>
      </c>
      <c r="H85" s="146">
        <v>0.0</v>
      </c>
      <c r="I85" s="149">
        <f t="shared" si="2"/>
        <v>663500</v>
      </c>
      <c r="J85" s="150"/>
      <c r="K85" s="152">
        <v>79.0</v>
      </c>
    </row>
    <row r="86" ht="26.25" customHeight="1">
      <c r="A86" s="143">
        <v>46055.0</v>
      </c>
      <c r="B86" s="144" t="s">
        <v>72</v>
      </c>
      <c r="C86" s="144" t="s">
        <v>107</v>
      </c>
      <c r="D86" s="145">
        <v>-40000.0</v>
      </c>
      <c r="E86" s="146">
        <v>0.0</v>
      </c>
      <c r="F86" s="146">
        <v>40000.0</v>
      </c>
      <c r="G86" s="147" t="s">
        <v>74</v>
      </c>
      <c r="H86" s="146">
        <v>0.0</v>
      </c>
      <c r="I86" s="149">
        <f t="shared" si="2"/>
        <v>623500</v>
      </c>
      <c r="J86" s="150"/>
      <c r="K86" s="152">
        <v>83.0</v>
      </c>
    </row>
    <row r="87" ht="26.25" customHeight="1">
      <c r="A87" s="143">
        <v>46055.0</v>
      </c>
      <c r="B87" s="144" t="s">
        <v>72</v>
      </c>
      <c r="C87" s="144" t="s">
        <v>108</v>
      </c>
      <c r="D87" s="145">
        <v>-10000.0</v>
      </c>
      <c r="E87" s="146">
        <v>0.0</v>
      </c>
      <c r="F87" s="146">
        <v>10000.0</v>
      </c>
      <c r="G87" s="147" t="s">
        <v>74</v>
      </c>
      <c r="H87" s="146">
        <v>0.0</v>
      </c>
      <c r="I87" s="149">
        <f t="shared" si="2"/>
        <v>613500</v>
      </c>
      <c r="J87" s="150"/>
      <c r="K87" s="152">
        <v>90.0</v>
      </c>
    </row>
    <row r="88" ht="26.25" customHeight="1">
      <c r="A88" s="143">
        <v>46055.0</v>
      </c>
      <c r="B88" s="144" t="s">
        <v>72</v>
      </c>
      <c r="C88" s="144" t="s">
        <v>75</v>
      </c>
      <c r="D88" s="145">
        <v>-10000.0</v>
      </c>
      <c r="E88" s="146">
        <v>0.0</v>
      </c>
      <c r="F88" s="146">
        <v>10000.0</v>
      </c>
      <c r="G88" s="147" t="s">
        <v>74</v>
      </c>
      <c r="H88" s="146">
        <v>0.0</v>
      </c>
      <c r="I88" s="149">
        <f t="shared" si="2"/>
        <v>603500</v>
      </c>
      <c r="J88" s="150"/>
      <c r="K88" s="152">
        <v>91.0</v>
      </c>
    </row>
    <row r="89" ht="26.25" customHeight="1">
      <c r="A89" s="143">
        <v>46055.0</v>
      </c>
      <c r="B89" s="144" t="s">
        <v>62</v>
      </c>
      <c r="C89" s="144" t="s">
        <v>36</v>
      </c>
      <c r="D89" s="145">
        <v>-10000.0</v>
      </c>
      <c r="E89" s="146">
        <v>0.0</v>
      </c>
      <c r="F89" s="146">
        <v>10000.0</v>
      </c>
      <c r="G89" s="147" t="s">
        <v>74</v>
      </c>
      <c r="H89" s="146">
        <v>0.0</v>
      </c>
      <c r="I89" s="149">
        <f t="shared" si="2"/>
        <v>593500</v>
      </c>
      <c r="J89" s="150"/>
      <c r="K89" s="152">
        <v>81.0</v>
      </c>
    </row>
    <row r="90" ht="26.25" customHeight="1">
      <c r="A90" s="143">
        <v>46055.0</v>
      </c>
      <c r="B90" s="144" t="s">
        <v>62</v>
      </c>
      <c r="C90" s="144" t="s">
        <v>36</v>
      </c>
      <c r="D90" s="145">
        <v>-5000.0</v>
      </c>
      <c r="E90" s="146">
        <v>0.0</v>
      </c>
      <c r="F90" s="146">
        <v>5000.0</v>
      </c>
      <c r="G90" s="147" t="s">
        <v>74</v>
      </c>
      <c r="H90" s="146">
        <v>0.0</v>
      </c>
      <c r="I90" s="149">
        <f t="shared" si="2"/>
        <v>588500</v>
      </c>
      <c r="J90" s="150"/>
      <c r="K90" s="152">
        <v>86.0</v>
      </c>
    </row>
    <row r="91" ht="26.25" customHeight="1">
      <c r="A91" s="143">
        <v>46055.0</v>
      </c>
      <c r="B91" s="144" t="s">
        <v>62</v>
      </c>
      <c r="C91" s="144" t="s">
        <v>36</v>
      </c>
      <c r="D91" s="145">
        <v>-10000.0</v>
      </c>
      <c r="E91" s="146">
        <v>0.0</v>
      </c>
      <c r="F91" s="146">
        <v>10000.0</v>
      </c>
      <c r="G91" s="147" t="s">
        <v>74</v>
      </c>
      <c r="H91" s="146">
        <v>0.0</v>
      </c>
      <c r="I91" s="149">
        <f t="shared" si="2"/>
        <v>578500</v>
      </c>
      <c r="J91" s="150"/>
      <c r="K91" s="152">
        <v>93.0</v>
      </c>
    </row>
    <row r="92" ht="26.25" customHeight="1">
      <c r="A92" s="143">
        <v>46055.0</v>
      </c>
      <c r="B92" s="144" t="s">
        <v>62</v>
      </c>
      <c r="C92" s="144" t="s">
        <v>86</v>
      </c>
      <c r="D92" s="145">
        <v>-5000.0</v>
      </c>
      <c r="E92" s="146">
        <v>0.0</v>
      </c>
      <c r="F92" s="146">
        <v>5000.0</v>
      </c>
      <c r="G92" s="147" t="s">
        <v>74</v>
      </c>
      <c r="H92" s="146">
        <v>0.0</v>
      </c>
      <c r="I92" s="149">
        <f t="shared" si="2"/>
        <v>573500</v>
      </c>
      <c r="J92" s="150"/>
      <c r="K92" s="152">
        <v>84.0</v>
      </c>
    </row>
    <row r="93" ht="26.25" customHeight="1">
      <c r="A93" s="143">
        <v>46055.0</v>
      </c>
      <c r="B93" s="144" t="s">
        <v>62</v>
      </c>
      <c r="C93" s="144" t="s">
        <v>100</v>
      </c>
      <c r="D93" s="145">
        <v>-5000.0</v>
      </c>
      <c r="E93" s="146">
        <v>0.0</v>
      </c>
      <c r="F93" s="146">
        <v>5000.0</v>
      </c>
      <c r="G93" s="147" t="s">
        <v>74</v>
      </c>
      <c r="H93" s="146">
        <v>0.0</v>
      </c>
      <c r="I93" s="149">
        <f t="shared" si="2"/>
        <v>568500</v>
      </c>
      <c r="J93" s="150"/>
      <c r="K93" s="152">
        <v>88.0</v>
      </c>
    </row>
    <row r="94" ht="26.25" customHeight="1">
      <c r="A94" s="143">
        <v>46055.0</v>
      </c>
      <c r="B94" s="144" t="s">
        <v>62</v>
      </c>
      <c r="C94" s="156" t="s">
        <v>63</v>
      </c>
      <c r="D94" s="145">
        <v>-5000.0</v>
      </c>
      <c r="E94" s="146">
        <v>0.0</v>
      </c>
      <c r="F94" s="146">
        <v>5000.0</v>
      </c>
      <c r="G94" s="147" t="s">
        <v>74</v>
      </c>
      <c r="H94" s="146">
        <v>0.0</v>
      </c>
      <c r="I94" s="149">
        <f t="shared" si="2"/>
        <v>563500</v>
      </c>
      <c r="J94" s="150"/>
      <c r="K94" s="152">
        <v>85.0</v>
      </c>
    </row>
    <row r="95" ht="26.25" customHeight="1">
      <c r="A95" s="143">
        <v>46056.0</v>
      </c>
      <c r="B95" s="148" t="s">
        <v>62</v>
      </c>
      <c r="C95" s="148" t="s">
        <v>36</v>
      </c>
      <c r="D95" s="148">
        <v>-5000.0</v>
      </c>
      <c r="E95" s="146">
        <v>0.0</v>
      </c>
      <c r="F95" s="154">
        <v>5000.0</v>
      </c>
      <c r="G95" s="147" t="s">
        <v>74</v>
      </c>
      <c r="H95" s="146">
        <v>0.0</v>
      </c>
      <c r="I95" s="149">
        <f t="shared" si="2"/>
        <v>558500</v>
      </c>
      <c r="J95" s="150"/>
      <c r="K95" s="152">
        <v>115.0</v>
      </c>
    </row>
    <row r="96" ht="26.25" customHeight="1">
      <c r="A96" s="143">
        <v>46056.0</v>
      </c>
      <c r="B96" s="148" t="s">
        <v>62</v>
      </c>
      <c r="C96" s="156" t="s">
        <v>27</v>
      </c>
      <c r="D96" s="148">
        <v>-5000.0</v>
      </c>
      <c r="E96" s="146">
        <v>0.0</v>
      </c>
      <c r="F96" s="154">
        <v>5000.0</v>
      </c>
      <c r="G96" s="147" t="s">
        <v>74</v>
      </c>
      <c r="H96" s="146">
        <v>0.0</v>
      </c>
      <c r="I96" s="149">
        <f t="shared" si="2"/>
        <v>553500</v>
      </c>
      <c r="J96" s="150"/>
      <c r="K96" s="152">
        <v>121.0</v>
      </c>
    </row>
    <row r="97" ht="26.25" customHeight="1">
      <c r="A97" s="143">
        <v>46056.0</v>
      </c>
      <c r="B97" s="144" t="s">
        <v>59</v>
      </c>
      <c r="C97" s="148" t="s">
        <v>68</v>
      </c>
      <c r="D97" s="148">
        <v>0.0</v>
      </c>
      <c r="E97" s="148">
        <v>0.0</v>
      </c>
      <c r="F97" s="146">
        <v>0.0</v>
      </c>
      <c r="G97" s="147" t="s">
        <v>65</v>
      </c>
      <c r="H97" s="148">
        <v>1000000.0</v>
      </c>
      <c r="I97" s="149">
        <f t="shared" si="2"/>
        <v>553500</v>
      </c>
      <c r="J97" s="150"/>
      <c r="K97" s="152">
        <v>17.0</v>
      </c>
    </row>
    <row r="98" ht="26.25" customHeight="1">
      <c r="A98" s="143">
        <v>46056.0</v>
      </c>
      <c r="B98" s="148" t="s">
        <v>72</v>
      </c>
      <c r="C98" s="148" t="s">
        <v>109</v>
      </c>
      <c r="D98" s="148">
        <v>-5000.0</v>
      </c>
      <c r="E98" s="146">
        <v>0.0</v>
      </c>
      <c r="F98" s="154">
        <v>5000.0</v>
      </c>
      <c r="G98" s="147" t="s">
        <v>74</v>
      </c>
      <c r="H98" s="146">
        <v>0.0</v>
      </c>
      <c r="I98" s="149">
        <f t="shared" si="2"/>
        <v>548500</v>
      </c>
      <c r="J98" s="150"/>
      <c r="K98" s="152">
        <v>113.0</v>
      </c>
    </row>
    <row r="99" ht="26.25" customHeight="1">
      <c r="A99" s="143">
        <v>46056.0</v>
      </c>
      <c r="B99" s="148" t="s">
        <v>72</v>
      </c>
      <c r="C99" s="148" t="s">
        <v>106</v>
      </c>
      <c r="D99" s="148">
        <v>-6000.0</v>
      </c>
      <c r="E99" s="146">
        <v>0.0</v>
      </c>
      <c r="F99" s="154">
        <v>6000.0</v>
      </c>
      <c r="G99" s="147" t="s">
        <v>74</v>
      </c>
      <c r="H99" s="146">
        <v>0.0</v>
      </c>
      <c r="I99" s="149">
        <f t="shared" si="2"/>
        <v>542500</v>
      </c>
      <c r="J99" s="150"/>
      <c r="K99" s="152">
        <v>116.0</v>
      </c>
    </row>
    <row r="100" ht="26.25" customHeight="1">
      <c r="A100" s="143">
        <v>46056.0</v>
      </c>
      <c r="B100" s="148" t="s">
        <v>72</v>
      </c>
      <c r="C100" s="148" t="s">
        <v>110</v>
      </c>
      <c r="D100" s="148">
        <v>-3000.0</v>
      </c>
      <c r="E100" s="146">
        <v>0.0</v>
      </c>
      <c r="F100" s="154">
        <v>3000.0</v>
      </c>
      <c r="G100" s="147" t="s">
        <v>74</v>
      </c>
      <c r="H100" s="146">
        <v>0.0</v>
      </c>
      <c r="I100" s="149">
        <f t="shared" si="2"/>
        <v>539500</v>
      </c>
      <c r="J100" s="150"/>
      <c r="K100" s="152">
        <v>117.0</v>
      </c>
    </row>
    <row r="101" ht="26.25" customHeight="1">
      <c r="A101" s="143">
        <v>46056.0</v>
      </c>
      <c r="B101" s="148" t="s">
        <v>72</v>
      </c>
      <c r="C101" s="148" t="s">
        <v>77</v>
      </c>
      <c r="D101" s="148">
        <v>-8000.0</v>
      </c>
      <c r="E101" s="146">
        <v>0.0</v>
      </c>
      <c r="F101" s="154">
        <v>8000.0</v>
      </c>
      <c r="G101" s="147" t="s">
        <v>74</v>
      </c>
      <c r="H101" s="146">
        <v>0.0</v>
      </c>
      <c r="I101" s="149">
        <f t="shared" si="2"/>
        <v>531500</v>
      </c>
      <c r="J101" s="150"/>
      <c r="K101" s="152">
        <v>118.0</v>
      </c>
    </row>
    <row r="102" ht="26.25" customHeight="1">
      <c r="A102" s="143">
        <v>46056.0</v>
      </c>
      <c r="B102" s="148" t="s">
        <v>72</v>
      </c>
      <c r="C102" s="148" t="s">
        <v>111</v>
      </c>
      <c r="D102" s="148">
        <v>-5000.0</v>
      </c>
      <c r="E102" s="146">
        <v>0.0</v>
      </c>
      <c r="F102" s="154">
        <v>5000.0</v>
      </c>
      <c r="G102" s="147" t="s">
        <v>74</v>
      </c>
      <c r="H102" s="146">
        <v>0.0</v>
      </c>
      <c r="I102" s="149">
        <f t="shared" si="2"/>
        <v>526500</v>
      </c>
      <c r="J102" s="150"/>
      <c r="K102" s="152">
        <v>119.0</v>
      </c>
    </row>
    <row r="103" ht="26.25" customHeight="1">
      <c r="A103" s="143">
        <v>46056.0</v>
      </c>
      <c r="B103" s="144" t="s">
        <v>62</v>
      </c>
      <c r="C103" s="144" t="s">
        <v>112</v>
      </c>
      <c r="D103" s="145">
        <v>-15000.0</v>
      </c>
      <c r="E103" s="146">
        <v>0.0</v>
      </c>
      <c r="F103" s="146">
        <v>15000.0</v>
      </c>
      <c r="G103" s="147" t="s">
        <v>74</v>
      </c>
      <c r="H103" s="146">
        <v>0.0</v>
      </c>
      <c r="I103" s="149">
        <f t="shared" si="2"/>
        <v>511500</v>
      </c>
      <c r="J103" s="150"/>
      <c r="K103" s="152">
        <v>82.0</v>
      </c>
    </row>
    <row r="104" ht="26.25" customHeight="1">
      <c r="A104" s="143">
        <v>46056.0</v>
      </c>
      <c r="B104" s="148" t="s">
        <v>62</v>
      </c>
      <c r="C104" s="158" t="s">
        <v>113</v>
      </c>
      <c r="D104" s="148">
        <v>-5000.0</v>
      </c>
      <c r="E104" s="146">
        <v>0.0</v>
      </c>
      <c r="F104" s="154">
        <v>5000.0</v>
      </c>
      <c r="G104" s="147" t="s">
        <v>74</v>
      </c>
      <c r="H104" s="146">
        <v>0.0</v>
      </c>
      <c r="I104" s="149">
        <f t="shared" si="2"/>
        <v>506500</v>
      </c>
      <c r="J104" s="150"/>
      <c r="K104" s="152">
        <v>114.0</v>
      </c>
    </row>
    <row r="105" ht="26.25" customHeight="1">
      <c r="A105" s="143">
        <v>46056.0</v>
      </c>
      <c r="B105" s="148" t="s">
        <v>62</v>
      </c>
      <c r="C105" s="153" t="s">
        <v>114</v>
      </c>
      <c r="D105" s="148">
        <v>-5000.0</v>
      </c>
      <c r="E105" s="146">
        <v>0.0</v>
      </c>
      <c r="F105" s="154">
        <v>5000.0</v>
      </c>
      <c r="G105" s="147" t="s">
        <v>74</v>
      </c>
      <c r="H105" s="146">
        <v>0.0</v>
      </c>
      <c r="I105" s="149">
        <f t="shared" si="2"/>
        <v>501500</v>
      </c>
      <c r="J105" s="150"/>
      <c r="K105" s="152">
        <v>120.0</v>
      </c>
    </row>
    <row r="106" ht="26.25" customHeight="1">
      <c r="A106" s="143">
        <v>46057.0</v>
      </c>
      <c r="B106" s="144" t="s">
        <v>70</v>
      </c>
      <c r="C106" s="148" t="s">
        <v>104</v>
      </c>
      <c r="D106" s="145">
        <v>300000.0</v>
      </c>
      <c r="E106" s="145">
        <v>300000.0</v>
      </c>
      <c r="F106" s="146">
        <v>0.0</v>
      </c>
      <c r="G106" s="147" t="s">
        <v>65</v>
      </c>
      <c r="H106" s="146">
        <v>300000.0</v>
      </c>
      <c r="I106" s="149">
        <f t="shared" si="2"/>
        <v>801500</v>
      </c>
      <c r="J106" s="150"/>
      <c r="K106" s="152">
        <v>49.0</v>
      </c>
    </row>
    <row r="107" ht="26.25" customHeight="1">
      <c r="A107" s="143">
        <v>46057.0</v>
      </c>
      <c r="B107" s="148" t="s">
        <v>62</v>
      </c>
      <c r="C107" s="148" t="s">
        <v>75</v>
      </c>
      <c r="D107" s="148">
        <v>-5000.0</v>
      </c>
      <c r="E107" s="146">
        <v>0.0</v>
      </c>
      <c r="F107" s="154">
        <v>5000.0</v>
      </c>
      <c r="G107" s="147" t="s">
        <v>74</v>
      </c>
      <c r="H107" s="146">
        <v>0.0</v>
      </c>
      <c r="I107" s="149">
        <f t="shared" si="2"/>
        <v>796500</v>
      </c>
      <c r="J107" s="150"/>
      <c r="K107" s="152">
        <v>123.0</v>
      </c>
    </row>
    <row r="108" ht="26.25" customHeight="1">
      <c r="A108" s="143">
        <v>46057.0</v>
      </c>
      <c r="B108" s="144" t="s">
        <v>72</v>
      </c>
      <c r="C108" s="148" t="s">
        <v>115</v>
      </c>
      <c r="D108" s="148">
        <v>-10000.0</v>
      </c>
      <c r="E108" s="146">
        <v>0.0</v>
      </c>
      <c r="F108" s="154">
        <v>10000.0</v>
      </c>
      <c r="G108" s="147" t="s">
        <v>74</v>
      </c>
      <c r="H108" s="146">
        <v>0.0</v>
      </c>
      <c r="I108" s="149">
        <f t="shared" si="2"/>
        <v>786500</v>
      </c>
      <c r="J108" s="150"/>
      <c r="K108" s="152">
        <v>18.0</v>
      </c>
    </row>
    <row r="109" ht="26.25" customHeight="1">
      <c r="A109" s="143">
        <v>46057.0</v>
      </c>
      <c r="B109" s="148" t="s">
        <v>62</v>
      </c>
      <c r="C109" s="148" t="s">
        <v>78</v>
      </c>
      <c r="D109" s="148">
        <v>-50000.0</v>
      </c>
      <c r="E109" s="146">
        <v>0.0</v>
      </c>
      <c r="F109" s="154">
        <v>50000.0</v>
      </c>
      <c r="G109" s="147" t="s">
        <v>74</v>
      </c>
      <c r="H109" s="146">
        <v>0.0</v>
      </c>
      <c r="I109" s="149">
        <f t="shared" si="2"/>
        <v>736500</v>
      </c>
      <c r="J109" s="150"/>
      <c r="K109" s="152">
        <v>125.0</v>
      </c>
    </row>
    <row r="110" ht="26.25" customHeight="1">
      <c r="A110" s="143">
        <v>46057.0</v>
      </c>
      <c r="B110" s="148" t="s">
        <v>62</v>
      </c>
      <c r="C110" s="148" t="s">
        <v>86</v>
      </c>
      <c r="D110" s="148">
        <v>-10000.0</v>
      </c>
      <c r="E110" s="146">
        <v>0.0</v>
      </c>
      <c r="F110" s="154">
        <v>10000.0</v>
      </c>
      <c r="G110" s="147" t="s">
        <v>74</v>
      </c>
      <c r="H110" s="146">
        <v>0.0</v>
      </c>
      <c r="I110" s="149">
        <f t="shared" si="2"/>
        <v>726500</v>
      </c>
      <c r="J110" s="150"/>
      <c r="K110" s="152">
        <v>122.0</v>
      </c>
    </row>
    <row r="111" ht="26.25" customHeight="1">
      <c r="A111" s="143">
        <v>46057.0</v>
      </c>
      <c r="B111" s="148" t="s">
        <v>101</v>
      </c>
      <c r="C111" s="148" t="s">
        <v>100</v>
      </c>
      <c r="D111" s="148">
        <v>-110000.0</v>
      </c>
      <c r="E111" s="146">
        <v>0.0</v>
      </c>
      <c r="F111" s="154">
        <v>110000.0</v>
      </c>
      <c r="G111" s="147" t="s">
        <v>74</v>
      </c>
      <c r="H111" s="146">
        <v>0.0</v>
      </c>
      <c r="I111" s="149">
        <f t="shared" si="2"/>
        <v>616500</v>
      </c>
      <c r="J111" s="150"/>
      <c r="K111" s="152">
        <v>129.0</v>
      </c>
    </row>
    <row r="112" ht="26.25" customHeight="1">
      <c r="A112" s="143">
        <v>46057.0</v>
      </c>
      <c r="B112" s="148" t="s">
        <v>62</v>
      </c>
      <c r="C112" s="158" t="s">
        <v>113</v>
      </c>
      <c r="D112" s="148">
        <v>-25000.0</v>
      </c>
      <c r="E112" s="146">
        <v>0.0</v>
      </c>
      <c r="F112" s="154">
        <v>25000.0</v>
      </c>
      <c r="G112" s="147" t="s">
        <v>74</v>
      </c>
      <c r="H112" s="146">
        <v>0.0</v>
      </c>
      <c r="I112" s="149">
        <f t="shared" si="2"/>
        <v>591500</v>
      </c>
      <c r="J112" s="150"/>
      <c r="K112" s="152">
        <v>124.0</v>
      </c>
    </row>
    <row r="113" ht="26.25" customHeight="1">
      <c r="A113" s="143">
        <v>46057.0</v>
      </c>
      <c r="B113" s="148" t="s">
        <v>62</v>
      </c>
      <c r="C113" s="156" t="s">
        <v>116</v>
      </c>
      <c r="D113" s="148">
        <v>-25000.0</v>
      </c>
      <c r="E113" s="146">
        <v>0.0</v>
      </c>
      <c r="F113" s="154">
        <v>25000.0</v>
      </c>
      <c r="G113" s="147" t="s">
        <v>74</v>
      </c>
      <c r="H113" s="146">
        <v>0.0</v>
      </c>
      <c r="I113" s="149">
        <f t="shared" si="2"/>
        <v>566500</v>
      </c>
      <c r="J113" s="150"/>
      <c r="K113" s="152">
        <v>127.0</v>
      </c>
    </row>
    <row r="114" ht="26.25" customHeight="1">
      <c r="A114" s="143">
        <v>46057.0</v>
      </c>
      <c r="B114" s="148" t="s">
        <v>62</v>
      </c>
      <c r="C114" s="153" t="s">
        <v>114</v>
      </c>
      <c r="D114" s="148">
        <v>-10000.0</v>
      </c>
      <c r="E114" s="146">
        <v>0.0</v>
      </c>
      <c r="F114" s="154">
        <v>10000.0</v>
      </c>
      <c r="G114" s="147" t="s">
        <v>74</v>
      </c>
      <c r="H114" s="146">
        <v>0.0</v>
      </c>
      <c r="I114" s="149">
        <f t="shared" si="2"/>
        <v>556500</v>
      </c>
      <c r="J114" s="150"/>
      <c r="K114" s="152">
        <v>126.0</v>
      </c>
    </row>
    <row r="115" ht="26.25" customHeight="1">
      <c r="A115" s="143">
        <v>46057.0</v>
      </c>
      <c r="B115" s="148" t="s">
        <v>62</v>
      </c>
      <c r="C115" s="153" t="s">
        <v>114</v>
      </c>
      <c r="D115" s="148">
        <v>-5000.0</v>
      </c>
      <c r="E115" s="146">
        <v>0.0</v>
      </c>
      <c r="F115" s="154">
        <v>5000.0</v>
      </c>
      <c r="G115" s="147" t="s">
        <v>74</v>
      </c>
      <c r="H115" s="146">
        <v>0.0</v>
      </c>
      <c r="I115" s="149">
        <f t="shared" si="2"/>
        <v>551500</v>
      </c>
      <c r="J115" s="150"/>
      <c r="K115" s="152">
        <v>128.0</v>
      </c>
    </row>
    <row r="116" ht="26.25" customHeight="1">
      <c r="A116" s="143">
        <v>46058.0</v>
      </c>
      <c r="B116" s="148" t="s">
        <v>62</v>
      </c>
      <c r="C116" s="148" t="s">
        <v>36</v>
      </c>
      <c r="D116" s="148">
        <v>-8000.0</v>
      </c>
      <c r="E116" s="146">
        <v>0.0</v>
      </c>
      <c r="F116" s="154">
        <v>8000.0</v>
      </c>
      <c r="G116" s="147" t="s">
        <v>74</v>
      </c>
      <c r="H116" s="146">
        <v>0.0</v>
      </c>
      <c r="I116" s="149">
        <f t="shared" si="2"/>
        <v>543500</v>
      </c>
      <c r="J116" s="150"/>
      <c r="K116" s="152">
        <v>137.0</v>
      </c>
    </row>
    <row r="117" ht="26.25" customHeight="1">
      <c r="A117" s="143">
        <v>46058.0</v>
      </c>
      <c r="B117" s="148" t="s">
        <v>62</v>
      </c>
      <c r="C117" s="156" t="s">
        <v>27</v>
      </c>
      <c r="D117" s="148">
        <v>-8000.0</v>
      </c>
      <c r="E117" s="146">
        <v>0.0</v>
      </c>
      <c r="F117" s="154">
        <v>8000.0</v>
      </c>
      <c r="G117" s="147" t="s">
        <v>74</v>
      </c>
      <c r="H117" s="146">
        <v>0.0</v>
      </c>
      <c r="I117" s="149">
        <f t="shared" si="2"/>
        <v>535500</v>
      </c>
      <c r="J117" s="150"/>
      <c r="K117" s="152">
        <v>135.0</v>
      </c>
    </row>
    <row r="118" ht="26.25" customHeight="1">
      <c r="A118" s="143">
        <v>46058.0</v>
      </c>
      <c r="B118" s="148" t="s">
        <v>72</v>
      </c>
      <c r="C118" s="148" t="s">
        <v>117</v>
      </c>
      <c r="D118" s="148">
        <v>-5000.0</v>
      </c>
      <c r="E118" s="146">
        <v>0.0</v>
      </c>
      <c r="F118" s="154">
        <v>5000.0</v>
      </c>
      <c r="G118" s="147" t="s">
        <v>74</v>
      </c>
      <c r="H118" s="146">
        <v>0.0</v>
      </c>
      <c r="I118" s="149">
        <f t="shared" si="2"/>
        <v>530500</v>
      </c>
      <c r="J118" s="150"/>
      <c r="K118" s="152">
        <v>131.0</v>
      </c>
    </row>
    <row r="119" ht="26.25" customHeight="1">
      <c r="A119" s="143">
        <v>46058.0</v>
      </c>
      <c r="B119" s="148" t="s">
        <v>72</v>
      </c>
      <c r="C119" s="148" t="s">
        <v>118</v>
      </c>
      <c r="D119" s="148">
        <v>-5000.0</v>
      </c>
      <c r="E119" s="146">
        <v>0.0</v>
      </c>
      <c r="F119" s="154">
        <v>5000.0</v>
      </c>
      <c r="G119" s="147" t="s">
        <v>74</v>
      </c>
      <c r="H119" s="146">
        <v>0.0</v>
      </c>
      <c r="I119" s="149">
        <f t="shared" si="2"/>
        <v>525500</v>
      </c>
      <c r="J119" s="150"/>
      <c r="K119" s="152">
        <v>132.0</v>
      </c>
    </row>
    <row r="120" ht="26.25" customHeight="1">
      <c r="A120" s="143">
        <v>46058.0</v>
      </c>
      <c r="B120" s="148" t="s">
        <v>72</v>
      </c>
      <c r="C120" s="148" t="s">
        <v>77</v>
      </c>
      <c r="D120" s="148">
        <v>-20000.0</v>
      </c>
      <c r="E120" s="146">
        <v>0.0</v>
      </c>
      <c r="F120" s="154">
        <v>20000.0</v>
      </c>
      <c r="G120" s="147" t="s">
        <v>74</v>
      </c>
      <c r="H120" s="146">
        <v>0.0</v>
      </c>
      <c r="I120" s="149">
        <f t="shared" si="2"/>
        <v>505500</v>
      </c>
      <c r="J120" s="150"/>
      <c r="K120" s="152">
        <v>138.0</v>
      </c>
    </row>
    <row r="121" ht="26.25" customHeight="1">
      <c r="A121" s="143">
        <v>46058.0</v>
      </c>
      <c r="B121" s="148" t="s">
        <v>72</v>
      </c>
      <c r="C121" s="148" t="s">
        <v>90</v>
      </c>
      <c r="D121" s="148">
        <v>-10000.0</v>
      </c>
      <c r="E121" s="146">
        <v>0.0</v>
      </c>
      <c r="F121" s="154">
        <v>10000.0</v>
      </c>
      <c r="G121" s="147" t="s">
        <v>74</v>
      </c>
      <c r="H121" s="146">
        <v>0.0</v>
      </c>
      <c r="I121" s="149">
        <f t="shared" si="2"/>
        <v>495500</v>
      </c>
      <c r="J121" s="150"/>
      <c r="K121" s="152">
        <v>139.0</v>
      </c>
    </row>
    <row r="122" ht="26.25" customHeight="1">
      <c r="A122" s="143">
        <v>46058.0</v>
      </c>
      <c r="B122" s="148" t="s">
        <v>72</v>
      </c>
      <c r="C122" s="148" t="s">
        <v>75</v>
      </c>
      <c r="D122" s="148">
        <v>-10000.0</v>
      </c>
      <c r="E122" s="146">
        <v>0.0</v>
      </c>
      <c r="F122" s="154">
        <v>10000.0</v>
      </c>
      <c r="G122" s="147" t="s">
        <v>74</v>
      </c>
      <c r="H122" s="146">
        <v>0.0</v>
      </c>
      <c r="I122" s="149">
        <f t="shared" si="2"/>
        <v>485500</v>
      </c>
      <c r="J122" s="150"/>
      <c r="K122" s="152">
        <v>140.0</v>
      </c>
    </row>
    <row r="123" ht="26.25" customHeight="1">
      <c r="A123" s="143">
        <v>46058.0</v>
      </c>
      <c r="B123" s="148" t="s">
        <v>62</v>
      </c>
      <c r="C123" s="148" t="s">
        <v>119</v>
      </c>
      <c r="D123" s="148">
        <v>-5000.0</v>
      </c>
      <c r="E123" s="146">
        <v>0.0</v>
      </c>
      <c r="F123" s="154">
        <v>5000.0</v>
      </c>
      <c r="G123" s="147" t="s">
        <v>74</v>
      </c>
      <c r="H123" s="146">
        <v>0.0</v>
      </c>
      <c r="I123" s="149">
        <f t="shared" si="2"/>
        <v>480500</v>
      </c>
      <c r="J123" s="150"/>
      <c r="K123" s="152">
        <v>130.0</v>
      </c>
    </row>
    <row r="124" ht="26.25" customHeight="1">
      <c r="A124" s="143">
        <v>46058.0</v>
      </c>
      <c r="B124" s="144" t="s">
        <v>101</v>
      </c>
      <c r="C124" s="148" t="s">
        <v>86</v>
      </c>
      <c r="D124" s="148">
        <v>-300000.0</v>
      </c>
      <c r="E124" s="146">
        <v>0.0</v>
      </c>
      <c r="F124" s="154">
        <v>300000.0</v>
      </c>
      <c r="G124" s="147" t="s">
        <v>74</v>
      </c>
      <c r="H124" s="146">
        <v>0.0</v>
      </c>
      <c r="I124" s="149">
        <f t="shared" si="2"/>
        <v>180500</v>
      </c>
      <c r="J124" s="150"/>
      <c r="K124" s="152">
        <v>19.0</v>
      </c>
    </row>
    <row r="125" ht="26.25" customHeight="1">
      <c r="A125" s="143">
        <v>46058.0</v>
      </c>
      <c r="B125" s="148" t="s">
        <v>62</v>
      </c>
      <c r="C125" s="148" t="s">
        <v>86</v>
      </c>
      <c r="D125" s="148">
        <v>-10000.0</v>
      </c>
      <c r="E125" s="146">
        <v>0.0</v>
      </c>
      <c r="F125" s="154">
        <v>10000.0</v>
      </c>
      <c r="G125" s="147" t="s">
        <v>74</v>
      </c>
      <c r="H125" s="146">
        <v>0.0</v>
      </c>
      <c r="I125" s="149">
        <f t="shared" si="2"/>
        <v>170500</v>
      </c>
      <c r="J125" s="150"/>
      <c r="K125" s="152">
        <v>133.0</v>
      </c>
    </row>
    <row r="126" ht="26.25" customHeight="1">
      <c r="A126" s="143">
        <v>46058.0</v>
      </c>
      <c r="B126" s="148" t="s">
        <v>62</v>
      </c>
      <c r="C126" s="158" t="s">
        <v>113</v>
      </c>
      <c r="D126" s="148">
        <v>-8000.0</v>
      </c>
      <c r="E126" s="146">
        <v>0.0</v>
      </c>
      <c r="F126" s="154">
        <v>8000.0</v>
      </c>
      <c r="G126" s="147" t="s">
        <v>74</v>
      </c>
      <c r="H126" s="146">
        <v>0.0</v>
      </c>
      <c r="I126" s="149">
        <f t="shared" si="2"/>
        <v>162500</v>
      </c>
      <c r="J126" s="150"/>
      <c r="K126" s="152">
        <v>134.0</v>
      </c>
    </row>
    <row r="127" ht="26.25" customHeight="1">
      <c r="A127" s="143">
        <v>46058.0</v>
      </c>
      <c r="B127" s="148" t="s">
        <v>62</v>
      </c>
      <c r="C127" s="153" t="s">
        <v>114</v>
      </c>
      <c r="D127" s="148">
        <v>-5000.0</v>
      </c>
      <c r="E127" s="146">
        <v>0.0</v>
      </c>
      <c r="F127" s="154">
        <v>5000.0</v>
      </c>
      <c r="G127" s="147" t="s">
        <v>74</v>
      </c>
      <c r="H127" s="146">
        <v>0.0</v>
      </c>
      <c r="I127" s="149">
        <f t="shared" si="2"/>
        <v>157500</v>
      </c>
      <c r="J127" s="150"/>
      <c r="K127" s="152">
        <v>136.0</v>
      </c>
    </row>
    <row r="128" ht="26.25" customHeight="1">
      <c r="A128" s="143">
        <v>46059.0</v>
      </c>
      <c r="B128" s="148" t="s">
        <v>62</v>
      </c>
      <c r="C128" s="148" t="s">
        <v>36</v>
      </c>
      <c r="D128" s="148">
        <v>-150000.0</v>
      </c>
      <c r="E128" s="146">
        <v>0.0</v>
      </c>
      <c r="F128" s="154">
        <v>150000.0</v>
      </c>
      <c r="G128" s="147" t="s">
        <v>74</v>
      </c>
      <c r="H128" s="146">
        <v>0.0</v>
      </c>
      <c r="I128" s="149">
        <f t="shared" si="2"/>
        <v>7500</v>
      </c>
      <c r="J128" s="150"/>
      <c r="K128" s="152">
        <v>141.0</v>
      </c>
    </row>
    <row r="129" ht="26.25" customHeight="1">
      <c r="A129" s="143">
        <v>46059.0</v>
      </c>
      <c r="B129" s="148" t="s">
        <v>62</v>
      </c>
      <c r="C129" s="156" t="s">
        <v>27</v>
      </c>
      <c r="D129" s="148">
        <v>-5000.0</v>
      </c>
      <c r="E129" s="146">
        <v>0.0</v>
      </c>
      <c r="F129" s="154">
        <v>5000.0</v>
      </c>
      <c r="G129" s="147" t="s">
        <v>74</v>
      </c>
      <c r="H129" s="146">
        <v>0.0</v>
      </c>
      <c r="I129" s="149">
        <f t="shared" si="2"/>
        <v>2500</v>
      </c>
      <c r="J129" s="150"/>
      <c r="K129" s="152">
        <v>148.0</v>
      </c>
    </row>
    <row r="130" ht="26.25" customHeight="1">
      <c r="A130" s="143">
        <v>46059.0</v>
      </c>
      <c r="B130" s="148" t="s">
        <v>62</v>
      </c>
      <c r="C130" s="148" t="s">
        <v>36</v>
      </c>
      <c r="D130" s="148">
        <v>-5000.0</v>
      </c>
      <c r="E130" s="146">
        <v>0.0</v>
      </c>
      <c r="F130" s="154">
        <v>5000.0</v>
      </c>
      <c r="G130" s="147" t="s">
        <v>74</v>
      </c>
      <c r="H130" s="146">
        <v>0.0</v>
      </c>
      <c r="I130" s="149">
        <f t="shared" si="2"/>
        <v>-2500</v>
      </c>
      <c r="J130" s="150"/>
      <c r="K130" s="152">
        <v>155.0</v>
      </c>
    </row>
    <row r="131" ht="26.25" customHeight="1">
      <c r="A131" s="143">
        <v>46059.0</v>
      </c>
      <c r="B131" s="148" t="s">
        <v>62</v>
      </c>
      <c r="C131" s="148" t="s">
        <v>120</v>
      </c>
      <c r="D131" s="148">
        <v>-5000.0</v>
      </c>
      <c r="E131" s="146">
        <v>0.0</v>
      </c>
      <c r="F131" s="154">
        <v>5000.0</v>
      </c>
      <c r="G131" s="147" t="s">
        <v>74</v>
      </c>
      <c r="H131" s="146">
        <v>0.0</v>
      </c>
      <c r="I131" s="149">
        <f t="shared" si="2"/>
        <v>-7500</v>
      </c>
      <c r="J131" s="150"/>
      <c r="K131" s="152">
        <v>153.0</v>
      </c>
    </row>
    <row r="132" ht="26.25" customHeight="1">
      <c r="A132" s="143">
        <v>46059.0</v>
      </c>
      <c r="B132" s="144" t="s">
        <v>59</v>
      </c>
      <c r="C132" s="148" t="s">
        <v>121</v>
      </c>
      <c r="D132" s="148">
        <v>0.0</v>
      </c>
      <c r="E132" s="148">
        <v>0.0</v>
      </c>
      <c r="F132" s="146">
        <v>0.0</v>
      </c>
      <c r="G132" s="147" t="s">
        <v>61</v>
      </c>
      <c r="H132" s="148">
        <v>207000.0</v>
      </c>
      <c r="I132" s="149">
        <f t="shared" si="2"/>
        <v>-7500</v>
      </c>
      <c r="J132" s="150"/>
      <c r="K132" s="152">
        <v>20.0</v>
      </c>
    </row>
    <row r="133" ht="26.25" customHeight="1">
      <c r="A133" s="143">
        <v>46059.0</v>
      </c>
      <c r="B133" s="148" t="s">
        <v>72</v>
      </c>
      <c r="C133" s="148" t="s">
        <v>122</v>
      </c>
      <c r="D133" s="148">
        <v>-5000.0</v>
      </c>
      <c r="E133" s="146">
        <v>0.0</v>
      </c>
      <c r="F133" s="154">
        <v>5000.0</v>
      </c>
      <c r="G133" s="147" t="s">
        <v>74</v>
      </c>
      <c r="H133" s="146">
        <v>0.0</v>
      </c>
      <c r="I133" s="149">
        <f t="shared" si="2"/>
        <v>-12500</v>
      </c>
      <c r="J133" s="150"/>
      <c r="K133" s="152">
        <v>156.0</v>
      </c>
    </row>
    <row r="134" ht="26.25" customHeight="1">
      <c r="A134" s="143">
        <v>46059.0</v>
      </c>
      <c r="B134" s="148" t="s">
        <v>62</v>
      </c>
      <c r="C134" s="144" t="s">
        <v>86</v>
      </c>
      <c r="D134" s="148">
        <v>-5000.0</v>
      </c>
      <c r="E134" s="146">
        <v>0.0</v>
      </c>
      <c r="F134" s="154">
        <v>5000.0</v>
      </c>
      <c r="G134" s="147" t="s">
        <v>74</v>
      </c>
      <c r="H134" s="146">
        <v>0.0</v>
      </c>
      <c r="I134" s="149">
        <f t="shared" si="2"/>
        <v>-17500</v>
      </c>
      <c r="J134" s="150"/>
      <c r="K134" s="152">
        <v>143.0</v>
      </c>
    </row>
    <row r="135" ht="26.25" customHeight="1">
      <c r="A135" s="143">
        <v>46059.0</v>
      </c>
      <c r="B135" s="148" t="s">
        <v>62</v>
      </c>
      <c r="C135" s="148" t="s">
        <v>86</v>
      </c>
      <c r="D135" s="148">
        <v>-5000.0</v>
      </c>
      <c r="E135" s="146">
        <v>0.0</v>
      </c>
      <c r="F135" s="154">
        <v>5000.0</v>
      </c>
      <c r="G135" s="147" t="s">
        <v>74</v>
      </c>
      <c r="H135" s="146">
        <v>0.0</v>
      </c>
      <c r="I135" s="149">
        <f t="shared" si="2"/>
        <v>-22500</v>
      </c>
      <c r="J135" s="150"/>
      <c r="K135" s="152">
        <v>157.0</v>
      </c>
    </row>
    <row r="136" ht="26.25" customHeight="1">
      <c r="A136" s="143">
        <v>46059.0</v>
      </c>
      <c r="B136" s="148" t="s">
        <v>62</v>
      </c>
      <c r="C136" s="148" t="s">
        <v>78</v>
      </c>
      <c r="D136" s="148">
        <v>-5000.0</v>
      </c>
      <c r="E136" s="146">
        <v>0.0</v>
      </c>
      <c r="F136" s="154">
        <v>5000.0</v>
      </c>
      <c r="G136" s="147" t="s">
        <v>74</v>
      </c>
      <c r="H136" s="146">
        <v>0.0</v>
      </c>
      <c r="I136" s="149">
        <f t="shared" si="2"/>
        <v>-27500</v>
      </c>
      <c r="J136" s="150"/>
      <c r="K136" s="152">
        <v>142.0</v>
      </c>
    </row>
    <row r="137" ht="26.25" customHeight="1">
      <c r="A137" s="143">
        <v>46059.0</v>
      </c>
      <c r="B137" s="148" t="s">
        <v>62</v>
      </c>
      <c r="C137" s="148" t="s">
        <v>100</v>
      </c>
      <c r="D137" s="148">
        <v>-5000.0</v>
      </c>
      <c r="E137" s="146">
        <v>0.0</v>
      </c>
      <c r="F137" s="154">
        <v>5000.0</v>
      </c>
      <c r="G137" s="147" t="s">
        <v>74</v>
      </c>
      <c r="H137" s="146">
        <v>0.0</v>
      </c>
      <c r="I137" s="149">
        <f t="shared" si="2"/>
        <v>-32500</v>
      </c>
      <c r="J137" s="150"/>
      <c r="K137" s="152">
        <v>150.0</v>
      </c>
    </row>
    <row r="138" ht="26.25" customHeight="1">
      <c r="A138" s="143">
        <v>46059.0</v>
      </c>
      <c r="B138" s="148" t="s">
        <v>62</v>
      </c>
      <c r="C138" s="148" t="s">
        <v>123</v>
      </c>
      <c r="D138" s="148">
        <v>-5000.0</v>
      </c>
      <c r="E138" s="146">
        <v>0.0</v>
      </c>
      <c r="F138" s="154">
        <v>5000.0</v>
      </c>
      <c r="G138" s="147" t="s">
        <v>74</v>
      </c>
      <c r="H138" s="146">
        <v>0.0</v>
      </c>
      <c r="I138" s="149">
        <f t="shared" si="2"/>
        <v>-37500</v>
      </c>
      <c r="J138" s="150"/>
      <c r="K138" s="152">
        <v>152.0</v>
      </c>
    </row>
    <row r="139" ht="26.25" customHeight="1">
      <c r="A139" s="143">
        <v>46059.0</v>
      </c>
      <c r="B139" s="148" t="s">
        <v>62</v>
      </c>
      <c r="C139" s="158" t="s">
        <v>113</v>
      </c>
      <c r="D139" s="148">
        <v>-5000.0</v>
      </c>
      <c r="E139" s="146">
        <v>0.0</v>
      </c>
      <c r="F139" s="154">
        <v>5000.0</v>
      </c>
      <c r="G139" s="147" t="s">
        <v>74</v>
      </c>
      <c r="H139" s="146">
        <v>0.0</v>
      </c>
      <c r="I139" s="149">
        <f t="shared" si="2"/>
        <v>-42500</v>
      </c>
      <c r="J139" s="150"/>
      <c r="K139" s="152">
        <v>145.0</v>
      </c>
    </row>
    <row r="140" ht="26.25" customHeight="1">
      <c r="A140" s="143">
        <v>46059.0</v>
      </c>
      <c r="B140" s="148" t="s">
        <v>62</v>
      </c>
      <c r="C140" s="158" t="s">
        <v>113</v>
      </c>
      <c r="D140" s="148">
        <v>-5000.0</v>
      </c>
      <c r="E140" s="146">
        <v>0.0</v>
      </c>
      <c r="F140" s="154">
        <v>5000.0</v>
      </c>
      <c r="G140" s="147" t="s">
        <v>74</v>
      </c>
      <c r="H140" s="146">
        <v>0.0</v>
      </c>
      <c r="I140" s="149">
        <f t="shared" si="2"/>
        <v>-47500</v>
      </c>
      <c r="J140" s="150"/>
      <c r="K140" s="152">
        <v>147.0</v>
      </c>
    </row>
    <row r="141" ht="26.25" customHeight="1">
      <c r="A141" s="143">
        <v>46059.0</v>
      </c>
      <c r="B141" s="148" t="s">
        <v>62</v>
      </c>
      <c r="C141" s="156" t="s">
        <v>63</v>
      </c>
      <c r="D141" s="148">
        <v>-5000.0</v>
      </c>
      <c r="E141" s="146">
        <v>0.0</v>
      </c>
      <c r="F141" s="154">
        <v>5000.0</v>
      </c>
      <c r="G141" s="147" t="s">
        <v>74</v>
      </c>
      <c r="H141" s="146">
        <v>0.0</v>
      </c>
      <c r="I141" s="149">
        <f t="shared" si="2"/>
        <v>-52500</v>
      </c>
      <c r="J141" s="150"/>
      <c r="K141" s="152">
        <v>151.0</v>
      </c>
    </row>
    <row r="142" ht="26.25" customHeight="1">
      <c r="A142" s="143">
        <v>46059.0</v>
      </c>
      <c r="B142" s="148" t="s">
        <v>62</v>
      </c>
      <c r="C142" s="156" t="s">
        <v>63</v>
      </c>
      <c r="D142" s="148">
        <v>-5000.0</v>
      </c>
      <c r="E142" s="146">
        <v>0.0</v>
      </c>
      <c r="F142" s="154">
        <v>5000.0</v>
      </c>
      <c r="G142" s="147" t="s">
        <v>74</v>
      </c>
      <c r="H142" s="146">
        <v>0.0</v>
      </c>
      <c r="I142" s="149">
        <f t="shared" si="2"/>
        <v>-57500</v>
      </c>
      <c r="J142" s="150"/>
      <c r="K142" s="152">
        <v>154.0</v>
      </c>
    </row>
    <row r="143" ht="26.25" customHeight="1">
      <c r="A143" s="143">
        <v>46059.0</v>
      </c>
      <c r="B143" s="148" t="s">
        <v>62</v>
      </c>
      <c r="C143" s="148" t="s">
        <v>124</v>
      </c>
      <c r="D143" s="148">
        <v>-25000.0</v>
      </c>
      <c r="E143" s="146">
        <v>0.0</v>
      </c>
      <c r="F143" s="154">
        <v>25000.0</v>
      </c>
      <c r="G143" s="147" t="s">
        <v>74</v>
      </c>
      <c r="H143" s="146">
        <v>0.0</v>
      </c>
      <c r="I143" s="149">
        <f t="shared" si="2"/>
        <v>-82500</v>
      </c>
      <c r="J143" s="150"/>
      <c r="K143" s="152">
        <v>159.0</v>
      </c>
    </row>
    <row r="144" ht="26.25" customHeight="1">
      <c r="A144" s="143">
        <v>46059.0</v>
      </c>
      <c r="B144" s="148" t="s">
        <v>62</v>
      </c>
      <c r="C144" s="153" t="s">
        <v>125</v>
      </c>
      <c r="D144" s="148">
        <v>-5000.0</v>
      </c>
      <c r="E144" s="146">
        <v>0.0</v>
      </c>
      <c r="F144" s="154">
        <v>5000.0</v>
      </c>
      <c r="G144" s="147" t="s">
        <v>74</v>
      </c>
      <c r="H144" s="146">
        <v>0.0</v>
      </c>
      <c r="I144" s="149">
        <f t="shared" si="2"/>
        <v>-87500</v>
      </c>
      <c r="J144" s="150"/>
      <c r="K144" s="152">
        <v>149.0</v>
      </c>
    </row>
    <row r="145" ht="26.25" customHeight="1">
      <c r="A145" s="143">
        <v>46059.0</v>
      </c>
      <c r="B145" s="148" t="s">
        <v>62</v>
      </c>
      <c r="C145" s="156" t="s">
        <v>116</v>
      </c>
      <c r="D145" s="148">
        <v>-5000.0</v>
      </c>
      <c r="E145" s="146">
        <v>0.0</v>
      </c>
      <c r="F145" s="154">
        <v>5000.0</v>
      </c>
      <c r="G145" s="147" t="s">
        <v>74</v>
      </c>
      <c r="H145" s="146">
        <v>0.0</v>
      </c>
      <c r="I145" s="149">
        <f t="shared" si="2"/>
        <v>-92500</v>
      </c>
      <c r="J145" s="150"/>
      <c r="K145" s="152">
        <v>146.0</v>
      </c>
    </row>
    <row r="146" ht="26.25" customHeight="1">
      <c r="A146" s="143">
        <v>46059.0</v>
      </c>
      <c r="B146" s="148" t="s">
        <v>62</v>
      </c>
      <c r="C146" s="153" t="s">
        <v>114</v>
      </c>
      <c r="D146" s="148">
        <v>-5000.0</v>
      </c>
      <c r="E146" s="146">
        <v>0.0</v>
      </c>
      <c r="F146" s="154">
        <v>5000.0</v>
      </c>
      <c r="G146" s="147" t="s">
        <v>74</v>
      </c>
      <c r="H146" s="146">
        <v>0.0</v>
      </c>
      <c r="I146" s="149">
        <f t="shared" si="2"/>
        <v>-97500</v>
      </c>
      <c r="J146" s="150"/>
      <c r="K146" s="152">
        <v>144.0</v>
      </c>
    </row>
    <row r="147" ht="26.25" customHeight="1">
      <c r="A147" s="143">
        <v>46059.0</v>
      </c>
      <c r="B147" s="148" t="s">
        <v>62</v>
      </c>
      <c r="C147" s="153" t="s">
        <v>114</v>
      </c>
      <c r="D147" s="148">
        <v>-15000.0</v>
      </c>
      <c r="E147" s="146">
        <v>0.0</v>
      </c>
      <c r="F147" s="154">
        <v>15000.0</v>
      </c>
      <c r="G147" s="147" t="s">
        <v>74</v>
      </c>
      <c r="H147" s="146">
        <v>0.0</v>
      </c>
      <c r="I147" s="149">
        <f t="shared" si="2"/>
        <v>-112500</v>
      </c>
      <c r="J147" s="150"/>
      <c r="K147" s="152">
        <v>158.0</v>
      </c>
    </row>
    <row r="148" ht="26.25" customHeight="1">
      <c r="A148" s="143">
        <v>46060.0</v>
      </c>
      <c r="B148" s="144" t="s">
        <v>72</v>
      </c>
      <c r="C148" s="148" t="s">
        <v>126</v>
      </c>
      <c r="D148" s="148">
        <v>0.0</v>
      </c>
      <c r="E148" s="148">
        <v>0.0</v>
      </c>
      <c r="F148" s="146">
        <v>0.0</v>
      </c>
      <c r="G148" s="147" t="s">
        <v>61</v>
      </c>
      <c r="H148" s="148">
        <v>51500.0</v>
      </c>
      <c r="I148" s="149">
        <f t="shared" si="2"/>
        <v>-112500</v>
      </c>
      <c r="J148" s="150"/>
      <c r="K148" s="152">
        <v>21.0</v>
      </c>
    </row>
    <row r="149" ht="26.25" customHeight="1">
      <c r="A149" s="143">
        <v>46060.0</v>
      </c>
      <c r="B149" s="148" t="s">
        <v>72</v>
      </c>
      <c r="C149" s="148" t="s">
        <v>127</v>
      </c>
      <c r="D149" s="148">
        <v>-5000.0</v>
      </c>
      <c r="E149" s="146">
        <v>0.0</v>
      </c>
      <c r="F149" s="154">
        <v>5000.0</v>
      </c>
      <c r="G149" s="147" t="s">
        <v>74</v>
      </c>
      <c r="H149" s="146">
        <v>0.0</v>
      </c>
      <c r="I149" s="149">
        <f t="shared" si="2"/>
        <v>-117500</v>
      </c>
      <c r="J149" s="150"/>
      <c r="K149" s="152">
        <v>160.0</v>
      </c>
    </row>
    <row r="150" ht="26.25" customHeight="1">
      <c r="A150" s="143">
        <v>46060.0</v>
      </c>
      <c r="B150" s="148" t="s">
        <v>62</v>
      </c>
      <c r="C150" s="148" t="s">
        <v>128</v>
      </c>
      <c r="D150" s="148">
        <v>-40000.0</v>
      </c>
      <c r="E150" s="146">
        <v>0.0</v>
      </c>
      <c r="F150" s="154">
        <v>40000.0</v>
      </c>
      <c r="G150" s="147" t="s">
        <v>74</v>
      </c>
      <c r="H150" s="146">
        <v>0.0</v>
      </c>
      <c r="I150" s="149">
        <f t="shared" si="2"/>
        <v>-157500</v>
      </c>
      <c r="J150" s="150"/>
      <c r="K150" s="152">
        <v>161.0</v>
      </c>
    </row>
    <row r="151" ht="26.25" customHeight="1">
      <c r="A151" s="143">
        <v>46060.0</v>
      </c>
      <c r="B151" s="148" t="s">
        <v>62</v>
      </c>
      <c r="C151" s="148" t="s">
        <v>123</v>
      </c>
      <c r="D151" s="148">
        <v>-5000.0</v>
      </c>
      <c r="E151" s="146">
        <v>0.0</v>
      </c>
      <c r="F151" s="154">
        <v>5000.0</v>
      </c>
      <c r="G151" s="147" t="s">
        <v>74</v>
      </c>
      <c r="H151" s="146">
        <v>0.0</v>
      </c>
      <c r="I151" s="149">
        <f t="shared" si="2"/>
        <v>-162500</v>
      </c>
      <c r="J151" s="150"/>
      <c r="K151" s="152">
        <v>162.0</v>
      </c>
    </row>
    <row r="152" ht="26.25" customHeight="1">
      <c r="A152" s="143">
        <v>46061.0</v>
      </c>
      <c r="B152" s="144" t="s">
        <v>72</v>
      </c>
      <c r="C152" s="144" t="s">
        <v>118</v>
      </c>
      <c r="D152" s="145">
        <v>-5000.0</v>
      </c>
      <c r="E152" s="146">
        <v>0.0</v>
      </c>
      <c r="F152" s="146">
        <v>5000.0</v>
      </c>
      <c r="G152" s="147" t="s">
        <v>74</v>
      </c>
      <c r="H152" s="146">
        <v>0.0</v>
      </c>
      <c r="I152" s="149">
        <f t="shared" si="2"/>
        <v>-167500</v>
      </c>
      <c r="J152" s="150"/>
      <c r="K152" s="152">
        <v>37.0</v>
      </c>
    </row>
    <row r="153" ht="26.25" customHeight="1">
      <c r="A153" s="143">
        <v>46061.0</v>
      </c>
      <c r="B153" s="144" t="s">
        <v>70</v>
      </c>
      <c r="C153" s="148" t="s">
        <v>104</v>
      </c>
      <c r="D153" s="145">
        <v>555000.0</v>
      </c>
      <c r="E153" s="145">
        <v>555000.0</v>
      </c>
      <c r="F153" s="146">
        <v>0.0</v>
      </c>
      <c r="G153" s="147" t="s">
        <v>65</v>
      </c>
      <c r="H153" s="146">
        <v>555000.0</v>
      </c>
      <c r="I153" s="149">
        <f t="shared" si="2"/>
        <v>387500</v>
      </c>
      <c r="J153" s="150"/>
      <c r="K153" s="152">
        <v>50.0</v>
      </c>
    </row>
    <row r="154" ht="26.25" customHeight="1">
      <c r="A154" s="143">
        <v>46061.0</v>
      </c>
      <c r="B154" s="148" t="s">
        <v>72</v>
      </c>
      <c r="C154" s="148" t="s">
        <v>118</v>
      </c>
      <c r="D154" s="148">
        <v>-5000.0</v>
      </c>
      <c r="E154" s="146">
        <v>0.0</v>
      </c>
      <c r="F154" s="154">
        <v>5000.0</v>
      </c>
      <c r="G154" s="147" t="s">
        <v>74</v>
      </c>
      <c r="H154" s="146">
        <v>0.0</v>
      </c>
      <c r="I154" s="149">
        <f t="shared" si="2"/>
        <v>382500</v>
      </c>
      <c r="J154" s="150"/>
      <c r="K154" s="152">
        <v>164.0</v>
      </c>
    </row>
    <row r="155" ht="26.25" customHeight="1">
      <c r="A155" s="143">
        <v>46061.0</v>
      </c>
      <c r="B155" s="148" t="s">
        <v>72</v>
      </c>
      <c r="C155" s="148" t="s">
        <v>129</v>
      </c>
      <c r="D155" s="148">
        <v>-80000.0</v>
      </c>
      <c r="E155" s="146">
        <v>0.0</v>
      </c>
      <c r="F155" s="154">
        <v>80000.0</v>
      </c>
      <c r="G155" s="147" t="s">
        <v>74</v>
      </c>
      <c r="H155" s="146">
        <v>0.0</v>
      </c>
      <c r="I155" s="149">
        <f t="shared" si="2"/>
        <v>302500</v>
      </c>
      <c r="J155" s="150"/>
      <c r="K155" s="152">
        <v>165.0</v>
      </c>
    </row>
    <row r="156" ht="26.25" customHeight="1">
      <c r="A156" s="143">
        <v>46061.0</v>
      </c>
      <c r="B156" s="144" t="s">
        <v>62</v>
      </c>
      <c r="C156" s="144" t="s">
        <v>128</v>
      </c>
      <c r="D156" s="148">
        <v>-50000.0</v>
      </c>
      <c r="E156" s="146">
        <v>0.0</v>
      </c>
      <c r="F156" s="154">
        <v>50000.0</v>
      </c>
      <c r="G156" s="147" t="s">
        <v>74</v>
      </c>
      <c r="H156" s="146">
        <v>0.0</v>
      </c>
      <c r="I156" s="149">
        <f t="shared" si="2"/>
        <v>252500</v>
      </c>
      <c r="J156" s="150"/>
      <c r="K156" s="152">
        <v>32.0</v>
      </c>
    </row>
    <row r="157" ht="26.25" customHeight="1">
      <c r="A157" s="143">
        <v>46061.0</v>
      </c>
      <c r="B157" s="148" t="s">
        <v>62</v>
      </c>
      <c r="C157" s="148" t="s">
        <v>128</v>
      </c>
      <c r="D157" s="148">
        <v>-50000.0</v>
      </c>
      <c r="E157" s="146">
        <v>0.0</v>
      </c>
      <c r="F157" s="154">
        <v>50000.0</v>
      </c>
      <c r="G157" s="147" t="s">
        <v>74</v>
      </c>
      <c r="H157" s="146">
        <v>0.0</v>
      </c>
      <c r="I157" s="149">
        <f t="shared" si="2"/>
        <v>202500</v>
      </c>
      <c r="J157" s="150"/>
      <c r="K157" s="152">
        <v>163.0</v>
      </c>
    </row>
    <row r="158" ht="26.25" customHeight="1">
      <c r="A158" s="143">
        <v>46062.0</v>
      </c>
      <c r="B158" s="148" t="s">
        <v>62</v>
      </c>
      <c r="C158" s="148" t="s">
        <v>130</v>
      </c>
      <c r="D158" s="148">
        <v>-50000.0</v>
      </c>
      <c r="E158" s="146">
        <v>0.0</v>
      </c>
      <c r="F158" s="154">
        <v>50000.0</v>
      </c>
      <c r="G158" s="147" t="s">
        <v>74</v>
      </c>
      <c r="H158" s="146">
        <v>0.0</v>
      </c>
      <c r="I158" s="149">
        <f t="shared" si="2"/>
        <v>152500</v>
      </c>
      <c r="J158" s="150"/>
      <c r="K158" s="152">
        <v>167.0</v>
      </c>
    </row>
    <row r="159" ht="26.25" customHeight="1">
      <c r="A159" s="143">
        <v>46062.0</v>
      </c>
      <c r="B159" s="148" t="s">
        <v>62</v>
      </c>
      <c r="C159" s="156" t="s">
        <v>27</v>
      </c>
      <c r="D159" s="148">
        <v>-10000.0</v>
      </c>
      <c r="E159" s="146">
        <v>0.0</v>
      </c>
      <c r="F159" s="154">
        <v>10000.0</v>
      </c>
      <c r="G159" s="147" t="s">
        <v>74</v>
      </c>
      <c r="H159" s="146">
        <v>0.0</v>
      </c>
      <c r="I159" s="149">
        <f t="shared" si="2"/>
        <v>142500</v>
      </c>
      <c r="J159" s="150"/>
      <c r="K159" s="152">
        <v>171.0</v>
      </c>
    </row>
    <row r="160" ht="26.25" customHeight="1">
      <c r="A160" s="143">
        <v>46062.0</v>
      </c>
      <c r="B160" s="148" t="s">
        <v>72</v>
      </c>
      <c r="C160" s="148" t="s">
        <v>131</v>
      </c>
      <c r="D160" s="148">
        <v>-12000.0</v>
      </c>
      <c r="E160" s="146">
        <v>0.0</v>
      </c>
      <c r="F160" s="154">
        <v>12000.0</v>
      </c>
      <c r="G160" s="147" t="s">
        <v>74</v>
      </c>
      <c r="H160" s="146">
        <v>0.0</v>
      </c>
      <c r="I160" s="149">
        <f t="shared" si="2"/>
        <v>130500</v>
      </c>
      <c r="J160" s="150"/>
      <c r="K160" s="152">
        <v>166.0</v>
      </c>
    </row>
    <row r="161" ht="26.25" customHeight="1">
      <c r="A161" s="143">
        <v>46062.0</v>
      </c>
      <c r="B161" s="148" t="s">
        <v>72</v>
      </c>
      <c r="C161" s="148" t="s">
        <v>79</v>
      </c>
      <c r="D161" s="148">
        <v>-5000.0</v>
      </c>
      <c r="E161" s="146">
        <v>0.0</v>
      </c>
      <c r="F161" s="154">
        <v>5000.0</v>
      </c>
      <c r="G161" s="147" t="s">
        <v>74</v>
      </c>
      <c r="H161" s="146">
        <v>0.0</v>
      </c>
      <c r="I161" s="149">
        <f t="shared" si="2"/>
        <v>125500</v>
      </c>
      <c r="J161" s="150"/>
      <c r="K161" s="152">
        <v>168.0</v>
      </c>
    </row>
    <row r="162" ht="26.25" customHeight="1">
      <c r="A162" s="143">
        <v>46062.0</v>
      </c>
      <c r="B162" s="148" t="s">
        <v>72</v>
      </c>
      <c r="C162" s="148" t="s">
        <v>132</v>
      </c>
      <c r="D162" s="148">
        <v>-5000.0</v>
      </c>
      <c r="E162" s="146">
        <v>0.0</v>
      </c>
      <c r="F162" s="154">
        <v>5000.0</v>
      </c>
      <c r="G162" s="147" t="s">
        <v>74</v>
      </c>
      <c r="H162" s="146">
        <v>0.0</v>
      </c>
      <c r="I162" s="149">
        <f t="shared" si="2"/>
        <v>120500</v>
      </c>
      <c r="J162" s="150"/>
      <c r="K162" s="152">
        <v>169.0</v>
      </c>
    </row>
    <row r="163" ht="26.25" customHeight="1">
      <c r="A163" s="143">
        <v>46062.0</v>
      </c>
      <c r="B163" s="148" t="s">
        <v>72</v>
      </c>
      <c r="C163" s="148" t="s">
        <v>128</v>
      </c>
      <c r="D163" s="148">
        <v>-60000.0</v>
      </c>
      <c r="E163" s="146">
        <v>0.0</v>
      </c>
      <c r="F163" s="154">
        <v>60000.0</v>
      </c>
      <c r="G163" s="147" t="s">
        <v>74</v>
      </c>
      <c r="H163" s="146">
        <v>0.0</v>
      </c>
      <c r="I163" s="149">
        <f t="shared" si="2"/>
        <v>60500</v>
      </c>
      <c r="J163" s="150"/>
      <c r="K163" s="152">
        <v>170.0</v>
      </c>
    </row>
    <row r="164" ht="26.25" customHeight="1">
      <c r="A164" s="143">
        <v>46063.0</v>
      </c>
      <c r="B164" s="148" t="s">
        <v>62</v>
      </c>
      <c r="C164" s="148" t="s">
        <v>119</v>
      </c>
      <c r="D164" s="148">
        <v>-10000.0</v>
      </c>
      <c r="E164" s="146">
        <v>0.0</v>
      </c>
      <c r="F164" s="154">
        <v>10000.0</v>
      </c>
      <c r="G164" s="147" t="s">
        <v>74</v>
      </c>
      <c r="H164" s="146">
        <v>0.0</v>
      </c>
      <c r="I164" s="149">
        <f t="shared" si="2"/>
        <v>50500</v>
      </c>
      <c r="J164" s="150"/>
      <c r="K164" s="152">
        <v>173.0</v>
      </c>
    </row>
    <row r="165" ht="26.25" customHeight="1">
      <c r="A165" s="143">
        <v>46063.0</v>
      </c>
      <c r="B165" s="148" t="s">
        <v>72</v>
      </c>
      <c r="C165" s="148" t="s">
        <v>77</v>
      </c>
      <c r="D165" s="148">
        <v>-95000.0</v>
      </c>
      <c r="E165" s="146">
        <v>0.0</v>
      </c>
      <c r="F165" s="154">
        <v>95000.0</v>
      </c>
      <c r="G165" s="147" t="s">
        <v>74</v>
      </c>
      <c r="H165" s="146">
        <v>0.0</v>
      </c>
      <c r="I165" s="149">
        <f t="shared" si="2"/>
        <v>-44500</v>
      </c>
      <c r="J165" s="150"/>
      <c r="K165" s="152">
        <v>172.0</v>
      </c>
    </row>
    <row r="166" ht="26.25" customHeight="1">
      <c r="A166" s="143">
        <v>46063.0</v>
      </c>
      <c r="B166" s="148" t="s">
        <v>62</v>
      </c>
      <c r="C166" s="148" t="s">
        <v>128</v>
      </c>
      <c r="D166" s="148">
        <v>-10000.0</v>
      </c>
      <c r="E166" s="146">
        <v>0.0</v>
      </c>
      <c r="F166" s="154">
        <v>10000.0</v>
      </c>
      <c r="G166" s="147" t="s">
        <v>74</v>
      </c>
      <c r="H166" s="146">
        <v>0.0</v>
      </c>
      <c r="I166" s="149">
        <f t="shared" si="2"/>
        <v>-54500</v>
      </c>
      <c r="J166" s="150"/>
      <c r="K166" s="152">
        <v>175.0</v>
      </c>
    </row>
    <row r="167" ht="26.25" customHeight="1">
      <c r="A167" s="143">
        <v>46063.0</v>
      </c>
      <c r="B167" s="148" t="s">
        <v>59</v>
      </c>
      <c r="C167" s="148" t="s">
        <v>103</v>
      </c>
      <c r="D167" s="148">
        <v>0.0</v>
      </c>
      <c r="E167" s="148">
        <v>0.0</v>
      </c>
      <c r="F167" s="146">
        <v>0.0</v>
      </c>
      <c r="G167" s="147" t="s">
        <v>65</v>
      </c>
      <c r="H167" s="148">
        <v>2000000.0</v>
      </c>
      <c r="I167" s="149">
        <f t="shared" si="2"/>
        <v>-54500</v>
      </c>
      <c r="J167" s="150"/>
      <c r="K167" s="151"/>
    </row>
    <row r="168" ht="26.25" customHeight="1">
      <c r="A168" s="143">
        <v>46063.0</v>
      </c>
      <c r="B168" s="148" t="s">
        <v>62</v>
      </c>
      <c r="C168" s="148" t="s">
        <v>123</v>
      </c>
      <c r="D168" s="148">
        <v>-20000.0</v>
      </c>
      <c r="E168" s="146">
        <v>0.0</v>
      </c>
      <c r="F168" s="154">
        <v>20000.0</v>
      </c>
      <c r="G168" s="147" t="s">
        <v>74</v>
      </c>
      <c r="H168" s="146">
        <v>0.0</v>
      </c>
      <c r="I168" s="149">
        <f t="shared" si="2"/>
        <v>-74500</v>
      </c>
      <c r="J168" s="150"/>
      <c r="K168" s="152">
        <v>174.0</v>
      </c>
    </row>
    <row r="169" ht="26.25" customHeight="1">
      <c r="A169" s="143">
        <v>46063.0</v>
      </c>
      <c r="B169" s="148" t="s">
        <v>62</v>
      </c>
      <c r="C169" s="156" t="s">
        <v>116</v>
      </c>
      <c r="D169" s="148">
        <v>-10000.0</v>
      </c>
      <c r="E169" s="146">
        <v>0.0</v>
      </c>
      <c r="F169" s="154">
        <v>10000.0</v>
      </c>
      <c r="G169" s="147" t="s">
        <v>74</v>
      </c>
      <c r="H169" s="146">
        <v>0.0</v>
      </c>
      <c r="I169" s="149">
        <f t="shared" si="2"/>
        <v>-84500</v>
      </c>
      <c r="J169" s="150"/>
      <c r="K169" s="152">
        <v>176.0</v>
      </c>
    </row>
    <row r="170" ht="26.25" customHeight="1">
      <c r="A170" s="143">
        <v>46064.0</v>
      </c>
      <c r="B170" s="148" t="s">
        <v>72</v>
      </c>
      <c r="C170" s="148" t="s">
        <v>87</v>
      </c>
      <c r="D170" s="148">
        <v>-175000.0</v>
      </c>
      <c r="E170" s="146">
        <v>0.0</v>
      </c>
      <c r="F170" s="154">
        <v>175000.0</v>
      </c>
      <c r="G170" s="147" t="s">
        <v>74</v>
      </c>
      <c r="H170" s="146">
        <v>0.0</v>
      </c>
      <c r="I170" s="149">
        <f t="shared" si="2"/>
        <v>-259500</v>
      </c>
      <c r="J170" s="150"/>
      <c r="K170" s="152">
        <v>177.0</v>
      </c>
    </row>
    <row r="171" ht="26.25" customHeight="1">
      <c r="A171" s="143">
        <v>46064.0</v>
      </c>
      <c r="B171" s="148" t="s">
        <v>72</v>
      </c>
      <c r="C171" s="148" t="s">
        <v>79</v>
      </c>
      <c r="D171" s="148">
        <v>-5000.0</v>
      </c>
      <c r="E171" s="146">
        <v>0.0</v>
      </c>
      <c r="F171" s="154">
        <v>5000.0</v>
      </c>
      <c r="G171" s="147" t="s">
        <v>74</v>
      </c>
      <c r="H171" s="146">
        <v>0.0</v>
      </c>
      <c r="I171" s="149">
        <f t="shared" si="2"/>
        <v>-264500</v>
      </c>
      <c r="J171" s="150"/>
      <c r="K171" s="152">
        <v>178.0</v>
      </c>
    </row>
    <row r="172" ht="26.25" customHeight="1">
      <c r="A172" s="143">
        <v>46064.0</v>
      </c>
      <c r="B172" s="148" t="s">
        <v>72</v>
      </c>
      <c r="C172" s="148" t="s">
        <v>133</v>
      </c>
      <c r="D172" s="148">
        <v>-70000.0</v>
      </c>
      <c r="E172" s="146">
        <v>0.0</v>
      </c>
      <c r="F172" s="154">
        <v>70000.0</v>
      </c>
      <c r="G172" s="147" t="s">
        <v>74</v>
      </c>
      <c r="H172" s="146">
        <v>0.0</v>
      </c>
      <c r="I172" s="149">
        <f t="shared" si="2"/>
        <v>-334500</v>
      </c>
      <c r="J172" s="150"/>
      <c r="K172" s="152">
        <v>179.0</v>
      </c>
    </row>
    <row r="173" ht="26.25" customHeight="1">
      <c r="A173" s="143">
        <v>46064.0</v>
      </c>
      <c r="B173" s="148" t="s">
        <v>72</v>
      </c>
      <c r="C173" s="148" t="s">
        <v>118</v>
      </c>
      <c r="D173" s="148">
        <v>-5000.0</v>
      </c>
      <c r="E173" s="146">
        <v>0.0</v>
      </c>
      <c r="F173" s="154">
        <v>5000.0</v>
      </c>
      <c r="G173" s="147" t="s">
        <v>74</v>
      </c>
      <c r="H173" s="146">
        <v>0.0</v>
      </c>
      <c r="I173" s="149">
        <f t="shared" si="2"/>
        <v>-339500</v>
      </c>
      <c r="J173" s="150"/>
      <c r="K173" s="152">
        <v>180.0</v>
      </c>
    </row>
    <row r="174" ht="26.25" customHeight="1">
      <c r="A174" s="143">
        <v>46065.0</v>
      </c>
      <c r="B174" s="148" t="s">
        <v>62</v>
      </c>
      <c r="C174" s="156" t="s">
        <v>27</v>
      </c>
      <c r="D174" s="148">
        <v>-15000.0</v>
      </c>
      <c r="E174" s="146">
        <v>0.0</v>
      </c>
      <c r="F174" s="154">
        <v>15000.0</v>
      </c>
      <c r="G174" s="147" t="s">
        <v>74</v>
      </c>
      <c r="H174" s="146">
        <v>0.0</v>
      </c>
      <c r="I174" s="149">
        <f t="shared" si="2"/>
        <v>-354500</v>
      </c>
      <c r="J174" s="150"/>
      <c r="K174" s="152">
        <v>186.0</v>
      </c>
    </row>
    <row r="175" ht="26.25" customHeight="1">
      <c r="A175" s="143">
        <v>46065.0</v>
      </c>
      <c r="B175" s="148" t="s">
        <v>70</v>
      </c>
      <c r="C175" s="148" t="s">
        <v>104</v>
      </c>
      <c r="D175" s="148">
        <v>1000000.0</v>
      </c>
      <c r="E175" s="148">
        <v>1000000.0</v>
      </c>
      <c r="F175" s="146">
        <v>0.0</v>
      </c>
      <c r="G175" s="147" t="s">
        <v>65</v>
      </c>
      <c r="H175" s="146">
        <v>1000000.0</v>
      </c>
      <c r="I175" s="149">
        <f t="shared" si="2"/>
        <v>645500</v>
      </c>
      <c r="J175" s="150"/>
      <c r="K175" s="152">
        <v>160.0</v>
      </c>
    </row>
    <row r="176" ht="26.25" customHeight="1">
      <c r="A176" s="143">
        <v>46065.0</v>
      </c>
      <c r="B176" s="148" t="s">
        <v>72</v>
      </c>
      <c r="C176" s="148" t="s">
        <v>118</v>
      </c>
      <c r="D176" s="148">
        <v>-5000.0</v>
      </c>
      <c r="E176" s="146">
        <v>0.0</v>
      </c>
      <c r="F176" s="154">
        <v>5000.0</v>
      </c>
      <c r="G176" s="147" t="s">
        <v>74</v>
      </c>
      <c r="H176" s="146">
        <v>0.0</v>
      </c>
      <c r="I176" s="149">
        <f t="shared" si="2"/>
        <v>640500</v>
      </c>
      <c r="J176" s="150"/>
      <c r="K176" s="152">
        <v>183.0</v>
      </c>
    </row>
    <row r="177" ht="26.25" customHeight="1">
      <c r="A177" s="143">
        <v>46065.0</v>
      </c>
      <c r="B177" s="148" t="s">
        <v>72</v>
      </c>
      <c r="C177" s="148" t="s">
        <v>90</v>
      </c>
      <c r="D177" s="148">
        <v>-5000.0</v>
      </c>
      <c r="E177" s="146">
        <v>0.0</v>
      </c>
      <c r="F177" s="154">
        <v>5000.0</v>
      </c>
      <c r="G177" s="147" t="s">
        <v>74</v>
      </c>
      <c r="H177" s="146">
        <v>0.0</v>
      </c>
      <c r="I177" s="149">
        <f t="shared" si="2"/>
        <v>635500</v>
      </c>
      <c r="J177" s="150"/>
      <c r="K177" s="152">
        <v>184.0</v>
      </c>
    </row>
    <row r="178" ht="26.25" customHeight="1">
      <c r="A178" s="143">
        <v>46065.0</v>
      </c>
      <c r="B178" s="148" t="s">
        <v>72</v>
      </c>
      <c r="C178" s="148" t="s">
        <v>75</v>
      </c>
      <c r="D178" s="148">
        <v>-10000.0</v>
      </c>
      <c r="E178" s="146">
        <v>0.0</v>
      </c>
      <c r="F178" s="154">
        <v>10000.0</v>
      </c>
      <c r="G178" s="147" t="s">
        <v>74</v>
      </c>
      <c r="H178" s="146">
        <v>0.0</v>
      </c>
      <c r="I178" s="149">
        <f t="shared" si="2"/>
        <v>625500</v>
      </c>
      <c r="J178" s="150"/>
      <c r="K178" s="152">
        <v>185.0</v>
      </c>
    </row>
    <row r="179" ht="26.25" customHeight="1">
      <c r="A179" s="143">
        <v>46065.0</v>
      </c>
      <c r="B179" s="148" t="s">
        <v>72</v>
      </c>
      <c r="C179" s="148" t="s">
        <v>134</v>
      </c>
      <c r="D179" s="148">
        <v>-40000.0</v>
      </c>
      <c r="E179" s="146">
        <v>0.0</v>
      </c>
      <c r="F179" s="154">
        <v>40000.0</v>
      </c>
      <c r="G179" s="147" t="s">
        <v>74</v>
      </c>
      <c r="H179" s="146">
        <v>0.0</v>
      </c>
      <c r="I179" s="149">
        <f t="shared" si="2"/>
        <v>585500</v>
      </c>
      <c r="J179" s="150"/>
      <c r="K179" s="152">
        <v>190.0</v>
      </c>
    </row>
    <row r="180" ht="26.25" customHeight="1">
      <c r="A180" s="143">
        <v>46065.0</v>
      </c>
      <c r="B180" s="148" t="s">
        <v>62</v>
      </c>
      <c r="C180" s="148" t="s">
        <v>128</v>
      </c>
      <c r="D180" s="148">
        <v>-50000.0</v>
      </c>
      <c r="E180" s="146">
        <v>0.0</v>
      </c>
      <c r="F180" s="154">
        <v>50000.0</v>
      </c>
      <c r="G180" s="147" t="s">
        <v>74</v>
      </c>
      <c r="H180" s="146">
        <v>0.0</v>
      </c>
      <c r="I180" s="149">
        <f t="shared" si="2"/>
        <v>535500</v>
      </c>
      <c r="J180" s="159" t="b">
        <v>0</v>
      </c>
      <c r="K180" s="152">
        <v>182.0</v>
      </c>
    </row>
    <row r="181" ht="26.25" customHeight="1">
      <c r="A181" s="143">
        <v>46065.0</v>
      </c>
      <c r="B181" s="148" t="s">
        <v>62</v>
      </c>
      <c r="C181" s="148" t="s">
        <v>128</v>
      </c>
      <c r="D181" s="148">
        <v>-30000.0</v>
      </c>
      <c r="E181" s="146">
        <v>0.0</v>
      </c>
      <c r="F181" s="154">
        <v>30000.0</v>
      </c>
      <c r="G181" s="147" t="s">
        <v>74</v>
      </c>
      <c r="H181" s="146">
        <v>0.0</v>
      </c>
      <c r="I181" s="149">
        <f t="shared" si="2"/>
        <v>505500</v>
      </c>
      <c r="J181" s="150"/>
      <c r="K181" s="152">
        <v>188.0</v>
      </c>
    </row>
    <row r="182" ht="26.25" customHeight="1">
      <c r="A182" s="143">
        <v>46065.0</v>
      </c>
      <c r="B182" s="148" t="s">
        <v>62</v>
      </c>
      <c r="C182" s="148" t="s">
        <v>78</v>
      </c>
      <c r="D182" s="148">
        <v>-10000.0</v>
      </c>
      <c r="E182" s="146">
        <v>0.0</v>
      </c>
      <c r="F182" s="154">
        <v>10000.0</v>
      </c>
      <c r="G182" s="147" t="s">
        <v>74</v>
      </c>
      <c r="H182" s="146">
        <v>0.0</v>
      </c>
      <c r="I182" s="149">
        <f t="shared" si="2"/>
        <v>495500</v>
      </c>
      <c r="J182" s="150"/>
      <c r="K182" s="152">
        <v>187.0</v>
      </c>
    </row>
    <row r="183" ht="26.25" customHeight="1">
      <c r="A183" s="143">
        <v>46065.0</v>
      </c>
      <c r="B183" s="148" t="s">
        <v>62</v>
      </c>
      <c r="C183" s="156" t="s">
        <v>116</v>
      </c>
      <c r="D183" s="148">
        <v>-80000.0</v>
      </c>
      <c r="E183" s="146">
        <v>0.0</v>
      </c>
      <c r="F183" s="154">
        <v>80000.0</v>
      </c>
      <c r="G183" s="147" t="s">
        <v>74</v>
      </c>
      <c r="H183" s="146">
        <v>0.0</v>
      </c>
      <c r="I183" s="149">
        <f t="shared" si="2"/>
        <v>415500</v>
      </c>
      <c r="J183" s="150"/>
      <c r="K183" s="152">
        <v>181.0</v>
      </c>
    </row>
    <row r="184" ht="26.25" customHeight="1">
      <c r="A184" s="143">
        <v>46065.0</v>
      </c>
      <c r="B184" s="148" t="s">
        <v>62</v>
      </c>
      <c r="C184" s="153" t="s">
        <v>114</v>
      </c>
      <c r="D184" s="148">
        <v>-5000.0</v>
      </c>
      <c r="E184" s="146">
        <v>0.0</v>
      </c>
      <c r="F184" s="154">
        <v>5000.0</v>
      </c>
      <c r="G184" s="147" t="s">
        <v>74</v>
      </c>
      <c r="H184" s="146">
        <v>0.0</v>
      </c>
      <c r="I184" s="149">
        <f t="shared" si="2"/>
        <v>410500</v>
      </c>
      <c r="J184" s="150"/>
      <c r="K184" s="152">
        <v>189.0</v>
      </c>
    </row>
    <row r="185" ht="26.25" customHeight="1">
      <c r="A185" s="143">
        <v>46068.0</v>
      </c>
      <c r="B185" s="148" t="s">
        <v>62</v>
      </c>
      <c r="C185" s="148" t="s">
        <v>36</v>
      </c>
      <c r="D185" s="148">
        <v>-5000.0</v>
      </c>
      <c r="E185" s="146">
        <v>0.0</v>
      </c>
      <c r="F185" s="154">
        <v>5000.0</v>
      </c>
      <c r="G185" s="147" t="s">
        <v>74</v>
      </c>
      <c r="H185" s="146">
        <v>0.0</v>
      </c>
      <c r="I185" s="149">
        <f t="shared" si="2"/>
        <v>405500</v>
      </c>
      <c r="J185" s="150"/>
      <c r="K185" s="152">
        <v>192.0</v>
      </c>
    </row>
    <row r="186" ht="26.25" customHeight="1">
      <c r="A186" s="143">
        <v>46068.0</v>
      </c>
      <c r="B186" s="144" t="s">
        <v>101</v>
      </c>
      <c r="C186" s="148" t="s">
        <v>130</v>
      </c>
      <c r="D186" s="145">
        <v>-99824.0</v>
      </c>
      <c r="E186" s="146">
        <v>0.0</v>
      </c>
      <c r="F186" s="146">
        <v>99824.0</v>
      </c>
      <c r="G186" s="147" t="s">
        <v>74</v>
      </c>
      <c r="H186" s="146">
        <v>0.0</v>
      </c>
      <c r="I186" s="149">
        <f t="shared" si="2"/>
        <v>305676</v>
      </c>
      <c r="J186" s="150"/>
      <c r="K186" s="152">
        <v>42.0</v>
      </c>
    </row>
    <row r="187" ht="26.25" customHeight="1">
      <c r="A187" s="143">
        <v>46068.0</v>
      </c>
      <c r="B187" s="148" t="s">
        <v>62</v>
      </c>
      <c r="C187" s="156" t="s">
        <v>27</v>
      </c>
      <c r="D187" s="148">
        <v>-60000.0</v>
      </c>
      <c r="E187" s="146">
        <v>0.0</v>
      </c>
      <c r="F187" s="154">
        <v>60000.0</v>
      </c>
      <c r="G187" s="147" t="s">
        <v>74</v>
      </c>
      <c r="H187" s="146">
        <v>0.0</v>
      </c>
      <c r="I187" s="149">
        <f t="shared" si="2"/>
        <v>245676</v>
      </c>
      <c r="J187" s="150"/>
      <c r="K187" s="152">
        <v>194.0</v>
      </c>
    </row>
    <row r="188" ht="26.25" customHeight="1">
      <c r="A188" s="143">
        <v>46068.0</v>
      </c>
      <c r="B188" s="148" t="s">
        <v>62</v>
      </c>
      <c r="C188" s="156" t="s">
        <v>27</v>
      </c>
      <c r="D188" s="148">
        <v>-7000.0</v>
      </c>
      <c r="E188" s="146">
        <v>0.0</v>
      </c>
      <c r="F188" s="154">
        <v>7000.0</v>
      </c>
      <c r="G188" s="147" t="s">
        <v>74</v>
      </c>
      <c r="H188" s="146">
        <v>0.0</v>
      </c>
      <c r="I188" s="149">
        <f t="shared" si="2"/>
        <v>238676</v>
      </c>
      <c r="J188" s="150"/>
      <c r="K188" s="151"/>
    </row>
    <row r="189" ht="26.25" customHeight="1">
      <c r="A189" s="143">
        <v>46068.0</v>
      </c>
      <c r="B189" s="148" t="s">
        <v>62</v>
      </c>
      <c r="C189" s="148" t="s">
        <v>36</v>
      </c>
      <c r="D189" s="148">
        <v>-2000.0</v>
      </c>
      <c r="E189" s="146">
        <v>0.0</v>
      </c>
      <c r="F189" s="154">
        <v>2000.0</v>
      </c>
      <c r="G189" s="147" t="s">
        <v>74</v>
      </c>
      <c r="H189" s="146">
        <v>0.0</v>
      </c>
      <c r="I189" s="149">
        <f t="shared" si="2"/>
        <v>236676</v>
      </c>
      <c r="J189" s="150"/>
      <c r="K189" s="151"/>
    </row>
    <row r="190" ht="26.25" customHeight="1">
      <c r="A190" s="143">
        <v>46068.0</v>
      </c>
      <c r="B190" s="148" t="s">
        <v>62</v>
      </c>
      <c r="C190" s="148" t="s">
        <v>86</v>
      </c>
      <c r="D190" s="148">
        <v>-3000.0</v>
      </c>
      <c r="E190" s="146">
        <v>0.0</v>
      </c>
      <c r="F190" s="154">
        <v>3000.0</v>
      </c>
      <c r="G190" s="147" t="s">
        <v>74</v>
      </c>
      <c r="H190" s="146">
        <v>0.0</v>
      </c>
      <c r="I190" s="149">
        <f t="shared" si="2"/>
        <v>233676</v>
      </c>
      <c r="J190" s="150"/>
      <c r="K190" s="152">
        <v>196.0</v>
      </c>
    </row>
    <row r="191" ht="26.25" customHeight="1">
      <c r="A191" s="143">
        <v>46068.0</v>
      </c>
      <c r="B191" s="148" t="s">
        <v>62</v>
      </c>
      <c r="C191" s="158" t="s">
        <v>113</v>
      </c>
      <c r="D191" s="148">
        <v>-5000.0</v>
      </c>
      <c r="E191" s="146">
        <v>0.0</v>
      </c>
      <c r="F191" s="154">
        <v>5000.0</v>
      </c>
      <c r="G191" s="147" t="s">
        <v>74</v>
      </c>
      <c r="H191" s="146">
        <v>0.0</v>
      </c>
      <c r="I191" s="149">
        <f t="shared" si="2"/>
        <v>228676</v>
      </c>
      <c r="J191" s="150"/>
      <c r="K191" s="152">
        <v>193.0</v>
      </c>
    </row>
    <row r="192" ht="26.25" customHeight="1">
      <c r="A192" s="143">
        <v>46068.0</v>
      </c>
      <c r="B192" s="144" t="s">
        <v>70</v>
      </c>
      <c r="C192" s="148" t="s">
        <v>104</v>
      </c>
      <c r="D192" s="148">
        <v>500000.0</v>
      </c>
      <c r="E192" s="148">
        <v>500000.0</v>
      </c>
      <c r="F192" s="146">
        <v>0.0</v>
      </c>
      <c r="G192" s="147" t="s">
        <v>65</v>
      </c>
      <c r="H192" s="146">
        <v>500000.0</v>
      </c>
      <c r="I192" s="149">
        <f t="shared" si="2"/>
        <v>728676</v>
      </c>
      <c r="J192" s="150"/>
      <c r="K192" s="152">
        <v>11.0</v>
      </c>
    </row>
    <row r="193" ht="26.25" customHeight="1">
      <c r="A193" s="143">
        <v>46068.0</v>
      </c>
      <c r="B193" s="148" t="s">
        <v>62</v>
      </c>
      <c r="C193" s="148" t="s">
        <v>135</v>
      </c>
      <c r="D193" s="148">
        <v>-20000.0</v>
      </c>
      <c r="E193" s="146">
        <v>0.0</v>
      </c>
      <c r="F193" s="154">
        <v>20000.0</v>
      </c>
      <c r="G193" s="147" t="s">
        <v>74</v>
      </c>
      <c r="H193" s="146">
        <v>0.0</v>
      </c>
      <c r="I193" s="149">
        <f t="shared" si="2"/>
        <v>708676</v>
      </c>
      <c r="J193" s="150"/>
      <c r="K193" s="151"/>
    </row>
    <row r="194" ht="26.25" customHeight="1">
      <c r="A194" s="143">
        <v>46068.0</v>
      </c>
      <c r="B194" s="144" t="s">
        <v>136</v>
      </c>
      <c r="C194" s="160" t="s">
        <v>137</v>
      </c>
      <c r="D194" s="145">
        <v>-188000.0</v>
      </c>
      <c r="E194" s="146">
        <v>0.0</v>
      </c>
      <c r="F194" s="146">
        <v>188000.0</v>
      </c>
      <c r="G194" s="147" t="s">
        <v>74</v>
      </c>
      <c r="H194" s="146">
        <v>0.0</v>
      </c>
      <c r="I194" s="149">
        <f t="shared" si="2"/>
        <v>520676</v>
      </c>
      <c r="J194" s="150"/>
      <c r="K194" s="152">
        <v>43.0</v>
      </c>
    </row>
    <row r="195" ht="26.25" customHeight="1">
      <c r="A195" s="143">
        <v>46068.0</v>
      </c>
      <c r="B195" s="144" t="s">
        <v>136</v>
      </c>
      <c r="C195" s="160" t="s">
        <v>138</v>
      </c>
      <c r="D195" s="145">
        <v>-360000.0</v>
      </c>
      <c r="E195" s="146">
        <v>0.0</v>
      </c>
      <c r="F195" s="146">
        <v>360000.0</v>
      </c>
      <c r="G195" s="147" t="s">
        <v>74</v>
      </c>
      <c r="H195" s="146">
        <v>0.0</v>
      </c>
      <c r="I195" s="149">
        <f t="shared" si="2"/>
        <v>160676</v>
      </c>
      <c r="J195" s="150"/>
      <c r="K195" s="152">
        <v>44.0</v>
      </c>
    </row>
    <row r="196" ht="26.25" customHeight="1">
      <c r="A196" s="143">
        <v>46068.0</v>
      </c>
      <c r="B196" s="148" t="s">
        <v>72</v>
      </c>
      <c r="C196" s="148" t="s">
        <v>134</v>
      </c>
      <c r="D196" s="148">
        <v>-10000.0</v>
      </c>
      <c r="E196" s="146">
        <v>0.0</v>
      </c>
      <c r="F196" s="154">
        <v>10000.0</v>
      </c>
      <c r="G196" s="147" t="s">
        <v>74</v>
      </c>
      <c r="H196" s="146">
        <v>0.0</v>
      </c>
      <c r="I196" s="149">
        <f t="shared" si="2"/>
        <v>150676</v>
      </c>
      <c r="J196" s="150"/>
      <c r="K196" s="152">
        <v>195.0</v>
      </c>
    </row>
    <row r="197" ht="26.25" customHeight="1">
      <c r="A197" s="143">
        <v>46068.0</v>
      </c>
      <c r="B197" s="148" t="s">
        <v>72</v>
      </c>
      <c r="C197" s="148" t="s">
        <v>139</v>
      </c>
      <c r="D197" s="148">
        <v>-2000.0</v>
      </c>
      <c r="E197" s="146">
        <v>0.0</v>
      </c>
      <c r="F197" s="154">
        <v>2000.0</v>
      </c>
      <c r="G197" s="147" t="s">
        <v>74</v>
      </c>
      <c r="H197" s="146">
        <v>0.0</v>
      </c>
      <c r="I197" s="149">
        <f t="shared" si="2"/>
        <v>148676</v>
      </c>
      <c r="J197" s="150"/>
      <c r="K197" s="151"/>
    </row>
    <row r="198" ht="26.25" customHeight="1">
      <c r="A198" s="143">
        <v>46068.0</v>
      </c>
      <c r="B198" s="148" t="s">
        <v>72</v>
      </c>
      <c r="C198" s="148" t="s">
        <v>140</v>
      </c>
      <c r="D198" s="148">
        <v>-1000.0</v>
      </c>
      <c r="E198" s="146">
        <v>0.0</v>
      </c>
      <c r="F198" s="154">
        <v>1000.0</v>
      </c>
      <c r="G198" s="147" t="s">
        <v>74</v>
      </c>
      <c r="H198" s="146">
        <v>0.0</v>
      </c>
      <c r="I198" s="149">
        <f t="shared" si="2"/>
        <v>147676</v>
      </c>
      <c r="J198" s="150"/>
      <c r="K198" s="151"/>
    </row>
    <row r="199" ht="26.25" customHeight="1">
      <c r="A199" s="143">
        <v>46068.0</v>
      </c>
      <c r="B199" s="148" t="s">
        <v>72</v>
      </c>
      <c r="C199" s="148" t="s">
        <v>141</v>
      </c>
      <c r="D199" s="148">
        <v>-2000.0</v>
      </c>
      <c r="E199" s="146">
        <v>0.0</v>
      </c>
      <c r="F199" s="154">
        <v>2000.0</v>
      </c>
      <c r="G199" s="147" t="s">
        <v>74</v>
      </c>
      <c r="H199" s="146">
        <v>0.0</v>
      </c>
      <c r="I199" s="149">
        <f t="shared" si="2"/>
        <v>145676</v>
      </c>
      <c r="J199" s="150"/>
      <c r="K199" s="151"/>
    </row>
    <row r="200" ht="26.25" customHeight="1">
      <c r="A200" s="143">
        <v>46068.0</v>
      </c>
      <c r="B200" s="148" t="s">
        <v>72</v>
      </c>
      <c r="C200" s="148" t="s">
        <v>142</v>
      </c>
      <c r="D200" s="148">
        <v>-7000.0</v>
      </c>
      <c r="E200" s="146">
        <v>0.0</v>
      </c>
      <c r="F200" s="154">
        <v>7000.0</v>
      </c>
      <c r="G200" s="147" t="s">
        <v>74</v>
      </c>
      <c r="H200" s="146">
        <v>0.0</v>
      </c>
      <c r="I200" s="149">
        <f t="shared" si="2"/>
        <v>138676</v>
      </c>
      <c r="J200" s="150"/>
      <c r="K200" s="151"/>
    </row>
    <row r="201" ht="26.25" customHeight="1">
      <c r="A201" s="143">
        <v>46068.0</v>
      </c>
      <c r="B201" s="148" t="s">
        <v>72</v>
      </c>
      <c r="C201" s="148" t="s">
        <v>143</v>
      </c>
      <c r="D201" s="148">
        <v>-5000.0</v>
      </c>
      <c r="E201" s="146">
        <v>0.0</v>
      </c>
      <c r="F201" s="154">
        <v>5000.0</v>
      </c>
      <c r="G201" s="147" t="s">
        <v>74</v>
      </c>
      <c r="H201" s="146">
        <v>0.0</v>
      </c>
      <c r="I201" s="149">
        <f t="shared" si="2"/>
        <v>133676</v>
      </c>
      <c r="J201" s="150"/>
      <c r="K201" s="151"/>
    </row>
    <row r="202" ht="26.25" customHeight="1">
      <c r="A202" s="143">
        <v>46068.0</v>
      </c>
      <c r="B202" s="148" t="s">
        <v>72</v>
      </c>
      <c r="C202" s="148" t="s">
        <v>75</v>
      </c>
      <c r="D202" s="148">
        <v>-15000.0</v>
      </c>
      <c r="E202" s="146">
        <v>0.0</v>
      </c>
      <c r="F202" s="154">
        <v>15000.0</v>
      </c>
      <c r="G202" s="147" t="s">
        <v>74</v>
      </c>
      <c r="H202" s="146">
        <v>0.0</v>
      </c>
      <c r="I202" s="149">
        <f t="shared" si="2"/>
        <v>118676</v>
      </c>
      <c r="J202" s="150"/>
      <c r="K202" s="151"/>
    </row>
    <row r="203" ht="26.25" customHeight="1">
      <c r="A203" s="143">
        <v>46068.0</v>
      </c>
      <c r="B203" s="148" t="s">
        <v>72</v>
      </c>
      <c r="C203" s="148" t="s">
        <v>77</v>
      </c>
      <c r="D203" s="148">
        <v>-20000.0</v>
      </c>
      <c r="E203" s="146">
        <v>0.0</v>
      </c>
      <c r="F203" s="154">
        <v>20000.0</v>
      </c>
      <c r="G203" s="147" t="s">
        <v>74</v>
      </c>
      <c r="H203" s="146">
        <v>0.0</v>
      </c>
      <c r="I203" s="149">
        <f t="shared" si="2"/>
        <v>98676</v>
      </c>
      <c r="J203" s="150"/>
      <c r="K203" s="151"/>
    </row>
    <row r="204" ht="26.25" customHeight="1">
      <c r="A204" s="143">
        <v>46068.0</v>
      </c>
      <c r="B204" s="148" t="s">
        <v>72</v>
      </c>
      <c r="C204" s="148" t="s">
        <v>77</v>
      </c>
      <c r="D204" s="148">
        <v>-5000.0</v>
      </c>
      <c r="E204" s="146">
        <v>0.0</v>
      </c>
      <c r="F204" s="154">
        <v>5000.0</v>
      </c>
      <c r="G204" s="147" t="s">
        <v>74</v>
      </c>
      <c r="H204" s="146">
        <v>0.0</v>
      </c>
      <c r="I204" s="149">
        <f t="shared" si="2"/>
        <v>93676</v>
      </c>
      <c r="J204" s="150"/>
      <c r="K204" s="151"/>
    </row>
    <row r="205" ht="26.25" customHeight="1">
      <c r="A205" s="143">
        <v>46068.0</v>
      </c>
      <c r="B205" s="148" t="s">
        <v>72</v>
      </c>
      <c r="C205" s="148" t="s">
        <v>77</v>
      </c>
      <c r="D205" s="148">
        <v>-5000.0</v>
      </c>
      <c r="E205" s="146">
        <v>0.0</v>
      </c>
      <c r="F205" s="154">
        <v>5000.0</v>
      </c>
      <c r="G205" s="147" t="s">
        <v>74</v>
      </c>
      <c r="H205" s="146">
        <v>0.0</v>
      </c>
      <c r="I205" s="149">
        <f t="shared" si="2"/>
        <v>88676</v>
      </c>
      <c r="J205" s="150"/>
      <c r="K205" s="151"/>
    </row>
    <row r="206" ht="26.25" customHeight="1">
      <c r="A206" s="143">
        <v>46068.0</v>
      </c>
      <c r="B206" s="148" t="s">
        <v>72</v>
      </c>
      <c r="C206" s="148" t="s">
        <v>79</v>
      </c>
      <c r="D206" s="148">
        <v>-20000.0</v>
      </c>
      <c r="E206" s="146">
        <v>0.0</v>
      </c>
      <c r="F206" s="154">
        <v>20000.0</v>
      </c>
      <c r="G206" s="147" t="s">
        <v>74</v>
      </c>
      <c r="H206" s="146">
        <v>0.0</v>
      </c>
      <c r="I206" s="149">
        <f t="shared" si="2"/>
        <v>68676</v>
      </c>
      <c r="J206" s="150"/>
      <c r="K206" s="151"/>
    </row>
    <row r="207" ht="26.25" customHeight="1">
      <c r="A207" s="143">
        <v>46068.0</v>
      </c>
      <c r="B207" s="148" t="s">
        <v>72</v>
      </c>
      <c r="C207" s="148" t="s">
        <v>144</v>
      </c>
      <c r="D207" s="148">
        <v>-5000.0</v>
      </c>
      <c r="E207" s="146">
        <v>0.0</v>
      </c>
      <c r="F207" s="154">
        <v>5000.0</v>
      </c>
      <c r="G207" s="147" t="s">
        <v>74</v>
      </c>
      <c r="H207" s="146">
        <v>0.0</v>
      </c>
      <c r="I207" s="149">
        <f t="shared" si="2"/>
        <v>63676</v>
      </c>
      <c r="J207" s="150"/>
      <c r="K207" s="151"/>
    </row>
    <row r="208" ht="26.25" customHeight="1">
      <c r="A208" s="143">
        <v>46068.0</v>
      </c>
      <c r="B208" s="148" t="s">
        <v>72</v>
      </c>
      <c r="C208" s="148" t="s">
        <v>145</v>
      </c>
      <c r="D208" s="148">
        <v>-20000.0</v>
      </c>
      <c r="E208" s="146">
        <v>0.0</v>
      </c>
      <c r="F208" s="154">
        <v>20000.0</v>
      </c>
      <c r="G208" s="147" t="s">
        <v>74</v>
      </c>
      <c r="H208" s="146">
        <v>0.0</v>
      </c>
      <c r="I208" s="149">
        <f t="shared" si="2"/>
        <v>43676</v>
      </c>
      <c r="J208" s="150"/>
      <c r="K208" s="151"/>
    </row>
    <row r="209" ht="26.25" customHeight="1">
      <c r="A209" s="143">
        <v>46068.0</v>
      </c>
      <c r="B209" s="148" t="s">
        <v>72</v>
      </c>
      <c r="C209" s="148" t="s">
        <v>79</v>
      </c>
      <c r="D209" s="148">
        <v>-10000.0</v>
      </c>
      <c r="E209" s="146">
        <v>0.0</v>
      </c>
      <c r="F209" s="154">
        <v>10000.0</v>
      </c>
      <c r="G209" s="147" t="s">
        <v>74</v>
      </c>
      <c r="H209" s="146">
        <v>0.0</v>
      </c>
      <c r="I209" s="149">
        <f t="shared" si="2"/>
        <v>33676</v>
      </c>
      <c r="J209" s="150"/>
      <c r="K209" s="151"/>
    </row>
    <row r="210" ht="26.25" customHeight="1">
      <c r="A210" s="143">
        <v>46068.0</v>
      </c>
      <c r="B210" s="148" t="s">
        <v>62</v>
      </c>
      <c r="C210" s="148" t="s">
        <v>128</v>
      </c>
      <c r="D210" s="148">
        <v>-70000.0</v>
      </c>
      <c r="E210" s="146">
        <v>0.0</v>
      </c>
      <c r="F210" s="154">
        <v>70000.0</v>
      </c>
      <c r="G210" s="147" t="s">
        <v>74</v>
      </c>
      <c r="H210" s="146">
        <v>0.0</v>
      </c>
      <c r="I210" s="149">
        <f t="shared" si="2"/>
        <v>-36324</v>
      </c>
      <c r="J210" s="150"/>
      <c r="K210" s="151"/>
    </row>
    <row r="211" ht="26.25" customHeight="1">
      <c r="A211" s="143">
        <v>46068.0</v>
      </c>
      <c r="B211" s="148" t="s">
        <v>72</v>
      </c>
      <c r="C211" s="148" t="s">
        <v>77</v>
      </c>
      <c r="D211" s="148">
        <v>-5000.0</v>
      </c>
      <c r="E211" s="146">
        <v>0.0</v>
      </c>
      <c r="F211" s="154">
        <v>5000.0</v>
      </c>
      <c r="G211" s="147" t="s">
        <v>74</v>
      </c>
      <c r="H211" s="146">
        <v>0.0</v>
      </c>
      <c r="I211" s="149">
        <f t="shared" si="2"/>
        <v>-41324</v>
      </c>
      <c r="J211" s="150"/>
      <c r="K211" s="151"/>
    </row>
    <row r="212" ht="26.25" customHeight="1">
      <c r="A212" s="143">
        <v>46068.0</v>
      </c>
      <c r="B212" s="148" t="s">
        <v>62</v>
      </c>
      <c r="C212" s="158" t="s">
        <v>113</v>
      </c>
      <c r="D212" s="148">
        <v>-20000.0</v>
      </c>
      <c r="E212" s="146">
        <v>0.0</v>
      </c>
      <c r="F212" s="154">
        <v>20000.0</v>
      </c>
      <c r="G212" s="147" t="s">
        <v>74</v>
      </c>
      <c r="H212" s="146">
        <v>0.0</v>
      </c>
      <c r="I212" s="149">
        <f t="shared" si="2"/>
        <v>-61324</v>
      </c>
      <c r="J212" s="150"/>
      <c r="K212" s="151"/>
    </row>
    <row r="213" ht="26.25" customHeight="1">
      <c r="A213" s="143">
        <v>46068.0</v>
      </c>
      <c r="B213" s="144" t="s">
        <v>101</v>
      </c>
      <c r="C213" s="157" t="s">
        <v>146</v>
      </c>
      <c r="D213" s="145">
        <v>-87222.0</v>
      </c>
      <c r="E213" s="146">
        <v>0.0</v>
      </c>
      <c r="F213" s="146">
        <v>87222.0</v>
      </c>
      <c r="G213" s="147" t="s">
        <v>74</v>
      </c>
      <c r="H213" s="146">
        <v>0.0</v>
      </c>
      <c r="I213" s="149">
        <f t="shared" si="2"/>
        <v>-148546</v>
      </c>
      <c r="J213" s="150"/>
      <c r="K213" s="152">
        <v>45.0</v>
      </c>
    </row>
    <row r="214" ht="26.25" customHeight="1">
      <c r="A214" s="143">
        <v>46068.0</v>
      </c>
      <c r="B214" s="144" t="s">
        <v>101</v>
      </c>
      <c r="C214" s="144" t="s">
        <v>147</v>
      </c>
      <c r="D214" s="145">
        <v>-36111.0</v>
      </c>
      <c r="E214" s="146">
        <v>0.0</v>
      </c>
      <c r="F214" s="146">
        <v>36111.0</v>
      </c>
      <c r="G214" s="147" t="s">
        <v>74</v>
      </c>
      <c r="H214" s="146">
        <v>0.0</v>
      </c>
      <c r="I214" s="149">
        <f t="shared" si="2"/>
        <v>-184657</v>
      </c>
      <c r="J214" s="150"/>
      <c r="K214" s="152">
        <v>39.0</v>
      </c>
    </row>
    <row r="215" ht="26.25" customHeight="1">
      <c r="A215" s="143">
        <v>46068.0</v>
      </c>
      <c r="B215" s="144" t="s">
        <v>101</v>
      </c>
      <c r="C215" s="156" t="s">
        <v>116</v>
      </c>
      <c r="D215" s="145">
        <v>-95102.0</v>
      </c>
      <c r="E215" s="146">
        <v>0.0</v>
      </c>
      <c r="F215" s="146">
        <v>95102.0</v>
      </c>
      <c r="G215" s="147" t="s">
        <v>74</v>
      </c>
      <c r="H215" s="146">
        <v>0.0</v>
      </c>
      <c r="I215" s="149">
        <f t="shared" si="2"/>
        <v>-279759</v>
      </c>
      <c r="J215" s="150"/>
      <c r="K215" s="152">
        <v>41.0</v>
      </c>
    </row>
    <row r="216" ht="26.25" customHeight="1">
      <c r="A216" s="143">
        <v>46068.0</v>
      </c>
      <c r="B216" s="148" t="s">
        <v>62</v>
      </c>
      <c r="C216" s="153" t="s">
        <v>114</v>
      </c>
      <c r="D216" s="148">
        <v>-20000.0</v>
      </c>
      <c r="E216" s="146">
        <v>0.0</v>
      </c>
      <c r="F216" s="154">
        <v>20000.0</v>
      </c>
      <c r="G216" s="147" t="s">
        <v>74</v>
      </c>
      <c r="H216" s="146">
        <v>0.0</v>
      </c>
      <c r="I216" s="149">
        <f t="shared" si="2"/>
        <v>-299759</v>
      </c>
      <c r="J216" s="150"/>
      <c r="K216" s="151"/>
    </row>
    <row r="217" ht="26.25" customHeight="1">
      <c r="A217" s="143">
        <v>46068.0</v>
      </c>
      <c r="B217" s="144" t="s">
        <v>101</v>
      </c>
      <c r="C217" s="153" t="s">
        <v>114</v>
      </c>
      <c r="D217" s="145">
        <v>-230000.0</v>
      </c>
      <c r="E217" s="146">
        <v>0.0</v>
      </c>
      <c r="F217" s="146">
        <v>230000.0</v>
      </c>
      <c r="G217" s="147" t="s">
        <v>74</v>
      </c>
      <c r="H217" s="146">
        <v>0.0</v>
      </c>
      <c r="I217" s="149">
        <f t="shared" si="2"/>
        <v>-529759</v>
      </c>
      <c r="J217" s="150"/>
      <c r="K217" s="152">
        <v>40.0</v>
      </c>
    </row>
    <row r="218" ht="26.25" customHeight="1">
      <c r="A218" s="143">
        <v>46069.0</v>
      </c>
      <c r="B218" s="148" t="s">
        <v>62</v>
      </c>
      <c r="C218" s="156" t="s">
        <v>27</v>
      </c>
      <c r="D218" s="148">
        <v>-300000.0</v>
      </c>
      <c r="E218" s="146">
        <v>0.0</v>
      </c>
      <c r="F218" s="154">
        <v>300000.0</v>
      </c>
      <c r="G218" s="147" t="s">
        <v>74</v>
      </c>
      <c r="H218" s="146">
        <v>0.0</v>
      </c>
      <c r="I218" s="149">
        <f t="shared" si="2"/>
        <v>-829759</v>
      </c>
      <c r="J218" s="150"/>
      <c r="K218" s="151"/>
    </row>
    <row r="219" ht="26.25" customHeight="1">
      <c r="A219" s="143">
        <v>46069.0</v>
      </c>
      <c r="B219" s="144" t="s">
        <v>70</v>
      </c>
      <c r="C219" s="148" t="s">
        <v>104</v>
      </c>
      <c r="D219" s="148">
        <v>500000.0</v>
      </c>
      <c r="E219" s="148">
        <v>500000.0</v>
      </c>
      <c r="F219" s="146">
        <v>0.0</v>
      </c>
      <c r="G219" s="147" t="s">
        <v>65</v>
      </c>
      <c r="H219" s="146">
        <v>500000.0</v>
      </c>
      <c r="I219" s="149">
        <f t="shared" si="2"/>
        <v>-329759</v>
      </c>
      <c r="J219" s="150"/>
      <c r="K219" s="152">
        <v>12.0</v>
      </c>
    </row>
    <row r="220" ht="26.25" customHeight="1">
      <c r="A220" s="143">
        <v>46069.0</v>
      </c>
      <c r="B220" s="148" t="s">
        <v>72</v>
      </c>
      <c r="C220" s="148" t="s">
        <v>135</v>
      </c>
      <c r="D220" s="148">
        <v>-25000.0</v>
      </c>
      <c r="E220" s="146">
        <v>0.0</v>
      </c>
      <c r="F220" s="154">
        <v>25000.0</v>
      </c>
      <c r="G220" s="147" t="s">
        <v>74</v>
      </c>
      <c r="H220" s="146">
        <v>0.0</v>
      </c>
      <c r="I220" s="149">
        <f t="shared" si="2"/>
        <v>-354759</v>
      </c>
      <c r="J220" s="150"/>
      <c r="K220" s="151"/>
    </row>
    <row r="221" ht="26.25" customHeight="1">
      <c r="A221" s="143">
        <v>46069.0</v>
      </c>
      <c r="B221" s="148" t="s">
        <v>72</v>
      </c>
      <c r="C221" s="148" t="s">
        <v>77</v>
      </c>
      <c r="D221" s="148">
        <v>-3500.0</v>
      </c>
      <c r="E221" s="146">
        <v>0.0</v>
      </c>
      <c r="F221" s="154">
        <v>3500.0</v>
      </c>
      <c r="G221" s="147" t="s">
        <v>74</v>
      </c>
      <c r="H221" s="146">
        <v>0.0</v>
      </c>
      <c r="I221" s="149">
        <f t="shared" si="2"/>
        <v>-358259</v>
      </c>
      <c r="J221" s="150"/>
      <c r="K221" s="151"/>
    </row>
    <row r="222" ht="26.25" customHeight="1">
      <c r="A222" s="143">
        <v>46069.0</v>
      </c>
      <c r="B222" s="148" t="s">
        <v>62</v>
      </c>
      <c r="C222" s="153" t="s">
        <v>125</v>
      </c>
      <c r="D222" s="148">
        <v>-5000.0</v>
      </c>
      <c r="E222" s="146">
        <v>0.0</v>
      </c>
      <c r="F222" s="154">
        <v>5000.0</v>
      </c>
      <c r="G222" s="147" t="s">
        <v>74</v>
      </c>
      <c r="H222" s="146">
        <v>0.0</v>
      </c>
      <c r="I222" s="149">
        <f t="shared" si="2"/>
        <v>-363259</v>
      </c>
      <c r="J222" s="150"/>
      <c r="K222" s="151"/>
    </row>
    <row r="223" ht="26.25" customHeight="1">
      <c r="A223" s="143">
        <v>46070.0</v>
      </c>
      <c r="B223" s="148" t="s">
        <v>62</v>
      </c>
      <c r="C223" s="148" t="s">
        <v>36</v>
      </c>
      <c r="D223" s="148">
        <v>-25000.0</v>
      </c>
      <c r="E223" s="146">
        <v>0.0</v>
      </c>
      <c r="F223" s="154">
        <v>25000.0</v>
      </c>
      <c r="G223" s="147" t="s">
        <v>74</v>
      </c>
      <c r="H223" s="146">
        <v>0.0</v>
      </c>
      <c r="I223" s="149">
        <f t="shared" si="2"/>
        <v>-388259</v>
      </c>
      <c r="J223" s="150"/>
      <c r="K223" s="151"/>
    </row>
    <row r="224" ht="26.25" customHeight="1">
      <c r="A224" s="143">
        <v>46070.0</v>
      </c>
      <c r="B224" s="148" t="s">
        <v>62</v>
      </c>
      <c r="C224" s="148" t="s">
        <v>135</v>
      </c>
      <c r="D224" s="148">
        <v>-20000.0</v>
      </c>
      <c r="E224" s="146">
        <v>0.0</v>
      </c>
      <c r="F224" s="154">
        <v>20000.0</v>
      </c>
      <c r="G224" s="147" t="s">
        <v>74</v>
      </c>
      <c r="H224" s="146">
        <v>0.0</v>
      </c>
      <c r="I224" s="149">
        <f t="shared" si="2"/>
        <v>-408259</v>
      </c>
      <c r="J224" s="150"/>
      <c r="K224" s="151"/>
    </row>
    <row r="225" ht="26.25" customHeight="1">
      <c r="A225" s="143">
        <v>46070.0</v>
      </c>
      <c r="B225" s="148" t="s">
        <v>62</v>
      </c>
      <c r="C225" s="148" t="s">
        <v>128</v>
      </c>
      <c r="D225" s="148">
        <v>-45000.0</v>
      </c>
      <c r="E225" s="146">
        <v>0.0</v>
      </c>
      <c r="F225" s="154">
        <v>45000.0</v>
      </c>
      <c r="G225" s="147" t="s">
        <v>74</v>
      </c>
      <c r="H225" s="146">
        <v>0.0</v>
      </c>
      <c r="I225" s="149">
        <f t="shared" si="2"/>
        <v>-453259</v>
      </c>
      <c r="J225" s="150"/>
      <c r="K225" s="151"/>
    </row>
    <row r="226" ht="26.25" customHeight="1">
      <c r="A226" s="143">
        <v>46070.0</v>
      </c>
      <c r="B226" s="144" t="s">
        <v>70</v>
      </c>
      <c r="C226" s="148" t="s">
        <v>104</v>
      </c>
      <c r="D226" s="148">
        <v>200000.0</v>
      </c>
      <c r="E226" s="148">
        <v>200000.0</v>
      </c>
      <c r="F226" s="146">
        <v>0.0</v>
      </c>
      <c r="G226" s="147" t="s">
        <v>65</v>
      </c>
      <c r="H226" s="146">
        <v>200000.0</v>
      </c>
      <c r="I226" s="149">
        <f t="shared" si="2"/>
        <v>-253259</v>
      </c>
      <c r="J226" s="150"/>
      <c r="K226" s="152">
        <v>13.0</v>
      </c>
    </row>
    <row r="227" ht="26.25" customHeight="1">
      <c r="A227" s="143">
        <v>46070.0</v>
      </c>
      <c r="B227" s="148" t="s">
        <v>59</v>
      </c>
      <c r="C227" s="148" t="s">
        <v>148</v>
      </c>
      <c r="D227" s="148">
        <v>0.0</v>
      </c>
      <c r="E227" s="148">
        <v>0.0</v>
      </c>
      <c r="F227" s="146">
        <v>0.0</v>
      </c>
      <c r="G227" s="147" t="s">
        <v>65</v>
      </c>
      <c r="H227" s="148">
        <v>50000.0</v>
      </c>
      <c r="I227" s="149">
        <f t="shared" si="2"/>
        <v>-253259</v>
      </c>
      <c r="J227" s="150"/>
      <c r="K227" s="151"/>
    </row>
    <row r="228" ht="26.25" customHeight="1">
      <c r="A228" s="143">
        <v>46070.0</v>
      </c>
      <c r="B228" s="148" t="s">
        <v>72</v>
      </c>
      <c r="C228" s="148" t="s">
        <v>149</v>
      </c>
      <c r="D228" s="148">
        <v>-7000.0</v>
      </c>
      <c r="E228" s="146">
        <v>0.0</v>
      </c>
      <c r="F228" s="154">
        <v>7000.0</v>
      </c>
      <c r="G228" s="147" t="s">
        <v>74</v>
      </c>
      <c r="H228" s="146">
        <v>0.0</v>
      </c>
      <c r="I228" s="149">
        <f t="shared" si="2"/>
        <v>-260259</v>
      </c>
      <c r="J228" s="150"/>
      <c r="K228" s="151"/>
    </row>
    <row r="229" ht="26.25" customHeight="1">
      <c r="A229" s="143">
        <v>46070.0</v>
      </c>
      <c r="B229" s="148" t="s">
        <v>72</v>
      </c>
      <c r="C229" s="148" t="s">
        <v>150</v>
      </c>
      <c r="D229" s="148">
        <v>-10000.0</v>
      </c>
      <c r="E229" s="146">
        <v>0.0</v>
      </c>
      <c r="F229" s="154">
        <v>10000.0</v>
      </c>
      <c r="G229" s="147" t="s">
        <v>74</v>
      </c>
      <c r="H229" s="146">
        <v>0.0</v>
      </c>
      <c r="I229" s="149">
        <f t="shared" si="2"/>
        <v>-270259</v>
      </c>
      <c r="J229" s="150"/>
      <c r="K229" s="151"/>
    </row>
    <row r="230" ht="26.25" customHeight="1">
      <c r="A230" s="143">
        <v>46070.0</v>
      </c>
      <c r="B230" s="148" t="s">
        <v>72</v>
      </c>
      <c r="C230" s="148" t="s">
        <v>151</v>
      </c>
      <c r="D230" s="148">
        <v>-150000.0</v>
      </c>
      <c r="E230" s="146">
        <v>0.0</v>
      </c>
      <c r="F230" s="154">
        <v>150000.0</v>
      </c>
      <c r="G230" s="147" t="s">
        <v>74</v>
      </c>
      <c r="H230" s="146">
        <v>0.0</v>
      </c>
      <c r="I230" s="149">
        <f t="shared" si="2"/>
        <v>-420259</v>
      </c>
      <c r="J230" s="150"/>
      <c r="K230" s="151"/>
    </row>
    <row r="231" ht="26.25" customHeight="1">
      <c r="A231" s="143">
        <v>46070.0</v>
      </c>
      <c r="B231" s="148" t="s">
        <v>72</v>
      </c>
      <c r="C231" s="148" t="s">
        <v>75</v>
      </c>
      <c r="D231" s="148">
        <v>-10000.0</v>
      </c>
      <c r="E231" s="146">
        <v>0.0</v>
      </c>
      <c r="F231" s="154">
        <v>10000.0</v>
      </c>
      <c r="G231" s="147" t="s">
        <v>74</v>
      </c>
      <c r="H231" s="146">
        <v>0.0</v>
      </c>
      <c r="I231" s="149">
        <f t="shared" si="2"/>
        <v>-430259</v>
      </c>
      <c r="J231" s="150"/>
      <c r="K231" s="151"/>
    </row>
    <row r="232" ht="26.25" customHeight="1">
      <c r="A232" s="143">
        <v>46070.0</v>
      </c>
      <c r="B232" s="148" t="s">
        <v>72</v>
      </c>
      <c r="C232" s="148" t="s">
        <v>90</v>
      </c>
      <c r="D232" s="148">
        <v>-3000.0</v>
      </c>
      <c r="E232" s="146">
        <v>0.0</v>
      </c>
      <c r="F232" s="154">
        <v>3000.0</v>
      </c>
      <c r="G232" s="147" t="s">
        <v>74</v>
      </c>
      <c r="H232" s="146">
        <v>0.0</v>
      </c>
      <c r="I232" s="149">
        <f t="shared" si="2"/>
        <v>-433259</v>
      </c>
      <c r="J232" s="150"/>
      <c r="K232" s="151"/>
    </row>
    <row r="233" ht="26.25" customHeight="1">
      <c r="A233" s="143">
        <v>46070.0</v>
      </c>
      <c r="B233" s="148" t="s">
        <v>59</v>
      </c>
      <c r="C233" s="148" t="s">
        <v>152</v>
      </c>
      <c r="D233" s="148">
        <v>0.0</v>
      </c>
      <c r="E233" s="148">
        <v>0.0</v>
      </c>
      <c r="F233" s="146">
        <v>0.0</v>
      </c>
      <c r="G233" s="147" t="s">
        <v>65</v>
      </c>
      <c r="H233" s="148">
        <v>1.0E7</v>
      </c>
      <c r="I233" s="149">
        <f t="shared" si="2"/>
        <v>-433259</v>
      </c>
      <c r="J233" s="150"/>
      <c r="K233" s="151"/>
    </row>
    <row r="234" ht="26.25" customHeight="1">
      <c r="A234" s="143">
        <v>46071.0</v>
      </c>
      <c r="B234" s="148" t="s">
        <v>62</v>
      </c>
      <c r="C234" s="148" t="s">
        <v>36</v>
      </c>
      <c r="D234" s="148">
        <v>-40000.0</v>
      </c>
      <c r="E234" s="146">
        <v>0.0</v>
      </c>
      <c r="F234" s="154">
        <v>40000.0</v>
      </c>
      <c r="G234" s="147" t="s">
        <v>74</v>
      </c>
      <c r="H234" s="146">
        <v>0.0</v>
      </c>
      <c r="I234" s="149">
        <f t="shared" si="2"/>
        <v>-473259</v>
      </c>
      <c r="J234" s="150"/>
      <c r="K234" s="151"/>
    </row>
    <row r="235" ht="26.25" customHeight="1">
      <c r="A235" s="143">
        <v>46071.0</v>
      </c>
      <c r="B235" s="148" t="s">
        <v>62</v>
      </c>
      <c r="C235" s="148" t="s">
        <v>86</v>
      </c>
      <c r="D235" s="148">
        <v>-10000.0</v>
      </c>
      <c r="E235" s="146">
        <v>0.0</v>
      </c>
      <c r="F235" s="154">
        <v>10000.0</v>
      </c>
      <c r="G235" s="147" t="s">
        <v>74</v>
      </c>
      <c r="H235" s="146">
        <v>0.0</v>
      </c>
      <c r="I235" s="149">
        <f t="shared" si="2"/>
        <v>-483259</v>
      </c>
      <c r="J235" s="150"/>
      <c r="K235" s="151"/>
    </row>
    <row r="236" ht="26.25" customHeight="1">
      <c r="A236" s="143">
        <v>46071.0</v>
      </c>
      <c r="B236" s="148" t="s">
        <v>62</v>
      </c>
      <c r="C236" s="148" t="s">
        <v>100</v>
      </c>
      <c r="D236" s="148">
        <v>-30000.0</v>
      </c>
      <c r="E236" s="146">
        <v>0.0</v>
      </c>
      <c r="F236" s="154">
        <v>30000.0</v>
      </c>
      <c r="G236" s="147" t="s">
        <v>74</v>
      </c>
      <c r="H236" s="146">
        <v>0.0</v>
      </c>
      <c r="I236" s="149">
        <f t="shared" si="2"/>
        <v>-513259</v>
      </c>
      <c r="J236" s="150"/>
      <c r="K236" s="151"/>
    </row>
    <row r="237" ht="26.25" customHeight="1">
      <c r="A237" s="143">
        <v>46071.0</v>
      </c>
      <c r="B237" s="144" t="s">
        <v>70</v>
      </c>
      <c r="C237" s="148" t="s">
        <v>104</v>
      </c>
      <c r="D237" s="145">
        <v>170000.0</v>
      </c>
      <c r="E237" s="145">
        <v>170000.0</v>
      </c>
      <c r="F237" s="146">
        <v>0.0</v>
      </c>
      <c r="G237" s="147" t="s">
        <v>65</v>
      </c>
      <c r="H237" s="146">
        <v>170000.0</v>
      </c>
      <c r="I237" s="149">
        <f t="shared" si="2"/>
        <v>-343259</v>
      </c>
      <c r="J237" s="150"/>
      <c r="K237" s="152">
        <v>46.0</v>
      </c>
    </row>
    <row r="238" ht="26.25" customHeight="1">
      <c r="A238" s="143">
        <v>46071.0</v>
      </c>
      <c r="B238" s="148" t="s">
        <v>72</v>
      </c>
      <c r="C238" s="148" t="s">
        <v>106</v>
      </c>
      <c r="D238" s="148">
        <v>-8000.0</v>
      </c>
      <c r="E238" s="146">
        <v>0.0</v>
      </c>
      <c r="F238" s="154">
        <v>8000.0</v>
      </c>
      <c r="G238" s="147" t="s">
        <v>74</v>
      </c>
      <c r="H238" s="146">
        <v>0.0</v>
      </c>
      <c r="I238" s="149">
        <f t="shared" si="2"/>
        <v>-351259</v>
      </c>
      <c r="J238" s="150"/>
      <c r="K238" s="151"/>
    </row>
    <row r="239" ht="26.25" customHeight="1">
      <c r="A239" s="143">
        <v>46071.0</v>
      </c>
      <c r="B239" s="148" t="s">
        <v>72</v>
      </c>
      <c r="C239" s="148" t="s">
        <v>118</v>
      </c>
      <c r="D239" s="148">
        <v>-2000.0</v>
      </c>
      <c r="E239" s="146">
        <v>0.0</v>
      </c>
      <c r="F239" s="154">
        <v>2000.0</v>
      </c>
      <c r="G239" s="147" t="s">
        <v>74</v>
      </c>
      <c r="H239" s="146">
        <v>0.0</v>
      </c>
      <c r="I239" s="149">
        <f t="shared" si="2"/>
        <v>-353259</v>
      </c>
      <c r="J239" s="150"/>
      <c r="K239" s="151"/>
    </row>
    <row r="240" ht="26.25" customHeight="1">
      <c r="A240" s="143">
        <v>46071.0</v>
      </c>
      <c r="B240" s="148" t="s">
        <v>72</v>
      </c>
      <c r="C240" s="148" t="s">
        <v>153</v>
      </c>
      <c r="D240" s="148">
        <v>-38000.0</v>
      </c>
      <c r="E240" s="146">
        <v>0.0</v>
      </c>
      <c r="F240" s="154">
        <v>38000.0</v>
      </c>
      <c r="G240" s="147" t="s">
        <v>74</v>
      </c>
      <c r="H240" s="146">
        <v>0.0</v>
      </c>
      <c r="I240" s="149">
        <f t="shared" si="2"/>
        <v>-391259</v>
      </c>
      <c r="J240" s="150"/>
      <c r="K240" s="151"/>
    </row>
    <row r="241" ht="26.25" customHeight="1">
      <c r="A241" s="143">
        <v>46071.0</v>
      </c>
      <c r="B241" s="148" t="s">
        <v>72</v>
      </c>
      <c r="C241" s="148" t="s">
        <v>127</v>
      </c>
      <c r="D241" s="148">
        <v>-5000.0</v>
      </c>
      <c r="E241" s="146">
        <v>0.0</v>
      </c>
      <c r="F241" s="154">
        <v>5000.0</v>
      </c>
      <c r="G241" s="147" t="s">
        <v>74</v>
      </c>
      <c r="H241" s="146">
        <v>0.0</v>
      </c>
      <c r="I241" s="149">
        <f t="shared" si="2"/>
        <v>-396259</v>
      </c>
      <c r="J241" s="150"/>
      <c r="K241" s="151"/>
    </row>
    <row r="242" ht="26.25" customHeight="1">
      <c r="A242" s="143">
        <v>46071.0</v>
      </c>
      <c r="B242" s="148" t="s">
        <v>72</v>
      </c>
      <c r="C242" s="148" t="s">
        <v>118</v>
      </c>
      <c r="D242" s="148">
        <v>-10000.0</v>
      </c>
      <c r="E242" s="146">
        <v>0.0</v>
      </c>
      <c r="F242" s="154">
        <v>10000.0</v>
      </c>
      <c r="G242" s="147" t="s">
        <v>74</v>
      </c>
      <c r="H242" s="146">
        <v>0.0</v>
      </c>
      <c r="I242" s="149">
        <f t="shared" si="2"/>
        <v>-406259</v>
      </c>
      <c r="J242" s="150"/>
      <c r="K242" s="151"/>
    </row>
    <row r="243" ht="26.25" customHeight="1">
      <c r="A243" s="143">
        <v>46071.0</v>
      </c>
      <c r="B243" s="148" t="s">
        <v>72</v>
      </c>
      <c r="C243" s="148" t="s">
        <v>139</v>
      </c>
      <c r="D243" s="148">
        <v>-5000.0</v>
      </c>
      <c r="E243" s="146">
        <v>0.0</v>
      </c>
      <c r="F243" s="154">
        <v>5000.0</v>
      </c>
      <c r="G243" s="147" t="s">
        <v>74</v>
      </c>
      <c r="H243" s="146">
        <v>0.0</v>
      </c>
      <c r="I243" s="149">
        <f t="shared" si="2"/>
        <v>-411259</v>
      </c>
      <c r="J243" s="150"/>
      <c r="K243" s="151"/>
    </row>
    <row r="244" ht="26.25" customHeight="1">
      <c r="A244" s="143">
        <v>46071.0</v>
      </c>
      <c r="B244" s="148" t="s">
        <v>72</v>
      </c>
      <c r="C244" s="148" t="s">
        <v>118</v>
      </c>
      <c r="D244" s="148">
        <v>-5000.0</v>
      </c>
      <c r="E244" s="146">
        <v>0.0</v>
      </c>
      <c r="F244" s="154">
        <v>5000.0</v>
      </c>
      <c r="G244" s="147" t="s">
        <v>74</v>
      </c>
      <c r="H244" s="146">
        <v>0.0</v>
      </c>
      <c r="I244" s="149">
        <f t="shared" si="2"/>
        <v>-416259</v>
      </c>
      <c r="J244" s="150"/>
      <c r="K244" s="151"/>
    </row>
    <row r="245" ht="26.25" customHeight="1">
      <c r="A245" s="143">
        <v>46071.0</v>
      </c>
      <c r="B245" s="148" t="s">
        <v>72</v>
      </c>
      <c r="C245" s="148" t="s">
        <v>154</v>
      </c>
      <c r="D245" s="148">
        <v>-5000.0</v>
      </c>
      <c r="E245" s="146">
        <v>0.0</v>
      </c>
      <c r="F245" s="154">
        <v>5000.0</v>
      </c>
      <c r="G245" s="147" t="s">
        <v>74</v>
      </c>
      <c r="H245" s="146">
        <v>0.0</v>
      </c>
      <c r="I245" s="149">
        <f t="shared" si="2"/>
        <v>-421259</v>
      </c>
      <c r="J245" s="150"/>
      <c r="K245" s="151"/>
    </row>
    <row r="246" ht="26.25" customHeight="1">
      <c r="A246" s="143">
        <v>46071.0</v>
      </c>
      <c r="B246" s="148" t="s">
        <v>72</v>
      </c>
      <c r="C246" s="148" t="s">
        <v>155</v>
      </c>
      <c r="D246" s="148">
        <v>-5000.0</v>
      </c>
      <c r="E246" s="146">
        <v>0.0</v>
      </c>
      <c r="F246" s="154">
        <v>5000.0</v>
      </c>
      <c r="G246" s="147" t="s">
        <v>74</v>
      </c>
      <c r="H246" s="146">
        <v>0.0</v>
      </c>
      <c r="I246" s="149">
        <f t="shared" si="2"/>
        <v>-426259</v>
      </c>
      <c r="J246" s="150"/>
      <c r="K246" s="151"/>
    </row>
    <row r="247" ht="26.25" customHeight="1">
      <c r="A247" s="143">
        <v>46071.0</v>
      </c>
      <c r="B247" s="148" t="s">
        <v>72</v>
      </c>
      <c r="C247" s="148" t="s">
        <v>135</v>
      </c>
      <c r="D247" s="148">
        <v>-25000.0</v>
      </c>
      <c r="E247" s="146">
        <v>0.0</v>
      </c>
      <c r="F247" s="154">
        <v>25000.0</v>
      </c>
      <c r="G247" s="147" t="s">
        <v>74</v>
      </c>
      <c r="H247" s="146">
        <v>0.0</v>
      </c>
      <c r="I247" s="149">
        <f t="shared" si="2"/>
        <v>-451259</v>
      </c>
      <c r="J247" s="150"/>
      <c r="K247" s="151"/>
    </row>
    <row r="248" ht="26.25" customHeight="1">
      <c r="A248" s="143">
        <v>46071.0</v>
      </c>
      <c r="B248" s="148" t="s">
        <v>72</v>
      </c>
      <c r="C248" s="148" t="s">
        <v>77</v>
      </c>
      <c r="D248" s="148">
        <v>-25000.0</v>
      </c>
      <c r="E248" s="146">
        <v>0.0</v>
      </c>
      <c r="F248" s="154">
        <v>25000.0</v>
      </c>
      <c r="G248" s="147" t="s">
        <v>74</v>
      </c>
      <c r="H248" s="146">
        <v>0.0</v>
      </c>
      <c r="I248" s="149">
        <f t="shared" si="2"/>
        <v>-476259</v>
      </c>
      <c r="J248" s="150"/>
      <c r="K248" s="151"/>
    </row>
    <row r="249" ht="26.25" customHeight="1">
      <c r="A249" s="143">
        <v>46071.0</v>
      </c>
      <c r="B249" s="148" t="s">
        <v>72</v>
      </c>
      <c r="C249" s="148" t="s">
        <v>77</v>
      </c>
      <c r="D249" s="148">
        <v>-15000.0</v>
      </c>
      <c r="E249" s="146">
        <v>0.0</v>
      </c>
      <c r="F249" s="154">
        <v>15000.0</v>
      </c>
      <c r="G249" s="147" t="s">
        <v>74</v>
      </c>
      <c r="H249" s="146">
        <v>0.0</v>
      </c>
      <c r="I249" s="149">
        <f t="shared" si="2"/>
        <v>-491259</v>
      </c>
      <c r="J249" s="150"/>
      <c r="K249" s="151"/>
    </row>
    <row r="250" ht="26.25" customHeight="1">
      <c r="A250" s="143">
        <v>46071.0</v>
      </c>
      <c r="B250" s="148" t="s">
        <v>70</v>
      </c>
      <c r="C250" s="148" t="s">
        <v>156</v>
      </c>
      <c r="D250" s="148">
        <v>0.0</v>
      </c>
      <c r="E250" s="148">
        <v>0.0</v>
      </c>
      <c r="F250" s="146">
        <v>0.0</v>
      </c>
      <c r="G250" s="147" t="s">
        <v>65</v>
      </c>
      <c r="H250" s="148">
        <v>500000.0</v>
      </c>
      <c r="I250" s="149">
        <f t="shared" si="2"/>
        <v>-491259</v>
      </c>
      <c r="J250" s="150"/>
      <c r="K250" s="151"/>
    </row>
    <row r="251" ht="26.25" customHeight="1">
      <c r="A251" s="143">
        <v>46071.0</v>
      </c>
      <c r="B251" s="148" t="s">
        <v>62</v>
      </c>
      <c r="C251" s="153" t="s">
        <v>114</v>
      </c>
      <c r="D251" s="148">
        <v>-2000.0</v>
      </c>
      <c r="E251" s="146">
        <v>0.0</v>
      </c>
      <c r="F251" s="154">
        <v>2000.0</v>
      </c>
      <c r="G251" s="147" t="s">
        <v>74</v>
      </c>
      <c r="H251" s="146">
        <v>0.0</v>
      </c>
      <c r="I251" s="149">
        <f t="shared" si="2"/>
        <v>-493259</v>
      </c>
      <c r="J251" s="150"/>
      <c r="K251" s="151"/>
    </row>
    <row r="252" ht="26.25" customHeight="1">
      <c r="A252" s="143">
        <v>46072.0</v>
      </c>
      <c r="B252" s="148" t="s">
        <v>62</v>
      </c>
      <c r="C252" s="148" t="s">
        <v>100</v>
      </c>
      <c r="D252" s="148">
        <v>-2000.0</v>
      </c>
      <c r="E252" s="146">
        <v>0.0</v>
      </c>
      <c r="F252" s="154">
        <v>2000.0</v>
      </c>
      <c r="G252" s="147" t="s">
        <v>74</v>
      </c>
      <c r="H252" s="146">
        <v>0.0</v>
      </c>
      <c r="I252" s="149">
        <f t="shared" si="2"/>
        <v>-495259</v>
      </c>
      <c r="J252" s="150"/>
      <c r="K252" s="151"/>
    </row>
    <row r="253" ht="26.25" customHeight="1">
      <c r="A253" s="143">
        <v>46072.0</v>
      </c>
      <c r="B253" s="148" t="s">
        <v>62</v>
      </c>
      <c r="C253" s="158" t="s">
        <v>113</v>
      </c>
      <c r="D253" s="148">
        <v>-100000.0</v>
      </c>
      <c r="E253" s="146">
        <v>0.0</v>
      </c>
      <c r="F253" s="154">
        <v>100000.0</v>
      </c>
      <c r="G253" s="147" t="s">
        <v>74</v>
      </c>
      <c r="H253" s="146">
        <v>0.0</v>
      </c>
      <c r="I253" s="149">
        <f t="shared" si="2"/>
        <v>-595259</v>
      </c>
      <c r="J253" s="150"/>
      <c r="K253" s="151"/>
    </row>
    <row r="254" ht="26.25" customHeight="1">
      <c r="A254" s="143">
        <v>46072.0</v>
      </c>
      <c r="B254" s="144" t="s">
        <v>70</v>
      </c>
      <c r="C254" s="148" t="s">
        <v>104</v>
      </c>
      <c r="D254" s="145">
        <v>1000000.0</v>
      </c>
      <c r="E254" s="145">
        <v>1000000.0</v>
      </c>
      <c r="F254" s="146">
        <v>0.0</v>
      </c>
      <c r="G254" s="147" t="s">
        <v>65</v>
      </c>
      <c r="H254" s="146">
        <v>1000000.0</v>
      </c>
      <c r="I254" s="149">
        <f t="shared" si="2"/>
        <v>404741</v>
      </c>
      <c r="J254" s="150"/>
      <c r="K254" s="152">
        <v>47.0</v>
      </c>
    </row>
    <row r="255" ht="26.25" customHeight="1">
      <c r="A255" s="143">
        <v>46072.0</v>
      </c>
      <c r="B255" s="148" t="s">
        <v>72</v>
      </c>
      <c r="C255" s="148" t="s">
        <v>77</v>
      </c>
      <c r="D255" s="148">
        <v>-20000.0</v>
      </c>
      <c r="E255" s="146">
        <v>0.0</v>
      </c>
      <c r="F255" s="154">
        <v>20000.0</v>
      </c>
      <c r="G255" s="147" t="s">
        <v>74</v>
      </c>
      <c r="H255" s="146">
        <v>0.0</v>
      </c>
      <c r="I255" s="149">
        <f t="shared" si="2"/>
        <v>384741</v>
      </c>
      <c r="J255" s="150"/>
      <c r="K255" s="151"/>
    </row>
    <row r="256" ht="26.25" customHeight="1">
      <c r="A256" s="143">
        <v>46072.0</v>
      </c>
      <c r="B256" s="148" t="s">
        <v>72</v>
      </c>
      <c r="C256" s="148" t="s">
        <v>77</v>
      </c>
      <c r="D256" s="148">
        <v>-25000.0</v>
      </c>
      <c r="E256" s="146">
        <v>0.0</v>
      </c>
      <c r="F256" s="154">
        <v>25000.0</v>
      </c>
      <c r="G256" s="147" t="s">
        <v>74</v>
      </c>
      <c r="H256" s="146">
        <v>0.0</v>
      </c>
      <c r="I256" s="149">
        <f t="shared" si="2"/>
        <v>359741</v>
      </c>
      <c r="J256" s="150"/>
      <c r="K256" s="151"/>
    </row>
    <row r="257" ht="26.25" customHeight="1">
      <c r="A257" s="143">
        <v>46072.0</v>
      </c>
      <c r="B257" s="148" t="s">
        <v>72</v>
      </c>
      <c r="C257" s="148" t="s">
        <v>77</v>
      </c>
      <c r="D257" s="148">
        <v>-6000.0</v>
      </c>
      <c r="E257" s="146">
        <v>0.0</v>
      </c>
      <c r="F257" s="154">
        <v>6000.0</v>
      </c>
      <c r="G257" s="147" t="s">
        <v>74</v>
      </c>
      <c r="H257" s="146">
        <v>0.0</v>
      </c>
      <c r="I257" s="149">
        <f t="shared" si="2"/>
        <v>353741</v>
      </c>
      <c r="J257" s="150"/>
      <c r="K257" s="151"/>
    </row>
    <row r="258" ht="26.25" customHeight="1">
      <c r="A258" s="143">
        <v>46072.0</v>
      </c>
      <c r="B258" s="148" t="s">
        <v>72</v>
      </c>
      <c r="C258" s="148" t="s">
        <v>157</v>
      </c>
      <c r="D258" s="148">
        <v>-16000.0</v>
      </c>
      <c r="E258" s="146">
        <v>0.0</v>
      </c>
      <c r="F258" s="154">
        <v>16000.0</v>
      </c>
      <c r="G258" s="147" t="s">
        <v>74</v>
      </c>
      <c r="H258" s="146">
        <v>0.0</v>
      </c>
      <c r="I258" s="149">
        <f t="shared" si="2"/>
        <v>337741</v>
      </c>
      <c r="J258" s="150"/>
      <c r="K258" s="151"/>
    </row>
    <row r="259" ht="26.25" customHeight="1">
      <c r="A259" s="143">
        <v>46072.0</v>
      </c>
      <c r="B259" s="148" t="s">
        <v>72</v>
      </c>
      <c r="C259" s="148" t="s">
        <v>158</v>
      </c>
      <c r="D259" s="148">
        <v>-15000.0</v>
      </c>
      <c r="E259" s="146">
        <v>0.0</v>
      </c>
      <c r="F259" s="154">
        <v>15000.0</v>
      </c>
      <c r="G259" s="147" t="s">
        <v>74</v>
      </c>
      <c r="H259" s="146">
        <v>0.0</v>
      </c>
      <c r="I259" s="149">
        <f t="shared" si="2"/>
        <v>322741</v>
      </c>
      <c r="J259" s="150"/>
      <c r="K259" s="151"/>
    </row>
    <row r="260" ht="26.25" customHeight="1">
      <c r="A260" s="143">
        <v>46072.0</v>
      </c>
      <c r="B260" s="148" t="s">
        <v>72</v>
      </c>
      <c r="C260" s="148" t="s">
        <v>90</v>
      </c>
      <c r="D260" s="148">
        <v>-2000.0</v>
      </c>
      <c r="E260" s="146">
        <v>0.0</v>
      </c>
      <c r="F260" s="154">
        <v>2000.0</v>
      </c>
      <c r="G260" s="147" t="s">
        <v>74</v>
      </c>
      <c r="H260" s="146">
        <v>0.0</v>
      </c>
      <c r="I260" s="149">
        <f t="shared" si="2"/>
        <v>320741</v>
      </c>
      <c r="J260" s="150"/>
      <c r="K260" s="151"/>
    </row>
    <row r="261" ht="26.25" customHeight="1">
      <c r="A261" s="143">
        <v>46072.0</v>
      </c>
      <c r="B261" s="148" t="s">
        <v>72</v>
      </c>
      <c r="C261" s="148" t="s">
        <v>159</v>
      </c>
      <c r="D261" s="148">
        <v>-2000.0</v>
      </c>
      <c r="E261" s="146">
        <v>0.0</v>
      </c>
      <c r="F261" s="154">
        <v>2000.0</v>
      </c>
      <c r="G261" s="147" t="s">
        <v>74</v>
      </c>
      <c r="H261" s="146">
        <v>0.0</v>
      </c>
      <c r="I261" s="149">
        <f t="shared" si="2"/>
        <v>318741</v>
      </c>
      <c r="J261" s="150"/>
      <c r="K261" s="151"/>
    </row>
    <row r="262" ht="26.25" customHeight="1">
      <c r="A262" s="143">
        <v>46072.0</v>
      </c>
      <c r="B262" s="148" t="s">
        <v>72</v>
      </c>
      <c r="C262" s="148" t="s">
        <v>160</v>
      </c>
      <c r="D262" s="148">
        <v>-3000.0</v>
      </c>
      <c r="E262" s="146">
        <v>0.0</v>
      </c>
      <c r="F262" s="154">
        <v>3000.0</v>
      </c>
      <c r="G262" s="147" t="s">
        <v>74</v>
      </c>
      <c r="H262" s="146">
        <v>0.0</v>
      </c>
      <c r="I262" s="149">
        <f t="shared" si="2"/>
        <v>315741</v>
      </c>
      <c r="J262" s="150"/>
      <c r="K262" s="151"/>
    </row>
    <row r="263" ht="26.25" customHeight="1">
      <c r="A263" s="143">
        <v>46072.0</v>
      </c>
      <c r="B263" s="148" t="s">
        <v>72</v>
      </c>
      <c r="C263" s="148" t="s">
        <v>161</v>
      </c>
      <c r="D263" s="148">
        <v>-12000.0</v>
      </c>
      <c r="E263" s="146">
        <v>0.0</v>
      </c>
      <c r="F263" s="154">
        <v>12000.0</v>
      </c>
      <c r="G263" s="147" t="s">
        <v>74</v>
      </c>
      <c r="H263" s="146">
        <v>0.0</v>
      </c>
      <c r="I263" s="149">
        <f t="shared" si="2"/>
        <v>303741</v>
      </c>
      <c r="J263" s="150"/>
      <c r="K263" s="151"/>
    </row>
    <row r="264" ht="26.25" customHeight="1">
      <c r="A264" s="143">
        <v>46072.0</v>
      </c>
      <c r="B264" s="148" t="s">
        <v>72</v>
      </c>
      <c r="C264" s="148" t="s">
        <v>106</v>
      </c>
      <c r="D264" s="148">
        <v>-24000.0</v>
      </c>
      <c r="E264" s="146">
        <v>0.0</v>
      </c>
      <c r="F264" s="154">
        <v>24000.0</v>
      </c>
      <c r="G264" s="147" t="s">
        <v>74</v>
      </c>
      <c r="H264" s="146">
        <v>0.0</v>
      </c>
      <c r="I264" s="149">
        <f t="shared" si="2"/>
        <v>279741</v>
      </c>
      <c r="J264" s="150"/>
      <c r="K264" s="151"/>
    </row>
    <row r="265" ht="26.25" customHeight="1">
      <c r="A265" s="143">
        <v>46072.0</v>
      </c>
      <c r="B265" s="148" t="s">
        <v>72</v>
      </c>
      <c r="C265" s="148" t="s">
        <v>127</v>
      </c>
      <c r="D265" s="148">
        <v>-5000.0</v>
      </c>
      <c r="E265" s="146">
        <v>0.0</v>
      </c>
      <c r="F265" s="154">
        <v>5000.0</v>
      </c>
      <c r="G265" s="147" t="s">
        <v>74</v>
      </c>
      <c r="H265" s="146">
        <v>0.0</v>
      </c>
      <c r="I265" s="149">
        <f t="shared" si="2"/>
        <v>274741</v>
      </c>
      <c r="J265" s="150"/>
      <c r="K265" s="151"/>
    </row>
    <row r="266" ht="26.25" customHeight="1">
      <c r="A266" s="143">
        <v>46072.0</v>
      </c>
      <c r="B266" s="148" t="s">
        <v>72</v>
      </c>
      <c r="C266" s="148" t="s">
        <v>139</v>
      </c>
      <c r="D266" s="148">
        <v>-5000.0</v>
      </c>
      <c r="E266" s="146">
        <v>0.0</v>
      </c>
      <c r="F266" s="154">
        <v>5000.0</v>
      </c>
      <c r="G266" s="147" t="s">
        <v>74</v>
      </c>
      <c r="H266" s="146">
        <v>0.0</v>
      </c>
      <c r="I266" s="149">
        <f t="shared" si="2"/>
        <v>269741</v>
      </c>
      <c r="J266" s="150"/>
      <c r="K266" s="151"/>
    </row>
    <row r="267" ht="26.25" customHeight="1">
      <c r="A267" s="143">
        <v>46072.0</v>
      </c>
      <c r="B267" s="148" t="s">
        <v>62</v>
      </c>
      <c r="C267" s="148" t="s">
        <v>162</v>
      </c>
      <c r="D267" s="148">
        <v>-50000.0</v>
      </c>
      <c r="E267" s="146">
        <v>0.0</v>
      </c>
      <c r="F267" s="154">
        <v>50000.0</v>
      </c>
      <c r="G267" s="147" t="s">
        <v>74</v>
      </c>
      <c r="H267" s="146">
        <v>0.0</v>
      </c>
      <c r="I267" s="149">
        <f t="shared" si="2"/>
        <v>219741</v>
      </c>
      <c r="J267" s="150"/>
      <c r="K267" s="151"/>
    </row>
    <row r="268" ht="26.25" customHeight="1">
      <c r="A268" s="143">
        <v>46074.0</v>
      </c>
      <c r="B268" s="148" t="s">
        <v>62</v>
      </c>
      <c r="C268" s="158" t="s">
        <v>113</v>
      </c>
      <c r="D268" s="148">
        <v>-10000.0</v>
      </c>
      <c r="E268" s="146">
        <v>0.0</v>
      </c>
      <c r="F268" s="154">
        <v>10000.0</v>
      </c>
      <c r="G268" s="147" t="s">
        <v>74</v>
      </c>
      <c r="H268" s="146">
        <v>0.0</v>
      </c>
      <c r="I268" s="149">
        <f t="shared" si="2"/>
        <v>209741</v>
      </c>
      <c r="J268" s="150"/>
      <c r="K268" s="151"/>
    </row>
    <row r="269" ht="26.25" customHeight="1">
      <c r="A269" s="143">
        <v>46074.0</v>
      </c>
      <c r="B269" s="148" t="s">
        <v>72</v>
      </c>
      <c r="C269" s="148" t="s">
        <v>98</v>
      </c>
      <c r="D269" s="148">
        <v>-40000.0</v>
      </c>
      <c r="E269" s="146">
        <v>0.0</v>
      </c>
      <c r="F269" s="154">
        <v>40000.0</v>
      </c>
      <c r="G269" s="147" t="s">
        <v>74</v>
      </c>
      <c r="H269" s="146">
        <v>0.0</v>
      </c>
      <c r="I269" s="149">
        <f t="shared" si="2"/>
        <v>169741</v>
      </c>
      <c r="J269" s="150"/>
      <c r="K269" s="151"/>
    </row>
    <row r="270" ht="26.25" customHeight="1">
      <c r="A270" s="143">
        <v>46074.0</v>
      </c>
      <c r="B270" s="148" t="s">
        <v>72</v>
      </c>
      <c r="C270" s="148" t="s">
        <v>77</v>
      </c>
      <c r="D270" s="148">
        <v>-20000.0</v>
      </c>
      <c r="E270" s="146">
        <v>0.0</v>
      </c>
      <c r="F270" s="154">
        <v>20000.0</v>
      </c>
      <c r="G270" s="147" t="s">
        <v>74</v>
      </c>
      <c r="H270" s="146">
        <v>0.0</v>
      </c>
      <c r="I270" s="149">
        <f t="shared" si="2"/>
        <v>149741</v>
      </c>
      <c r="J270" s="150"/>
      <c r="K270" s="151"/>
    </row>
    <row r="271" ht="26.25" customHeight="1">
      <c r="A271" s="143">
        <v>46074.0</v>
      </c>
      <c r="B271" s="148" t="s">
        <v>72</v>
      </c>
      <c r="C271" s="148" t="s">
        <v>90</v>
      </c>
      <c r="D271" s="148">
        <v>-10000.0</v>
      </c>
      <c r="E271" s="146">
        <v>0.0</v>
      </c>
      <c r="F271" s="154">
        <v>10000.0</v>
      </c>
      <c r="G271" s="147" t="s">
        <v>74</v>
      </c>
      <c r="H271" s="146">
        <v>0.0</v>
      </c>
      <c r="I271" s="149">
        <f t="shared" si="2"/>
        <v>139741</v>
      </c>
      <c r="J271" s="150"/>
      <c r="K271" s="151"/>
    </row>
    <row r="272" ht="26.25" customHeight="1">
      <c r="A272" s="143">
        <v>46074.0</v>
      </c>
      <c r="B272" s="148" t="s">
        <v>72</v>
      </c>
      <c r="C272" s="148" t="s">
        <v>77</v>
      </c>
      <c r="D272" s="148">
        <v>-10000.0</v>
      </c>
      <c r="E272" s="146">
        <v>0.0</v>
      </c>
      <c r="F272" s="154">
        <v>10000.0</v>
      </c>
      <c r="G272" s="147" t="s">
        <v>74</v>
      </c>
      <c r="H272" s="146">
        <v>0.0</v>
      </c>
      <c r="I272" s="149">
        <f t="shared" si="2"/>
        <v>129741</v>
      </c>
      <c r="J272" s="150"/>
      <c r="K272" s="151"/>
    </row>
    <row r="273" ht="26.25" customHeight="1">
      <c r="A273" s="143">
        <v>46074.0</v>
      </c>
      <c r="B273" s="148" t="s">
        <v>72</v>
      </c>
      <c r="C273" s="148" t="s">
        <v>77</v>
      </c>
      <c r="D273" s="148">
        <v>-5000.0</v>
      </c>
      <c r="E273" s="146">
        <v>0.0</v>
      </c>
      <c r="F273" s="154">
        <v>5000.0</v>
      </c>
      <c r="G273" s="147" t="s">
        <v>74</v>
      </c>
      <c r="H273" s="146">
        <v>0.0</v>
      </c>
      <c r="I273" s="149">
        <f t="shared" si="2"/>
        <v>124741</v>
      </c>
      <c r="J273" s="150"/>
      <c r="K273" s="151"/>
    </row>
    <row r="274" ht="26.25" customHeight="1">
      <c r="A274" s="143">
        <v>46074.0</v>
      </c>
      <c r="B274" s="148" t="s">
        <v>72</v>
      </c>
      <c r="C274" s="148" t="s">
        <v>163</v>
      </c>
      <c r="D274" s="148">
        <v>-6000.0</v>
      </c>
      <c r="E274" s="146">
        <v>0.0</v>
      </c>
      <c r="F274" s="154">
        <v>6000.0</v>
      </c>
      <c r="G274" s="147" t="s">
        <v>74</v>
      </c>
      <c r="H274" s="146">
        <v>0.0</v>
      </c>
      <c r="I274" s="149">
        <f t="shared" si="2"/>
        <v>118741</v>
      </c>
      <c r="J274" s="150"/>
      <c r="K274" s="151"/>
    </row>
    <row r="275" ht="26.25" customHeight="1">
      <c r="A275" s="143">
        <v>46074.0</v>
      </c>
      <c r="B275" s="148" t="s">
        <v>72</v>
      </c>
      <c r="C275" s="148" t="s">
        <v>75</v>
      </c>
      <c r="D275" s="148">
        <v>-4000.0</v>
      </c>
      <c r="E275" s="146">
        <v>0.0</v>
      </c>
      <c r="F275" s="154">
        <v>4000.0</v>
      </c>
      <c r="G275" s="147" t="s">
        <v>74</v>
      </c>
      <c r="H275" s="146">
        <v>0.0</v>
      </c>
      <c r="I275" s="149">
        <f t="shared" si="2"/>
        <v>114741</v>
      </c>
      <c r="J275" s="150"/>
      <c r="K275" s="151"/>
    </row>
    <row r="276" ht="26.25" customHeight="1">
      <c r="A276" s="143">
        <v>46074.0</v>
      </c>
      <c r="B276" s="148" t="s">
        <v>62</v>
      </c>
      <c r="C276" s="153" t="s">
        <v>125</v>
      </c>
      <c r="D276" s="148">
        <v>-75000.0</v>
      </c>
      <c r="E276" s="146">
        <v>0.0</v>
      </c>
      <c r="F276" s="154">
        <v>75000.0</v>
      </c>
      <c r="G276" s="147" t="s">
        <v>74</v>
      </c>
      <c r="H276" s="146">
        <v>0.0</v>
      </c>
      <c r="I276" s="149">
        <f t="shared" si="2"/>
        <v>39741</v>
      </c>
      <c r="J276" s="150"/>
      <c r="K276" s="151"/>
    </row>
    <row r="277" ht="26.25" customHeight="1">
      <c r="A277" s="161">
        <v>46075.0</v>
      </c>
      <c r="B277" s="153" t="s">
        <v>62</v>
      </c>
      <c r="C277" s="153" t="s">
        <v>36</v>
      </c>
      <c r="D277" s="154">
        <v>-10000.0</v>
      </c>
      <c r="E277" s="146">
        <v>0.0</v>
      </c>
      <c r="F277" s="154">
        <v>10000.0</v>
      </c>
      <c r="G277" s="155" t="s">
        <v>74</v>
      </c>
      <c r="H277" s="146">
        <v>0.0</v>
      </c>
      <c r="I277" s="149">
        <f t="shared" si="2"/>
        <v>29741</v>
      </c>
      <c r="J277" s="150"/>
      <c r="K277" s="151"/>
    </row>
    <row r="278" ht="26.25" customHeight="1">
      <c r="A278" s="161">
        <v>46075.0</v>
      </c>
      <c r="B278" s="153" t="s">
        <v>62</v>
      </c>
      <c r="C278" s="153" t="s">
        <v>164</v>
      </c>
      <c r="D278" s="154">
        <v>0.0</v>
      </c>
      <c r="E278" s="154">
        <v>0.0</v>
      </c>
      <c r="F278" s="146">
        <v>0.0</v>
      </c>
      <c r="G278" s="155" t="s">
        <v>61</v>
      </c>
      <c r="H278" s="154" t="s">
        <v>165</v>
      </c>
      <c r="I278" s="149">
        <f t="shared" si="2"/>
        <v>29741</v>
      </c>
      <c r="J278" s="150"/>
      <c r="K278" s="151"/>
    </row>
    <row r="279" ht="26.25" customHeight="1">
      <c r="A279" s="161">
        <v>46075.0</v>
      </c>
      <c r="B279" s="153" t="s">
        <v>101</v>
      </c>
      <c r="C279" s="153" t="s">
        <v>36</v>
      </c>
      <c r="D279" s="154">
        <v>-100000.0</v>
      </c>
      <c r="E279" s="146">
        <v>0.0</v>
      </c>
      <c r="F279" s="154">
        <v>100000.0</v>
      </c>
      <c r="G279" s="155" t="s">
        <v>74</v>
      </c>
      <c r="H279" s="146">
        <v>0.0</v>
      </c>
      <c r="I279" s="149">
        <f t="shared" si="2"/>
        <v>-70259</v>
      </c>
      <c r="J279" s="150"/>
      <c r="K279" s="151"/>
    </row>
    <row r="280" ht="26.25" customHeight="1">
      <c r="A280" s="161">
        <v>46075.0</v>
      </c>
      <c r="B280" s="153" t="s">
        <v>62</v>
      </c>
      <c r="C280" s="153" t="s">
        <v>36</v>
      </c>
      <c r="D280" s="154">
        <v>0.0</v>
      </c>
      <c r="E280" s="154">
        <v>0.0</v>
      </c>
      <c r="F280" s="146">
        <v>0.0</v>
      </c>
      <c r="G280" s="155" t="s">
        <v>61</v>
      </c>
      <c r="H280" s="154" t="s">
        <v>166</v>
      </c>
      <c r="I280" s="149">
        <f t="shared" si="2"/>
        <v>-70259</v>
      </c>
      <c r="J280" s="150"/>
      <c r="K280" s="151"/>
    </row>
    <row r="281" ht="26.25" customHeight="1">
      <c r="A281" s="161">
        <v>46075.0</v>
      </c>
      <c r="B281" s="153" t="s">
        <v>72</v>
      </c>
      <c r="C281" s="153" t="s">
        <v>118</v>
      </c>
      <c r="D281" s="154">
        <v>-7000.0</v>
      </c>
      <c r="E281" s="146">
        <v>0.0</v>
      </c>
      <c r="F281" s="154">
        <v>7000.0</v>
      </c>
      <c r="G281" s="155" t="s">
        <v>74</v>
      </c>
      <c r="H281" s="146">
        <v>0.0</v>
      </c>
      <c r="I281" s="149">
        <f t="shared" si="2"/>
        <v>-77259</v>
      </c>
      <c r="J281" s="150"/>
      <c r="K281" s="151"/>
    </row>
    <row r="282" ht="26.25" customHeight="1">
      <c r="A282" s="161">
        <v>46075.0</v>
      </c>
      <c r="B282" s="153" t="s">
        <v>72</v>
      </c>
      <c r="C282" s="153" t="s">
        <v>77</v>
      </c>
      <c r="D282" s="154">
        <v>-20000.0</v>
      </c>
      <c r="E282" s="146">
        <v>0.0</v>
      </c>
      <c r="F282" s="154">
        <v>20000.0</v>
      </c>
      <c r="G282" s="155" t="s">
        <v>74</v>
      </c>
      <c r="H282" s="146">
        <v>0.0</v>
      </c>
      <c r="I282" s="149">
        <f t="shared" si="2"/>
        <v>-97259</v>
      </c>
      <c r="J282" s="150"/>
      <c r="K282" s="151"/>
    </row>
    <row r="283" ht="26.25" customHeight="1">
      <c r="A283" s="161">
        <v>46075.0</v>
      </c>
      <c r="B283" s="153" t="s">
        <v>72</v>
      </c>
      <c r="C283" s="153" t="s">
        <v>77</v>
      </c>
      <c r="D283" s="154">
        <v>-5000.0</v>
      </c>
      <c r="E283" s="146">
        <v>0.0</v>
      </c>
      <c r="F283" s="154">
        <v>5000.0</v>
      </c>
      <c r="G283" s="155" t="s">
        <v>74</v>
      </c>
      <c r="H283" s="146">
        <v>0.0</v>
      </c>
      <c r="I283" s="149">
        <f t="shared" si="2"/>
        <v>-102259</v>
      </c>
      <c r="J283" s="150"/>
      <c r="K283" s="151"/>
    </row>
    <row r="284" ht="26.25" customHeight="1">
      <c r="A284" s="161">
        <v>46075.0</v>
      </c>
      <c r="B284" s="153" t="s">
        <v>72</v>
      </c>
      <c r="C284" s="153" t="s">
        <v>139</v>
      </c>
      <c r="D284" s="154">
        <v>-1000.0</v>
      </c>
      <c r="E284" s="146">
        <v>0.0</v>
      </c>
      <c r="F284" s="154">
        <v>1000.0</v>
      </c>
      <c r="G284" s="155" t="s">
        <v>74</v>
      </c>
      <c r="H284" s="146">
        <v>0.0</v>
      </c>
      <c r="I284" s="149">
        <f t="shared" si="2"/>
        <v>-103259</v>
      </c>
      <c r="J284" s="150"/>
      <c r="K284" s="151"/>
    </row>
    <row r="285" ht="26.25" customHeight="1">
      <c r="A285" s="161">
        <v>46075.0</v>
      </c>
      <c r="B285" s="153" t="s">
        <v>72</v>
      </c>
      <c r="C285" s="153" t="s">
        <v>95</v>
      </c>
      <c r="D285" s="154">
        <v>-5000.0</v>
      </c>
      <c r="E285" s="146">
        <v>0.0</v>
      </c>
      <c r="F285" s="154">
        <v>5000.0</v>
      </c>
      <c r="G285" s="155" t="s">
        <v>74</v>
      </c>
      <c r="H285" s="146">
        <v>0.0</v>
      </c>
      <c r="I285" s="149">
        <f t="shared" si="2"/>
        <v>-108259</v>
      </c>
      <c r="J285" s="150"/>
      <c r="K285" s="151"/>
    </row>
    <row r="286" ht="26.25" customHeight="1">
      <c r="A286" s="161">
        <v>46075.0</v>
      </c>
      <c r="B286" s="153" t="s">
        <v>62</v>
      </c>
      <c r="C286" s="153" t="s">
        <v>114</v>
      </c>
      <c r="D286" s="154">
        <v>-10000.0</v>
      </c>
      <c r="E286" s="146">
        <v>0.0</v>
      </c>
      <c r="F286" s="154">
        <v>10000.0</v>
      </c>
      <c r="G286" s="155" t="s">
        <v>74</v>
      </c>
      <c r="H286" s="146">
        <v>0.0</v>
      </c>
      <c r="I286" s="149">
        <f t="shared" si="2"/>
        <v>-118259</v>
      </c>
      <c r="J286" s="150"/>
      <c r="K286" s="151"/>
    </row>
    <row r="287" ht="26.25" customHeight="1">
      <c r="A287" s="161">
        <v>46076.0</v>
      </c>
      <c r="B287" s="153" t="s">
        <v>62</v>
      </c>
      <c r="C287" s="153" t="s">
        <v>36</v>
      </c>
      <c r="D287" s="154">
        <v>-10000.0</v>
      </c>
      <c r="E287" s="146">
        <v>0.0</v>
      </c>
      <c r="F287" s="154">
        <v>10000.0</v>
      </c>
      <c r="G287" s="155" t="s">
        <v>74</v>
      </c>
      <c r="H287" s="146">
        <v>0.0</v>
      </c>
      <c r="I287" s="149">
        <f t="shared" si="2"/>
        <v>-128259</v>
      </c>
      <c r="J287" s="150"/>
      <c r="K287" s="151"/>
    </row>
    <row r="288" ht="26.25" customHeight="1">
      <c r="A288" s="161">
        <v>46076.0</v>
      </c>
      <c r="B288" s="153" t="s">
        <v>62</v>
      </c>
      <c r="C288" s="153" t="s">
        <v>167</v>
      </c>
      <c r="D288" s="154">
        <v>0.0</v>
      </c>
      <c r="E288" s="154">
        <v>0.0</v>
      </c>
      <c r="F288" s="146">
        <v>0.0</v>
      </c>
      <c r="G288" s="155" t="s">
        <v>61</v>
      </c>
      <c r="H288" s="154" t="s">
        <v>168</v>
      </c>
      <c r="I288" s="149">
        <f t="shared" si="2"/>
        <v>-128259</v>
      </c>
      <c r="J288" s="150"/>
      <c r="K288" s="151"/>
    </row>
    <row r="289" ht="26.25" customHeight="1">
      <c r="A289" s="161">
        <v>46076.0</v>
      </c>
      <c r="B289" s="153" t="s">
        <v>62</v>
      </c>
      <c r="C289" s="153" t="s">
        <v>169</v>
      </c>
      <c r="D289" s="154">
        <v>-10000.0</v>
      </c>
      <c r="E289" s="146">
        <v>0.0</v>
      </c>
      <c r="F289" s="154">
        <v>10000.0</v>
      </c>
      <c r="G289" s="155" t="s">
        <v>74</v>
      </c>
      <c r="H289" s="146">
        <v>0.0</v>
      </c>
      <c r="I289" s="149">
        <f t="shared" si="2"/>
        <v>-138259</v>
      </c>
      <c r="J289" s="150"/>
      <c r="K289" s="151"/>
    </row>
    <row r="290" ht="26.25" customHeight="1">
      <c r="A290" s="161">
        <v>46076.0</v>
      </c>
      <c r="B290" s="153" t="s">
        <v>62</v>
      </c>
      <c r="C290" s="153" t="s">
        <v>78</v>
      </c>
      <c r="D290" s="154">
        <v>-10000.0</v>
      </c>
      <c r="E290" s="146">
        <v>0.0</v>
      </c>
      <c r="F290" s="154">
        <v>10000.0</v>
      </c>
      <c r="G290" s="155" t="s">
        <v>74</v>
      </c>
      <c r="H290" s="146">
        <v>0.0</v>
      </c>
      <c r="I290" s="149">
        <f t="shared" si="2"/>
        <v>-148259</v>
      </c>
      <c r="J290" s="150"/>
      <c r="K290" s="151"/>
    </row>
    <row r="291" ht="26.25" customHeight="1">
      <c r="A291" s="161">
        <v>46076.0</v>
      </c>
      <c r="B291" s="153" t="s">
        <v>72</v>
      </c>
      <c r="C291" s="153" t="s">
        <v>170</v>
      </c>
      <c r="D291" s="154">
        <v>-13000.0</v>
      </c>
      <c r="E291" s="146">
        <v>0.0</v>
      </c>
      <c r="F291" s="154">
        <v>13000.0</v>
      </c>
      <c r="G291" s="155" t="s">
        <v>74</v>
      </c>
      <c r="H291" s="146">
        <v>0.0</v>
      </c>
      <c r="I291" s="149">
        <f t="shared" si="2"/>
        <v>-161259</v>
      </c>
      <c r="J291" s="150"/>
      <c r="K291" s="151"/>
    </row>
    <row r="292" ht="26.25" customHeight="1">
      <c r="A292" s="161">
        <v>46076.0</v>
      </c>
      <c r="B292" s="153" t="s">
        <v>72</v>
      </c>
      <c r="C292" s="153" t="s">
        <v>171</v>
      </c>
      <c r="D292" s="154">
        <v>-8000.0</v>
      </c>
      <c r="E292" s="146">
        <v>0.0</v>
      </c>
      <c r="F292" s="154">
        <v>8000.0</v>
      </c>
      <c r="G292" s="155" t="s">
        <v>74</v>
      </c>
      <c r="H292" s="146">
        <v>0.0</v>
      </c>
      <c r="I292" s="149">
        <f t="shared" si="2"/>
        <v>-169259</v>
      </c>
      <c r="J292" s="150"/>
      <c r="K292" s="151"/>
    </row>
    <row r="293" ht="26.25" customHeight="1">
      <c r="A293" s="161">
        <v>46076.0</v>
      </c>
      <c r="B293" s="153" t="s">
        <v>72</v>
      </c>
      <c r="C293" s="153" t="s">
        <v>151</v>
      </c>
      <c r="D293" s="154">
        <v>-3000.0</v>
      </c>
      <c r="E293" s="146">
        <v>0.0</v>
      </c>
      <c r="F293" s="154">
        <v>3000.0</v>
      </c>
      <c r="G293" s="155" t="s">
        <v>74</v>
      </c>
      <c r="H293" s="146">
        <v>0.0</v>
      </c>
      <c r="I293" s="149">
        <f t="shared" si="2"/>
        <v>-172259</v>
      </c>
      <c r="J293" s="150"/>
      <c r="K293" s="151"/>
    </row>
    <row r="294" ht="26.25" customHeight="1">
      <c r="A294" s="161">
        <v>46076.0</v>
      </c>
      <c r="B294" s="153" t="s">
        <v>72</v>
      </c>
      <c r="C294" s="153" t="s">
        <v>77</v>
      </c>
      <c r="D294" s="154">
        <v>-2000.0</v>
      </c>
      <c r="E294" s="146">
        <v>0.0</v>
      </c>
      <c r="F294" s="154">
        <v>2000.0</v>
      </c>
      <c r="G294" s="155" t="s">
        <v>74</v>
      </c>
      <c r="H294" s="146">
        <v>0.0</v>
      </c>
      <c r="I294" s="149">
        <f t="shared" si="2"/>
        <v>-174259</v>
      </c>
      <c r="J294" s="150"/>
      <c r="K294" s="151"/>
    </row>
    <row r="295" ht="26.25" customHeight="1">
      <c r="A295" s="161">
        <v>46076.0</v>
      </c>
      <c r="B295" s="153" t="s">
        <v>72</v>
      </c>
      <c r="C295" s="153" t="s">
        <v>77</v>
      </c>
      <c r="D295" s="154">
        <v>-6000.0</v>
      </c>
      <c r="E295" s="146">
        <v>0.0</v>
      </c>
      <c r="F295" s="154">
        <v>6000.0</v>
      </c>
      <c r="G295" s="155" t="s">
        <v>74</v>
      </c>
      <c r="H295" s="146">
        <v>0.0</v>
      </c>
      <c r="I295" s="149">
        <f t="shared" si="2"/>
        <v>-180259</v>
      </c>
      <c r="J295" s="150"/>
      <c r="K295" s="151"/>
    </row>
    <row r="296" ht="26.25" customHeight="1">
      <c r="A296" s="161">
        <v>46079.0</v>
      </c>
      <c r="B296" s="153" t="s">
        <v>59</v>
      </c>
      <c r="C296" s="153" t="s">
        <v>172</v>
      </c>
      <c r="D296" s="154">
        <v>0.0</v>
      </c>
      <c r="E296" s="154">
        <v>0.0</v>
      </c>
      <c r="F296" s="146">
        <v>0.0</v>
      </c>
      <c r="G296" s="155" t="s">
        <v>65</v>
      </c>
      <c r="H296" s="154" t="s">
        <v>173</v>
      </c>
      <c r="I296" s="149">
        <f t="shared" si="2"/>
        <v>-180259</v>
      </c>
      <c r="J296" s="150"/>
      <c r="K296" s="151"/>
    </row>
    <row r="297" ht="26.25" customHeight="1">
      <c r="A297" s="161">
        <v>46079.0</v>
      </c>
      <c r="B297" s="153" t="s">
        <v>59</v>
      </c>
      <c r="C297" s="153" t="s">
        <v>28</v>
      </c>
      <c r="D297" s="154">
        <v>0.0</v>
      </c>
      <c r="E297" s="154">
        <v>0.0</v>
      </c>
      <c r="F297" s="146">
        <v>0.0</v>
      </c>
      <c r="G297" s="155" t="s">
        <v>65</v>
      </c>
      <c r="H297" s="154" t="s">
        <v>174</v>
      </c>
      <c r="I297" s="149">
        <f t="shared" si="2"/>
        <v>-180259</v>
      </c>
      <c r="J297" s="150"/>
      <c r="K297" s="151"/>
    </row>
    <row r="298" ht="26.25" customHeight="1">
      <c r="A298" s="161">
        <v>46081.0</v>
      </c>
      <c r="B298" s="153" t="s">
        <v>70</v>
      </c>
      <c r="C298" s="153" t="s">
        <v>175</v>
      </c>
      <c r="D298" s="154">
        <v>1500000.0</v>
      </c>
      <c r="E298" s="154">
        <v>1500000.0</v>
      </c>
      <c r="F298" s="146">
        <v>0.0</v>
      </c>
      <c r="G298" s="155" t="s">
        <v>65</v>
      </c>
      <c r="H298" s="154">
        <v>1500000.0</v>
      </c>
      <c r="I298" s="149">
        <f t="shared" si="2"/>
        <v>1319741</v>
      </c>
      <c r="J298" s="150"/>
      <c r="K298" s="151"/>
    </row>
    <row r="299" ht="26.25" customHeight="1">
      <c r="A299" s="161">
        <v>46081.0</v>
      </c>
      <c r="B299" s="153" t="s">
        <v>70</v>
      </c>
      <c r="C299" s="153" t="s">
        <v>175</v>
      </c>
      <c r="D299" s="154">
        <v>1000000.0</v>
      </c>
      <c r="E299" s="154">
        <v>1000000.0</v>
      </c>
      <c r="F299" s="146">
        <v>0.0</v>
      </c>
      <c r="G299" s="155" t="s">
        <v>65</v>
      </c>
      <c r="H299" s="154">
        <v>1000000.0</v>
      </c>
      <c r="I299" s="149">
        <f t="shared" si="2"/>
        <v>2319741</v>
      </c>
      <c r="J299" s="150"/>
      <c r="K299" s="151"/>
    </row>
    <row r="300" ht="26.25" customHeight="1">
      <c r="A300" s="161">
        <v>46081.0</v>
      </c>
      <c r="B300" s="153" t="s">
        <v>62</v>
      </c>
      <c r="C300" s="158" t="s">
        <v>102</v>
      </c>
      <c r="D300" s="146">
        <v>-50000.0</v>
      </c>
      <c r="E300" s="146">
        <v>0.0</v>
      </c>
      <c r="F300" s="146">
        <v>50000.0</v>
      </c>
      <c r="G300" s="162" t="s">
        <v>74</v>
      </c>
      <c r="H300" s="146">
        <v>0.0</v>
      </c>
      <c r="I300" s="149">
        <f t="shared" si="2"/>
        <v>2269741</v>
      </c>
      <c r="J300" s="150"/>
      <c r="K300" s="151"/>
    </row>
    <row r="301" ht="26.25" customHeight="1">
      <c r="A301" s="161">
        <v>46082.0</v>
      </c>
      <c r="B301" s="153" t="s">
        <v>101</v>
      </c>
      <c r="C301" s="153" t="s">
        <v>36</v>
      </c>
      <c r="D301" s="154">
        <v>-350000.0</v>
      </c>
      <c r="E301" s="146">
        <v>0.0</v>
      </c>
      <c r="F301" s="154">
        <v>350000.0</v>
      </c>
      <c r="G301" s="155" t="s">
        <v>74</v>
      </c>
      <c r="H301" s="146">
        <v>0.0</v>
      </c>
      <c r="I301" s="149">
        <f t="shared" si="2"/>
        <v>1919741</v>
      </c>
      <c r="J301" s="150"/>
      <c r="K301" s="151"/>
    </row>
    <row r="302" ht="26.25" customHeight="1">
      <c r="A302" s="161">
        <v>46082.0</v>
      </c>
      <c r="B302" s="153" t="s">
        <v>101</v>
      </c>
      <c r="C302" s="153" t="s">
        <v>86</v>
      </c>
      <c r="D302" s="154">
        <v>-500000.0</v>
      </c>
      <c r="E302" s="146">
        <v>0.0</v>
      </c>
      <c r="F302" s="154">
        <v>500000.0</v>
      </c>
      <c r="G302" s="155" t="s">
        <v>74</v>
      </c>
      <c r="H302" s="146">
        <v>0.0</v>
      </c>
      <c r="I302" s="149">
        <f t="shared" si="2"/>
        <v>1419741</v>
      </c>
      <c r="J302" s="150"/>
      <c r="K302" s="151"/>
    </row>
    <row r="303" ht="26.25" customHeight="1">
      <c r="A303" s="161">
        <v>46082.0</v>
      </c>
      <c r="B303" s="153" t="s">
        <v>101</v>
      </c>
      <c r="C303" s="153" t="s">
        <v>112</v>
      </c>
      <c r="D303" s="154">
        <v>-402000.0</v>
      </c>
      <c r="E303" s="146">
        <v>0.0</v>
      </c>
      <c r="F303" s="154">
        <v>402000.0</v>
      </c>
      <c r="G303" s="155" t="s">
        <v>74</v>
      </c>
      <c r="H303" s="146">
        <v>0.0</v>
      </c>
      <c r="I303" s="149">
        <f t="shared" si="2"/>
        <v>1017741</v>
      </c>
      <c r="J303" s="150"/>
      <c r="K303" s="151"/>
    </row>
    <row r="304" ht="26.25" customHeight="1">
      <c r="A304" s="161">
        <v>46082.0</v>
      </c>
      <c r="B304" s="153" t="s">
        <v>101</v>
      </c>
      <c r="C304" s="158" t="s">
        <v>113</v>
      </c>
      <c r="D304" s="154">
        <v>-250000.0</v>
      </c>
      <c r="E304" s="146">
        <v>0.0</v>
      </c>
      <c r="F304" s="154">
        <v>250000.0</v>
      </c>
      <c r="G304" s="162" t="s">
        <v>74</v>
      </c>
      <c r="H304" s="146">
        <v>0.0</v>
      </c>
      <c r="I304" s="149">
        <f t="shared" si="2"/>
        <v>767741</v>
      </c>
      <c r="J304" s="150"/>
      <c r="K304" s="151"/>
    </row>
    <row r="305" ht="26.25" customHeight="1">
      <c r="A305" s="161">
        <v>46082.0</v>
      </c>
      <c r="B305" s="153" t="s">
        <v>101</v>
      </c>
      <c r="C305" s="153" t="s">
        <v>125</v>
      </c>
      <c r="D305" s="154">
        <v>-618000.0</v>
      </c>
      <c r="E305" s="146">
        <v>0.0</v>
      </c>
      <c r="F305" s="154">
        <v>618000.0</v>
      </c>
      <c r="G305" s="155" t="s">
        <v>74</v>
      </c>
      <c r="H305" s="146">
        <v>0.0</v>
      </c>
      <c r="I305" s="149">
        <f t="shared" si="2"/>
        <v>149741</v>
      </c>
      <c r="J305" s="150"/>
      <c r="K305" s="151"/>
    </row>
    <row r="306" ht="26.25" customHeight="1">
      <c r="A306" s="161">
        <v>46082.0</v>
      </c>
      <c r="B306" s="153" t="s">
        <v>70</v>
      </c>
      <c r="C306" s="153" t="s">
        <v>175</v>
      </c>
      <c r="D306" s="154">
        <v>1000000.0</v>
      </c>
      <c r="E306" s="154">
        <v>1000000.0</v>
      </c>
      <c r="F306" s="146">
        <v>0.0</v>
      </c>
      <c r="G306" s="155" t="s">
        <v>65</v>
      </c>
      <c r="H306" s="146">
        <v>1000000.0</v>
      </c>
      <c r="I306" s="149">
        <f t="shared" si="2"/>
        <v>1149741</v>
      </c>
      <c r="J306" s="150"/>
      <c r="K306" s="151"/>
    </row>
    <row r="307" ht="26.25" customHeight="1">
      <c r="A307" s="161">
        <v>46082.0</v>
      </c>
      <c r="B307" s="153" t="s">
        <v>101</v>
      </c>
      <c r="C307" s="153" t="s">
        <v>176</v>
      </c>
      <c r="D307" s="154">
        <v>-523000.0</v>
      </c>
      <c r="E307" s="146">
        <v>0.0</v>
      </c>
      <c r="F307" s="154">
        <v>523000.0</v>
      </c>
      <c r="G307" s="155" t="s">
        <v>74</v>
      </c>
      <c r="H307" s="146">
        <v>0.0</v>
      </c>
      <c r="I307" s="149">
        <f t="shared" si="2"/>
        <v>626741</v>
      </c>
      <c r="J307" s="150"/>
      <c r="K307" s="151"/>
    </row>
    <row r="308" ht="26.25" customHeight="1">
      <c r="A308" s="161">
        <v>46082.0</v>
      </c>
      <c r="B308" s="153" t="s">
        <v>101</v>
      </c>
      <c r="C308" s="156" t="s">
        <v>177</v>
      </c>
      <c r="D308" s="154">
        <v>-34000.0</v>
      </c>
      <c r="E308" s="146">
        <v>0.0</v>
      </c>
      <c r="F308" s="154">
        <v>34000.0</v>
      </c>
      <c r="G308" s="155" t="s">
        <v>74</v>
      </c>
      <c r="H308" s="146">
        <v>0.0</v>
      </c>
      <c r="I308" s="149">
        <f t="shared" si="2"/>
        <v>592741</v>
      </c>
      <c r="J308" s="150"/>
      <c r="K308" s="151"/>
    </row>
    <row r="309" ht="26.25" customHeight="1">
      <c r="A309" s="163">
        <v>46082.0</v>
      </c>
      <c r="B309" s="156" t="s">
        <v>72</v>
      </c>
      <c r="C309" s="156" t="s">
        <v>178</v>
      </c>
      <c r="D309" s="146">
        <v>-10000.0</v>
      </c>
      <c r="E309" s="146">
        <v>0.0</v>
      </c>
      <c r="F309" s="146">
        <v>10000.0</v>
      </c>
      <c r="G309" s="164" t="s">
        <v>74</v>
      </c>
      <c r="H309" s="146">
        <v>0.0</v>
      </c>
      <c r="I309" s="149">
        <f t="shared" si="2"/>
        <v>582741</v>
      </c>
      <c r="J309" s="150"/>
      <c r="K309" s="144"/>
    </row>
    <row r="310" ht="26.25" customHeight="1">
      <c r="A310" s="163">
        <v>46082.0</v>
      </c>
      <c r="B310" s="156" t="s">
        <v>72</v>
      </c>
      <c r="C310" s="156" t="s">
        <v>77</v>
      </c>
      <c r="D310" s="146">
        <v>-10000.0</v>
      </c>
      <c r="E310" s="146">
        <v>0.0</v>
      </c>
      <c r="F310" s="146">
        <v>10000.0</v>
      </c>
      <c r="G310" s="164" t="s">
        <v>74</v>
      </c>
      <c r="H310" s="146">
        <v>0.0</v>
      </c>
      <c r="I310" s="149">
        <f t="shared" si="2"/>
        <v>572741</v>
      </c>
      <c r="J310" s="150"/>
      <c r="K310" s="144"/>
    </row>
    <row r="311" ht="26.25" customHeight="1">
      <c r="A311" s="163">
        <v>46082.0</v>
      </c>
      <c r="B311" s="156" t="s">
        <v>72</v>
      </c>
      <c r="C311" s="156" t="s">
        <v>179</v>
      </c>
      <c r="D311" s="146">
        <v>-8000.0</v>
      </c>
      <c r="E311" s="146">
        <v>0.0</v>
      </c>
      <c r="F311" s="146">
        <v>8000.0</v>
      </c>
      <c r="G311" s="164" t="s">
        <v>74</v>
      </c>
      <c r="H311" s="146">
        <v>0.0</v>
      </c>
      <c r="I311" s="149">
        <f t="shared" si="2"/>
        <v>564741</v>
      </c>
      <c r="J311" s="150"/>
      <c r="K311" s="144"/>
    </row>
    <row r="312" ht="26.25" customHeight="1">
      <c r="A312" s="163">
        <v>46082.0</v>
      </c>
      <c r="B312" s="156" t="s">
        <v>72</v>
      </c>
      <c r="C312" s="156" t="s">
        <v>180</v>
      </c>
      <c r="D312" s="146">
        <v>-5000.0</v>
      </c>
      <c r="E312" s="146">
        <v>0.0</v>
      </c>
      <c r="F312" s="146">
        <v>5000.0</v>
      </c>
      <c r="G312" s="164" t="s">
        <v>74</v>
      </c>
      <c r="H312" s="146">
        <v>0.0</v>
      </c>
      <c r="I312" s="149">
        <f t="shared" si="2"/>
        <v>559741</v>
      </c>
      <c r="J312" s="150"/>
      <c r="K312" s="144"/>
    </row>
    <row r="313" ht="26.25" customHeight="1">
      <c r="A313" s="161">
        <v>46082.0</v>
      </c>
      <c r="B313" s="153" t="s">
        <v>101</v>
      </c>
      <c r="C313" s="153" t="s">
        <v>114</v>
      </c>
      <c r="D313" s="154">
        <v>-260000.0</v>
      </c>
      <c r="E313" s="146">
        <v>0.0</v>
      </c>
      <c r="F313" s="154">
        <v>260000.0</v>
      </c>
      <c r="G313" s="155" t="s">
        <v>74</v>
      </c>
      <c r="H313" s="146">
        <v>0.0</v>
      </c>
      <c r="I313" s="149">
        <f t="shared" si="2"/>
        <v>299741</v>
      </c>
      <c r="J313" s="150"/>
      <c r="K313" s="151"/>
    </row>
    <row r="314" ht="26.25" customHeight="1">
      <c r="A314" s="163">
        <v>46082.0</v>
      </c>
      <c r="B314" s="158" t="s">
        <v>62</v>
      </c>
      <c r="C314" s="158" t="s">
        <v>24</v>
      </c>
      <c r="D314" s="146"/>
      <c r="E314" s="146">
        <v>0.0</v>
      </c>
      <c r="F314" s="146">
        <v>0.0</v>
      </c>
      <c r="G314" s="162" t="s">
        <v>74</v>
      </c>
      <c r="H314" s="146">
        <v>0.0</v>
      </c>
      <c r="I314" s="149">
        <f t="shared" si="2"/>
        <v>299741</v>
      </c>
      <c r="J314" s="150"/>
      <c r="K314" s="151"/>
    </row>
    <row r="315" ht="26.25" customHeight="1">
      <c r="A315" s="163">
        <v>46082.0</v>
      </c>
      <c r="B315" s="158" t="s">
        <v>62</v>
      </c>
      <c r="C315" s="158" t="s">
        <v>28</v>
      </c>
      <c r="D315" s="146">
        <v>-50000.0</v>
      </c>
      <c r="E315" s="146">
        <v>0.0</v>
      </c>
      <c r="F315" s="146">
        <v>50000.0</v>
      </c>
      <c r="G315" s="162" t="s">
        <v>74</v>
      </c>
      <c r="H315" s="146">
        <v>0.0</v>
      </c>
      <c r="I315" s="149">
        <f t="shared" si="2"/>
        <v>249741</v>
      </c>
      <c r="J315" s="150"/>
      <c r="K315" s="151"/>
    </row>
    <row r="316" ht="26.25" customHeight="1">
      <c r="A316" s="163">
        <v>46083.0</v>
      </c>
      <c r="B316" s="156" t="s">
        <v>62</v>
      </c>
      <c r="C316" s="156" t="s">
        <v>27</v>
      </c>
      <c r="D316" s="146">
        <v>-3250.0</v>
      </c>
      <c r="E316" s="146">
        <v>0.0</v>
      </c>
      <c r="F316" s="146">
        <v>3250.0</v>
      </c>
      <c r="G316" s="164" t="s">
        <v>74</v>
      </c>
      <c r="H316" s="146">
        <v>0.0</v>
      </c>
      <c r="I316" s="149">
        <f t="shared" si="2"/>
        <v>246491</v>
      </c>
      <c r="J316" s="150"/>
      <c r="K316" s="144"/>
    </row>
    <row r="317" ht="26.25" customHeight="1">
      <c r="A317" s="163">
        <v>46083.0</v>
      </c>
      <c r="B317" s="156" t="s">
        <v>62</v>
      </c>
      <c r="C317" s="156" t="s">
        <v>27</v>
      </c>
      <c r="D317" s="146">
        <v>-3500.0</v>
      </c>
      <c r="E317" s="146">
        <v>0.0</v>
      </c>
      <c r="F317" s="146">
        <v>3500.0</v>
      </c>
      <c r="G317" s="164" t="s">
        <v>74</v>
      </c>
      <c r="H317" s="146">
        <v>0.0</v>
      </c>
      <c r="I317" s="149">
        <f t="shared" si="2"/>
        <v>242991</v>
      </c>
      <c r="J317" s="150"/>
      <c r="K317" s="144"/>
    </row>
    <row r="318" ht="26.25" customHeight="1">
      <c r="A318" s="163">
        <v>46083.0</v>
      </c>
      <c r="B318" s="156" t="s">
        <v>62</v>
      </c>
      <c r="C318" s="156" t="s">
        <v>86</v>
      </c>
      <c r="D318" s="146">
        <v>-3500.0</v>
      </c>
      <c r="E318" s="146">
        <v>0.0</v>
      </c>
      <c r="F318" s="146">
        <v>3500.0</v>
      </c>
      <c r="G318" s="164" t="s">
        <v>74</v>
      </c>
      <c r="H318" s="146">
        <v>0.0</v>
      </c>
      <c r="I318" s="149">
        <f t="shared" si="2"/>
        <v>239491</v>
      </c>
      <c r="J318" s="150"/>
      <c r="K318" s="144"/>
    </row>
    <row r="319" ht="26.25" customHeight="1">
      <c r="A319" s="163">
        <v>46083.0</v>
      </c>
      <c r="B319" s="156" t="s">
        <v>101</v>
      </c>
      <c r="C319" s="156" t="s">
        <v>181</v>
      </c>
      <c r="D319" s="146">
        <v>-50000.0</v>
      </c>
      <c r="E319" s="146">
        <v>0.0</v>
      </c>
      <c r="F319" s="146">
        <v>50000.0</v>
      </c>
      <c r="G319" s="164" t="s">
        <v>74</v>
      </c>
      <c r="H319" s="146">
        <v>0.0</v>
      </c>
      <c r="I319" s="149">
        <f t="shared" si="2"/>
        <v>189491</v>
      </c>
      <c r="J319" s="150"/>
      <c r="K319" s="144"/>
    </row>
    <row r="320" ht="26.25" customHeight="1">
      <c r="A320" s="163">
        <v>46083.0</v>
      </c>
      <c r="B320" s="156" t="s">
        <v>72</v>
      </c>
      <c r="C320" s="156" t="s">
        <v>182</v>
      </c>
      <c r="D320" s="146">
        <v>-90991.0</v>
      </c>
      <c r="E320" s="146">
        <v>0.0</v>
      </c>
      <c r="F320" s="146">
        <v>90991.0</v>
      </c>
      <c r="G320" s="164" t="s">
        <v>74</v>
      </c>
      <c r="H320" s="146">
        <v>0.0</v>
      </c>
      <c r="I320" s="149">
        <f t="shared" si="2"/>
        <v>98500</v>
      </c>
      <c r="J320" s="150"/>
      <c r="K320" s="144"/>
    </row>
    <row r="321" ht="26.25" customHeight="1">
      <c r="A321" s="163">
        <v>46083.0</v>
      </c>
      <c r="B321" s="156" t="s">
        <v>72</v>
      </c>
      <c r="C321" s="156" t="s">
        <v>77</v>
      </c>
      <c r="D321" s="146">
        <v>-5000.0</v>
      </c>
      <c r="E321" s="146">
        <v>0.0</v>
      </c>
      <c r="F321" s="146">
        <v>5000.0</v>
      </c>
      <c r="G321" s="164" t="s">
        <v>74</v>
      </c>
      <c r="H321" s="146">
        <v>0.0</v>
      </c>
      <c r="I321" s="149">
        <f t="shared" si="2"/>
        <v>93500</v>
      </c>
      <c r="J321" s="150"/>
      <c r="K321" s="144"/>
    </row>
    <row r="322" ht="26.25" customHeight="1">
      <c r="A322" s="163">
        <v>46083.0</v>
      </c>
      <c r="B322" s="156" t="s">
        <v>72</v>
      </c>
      <c r="C322" s="156" t="s">
        <v>183</v>
      </c>
      <c r="D322" s="146">
        <v>-80000.0</v>
      </c>
      <c r="E322" s="146">
        <v>0.0</v>
      </c>
      <c r="F322" s="146">
        <v>80000.0</v>
      </c>
      <c r="G322" s="164" t="s">
        <v>74</v>
      </c>
      <c r="H322" s="146">
        <v>0.0</v>
      </c>
      <c r="I322" s="149">
        <f t="shared" si="2"/>
        <v>13500</v>
      </c>
      <c r="J322" s="150"/>
      <c r="K322" s="144"/>
    </row>
    <row r="323" ht="26.25" customHeight="1">
      <c r="A323" s="163">
        <v>46083.0</v>
      </c>
      <c r="B323" s="156" t="s">
        <v>72</v>
      </c>
      <c r="C323" s="156" t="s">
        <v>75</v>
      </c>
      <c r="D323" s="146">
        <v>-10000.0</v>
      </c>
      <c r="E323" s="146">
        <v>0.0</v>
      </c>
      <c r="F323" s="146">
        <v>10000.0</v>
      </c>
      <c r="G323" s="164" t="s">
        <v>74</v>
      </c>
      <c r="H323" s="146">
        <v>0.0</v>
      </c>
      <c r="I323" s="149">
        <f t="shared" si="2"/>
        <v>3500</v>
      </c>
      <c r="J323" s="150"/>
      <c r="K323" s="144"/>
    </row>
    <row r="324" ht="26.25" customHeight="1">
      <c r="A324" s="163">
        <v>46084.0</v>
      </c>
      <c r="B324" s="156" t="s">
        <v>101</v>
      </c>
      <c r="C324" s="156" t="s">
        <v>27</v>
      </c>
      <c r="D324" s="146">
        <v>-800000.0</v>
      </c>
      <c r="E324" s="146">
        <v>0.0</v>
      </c>
      <c r="F324" s="146">
        <v>800000.0</v>
      </c>
      <c r="G324" s="164" t="s">
        <v>74</v>
      </c>
      <c r="H324" s="146">
        <v>0.0</v>
      </c>
      <c r="I324" s="149">
        <f t="shared" si="2"/>
        <v>-796500</v>
      </c>
      <c r="J324" s="150"/>
      <c r="K324" s="144"/>
    </row>
    <row r="325" ht="26.25" customHeight="1">
      <c r="A325" s="163">
        <v>46084.0</v>
      </c>
      <c r="B325" s="156" t="s">
        <v>101</v>
      </c>
      <c r="C325" s="156" t="s">
        <v>102</v>
      </c>
      <c r="D325" s="146">
        <v>-192000.0</v>
      </c>
      <c r="E325" s="146">
        <v>0.0</v>
      </c>
      <c r="F325" s="146">
        <v>192000.0</v>
      </c>
      <c r="G325" s="164" t="s">
        <v>74</v>
      </c>
      <c r="H325" s="146">
        <v>0.0</v>
      </c>
      <c r="I325" s="149">
        <f t="shared" si="2"/>
        <v>-988500</v>
      </c>
      <c r="J325" s="150"/>
      <c r="K325" s="144"/>
    </row>
    <row r="326" ht="26.25" customHeight="1">
      <c r="A326" s="163">
        <v>46084.0</v>
      </c>
      <c r="B326" s="156" t="s">
        <v>62</v>
      </c>
      <c r="C326" s="156" t="s">
        <v>102</v>
      </c>
      <c r="D326" s="146">
        <v>-58000.0</v>
      </c>
      <c r="E326" s="146">
        <v>0.0</v>
      </c>
      <c r="F326" s="146">
        <v>58000.0</v>
      </c>
      <c r="G326" s="164" t="s">
        <v>74</v>
      </c>
      <c r="H326" s="146">
        <v>0.0</v>
      </c>
      <c r="I326" s="149">
        <f t="shared" si="2"/>
        <v>-1046500</v>
      </c>
      <c r="J326" s="150"/>
      <c r="K326" s="144"/>
    </row>
    <row r="327" ht="26.25" customHeight="1">
      <c r="A327" s="163">
        <v>46084.0</v>
      </c>
      <c r="B327" s="156" t="s">
        <v>101</v>
      </c>
      <c r="C327" s="156" t="s">
        <v>63</v>
      </c>
      <c r="D327" s="146">
        <v>-500000.0</v>
      </c>
      <c r="E327" s="146">
        <v>0.0</v>
      </c>
      <c r="F327" s="146">
        <v>500000.0</v>
      </c>
      <c r="G327" s="164" t="s">
        <v>74</v>
      </c>
      <c r="H327" s="146">
        <v>0.0</v>
      </c>
      <c r="I327" s="149">
        <f t="shared" si="2"/>
        <v>-1546500</v>
      </c>
      <c r="J327" s="150"/>
      <c r="K327" s="144"/>
    </row>
    <row r="328" ht="26.25" customHeight="1">
      <c r="A328" s="163">
        <v>46084.0</v>
      </c>
      <c r="B328" s="156" t="s">
        <v>70</v>
      </c>
      <c r="C328" s="156" t="s">
        <v>184</v>
      </c>
      <c r="D328" s="146">
        <v>3000000.0</v>
      </c>
      <c r="E328" s="146">
        <v>3000000.0</v>
      </c>
      <c r="F328" s="146">
        <v>0.0</v>
      </c>
      <c r="G328" s="164" t="s">
        <v>74</v>
      </c>
      <c r="H328" s="146">
        <v>3000000.0</v>
      </c>
      <c r="I328" s="149">
        <f t="shared" si="2"/>
        <v>1453500</v>
      </c>
      <c r="J328" s="150"/>
      <c r="K328" s="144"/>
    </row>
    <row r="329" ht="26.25" customHeight="1">
      <c r="A329" s="163">
        <v>46084.0</v>
      </c>
      <c r="B329" s="156" t="s">
        <v>101</v>
      </c>
      <c r="C329" s="156" t="s">
        <v>78</v>
      </c>
      <c r="D329" s="146">
        <v>-300000.0</v>
      </c>
      <c r="E329" s="146">
        <v>0.0</v>
      </c>
      <c r="F329" s="146">
        <v>300000.0</v>
      </c>
      <c r="G329" s="164" t="s">
        <v>74</v>
      </c>
      <c r="H329" s="146">
        <v>0.0</v>
      </c>
      <c r="I329" s="149">
        <f t="shared" si="2"/>
        <v>1153500</v>
      </c>
      <c r="J329" s="150"/>
      <c r="K329" s="144"/>
    </row>
    <row r="330" ht="26.25" customHeight="1">
      <c r="A330" s="163">
        <v>46084.0</v>
      </c>
      <c r="B330" s="156" t="s">
        <v>72</v>
      </c>
      <c r="C330" s="156" t="s">
        <v>89</v>
      </c>
      <c r="D330" s="146">
        <v>-30000.0</v>
      </c>
      <c r="E330" s="146">
        <v>0.0</v>
      </c>
      <c r="F330" s="146">
        <v>30000.0</v>
      </c>
      <c r="G330" s="164" t="s">
        <v>74</v>
      </c>
      <c r="H330" s="146">
        <v>0.0</v>
      </c>
      <c r="I330" s="149">
        <f t="shared" si="2"/>
        <v>1123500</v>
      </c>
      <c r="J330" s="150"/>
      <c r="K330" s="144"/>
    </row>
    <row r="331" ht="26.25" customHeight="1">
      <c r="A331" s="163">
        <v>46084.0</v>
      </c>
      <c r="B331" s="156" t="s">
        <v>62</v>
      </c>
      <c r="C331" s="156" t="s">
        <v>28</v>
      </c>
      <c r="D331" s="146">
        <v>-3500.0</v>
      </c>
      <c r="E331" s="146">
        <v>0.0</v>
      </c>
      <c r="F331" s="146">
        <v>3500.0</v>
      </c>
      <c r="G331" s="164" t="s">
        <v>74</v>
      </c>
      <c r="H331" s="146">
        <v>0.0</v>
      </c>
      <c r="I331" s="149">
        <f t="shared" si="2"/>
        <v>1120000</v>
      </c>
      <c r="J331" s="150"/>
      <c r="K331" s="144"/>
    </row>
    <row r="332" ht="26.25" customHeight="1">
      <c r="A332" s="163">
        <v>46085.0</v>
      </c>
      <c r="B332" s="156" t="s">
        <v>72</v>
      </c>
      <c r="C332" s="156" t="s">
        <v>185</v>
      </c>
      <c r="D332" s="146">
        <v>-53000.0</v>
      </c>
      <c r="E332" s="146">
        <v>0.0</v>
      </c>
      <c r="F332" s="146">
        <v>53000.0</v>
      </c>
      <c r="G332" s="164" t="s">
        <v>74</v>
      </c>
      <c r="H332" s="146">
        <v>0.0</v>
      </c>
      <c r="I332" s="149">
        <f t="shared" si="2"/>
        <v>1067000</v>
      </c>
      <c r="J332" s="150"/>
      <c r="K332" s="144"/>
    </row>
    <row r="333" ht="26.25" customHeight="1">
      <c r="A333" s="163">
        <v>46086.0</v>
      </c>
      <c r="B333" s="156" t="s">
        <v>62</v>
      </c>
      <c r="C333" s="156" t="s">
        <v>86</v>
      </c>
      <c r="D333" s="146">
        <v>-5000.0</v>
      </c>
      <c r="E333" s="146">
        <v>0.0</v>
      </c>
      <c r="F333" s="146">
        <v>5000.0</v>
      </c>
      <c r="G333" s="164" t="s">
        <v>74</v>
      </c>
      <c r="H333" s="146">
        <v>0.0</v>
      </c>
      <c r="I333" s="149">
        <f t="shared" si="2"/>
        <v>1062000</v>
      </c>
      <c r="J333" s="150"/>
      <c r="K333" s="144"/>
    </row>
    <row r="334" ht="26.25" customHeight="1">
      <c r="A334" s="163">
        <v>46086.0</v>
      </c>
      <c r="B334" s="156" t="s">
        <v>72</v>
      </c>
      <c r="C334" s="156" t="s">
        <v>75</v>
      </c>
      <c r="D334" s="146">
        <v>-10000.0</v>
      </c>
      <c r="E334" s="146">
        <v>0.0</v>
      </c>
      <c r="F334" s="146">
        <v>10000.0</v>
      </c>
      <c r="G334" s="164" t="s">
        <v>74</v>
      </c>
      <c r="H334" s="146">
        <v>0.0</v>
      </c>
      <c r="I334" s="149">
        <f t="shared" si="2"/>
        <v>1052000</v>
      </c>
      <c r="J334" s="150"/>
      <c r="K334" s="144"/>
    </row>
    <row r="335" ht="26.25" customHeight="1">
      <c r="A335" s="163">
        <v>46086.0</v>
      </c>
      <c r="B335" s="156" t="s">
        <v>72</v>
      </c>
      <c r="C335" s="156" t="s">
        <v>186</v>
      </c>
      <c r="D335" s="146">
        <v>-5000.0</v>
      </c>
      <c r="E335" s="146">
        <v>0.0</v>
      </c>
      <c r="F335" s="146">
        <v>5000.0</v>
      </c>
      <c r="G335" s="164" t="s">
        <v>74</v>
      </c>
      <c r="H335" s="146">
        <v>0.0</v>
      </c>
      <c r="I335" s="149">
        <f t="shared" si="2"/>
        <v>1047000</v>
      </c>
      <c r="J335" s="150"/>
      <c r="K335" s="144"/>
    </row>
    <row r="336" ht="26.25" customHeight="1">
      <c r="A336" s="163">
        <v>46086.0</v>
      </c>
      <c r="B336" s="156" t="s">
        <v>72</v>
      </c>
      <c r="C336" s="156" t="s">
        <v>77</v>
      </c>
      <c r="D336" s="146">
        <v>-7000.0</v>
      </c>
      <c r="E336" s="146">
        <v>0.0</v>
      </c>
      <c r="F336" s="146">
        <v>7000.0</v>
      </c>
      <c r="G336" s="164" t="s">
        <v>74</v>
      </c>
      <c r="H336" s="146">
        <v>0.0</v>
      </c>
      <c r="I336" s="149">
        <f t="shared" si="2"/>
        <v>1040000</v>
      </c>
      <c r="J336" s="150"/>
      <c r="K336" s="144"/>
    </row>
    <row r="337" ht="26.25" customHeight="1">
      <c r="A337" s="163">
        <v>46086.0</v>
      </c>
      <c r="B337" s="156" t="s">
        <v>72</v>
      </c>
      <c r="C337" s="156" t="s">
        <v>187</v>
      </c>
      <c r="D337" s="146">
        <v>-3000.0</v>
      </c>
      <c r="E337" s="146">
        <v>0.0</v>
      </c>
      <c r="F337" s="146">
        <v>3000.0</v>
      </c>
      <c r="G337" s="164" t="s">
        <v>74</v>
      </c>
      <c r="H337" s="146">
        <v>0.0</v>
      </c>
      <c r="I337" s="149">
        <f t="shared" si="2"/>
        <v>1037000</v>
      </c>
      <c r="J337" s="150"/>
      <c r="K337" s="144"/>
    </row>
    <row r="338" ht="26.25" customHeight="1">
      <c r="A338" s="163">
        <v>46086.0</v>
      </c>
      <c r="B338" s="156" t="s">
        <v>72</v>
      </c>
      <c r="C338" s="156" t="s">
        <v>188</v>
      </c>
      <c r="D338" s="146">
        <v>-5000.0</v>
      </c>
      <c r="E338" s="146">
        <v>0.0</v>
      </c>
      <c r="F338" s="146">
        <v>5000.0</v>
      </c>
      <c r="G338" s="164" t="s">
        <v>74</v>
      </c>
      <c r="H338" s="146">
        <v>0.0</v>
      </c>
      <c r="I338" s="149">
        <f t="shared" si="2"/>
        <v>1032000</v>
      </c>
      <c r="J338" s="150"/>
      <c r="K338" s="144"/>
    </row>
    <row r="339" ht="26.25" customHeight="1">
      <c r="A339" s="163">
        <v>46088.0</v>
      </c>
      <c r="B339" s="156" t="s">
        <v>72</v>
      </c>
      <c r="C339" s="156" t="s">
        <v>77</v>
      </c>
      <c r="D339" s="146">
        <v>-5000.0</v>
      </c>
      <c r="E339" s="146">
        <v>0.0</v>
      </c>
      <c r="F339" s="146">
        <v>5000.0</v>
      </c>
      <c r="G339" s="164" t="s">
        <v>74</v>
      </c>
      <c r="H339" s="146">
        <v>0.0</v>
      </c>
      <c r="I339" s="149">
        <f t="shared" si="2"/>
        <v>1027000</v>
      </c>
      <c r="J339" s="150"/>
      <c r="K339" s="144"/>
    </row>
    <row r="340" ht="26.25" customHeight="1">
      <c r="A340" s="163">
        <v>46089.0</v>
      </c>
      <c r="B340" s="156" t="s">
        <v>72</v>
      </c>
      <c r="C340" s="156" t="s">
        <v>77</v>
      </c>
      <c r="D340" s="146">
        <v>-10000.0</v>
      </c>
      <c r="E340" s="146">
        <v>0.0</v>
      </c>
      <c r="F340" s="146">
        <v>10000.0</v>
      </c>
      <c r="G340" s="164" t="s">
        <v>74</v>
      </c>
      <c r="H340" s="146">
        <v>0.0</v>
      </c>
      <c r="I340" s="149">
        <f t="shared" si="2"/>
        <v>1017000</v>
      </c>
      <c r="J340" s="150"/>
      <c r="K340" s="144"/>
    </row>
    <row r="341" ht="26.25" customHeight="1">
      <c r="A341" s="163">
        <v>46089.0</v>
      </c>
      <c r="B341" s="156" t="s">
        <v>72</v>
      </c>
      <c r="C341" s="156" t="s">
        <v>77</v>
      </c>
      <c r="D341" s="146">
        <v>-5000.0</v>
      </c>
      <c r="E341" s="146">
        <v>0.0</v>
      </c>
      <c r="F341" s="146">
        <v>5000.0</v>
      </c>
      <c r="G341" s="164" t="s">
        <v>74</v>
      </c>
      <c r="H341" s="146">
        <v>0.0</v>
      </c>
      <c r="I341" s="149">
        <f t="shared" si="2"/>
        <v>1012000</v>
      </c>
      <c r="J341" s="150"/>
      <c r="K341" s="144"/>
    </row>
    <row r="342" ht="26.25" customHeight="1">
      <c r="A342" s="163">
        <v>46090.0</v>
      </c>
      <c r="B342" s="156" t="s">
        <v>72</v>
      </c>
      <c r="C342" s="156" t="s">
        <v>189</v>
      </c>
      <c r="D342" s="146">
        <v>-180000.0</v>
      </c>
      <c r="E342" s="146">
        <v>0.0</v>
      </c>
      <c r="F342" s="146">
        <v>180000.0</v>
      </c>
      <c r="G342" s="164" t="s">
        <v>74</v>
      </c>
      <c r="H342" s="146">
        <v>0.0</v>
      </c>
      <c r="I342" s="149">
        <f t="shared" si="2"/>
        <v>832000</v>
      </c>
      <c r="J342" s="150"/>
      <c r="K342" s="144"/>
    </row>
    <row r="343" ht="26.25" customHeight="1">
      <c r="A343" s="163">
        <v>46090.0</v>
      </c>
      <c r="B343" s="156" t="s">
        <v>62</v>
      </c>
      <c r="C343" s="156" t="s">
        <v>190</v>
      </c>
      <c r="D343" s="146">
        <v>-10000.0</v>
      </c>
      <c r="E343" s="146">
        <v>0.0</v>
      </c>
      <c r="F343" s="146">
        <v>10000.0</v>
      </c>
      <c r="G343" s="164" t="s">
        <v>74</v>
      </c>
      <c r="H343" s="146">
        <v>0.0</v>
      </c>
      <c r="I343" s="149">
        <f t="shared" si="2"/>
        <v>822000</v>
      </c>
      <c r="J343" s="150"/>
      <c r="K343" s="144"/>
    </row>
    <row r="344" ht="26.25" customHeight="1">
      <c r="A344" s="163">
        <v>46090.0</v>
      </c>
      <c r="B344" s="156" t="s">
        <v>72</v>
      </c>
      <c r="C344" s="156" t="s">
        <v>75</v>
      </c>
      <c r="D344" s="146">
        <v>-10000.0</v>
      </c>
      <c r="E344" s="146">
        <v>0.0</v>
      </c>
      <c r="F344" s="146">
        <v>10000.0</v>
      </c>
      <c r="G344" s="164" t="s">
        <v>74</v>
      </c>
      <c r="H344" s="146">
        <v>0.0</v>
      </c>
      <c r="I344" s="149">
        <f t="shared" si="2"/>
        <v>812000</v>
      </c>
      <c r="J344" s="150"/>
      <c r="K344" s="144"/>
    </row>
    <row r="345" ht="26.25" customHeight="1">
      <c r="A345" s="163">
        <v>46090.0</v>
      </c>
      <c r="B345" s="156" t="s">
        <v>62</v>
      </c>
      <c r="C345" s="156" t="s">
        <v>27</v>
      </c>
      <c r="D345" s="146">
        <v>-5000.0</v>
      </c>
      <c r="E345" s="146">
        <v>0.0</v>
      </c>
      <c r="F345" s="146">
        <v>5000.0</v>
      </c>
      <c r="G345" s="164" t="s">
        <v>74</v>
      </c>
      <c r="H345" s="146">
        <v>0.0</v>
      </c>
      <c r="I345" s="149">
        <f t="shared" si="2"/>
        <v>807000</v>
      </c>
      <c r="J345" s="150"/>
      <c r="K345" s="144"/>
    </row>
    <row r="346" ht="26.25" customHeight="1">
      <c r="A346" s="163">
        <v>46091.0</v>
      </c>
      <c r="B346" s="156" t="s">
        <v>72</v>
      </c>
      <c r="C346" s="156" t="s">
        <v>191</v>
      </c>
      <c r="D346" s="146">
        <v>-34000.0</v>
      </c>
      <c r="E346" s="146">
        <v>0.0</v>
      </c>
      <c r="F346" s="146">
        <v>34000.0</v>
      </c>
      <c r="G346" s="164" t="s">
        <v>74</v>
      </c>
      <c r="H346" s="146">
        <v>0.0</v>
      </c>
      <c r="I346" s="149">
        <f t="shared" si="2"/>
        <v>773000</v>
      </c>
      <c r="J346" s="150"/>
      <c r="K346" s="144"/>
    </row>
    <row r="347" ht="26.25" customHeight="1">
      <c r="A347" s="163">
        <v>46091.0</v>
      </c>
      <c r="B347" s="156" t="s">
        <v>72</v>
      </c>
      <c r="C347" s="156" t="s">
        <v>192</v>
      </c>
      <c r="D347" s="146">
        <v>-75000.0</v>
      </c>
      <c r="E347" s="146">
        <v>0.0</v>
      </c>
      <c r="F347" s="146">
        <v>75000.0</v>
      </c>
      <c r="G347" s="164" t="s">
        <v>74</v>
      </c>
      <c r="H347" s="146">
        <v>0.0</v>
      </c>
      <c r="I347" s="149">
        <f t="shared" si="2"/>
        <v>698000</v>
      </c>
      <c r="J347" s="150"/>
      <c r="K347" s="144"/>
    </row>
    <row r="348" ht="26.25" customHeight="1">
      <c r="A348" s="163">
        <v>46091.0</v>
      </c>
      <c r="B348" s="156" t="s">
        <v>72</v>
      </c>
      <c r="C348" s="156" t="s">
        <v>75</v>
      </c>
      <c r="D348" s="146">
        <v>-20000.0</v>
      </c>
      <c r="E348" s="146">
        <v>0.0</v>
      </c>
      <c r="F348" s="146">
        <v>20000.0</v>
      </c>
      <c r="G348" s="164" t="s">
        <v>74</v>
      </c>
      <c r="H348" s="146">
        <v>0.0</v>
      </c>
      <c r="I348" s="149">
        <f t="shared" si="2"/>
        <v>678000</v>
      </c>
      <c r="J348" s="150"/>
      <c r="K348" s="144"/>
    </row>
    <row r="349" ht="26.25" customHeight="1">
      <c r="A349" s="163">
        <v>46091.0</v>
      </c>
      <c r="B349" s="156" t="s">
        <v>62</v>
      </c>
      <c r="C349" s="156" t="s">
        <v>193</v>
      </c>
      <c r="D349" s="146">
        <v>-10000.0</v>
      </c>
      <c r="E349" s="146">
        <v>0.0</v>
      </c>
      <c r="F349" s="146">
        <v>10000.0</v>
      </c>
      <c r="G349" s="164" t="s">
        <v>74</v>
      </c>
      <c r="H349" s="146">
        <v>0.0</v>
      </c>
      <c r="I349" s="149">
        <f t="shared" si="2"/>
        <v>668000</v>
      </c>
      <c r="J349" s="150"/>
      <c r="K349" s="144"/>
    </row>
    <row r="350" ht="26.25" customHeight="1">
      <c r="A350" s="163">
        <v>46091.0</v>
      </c>
      <c r="B350" s="156" t="s">
        <v>72</v>
      </c>
      <c r="C350" s="156" t="s">
        <v>194</v>
      </c>
      <c r="D350" s="146">
        <v>-10000.0</v>
      </c>
      <c r="E350" s="146">
        <v>0.0</v>
      </c>
      <c r="F350" s="146">
        <v>10000.0</v>
      </c>
      <c r="G350" s="164" t="s">
        <v>74</v>
      </c>
      <c r="H350" s="146">
        <v>0.0</v>
      </c>
      <c r="I350" s="149">
        <f t="shared" si="2"/>
        <v>658000</v>
      </c>
      <c r="J350" s="150"/>
      <c r="K350" s="144"/>
    </row>
    <row r="351" ht="26.25" customHeight="1">
      <c r="A351" s="163">
        <v>46092.0</v>
      </c>
      <c r="B351" s="156" t="s">
        <v>62</v>
      </c>
      <c r="C351" s="156" t="s">
        <v>36</v>
      </c>
      <c r="D351" s="146">
        <v>-10000.0</v>
      </c>
      <c r="E351" s="146">
        <v>0.0</v>
      </c>
      <c r="F351" s="146">
        <v>10000.0</v>
      </c>
      <c r="G351" s="164" t="s">
        <v>74</v>
      </c>
      <c r="H351" s="146">
        <v>0.0</v>
      </c>
      <c r="I351" s="149">
        <f t="shared" si="2"/>
        <v>648000</v>
      </c>
      <c r="J351" s="150"/>
      <c r="K351" s="144"/>
    </row>
    <row r="352" ht="26.25" customHeight="1">
      <c r="A352" s="163">
        <v>46092.0</v>
      </c>
      <c r="B352" s="156" t="s">
        <v>72</v>
      </c>
      <c r="C352" s="156" t="s">
        <v>77</v>
      </c>
      <c r="D352" s="146">
        <v>-7000.0</v>
      </c>
      <c r="E352" s="146">
        <v>0.0</v>
      </c>
      <c r="F352" s="146">
        <v>7000.0</v>
      </c>
      <c r="G352" s="164" t="s">
        <v>74</v>
      </c>
      <c r="H352" s="146">
        <v>0.0</v>
      </c>
      <c r="I352" s="149">
        <f t="shared" si="2"/>
        <v>641000</v>
      </c>
      <c r="J352" s="150"/>
      <c r="K352" s="144"/>
    </row>
    <row r="353" ht="26.25" customHeight="1">
      <c r="A353" s="163">
        <v>46092.0</v>
      </c>
      <c r="B353" s="156" t="s">
        <v>72</v>
      </c>
      <c r="C353" s="156" t="s">
        <v>91</v>
      </c>
      <c r="D353" s="146">
        <v>-3000.0</v>
      </c>
      <c r="E353" s="146">
        <v>0.0</v>
      </c>
      <c r="F353" s="146">
        <v>3000.0</v>
      </c>
      <c r="G353" s="164" t="s">
        <v>74</v>
      </c>
      <c r="H353" s="146">
        <v>0.0</v>
      </c>
      <c r="I353" s="149">
        <f t="shared" si="2"/>
        <v>638000</v>
      </c>
      <c r="J353" s="150"/>
      <c r="K353" s="144"/>
    </row>
    <row r="354" ht="26.25" customHeight="1">
      <c r="A354" s="163">
        <v>46092.0</v>
      </c>
      <c r="B354" s="156" t="s">
        <v>72</v>
      </c>
      <c r="C354" s="156" t="s">
        <v>77</v>
      </c>
      <c r="D354" s="146">
        <v>-10000.0</v>
      </c>
      <c r="E354" s="146">
        <v>0.0</v>
      </c>
      <c r="F354" s="146">
        <v>10000.0</v>
      </c>
      <c r="G354" s="164" t="s">
        <v>74</v>
      </c>
      <c r="H354" s="146">
        <v>0.0</v>
      </c>
      <c r="I354" s="149">
        <f t="shared" si="2"/>
        <v>628000</v>
      </c>
      <c r="J354" s="150"/>
      <c r="K354" s="144"/>
    </row>
    <row r="355" ht="26.25" customHeight="1">
      <c r="A355" s="163">
        <v>46093.0</v>
      </c>
      <c r="B355" s="156" t="s">
        <v>72</v>
      </c>
      <c r="C355" s="156" t="s">
        <v>105</v>
      </c>
      <c r="D355" s="146">
        <v>-7000.0</v>
      </c>
      <c r="E355" s="146">
        <v>0.0</v>
      </c>
      <c r="F355" s="146">
        <v>7000.0</v>
      </c>
      <c r="G355" s="164" t="s">
        <v>74</v>
      </c>
      <c r="H355" s="146">
        <v>0.0</v>
      </c>
      <c r="I355" s="149">
        <f t="shared" si="2"/>
        <v>621000</v>
      </c>
      <c r="J355" s="150"/>
      <c r="K355" s="144"/>
    </row>
    <row r="356" ht="26.25" customHeight="1">
      <c r="A356" s="163">
        <v>46095.0</v>
      </c>
      <c r="B356" s="156" t="s">
        <v>62</v>
      </c>
      <c r="C356" s="156" t="s">
        <v>36</v>
      </c>
      <c r="D356" s="146">
        <v>-80000.0</v>
      </c>
      <c r="E356" s="146">
        <v>0.0</v>
      </c>
      <c r="F356" s="146">
        <v>80000.0</v>
      </c>
      <c r="G356" s="164" t="s">
        <v>74</v>
      </c>
      <c r="H356" s="146">
        <v>0.0</v>
      </c>
      <c r="I356" s="149">
        <f t="shared" si="2"/>
        <v>541000</v>
      </c>
      <c r="J356" s="150"/>
      <c r="K356" s="144"/>
    </row>
    <row r="357" ht="26.25" customHeight="1">
      <c r="A357" s="163">
        <v>46095.0</v>
      </c>
      <c r="B357" s="156" t="s">
        <v>72</v>
      </c>
      <c r="C357" s="156" t="s">
        <v>178</v>
      </c>
      <c r="D357" s="146">
        <v>-10000.0</v>
      </c>
      <c r="E357" s="146">
        <v>0.0</v>
      </c>
      <c r="F357" s="146">
        <v>10000.0</v>
      </c>
      <c r="G357" s="164" t="s">
        <v>74</v>
      </c>
      <c r="H357" s="146">
        <v>0.0</v>
      </c>
      <c r="I357" s="149">
        <f t="shared" si="2"/>
        <v>531000</v>
      </c>
      <c r="J357" s="150"/>
      <c r="K357" s="144"/>
    </row>
    <row r="358" ht="26.25" customHeight="1">
      <c r="A358" s="163">
        <v>46095.0</v>
      </c>
      <c r="B358" s="156" t="s">
        <v>72</v>
      </c>
      <c r="C358" s="156" t="s">
        <v>75</v>
      </c>
      <c r="D358" s="146">
        <v>-10000.0</v>
      </c>
      <c r="E358" s="146">
        <v>0.0</v>
      </c>
      <c r="F358" s="146">
        <v>10000.0</v>
      </c>
      <c r="G358" s="164" t="s">
        <v>74</v>
      </c>
      <c r="H358" s="146">
        <v>0.0</v>
      </c>
      <c r="I358" s="149">
        <f t="shared" si="2"/>
        <v>521000</v>
      </c>
      <c r="J358" s="150"/>
      <c r="K358" s="144"/>
    </row>
    <row r="359" ht="26.25" customHeight="1">
      <c r="A359" s="163">
        <v>46095.0</v>
      </c>
      <c r="B359" s="156" t="s">
        <v>62</v>
      </c>
      <c r="C359" s="156" t="s">
        <v>28</v>
      </c>
      <c r="D359" s="146">
        <v>-15000.0</v>
      </c>
      <c r="E359" s="146">
        <v>0.0</v>
      </c>
      <c r="F359" s="146">
        <v>15000.0</v>
      </c>
      <c r="G359" s="164" t="s">
        <v>74</v>
      </c>
      <c r="H359" s="146">
        <v>0.0</v>
      </c>
      <c r="I359" s="149">
        <f t="shared" si="2"/>
        <v>506000</v>
      </c>
      <c r="J359" s="150"/>
      <c r="K359" s="144"/>
    </row>
    <row r="360" ht="26.25" customHeight="1">
      <c r="A360" s="163">
        <v>46096.0</v>
      </c>
      <c r="B360" s="156" t="s">
        <v>101</v>
      </c>
      <c r="C360" s="156" t="s">
        <v>176</v>
      </c>
      <c r="D360" s="146">
        <v>-50000.0</v>
      </c>
      <c r="E360" s="146">
        <v>0.0</v>
      </c>
      <c r="F360" s="146">
        <v>50000.0</v>
      </c>
      <c r="G360" s="164" t="s">
        <v>74</v>
      </c>
      <c r="H360" s="146">
        <v>0.0</v>
      </c>
      <c r="I360" s="149">
        <f t="shared" si="2"/>
        <v>456000</v>
      </c>
      <c r="J360" s="150"/>
      <c r="K360" s="144"/>
    </row>
    <row r="361" ht="26.25" customHeight="1">
      <c r="A361" s="163">
        <v>46096.0</v>
      </c>
      <c r="B361" s="156" t="s">
        <v>101</v>
      </c>
      <c r="C361" s="156" t="s">
        <v>114</v>
      </c>
      <c r="D361" s="146">
        <v>-50000.0</v>
      </c>
      <c r="E361" s="146">
        <v>0.0</v>
      </c>
      <c r="F361" s="146">
        <v>50000.0</v>
      </c>
      <c r="G361" s="164" t="s">
        <v>74</v>
      </c>
      <c r="H361" s="146">
        <v>0.0</v>
      </c>
      <c r="I361" s="149">
        <f t="shared" si="2"/>
        <v>406000</v>
      </c>
      <c r="J361" s="150"/>
      <c r="K361" s="144"/>
    </row>
    <row r="362" ht="26.25" customHeight="1">
      <c r="A362" s="165">
        <v>46097.0</v>
      </c>
      <c r="B362" s="156" t="s">
        <v>59</v>
      </c>
      <c r="C362" s="156" t="s">
        <v>195</v>
      </c>
      <c r="D362" s="146">
        <v>0.0</v>
      </c>
      <c r="E362" s="146">
        <v>0.0</v>
      </c>
      <c r="F362" s="146">
        <v>0.0</v>
      </c>
      <c r="G362" s="164" t="s">
        <v>65</v>
      </c>
      <c r="H362" s="146">
        <v>1500000.0</v>
      </c>
      <c r="I362" s="149">
        <f t="shared" si="2"/>
        <v>406000</v>
      </c>
      <c r="J362" s="150"/>
      <c r="K362" s="144"/>
    </row>
    <row r="363" ht="26.25" customHeight="1">
      <c r="A363" s="165">
        <v>46097.0</v>
      </c>
      <c r="B363" s="156" t="s">
        <v>59</v>
      </c>
      <c r="C363" s="156" t="s">
        <v>68</v>
      </c>
      <c r="D363" s="146">
        <v>0.0</v>
      </c>
      <c r="E363" s="146">
        <v>0.0</v>
      </c>
      <c r="F363" s="146">
        <v>0.0</v>
      </c>
      <c r="G363" s="164" t="s">
        <v>65</v>
      </c>
      <c r="H363" s="146">
        <v>1000000.0</v>
      </c>
      <c r="I363" s="149">
        <f t="shared" si="2"/>
        <v>406000</v>
      </c>
      <c r="J363" s="150"/>
      <c r="K363" s="144"/>
    </row>
    <row r="364" ht="26.25" customHeight="1">
      <c r="A364" s="165">
        <v>46097.0</v>
      </c>
      <c r="B364" s="156" t="s">
        <v>62</v>
      </c>
      <c r="C364" s="156" t="s">
        <v>27</v>
      </c>
      <c r="D364" s="146">
        <v>-40000.0</v>
      </c>
      <c r="E364" s="146">
        <v>0.0</v>
      </c>
      <c r="F364" s="146">
        <v>40000.0</v>
      </c>
      <c r="G364" s="164" t="s">
        <v>74</v>
      </c>
      <c r="H364" s="146">
        <v>0.0</v>
      </c>
      <c r="I364" s="149">
        <f t="shared" si="2"/>
        <v>366000</v>
      </c>
      <c r="J364" s="150"/>
      <c r="K364" s="144"/>
    </row>
    <row r="365" ht="26.25" customHeight="1">
      <c r="A365" s="165">
        <v>46097.0</v>
      </c>
      <c r="B365" s="156" t="s">
        <v>62</v>
      </c>
      <c r="C365" s="156" t="s">
        <v>28</v>
      </c>
      <c r="D365" s="146">
        <v>0.0</v>
      </c>
      <c r="E365" s="146">
        <v>0.0</v>
      </c>
      <c r="F365" s="146">
        <v>0.0</v>
      </c>
      <c r="G365" s="164" t="s">
        <v>65</v>
      </c>
      <c r="H365" s="146">
        <v>30000.0</v>
      </c>
      <c r="I365" s="149">
        <f t="shared" si="2"/>
        <v>366000</v>
      </c>
      <c r="J365" s="150"/>
      <c r="K365" s="144"/>
    </row>
    <row r="366" ht="26.25" customHeight="1">
      <c r="A366" s="165">
        <v>46098.0</v>
      </c>
      <c r="B366" s="156" t="s">
        <v>72</v>
      </c>
      <c r="C366" s="156" t="s">
        <v>77</v>
      </c>
      <c r="D366" s="146">
        <v>-10000.0</v>
      </c>
      <c r="E366" s="146">
        <v>0.0</v>
      </c>
      <c r="F366" s="146">
        <v>10000.0</v>
      </c>
      <c r="G366" s="164" t="s">
        <v>74</v>
      </c>
      <c r="H366" s="146">
        <v>0.0</v>
      </c>
      <c r="I366" s="149">
        <f t="shared" si="2"/>
        <v>356000</v>
      </c>
      <c r="J366" s="150"/>
      <c r="K366" s="144"/>
    </row>
    <row r="367" ht="26.25" customHeight="1">
      <c r="A367" s="165">
        <v>46098.0</v>
      </c>
      <c r="B367" s="156" t="s">
        <v>72</v>
      </c>
      <c r="C367" s="156" t="s">
        <v>196</v>
      </c>
      <c r="D367" s="146">
        <v>-25000.0</v>
      </c>
      <c r="E367" s="146">
        <v>0.0</v>
      </c>
      <c r="F367" s="146">
        <v>25000.0</v>
      </c>
      <c r="G367" s="164" t="s">
        <v>74</v>
      </c>
      <c r="H367" s="146">
        <v>0.0</v>
      </c>
      <c r="I367" s="149">
        <f t="shared" si="2"/>
        <v>331000</v>
      </c>
      <c r="J367" s="150"/>
      <c r="K367" s="144"/>
    </row>
    <row r="368" ht="26.25" customHeight="1">
      <c r="A368" s="165">
        <v>46098.0</v>
      </c>
      <c r="B368" s="156" t="s">
        <v>62</v>
      </c>
      <c r="C368" s="156" t="s">
        <v>186</v>
      </c>
      <c r="D368" s="146">
        <v>-5000.0</v>
      </c>
      <c r="E368" s="146">
        <v>0.0</v>
      </c>
      <c r="F368" s="146">
        <v>5000.0</v>
      </c>
      <c r="G368" s="164" t="s">
        <v>74</v>
      </c>
      <c r="H368" s="146">
        <v>0.0</v>
      </c>
      <c r="I368" s="149">
        <f t="shared" si="2"/>
        <v>326000</v>
      </c>
      <c r="J368" s="150"/>
      <c r="K368" s="144"/>
    </row>
    <row r="369" ht="26.25" customHeight="1">
      <c r="A369" s="165">
        <v>46098.0</v>
      </c>
      <c r="B369" s="156" t="s">
        <v>62</v>
      </c>
      <c r="C369" s="156" t="s">
        <v>27</v>
      </c>
      <c r="D369" s="146">
        <v>-55000.0</v>
      </c>
      <c r="E369" s="146">
        <v>0.0</v>
      </c>
      <c r="F369" s="146">
        <v>55000.0</v>
      </c>
      <c r="G369" s="164" t="s">
        <v>74</v>
      </c>
      <c r="H369" s="146">
        <v>0.0</v>
      </c>
      <c r="I369" s="149">
        <f t="shared" si="2"/>
        <v>271000</v>
      </c>
      <c r="J369" s="150"/>
      <c r="K369" s="144"/>
    </row>
    <row r="370" ht="26.25" customHeight="1">
      <c r="A370" s="165">
        <v>46098.0</v>
      </c>
      <c r="B370" s="156" t="s">
        <v>72</v>
      </c>
      <c r="C370" s="156" t="s">
        <v>197</v>
      </c>
      <c r="D370" s="146">
        <v>-10000.0</v>
      </c>
      <c r="E370" s="146">
        <v>0.0</v>
      </c>
      <c r="F370" s="146">
        <v>10000.0</v>
      </c>
      <c r="G370" s="164" t="s">
        <v>74</v>
      </c>
      <c r="H370" s="146">
        <v>0.0</v>
      </c>
      <c r="I370" s="149">
        <f t="shared" si="2"/>
        <v>261000</v>
      </c>
      <c r="J370" s="150"/>
      <c r="K370" s="144"/>
    </row>
    <row r="371" ht="26.25" customHeight="1">
      <c r="A371" s="165">
        <v>46098.0</v>
      </c>
      <c r="B371" s="156" t="s">
        <v>72</v>
      </c>
      <c r="C371" s="156" t="s">
        <v>198</v>
      </c>
      <c r="D371" s="146">
        <v>-4000.0</v>
      </c>
      <c r="E371" s="146">
        <v>0.0</v>
      </c>
      <c r="F371" s="146">
        <v>4000.0</v>
      </c>
      <c r="G371" s="164" t="s">
        <v>74</v>
      </c>
      <c r="H371" s="146">
        <v>0.0</v>
      </c>
      <c r="I371" s="149">
        <f t="shared" si="2"/>
        <v>257000</v>
      </c>
      <c r="J371" s="150"/>
      <c r="K371" s="144"/>
    </row>
    <row r="372" ht="26.25" customHeight="1">
      <c r="A372" s="165">
        <v>46098.0</v>
      </c>
      <c r="B372" s="156" t="s">
        <v>72</v>
      </c>
      <c r="C372" s="156" t="s">
        <v>199</v>
      </c>
      <c r="D372" s="146">
        <v>-10000.0</v>
      </c>
      <c r="E372" s="146">
        <v>0.0</v>
      </c>
      <c r="F372" s="146">
        <v>10000.0</v>
      </c>
      <c r="G372" s="164" t="s">
        <v>74</v>
      </c>
      <c r="H372" s="146">
        <v>0.0</v>
      </c>
      <c r="I372" s="149">
        <f t="shared" si="2"/>
        <v>247000</v>
      </c>
      <c r="J372" s="150"/>
      <c r="K372" s="144"/>
    </row>
    <row r="373" ht="26.25" customHeight="1">
      <c r="A373" s="165">
        <v>46099.0</v>
      </c>
      <c r="B373" s="156" t="s">
        <v>70</v>
      </c>
      <c r="C373" s="156" t="s">
        <v>200</v>
      </c>
      <c r="D373" s="146">
        <v>2500000.0</v>
      </c>
      <c r="E373" s="146">
        <v>2500000.0</v>
      </c>
      <c r="F373" s="146">
        <v>0.0</v>
      </c>
      <c r="G373" s="164" t="s">
        <v>74</v>
      </c>
      <c r="H373" s="146">
        <v>2500000.0</v>
      </c>
      <c r="I373" s="149">
        <f t="shared" si="2"/>
        <v>2747000</v>
      </c>
      <c r="J373" s="150"/>
      <c r="K373" s="144"/>
    </row>
    <row r="374" ht="26.25" customHeight="1">
      <c r="A374" s="165">
        <v>46100.0</v>
      </c>
      <c r="B374" s="156" t="s">
        <v>62</v>
      </c>
      <c r="C374" s="156" t="s">
        <v>36</v>
      </c>
      <c r="D374" s="146">
        <v>-5000.0</v>
      </c>
      <c r="E374" s="146">
        <v>0.0</v>
      </c>
      <c r="F374" s="146">
        <v>5000.0</v>
      </c>
      <c r="G374" s="164" t="s">
        <v>74</v>
      </c>
      <c r="H374" s="146">
        <v>0.0</v>
      </c>
      <c r="I374" s="149">
        <f t="shared" si="2"/>
        <v>2742000</v>
      </c>
      <c r="J374" s="150"/>
      <c r="K374" s="144"/>
    </row>
    <row r="375" ht="26.25" customHeight="1">
      <c r="A375" s="165">
        <v>46100.0</v>
      </c>
      <c r="B375" s="156" t="s">
        <v>62</v>
      </c>
      <c r="C375" s="156" t="s">
        <v>36</v>
      </c>
      <c r="D375" s="146">
        <v>-260000.0</v>
      </c>
      <c r="E375" s="146">
        <v>0.0</v>
      </c>
      <c r="F375" s="146">
        <v>260000.0</v>
      </c>
      <c r="G375" s="164" t="s">
        <v>74</v>
      </c>
      <c r="H375" s="146">
        <v>0.0</v>
      </c>
      <c r="I375" s="149">
        <f t="shared" si="2"/>
        <v>2482000</v>
      </c>
      <c r="J375" s="150"/>
      <c r="K375" s="144"/>
    </row>
    <row r="376" ht="26.25" customHeight="1">
      <c r="A376" s="165">
        <v>46100.0</v>
      </c>
      <c r="B376" s="156" t="s">
        <v>72</v>
      </c>
      <c r="C376" s="156" t="s">
        <v>201</v>
      </c>
      <c r="D376" s="146">
        <v>-435000.0</v>
      </c>
      <c r="E376" s="146">
        <v>0.0</v>
      </c>
      <c r="F376" s="146">
        <v>435000.0</v>
      </c>
      <c r="G376" s="164" t="s">
        <v>74</v>
      </c>
      <c r="H376" s="146">
        <v>0.0</v>
      </c>
      <c r="I376" s="149">
        <f t="shared" si="2"/>
        <v>2047000</v>
      </c>
      <c r="J376" s="150"/>
      <c r="K376" s="144"/>
    </row>
    <row r="377" ht="26.25" customHeight="1">
      <c r="A377" s="165">
        <v>46100.0</v>
      </c>
      <c r="B377" s="156" t="s">
        <v>62</v>
      </c>
      <c r="C377" s="156" t="s">
        <v>78</v>
      </c>
      <c r="D377" s="146">
        <v>-25000.0</v>
      </c>
      <c r="E377" s="146">
        <v>0.0</v>
      </c>
      <c r="F377" s="146">
        <v>25000.0</v>
      </c>
      <c r="G377" s="164" t="s">
        <v>74</v>
      </c>
      <c r="H377" s="146">
        <v>0.0</v>
      </c>
      <c r="I377" s="149">
        <f t="shared" si="2"/>
        <v>2022000</v>
      </c>
      <c r="J377" s="150"/>
      <c r="K377" s="144"/>
    </row>
    <row r="378" ht="26.25" customHeight="1">
      <c r="A378" s="165">
        <v>46100.0</v>
      </c>
      <c r="B378" s="156" t="s">
        <v>62</v>
      </c>
      <c r="C378" s="156" t="s">
        <v>63</v>
      </c>
      <c r="D378" s="146">
        <v>-10000.0</v>
      </c>
      <c r="E378" s="146">
        <v>0.0</v>
      </c>
      <c r="F378" s="146">
        <v>10000.0</v>
      </c>
      <c r="G378" s="164" t="s">
        <v>74</v>
      </c>
      <c r="H378" s="146">
        <v>0.0</v>
      </c>
      <c r="I378" s="149">
        <f t="shared" si="2"/>
        <v>2012000</v>
      </c>
      <c r="J378" s="150"/>
      <c r="K378" s="144"/>
    </row>
    <row r="379" ht="26.25" customHeight="1">
      <c r="A379" s="165">
        <v>46100.0</v>
      </c>
      <c r="B379" s="156" t="s">
        <v>72</v>
      </c>
      <c r="C379" s="156" t="s">
        <v>202</v>
      </c>
      <c r="D379" s="146">
        <v>-10000.0</v>
      </c>
      <c r="E379" s="146">
        <v>0.0</v>
      </c>
      <c r="F379" s="146">
        <v>10000.0</v>
      </c>
      <c r="G379" s="164" t="s">
        <v>74</v>
      </c>
      <c r="H379" s="146">
        <v>0.0</v>
      </c>
      <c r="I379" s="149">
        <f t="shared" si="2"/>
        <v>2002000</v>
      </c>
      <c r="J379" s="150"/>
      <c r="K379" s="144"/>
    </row>
    <row r="380" ht="26.25" customHeight="1">
      <c r="A380" s="165">
        <v>46100.0</v>
      </c>
      <c r="B380" s="156" t="s">
        <v>62</v>
      </c>
      <c r="C380" s="156" t="s">
        <v>27</v>
      </c>
      <c r="D380" s="146">
        <v>-100000.0</v>
      </c>
      <c r="E380" s="146">
        <v>0.0</v>
      </c>
      <c r="F380" s="146">
        <v>100000.0</v>
      </c>
      <c r="G380" s="164" t="s">
        <v>74</v>
      </c>
      <c r="H380" s="146">
        <v>0.0</v>
      </c>
      <c r="I380" s="149">
        <f t="shared" si="2"/>
        <v>1902000</v>
      </c>
      <c r="J380" s="150"/>
      <c r="K380" s="144"/>
    </row>
    <row r="381" ht="26.25" customHeight="1">
      <c r="A381" s="165">
        <v>46102.0</v>
      </c>
      <c r="B381" s="156" t="s">
        <v>72</v>
      </c>
      <c r="C381" s="156" t="s">
        <v>203</v>
      </c>
      <c r="D381" s="146">
        <v>-40000.0</v>
      </c>
      <c r="E381" s="146">
        <v>0.0</v>
      </c>
      <c r="F381" s="146">
        <v>40000.0</v>
      </c>
      <c r="G381" s="164" t="s">
        <v>74</v>
      </c>
      <c r="H381" s="146">
        <v>0.0</v>
      </c>
      <c r="I381" s="149">
        <f t="shared" si="2"/>
        <v>1862000</v>
      </c>
      <c r="J381" s="150"/>
      <c r="K381" s="144"/>
    </row>
    <row r="382" ht="26.25" customHeight="1">
      <c r="A382" s="165">
        <v>46102.0</v>
      </c>
      <c r="B382" s="156" t="s">
        <v>62</v>
      </c>
      <c r="C382" s="156" t="s">
        <v>86</v>
      </c>
      <c r="D382" s="146">
        <v>-40000.0</v>
      </c>
      <c r="E382" s="146">
        <v>0.0</v>
      </c>
      <c r="F382" s="146">
        <v>40000.0</v>
      </c>
      <c r="G382" s="164" t="s">
        <v>74</v>
      </c>
      <c r="H382" s="146">
        <v>0.0</v>
      </c>
      <c r="I382" s="149">
        <f t="shared" si="2"/>
        <v>1822000</v>
      </c>
      <c r="J382" s="150"/>
      <c r="K382" s="144"/>
    </row>
    <row r="383" ht="26.25" customHeight="1">
      <c r="A383" s="165">
        <v>46102.0</v>
      </c>
      <c r="B383" s="156" t="s">
        <v>62</v>
      </c>
      <c r="C383" s="156" t="s">
        <v>186</v>
      </c>
      <c r="D383" s="146">
        <v>-25000.0</v>
      </c>
      <c r="E383" s="146">
        <v>0.0</v>
      </c>
      <c r="F383" s="146">
        <v>25000.0</v>
      </c>
      <c r="G383" s="164" t="s">
        <v>74</v>
      </c>
      <c r="H383" s="146">
        <v>0.0</v>
      </c>
      <c r="I383" s="149">
        <f t="shared" si="2"/>
        <v>1797000</v>
      </c>
      <c r="J383" s="150"/>
      <c r="K383" s="144"/>
    </row>
    <row r="384" ht="26.25" customHeight="1">
      <c r="A384" s="165">
        <v>46102.0</v>
      </c>
      <c r="B384" s="156" t="s">
        <v>72</v>
      </c>
      <c r="C384" s="156" t="s">
        <v>204</v>
      </c>
      <c r="D384" s="146">
        <v>-5000.0</v>
      </c>
      <c r="E384" s="146">
        <v>0.0</v>
      </c>
      <c r="F384" s="146">
        <v>5000.0</v>
      </c>
      <c r="G384" s="164" t="s">
        <v>74</v>
      </c>
      <c r="H384" s="146">
        <v>0.0</v>
      </c>
      <c r="I384" s="149">
        <f t="shared" si="2"/>
        <v>1792000</v>
      </c>
      <c r="J384" s="150"/>
      <c r="K384" s="144"/>
    </row>
    <row r="385" ht="26.25" customHeight="1">
      <c r="A385" s="165">
        <v>46103.0</v>
      </c>
      <c r="B385" s="156" t="s">
        <v>62</v>
      </c>
      <c r="C385" s="156" t="s">
        <v>205</v>
      </c>
      <c r="D385" s="146">
        <v>-500000.0</v>
      </c>
      <c r="E385" s="146">
        <v>0.0</v>
      </c>
      <c r="F385" s="146">
        <v>500000.0</v>
      </c>
      <c r="G385" s="164" t="s">
        <v>74</v>
      </c>
      <c r="H385" s="146">
        <v>0.0</v>
      </c>
      <c r="I385" s="149">
        <f t="shared" si="2"/>
        <v>1292000</v>
      </c>
      <c r="J385" s="150"/>
      <c r="K385" s="144"/>
    </row>
    <row r="386" ht="26.25" customHeight="1">
      <c r="A386" s="165">
        <v>46103.0</v>
      </c>
      <c r="B386" s="156" t="s">
        <v>62</v>
      </c>
      <c r="C386" s="156" t="s">
        <v>206</v>
      </c>
      <c r="D386" s="146">
        <v>0.0</v>
      </c>
      <c r="E386" s="146">
        <v>0.0</v>
      </c>
      <c r="F386" s="146">
        <v>0.0</v>
      </c>
      <c r="G386" s="164" t="s">
        <v>65</v>
      </c>
      <c r="H386" s="146">
        <v>30000.0</v>
      </c>
      <c r="I386" s="149">
        <f t="shared" si="2"/>
        <v>1292000</v>
      </c>
      <c r="J386" s="150"/>
      <c r="K386" s="144"/>
    </row>
    <row r="387" ht="26.25" customHeight="1">
      <c r="A387" s="165">
        <v>46103.0</v>
      </c>
      <c r="B387" s="156" t="s">
        <v>62</v>
      </c>
      <c r="C387" s="156" t="s">
        <v>206</v>
      </c>
      <c r="D387" s="146">
        <v>0.0</v>
      </c>
      <c r="E387" s="146">
        <v>0.0</v>
      </c>
      <c r="F387" s="146">
        <v>0.0</v>
      </c>
      <c r="G387" s="164" t="s">
        <v>65</v>
      </c>
      <c r="H387" s="146">
        <v>200000.0</v>
      </c>
      <c r="I387" s="149">
        <f t="shared" si="2"/>
        <v>1292000</v>
      </c>
      <c r="J387" s="150"/>
      <c r="K387" s="144"/>
    </row>
    <row r="388" ht="26.25" customHeight="1">
      <c r="A388" s="165">
        <v>46103.0</v>
      </c>
      <c r="B388" s="156" t="s">
        <v>72</v>
      </c>
      <c r="C388" s="156" t="s">
        <v>207</v>
      </c>
      <c r="D388" s="146">
        <v>-8000.0</v>
      </c>
      <c r="E388" s="146">
        <v>0.0</v>
      </c>
      <c r="F388" s="146">
        <v>8000.0</v>
      </c>
      <c r="G388" s="164" t="s">
        <v>74</v>
      </c>
      <c r="H388" s="146">
        <v>0.0</v>
      </c>
      <c r="I388" s="149">
        <f t="shared" si="2"/>
        <v>1284000</v>
      </c>
      <c r="J388" s="150"/>
      <c r="K388" s="144"/>
    </row>
    <row r="389" ht="26.25" customHeight="1">
      <c r="A389" s="165">
        <v>46103.0</v>
      </c>
      <c r="B389" s="156" t="s">
        <v>62</v>
      </c>
      <c r="C389" s="156" t="s">
        <v>37</v>
      </c>
      <c r="D389" s="146">
        <v>-10000.0</v>
      </c>
      <c r="E389" s="146">
        <v>0.0</v>
      </c>
      <c r="F389" s="146">
        <v>10000.0</v>
      </c>
      <c r="G389" s="164" t="s">
        <v>74</v>
      </c>
      <c r="H389" s="146">
        <v>0.0</v>
      </c>
      <c r="I389" s="149">
        <f t="shared" si="2"/>
        <v>1274000</v>
      </c>
      <c r="J389" s="150"/>
      <c r="K389" s="144"/>
    </row>
    <row r="390" ht="26.25" customHeight="1">
      <c r="A390" s="165">
        <v>46103.0</v>
      </c>
      <c r="B390" s="156" t="s">
        <v>62</v>
      </c>
      <c r="C390" s="156" t="s">
        <v>63</v>
      </c>
      <c r="D390" s="146">
        <v>-5000.0</v>
      </c>
      <c r="E390" s="146">
        <v>0.0</v>
      </c>
      <c r="F390" s="146">
        <v>5000.0</v>
      </c>
      <c r="G390" s="164" t="s">
        <v>74</v>
      </c>
      <c r="H390" s="146">
        <v>0.0</v>
      </c>
      <c r="I390" s="149">
        <f t="shared" si="2"/>
        <v>1269000</v>
      </c>
      <c r="J390" s="150"/>
      <c r="K390" s="144"/>
    </row>
    <row r="391" ht="26.25" customHeight="1">
      <c r="A391" s="165">
        <v>46103.0</v>
      </c>
      <c r="B391" s="156" t="s">
        <v>72</v>
      </c>
      <c r="C391" s="156" t="s">
        <v>208</v>
      </c>
      <c r="D391" s="146">
        <v>-2000.0</v>
      </c>
      <c r="E391" s="146">
        <v>0.0</v>
      </c>
      <c r="F391" s="146">
        <v>2000.0</v>
      </c>
      <c r="G391" s="164" t="s">
        <v>74</v>
      </c>
      <c r="H391" s="146">
        <v>0.0</v>
      </c>
      <c r="I391" s="149">
        <f t="shared" si="2"/>
        <v>1267000</v>
      </c>
      <c r="J391" s="150"/>
      <c r="K391" s="144"/>
    </row>
    <row r="392" ht="26.25" customHeight="1">
      <c r="A392" s="165">
        <v>46104.0</v>
      </c>
      <c r="B392" s="156" t="s">
        <v>72</v>
      </c>
      <c r="C392" s="156" t="s">
        <v>209</v>
      </c>
      <c r="D392" s="146">
        <v>-35000.0</v>
      </c>
      <c r="E392" s="146">
        <v>0.0</v>
      </c>
      <c r="F392" s="146">
        <v>35000.0</v>
      </c>
      <c r="G392" s="164" t="s">
        <v>74</v>
      </c>
      <c r="H392" s="146">
        <v>0.0</v>
      </c>
      <c r="I392" s="149">
        <f t="shared" si="2"/>
        <v>1232000</v>
      </c>
      <c r="J392" s="150"/>
      <c r="K392" s="144"/>
    </row>
    <row r="393" ht="26.25" customHeight="1">
      <c r="A393" s="165">
        <v>46104.0</v>
      </c>
      <c r="B393" s="156" t="s">
        <v>72</v>
      </c>
      <c r="C393" s="156" t="s">
        <v>37</v>
      </c>
      <c r="D393" s="146">
        <v>-75000.0</v>
      </c>
      <c r="E393" s="146">
        <v>0.0</v>
      </c>
      <c r="F393" s="146">
        <v>75000.0</v>
      </c>
      <c r="G393" s="164" t="s">
        <v>74</v>
      </c>
      <c r="H393" s="146">
        <v>0.0</v>
      </c>
      <c r="I393" s="149">
        <f t="shared" si="2"/>
        <v>1157000</v>
      </c>
      <c r="J393" s="150"/>
      <c r="K393" s="144"/>
    </row>
    <row r="394" ht="26.25" customHeight="1">
      <c r="A394" s="165">
        <v>46104.0</v>
      </c>
      <c r="B394" s="156" t="s">
        <v>62</v>
      </c>
      <c r="C394" s="156" t="s">
        <v>128</v>
      </c>
      <c r="D394" s="146">
        <v>-20000.0</v>
      </c>
      <c r="E394" s="146">
        <v>0.0</v>
      </c>
      <c r="F394" s="146">
        <v>20000.0</v>
      </c>
      <c r="G394" s="164" t="s">
        <v>74</v>
      </c>
      <c r="H394" s="146">
        <v>0.0</v>
      </c>
      <c r="I394" s="149">
        <f t="shared" si="2"/>
        <v>1137000</v>
      </c>
      <c r="J394" s="150"/>
      <c r="K394" s="144"/>
    </row>
    <row r="395" ht="26.25" customHeight="1">
      <c r="A395" s="165">
        <v>46104.0</v>
      </c>
      <c r="B395" s="156" t="s">
        <v>62</v>
      </c>
      <c r="C395" s="156" t="s">
        <v>27</v>
      </c>
      <c r="D395" s="146">
        <v>-32000.0</v>
      </c>
      <c r="E395" s="146">
        <v>0.0</v>
      </c>
      <c r="F395" s="146">
        <v>32000.0</v>
      </c>
      <c r="G395" s="164" t="s">
        <v>74</v>
      </c>
      <c r="H395" s="146">
        <v>0.0</v>
      </c>
      <c r="I395" s="149">
        <f t="shared" si="2"/>
        <v>1105000</v>
      </c>
      <c r="J395" s="150"/>
      <c r="K395" s="144"/>
    </row>
    <row r="396" ht="26.25" customHeight="1">
      <c r="A396" s="165">
        <v>46104.0</v>
      </c>
      <c r="B396" s="156" t="s">
        <v>62</v>
      </c>
      <c r="C396" s="156" t="s">
        <v>210</v>
      </c>
      <c r="D396" s="146">
        <v>-3000.0</v>
      </c>
      <c r="E396" s="146">
        <v>0.0</v>
      </c>
      <c r="F396" s="146">
        <v>3000.0</v>
      </c>
      <c r="G396" s="164" t="s">
        <v>74</v>
      </c>
      <c r="H396" s="146">
        <v>0.0</v>
      </c>
      <c r="I396" s="149">
        <f t="shared" si="2"/>
        <v>1102000</v>
      </c>
      <c r="J396" s="150"/>
      <c r="K396" s="144"/>
    </row>
    <row r="397" ht="26.25" customHeight="1">
      <c r="A397" s="165">
        <v>46106.0</v>
      </c>
      <c r="B397" s="156" t="s">
        <v>72</v>
      </c>
      <c r="C397" s="156" t="s">
        <v>211</v>
      </c>
      <c r="D397" s="146">
        <v>-122000.0</v>
      </c>
      <c r="E397" s="146">
        <v>0.0</v>
      </c>
      <c r="F397" s="146">
        <v>122000.0</v>
      </c>
      <c r="G397" s="164" t="s">
        <v>74</v>
      </c>
      <c r="H397" s="146">
        <v>0.0</v>
      </c>
      <c r="I397" s="149">
        <f t="shared" si="2"/>
        <v>980000</v>
      </c>
      <c r="J397" s="150"/>
      <c r="K397" s="144"/>
    </row>
    <row r="398" ht="26.25" customHeight="1">
      <c r="A398" s="165">
        <v>46106.0</v>
      </c>
      <c r="B398" s="156" t="s">
        <v>70</v>
      </c>
      <c r="C398" s="166" t="s">
        <v>212</v>
      </c>
      <c r="D398" s="146">
        <v>4725000.0</v>
      </c>
      <c r="E398" s="146">
        <v>4725000.0</v>
      </c>
      <c r="F398" s="146">
        <v>0.0</v>
      </c>
      <c r="G398" s="164" t="s">
        <v>65</v>
      </c>
      <c r="H398" s="146">
        <v>4725000.0</v>
      </c>
      <c r="I398" s="149">
        <f t="shared" si="2"/>
        <v>5705000</v>
      </c>
      <c r="J398" s="150"/>
      <c r="K398" s="144"/>
    </row>
    <row r="399" ht="26.25" customHeight="1">
      <c r="A399" s="165">
        <v>46106.0</v>
      </c>
      <c r="B399" s="156" t="s">
        <v>72</v>
      </c>
      <c r="C399" s="167" t="s">
        <v>118</v>
      </c>
      <c r="D399" s="146">
        <v>-5000.0</v>
      </c>
      <c r="E399" s="146">
        <v>0.0</v>
      </c>
      <c r="F399" s="146">
        <v>5000.0</v>
      </c>
      <c r="G399" s="164" t="s">
        <v>74</v>
      </c>
      <c r="H399" s="146">
        <v>0.0</v>
      </c>
      <c r="I399" s="149">
        <f t="shared" si="2"/>
        <v>5700000</v>
      </c>
      <c r="J399" s="168">
        <v>200000.0</v>
      </c>
      <c r="K399" s="167" t="s">
        <v>213</v>
      </c>
    </row>
    <row r="400" ht="26.25" customHeight="1">
      <c r="A400" s="165">
        <v>46106.0</v>
      </c>
      <c r="B400" s="156" t="s">
        <v>62</v>
      </c>
      <c r="C400" s="167" t="s">
        <v>78</v>
      </c>
      <c r="D400" s="146">
        <v>-50000.0</v>
      </c>
      <c r="E400" s="146">
        <v>0.0</v>
      </c>
      <c r="F400" s="146">
        <v>50000.0</v>
      </c>
      <c r="G400" s="164" t="s">
        <v>74</v>
      </c>
      <c r="H400" s="146">
        <v>0.0</v>
      </c>
      <c r="I400" s="149">
        <f t="shared" si="2"/>
        <v>5650000</v>
      </c>
      <c r="J400" s="168">
        <v>70000.0</v>
      </c>
      <c r="K400" s="167" t="s">
        <v>214</v>
      </c>
    </row>
    <row r="401" ht="26.25" customHeight="1">
      <c r="A401" s="165">
        <v>46106.0</v>
      </c>
      <c r="B401" s="156" t="s">
        <v>72</v>
      </c>
      <c r="C401" s="167" t="s">
        <v>77</v>
      </c>
      <c r="D401" s="146">
        <v>-5000.0</v>
      </c>
      <c r="E401" s="146">
        <v>0.0</v>
      </c>
      <c r="F401" s="146">
        <v>5000.0</v>
      </c>
      <c r="G401" s="164" t="s">
        <v>74</v>
      </c>
      <c r="H401" s="146">
        <v>0.0</v>
      </c>
      <c r="I401" s="149">
        <f t="shared" si="2"/>
        <v>5645000</v>
      </c>
      <c r="J401" s="168">
        <v>37250.0</v>
      </c>
      <c r="K401" s="167" t="s">
        <v>215</v>
      </c>
    </row>
    <row r="402" ht="26.25" customHeight="1">
      <c r="A402" s="165">
        <v>46106.0</v>
      </c>
      <c r="B402" s="156" t="s">
        <v>62</v>
      </c>
      <c r="C402" s="167" t="s">
        <v>36</v>
      </c>
      <c r="D402" s="146">
        <v>-5000.0</v>
      </c>
      <c r="E402" s="146">
        <v>0.0</v>
      </c>
      <c r="F402" s="146">
        <v>5000.0</v>
      </c>
      <c r="G402" s="164" t="s">
        <v>74</v>
      </c>
      <c r="H402" s="146">
        <v>0.0</v>
      </c>
      <c r="I402" s="149">
        <f t="shared" si="2"/>
        <v>5640000</v>
      </c>
      <c r="J402" s="168">
        <v>48000.0</v>
      </c>
      <c r="K402" s="167" t="s">
        <v>216</v>
      </c>
    </row>
    <row r="403" ht="26.25" customHeight="1">
      <c r="A403" s="165">
        <v>46106.0</v>
      </c>
      <c r="B403" s="156" t="s">
        <v>72</v>
      </c>
      <c r="C403" s="167" t="s">
        <v>132</v>
      </c>
      <c r="D403" s="146">
        <v>-55000.0</v>
      </c>
      <c r="E403" s="146">
        <v>0.0</v>
      </c>
      <c r="F403" s="146">
        <v>55000.0</v>
      </c>
      <c r="G403" s="164" t="s">
        <v>74</v>
      </c>
      <c r="H403" s="146">
        <v>0.0</v>
      </c>
      <c r="I403" s="149">
        <f t="shared" si="2"/>
        <v>5585000</v>
      </c>
      <c r="J403" s="168">
        <v>46000.0</v>
      </c>
      <c r="K403" s="167" t="s">
        <v>217</v>
      </c>
    </row>
    <row r="404" ht="26.25" customHeight="1">
      <c r="A404" s="165">
        <v>46106.0</v>
      </c>
      <c r="B404" s="156" t="s">
        <v>62</v>
      </c>
      <c r="C404" s="167" t="s">
        <v>128</v>
      </c>
      <c r="D404" s="146">
        <v>-5000.0</v>
      </c>
      <c r="E404" s="146">
        <v>0.0</v>
      </c>
      <c r="F404" s="146">
        <v>5000.0</v>
      </c>
      <c r="G404" s="164" t="s">
        <v>74</v>
      </c>
      <c r="H404" s="146">
        <v>0.0</v>
      </c>
      <c r="I404" s="149">
        <f t="shared" si="2"/>
        <v>5580000</v>
      </c>
      <c r="J404" s="168">
        <v>24000.0</v>
      </c>
      <c r="K404" s="167" t="s">
        <v>218</v>
      </c>
    </row>
    <row r="405" ht="26.25" customHeight="1">
      <c r="A405" s="165">
        <v>46106.0</v>
      </c>
      <c r="B405" s="156" t="s">
        <v>62</v>
      </c>
      <c r="C405" s="167" t="s">
        <v>37</v>
      </c>
      <c r="D405" s="146">
        <v>-5000.0</v>
      </c>
      <c r="E405" s="146">
        <v>0.0</v>
      </c>
      <c r="F405" s="146">
        <v>5000.0</v>
      </c>
      <c r="G405" s="164" t="s">
        <v>65</v>
      </c>
      <c r="H405" s="146">
        <v>5000.0</v>
      </c>
      <c r="I405" s="149">
        <f t="shared" si="2"/>
        <v>5575000</v>
      </c>
      <c r="J405" s="168">
        <v>24000.0</v>
      </c>
      <c r="K405" s="167" t="s">
        <v>219</v>
      </c>
    </row>
    <row r="406" ht="26.25" customHeight="1">
      <c r="A406" s="165">
        <v>46109.0</v>
      </c>
      <c r="B406" s="156" t="s">
        <v>62</v>
      </c>
      <c r="C406" s="167" t="s">
        <v>102</v>
      </c>
      <c r="D406" s="146">
        <v>-150000.0</v>
      </c>
      <c r="E406" s="146">
        <v>0.0</v>
      </c>
      <c r="F406" s="146">
        <v>150000.0</v>
      </c>
      <c r="G406" s="164" t="s">
        <v>74</v>
      </c>
      <c r="H406" s="146">
        <v>0.0</v>
      </c>
      <c r="I406" s="149">
        <f t="shared" si="2"/>
        <v>5425000</v>
      </c>
      <c r="J406" s="168">
        <v>70500.0</v>
      </c>
      <c r="K406" s="167" t="s">
        <v>220</v>
      </c>
    </row>
    <row r="407" ht="26.25" customHeight="1">
      <c r="A407" s="165">
        <v>46109.0</v>
      </c>
      <c r="B407" s="156" t="s">
        <v>62</v>
      </c>
      <c r="C407" s="167" t="s">
        <v>63</v>
      </c>
      <c r="D407" s="146">
        <v>-25000.0</v>
      </c>
      <c r="E407" s="146">
        <v>0.0</v>
      </c>
      <c r="F407" s="146">
        <v>25000.0</v>
      </c>
      <c r="G407" s="164" t="s">
        <v>74</v>
      </c>
      <c r="H407" s="146">
        <v>0.0</v>
      </c>
      <c r="I407" s="149">
        <f t="shared" si="2"/>
        <v>5400000</v>
      </c>
      <c r="J407" s="168">
        <v>2000.0</v>
      </c>
      <c r="K407" s="167" t="s">
        <v>221</v>
      </c>
    </row>
    <row r="408" ht="26.25" customHeight="1">
      <c r="A408" s="165">
        <v>46109.0</v>
      </c>
      <c r="B408" s="156" t="s">
        <v>62</v>
      </c>
      <c r="C408" s="167" t="s">
        <v>86</v>
      </c>
      <c r="D408" s="146">
        <v>-10000.0</v>
      </c>
      <c r="E408" s="146">
        <v>0.0</v>
      </c>
      <c r="F408" s="146">
        <v>10000.0</v>
      </c>
      <c r="G408" s="164" t="s">
        <v>74</v>
      </c>
      <c r="H408" s="146">
        <v>0.0</v>
      </c>
      <c r="I408" s="149">
        <f t="shared" si="2"/>
        <v>5390000</v>
      </c>
      <c r="J408" s="168">
        <v>110000.0</v>
      </c>
      <c r="K408" s="167" t="s">
        <v>222</v>
      </c>
    </row>
    <row r="409" ht="26.25" customHeight="1">
      <c r="A409" s="165">
        <v>46109.0</v>
      </c>
      <c r="B409" s="156" t="s">
        <v>62</v>
      </c>
      <c r="C409" s="167" t="s">
        <v>36</v>
      </c>
      <c r="D409" s="146">
        <v>-50000.0</v>
      </c>
      <c r="E409" s="146">
        <v>0.0</v>
      </c>
      <c r="F409" s="146">
        <v>50000.0</v>
      </c>
      <c r="G409" s="164" t="s">
        <v>74</v>
      </c>
      <c r="H409" s="146">
        <v>0.0</v>
      </c>
      <c r="I409" s="149">
        <f t="shared" si="2"/>
        <v>5340000</v>
      </c>
      <c r="J409" s="168">
        <v>28250.0</v>
      </c>
      <c r="K409" s="167" t="s">
        <v>223</v>
      </c>
    </row>
    <row r="410" ht="26.25" customHeight="1">
      <c r="A410" s="165">
        <v>46109.0</v>
      </c>
      <c r="B410" s="156" t="s">
        <v>72</v>
      </c>
      <c r="C410" s="167" t="s">
        <v>75</v>
      </c>
      <c r="D410" s="146">
        <v>-10000.0</v>
      </c>
      <c r="E410" s="146">
        <v>0.0</v>
      </c>
      <c r="F410" s="146">
        <v>10000.0</v>
      </c>
      <c r="G410" s="164" t="s">
        <v>74</v>
      </c>
      <c r="H410" s="146">
        <v>0.0</v>
      </c>
      <c r="I410" s="149">
        <f t="shared" si="2"/>
        <v>5330000</v>
      </c>
      <c r="J410" s="169"/>
      <c r="K410" s="144"/>
    </row>
    <row r="411" ht="26.25" customHeight="1">
      <c r="A411" s="165">
        <v>46110.0</v>
      </c>
      <c r="B411" s="156" t="s">
        <v>59</v>
      </c>
      <c r="C411" s="167" t="s">
        <v>26</v>
      </c>
      <c r="D411" s="146">
        <v>-2200000.0</v>
      </c>
      <c r="E411" s="146">
        <v>0.0</v>
      </c>
      <c r="F411" s="146">
        <v>2200000.0</v>
      </c>
      <c r="G411" s="164" t="s">
        <v>74</v>
      </c>
      <c r="H411" s="146">
        <v>0.0</v>
      </c>
      <c r="I411" s="149">
        <f t="shared" si="2"/>
        <v>3130000</v>
      </c>
      <c r="J411" s="169"/>
      <c r="K411" s="144"/>
    </row>
    <row r="412" ht="26.25" customHeight="1">
      <c r="A412" s="165">
        <v>46110.0</v>
      </c>
      <c r="B412" s="156" t="s">
        <v>59</v>
      </c>
      <c r="C412" s="167" t="s">
        <v>224</v>
      </c>
      <c r="D412" s="146">
        <v>-2345000.0</v>
      </c>
      <c r="E412" s="146">
        <v>0.0</v>
      </c>
      <c r="F412" s="146">
        <v>2345000.0</v>
      </c>
      <c r="G412" s="164" t="s">
        <v>74</v>
      </c>
      <c r="H412" s="146">
        <v>0.0</v>
      </c>
      <c r="I412" s="149">
        <f t="shared" si="2"/>
        <v>785000</v>
      </c>
      <c r="J412" s="169"/>
      <c r="K412" s="144"/>
    </row>
    <row r="413" ht="26.25" customHeight="1">
      <c r="A413" s="170"/>
      <c r="B413" s="144"/>
      <c r="C413" s="144"/>
      <c r="D413" s="145"/>
      <c r="E413" s="145"/>
      <c r="F413" s="145"/>
      <c r="G413" s="144"/>
      <c r="H413" s="145"/>
      <c r="I413" s="149">
        <f t="shared" si="2"/>
        <v>785000</v>
      </c>
      <c r="J413" s="150"/>
      <c r="K413" s="144"/>
    </row>
    <row r="414" ht="26.25" customHeight="1">
      <c r="A414" s="170"/>
      <c r="B414" s="144"/>
      <c r="C414" s="144"/>
      <c r="D414" s="145"/>
      <c r="E414" s="145"/>
      <c r="F414" s="145"/>
      <c r="G414" s="144"/>
      <c r="H414" s="145"/>
      <c r="I414" s="149">
        <f t="shared" si="2"/>
        <v>785000</v>
      </c>
      <c r="J414" s="150"/>
      <c r="K414" s="144"/>
    </row>
    <row r="415" ht="26.25" customHeight="1">
      <c r="A415" s="170"/>
      <c r="B415" s="144"/>
      <c r="C415" s="144"/>
      <c r="D415" s="145"/>
      <c r="E415" s="145"/>
      <c r="F415" s="145"/>
      <c r="G415" s="144"/>
      <c r="H415" s="145"/>
      <c r="I415" s="149">
        <f t="shared" si="2"/>
        <v>785000</v>
      </c>
      <c r="J415" s="150"/>
      <c r="K415" s="144"/>
    </row>
    <row r="416" ht="26.25" customHeight="1">
      <c r="A416" s="170"/>
      <c r="B416" s="144"/>
      <c r="C416" s="144"/>
      <c r="D416" s="145"/>
      <c r="E416" s="145"/>
      <c r="F416" s="145"/>
      <c r="G416" s="144"/>
      <c r="H416" s="145"/>
      <c r="I416" s="149">
        <f t="shared" si="2"/>
        <v>785000</v>
      </c>
      <c r="J416" s="150"/>
      <c r="K416" s="144"/>
    </row>
    <row r="417" ht="26.25" customHeight="1">
      <c r="A417" s="170"/>
      <c r="B417" s="144"/>
      <c r="C417" s="144"/>
      <c r="D417" s="145"/>
      <c r="E417" s="145"/>
      <c r="F417" s="145"/>
      <c r="G417" s="144"/>
      <c r="H417" s="145"/>
      <c r="I417" s="149">
        <f t="shared" si="2"/>
        <v>785000</v>
      </c>
      <c r="J417" s="150"/>
      <c r="K417" s="144"/>
    </row>
    <row r="418" ht="26.25" customHeight="1">
      <c r="A418" s="170"/>
      <c r="B418" s="144"/>
      <c r="C418" s="144"/>
      <c r="D418" s="145"/>
      <c r="E418" s="145"/>
      <c r="F418" s="145"/>
      <c r="G418" s="144"/>
      <c r="H418" s="145"/>
      <c r="I418" s="149">
        <f t="shared" si="2"/>
        <v>785000</v>
      </c>
      <c r="J418" s="150"/>
      <c r="K418" s="144"/>
    </row>
    <row r="419" ht="26.25" customHeight="1">
      <c r="A419" s="170"/>
      <c r="B419" s="144"/>
      <c r="C419" s="144"/>
      <c r="D419" s="145"/>
      <c r="E419" s="145"/>
      <c r="F419" s="145"/>
      <c r="G419" s="144"/>
      <c r="H419" s="145"/>
      <c r="I419" s="149">
        <f t="shared" si="2"/>
        <v>785000</v>
      </c>
      <c r="J419" s="150"/>
      <c r="K419" s="144"/>
    </row>
    <row r="420" ht="26.25" customHeight="1">
      <c r="A420" s="170"/>
      <c r="B420" s="144"/>
      <c r="C420" s="144"/>
      <c r="D420" s="145"/>
      <c r="E420" s="145"/>
      <c r="F420" s="145"/>
      <c r="G420" s="144"/>
      <c r="H420" s="145"/>
      <c r="I420" s="149">
        <f t="shared" si="2"/>
        <v>785000</v>
      </c>
      <c r="J420" s="150"/>
      <c r="K420" s="144"/>
    </row>
    <row r="421" ht="26.25" customHeight="1">
      <c r="A421" s="170"/>
      <c r="B421" s="144"/>
      <c r="C421" s="144"/>
      <c r="D421" s="145"/>
      <c r="E421" s="145"/>
      <c r="F421" s="145"/>
      <c r="G421" s="144"/>
      <c r="H421" s="145"/>
      <c r="I421" s="149">
        <f t="shared" si="2"/>
        <v>785000</v>
      </c>
      <c r="J421" s="150"/>
      <c r="K421" s="144"/>
    </row>
    <row r="422" ht="26.25" customHeight="1">
      <c r="A422" s="170"/>
      <c r="B422" s="144"/>
      <c r="C422" s="144"/>
      <c r="D422" s="145"/>
      <c r="E422" s="145"/>
      <c r="F422" s="145"/>
      <c r="G422" s="144"/>
      <c r="H422" s="145"/>
      <c r="I422" s="149">
        <f t="shared" si="2"/>
        <v>785000</v>
      </c>
      <c r="J422" s="150"/>
      <c r="K422" s="144"/>
    </row>
    <row r="423" ht="26.25" customHeight="1">
      <c r="A423" s="170"/>
      <c r="B423" s="144"/>
      <c r="C423" s="144"/>
      <c r="D423" s="145"/>
      <c r="E423" s="145"/>
      <c r="F423" s="145"/>
      <c r="G423" s="144"/>
      <c r="H423" s="145"/>
      <c r="I423" s="149">
        <f t="shared" si="2"/>
        <v>785000</v>
      </c>
      <c r="J423" s="150"/>
      <c r="K423" s="144"/>
    </row>
    <row r="424" ht="26.25" customHeight="1">
      <c r="A424" s="170"/>
      <c r="B424" s="144"/>
      <c r="C424" s="144"/>
      <c r="D424" s="145"/>
      <c r="E424" s="145"/>
      <c r="F424" s="145"/>
      <c r="G424" s="144"/>
      <c r="H424" s="145"/>
      <c r="I424" s="149">
        <f t="shared" si="2"/>
        <v>785000</v>
      </c>
      <c r="J424" s="150"/>
      <c r="K424" s="144"/>
    </row>
    <row r="425" ht="26.25" customHeight="1">
      <c r="A425" s="170"/>
      <c r="B425" s="144"/>
      <c r="C425" s="144"/>
      <c r="D425" s="145"/>
      <c r="E425" s="145"/>
      <c r="F425" s="145"/>
      <c r="G425" s="144"/>
      <c r="H425" s="145"/>
      <c r="I425" s="149">
        <f t="shared" si="2"/>
        <v>785000</v>
      </c>
      <c r="J425" s="150"/>
      <c r="K425" s="144"/>
    </row>
    <row r="426" ht="26.25" customHeight="1">
      <c r="A426" s="170"/>
      <c r="B426" s="144"/>
      <c r="C426" s="144"/>
      <c r="D426" s="145"/>
      <c r="E426" s="145"/>
      <c r="F426" s="145"/>
      <c r="G426" s="144"/>
      <c r="H426" s="145"/>
      <c r="I426" s="149">
        <f t="shared" si="2"/>
        <v>785000</v>
      </c>
      <c r="J426" s="150"/>
      <c r="K426" s="144"/>
    </row>
    <row r="427" ht="26.25" customHeight="1">
      <c r="A427" s="170"/>
      <c r="B427" s="144"/>
      <c r="C427" s="144"/>
      <c r="D427" s="145"/>
      <c r="E427" s="145"/>
      <c r="F427" s="145"/>
      <c r="G427" s="144"/>
      <c r="H427" s="145"/>
      <c r="I427" s="149">
        <f t="shared" si="2"/>
        <v>785000</v>
      </c>
      <c r="J427" s="150"/>
      <c r="K427" s="144"/>
    </row>
    <row r="428" ht="26.25" customHeight="1">
      <c r="A428" s="170"/>
      <c r="B428" s="144"/>
      <c r="C428" s="144"/>
      <c r="D428" s="145"/>
      <c r="E428" s="145"/>
      <c r="F428" s="145"/>
      <c r="G428" s="144"/>
      <c r="H428" s="145"/>
      <c r="I428" s="149">
        <f t="shared" si="2"/>
        <v>785000</v>
      </c>
      <c r="J428" s="150"/>
      <c r="K428" s="144"/>
    </row>
    <row r="429" ht="26.25" customHeight="1">
      <c r="A429" s="170"/>
      <c r="B429" s="144"/>
      <c r="C429" s="144"/>
      <c r="D429" s="145"/>
      <c r="E429" s="145"/>
      <c r="F429" s="145"/>
      <c r="G429" s="144"/>
      <c r="H429" s="145"/>
      <c r="I429" s="149">
        <f t="shared" si="2"/>
        <v>785000</v>
      </c>
      <c r="J429" s="150"/>
      <c r="K429" s="144"/>
    </row>
    <row r="430" ht="26.25" customHeight="1">
      <c r="A430" s="170"/>
      <c r="B430" s="144"/>
      <c r="C430" s="144"/>
      <c r="D430" s="145"/>
      <c r="E430" s="145"/>
      <c r="F430" s="145"/>
      <c r="G430" s="144"/>
      <c r="H430" s="145"/>
      <c r="I430" s="149">
        <f t="shared" si="2"/>
        <v>785000</v>
      </c>
      <c r="J430" s="150"/>
      <c r="K430" s="144"/>
    </row>
    <row r="431" ht="26.25" customHeight="1">
      <c r="A431" s="170"/>
      <c r="B431" s="144"/>
      <c r="C431" s="144"/>
      <c r="D431" s="145"/>
      <c r="E431" s="145"/>
      <c r="F431" s="145"/>
      <c r="G431" s="144"/>
      <c r="H431" s="145"/>
      <c r="I431" s="149">
        <f t="shared" si="2"/>
        <v>785000</v>
      </c>
      <c r="J431" s="150"/>
      <c r="K431" s="144"/>
    </row>
    <row r="432" ht="26.25" customHeight="1">
      <c r="A432" s="170"/>
      <c r="B432" s="144"/>
      <c r="C432" s="144"/>
      <c r="D432" s="145"/>
      <c r="E432" s="145"/>
      <c r="F432" s="145"/>
      <c r="G432" s="144"/>
      <c r="H432" s="145"/>
      <c r="I432" s="149">
        <f t="shared" si="2"/>
        <v>785000</v>
      </c>
      <c r="J432" s="150"/>
      <c r="K432" s="144"/>
    </row>
    <row r="433" ht="26.25" customHeight="1">
      <c r="A433" s="170"/>
      <c r="B433" s="144"/>
      <c r="C433" s="144"/>
      <c r="D433" s="145"/>
      <c r="E433" s="145"/>
      <c r="F433" s="145"/>
      <c r="G433" s="144"/>
      <c r="H433" s="145"/>
      <c r="I433" s="149">
        <f t="shared" si="2"/>
        <v>785000</v>
      </c>
      <c r="J433" s="150"/>
      <c r="K433" s="144"/>
    </row>
    <row r="434" ht="26.25" customHeight="1">
      <c r="A434" s="170"/>
      <c r="B434" s="144"/>
      <c r="C434" s="144"/>
      <c r="D434" s="145"/>
      <c r="E434" s="145"/>
      <c r="F434" s="145"/>
      <c r="G434" s="144"/>
      <c r="H434" s="145"/>
      <c r="I434" s="149">
        <f t="shared" si="2"/>
        <v>785000</v>
      </c>
      <c r="J434" s="150"/>
      <c r="K434" s="144"/>
    </row>
    <row r="435" ht="26.25" customHeight="1">
      <c r="A435" s="170"/>
      <c r="B435" s="144"/>
      <c r="C435" s="144"/>
      <c r="D435" s="145"/>
      <c r="E435" s="145"/>
      <c r="F435" s="145"/>
      <c r="G435" s="144"/>
      <c r="H435" s="145"/>
      <c r="I435" s="149">
        <f t="shared" si="2"/>
        <v>785000</v>
      </c>
      <c r="J435" s="150"/>
      <c r="K435" s="144"/>
    </row>
    <row r="436" ht="26.25" customHeight="1">
      <c r="A436" s="170"/>
      <c r="B436" s="144"/>
      <c r="C436" s="144"/>
      <c r="D436" s="145"/>
      <c r="E436" s="145"/>
      <c r="F436" s="145"/>
      <c r="G436" s="144"/>
      <c r="H436" s="145"/>
      <c r="I436" s="149">
        <f t="shared" si="2"/>
        <v>785000</v>
      </c>
      <c r="J436" s="150"/>
      <c r="K436" s="144"/>
    </row>
    <row r="437" ht="26.25" customHeight="1">
      <c r="A437" s="170"/>
      <c r="B437" s="144"/>
      <c r="C437" s="144"/>
      <c r="D437" s="145"/>
      <c r="E437" s="145"/>
      <c r="F437" s="145"/>
      <c r="G437" s="144"/>
      <c r="H437" s="145"/>
      <c r="I437" s="149">
        <f t="shared" si="2"/>
        <v>785000</v>
      </c>
      <c r="J437" s="150"/>
      <c r="K437" s="144"/>
    </row>
    <row r="438" ht="26.25" customHeight="1">
      <c r="A438" s="170"/>
      <c r="B438" s="144"/>
      <c r="C438" s="144"/>
      <c r="D438" s="145"/>
      <c r="E438" s="145"/>
      <c r="F438" s="145"/>
      <c r="G438" s="144"/>
      <c r="H438" s="145"/>
      <c r="I438" s="149">
        <f t="shared" si="2"/>
        <v>785000</v>
      </c>
      <c r="J438" s="150"/>
      <c r="K438" s="144"/>
    </row>
    <row r="439" ht="26.25" customHeight="1">
      <c r="A439" s="170"/>
      <c r="B439" s="144"/>
      <c r="C439" s="144"/>
      <c r="D439" s="145"/>
      <c r="E439" s="145"/>
      <c r="F439" s="145"/>
      <c r="G439" s="144"/>
      <c r="H439" s="145"/>
      <c r="I439" s="149">
        <f t="shared" si="2"/>
        <v>785000</v>
      </c>
      <c r="J439" s="150"/>
      <c r="K439" s="144"/>
    </row>
    <row r="440" ht="26.25" customHeight="1">
      <c r="A440" s="170"/>
      <c r="B440" s="144"/>
      <c r="C440" s="144"/>
      <c r="D440" s="145"/>
      <c r="E440" s="145"/>
      <c r="F440" s="145"/>
      <c r="G440" s="144"/>
      <c r="H440" s="145"/>
      <c r="I440" s="149">
        <f t="shared" si="2"/>
        <v>785000</v>
      </c>
      <c r="J440" s="150"/>
      <c r="K440" s="144"/>
    </row>
    <row r="441" ht="26.25" customHeight="1">
      <c r="A441" s="170"/>
      <c r="B441" s="144"/>
      <c r="C441" s="144"/>
      <c r="D441" s="145"/>
      <c r="E441" s="145"/>
      <c r="F441" s="145"/>
      <c r="G441" s="144"/>
      <c r="H441" s="145"/>
      <c r="I441" s="149">
        <f t="shared" si="2"/>
        <v>785000</v>
      </c>
      <c r="J441" s="150"/>
      <c r="K441" s="144"/>
    </row>
    <row r="442" ht="26.25" customHeight="1">
      <c r="A442" s="170"/>
      <c r="B442" s="144"/>
      <c r="C442" s="144"/>
      <c r="D442" s="145"/>
      <c r="E442" s="145"/>
      <c r="F442" s="145"/>
      <c r="G442" s="144"/>
      <c r="H442" s="145"/>
      <c r="I442" s="149">
        <f t="shared" si="2"/>
        <v>785000</v>
      </c>
      <c r="J442" s="150"/>
      <c r="K442" s="144"/>
    </row>
    <row r="443" ht="26.25" customHeight="1">
      <c r="A443" s="170"/>
      <c r="B443" s="144"/>
      <c r="C443" s="144"/>
      <c r="D443" s="145"/>
      <c r="E443" s="145"/>
      <c r="F443" s="145"/>
      <c r="G443" s="144"/>
      <c r="H443" s="145"/>
      <c r="I443" s="149">
        <f t="shared" si="2"/>
        <v>785000</v>
      </c>
      <c r="J443" s="150"/>
      <c r="K443" s="144"/>
    </row>
    <row r="444" ht="26.25" customHeight="1">
      <c r="A444" s="170"/>
      <c r="B444" s="144"/>
      <c r="C444" s="144"/>
      <c r="D444" s="145"/>
      <c r="E444" s="145"/>
      <c r="F444" s="145"/>
      <c r="G444" s="144"/>
      <c r="H444" s="145"/>
      <c r="I444" s="149">
        <f t="shared" si="2"/>
        <v>785000</v>
      </c>
      <c r="J444" s="150"/>
      <c r="K444" s="144"/>
    </row>
    <row r="445" ht="26.25" customHeight="1">
      <c r="A445" s="170"/>
      <c r="B445" s="144"/>
      <c r="C445" s="144"/>
      <c r="D445" s="145"/>
      <c r="E445" s="145"/>
      <c r="F445" s="145"/>
      <c r="G445" s="144"/>
      <c r="H445" s="145"/>
      <c r="I445" s="149">
        <f t="shared" si="2"/>
        <v>785000</v>
      </c>
      <c r="J445" s="150"/>
      <c r="K445" s="144"/>
    </row>
    <row r="446" ht="26.25" customHeight="1">
      <c r="A446" s="170"/>
      <c r="B446" s="144"/>
      <c r="C446" s="144"/>
      <c r="D446" s="145"/>
      <c r="E446" s="145"/>
      <c r="F446" s="145"/>
      <c r="G446" s="144"/>
      <c r="H446" s="145"/>
      <c r="I446" s="149">
        <f t="shared" si="2"/>
        <v>785000</v>
      </c>
      <c r="J446" s="150"/>
      <c r="K446" s="144"/>
    </row>
    <row r="447" ht="26.25" customHeight="1">
      <c r="A447" s="170"/>
      <c r="B447" s="144"/>
      <c r="C447" s="144"/>
      <c r="D447" s="145"/>
      <c r="E447" s="145"/>
      <c r="F447" s="145"/>
      <c r="G447" s="144"/>
      <c r="H447" s="145"/>
      <c r="I447" s="149">
        <f t="shared" si="2"/>
        <v>785000</v>
      </c>
      <c r="J447" s="150"/>
      <c r="K447" s="144"/>
    </row>
    <row r="448" ht="26.25" customHeight="1">
      <c r="A448" s="170"/>
      <c r="B448" s="144"/>
      <c r="C448" s="144"/>
      <c r="D448" s="145"/>
      <c r="E448" s="145"/>
      <c r="F448" s="145"/>
      <c r="G448" s="144"/>
      <c r="H448" s="145"/>
      <c r="I448" s="149">
        <f t="shared" si="2"/>
        <v>785000</v>
      </c>
      <c r="J448" s="150"/>
      <c r="K448" s="144"/>
    </row>
    <row r="449" ht="26.25" customHeight="1">
      <c r="A449" s="170"/>
      <c r="B449" s="144"/>
      <c r="C449" s="144"/>
      <c r="D449" s="145"/>
      <c r="E449" s="145"/>
      <c r="F449" s="145"/>
      <c r="G449" s="144"/>
      <c r="H449" s="145"/>
      <c r="I449" s="149">
        <f t="shared" si="2"/>
        <v>785000</v>
      </c>
      <c r="J449" s="150"/>
      <c r="K449" s="144"/>
    </row>
    <row r="450" ht="26.25" customHeight="1">
      <c r="A450" s="170"/>
      <c r="B450" s="144"/>
      <c r="C450" s="144"/>
      <c r="D450" s="145"/>
      <c r="E450" s="145"/>
      <c r="F450" s="145"/>
      <c r="G450" s="144"/>
      <c r="H450" s="145"/>
      <c r="I450" s="149">
        <f t="shared" si="2"/>
        <v>785000</v>
      </c>
      <c r="J450" s="150"/>
      <c r="K450" s="144"/>
    </row>
    <row r="451" ht="26.25" customHeight="1">
      <c r="A451" s="170"/>
      <c r="B451" s="144"/>
      <c r="C451" s="144"/>
      <c r="D451" s="145"/>
      <c r="E451" s="145"/>
      <c r="F451" s="145"/>
      <c r="G451" s="144"/>
      <c r="H451" s="145"/>
      <c r="I451" s="149">
        <f t="shared" si="2"/>
        <v>785000</v>
      </c>
      <c r="J451" s="150"/>
      <c r="K451" s="144"/>
    </row>
    <row r="452" ht="26.25" customHeight="1">
      <c r="A452" s="170"/>
      <c r="B452" s="144"/>
      <c r="C452" s="144"/>
      <c r="D452" s="145"/>
      <c r="E452" s="145"/>
      <c r="F452" s="145"/>
      <c r="G452" s="144"/>
      <c r="H452" s="145"/>
      <c r="I452" s="149">
        <f t="shared" si="2"/>
        <v>785000</v>
      </c>
      <c r="J452" s="150"/>
      <c r="K452" s="144"/>
    </row>
    <row r="453" ht="26.25" customHeight="1">
      <c r="A453" s="170"/>
      <c r="B453" s="144"/>
      <c r="C453" s="144"/>
      <c r="D453" s="145"/>
      <c r="E453" s="145"/>
      <c r="F453" s="145"/>
      <c r="G453" s="144"/>
      <c r="H453" s="145"/>
      <c r="I453" s="149">
        <f t="shared" si="2"/>
        <v>785000</v>
      </c>
      <c r="J453" s="150"/>
      <c r="K453" s="144"/>
    </row>
    <row r="454" ht="26.25" customHeight="1">
      <c r="A454" s="170"/>
      <c r="B454" s="144"/>
      <c r="C454" s="144"/>
      <c r="D454" s="145"/>
      <c r="E454" s="145"/>
      <c r="F454" s="145"/>
      <c r="G454" s="144"/>
      <c r="H454" s="145"/>
      <c r="I454" s="149">
        <f t="shared" si="2"/>
        <v>785000</v>
      </c>
      <c r="J454" s="150"/>
      <c r="K454" s="144"/>
    </row>
    <row r="455" ht="26.25" customHeight="1">
      <c r="A455" s="170"/>
      <c r="B455" s="144"/>
      <c r="C455" s="144"/>
      <c r="D455" s="145"/>
      <c r="E455" s="145"/>
      <c r="F455" s="145"/>
      <c r="G455" s="144"/>
      <c r="H455" s="145"/>
      <c r="I455" s="149">
        <f t="shared" si="2"/>
        <v>785000</v>
      </c>
      <c r="J455" s="150"/>
      <c r="K455" s="144"/>
    </row>
    <row r="456" ht="26.25" customHeight="1">
      <c r="A456" s="170"/>
      <c r="B456" s="144"/>
      <c r="C456" s="144"/>
      <c r="D456" s="145"/>
      <c r="E456" s="145"/>
      <c r="F456" s="145"/>
      <c r="G456" s="144"/>
      <c r="H456" s="145"/>
      <c r="I456" s="149">
        <f t="shared" si="2"/>
        <v>785000</v>
      </c>
      <c r="J456" s="150"/>
      <c r="K456" s="144"/>
    </row>
    <row r="457" ht="26.25" customHeight="1">
      <c r="A457" s="170"/>
      <c r="B457" s="144"/>
      <c r="C457" s="144"/>
      <c r="D457" s="145"/>
      <c r="E457" s="145"/>
      <c r="F457" s="145"/>
      <c r="G457" s="144"/>
      <c r="H457" s="145"/>
      <c r="I457" s="149">
        <f t="shared" si="2"/>
        <v>785000</v>
      </c>
      <c r="J457" s="150"/>
      <c r="K457" s="144"/>
    </row>
    <row r="458" ht="26.25" customHeight="1">
      <c r="A458" s="170"/>
      <c r="B458" s="144"/>
      <c r="C458" s="144"/>
      <c r="D458" s="145"/>
      <c r="E458" s="145"/>
      <c r="F458" s="145"/>
      <c r="G458" s="144"/>
      <c r="H458" s="145"/>
      <c r="I458" s="149">
        <f t="shared" si="2"/>
        <v>785000</v>
      </c>
      <c r="J458" s="150"/>
      <c r="K458" s="144"/>
    </row>
    <row r="459" ht="26.25" customHeight="1">
      <c r="A459" s="170"/>
      <c r="B459" s="144"/>
      <c r="C459" s="144"/>
      <c r="D459" s="145"/>
      <c r="E459" s="145"/>
      <c r="F459" s="145"/>
      <c r="G459" s="144"/>
      <c r="H459" s="145"/>
      <c r="I459" s="149">
        <f t="shared" si="2"/>
        <v>785000</v>
      </c>
      <c r="J459" s="150"/>
      <c r="K459" s="144"/>
    </row>
    <row r="460" ht="26.25" customHeight="1">
      <c r="A460" s="170"/>
      <c r="B460" s="144"/>
      <c r="C460" s="144"/>
      <c r="D460" s="145"/>
      <c r="E460" s="145"/>
      <c r="F460" s="145"/>
      <c r="G460" s="144"/>
      <c r="H460" s="145"/>
      <c r="I460" s="149">
        <f t="shared" si="2"/>
        <v>785000</v>
      </c>
      <c r="J460" s="150"/>
      <c r="K460" s="144"/>
    </row>
    <row r="461" ht="26.25" customHeight="1">
      <c r="A461" s="170"/>
      <c r="B461" s="144"/>
      <c r="C461" s="144"/>
      <c r="D461" s="145"/>
      <c r="E461" s="145"/>
      <c r="F461" s="145"/>
      <c r="G461" s="144"/>
      <c r="H461" s="145"/>
      <c r="I461" s="149">
        <f t="shared" si="2"/>
        <v>785000</v>
      </c>
      <c r="J461" s="150"/>
      <c r="K461" s="144"/>
    </row>
    <row r="462" ht="26.25" customHeight="1">
      <c r="A462" s="170"/>
      <c r="B462" s="144"/>
      <c r="C462" s="144"/>
      <c r="D462" s="145"/>
      <c r="E462" s="145"/>
      <c r="F462" s="145"/>
      <c r="G462" s="144"/>
      <c r="H462" s="145"/>
      <c r="I462" s="149">
        <f t="shared" si="2"/>
        <v>785000</v>
      </c>
      <c r="J462" s="150"/>
      <c r="K462" s="144"/>
    </row>
    <row r="463" ht="26.25" customHeight="1">
      <c r="A463" s="170"/>
      <c r="B463" s="144"/>
      <c r="C463" s="144"/>
      <c r="D463" s="145"/>
      <c r="E463" s="145"/>
      <c r="F463" s="145"/>
      <c r="G463" s="144"/>
      <c r="H463" s="145"/>
      <c r="I463" s="149">
        <f t="shared" si="2"/>
        <v>785000</v>
      </c>
      <c r="J463" s="150"/>
      <c r="K463" s="144"/>
    </row>
    <row r="464" ht="26.25" customHeight="1">
      <c r="A464" s="170"/>
      <c r="B464" s="144"/>
      <c r="C464" s="144"/>
      <c r="D464" s="145"/>
      <c r="E464" s="145"/>
      <c r="F464" s="145"/>
      <c r="G464" s="144"/>
      <c r="H464" s="145"/>
      <c r="I464" s="149">
        <f t="shared" si="2"/>
        <v>785000</v>
      </c>
      <c r="J464" s="150"/>
      <c r="K464" s="144"/>
    </row>
    <row r="465" ht="26.25" customHeight="1">
      <c r="A465" s="170"/>
      <c r="B465" s="144"/>
      <c r="C465" s="144"/>
      <c r="D465" s="145"/>
      <c r="E465" s="145"/>
      <c r="F465" s="145"/>
      <c r="G465" s="144"/>
      <c r="H465" s="145"/>
      <c r="I465" s="149">
        <f t="shared" si="2"/>
        <v>785000</v>
      </c>
      <c r="J465" s="150"/>
      <c r="K465" s="144"/>
    </row>
    <row r="466" ht="26.25" customHeight="1">
      <c r="A466" s="170"/>
      <c r="B466" s="144"/>
      <c r="C466" s="144"/>
      <c r="D466" s="145"/>
      <c r="E466" s="145"/>
      <c r="F466" s="145"/>
      <c r="G466" s="144"/>
      <c r="H466" s="145"/>
      <c r="I466" s="149">
        <f t="shared" si="2"/>
        <v>785000</v>
      </c>
      <c r="J466" s="150"/>
      <c r="K466" s="144"/>
    </row>
    <row r="467" ht="26.25" customHeight="1">
      <c r="A467" s="170"/>
      <c r="B467" s="144"/>
      <c r="C467" s="144"/>
      <c r="D467" s="145"/>
      <c r="E467" s="145"/>
      <c r="F467" s="145"/>
      <c r="G467" s="144"/>
      <c r="H467" s="145"/>
      <c r="I467" s="149">
        <f t="shared" si="2"/>
        <v>785000</v>
      </c>
      <c r="J467" s="150"/>
      <c r="K467" s="144"/>
    </row>
    <row r="468" ht="26.25" customHeight="1">
      <c r="A468" s="170"/>
      <c r="B468" s="144"/>
      <c r="C468" s="144"/>
      <c r="D468" s="145"/>
      <c r="E468" s="145"/>
      <c r="F468" s="145"/>
      <c r="G468" s="144"/>
      <c r="H468" s="145"/>
      <c r="I468" s="149">
        <f t="shared" si="2"/>
        <v>785000</v>
      </c>
      <c r="J468" s="150"/>
      <c r="K468" s="144"/>
    </row>
    <row r="469" ht="26.25" customHeight="1">
      <c r="A469" s="170"/>
      <c r="B469" s="144"/>
      <c r="C469" s="144"/>
      <c r="D469" s="145"/>
      <c r="E469" s="145"/>
      <c r="F469" s="145"/>
      <c r="G469" s="144"/>
      <c r="H469" s="145"/>
      <c r="I469" s="149">
        <f t="shared" si="2"/>
        <v>785000</v>
      </c>
      <c r="J469" s="150"/>
      <c r="K469" s="144"/>
    </row>
    <row r="470" ht="26.25" customHeight="1">
      <c r="A470" s="170"/>
      <c r="B470" s="144"/>
      <c r="C470" s="144"/>
      <c r="D470" s="145"/>
      <c r="E470" s="145"/>
      <c r="F470" s="145"/>
      <c r="G470" s="144"/>
      <c r="H470" s="145"/>
      <c r="I470" s="149">
        <f t="shared" si="2"/>
        <v>785000</v>
      </c>
      <c r="J470" s="150"/>
      <c r="K470" s="144"/>
    </row>
    <row r="471" ht="26.25" customHeight="1">
      <c r="A471" s="170"/>
      <c r="B471" s="144"/>
      <c r="C471" s="144"/>
      <c r="D471" s="145"/>
      <c r="E471" s="145"/>
      <c r="F471" s="145"/>
      <c r="G471" s="144"/>
      <c r="H471" s="145"/>
      <c r="I471" s="149">
        <f t="shared" si="2"/>
        <v>785000</v>
      </c>
      <c r="J471" s="150"/>
      <c r="K471" s="144"/>
    </row>
    <row r="472" ht="26.25" customHeight="1">
      <c r="A472" s="170"/>
      <c r="B472" s="144"/>
      <c r="C472" s="144"/>
      <c r="D472" s="145"/>
      <c r="E472" s="145"/>
      <c r="F472" s="145"/>
      <c r="G472" s="144"/>
      <c r="H472" s="145"/>
      <c r="I472" s="149">
        <f t="shared" si="2"/>
        <v>785000</v>
      </c>
      <c r="J472" s="150"/>
      <c r="K472" s="144"/>
    </row>
    <row r="473" ht="26.25" customHeight="1">
      <c r="A473" s="170"/>
      <c r="B473" s="144"/>
      <c r="C473" s="144"/>
      <c r="D473" s="145"/>
      <c r="E473" s="145"/>
      <c r="F473" s="145"/>
      <c r="G473" s="144"/>
      <c r="H473" s="145"/>
      <c r="I473" s="149">
        <f t="shared" si="2"/>
        <v>785000</v>
      </c>
      <c r="J473" s="150"/>
      <c r="K473" s="144"/>
    </row>
    <row r="474" ht="26.25" customHeight="1">
      <c r="A474" s="170"/>
      <c r="B474" s="144"/>
      <c r="C474" s="144"/>
      <c r="D474" s="145"/>
      <c r="E474" s="145"/>
      <c r="F474" s="145"/>
      <c r="G474" s="144"/>
      <c r="H474" s="145"/>
      <c r="I474" s="149">
        <f t="shared" si="2"/>
        <v>785000</v>
      </c>
      <c r="J474" s="150"/>
      <c r="K474" s="144"/>
    </row>
    <row r="475" ht="26.25" customHeight="1">
      <c r="A475" s="170"/>
      <c r="B475" s="144"/>
      <c r="C475" s="144"/>
      <c r="D475" s="145"/>
      <c r="E475" s="145"/>
      <c r="F475" s="145"/>
      <c r="G475" s="144"/>
      <c r="H475" s="145"/>
      <c r="I475" s="149">
        <f t="shared" si="2"/>
        <v>785000</v>
      </c>
      <c r="J475" s="150"/>
      <c r="K475" s="144"/>
    </row>
    <row r="476" ht="26.25" customHeight="1">
      <c r="A476" s="170"/>
      <c r="B476" s="144"/>
      <c r="C476" s="144"/>
      <c r="D476" s="145"/>
      <c r="E476" s="145"/>
      <c r="F476" s="145"/>
      <c r="G476" s="144"/>
      <c r="H476" s="145"/>
      <c r="I476" s="149">
        <f t="shared" si="2"/>
        <v>785000</v>
      </c>
      <c r="J476" s="150"/>
      <c r="K476" s="144"/>
    </row>
    <row r="477" ht="26.25" customHeight="1">
      <c r="A477" s="170"/>
      <c r="B477" s="144"/>
      <c r="C477" s="144"/>
      <c r="D477" s="145"/>
      <c r="E477" s="145"/>
      <c r="F477" s="145"/>
      <c r="G477" s="144"/>
      <c r="H477" s="145"/>
      <c r="I477" s="149">
        <f t="shared" si="2"/>
        <v>785000</v>
      </c>
      <c r="J477" s="150"/>
      <c r="K477" s="144"/>
    </row>
    <row r="478" ht="26.25" customHeight="1">
      <c r="A478" s="170"/>
      <c r="B478" s="144"/>
      <c r="C478" s="144"/>
      <c r="D478" s="145"/>
      <c r="E478" s="145"/>
      <c r="F478" s="145"/>
      <c r="G478" s="144"/>
      <c r="H478" s="145"/>
      <c r="I478" s="149">
        <f t="shared" si="2"/>
        <v>785000</v>
      </c>
      <c r="J478" s="150"/>
      <c r="K478" s="144"/>
    </row>
    <row r="479" ht="26.25" customHeight="1">
      <c r="A479" s="170"/>
      <c r="B479" s="144"/>
      <c r="C479" s="144"/>
      <c r="D479" s="145"/>
      <c r="E479" s="145"/>
      <c r="F479" s="145"/>
      <c r="G479" s="144"/>
      <c r="H479" s="145"/>
      <c r="I479" s="149">
        <f t="shared" si="2"/>
        <v>785000</v>
      </c>
      <c r="J479" s="150"/>
      <c r="K479" s="144"/>
    </row>
    <row r="480" ht="26.25" customHeight="1">
      <c r="A480" s="170"/>
      <c r="B480" s="144"/>
      <c r="C480" s="144"/>
      <c r="D480" s="145"/>
      <c r="E480" s="145"/>
      <c r="F480" s="145"/>
      <c r="G480" s="144"/>
      <c r="H480" s="145"/>
      <c r="I480" s="149">
        <f t="shared" si="2"/>
        <v>785000</v>
      </c>
      <c r="J480" s="150"/>
      <c r="K480" s="144"/>
    </row>
    <row r="481" ht="26.25" customHeight="1">
      <c r="A481" s="170"/>
      <c r="B481" s="144"/>
      <c r="C481" s="144"/>
      <c r="D481" s="145"/>
      <c r="E481" s="145"/>
      <c r="F481" s="145"/>
      <c r="G481" s="144"/>
      <c r="H481" s="145"/>
      <c r="I481" s="149">
        <f t="shared" si="2"/>
        <v>785000</v>
      </c>
      <c r="J481" s="150"/>
      <c r="K481" s="144"/>
    </row>
    <row r="482" ht="26.25" customHeight="1">
      <c r="A482" s="170"/>
      <c r="B482" s="144"/>
      <c r="C482" s="144"/>
      <c r="D482" s="145"/>
      <c r="E482" s="145"/>
      <c r="F482" s="145"/>
      <c r="G482" s="144"/>
      <c r="H482" s="145"/>
      <c r="I482" s="149">
        <f t="shared" si="2"/>
        <v>785000</v>
      </c>
      <c r="J482" s="150"/>
      <c r="K482" s="144"/>
    </row>
    <row r="483" ht="26.25" customHeight="1">
      <c r="A483" s="170"/>
      <c r="B483" s="144"/>
      <c r="C483" s="144"/>
      <c r="D483" s="145"/>
      <c r="E483" s="145"/>
      <c r="F483" s="145"/>
      <c r="G483" s="144"/>
      <c r="H483" s="145"/>
      <c r="I483" s="149">
        <f t="shared" si="2"/>
        <v>785000</v>
      </c>
      <c r="J483" s="150"/>
      <c r="K483" s="144"/>
    </row>
    <row r="484" ht="26.25" customHeight="1">
      <c r="A484" s="170"/>
      <c r="B484" s="144"/>
      <c r="C484" s="144"/>
      <c r="D484" s="145"/>
      <c r="E484" s="145"/>
      <c r="F484" s="145"/>
      <c r="G484" s="144"/>
      <c r="H484" s="145"/>
      <c r="I484" s="149">
        <f t="shared" si="2"/>
        <v>785000</v>
      </c>
      <c r="J484" s="150"/>
      <c r="K484" s="144"/>
    </row>
    <row r="485" ht="26.25" customHeight="1">
      <c r="A485" s="170"/>
      <c r="B485" s="144"/>
      <c r="C485" s="144"/>
      <c r="D485" s="145"/>
      <c r="E485" s="145"/>
      <c r="F485" s="145"/>
      <c r="G485" s="144"/>
      <c r="H485" s="145"/>
      <c r="I485" s="149">
        <f t="shared" si="2"/>
        <v>785000</v>
      </c>
      <c r="J485" s="150"/>
      <c r="K485" s="144"/>
    </row>
    <row r="486" ht="26.25" customHeight="1">
      <c r="A486" s="170"/>
      <c r="B486" s="144"/>
      <c r="C486" s="144"/>
      <c r="D486" s="145"/>
      <c r="E486" s="145"/>
      <c r="F486" s="145"/>
      <c r="G486" s="144"/>
      <c r="H486" s="145"/>
      <c r="I486" s="149">
        <f t="shared" si="2"/>
        <v>785000</v>
      </c>
      <c r="J486" s="150"/>
      <c r="K486" s="144"/>
    </row>
    <row r="487" ht="26.25" customHeight="1">
      <c r="A487" s="170"/>
      <c r="B487" s="144"/>
      <c r="C487" s="144"/>
      <c r="D487" s="145"/>
      <c r="E487" s="145"/>
      <c r="F487" s="145"/>
      <c r="G487" s="144"/>
      <c r="H487" s="145"/>
      <c r="I487" s="149">
        <f t="shared" si="2"/>
        <v>785000</v>
      </c>
      <c r="J487" s="150"/>
      <c r="K487" s="144"/>
    </row>
    <row r="488" ht="26.25" customHeight="1">
      <c r="A488" s="170"/>
      <c r="B488" s="144"/>
      <c r="C488" s="144"/>
      <c r="D488" s="145"/>
      <c r="E488" s="145"/>
      <c r="F488" s="145"/>
      <c r="G488" s="144"/>
      <c r="H488" s="145"/>
      <c r="I488" s="149">
        <f t="shared" si="2"/>
        <v>785000</v>
      </c>
      <c r="J488" s="150"/>
      <c r="K488" s="144"/>
    </row>
    <row r="489" ht="26.25" customHeight="1">
      <c r="A489" s="170"/>
      <c r="B489" s="144"/>
      <c r="C489" s="144"/>
      <c r="D489" s="145"/>
      <c r="E489" s="145"/>
      <c r="F489" s="145"/>
      <c r="G489" s="144"/>
      <c r="H489" s="145"/>
      <c r="I489" s="149">
        <f t="shared" si="2"/>
        <v>785000</v>
      </c>
      <c r="J489" s="150"/>
      <c r="K489" s="144"/>
    </row>
    <row r="490" ht="26.25" customHeight="1">
      <c r="A490" s="170"/>
      <c r="B490" s="144"/>
      <c r="C490" s="144"/>
      <c r="D490" s="145"/>
      <c r="E490" s="145"/>
      <c r="F490" s="145"/>
      <c r="G490" s="144"/>
      <c r="H490" s="145"/>
      <c r="I490" s="149">
        <f t="shared" si="2"/>
        <v>785000</v>
      </c>
      <c r="J490" s="150"/>
      <c r="K490" s="144"/>
    </row>
    <row r="491" ht="26.25" customHeight="1">
      <c r="A491" s="170"/>
      <c r="B491" s="144"/>
      <c r="C491" s="144"/>
      <c r="D491" s="145"/>
      <c r="E491" s="145"/>
      <c r="F491" s="145"/>
      <c r="G491" s="144"/>
      <c r="H491" s="145"/>
      <c r="I491" s="149">
        <f t="shared" si="2"/>
        <v>785000</v>
      </c>
      <c r="J491" s="150"/>
      <c r="K491" s="144"/>
    </row>
    <row r="492" ht="26.25" customHeight="1">
      <c r="A492" s="170"/>
      <c r="B492" s="144"/>
      <c r="C492" s="144"/>
      <c r="D492" s="145"/>
      <c r="E492" s="145"/>
      <c r="F492" s="145"/>
      <c r="G492" s="144"/>
      <c r="H492" s="145"/>
      <c r="I492" s="149">
        <f t="shared" si="2"/>
        <v>785000</v>
      </c>
      <c r="J492" s="150"/>
      <c r="K492" s="144"/>
    </row>
    <row r="493" ht="26.25" customHeight="1">
      <c r="A493" s="170"/>
      <c r="B493" s="144"/>
      <c r="C493" s="144"/>
      <c r="D493" s="145"/>
      <c r="E493" s="145"/>
      <c r="F493" s="145"/>
      <c r="G493" s="144"/>
      <c r="H493" s="145"/>
      <c r="I493" s="149">
        <f t="shared" si="2"/>
        <v>785000</v>
      </c>
      <c r="J493" s="150"/>
      <c r="K493" s="144"/>
    </row>
    <row r="494" ht="26.25" customHeight="1">
      <c r="A494" s="170"/>
      <c r="B494" s="144"/>
      <c r="C494" s="144"/>
      <c r="D494" s="145"/>
      <c r="E494" s="145"/>
      <c r="F494" s="145"/>
      <c r="G494" s="144"/>
      <c r="H494" s="145"/>
      <c r="I494" s="149">
        <f t="shared" si="2"/>
        <v>785000</v>
      </c>
      <c r="J494" s="150"/>
      <c r="K494" s="144"/>
    </row>
    <row r="495" ht="26.25" customHeight="1">
      <c r="A495" s="170"/>
      <c r="B495" s="144"/>
      <c r="C495" s="144"/>
      <c r="D495" s="145"/>
      <c r="E495" s="145"/>
      <c r="F495" s="145"/>
      <c r="G495" s="144"/>
      <c r="H495" s="145"/>
      <c r="I495" s="149">
        <f t="shared" si="2"/>
        <v>785000</v>
      </c>
      <c r="J495" s="150"/>
      <c r="K495" s="144"/>
    </row>
    <row r="496" ht="26.25" customHeight="1">
      <c r="A496" s="170"/>
      <c r="B496" s="144"/>
      <c r="C496" s="144"/>
      <c r="D496" s="145"/>
      <c r="E496" s="145"/>
      <c r="F496" s="145"/>
      <c r="G496" s="144"/>
      <c r="H496" s="145"/>
      <c r="I496" s="149">
        <f t="shared" si="2"/>
        <v>785000</v>
      </c>
      <c r="J496" s="150"/>
      <c r="K496" s="144"/>
    </row>
    <row r="497" ht="26.25" customHeight="1">
      <c r="A497" s="170"/>
      <c r="B497" s="144"/>
      <c r="C497" s="144"/>
      <c r="D497" s="145"/>
      <c r="E497" s="145"/>
      <c r="F497" s="145"/>
      <c r="G497" s="144"/>
      <c r="H497" s="145"/>
      <c r="I497" s="149">
        <f t="shared" si="2"/>
        <v>785000</v>
      </c>
      <c r="J497" s="150"/>
      <c r="K497" s="144"/>
    </row>
    <row r="498" ht="26.25" customHeight="1">
      <c r="A498" s="170"/>
      <c r="B498" s="144"/>
      <c r="C498" s="144"/>
      <c r="D498" s="145"/>
      <c r="E498" s="145"/>
      <c r="F498" s="145"/>
      <c r="G498" s="144"/>
      <c r="H498" s="145"/>
      <c r="I498" s="149">
        <f t="shared" si="2"/>
        <v>785000</v>
      </c>
      <c r="J498" s="150"/>
      <c r="K498" s="144"/>
    </row>
    <row r="499" ht="26.25" customHeight="1">
      <c r="A499" s="170"/>
      <c r="B499" s="144"/>
      <c r="C499" s="144"/>
      <c r="D499" s="145"/>
      <c r="E499" s="145"/>
      <c r="F499" s="145"/>
      <c r="G499" s="144"/>
      <c r="H499" s="145"/>
      <c r="I499" s="149">
        <f t="shared" si="2"/>
        <v>785000</v>
      </c>
      <c r="J499" s="150"/>
      <c r="K499" s="144"/>
    </row>
    <row r="500" ht="26.25" customHeight="1">
      <c r="A500" s="170"/>
      <c r="B500" s="144"/>
      <c r="C500" s="144"/>
      <c r="D500" s="145"/>
      <c r="E500" s="145"/>
      <c r="F500" s="145"/>
      <c r="G500" s="144"/>
      <c r="H500" s="145"/>
      <c r="I500" s="149">
        <f t="shared" si="2"/>
        <v>785000</v>
      </c>
      <c r="J500" s="150"/>
      <c r="K500" s="144"/>
    </row>
    <row r="501" ht="26.25" customHeight="1">
      <c r="A501" s="170"/>
      <c r="B501" s="144"/>
      <c r="C501" s="144"/>
      <c r="D501" s="145"/>
      <c r="E501" s="145"/>
      <c r="F501" s="145"/>
      <c r="G501" s="144"/>
      <c r="H501" s="145"/>
      <c r="I501" s="149">
        <f t="shared" si="2"/>
        <v>785000</v>
      </c>
      <c r="J501" s="150"/>
      <c r="K501" s="144"/>
    </row>
    <row r="502" ht="26.25" customHeight="1">
      <c r="A502" s="170"/>
      <c r="B502" s="144"/>
      <c r="C502" s="144"/>
      <c r="D502" s="145"/>
      <c r="E502" s="145"/>
      <c r="F502" s="145"/>
      <c r="G502" s="144"/>
      <c r="H502" s="145"/>
      <c r="I502" s="149">
        <f t="shared" si="2"/>
        <v>785000</v>
      </c>
      <c r="J502" s="150"/>
      <c r="K502" s="144"/>
    </row>
    <row r="503" ht="26.25" customHeight="1">
      <c r="A503" s="170"/>
      <c r="B503" s="144"/>
      <c r="C503" s="144"/>
      <c r="D503" s="145"/>
      <c r="E503" s="145"/>
      <c r="F503" s="145"/>
      <c r="G503" s="144"/>
      <c r="H503" s="145"/>
      <c r="I503" s="149">
        <f t="shared" si="2"/>
        <v>785000</v>
      </c>
      <c r="J503" s="150"/>
      <c r="K503" s="144"/>
    </row>
    <row r="504" ht="26.25" customHeight="1">
      <c r="A504" s="170"/>
      <c r="B504" s="144"/>
      <c r="C504" s="144"/>
      <c r="D504" s="145"/>
      <c r="E504" s="145"/>
      <c r="F504" s="145"/>
      <c r="G504" s="144"/>
      <c r="H504" s="145"/>
      <c r="I504" s="149">
        <f t="shared" si="2"/>
        <v>785000</v>
      </c>
      <c r="J504" s="150"/>
      <c r="K504" s="144"/>
    </row>
    <row r="505" ht="26.25" customHeight="1">
      <c r="A505" s="170"/>
      <c r="B505" s="144"/>
      <c r="C505" s="144"/>
      <c r="D505" s="145"/>
      <c r="E505" s="145"/>
      <c r="F505" s="145"/>
      <c r="G505" s="144"/>
      <c r="H505" s="145"/>
      <c r="I505" s="149">
        <f t="shared" si="2"/>
        <v>785000</v>
      </c>
      <c r="J505" s="150"/>
      <c r="K505" s="144"/>
    </row>
    <row r="506" ht="26.25" customHeight="1">
      <c r="A506" s="170"/>
      <c r="B506" s="144"/>
      <c r="C506" s="144"/>
      <c r="D506" s="145"/>
      <c r="E506" s="145"/>
      <c r="F506" s="145"/>
      <c r="G506" s="144"/>
      <c r="H506" s="145"/>
      <c r="I506" s="149">
        <f t="shared" si="2"/>
        <v>785000</v>
      </c>
      <c r="J506" s="150"/>
      <c r="K506" s="144"/>
    </row>
    <row r="507" ht="26.25" customHeight="1">
      <c r="A507" s="170"/>
      <c r="B507" s="144"/>
      <c r="C507" s="144"/>
      <c r="D507" s="145"/>
      <c r="E507" s="145"/>
      <c r="F507" s="145"/>
      <c r="G507" s="144"/>
      <c r="H507" s="145"/>
      <c r="I507" s="149">
        <f t="shared" si="2"/>
        <v>785000</v>
      </c>
      <c r="J507" s="150"/>
      <c r="K507" s="144"/>
    </row>
    <row r="508" ht="26.25" customHeight="1">
      <c r="A508" s="170"/>
      <c r="B508" s="144"/>
      <c r="C508" s="144"/>
      <c r="D508" s="145"/>
      <c r="E508" s="145"/>
      <c r="F508" s="145"/>
      <c r="G508" s="144"/>
      <c r="H508" s="145"/>
      <c r="I508" s="149">
        <f t="shared" si="2"/>
        <v>785000</v>
      </c>
      <c r="J508" s="150"/>
      <c r="K508" s="144"/>
    </row>
    <row r="509" ht="26.25" customHeight="1">
      <c r="A509" s="170"/>
      <c r="B509" s="144"/>
      <c r="C509" s="144"/>
      <c r="D509" s="145"/>
      <c r="E509" s="145"/>
      <c r="F509" s="145"/>
      <c r="G509" s="144"/>
      <c r="H509" s="145"/>
      <c r="I509" s="149">
        <f t="shared" si="2"/>
        <v>785000</v>
      </c>
      <c r="J509" s="150"/>
      <c r="K509" s="144"/>
    </row>
    <row r="510" ht="26.25" customHeight="1">
      <c r="A510" s="170"/>
      <c r="B510" s="144"/>
      <c r="C510" s="144"/>
      <c r="D510" s="145"/>
      <c r="E510" s="145"/>
      <c r="F510" s="145"/>
      <c r="G510" s="144"/>
      <c r="H510" s="145"/>
      <c r="I510" s="149">
        <f t="shared" si="2"/>
        <v>785000</v>
      </c>
      <c r="J510" s="150"/>
      <c r="K510" s="144"/>
    </row>
    <row r="511" ht="26.25" customHeight="1">
      <c r="A511" s="170"/>
      <c r="B511" s="144"/>
      <c r="C511" s="144"/>
      <c r="D511" s="145"/>
      <c r="E511" s="145"/>
      <c r="F511" s="145"/>
      <c r="G511" s="144"/>
      <c r="H511" s="145"/>
      <c r="I511" s="149">
        <f t="shared" si="2"/>
        <v>785000</v>
      </c>
      <c r="J511" s="150"/>
      <c r="K511" s="144"/>
    </row>
    <row r="512" ht="26.25" customHeight="1">
      <c r="A512" s="170"/>
      <c r="B512" s="144"/>
      <c r="C512" s="144"/>
      <c r="D512" s="145"/>
      <c r="E512" s="145"/>
      <c r="F512" s="145"/>
      <c r="G512" s="144"/>
      <c r="H512" s="145"/>
      <c r="I512" s="149">
        <f t="shared" si="2"/>
        <v>785000</v>
      </c>
      <c r="J512" s="150"/>
      <c r="K512" s="144"/>
    </row>
    <row r="513" ht="26.25" customHeight="1">
      <c r="A513" s="170"/>
      <c r="B513" s="144"/>
      <c r="C513" s="144"/>
      <c r="D513" s="145"/>
      <c r="E513" s="145"/>
      <c r="F513" s="145"/>
      <c r="G513" s="144"/>
      <c r="H513" s="145"/>
      <c r="I513" s="149">
        <f t="shared" si="2"/>
        <v>785000</v>
      </c>
      <c r="J513" s="150"/>
      <c r="K513" s="144"/>
    </row>
    <row r="514" ht="26.25" customHeight="1">
      <c r="A514" s="170"/>
      <c r="B514" s="144"/>
      <c r="C514" s="144"/>
      <c r="D514" s="145"/>
      <c r="E514" s="145"/>
      <c r="F514" s="145"/>
      <c r="G514" s="144"/>
      <c r="H514" s="145"/>
      <c r="I514" s="149">
        <f t="shared" si="2"/>
        <v>785000</v>
      </c>
      <c r="J514" s="150"/>
      <c r="K514" s="144"/>
    </row>
    <row r="515" ht="26.25" customHeight="1">
      <c r="A515" s="170"/>
      <c r="B515" s="144"/>
      <c r="C515" s="144"/>
      <c r="D515" s="145"/>
      <c r="E515" s="145"/>
      <c r="F515" s="145"/>
      <c r="G515" s="144"/>
      <c r="H515" s="145"/>
      <c r="I515" s="149">
        <f t="shared" si="2"/>
        <v>785000</v>
      </c>
      <c r="J515" s="150"/>
      <c r="K515" s="144"/>
    </row>
    <row r="516" ht="26.25" customHeight="1">
      <c r="A516" s="170"/>
      <c r="B516" s="144"/>
      <c r="C516" s="144"/>
      <c r="D516" s="145"/>
      <c r="E516" s="145"/>
      <c r="F516" s="145"/>
      <c r="G516" s="144"/>
      <c r="H516" s="145"/>
      <c r="I516" s="149">
        <f t="shared" si="2"/>
        <v>785000</v>
      </c>
      <c r="J516" s="150"/>
      <c r="K516" s="144"/>
    </row>
    <row r="517" ht="26.25" customHeight="1">
      <c r="A517" s="170"/>
      <c r="B517" s="144"/>
      <c r="C517" s="144"/>
      <c r="D517" s="145"/>
      <c r="E517" s="145"/>
      <c r="F517" s="145"/>
      <c r="G517" s="144"/>
      <c r="H517" s="145"/>
      <c r="I517" s="149">
        <f t="shared" si="2"/>
        <v>785000</v>
      </c>
      <c r="J517" s="150"/>
      <c r="K517" s="144"/>
    </row>
    <row r="518" ht="26.25" customHeight="1">
      <c r="A518" s="170"/>
      <c r="B518" s="144"/>
      <c r="C518" s="144"/>
      <c r="D518" s="145"/>
      <c r="E518" s="145"/>
      <c r="F518" s="145"/>
      <c r="G518" s="144"/>
      <c r="H518" s="145"/>
      <c r="I518" s="149">
        <f t="shared" si="2"/>
        <v>785000</v>
      </c>
      <c r="J518" s="150"/>
      <c r="K518" s="144"/>
    </row>
    <row r="519" ht="26.25" customHeight="1">
      <c r="A519" s="170"/>
      <c r="B519" s="144"/>
      <c r="C519" s="144"/>
      <c r="D519" s="145"/>
      <c r="E519" s="145"/>
      <c r="F519" s="145"/>
      <c r="G519" s="144"/>
      <c r="H519" s="145"/>
      <c r="I519" s="149">
        <f t="shared" si="2"/>
        <v>785000</v>
      </c>
      <c r="J519" s="150"/>
      <c r="K519" s="144"/>
    </row>
    <row r="520" ht="26.25" customHeight="1">
      <c r="A520" s="170"/>
      <c r="B520" s="144"/>
      <c r="C520" s="144"/>
      <c r="D520" s="145"/>
      <c r="E520" s="145"/>
      <c r="F520" s="145"/>
      <c r="G520" s="144"/>
      <c r="H520" s="145"/>
      <c r="I520" s="149">
        <f t="shared" si="2"/>
        <v>785000</v>
      </c>
      <c r="J520" s="150"/>
      <c r="K520" s="144"/>
    </row>
    <row r="521" ht="26.25" customHeight="1">
      <c r="A521" s="170"/>
      <c r="B521" s="144"/>
      <c r="C521" s="144"/>
      <c r="D521" s="145"/>
      <c r="E521" s="145"/>
      <c r="F521" s="145"/>
      <c r="G521" s="144"/>
      <c r="H521" s="145"/>
      <c r="I521" s="149">
        <f t="shared" si="2"/>
        <v>785000</v>
      </c>
      <c r="J521" s="150"/>
      <c r="K521" s="144"/>
    </row>
    <row r="522" ht="26.25" customHeight="1">
      <c r="A522" s="170"/>
      <c r="B522" s="144"/>
      <c r="C522" s="144"/>
      <c r="D522" s="145"/>
      <c r="E522" s="145"/>
      <c r="F522" s="145"/>
      <c r="G522" s="144"/>
      <c r="H522" s="145"/>
      <c r="I522" s="149">
        <f t="shared" si="2"/>
        <v>785000</v>
      </c>
      <c r="J522" s="150"/>
      <c r="K522" s="144"/>
    </row>
    <row r="523" ht="26.25" customHeight="1">
      <c r="A523" s="170"/>
      <c r="B523" s="144"/>
      <c r="C523" s="144"/>
      <c r="D523" s="145"/>
      <c r="E523" s="145"/>
      <c r="F523" s="145"/>
      <c r="G523" s="144"/>
      <c r="H523" s="145"/>
      <c r="I523" s="149">
        <f t="shared" si="2"/>
        <v>785000</v>
      </c>
      <c r="J523" s="150"/>
      <c r="K523" s="144"/>
    </row>
    <row r="524" ht="26.25" customHeight="1">
      <c r="A524" s="170"/>
      <c r="B524" s="144"/>
      <c r="C524" s="144"/>
      <c r="D524" s="145"/>
      <c r="E524" s="145"/>
      <c r="F524" s="145"/>
      <c r="G524" s="144"/>
      <c r="H524" s="145"/>
      <c r="I524" s="149">
        <f t="shared" si="2"/>
        <v>785000</v>
      </c>
      <c r="J524" s="150"/>
      <c r="K524" s="144"/>
    </row>
    <row r="525" ht="26.25" customHeight="1">
      <c r="A525" s="170"/>
      <c r="B525" s="144"/>
      <c r="C525" s="144"/>
      <c r="D525" s="145"/>
      <c r="E525" s="145"/>
      <c r="F525" s="145"/>
      <c r="G525" s="144"/>
      <c r="H525" s="145"/>
      <c r="I525" s="149">
        <f t="shared" si="2"/>
        <v>785000</v>
      </c>
      <c r="J525" s="150"/>
      <c r="K525" s="144"/>
    </row>
    <row r="526" ht="26.25" customHeight="1">
      <c r="A526" s="170"/>
      <c r="B526" s="144"/>
      <c r="C526" s="144"/>
      <c r="D526" s="145"/>
      <c r="E526" s="145"/>
      <c r="F526" s="145"/>
      <c r="G526" s="144"/>
      <c r="H526" s="145"/>
      <c r="I526" s="149">
        <f t="shared" si="2"/>
        <v>785000</v>
      </c>
      <c r="J526" s="150"/>
      <c r="K526" s="144"/>
    </row>
    <row r="527" ht="26.25" customHeight="1">
      <c r="A527" s="170"/>
      <c r="B527" s="144"/>
      <c r="C527" s="144"/>
      <c r="D527" s="145"/>
      <c r="E527" s="145"/>
      <c r="F527" s="145"/>
      <c r="G527" s="144"/>
      <c r="H527" s="145"/>
      <c r="I527" s="149">
        <f t="shared" si="2"/>
        <v>785000</v>
      </c>
      <c r="J527" s="150"/>
      <c r="K527" s="144"/>
    </row>
    <row r="528" ht="26.25" customHeight="1">
      <c r="A528" s="170"/>
      <c r="B528" s="144"/>
      <c r="C528" s="144"/>
      <c r="D528" s="145"/>
      <c r="E528" s="145"/>
      <c r="F528" s="145"/>
      <c r="G528" s="144"/>
      <c r="H528" s="145"/>
      <c r="I528" s="149">
        <f t="shared" si="2"/>
        <v>785000</v>
      </c>
      <c r="J528" s="150"/>
      <c r="K528" s="144"/>
    </row>
    <row r="529" ht="26.25" customHeight="1">
      <c r="A529" s="170"/>
      <c r="B529" s="144"/>
      <c r="C529" s="144"/>
      <c r="D529" s="145"/>
      <c r="E529" s="145"/>
      <c r="F529" s="145"/>
      <c r="G529" s="144"/>
      <c r="H529" s="145"/>
      <c r="I529" s="149">
        <f t="shared" si="2"/>
        <v>785000</v>
      </c>
      <c r="J529" s="150"/>
      <c r="K529" s="144"/>
    </row>
    <row r="530" ht="26.25" customHeight="1">
      <c r="A530" s="170"/>
      <c r="B530" s="144"/>
      <c r="C530" s="144"/>
      <c r="D530" s="145"/>
      <c r="E530" s="145"/>
      <c r="F530" s="145"/>
      <c r="G530" s="144"/>
      <c r="H530" s="145"/>
      <c r="I530" s="149">
        <f t="shared" si="2"/>
        <v>785000</v>
      </c>
      <c r="J530" s="150"/>
      <c r="K530" s="144"/>
    </row>
    <row r="531" ht="26.25" customHeight="1">
      <c r="A531" s="170"/>
      <c r="B531" s="144"/>
      <c r="C531" s="144"/>
      <c r="D531" s="145"/>
      <c r="E531" s="145"/>
      <c r="F531" s="145"/>
      <c r="G531" s="144"/>
      <c r="H531" s="145"/>
      <c r="I531" s="149">
        <f t="shared" si="2"/>
        <v>785000</v>
      </c>
      <c r="J531" s="150"/>
      <c r="K531" s="144"/>
    </row>
    <row r="532" ht="26.25" customHeight="1">
      <c r="A532" s="170"/>
      <c r="B532" s="144"/>
      <c r="C532" s="144"/>
      <c r="D532" s="145"/>
      <c r="E532" s="145"/>
      <c r="F532" s="145"/>
      <c r="G532" s="144"/>
      <c r="H532" s="145"/>
      <c r="I532" s="149">
        <f t="shared" si="2"/>
        <v>785000</v>
      </c>
      <c r="J532" s="150"/>
      <c r="K532" s="144"/>
    </row>
    <row r="533" ht="26.25" customHeight="1">
      <c r="A533" s="170"/>
      <c r="B533" s="144"/>
      <c r="C533" s="144"/>
      <c r="D533" s="145"/>
      <c r="E533" s="145"/>
      <c r="F533" s="145"/>
      <c r="G533" s="144"/>
      <c r="H533" s="145"/>
      <c r="I533" s="149">
        <f t="shared" si="2"/>
        <v>785000</v>
      </c>
      <c r="J533" s="150"/>
      <c r="K533" s="144"/>
    </row>
    <row r="534" ht="26.25" customHeight="1">
      <c r="A534" s="170"/>
      <c r="B534" s="144"/>
      <c r="C534" s="144"/>
      <c r="D534" s="145"/>
      <c r="E534" s="145"/>
      <c r="F534" s="145"/>
      <c r="G534" s="144"/>
      <c r="H534" s="145"/>
      <c r="I534" s="149">
        <f t="shared" si="2"/>
        <v>785000</v>
      </c>
      <c r="J534" s="150"/>
      <c r="K534" s="144"/>
    </row>
    <row r="535" ht="26.25" customHeight="1">
      <c r="A535" s="170"/>
      <c r="B535" s="144"/>
      <c r="C535" s="144"/>
      <c r="D535" s="145"/>
      <c r="E535" s="145"/>
      <c r="F535" s="145"/>
      <c r="G535" s="144"/>
      <c r="H535" s="145"/>
      <c r="I535" s="149">
        <f t="shared" si="2"/>
        <v>785000</v>
      </c>
      <c r="J535" s="150"/>
      <c r="K535" s="144"/>
    </row>
    <row r="536" ht="26.25" customHeight="1">
      <c r="A536" s="170"/>
      <c r="B536" s="144"/>
      <c r="C536" s="144"/>
      <c r="D536" s="145"/>
      <c r="E536" s="145"/>
      <c r="F536" s="145"/>
      <c r="G536" s="144"/>
      <c r="H536" s="145"/>
      <c r="I536" s="149">
        <f t="shared" si="2"/>
        <v>785000</v>
      </c>
      <c r="J536" s="150"/>
      <c r="K536" s="144"/>
    </row>
    <row r="537" ht="26.25" customHeight="1">
      <c r="A537" s="170"/>
      <c r="B537" s="144"/>
      <c r="C537" s="144"/>
      <c r="D537" s="145"/>
      <c r="E537" s="145"/>
      <c r="F537" s="145"/>
      <c r="G537" s="144"/>
      <c r="H537" s="145"/>
      <c r="I537" s="149">
        <f t="shared" si="2"/>
        <v>785000</v>
      </c>
      <c r="J537" s="150"/>
      <c r="K537" s="144"/>
    </row>
    <row r="538" ht="26.25" customHeight="1">
      <c r="A538" s="170"/>
      <c r="B538" s="144"/>
      <c r="C538" s="144"/>
      <c r="D538" s="145"/>
      <c r="E538" s="145"/>
      <c r="F538" s="145"/>
      <c r="G538" s="144"/>
      <c r="H538" s="145"/>
      <c r="I538" s="149">
        <f t="shared" si="2"/>
        <v>785000</v>
      </c>
      <c r="J538" s="150"/>
      <c r="K538" s="144"/>
    </row>
    <row r="539" ht="26.25" customHeight="1">
      <c r="A539" s="170"/>
      <c r="B539" s="144"/>
      <c r="C539" s="144"/>
      <c r="D539" s="145"/>
      <c r="E539" s="145"/>
      <c r="F539" s="145"/>
      <c r="G539" s="144"/>
      <c r="H539" s="145"/>
      <c r="I539" s="149">
        <f t="shared" si="2"/>
        <v>785000</v>
      </c>
      <c r="J539" s="150"/>
      <c r="K539" s="144"/>
    </row>
    <row r="540" ht="26.25" customHeight="1">
      <c r="A540" s="170"/>
      <c r="B540" s="144"/>
      <c r="C540" s="144"/>
      <c r="D540" s="145"/>
      <c r="E540" s="145"/>
      <c r="F540" s="145"/>
      <c r="G540" s="144"/>
      <c r="H540" s="145"/>
      <c r="I540" s="149">
        <f t="shared" si="2"/>
        <v>785000</v>
      </c>
      <c r="J540" s="150"/>
      <c r="K540" s="144"/>
    </row>
    <row r="541" ht="26.25" customHeight="1">
      <c r="A541" s="170"/>
      <c r="B541" s="144"/>
      <c r="C541" s="144"/>
      <c r="D541" s="145"/>
      <c r="E541" s="145"/>
      <c r="F541" s="145"/>
      <c r="G541" s="144"/>
      <c r="H541" s="145"/>
      <c r="I541" s="149">
        <f t="shared" si="2"/>
        <v>785000</v>
      </c>
      <c r="J541" s="150"/>
      <c r="K541" s="144"/>
    </row>
    <row r="542" ht="26.25" customHeight="1">
      <c r="A542" s="170"/>
      <c r="B542" s="144"/>
      <c r="C542" s="144"/>
      <c r="D542" s="145"/>
      <c r="E542" s="145"/>
      <c r="F542" s="145"/>
      <c r="G542" s="144"/>
      <c r="H542" s="145"/>
      <c r="I542" s="149">
        <f t="shared" si="2"/>
        <v>785000</v>
      </c>
      <c r="J542" s="150"/>
      <c r="K542" s="144"/>
    </row>
    <row r="543" ht="26.25" customHeight="1">
      <c r="A543" s="170"/>
      <c r="B543" s="144"/>
      <c r="C543" s="144"/>
      <c r="D543" s="145"/>
      <c r="E543" s="145"/>
      <c r="F543" s="145"/>
      <c r="G543" s="144"/>
      <c r="H543" s="145"/>
      <c r="I543" s="149">
        <f t="shared" si="2"/>
        <v>785000</v>
      </c>
      <c r="J543" s="150"/>
      <c r="K543" s="144"/>
    </row>
    <row r="544" ht="26.25" customHeight="1">
      <c r="A544" s="170"/>
      <c r="B544" s="144"/>
      <c r="C544" s="144"/>
      <c r="D544" s="145"/>
      <c r="E544" s="145"/>
      <c r="F544" s="145"/>
      <c r="G544" s="144"/>
      <c r="H544" s="145"/>
      <c r="I544" s="149">
        <f t="shared" si="2"/>
        <v>785000</v>
      </c>
      <c r="J544" s="150"/>
      <c r="K544" s="144"/>
    </row>
    <row r="545" ht="26.25" customHeight="1">
      <c r="A545" s="170"/>
      <c r="B545" s="144"/>
      <c r="C545" s="144"/>
      <c r="D545" s="145"/>
      <c r="E545" s="145"/>
      <c r="F545" s="145"/>
      <c r="G545" s="144"/>
      <c r="H545" s="145"/>
      <c r="I545" s="149">
        <f t="shared" si="2"/>
        <v>785000</v>
      </c>
      <c r="J545" s="150"/>
      <c r="K545" s="144"/>
    </row>
    <row r="546" ht="26.25" customHeight="1">
      <c r="A546" s="170"/>
      <c r="B546" s="144"/>
      <c r="C546" s="144"/>
      <c r="D546" s="145"/>
      <c r="E546" s="145"/>
      <c r="F546" s="145"/>
      <c r="G546" s="144"/>
      <c r="H546" s="145"/>
      <c r="I546" s="149">
        <f t="shared" si="2"/>
        <v>785000</v>
      </c>
      <c r="J546" s="150"/>
      <c r="K546" s="144"/>
    </row>
    <row r="547" ht="26.25" customHeight="1">
      <c r="A547" s="170"/>
      <c r="B547" s="144"/>
      <c r="C547" s="144"/>
      <c r="D547" s="145"/>
      <c r="E547" s="145"/>
      <c r="F547" s="145"/>
      <c r="G547" s="144"/>
      <c r="H547" s="145"/>
      <c r="I547" s="149">
        <f t="shared" si="2"/>
        <v>785000</v>
      </c>
      <c r="J547" s="150"/>
      <c r="K547" s="144"/>
    </row>
    <row r="548" ht="26.25" customHeight="1">
      <c r="A548" s="170"/>
      <c r="B548" s="144"/>
      <c r="C548" s="144"/>
      <c r="D548" s="145"/>
      <c r="E548" s="145"/>
      <c r="F548" s="145"/>
      <c r="G548" s="144"/>
      <c r="H548" s="145"/>
      <c r="I548" s="149">
        <f t="shared" si="2"/>
        <v>785000</v>
      </c>
      <c r="J548" s="150"/>
      <c r="K548" s="144"/>
    </row>
    <row r="549" ht="26.25" customHeight="1">
      <c r="A549" s="170"/>
      <c r="B549" s="144"/>
      <c r="C549" s="144"/>
      <c r="D549" s="145"/>
      <c r="E549" s="145"/>
      <c r="F549" s="145"/>
      <c r="G549" s="144"/>
      <c r="H549" s="145"/>
      <c r="I549" s="149">
        <f t="shared" si="2"/>
        <v>785000</v>
      </c>
      <c r="J549" s="150"/>
      <c r="K549" s="144"/>
    </row>
    <row r="550" ht="26.25" customHeight="1">
      <c r="A550" s="170"/>
      <c r="B550" s="144"/>
      <c r="C550" s="144"/>
      <c r="D550" s="145"/>
      <c r="E550" s="145"/>
      <c r="F550" s="145"/>
      <c r="G550" s="144"/>
      <c r="H550" s="145"/>
      <c r="I550" s="149">
        <f t="shared" si="2"/>
        <v>785000</v>
      </c>
      <c r="J550" s="150"/>
      <c r="K550" s="144"/>
    </row>
    <row r="551" ht="26.25" customHeight="1">
      <c r="A551" s="170"/>
      <c r="B551" s="144"/>
      <c r="C551" s="144"/>
      <c r="D551" s="145"/>
      <c r="E551" s="145"/>
      <c r="F551" s="145"/>
      <c r="G551" s="144"/>
      <c r="H551" s="145"/>
      <c r="I551" s="149">
        <f t="shared" si="2"/>
        <v>785000</v>
      </c>
      <c r="J551" s="150"/>
      <c r="K551" s="144"/>
    </row>
    <row r="552" ht="26.25" customHeight="1">
      <c r="A552" s="170"/>
      <c r="B552" s="144"/>
      <c r="C552" s="144"/>
      <c r="D552" s="145"/>
      <c r="E552" s="145"/>
      <c r="F552" s="145"/>
      <c r="G552" s="144"/>
      <c r="H552" s="145"/>
      <c r="I552" s="149">
        <f t="shared" si="2"/>
        <v>785000</v>
      </c>
      <c r="J552" s="150"/>
      <c r="K552" s="144"/>
    </row>
    <row r="553" ht="26.25" customHeight="1">
      <c r="A553" s="170"/>
      <c r="B553" s="144"/>
      <c r="C553" s="144"/>
      <c r="D553" s="145"/>
      <c r="E553" s="145"/>
      <c r="F553" s="145"/>
      <c r="G553" s="144"/>
      <c r="H553" s="145"/>
      <c r="I553" s="149">
        <f t="shared" si="2"/>
        <v>785000</v>
      </c>
      <c r="J553" s="150"/>
      <c r="K553" s="144"/>
    </row>
    <row r="554" ht="26.25" customHeight="1">
      <c r="A554" s="170"/>
      <c r="B554" s="144"/>
      <c r="C554" s="144"/>
      <c r="D554" s="145"/>
      <c r="E554" s="145"/>
      <c r="F554" s="145"/>
      <c r="G554" s="144"/>
      <c r="H554" s="145"/>
      <c r="I554" s="149">
        <f t="shared" si="2"/>
        <v>785000</v>
      </c>
      <c r="J554" s="150"/>
      <c r="K554" s="144"/>
    </row>
    <row r="555" ht="26.25" customHeight="1">
      <c r="A555" s="170"/>
      <c r="B555" s="144"/>
      <c r="C555" s="144"/>
      <c r="D555" s="145"/>
      <c r="E555" s="145"/>
      <c r="F555" s="145"/>
      <c r="G555" s="144"/>
      <c r="H555" s="145"/>
      <c r="I555" s="149">
        <f t="shared" si="2"/>
        <v>785000</v>
      </c>
      <c r="J555" s="150"/>
      <c r="K555" s="144"/>
    </row>
    <row r="556" ht="26.25" customHeight="1">
      <c r="A556" s="170"/>
      <c r="B556" s="144"/>
      <c r="C556" s="144"/>
      <c r="D556" s="145"/>
      <c r="E556" s="145"/>
      <c r="F556" s="145"/>
      <c r="G556" s="144"/>
      <c r="H556" s="145"/>
      <c r="I556" s="149">
        <f t="shared" si="2"/>
        <v>785000</v>
      </c>
      <c r="J556" s="150"/>
      <c r="K556" s="144"/>
    </row>
    <row r="557" ht="26.25" customHeight="1">
      <c r="A557" s="170"/>
      <c r="B557" s="144"/>
      <c r="C557" s="144"/>
      <c r="D557" s="145"/>
      <c r="E557" s="145"/>
      <c r="F557" s="145"/>
      <c r="G557" s="144"/>
      <c r="H557" s="145"/>
      <c r="I557" s="149">
        <f t="shared" si="2"/>
        <v>785000</v>
      </c>
      <c r="J557" s="150"/>
      <c r="K557" s="144"/>
    </row>
    <row r="558" ht="26.25" customHeight="1">
      <c r="A558" s="170"/>
      <c r="B558" s="144"/>
      <c r="C558" s="144"/>
      <c r="D558" s="145"/>
      <c r="E558" s="145"/>
      <c r="F558" s="145"/>
      <c r="G558" s="144"/>
      <c r="H558" s="145"/>
      <c r="I558" s="149">
        <f t="shared" si="2"/>
        <v>785000</v>
      </c>
      <c r="J558" s="150"/>
      <c r="K558" s="144"/>
    </row>
    <row r="559" ht="26.25" customHeight="1">
      <c r="A559" s="170"/>
      <c r="B559" s="144"/>
      <c r="C559" s="144"/>
      <c r="D559" s="145"/>
      <c r="E559" s="145"/>
      <c r="F559" s="145"/>
      <c r="G559" s="144"/>
      <c r="H559" s="145"/>
      <c r="I559" s="149">
        <f t="shared" si="2"/>
        <v>785000</v>
      </c>
      <c r="J559" s="150"/>
      <c r="K559" s="144"/>
    </row>
    <row r="560" ht="26.25" customHeight="1">
      <c r="A560" s="170"/>
      <c r="B560" s="144"/>
      <c r="C560" s="144"/>
      <c r="D560" s="145"/>
      <c r="E560" s="145"/>
      <c r="F560" s="145"/>
      <c r="G560" s="144"/>
      <c r="H560" s="145"/>
      <c r="I560" s="149">
        <f t="shared" si="2"/>
        <v>785000</v>
      </c>
      <c r="J560" s="150"/>
      <c r="K560" s="144"/>
    </row>
    <row r="561" ht="26.25" customHeight="1">
      <c r="A561" s="170"/>
      <c r="B561" s="144"/>
      <c r="C561" s="144"/>
      <c r="D561" s="145"/>
      <c r="E561" s="145"/>
      <c r="F561" s="145"/>
      <c r="G561" s="144"/>
      <c r="H561" s="145"/>
      <c r="I561" s="149">
        <f t="shared" si="2"/>
        <v>785000</v>
      </c>
      <c r="J561" s="150"/>
      <c r="K561" s="144"/>
    </row>
    <row r="562" ht="26.25" customHeight="1">
      <c r="A562" s="170"/>
      <c r="B562" s="144"/>
      <c r="C562" s="144"/>
      <c r="D562" s="145"/>
      <c r="E562" s="145"/>
      <c r="F562" s="145"/>
      <c r="G562" s="144"/>
      <c r="H562" s="145"/>
      <c r="I562" s="149">
        <f t="shared" si="2"/>
        <v>785000</v>
      </c>
      <c r="J562" s="150"/>
      <c r="K562" s="144"/>
    </row>
    <row r="563" ht="26.25" customHeight="1">
      <c r="A563" s="170"/>
      <c r="B563" s="144"/>
      <c r="C563" s="144"/>
      <c r="D563" s="145"/>
      <c r="E563" s="145"/>
      <c r="F563" s="145"/>
      <c r="G563" s="144"/>
      <c r="H563" s="145"/>
      <c r="I563" s="149">
        <f t="shared" si="2"/>
        <v>785000</v>
      </c>
      <c r="J563" s="150"/>
      <c r="K563" s="144"/>
    </row>
    <row r="564" ht="26.25" customHeight="1">
      <c r="A564" s="170"/>
      <c r="B564" s="144"/>
      <c r="C564" s="144"/>
      <c r="D564" s="145"/>
      <c r="E564" s="145"/>
      <c r="F564" s="145"/>
      <c r="G564" s="144"/>
      <c r="H564" s="145"/>
      <c r="I564" s="149">
        <f t="shared" si="2"/>
        <v>785000</v>
      </c>
      <c r="J564" s="150"/>
      <c r="K564" s="144"/>
    </row>
    <row r="565" ht="26.25" customHeight="1">
      <c r="A565" s="170"/>
      <c r="B565" s="144"/>
      <c r="C565" s="144"/>
      <c r="D565" s="145"/>
      <c r="E565" s="145"/>
      <c r="F565" s="145"/>
      <c r="G565" s="144"/>
      <c r="H565" s="145"/>
      <c r="I565" s="149">
        <f t="shared" si="2"/>
        <v>785000</v>
      </c>
      <c r="J565" s="150"/>
      <c r="K565" s="144"/>
    </row>
    <row r="566" ht="26.25" customHeight="1">
      <c r="A566" s="170"/>
      <c r="B566" s="144"/>
      <c r="C566" s="144"/>
      <c r="D566" s="145"/>
      <c r="E566" s="145"/>
      <c r="F566" s="145"/>
      <c r="G566" s="144"/>
      <c r="H566" s="145"/>
      <c r="I566" s="149">
        <f t="shared" si="2"/>
        <v>785000</v>
      </c>
      <c r="J566" s="150"/>
      <c r="K566" s="144"/>
    </row>
    <row r="567" ht="26.25" customHeight="1">
      <c r="A567" s="170"/>
      <c r="B567" s="144"/>
      <c r="C567" s="144"/>
      <c r="D567" s="145"/>
      <c r="E567" s="145"/>
      <c r="F567" s="145"/>
      <c r="G567" s="144"/>
      <c r="H567" s="145"/>
      <c r="I567" s="149">
        <f t="shared" si="2"/>
        <v>785000</v>
      </c>
      <c r="J567" s="150"/>
      <c r="K567" s="144"/>
    </row>
    <row r="568" ht="26.25" customHeight="1">
      <c r="A568" s="170"/>
      <c r="B568" s="144"/>
      <c r="C568" s="144"/>
      <c r="D568" s="145"/>
      <c r="E568" s="145"/>
      <c r="F568" s="145"/>
      <c r="G568" s="144"/>
      <c r="H568" s="145"/>
      <c r="I568" s="149">
        <f t="shared" si="2"/>
        <v>785000</v>
      </c>
      <c r="J568" s="150"/>
      <c r="K568" s="144"/>
    </row>
    <row r="569" ht="26.25" customHeight="1">
      <c r="A569" s="170"/>
      <c r="B569" s="144"/>
      <c r="C569" s="144"/>
      <c r="D569" s="145"/>
      <c r="E569" s="145"/>
      <c r="F569" s="145"/>
      <c r="G569" s="144"/>
      <c r="H569" s="145"/>
      <c r="I569" s="149">
        <f t="shared" si="2"/>
        <v>785000</v>
      </c>
      <c r="J569" s="150"/>
      <c r="K569" s="144"/>
    </row>
    <row r="570" ht="26.25" customHeight="1">
      <c r="A570" s="170"/>
      <c r="B570" s="144"/>
      <c r="C570" s="144"/>
      <c r="D570" s="145"/>
      <c r="E570" s="145"/>
      <c r="F570" s="145"/>
      <c r="G570" s="144"/>
      <c r="H570" s="145"/>
      <c r="I570" s="149">
        <f t="shared" si="2"/>
        <v>785000</v>
      </c>
      <c r="J570" s="150"/>
      <c r="K570" s="144"/>
    </row>
    <row r="571" ht="26.25" customHeight="1">
      <c r="A571" s="170"/>
      <c r="B571" s="144"/>
      <c r="C571" s="144"/>
      <c r="D571" s="145"/>
      <c r="E571" s="145"/>
      <c r="F571" s="145"/>
      <c r="G571" s="144"/>
      <c r="H571" s="145"/>
      <c r="I571" s="149">
        <f t="shared" si="2"/>
        <v>785000</v>
      </c>
      <c r="J571" s="150"/>
      <c r="K571" s="144"/>
    </row>
    <row r="572" ht="26.25" customHeight="1">
      <c r="A572" s="170"/>
      <c r="B572" s="144"/>
      <c r="C572" s="144"/>
      <c r="D572" s="145"/>
      <c r="E572" s="145"/>
      <c r="F572" s="145"/>
      <c r="G572" s="144"/>
      <c r="H572" s="145"/>
      <c r="I572" s="149">
        <f t="shared" si="2"/>
        <v>785000</v>
      </c>
      <c r="J572" s="150"/>
      <c r="K572" s="144"/>
    </row>
    <row r="573" ht="26.25" customHeight="1">
      <c r="A573" s="170"/>
      <c r="B573" s="144"/>
      <c r="C573" s="144"/>
      <c r="D573" s="145"/>
      <c r="E573" s="145"/>
      <c r="F573" s="145"/>
      <c r="G573" s="144"/>
      <c r="H573" s="145"/>
      <c r="I573" s="149">
        <f t="shared" si="2"/>
        <v>785000</v>
      </c>
      <c r="J573" s="150"/>
      <c r="K573" s="144"/>
    </row>
    <row r="574" ht="26.25" customHeight="1">
      <c r="A574" s="170"/>
      <c r="B574" s="144"/>
      <c r="C574" s="144"/>
      <c r="D574" s="145"/>
      <c r="E574" s="145"/>
      <c r="F574" s="145"/>
      <c r="G574" s="144"/>
      <c r="H574" s="145"/>
      <c r="I574" s="149">
        <f t="shared" si="2"/>
        <v>785000</v>
      </c>
      <c r="J574" s="150"/>
      <c r="K574" s="144"/>
    </row>
    <row r="575" ht="26.25" customHeight="1">
      <c r="A575" s="170"/>
      <c r="B575" s="144"/>
      <c r="C575" s="144"/>
      <c r="D575" s="145"/>
      <c r="E575" s="145"/>
      <c r="F575" s="145"/>
      <c r="G575" s="144"/>
      <c r="H575" s="145"/>
      <c r="I575" s="149">
        <f t="shared" si="2"/>
        <v>785000</v>
      </c>
      <c r="J575" s="150"/>
      <c r="K575" s="144"/>
    </row>
    <row r="576" ht="26.25" customHeight="1">
      <c r="A576" s="170"/>
      <c r="B576" s="144"/>
      <c r="C576" s="144"/>
      <c r="D576" s="145"/>
      <c r="E576" s="145"/>
      <c r="F576" s="145"/>
      <c r="G576" s="144"/>
      <c r="H576" s="145"/>
      <c r="I576" s="149">
        <f t="shared" si="2"/>
        <v>785000</v>
      </c>
      <c r="J576" s="150"/>
      <c r="K576" s="144"/>
    </row>
    <row r="577" ht="26.25" customHeight="1">
      <c r="A577" s="170"/>
      <c r="B577" s="144"/>
      <c r="C577" s="144"/>
      <c r="D577" s="145"/>
      <c r="E577" s="145"/>
      <c r="F577" s="145"/>
      <c r="G577" s="144"/>
      <c r="H577" s="145"/>
      <c r="I577" s="149">
        <f t="shared" si="2"/>
        <v>785000</v>
      </c>
      <c r="J577" s="150"/>
      <c r="K577" s="144"/>
    </row>
    <row r="578" ht="26.25" customHeight="1">
      <c r="A578" s="170"/>
      <c r="B578" s="144"/>
      <c r="C578" s="144"/>
      <c r="D578" s="145"/>
      <c r="E578" s="145"/>
      <c r="F578" s="145"/>
      <c r="G578" s="144"/>
      <c r="H578" s="145"/>
      <c r="I578" s="149">
        <f t="shared" si="2"/>
        <v>785000</v>
      </c>
      <c r="J578" s="150"/>
      <c r="K578" s="144"/>
    </row>
    <row r="579" ht="26.25" customHeight="1">
      <c r="A579" s="170"/>
      <c r="B579" s="144"/>
      <c r="C579" s="144"/>
      <c r="D579" s="145"/>
      <c r="E579" s="145"/>
      <c r="F579" s="145"/>
      <c r="G579" s="144"/>
      <c r="H579" s="145"/>
      <c r="I579" s="149">
        <f t="shared" si="2"/>
        <v>785000</v>
      </c>
      <c r="J579" s="150"/>
      <c r="K579" s="144"/>
    </row>
    <row r="580" ht="26.25" customHeight="1">
      <c r="A580" s="170"/>
      <c r="B580" s="144"/>
      <c r="C580" s="144"/>
      <c r="D580" s="145"/>
      <c r="E580" s="145"/>
      <c r="F580" s="145"/>
      <c r="G580" s="144"/>
      <c r="H580" s="145"/>
      <c r="I580" s="149">
        <f t="shared" si="2"/>
        <v>785000</v>
      </c>
      <c r="J580" s="150"/>
      <c r="K580" s="144"/>
    </row>
    <row r="581" ht="26.25" customHeight="1">
      <c r="A581" s="170"/>
      <c r="B581" s="144"/>
      <c r="C581" s="144"/>
      <c r="D581" s="145"/>
      <c r="E581" s="145"/>
      <c r="F581" s="145"/>
      <c r="G581" s="144"/>
      <c r="H581" s="145"/>
      <c r="I581" s="149">
        <f t="shared" si="2"/>
        <v>785000</v>
      </c>
      <c r="J581" s="150"/>
      <c r="K581" s="144"/>
    </row>
    <row r="582" ht="26.25" customHeight="1">
      <c r="A582" s="170"/>
      <c r="B582" s="144"/>
      <c r="C582" s="144"/>
      <c r="D582" s="145"/>
      <c r="E582" s="145"/>
      <c r="F582" s="145"/>
      <c r="G582" s="144"/>
      <c r="H582" s="145"/>
      <c r="I582" s="149">
        <f t="shared" si="2"/>
        <v>785000</v>
      </c>
      <c r="J582" s="150"/>
      <c r="K582" s="144"/>
    </row>
    <row r="583" ht="26.25" customHeight="1">
      <c r="A583" s="170"/>
      <c r="B583" s="144"/>
      <c r="C583" s="144"/>
      <c r="D583" s="145"/>
      <c r="E583" s="145"/>
      <c r="F583" s="145"/>
      <c r="G583" s="144"/>
      <c r="H583" s="145"/>
      <c r="I583" s="149">
        <f t="shared" si="2"/>
        <v>785000</v>
      </c>
      <c r="J583" s="150"/>
      <c r="K583" s="144"/>
    </row>
    <row r="584" ht="26.25" customHeight="1">
      <c r="A584" s="170"/>
      <c r="B584" s="144"/>
      <c r="C584" s="144"/>
      <c r="D584" s="145"/>
      <c r="E584" s="145"/>
      <c r="F584" s="145"/>
      <c r="G584" s="144"/>
      <c r="H584" s="145"/>
      <c r="I584" s="149">
        <f t="shared" si="2"/>
        <v>785000</v>
      </c>
      <c r="J584" s="150"/>
      <c r="K584" s="144"/>
    </row>
    <row r="585" ht="26.25" customHeight="1">
      <c r="A585" s="170"/>
      <c r="B585" s="144"/>
      <c r="C585" s="144"/>
      <c r="D585" s="145"/>
      <c r="E585" s="145"/>
      <c r="F585" s="145"/>
      <c r="G585" s="144"/>
      <c r="H585" s="145"/>
      <c r="I585" s="149">
        <f t="shared" si="2"/>
        <v>785000</v>
      </c>
      <c r="J585" s="150"/>
      <c r="K585" s="144"/>
    </row>
    <row r="586" ht="26.25" customHeight="1">
      <c r="A586" s="170"/>
      <c r="B586" s="144"/>
      <c r="C586" s="144"/>
      <c r="D586" s="145"/>
      <c r="E586" s="145"/>
      <c r="F586" s="145"/>
      <c r="G586" s="144"/>
      <c r="H586" s="145"/>
      <c r="I586" s="149">
        <f t="shared" si="2"/>
        <v>785000</v>
      </c>
      <c r="J586" s="150"/>
      <c r="K586" s="144"/>
    </row>
    <row r="587" ht="26.25" customHeight="1">
      <c r="A587" s="170"/>
      <c r="B587" s="144"/>
      <c r="C587" s="144"/>
      <c r="D587" s="145"/>
      <c r="E587" s="145"/>
      <c r="F587" s="145"/>
      <c r="G587" s="144"/>
      <c r="H587" s="145"/>
      <c r="I587" s="149">
        <f t="shared" si="2"/>
        <v>785000</v>
      </c>
      <c r="J587" s="150"/>
      <c r="K587" s="144"/>
    </row>
    <row r="588" ht="26.25" customHeight="1">
      <c r="A588" s="170"/>
      <c r="B588" s="144"/>
      <c r="C588" s="144"/>
      <c r="D588" s="145"/>
      <c r="E588" s="145"/>
      <c r="F588" s="145"/>
      <c r="G588" s="144"/>
      <c r="H588" s="145"/>
      <c r="I588" s="149">
        <f t="shared" si="2"/>
        <v>785000</v>
      </c>
      <c r="J588" s="150"/>
      <c r="K588" s="144"/>
    </row>
    <row r="589" ht="26.25" customHeight="1">
      <c r="A589" s="170"/>
      <c r="B589" s="144"/>
      <c r="C589" s="144"/>
      <c r="D589" s="145"/>
      <c r="E589" s="145"/>
      <c r="F589" s="145"/>
      <c r="G589" s="144"/>
      <c r="H589" s="145"/>
      <c r="I589" s="149">
        <f t="shared" si="2"/>
        <v>785000</v>
      </c>
      <c r="J589" s="150"/>
      <c r="K589" s="144"/>
    </row>
    <row r="590" ht="26.25" customHeight="1">
      <c r="A590" s="170"/>
      <c r="B590" s="144"/>
      <c r="C590" s="144"/>
      <c r="D590" s="145"/>
      <c r="E590" s="145"/>
      <c r="F590" s="145"/>
      <c r="G590" s="144"/>
      <c r="H590" s="145"/>
      <c r="I590" s="149">
        <f t="shared" si="2"/>
        <v>785000</v>
      </c>
      <c r="J590" s="150"/>
      <c r="K590" s="144"/>
    </row>
    <row r="591" ht="26.25" customHeight="1">
      <c r="A591" s="170"/>
      <c r="B591" s="144"/>
      <c r="C591" s="144"/>
      <c r="D591" s="145"/>
      <c r="E591" s="145"/>
      <c r="F591" s="145"/>
      <c r="G591" s="144"/>
      <c r="H591" s="145"/>
      <c r="I591" s="149">
        <f t="shared" si="2"/>
        <v>785000</v>
      </c>
      <c r="J591" s="150"/>
      <c r="K591" s="144"/>
    </row>
    <row r="592" ht="26.25" customHeight="1">
      <c r="A592" s="170"/>
      <c r="B592" s="144"/>
      <c r="C592" s="144"/>
      <c r="D592" s="145"/>
      <c r="E592" s="145"/>
      <c r="F592" s="145"/>
      <c r="G592" s="144"/>
      <c r="H592" s="145"/>
      <c r="I592" s="149">
        <f t="shared" si="2"/>
        <v>785000</v>
      </c>
      <c r="J592" s="150"/>
      <c r="K592" s="144"/>
    </row>
    <row r="593" ht="26.25" customHeight="1">
      <c r="A593" s="170"/>
      <c r="B593" s="144"/>
      <c r="C593" s="144"/>
      <c r="D593" s="145"/>
      <c r="E593" s="145"/>
      <c r="F593" s="145"/>
      <c r="G593" s="144"/>
      <c r="H593" s="145"/>
      <c r="I593" s="149">
        <f t="shared" si="2"/>
        <v>785000</v>
      </c>
      <c r="J593" s="150"/>
      <c r="K593" s="144"/>
    </row>
    <row r="594" ht="26.25" customHeight="1">
      <c r="A594" s="170"/>
      <c r="B594" s="144"/>
      <c r="C594" s="144"/>
      <c r="D594" s="145"/>
      <c r="E594" s="145"/>
      <c r="F594" s="145"/>
      <c r="G594" s="144"/>
      <c r="H594" s="145"/>
      <c r="I594" s="149">
        <f t="shared" si="2"/>
        <v>785000</v>
      </c>
      <c r="J594" s="150"/>
      <c r="K594" s="144"/>
    </row>
    <row r="595" ht="26.25" customHeight="1">
      <c r="A595" s="170"/>
      <c r="B595" s="144"/>
      <c r="C595" s="144"/>
      <c r="D595" s="145"/>
      <c r="E595" s="145"/>
      <c r="F595" s="145"/>
      <c r="G595" s="144"/>
      <c r="H595" s="145"/>
      <c r="I595" s="149">
        <f t="shared" si="2"/>
        <v>785000</v>
      </c>
      <c r="J595" s="150"/>
      <c r="K595" s="144"/>
    </row>
    <row r="596" ht="26.25" customHeight="1">
      <c r="A596" s="170"/>
      <c r="B596" s="144"/>
      <c r="C596" s="144"/>
      <c r="D596" s="145"/>
      <c r="E596" s="145"/>
      <c r="F596" s="145"/>
      <c r="G596" s="144"/>
      <c r="H596" s="145"/>
      <c r="I596" s="149">
        <f t="shared" si="2"/>
        <v>785000</v>
      </c>
      <c r="J596" s="150"/>
      <c r="K596" s="144"/>
    </row>
    <row r="597" ht="26.25" customHeight="1">
      <c r="A597" s="170"/>
      <c r="B597" s="144"/>
      <c r="C597" s="144"/>
      <c r="D597" s="145"/>
      <c r="E597" s="145"/>
      <c r="F597" s="145"/>
      <c r="G597" s="144"/>
      <c r="H597" s="145"/>
      <c r="I597" s="149">
        <f t="shared" si="2"/>
        <v>785000</v>
      </c>
      <c r="J597" s="150"/>
      <c r="K597" s="144"/>
    </row>
    <row r="598" ht="26.25" customHeight="1">
      <c r="A598" s="170"/>
      <c r="B598" s="144"/>
      <c r="C598" s="144"/>
      <c r="D598" s="145"/>
      <c r="E598" s="145"/>
      <c r="F598" s="145"/>
      <c r="G598" s="144"/>
      <c r="H598" s="145"/>
      <c r="I598" s="149">
        <f t="shared" si="2"/>
        <v>785000</v>
      </c>
      <c r="J598" s="150"/>
      <c r="K598" s="144"/>
    </row>
    <row r="599" ht="26.25" customHeight="1">
      <c r="A599" s="170"/>
      <c r="B599" s="144"/>
      <c r="C599" s="144"/>
      <c r="D599" s="145"/>
      <c r="E599" s="145"/>
      <c r="F599" s="145"/>
      <c r="G599" s="144"/>
      <c r="H599" s="145"/>
      <c r="I599" s="149">
        <f t="shared" si="2"/>
        <v>785000</v>
      </c>
      <c r="J599" s="150"/>
      <c r="K599" s="144"/>
    </row>
    <row r="600" ht="26.25" customHeight="1">
      <c r="A600" s="170"/>
      <c r="B600" s="144"/>
      <c r="C600" s="144"/>
      <c r="D600" s="145"/>
      <c r="E600" s="145"/>
      <c r="F600" s="145"/>
      <c r="G600" s="144"/>
      <c r="H600" s="145"/>
      <c r="I600" s="149">
        <f t="shared" si="2"/>
        <v>785000</v>
      </c>
      <c r="J600" s="150"/>
      <c r="K600" s="144"/>
    </row>
    <row r="601" ht="26.25" customHeight="1">
      <c r="A601" s="170"/>
      <c r="B601" s="144"/>
      <c r="C601" s="144"/>
      <c r="D601" s="145"/>
      <c r="E601" s="145"/>
      <c r="F601" s="145"/>
      <c r="G601" s="144"/>
      <c r="H601" s="145"/>
      <c r="I601" s="149">
        <f t="shared" si="2"/>
        <v>785000</v>
      </c>
      <c r="J601" s="150"/>
      <c r="K601" s="144"/>
    </row>
    <row r="602" ht="26.25" customHeight="1">
      <c r="A602" s="170"/>
      <c r="B602" s="144"/>
      <c r="C602" s="144"/>
      <c r="D602" s="145"/>
      <c r="E602" s="145"/>
      <c r="F602" s="145"/>
      <c r="G602" s="144"/>
      <c r="H602" s="145"/>
      <c r="I602" s="149">
        <f t="shared" si="2"/>
        <v>785000</v>
      </c>
      <c r="J602" s="150"/>
      <c r="K602" s="144"/>
    </row>
    <row r="603" ht="26.25" customHeight="1">
      <c r="A603" s="170"/>
      <c r="B603" s="144"/>
      <c r="C603" s="144"/>
      <c r="D603" s="145"/>
      <c r="E603" s="145"/>
      <c r="F603" s="145"/>
      <c r="G603" s="144"/>
      <c r="H603" s="145"/>
      <c r="I603" s="149">
        <f t="shared" si="2"/>
        <v>785000</v>
      </c>
      <c r="J603" s="150"/>
      <c r="K603" s="144"/>
    </row>
    <row r="604" ht="26.25" customHeight="1">
      <c r="A604" s="170"/>
      <c r="B604" s="144"/>
      <c r="C604" s="144"/>
      <c r="D604" s="145"/>
      <c r="E604" s="145"/>
      <c r="F604" s="145"/>
      <c r="G604" s="144"/>
      <c r="H604" s="145"/>
      <c r="I604" s="149">
        <f t="shared" si="2"/>
        <v>785000</v>
      </c>
      <c r="J604" s="150"/>
      <c r="K604" s="144"/>
    </row>
    <row r="605" ht="26.25" customHeight="1">
      <c r="A605" s="170"/>
      <c r="B605" s="144"/>
      <c r="C605" s="144"/>
      <c r="D605" s="145"/>
      <c r="E605" s="145"/>
      <c r="F605" s="145"/>
      <c r="G605" s="144"/>
      <c r="H605" s="145"/>
      <c r="I605" s="149">
        <f t="shared" si="2"/>
        <v>785000</v>
      </c>
      <c r="J605" s="150"/>
      <c r="K605" s="144"/>
    </row>
    <row r="606" ht="26.25" customHeight="1">
      <c r="A606" s="170"/>
      <c r="B606" s="144"/>
      <c r="C606" s="144"/>
      <c r="D606" s="145"/>
      <c r="E606" s="145"/>
      <c r="F606" s="145"/>
      <c r="G606" s="144"/>
      <c r="H606" s="145"/>
      <c r="I606" s="149">
        <f t="shared" si="2"/>
        <v>785000</v>
      </c>
      <c r="J606" s="150"/>
      <c r="K606" s="144"/>
    </row>
    <row r="607" ht="26.25" customHeight="1">
      <c r="A607" s="170"/>
      <c r="B607" s="144"/>
      <c r="C607" s="144"/>
      <c r="D607" s="145"/>
      <c r="E607" s="145"/>
      <c r="F607" s="145"/>
      <c r="G607" s="144"/>
      <c r="H607" s="145"/>
      <c r="I607" s="149">
        <f t="shared" si="2"/>
        <v>785000</v>
      </c>
      <c r="J607" s="150"/>
      <c r="K607" s="144"/>
    </row>
    <row r="608" ht="26.25" customHeight="1">
      <c r="A608" s="170"/>
      <c r="B608" s="144"/>
      <c r="C608" s="144"/>
      <c r="D608" s="145"/>
      <c r="E608" s="145"/>
      <c r="F608" s="145"/>
      <c r="G608" s="144"/>
      <c r="H608" s="145"/>
      <c r="I608" s="149">
        <f t="shared" si="2"/>
        <v>785000</v>
      </c>
      <c r="J608" s="150"/>
      <c r="K608" s="144"/>
    </row>
    <row r="609" ht="26.25" customHeight="1">
      <c r="A609" s="170"/>
      <c r="B609" s="144"/>
      <c r="C609" s="144"/>
      <c r="D609" s="145"/>
      <c r="E609" s="145"/>
      <c r="F609" s="145"/>
      <c r="G609" s="144"/>
      <c r="H609" s="145"/>
      <c r="I609" s="149">
        <f t="shared" si="2"/>
        <v>785000</v>
      </c>
      <c r="J609" s="150"/>
      <c r="K609" s="144"/>
    </row>
    <row r="610" ht="26.25" customHeight="1">
      <c r="A610" s="170"/>
      <c r="B610" s="144"/>
      <c r="C610" s="144"/>
      <c r="D610" s="145"/>
      <c r="E610" s="145"/>
      <c r="F610" s="145"/>
      <c r="G610" s="144"/>
      <c r="H610" s="145"/>
      <c r="I610" s="149">
        <f t="shared" si="2"/>
        <v>785000</v>
      </c>
      <c r="J610" s="150"/>
      <c r="K610" s="144"/>
    </row>
    <row r="611" ht="26.25" customHeight="1">
      <c r="A611" s="170"/>
      <c r="B611" s="144"/>
      <c r="C611" s="144"/>
      <c r="D611" s="145"/>
      <c r="E611" s="145"/>
      <c r="F611" s="145"/>
      <c r="G611" s="144"/>
      <c r="H611" s="145"/>
      <c r="I611" s="149">
        <f t="shared" si="2"/>
        <v>785000</v>
      </c>
      <c r="J611" s="150"/>
      <c r="K611" s="144"/>
    </row>
    <row r="612" ht="26.25" customHeight="1">
      <c r="A612" s="170"/>
      <c r="B612" s="144"/>
      <c r="C612" s="144"/>
      <c r="D612" s="145"/>
      <c r="E612" s="145"/>
      <c r="F612" s="145"/>
      <c r="G612" s="144"/>
      <c r="H612" s="145"/>
      <c r="I612" s="149">
        <f t="shared" si="2"/>
        <v>785000</v>
      </c>
      <c r="J612" s="150"/>
      <c r="K612" s="144"/>
    </row>
    <row r="613" ht="26.25" customHeight="1">
      <c r="A613" s="170"/>
      <c r="B613" s="144"/>
      <c r="C613" s="144"/>
      <c r="D613" s="145"/>
      <c r="E613" s="145"/>
      <c r="F613" s="145"/>
      <c r="G613" s="144"/>
      <c r="H613" s="145"/>
      <c r="I613" s="149">
        <f t="shared" si="2"/>
        <v>785000</v>
      </c>
      <c r="J613" s="150"/>
      <c r="K613" s="144"/>
    </row>
    <row r="614" ht="26.25" customHeight="1">
      <c r="A614" s="170"/>
      <c r="B614" s="144"/>
      <c r="C614" s="144"/>
      <c r="D614" s="145"/>
      <c r="E614" s="145"/>
      <c r="F614" s="145"/>
      <c r="G614" s="144"/>
      <c r="H614" s="145"/>
      <c r="I614" s="149">
        <f t="shared" si="2"/>
        <v>785000</v>
      </c>
      <c r="J614" s="150"/>
      <c r="K614" s="144"/>
    </row>
    <row r="615" ht="26.25" customHeight="1">
      <c r="A615" s="170"/>
      <c r="B615" s="144"/>
      <c r="C615" s="144"/>
      <c r="D615" s="145"/>
      <c r="E615" s="145"/>
      <c r="F615" s="145"/>
      <c r="G615" s="144"/>
      <c r="H615" s="145"/>
      <c r="I615" s="149">
        <f t="shared" si="2"/>
        <v>785000</v>
      </c>
      <c r="J615" s="150"/>
      <c r="K615" s="144"/>
    </row>
    <row r="616" ht="26.25" customHeight="1">
      <c r="A616" s="170"/>
      <c r="B616" s="144"/>
      <c r="C616" s="144"/>
      <c r="D616" s="145"/>
      <c r="E616" s="145"/>
      <c r="F616" s="145"/>
      <c r="G616" s="144"/>
      <c r="H616" s="145"/>
      <c r="I616" s="149">
        <f t="shared" si="2"/>
        <v>785000</v>
      </c>
      <c r="J616" s="150"/>
      <c r="K616" s="144"/>
    </row>
    <row r="617" ht="26.25" customHeight="1">
      <c r="A617" s="170"/>
      <c r="B617" s="144"/>
      <c r="C617" s="144"/>
      <c r="D617" s="145"/>
      <c r="E617" s="145"/>
      <c r="F617" s="145"/>
      <c r="G617" s="144"/>
      <c r="H617" s="145"/>
      <c r="I617" s="149">
        <f t="shared" si="2"/>
        <v>785000</v>
      </c>
      <c r="J617" s="150"/>
      <c r="K617" s="144"/>
    </row>
    <row r="618" ht="26.25" customHeight="1">
      <c r="A618" s="170"/>
      <c r="B618" s="144"/>
      <c r="C618" s="144"/>
      <c r="D618" s="145"/>
      <c r="E618" s="145"/>
      <c r="F618" s="145"/>
      <c r="G618" s="144"/>
      <c r="H618" s="145"/>
      <c r="I618" s="149">
        <f t="shared" si="2"/>
        <v>785000</v>
      </c>
      <c r="J618" s="150"/>
      <c r="K618" s="144"/>
    </row>
    <row r="619" ht="26.25" customHeight="1">
      <c r="A619" s="170"/>
      <c r="B619" s="144"/>
      <c r="C619" s="144"/>
      <c r="D619" s="145"/>
      <c r="E619" s="145"/>
      <c r="F619" s="145"/>
      <c r="G619" s="144"/>
      <c r="H619" s="145"/>
      <c r="I619" s="149">
        <f t="shared" si="2"/>
        <v>785000</v>
      </c>
      <c r="J619" s="150"/>
      <c r="K619" s="144"/>
    </row>
    <row r="620" ht="26.25" customHeight="1">
      <c r="A620" s="170"/>
      <c r="B620" s="144"/>
      <c r="C620" s="144"/>
      <c r="D620" s="145"/>
      <c r="E620" s="145"/>
      <c r="F620" s="145"/>
      <c r="G620" s="144"/>
      <c r="H620" s="145"/>
      <c r="I620" s="149">
        <f t="shared" si="2"/>
        <v>785000</v>
      </c>
      <c r="J620" s="150"/>
      <c r="K620" s="144"/>
    </row>
    <row r="621" ht="26.25" customHeight="1">
      <c r="A621" s="170"/>
      <c r="B621" s="144"/>
      <c r="C621" s="144"/>
      <c r="D621" s="145"/>
      <c r="E621" s="145"/>
      <c r="F621" s="145"/>
      <c r="G621" s="144"/>
      <c r="H621" s="145"/>
      <c r="I621" s="149">
        <f t="shared" si="2"/>
        <v>785000</v>
      </c>
      <c r="J621" s="150"/>
      <c r="K621" s="144"/>
    </row>
    <row r="622" ht="26.25" customHeight="1">
      <c r="A622" s="170"/>
      <c r="B622" s="144"/>
      <c r="C622" s="144"/>
      <c r="D622" s="145"/>
      <c r="E622" s="145"/>
      <c r="F622" s="145"/>
      <c r="G622" s="144"/>
      <c r="H622" s="145"/>
      <c r="I622" s="149">
        <f t="shared" si="2"/>
        <v>785000</v>
      </c>
      <c r="J622" s="150"/>
      <c r="K622" s="144"/>
    </row>
    <row r="623" ht="26.25" customHeight="1">
      <c r="A623" s="170"/>
      <c r="B623" s="144"/>
      <c r="C623" s="144"/>
      <c r="D623" s="145"/>
      <c r="E623" s="145"/>
      <c r="F623" s="145"/>
      <c r="G623" s="144"/>
      <c r="H623" s="145"/>
      <c r="I623" s="149">
        <f t="shared" si="2"/>
        <v>785000</v>
      </c>
      <c r="J623" s="150"/>
      <c r="K623" s="144"/>
    </row>
    <row r="624" ht="26.25" customHeight="1">
      <c r="A624" s="170"/>
      <c r="B624" s="144"/>
      <c r="C624" s="144"/>
      <c r="D624" s="145"/>
      <c r="E624" s="145"/>
      <c r="F624" s="145"/>
      <c r="G624" s="144"/>
      <c r="H624" s="145"/>
      <c r="I624" s="149">
        <f t="shared" si="2"/>
        <v>785000</v>
      </c>
      <c r="J624" s="150"/>
      <c r="K624" s="144"/>
    </row>
    <row r="625" ht="26.25" customHeight="1">
      <c r="A625" s="170"/>
      <c r="B625" s="144"/>
      <c r="C625" s="144"/>
      <c r="D625" s="145"/>
      <c r="E625" s="145"/>
      <c r="F625" s="145"/>
      <c r="G625" s="144"/>
      <c r="H625" s="145"/>
      <c r="I625" s="149">
        <f t="shared" si="2"/>
        <v>785000</v>
      </c>
      <c r="J625" s="150"/>
      <c r="K625" s="144"/>
    </row>
    <row r="626" ht="26.25" customHeight="1">
      <c r="A626" s="170"/>
      <c r="B626" s="144"/>
      <c r="C626" s="144"/>
      <c r="D626" s="145"/>
      <c r="E626" s="145"/>
      <c r="F626" s="145"/>
      <c r="G626" s="144"/>
      <c r="H626" s="145"/>
      <c r="I626" s="149">
        <f t="shared" si="2"/>
        <v>785000</v>
      </c>
      <c r="J626" s="150"/>
      <c r="K626" s="144"/>
    </row>
    <row r="627" ht="26.25" customHeight="1">
      <c r="A627" s="170"/>
      <c r="B627" s="144"/>
      <c r="C627" s="144"/>
      <c r="D627" s="145"/>
      <c r="E627" s="145"/>
      <c r="F627" s="145"/>
      <c r="G627" s="144"/>
      <c r="H627" s="145"/>
      <c r="I627" s="149">
        <f t="shared" si="2"/>
        <v>785000</v>
      </c>
      <c r="J627" s="150"/>
      <c r="K627" s="144"/>
    </row>
    <row r="628" ht="26.25" customHeight="1">
      <c r="A628" s="170"/>
      <c r="B628" s="144"/>
      <c r="C628" s="144"/>
      <c r="D628" s="145"/>
      <c r="E628" s="145"/>
      <c r="F628" s="145"/>
      <c r="G628" s="144"/>
      <c r="H628" s="145"/>
      <c r="I628" s="149">
        <f t="shared" si="2"/>
        <v>785000</v>
      </c>
      <c r="J628" s="150"/>
      <c r="K628" s="144"/>
    </row>
    <row r="629" ht="26.25" customHeight="1">
      <c r="A629" s="170"/>
      <c r="B629" s="144"/>
      <c r="C629" s="144"/>
      <c r="D629" s="145"/>
      <c r="E629" s="145"/>
      <c r="F629" s="145"/>
      <c r="G629" s="144"/>
      <c r="H629" s="145"/>
      <c r="I629" s="149">
        <f t="shared" si="2"/>
        <v>785000</v>
      </c>
      <c r="J629" s="150"/>
      <c r="K629" s="144"/>
    </row>
    <row r="630" ht="26.25" customHeight="1">
      <c r="A630" s="170"/>
      <c r="B630" s="144"/>
      <c r="C630" s="144"/>
      <c r="D630" s="145"/>
      <c r="E630" s="145"/>
      <c r="F630" s="145"/>
      <c r="G630" s="144"/>
      <c r="H630" s="145"/>
      <c r="I630" s="149">
        <f t="shared" si="2"/>
        <v>785000</v>
      </c>
      <c r="J630" s="150"/>
      <c r="K630" s="144"/>
    </row>
    <row r="631" ht="26.25" customHeight="1">
      <c r="A631" s="170"/>
      <c r="B631" s="144"/>
      <c r="C631" s="144"/>
      <c r="D631" s="145"/>
      <c r="E631" s="145"/>
      <c r="F631" s="145"/>
      <c r="G631" s="144"/>
      <c r="H631" s="145"/>
      <c r="I631" s="149">
        <f t="shared" si="2"/>
        <v>785000</v>
      </c>
      <c r="J631" s="150"/>
      <c r="K631" s="144"/>
    </row>
    <row r="632" ht="26.25" customHeight="1">
      <c r="A632" s="170"/>
      <c r="B632" s="144"/>
      <c r="C632" s="144"/>
      <c r="D632" s="145"/>
      <c r="E632" s="145"/>
      <c r="F632" s="145"/>
      <c r="G632" s="144"/>
      <c r="H632" s="145"/>
      <c r="I632" s="149">
        <f t="shared" si="2"/>
        <v>785000</v>
      </c>
      <c r="J632" s="150"/>
      <c r="K632" s="144"/>
    </row>
    <row r="633" ht="26.25" customHeight="1">
      <c r="A633" s="170"/>
      <c r="B633" s="144"/>
      <c r="C633" s="144"/>
      <c r="D633" s="145"/>
      <c r="E633" s="145"/>
      <c r="F633" s="145"/>
      <c r="G633" s="144"/>
      <c r="H633" s="145"/>
      <c r="I633" s="149">
        <f t="shared" si="2"/>
        <v>785000</v>
      </c>
      <c r="J633" s="150"/>
      <c r="K633" s="144"/>
    </row>
    <row r="634" ht="26.25" customHeight="1">
      <c r="A634" s="170"/>
      <c r="B634" s="144"/>
      <c r="C634" s="144"/>
      <c r="D634" s="145"/>
      <c r="E634" s="145"/>
      <c r="F634" s="145"/>
      <c r="G634" s="144"/>
      <c r="H634" s="145"/>
      <c r="I634" s="149">
        <f t="shared" si="2"/>
        <v>785000</v>
      </c>
      <c r="J634" s="150"/>
      <c r="K634" s="144"/>
    </row>
    <row r="635" ht="26.25" customHeight="1">
      <c r="A635" s="170"/>
      <c r="B635" s="144"/>
      <c r="C635" s="144"/>
      <c r="D635" s="145"/>
      <c r="E635" s="145"/>
      <c r="F635" s="145"/>
      <c r="G635" s="144"/>
      <c r="H635" s="145"/>
      <c r="I635" s="149">
        <f t="shared" si="2"/>
        <v>785000</v>
      </c>
      <c r="J635" s="150"/>
      <c r="K635" s="144"/>
    </row>
    <row r="636" ht="26.25" customHeight="1">
      <c r="A636" s="170"/>
      <c r="B636" s="144"/>
      <c r="C636" s="144"/>
      <c r="D636" s="145"/>
      <c r="E636" s="145"/>
      <c r="F636" s="145"/>
      <c r="G636" s="144"/>
      <c r="H636" s="145"/>
      <c r="I636" s="149">
        <f t="shared" si="2"/>
        <v>785000</v>
      </c>
      <c r="J636" s="150"/>
      <c r="K636" s="144"/>
    </row>
    <row r="637" ht="26.25" customHeight="1">
      <c r="A637" s="170"/>
      <c r="B637" s="144"/>
      <c r="C637" s="144"/>
      <c r="D637" s="145"/>
      <c r="E637" s="145"/>
      <c r="F637" s="145"/>
      <c r="G637" s="144"/>
      <c r="H637" s="145"/>
      <c r="I637" s="149">
        <f t="shared" si="2"/>
        <v>785000</v>
      </c>
      <c r="J637" s="150"/>
      <c r="K637" s="144"/>
    </row>
    <row r="638" ht="26.25" customHeight="1">
      <c r="A638" s="170"/>
      <c r="B638" s="144"/>
      <c r="C638" s="144"/>
      <c r="D638" s="145"/>
      <c r="E638" s="145"/>
      <c r="F638" s="145"/>
      <c r="G638" s="144"/>
      <c r="H638" s="145"/>
      <c r="I638" s="149">
        <f t="shared" si="2"/>
        <v>785000</v>
      </c>
      <c r="J638" s="150"/>
      <c r="K638" s="144"/>
    </row>
    <row r="639" ht="26.25" customHeight="1">
      <c r="A639" s="170"/>
      <c r="B639" s="144"/>
      <c r="C639" s="144"/>
      <c r="D639" s="145"/>
      <c r="E639" s="145"/>
      <c r="F639" s="145"/>
      <c r="G639" s="144"/>
      <c r="H639" s="145"/>
      <c r="I639" s="149">
        <f t="shared" si="2"/>
        <v>785000</v>
      </c>
      <c r="J639" s="150"/>
      <c r="K639" s="144"/>
    </row>
    <row r="640" ht="26.25" customHeight="1">
      <c r="A640" s="170"/>
      <c r="B640" s="144"/>
      <c r="C640" s="144"/>
      <c r="D640" s="145"/>
      <c r="E640" s="145"/>
      <c r="F640" s="145"/>
      <c r="G640" s="144"/>
      <c r="H640" s="145"/>
      <c r="I640" s="149">
        <f t="shared" si="2"/>
        <v>785000</v>
      </c>
      <c r="J640" s="150"/>
      <c r="K640" s="144"/>
    </row>
    <row r="641" ht="26.25" customHeight="1">
      <c r="A641" s="170"/>
      <c r="B641" s="144"/>
      <c r="C641" s="144"/>
      <c r="D641" s="145"/>
      <c r="E641" s="145"/>
      <c r="F641" s="145"/>
      <c r="G641" s="144"/>
      <c r="H641" s="145"/>
      <c r="I641" s="149">
        <f t="shared" si="2"/>
        <v>785000</v>
      </c>
      <c r="J641" s="150"/>
      <c r="K641" s="144"/>
    </row>
    <row r="642" ht="26.25" customHeight="1">
      <c r="A642" s="170"/>
      <c r="B642" s="144"/>
      <c r="C642" s="144"/>
      <c r="D642" s="145"/>
      <c r="E642" s="145"/>
      <c r="F642" s="145"/>
      <c r="G642" s="144"/>
      <c r="H642" s="145"/>
      <c r="I642" s="149">
        <f t="shared" si="2"/>
        <v>785000</v>
      </c>
      <c r="J642" s="150"/>
      <c r="K642" s="144"/>
    </row>
    <row r="643" ht="26.25" customHeight="1">
      <c r="A643" s="170"/>
      <c r="B643" s="144"/>
      <c r="C643" s="144"/>
      <c r="D643" s="145"/>
      <c r="E643" s="145"/>
      <c r="F643" s="145"/>
      <c r="G643" s="144"/>
      <c r="H643" s="145"/>
      <c r="I643" s="149">
        <f t="shared" si="2"/>
        <v>785000</v>
      </c>
      <c r="J643" s="150"/>
      <c r="K643" s="144"/>
    </row>
    <row r="644" ht="26.25" customHeight="1">
      <c r="A644" s="170"/>
      <c r="B644" s="144"/>
      <c r="C644" s="144"/>
      <c r="D644" s="145"/>
      <c r="E644" s="145"/>
      <c r="F644" s="145"/>
      <c r="G644" s="144"/>
      <c r="H644" s="145"/>
      <c r="I644" s="149">
        <f t="shared" si="2"/>
        <v>785000</v>
      </c>
      <c r="J644" s="150"/>
      <c r="K644" s="144"/>
    </row>
    <row r="645" ht="26.25" customHeight="1">
      <c r="A645" s="170"/>
      <c r="B645" s="144"/>
      <c r="C645" s="144"/>
      <c r="D645" s="145"/>
      <c r="E645" s="145"/>
      <c r="F645" s="145"/>
      <c r="G645" s="144"/>
      <c r="H645" s="145"/>
      <c r="I645" s="149">
        <f t="shared" si="2"/>
        <v>785000</v>
      </c>
      <c r="J645" s="150"/>
      <c r="K645" s="144"/>
    </row>
    <row r="646" ht="26.25" customHeight="1">
      <c r="A646" s="170"/>
      <c r="B646" s="144"/>
      <c r="C646" s="144"/>
      <c r="D646" s="145"/>
      <c r="E646" s="145"/>
      <c r="F646" s="145"/>
      <c r="G646" s="144"/>
      <c r="H646" s="145"/>
      <c r="I646" s="149">
        <f t="shared" si="2"/>
        <v>785000</v>
      </c>
      <c r="J646" s="150"/>
      <c r="K646" s="144"/>
    </row>
    <row r="647" ht="26.25" customHeight="1">
      <c r="A647" s="170"/>
      <c r="B647" s="144"/>
      <c r="C647" s="144"/>
      <c r="D647" s="145"/>
      <c r="E647" s="145"/>
      <c r="F647" s="145"/>
      <c r="G647" s="144"/>
      <c r="H647" s="145"/>
      <c r="I647" s="149">
        <f t="shared" si="2"/>
        <v>785000</v>
      </c>
      <c r="J647" s="150"/>
      <c r="K647" s="144"/>
    </row>
    <row r="648" ht="26.25" customHeight="1">
      <c r="A648" s="170"/>
      <c r="B648" s="144"/>
      <c r="C648" s="144"/>
      <c r="D648" s="145"/>
      <c r="E648" s="145"/>
      <c r="F648" s="145"/>
      <c r="G648" s="144"/>
      <c r="H648" s="145"/>
      <c r="I648" s="149">
        <f t="shared" si="2"/>
        <v>785000</v>
      </c>
      <c r="J648" s="150"/>
      <c r="K648" s="144"/>
    </row>
    <row r="649" ht="26.25" customHeight="1">
      <c r="A649" s="170"/>
      <c r="B649" s="144"/>
      <c r="C649" s="144"/>
      <c r="D649" s="145"/>
      <c r="E649" s="145"/>
      <c r="F649" s="145"/>
      <c r="G649" s="144"/>
      <c r="H649" s="145"/>
      <c r="I649" s="149">
        <f t="shared" si="2"/>
        <v>785000</v>
      </c>
      <c r="J649" s="150"/>
      <c r="K649" s="144"/>
    </row>
    <row r="650" ht="26.25" customHeight="1">
      <c r="A650" s="170"/>
      <c r="B650" s="144"/>
      <c r="C650" s="144"/>
      <c r="D650" s="145"/>
      <c r="E650" s="145"/>
      <c r="F650" s="145"/>
      <c r="G650" s="144"/>
      <c r="H650" s="145"/>
      <c r="I650" s="149">
        <f t="shared" si="2"/>
        <v>785000</v>
      </c>
      <c r="J650" s="150"/>
      <c r="K650" s="144"/>
    </row>
    <row r="651" ht="26.25" customHeight="1">
      <c r="A651" s="170"/>
      <c r="B651" s="144"/>
      <c r="C651" s="144"/>
      <c r="D651" s="145"/>
      <c r="E651" s="145"/>
      <c r="F651" s="145"/>
      <c r="G651" s="144"/>
      <c r="H651" s="145"/>
      <c r="I651" s="149">
        <f t="shared" si="2"/>
        <v>785000</v>
      </c>
      <c r="J651" s="150"/>
      <c r="K651" s="144"/>
    </row>
    <row r="652" ht="26.25" customHeight="1">
      <c r="A652" s="170"/>
      <c r="B652" s="144"/>
      <c r="C652" s="144"/>
      <c r="D652" s="145"/>
      <c r="E652" s="145"/>
      <c r="F652" s="145"/>
      <c r="G652" s="144"/>
      <c r="H652" s="145"/>
      <c r="I652" s="149">
        <f t="shared" si="2"/>
        <v>785000</v>
      </c>
      <c r="J652" s="150"/>
      <c r="K652" s="144"/>
    </row>
    <row r="653" ht="26.25" customHeight="1">
      <c r="A653" s="170"/>
      <c r="B653" s="144"/>
      <c r="C653" s="144"/>
      <c r="D653" s="145"/>
      <c r="E653" s="145"/>
      <c r="F653" s="145"/>
      <c r="G653" s="144"/>
      <c r="H653" s="145"/>
      <c r="I653" s="149">
        <f t="shared" si="2"/>
        <v>785000</v>
      </c>
      <c r="J653" s="150"/>
      <c r="K653" s="144"/>
    </row>
    <row r="654" ht="26.25" customHeight="1">
      <c r="A654" s="170"/>
      <c r="B654" s="144"/>
      <c r="C654" s="144"/>
      <c r="D654" s="145"/>
      <c r="E654" s="145"/>
      <c r="F654" s="145"/>
      <c r="G654" s="144"/>
      <c r="H654" s="145"/>
      <c r="I654" s="149">
        <f t="shared" si="2"/>
        <v>785000</v>
      </c>
      <c r="J654" s="150"/>
      <c r="K654" s="144"/>
    </row>
    <row r="655" ht="26.25" customHeight="1">
      <c r="A655" s="170"/>
      <c r="B655" s="144"/>
      <c r="C655" s="144"/>
      <c r="D655" s="145"/>
      <c r="E655" s="145"/>
      <c r="F655" s="145"/>
      <c r="G655" s="144"/>
      <c r="H655" s="145"/>
      <c r="I655" s="149">
        <f t="shared" si="2"/>
        <v>785000</v>
      </c>
      <c r="J655" s="150"/>
      <c r="K655" s="144"/>
    </row>
    <row r="656" ht="26.25" customHeight="1">
      <c r="A656" s="170"/>
      <c r="B656" s="144"/>
      <c r="C656" s="144"/>
      <c r="D656" s="145"/>
      <c r="E656" s="145"/>
      <c r="F656" s="145"/>
      <c r="G656" s="144"/>
      <c r="H656" s="145"/>
      <c r="I656" s="149">
        <f t="shared" si="2"/>
        <v>785000</v>
      </c>
      <c r="J656" s="150"/>
      <c r="K656" s="144"/>
    </row>
    <row r="657" ht="26.25" customHeight="1">
      <c r="A657" s="170"/>
      <c r="B657" s="144"/>
      <c r="C657" s="144"/>
      <c r="D657" s="145"/>
      <c r="E657" s="145"/>
      <c r="F657" s="145"/>
      <c r="G657" s="144"/>
      <c r="H657" s="145"/>
      <c r="I657" s="149">
        <f t="shared" si="2"/>
        <v>785000</v>
      </c>
      <c r="J657" s="150"/>
      <c r="K657" s="144"/>
    </row>
    <row r="658" ht="26.25" customHeight="1">
      <c r="A658" s="170"/>
      <c r="B658" s="144"/>
      <c r="C658" s="144"/>
      <c r="D658" s="145"/>
      <c r="E658" s="145"/>
      <c r="F658" s="145"/>
      <c r="G658" s="144"/>
      <c r="H658" s="145"/>
      <c r="I658" s="149">
        <f t="shared" si="2"/>
        <v>785000</v>
      </c>
      <c r="J658" s="150"/>
      <c r="K658" s="144"/>
    </row>
    <row r="659" ht="26.25" customHeight="1">
      <c r="A659" s="170"/>
      <c r="B659" s="144"/>
      <c r="C659" s="144"/>
      <c r="D659" s="145"/>
      <c r="E659" s="145"/>
      <c r="F659" s="145"/>
      <c r="G659" s="144"/>
      <c r="H659" s="145"/>
      <c r="I659" s="149">
        <f t="shared" si="2"/>
        <v>785000</v>
      </c>
      <c r="J659" s="150"/>
      <c r="K659" s="144"/>
    </row>
    <row r="660" ht="26.25" customHeight="1">
      <c r="A660" s="170"/>
      <c r="B660" s="144"/>
      <c r="C660" s="144"/>
      <c r="D660" s="145"/>
      <c r="E660" s="145"/>
      <c r="F660" s="145"/>
      <c r="G660" s="144"/>
      <c r="H660" s="145"/>
      <c r="I660" s="149">
        <f t="shared" si="2"/>
        <v>785000</v>
      </c>
      <c r="J660" s="150"/>
      <c r="K660" s="144"/>
    </row>
    <row r="661" ht="26.25" customHeight="1">
      <c r="A661" s="170"/>
      <c r="B661" s="144"/>
      <c r="C661" s="144"/>
      <c r="D661" s="145"/>
      <c r="E661" s="145"/>
      <c r="F661" s="145"/>
      <c r="G661" s="144"/>
      <c r="H661" s="145"/>
      <c r="I661" s="149">
        <f t="shared" si="2"/>
        <v>785000</v>
      </c>
      <c r="J661" s="150"/>
      <c r="K661" s="144"/>
    </row>
    <row r="662" ht="26.25" customHeight="1">
      <c r="A662" s="170"/>
      <c r="B662" s="144"/>
      <c r="C662" s="144"/>
      <c r="D662" s="145"/>
      <c r="E662" s="145"/>
      <c r="F662" s="145"/>
      <c r="G662" s="144"/>
      <c r="H662" s="145"/>
      <c r="I662" s="149">
        <f t="shared" si="2"/>
        <v>785000</v>
      </c>
      <c r="J662" s="150"/>
      <c r="K662" s="144"/>
    </row>
    <row r="663" ht="26.25" customHeight="1">
      <c r="A663" s="170"/>
      <c r="B663" s="144"/>
      <c r="C663" s="144"/>
      <c r="D663" s="145"/>
      <c r="E663" s="145"/>
      <c r="F663" s="145"/>
      <c r="G663" s="144"/>
      <c r="H663" s="145"/>
      <c r="I663" s="149">
        <f t="shared" si="2"/>
        <v>785000</v>
      </c>
      <c r="J663" s="150"/>
      <c r="K663" s="144"/>
    </row>
    <row r="664" ht="26.25" customHeight="1">
      <c r="A664" s="170"/>
      <c r="B664" s="144"/>
      <c r="C664" s="144"/>
      <c r="D664" s="145"/>
      <c r="E664" s="145"/>
      <c r="F664" s="145"/>
      <c r="G664" s="144"/>
      <c r="H664" s="145"/>
      <c r="I664" s="149">
        <f t="shared" si="2"/>
        <v>785000</v>
      </c>
      <c r="J664" s="150"/>
      <c r="K664" s="144"/>
    </row>
    <row r="665" ht="26.25" customHeight="1">
      <c r="A665" s="170"/>
      <c r="B665" s="144"/>
      <c r="C665" s="144"/>
      <c r="D665" s="145"/>
      <c r="E665" s="145"/>
      <c r="F665" s="145"/>
      <c r="G665" s="144"/>
      <c r="H665" s="145"/>
      <c r="I665" s="149">
        <f t="shared" si="2"/>
        <v>785000</v>
      </c>
      <c r="J665" s="150"/>
      <c r="K665" s="144"/>
    </row>
    <row r="666" ht="26.25" customHeight="1">
      <c r="A666" s="170"/>
      <c r="B666" s="144"/>
      <c r="C666" s="144"/>
      <c r="D666" s="145"/>
      <c r="E666" s="145"/>
      <c r="F666" s="145"/>
      <c r="G666" s="144"/>
      <c r="H666" s="145"/>
      <c r="I666" s="149">
        <f t="shared" si="2"/>
        <v>785000</v>
      </c>
      <c r="J666" s="150"/>
      <c r="K666" s="144"/>
    </row>
    <row r="667" ht="26.25" customHeight="1">
      <c r="A667" s="170"/>
      <c r="B667" s="144"/>
      <c r="C667" s="144"/>
      <c r="D667" s="145"/>
      <c r="E667" s="145"/>
      <c r="F667" s="145"/>
      <c r="G667" s="144"/>
      <c r="H667" s="145"/>
      <c r="I667" s="149">
        <f t="shared" si="2"/>
        <v>785000</v>
      </c>
      <c r="J667" s="150"/>
      <c r="K667" s="144"/>
    </row>
    <row r="668" ht="26.25" customHeight="1">
      <c r="A668" s="170"/>
      <c r="B668" s="144"/>
      <c r="C668" s="144"/>
      <c r="D668" s="145"/>
      <c r="E668" s="145"/>
      <c r="F668" s="145"/>
      <c r="G668" s="144"/>
      <c r="H668" s="145"/>
      <c r="I668" s="149">
        <f t="shared" si="2"/>
        <v>785000</v>
      </c>
      <c r="J668" s="150"/>
      <c r="K668" s="144"/>
    </row>
    <row r="669" ht="26.25" customHeight="1">
      <c r="A669" s="170"/>
      <c r="B669" s="144"/>
      <c r="C669" s="144"/>
      <c r="D669" s="145"/>
      <c r="E669" s="145"/>
      <c r="F669" s="145"/>
      <c r="G669" s="144"/>
      <c r="H669" s="145"/>
      <c r="I669" s="149">
        <f t="shared" si="2"/>
        <v>785000</v>
      </c>
      <c r="J669" s="150"/>
      <c r="K669" s="144"/>
    </row>
    <row r="670" ht="26.25" customHeight="1">
      <c r="A670" s="170"/>
      <c r="B670" s="144"/>
      <c r="C670" s="144"/>
      <c r="D670" s="145"/>
      <c r="E670" s="145"/>
      <c r="F670" s="145"/>
      <c r="G670" s="144"/>
      <c r="H670" s="145"/>
      <c r="I670" s="149">
        <f t="shared" si="2"/>
        <v>785000</v>
      </c>
      <c r="J670" s="150"/>
      <c r="K670" s="144"/>
    </row>
    <row r="671" ht="26.25" customHeight="1">
      <c r="A671" s="170"/>
      <c r="B671" s="144"/>
      <c r="C671" s="144"/>
      <c r="D671" s="145"/>
      <c r="E671" s="145"/>
      <c r="F671" s="145"/>
      <c r="G671" s="144"/>
      <c r="H671" s="145"/>
      <c r="I671" s="149">
        <f t="shared" si="2"/>
        <v>785000</v>
      </c>
      <c r="J671" s="150"/>
      <c r="K671" s="144"/>
    </row>
    <row r="672" ht="26.25" customHeight="1">
      <c r="A672" s="170"/>
      <c r="B672" s="144"/>
      <c r="C672" s="144"/>
      <c r="D672" s="145"/>
      <c r="E672" s="145"/>
      <c r="F672" s="145"/>
      <c r="G672" s="144"/>
      <c r="H672" s="145"/>
      <c r="I672" s="149">
        <f t="shared" si="2"/>
        <v>785000</v>
      </c>
      <c r="J672" s="150"/>
      <c r="K672" s="144"/>
    </row>
    <row r="673" ht="26.25" customHeight="1">
      <c r="A673" s="170"/>
      <c r="B673" s="144"/>
      <c r="C673" s="144"/>
      <c r="D673" s="145"/>
      <c r="E673" s="145"/>
      <c r="F673" s="145"/>
      <c r="G673" s="144"/>
      <c r="H673" s="145"/>
      <c r="I673" s="149">
        <f t="shared" si="2"/>
        <v>785000</v>
      </c>
      <c r="J673" s="150"/>
      <c r="K673" s="144"/>
    </row>
    <row r="674" ht="26.25" customHeight="1">
      <c r="A674" s="170"/>
      <c r="B674" s="144"/>
      <c r="C674" s="144"/>
      <c r="D674" s="145"/>
      <c r="E674" s="145"/>
      <c r="F674" s="145"/>
      <c r="G674" s="144"/>
      <c r="H674" s="145"/>
      <c r="I674" s="149">
        <f t="shared" si="2"/>
        <v>785000</v>
      </c>
      <c r="J674" s="150"/>
      <c r="K674" s="144"/>
    </row>
    <row r="675" ht="26.25" customHeight="1">
      <c r="A675" s="170"/>
      <c r="B675" s="144"/>
      <c r="C675" s="144"/>
      <c r="D675" s="145"/>
      <c r="E675" s="145"/>
      <c r="F675" s="145"/>
      <c r="G675" s="144"/>
      <c r="H675" s="145"/>
      <c r="I675" s="149">
        <f t="shared" si="2"/>
        <v>785000</v>
      </c>
      <c r="J675" s="150"/>
      <c r="K675" s="144"/>
    </row>
    <row r="676" ht="26.25" customHeight="1">
      <c r="A676" s="170"/>
      <c r="B676" s="144"/>
      <c r="C676" s="144"/>
      <c r="D676" s="145"/>
      <c r="E676" s="145"/>
      <c r="F676" s="145"/>
      <c r="G676" s="144"/>
      <c r="H676" s="145"/>
      <c r="I676" s="149">
        <f t="shared" si="2"/>
        <v>785000</v>
      </c>
      <c r="J676" s="150"/>
      <c r="K676" s="144"/>
    </row>
    <row r="677" ht="26.25" customHeight="1">
      <c r="A677" s="170"/>
      <c r="B677" s="144"/>
      <c r="C677" s="144"/>
      <c r="D677" s="145"/>
      <c r="E677" s="145"/>
      <c r="F677" s="145"/>
      <c r="G677" s="144"/>
      <c r="H677" s="145"/>
      <c r="I677" s="149">
        <f t="shared" si="2"/>
        <v>785000</v>
      </c>
      <c r="J677" s="150"/>
      <c r="K677" s="144"/>
    </row>
    <row r="678" ht="26.25" customHeight="1">
      <c r="A678" s="170"/>
      <c r="B678" s="144"/>
      <c r="C678" s="144"/>
      <c r="D678" s="145"/>
      <c r="E678" s="145"/>
      <c r="F678" s="145"/>
      <c r="G678" s="144"/>
      <c r="H678" s="145"/>
      <c r="I678" s="149">
        <f t="shared" si="2"/>
        <v>785000</v>
      </c>
      <c r="J678" s="150"/>
      <c r="K678" s="144"/>
    </row>
    <row r="679" ht="26.25" customHeight="1">
      <c r="A679" s="170"/>
      <c r="B679" s="144"/>
      <c r="C679" s="144"/>
      <c r="D679" s="145"/>
      <c r="E679" s="145"/>
      <c r="F679" s="145"/>
      <c r="G679" s="144"/>
      <c r="H679" s="145"/>
      <c r="I679" s="149">
        <f t="shared" si="2"/>
        <v>785000</v>
      </c>
      <c r="J679" s="150"/>
      <c r="K679" s="144"/>
    </row>
    <row r="680" ht="26.25" customHeight="1">
      <c r="A680" s="170"/>
      <c r="B680" s="144"/>
      <c r="C680" s="144"/>
      <c r="D680" s="145"/>
      <c r="E680" s="145"/>
      <c r="F680" s="145"/>
      <c r="G680" s="144"/>
      <c r="H680" s="145"/>
      <c r="I680" s="149">
        <f t="shared" si="2"/>
        <v>785000</v>
      </c>
      <c r="J680" s="150"/>
      <c r="K680" s="144"/>
    </row>
    <row r="681" ht="26.25" customHeight="1">
      <c r="A681" s="170"/>
      <c r="B681" s="144"/>
      <c r="C681" s="144"/>
      <c r="D681" s="145"/>
      <c r="E681" s="145"/>
      <c r="F681" s="145"/>
      <c r="G681" s="144"/>
      <c r="H681" s="145"/>
      <c r="I681" s="149">
        <f t="shared" si="2"/>
        <v>785000</v>
      </c>
      <c r="J681" s="150"/>
      <c r="K681" s="144"/>
    </row>
    <row r="682" ht="26.25" customHeight="1">
      <c r="A682" s="170"/>
      <c r="B682" s="144"/>
      <c r="C682" s="144"/>
      <c r="D682" s="145"/>
      <c r="E682" s="145"/>
      <c r="F682" s="145"/>
      <c r="G682" s="144"/>
      <c r="H682" s="145"/>
      <c r="I682" s="149">
        <f t="shared" si="2"/>
        <v>785000</v>
      </c>
      <c r="J682" s="150"/>
      <c r="K682" s="144"/>
    </row>
    <row r="683" ht="26.25" customHeight="1">
      <c r="A683" s="170"/>
      <c r="B683" s="144"/>
      <c r="C683" s="144"/>
      <c r="D683" s="145"/>
      <c r="E683" s="145"/>
      <c r="F683" s="145"/>
      <c r="G683" s="144"/>
      <c r="H683" s="145"/>
      <c r="I683" s="149">
        <f t="shared" si="2"/>
        <v>785000</v>
      </c>
      <c r="J683" s="150"/>
      <c r="K683" s="144"/>
    </row>
    <row r="684" ht="26.25" customHeight="1">
      <c r="A684" s="170"/>
      <c r="B684" s="144"/>
      <c r="C684" s="144"/>
      <c r="D684" s="145"/>
      <c r="E684" s="145"/>
      <c r="F684" s="145"/>
      <c r="G684" s="144"/>
      <c r="H684" s="145"/>
      <c r="I684" s="149">
        <f t="shared" si="2"/>
        <v>785000</v>
      </c>
      <c r="J684" s="150"/>
      <c r="K684" s="144"/>
    </row>
    <row r="685" ht="26.25" customHeight="1">
      <c r="A685" s="170"/>
      <c r="B685" s="144"/>
      <c r="C685" s="144"/>
      <c r="D685" s="145"/>
      <c r="E685" s="145"/>
      <c r="F685" s="145"/>
      <c r="G685" s="144"/>
      <c r="H685" s="145"/>
      <c r="I685" s="149">
        <f t="shared" si="2"/>
        <v>785000</v>
      </c>
      <c r="J685" s="150"/>
      <c r="K685" s="144"/>
    </row>
    <row r="686" ht="26.25" customHeight="1">
      <c r="A686" s="170"/>
      <c r="B686" s="144"/>
      <c r="C686" s="144"/>
      <c r="D686" s="145"/>
      <c r="E686" s="145"/>
      <c r="F686" s="145"/>
      <c r="G686" s="144"/>
      <c r="H686" s="145"/>
      <c r="I686" s="149">
        <f t="shared" si="2"/>
        <v>785000</v>
      </c>
      <c r="J686" s="150"/>
      <c r="K686" s="144"/>
    </row>
    <row r="687" ht="26.25" customHeight="1">
      <c r="A687" s="170"/>
      <c r="B687" s="144"/>
      <c r="C687" s="144"/>
      <c r="D687" s="145"/>
      <c r="E687" s="145"/>
      <c r="F687" s="145"/>
      <c r="G687" s="144"/>
      <c r="H687" s="145"/>
      <c r="I687" s="149">
        <f t="shared" si="2"/>
        <v>785000</v>
      </c>
      <c r="J687" s="150"/>
      <c r="K687" s="144"/>
    </row>
    <row r="688" ht="26.25" customHeight="1">
      <c r="A688" s="170"/>
      <c r="B688" s="144"/>
      <c r="C688" s="144"/>
      <c r="D688" s="145"/>
      <c r="E688" s="145"/>
      <c r="F688" s="145"/>
      <c r="G688" s="144"/>
      <c r="H688" s="145"/>
      <c r="I688" s="149">
        <f t="shared" si="2"/>
        <v>785000</v>
      </c>
      <c r="J688" s="150"/>
      <c r="K688" s="144"/>
    </row>
    <row r="689" ht="26.25" customHeight="1">
      <c r="A689" s="170"/>
      <c r="B689" s="144"/>
      <c r="C689" s="144"/>
      <c r="D689" s="145"/>
      <c r="E689" s="145"/>
      <c r="F689" s="145"/>
      <c r="G689" s="144"/>
      <c r="H689" s="145"/>
      <c r="I689" s="149">
        <f t="shared" si="2"/>
        <v>785000</v>
      </c>
      <c r="J689" s="150"/>
      <c r="K689" s="144"/>
    </row>
    <row r="690" ht="26.25" customHeight="1">
      <c r="A690" s="170"/>
      <c r="B690" s="144"/>
      <c r="C690" s="144"/>
      <c r="D690" s="145"/>
      <c r="E690" s="145"/>
      <c r="F690" s="145"/>
      <c r="G690" s="144"/>
      <c r="H690" s="145"/>
      <c r="I690" s="149">
        <f t="shared" si="2"/>
        <v>785000</v>
      </c>
      <c r="J690" s="150"/>
      <c r="K690" s="144"/>
    </row>
    <row r="691" ht="26.25" customHeight="1">
      <c r="A691" s="170"/>
      <c r="B691" s="144"/>
      <c r="C691" s="144"/>
      <c r="D691" s="145"/>
      <c r="E691" s="145"/>
      <c r="F691" s="145"/>
      <c r="G691" s="144"/>
      <c r="H691" s="145"/>
      <c r="I691" s="149">
        <f t="shared" si="2"/>
        <v>785000</v>
      </c>
      <c r="J691" s="150"/>
      <c r="K691" s="144"/>
    </row>
    <row r="692" ht="26.25" customHeight="1">
      <c r="A692" s="170"/>
      <c r="B692" s="144"/>
      <c r="C692" s="144"/>
      <c r="D692" s="145"/>
      <c r="E692" s="145"/>
      <c r="F692" s="145"/>
      <c r="G692" s="144"/>
      <c r="H692" s="145"/>
      <c r="I692" s="149">
        <f t="shared" si="2"/>
        <v>785000</v>
      </c>
      <c r="J692" s="150"/>
      <c r="K692" s="144"/>
    </row>
    <row r="693" ht="26.25" customHeight="1">
      <c r="A693" s="170"/>
      <c r="B693" s="144"/>
      <c r="C693" s="144"/>
      <c r="D693" s="145"/>
      <c r="E693" s="145"/>
      <c r="F693" s="145"/>
      <c r="G693" s="144"/>
      <c r="H693" s="145"/>
      <c r="I693" s="149">
        <f t="shared" si="2"/>
        <v>785000</v>
      </c>
      <c r="J693" s="150"/>
      <c r="K693" s="144"/>
    </row>
    <row r="694" ht="26.25" customHeight="1">
      <c r="A694" s="170"/>
      <c r="B694" s="144"/>
      <c r="C694" s="144"/>
      <c r="D694" s="145"/>
      <c r="E694" s="145"/>
      <c r="F694" s="145"/>
      <c r="G694" s="144"/>
      <c r="H694" s="145"/>
      <c r="I694" s="149">
        <f t="shared" si="2"/>
        <v>785000</v>
      </c>
      <c r="J694" s="150"/>
      <c r="K694" s="144"/>
    </row>
    <row r="695" ht="26.25" customHeight="1">
      <c r="A695" s="170"/>
      <c r="B695" s="144"/>
      <c r="C695" s="144"/>
      <c r="D695" s="145"/>
      <c r="E695" s="145"/>
      <c r="F695" s="145"/>
      <c r="G695" s="144"/>
      <c r="H695" s="145"/>
      <c r="I695" s="149">
        <f t="shared" si="2"/>
        <v>785000</v>
      </c>
      <c r="J695" s="150"/>
      <c r="K695" s="144"/>
    </row>
    <row r="696" ht="26.25" customHeight="1">
      <c r="A696" s="170"/>
      <c r="B696" s="144"/>
      <c r="C696" s="144"/>
      <c r="D696" s="145"/>
      <c r="E696" s="145"/>
      <c r="F696" s="145"/>
      <c r="G696" s="144"/>
      <c r="H696" s="145"/>
      <c r="I696" s="149">
        <f t="shared" si="2"/>
        <v>785000</v>
      </c>
      <c r="J696" s="150"/>
      <c r="K696" s="144"/>
    </row>
    <row r="697" ht="26.25" customHeight="1">
      <c r="A697" s="170"/>
      <c r="B697" s="144"/>
      <c r="C697" s="144"/>
      <c r="D697" s="145"/>
      <c r="E697" s="145"/>
      <c r="F697" s="145"/>
      <c r="G697" s="144"/>
      <c r="H697" s="145"/>
      <c r="I697" s="149">
        <f t="shared" si="2"/>
        <v>785000</v>
      </c>
      <c r="J697" s="150"/>
      <c r="K697" s="144"/>
    </row>
    <row r="698" ht="26.25" customHeight="1">
      <c r="A698" s="170"/>
      <c r="B698" s="144"/>
      <c r="C698" s="144"/>
      <c r="D698" s="145"/>
      <c r="E698" s="145"/>
      <c r="F698" s="145"/>
      <c r="G698" s="144"/>
      <c r="H698" s="145"/>
      <c r="I698" s="149">
        <f t="shared" si="2"/>
        <v>785000</v>
      </c>
      <c r="J698" s="150"/>
      <c r="K698" s="144"/>
    </row>
    <row r="699" ht="26.25" customHeight="1">
      <c r="A699" s="170"/>
      <c r="B699" s="144"/>
      <c r="C699" s="144"/>
      <c r="D699" s="145"/>
      <c r="E699" s="145"/>
      <c r="F699" s="145"/>
      <c r="G699" s="144"/>
      <c r="H699" s="145"/>
      <c r="I699" s="149">
        <f t="shared" si="2"/>
        <v>785000</v>
      </c>
      <c r="J699" s="150"/>
      <c r="K699" s="144"/>
    </row>
    <row r="700" ht="26.25" customHeight="1">
      <c r="A700" s="170"/>
      <c r="B700" s="144"/>
      <c r="C700" s="144"/>
      <c r="D700" s="145"/>
      <c r="E700" s="145"/>
      <c r="F700" s="145"/>
      <c r="G700" s="144"/>
      <c r="H700" s="145"/>
      <c r="I700" s="149">
        <f t="shared" si="2"/>
        <v>785000</v>
      </c>
      <c r="J700" s="150"/>
      <c r="K700" s="144"/>
    </row>
    <row r="701" ht="26.25" customHeight="1">
      <c r="A701" s="170"/>
      <c r="B701" s="144"/>
      <c r="C701" s="144"/>
      <c r="D701" s="145"/>
      <c r="E701" s="145"/>
      <c r="F701" s="145"/>
      <c r="G701" s="144"/>
      <c r="H701" s="145"/>
      <c r="I701" s="149">
        <f t="shared" si="2"/>
        <v>785000</v>
      </c>
      <c r="J701" s="150"/>
      <c r="K701" s="144"/>
    </row>
    <row r="702" ht="26.25" customHeight="1">
      <c r="A702" s="170"/>
      <c r="B702" s="144"/>
      <c r="C702" s="144"/>
      <c r="D702" s="145"/>
      <c r="E702" s="145"/>
      <c r="F702" s="145"/>
      <c r="G702" s="144"/>
      <c r="H702" s="145"/>
      <c r="I702" s="149">
        <f t="shared" si="2"/>
        <v>785000</v>
      </c>
      <c r="J702" s="150"/>
      <c r="K702" s="144"/>
    </row>
    <row r="703" ht="26.25" customHeight="1">
      <c r="A703" s="170"/>
      <c r="B703" s="144"/>
      <c r="C703" s="144"/>
      <c r="D703" s="145"/>
      <c r="E703" s="145"/>
      <c r="F703" s="145"/>
      <c r="G703" s="144"/>
      <c r="H703" s="145"/>
      <c r="I703" s="149">
        <f t="shared" si="2"/>
        <v>785000</v>
      </c>
      <c r="J703" s="150"/>
      <c r="K703" s="144"/>
    </row>
    <row r="704" ht="26.25" customHeight="1">
      <c r="A704" s="170"/>
      <c r="B704" s="144"/>
      <c r="C704" s="144"/>
      <c r="D704" s="145"/>
      <c r="E704" s="145"/>
      <c r="F704" s="145"/>
      <c r="G704" s="144"/>
      <c r="H704" s="145"/>
      <c r="I704" s="149">
        <f t="shared" si="2"/>
        <v>785000</v>
      </c>
      <c r="J704" s="150"/>
      <c r="K704" s="144"/>
    </row>
    <row r="705" ht="26.25" customHeight="1">
      <c r="A705" s="170"/>
      <c r="B705" s="144"/>
      <c r="C705" s="144"/>
      <c r="D705" s="145"/>
      <c r="E705" s="145"/>
      <c r="F705" s="145"/>
      <c r="G705" s="144"/>
      <c r="H705" s="145"/>
      <c r="I705" s="149">
        <f t="shared" si="2"/>
        <v>785000</v>
      </c>
      <c r="J705" s="150"/>
      <c r="K705" s="144"/>
    </row>
    <row r="706" ht="26.25" customHeight="1">
      <c r="A706" s="170"/>
      <c r="B706" s="144"/>
      <c r="C706" s="144"/>
      <c r="D706" s="145"/>
      <c r="E706" s="145"/>
      <c r="F706" s="145"/>
      <c r="G706" s="144"/>
      <c r="H706" s="145"/>
      <c r="I706" s="149">
        <f t="shared" si="2"/>
        <v>785000</v>
      </c>
      <c r="J706" s="150"/>
      <c r="K706" s="144"/>
    </row>
    <row r="707" ht="26.25" customHeight="1">
      <c r="A707" s="170"/>
      <c r="B707" s="144"/>
      <c r="C707" s="144"/>
      <c r="D707" s="145"/>
      <c r="E707" s="145"/>
      <c r="F707" s="145"/>
      <c r="G707" s="144"/>
      <c r="H707" s="145"/>
      <c r="I707" s="149">
        <f t="shared" si="2"/>
        <v>785000</v>
      </c>
      <c r="J707" s="150"/>
      <c r="K707" s="144"/>
    </row>
    <row r="708" ht="26.25" customHeight="1">
      <c r="A708" s="170"/>
      <c r="B708" s="144"/>
      <c r="C708" s="144"/>
      <c r="D708" s="145"/>
      <c r="E708" s="145"/>
      <c r="F708" s="145"/>
      <c r="G708" s="144"/>
      <c r="H708" s="145"/>
      <c r="I708" s="149">
        <f t="shared" si="2"/>
        <v>785000</v>
      </c>
      <c r="J708" s="150"/>
      <c r="K708" s="144"/>
    </row>
    <row r="709" ht="26.25" customHeight="1">
      <c r="A709" s="170"/>
      <c r="B709" s="144"/>
      <c r="C709" s="144"/>
      <c r="D709" s="145"/>
      <c r="E709" s="145"/>
      <c r="F709" s="145"/>
      <c r="G709" s="144"/>
      <c r="H709" s="145"/>
      <c r="I709" s="149">
        <f t="shared" si="2"/>
        <v>785000</v>
      </c>
      <c r="J709" s="150"/>
      <c r="K709" s="144"/>
    </row>
    <row r="710" ht="26.25" customHeight="1">
      <c r="A710" s="170"/>
      <c r="B710" s="144"/>
      <c r="C710" s="144"/>
      <c r="D710" s="145"/>
      <c r="E710" s="145"/>
      <c r="F710" s="145"/>
      <c r="G710" s="144"/>
      <c r="H710" s="145"/>
      <c r="I710" s="149">
        <f t="shared" si="2"/>
        <v>785000</v>
      </c>
      <c r="J710" s="150"/>
      <c r="K710" s="144"/>
    </row>
    <row r="711" ht="26.25" customHeight="1">
      <c r="A711" s="170"/>
      <c r="B711" s="144"/>
      <c r="C711" s="144"/>
      <c r="D711" s="145"/>
      <c r="E711" s="145"/>
      <c r="F711" s="145"/>
      <c r="G711" s="144"/>
      <c r="H711" s="145"/>
      <c r="I711" s="149">
        <f t="shared" si="2"/>
        <v>785000</v>
      </c>
      <c r="J711" s="150"/>
      <c r="K711" s="144"/>
    </row>
    <row r="712" ht="26.25" customHeight="1">
      <c r="A712" s="170"/>
      <c r="B712" s="144"/>
      <c r="C712" s="144"/>
      <c r="D712" s="145"/>
      <c r="E712" s="145"/>
      <c r="F712" s="145"/>
      <c r="G712" s="144"/>
      <c r="H712" s="145"/>
      <c r="I712" s="149">
        <f t="shared" si="2"/>
        <v>785000</v>
      </c>
      <c r="J712" s="150"/>
      <c r="K712" s="144"/>
    </row>
    <row r="713" ht="26.25" customHeight="1">
      <c r="A713" s="170"/>
      <c r="B713" s="144"/>
      <c r="C713" s="144"/>
      <c r="D713" s="145"/>
      <c r="E713" s="145"/>
      <c r="F713" s="145"/>
      <c r="G713" s="144"/>
      <c r="H713" s="145"/>
      <c r="I713" s="149">
        <f t="shared" si="2"/>
        <v>785000</v>
      </c>
      <c r="J713" s="150"/>
      <c r="K713" s="144"/>
    </row>
    <row r="714" ht="26.25" customHeight="1">
      <c r="A714" s="170"/>
      <c r="B714" s="144"/>
      <c r="C714" s="144"/>
      <c r="D714" s="145"/>
      <c r="E714" s="145"/>
      <c r="F714" s="145"/>
      <c r="G714" s="144"/>
      <c r="H714" s="145"/>
      <c r="I714" s="149">
        <f t="shared" si="2"/>
        <v>785000</v>
      </c>
      <c r="J714" s="150"/>
      <c r="K714" s="144"/>
    </row>
    <row r="715" ht="26.25" customHeight="1">
      <c r="A715" s="170"/>
      <c r="B715" s="144"/>
      <c r="C715" s="144"/>
      <c r="D715" s="145"/>
      <c r="E715" s="145"/>
      <c r="F715" s="145"/>
      <c r="G715" s="144"/>
      <c r="H715" s="145"/>
      <c r="I715" s="149">
        <f t="shared" si="2"/>
        <v>785000</v>
      </c>
      <c r="J715" s="150"/>
      <c r="K715" s="144"/>
    </row>
    <row r="716" ht="26.25" customHeight="1">
      <c r="A716" s="170"/>
      <c r="B716" s="144"/>
      <c r="C716" s="144"/>
      <c r="D716" s="145"/>
      <c r="E716" s="145"/>
      <c r="F716" s="145"/>
      <c r="G716" s="144"/>
      <c r="H716" s="145"/>
      <c r="I716" s="149">
        <f t="shared" si="2"/>
        <v>785000</v>
      </c>
      <c r="J716" s="150"/>
      <c r="K716" s="144"/>
    </row>
    <row r="717" ht="26.25" customHeight="1">
      <c r="A717" s="170"/>
      <c r="B717" s="144"/>
      <c r="C717" s="144"/>
      <c r="D717" s="145"/>
      <c r="E717" s="145"/>
      <c r="F717" s="145"/>
      <c r="G717" s="144"/>
      <c r="H717" s="145"/>
      <c r="I717" s="149">
        <f t="shared" si="2"/>
        <v>785000</v>
      </c>
      <c r="J717" s="150"/>
      <c r="K717" s="144"/>
    </row>
    <row r="718" ht="26.25" customHeight="1">
      <c r="A718" s="170"/>
      <c r="B718" s="144"/>
      <c r="C718" s="144"/>
      <c r="D718" s="145"/>
      <c r="E718" s="145"/>
      <c r="F718" s="145"/>
      <c r="G718" s="144"/>
      <c r="H718" s="145"/>
      <c r="I718" s="149">
        <f t="shared" si="2"/>
        <v>785000</v>
      </c>
      <c r="J718" s="150"/>
      <c r="K718" s="144"/>
    </row>
    <row r="719" ht="26.25" customHeight="1">
      <c r="A719" s="170"/>
      <c r="B719" s="144"/>
      <c r="C719" s="144"/>
      <c r="D719" s="145"/>
      <c r="E719" s="145"/>
      <c r="F719" s="145"/>
      <c r="G719" s="144"/>
      <c r="H719" s="145"/>
      <c r="I719" s="149">
        <f t="shared" si="2"/>
        <v>785000</v>
      </c>
      <c r="J719" s="150"/>
      <c r="K719" s="144"/>
    </row>
    <row r="720" ht="26.25" customHeight="1">
      <c r="A720" s="170"/>
      <c r="B720" s="144"/>
      <c r="C720" s="144"/>
      <c r="D720" s="145"/>
      <c r="E720" s="145"/>
      <c r="F720" s="145"/>
      <c r="G720" s="144"/>
      <c r="H720" s="145"/>
      <c r="I720" s="149">
        <f t="shared" si="2"/>
        <v>785000</v>
      </c>
      <c r="J720" s="150"/>
      <c r="K720" s="144"/>
    </row>
    <row r="721" ht="26.25" customHeight="1">
      <c r="A721" s="170"/>
      <c r="B721" s="144"/>
      <c r="C721" s="144"/>
      <c r="D721" s="145"/>
      <c r="E721" s="145"/>
      <c r="F721" s="145"/>
      <c r="G721" s="144"/>
      <c r="H721" s="145"/>
      <c r="I721" s="149">
        <f t="shared" si="2"/>
        <v>785000</v>
      </c>
      <c r="J721" s="150"/>
      <c r="K721" s="144"/>
    </row>
    <row r="722" ht="26.25" customHeight="1">
      <c r="A722" s="170"/>
      <c r="B722" s="144"/>
      <c r="C722" s="144"/>
      <c r="D722" s="145"/>
      <c r="E722" s="145"/>
      <c r="F722" s="145"/>
      <c r="G722" s="144"/>
      <c r="H722" s="145"/>
      <c r="I722" s="149">
        <f t="shared" si="2"/>
        <v>785000</v>
      </c>
      <c r="J722" s="150"/>
      <c r="K722" s="144"/>
    </row>
    <row r="723" ht="26.25" customHeight="1">
      <c r="A723" s="170"/>
      <c r="B723" s="144"/>
      <c r="C723" s="144"/>
      <c r="D723" s="145"/>
      <c r="E723" s="145"/>
      <c r="F723" s="145"/>
      <c r="G723" s="144"/>
      <c r="H723" s="145"/>
      <c r="I723" s="149">
        <f t="shared" si="2"/>
        <v>785000</v>
      </c>
      <c r="J723" s="150"/>
      <c r="K723" s="144"/>
    </row>
    <row r="724" ht="26.25" customHeight="1">
      <c r="A724" s="170"/>
      <c r="B724" s="144"/>
      <c r="C724" s="144"/>
      <c r="D724" s="145"/>
      <c r="E724" s="145"/>
      <c r="F724" s="145"/>
      <c r="G724" s="144"/>
      <c r="H724" s="145"/>
      <c r="I724" s="149">
        <f t="shared" si="2"/>
        <v>785000</v>
      </c>
      <c r="J724" s="150"/>
      <c r="K724" s="144"/>
    </row>
    <row r="725" ht="26.25" customHeight="1">
      <c r="A725" s="170"/>
      <c r="B725" s="144"/>
      <c r="C725" s="144"/>
      <c r="D725" s="145"/>
      <c r="E725" s="145"/>
      <c r="F725" s="145"/>
      <c r="G725" s="144"/>
      <c r="H725" s="145"/>
      <c r="I725" s="149">
        <f t="shared" si="2"/>
        <v>785000</v>
      </c>
      <c r="J725" s="150"/>
      <c r="K725" s="144"/>
    </row>
    <row r="726" ht="26.25" customHeight="1">
      <c r="A726" s="170"/>
      <c r="B726" s="144"/>
      <c r="C726" s="144"/>
      <c r="D726" s="145"/>
      <c r="E726" s="145"/>
      <c r="F726" s="145"/>
      <c r="G726" s="144"/>
      <c r="H726" s="145"/>
      <c r="I726" s="149">
        <f t="shared" si="2"/>
        <v>785000</v>
      </c>
      <c r="J726" s="150"/>
      <c r="K726" s="144"/>
    </row>
    <row r="727" ht="26.25" customHeight="1">
      <c r="A727" s="170"/>
      <c r="B727" s="144"/>
      <c r="C727" s="144"/>
      <c r="D727" s="145"/>
      <c r="E727" s="145"/>
      <c r="F727" s="145"/>
      <c r="G727" s="144"/>
      <c r="H727" s="145"/>
      <c r="I727" s="149">
        <f t="shared" si="2"/>
        <v>785000</v>
      </c>
      <c r="J727" s="150"/>
      <c r="K727" s="144"/>
    </row>
    <row r="728" ht="26.25" customHeight="1">
      <c r="A728" s="170"/>
      <c r="B728" s="144"/>
      <c r="C728" s="144"/>
      <c r="D728" s="145"/>
      <c r="E728" s="145"/>
      <c r="F728" s="145"/>
      <c r="G728" s="144"/>
      <c r="H728" s="145"/>
      <c r="I728" s="149">
        <f t="shared" si="2"/>
        <v>785000</v>
      </c>
      <c r="J728" s="150"/>
      <c r="K728" s="144"/>
    </row>
    <row r="729" ht="26.25" customHeight="1">
      <c r="A729" s="170"/>
      <c r="B729" s="144"/>
      <c r="C729" s="144"/>
      <c r="D729" s="145"/>
      <c r="E729" s="145"/>
      <c r="F729" s="145"/>
      <c r="G729" s="144"/>
      <c r="H729" s="145"/>
      <c r="I729" s="149">
        <f t="shared" si="2"/>
        <v>785000</v>
      </c>
      <c r="J729" s="150"/>
      <c r="K729" s="144"/>
    </row>
    <row r="730" ht="26.25" customHeight="1">
      <c r="A730" s="170"/>
      <c r="B730" s="144"/>
      <c r="C730" s="144"/>
      <c r="D730" s="145"/>
      <c r="E730" s="145"/>
      <c r="F730" s="145"/>
      <c r="G730" s="144"/>
      <c r="H730" s="145"/>
      <c r="I730" s="149">
        <f t="shared" si="2"/>
        <v>785000</v>
      </c>
      <c r="J730" s="150"/>
      <c r="K730" s="144"/>
    </row>
    <row r="731" ht="26.25" customHeight="1">
      <c r="A731" s="170"/>
      <c r="B731" s="144"/>
      <c r="C731" s="144"/>
      <c r="D731" s="145"/>
      <c r="E731" s="145"/>
      <c r="F731" s="145"/>
      <c r="G731" s="144"/>
      <c r="H731" s="145"/>
      <c r="I731" s="149">
        <f t="shared" si="2"/>
        <v>785000</v>
      </c>
      <c r="J731" s="150"/>
      <c r="K731" s="144"/>
    </row>
    <row r="732" ht="26.25" customHeight="1">
      <c r="A732" s="170"/>
      <c r="B732" s="144"/>
      <c r="C732" s="144"/>
      <c r="D732" s="145"/>
      <c r="E732" s="145"/>
      <c r="F732" s="145"/>
      <c r="G732" s="144"/>
      <c r="H732" s="145"/>
      <c r="I732" s="149">
        <f t="shared" si="2"/>
        <v>785000</v>
      </c>
      <c r="J732" s="150"/>
      <c r="K732" s="144"/>
    </row>
    <row r="733" ht="26.25" customHeight="1">
      <c r="A733" s="170"/>
      <c r="B733" s="144"/>
      <c r="C733" s="144"/>
      <c r="D733" s="145"/>
      <c r="E733" s="145"/>
      <c r="F733" s="145"/>
      <c r="G733" s="144"/>
      <c r="H733" s="145"/>
      <c r="I733" s="149">
        <f t="shared" si="2"/>
        <v>785000</v>
      </c>
      <c r="J733" s="150"/>
      <c r="K733" s="144"/>
    </row>
    <row r="734" ht="26.25" customHeight="1">
      <c r="A734" s="170"/>
      <c r="B734" s="144"/>
      <c r="C734" s="144"/>
      <c r="D734" s="145"/>
      <c r="E734" s="145"/>
      <c r="F734" s="145"/>
      <c r="G734" s="144"/>
      <c r="H734" s="145"/>
      <c r="I734" s="149">
        <f t="shared" si="2"/>
        <v>785000</v>
      </c>
      <c r="J734" s="150"/>
      <c r="K734" s="144"/>
    </row>
    <row r="735" ht="26.25" customHeight="1">
      <c r="A735" s="170"/>
      <c r="B735" s="144"/>
      <c r="C735" s="144"/>
      <c r="D735" s="145"/>
      <c r="E735" s="145"/>
      <c r="F735" s="145"/>
      <c r="G735" s="144"/>
      <c r="H735" s="145"/>
      <c r="I735" s="149">
        <f t="shared" si="2"/>
        <v>785000</v>
      </c>
      <c r="J735" s="150"/>
      <c r="K735" s="144"/>
    </row>
    <row r="736" ht="26.25" customHeight="1">
      <c r="A736" s="170"/>
      <c r="B736" s="144"/>
      <c r="C736" s="144"/>
      <c r="D736" s="145"/>
      <c r="E736" s="145"/>
      <c r="F736" s="145"/>
      <c r="G736" s="144"/>
      <c r="H736" s="145"/>
      <c r="I736" s="149">
        <f t="shared" si="2"/>
        <v>785000</v>
      </c>
      <c r="J736" s="150"/>
      <c r="K736" s="144"/>
    </row>
    <row r="737" ht="26.25" customHeight="1">
      <c r="A737" s="170"/>
      <c r="B737" s="144"/>
      <c r="C737" s="144"/>
      <c r="D737" s="145"/>
      <c r="E737" s="145"/>
      <c r="F737" s="145"/>
      <c r="G737" s="144"/>
      <c r="H737" s="145"/>
      <c r="I737" s="149">
        <f t="shared" si="2"/>
        <v>785000</v>
      </c>
      <c r="J737" s="150"/>
      <c r="K737" s="144"/>
    </row>
    <row r="738" ht="26.25" customHeight="1">
      <c r="A738" s="170"/>
      <c r="B738" s="144"/>
      <c r="C738" s="144"/>
      <c r="D738" s="145"/>
      <c r="E738" s="145"/>
      <c r="F738" s="145"/>
      <c r="G738" s="144"/>
      <c r="H738" s="145"/>
      <c r="I738" s="149">
        <f t="shared" si="2"/>
        <v>785000</v>
      </c>
      <c r="J738" s="150"/>
      <c r="K738" s="144"/>
    </row>
    <row r="739" ht="26.25" customHeight="1">
      <c r="A739" s="170"/>
      <c r="B739" s="144"/>
      <c r="C739" s="144"/>
      <c r="D739" s="145"/>
      <c r="E739" s="145"/>
      <c r="F739" s="145"/>
      <c r="G739" s="144"/>
      <c r="H739" s="145"/>
      <c r="I739" s="149">
        <f t="shared" si="2"/>
        <v>785000</v>
      </c>
      <c r="J739" s="150"/>
      <c r="K739" s="144"/>
    </row>
    <row r="740" ht="26.25" customHeight="1">
      <c r="A740" s="170"/>
      <c r="B740" s="144"/>
      <c r="C740" s="144"/>
      <c r="D740" s="145"/>
      <c r="E740" s="145"/>
      <c r="F740" s="145"/>
      <c r="G740" s="144"/>
      <c r="H740" s="145"/>
      <c r="I740" s="149">
        <f t="shared" si="2"/>
        <v>785000</v>
      </c>
      <c r="J740" s="150"/>
      <c r="K740" s="144"/>
    </row>
    <row r="741" ht="26.25" customHeight="1">
      <c r="A741" s="170"/>
      <c r="B741" s="144"/>
      <c r="C741" s="144"/>
      <c r="D741" s="145"/>
      <c r="E741" s="145"/>
      <c r="F741" s="145"/>
      <c r="G741" s="144"/>
      <c r="H741" s="145"/>
      <c r="I741" s="149">
        <f t="shared" si="2"/>
        <v>785000</v>
      </c>
      <c r="J741" s="150"/>
      <c r="K741" s="144"/>
    </row>
    <row r="742" ht="26.25" customHeight="1">
      <c r="A742" s="170"/>
      <c r="B742" s="144"/>
      <c r="C742" s="144"/>
      <c r="D742" s="145"/>
      <c r="E742" s="145"/>
      <c r="F742" s="145"/>
      <c r="G742" s="144"/>
      <c r="H742" s="145"/>
      <c r="I742" s="149">
        <f t="shared" si="2"/>
        <v>785000</v>
      </c>
      <c r="J742" s="150"/>
      <c r="K742" s="144"/>
    </row>
    <row r="743" ht="26.25" customHeight="1">
      <c r="A743" s="170"/>
      <c r="B743" s="144"/>
      <c r="C743" s="144"/>
      <c r="D743" s="145"/>
      <c r="E743" s="145"/>
      <c r="F743" s="145"/>
      <c r="G743" s="144"/>
      <c r="H743" s="145"/>
      <c r="I743" s="149">
        <f t="shared" si="2"/>
        <v>785000</v>
      </c>
      <c r="J743" s="150"/>
      <c r="K743" s="144"/>
    </row>
    <row r="744" ht="26.25" customHeight="1">
      <c r="A744" s="170"/>
      <c r="B744" s="144"/>
      <c r="C744" s="144"/>
      <c r="D744" s="145"/>
      <c r="E744" s="145"/>
      <c r="F744" s="145"/>
      <c r="G744" s="144"/>
      <c r="H744" s="145"/>
      <c r="I744" s="149">
        <f t="shared" si="2"/>
        <v>785000</v>
      </c>
      <c r="J744" s="150"/>
      <c r="K744" s="144"/>
    </row>
    <row r="745" ht="26.25" customHeight="1">
      <c r="A745" s="170"/>
      <c r="B745" s="144"/>
      <c r="C745" s="144"/>
      <c r="D745" s="145"/>
      <c r="E745" s="145"/>
      <c r="F745" s="145"/>
      <c r="G745" s="144"/>
      <c r="H745" s="145"/>
      <c r="I745" s="149">
        <f t="shared" si="2"/>
        <v>785000</v>
      </c>
      <c r="J745" s="150"/>
      <c r="K745" s="144"/>
    </row>
    <row r="746" ht="26.25" customHeight="1">
      <c r="A746" s="170"/>
      <c r="B746" s="144"/>
      <c r="C746" s="144"/>
      <c r="D746" s="145"/>
      <c r="E746" s="145"/>
      <c r="F746" s="145"/>
      <c r="G746" s="144"/>
      <c r="H746" s="145"/>
      <c r="I746" s="149">
        <f t="shared" si="2"/>
        <v>785000</v>
      </c>
      <c r="J746" s="150"/>
      <c r="K746" s="144"/>
    </row>
    <row r="747" ht="26.25" customHeight="1">
      <c r="A747" s="170"/>
      <c r="B747" s="144"/>
      <c r="C747" s="144"/>
      <c r="D747" s="145"/>
      <c r="E747" s="145"/>
      <c r="F747" s="145"/>
      <c r="G747" s="144"/>
      <c r="H747" s="145"/>
      <c r="I747" s="149">
        <f t="shared" si="2"/>
        <v>785000</v>
      </c>
      <c r="J747" s="150"/>
      <c r="K747" s="144"/>
    </row>
    <row r="748" ht="26.25" customHeight="1">
      <c r="A748" s="170"/>
      <c r="B748" s="144"/>
      <c r="C748" s="144"/>
      <c r="D748" s="145"/>
      <c r="E748" s="145"/>
      <c r="F748" s="145"/>
      <c r="G748" s="144"/>
      <c r="H748" s="145"/>
      <c r="I748" s="149">
        <f t="shared" si="2"/>
        <v>785000</v>
      </c>
      <c r="J748" s="150"/>
      <c r="K748" s="144"/>
    </row>
    <row r="749" ht="26.25" customHeight="1">
      <c r="A749" s="170"/>
      <c r="B749" s="144"/>
      <c r="C749" s="144"/>
      <c r="D749" s="145"/>
      <c r="E749" s="145"/>
      <c r="F749" s="145"/>
      <c r="G749" s="144"/>
      <c r="H749" s="145"/>
      <c r="I749" s="149">
        <f t="shared" si="2"/>
        <v>785000</v>
      </c>
      <c r="J749" s="150"/>
      <c r="K749" s="144"/>
    </row>
    <row r="750" ht="26.25" customHeight="1">
      <c r="A750" s="170"/>
      <c r="B750" s="144"/>
      <c r="C750" s="144"/>
      <c r="D750" s="145"/>
      <c r="E750" s="145"/>
      <c r="F750" s="145"/>
      <c r="G750" s="144"/>
      <c r="H750" s="145"/>
      <c r="I750" s="149">
        <f t="shared" si="2"/>
        <v>785000</v>
      </c>
      <c r="J750" s="150"/>
      <c r="K750" s="144"/>
    </row>
    <row r="751" ht="26.25" customHeight="1">
      <c r="A751" s="170"/>
      <c r="B751" s="144"/>
      <c r="C751" s="144"/>
      <c r="D751" s="145"/>
      <c r="E751" s="145"/>
      <c r="F751" s="145"/>
      <c r="G751" s="144"/>
      <c r="H751" s="145"/>
      <c r="I751" s="149">
        <f t="shared" si="2"/>
        <v>785000</v>
      </c>
      <c r="J751" s="150"/>
      <c r="K751" s="144"/>
    </row>
    <row r="752" ht="26.25" customHeight="1">
      <c r="A752" s="170"/>
      <c r="B752" s="144"/>
      <c r="C752" s="144"/>
      <c r="D752" s="145"/>
      <c r="E752" s="145"/>
      <c r="F752" s="145"/>
      <c r="G752" s="144"/>
      <c r="H752" s="145"/>
      <c r="I752" s="149">
        <f t="shared" si="2"/>
        <v>785000</v>
      </c>
      <c r="J752" s="150"/>
      <c r="K752" s="144"/>
    </row>
    <row r="753" ht="26.25" customHeight="1">
      <c r="A753" s="170"/>
      <c r="B753" s="144"/>
      <c r="C753" s="144"/>
      <c r="D753" s="145"/>
      <c r="E753" s="145"/>
      <c r="F753" s="145"/>
      <c r="G753" s="144"/>
      <c r="H753" s="145"/>
      <c r="I753" s="149">
        <f t="shared" si="2"/>
        <v>785000</v>
      </c>
      <c r="J753" s="150"/>
      <c r="K753" s="144"/>
    </row>
    <row r="754" ht="26.25" customHeight="1">
      <c r="A754" s="170"/>
      <c r="B754" s="144"/>
      <c r="C754" s="144"/>
      <c r="D754" s="145"/>
      <c r="E754" s="145"/>
      <c r="F754" s="145"/>
      <c r="G754" s="144"/>
      <c r="H754" s="145"/>
      <c r="I754" s="149">
        <f t="shared" si="2"/>
        <v>785000</v>
      </c>
      <c r="J754" s="150"/>
      <c r="K754" s="144"/>
    </row>
    <row r="755" ht="26.25" customHeight="1">
      <c r="A755" s="170"/>
      <c r="B755" s="144"/>
      <c r="C755" s="144"/>
      <c r="D755" s="145"/>
      <c r="E755" s="145"/>
      <c r="F755" s="145"/>
      <c r="G755" s="144"/>
      <c r="H755" s="145"/>
      <c r="I755" s="149">
        <f t="shared" si="2"/>
        <v>785000</v>
      </c>
      <c r="J755" s="150"/>
      <c r="K755" s="144"/>
    </row>
    <row r="756" ht="26.25" customHeight="1">
      <c r="A756" s="170"/>
      <c r="B756" s="144"/>
      <c r="C756" s="144"/>
      <c r="D756" s="145"/>
      <c r="E756" s="145"/>
      <c r="F756" s="145"/>
      <c r="G756" s="144"/>
      <c r="H756" s="145"/>
      <c r="I756" s="149">
        <f t="shared" si="2"/>
        <v>785000</v>
      </c>
      <c r="J756" s="150"/>
      <c r="K756" s="144"/>
    </row>
    <row r="757" ht="26.25" customHeight="1">
      <c r="A757" s="170"/>
      <c r="B757" s="144"/>
      <c r="C757" s="144"/>
      <c r="D757" s="145"/>
      <c r="E757" s="145"/>
      <c r="F757" s="145"/>
      <c r="G757" s="144"/>
      <c r="H757" s="145"/>
      <c r="I757" s="149">
        <f t="shared" si="2"/>
        <v>785000</v>
      </c>
      <c r="J757" s="150"/>
      <c r="K757" s="144"/>
    </row>
    <row r="758" ht="26.25" customHeight="1">
      <c r="A758" s="170"/>
      <c r="B758" s="144"/>
      <c r="C758" s="144"/>
      <c r="D758" s="145"/>
      <c r="E758" s="145"/>
      <c r="F758" s="145"/>
      <c r="G758" s="144"/>
      <c r="H758" s="145"/>
      <c r="I758" s="149">
        <f t="shared" si="2"/>
        <v>785000</v>
      </c>
      <c r="J758" s="150"/>
      <c r="K758" s="144"/>
    </row>
    <row r="759" ht="26.25" customHeight="1">
      <c r="A759" s="170"/>
      <c r="B759" s="144"/>
      <c r="C759" s="144"/>
      <c r="D759" s="145"/>
      <c r="E759" s="145"/>
      <c r="F759" s="145"/>
      <c r="G759" s="144"/>
      <c r="H759" s="145"/>
      <c r="I759" s="149">
        <f t="shared" si="2"/>
        <v>785000</v>
      </c>
      <c r="J759" s="150"/>
      <c r="K759" s="144"/>
    </row>
    <row r="760" ht="26.25" customHeight="1">
      <c r="A760" s="170"/>
      <c r="B760" s="144"/>
      <c r="C760" s="144"/>
      <c r="D760" s="145"/>
      <c r="E760" s="145"/>
      <c r="F760" s="145"/>
      <c r="G760" s="144"/>
      <c r="H760" s="145"/>
      <c r="I760" s="149">
        <f t="shared" si="2"/>
        <v>785000</v>
      </c>
      <c r="J760" s="150"/>
      <c r="K760" s="144"/>
    </row>
    <row r="761" ht="26.25" customHeight="1">
      <c r="A761" s="170"/>
      <c r="B761" s="144"/>
      <c r="C761" s="144"/>
      <c r="D761" s="145"/>
      <c r="E761" s="145"/>
      <c r="F761" s="145"/>
      <c r="G761" s="144"/>
      <c r="H761" s="145"/>
      <c r="I761" s="149">
        <f t="shared" si="2"/>
        <v>785000</v>
      </c>
      <c r="J761" s="150"/>
      <c r="K761" s="144"/>
    </row>
    <row r="762" ht="26.25" customHeight="1">
      <c r="A762" s="170"/>
      <c r="B762" s="144"/>
      <c r="C762" s="144"/>
      <c r="D762" s="145"/>
      <c r="E762" s="145"/>
      <c r="F762" s="145"/>
      <c r="G762" s="144"/>
      <c r="H762" s="145"/>
      <c r="I762" s="149">
        <f t="shared" si="2"/>
        <v>785000</v>
      </c>
      <c r="J762" s="150"/>
      <c r="K762" s="144"/>
    </row>
    <row r="763" ht="26.25" customHeight="1">
      <c r="A763" s="170"/>
      <c r="B763" s="144"/>
      <c r="C763" s="144"/>
      <c r="D763" s="145"/>
      <c r="E763" s="145"/>
      <c r="F763" s="145"/>
      <c r="G763" s="144"/>
      <c r="H763" s="145"/>
      <c r="I763" s="149">
        <f t="shared" si="2"/>
        <v>785000</v>
      </c>
      <c r="J763" s="150"/>
      <c r="K763" s="144"/>
    </row>
    <row r="764" ht="26.25" customHeight="1">
      <c r="A764" s="170"/>
      <c r="B764" s="144"/>
      <c r="C764" s="144"/>
      <c r="D764" s="145"/>
      <c r="E764" s="145"/>
      <c r="F764" s="145"/>
      <c r="G764" s="144"/>
      <c r="H764" s="145"/>
      <c r="I764" s="149">
        <f t="shared" si="2"/>
        <v>785000</v>
      </c>
      <c r="J764" s="150"/>
      <c r="K764" s="144"/>
    </row>
    <row r="765" ht="26.25" customHeight="1">
      <c r="A765" s="170"/>
      <c r="B765" s="144"/>
      <c r="C765" s="144"/>
      <c r="D765" s="145"/>
      <c r="E765" s="145"/>
      <c r="F765" s="145"/>
      <c r="G765" s="144"/>
      <c r="H765" s="145"/>
      <c r="I765" s="149">
        <f t="shared" si="2"/>
        <v>785000</v>
      </c>
      <c r="J765" s="150"/>
      <c r="K765" s="144"/>
    </row>
    <row r="766" ht="26.25" customHeight="1">
      <c r="A766" s="170"/>
      <c r="B766" s="144"/>
      <c r="C766" s="144"/>
      <c r="D766" s="145"/>
      <c r="E766" s="145"/>
      <c r="F766" s="145"/>
      <c r="G766" s="144"/>
      <c r="H766" s="145"/>
      <c r="I766" s="149">
        <f t="shared" si="2"/>
        <v>785000</v>
      </c>
      <c r="J766" s="150"/>
      <c r="K766" s="144"/>
    </row>
    <row r="767" ht="26.25" customHeight="1">
      <c r="A767" s="170"/>
      <c r="B767" s="144"/>
      <c r="C767" s="144"/>
      <c r="D767" s="145"/>
      <c r="E767" s="145"/>
      <c r="F767" s="145"/>
      <c r="G767" s="144"/>
      <c r="H767" s="145"/>
      <c r="I767" s="149">
        <f t="shared" si="2"/>
        <v>785000</v>
      </c>
      <c r="J767" s="150"/>
      <c r="K767" s="144"/>
    </row>
    <row r="768" ht="26.25" customHeight="1">
      <c r="A768" s="170"/>
      <c r="B768" s="144"/>
      <c r="C768" s="144"/>
      <c r="D768" s="145"/>
      <c r="E768" s="145"/>
      <c r="F768" s="145"/>
      <c r="G768" s="144"/>
      <c r="H768" s="145"/>
      <c r="I768" s="149">
        <f t="shared" si="2"/>
        <v>785000</v>
      </c>
      <c r="J768" s="150"/>
      <c r="K768" s="144"/>
    </row>
    <row r="769" ht="26.25" customHeight="1">
      <c r="A769" s="170"/>
      <c r="B769" s="144"/>
      <c r="C769" s="144"/>
      <c r="D769" s="145"/>
      <c r="E769" s="145"/>
      <c r="F769" s="145"/>
      <c r="G769" s="144"/>
      <c r="H769" s="145"/>
      <c r="I769" s="149">
        <f t="shared" si="2"/>
        <v>785000</v>
      </c>
      <c r="J769" s="150"/>
      <c r="K769" s="144"/>
    </row>
    <row r="770" ht="26.25" customHeight="1">
      <c r="A770" s="170"/>
      <c r="B770" s="144"/>
      <c r="C770" s="144"/>
      <c r="D770" s="145"/>
      <c r="E770" s="145"/>
      <c r="F770" s="145"/>
      <c r="G770" s="144"/>
      <c r="H770" s="145"/>
      <c r="I770" s="149">
        <f t="shared" si="2"/>
        <v>785000</v>
      </c>
      <c r="J770" s="150"/>
      <c r="K770" s="144"/>
    </row>
    <row r="771" ht="26.25" customHeight="1">
      <c r="A771" s="170"/>
      <c r="B771" s="144"/>
      <c r="C771" s="144"/>
      <c r="D771" s="145"/>
      <c r="E771" s="145"/>
      <c r="F771" s="145"/>
      <c r="G771" s="144"/>
      <c r="H771" s="145"/>
      <c r="I771" s="149">
        <f t="shared" si="2"/>
        <v>785000</v>
      </c>
      <c r="J771" s="150"/>
      <c r="K771" s="144"/>
    </row>
    <row r="772" ht="26.25" customHeight="1">
      <c r="A772" s="170"/>
      <c r="B772" s="144"/>
      <c r="C772" s="144"/>
      <c r="D772" s="145"/>
      <c r="E772" s="145"/>
      <c r="F772" s="145"/>
      <c r="G772" s="144"/>
      <c r="H772" s="145"/>
      <c r="I772" s="149">
        <f t="shared" si="2"/>
        <v>785000</v>
      </c>
      <c r="J772" s="150"/>
      <c r="K772" s="144"/>
    </row>
    <row r="773" ht="26.25" customHeight="1">
      <c r="A773" s="170"/>
      <c r="B773" s="144"/>
      <c r="C773" s="144"/>
      <c r="D773" s="145"/>
      <c r="E773" s="145"/>
      <c r="F773" s="145"/>
      <c r="G773" s="144"/>
      <c r="H773" s="145"/>
      <c r="I773" s="149">
        <f t="shared" si="2"/>
        <v>785000</v>
      </c>
      <c r="J773" s="150"/>
      <c r="K773" s="144"/>
    </row>
    <row r="774" ht="26.25" customHeight="1">
      <c r="A774" s="170"/>
      <c r="B774" s="144"/>
      <c r="C774" s="144"/>
      <c r="D774" s="145"/>
      <c r="E774" s="145"/>
      <c r="F774" s="145"/>
      <c r="G774" s="144"/>
      <c r="H774" s="145"/>
      <c r="I774" s="149">
        <f t="shared" si="2"/>
        <v>785000</v>
      </c>
      <c r="J774" s="150"/>
      <c r="K774" s="144"/>
    </row>
    <row r="775" ht="26.25" customHeight="1">
      <c r="A775" s="170"/>
      <c r="B775" s="144"/>
      <c r="C775" s="144"/>
      <c r="D775" s="145"/>
      <c r="E775" s="145"/>
      <c r="F775" s="145"/>
      <c r="G775" s="144"/>
      <c r="H775" s="145"/>
      <c r="I775" s="149">
        <f t="shared" si="2"/>
        <v>785000</v>
      </c>
      <c r="J775" s="150"/>
      <c r="K775" s="144"/>
    </row>
    <row r="776" ht="26.25" customHeight="1">
      <c r="A776" s="170"/>
      <c r="B776" s="144"/>
      <c r="C776" s="144"/>
      <c r="D776" s="145"/>
      <c r="E776" s="145"/>
      <c r="F776" s="145"/>
      <c r="G776" s="144"/>
      <c r="H776" s="145"/>
      <c r="I776" s="149">
        <f t="shared" si="2"/>
        <v>785000</v>
      </c>
      <c r="J776" s="150"/>
      <c r="K776" s="144"/>
    </row>
    <row r="777" ht="26.25" customHeight="1">
      <c r="A777" s="170"/>
      <c r="B777" s="144"/>
      <c r="C777" s="144"/>
      <c r="D777" s="145"/>
      <c r="E777" s="145"/>
      <c r="F777" s="145"/>
      <c r="G777" s="144"/>
      <c r="H777" s="145"/>
      <c r="I777" s="149">
        <f t="shared" si="2"/>
        <v>785000</v>
      </c>
      <c r="J777" s="150"/>
      <c r="K777" s="144"/>
    </row>
    <row r="778" ht="26.25" customHeight="1">
      <c r="A778" s="170"/>
      <c r="B778" s="144"/>
      <c r="C778" s="144"/>
      <c r="D778" s="145"/>
      <c r="E778" s="145"/>
      <c r="F778" s="145"/>
      <c r="G778" s="144"/>
      <c r="H778" s="145"/>
      <c r="I778" s="149">
        <f t="shared" si="2"/>
        <v>785000</v>
      </c>
      <c r="J778" s="150"/>
      <c r="K778" s="144"/>
    </row>
    <row r="779" ht="26.25" customHeight="1">
      <c r="A779" s="170"/>
      <c r="B779" s="144"/>
      <c r="C779" s="144"/>
      <c r="D779" s="145"/>
      <c r="E779" s="145"/>
      <c r="F779" s="145"/>
      <c r="G779" s="144"/>
      <c r="H779" s="145"/>
      <c r="I779" s="149">
        <f t="shared" si="2"/>
        <v>785000</v>
      </c>
      <c r="J779" s="150"/>
      <c r="K779" s="144"/>
    </row>
    <row r="780" ht="26.25" customHeight="1">
      <c r="A780" s="170"/>
      <c r="B780" s="144"/>
      <c r="C780" s="144"/>
      <c r="D780" s="145"/>
      <c r="E780" s="145"/>
      <c r="F780" s="145"/>
      <c r="G780" s="144"/>
      <c r="H780" s="145"/>
      <c r="I780" s="149">
        <f t="shared" si="2"/>
        <v>785000</v>
      </c>
      <c r="J780" s="150"/>
      <c r="K780" s="144"/>
    </row>
    <row r="781" ht="26.25" customHeight="1">
      <c r="A781" s="170"/>
      <c r="B781" s="144"/>
      <c r="C781" s="144"/>
      <c r="D781" s="145"/>
      <c r="E781" s="145"/>
      <c r="F781" s="145"/>
      <c r="G781" s="144"/>
      <c r="H781" s="145"/>
      <c r="I781" s="149">
        <f t="shared" si="2"/>
        <v>785000</v>
      </c>
      <c r="J781" s="150"/>
      <c r="K781" s="144"/>
    </row>
    <row r="782" ht="26.25" customHeight="1">
      <c r="A782" s="170"/>
      <c r="B782" s="144"/>
      <c r="C782" s="144"/>
      <c r="D782" s="145"/>
      <c r="E782" s="145"/>
      <c r="F782" s="145"/>
      <c r="G782" s="144"/>
      <c r="H782" s="145"/>
      <c r="I782" s="149">
        <f t="shared" si="2"/>
        <v>785000</v>
      </c>
      <c r="J782" s="150"/>
      <c r="K782" s="144"/>
    </row>
    <row r="783" ht="26.25" customHeight="1">
      <c r="A783" s="170"/>
      <c r="B783" s="144"/>
      <c r="C783" s="144"/>
      <c r="D783" s="145"/>
      <c r="E783" s="145"/>
      <c r="F783" s="145"/>
      <c r="G783" s="144"/>
      <c r="H783" s="145"/>
      <c r="I783" s="149">
        <f t="shared" si="2"/>
        <v>785000</v>
      </c>
      <c r="J783" s="150"/>
      <c r="K783" s="144"/>
    </row>
    <row r="784" ht="26.25" customHeight="1">
      <c r="A784" s="170"/>
      <c r="B784" s="144"/>
      <c r="C784" s="144"/>
      <c r="D784" s="145"/>
      <c r="E784" s="145"/>
      <c r="F784" s="145"/>
      <c r="G784" s="144"/>
      <c r="H784" s="145"/>
      <c r="I784" s="149">
        <f t="shared" si="2"/>
        <v>785000</v>
      </c>
      <c r="J784" s="150"/>
      <c r="K784" s="144"/>
    </row>
    <row r="785" ht="26.25" customHeight="1">
      <c r="A785" s="170"/>
      <c r="B785" s="144"/>
      <c r="C785" s="144"/>
      <c r="D785" s="145"/>
      <c r="E785" s="145"/>
      <c r="F785" s="145"/>
      <c r="G785" s="144"/>
      <c r="H785" s="145"/>
      <c r="I785" s="149">
        <f t="shared" si="2"/>
        <v>785000</v>
      </c>
      <c r="J785" s="150"/>
      <c r="K785" s="144"/>
    </row>
    <row r="786" ht="26.25" customHeight="1">
      <c r="A786" s="170"/>
      <c r="B786" s="144"/>
      <c r="C786" s="144"/>
      <c r="D786" s="145"/>
      <c r="E786" s="145"/>
      <c r="F786" s="145"/>
      <c r="G786" s="144"/>
      <c r="H786" s="145"/>
      <c r="I786" s="149">
        <f t="shared" si="2"/>
        <v>785000</v>
      </c>
      <c r="J786" s="150"/>
      <c r="K786" s="144"/>
    </row>
    <row r="787" ht="26.25" customHeight="1">
      <c r="A787" s="170"/>
      <c r="B787" s="144"/>
      <c r="C787" s="144"/>
      <c r="D787" s="145"/>
      <c r="E787" s="145"/>
      <c r="F787" s="145"/>
      <c r="G787" s="144"/>
      <c r="H787" s="145"/>
      <c r="I787" s="149">
        <f t="shared" si="2"/>
        <v>785000</v>
      </c>
      <c r="J787" s="150"/>
      <c r="K787" s="144"/>
    </row>
    <row r="788" ht="26.25" customHeight="1">
      <c r="A788" s="170"/>
      <c r="B788" s="144"/>
      <c r="C788" s="144"/>
      <c r="D788" s="145"/>
      <c r="E788" s="145"/>
      <c r="F788" s="145"/>
      <c r="G788" s="144"/>
      <c r="H788" s="145"/>
      <c r="I788" s="149">
        <f t="shared" si="2"/>
        <v>785000</v>
      </c>
      <c r="J788" s="150"/>
      <c r="K788" s="144"/>
    </row>
    <row r="789" ht="26.25" customHeight="1">
      <c r="A789" s="170"/>
      <c r="B789" s="144"/>
      <c r="C789" s="144"/>
      <c r="D789" s="145"/>
      <c r="E789" s="145"/>
      <c r="F789" s="145"/>
      <c r="G789" s="144"/>
      <c r="H789" s="145"/>
      <c r="I789" s="149">
        <f t="shared" si="2"/>
        <v>785000</v>
      </c>
      <c r="J789" s="150"/>
      <c r="K789" s="144"/>
    </row>
    <row r="790" ht="26.25" customHeight="1">
      <c r="A790" s="170"/>
      <c r="B790" s="144"/>
      <c r="C790" s="144"/>
      <c r="D790" s="145"/>
      <c r="E790" s="145"/>
      <c r="F790" s="145"/>
      <c r="G790" s="144"/>
      <c r="H790" s="145"/>
      <c r="I790" s="149">
        <f t="shared" si="2"/>
        <v>785000</v>
      </c>
      <c r="J790" s="150"/>
      <c r="K790" s="144"/>
    </row>
    <row r="791" ht="26.25" customHeight="1">
      <c r="A791" s="170"/>
      <c r="B791" s="144"/>
      <c r="C791" s="144"/>
      <c r="D791" s="145"/>
      <c r="E791" s="145"/>
      <c r="F791" s="145"/>
      <c r="G791" s="144"/>
      <c r="H791" s="145"/>
      <c r="I791" s="149">
        <f t="shared" si="2"/>
        <v>785000</v>
      </c>
      <c r="J791" s="150"/>
      <c r="K791" s="144"/>
    </row>
    <row r="792" ht="26.25" customHeight="1">
      <c r="A792" s="170"/>
      <c r="B792" s="144"/>
      <c r="C792" s="144"/>
      <c r="D792" s="145"/>
      <c r="E792" s="145"/>
      <c r="F792" s="145"/>
      <c r="G792" s="144"/>
      <c r="H792" s="145"/>
      <c r="I792" s="149">
        <f t="shared" si="2"/>
        <v>785000</v>
      </c>
      <c r="J792" s="150"/>
      <c r="K792" s="144"/>
    </row>
    <row r="793" ht="26.25" customHeight="1">
      <c r="A793" s="170"/>
      <c r="B793" s="144"/>
      <c r="C793" s="144"/>
      <c r="D793" s="145"/>
      <c r="E793" s="145"/>
      <c r="F793" s="145"/>
      <c r="G793" s="144"/>
      <c r="H793" s="145"/>
      <c r="I793" s="149">
        <f t="shared" si="2"/>
        <v>785000</v>
      </c>
      <c r="J793" s="150"/>
      <c r="K793" s="144"/>
    </row>
    <row r="794" ht="26.25" customHeight="1">
      <c r="A794" s="170"/>
      <c r="B794" s="144"/>
      <c r="C794" s="144"/>
      <c r="D794" s="145"/>
      <c r="E794" s="145"/>
      <c r="F794" s="145"/>
      <c r="G794" s="144"/>
      <c r="H794" s="145"/>
      <c r="I794" s="149">
        <f t="shared" si="2"/>
        <v>785000</v>
      </c>
      <c r="J794" s="150"/>
      <c r="K794" s="144"/>
    </row>
    <row r="795" ht="26.25" customHeight="1">
      <c r="A795" s="170"/>
      <c r="B795" s="144"/>
      <c r="C795" s="144"/>
      <c r="D795" s="145"/>
      <c r="E795" s="145"/>
      <c r="F795" s="145"/>
      <c r="G795" s="144"/>
      <c r="H795" s="145"/>
      <c r="I795" s="149">
        <f t="shared" si="2"/>
        <v>785000</v>
      </c>
      <c r="J795" s="150"/>
      <c r="K795" s="144"/>
    </row>
    <row r="796" ht="26.25" customHeight="1">
      <c r="A796" s="170"/>
      <c r="B796" s="144"/>
      <c r="C796" s="144"/>
      <c r="D796" s="145"/>
      <c r="E796" s="145"/>
      <c r="F796" s="145"/>
      <c r="G796" s="144"/>
      <c r="H796" s="145"/>
      <c r="I796" s="149">
        <f t="shared" si="2"/>
        <v>785000</v>
      </c>
      <c r="J796" s="150"/>
      <c r="K796" s="144"/>
    </row>
    <row r="797" ht="26.25" customHeight="1">
      <c r="A797" s="170"/>
      <c r="B797" s="144"/>
      <c r="C797" s="144"/>
      <c r="D797" s="145"/>
      <c r="E797" s="145"/>
      <c r="F797" s="145"/>
      <c r="G797" s="144"/>
      <c r="H797" s="145"/>
      <c r="I797" s="149">
        <f t="shared" si="2"/>
        <v>785000</v>
      </c>
      <c r="J797" s="150"/>
      <c r="K797" s="144"/>
    </row>
    <row r="798" ht="26.25" customHeight="1">
      <c r="A798" s="170"/>
      <c r="B798" s="144"/>
      <c r="C798" s="144"/>
      <c r="D798" s="145"/>
      <c r="E798" s="145"/>
      <c r="F798" s="145"/>
      <c r="G798" s="144"/>
      <c r="H798" s="145"/>
      <c r="I798" s="149">
        <f t="shared" si="2"/>
        <v>785000</v>
      </c>
      <c r="J798" s="150"/>
      <c r="K798" s="144"/>
    </row>
    <row r="799" ht="26.25" customHeight="1">
      <c r="A799" s="170"/>
      <c r="B799" s="144"/>
      <c r="C799" s="144"/>
      <c r="D799" s="145"/>
      <c r="E799" s="145"/>
      <c r="F799" s="145"/>
      <c r="G799" s="144"/>
      <c r="H799" s="145"/>
      <c r="I799" s="149">
        <f t="shared" si="2"/>
        <v>785000</v>
      </c>
      <c r="J799" s="150"/>
      <c r="K799" s="144"/>
    </row>
    <row r="800" ht="26.25" customHeight="1">
      <c r="A800" s="170"/>
      <c r="B800" s="144"/>
      <c r="C800" s="144"/>
      <c r="D800" s="145"/>
      <c r="E800" s="145"/>
      <c r="F800" s="145"/>
      <c r="G800" s="144"/>
      <c r="H800" s="145"/>
      <c r="I800" s="149">
        <f t="shared" si="2"/>
        <v>785000</v>
      </c>
      <c r="J800" s="150"/>
      <c r="K800" s="144"/>
    </row>
    <row r="801" ht="26.25" customHeight="1">
      <c r="A801" s="170"/>
      <c r="B801" s="144"/>
      <c r="C801" s="144"/>
      <c r="D801" s="145"/>
      <c r="E801" s="145"/>
      <c r="F801" s="145"/>
      <c r="G801" s="144"/>
      <c r="H801" s="145"/>
      <c r="I801" s="149">
        <f t="shared" si="2"/>
        <v>785000</v>
      </c>
      <c r="J801" s="150"/>
      <c r="K801" s="144"/>
    </row>
    <row r="802" ht="26.25" customHeight="1">
      <c r="A802" s="170"/>
      <c r="B802" s="144"/>
      <c r="C802" s="144"/>
      <c r="D802" s="145"/>
      <c r="E802" s="145"/>
      <c r="F802" s="145"/>
      <c r="G802" s="144"/>
      <c r="H802" s="145"/>
      <c r="I802" s="149">
        <f t="shared" si="2"/>
        <v>785000</v>
      </c>
      <c r="J802" s="150"/>
      <c r="K802" s="144"/>
    </row>
    <row r="803" ht="26.25" customHeight="1">
      <c r="A803" s="170"/>
      <c r="B803" s="144"/>
      <c r="C803" s="144"/>
      <c r="D803" s="145"/>
      <c r="E803" s="145"/>
      <c r="F803" s="145"/>
      <c r="G803" s="144"/>
      <c r="H803" s="145"/>
      <c r="I803" s="149">
        <f t="shared" si="2"/>
        <v>785000</v>
      </c>
      <c r="J803" s="150"/>
      <c r="K803" s="144"/>
    </row>
    <row r="804" ht="26.25" customHeight="1">
      <c r="A804" s="170"/>
      <c r="B804" s="144"/>
      <c r="C804" s="144"/>
      <c r="D804" s="145"/>
      <c r="E804" s="145"/>
      <c r="F804" s="145"/>
      <c r="G804" s="144"/>
      <c r="H804" s="145"/>
      <c r="I804" s="149">
        <f t="shared" si="2"/>
        <v>785000</v>
      </c>
      <c r="J804" s="150"/>
      <c r="K804" s="144"/>
    </row>
    <row r="805" ht="26.25" customHeight="1">
      <c r="A805" s="170"/>
      <c r="B805" s="144"/>
      <c r="C805" s="144"/>
      <c r="D805" s="145"/>
      <c r="E805" s="145"/>
      <c r="F805" s="145"/>
      <c r="G805" s="144"/>
      <c r="H805" s="145"/>
      <c r="I805" s="149">
        <f t="shared" si="2"/>
        <v>785000</v>
      </c>
      <c r="J805" s="150"/>
      <c r="K805" s="144"/>
    </row>
    <row r="806" ht="26.25" customHeight="1">
      <c r="A806" s="170"/>
      <c r="B806" s="144"/>
      <c r="C806" s="144"/>
      <c r="D806" s="145"/>
      <c r="E806" s="145"/>
      <c r="F806" s="145"/>
      <c r="G806" s="144"/>
      <c r="H806" s="145"/>
      <c r="I806" s="149">
        <f t="shared" si="2"/>
        <v>785000</v>
      </c>
      <c r="J806" s="150"/>
      <c r="K806" s="144"/>
    </row>
    <row r="807" ht="26.25" customHeight="1">
      <c r="A807" s="170"/>
      <c r="B807" s="144"/>
      <c r="C807" s="144"/>
      <c r="D807" s="145"/>
      <c r="E807" s="145"/>
      <c r="F807" s="145"/>
      <c r="G807" s="144"/>
      <c r="H807" s="145"/>
      <c r="I807" s="149">
        <f t="shared" si="2"/>
        <v>785000</v>
      </c>
      <c r="J807" s="150"/>
      <c r="K807" s="144"/>
    </row>
    <row r="808" ht="26.25" customHeight="1">
      <c r="A808" s="170"/>
      <c r="B808" s="144"/>
      <c r="C808" s="144"/>
      <c r="D808" s="145"/>
      <c r="E808" s="145"/>
      <c r="F808" s="145"/>
      <c r="G808" s="144"/>
      <c r="H808" s="145"/>
      <c r="I808" s="149">
        <f t="shared" si="2"/>
        <v>785000</v>
      </c>
      <c r="J808" s="150"/>
      <c r="K808" s="144"/>
    </row>
    <row r="809" ht="26.25" customHeight="1">
      <c r="A809" s="170"/>
      <c r="B809" s="144"/>
      <c r="C809" s="144"/>
      <c r="D809" s="145"/>
      <c r="E809" s="145"/>
      <c r="F809" s="145"/>
      <c r="G809" s="144"/>
      <c r="H809" s="145"/>
      <c r="I809" s="149">
        <f t="shared" si="2"/>
        <v>785000</v>
      </c>
      <c r="J809" s="150"/>
      <c r="K809" s="144"/>
    </row>
    <row r="810" ht="26.25" customHeight="1">
      <c r="A810" s="170"/>
      <c r="B810" s="144"/>
      <c r="C810" s="144"/>
      <c r="D810" s="145"/>
      <c r="E810" s="145"/>
      <c r="F810" s="145"/>
      <c r="G810" s="144"/>
      <c r="H810" s="145"/>
      <c r="I810" s="149">
        <f t="shared" si="2"/>
        <v>785000</v>
      </c>
      <c r="J810" s="150"/>
      <c r="K810" s="144"/>
    </row>
    <row r="811" ht="26.25" customHeight="1">
      <c r="A811" s="170"/>
      <c r="B811" s="144"/>
      <c r="C811" s="144"/>
      <c r="D811" s="145"/>
      <c r="E811" s="145"/>
      <c r="F811" s="145"/>
      <c r="G811" s="144"/>
      <c r="H811" s="145"/>
      <c r="I811" s="149">
        <f t="shared" si="2"/>
        <v>785000</v>
      </c>
      <c r="J811" s="150"/>
      <c r="K811" s="144"/>
    </row>
    <row r="812" ht="26.25" customHeight="1">
      <c r="A812" s="170"/>
      <c r="B812" s="144"/>
      <c r="C812" s="144"/>
      <c r="D812" s="145"/>
      <c r="E812" s="145"/>
      <c r="F812" s="145"/>
      <c r="G812" s="144"/>
      <c r="H812" s="145"/>
      <c r="I812" s="149">
        <f t="shared" si="2"/>
        <v>785000</v>
      </c>
      <c r="J812" s="150"/>
      <c r="K812" s="144"/>
    </row>
    <row r="813" ht="26.25" customHeight="1">
      <c r="A813" s="170"/>
      <c r="B813" s="144"/>
      <c r="C813" s="144"/>
      <c r="D813" s="145"/>
      <c r="E813" s="145"/>
      <c r="F813" s="145"/>
      <c r="G813" s="144"/>
      <c r="H813" s="145"/>
      <c r="I813" s="149">
        <f t="shared" si="2"/>
        <v>785000</v>
      </c>
      <c r="J813" s="150"/>
      <c r="K813" s="144"/>
    </row>
    <row r="814" ht="26.25" customHeight="1">
      <c r="A814" s="170"/>
      <c r="B814" s="144"/>
      <c r="C814" s="144"/>
      <c r="D814" s="145"/>
      <c r="E814" s="145"/>
      <c r="F814" s="145"/>
      <c r="G814" s="144"/>
      <c r="H814" s="145"/>
      <c r="I814" s="149">
        <f t="shared" si="2"/>
        <v>785000</v>
      </c>
      <c r="J814" s="150"/>
      <c r="K814" s="144"/>
    </row>
    <row r="815" ht="26.25" customHeight="1">
      <c r="A815" s="170"/>
      <c r="B815" s="144"/>
      <c r="C815" s="144"/>
      <c r="D815" s="145"/>
      <c r="E815" s="145"/>
      <c r="F815" s="145"/>
      <c r="G815" s="144"/>
      <c r="H815" s="145"/>
      <c r="I815" s="149">
        <f t="shared" si="2"/>
        <v>785000</v>
      </c>
      <c r="J815" s="150"/>
      <c r="K815" s="144"/>
    </row>
    <row r="816" ht="26.25" customHeight="1">
      <c r="A816" s="170"/>
      <c r="B816" s="144"/>
      <c r="C816" s="144"/>
      <c r="D816" s="145"/>
      <c r="E816" s="145"/>
      <c r="F816" s="145"/>
      <c r="G816" s="144"/>
      <c r="H816" s="145"/>
      <c r="I816" s="149">
        <f t="shared" si="2"/>
        <v>785000</v>
      </c>
      <c r="J816" s="150"/>
      <c r="K816" s="144"/>
    </row>
    <row r="817" ht="26.25" customHeight="1">
      <c r="A817" s="170"/>
      <c r="B817" s="144"/>
      <c r="C817" s="144"/>
      <c r="D817" s="145"/>
      <c r="E817" s="145"/>
      <c r="F817" s="145"/>
      <c r="G817" s="144"/>
      <c r="H817" s="145"/>
      <c r="I817" s="149">
        <f t="shared" si="2"/>
        <v>785000</v>
      </c>
      <c r="J817" s="150"/>
      <c r="K817" s="144"/>
    </row>
    <row r="818" ht="26.25" customHeight="1">
      <c r="A818" s="170"/>
      <c r="B818" s="144"/>
      <c r="C818" s="144"/>
      <c r="D818" s="145"/>
      <c r="E818" s="145"/>
      <c r="F818" s="145"/>
      <c r="G818" s="144"/>
      <c r="H818" s="145"/>
      <c r="I818" s="149">
        <f t="shared" si="2"/>
        <v>785000</v>
      </c>
      <c r="J818" s="150"/>
      <c r="K818" s="144"/>
    </row>
    <row r="819" ht="26.25" customHeight="1">
      <c r="A819" s="170"/>
      <c r="B819" s="144"/>
      <c r="C819" s="144"/>
      <c r="D819" s="145"/>
      <c r="E819" s="145"/>
      <c r="F819" s="145"/>
      <c r="G819" s="144"/>
      <c r="H819" s="145"/>
      <c r="I819" s="149">
        <f t="shared" si="2"/>
        <v>785000</v>
      </c>
      <c r="J819" s="150"/>
      <c r="K819" s="144"/>
    </row>
    <row r="820" ht="26.25" customHeight="1">
      <c r="A820" s="170"/>
      <c r="B820" s="144"/>
      <c r="C820" s="144"/>
      <c r="D820" s="145"/>
      <c r="E820" s="145"/>
      <c r="F820" s="145"/>
      <c r="G820" s="144"/>
      <c r="H820" s="145"/>
      <c r="I820" s="149">
        <f t="shared" si="2"/>
        <v>785000</v>
      </c>
      <c r="J820" s="150"/>
      <c r="K820" s="144"/>
    </row>
    <row r="821" ht="26.25" customHeight="1">
      <c r="A821" s="170"/>
      <c r="B821" s="144"/>
      <c r="C821" s="144"/>
      <c r="D821" s="145"/>
      <c r="E821" s="145"/>
      <c r="F821" s="145"/>
      <c r="G821" s="144"/>
      <c r="H821" s="145"/>
      <c r="I821" s="149">
        <f t="shared" si="2"/>
        <v>785000</v>
      </c>
      <c r="J821" s="150"/>
      <c r="K821" s="144"/>
    </row>
    <row r="822" ht="26.25" customHeight="1">
      <c r="A822" s="170"/>
      <c r="B822" s="144"/>
      <c r="C822" s="144"/>
      <c r="D822" s="145"/>
      <c r="E822" s="145"/>
      <c r="F822" s="145"/>
      <c r="G822" s="144"/>
      <c r="H822" s="145"/>
      <c r="I822" s="149">
        <f t="shared" si="2"/>
        <v>785000</v>
      </c>
      <c r="J822" s="150"/>
      <c r="K822" s="144"/>
    </row>
    <row r="823" ht="26.25" customHeight="1">
      <c r="A823" s="170"/>
      <c r="B823" s="144"/>
      <c r="C823" s="144"/>
      <c r="D823" s="145"/>
      <c r="E823" s="145"/>
      <c r="F823" s="145"/>
      <c r="G823" s="144"/>
      <c r="H823" s="145"/>
      <c r="I823" s="149">
        <f t="shared" si="2"/>
        <v>785000</v>
      </c>
      <c r="J823" s="150"/>
      <c r="K823" s="144"/>
    </row>
    <row r="824" ht="26.25" customHeight="1">
      <c r="A824" s="170"/>
      <c r="B824" s="144"/>
      <c r="C824" s="144"/>
      <c r="D824" s="145"/>
      <c r="E824" s="145"/>
      <c r="F824" s="145"/>
      <c r="G824" s="144"/>
      <c r="H824" s="145"/>
      <c r="I824" s="149">
        <f t="shared" si="2"/>
        <v>785000</v>
      </c>
      <c r="J824" s="150"/>
      <c r="K824" s="144"/>
    </row>
    <row r="825" ht="26.25" customHeight="1">
      <c r="A825" s="170"/>
      <c r="B825" s="144"/>
      <c r="C825" s="144"/>
      <c r="D825" s="145"/>
      <c r="E825" s="145"/>
      <c r="F825" s="145"/>
      <c r="G825" s="144"/>
      <c r="H825" s="145"/>
      <c r="I825" s="149">
        <f t="shared" si="2"/>
        <v>785000</v>
      </c>
      <c r="J825" s="150"/>
      <c r="K825" s="144"/>
    </row>
    <row r="826" ht="26.25" customHeight="1">
      <c r="A826" s="170"/>
      <c r="B826" s="144"/>
      <c r="C826" s="144"/>
      <c r="D826" s="145"/>
      <c r="E826" s="145"/>
      <c r="F826" s="145"/>
      <c r="G826" s="144"/>
      <c r="H826" s="145"/>
      <c r="I826" s="149">
        <f t="shared" si="2"/>
        <v>785000</v>
      </c>
      <c r="J826" s="150"/>
      <c r="K826" s="144"/>
    </row>
    <row r="827" ht="26.25" customHeight="1">
      <c r="A827" s="170"/>
      <c r="B827" s="144"/>
      <c r="C827" s="144"/>
      <c r="D827" s="145"/>
      <c r="E827" s="145"/>
      <c r="F827" s="145"/>
      <c r="G827" s="144"/>
      <c r="H827" s="145"/>
      <c r="I827" s="149">
        <f t="shared" si="2"/>
        <v>785000</v>
      </c>
      <c r="J827" s="150"/>
      <c r="K827" s="144"/>
    </row>
    <row r="828" ht="26.25" customHeight="1">
      <c r="A828" s="170"/>
      <c r="B828" s="144"/>
      <c r="C828" s="144"/>
      <c r="D828" s="145"/>
      <c r="E828" s="145"/>
      <c r="F828" s="145"/>
      <c r="G828" s="144"/>
      <c r="H828" s="145"/>
      <c r="I828" s="149">
        <f t="shared" si="2"/>
        <v>785000</v>
      </c>
      <c r="J828" s="150"/>
      <c r="K828" s="144"/>
    </row>
    <row r="829" ht="26.25" customHeight="1">
      <c r="A829" s="170"/>
      <c r="B829" s="144"/>
      <c r="C829" s="144"/>
      <c r="D829" s="145"/>
      <c r="E829" s="145"/>
      <c r="F829" s="145"/>
      <c r="G829" s="144"/>
      <c r="H829" s="145"/>
      <c r="I829" s="149">
        <f t="shared" si="2"/>
        <v>785000</v>
      </c>
      <c r="J829" s="150"/>
      <c r="K829" s="144"/>
    </row>
    <row r="830" ht="26.25" customHeight="1">
      <c r="A830" s="170"/>
      <c r="B830" s="144"/>
      <c r="C830" s="144"/>
      <c r="D830" s="145"/>
      <c r="E830" s="145"/>
      <c r="F830" s="145"/>
      <c r="G830" s="144"/>
      <c r="H830" s="145"/>
      <c r="I830" s="149">
        <f t="shared" si="2"/>
        <v>785000</v>
      </c>
      <c r="J830" s="150"/>
      <c r="K830" s="144"/>
    </row>
    <row r="831" ht="26.25" customHeight="1">
      <c r="A831" s="170"/>
      <c r="B831" s="144"/>
      <c r="C831" s="144"/>
      <c r="D831" s="145"/>
      <c r="E831" s="145"/>
      <c r="F831" s="145"/>
      <c r="G831" s="144"/>
      <c r="H831" s="145"/>
      <c r="I831" s="149">
        <f t="shared" si="2"/>
        <v>785000</v>
      </c>
      <c r="J831" s="150"/>
      <c r="K831" s="144"/>
    </row>
    <row r="832" ht="26.25" customHeight="1">
      <c r="A832" s="170"/>
      <c r="B832" s="144"/>
      <c r="C832" s="144"/>
      <c r="D832" s="145"/>
      <c r="E832" s="145"/>
      <c r="F832" s="145"/>
      <c r="G832" s="144"/>
      <c r="H832" s="145"/>
      <c r="I832" s="149">
        <f t="shared" si="2"/>
        <v>785000</v>
      </c>
      <c r="J832" s="150"/>
      <c r="K832" s="144"/>
    </row>
    <row r="833" ht="26.25" customHeight="1">
      <c r="A833" s="170"/>
      <c r="B833" s="144"/>
      <c r="C833" s="144"/>
      <c r="D833" s="145"/>
      <c r="E833" s="145"/>
      <c r="F833" s="145"/>
      <c r="G833" s="144"/>
      <c r="H833" s="145"/>
      <c r="I833" s="149">
        <f t="shared" si="2"/>
        <v>785000</v>
      </c>
      <c r="J833" s="150"/>
      <c r="K833" s="144"/>
    </row>
    <row r="834" ht="26.25" customHeight="1">
      <c r="A834" s="170"/>
      <c r="B834" s="144"/>
      <c r="C834" s="144"/>
      <c r="D834" s="145"/>
      <c r="E834" s="145"/>
      <c r="F834" s="145"/>
      <c r="G834" s="144"/>
      <c r="H834" s="145"/>
      <c r="I834" s="149">
        <f t="shared" si="2"/>
        <v>785000</v>
      </c>
      <c r="J834" s="150"/>
      <c r="K834" s="144"/>
    </row>
    <row r="835" ht="26.25" customHeight="1">
      <c r="A835" s="170"/>
      <c r="B835" s="144"/>
      <c r="C835" s="144"/>
      <c r="D835" s="145"/>
      <c r="E835" s="145"/>
      <c r="F835" s="145"/>
      <c r="G835" s="144"/>
      <c r="H835" s="145"/>
      <c r="I835" s="149">
        <f t="shared" si="2"/>
        <v>785000</v>
      </c>
      <c r="J835" s="150"/>
      <c r="K835" s="144"/>
    </row>
    <row r="836" ht="26.25" customHeight="1">
      <c r="A836" s="170"/>
      <c r="B836" s="144"/>
      <c r="C836" s="144"/>
      <c r="D836" s="145"/>
      <c r="E836" s="145"/>
      <c r="F836" s="145"/>
      <c r="G836" s="144"/>
      <c r="H836" s="145"/>
      <c r="I836" s="149">
        <f t="shared" si="2"/>
        <v>785000</v>
      </c>
      <c r="J836" s="150"/>
      <c r="K836" s="144"/>
    </row>
    <row r="837" ht="26.25" customHeight="1">
      <c r="A837" s="170"/>
      <c r="B837" s="144"/>
      <c r="C837" s="144"/>
      <c r="D837" s="145"/>
      <c r="E837" s="145"/>
      <c r="F837" s="145"/>
      <c r="G837" s="144"/>
      <c r="H837" s="145"/>
      <c r="I837" s="149">
        <f t="shared" si="2"/>
        <v>785000</v>
      </c>
      <c r="J837" s="150"/>
      <c r="K837" s="144"/>
    </row>
    <row r="838" ht="26.25" customHeight="1">
      <c r="A838" s="170"/>
      <c r="B838" s="144"/>
      <c r="C838" s="144"/>
      <c r="D838" s="145"/>
      <c r="E838" s="145"/>
      <c r="F838" s="145"/>
      <c r="G838" s="144"/>
      <c r="H838" s="145"/>
      <c r="I838" s="149">
        <f t="shared" si="2"/>
        <v>785000</v>
      </c>
      <c r="J838" s="150"/>
      <c r="K838" s="144"/>
    </row>
    <row r="839" ht="26.25" customHeight="1">
      <c r="A839" s="170"/>
      <c r="B839" s="144"/>
      <c r="C839" s="144"/>
      <c r="D839" s="145"/>
      <c r="E839" s="145"/>
      <c r="F839" s="145"/>
      <c r="G839" s="144"/>
      <c r="H839" s="145"/>
      <c r="I839" s="149">
        <f t="shared" si="2"/>
        <v>785000</v>
      </c>
      <c r="J839" s="150"/>
      <c r="K839" s="144"/>
    </row>
    <row r="840" ht="26.25" customHeight="1">
      <c r="A840" s="170"/>
      <c r="B840" s="144"/>
      <c r="C840" s="144"/>
      <c r="D840" s="145"/>
      <c r="E840" s="145"/>
      <c r="F840" s="145"/>
      <c r="G840" s="144"/>
      <c r="H840" s="145"/>
      <c r="I840" s="149">
        <f t="shared" si="2"/>
        <v>785000</v>
      </c>
      <c r="J840" s="150"/>
      <c r="K840" s="144"/>
    </row>
    <row r="841" ht="26.25" customHeight="1">
      <c r="A841" s="170"/>
      <c r="B841" s="144"/>
      <c r="C841" s="144"/>
      <c r="D841" s="145"/>
      <c r="E841" s="145"/>
      <c r="F841" s="145"/>
      <c r="G841" s="144"/>
      <c r="H841" s="145"/>
      <c r="I841" s="149">
        <f t="shared" si="2"/>
        <v>785000</v>
      </c>
      <c r="J841" s="150"/>
      <c r="K841" s="144"/>
    </row>
    <row r="842" ht="26.25" customHeight="1">
      <c r="A842" s="170"/>
      <c r="B842" s="144"/>
      <c r="C842" s="144"/>
      <c r="D842" s="145"/>
      <c r="E842" s="145"/>
      <c r="F842" s="145"/>
      <c r="G842" s="144"/>
      <c r="H842" s="145"/>
      <c r="I842" s="149">
        <f t="shared" si="2"/>
        <v>785000</v>
      </c>
      <c r="J842" s="150"/>
      <c r="K842" s="144"/>
    </row>
    <row r="843" ht="26.25" customHeight="1">
      <c r="A843" s="170"/>
      <c r="B843" s="144"/>
      <c r="C843" s="144"/>
      <c r="D843" s="145"/>
      <c r="E843" s="145"/>
      <c r="F843" s="145"/>
      <c r="G843" s="144"/>
      <c r="H843" s="145"/>
      <c r="I843" s="149">
        <f t="shared" si="2"/>
        <v>785000</v>
      </c>
      <c r="J843" s="150"/>
      <c r="K843" s="144"/>
    </row>
    <row r="844" ht="26.25" customHeight="1">
      <c r="A844" s="170"/>
      <c r="B844" s="144"/>
      <c r="C844" s="144"/>
      <c r="D844" s="145"/>
      <c r="E844" s="145"/>
      <c r="F844" s="145"/>
      <c r="G844" s="144"/>
      <c r="H844" s="145"/>
      <c r="I844" s="149">
        <f t="shared" si="2"/>
        <v>785000</v>
      </c>
      <c r="J844" s="150"/>
      <c r="K844" s="144"/>
    </row>
    <row r="845" ht="26.25" customHeight="1">
      <c r="A845" s="170"/>
      <c r="B845" s="144"/>
      <c r="C845" s="144"/>
      <c r="D845" s="145"/>
      <c r="E845" s="145"/>
      <c r="F845" s="145"/>
      <c r="G845" s="144"/>
      <c r="H845" s="145"/>
      <c r="I845" s="149">
        <f t="shared" si="2"/>
        <v>785000</v>
      </c>
      <c r="J845" s="150"/>
      <c r="K845" s="144"/>
    </row>
    <row r="846" ht="26.25" customHeight="1">
      <c r="A846" s="170"/>
      <c r="B846" s="144"/>
      <c r="C846" s="144"/>
      <c r="D846" s="145"/>
      <c r="E846" s="145"/>
      <c r="F846" s="145"/>
      <c r="G846" s="144"/>
      <c r="H846" s="145"/>
      <c r="I846" s="149">
        <f t="shared" si="2"/>
        <v>785000</v>
      </c>
      <c r="J846" s="150"/>
      <c r="K846" s="144"/>
    </row>
    <row r="847" ht="26.25" customHeight="1">
      <c r="A847" s="170"/>
      <c r="B847" s="144"/>
      <c r="C847" s="144"/>
      <c r="D847" s="145"/>
      <c r="E847" s="145"/>
      <c r="F847" s="145"/>
      <c r="G847" s="144"/>
      <c r="H847" s="145"/>
      <c r="I847" s="149">
        <f t="shared" si="2"/>
        <v>785000</v>
      </c>
      <c r="J847" s="150"/>
      <c r="K847" s="144"/>
    </row>
    <row r="848" ht="26.25" customHeight="1">
      <c r="A848" s="170"/>
      <c r="B848" s="144"/>
      <c r="C848" s="144"/>
      <c r="D848" s="145"/>
      <c r="E848" s="145"/>
      <c r="F848" s="145"/>
      <c r="G848" s="144"/>
      <c r="H848" s="145"/>
      <c r="I848" s="149">
        <f t="shared" si="2"/>
        <v>785000</v>
      </c>
      <c r="J848" s="150"/>
      <c r="K848" s="144"/>
    </row>
    <row r="849" ht="26.25" customHeight="1">
      <c r="A849" s="170"/>
      <c r="B849" s="144"/>
      <c r="C849" s="144"/>
      <c r="D849" s="145"/>
      <c r="E849" s="145"/>
      <c r="F849" s="145"/>
      <c r="G849" s="144"/>
      <c r="H849" s="145"/>
      <c r="I849" s="149">
        <f t="shared" si="2"/>
        <v>785000</v>
      </c>
      <c r="J849" s="150"/>
      <c r="K849" s="144"/>
    </row>
    <row r="850" ht="26.25" customHeight="1">
      <c r="A850" s="170"/>
      <c r="B850" s="144"/>
      <c r="C850" s="144"/>
      <c r="D850" s="145"/>
      <c r="E850" s="145"/>
      <c r="F850" s="145"/>
      <c r="G850" s="144"/>
      <c r="H850" s="145"/>
      <c r="I850" s="149">
        <f t="shared" si="2"/>
        <v>785000</v>
      </c>
      <c r="J850" s="150"/>
      <c r="K850" s="144"/>
    </row>
    <row r="851" ht="26.25" customHeight="1">
      <c r="A851" s="170"/>
      <c r="B851" s="144"/>
      <c r="C851" s="144"/>
      <c r="D851" s="145"/>
      <c r="E851" s="145"/>
      <c r="F851" s="145"/>
      <c r="G851" s="144"/>
      <c r="H851" s="145"/>
      <c r="I851" s="149">
        <f t="shared" si="2"/>
        <v>785000</v>
      </c>
      <c r="J851" s="150"/>
      <c r="K851" s="144"/>
    </row>
    <row r="852" ht="26.25" customHeight="1">
      <c r="A852" s="170"/>
      <c r="B852" s="144"/>
      <c r="C852" s="144"/>
      <c r="D852" s="145"/>
      <c r="E852" s="145"/>
      <c r="F852" s="145"/>
      <c r="G852" s="144"/>
      <c r="H852" s="145"/>
      <c r="I852" s="149">
        <f t="shared" si="2"/>
        <v>785000</v>
      </c>
      <c r="J852" s="150"/>
      <c r="K852" s="144"/>
    </row>
    <row r="853" ht="26.25" customHeight="1">
      <c r="A853" s="170"/>
      <c r="B853" s="144"/>
      <c r="C853" s="144"/>
      <c r="D853" s="145"/>
      <c r="E853" s="145"/>
      <c r="F853" s="145"/>
      <c r="G853" s="144"/>
      <c r="H853" s="145"/>
      <c r="I853" s="149">
        <f t="shared" si="2"/>
        <v>785000</v>
      </c>
      <c r="J853" s="150"/>
      <c r="K853" s="144"/>
    </row>
    <row r="854" ht="26.25" customHeight="1">
      <c r="A854" s="170"/>
      <c r="B854" s="144"/>
      <c r="C854" s="144"/>
      <c r="D854" s="145"/>
      <c r="E854" s="145"/>
      <c r="F854" s="145"/>
      <c r="G854" s="144"/>
      <c r="H854" s="145"/>
      <c r="I854" s="149">
        <f t="shared" si="2"/>
        <v>785000</v>
      </c>
      <c r="J854" s="150"/>
      <c r="K854" s="144"/>
    </row>
    <row r="855" ht="26.25" customHeight="1">
      <c r="A855" s="170"/>
      <c r="B855" s="144"/>
      <c r="C855" s="144"/>
      <c r="D855" s="145"/>
      <c r="E855" s="145"/>
      <c r="F855" s="145"/>
      <c r="G855" s="144"/>
      <c r="H855" s="145"/>
      <c r="I855" s="149">
        <f t="shared" si="2"/>
        <v>785000</v>
      </c>
      <c r="J855" s="150"/>
      <c r="K855" s="144"/>
    </row>
    <row r="856" ht="26.25" customHeight="1">
      <c r="A856" s="170"/>
      <c r="B856" s="144"/>
      <c r="C856" s="144"/>
      <c r="D856" s="145"/>
      <c r="E856" s="145"/>
      <c r="F856" s="145"/>
      <c r="G856" s="144"/>
      <c r="H856" s="145"/>
      <c r="I856" s="149">
        <f t="shared" si="2"/>
        <v>785000</v>
      </c>
      <c r="J856" s="150"/>
      <c r="K856" s="144"/>
    </row>
    <row r="857" ht="26.25" customHeight="1">
      <c r="A857" s="170"/>
      <c r="B857" s="144"/>
      <c r="C857" s="144"/>
      <c r="D857" s="145"/>
      <c r="E857" s="145"/>
      <c r="F857" s="145"/>
      <c r="G857" s="144"/>
      <c r="H857" s="145"/>
      <c r="I857" s="149">
        <f t="shared" si="2"/>
        <v>785000</v>
      </c>
      <c r="J857" s="150"/>
      <c r="K857" s="144"/>
    </row>
    <row r="858" ht="26.25" customHeight="1">
      <c r="A858" s="170"/>
      <c r="B858" s="144"/>
      <c r="C858" s="144"/>
      <c r="D858" s="145"/>
      <c r="E858" s="145"/>
      <c r="F858" s="145"/>
      <c r="G858" s="144"/>
      <c r="H858" s="145"/>
      <c r="I858" s="149">
        <f t="shared" si="2"/>
        <v>785000</v>
      </c>
      <c r="J858" s="150"/>
      <c r="K858" s="144"/>
    </row>
    <row r="859" ht="26.25" customHeight="1">
      <c r="A859" s="170"/>
      <c r="B859" s="144"/>
      <c r="C859" s="144"/>
      <c r="D859" s="145"/>
      <c r="E859" s="145"/>
      <c r="F859" s="145"/>
      <c r="G859" s="144"/>
      <c r="H859" s="145"/>
      <c r="I859" s="149">
        <f t="shared" si="2"/>
        <v>785000</v>
      </c>
      <c r="J859" s="150"/>
      <c r="K859" s="144"/>
    </row>
    <row r="860" ht="26.25" customHeight="1">
      <c r="A860" s="170"/>
      <c r="B860" s="144"/>
      <c r="C860" s="144"/>
      <c r="D860" s="145"/>
      <c r="E860" s="145"/>
      <c r="F860" s="145"/>
      <c r="G860" s="144"/>
      <c r="H860" s="145"/>
      <c r="I860" s="149">
        <f t="shared" si="2"/>
        <v>785000</v>
      </c>
      <c r="J860" s="150"/>
      <c r="K860" s="144"/>
    </row>
    <row r="861" ht="26.25" customHeight="1">
      <c r="A861" s="170"/>
      <c r="B861" s="144"/>
      <c r="C861" s="144"/>
      <c r="D861" s="145"/>
      <c r="E861" s="145"/>
      <c r="F861" s="145"/>
      <c r="G861" s="144"/>
      <c r="H861" s="145"/>
      <c r="I861" s="149">
        <f t="shared" si="2"/>
        <v>785000</v>
      </c>
      <c r="J861" s="150"/>
      <c r="K861" s="144"/>
    </row>
    <row r="862" ht="26.25" customHeight="1">
      <c r="A862" s="170"/>
      <c r="B862" s="144"/>
      <c r="C862" s="144"/>
      <c r="D862" s="145"/>
      <c r="E862" s="145"/>
      <c r="F862" s="145"/>
      <c r="G862" s="144"/>
      <c r="H862" s="145"/>
      <c r="I862" s="149">
        <f t="shared" si="2"/>
        <v>785000</v>
      </c>
      <c r="J862" s="150"/>
      <c r="K862" s="144"/>
    </row>
    <row r="863" ht="26.25" customHeight="1">
      <c r="A863" s="170"/>
      <c r="B863" s="144"/>
      <c r="C863" s="144"/>
      <c r="D863" s="145"/>
      <c r="E863" s="145"/>
      <c r="F863" s="145"/>
      <c r="G863" s="144"/>
      <c r="H863" s="145"/>
      <c r="I863" s="149">
        <f t="shared" si="2"/>
        <v>785000</v>
      </c>
      <c r="J863" s="150"/>
      <c r="K863" s="144"/>
    </row>
    <row r="864" ht="26.25" customHeight="1">
      <c r="A864" s="170"/>
      <c r="B864" s="144"/>
      <c r="C864" s="144"/>
      <c r="D864" s="145"/>
      <c r="E864" s="145"/>
      <c r="F864" s="145"/>
      <c r="G864" s="144"/>
      <c r="H864" s="145"/>
      <c r="I864" s="149">
        <f t="shared" si="2"/>
        <v>785000</v>
      </c>
      <c r="J864" s="150"/>
      <c r="K864" s="144"/>
    </row>
    <row r="865" ht="26.25" customHeight="1">
      <c r="A865" s="170"/>
      <c r="B865" s="144"/>
      <c r="C865" s="144"/>
      <c r="D865" s="145"/>
      <c r="E865" s="145"/>
      <c r="F865" s="145"/>
      <c r="G865" s="144"/>
      <c r="H865" s="145"/>
      <c r="I865" s="149">
        <f t="shared" si="2"/>
        <v>785000</v>
      </c>
      <c r="J865" s="150"/>
      <c r="K865" s="144"/>
    </row>
    <row r="866" ht="26.25" customHeight="1">
      <c r="A866" s="170"/>
      <c r="B866" s="144"/>
      <c r="C866" s="144"/>
      <c r="D866" s="145"/>
      <c r="E866" s="145"/>
      <c r="F866" s="145"/>
      <c r="G866" s="144"/>
      <c r="H866" s="145"/>
      <c r="I866" s="149">
        <f t="shared" si="2"/>
        <v>785000</v>
      </c>
      <c r="J866" s="150"/>
      <c r="K866" s="144"/>
    </row>
    <row r="867" ht="26.25" customHeight="1">
      <c r="A867" s="170"/>
      <c r="B867" s="144"/>
      <c r="C867" s="144"/>
      <c r="D867" s="145"/>
      <c r="E867" s="145"/>
      <c r="F867" s="145"/>
      <c r="G867" s="144"/>
      <c r="H867" s="145"/>
      <c r="I867" s="149">
        <f t="shared" si="2"/>
        <v>785000</v>
      </c>
      <c r="J867" s="150"/>
      <c r="K867" s="144"/>
    </row>
    <row r="868" ht="26.25" customHeight="1">
      <c r="A868" s="170"/>
      <c r="B868" s="144"/>
      <c r="C868" s="144"/>
      <c r="D868" s="145"/>
      <c r="E868" s="145"/>
      <c r="F868" s="145"/>
      <c r="G868" s="144"/>
      <c r="H868" s="145"/>
      <c r="I868" s="149">
        <f t="shared" si="2"/>
        <v>785000</v>
      </c>
      <c r="J868" s="150"/>
      <c r="K868" s="144"/>
    </row>
    <row r="869" ht="26.25" customHeight="1">
      <c r="A869" s="170"/>
      <c r="B869" s="144"/>
      <c r="C869" s="144"/>
      <c r="D869" s="145"/>
      <c r="E869" s="145"/>
      <c r="F869" s="145"/>
      <c r="G869" s="144"/>
      <c r="H869" s="145"/>
      <c r="I869" s="149">
        <f t="shared" si="2"/>
        <v>785000</v>
      </c>
      <c r="J869" s="150"/>
      <c r="K869" s="144"/>
    </row>
    <row r="870" ht="26.25" customHeight="1">
      <c r="A870" s="170"/>
      <c r="B870" s="144"/>
      <c r="C870" s="144"/>
      <c r="D870" s="145"/>
      <c r="E870" s="145"/>
      <c r="F870" s="145"/>
      <c r="G870" s="144"/>
      <c r="H870" s="145"/>
      <c r="I870" s="149">
        <f t="shared" si="2"/>
        <v>785000</v>
      </c>
      <c r="J870" s="150"/>
      <c r="K870" s="144"/>
    </row>
    <row r="871" ht="26.25" customHeight="1">
      <c r="A871" s="170"/>
      <c r="B871" s="144"/>
      <c r="C871" s="144"/>
      <c r="D871" s="145"/>
      <c r="E871" s="145"/>
      <c r="F871" s="145"/>
      <c r="G871" s="144"/>
      <c r="H871" s="145"/>
      <c r="I871" s="149">
        <f t="shared" si="2"/>
        <v>785000</v>
      </c>
      <c r="J871" s="150"/>
      <c r="K871" s="144"/>
    </row>
    <row r="872" ht="26.25" customHeight="1">
      <c r="A872" s="170"/>
      <c r="B872" s="144"/>
      <c r="C872" s="144"/>
      <c r="D872" s="145"/>
      <c r="E872" s="145"/>
      <c r="F872" s="145"/>
      <c r="G872" s="144"/>
      <c r="H872" s="145"/>
      <c r="I872" s="149">
        <f t="shared" si="2"/>
        <v>785000</v>
      </c>
      <c r="J872" s="150"/>
      <c r="K872" s="144"/>
    </row>
    <row r="873" ht="26.25" customHeight="1">
      <c r="A873" s="170"/>
      <c r="B873" s="144"/>
      <c r="C873" s="144"/>
      <c r="D873" s="145"/>
      <c r="E873" s="145"/>
      <c r="F873" s="145"/>
      <c r="G873" s="144"/>
      <c r="H873" s="145"/>
      <c r="I873" s="149">
        <f t="shared" si="2"/>
        <v>785000</v>
      </c>
      <c r="J873" s="150"/>
      <c r="K873" s="144"/>
    </row>
    <row r="874" ht="26.25" customHeight="1">
      <c r="A874" s="170"/>
      <c r="B874" s="144"/>
      <c r="C874" s="144"/>
      <c r="D874" s="145"/>
      <c r="E874" s="145"/>
      <c r="F874" s="145"/>
      <c r="G874" s="144"/>
      <c r="H874" s="145"/>
      <c r="I874" s="149">
        <f t="shared" si="2"/>
        <v>785000</v>
      </c>
      <c r="J874" s="150"/>
      <c r="K874" s="144"/>
    </row>
    <row r="875" ht="26.25" customHeight="1">
      <c r="A875" s="170"/>
      <c r="B875" s="144"/>
      <c r="C875" s="144"/>
      <c r="D875" s="145"/>
      <c r="E875" s="145"/>
      <c r="F875" s="145"/>
      <c r="G875" s="144"/>
      <c r="H875" s="145"/>
      <c r="I875" s="149">
        <f t="shared" si="2"/>
        <v>785000</v>
      </c>
      <c r="J875" s="150"/>
      <c r="K875" s="144"/>
    </row>
    <row r="876" ht="26.25" customHeight="1">
      <c r="A876" s="170"/>
      <c r="B876" s="144"/>
      <c r="C876" s="144"/>
      <c r="D876" s="145"/>
      <c r="E876" s="145"/>
      <c r="F876" s="145"/>
      <c r="G876" s="144"/>
      <c r="H876" s="145"/>
      <c r="I876" s="149">
        <f t="shared" si="2"/>
        <v>785000</v>
      </c>
      <c r="J876" s="150"/>
      <c r="K876" s="144"/>
    </row>
    <row r="877" ht="26.25" customHeight="1">
      <c r="A877" s="170"/>
      <c r="B877" s="144"/>
      <c r="C877" s="144"/>
      <c r="D877" s="145"/>
      <c r="E877" s="145"/>
      <c r="F877" s="145"/>
      <c r="G877" s="144"/>
      <c r="H877" s="145"/>
      <c r="I877" s="149">
        <f t="shared" si="2"/>
        <v>785000</v>
      </c>
      <c r="J877" s="150"/>
      <c r="K877" s="144"/>
    </row>
    <row r="878" ht="26.25" customHeight="1">
      <c r="A878" s="170"/>
      <c r="B878" s="144"/>
      <c r="C878" s="144"/>
      <c r="D878" s="145"/>
      <c r="E878" s="145"/>
      <c r="F878" s="145"/>
      <c r="G878" s="144"/>
      <c r="H878" s="145"/>
      <c r="I878" s="149">
        <f t="shared" si="2"/>
        <v>785000</v>
      </c>
      <c r="J878" s="150"/>
      <c r="K878" s="144"/>
    </row>
    <row r="879" ht="26.25" customHeight="1">
      <c r="A879" s="170"/>
      <c r="B879" s="144"/>
      <c r="C879" s="144"/>
      <c r="D879" s="145"/>
      <c r="E879" s="145"/>
      <c r="F879" s="145"/>
      <c r="G879" s="144"/>
      <c r="H879" s="145"/>
      <c r="I879" s="149">
        <f t="shared" si="2"/>
        <v>785000</v>
      </c>
      <c r="J879" s="150"/>
      <c r="K879" s="144"/>
    </row>
    <row r="880" ht="26.25" customHeight="1">
      <c r="A880" s="170"/>
      <c r="B880" s="144"/>
      <c r="C880" s="144"/>
      <c r="D880" s="145"/>
      <c r="E880" s="145"/>
      <c r="F880" s="145"/>
      <c r="G880" s="144"/>
      <c r="H880" s="145"/>
      <c r="I880" s="149">
        <f t="shared" si="2"/>
        <v>785000</v>
      </c>
      <c r="J880" s="150"/>
      <c r="K880" s="144"/>
    </row>
    <row r="881" ht="26.25" customHeight="1">
      <c r="A881" s="170"/>
      <c r="B881" s="144"/>
      <c r="C881" s="144"/>
      <c r="D881" s="145"/>
      <c r="E881" s="145"/>
      <c r="F881" s="145"/>
      <c r="G881" s="144"/>
      <c r="H881" s="145"/>
      <c r="I881" s="149">
        <f t="shared" si="2"/>
        <v>785000</v>
      </c>
      <c r="J881" s="150"/>
      <c r="K881" s="144"/>
    </row>
    <row r="882" ht="26.25" customHeight="1">
      <c r="A882" s="170"/>
      <c r="B882" s="144"/>
      <c r="C882" s="144"/>
      <c r="D882" s="145"/>
      <c r="E882" s="145"/>
      <c r="F882" s="145"/>
      <c r="G882" s="144"/>
      <c r="H882" s="145"/>
      <c r="I882" s="149">
        <f t="shared" si="2"/>
        <v>785000</v>
      </c>
      <c r="J882" s="150"/>
      <c r="K882" s="144"/>
    </row>
    <row r="883" ht="26.25" customHeight="1">
      <c r="A883" s="170"/>
      <c r="B883" s="144"/>
      <c r="C883" s="144"/>
      <c r="D883" s="145"/>
      <c r="E883" s="145"/>
      <c r="F883" s="145"/>
      <c r="G883" s="144"/>
      <c r="H883" s="145"/>
      <c r="I883" s="149">
        <f t="shared" si="2"/>
        <v>785000</v>
      </c>
      <c r="J883" s="150"/>
      <c r="K883" s="144"/>
    </row>
    <row r="884" ht="26.25" customHeight="1">
      <c r="A884" s="170"/>
      <c r="B884" s="144"/>
      <c r="C884" s="144"/>
      <c r="D884" s="145"/>
      <c r="E884" s="145"/>
      <c r="F884" s="145"/>
      <c r="G884" s="144"/>
      <c r="H884" s="145"/>
      <c r="I884" s="149">
        <f t="shared" si="2"/>
        <v>785000</v>
      </c>
      <c r="J884" s="150"/>
      <c r="K884" s="144"/>
    </row>
    <row r="885" ht="26.25" customHeight="1">
      <c r="A885" s="170"/>
      <c r="B885" s="144"/>
      <c r="C885" s="144"/>
      <c r="D885" s="145"/>
      <c r="E885" s="145"/>
      <c r="F885" s="145"/>
      <c r="G885" s="144"/>
      <c r="H885" s="145"/>
      <c r="I885" s="149">
        <f t="shared" si="2"/>
        <v>785000</v>
      </c>
      <c r="J885" s="150"/>
      <c r="K885" s="144"/>
    </row>
    <row r="886" ht="26.25" customHeight="1">
      <c r="A886" s="170"/>
      <c r="B886" s="144"/>
      <c r="C886" s="144"/>
      <c r="D886" s="145"/>
      <c r="E886" s="145"/>
      <c r="F886" s="145"/>
      <c r="G886" s="144"/>
      <c r="H886" s="145"/>
      <c r="I886" s="149">
        <f t="shared" si="2"/>
        <v>785000</v>
      </c>
      <c r="J886" s="150"/>
      <c r="K886" s="144"/>
    </row>
    <row r="887" ht="26.25" customHeight="1">
      <c r="A887" s="170"/>
      <c r="B887" s="144"/>
      <c r="C887" s="144"/>
      <c r="D887" s="145"/>
      <c r="E887" s="145"/>
      <c r="F887" s="145"/>
      <c r="G887" s="144"/>
      <c r="H887" s="145"/>
      <c r="I887" s="149">
        <f t="shared" si="2"/>
        <v>785000</v>
      </c>
      <c r="J887" s="150"/>
      <c r="K887" s="144"/>
    </row>
    <row r="888" ht="26.25" customHeight="1">
      <c r="A888" s="170"/>
      <c r="B888" s="144"/>
      <c r="C888" s="144"/>
      <c r="D888" s="145"/>
      <c r="E888" s="145"/>
      <c r="F888" s="145"/>
      <c r="G888" s="144"/>
      <c r="H888" s="145"/>
      <c r="I888" s="149">
        <f t="shared" si="2"/>
        <v>785000</v>
      </c>
      <c r="J888" s="150"/>
      <c r="K888" s="144"/>
    </row>
    <row r="889" ht="26.25" customHeight="1">
      <c r="A889" s="170"/>
      <c r="B889" s="144"/>
      <c r="C889" s="144"/>
      <c r="D889" s="145"/>
      <c r="E889" s="145"/>
      <c r="F889" s="145"/>
      <c r="G889" s="144"/>
      <c r="H889" s="145"/>
      <c r="I889" s="149">
        <f t="shared" si="2"/>
        <v>785000</v>
      </c>
      <c r="J889" s="150"/>
      <c r="K889" s="144"/>
    </row>
    <row r="890" ht="26.25" customHeight="1">
      <c r="A890" s="170"/>
      <c r="B890" s="144"/>
      <c r="C890" s="144"/>
      <c r="D890" s="145"/>
      <c r="E890" s="145"/>
      <c r="F890" s="145"/>
      <c r="G890" s="144"/>
      <c r="H890" s="145"/>
      <c r="I890" s="149">
        <f t="shared" si="2"/>
        <v>785000</v>
      </c>
      <c r="J890" s="150"/>
      <c r="K890" s="144"/>
    </row>
    <row r="891" ht="26.25" customHeight="1">
      <c r="A891" s="170"/>
      <c r="B891" s="144"/>
      <c r="C891" s="144"/>
      <c r="D891" s="145"/>
      <c r="E891" s="145"/>
      <c r="F891" s="145"/>
      <c r="G891" s="144"/>
      <c r="H891" s="145"/>
      <c r="I891" s="149">
        <f t="shared" si="2"/>
        <v>785000</v>
      </c>
      <c r="J891" s="150"/>
      <c r="K891" s="144"/>
    </row>
    <row r="892" ht="26.25" customHeight="1">
      <c r="A892" s="170"/>
      <c r="B892" s="144"/>
      <c r="C892" s="144"/>
      <c r="D892" s="145"/>
      <c r="E892" s="145"/>
      <c r="F892" s="145"/>
      <c r="G892" s="144"/>
      <c r="H892" s="145"/>
      <c r="I892" s="149">
        <f t="shared" si="2"/>
        <v>785000</v>
      </c>
      <c r="J892" s="150"/>
      <c r="K892" s="144"/>
    </row>
    <row r="893" ht="26.25" customHeight="1">
      <c r="A893" s="170"/>
      <c r="B893" s="144"/>
      <c r="C893" s="144"/>
      <c r="D893" s="145"/>
      <c r="E893" s="145"/>
      <c r="F893" s="145"/>
      <c r="G893" s="144"/>
      <c r="H893" s="145"/>
      <c r="I893" s="149">
        <f t="shared" si="2"/>
        <v>785000</v>
      </c>
      <c r="J893" s="150"/>
      <c r="K893" s="144"/>
    </row>
    <row r="894" ht="26.25" customHeight="1">
      <c r="A894" s="170"/>
      <c r="B894" s="144"/>
      <c r="C894" s="144"/>
      <c r="D894" s="145"/>
      <c r="E894" s="145"/>
      <c r="F894" s="145"/>
      <c r="G894" s="144"/>
      <c r="H894" s="145"/>
      <c r="I894" s="149">
        <f t="shared" si="2"/>
        <v>785000</v>
      </c>
      <c r="J894" s="150"/>
      <c r="K894" s="144"/>
    </row>
    <row r="895" ht="26.25" customHeight="1">
      <c r="A895" s="170"/>
      <c r="B895" s="144"/>
      <c r="C895" s="144"/>
      <c r="D895" s="145"/>
      <c r="E895" s="145"/>
      <c r="F895" s="145"/>
      <c r="G895" s="144"/>
      <c r="H895" s="145"/>
      <c r="I895" s="149">
        <f t="shared" si="2"/>
        <v>785000</v>
      </c>
      <c r="J895" s="150"/>
      <c r="K895" s="144"/>
    </row>
    <row r="896" ht="26.25" customHeight="1">
      <c r="A896" s="170"/>
      <c r="B896" s="144"/>
      <c r="C896" s="144"/>
      <c r="D896" s="145"/>
      <c r="E896" s="145"/>
      <c r="F896" s="145"/>
      <c r="G896" s="144"/>
      <c r="H896" s="145"/>
      <c r="I896" s="149">
        <f t="shared" si="2"/>
        <v>785000</v>
      </c>
      <c r="J896" s="150"/>
      <c r="K896" s="144"/>
    </row>
    <row r="897" ht="26.25" customHeight="1">
      <c r="A897" s="170"/>
      <c r="B897" s="144"/>
      <c r="C897" s="144"/>
      <c r="D897" s="145"/>
      <c r="E897" s="145"/>
      <c r="F897" s="145"/>
      <c r="G897" s="144"/>
      <c r="H897" s="145"/>
      <c r="I897" s="149">
        <f t="shared" si="2"/>
        <v>785000</v>
      </c>
      <c r="J897" s="150"/>
      <c r="K897" s="144"/>
    </row>
    <row r="898" ht="26.25" customHeight="1">
      <c r="A898" s="170"/>
      <c r="B898" s="144"/>
      <c r="C898" s="144"/>
      <c r="D898" s="145"/>
      <c r="E898" s="145"/>
      <c r="F898" s="145"/>
      <c r="G898" s="144"/>
      <c r="H898" s="145"/>
      <c r="I898" s="149">
        <f t="shared" si="2"/>
        <v>785000</v>
      </c>
      <c r="J898" s="150"/>
      <c r="K898" s="144"/>
    </row>
    <row r="899" ht="26.25" customHeight="1">
      <c r="A899" s="170"/>
      <c r="B899" s="144"/>
      <c r="C899" s="144"/>
      <c r="D899" s="145"/>
      <c r="E899" s="145"/>
      <c r="F899" s="145"/>
      <c r="G899" s="144"/>
      <c r="H899" s="145"/>
      <c r="I899" s="149">
        <f t="shared" si="2"/>
        <v>785000</v>
      </c>
      <c r="J899" s="150"/>
      <c r="K899" s="144"/>
    </row>
    <row r="900" ht="26.25" customHeight="1">
      <c r="A900" s="170"/>
      <c r="B900" s="144"/>
      <c r="C900" s="144"/>
      <c r="D900" s="145"/>
      <c r="E900" s="145"/>
      <c r="F900" s="145"/>
      <c r="G900" s="144"/>
      <c r="H900" s="145"/>
      <c r="I900" s="149">
        <f t="shared" si="2"/>
        <v>785000</v>
      </c>
      <c r="J900" s="150"/>
      <c r="K900" s="144"/>
    </row>
    <row r="901" ht="26.25" customHeight="1">
      <c r="A901" s="170"/>
      <c r="B901" s="144"/>
      <c r="C901" s="144"/>
      <c r="D901" s="145"/>
      <c r="E901" s="145"/>
      <c r="F901" s="145"/>
      <c r="G901" s="144"/>
      <c r="H901" s="145"/>
      <c r="I901" s="149">
        <f t="shared" si="2"/>
        <v>785000</v>
      </c>
      <c r="J901" s="150"/>
      <c r="K901" s="144"/>
    </row>
    <row r="902" ht="26.25" customHeight="1">
      <c r="A902" s="170"/>
      <c r="B902" s="144"/>
      <c r="C902" s="144"/>
      <c r="D902" s="145"/>
      <c r="E902" s="145"/>
      <c r="F902" s="145"/>
      <c r="G902" s="144"/>
      <c r="H902" s="145"/>
      <c r="I902" s="149">
        <f t="shared" si="2"/>
        <v>785000</v>
      </c>
      <c r="J902" s="150"/>
      <c r="K902" s="144"/>
    </row>
    <row r="903" ht="26.25" customHeight="1">
      <c r="A903" s="170"/>
      <c r="B903" s="144"/>
      <c r="C903" s="144"/>
      <c r="D903" s="145"/>
      <c r="E903" s="145"/>
      <c r="F903" s="145"/>
      <c r="G903" s="144"/>
      <c r="H903" s="145"/>
      <c r="I903" s="149">
        <f t="shared" si="2"/>
        <v>785000</v>
      </c>
      <c r="J903" s="150"/>
      <c r="K903" s="144"/>
    </row>
    <row r="904" ht="26.25" customHeight="1">
      <c r="A904" s="170"/>
      <c r="B904" s="144"/>
      <c r="C904" s="144"/>
      <c r="D904" s="145"/>
      <c r="E904" s="145"/>
      <c r="F904" s="145"/>
      <c r="G904" s="144"/>
      <c r="H904" s="145"/>
      <c r="I904" s="149">
        <f t="shared" si="2"/>
        <v>785000</v>
      </c>
      <c r="J904" s="150"/>
      <c r="K904" s="144"/>
    </row>
    <row r="905" ht="26.25" customHeight="1">
      <c r="A905" s="170"/>
      <c r="B905" s="144"/>
      <c r="C905" s="144"/>
      <c r="D905" s="145"/>
      <c r="E905" s="145"/>
      <c r="F905" s="145"/>
      <c r="G905" s="144"/>
      <c r="H905" s="145"/>
      <c r="I905" s="149">
        <f t="shared" si="2"/>
        <v>785000</v>
      </c>
      <c r="J905" s="150"/>
      <c r="K905" s="144"/>
    </row>
    <row r="906" ht="26.25" customHeight="1">
      <c r="A906" s="170"/>
      <c r="B906" s="144"/>
      <c r="C906" s="144"/>
      <c r="D906" s="145"/>
      <c r="E906" s="145"/>
      <c r="F906" s="145"/>
      <c r="G906" s="144"/>
      <c r="H906" s="145"/>
      <c r="I906" s="149">
        <f t="shared" si="2"/>
        <v>785000</v>
      </c>
      <c r="J906" s="150"/>
      <c r="K906" s="144"/>
    </row>
    <row r="907" ht="26.25" customHeight="1">
      <c r="A907" s="170"/>
      <c r="B907" s="144"/>
      <c r="C907" s="144"/>
      <c r="D907" s="145"/>
      <c r="E907" s="145"/>
      <c r="F907" s="145"/>
      <c r="G907" s="144"/>
      <c r="H907" s="145"/>
      <c r="I907" s="149">
        <f t="shared" si="2"/>
        <v>785000</v>
      </c>
      <c r="J907" s="150"/>
      <c r="K907" s="144"/>
    </row>
    <row r="908" ht="26.25" customHeight="1">
      <c r="A908" s="170"/>
      <c r="B908" s="144"/>
      <c r="C908" s="144"/>
      <c r="D908" s="145"/>
      <c r="E908" s="145"/>
      <c r="F908" s="145"/>
      <c r="G908" s="144"/>
      <c r="H908" s="145"/>
      <c r="I908" s="149">
        <f t="shared" si="2"/>
        <v>785000</v>
      </c>
      <c r="J908" s="150"/>
      <c r="K908" s="144"/>
    </row>
    <row r="909" ht="26.25" customHeight="1">
      <c r="A909" s="170"/>
      <c r="B909" s="144"/>
      <c r="C909" s="144"/>
      <c r="D909" s="145"/>
      <c r="E909" s="145"/>
      <c r="F909" s="145"/>
      <c r="G909" s="144"/>
      <c r="H909" s="145"/>
      <c r="I909" s="149">
        <f t="shared" si="2"/>
        <v>785000</v>
      </c>
      <c r="J909" s="150"/>
      <c r="K909" s="144"/>
    </row>
    <row r="910" ht="26.25" customHeight="1">
      <c r="A910" s="170"/>
      <c r="B910" s="144"/>
      <c r="C910" s="144"/>
      <c r="D910" s="145"/>
      <c r="E910" s="145"/>
      <c r="F910" s="145"/>
      <c r="G910" s="144"/>
      <c r="H910" s="145"/>
      <c r="I910" s="149">
        <f t="shared" si="2"/>
        <v>785000</v>
      </c>
      <c r="J910" s="150"/>
      <c r="K910" s="144"/>
    </row>
    <row r="911" ht="26.25" customHeight="1">
      <c r="A911" s="170"/>
      <c r="B911" s="144"/>
      <c r="C911" s="144"/>
      <c r="D911" s="145"/>
      <c r="E911" s="145"/>
      <c r="F911" s="145"/>
      <c r="G911" s="144"/>
      <c r="H911" s="145"/>
      <c r="I911" s="149">
        <f t="shared" si="2"/>
        <v>785000</v>
      </c>
      <c r="J911" s="150"/>
      <c r="K911" s="144"/>
    </row>
    <row r="912" ht="26.25" customHeight="1">
      <c r="A912" s="170"/>
      <c r="B912" s="144"/>
      <c r="C912" s="144"/>
      <c r="D912" s="145"/>
      <c r="E912" s="145"/>
      <c r="F912" s="145"/>
      <c r="G912" s="144"/>
      <c r="H912" s="145"/>
      <c r="I912" s="149">
        <f t="shared" si="2"/>
        <v>785000</v>
      </c>
      <c r="J912" s="150"/>
      <c r="K912" s="144"/>
    </row>
    <row r="913" ht="26.25" customHeight="1">
      <c r="A913" s="170"/>
      <c r="B913" s="144"/>
      <c r="C913" s="144"/>
      <c r="D913" s="145"/>
      <c r="E913" s="145"/>
      <c r="F913" s="145"/>
      <c r="G913" s="144"/>
      <c r="H913" s="145"/>
      <c r="I913" s="149">
        <f t="shared" si="2"/>
        <v>785000</v>
      </c>
      <c r="J913" s="150"/>
      <c r="K913" s="144"/>
    </row>
    <row r="914" ht="26.25" customHeight="1">
      <c r="A914" s="170"/>
      <c r="B914" s="144"/>
      <c r="C914" s="144"/>
      <c r="D914" s="145"/>
      <c r="E914" s="145"/>
      <c r="F914" s="145"/>
      <c r="G914" s="144"/>
      <c r="H914" s="145"/>
      <c r="I914" s="149">
        <f t="shared" si="2"/>
        <v>785000</v>
      </c>
      <c r="J914" s="150"/>
      <c r="K914" s="144"/>
    </row>
    <row r="915" ht="26.25" customHeight="1">
      <c r="A915" s="170"/>
      <c r="B915" s="144"/>
      <c r="C915" s="144"/>
      <c r="D915" s="145"/>
      <c r="E915" s="145"/>
      <c r="F915" s="145"/>
      <c r="G915" s="144"/>
      <c r="H915" s="145"/>
      <c r="I915" s="149">
        <f t="shared" si="2"/>
        <v>785000</v>
      </c>
      <c r="J915" s="150"/>
      <c r="K915" s="144"/>
    </row>
    <row r="916" ht="26.25" customHeight="1">
      <c r="A916" s="170"/>
      <c r="B916" s="144"/>
      <c r="C916" s="144"/>
      <c r="D916" s="145"/>
      <c r="E916" s="145"/>
      <c r="F916" s="145"/>
      <c r="G916" s="144"/>
      <c r="H916" s="145"/>
      <c r="I916" s="149">
        <f t="shared" si="2"/>
        <v>785000</v>
      </c>
      <c r="J916" s="150"/>
      <c r="K916" s="144"/>
    </row>
    <row r="917" ht="26.25" customHeight="1">
      <c r="A917" s="170"/>
      <c r="B917" s="144"/>
      <c r="C917" s="144"/>
      <c r="D917" s="145"/>
      <c r="E917" s="145"/>
      <c r="F917" s="145"/>
      <c r="G917" s="144"/>
      <c r="H917" s="145"/>
      <c r="I917" s="149">
        <f t="shared" si="2"/>
        <v>785000</v>
      </c>
      <c r="J917" s="150"/>
      <c r="K917" s="144"/>
    </row>
    <row r="918" ht="26.25" customHeight="1">
      <c r="A918" s="170"/>
      <c r="B918" s="144"/>
      <c r="C918" s="144"/>
      <c r="D918" s="145"/>
      <c r="E918" s="145"/>
      <c r="F918" s="145"/>
      <c r="G918" s="144"/>
      <c r="H918" s="145"/>
      <c r="I918" s="149">
        <f t="shared" si="2"/>
        <v>785000</v>
      </c>
      <c r="J918" s="150"/>
      <c r="K918" s="144"/>
    </row>
    <row r="919" ht="26.25" customHeight="1">
      <c r="A919" s="170"/>
      <c r="B919" s="144"/>
      <c r="C919" s="144"/>
      <c r="D919" s="145"/>
      <c r="E919" s="145"/>
      <c r="F919" s="145"/>
      <c r="G919" s="144"/>
      <c r="H919" s="145"/>
      <c r="I919" s="149">
        <f t="shared" si="2"/>
        <v>785000</v>
      </c>
      <c r="J919" s="150"/>
      <c r="K919" s="144"/>
    </row>
    <row r="920" ht="26.25" customHeight="1">
      <c r="A920" s="170"/>
      <c r="B920" s="144"/>
      <c r="C920" s="144"/>
      <c r="D920" s="145"/>
      <c r="E920" s="145"/>
      <c r="F920" s="145"/>
      <c r="G920" s="144"/>
      <c r="H920" s="145"/>
      <c r="I920" s="149">
        <f t="shared" si="2"/>
        <v>785000</v>
      </c>
      <c r="J920" s="150"/>
      <c r="K920" s="144"/>
    </row>
    <row r="921" ht="26.25" customHeight="1">
      <c r="A921" s="170"/>
      <c r="B921" s="144"/>
      <c r="C921" s="144"/>
      <c r="D921" s="145"/>
      <c r="E921" s="145"/>
      <c r="F921" s="145"/>
      <c r="G921" s="144"/>
      <c r="H921" s="145"/>
      <c r="I921" s="149">
        <f t="shared" si="2"/>
        <v>785000</v>
      </c>
      <c r="J921" s="150"/>
      <c r="K921" s="144"/>
    </row>
    <row r="922" ht="26.25" customHeight="1">
      <c r="A922" s="170"/>
      <c r="B922" s="144"/>
      <c r="C922" s="144"/>
      <c r="D922" s="145"/>
      <c r="E922" s="145"/>
      <c r="F922" s="145"/>
      <c r="G922" s="144"/>
      <c r="H922" s="145"/>
      <c r="I922" s="149">
        <f t="shared" si="2"/>
        <v>785000</v>
      </c>
      <c r="J922" s="150"/>
      <c r="K922" s="144"/>
    </row>
    <row r="923" ht="26.25" customHeight="1">
      <c r="A923" s="170"/>
      <c r="B923" s="144"/>
      <c r="C923" s="144"/>
      <c r="D923" s="145"/>
      <c r="E923" s="145"/>
      <c r="F923" s="145"/>
      <c r="G923" s="144"/>
      <c r="H923" s="145"/>
      <c r="I923" s="149">
        <f t="shared" si="2"/>
        <v>785000</v>
      </c>
      <c r="J923" s="150"/>
      <c r="K923" s="144"/>
    </row>
    <row r="924" ht="26.25" customHeight="1">
      <c r="A924" s="170"/>
      <c r="B924" s="144"/>
      <c r="C924" s="144"/>
      <c r="D924" s="145"/>
      <c r="E924" s="145"/>
      <c r="F924" s="145"/>
      <c r="G924" s="144"/>
      <c r="H924" s="145"/>
      <c r="I924" s="149">
        <f t="shared" si="2"/>
        <v>785000</v>
      </c>
      <c r="J924" s="150"/>
      <c r="K924" s="144"/>
    </row>
    <row r="925" ht="26.25" customHeight="1">
      <c r="A925" s="170"/>
      <c r="B925" s="144"/>
      <c r="C925" s="144"/>
      <c r="D925" s="145"/>
      <c r="E925" s="145"/>
      <c r="F925" s="145"/>
      <c r="G925" s="144"/>
      <c r="H925" s="145"/>
      <c r="I925" s="149">
        <f t="shared" si="2"/>
        <v>785000</v>
      </c>
      <c r="J925" s="150"/>
      <c r="K925" s="144"/>
    </row>
    <row r="926" ht="26.25" customHeight="1">
      <c r="A926" s="170"/>
      <c r="B926" s="144"/>
      <c r="C926" s="144"/>
      <c r="D926" s="145"/>
      <c r="E926" s="145"/>
      <c r="F926" s="145"/>
      <c r="G926" s="144"/>
      <c r="H926" s="145"/>
      <c r="I926" s="149">
        <f t="shared" si="2"/>
        <v>785000</v>
      </c>
      <c r="J926" s="150"/>
      <c r="K926" s="144"/>
    </row>
    <row r="927" ht="26.25" customHeight="1">
      <c r="A927" s="170"/>
      <c r="B927" s="144"/>
      <c r="C927" s="144"/>
      <c r="D927" s="145"/>
      <c r="E927" s="145"/>
      <c r="F927" s="145"/>
      <c r="G927" s="144"/>
      <c r="H927" s="145"/>
      <c r="I927" s="149">
        <f t="shared" si="2"/>
        <v>785000</v>
      </c>
      <c r="J927" s="150"/>
      <c r="K927" s="144"/>
    </row>
    <row r="928" ht="26.25" customHeight="1">
      <c r="A928" s="170"/>
      <c r="B928" s="144"/>
      <c r="C928" s="144"/>
      <c r="D928" s="145"/>
      <c r="E928" s="145"/>
      <c r="F928" s="145"/>
      <c r="G928" s="144"/>
      <c r="H928" s="145"/>
      <c r="I928" s="149">
        <f t="shared" si="2"/>
        <v>785000</v>
      </c>
      <c r="J928" s="150"/>
      <c r="K928" s="144"/>
    </row>
    <row r="929" ht="26.25" customHeight="1">
      <c r="A929" s="170"/>
      <c r="B929" s="144"/>
      <c r="C929" s="144"/>
      <c r="D929" s="145"/>
      <c r="E929" s="145"/>
      <c r="F929" s="145"/>
      <c r="G929" s="144"/>
      <c r="H929" s="145"/>
      <c r="I929" s="149">
        <f t="shared" si="2"/>
        <v>785000</v>
      </c>
      <c r="J929" s="150"/>
      <c r="K929" s="144"/>
    </row>
    <row r="930" ht="26.25" customHeight="1">
      <c r="A930" s="170"/>
      <c r="B930" s="144"/>
      <c r="C930" s="144"/>
      <c r="D930" s="145"/>
      <c r="E930" s="145"/>
      <c r="F930" s="145"/>
      <c r="G930" s="144"/>
      <c r="H930" s="145"/>
      <c r="I930" s="149">
        <f t="shared" si="2"/>
        <v>785000</v>
      </c>
      <c r="J930" s="150"/>
      <c r="K930" s="144"/>
    </row>
    <row r="931" ht="26.25" customHeight="1">
      <c r="A931" s="170"/>
      <c r="B931" s="144"/>
      <c r="C931" s="144"/>
      <c r="D931" s="145"/>
      <c r="E931" s="145"/>
      <c r="F931" s="145"/>
      <c r="G931" s="144"/>
      <c r="H931" s="145"/>
      <c r="I931" s="149">
        <f t="shared" si="2"/>
        <v>785000</v>
      </c>
      <c r="J931" s="150"/>
      <c r="K931" s="144"/>
    </row>
    <row r="932" ht="26.25" customHeight="1">
      <c r="A932" s="170"/>
      <c r="B932" s="144"/>
      <c r="C932" s="144"/>
      <c r="D932" s="145"/>
      <c r="E932" s="145"/>
      <c r="F932" s="145"/>
      <c r="G932" s="144"/>
      <c r="H932" s="145"/>
      <c r="I932" s="149">
        <f t="shared" si="2"/>
        <v>785000</v>
      </c>
      <c r="J932" s="150"/>
      <c r="K932" s="144"/>
    </row>
    <row r="933" ht="26.25" customHeight="1">
      <c r="A933" s="170"/>
      <c r="B933" s="144"/>
      <c r="C933" s="144"/>
      <c r="D933" s="145"/>
      <c r="E933" s="145"/>
      <c r="F933" s="145"/>
      <c r="G933" s="144"/>
      <c r="H933" s="145"/>
      <c r="I933" s="149">
        <f t="shared" si="2"/>
        <v>785000</v>
      </c>
      <c r="J933" s="150"/>
      <c r="K933" s="144"/>
    </row>
    <row r="934" ht="26.25" customHeight="1">
      <c r="A934" s="170"/>
      <c r="B934" s="144"/>
      <c r="C934" s="144"/>
      <c r="D934" s="145"/>
      <c r="E934" s="145"/>
      <c r="F934" s="145"/>
      <c r="G934" s="144"/>
      <c r="H934" s="145"/>
      <c r="I934" s="149">
        <f t="shared" si="2"/>
        <v>785000</v>
      </c>
      <c r="J934" s="150"/>
      <c r="K934" s="144"/>
    </row>
    <row r="935" ht="26.25" customHeight="1">
      <c r="A935" s="170"/>
      <c r="B935" s="144"/>
      <c r="C935" s="144"/>
      <c r="D935" s="145"/>
      <c r="E935" s="145"/>
      <c r="F935" s="145"/>
      <c r="G935" s="144"/>
      <c r="H935" s="145"/>
      <c r="I935" s="149">
        <f t="shared" si="2"/>
        <v>785000</v>
      </c>
      <c r="J935" s="150"/>
      <c r="K935" s="144"/>
    </row>
    <row r="936" ht="26.25" customHeight="1">
      <c r="A936" s="170"/>
      <c r="B936" s="144"/>
      <c r="C936" s="144"/>
      <c r="D936" s="145"/>
      <c r="E936" s="145"/>
      <c r="F936" s="145"/>
      <c r="G936" s="144"/>
      <c r="H936" s="145"/>
      <c r="I936" s="149">
        <f t="shared" si="2"/>
        <v>785000</v>
      </c>
      <c r="J936" s="150"/>
      <c r="K936" s="144"/>
    </row>
    <row r="937" ht="26.25" customHeight="1">
      <c r="A937" s="170"/>
      <c r="B937" s="144"/>
      <c r="C937" s="144"/>
      <c r="D937" s="145"/>
      <c r="E937" s="145"/>
      <c r="F937" s="145"/>
      <c r="G937" s="144"/>
      <c r="H937" s="145"/>
      <c r="I937" s="149">
        <f t="shared" si="2"/>
        <v>785000</v>
      </c>
      <c r="J937" s="150"/>
      <c r="K937" s="144"/>
    </row>
    <row r="938" ht="26.25" customHeight="1">
      <c r="A938" s="170"/>
      <c r="B938" s="144"/>
      <c r="C938" s="144"/>
      <c r="D938" s="145"/>
      <c r="E938" s="145"/>
      <c r="F938" s="145"/>
      <c r="G938" s="144"/>
      <c r="H938" s="145"/>
      <c r="I938" s="149">
        <f t="shared" si="2"/>
        <v>785000</v>
      </c>
      <c r="J938" s="150"/>
      <c r="K938" s="144"/>
    </row>
    <row r="939" ht="26.25" customHeight="1">
      <c r="A939" s="170"/>
      <c r="B939" s="144"/>
      <c r="C939" s="144"/>
      <c r="D939" s="145"/>
      <c r="E939" s="145"/>
      <c r="F939" s="145"/>
      <c r="G939" s="144"/>
      <c r="H939" s="145"/>
      <c r="I939" s="149">
        <f t="shared" si="2"/>
        <v>785000</v>
      </c>
      <c r="J939" s="150"/>
      <c r="K939" s="144"/>
    </row>
    <row r="940" ht="26.25" customHeight="1">
      <c r="A940" s="170"/>
      <c r="B940" s="144"/>
      <c r="C940" s="144"/>
      <c r="D940" s="145"/>
      <c r="E940" s="145"/>
      <c r="F940" s="145"/>
      <c r="G940" s="144"/>
      <c r="H940" s="145"/>
      <c r="I940" s="149">
        <f t="shared" si="2"/>
        <v>785000</v>
      </c>
      <c r="J940" s="150"/>
      <c r="K940" s="144"/>
    </row>
    <row r="941" ht="26.25" customHeight="1">
      <c r="A941" s="170"/>
      <c r="B941" s="144"/>
      <c r="C941" s="144"/>
      <c r="D941" s="145"/>
      <c r="E941" s="145"/>
      <c r="F941" s="145"/>
      <c r="G941" s="144"/>
      <c r="H941" s="145"/>
      <c r="I941" s="149">
        <f t="shared" si="2"/>
        <v>785000</v>
      </c>
      <c r="J941" s="150"/>
      <c r="K941" s="144"/>
    </row>
    <row r="942" ht="26.25" customHeight="1">
      <c r="A942" s="170"/>
      <c r="B942" s="144"/>
      <c r="C942" s="144"/>
      <c r="D942" s="145"/>
      <c r="E942" s="145"/>
      <c r="F942" s="145"/>
      <c r="G942" s="144"/>
      <c r="H942" s="145"/>
      <c r="I942" s="149">
        <f t="shared" si="2"/>
        <v>785000</v>
      </c>
      <c r="J942" s="150"/>
      <c r="K942" s="144"/>
    </row>
    <row r="943" ht="26.25" customHeight="1">
      <c r="A943" s="170"/>
      <c r="B943" s="144"/>
      <c r="C943" s="144"/>
      <c r="D943" s="145"/>
      <c r="E943" s="145"/>
      <c r="F943" s="145"/>
      <c r="G943" s="144"/>
      <c r="H943" s="145"/>
      <c r="I943" s="149">
        <f t="shared" si="2"/>
        <v>785000</v>
      </c>
      <c r="J943" s="150"/>
      <c r="K943" s="144"/>
    </row>
    <row r="944" ht="26.25" customHeight="1">
      <c r="A944" s="170"/>
      <c r="B944" s="144"/>
      <c r="C944" s="144"/>
      <c r="D944" s="145"/>
      <c r="E944" s="145"/>
      <c r="F944" s="145"/>
      <c r="G944" s="144"/>
      <c r="H944" s="145"/>
      <c r="I944" s="149">
        <f t="shared" si="2"/>
        <v>785000</v>
      </c>
      <c r="J944" s="150"/>
      <c r="K944" s="144"/>
    </row>
    <row r="945" ht="26.25" customHeight="1">
      <c r="A945" s="170"/>
      <c r="B945" s="144"/>
      <c r="C945" s="144"/>
      <c r="D945" s="145"/>
      <c r="E945" s="145"/>
      <c r="F945" s="145"/>
      <c r="G945" s="144"/>
      <c r="H945" s="145"/>
      <c r="I945" s="149">
        <f t="shared" si="2"/>
        <v>785000</v>
      </c>
      <c r="J945" s="150"/>
      <c r="K945" s="144"/>
    </row>
    <row r="946" ht="26.25" customHeight="1">
      <c r="A946" s="170"/>
      <c r="B946" s="144"/>
      <c r="C946" s="144"/>
      <c r="D946" s="145"/>
      <c r="E946" s="145"/>
      <c r="F946" s="145"/>
      <c r="G946" s="144"/>
      <c r="H946" s="145"/>
      <c r="I946" s="149">
        <f t="shared" si="2"/>
        <v>785000</v>
      </c>
      <c r="J946" s="150"/>
      <c r="K946" s="144"/>
    </row>
    <row r="947" ht="26.25" customHeight="1">
      <c r="A947" s="170"/>
      <c r="B947" s="144"/>
      <c r="C947" s="144"/>
      <c r="D947" s="145"/>
      <c r="E947" s="145"/>
      <c r="F947" s="145"/>
      <c r="G947" s="144"/>
      <c r="H947" s="145"/>
      <c r="I947" s="149">
        <f t="shared" si="2"/>
        <v>785000</v>
      </c>
      <c r="J947" s="150"/>
      <c r="K947" s="144"/>
    </row>
    <row r="948" ht="26.25" customHeight="1">
      <c r="A948" s="170"/>
      <c r="B948" s="144"/>
      <c r="C948" s="144"/>
      <c r="D948" s="145"/>
      <c r="E948" s="145"/>
      <c r="F948" s="145"/>
      <c r="G948" s="144"/>
      <c r="H948" s="145"/>
      <c r="I948" s="149">
        <f t="shared" si="2"/>
        <v>785000</v>
      </c>
      <c r="J948" s="150"/>
      <c r="K948" s="144"/>
    </row>
    <row r="949" ht="26.25" customHeight="1">
      <c r="A949" s="170"/>
      <c r="B949" s="144"/>
      <c r="C949" s="144"/>
      <c r="D949" s="145"/>
      <c r="E949" s="145"/>
      <c r="F949" s="145"/>
      <c r="G949" s="144"/>
      <c r="H949" s="145"/>
      <c r="I949" s="149">
        <f t="shared" si="2"/>
        <v>785000</v>
      </c>
      <c r="J949" s="150"/>
      <c r="K949" s="144"/>
    </row>
    <row r="950" ht="26.25" customHeight="1">
      <c r="A950" s="170"/>
      <c r="B950" s="144"/>
      <c r="C950" s="144"/>
      <c r="D950" s="145"/>
      <c r="E950" s="145"/>
      <c r="F950" s="145"/>
      <c r="G950" s="144"/>
      <c r="H950" s="145"/>
      <c r="I950" s="149">
        <f t="shared" si="2"/>
        <v>785000</v>
      </c>
      <c r="J950" s="150"/>
      <c r="K950" s="144"/>
    </row>
    <row r="951" ht="26.25" customHeight="1">
      <c r="A951" s="170"/>
      <c r="B951" s="144"/>
      <c r="C951" s="144"/>
      <c r="D951" s="145"/>
      <c r="E951" s="145"/>
      <c r="F951" s="145"/>
      <c r="G951" s="144"/>
      <c r="H951" s="145"/>
      <c r="I951" s="149">
        <f t="shared" si="2"/>
        <v>785000</v>
      </c>
      <c r="J951" s="150"/>
      <c r="K951" s="144"/>
    </row>
    <row r="952" ht="26.25" customHeight="1">
      <c r="A952" s="170"/>
      <c r="B952" s="144"/>
      <c r="C952" s="144"/>
      <c r="D952" s="145"/>
      <c r="E952" s="145"/>
      <c r="F952" s="145"/>
      <c r="G952" s="144"/>
      <c r="H952" s="145"/>
      <c r="I952" s="149">
        <f t="shared" si="2"/>
        <v>785000</v>
      </c>
      <c r="J952" s="150"/>
      <c r="K952" s="144"/>
    </row>
    <row r="953" ht="26.25" customHeight="1">
      <c r="A953" s="170"/>
      <c r="B953" s="144"/>
      <c r="C953" s="144"/>
      <c r="D953" s="145"/>
      <c r="E953" s="145"/>
      <c r="F953" s="145"/>
      <c r="G953" s="144"/>
      <c r="H953" s="145"/>
      <c r="I953" s="149">
        <f t="shared" si="2"/>
        <v>785000</v>
      </c>
      <c r="J953" s="150"/>
      <c r="K953" s="144"/>
    </row>
    <row r="954" ht="26.25" customHeight="1">
      <c r="A954" s="170"/>
      <c r="B954" s="144"/>
      <c r="C954" s="144"/>
      <c r="D954" s="145"/>
      <c r="E954" s="145"/>
      <c r="F954" s="145"/>
      <c r="G954" s="144"/>
      <c r="H954" s="145"/>
      <c r="I954" s="149">
        <f t="shared" si="2"/>
        <v>785000</v>
      </c>
      <c r="J954" s="150"/>
      <c r="K954" s="144"/>
    </row>
    <row r="955" ht="26.25" customHeight="1">
      <c r="A955" s="170"/>
      <c r="B955" s="144"/>
      <c r="C955" s="144"/>
      <c r="D955" s="145"/>
      <c r="E955" s="145"/>
      <c r="F955" s="145"/>
      <c r="G955" s="144"/>
      <c r="H955" s="145"/>
      <c r="I955" s="149">
        <f t="shared" si="2"/>
        <v>785000</v>
      </c>
      <c r="J955" s="150"/>
      <c r="K955" s="144"/>
    </row>
    <row r="956" ht="26.25" customHeight="1">
      <c r="A956" s="170"/>
      <c r="B956" s="144"/>
      <c r="C956" s="144"/>
      <c r="D956" s="145"/>
      <c r="E956" s="145"/>
      <c r="F956" s="145"/>
      <c r="G956" s="144"/>
      <c r="H956" s="145"/>
      <c r="I956" s="149">
        <f t="shared" si="2"/>
        <v>785000</v>
      </c>
      <c r="J956" s="150"/>
      <c r="K956" s="144"/>
    </row>
    <row r="957" ht="26.25" customHeight="1">
      <c r="A957" s="170"/>
      <c r="B957" s="144"/>
      <c r="C957" s="144"/>
      <c r="D957" s="145"/>
      <c r="E957" s="145"/>
      <c r="F957" s="145"/>
      <c r="G957" s="144"/>
      <c r="H957" s="145"/>
      <c r="I957" s="149">
        <f t="shared" si="2"/>
        <v>785000</v>
      </c>
      <c r="J957" s="150"/>
      <c r="K957" s="144"/>
    </row>
    <row r="958" ht="26.25" customHeight="1">
      <c r="A958" s="170"/>
      <c r="B958" s="144"/>
      <c r="C958" s="144"/>
      <c r="D958" s="145"/>
      <c r="E958" s="145"/>
      <c r="F958" s="145"/>
      <c r="G958" s="144"/>
      <c r="H958" s="145"/>
      <c r="I958" s="149">
        <f t="shared" si="2"/>
        <v>785000</v>
      </c>
      <c r="J958" s="150"/>
      <c r="K958" s="144"/>
    </row>
    <row r="959" ht="26.25" customHeight="1">
      <c r="A959" s="170"/>
      <c r="B959" s="144"/>
      <c r="C959" s="144"/>
      <c r="D959" s="145"/>
      <c r="E959" s="145"/>
      <c r="F959" s="145"/>
      <c r="G959" s="144"/>
      <c r="H959" s="145"/>
      <c r="I959" s="149">
        <f t="shared" si="2"/>
        <v>785000</v>
      </c>
      <c r="J959" s="150"/>
      <c r="K959" s="144"/>
    </row>
    <row r="960" ht="26.25" customHeight="1">
      <c r="A960" s="170"/>
      <c r="B960" s="144"/>
      <c r="C960" s="144"/>
      <c r="D960" s="145"/>
      <c r="E960" s="145"/>
      <c r="F960" s="145"/>
      <c r="G960" s="144"/>
      <c r="H960" s="145"/>
      <c r="I960" s="149">
        <f t="shared" si="2"/>
        <v>785000</v>
      </c>
      <c r="J960" s="150"/>
      <c r="K960" s="144"/>
    </row>
    <row r="961" ht="26.25" customHeight="1">
      <c r="A961" s="170"/>
      <c r="B961" s="144"/>
      <c r="C961" s="144"/>
      <c r="D961" s="145"/>
      <c r="E961" s="145"/>
      <c r="F961" s="145"/>
      <c r="G961" s="144"/>
      <c r="H961" s="145"/>
      <c r="I961" s="149">
        <f t="shared" si="2"/>
        <v>785000</v>
      </c>
      <c r="J961" s="150"/>
      <c r="K961" s="144"/>
    </row>
    <row r="962" ht="26.25" customHeight="1">
      <c r="A962" s="170"/>
      <c r="B962" s="144"/>
      <c r="C962" s="144"/>
      <c r="D962" s="145"/>
      <c r="E962" s="145"/>
      <c r="F962" s="145"/>
      <c r="G962" s="144"/>
      <c r="H962" s="145"/>
      <c r="I962" s="149">
        <f t="shared" si="2"/>
        <v>785000</v>
      </c>
      <c r="J962" s="150"/>
      <c r="K962" s="144"/>
    </row>
    <row r="963" ht="26.25" customHeight="1">
      <c r="A963" s="170"/>
      <c r="B963" s="144"/>
      <c r="C963" s="144"/>
      <c r="D963" s="145"/>
      <c r="E963" s="145"/>
      <c r="F963" s="145"/>
      <c r="G963" s="144"/>
      <c r="H963" s="145"/>
      <c r="I963" s="149">
        <f t="shared" si="2"/>
        <v>785000</v>
      </c>
      <c r="J963" s="150"/>
      <c r="K963" s="144"/>
    </row>
    <row r="964" ht="26.25" customHeight="1">
      <c r="A964" s="170"/>
      <c r="B964" s="144"/>
      <c r="C964" s="144"/>
      <c r="D964" s="145"/>
      <c r="E964" s="145"/>
      <c r="F964" s="145"/>
      <c r="G964" s="144"/>
      <c r="H964" s="145"/>
      <c r="I964" s="149">
        <f t="shared" si="2"/>
        <v>785000</v>
      </c>
      <c r="J964" s="150"/>
      <c r="K964" s="144"/>
    </row>
    <row r="965" ht="26.25" customHeight="1">
      <c r="A965" s="170"/>
      <c r="B965" s="144"/>
      <c r="C965" s="144"/>
      <c r="D965" s="145"/>
      <c r="E965" s="145"/>
      <c r="F965" s="145"/>
      <c r="G965" s="144"/>
      <c r="H965" s="145"/>
      <c r="I965" s="149">
        <f t="shared" si="2"/>
        <v>785000</v>
      </c>
      <c r="J965" s="150"/>
      <c r="K965" s="144"/>
    </row>
    <row r="966" ht="26.25" customHeight="1">
      <c r="A966" s="170"/>
      <c r="B966" s="144"/>
      <c r="C966" s="144"/>
      <c r="D966" s="145"/>
      <c r="E966" s="145"/>
      <c r="F966" s="145"/>
      <c r="G966" s="144"/>
      <c r="H966" s="145"/>
      <c r="I966" s="149">
        <f t="shared" si="2"/>
        <v>785000</v>
      </c>
      <c r="J966" s="150"/>
      <c r="K966" s="144"/>
    </row>
    <row r="967" ht="26.25" customHeight="1">
      <c r="A967" s="170"/>
      <c r="B967" s="144"/>
      <c r="C967" s="144"/>
      <c r="D967" s="145"/>
      <c r="E967" s="145"/>
      <c r="F967" s="145"/>
      <c r="G967" s="144"/>
      <c r="H967" s="145"/>
      <c r="I967" s="149">
        <f t="shared" si="2"/>
        <v>785000</v>
      </c>
      <c r="J967" s="150"/>
      <c r="K967" s="144"/>
    </row>
    <row r="968" ht="26.25" customHeight="1">
      <c r="A968" s="170"/>
      <c r="B968" s="144"/>
      <c r="C968" s="144"/>
      <c r="D968" s="145"/>
      <c r="E968" s="145"/>
      <c r="F968" s="145"/>
      <c r="G968" s="144"/>
      <c r="H968" s="145"/>
      <c r="I968" s="149">
        <f t="shared" si="2"/>
        <v>785000</v>
      </c>
      <c r="J968" s="150"/>
      <c r="K968" s="144"/>
    </row>
    <row r="969" ht="26.25" customHeight="1">
      <c r="A969" s="170"/>
      <c r="B969" s="144"/>
      <c r="C969" s="144"/>
      <c r="D969" s="145"/>
      <c r="E969" s="145"/>
      <c r="F969" s="145"/>
      <c r="G969" s="144"/>
      <c r="H969" s="145"/>
      <c r="I969" s="149">
        <f t="shared" si="2"/>
        <v>785000</v>
      </c>
      <c r="J969" s="150"/>
      <c r="K969" s="144"/>
    </row>
    <row r="970" ht="26.25" customHeight="1">
      <c r="A970" s="170"/>
      <c r="B970" s="144"/>
      <c r="C970" s="144"/>
      <c r="D970" s="145"/>
      <c r="E970" s="145"/>
      <c r="F970" s="145"/>
      <c r="G970" s="144"/>
      <c r="H970" s="145"/>
      <c r="I970" s="149">
        <f t="shared" si="2"/>
        <v>785000</v>
      </c>
      <c r="J970" s="150"/>
      <c r="K970" s="144"/>
    </row>
    <row r="971" ht="26.25" customHeight="1">
      <c r="A971" s="170"/>
      <c r="B971" s="144"/>
      <c r="C971" s="144"/>
      <c r="D971" s="145"/>
      <c r="E971" s="145"/>
      <c r="F971" s="145"/>
      <c r="G971" s="144"/>
      <c r="H971" s="145"/>
      <c r="I971" s="149">
        <f t="shared" si="2"/>
        <v>785000</v>
      </c>
      <c r="J971" s="150"/>
      <c r="K971" s="144"/>
    </row>
    <row r="972" ht="26.25" customHeight="1">
      <c r="A972" s="170"/>
      <c r="B972" s="144"/>
      <c r="C972" s="144"/>
      <c r="D972" s="145"/>
      <c r="E972" s="145"/>
      <c r="F972" s="145"/>
      <c r="G972" s="144"/>
      <c r="H972" s="145"/>
      <c r="I972" s="149">
        <f t="shared" si="2"/>
        <v>785000</v>
      </c>
      <c r="J972" s="150"/>
      <c r="K972" s="144"/>
    </row>
    <row r="973" ht="26.25" customHeight="1">
      <c r="A973" s="170"/>
      <c r="B973" s="144"/>
      <c r="C973" s="144"/>
      <c r="D973" s="145"/>
      <c r="E973" s="145"/>
      <c r="F973" s="145"/>
      <c r="G973" s="144"/>
      <c r="H973" s="145"/>
      <c r="I973" s="149">
        <f t="shared" si="2"/>
        <v>785000</v>
      </c>
      <c r="J973" s="150"/>
      <c r="K973" s="144"/>
    </row>
    <row r="974" ht="26.25" customHeight="1">
      <c r="A974" s="170"/>
      <c r="B974" s="144"/>
      <c r="C974" s="144"/>
      <c r="D974" s="145"/>
      <c r="E974" s="145"/>
      <c r="F974" s="145"/>
      <c r="G974" s="144"/>
      <c r="H974" s="145"/>
      <c r="I974" s="149">
        <f t="shared" si="2"/>
        <v>785000</v>
      </c>
      <c r="J974" s="150"/>
      <c r="K974" s="144"/>
    </row>
    <row r="975" ht="26.25" customHeight="1">
      <c r="A975" s="170"/>
      <c r="B975" s="144"/>
      <c r="C975" s="144"/>
      <c r="D975" s="145"/>
      <c r="E975" s="145"/>
      <c r="F975" s="145"/>
      <c r="G975" s="144"/>
      <c r="H975" s="145"/>
      <c r="I975" s="149">
        <f t="shared" si="2"/>
        <v>785000</v>
      </c>
      <c r="J975" s="150"/>
      <c r="K975" s="144"/>
    </row>
    <row r="976" ht="26.25" customHeight="1">
      <c r="A976" s="170"/>
      <c r="B976" s="144"/>
      <c r="C976" s="144"/>
      <c r="D976" s="145"/>
      <c r="E976" s="145"/>
      <c r="F976" s="145"/>
      <c r="G976" s="144"/>
      <c r="H976" s="145"/>
      <c r="I976" s="149">
        <f t="shared" si="2"/>
        <v>785000</v>
      </c>
      <c r="J976" s="150"/>
      <c r="K976" s="144"/>
    </row>
    <row r="977" ht="26.25" customHeight="1">
      <c r="A977" s="170"/>
      <c r="B977" s="144"/>
      <c r="C977" s="144"/>
      <c r="D977" s="145"/>
      <c r="E977" s="145"/>
      <c r="F977" s="145"/>
      <c r="G977" s="144"/>
      <c r="H977" s="145"/>
      <c r="I977" s="149">
        <f t="shared" si="2"/>
        <v>785000</v>
      </c>
      <c r="J977" s="150"/>
      <c r="K977" s="144"/>
    </row>
    <row r="978" ht="26.25" customHeight="1">
      <c r="A978" s="170"/>
      <c r="B978" s="144"/>
      <c r="C978" s="144"/>
      <c r="D978" s="145"/>
      <c r="E978" s="145"/>
      <c r="F978" s="145"/>
      <c r="G978" s="144"/>
      <c r="H978" s="145"/>
      <c r="I978" s="149">
        <f t="shared" si="2"/>
        <v>785000</v>
      </c>
      <c r="J978" s="150"/>
      <c r="K978" s="144"/>
    </row>
    <row r="979" ht="26.25" customHeight="1">
      <c r="A979" s="170"/>
      <c r="B979" s="144"/>
      <c r="C979" s="144"/>
      <c r="D979" s="145"/>
      <c r="E979" s="145"/>
      <c r="F979" s="145"/>
      <c r="G979" s="144"/>
      <c r="H979" s="145"/>
      <c r="I979" s="149">
        <f t="shared" si="2"/>
        <v>785000</v>
      </c>
      <c r="J979" s="150"/>
      <c r="K979" s="144"/>
    </row>
    <row r="980" ht="26.25" customHeight="1">
      <c r="A980" s="170"/>
      <c r="B980" s="144"/>
      <c r="C980" s="144"/>
      <c r="D980" s="145"/>
      <c r="E980" s="145"/>
      <c r="F980" s="145"/>
      <c r="G980" s="144"/>
      <c r="H980" s="145"/>
      <c r="I980" s="149">
        <f t="shared" si="2"/>
        <v>785000</v>
      </c>
      <c r="J980" s="150"/>
      <c r="K980" s="144"/>
    </row>
    <row r="981" ht="26.25" customHeight="1">
      <c r="A981" s="170"/>
      <c r="B981" s="144"/>
      <c r="C981" s="144"/>
      <c r="D981" s="145"/>
      <c r="E981" s="145"/>
      <c r="F981" s="145"/>
      <c r="G981" s="144"/>
      <c r="H981" s="145"/>
      <c r="I981" s="149">
        <f t="shared" si="2"/>
        <v>785000</v>
      </c>
      <c r="J981" s="150"/>
      <c r="K981" s="144"/>
    </row>
    <row r="982" ht="26.25" customHeight="1">
      <c r="A982" s="170"/>
      <c r="B982" s="144"/>
      <c r="C982" s="144"/>
      <c r="D982" s="145"/>
      <c r="E982" s="145"/>
      <c r="F982" s="145"/>
      <c r="G982" s="144"/>
      <c r="H982" s="145"/>
      <c r="I982" s="149">
        <f t="shared" si="2"/>
        <v>785000</v>
      </c>
      <c r="J982" s="150"/>
      <c r="K982" s="144"/>
    </row>
    <row r="983" ht="26.25" customHeight="1">
      <c r="A983" s="170"/>
      <c r="B983" s="144"/>
      <c r="C983" s="144"/>
      <c r="D983" s="145"/>
      <c r="E983" s="145"/>
      <c r="F983" s="145"/>
      <c r="G983" s="144"/>
      <c r="H983" s="145"/>
      <c r="I983" s="149">
        <f t="shared" si="2"/>
        <v>785000</v>
      </c>
      <c r="J983" s="150"/>
      <c r="K983" s="144"/>
    </row>
    <row r="984" ht="26.25" customHeight="1">
      <c r="A984" s="170"/>
      <c r="B984" s="144"/>
      <c r="C984" s="144"/>
      <c r="D984" s="145"/>
      <c r="E984" s="145"/>
      <c r="F984" s="145"/>
      <c r="G984" s="144"/>
      <c r="H984" s="145"/>
      <c r="I984" s="149">
        <f t="shared" si="2"/>
        <v>785000</v>
      </c>
      <c r="J984" s="150"/>
      <c r="K984" s="144"/>
    </row>
    <row r="985" ht="26.25" customHeight="1">
      <c r="A985" s="170"/>
      <c r="B985" s="144"/>
      <c r="C985" s="144"/>
      <c r="D985" s="145"/>
      <c r="E985" s="145"/>
      <c r="F985" s="145"/>
      <c r="G985" s="144"/>
      <c r="H985" s="145"/>
      <c r="I985" s="149">
        <f t="shared" si="2"/>
        <v>785000</v>
      </c>
      <c r="J985" s="150"/>
      <c r="K985" s="144"/>
    </row>
    <row r="986" ht="26.25" customHeight="1">
      <c r="A986" s="170"/>
      <c r="B986" s="144"/>
      <c r="C986" s="144"/>
      <c r="D986" s="145"/>
      <c r="E986" s="145"/>
      <c r="F986" s="145"/>
      <c r="G986" s="144"/>
      <c r="H986" s="145"/>
      <c r="I986" s="149">
        <f t="shared" si="2"/>
        <v>785000</v>
      </c>
      <c r="J986" s="150"/>
      <c r="K986" s="144"/>
    </row>
    <row r="987" ht="26.25" customHeight="1">
      <c r="A987" s="170"/>
      <c r="B987" s="144"/>
      <c r="C987" s="144"/>
      <c r="D987" s="145"/>
      <c r="E987" s="145"/>
      <c r="F987" s="145"/>
      <c r="G987" s="144"/>
      <c r="H987" s="145"/>
      <c r="I987" s="149">
        <f t="shared" si="2"/>
        <v>785000</v>
      </c>
      <c r="J987" s="150"/>
      <c r="K987" s="144"/>
    </row>
    <row r="988" ht="26.25" customHeight="1">
      <c r="A988" s="170"/>
      <c r="B988" s="144"/>
      <c r="C988" s="144"/>
      <c r="D988" s="145"/>
      <c r="E988" s="145"/>
      <c r="F988" s="145"/>
      <c r="G988" s="144"/>
      <c r="H988" s="145"/>
      <c r="I988" s="149">
        <f t="shared" si="2"/>
        <v>785000</v>
      </c>
      <c r="J988" s="150"/>
      <c r="K988" s="144"/>
    </row>
    <row r="989" ht="26.25" customHeight="1">
      <c r="A989" s="170"/>
      <c r="B989" s="144"/>
      <c r="C989" s="144"/>
      <c r="D989" s="145"/>
      <c r="E989" s="145"/>
      <c r="F989" s="145"/>
      <c r="G989" s="144"/>
      <c r="H989" s="145"/>
      <c r="I989" s="149">
        <f t="shared" si="2"/>
        <v>785000</v>
      </c>
      <c r="J989" s="150"/>
      <c r="K989" s="144"/>
    </row>
    <row r="990" ht="26.25" customHeight="1">
      <c r="A990" s="170"/>
      <c r="B990" s="144"/>
      <c r="C990" s="144"/>
      <c r="D990" s="145"/>
      <c r="E990" s="145"/>
      <c r="F990" s="145"/>
      <c r="G990" s="144"/>
      <c r="H990" s="145"/>
      <c r="I990" s="149">
        <f t="shared" si="2"/>
        <v>785000</v>
      </c>
      <c r="J990" s="150"/>
      <c r="K990" s="144"/>
    </row>
    <row r="991" ht="26.25" customHeight="1">
      <c r="A991" s="170"/>
      <c r="B991" s="144"/>
      <c r="C991" s="144"/>
      <c r="D991" s="145"/>
      <c r="E991" s="145"/>
      <c r="F991" s="145"/>
      <c r="G991" s="144"/>
      <c r="H991" s="145"/>
      <c r="I991" s="149">
        <f t="shared" si="2"/>
        <v>785000</v>
      </c>
      <c r="J991" s="150"/>
      <c r="K991" s="144"/>
    </row>
    <row r="992" ht="26.25" customHeight="1">
      <c r="A992" s="170"/>
      <c r="B992" s="144"/>
      <c r="C992" s="144"/>
      <c r="D992" s="145"/>
      <c r="E992" s="145"/>
      <c r="F992" s="145"/>
      <c r="G992" s="144"/>
      <c r="H992" s="145"/>
      <c r="I992" s="149">
        <f t="shared" si="2"/>
        <v>785000</v>
      </c>
      <c r="J992" s="150"/>
      <c r="K992" s="144"/>
    </row>
    <row r="993" ht="26.25" customHeight="1">
      <c r="A993" s="170"/>
      <c r="B993" s="144"/>
      <c r="C993" s="144"/>
      <c r="D993" s="145"/>
      <c r="E993" s="145"/>
      <c r="F993" s="145"/>
      <c r="G993" s="144"/>
      <c r="H993" s="145"/>
      <c r="I993" s="149">
        <f t="shared" si="2"/>
        <v>785000</v>
      </c>
      <c r="J993" s="150"/>
      <c r="K993" s="144"/>
    </row>
    <row r="994" ht="26.25" customHeight="1">
      <c r="A994" s="170"/>
      <c r="B994" s="144"/>
      <c r="C994" s="144"/>
      <c r="D994" s="145"/>
      <c r="E994" s="145"/>
      <c r="F994" s="145"/>
      <c r="G994" s="144"/>
      <c r="H994" s="145"/>
      <c r="I994" s="149">
        <f t="shared" si="2"/>
        <v>785000</v>
      </c>
      <c r="J994" s="150"/>
      <c r="K994" s="144"/>
    </row>
    <row r="995" ht="26.25" customHeight="1">
      <c r="A995" s="170"/>
      <c r="B995" s="144"/>
      <c r="C995" s="144"/>
      <c r="D995" s="145"/>
      <c r="E995" s="145"/>
      <c r="F995" s="145"/>
      <c r="G995" s="144"/>
      <c r="H995" s="145"/>
      <c r="I995" s="149">
        <f t="shared" si="2"/>
        <v>785000</v>
      </c>
      <c r="J995" s="150"/>
      <c r="K995" s="144"/>
    </row>
    <row r="996" ht="26.25" customHeight="1">
      <c r="A996" s="170"/>
      <c r="B996" s="144"/>
      <c r="C996" s="144"/>
      <c r="D996" s="145"/>
      <c r="E996" s="145"/>
      <c r="F996" s="145"/>
      <c r="G996" s="144"/>
      <c r="H996" s="145"/>
      <c r="I996" s="149">
        <f t="shared" si="2"/>
        <v>785000</v>
      </c>
      <c r="J996" s="150"/>
      <c r="K996" s="144"/>
    </row>
    <row r="997" ht="26.25" customHeight="1">
      <c r="A997" s="170"/>
      <c r="B997" s="144"/>
      <c r="C997" s="144"/>
      <c r="D997" s="145"/>
      <c r="E997" s="145"/>
      <c r="F997" s="145"/>
      <c r="G997" s="144"/>
      <c r="H997" s="145"/>
      <c r="I997" s="149">
        <f t="shared" si="2"/>
        <v>785000</v>
      </c>
      <c r="J997" s="150"/>
      <c r="K997" s="144"/>
    </row>
    <row r="998" ht="26.25" customHeight="1">
      <c r="A998" s="170"/>
      <c r="B998" s="144"/>
      <c r="C998" s="144"/>
      <c r="D998" s="145"/>
      <c r="E998" s="145"/>
      <c r="F998" s="145"/>
      <c r="G998" s="144"/>
      <c r="H998" s="145"/>
      <c r="I998" s="149">
        <f t="shared" si="2"/>
        <v>785000</v>
      </c>
      <c r="J998" s="150"/>
      <c r="K998" s="144"/>
    </row>
    <row r="999" ht="26.25" customHeight="1">
      <c r="A999" s="170"/>
      <c r="B999" s="144"/>
      <c r="C999" s="144"/>
      <c r="D999" s="145"/>
      <c r="E999" s="145"/>
      <c r="F999" s="145"/>
      <c r="G999" s="144"/>
      <c r="H999" s="145"/>
      <c r="I999" s="149">
        <f t="shared" si="2"/>
        <v>785000</v>
      </c>
      <c r="J999" s="150"/>
      <c r="K999" s="144"/>
    </row>
    <row r="1000" ht="26.25" customHeight="1">
      <c r="A1000" s="170"/>
      <c r="B1000" s="144"/>
      <c r="C1000" s="144"/>
      <c r="D1000" s="145"/>
      <c r="E1000" s="145"/>
      <c r="F1000" s="145"/>
      <c r="G1000" s="144"/>
      <c r="H1000" s="145"/>
      <c r="I1000" s="149">
        <f t="shared" si="2"/>
        <v>785000</v>
      </c>
      <c r="J1000" s="150"/>
      <c r="K1000" s="144"/>
    </row>
    <row r="1001" ht="26.25" customHeight="1">
      <c r="A1001" s="170"/>
      <c r="B1001" s="144"/>
      <c r="C1001" s="144"/>
      <c r="D1001" s="145"/>
      <c r="E1001" s="145"/>
      <c r="F1001" s="145"/>
      <c r="G1001" s="144"/>
      <c r="H1001" s="145"/>
      <c r="I1001" s="149">
        <f t="shared" si="2"/>
        <v>785000</v>
      </c>
      <c r="J1001" s="150"/>
      <c r="K1001" s="144"/>
    </row>
    <row r="1002" ht="26.25" customHeight="1">
      <c r="A1002" s="170"/>
      <c r="B1002" s="144"/>
      <c r="C1002" s="144"/>
      <c r="D1002" s="145"/>
      <c r="E1002" s="145"/>
      <c r="F1002" s="145"/>
      <c r="G1002" s="144"/>
      <c r="H1002" s="145"/>
      <c r="I1002" s="149">
        <f t="shared" si="2"/>
        <v>785000</v>
      </c>
      <c r="J1002" s="150"/>
      <c r="K1002" s="144"/>
    </row>
    <row r="1003" ht="26.25" customHeight="1">
      <c r="A1003" s="170"/>
      <c r="B1003" s="144"/>
      <c r="C1003" s="144"/>
      <c r="D1003" s="145"/>
      <c r="E1003" s="145"/>
      <c r="F1003" s="145"/>
      <c r="G1003" s="144"/>
      <c r="H1003" s="145"/>
      <c r="I1003" s="149">
        <f t="shared" si="2"/>
        <v>785000</v>
      </c>
      <c r="J1003" s="150"/>
      <c r="K1003" s="144"/>
    </row>
    <row r="1004" ht="26.25" customHeight="1">
      <c r="A1004" s="170"/>
      <c r="B1004" s="144"/>
      <c r="C1004" s="144"/>
      <c r="D1004" s="145"/>
      <c r="E1004" s="145"/>
      <c r="F1004" s="145"/>
      <c r="G1004" s="144"/>
      <c r="H1004" s="145"/>
      <c r="I1004" s="149">
        <f t="shared" si="2"/>
        <v>785000</v>
      </c>
      <c r="J1004" s="150"/>
      <c r="K1004" s="144"/>
    </row>
    <row r="1005" ht="26.25" customHeight="1">
      <c r="A1005" s="170"/>
      <c r="B1005" s="144"/>
      <c r="C1005" s="144"/>
      <c r="D1005" s="145"/>
      <c r="E1005" s="145"/>
      <c r="F1005" s="145"/>
      <c r="G1005" s="144"/>
      <c r="H1005" s="145"/>
      <c r="I1005" s="149">
        <f t="shared" si="2"/>
        <v>785000</v>
      </c>
      <c r="J1005" s="150"/>
      <c r="K1005" s="144"/>
    </row>
    <row r="1006" ht="26.25" customHeight="1">
      <c r="A1006" s="170"/>
      <c r="B1006" s="144"/>
      <c r="C1006" s="144"/>
      <c r="D1006" s="145"/>
      <c r="E1006" s="145"/>
      <c r="F1006" s="145"/>
      <c r="G1006" s="144"/>
      <c r="H1006" s="145"/>
      <c r="I1006" s="149">
        <f t="shared" si="2"/>
        <v>785000</v>
      </c>
      <c r="J1006" s="150"/>
      <c r="K1006" s="144"/>
    </row>
    <row r="1007" ht="26.25" customHeight="1">
      <c r="A1007" s="170"/>
      <c r="B1007" s="144"/>
      <c r="C1007" s="144"/>
      <c r="D1007" s="145"/>
      <c r="E1007" s="145"/>
      <c r="F1007" s="145"/>
      <c r="G1007" s="144"/>
      <c r="H1007" s="145"/>
      <c r="I1007" s="149">
        <f t="shared" si="2"/>
        <v>785000</v>
      </c>
      <c r="J1007" s="150"/>
      <c r="K1007" s="144"/>
    </row>
  </sheetData>
  <conditionalFormatting sqref="A2:I2 K2 A4:B1007 C4:C398 D4:I1007 K4:K398 K410:K1007 C413:C1007">
    <cfRule type="expression" dxfId="5" priority="1">
      <formula>$J$3=TRUE</formula>
    </cfRule>
  </conditionalFormatting>
  <conditionalFormatting sqref="B1:B1007">
    <cfRule type="endsWith" dxfId="6" priority="2" operator="endsWith" text="سند دفع">
      <formula>RIGHT((B1),LEN("سند دفع"))=("سند دفع")</formula>
    </cfRule>
  </conditionalFormatting>
  <dataValidations>
    <dataValidation type="list" allowBlank="1" showDropDown="1" showErrorMessage="1" sqref="B3:B1007">
      <formula1>"راتب,سلفة,سند دفع,سند صرف,سند قبض,شراء"</formula1>
    </dataValidation>
    <dataValidation type="list" allowBlank="1" showDropDown="1" showErrorMessage="1" sqref="G3:G1007">
      <formula1>"HUSSEN,JOZYF,SIFE"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3" width="25.29"/>
  </cols>
  <sheetData>
    <row r="1" ht="22.5" customHeight="1">
      <c r="A1" s="171" t="s">
        <v>225</v>
      </c>
      <c r="B1" s="172" t="s">
        <v>41</v>
      </c>
      <c r="C1" s="173" t="s">
        <v>21</v>
      </c>
    </row>
    <row r="2" ht="22.5" customHeight="1">
      <c r="A2" s="171">
        <f>sum(B4:B14)</f>
        <v>57450000</v>
      </c>
      <c r="B2" s="171">
        <f>SUMIFS('الحركات'!H:H,'الحركات'!G:G,"SIFE")</f>
        <v>38610000</v>
      </c>
      <c r="C2" s="171">
        <f>SUM(B4:B14)-B2</f>
        <v>18840000</v>
      </c>
    </row>
    <row r="3" ht="22.5" customHeight="1">
      <c r="A3" s="174" t="s">
        <v>17</v>
      </c>
      <c r="B3" s="175" t="s">
        <v>226</v>
      </c>
      <c r="C3" s="176" t="s">
        <v>227</v>
      </c>
    </row>
    <row r="4" ht="26.25" customHeight="1">
      <c r="A4" s="177">
        <v>46053.0</v>
      </c>
      <c r="B4" s="178">
        <v>3.0E7</v>
      </c>
      <c r="C4" s="179" t="s">
        <v>228</v>
      </c>
    </row>
    <row r="5" ht="26.25" customHeight="1">
      <c r="A5" s="177">
        <v>46054.0</v>
      </c>
      <c r="B5" s="178">
        <v>500000.0</v>
      </c>
      <c r="C5" s="179" t="s">
        <v>229</v>
      </c>
    </row>
    <row r="6" ht="26.25" customHeight="1">
      <c r="A6" s="177">
        <v>46081.0</v>
      </c>
      <c r="B6" s="178">
        <v>2.0E7</v>
      </c>
      <c r="C6" s="179" t="s">
        <v>228</v>
      </c>
    </row>
    <row r="7" ht="26.25" customHeight="1">
      <c r="A7" s="177">
        <v>46106.0</v>
      </c>
      <c r="B7" s="178">
        <v>5225000.0</v>
      </c>
      <c r="C7" s="179" t="s">
        <v>230</v>
      </c>
    </row>
    <row r="8" ht="26.25" customHeight="1">
      <c r="A8" s="177">
        <v>46109.0</v>
      </c>
      <c r="B8" s="178">
        <v>1725000.0</v>
      </c>
      <c r="C8" s="179" t="s">
        <v>231</v>
      </c>
    </row>
    <row r="9" ht="26.25" customHeight="1">
      <c r="A9" s="180"/>
      <c r="B9" s="181"/>
      <c r="C9" s="182"/>
    </row>
    <row r="10" ht="26.25" customHeight="1">
      <c r="A10" s="180"/>
      <c r="B10" s="181"/>
      <c r="C10" s="182"/>
    </row>
    <row r="11" ht="26.25" customHeight="1">
      <c r="A11" s="180"/>
      <c r="B11" s="181"/>
      <c r="C11" s="182"/>
    </row>
    <row r="12" ht="26.25" customHeight="1">
      <c r="A12" s="180"/>
      <c r="B12" s="181"/>
      <c r="C12" s="182"/>
    </row>
    <row r="13" ht="26.25" customHeight="1">
      <c r="A13" s="180"/>
      <c r="B13" s="181"/>
      <c r="C13" s="182"/>
    </row>
    <row r="14" ht="26.25" customHeight="1">
      <c r="A14" s="180"/>
      <c r="B14" s="181"/>
      <c r="C14" s="1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71"/>
    <col customWidth="1" min="2" max="2" width="15.43"/>
    <col customWidth="1" min="4" max="4" width="18.0"/>
    <col customWidth="1" min="5" max="5" width="14.71"/>
    <col customWidth="1" min="7" max="7" width="18.29"/>
    <col customWidth="1" min="8" max="8" width="15.29"/>
    <col customWidth="1" min="9" max="10" width="19.0"/>
    <col customWidth="1" min="11" max="12" width="15.29"/>
    <col customWidth="1" min="13" max="13" width="19.71"/>
  </cols>
  <sheetData>
    <row r="1" ht="26.25" customHeight="1">
      <c r="A1" s="183" t="s">
        <v>10</v>
      </c>
      <c r="B1" s="89" t="s">
        <v>44</v>
      </c>
      <c r="C1" s="89" t="s">
        <v>232</v>
      </c>
      <c r="D1" s="184" t="s">
        <v>233</v>
      </c>
      <c r="E1" s="89" t="s">
        <v>234</v>
      </c>
      <c r="F1" s="89" t="s">
        <v>235</v>
      </c>
      <c r="G1" s="185" t="s">
        <v>236</v>
      </c>
      <c r="H1" s="185" t="s">
        <v>237</v>
      </c>
      <c r="I1" s="186" t="s">
        <v>238</v>
      </c>
      <c r="J1" s="187" t="s">
        <v>239</v>
      </c>
      <c r="K1" s="184" t="s">
        <v>8</v>
      </c>
      <c r="L1" s="188" t="s">
        <v>240</v>
      </c>
      <c r="M1" s="184" t="s">
        <v>241</v>
      </c>
    </row>
    <row r="2" ht="22.5" hidden="1" customHeight="1">
      <c r="A2" s="189" t="s">
        <v>29</v>
      </c>
      <c r="B2" s="190">
        <v>46011.0</v>
      </c>
      <c r="C2" s="191">
        <v>46011.0</v>
      </c>
      <c r="D2" s="192">
        <v>650000.0</v>
      </c>
      <c r="E2" s="193">
        <v>0.3333333333284827</v>
      </c>
      <c r="F2" s="193">
        <v>0.8333333333333334</v>
      </c>
      <c r="G2" s="194">
        <f t="shared" ref="G2:G444" si="1">IF(AND(E2&lt;&gt;"",F2&lt;&gt;""),(F2-E2)*24,"")</f>
        <v>12</v>
      </c>
      <c r="H2" s="195">
        <f t="shared" ref="H2:H444" si="2">IF(A2&lt;&gt;"",1,"")</f>
        <v>1</v>
      </c>
      <c r="I2" s="192">
        <f t="shared" ref="I2:I13" si="3">D2/30/9</f>
        <v>2407.407407</v>
      </c>
      <c r="J2" s="196"/>
      <c r="K2" s="192"/>
      <c r="L2" s="192"/>
      <c r="M2" s="192">
        <f t="shared" ref="M2:M376" si="4">G2*I2</f>
        <v>28888.88889</v>
      </c>
    </row>
    <row r="3" ht="22.5" hidden="1" customHeight="1">
      <c r="A3" s="189" t="s">
        <v>29</v>
      </c>
      <c r="B3" s="190">
        <v>46012.0</v>
      </c>
      <c r="C3" s="191">
        <v>46012.0</v>
      </c>
      <c r="D3" s="192">
        <v>650000.0</v>
      </c>
      <c r="E3" s="193">
        <v>0.3333333333284827</v>
      </c>
      <c r="F3" s="193">
        <v>0.7083333333333334</v>
      </c>
      <c r="G3" s="194">
        <f t="shared" si="1"/>
        <v>9</v>
      </c>
      <c r="H3" s="195">
        <f t="shared" si="2"/>
        <v>1</v>
      </c>
      <c r="I3" s="192">
        <f t="shared" si="3"/>
        <v>2407.407407</v>
      </c>
      <c r="J3" s="196"/>
      <c r="K3" s="192"/>
      <c r="L3" s="192"/>
      <c r="M3" s="192">
        <f t="shared" si="4"/>
        <v>21666.66667</v>
      </c>
    </row>
    <row r="4" ht="22.5" hidden="1" customHeight="1">
      <c r="A4" s="189" t="s">
        <v>29</v>
      </c>
      <c r="B4" s="190">
        <v>46013.0</v>
      </c>
      <c r="C4" s="191">
        <v>46013.0</v>
      </c>
      <c r="D4" s="192">
        <v>650000.0</v>
      </c>
      <c r="E4" s="193">
        <v>0.3333333333284827</v>
      </c>
      <c r="F4" s="193">
        <v>0.7083333333333334</v>
      </c>
      <c r="G4" s="194">
        <f t="shared" si="1"/>
        <v>9</v>
      </c>
      <c r="H4" s="195">
        <f t="shared" si="2"/>
        <v>1</v>
      </c>
      <c r="I4" s="192">
        <f t="shared" si="3"/>
        <v>2407.407407</v>
      </c>
      <c r="J4" s="196"/>
      <c r="K4" s="192"/>
      <c r="L4" s="192"/>
      <c r="M4" s="192">
        <f t="shared" si="4"/>
        <v>21666.66667</v>
      </c>
    </row>
    <row r="5" ht="22.5" hidden="1" customHeight="1">
      <c r="A5" s="189" t="s">
        <v>29</v>
      </c>
      <c r="B5" s="190">
        <v>46014.0</v>
      </c>
      <c r="C5" s="191">
        <v>46014.0</v>
      </c>
      <c r="D5" s="192">
        <v>650000.0</v>
      </c>
      <c r="E5" s="193">
        <v>0.3333333333284827</v>
      </c>
      <c r="F5" s="193">
        <v>0.7083333333333334</v>
      </c>
      <c r="G5" s="194">
        <f t="shared" si="1"/>
        <v>9</v>
      </c>
      <c r="H5" s="195">
        <f t="shared" si="2"/>
        <v>1</v>
      </c>
      <c r="I5" s="192">
        <f t="shared" si="3"/>
        <v>2407.407407</v>
      </c>
      <c r="J5" s="196"/>
      <c r="K5" s="192"/>
      <c r="L5" s="192"/>
      <c r="M5" s="192">
        <f t="shared" si="4"/>
        <v>21666.66667</v>
      </c>
    </row>
    <row r="6" ht="22.5" hidden="1" customHeight="1">
      <c r="A6" s="189" t="s">
        <v>29</v>
      </c>
      <c r="B6" s="190">
        <v>46015.0</v>
      </c>
      <c r="C6" s="191">
        <v>46015.0</v>
      </c>
      <c r="D6" s="192">
        <v>650000.0</v>
      </c>
      <c r="E6" s="193">
        <v>0.3333333333284827</v>
      </c>
      <c r="F6" s="193">
        <v>0.7083333333333334</v>
      </c>
      <c r="G6" s="194">
        <f t="shared" si="1"/>
        <v>9</v>
      </c>
      <c r="H6" s="195">
        <f t="shared" si="2"/>
        <v>1</v>
      </c>
      <c r="I6" s="192">
        <f t="shared" si="3"/>
        <v>2407.407407</v>
      </c>
      <c r="J6" s="196"/>
      <c r="K6" s="192"/>
      <c r="L6" s="192"/>
      <c r="M6" s="192">
        <f t="shared" si="4"/>
        <v>21666.66667</v>
      </c>
    </row>
    <row r="7" ht="22.5" hidden="1" customHeight="1">
      <c r="A7" s="189" t="s">
        <v>29</v>
      </c>
      <c r="B7" s="190">
        <v>46016.0</v>
      </c>
      <c r="C7" s="191">
        <v>46016.0</v>
      </c>
      <c r="D7" s="192">
        <v>650000.0</v>
      </c>
      <c r="E7" s="193">
        <v>0.3333333333284827</v>
      </c>
      <c r="F7" s="193">
        <v>0.7083333333333334</v>
      </c>
      <c r="G7" s="194">
        <f t="shared" si="1"/>
        <v>9</v>
      </c>
      <c r="H7" s="195">
        <f t="shared" si="2"/>
        <v>1</v>
      </c>
      <c r="I7" s="192">
        <f t="shared" si="3"/>
        <v>2407.407407</v>
      </c>
      <c r="J7" s="196"/>
      <c r="K7" s="192"/>
      <c r="L7" s="192"/>
      <c r="M7" s="192">
        <f t="shared" si="4"/>
        <v>21666.66667</v>
      </c>
    </row>
    <row r="8" ht="22.5" hidden="1" customHeight="1">
      <c r="A8" s="189" t="s">
        <v>29</v>
      </c>
      <c r="B8" s="190">
        <v>46018.0</v>
      </c>
      <c r="C8" s="191">
        <v>46018.0</v>
      </c>
      <c r="D8" s="192">
        <v>650000.0</v>
      </c>
      <c r="E8" s="193">
        <v>0.3333333333284827</v>
      </c>
      <c r="F8" s="193">
        <v>0.7083333333333334</v>
      </c>
      <c r="G8" s="194">
        <f t="shared" si="1"/>
        <v>9</v>
      </c>
      <c r="H8" s="195">
        <f t="shared" si="2"/>
        <v>1</v>
      </c>
      <c r="I8" s="192">
        <f t="shared" si="3"/>
        <v>2407.407407</v>
      </c>
      <c r="J8" s="196"/>
      <c r="K8" s="192"/>
      <c r="L8" s="192"/>
      <c r="M8" s="192">
        <f t="shared" si="4"/>
        <v>21666.66667</v>
      </c>
    </row>
    <row r="9" ht="22.5" hidden="1" customHeight="1">
      <c r="A9" s="189" t="s">
        <v>29</v>
      </c>
      <c r="B9" s="190">
        <v>46019.0</v>
      </c>
      <c r="C9" s="191">
        <v>46019.0</v>
      </c>
      <c r="D9" s="192">
        <v>650000.0</v>
      </c>
      <c r="E9" s="193">
        <v>0.3333333333284827</v>
      </c>
      <c r="F9" s="193">
        <v>0.7083333333333334</v>
      </c>
      <c r="G9" s="194">
        <f t="shared" si="1"/>
        <v>9</v>
      </c>
      <c r="H9" s="195">
        <f t="shared" si="2"/>
        <v>1</v>
      </c>
      <c r="I9" s="192">
        <f t="shared" si="3"/>
        <v>2407.407407</v>
      </c>
      <c r="J9" s="196"/>
      <c r="K9" s="192"/>
      <c r="L9" s="192"/>
      <c r="M9" s="192">
        <f t="shared" si="4"/>
        <v>21666.66667</v>
      </c>
    </row>
    <row r="10" ht="22.5" hidden="1" customHeight="1">
      <c r="A10" s="189" t="s">
        <v>29</v>
      </c>
      <c r="B10" s="190">
        <v>46020.0</v>
      </c>
      <c r="C10" s="191">
        <v>46020.0</v>
      </c>
      <c r="D10" s="192">
        <v>650000.0</v>
      </c>
      <c r="E10" s="193">
        <v>0.3333333333284827</v>
      </c>
      <c r="F10" s="193">
        <v>0.8333333333333334</v>
      </c>
      <c r="G10" s="194">
        <f t="shared" si="1"/>
        <v>12</v>
      </c>
      <c r="H10" s="195">
        <f t="shared" si="2"/>
        <v>1</v>
      </c>
      <c r="I10" s="192">
        <f t="shared" si="3"/>
        <v>2407.407407</v>
      </c>
      <c r="J10" s="196"/>
      <c r="K10" s="192"/>
      <c r="L10" s="192"/>
      <c r="M10" s="192">
        <f t="shared" si="4"/>
        <v>28888.88889</v>
      </c>
    </row>
    <row r="11" ht="22.5" hidden="1" customHeight="1">
      <c r="A11" s="189" t="s">
        <v>29</v>
      </c>
      <c r="B11" s="190">
        <v>46021.0</v>
      </c>
      <c r="C11" s="191">
        <v>46021.0</v>
      </c>
      <c r="D11" s="192">
        <v>650000.0</v>
      </c>
      <c r="E11" s="193">
        <v>0.3333333333284827</v>
      </c>
      <c r="F11" s="193">
        <v>0.7083333333333334</v>
      </c>
      <c r="G11" s="194">
        <f t="shared" si="1"/>
        <v>9</v>
      </c>
      <c r="H11" s="195">
        <f t="shared" si="2"/>
        <v>1</v>
      </c>
      <c r="I11" s="192">
        <f t="shared" si="3"/>
        <v>2407.407407</v>
      </c>
      <c r="J11" s="196"/>
      <c r="K11" s="192"/>
      <c r="L11" s="192"/>
      <c r="M11" s="192">
        <f t="shared" si="4"/>
        <v>21666.66667</v>
      </c>
    </row>
    <row r="12" ht="22.5" hidden="1" customHeight="1">
      <c r="A12" s="189" t="s">
        <v>29</v>
      </c>
      <c r="B12" s="190">
        <v>46022.0</v>
      </c>
      <c r="C12" s="191">
        <v>46022.0</v>
      </c>
      <c r="D12" s="192">
        <v>650000.0</v>
      </c>
      <c r="E12" s="193">
        <v>0.375</v>
      </c>
      <c r="F12" s="193">
        <v>0.7083333333333334</v>
      </c>
      <c r="G12" s="194">
        <f t="shared" si="1"/>
        <v>8</v>
      </c>
      <c r="H12" s="195">
        <f t="shared" si="2"/>
        <v>1</v>
      </c>
      <c r="I12" s="192">
        <f t="shared" si="3"/>
        <v>2407.407407</v>
      </c>
      <c r="J12" s="196"/>
      <c r="K12" s="192"/>
      <c r="L12" s="192"/>
      <c r="M12" s="192">
        <f t="shared" si="4"/>
        <v>19259.25926</v>
      </c>
    </row>
    <row r="13" ht="22.5" hidden="1" customHeight="1">
      <c r="A13" s="197" t="s">
        <v>102</v>
      </c>
      <c r="B13" s="190">
        <v>46023.0</v>
      </c>
      <c r="C13" s="191">
        <v>46023.0</v>
      </c>
      <c r="D13" s="192">
        <v>350000.0</v>
      </c>
      <c r="E13" s="193">
        <v>0.3333333333284827</v>
      </c>
      <c r="F13" s="193">
        <v>0.7083333333333334</v>
      </c>
      <c r="G13" s="194">
        <f t="shared" si="1"/>
        <v>9</v>
      </c>
      <c r="H13" s="195">
        <f t="shared" si="2"/>
        <v>1</v>
      </c>
      <c r="I13" s="192">
        <f t="shared" si="3"/>
        <v>1296.296296</v>
      </c>
      <c r="J13" s="196"/>
      <c r="K13" s="192"/>
      <c r="L13" s="192"/>
      <c r="M13" s="192">
        <f t="shared" si="4"/>
        <v>11666.66667</v>
      </c>
    </row>
    <row r="14" ht="22.5" hidden="1" customHeight="1">
      <c r="A14" s="189" t="s">
        <v>63</v>
      </c>
      <c r="B14" s="190">
        <v>46023.0</v>
      </c>
      <c r="C14" s="191">
        <v>46023.0</v>
      </c>
      <c r="D14" s="192">
        <v>500000.0</v>
      </c>
      <c r="E14" s="193">
        <v>0.3333333333284827</v>
      </c>
      <c r="F14" s="193">
        <v>0.7083333333284827</v>
      </c>
      <c r="G14" s="194">
        <f t="shared" si="1"/>
        <v>9</v>
      </c>
      <c r="H14" s="195">
        <f t="shared" si="2"/>
        <v>1</v>
      </c>
      <c r="I14" s="192">
        <f>D14/26/9</f>
        <v>2136.752137</v>
      </c>
      <c r="J14" s="196"/>
      <c r="K14" s="192"/>
      <c r="L14" s="192"/>
      <c r="M14" s="192">
        <f t="shared" si="4"/>
        <v>19230.76923</v>
      </c>
    </row>
    <row r="15" ht="22.5" hidden="1" customHeight="1">
      <c r="A15" s="189" t="s">
        <v>29</v>
      </c>
      <c r="B15" s="190">
        <v>46024.0</v>
      </c>
      <c r="C15" s="191">
        <v>46024.0</v>
      </c>
      <c r="D15" s="192">
        <v>650000.0</v>
      </c>
      <c r="E15" s="193">
        <v>0.75</v>
      </c>
      <c r="F15" s="193">
        <v>0.8333333333333334</v>
      </c>
      <c r="G15" s="194">
        <f t="shared" si="1"/>
        <v>2</v>
      </c>
      <c r="H15" s="195">
        <f t="shared" si="2"/>
        <v>1</v>
      </c>
      <c r="I15" s="192">
        <f>D15/30/9</f>
        <v>2407.407407</v>
      </c>
      <c r="J15" s="196"/>
      <c r="K15" s="192"/>
      <c r="L15" s="192"/>
      <c r="M15" s="192">
        <f t="shared" si="4"/>
        <v>4814.814815</v>
      </c>
    </row>
    <row r="16" ht="22.5" hidden="1" customHeight="1">
      <c r="A16" s="189" t="s">
        <v>63</v>
      </c>
      <c r="B16" s="190">
        <v>46024.0</v>
      </c>
      <c r="C16" s="191">
        <v>46024.0</v>
      </c>
      <c r="D16" s="192">
        <v>500000.0</v>
      </c>
      <c r="E16" s="193">
        <v>0.3333333333284827</v>
      </c>
      <c r="F16" s="193">
        <v>0.7083333333284827</v>
      </c>
      <c r="G16" s="194">
        <f t="shared" si="1"/>
        <v>9</v>
      </c>
      <c r="H16" s="195">
        <f t="shared" si="2"/>
        <v>1</v>
      </c>
      <c r="I16" s="192">
        <f>D16/26/9</f>
        <v>2136.752137</v>
      </c>
      <c r="J16" s="196"/>
      <c r="K16" s="192"/>
      <c r="L16" s="192"/>
      <c r="M16" s="192">
        <f t="shared" si="4"/>
        <v>19230.76923</v>
      </c>
    </row>
    <row r="17" ht="22.5" hidden="1" customHeight="1">
      <c r="A17" s="189" t="s">
        <v>27</v>
      </c>
      <c r="B17" s="190">
        <v>46025.0</v>
      </c>
      <c r="C17" s="191">
        <v>46025.0</v>
      </c>
      <c r="D17" s="192">
        <v>850000.0</v>
      </c>
      <c r="E17" s="193">
        <v>0.5569444444408873</v>
      </c>
      <c r="F17" s="193">
        <v>0.8729166666666667</v>
      </c>
      <c r="G17" s="194">
        <f t="shared" si="1"/>
        <v>7.583333333</v>
      </c>
      <c r="H17" s="195">
        <f t="shared" si="2"/>
        <v>1</v>
      </c>
      <c r="I17" s="192">
        <f t="shared" ref="I17:I20" si="5">D17/30/9</f>
        <v>3148.148148</v>
      </c>
      <c r="J17" s="196"/>
      <c r="K17" s="192"/>
      <c r="L17" s="192"/>
      <c r="M17" s="192">
        <f t="shared" si="4"/>
        <v>23873.45679</v>
      </c>
    </row>
    <row r="18" ht="22.5" hidden="1" customHeight="1">
      <c r="A18" s="189" t="s">
        <v>28</v>
      </c>
      <c r="B18" s="190">
        <v>46025.0</v>
      </c>
      <c r="C18" s="191">
        <v>46025.0</v>
      </c>
      <c r="D18" s="192">
        <v>550000.0</v>
      </c>
      <c r="E18" s="193">
        <v>0.3680555555547471</v>
      </c>
      <c r="F18" s="193">
        <v>0.9222222222222223</v>
      </c>
      <c r="G18" s="194">
        <f t="shared" si="1"/>
        <v>13.3</v>
      </c>
      <c r="H18" s="195">
        <f t="shared" si="2"/>
        <v>1</v>
      </c>
      <c r="I18" s="192">
        <f t="shared" si="5"/>
        <v>2037.037037</v>
      </c>
      <c r="J18" s="196"/>
      <c r="K18" s="192">
        <v>43000.0</v>
      </c>
      <c r="L18" s="192"/>
      <c r="M18" s="192">
        <f t="shared" si="4"/>
        <v>27092.59259</v>
      </c>
    </row>
    <row r="19" ht="22.5" hidden="1" customHeight="1">
      <c r="A19" s="189" t="s">
        <v>29</v>
      </c>
      <c r="B19" s="190">
        <v>46025.0</v>
      </c>
      <c r="C19" s="191">
        <v>46025.0</v>
      </c>
      <c r="D19" s="192">
        <v>650000.0</v>
      </c>
      <c r="E19" s="193">
        <v>0.3333333333333333</v>
      </c>
      <c r="F19" s="193">
        <v>0.7083333333333334</v>
      </c>
      <c r="G19" s="194">
        <f t="shared" si="1"/>
        <v>9</v>
      </c>
      <c r="H19" s="195">
        <f t="shared" si="2"/>
        <v>1</v>
      </c>
      <c r="I19" s="192">
        <f t="shared" si="5"/>
        <v>2407.407407</v>
      </c>
      <c r="J19" s="196"/>
      <c r="K19" s="192"/>
      <c r="L19" s="192"/>
      <c r="M19" s="192">
        <f t="shared" si="4"/>
        <v>21666.66667</v>
      </c>
    </row>
    <row r="20" ht="22.5" hidden="1" customHeight="1">
      <c r="A20" s="197" t="s">
        <v>102</v>
      </c>
      <c r="B20" s="190">
        <v>46025.0</v>
      </c>
      <c r="C20" s="191">
        <v>46025.0</v>
      </c>
      <c r="D20" s="192">
        <v>350000.0</v>
      </c>
      <c r="E20" s="193">
        <v>0.3333333333284827</v>
      </c>
      <c r="F20" s="193">
        <v>0.7083333333333334</v>
      </c>
      <c r="G20" s="194">
        <f t="shared" si="1"/>
        <v>9</v>
      </c>
      <c r="H20" s="195">
        <f t="shared" si="2"/>
        <v>1</v>
      </c>
      <c r="I20" s="192">
        <f t="shared" si="5"/>
        <v>1296.296296</v>
      </c>
      <c r="J20" s="196"/>
      <c r="K20" s="192"/>
      <c r="L20" s="192"/>
      <c r="M20" s="192">
        <f t="shared" si="4"/>
        <v>11666.66667</v>
      </c>
    </row>
    <row r="21" ht="22.5" hidden="1" customHeight="1">
      <c r="A21" s="189" t="s">
        <v>63</v>
      </c>
      <c r="B21" s="190">
        <v>46025.0</v>
      </c>
      <c r="C21" s="191">
        <v>46025.0</v>
      </c>
      <c r="D21" s="192">
        <v>500000.0</v>
      </c>
      <c r="E21" s="193">
        <v>0.3333333333284827</v>
      </c>
      <c r="F21" s="193">
        <v>0.7083333333284827</v>
      </c>
      <c r="G21" s="194">
        <f t="shared" si="1"/>
        <v>9</v>
      </c>
      <c r="H21" s="195">
        <f t="shared" si="2"/>
        <v>1</v>
      </c>
      <c r="I21" s="192">
        <f>D21/26/9</f>
        <v>2136.752137</v>
      </c>
      <c r="J21" s="196"/>
      <c r="K21" s="192"/>
      <c r="L21" s="192"/>
      <c r="M21" s="192">
        <f t="shared" si="4"/>
        <v>19230.76923</v>
      </c>
    </row>
    <row r="22" ht="22.5" hidden="1" customHeight="1">
      <c r="A22" s="189" t="s">
        <v>27</v>
      </c>
      <c r="B22" s="190">
        <v>46026.0</v>
      </c>
      <c r="C22" s="191">
        <v>46026.0</v>
      </c>
      <c r="D22" s="192">
        <v>850000.0</v>
      </c>
      <c r="E22" s="193">
        <v>0.47152777777955635</v>
      </c>
      <c r="F22" s="193">
        <v>0.9298611111111111</v>
      </c>
      <c r="G22" s="194">
        <f t="shared" si="1"/>
        <v>11</v>
      </c>
      <c r="H22" s="195">
        <f t="shared" si="2"/>
        <v>1</v>
      </c>
      <c r="I22" s="192">
        <f t="shared" ref="I22:I25" si="6">D22/30/9</f>
        <v>3148.148148</v>
      </c>
      <c r="J22" s="196"/>
      <c r="K22" s="192"/>
      <c r="L22" s="192"/>
      <c r="M22" s="192">
        <f t="shared" si="4"/>
        <v>34629.62963</v>
      </c>
    </row>
    <row r="23" ht="22.5" hidden="1" customHeight="1">
      <c r="A23" s="189" t="s">
        <v>28</v>
      </c>
      <c r="B23" s="190">
        <v>46026.0</v>
      </c>
      <c r="C23" s="191">
        <v>46026.0</v>
      </c>
      <c r="D23" s="192">
        <v>550000.0</v>
      </c>
      <c r="E23" s="193">
        <v>0.40972222222262644</v>
      </c>
      <c r="F23" s="193">
        <v>0.9222222222222223</v>
      </c>
      <c r="G23" s="194">
        <f t="shared" si="1"/>
        <v>12.3</v>
      </c>
      <c r="H23" s="195">
        <f t="shared" si="2"/>
        <v>1</v>
      </c>
      <c r="I23" s="192">
        <f t="shared" si="6"/>
        <v>2037.037037</v>
      </c>
      <c r="J23" s="196"/>
      <c r="K23" s="192">
        <v>80000.0</v>
      </c>
      <c r="L23" s="192"/>
      <c r="M23" s="192">
        <f t="shared" si="4"/>
        <v>25055.55556</v>
      </c>
    </row>
    <row r="24" ht="22.5" hidden="1" customHeight="1">
      <c r="A24" s="189" t="s">
        <v>29</v>
      </c>
      <c r="B24" s="190">
        <v>46026.0</v>
      </c>
      <c r="C24" s="191">
        <v>46026.0</v>
      </c>
      <c r="D24" s="192">
        <v>650000.0</v>
      </c>
      <c r="E24" s="193">
        <v>0.3333333333333333</v>
      </c>
      <c r="F24" s="193">
        <v>0.7083333333333334</v>
      </c>
      <c r="G24" s="194">
        <f t="shared" si="1"/>
        <v>9</v>
      </c>
      <c r="H24" s="195">
        <f t="shared" si="2"/>
        <v>1</v>
      </c>
      <c r="I24" s="192">
        <f t="shared" si="6"/>
        <v>2407.407407</v>
      </c>
      <c r="J24" s="196"/>
      <c r="K24" s="192"/>
      <c r="L24" s="192"/>
      <c r="M24" s="192">
        <f t="shared" si="4"/>
        <v>21666.66667</v>
      </c>
    </row>
    <row r="25" ht="22.5" hidden="1" customHeight="1">
      <c r="A25" s="197" t="s">
        <v>102</v>
      </c>
      <c r="B25" s="190">
        <v>46026.0</v>
      </c>
      <c r="C25" s="191">
        <v>46026.0</v>
      </c>
      <c r="D25" s="192">
        <v>350000.0</v>
      </c>
      <c r="E25" s="193">
        <v>0.3333333333284827</v>
      </c>
      <c r="F25" s="193">
        <v>0.7083333333333334</v>
      </c>
      <c r="G25" s="194">
        <f t="shared" si="1"/>
        <v>9</v>
      </c>
      <c r="H25" s="195">
        <f t="shared" si="2"/>
        <v>1</v>
      </c>
      <c r="I25" s="192">
        <f t="shared" si="6"/>
        <v>1296.296296</v>
      </c>
      <c r="J25" s="196"/>
      <c r="K25" s="192"/>
      <c r="L25" s="192"/>
      <c r="M25" s="192">
        <f t="shared" si="4"/>
        <v>11666.66667</v>
      </c>
    </row>
    <row r="26" ht="22.5" hidden="1" customHeight="1">
      <c r="A26" s="189" t="s">
        <v>63</v>
      </c>
      <c r="B26" s="190">
        <v>46026.0</v>
      </c>
      <c r="C26" s="191">
        <v>46026.0</v>
      </c>
      <c r="D26" s="192">
        <v>500000.0</v>
      </c>
      <c r="E26" s="193">
        <v>0.3333333333284827</v>
      </c>
      <c r="F26" s="193">
        <v>0.7083333333284827</v>
      </c>
      <c r="G26" s="194">
        <f t="shared" si="1"/>
        <v>9</v>
      </c>
      <c r="H26" s="195">
        <f t="shared" si="2"/>
        <v>1</v>
      </c>
      <c r="I26" s="192">
        <f>D26/26/9</f>
        <v>2136.752137</v>
      </c>
      <c r="J26" s="196"/>
      <c r="K26" s="192"/>
      <c r="L26" s="192"/>
      <c r="M26" s="192">
        <f t="shared" si="4"/>
        <v>19230.76923</v>
      </c>
    </row>
    <row r="27" ht="22.5" hidden="1" customHeight="1">
      <c r="A27" s="189" t="s">
        <v>27</v>
      </c>
      <c r="B27" s="190">
        <v>46027.0</v>
      </c>
      <c r="C27" s="191">
        <v>46027.0</v>
      </c>
      <c r="D27" s="192">
        <v>850000.0</v>
      </c>
      <c r="E27" s="193">
        <v>0.3333333333284827</v>
      </c>
      <c r="F27" s="193">
        <v>0.8</v>
      </c>
      <c r="G27" s="194">
        <f t="shared" si="1"/>
        <v>11.2</v>
      </c>
      <c r="H27" s="195">
        <f t="shared" si="2"/>
        <v>1</v>
      </c>
      <c r="I27" s="192">
        <f t="shared" ref="I27:I30" si="7">D27/30/9</f>
        <v>3148.148148</v>
      </c>
      <c r="J27" s="196"/>
      <c r="K27" s="192"/>
      <c r="L27" s="192"/>
      <c r="M27" s="192">
        <f t="shared" si="4"/>
        <v>35259.25926</v>
      </c>
    </row>
    <row r="28" ht="22.5" hidden="1" customHeight="1">
      <c r="A28" s="189" t="s">
        <v>28</v>
      </c>
      <c r="B28" s="190">
        <v>46027.0</v>
      </c>
      <c r="C28" s="191">
        <v>46027.0</v>
      </c>
      <c r="D28" s="192">
        <v>550000.0</v>
      </c>
      <c r="E28" s="193">
        <v>0.3333333333333333</v>
      </c>
      <c r="F28" s="193">
        <v>0.7083333333333334</v>
      </c>
      <c r="G28" s="194">
        <f t="shared" si="1"/>
        <v>9</v>
      </c>
      <c r="H28" s="195">
        <f t="shared" si="2"/>
        <v>1</v>
      </c>
      <c r="I28" s="192">
        <f t="shared" si="7"/>
        <v>2037.037037</v>
      </c>
      <c r="J28" s="196"/>
      <c r="K28" s="192">
        <v>10000.0</v>
      </c>
      <c r="L28" s="192"/>
      <c r="M28" s="192">
        <f t="shared" si="4"/>
        <v>18333.33333</v>
      </c>
    </row>
    <row r="29" ht="22.5" hidden="1" customHeight="1">
      <c r="A29" s="189" t="s">
        <v>29</v>
      </c>
      <c r="B29" s="190">
        <v>46027.0</v>
      </c>
      <c r="C29" s="191">
        <v>46027.0</v>
      </c>
      <c r="D29" s="192">
        <v>650000.0</v>
      </c>
      <c r="E29" s="193">
        <v>0.3333333333333333</v>
      </c>
      <c r="F29" s="193">
        <v>0.8125</v>
      </c>
      <c r="G29" s="194">
        <f t="shared" si="1"/>
        <v>11.5</v>
      </c>
      <c r="H29" s="195">
        <f t="shared" si="2"/>
        <v>1</v>
      </c>
      <c r="I29" s="192">
        <f t="shared" si="7"/>
        <v>2407.407407</v>
      </c>
      <c r="J29" s="196"/>
      <c r="K29" s="192"/>
      <c r="L29" s="192"/>
      <c r="M29" s="192">
        <f t="shared" si="4"/>
        <v>27685.18519</v>
      </c>
    </row>
    <row r="30" ht="22.5" hidden="1" customHeight="1">
      <c r="A30" s="197" t="s">
        <v>102</v>
      </c>
      <c r="B30" s="190">
        <v>46027.0</v>
      </c>
      <c r="C30" s="191">
        <v>46027.0</v>
      </c>
      <c r="D30" s="192">
        <v>350000.0</v>
      </c>
      <c r="E30" s="193">
        <v>0.3333333333284827</v>
      </c>
      <c r="F30" s="193">
        <v>0.7083333333333334</v>
      </c>
      <c r="G30" s="194">
        <f t="shared" si="1"/>
        <v>9</v>
      </c>
      <c r="H30" s="195">
        <f t="shared" si="2"/>
        <v>1</v>
      </c>
      <c r="I30" s="192">
        <f t="shared" si="7"/>
        <v>1296.296296</v>
      </c>
      <c r="J30" s="196"/>
      <c r="K30" s="192"/>
      <c r="L30" s="192"/>
      <c r="M30" s="192">
        <f t="shared" si="4"/>
        <v>11666.66667</v>
      </c>
    </row>
    <row r="31" ht="22.5" hidden="1" customHeight="1">
      <c r="A31" s="189" t="s">
        <v>63</v>
      </c>
      <c r="B31" s="190">
        <v>46027.0</v>
      </c>
      <c r="C31" s="191">
        <v>46027.0</v>
      </c>
      <c r="D31" s="192">
        <v>500000.0</v>
      </c>
      <c r="E31" s="193">
        <v>0.3333333333284827</v>
      </c>
      <c r="F31" s="193">
        <v>0.7083333333284827</v>
      </c>
      <c r="G31" s="194">
        <f t="shared" si="1"/>
        <v>9</v>
      </c>
      <c r="H31" s="195">
        <f t="shared" si="2"/>
        <v>1</v>
      </c>
      <c r="I31" s="192">
        <f>D31/26/9</f>
        <v>2136.752137</v>
      </c>
      <c r="J31" s="196"/>
      <c r="K31" s="192"/>
      <c r="L31" s="192"/>
      <c r="M31" s="192">
        <f t="shared" si="4"/>
        <v>19230.76923</v>
      </c>
    </row>
    <row r="32" ht="22.5" hidden="1" customHeight="1">
      <c r="A32" s="189" t="s">
        <v>27</v>
      </c>
      <c r="B32" s="190">
        <v>46028.0</v>
      </c>
      <c r="C32" s="191">
        <v>46028.0</v>
      </c>
      <c r="D32" s="192">
        <v>850000.0</v>
      </c>
      <c r="E32" s="193">
        <v>0.4458333333313931</v>
      </c>
      <c r="F32" s="193">
        <v>0.9222222222222223</v>
      </c>
      <c r="G32" s="194">
        <f t="shared" si="1"/>
        <v>11.43333333</v>
      </c>
      <c r="H32" s="195">
        <f t="shared" si="2"/>
        <v>1</v>
      </c>
      <c r="I32" s="192">
        <f t="shared" ref="I32:I34" si="8">D32/30/9</f>
        <v>3148.148148</v>
      </c>
      <c r="J32" s="196"/>
      <c r="K32" s="192"/>
      <c r="L32" s="192"/>
      <c r="M32" s="192">
        <f t="shared" si="4"/>
        <v>35993.82716</v>
      </c>
    </row>
    <row r="33" ht="22.5" hidden="1" customHeight="1">
      <c r="A33" s="189" t="s">
        <v>28</v>
      </c>
      <c r="B33" s="190">
        <v>46028.0</v>
      </c>
      <c r="C33" s="191">
        <v>46028.0</v>
      </c>
      <c r="D33" s="192">
        <v>550000.0</v>
      </c>
      <c r="E33" s="193">
        <v>0.3333333333333333</v>
      </c>
      <c r="F33" s="193">
        <v>0.7083333333333334</v>
      </c>
      <c r="G33" s="194">
        <f t="shared" si="1"/>
        <v>9</v>
      </c>
      <c r="H33" s="195">
        <f t="shared" si="2"/>
        <v>1</v>
      </c>
      <c r="I33" s="192">
        <f t="shared" si="8"/>
        <v>2037.037037</v>
      </c>
      <c r="J33" s="196"/>
      <c r="K33" s="192">
        <v>85000.0</v>
      </c>
      <c r="L33" s="192"/>
      <c r="M33" s="192">
        <f t="shared" si="4"/>
        <v>18333.33333</v>
      </c>
    </row>
    <row r="34" ht="22.5" hidden="1" customHeight="1">
      <c r="A34" s="197" t="s">
        <v>102</v>
      </c>
      <c r="B34" s="190">
        <v>46028.0</v>
      </c>
      <c r="C34" s="191">
        <v>46028.0</v>
      </c>
      <c r="D34" s="192">
        <v>350000.0</v>
      </c>
      <c r="E34" s="193">
        <v>0.3333333333284827</v>
      </c>
      <c r="F34" s="193">
        <v>0.7083333333333334</v>
      </c>
      <c r="G34" s="194">
        <f t="shared" si="1"/>
        <v>9</v>
      </c>
      <c r="H34" s="195">
        <f t="shared" si="2"/>
        <v>1</v>
      </c>
      <c r="I34" s="192">
        <f t="shared" si="8"/>
        <v>1296.296296</v>
      </c>
      <c r="J34" s="196"/>
      <c r="K34" s="192"/>
      <c r="L34" s="192"/>
      <c r="M34" s="192">
        <f t="shared" si="4"/>
        <v>11666.66667</v>
      </c>
    </row>
    <row r="35" ht="22.5" hidden="1" customHeight="1">
      <c r="A35" s="189" t="s">
        <v>63</v>
      </c>
      <c r="B35" s="190">
        <v>46028.0</v>
      </c>
      <c r="C35" s="191">
        <v>46028.0</v>
      </c>
      <c r="D35" s="192">
        <v>500000.0</v>
      </c>
      <c r="E35" s="193">
        <v>0.3333333333284827</v>
      </c>
      <c r="F35" s="193">
        <v>0.7083333333284827</v>
      </c>
      <c r="G35" s="194">
        <f t="shared" si="1"/>
        <v>9</v>
      </c>
      <c r="H35" s="195">
        <f t="shared" si="2"/>
        <v>1</v>
      </c>
      <c r="I35" s="192">
        <f>D35/26/9</f>
        <v>2136.752137</v>
      </c>
      <c r="J35" s="196"/>
      <c r="K35" s="192"/>
      <c r="L35" s="192"/>
      <c r="M35" s="192">
        <f t="shared" si="4"/>
        <v>19230.76923</v>
      </c>
    </row>
    <row r="36" ht="22.5" hidden="1" customHeight="1">
      <c r="A36" s="189" t="s">
        <v>27</v>
      </c>
      <c r="B36" s="190">
        <v>46029.0</v>
      </c>
      <c r="C36" s="191">
        <v>46029.0</v>
      </c>
      <c r="D36" s="192">
        <v>850000.0</v>
      </c>
      <c r="E36" s="193">
        <v>0.34583333333284827</v>
      </c>
      <c r="F36" s="193">
        <v>0.922222222223354</v>
      </c>
      <c r="G36" s="194">
        <f t="shared" si="1"/>
        <v>13.83333333</v>
      </c>
      <c r="H36" s="195">
        <f t="shared" si="2"/>
        <v>1</v>
      </c>
      <c r="I36" s="192">
        <f t="shared" ref="I36:I39" si="9">D36/30/9</f>
        <v>3148.148148</v>
      </c>
      <c r="J36" s="196"/>
      <c r="K36" s="192"/>
      <c r="L36" s="192"/>
      <c r="M36" s="192">
        <f t="shared" si="4"/>
        <v>43549.38272</v>
      </c>
    </row>
    <row r="37" ht="22.5" hidden="1" customHeight="1">
      <c r="A37" s="189" t="s">
        <v>28</v>
      </c>
      <c r="B37" s="190">
        <v>46029.0</v>
      </c>
      <c r="C37" s="191">
        <v>46029.0</v>
      </c>
      <c r="D37" s="192">
        <v>550000.0</v>
      </c>
      <c r="E37" s="193">
        <v>0.3333333333333333</v>
      </c>
      <c r="F37" s="193">
        <v>0.7083333333333334</v>
      </c>
      <c r="G37" s="194">
        <f t="shared" si="1"/>
        <v>9</v>
      </c>
      <c r="H37" s="195">
        <f t="shared" si="2"/>
        <v>1</v>
      </c>
      <c r="I37" s="192">
        <f t="shared" si="9"/>
        <v>2037.037037</v>
      </c>
      <c r="J37" s="196"/>
      <c r="K37" s="192">
        <v>105000.0</v>
      </c>
      <c r="L37" s="192"/>
      <c r="M37" s="192">
        <f t="shared" si="4"/>
        <v>18333.33333</v>
      </c>
    </row>
    <row r="38" ht="22.5" hidden="1" customHeight="1">
      <c r="A38" s="189" t="s">
        <v>29</v>
      </c>
      <c r="B38" s="190">
        <v>46029.0</v>
      </c>
      <c r="C38" s="191">
        <v>46029.0</v>
      </c>
      <c r="D38" s="192">
        <v>650000.0</v>
      </c>
      <c r="E38" s="193">
        <v>0.3333333333333333</v>
      </c>
      <c r="F38" s="193">
        <v>0.7083333333333334</v>
      </c>
      <c r="G38" s="194">
        <f t="shared" si="1"/>
        <v>9</v>
      </c>
      <c r="H38" s="195">
        <f t="shared" si="2"/>
        <v>1</v>
      </c>
      <c r="I38" s="192">
        <f t="shared" si="9"/>
        <v>2407.407407</v>
      </c>
      <c r="J38" s="196"/>
      <c r="K38" s="192"/>
      <c r="L38" s="192"/>
      <c r="M38" s="192">
        <f t="shared" si="4"/>
        <v>21666.66667</v>
      </c>
    </row>
    <row r="39" ht="22.5" hidden="1" customHeight="1">
      <c r="A39" s="197" t="s">
        <v>102</v>
      </c>
      <c r="B39" s="190">
        <v>46029.0</v>
      </c>
      <c r="C39" s="191">
        <v>46029.0</v>
      </c>
      <c r="D39" s="192">
        <v>350000.0</v>
      </c>
      <c r="E39" s="193">
        <v>0.3333333333284827</v>
      </c>
      <c r="F39" s="193">
        <v>0.7083333333333334</v>
      </c>
      <c r="G39" s="194">
        <f t="shared" si="1"/>
        <v>9</v>
      </c>
      <c r="H39" s="195">
        <f t="shared" si="2"/>
        <v>1</v>
      </c>
      <c r="I39" s="192">
        <f t="shared" si="9"/>
        <v>1296.296296</v>
      </c>
      <c r="J39" s="196"/>
      <c r="K39" s="192"/>
      <c r="L39" s="192"/>
      <c r="M39" s="192">
        <f t="shared" si="4"/>
        <v>11666.66667</v>
      </c>
    </row>
    <row r="40" ht="22.5" hidden="1" customHeight="1">
      <c r="A40" s="189" t="s">
        <v>63</v>
      </c>
      <c r="B40" s="190">
        <v>46029.0</v>
      </c>
      <c r="C40" s="191">
        <v>46029.0</v>
      </c>
      <c r="D40" s="192">
        <v>500000.0</v>
      </c>
      <c r="E40" s="193">
        <v>0.3333333333284827</v>
      </c>
      <c r="F40" s="193">
        <v>0.7083333333284827</v>
      </c>
      <c r="G40" s="194">
        <f t="shared" si="1"/>
        <v>9</v>
      </c>
      <c r="H40" s="195">
        <f t="shared" si="2"/>
        <v>1</v>
      </c>
      <c r="I40" s="192">
        <f>D40/26/9</f>
        <v>2136.752137</v>
      </c>
      <c r="J40" s="196"/>
      <c r="K40" s="192"/>
      <c r="L40" s="192"/>
      <c r="M40" s="192">
        <f t="shared" si="4"/>
        <v>19230.76923</v>
      </c>
    </row>
    <row r="41" ht="22.5" hidden="1" customHeight="1">
      <c r="A41" s="189" t="s">
        <v>27</v>
      </c>
      <c r="B41" s="190">
        <v>46030.0</v>
      </c>
      <c r="C41" s="191">
        <v>46030.0</v>
      </c>
      <c r="D41" s="192">
        <v>850000.0</v>
      </c>
      <c r="E41" s="193">
        <v>0.38819444444444445</v>
      </c>
      <c r="F41" s="193">
        <v>0.7083333333333334</v>
      </c>
      <c r="G41" s="194">
        <f t="shared" si="1"/>
        <v>7.683333333</v>
      </c>
      <c r="H41" s="195">
        <f t="shared" si="2"/>
        <v>1</v>
      </c>
      <c r="I41" s="192">
        <f t="shared" ref="I41:I43" si="10">D41/30/9</f>
        <v>3148.148148</v>
      </c>
      <c r="J41" s="196"/>
      <c r="K41" s="192"/>
      <c r="L41" s="192"/>
      <c r="M41" s="192">
        <f t="shared" si="4"/>
        <v>24188.2716</v>
      </c>
    </row>
    <row r="42" ht="22.5" hidden="1" customHeight="1">
      <c r="A42" s="189" t="s">
        <v>28</v>
      </c>
      <c r="B42" s="190">
        <v>46030.0</v>
      </c>
      <c r="C42" s="191">
        <v>46030.0</v>
      </c>
      <c r="D42" s="192">
        <v>550000.0</v>
      </c>
      <c r="E42" s="193">
        <v>0.3333333333333333</v>
      </c>
      <c r="F42" s="193">
        <v>0.7083333333333334</v>
      </c>
      <c r="G42" s="194">
        <f t="shared" si="1"/>
        <v>9</v>
      </c>
      <c r="H42" s="195">
        <f t="shared" si="2"/>
        <v>1</v>
      </c>
      <c r="I42" s="192">
        <f t="shared" si="10"/>
        <v>2037.037037</v>
      </c>
      <c r="J42" s="196"/>
      <c r="K42" s="192">
        <v>5000.0</v>
      </c>
      <c r="L42" s="192"/>
      <c r="M42" s="192">
        <f t="shared" si="4"/>
        <v>18333.33333</v>
      </c>
    </row>
    <row r="43" ht="22.5" hidden="1" customHeight="1">
      <c r="A43" s="197" t="s">
        <v>102</v>
      </c>
      <c r="B43" s="190">
        <v>46030.0</v>
      </c>
      <c r="C43" s="191">
        <v>46030.0</v>
      </c>
      <c r="D43" s="192">
        <v>350000.0</v>
      </c>
      <c r="E43" s="193">
        <v>0.3333333333284827</v>
      </c>
      <c r="F43" s="193">
        <v>0.7083333333333334</v>
      </c>
      <c r="G43" s="194">
        <f t="shared" si="1"/>
        <v>9</v>
      </c>
      <c r="H43" s="195">
        <f t="shared" si="2"/>
        <v>1</v>
      </c>
      <c r="I43" s="192">
        <f t="shared" si="10"/>
        <v>1296.296296</v>
      </c>
      <c r="J43" s="196"/>
      <c r="K43" s="192"/>
      <c r="L43" s="192"/>
      <c r="M43" s="192">
        <f t="shared" si="4"/>
        <v>11666.66667</v>
      </c>
    </row>
    <row r="44" ht="22.5" hidden="1" customHeight="1">
      <c r="A44" s="189" t="s">
        <v>63</v>
      </c>
      <c r="B44" s="190">
        <v>46030.0</v>
      </c>
      <c r="C44" s="191">
        <v>46030.0</v>
      </c>
      <c r="D44" s="192">
        <v>500000.0</v>
      </c>
      <c r="E44" s="193">
        <v>0.3333333333284827</v>
      </c>
      <c r="F44" s="193">
        <v>0.7083333333284827</v>
      </c>
      <c r="G44" s="194">
        <f t="shared" si="1"/>
        <v>9</v>
      </c>
      <c r="H44" s="195">
        <f t="shared" si="2"/>
        <v>1</v>
      </c>
      <c r="I44" s="192">
        <f>D44/26/9</f>
        <v>2136.752137</v>
      </c>
      <c r="J44" s="196"/>
      <c r="K44" s="192"/>
      <c r="L44" s="192"/>
      <c r="M44" s="192">
        <f t="shared" si="4"/>
        <v>19230.76923</v>
      </c>
    </row>
    <row r="45" ht="22.5" hidden="1" customHeight="1">
      <c r="A45" s="189" t="s">
        <v>27</v>
      </c>
      <c r="B45" s="190">
        <v>46031.0</v>
      </c>
      <c r="C45" s="191">
        <v>46031.0</v>
      </c>
      <c r="D45" s="192">
        <v>850000.0</v>
      </c>
      <c r="E45" s="193">
        <v>0.3333333333333333</v>
      </c>
      <c r="F45" s="193">
        <v>0.7083333333333334</v>
      </c>
      <c r="G45" s="194">
        <f t="shared" si="1"/>
        <v>9</v>
      </c>
      <c r="H45" s="195">
        <f t="shared" si="2"/>
        <v>1</v>
      </c>
      <c r="I45" s="192">
        <f t="shared" ref="I45:I47" si="11">D45/30/9</f>
        <v>3148.148148</v>
      </c>
      <c r="J45" s="196"/>
      <c r="K45" s="192"/>
      <c r="L45" s="192"/>
      <c r="M45" s="192">
        <f t="shared" si="4"/>
        <v>28333.33333</v>
      </c>
    </row>
    <row r="46" ht="22.5" hidden="1" customHeight="1">
      <c r="A46" s="189" t="s">
        <v>28</v>
      </c>
      <c r="B46" s="190">
        <v>46031.0</v>
      </c>
      <c r="C46" s="191">
        <v>46031.0</v>
      </c>
      <c r="D46" s="192">
        <v>550000.0</v>
      </c>
      <c r="E46" s="193">
        <v>0.3333333333333333</v>
      </c>
      <c r="F46" s="193">
        <v>0.7083333333333334</v>
      </c>
      <c r="G46" s="194">
        <f t="shared" si="1"/>
        <v>9</v>
      </c>
      <c r="H46" s="195">
        <f t="shared" si="2"/>
        <v>1</v>
      </c>
      <c r="I46" s="192">
        <f t="shared" si="11"/>
        <v>2037.037037</v>
      </c>
      <c r="J46" s="196"/>
      <c r="K46" s="192">
        <v>25000.0</v>
      </c>
      <c r="L46" s="192"/>
      <c r="M46" s="192">
        <f t="shared" si="4"/>
        <v>18333.33333</v>
      </c>
    </row>
    <row r="47" ht="22.5" hidden="1" customHeight="1">
      <c r="A47" s="197" t="s">
        <v>102</v>
      </c>
      <c r="B47" s="190">
        <v>46031.0</v>
      </c>
      <c r="C47" s="191">
        <v>46031.0</v>
      </c>
      <c r="D47" s="192">
        <v>350000.0</v>
      </c>
      <c r="E47" s="193">
        <v>0.3333333333284827</v>
      </c>
      <c r="F47" s="193">
        <v>0.7083333333333334</v>
      </c>
      <c r="G47" s="194">
        <f t="shared" si="1"/>
        <v>9</v>
      </c>
      <c r="H47" s="195">
        <f t="shared" si="2"/>
        <v>1</v>
      </c>
      <c r="I47" s="192">
        <f t="shared" si="11"/>
        <v>1296.296296</v>
      </c>
      <c r="J47" s="196"/>
      <c r="K47" s="192"/>
      <c r="L47" s="192"/>
      <c r="M47" s="192">
        <f t="shared" si="4"/>
        <v>11666.66667</v>
      </c>
    </row>
    <row r="48" ht="22.5" hidden="1" customHeight="1">
      <c r="A48" s="189" t="s">
        <v>63</v>
      </c>
      <c r="B48" s="190">
        <v>46031.0</v>
      </c>
      <c r="C48" s="191">
        <v>46031.0</v>
      </c>
      <c r="D48" s="192">
        <v>500000.0</v>
      </c>
      <c r="E48" s="193">
        <v>0.3333333333284827</v>
      </c>
      <c r="F48" s="193">
        <v>0.7083333333284827</v>
      </c>
      <c r="G48" s="194">
        <f t="shared" si="1"/>
        <v>9</v>
      </c>
      <c r="H48" s="195">
        <f t="shared" si="2"/>
        <v>1</v>
      </c>
      <c r="I48" s="192">
        <f>D48/26/9</f>
        <v>2136.752137</v>
      </c>
      <c r="J48" s="196"/>
      <c r="K48" s="192"/>
      <c r="L48" s="192"/>
      <c r="M48" s="192">
        <f t="shared" si="4"/>
        <v>19230.76923</v>
      </c>
    </row>
    <row r="49" ht="22.5" hidden="1" customHeight="1">
      <c r="A49" s="189" t="s">
        <v>27</v>
      </c>
      <c r="B49" s="190">
        <v>46032.0</v>
      </c>
      <c r="C49" s="191">
        <v>46032.0</v>
      </c>
      <c r="D49" s="192">
        <v>850000.0</v>
      </c>
      <c r="E49" s="193">
        <v>0.3333333333333333</v>
      </c>
      <c r="F49" s="193">
        <v>0.7083333333333334</v>
      </c>
      <c r="G49" s="194">
        <f t="shared" si="1"/>
        <v>9</v>
      </c>
      <c r="H49" s="195">
        <f t="shared" si="2"/>
        <v>1</v>
      </c>
      <c r="I49" s="192">
        <f t="shared" ref="I49:I51" si="12">D49/30/9</f>
        <v>3148.148148</v>
      </c>
      <c r="J49" s="196"/>
      <c r="K49" s="192"/>
      <c r="L49" s="192"/>
      <c r="M49" s="192">
        <f t="shared" si="4"/>
        <v>28333.33333</v>
      </c>
    </row>
    <row r="50" ht="22.5" hidden="1" customHeight="1">
      <c r="A50" s="189" t="s">
        <v>28</v>
      </c>
      <c r="B50" s="190">
        <v>46032.0</v>
      </c>
      <c r="C50" s="191">
        <v>46032.0</v>
      </c>
      <c r="D50" s="192">
        <v>550000.0</v>
      </c>
      <c r="E50" s="193">
        <v>0.3333333333333333</v>
      </c>
      <c r="F50" s="193">
        <v>0.7083333333333334</v>
      </c>
      <c r="G50" s="194">
        <f t="shared" si="1"/>
        <v>9</v>
      </c>
      <c r="H50" s="195">
        <f t="shared" si="2"/>
        <v>1</v>
      </c>
      <c r="I50" s="192">
        <f t="shared" si="12"/>
        <v>2037.037037</v>
      </c>
      <c r="J50" s="196"/>
      <c r="K50" s="192"/>
      <c r="L50" s="192"/>
      <c r="M50" s="192">
        <f t="shared" si="4"/>
        <v>18333.33333</v>
      </c>
    </row>
    <row r="51" ht="22.5" hidden="1" customHeight="1">
      <c r="A51" s="197" t="s">
        <v>102</v>
      </c>
      <c r="B51" s="190">
        <v>46032.0</v>
      </c>
      <c r="C51" s="191">
        <v>46032.0</v>
      </c>
      <c r="D51" s="192">
        <v>350000.0</v>
      </c>
      <c r="E51" s="193">
        <v>0.3333333333284827</v>
      </c>
      <c r="F51" s="193">
        <v>0.7083333333333334</v>
      </c>
      <c r="G51" s="194">
        <f t="shared" si="1"/>
        <v>9</v>
      </c>
      <c r="H51" s="195">
        <f t="shared" si="2"/>
        <v>1</v>
      </c>
      <c r="I51" s="192">
        <f t="shared" si="12"/>
        <v>1296.296296</v>
      </c>
      <c r="J51" s="196"/>
      <c r="K51" s="192"/>
      <c r="L51" s="192"/>
      <c r="M51" s="192">
        <f t="shared" si="4"/>
        <v>11666.66667</v>
      </c>
    </row>
    <row r="52" ht="22.5" hidden="1" customHeight="1">
      <c r="A52" s="189" t="s">
        <v>63</v>
      </c>
      <c r="B52" s="190">
        <v>46032.0</v>
      </c>
      <c r="C52" s="191">
        <v>46032.0</v>
      </c>
      <c r="D52" s="192">
        <v>500000.0</v>
      </c>
      <c r="E52" s="193">
        <v>0.3333333333284827</v>
      </c>
      <c r="F52" s="193">
        <v>0.7083333333284827</v>
      </c>
      <c r="G52" s="194">
        <f t="shared" si="1"/>
        <v>9</v>
      </c>
      <c r="H52" s="195">
        <f t="shared" si="2"/>
        <v>1</v>
      </c>
      <c r="I52" s="192">
        <f>D52/26/9</f>
        <v>2136.752137</v>
      </c>
      <c r="J52" s="196"/>
      <c r="K52" s="192"/>
      <c r="L52" s="192"/>
      <c r="M52" s="192">
        <f t="shared" si="4"/>
        <v>19230.76923</v>
      </c>
    </row>
    <row r="53" ht="22.5" hidden="1" customHeight="1">
      <c r="A53" s="189" t="s">
        <v>27</v>
      </c>
      <c r="B53" s="190">
        <v>46033.0</v>
      </c>
      <c r="C53" s="191">
        <v>46033.0</v>
      </c>
      <c r="D53" s="192">
        <v>850000.0</v>
      </c>
      <c r="E53" s="193">
        <v>0.3333333333333333</v>
      </c>
      <c r="F53" s="193">
        <v>0.7083333333333334</v>
      </c>
      <c r="G53" s="194">
        <f t="shared" si="1"/>
        <v>9</v>
      </c>
      <c r="H53" s="195">
        <f t="shared" si="2"/>
        <v>1</v>
      </c>
      <c r="I53" s="192">
        <f t="shared" ref="I53:I55" si="13">D53/30/9</f>
        <v>3148.148148</v>
      </c>
      <c r="J53" s="196"/>
      <c r="K53" s="192"/>
      <c r="L53" s="192"/>
      <c r="M53" s="192">
        <f t="shared" si="4"/>
        <v>28333.33333</v>
      </c>
    </row>
    <row r="54" ht="22.5" hidden="1" customHeight="1">
      <c r="A54" s="189" t="s">
        <v>28</v>
      </c>
      <c r="B54" s="190">
        <v>46033.0</v>
      </c>
      <c r="C54" s="191">
        <v>46033.0</v>
      </c>
      <c r="D54" s="192">
        <v>550000.0</v>
      </c>
      <c r="E54" s="193">
        <v>0.3333333333333333</v>
      </c>
      <c r="F54" s="193">
        <v>0.7083333333333334</v>
      </c>
      <c r="G54" s="194">
        <f t="shared" si="1"/>
        <v>9</v>
      </c>
      <c r="H54" s="195">
        <f t="shared" si="2"/>
        <v>1</v>
      </c>
      <c r="I54" s="192">
        <f t="shared" si="13"/>
        <v>2037.037037</v>
      </c>
      <c r="J54" s="196"/>
      <c r="K54" s="192"/>
      <c r="L54" s="192"/>
      <c r="M54" s="192">
        <f t="shared" si="4"/>
        <v>18333.33333</v>
      </c>
    </row>
    <row r="55" ht="22.5" hidden="1" customHeight="1">
      <c r="A55" s="197" t="s">
        <v>102</v>
      </c>
      <c r="B55" s="190">
        <v>46033.0</v>
      </c>
      <c r="C55" s="191">
        <v>46033.0</v>
      </c>
      <c r="D55" s="192">
        <v>350000.0</v>
      </c>
      <c r="E55" s="193">
        <v>0.3333333333284827</v>
      </c>
      <c r="F55" s="193">
        <v>0.7083333333333334</v>
      </c>
      <c r="G55" s="194">
        <f t="shared" si="1"/>
        <v>9</v>
      </c>
      <c r="H55" s="195">
        <f t="shared" si="2"/>
        <v>1</v>
      </c>
      <c r="I55" s="192">
        <f t="shared" si="13"/>
        <v>1296.296296</v>
      </c>
      <c r="J55" s="196"/>
      <c r="K55" s="192"/>
      <c r="L55" s="192"/>
      <c r="M55" s="192">
        <f t="shared" si="4"/>
        <v>11666.66667</v>
      </c>
    </row>
    <row r="56" ht="22.5" hidden="1" customHeight="1">
      <c r="A56" s="189" t="s">
        <v>63</v>
      </c>
      <c r="B56" s="190">
        <v>46033.0</v>
      </c>
      <c r="C56" s="191">
        <v>46033.0</v>
      </c>
      <c r="D56" s="192">
        <v>500000.0</v>
      </c>
      <c r="E56" s="193">
        <v>0.3333333333284827</v>
      </c>
      <c r="F56" s="193">
        <v>0.7083333333284827</v>
      </c>
      <c r="G56" s="194">
        <f t="shared" si="1"/>
        <v>9</v>
      </c>
      <c r="H56" s="195">
        <f t="shared" si="2"/>
        <v>1</v>
      </c>
      <c r="I56" s="192">
        <f>D56/26/9</f>
        <v>2136.752137</v>
      </c>
      <c r="J56" s="196"/>
      <c r="K56" s="192"/>
      <c r="L56" s="192"/>
      <c r="M56" s="192">
        <f t="shared" si="4"/>
        <v>19230.76923</v>
      </c>
    </row>
    <row r="57" ht="22.5" hidden="1" customHeight="1">
      <c r="A57" s="189" t="s">
        <v>27</v>
      </c>
      <c r="B57" s="190">
        <v>46034.0</v>
      </c>
      <c r="C57" s="191">
        <v>46034.0</v>
      </c>
      <c r="D57" s="192">
        <v>850000.0</v>
      </c>
      <c r="E57" s="193">
        <v>0.3333333333333333</v>
      </c>
      <c r="F57" s="193">
        <v>0.7083333333333334</v>
      </c>
      <c r="G57" s="194">
        <f t="shared" si="1"/>
        <v>9</v>
      </c>
      <c r="H57" s="195">
        <f t="shared" si="2"/>
        <v>1</v>
      </c>
      <c r="I57" s="192">
        <f t="shared" ref="I57:I59" si="14">D57/30/9</f>
        <v>3148.148148</v>
      </c>
      <c r="J57" s="196"/>
      <c r="K57" s="192"/>
      <c r="L57" s="192"/>
      <c r="M57" s="192">
        <f t="shared" si="4"/>
        <v>28333.33333</v>
      </c>
    </row>
    <row r="58" ht="22.5" hidden="1" customHeight="1">
      <c r="A58" s="189" t="s">
        <v>28</v>
      </c>
      <c r="B58" s="190">
        <v>46034.0</v>
      </c>
      <c r="C58" s="191">
        <v>46034.0</v>
      </c>
      <c r="D58" s="192">
        <v>550000.0</v>
      </c>
      <c r="E58" s="193">
        <v>0.3333333333333333</v>
      </c>
      <c r="F58" s="193">
        <v>0.7083333333333334</v>
      </c>
      <c r="G58" s="194">
        <f t="shared" si="1"/>
        <v>9</v>
      </c>
      <c r="H58" s="195">
        <f t="shared" si="2"/>
        <v>1</v>
      </c>
      <c r="I58" s="192">
        <f t="shared" si="14"/>
        <v>2037.037037</v>
      </c>
      <c r="J58" s="196"/>
      <c r="K58" s="192"/>
      <c r="L58" s="192"/>
      <c r="M58" s="192">
        <f t="shared" si="4"/>
        <v>18333.33333</v>
      </c>
    </row>
    <row r="59" ht="22.5" hidden="1" customHeight="1">
      <c r="A59" s="197" t="s">
        <v>102</v>
      </c>
      <c r="B59" s="190">
        <v>46034.0</v>
      </c>
      <c r="C59" s="191">
        <v>46034.0</v>
      </c>
      <c r="D59" s="192">
        <v>350000.0</v>
      </c>
      <c r="E59" s="193">
        <v>0.3333333333284827</v>
      </c>
      <c r="F59" s="193">
        <v>0.7083333333333334</v>
      </c>
      <c r="G59" s="194">
        <f t="shared" si="1"/>
        <v>9</v>
      </c>
      <c r="H59" s="195">
        <f t="shared" si="2"/>
        <v>1</v>
      </c>
      <c r="I59" s="192">
        <f t="shared" si="14"/>
        <v>1296.296296</v>
      </c>
      <c r="J59" s="196"/>
      <c r="K59" s="192"/>
      <c r="L59" s="192"/>
      <c r="M59" s="192">
        <f t="shared" si="4"/>
        <v>11666.66667</v>
      </c>
    </row>
    <row r="60" ht="22.5" hidden="1" customHeight="1">
      <c r="A60" s="189" t="s">
        <v>63</v>
      </c>
      <c r="B60" s="190">
        <v>46034.0</v>
      </c>
      <c r="C60" s="191">
        <v>46034.0</v>
      </c>
      <c r="D60" s="192">
        <v>500000.0</v>
      </c>
      <c r="E60" s="193">
        <v>0.3333333333284827</v>
      </c>
      <c r="F60" s="193">
        <v>0.7083333333284827</v>
      </c>
      <c r="G60" s="194">
        <f t="shared" si="1"/>
        <v>9</v>
      </c>
      <c r="H60" s="195">
        <f t="shared" si="2"/>
        <v>1</v>
      </c>
      <c r="I60" s="192">
        <f>D60/26/9</f>
        <v>2136.752137</v>
      </c>
      <c r="J60" s="196"/>
      <c r="K60" s="192"/>
      <c r="L60" s="192"/>
      <c r="M60" s="192">
        <f t="shared" si="4"/>
        <v>19230.76923</v>
      </c>
    </row>
    <row r="61" ht="22.5" hidden="1" customHeight="1">
      <c r="A61" s="189" t="s">
        <v>27</v>
      </c>
      <c r="B61" s="190">
        <v>46035.0</v>
      </c>
      <c r="C61" s="191">
        <v>46035.0</v>
      </c>
      <c r="D61" s="192">
        <v>850000.0</v>
      </c>
      <c r="E61" s="193">
        <v>0.3333333333333333</v>
      </c>
      <c r="F61" s="193">
        <v>0.7083333333333334</v>
      </c>
      <c r="G61" s="194">
        <f t="shared" si="1"/>
        <v>9</v>
      </c>
      <c r="H61" s="195">
        <f t="shared" si="2"/>
        <v>1</v>
      </c>
      <c r="I61" s="192">
        <f t="shared" ref="I61:I63" si="15">D61/30/9</f>
        <v>3148.148148</v>
      </c>
      <c r="J61" s="196"/>
      <c r="K61" s="192"/>
      <c r="L61" s="192"/>
      <c r="M61" s="192">
        <f t="shared" si="4"/>
        <v>28333.33333</v>
      </c>
    </row>
    <row r="62" ht="22.5" hidden="1" customHeight="1">
      <c r="A62" s="189" t="s">
        <v>28</v>
      </c>
      <c r="B62" s="190">
        <v>46035.0</v>
      </c>
      <c r="C62" s="191">
        <v>46035.0</v>
      </c>
      <c r="D62" s="192">
        <v>550000.0</v>
      </c>
      <c r="E62" s="193">
        <v>0.3333333333333333</v>
      </c>
      <c r="F62" s="193">
        <v>0.7083333333333334</v>
      </c>
      <c r="G62" s="194">
        <f t="shared" si="1"/>
        <v>9</v>
      </c>
      <c r="H62" s="195">
        <f t="shared" si="2"/>
        <v>1</v>
      </c>
      <c r="I62" s="192">
        <f t="shared" si="15"/>
        <v>2037.037037</v>
      </c>
      <c r="J62" s="196"/>
      <c r="K62" s="192"/>
      <c r="L62" s="192"/>
      <c r="M62" s="192">
        <f t="shared" si="4"/>
        <v>18333.33333</v>
      </c>
    </row>
    <row r="63" ht="22.5" hidden="1" customHeight="1">
      <c r="A63" s="197" t="s">
        <v>102</v>
      </c>
      <c r="B63" s="190">
        <v>46035.0</v>
      </c>
      <c r="C63" s="191">
        <v>46035.0</v>
      </c>
      <c r="D63" s="192">
        <v>350000.0</v>
      </c>
      <c r="E63" s="193">
        <v>0.3333333333284827</v>
      </c>
      <c r="F63" s="193">
        <v>0.7083333333333334</v>
      </c>
      <c r="G63" s="194">
        <f t="shared" si="1"/>
        <v>9</v>
      </c>
      <c r="H63" s="195">
        <f t="shared" si="2"/>
        <v>1</v>
      </c>
      <c r="I63" s="192">
        <f t="shared" si="15"/>
        <v>1296.296296</v>
      </c>
      <c r="J63" s="196"/>
      <c r="K63" s="192"/>
      <c r="L63" s="192"/>
      <c r="M63" s="192">
        <f t="shared" si="4"/>
        <v>11666.66667</v>
      </c>
    </row>
    <row r="64" ht="22.5" hidden="1" customHeight="1">
      <c r="A64" s="189" t="s">
        <v>63</v>
      </c>
      <c r="B64" s="190">
        <v>46035.0</v>
      </c>
      <c r="C64" s="191">
        <v>46035.0</v>
      </c>
      <c r="D64" s="192">
        <v>500000.0</v>
      </c>
      <c r="E64" s="193">
        <v>0.3333333333284827</v>
      </c>
      <c r="F64" s="193">
        <v>0.7083333333284827</v>
      </c>
      <c r="G64" s="194">
        <f t="shared" si="1"/>
        <v>9</v>
      </c>
      <c r="H64" s="195">
        <f t="shared" si="2"/>
        <v>1</v>
      </c>
      <c r="I64" s="192">
        <f>D64/26/9</f>
        <v>2136.752137</v>
      </c>
      <c r="J64" s="196"/>
      <c r="K64" s="192"/>
      <c r="L64" s="192"/>
      <c r="M64" s="192">
        <f t="shared" si="4"/>
        <v>19230.76923</v>
      </c>
    </row>
    <row r="65" ht="22.5" hidden="1" customHeight="1">
      <c r="A65" s="189" t="s">
        <v>27</v>
      </c>
      <c r="B65" s="190">
        <v>46036.0</v>
      </c>
      <c r="C65" s="191">
        <v>46036.0</v>
      </c>
      <c r="D65" s="192">
        <v>850000.0</v>
      </c>
      <c r="E65" s="193">
        <v>0.3333333333333333</v>
      </c>
      <c r="F65" s="193">
        <v>0.7083333333333334</v>
      </c>
      <c r="G65" s="194">
        <f t="shared" si="1"/>
        <v>9</v>
      </c>
      <c r="H65" s="195">
        <f t="shared" si="2"/>
        <v>1</v>
      </c>
      <c r="I65" s="192">
        <f t="shared" ref="I65:I67" si="16">D65/30/9</f>
        <v>3148.148148</v>
      </c>
      <c r="J65" s="196"/>
      <c r="K65" s="192"/>
      <c r="L65" s="192"/>
      <c r="M65" s="192">
        <f t="shared" si="4"/>
        <v>28333.33333</v>
      </c>
    </row>
    <row r="66" ht="22.5" hidden="1" customHeight="1">
      <c r="A66" s="189" t="s">
        <v>28</v>
      </c>
      <c r="B66" s="190">
        <v>46036.0</v>
      </c>
      <c r="C66" s="191">
        <v>46036.0</v>
      </c>
      <c r="D66" s="192">
        <v>550000.0</v>
      </c>
      <c r="E66" s="193">
        <v>0.3333333333333333</v>
      </c>
      <c r="F66" s="193">
        <v>0.7083333333333334</v>
      </c>
      <c r="G66" s="194">
        <f t="shared" si="1"/>
        <v>9</v>
      </c>
      <c r="H66" s="195">
        <f t="shared" si="2"/>
        <v>1</v>
      </c>
      <c r="I66" s="192">
        <f t="shared" si="16"/>
        <v>2037.037037</v>
      </c>
      <c r="J66" s="196"/>
      <c r="K66" s="192"/>
      <c r="L66" s="192"/>
      <c r="M66" s="192">
        <f t="shared" si="4"/>
        <v>18333.33333</v>
      </c>
    </row>
    <row r="67" ht="22.5" hidden="1" customHeight="1">
      <c r="A67" s="197" t="s">
        <v>102</v>
      </c>
      <c r="B67" s="190">
        <v>46036.0</v>
      </c>
      <c r="C67" s="191">
        <v>46036.0</v>
      </c>
      <c r="D67" s="192">
        <v>350000.0</v>
      </c>
      <c r="E67" s="193">
        <v>0.3333333333284827</v>
      </c>
      <c r="F67" s="193">
        <v>0.7083333333333334</v>
      </c>
      <c r="G67" s="194">
        <f t="shared" si="1"/>
        <v>9</v>
      </c>
      <c r="H67" s="195">
        <f t="shared" si="2"/>
        <v>1</v>
      </c>
      <c r="I67" s="192">
        <f t="shared" si="16"/>
        <v>1296.296296</v>
      </c>
      <c r="J67" s="196"/>
      <c r="K67" s="192">
        <v>183000.0</v>
      </c>
      <c r="L67" s="192"/>
      <c r="M67" s="192">
        <f t="shared" si="4"/>
        <v>11666.66667</v>
      </c>
    </row>
    <row r="68" ht="22.5" hidden="1" customHeight="1">
      <c r="A68" s="189" t="s">
        <v>63</v>
      </c>
      <c r="B68" s="190">
        <v>46036.0</v>
      </c>
      <c r="C68" s="191">
        <v>46036.0</v>
      </c>
      <c r="D68" s="192">
        <v>500000.0</v>
      </c>
      <c r="E68" s="193">
        <v>0.3333333333284827</v>
      </c>
      <c r="F68" s="193">
        <v>0.7083333333284827</v>
      </c>
      <c r="G68" s="194">
        <f t="shared" si="1"/>
        <v>9</v>
      </c>
      <c r="H68" s="195">
        <f t="shared" si="2"/>
        <v>1</v>
      </c>
      <c r="I68" s="192">
        <f>D68/26/9</f>
        <v>2136.752137</v>
      </c>
      <c r="J68" s="196"/>
      <c r="K68" s="192"/>
      <c r="L68" s="192"/>
      <c r="M68" s="192">
        <f t="shared" si="4"/>
        <v>19230.76923</v>
      </c>
    </row>
    <row r="69" ht="22.5" hidden="1" customHeight="1">
      <c r="A69" s="189" t="s">
        <v>27</v>
      </c>
      <c r="B69" s="190">
        <v>46037.0</v>
      </c>
      <c r="C69" s="191">
        <v>46037.0</v>
      </c>
      <c r="D69" s="192">
        <v>850000.0</v>
      </c>
      <c r="E69" s="193">
        <v>0.3333333333333333</v>
      </c>
      <c r="F69" s="193">
        <v>0.7083333333333334</v>
      </c>
      <c r="G69" s="194">
        <f t="shared" si="1"/>
        <v>9</v>
      </c>
      <c r="H69" s="195">
        <f t="shared" si="2"/>
        <v>1</v>
      </c>
      <c r="I69" s="192">
        <f t="shared" ref="I69:I71" si="17">D69/30/9</f>
        <v>3148.148148</v>
      </c>
      <c r="J69" s="196"/>
      <c r="K69" s="192"/>
      <c r="L69" s="192"/>
      <c r="M69" s="192">
        <f t="shared" si="4"/>
        <v>28333.33333</v>
      </c>
    </row>
    <row r="70" ht="22.5" hidden="1" customHeight="1">
      <c r="A70" s="189" t="s">
        <v>28</v>
      </c>
      <c r="B70" s="190">
        <v>46037.0</v>
      </c>
      <c r="C70" s="191">
        <v>46037.0</v>
      </c>
      <c r="D70" s="192">
        <v>550000.0</v>
      </c>
      <c r="E70" s="193">
        <v>0.3333333333333333</v>
      </c>
      <c r="F70" s="193">
        <v>0.7083333333333334</v>
      </c>
      <c r="G70" s="194">
        <f t="shared" si="1"/>
        <v>9</v>
      </c>
      <c r="H70" s="195">
        <f t="shared" si="2"/>
        <v>1</v>
      </c>
      <c r="I70" s="192">
        <f t="shared" si="17"/>
        <v>2037.037037</v>
      </c>
      <c r="J70" s="196"/>
      <c r="K70" s="192"/>
      <c r="L70" s="192"/>
      <c r="M70" s="192">
        <f t="shared" si="4"/>
        <v>18333.33333</v>
      </c>
    </row>
    <row r="71" ht="22.5" hidden="1" customHeight="1">
      <c r="A71" s="197" t="s">
        <v>102</v>
      </c>
      <c r="B71" s="190">
        <v>46037.0</v>
      </c>
      <c r="C71" s="191">
        <v>46037.0</v>
      </c>
      <c r="D71" s="192">
        <v>350000.0</v>
      </c>
      <c r="E71" s="193">
        <v>0.3333333333284827</v>
      </c>
      <c r="F71" s="193">
        <v>0.7083333333333334</v>
      </c>
      <c r="G71" s="194">
        <f t="shared" si="1"/>
        <v>9</v>
      </c>
      <c r="H71" s="195">
        <f t="shared" si="2"/>
        <v>1</v>
      </c>
      <c r="I71" s="192">
        <f t="shared" si="17"/>
        <v>1296.296296</v>
      </c>
      <c r="J71" s="196"/>
      <c r="K71" s="192"/>
      <c r="L71" s="192"/>
      <c r="M71" s="192">
        <f t="shared" si="4"/>
        <v>11666.66667</v>
      </c>
    </row>
    <row r="72" ht="22.5" hidden="1" customHeight="1">
      <c r="A72" s="189" t="s">
        <v>63</v>
      </c>
      <c r="B72" s="190">
        <v>46037.0</v>
      </c>
      <c r="C72" s="191">
        <v>46037.0</v>
      </c>
      <c r="D72" s="192">
        <v>500000.0</v>
      </c>
      <c r="E72" s="193">
        <v>0.3333333333284827</v>
      </c>
      <c r="F72" s="193">
        <v>0.7083333333284827</v>
      </c>
      <c r="G72" s="194">
        <f t="shared" si="1"/>
        <v>9</v>
      </c>
      <c r="H72" s="195">
        <f t="shared" si="2"/>
        <v>1</v>
      </c>
      <c r="I72" s="192">
        <f>D72/26/9</f>
        <v>2136.752137</v>
      </c>
      <c r="J72" s="196"/>
      <c r="K72" s="192"/>
      <c r="L72" s="192"/>
      <c r="M72" s="192">
        <f t="shared" si="4"/>
        <v>19230.76923</v>
      </c>
    </row>
    <row r="73" ht="22.5" hidden="1" customHeight="1">
      <c r="A73" s="189" t="s">
        <v>27</v>
      </c>
      <c r="B73" s="190">
        <v>46038.0</v>
      </c>
      <c r="C73" s="191">
        <v>46038.0</v>
      </c>
      <c r="D73" s="192">
        <v>850000.0</v>
      </c>
      <c r="E73" s="193">
        <v>0.3333333333333333</v>
      </c>
      <c r="F73" s="193">
        <v>0.7083333333333334</v>
      </c>
      <c r="G73" s="194">
        <f t="shared" si="1"/>
        <v>9</v>
      </c>
      <c r="H73" s="195">
        <f t="shared" si="2"/>
        <v>1</v>
      </c>
      <c r="I73" s="192">
        <f t="shared" ref="I73:I75" si="18">D73/30/9</f>
        <v>3148.148148</v>
      </c>
      <c r="J73" s="196"/>
      <c r="K73" s="192"/>
      <c r="L73" s="192"/>
      <c r="M73" s="192">
        <f t="shared" si="4"/>
        <v>28333.33333</v>
      </c>
    </row>
    <row r="74" ht="22.5" hidden="1" customHeight="1">
      <c r="A74" s="189" t="s">
        <v>28</v>
      </c>
      <c r="B74" s="190">
        <v>46038.0</v>
      </c>
      <c r="C74" s="191">
        <v>46038.0</v>
      </c>
      <c r="D74" s="192">
        <v>550000.0</v>
      </c>
      <c r="E74" s="193">
        <v>0.3333333333333333</v>
      </c>
      <c r="F74" s="193">
        <v>0.7083333333333334</v>
      </c>
      <c r="G74" s="194">
        <f t="shared" si="1"/>
        <v>9</v>
      </c>
      <c r="H74" s="195">
        <f t="shared" si="2"/>
        <v>1</v>
      </c>
      <c r="I74" s="192">
        <f t="shared" si="18"/>
        <v>2037.037037</v>
      </c>
      <c r="J74" s="196"/>
      <c r="K74" s="192"/>
      <c r="L74" s="192"/>
      <c r="M74" s="192">
        <f t="shared" si="4"/>
        <v>18333.33333</v>
      </c>
    </row>
    <row r="75" ht="22.5" hidden="1" customHeight="1">
      <c r="A75" s="197" t="s">
        <v>102</v>
      </c>
      <c r="B75" s="190">
        <v>46038.0</v>
      </c>
      <c r="C75" s="191">
        <v>46038.0</v>
      </c>
      <c r="D75" s="192">
        <v>350000.0</v>
      </c>
      <c r="E75" s="193">
        <v>0.3333333333284827</v>
      </c>
      <c r="F75" s="193">
        <v>0.7083333333333334</v>
      </c>
      <c r="G75" s="194">
        <f t="shared" si="1"/>
        <v>9</v>
      </c>
      <c r="H75" s="195">
        <f t="shared" si="2"/>
        <v>1</v>
      </c>
      <c r="I75" s="192">
        <f t="shared" si="18"/>
        <v>1296.296296</v>
      </c>
      <c r="J75" s="196"/>
      <c r="K75" s="192"/>
      <c r="L75" s="192"/>
      <c r="M75" s="192">
        <f t="shared" si="4"/>
        <v>11666.66667</v>
      </c>
    </row>
    <row r="76" ht="22.5" hidden="1" customHeight="1">
      <c r="A76" s="189" t="s">
        <v>63</v>
      </c>
      <c r="B76" s="190">
        <v>46038.0</v>
      </c>
      <c r="C76" s="191">
        <v>46038.0</v>
      </c>
      <c r="D76" s="192">
        <v>500000.0</v>
      </c>
      <c r="E76" s="193">
        <v>0.3333333333284827</v>
      </c>
      <c r="F76" s="193">
        <v>0.7083333333284827</v>
      </c>
      <c r="G76" s="194">
        <f t="shared" si="1"/>
        <v>9</v>
      </c>
      <c r="H76" s="195">
        <f t="shared" si="2"/>
        <v>1</v>
      </c>
      <c r="I76" s="192">
        <f>D76/26/9</f>
        <v>2136.752137</v>
      </c>
      <c r="J76" s="196"/>
      <c r="K76" s="192"/>
      <c r="L76" s="192"/>
      <c r="M76" s="192">
        <f t="shared" si="4"/>
        <v>19230.76923</v>
      </c>
    </row>
    <row r="77" ht="22.5" hidden="1" customHeight="1">
      <c r="A77" s="189" t="s">
        <v>27</v>
      </c>
      <c r="B77" s="190">
        <v>46039.0</v>
      </c>
      <c r="C77" s="191">
        <v>46039.0</v>
      </c>
      <c r="D77" s="192">
        <v>850000.0</v>
      </c>
      <c r="E77" s="193">
        <v>0.3333333333333333</v>
      </c>
      <c r="F77" s="193">
        <v>0.7083333333333334</v>
      </c>
      <c r="G77" s="194">
        <f t="shared" si="1"/>
        <v>9</v>
      </c>
      <c r="H77" s="195">
        <f t="shared" si="2"/>
        <v>1</v>
      </c>
      <c r="I77" s="192">
        <f t="shared" ref="I77:I79" si="19">D77/30/9</f>
        <v>3148.148148</v>
      </c>
      <c r="J77" s="196"/>
      <c r="K77" s="192"/>
      <c r="L77" s="192"/>
      <c r="M77" s="192">
        <f t="shared" si="4"/>
        <v>28333.33333</v>
      </c>
    </row>
    <row r="78" ht="22.5" hidden="1" customHeight="1">
      <c r="A78" s="189" t="s">
        <v>28</v>
      </c>
      <c r="B78" s="190">
        <v>46039.0</v>
      </c>
      <c r="C78" s="191">
        <v>46039.0</v>
      </c>
      <c r="D78" s="192">
        <v>550000.0</v>
      </c>
      <c r="E78" s="193">
        <v>0.3333333333333333</v>
      </c>
      <c r="F78" s="193">
        <v>0.7083333333333334</v>
      </c>
      <c r="G78" s="194">
        <f t="shared" si="1"/>
        <v>9</v>
      </c>
      <c r="H78" s="195">
        <f t="shared" si="2"/>
        <v>1</v>
      </c>
      <c r="I78" s="192">
        <f t="shared" si="19"/>
        <v>2037.037037</v>
      </c>
      <c r="J78" s="196"/>
      <c r="K78" s="192"/>
      <c r="L78" s="192"/>
      <c r="M78" s="192">
        <f t="shared" si="4"/>
        <v>18333.33333</v>
      </c>
    </row>
    <row r="79" ht="22.5" hidden="1" customHeight="1">
      <c r="A79" s="197" t="s">
        <v>102</v>
      </c>
      <c r="B79" s="190">
        <v>46039.0</v>
      </c>
      <c r="C79" s="191">
        <v>46039.0</v>
      </c>
      <c r="D79" s="192">
        <v>350000.0</v>
      </c>
      <c r="E79" s="193">
        <v>0.3333333333284827</v>
      </c>
      <c r="F79" s="193">
        <v>0.7083333333333334</v>
      </c>
      <c r="G79" s="194">
        <f t="shared" si="1"/>
        <v>9</v>
      </c>
      <c r="H79" s="195">
        <f t="shared" si="2"/>
        <v>1</v>
      </c>
      <c r="I79" s="192">
        <f t="shared" si="19"/>
        <v>1296.296296</v>
      </c>
      <c r="J79" s="196"/>
      <c r="K79" s="192"/>
      <c r="L79" s="192"/>
      <c r="M79" s="192">
        <f t="shared" si="4"/>
        <v>11666.66667</v>
      </c>
    </row>
    <row r="80" ht="22.5" hidden="1" customHeight="1">
      <c r="A80" s="189" t="s">
        <v>63</v>
      </c>
      <c r="B80" s="190">
        <v>46039.0</v>
      </c>
      <c r="C80" s="191">
        <v>46039.0</v>
      </c>
      <c r="D80" s="192">
        <v>500000.0</v>
      </c>
      <c r="E80" s="193">
        <v>0.3333333333284827</v>
      </c>
      <c r="F80" s="193">
        <v>0.7083333333284827</v>
      </c>
      <c r="G80" s="194">
        <f t="shared" si="1"/>
        <v>9</v>
      </c>
      <c r="H80" s="195">
        <f t="shared" si="2"/>
        <v>1</v>
      </c>
      <c r="I80" s="192">
        <f>D80/26/9</f>
        <v>2136.752137</v>
      </c>
      <c r="J80" s="196"/>
      <c r="K80" s="192"/>
      <c r="L80" s="192"/>
      <c r="M80" s="192">
        <f t="shared" si="4"/>
        <v>19230.76923</v>
      </c>
    </row>
    <row r="81" ht="22.5" hidden="1" customHeight="1">
      <c r="A81" s="189" t="s">
        <v>27</v>
      </c>
      <c r="B81" s="190">
        <v>46040.0</v>
      </c>
      <c r="C81" s="191">
        <v>46040.0</v>
      </c>
      <c r="D81" s="192">
        <v>850000.0</v>
      </c>
      <c r="E81" s="193">
        <v>0.3333333333333333</v>
      </c>
      <c r="F81" s="193">
        <v>0.7083333333333334</v>
      </c>
      <c r="G81" s="194">
        <f t="shared" si="1"/>
        <v>9</v>
      </c>
      <c r="H81" s="195">
        <f t="shared" si="2"/>
        <v>1</v>
      </c>
      <c r="I81" s="192">
        <f t="shared" ref="I81:I84" si="20">D81/30/9</f>
        <v>3148.148148</v>
      </c>
      <c r="J81" s="196"/>
      <c r="K81" s="192"/>
      <c r="L81" s="192"/>
      <c r="M81" s="192">
        <f t="shared" si="4"/>
        <v>28333.33333</v>
      </c>
    </row>
    <row r="82" ht="22.5" hidden="1" customHeight="1">
      <c r="A82" s="189" t="s">
        <v>28</v>
      </c>
      <c r="B82" s="190">
        <v>46040.0</v>
      </c>
      <c r="C82" s="191">
        <v>46040.0</v>
      </c>
      <c r="D82" s="192">
        <v>550000.0</v>
      </c>
      <c r="E82" s="193">
        <v>0.3333333333333333</v>
      </c>
      <c r="F82" s="193">
        <v>0.7083333333333334</v>
      </c>
      <c r="G82" s="194">
        <f t="shared" si="1"/>
        <v>9</v>
      </c>
      <c r="H82" s="195">
        <f t="shared" si="2"/>
        <v>1</v>
      </c>
      <c r="I82" s="192">
        <f t="shared" si="20"/>
        <v>2037.037037</v>
      </c>
      <c r="J82" s="196"/>
      <c r="K82" s="192"/>
      <c r="L82" s="192"/>
      <c r="M82" s="192">
        <f t="shared" si="4"/>
        <v>18333.33333</v>
      </c>
    </row>
    <row r="83" ht="22.5" hidden="1" customHeight="1">
      <c r="A83" s="189" t="s">
        <v>29</v>
      </c>
      <c r="B83" s="190">
        <v>46040.0</v>
      </c>
      <c r="C83" s="191">
        <v>46040.0</v>
      </c>
      <c r="D83" s="192">
        <v>650000.0</v>
      </c>
      <c r="E83" s="193">
        <v>0.3333333333333333</v>
      </c>
      <c r="F83" s="193">
        <v>0.7083333333333334</v>
      </c>
      <c r="G83" s="194">
        <f t="shared" si="1"/>
        <v>9</v>
      </c>
      <c r="H83" s="195">
        <f t="shared" si="2"/>
        <v>1</v>
      </c>
      <c r="I83" s="192">
        <f t="shared" si="20"/>
        <v>2407.407407</v>
      </c>
      <c r="J83" s="196"/>
      <c r="K83" s="192"/>
      <c r="L83" s="192"/>
      <c r="M83" s="192">
        <f t="shared" si="4"/>
        <v>21666.66667</v>
      </c>
    </row>
    <row r="84" ht="22.5" hidden="1" customHeight="1">
      <c r="A84" s="197" t="s">
        <v>102</v>
      </c>
      <c r="B84" s="190">
        <v>46040.0</v>
      </c>
      <c r="C84" s="191">
        <v>46040.0</v>
      </c>
      <c r="D84" s="192">
        <v>350000.0</v>
      </c>
      <c r="E84" s="193">
        <v>0.3333333333284827</v>
      </c>
      <c r="F84" s="193">
        <v>0.7083333333333334</v>
      </c>
      <c r="G84" s="194">
        <f t="shared" si="1"/>
        <v>9</v>
      </c>
      <c r="H84" s="195">
        <f t="shared" si="2"/>
        <v>1</v>
      </c>
      <c r="I84" s="192">
        <f t="shared" si="20"/>
        <v>1296.296296</v>
      </c>
      <c r="J84" s="196"/>
      <c r="K84" s="192"/>
      <c r="L84" s="192"/>
      <c r="M84" s="192">
        <f t="shared" si="4"/>
        <v>11666.66667</v>
      </c>
    </row>
    <row r="85" ht="22.5" hidden="1" customHeight="1">
      <c r="A85" s="189" t="s">
        <v>63</v>
      </c>
      <c r="B85" s="190">
        <v>46040.0</v>
      </c>
      <c r="C85" s="191">
        <v>46040.0</v>
      </c>
      <c r="D85" s="192">
        <v>500000.0</v>
      </c>
      <c r="E85" s="193">
        <v>0.3333333333284827</v>
      </c>
      <c r="F85" s="193">
        <v>0.7083333333284827</v>
      </c>
      <c r="G85" s="194">
        <f t="shared" si="1"/>
        <v>9</v>
      </c>
      <c r="H85" s="195">
        <f t="shared" si="2"/>
        <v>1</v>
      </c>
      <c r="I85" s="192">
        <f>D85/26/9</f>
        <v>2136.752137</v>
      </c>
      <c r="J85" s="196"/>
      <c r="K85" s="192"/>
      <c r="L85" s="192"/>
      <c r="M85" s="192">
        <f t="shared" si="4"/>
        <v>19230.76923</v>
      </c>
    </row>
    <row r="86" ht="22.5" hidden="1" customHeight="1">
      <c r="A86" s="189" t="s">
        <v>27</v>
      </c>
      <c r="B86" s="190">
        <v>46041.0</v>
      </c>
      <c r="C86" s="191">
        <v>46041.0</v>
      </c>
      <c r="D86" s="192">
        <v>850000.0</v>
      </c>
      <c r="E86" s="193">
        <v>0.3333333333333333</v>
      </c>
      <c r="F86" s="193">
        <v>0.7083333333333334</v>
      </c>
      <c r="G86" s="194">
        <f t="shared" si="1"/>
        <v>9</v>
      </c>
      <c r="H86" s="195">
        <f t="shared" si="2"/>
        <v>1</v>
      </c>
      <c r="I86" s="192">
        <f t="shared" ref="I86:I89" si="21">D86/30/9</f>
        <v>3148.148148</v>
      </c>
      <c r="J86" s="196"/>
      <c r="K86" s="192">
        <v>30000.0</v>
      </c>
      <c r="L86" s="192"/>
      <c r="M86" s="192">
        <f t="shared" si="4"/>
        <v>28333.33333</v>
      </c>
    </row>
    <row r="87" ht="22.5" hidden="1" customHeight="1">
      <c r="A87" s="189" t="s">
        <v>28</v>
      </c>
      <c r="B87" s="190">
        <v>46041.0</v>
      </c>
      <c r="C87" s="191">
        <v>46041.0</v>
      </c>
      <c r="D87" s="192">
        <v>550000.0</v>
      </c>
      <c r="E87" s="193">
        <v>0.3333333333333333</v>
      </c>
      <c r="F87" s="193">
        <v>0.7083333333333334</v>
      </c>
      <c r="G87" s="194">
        <f t="shared" si="1"/>
        <v>9</v>
      </c>
      <c r="H87" s="195">
        <f t="shared" si="2"/>
        <v>1</v>
      </c>
      <c r="I87" s="192">
        <f t="shared" si="21"/>
        <v>2037.037037</v>
      </c>
      <c r="J87" s="196"/>
      <c r="K87" s="192"/>
      <c r="L87" s="192"/>
      <c r="M87" s="192">
        <f t="shared" si="4"/>
        <v>18333.33333</v>
      </c>
    </row>
    <row r="88" ht="22.5" hidden="1" customHeight="1">
      <c r="A88" s="189" t="s">
        <v>29</v>
      </c>
      <c r="B88" s="190">
        <v>46041.0</v>
      </c>
      <c r="C88" s="191">
        <v>46041.0</v>
      </c>
      <c r="D88" s="192">
        <v>650000.0</v>
      </c>
      <c r="E88" s="193">
        <v>0.3333333333333333</v>
      </c>
      <c r="F88" s="193">
        <v>0.75</v>
      </c>
      <c r="G88" s="194">
        <f t="shared" si="1"/>
        <v>10</v>
      </c>
      <c r="H88" s="195">
        <f t="shared" si="2"/>
        <v>1</v>
      </c>
      <c r="I88" s="192">
        <f t="shared" si="21"/>
        <v>2407.407407</v>
      </c>
      <c r="J88" s="196"/>
      <c r="K88" s="192"/>
      <c r="L88" s="192"/>
      <c r="M88" s="192">
        <f t="shared" si="4"/>
        <v>24074.07407</v>
      </c>
    </row>
    <row r="89" ht="22.5" hidden="1" customHeight="1">
      <c r="A89" s="197" t="s">
        <v>102</v>
      </c>
      <c r="B89" s="190">
        <v>46041.0</v>
      </c>
      <c r="C89" s="191">
        <v>46041.0</v>
      </c>
      <c r="D89" s="192">
        <v>350000.0</v>
      </c>
      <c r="E89" s="193">
        <v>0.3333333333284827</v>
      </c>
      <c r="F89" s="193">
        <v>0.7083333333333334</v>
      </c>
      <c r="G89" s="194">
        <f t="shared" si="1"/>
        <v>9</v>
      </c>
      <c r="H89" s="195">
        <f t="shared" si="2"/>
        <v>1</v>
      </c>
      <c r="I89" s="192">
        <f t="shared" si="21"/>
        <v>1296.296296</v>
      </c>
      <c r="J89" s="196"/>
      <c r="K89" s="192"/>
      <c r="L89" s="192"/>
      <c r="M89" s="192">
        <f t="shared" si="4"/>
        <v>11666.66667</v>
      </c>
    </row>
    <row r="90" ht="22.5" hidden="1" customHeight="1">
      <c r="A90" s="189" t="s">
        <v>63</v>
      </c>
      <c r="B90" s="190">
        <v>46041.0</v>
      </c>
      <c r="C90" s="191">
        <v>46041.0</v>
      </c>
      <c r="D90" s="192">
        <v>500000.0</v>
      </c>
      <c r="E90" s="193">
        <v>0.3333333333284827</v>
      </c>
      <c r="F90" s="193">
        <v>0.7083333333284827</v>
      </c>
      <c r="G90" s="194">
        <f t="shared" si="1"/>
        <v>9</v>
      </c>
      <c r="H90" s="195">
        <f t="shared" si="2"/>
        <v>1</v>
      </c>
      <c r="I90" s="192">
        <f>D90/26/9</f>
        <v>2136.752137</v>
      </c>
      <c r="J90" s="196"/>
      <c r="K90" s="192">
        <v>96923.07692307711</v>
      </c>
      <c r="L90" s="192"/>
      <c r="M90" s="192">
        <f t="shared" si="4"/>
        <v>19230.76923</v>
      </c>
    </row>
    <row r="91" ht="22.5" hidden="1" customHeight="1">
      <c r="A91" s="189" t="s">
        <v>27</v>
      </c>
      <c r="B91" s="190">
        <v>46042.0</v>
      </c>
      <c r="C91" s="191">
        <v>46042.0</v>
      </c>
      <c r="D91" s="192">
        <v>850000.0</v>
      </c>
      <c r="E91" s="193">
        <v>0.3333333333333333</v>
      </c>
      <c r="F91" s="193">
        <v>0.7083333333333334</v>
      </c>
      <c r="G91" s="194">
        <f t="shared" si="1"/>
        <v>9</v>
      </c>
      <c r="H91" s="195">
        <f t="shared" si="2"/>
        <v>1</v>
      </c>
      <c r="I91" s="192">
        <f t="shared" ref="I91:I93" si="22">D91/30/9</f>
        <v>3148.148148</v>
      </c>
      <c r="J91" s="196"/>
      <c r="K91" s="198">
        <v>81000.0</v>
      </c>
      <c r="L91" s="198"/>
      <c r="M91" s="192">
        <f t="shared" si="4"/>
        <v>28333.33333</v>
      </c>
    </row>
    <row r="92" ht="22.5" hidden="1" customHeight="1">
      <c r="A92" s="189" t="s">
        <v>29</v>
      </c>
      <c r="B92" s="190">
        <v>46042.0</v>
      </c>
      <c r="C92" s="191">
        <v>46042.0</v>
      </c>
      <c r="D92" s="192">
        <v>650000.0</v>
      </c>
      <c r="E92" s="193">
        <v>0.3333333333333333</v>
      </c>
      <c r="F92" s="193">
        <v>0.8958333333333334</v>
      </c>
      <c r="G92" s="194">
        <f t="shared" si="1"/>
        <v>13.5</v>
      </c>
      <c r="H92" s="195">
        <f t="shared" si="2"/>
        <v>1</v>
      </c>
      <c r="I92" s="192">
        <f t="shared" si="22"/>
        <v>2407.407407</v>
      </c>
      <c r="J92" s="196"/>
      <c r="K92" s="192"/>
      <c r="L92" s="192"/>
      <c r="M92" s="192">
        <f t="shared" si="4"/>
        <v>32500</v>
      </c>
    </row>
    <row r="93" ht="22.5" hidden="1" customHeight="1">
      <c r="A93" s="197" t="s">
        <v>102</v>
      </c>
      <c r="B93" s="190">
        <v>46042.0</v>
      </c>
      <c r="C93" s="191">
        <v>46042.0</v>
      </c>
      <c r="D93" s="192">
        <v>350000.0</v>
      </c>
      <c r="E93" s="193">
        <v>0.3333333333284827</v>
      </c>
      <c r="F93" s="193">
        <v>0.7083333333333334</v>
      </c>
      <c r="G93" s="194">
        <f t="shared" si="1"/>
        <v>9</v>
      </c>
      <c r="H93" s="195">
        <f t="shared" si="2"/>
        <v>1</v>
      </c>
      <c r="I93" s="192">
        <f t="shared" si="22"/>
        <v>1296.296296</v>
      </c>
      <c r="J93" s="196"/>
      <c r="K93" s="192"/>
      <c r="L93" s="192"/>
      <c r="M93" s="192">
        <f t="shared" si="4"/>
        <v>11666.66667</v>
      </c>
    </row>
    <row r="94" ht="22.5" hidden="1" customHeight="1">
      <c r="A94" s="189" t="s">
        <v>63</v>
      </c>
      <c r="B94" s="190">
        <v>46042.0</v>
      </c>
      <c r="C94" s="191">
        <v>46042.0</v>
      </c>
      <c r="D94" s="192">
        <v>500000.0</v>
      </c>
      <c r="E94" s="193">
        <v>0.3333333333284827</v>
      </c>
      <c r="F94" s="193">
        <v>0.7083333333284827</v>
      </c>
      <c r="G94" s="194">
        <f t="shared" si="1"/>
        <v>9</v>
      </c>
      <c r="H94" s="195">
        <f t="shared" si="2"/>
        <v>1</v>
      </c>
      <c r="I94" s="192">
        <f>D94/26/9</f>
        <v>2136.752137</v>
      </c>
      <c r="J94" s="196"/>
      <c r="K94" s="192"/>
      <c r="L94" s="192"/>
      <c r="M94" s="192">
        <f t="shared" si="4"/>
        <v>19230.76923</v>
      </c>
    </row>
    <row r="95" ht="22.5" hidden="1" customHeight="1">
      <c r="A95" s="189" t="s">
        <v>27</v>
      </c>
      <c r="B95" s="190">
        <v>46043.0</v>
      </c>
      <c r="C95" s="191">
        <v>46043.0</v>
      </c>
      <c r="D95" s="192">
        <v>850000.0</v>
      </c>
      <c r="E95" s="193">
        <v>0.3333333333333333</v>
      </c>
      <c r="F95" s="193">
        <v>0.7083333333333334</v>
      </c>
      <c r="G95" s="194">
        <f t="shared" si="1"/>
        <v>9</v>
      </c>
      <c r="H95" s="195">
        <f t="shared" si="2"/>
        <v>1</v>
      </c>
      <c r="I95" s="192">
        <f t="shared" ref="I95:I98" si="23">D95/30/9</f>
        <v>3148.148148</v>
      </c>
      <c r="J95" s="196"/>
      <c r="K95" s="192"/>
      <c r="L95" s="192"/>
      <c r="M95" s="192">
        <f t="shared" si="4"/>
        <v>28333.33333</v>
      </c>
    </row>
    <row r="96" ht="22.5" hidden="1" customHeight="1">
      <c r="A96" s="189" t="s">
        <v>28</v>
      </c>
      <c r="B96" s="190">
        <v>46043.0</v>
      </c>
      <c r="C96" s="191">
        <v>46043.0</v>
      </c>
      <c r="D96" s="192">
        <v>550000.0</v>
      </c>
      <c r="E96" s="193">
        <v>0.41041666666666665</v>
      </c>
      <c r="F96" s="193">
        <v>0.9263888888888889</v>
      </c>
      <c r="G96" s="194">
        <f t="shared" si="1"/>
        <v>12.38333333</v>
      </c>
      <c r="H96" s="195">
        <f t="shared" si="2"/>
        <v>1</v>
      </c>
      <c r="I96" s="192">
        <f t="shared" si="23"/>
        <v>2037.037037</v>
      </c>
      <c r="J96" s="196"/>
      <c r="K96" s="192"/>
      <c r="L96" s="192"/>
      <c r="M96" s="192">
        <f t="shared" si="4"/>
        <v>25225.30864</v>
      </c>
    </row>
    <row r="97" ht="22.5" hidden="1" customHeight="1">
      <c r="A97" s="189" t="s">
        <v>29</v>
      </c>
      <c r="B97" s="190">
        <v>46043.0</v>
      </c>
      <c r="C97" s="191">
        <v>46043.0</v>
      </c>
      <c r="D97" s="192">
        <v>650000.0</v>
      </c>
      <c r="E97" s="193">
        <v>0.41041666666666665</v>
      </c>
      <c r="F97" s="193">
        <v>0.7083333333333334</v>
      </c>
      <c r="G97" s="194">
        <f t="shared" si="1"/>
        <v>7.15</v>
      </c>
      <c r="H97" s="195">
        <f t="shared" si="2"/>
        <v>1</v>
      </c>
      <c r="I97" s="192">
        <f t="shared" si="23"/>
        <v>2407.407407</v>
      </c>
      <c r="J97" s="196"/>
      <c r="K97" s="192"/>
      <c r="L97" s="192"/>
      <c r="M97" s="192">
        <f t="shared" si="4"/>
        <v>17212.96296</v>
      </c>
    </row>
    <row r="98" ht="22.5" hidden="1" customHeight="1">
      <c r="A98" s="197" t="s">
        <v>102</v>
      </c>
      <c r="B98" s="190">
        <v>46043.0</v>
      </c>
      <c r="C98" s="191">
        <v>46043.0</v>
      </c>
      <c r="D98" s="192">
        <v>350000.0</v>
      </c>
      <c r="E98" s="193">
        <v>0.3333333333284827</v>
      </c>
      <c r="F98" s="193">
        <v>0.7083333333333334</v>
      </c>
      <c r="G98" s="194">
        <f t="shared" si="1"/>
        <v>9</v>
      </c>
      <c r="H98" s="195">
        <f t="shared" si="2"/>
        <v>1</v>
      </c>
      <c r="I98" s="192">
        <f t="shared" si="23"/>
        <v>1296.296296</v>
      </c>
      <c r="J98" s="196"/>
      <c r="K98" s="192"/>
      <c r="L98" s="192"/>
      <c r="M98" s="192">
        <f t="shared" si="4"/>
        <v>11666.66667</v>
      </c>
    </row>
    <row r="99" ht="22.5" hidden="1" customHeight="1">
      <c r="A99" s="189" t="s">
        <v>63</v>
      </c>
      <c r="B99" s="190">
        <v>46043.0</v>
      </c>
      <c r="C99" s="191">
        <v>46043.0</v>
      </c>
      <c r="D99" s="192">
        <v>500000.0</v>
      </c>
      <c r="E99" s="193">
        <v>0.3333333333284827</v>
      </c>
      <c r="F99" s="193">
        <v>0.7083333333284827</v>
      </c>
      <c r="G99" s="194">
        <f t="shared" si="1"/>
        <v>9</v>
      </c>
      <c r="H99" s="195">
        <f t="shared" si="2"/>
        <v>1</v>
      </c>
      <c r="I99" s="192">
        <f>D99/26/9</f>
        <v>2136.752137</v>
      </c>
      <c r="J99" s="196"/>
      <c r="K99" s="192"/>
      <c r="L99" s="192"/>
      <c r="M99" s="192">
        <f t="shared" si="4"/>
        <v>19230.76923</v>
      </c>
    </row>
    <row r="100" ht="22.5" hidden="1" customHeight="1">
      <c r="A100" s="189" t="s">
        <v>27</v>
      </c>
      <c r="B100" s="190">
        <v>46044.0</v>
      </c>
      <c r="C100" s="191">
        <v>46044.0</v>
      </c>
      <c r="D100" s="192">
        <v>850000.0</v>
      </c>
      <c r="E100" s="193">
        <v>0.3333333333333333</v>
      </c>
      <c r="F100" s="193">
        <v>0.7083333333333334</v>
      </c>
      <c r="G100" s="194">
        <f t="shared" si="1"/>
        <v>9</v>
      </c>
      <c r="H100" s="195">
        <f t="shared" si="2"/>
        <v>1</v>
      </c>
      <c r="I100" s="192">
        <f t="shared" ref="I100:I102" si="24">D100/30/9</f>
        <v>3148.148148</v>
      </c>
      <c r="J100" s="196"/>
      <c r="K100" s="192"/>
      <c r="L100" s="192"/>
      <c r="M100" s="192">
        <f t="shared" si="4"/>
        <v>28333.33333</v>
      </c>
    </row>
    <row r="101" ht="22.5" hidden="1" customHeight="1">
      <c r="A101" s="189" t="s">
        <v>29</v>
      </c>
      <c r="B101" s="190">
        <v>46044.0</v>
      </c>
      <c r="C101" s="191">
        <v>46044.0</v>
      </c>
      <c r="D101" s="192">
        <v>650000.0</v>
      </c>
      <c r="E101" s="193">
        <v>0.3333333333333333</v>
      </c>
      <c r="F101" s="193">
        <v>0.4166666666666667</v>
      </c>
      <c r="G101" s="194">
        <f t="shared" si="1"/>
        <v>2</v>
      </c>
      <c r="H101" s="195">
        <f t="shared" si="2"/>
        <v>1</v>
      </c>
      <c r="I101" s="192">
        <f t="shared" si="24"/>
        <v>2407.407407</v>
      </c>
      <c r="J101" s="196"/>
      <c r="K101" s="192"/>
      <c r="L101" s="192"/>
      <c r="M101" s="192">
        <f t="shared" si="4"/>
        <v>4814.814815</v>
      </c>
    </row>
    <row r="102" ht="22.5" hidden="1" customHeight="1">
      <c r="A102" s="197" t="s">
        <v>102</v>
      </c>
      <c r="B102" s="190">
        <v>46044.0</v>
      </c>
      <c r="C102" s="191">
        <v>46044.0</v>
      </c>
      <c r="D102" s="192">
        <v>350000.0</v>
      </c>
      <c r="E102" s="193">
        <v>0.3333333333284827</v>
      </c>
      <c r="F102" s="193">
        <v>0.7083333333333334</v>
      </c>
      <c r="G102" s="194">
        <f t="shared" si="1"/>
        <v>9</v>
      </c>
      <c r="H102" s="195">
        <f t="shared" si="2"/>
        <v>1</v>
      </c>
      <c r="I102" s="192">
        <f t="shared" si="24"/>
        <v>1296.296296</v>
      </c>
      <c r="J102" s="196"/>
      <c r="K102" s="192"/>
      <c r="L102" s="192"/>
      <c r="M102" s="192">
        <f t="shared" si="4"/>
        <v>11666.66667</v>
      </c>
    </row>
    <row r="103" ht="22.5" hidden="1" customHeight="1">
      <c r="A103" s="189" t="s">
        <v>63</v>
      </c>
      <c r="B103" s="190">
        <v>46044.0</v>
      </c>
      <c r="C103" s="191">
        <v>46044.0</v>
      </c>
      <c r="D103" s="192">
        <v>500000.0</v>
      </c>
      <c r="E103" s="193">
        <v>0.3333333333284827</v>
      </c>
      <c r="F103" s="193">
        <v>0.7083333333284827</v>
      </c>
      <c r="G103" s="194">
        <f t="shared" si="1"/>
        <v>9</v>
      </c>
      <c r="H103" s="195">
        <f t="shared" si="2"/>
        <v>1</v>
      </c>
      <c r="I103" s="192">
        <f>D103/26/9</f>
        <v>2136.752137</v>
      </c>
      <c r="J103" s="196"/>
      <c r="K103" s="192"/>
      <c r="L103" s="192"/>
      <c r="M103" s="192">
        <f t="shared" si="4"/>
        <v>19230.76923</v>
      </c>
    </row>
    <row r="104" ht="22.5" hidden="1" customHeight="1">
      <c r="A104" s="189" t="s">
        <v>27</v>
      </c>
      <c r="B104" s="190">
        <v>46045.0</v>
      </c>
      <c r="C104" s="191">
        <v>46045.0</v>
      </c>
      <c r="D104" s="192">
        <v>850000.0</v>
      </c>
      <c r="E104" s="193">
        <v>0.3333333333333333</v>
      </c>
      <c r="F104" s="193">
        <v>0.7083333333333334</v>
      </c>
      <c r="G104" s="194">
        <f t="shared" si="1"/>
        <v>9</v>
      </c>
      <c r="H104" s="195">
        <f t="shared" si="2"/>
        <v>1</v>
      </c>
      <c r="I104" s="192">
        <f t="shared" ref="I104:I105" si="25">D104/30/9</f>
        <v>3148.148148</v>
      </c>
      <c r="J104" s="196"/>
      <c r="K104" s="192"/>
      <c r="L104" s="192"/>
      <c r="M104" s="192">
        <f t="shared" si="4"/>
        <v>28333.33333</v>
      </c>
    </row>
    <row r="105" ht="22.5" hidden="1" customHeight="1">
      <c r="A105" s="197" t="s">
        <v>102</v>
      </c>
      <c r="B105" s="190">
        <v>46045.0</v>
      </c>
      <c r="C105" s="191">
        <v>46045.0</v>
      </c>
      <c r="D105" s="192">
        <v>350000.0</v>
      </c>
      <c r="E105" s="193">
        <v>0.3333333333284827</v>
      </c>
      <c r="F105" s="193">
        <v>0.7083333333333334</v>
      </c>
      <c r="G105" s="194">
        <f t="shared" si="1"/>
        <v>9</v>
      </c>
      <c r="H105" s="195">
        <f t="shared" si="2"/>
        <v>1</v>
      </c>
      <c r="I105" s="192">
        <f t="shared" si="25"/>
        <v>1296.296296</v>
      </c>
      <c r="J105" s="196"/>
      <c r="K105" s="192"/>
      <c r="L105" s="192"/>
      <c r="M105" s="192">
        <f t="shared" si="4"/>
        <v>11666.66667</v>
      </c>
    </row>
    <row r="106" ht="22.5" hidden="1" customHeight="1">
      <c r="A106" s="189" t="s">
        <v>63</v>
      </c>
      <c r="B106" s="190">
        <v>46045.0</v>
      </c>
      <c r="C106" s="191">
        <v>46045.0</v>
      </c>
      <c r="D106" s="192">
        <v>500000.0</v>
      </c>
      <c r="E106" s="193">
        <v>0.3333333333284827</v>
      </c>
      <c r="F106" s="193">
        <v>0.7083333333284827</v>
      </c>
      <c r="G106" s="194">
        <f t="shared" si="1"/>
        <v>9</v>
      </c>
      <c r="H106" s="195">
        <f t="shared" si="2"/>
        <v>1</v>
      </c>
      <c r="I106" s="192">
        <f>D106/26/9</f>
        <v>2136.752137</v>
      </c>
      <c r="J106" s="196"/>
      <c r="K106" s="192"/>
      <c r="L106" s="192"/>
      <c r="M106" s="192">
        <f t="shared" si="4"/>
        <v>19230.76923</v>
      </c>
    </row>
    <row r="107" ht="22.5" hidden="1" customHeight="1">
      <c r="A107" s="189" t="s">
        <v>27</v>
      </c>
      <c r="B107" s="190">
        <v>46046.0</v>
      </c>
      <c r="C107" s="191">
        <v>46046.0</v>
      </c>
      <c r="D107" s="192">
        <v>850000.0</v>
      </c>
      <c r="E107" s="193">
        <v>0.3333333333333333</v>
      </c>
      <c r="F107" s="193">
        <v>0.7083333333333334</v>
      </c>
      <c r="G107" s="194">
        <f t="shared" si="1"/>
        <v>9</v>
      </c>
      <c r="H107" s="195">
        <f t="shared" si="2"/>
        <v>1</v>
      </c>
      <c r="I107" s="192">
        <f t="shared" ref="I107:I110" si="26">D107/30/9</f>
        <v>3148.148148</v>
      </c>
      <c r="J107" s="196"/>
      <c r="K107" s="192"/>
      <c r="L107" s="192"/>
      <c r="M107" s="192">
        <f t="shared" si="4"/>
        <v>28333.33333</v>
      </c>
    </row>
    <row r="108" ht="22.5" hidden="1" customHeight="1">
      <c r="A108" s="189" t="s">
        <v>28</v>
      </c>
      <c r="B108" s="190">
        <v>46046.0</v>
      </c>
      <c r="C108" s="191">
        <v>46046.0</v>
      </c>
      <c r="D108" s="192">
        <v>550000.0</v>
      </c>
      <c r="E108" s="193">
        <v>0.3333333333333333</v>
      </c>
      <c r="F108" s="193">
        <v>0.5520833333333334</v>
      </c>
      <c r="G108" s="194">
        <f t="shared" si="1"/>
        <v>5.25</v>
      </c>
      <c r="H108" s="195">
        <f t="shared" si="2"/>
        <v>1</v>
      </c>
      <c r="I108" s="192">
        <f t="shared" si="26"/>
        <v>2037.037037</v>
      </c>
      <c r="J108" s="196"/>
      <c r="K108" s="192"/>
      <c r="L108" s="192"/>
      <c r="M108" s="192">
        <f t="shared" si="4"/>
        <v>10694.44444</v>
      </c>
    </row>
    <row r="109" ht="22.5" hidden="1" customHeight="1">
      <c r="A109" s="189" t="s">
        <v>112</v>
      </c>
      <c r="B109" s="190">
        <v>46046.0</v>
      </c>
      <c r="C109" s="191">
        <v>46046.0</v>
      </c>
      <c r="D109" s="192">
        <v>600000.0</v>
      </c>
      <c r="E109" s="193">
        <v>0.3333333333333333</v>
      </c>
      <c r="F109" s="193">
        <v>0.7083333333333334</v>
      </c>
      <c r="G109" s="194">
        <f t="shared" si="1"/>
        <v>9</v>
      </c>
      <c r="H109" s="195">
        <f t="shared" si="2"/>
        <v>1</v>
      </c>
      <c r="I109" s="192">
        <f t="shared" si="26"/>
        <v>2222.222222</v>
      </c>
      <c r="J109" s="196"/>
      <c r="K109" s="192"/>
      <c r="L109" s="192"/>
      <c r="M109" s="192">
        <f t="shared" si="4"/>
        <v>20000</v>
      </c>
    </row>
    <row r="110" ht="22.5" hidden="1" customHeight="1">
      <c r="A110" s="197" t="s">
        <v>102</v>
      </c>
      <c r="B110" s="190">
        <v>46046.0</v>
      </c>
      <c r="C110" s="191">
        <v>46046.0</v>
      </c>
      <c r="D110" s="192">
        <v>350000.0</v>
      </c>
      <c r="E110" s="193">
        <v>0.3333333333284827</v>
      </c>
      <c r="F110" s="193">
        <v>0.7083333333333334</v>
      </c>
      <c r="G110" s="194">
        <f t="shared" si="1"/>
        <v>9</v>
      </c>
      <c r="H110" s="195">
        <f t="shared" si="2"/>
        <v>1</v>
      </c>
      <c r="I110" s="192">
        <f t="shared" si="26"/>
        <v>1296.296296</v>
      </c>
      <c r="J110" s="196"/>
      <c r="K110" s="192"/>
      <c r="L110" s="192"/>
      <c r="M110" s="192">
        <f t="shared" si="4"/>
        <v>11666.66667</v>
      </c>
    </row>
    <row r="111" ht="22.5" hidden="1" customHeight="1">
      <c r="A111" s="189" t="s">
        <v>63</v>
      </c>
      <c r="B111" s="190">
        <v>46046.0</v>
      </c>
      <c r="C111" s="191">
        <v>46046.0</v>
      </c>
      <c r="D111" s="192">
        <v>500000.0</v>
      </c>
      <c r="E111" s="193">
        <v>0.3333333333284827</v>
      </c>
      <c r="F111" s="193">
        <v>0.7083333333284827</v>
      </c>
      <c r="G111" s="194">
        <f t="shared" si="1"/>
        <v>9</v>
      </c>
      <c r="H111" s="195">
        <f t="shared" si="2"/>
        <v>1</v>
      </c>
      <c r="I111" s="192">
        <f>D111/26/9</f>
        <v>2136.752137</v>
      </c>
      <c r="J111" s="196"/>
      <c r="K111" s="192"/>
      <c r="L111" s="192"/>
      <c r="M111" s="192">
        <f t="shared" si="4"/>
        <v>19230.76923</v>
      </c>
    </row>
    <row r="112" ht="22.5" hidden="1" customHeight="1">
      <c r="A112" s="189" t="s">
        <v>27</v>
      </c>
      <c r="B112" s="190">
        <v>46047.0</v>
      </c>
      <c r="C112" s="191">
        <v>46047.0</v>
      </c>
      <c r="D112" s="192">
        <v>850000.0</v>
      </c>
      <c r="E112" s="193">
        <v>0.3333333333333333</v>
      </c>
      <c r="F112" s="193">
        <v>0.7083333333333334</v>
      </c>
      <c r="G112" s="194">
        <f t="shared" si="1"/>
        <v>9</v>
      </c>
      <c r="H112" s="195">
        <f t="shared" si="2"/>
        <v>1</v>
      </c>
      <c r="I112" s="192">
        <f t="shared" ref="I112:I115" si="27">D112/30/9</f>
        <v>3148.148148</v>
      </c>
      <c r="J112" s="196"/>
      <c r="K112" s="192"/>
      <c r="L112" s="192"/>
      <c r="M112" s="192">
        <f t="shared" si="4"/>
        <v>28333.33333</v>
      </c>
    </row>
    <row r="113" ht="22.5" hidden="1" customHeight="1">
      <c r="A113" s="189" t="s">
        <v>28</v>
      </c>
      <c r="B113" s="190">
        <v>46047.0</v>
      </c>
      <c r="C113" s="191">
        <v>46047.0</v>
      </c>
      <c r="D113" s="192">
        <v>550000.0</v>
      </c>
      <c r="E113" s="193">
        <v>0.3333333333333333</v>
      </c>
      <c r="F113" s="193">
        <v>0.7083333333333334</v>
      </c>
      <c r="G113" s="194">
        <f t="shared" si="1"/>
        <v>9</v>
      </c>
      <c r="H113" s="195">
        <f t="shared" si="2"/>
        <v>1</v>
      </c>
      <c r="I113" s="192">
        <f t="shared" si="27"/>
        <v>2037.037037</v>
      </c>
      <c r="J113" s="196"/>
      <c r="K113" s="192"/>
      <c r="L113" s="192"/>
      <c r="M113" s="192">
        <f t="shared" si="4"/>
        <v>18333.33333</v>
      </c>
    </row>
    <row r="114" ht="22.5" hidden="1" customHeight="1">
      <c r="A114" s="189" t="s">
        <v>29</v>
      </c>
      <c r="B114" s="190">
        <v>46047.0</v>
      </c>
      <c r="C114" s="191">
        <v>46047.0</v>
      </c>
      <c r="D114" s="192">
        <v>650000.0</v>
      </c>
      <c r="E114" s="193">
        <v>0.37083333333333335</v>
      </c>
      <c r="F114" s="193">
        <v>0.75</v>
      </c>
      <c r="G114" s="194">
        <f t="shared" si="1"/>
        <v>9.1</v>
      </c>
      <c r="H114" s="195">
        <f t="shared" si="2"/>
        <v>1</v>
      </c>
      <c r="I114" s="192">
        <f t="shared" si="27"/>
        <v>2407.407407</v>
      </c>
      <c r="J114" s="196"/>
      <c r="K114" s="192"/>
      <c r="L114" s="192"/>
      <c r="M114" s="192">
        <f t="shared" si="4"/>
        <v>21907.40741</v>
      </c>
    </row>
    <row r="115" ht="22.5" hidden="1" customHeight="1">
      <c r="A115" s="197" t="s">
        <v>102</v>
      </c>
      <c r="B115" s="190">
        <v>46047.0</v>
      </c>
      <c r="C115" s="191">
        <v>46047.0</v>
      </c>
      <c r="D115" s="192">
        <v>350000.0</v>
      </c>
      <c r="E115" s="193">
        <v>0.3333333333284827</v>
      </c>
      <c r="F115" s="193">
        <v>0.7083333333333334</v>
      </c>
      <c r="G115" s="194">
        <f t="shared" si="1"/>
        <v>9</v>
      </c>
      <c r="H115" s="195">
        <f t="shared" si="2"/>
        <v>1</v>
      </c>
      <c r="I115" s="192">
        <f t="shared" si="27"/>
        <v>1296.296296</v>
      </c>
      <c r="J115" s="196"/>
      <c r="K115" s="192"/>
      <c r="L115" s="192"/>
      <c r="M115" s="192">
        <f t="shared" si="4"/>
        <v>11666.66667</v>
      </c>
    </row>
    <row r="116" ht="22.5" hidden="1" customHeight="1">
      <c r="A116" s="189" t="s">
        <v>63</v>
      </c>
      <c r="B116" s="190">
        <v>46047.0</v>
      </c>
      <c r="C116" s="191">
        <v>46047.0</v>
      </c>
      <c r="D116" s="192">
        <v>500000.0</v>
      </c>
      <c r="E116" s="193">
        <v>0.3333333333284827</v>
      </c>
      <c r="F116" s="193">
        <v>0.7083333333284827</v>
      </c>
      <c r="G116" s="194">
        <f t="shared" si="1"/>
        <v>9</v>
      </c>
      <c r="H116" s="195">
        <f t="shared" si="2"/>
        <v>1</v>
      </c>
      <c r="I116" s="192">
        <f>D116/26/9</f>
        <v>2136.752137</v>
      </c>
      <c r="J116" s="196"/>
      <c r="K116" s="192"/>
      <c r="L116" s="192"/>
      <c r="M116" s="192">
        <f t="shared" si="4"/>
        <v>19230.76923</v>
      </c>
    </row>
    <row r="117" ht="22.5" hidden="1" customHeight="1">
      <c r="A117" s="189" t="s">
        <v>27</v>
      </c>
      <c r="B117" s="190">
        <v>46048.0</v>
      </c>
      <c r="C117" s="191">
        <v>46048.0</v>
      </c>
      <c r="D117" s="192">
        <v>850000.0</v>
      </c>
      <c r="E117" s="193">
        <v>0.3333333333333333</v>
      </c>
      <c r="F117" s="193">
        <v>0.7083333333333334</v>
      </c>
      <c r="G117" s="194">
        <f t="shared" si="1"/>
        <v>9</v>
      </c>
      <c r="H117" s="195">
        <f t="shared" si="2"/>
        <v>1</v>
      </c>
      <c r="I117" s="192">
        <f t="shared" ref="I117:I121" si="28">D117/30/9</f>
        <v>3148.148148</v>
      </c>
      <c r="J117" s="196"/>
      <c r="K117" s="192"/>
      <c r="L117" s="192"/>
      <c r="M117" s="192">
        <f t="shared" si="4"/>
        <v>28333.33333</v>
      </c>
    </row>
    <row r="118" ht="22.5" hidden="1" customHeight="1">
      <c r="A118" s="189" t="s">
        <v>28</v>
      </c>
      <c r="B118" s="190">
        <v>46048.0</v>
      </c>
      <c r="C118" s="191">
        <v>46048.0</v>
      </c>
      <c r="D118" s="192">
        <v>550000.0</v>
      </c>
      <c r="E118" s="193">
        <v>0.3333333333333333</v>
      </c>
      <c r="F118" s="193">
        <v>0.7083333333333334</v>
      </c>
      <c r="G118" s="194">
        <f t="shared" si="1"/>
        <v>9</v>
      </c>
      <c r="H118" s="195">
        <f t="shared" si="2"/>
        <v>1</v>
      </c>
      <c r="I118" s="192">
        <f t="shared" si="28"/>
        <v>2037.037037</v>
      </c>
      <c r="J118" s="196"/>
      <c r="K118" s="192"/>
      <c r="L118" s="192"/>
      <c r="M118" s="192">
        <f t="shared" si="4"/>
        <v>18333.33333</v>
      </c>
    </row>
    <row r="119" ht="22.5" hidden="1" customHeight="1">
      <c r="A119" s="189" t="s">
        <v>29</v>
      </c>
      <c r="B119" s="190">
        <v>46048.0</v>
      </c>
      <c r="C119" s="191">
        <v>46048.0</v>
      </c>
      <c r="D119" s="192">
        <v>650000.0</v>
      </c>
      <c r="E119" s="193">
        <v>0.4388888888888889</v>
      </c>
      <c r="F119" s="193">
        <v>0.6458333333333334</v>
      </c>
      <c r="G119" s="194">
        <f t="shared" si="1"/>
        <v>4.966666667</v>
      </c>
      <c r="H119" s="195">
        <f t="shared" si="2"/>
        <v>1</v>
      </c>
      <c r="I119" s="192">
        <f t="shared" si="28"/>
        <v>2407.407407</v>
      </c>
      <c r="J119" s="196"/>
      <c r="K119" s="192"/>
      <c r="L119" s="192"/>
      <c r="M119" s="192">
        <f t="shared" si="4"/>
        <v>11956.79012</v>
      </c>
    </row>
    <row r="120" ht="22.5" hidden="1" customHeight="1">
      <c r="A120" s="189" t="s">
        <v>112</v>
      </c>
      <c r="B120" s="190">
        <v>46048.0</v>
      </c>
      <c r="C120" s="191">
        <v>46048.0</v>
      </c>
      <c r="D120" s="192">
        <v>600000.0</v>
      </c>
      <c r="E120" s="193">
        <v>0.3333333333333333</v>
      </c>
      <c r="F120" s="193">
        <v>0.7083333333333334</v>
      </c>
      <c r="G120" s="194">
        <f t="shared" si="1"/>
        <v>9</v>
      </c>
      <c r="H120" s="195">
        <f t="shared" si="2"/>
        <v>1</v>
      </c>
      <c r="I120" s="192">
        <f t="shared" si="28"/>
        <v>2222.222222</v>
      </c>
      <c r="J120" s="196"/>
      <c r="K120" s="192"/>
      <c r="L120" s="192"/>
      <c r="M120" s="192">
        <f t="shared" si="4"/>
        <v>20000</v>
      </c>
    </row>
    <row r="121" ht="22.5" hidden="1" customHeight="1">
      <c r="A121" s="197" t="s">
        <v>102</v>
      </c>
      <c r="B121" s="190">
        <v>46048.0</v>
      </c>
      <c r="C121" s="191">
        <v>46048.0</v>
      </c>
      <c r="D121" s="192">
        <v>350000.0</v>
      </c>
      <c r="E121" s="193">
        <v>0.3333333333284827</v>
      </c>
      <c r="F121" s="193">
        <v>0.7083333333333334</v>
      </c>
      <c r="G121" s="194">
        <f t="shared" si="1"/>
        <v>9</v>
      </c>
      <c r="H121" s="195">
        <f t="shared" si="2"/>
        <v>1</v>
      </c>
      <c r="I121" s="192">
        <f t="shared" si="28"/>
        <v>1296.296296</v>
      </c>
      <c r="J121" s="196"/>
      <c r="K121" s="192"/>
      <c r="L121" s="192"/>
      <c r="M121" s="192">
        <f t="shared" si="4"/>
        <v>11666.66667</v>
      </c>
    </row>
    <row r="122" ht="22.5" hidden="1" customHeight="1">
      <c r="A122" s="189" t="s">
        <v>63</v>
      </c>
      <c r="B122" s="190">
        <v>46048.0</v>
      </c>
      <c r="C122" s="191">
        <v>46048.0</v>
      </c>
      <c r="D122" s="192">
        <v>500000.0</v>
      </c>
      <c r="E122" s="193">
        <v>0.3333333333284827</v>
      </c>
      <c r="F122" s="193">
        <v>0.7083333333284827</v>
      </c>
      <c r="G122" s="194">
        <f t="shared" si="1"/>
        <v>9</v>
      </c>
      <c r="H122" s="195">
        <f t="shared" si="2"/>
        <v>1</v>
      </c>
      <c r="I122" s="192">
        <f>D122/26/9</f>
        <v>2136.752137</v>
      </c>
      <c r="J122" s="196"/>
      <c r="K122" s="192"/>
      <c r="L122" s="192"/>
      <c r="M122" s="192">
        <f t="shared" si="4"/>
        <v>19230.76923</v>
      </c>
    </row>
    <row r="123" ht="22.5" hidden="1" customHeight="1">
      <c r="A123" s="189" t="s">
        <v>27</v>
      </c>
      <c r="B123" s="190">
        <v>46049.0</v>
      </c>
      <c r="C123" s="191">
        <v>46049.0</v>
      </c>
      <c r="D123" s="192">
        <v>850000.0</v>
      </c>
      <c r="E123" s="193">
        <v>0.3333333333333333</v>
      </c>
      <c r="F123" s="193">
        <v>0.7083333333333334</v>
      </c>
      <c r="G123" s="194">
        <f t="shared" si="1"/>
        <v>9</v>
      </c>
      <c r="H123" s="195">
        <f t="shared" si="2"/>
        <v>1</v>
      </c>
      <c r="I123" s="192">
        <f t="shared" ref="I123:I125" si="29">D123/30/9</f>
        <v>3148.148148</v>
      </c>
      <c r="J123" s="196"/>
      <c r="K123" s="192"/>
      <c r="L123" s="192"/>
      <c r="M123" s="192">
        <f t="shared" si="4"/>
        <v>28333.33333</v>
      </c>
    </row>
    <row r="124" ht="22.5" hidden="1" customHeight="1">
      <c r="A124" s="189" t="s">
        <v>29</v>
      </c>
      <c r="B124" s="190">
        <v>46049.0</v>
      </c>
      <c r="C124" s="191">
        <v>46049.0</v>
      </c>
      <c r="D124" s="192">
        <v>650000.0</v>
      </c>
      <c r="E124" s="193">
        <v>0.38680555555555557</v>
      </c>
      <c r="F124" s="193">
        <v>0.8333333333333334</v>
      </c>
      <c r="G124" s="194">
        <f t="shared" si="1"/>
        <v>10.71666667</v>
      </c>
      <c r="H124" s="195">
        <f t="shared" si="2"/>
        <v>1</v>
      </c>
      <c r="I124" s="192">
        <f t="shared" si="29"/>
        <v>2407.407407</v>
      </c>
      <c r="J124" s="196"/>
      <c r="K124" s="192"/>
      <c r="L124" s="192"/>
      <c r="M124" s="192">
        <f t="shared" si="4"/>
        <v>25799.38272</v>
      </c>
    </row>
    <row r="125" ht="22.5" hidden="1" customHeight="1">
      <c r="A125" s="197" t="s">
        <v>102</v>
      </c>
      <c r="B125" s="190">
        <v>46049.0</v>
      </c>
      <c r="C125" s="191">
        <v>46049.0</v>
      </c>
      <c r="D125" s="192">
        <v>350000.0</v>
      </c>
      <c r="E125" s="193">
        <v>0.3333333333284827</v>
      </c>
      <c r="F125" s="193">
        <v>0.7083333333333334</v>
      </c>
      <c r="G125" s="194">
        <f t="shared" si="1"/>
        <v>9</v>
      </c>
      <c r="H125" s="195">
        <f t="shared" si="2"/>
        <v>1</v>
      </c>
      <c r="I125" s="192">
        <f t="shared" si="29"/>
        <v>1296.296296</v>
      </c>
      <c r="J125" s="196"/>
      <c r="K125" s="192"/>
      <c r="L125" s="192"/>
      <c r="M125" s="192">
        <f t="shared" si="4"/>
        <v>11666.66667</v>
      </c>
    </row>
    <row r="126" ht="22.5" hidden="1" customHeight="1">
      <c r="A126" s="189" t="s">
        <v>63</v>
      </c>
      <c r="B126" s="190">
        <v>46049.0</v>
      </c>
      <c r="C126" s="191">
        <v>46049.0</v>
      </c>
      <c r="D126" s="192">
        <v>500000.0</v>
      </c>
      <c r="E126" s="193">
        <v>0.3333333333284827</v>
      </c>
      <c r="F126" s="193">
        <v>0.7083333333284827</v>
      </c>
      <c r="G126" s="194">
        <f t="shared" si="1"/>
        <v>9</v>
      </c>
      <c r="H126" s="195">
        <f t="shared" si="2"/>
        <v>1</v>
      </c>
      <c r="I126" s="192">
        <f>D126/26/9</f>
        <v>2136.752137</v>
      </c>
      <c r="J126" s="196"/>
      <c r="K126" s="192"/>
      <c r="L126" s="192"/>
      <c r="M126" s="192">
        <f t="shared" si="4"/>
        <v>19230.76923</v>
      </c>
    </row>
    <row r="127" ht="22.5" hidden="1" customHeight="1">
      <c r="A127" s="189" t="s">
        <v>27</v>
      </c>
      <c r="B127" s="190">
        <v>46050.0</v>
      </c>
      <c r="C127" s="191">
        <v>46050.0</v>
      </c>
      <c r="D127" s="192">
        <v>850000.0</v>
      </c>
      <c r="E127" s="193">
        <v>0.3333333333333333</v>
      </c>
      <c r="F127" s="193">
        <v>0.7083333333333334</v>
      </c>
      <c r="G127" s="194">
        <f t="shared" si="1"/>
        <v>9</v>
      </c>
      <c r="H127" s="195">
        <f t="shared" si="2"/>
        <v>1</v>
      </c>
      <c r="I127" s="192">
        <f t="shared" ref="I127:I131" si="30">D127/30/9</f>
        <v>3148.148148</v>
      </c>
      <c r="J127" s="196"/>
      <c r="K127" s="192"/>
      <c r="L127" s="192"/>
      <c r="M127" s="192">
        <f t="shared" si="4"/>
        <v>28333.33333</v>
      </c>
    </row>
    <row r="128" ht="22.5" hidden="1" customHeight="1">
      <c r="A128" s="189" t="s">
        <v>28</v>
      </c>
      <c r="B128" s="190">
        <v>46050.0</v>
      </c>
      <c r="C128" s="191">
        <v>46050.0</v>
      </c>
      <c r="D128" s="192">
        <v>550000.0</v>
      </c>
      <c r="E128" s="193">
        <v>0.3333333333333333</v>
      </c>
      <c r="F128" s="193">
        <v>0.7083333333333334</v>
      </c>
      <c r="G128" s="194">
        <f t="shared" si="1"/>
        <v>9</v>
      </c>
      <c r="H128" s="195">
        <f t="shared" si="2"/>
        <v>1</v>
      </c>
      <c r="I128" s="192">
        <f t="shared" si="30"/>
        <v>2037.037037</v>
      </c>
      <c r="J128" s="196"/>
      <c r="K128" s="192"/>
      <c r="L128" s="192"/>
      <c r="M128" s="192">
        <f t="shared" si="4"/>
        <v>18333.33333</v>
      </c>
    </row>
    <row r="129" ht="22.5" hidden="1" customHeight="1">
      <c r="A129" s="189" t="s">
        <v>29</v>
      </c>
      <c r="B129" s="190">
        <v>46050.0</v>
      </c>
      <c r="C129" s="191">
        <v>46050.0</v>
      </c>
      <c r="D129" s="192">
        <v>650000.0</v>
      </c>
      <c r="E129" s="193">
        <v>0.3451388888888889</v>
      </c>
      <c r="F129" s="193">
        <v>0.75</v>
      </c>
      <c r="G129" s="194">
        <f t="shared" si="1"/>
        <v>9.716666667</v>
      </c>
      <c r="H129" s="195">
        <f t="shared" si="2"/>
        <v>1</v>
      </c>
      <c r="I129" s="192">
        <f t="shared" si="30"/>
        <v>2407.407407</v>
      </c>
      <c r="J129" s="196"/>
      <c r="K129" s="192"/>
      <c r="L129" s="192"/>
      <c r="M129" s="192">
        <f t="shared" si="4"/>
        <v>23391.97531</v>
      </c>
    </row>
    <row r="130" ht="22.5" hidden="1" customHeight="1">
      <c r="A130" s="189" t="s">
        <v>112</v>
      </c>
      <c r="B130" s="190">
        <v>46050.0</v>
      </c>
      <c r="C130" s="191">
        <v>46050.0</v>
      </c>
      <c r="D130" s="192">
        <v>600000.0</v>
      </c>
      <c r="E130" s="193">
        <v>0.3333333333333333</v>
      </c>
      <c r="F130" s="193">
        <v>0.75</v>
      </c>
      <c r="G130" s="194">
        <f t="shared" si="1"/>
        <v>10</v>
      </c>
      <c r="H130" s="195">
        <f t="shared" si="2"/>
        <v>1</v>
      </c>
      <c r="I130" s="192">
        <f t="shared" si="30"/>
        <v>2222.222222</v>
      </c>
      <c r="J130" s="196"/>
      <c r="K130" s="192"/>
      <c r="L130" s="192"/>
      <c r="M130" s="192">
        <f t="shared" si="4"/>
        <v>22222.22222</v>
      </c>
    </row>
    <row r="131" ht="22.5" hidden="1" customHeight="1">
      <c r="A131" s="197" t="s">
        <v>102</v>
      </c>
      <c r="B131" s="190">
        <v>46050.0</v>
      </c>
      <c r="C131" s="191">
        <v>46050.0</v>
      </c>
      <c r="D131" s="192">
        <v>350000.0</v>
      </c>
      <c r="E131" s="193">
        <v>0.3333333333284827</v>
      </c>
      <c r="F131" s="193">
        <v>0.7083333333333334</v>
      </c>
      <c r="G131" s="194">
        <f t="shared" si="1"/>
        <v>9</v>
      </c>
      <c r="H131" s="195">
        <f t="shared" si="2"/>
        <v>1</v>
      </c>
      <c r="I131" s="192">
        <f t="shared" si="30"/>
        <v>1296.296296</v>
      </c>
      <c r="J131" s="196"/>
      <c r="K131" s="192"/>
      <c r="L131" s="192"/>
      <c r="M131" s="192">
        <f t="shared" si="4"/>
        <v>11666.66667</v>
      </c>
    </row>
    <row r="132" ht="22.5" hidden="1" customHeight="1">
      <c r="A132" s="189" t="s">
        <v>63</v>
      </c>
      <c r="B132" s="190">
        <v>46050.0</v>
      </c>
      <c r="C132" s="191">
        <v>46050.0</v>
      </c>
      <c r="D132" s="192">
        <v>500000.0</v>
      </c>
      <c r="E132" s="193">
        <v>0.3333333333284827</v>
      </c>
      <c r="F132" s="193">
        <v>0.7083333333284827</v>
      </c>
      <c r="G132" s="194">
        <f t="shared" si="1"/>
        <v>9</v>
      </c>
      <c r="H132" s="195">
        <f t="shared" si="2"/>
        <v>1</v>
      </c>
      <c r="I132" s="192">
        <f>D132/26/9</f>
        <v>2136.752137</v>
      </c>
      <c r="J132" s="196"/>
      <c r="K132" s="192"/>
      <c r="L132" s="192"/>
      <c r="M132" s="192">
        <f t="shared" si="4"/>
        <v>19230.76923</v>
      </c>
    </row>
    <row r="133" ht="22.5" hidden="1" customHeight="1">
      <c r="A133" s="189" t="s">
        <v>27</v>
      </c>
      <c r="B133" s="190">
        <v>46051.0</v>
      </c>
      <c r="C133" s="191">
        <v>46051.0</v>
      </c>
      <c r="D133" s="192">
        <v>850000.0</v>
      </c>
      <c r="E133" s="193">
        <v>0.3333333333333333</v>
      </c>
      <c r="F133" s="193">
        <v>0.7083333333333334</v>
      </c>
      <c r="G133" s="194">
        <f t="shared" si="1"/>
        <v>9</v>
      </c>
      <c r="H133" s="195">
        <f t="shared" si="2"/>
        <v>1</v>
      </c>
      <c r="I133" s="192">
        <f t="shared" ref="I133:I137" si="31">D133/30/9</f>
        <v>3148.148148</v>
      </c>
      <c r="J133" s="196"/>
      <c r="K133" s="192"/>
      <c r="L133" s="192"/>
      <c r="M133" s="192">
        <f t="shared" si="4"/>
        <v>28333.33333</v>
      </c>
    </row>
    <row r="134" ht="22.5" hidden="1" customHeight="1">
      <c r="A134" s="189" t="s">
        <v>28</v>
      </c>
      <c r="B134" s="190">
        <v>46051.0</v>
      </c>
      <c r="C134" s="191">
        <v>46051.0</v>
      </c>
      <c r="D134" s="192">
        <v>550000.0</v>
      </c>
      <c r="E134" s="193">
        <v>0.3333333333333333</v>
      </c>
      <c r="F134" s="193">
        <v>0.7083333333333334</v>
      </c>
      <c r="G134" s="194">
        <f t="shared" si="1"/>
        <v>9</v>
      </c>
      <c r="H134" s="195">
        <f t="shared" si="2"/>
        <v>1</v>
      </c>
      <c r="I134" s="192">
        <f t="shared" si="31"/>
        <v>2037.037037</v>
      </c>
      <c r="J134" s="196"/>
      <c r="K134" s="192"/>
      <c r="L134" s="192"/>
      <c r="M134" s="192">
        <f t="shared" si="4"/>
        <v>18333.33333</v>
      </c>
    </row>
    <row r="135" ht="22.5" hidden="1" customHeight="1">
      <c r="A135" s="189" t="s">
        <v>29</v>
      </c>
      <c r="B135" s="190">
        <v>46051.0</v>
      </c>
      <c r="C135" s="191">
        <v>46051.0</v>
      </c>
      <c r="D135" s="192">
        <v>650000.0</v>
      </c>
      <c r="E135" s="193">
        <v>0.40625</v>
      </c>
      <c r="F135" s="193">
        <v>0.8229166666666666</v>
      </c>
      <c r="G135" s="194">
        <f t="shared" si="1"/>
        <v>10</v>
      </c>
      <c r="H135" s="195">
        <f t="shared" si="2"/>
        <v>1</v>
      </c>
      <c r="I135" s="192">
        <f t="shared" si="31"/>
        <v>2407.407407</v>
      </c>
      <c r="J135" s="196"/>
      <c r="K135" s="192"/>
      <c r="L135" s="192"/>
      <c r="M135" s="192">
        <f t="shared" si="4"/>
        <v>24074.07407</v>
      </c>
    </row>
    <row r="136" ht="22.5" hidden="1" customHeight="1">
      <c r="A136" s="189" t="s">
        <v>112</v>
      </c>
      <c r="B136" s="190">
        <v>46051.0</v>
      </c>
      <c r="C136" s="191">
        <v>46051.0</v>
      </c>
      <c r="D136" s="192">
        <v>600000.0</v>
      </c>
      <c r="E136" s="193">
        <v>0.3333333333333333</v>
      </c>
      <c r="F136" s="193">
        <v>0.7916666666666666</v>
      </c>
      <c r="G136" s="194">
        <f t="shared" si="1"/>
        <v>11</v>
      </c>
      <c r="H136" s="195">
        <f t="shared" si="2"/>
        <v>1</v>
      </c>
      <c r="I136" s="192">
        <f t="shared" si="31"/>
        <v>2222.222222</v>
      </c>
      <c r="J136" s="196"/>
      <c r="K136" s="192"/>
      <c r="L136" s="192"/>
      <c r="M136" s="192">
        <f t="shared" si="4"/>
        <v>24444.44444</v>
      </c>
    </row>
    <row r="137" ht="22.5" hidden="1" customHeight="1">
      <c r="A137" s="197" t="s">
        <v>102</v>
      </c>
      <c r="B137" s="190">
        <v>46051.0</v>
      </c>
      <c r="C137" s="191">
        <v>46051.0</v>
      </c>
      <c r="D137" s="192">
        <v>350000.0</v>
      </c>
      <c r="E137" s="193">
        <v>0.3333333333284827</v>
      </c>
      <c r="F137" s="193">
        <v>0.7083333333333334</v>
      </c>
      <c r="G137" s="194">
        <f t="shared" si="1"/>
        <v>9</v>
      </c>
      <c r="H137" s="195">
        <f t="shared" si="2"/>
        <v>1</v>
      </c>
      <c r="I137" s="192">
        <f t="shared" si="31"/>
        <v>1296.296296</v>
      </c>
      <c r="J137" s="196"/>
      <c r="K137" s="192"/>
      <c r="L137" s="192"/>
      <c r="M137" s="192">
        <f t="shared" si="4"/>
        <v>11666.66667</v>
      </c>
    </row>
    <row r="138" ht="22.5" hidden="1" customHeight="1">
      <c r="A138" s="189" t="s">
        <v>63</v>
      </c>
      <c r="B138" s="190">
        <v>46051.0</v>
      </c>
      <c r="C138" s="191">
        <v>46051.0</v>
      </c>
      <c r="D138" s="192">
        <v>500000.0</v>
      </c>
      <c r="E138" s="193">
        <v>0.3333333333284827</v>
      </c>
      <c r="F138" s="193">
        <v>0.7083333333284827</v>
      </c>
      <c r="G138" s="194">
        <f t="shared" si="1"/>
        <v>9</v>
      </c>
      <c r="H138" s="195">
        <f t="shared" si="2"/>
        <v>1</v>
      </c>
      <c r="I138" s="192">
        <f>D138/26/9</f>
        <v>2136.752137</v>
      </c>
      <c r="J138" s="196"/>
      <c r="K138" s="192"/>
      <c r="L138" s="192"/>
      <c r="M138" s="192">
        <f t="shared" si="4"/>
        <v>19230.76923</v>
      </c>
    </row>
    <row r="139" ht="22.5" hidden="1" customHeight="1">
      <c r="A139" s="189" t="s">
        <v>27</v>
      </c>
      <c r="B139" s="190">
        <v>46052.0</v>
      </c>
      <c r="C139" s="191">
        <v>46052.0</v>
      </c>
      <c r="D139" s="192">
        <v>850000.0</v>
      </c>
      <c r="E139" s="193">
        <v>0.3333333333333333</v>
      </c>
      <c r="F139" s="193">
        <v>0.7083333333333334</v>
      </c>
      <c r="G139" s="194">
        <f t="shared" si="1"/>
        <v>9</v>
      </c>
      <c r="H139" s="195">
        <f t="shared" si="2"/>
        <v>1</v>
      </c>
      <c r="I139" s="192">
        <f t="shared" ref="I139:I146" si="32">D139/30/9</f>
        <v>3148.148148</v>
      </c>
      <c r="J139" s="196"/>
      <c r="K139" s="192"/>
      <c r="L139" s="192"/>
      <c r="M139" s="192">
        <f t="shared" si="4"/>
        <v>28333.33333</v>
      </c>
    </row>
    <row r="140" ht="22.5" hidden="1" customHeight="1">
      <c r="A140" s="189" t="s">
        <v>28</v>
      </c>
      <c r="B140" s="190">
        <v>46052.0</v>
      </c>
      <c r="C140" s="191">
        <v>46052.0</v>
      </c>
      <c r="D140" s="192">
        <v>550000.0</v>
      </c>
      <c r="E140" s="193">
        <v>0.3333333333333333</v>
      </c>
      <c r="F140" s="193">
        <v>0.7083333333333334</v>
      </c>
      <c r="G140" s="194">
        <f t="shared" si="1"/>
        <v>9</v>
      </c>
      <c r="H140" s="195">
        <f t="shared" si="2"/>
        <v>1</v>
      </c>
      <c r="I140" s="192">
        <f t="shared" si="32"/>
        <v>2037.037037</v>
      </c>
      <c r="J140" s="196"/>
      <c r="K140" s="192"/>
      <c r="L140" s="192"/>
      <c r="M140" s="192">
        <f t="shared" si="4"/>
        <v>18333.33333</v>
      </c>
    </row>
    <row r="141" ht="22.5" hidden="1" customHeight="1">
      <c r="A141" s="197" t="s">
        <v>102</v>
      </c>
      <c r="B141" s="190">
        <v>46052.0</v>
      </c>
      <c r="C141" s="191">
        <v>46052.0</v>
      </c>
      <c r="D141" s="192">
        <v>350000.0</v>
      </c>
      <c r="E141" s="193">
        <v>0.3333333333284827</v>
      </c>
      <c r="F141" s="193">
        <v>0.7083333333333334</v>
      </c>
      <c r="G141" s="194">
        <f t="shared" si="1"/>
        <v>9</v>
      </c>
      <c r="H141" s="195">
        <f t="shared" si="2"/>
        <v>1</v>
      </c>
      <c r="I141" s="192">
        <f t="shared" si="32"/>
        <v>1296.296296</v>
      </c>
      <c r="J141" s="196"/>
      <c r="K141" s="192"/>
      <c r="L141" s="192"/>
      <c r="M141" s="192">
        <f t="shared" si="4"/>
        <v>11666.66667</v>
      </c>
    </row>
    <row r="142" ht="22.5" hidden="1" customHeight="1">
      <c r="A142" s="189" t="s">
        <v>27</v>
      </c>
      <c r="B142" s="190">
        <v>46053.0</v>
      </c>
      <c r="C142" s="191">
        <v>46053.0</v>
      </c>
      <c r="D142" s="192">
        <v>850000.0</v>
      </c>
      <c r="E142" s="193">
        <v>0.375</v>
      </c>
      <c r="F142" s="193">
        <v>0.9166666666666666</v>
      </c>
      <c r="G142" s="194">
        <f t="shared" si="1"/>
        <v>13</v>
      </c>
      <c r="H142" s="195">
        <f t="shared" si="2"/>
        <v>1</v>
      </c>
      <c r="I142" s="192">
        <f t="shared" si="32"/>
        <v>3148.148148</v>
      </c>
      <c r="J142" s="196"/>
      <c r="K142" s="192"/>
      <c r="L142" s="192"/>
      <c r="M142" s="192">
        <f t="shared" si="4"/>
        <v>40925.92593</v>
      </c>
    </row>
    <row r="143" ht="22.5" hidden="1" customHeight="1">
      <c r="A143" s="189" t="s">
        <v>28</v>
      </c>
      <c r="B143" s="190">
        <v>46053.0</v>
      </c>
      <c r="C143" s="191">
        <v>46053.0</v>
      </c>
      <c r="D143" s="192">
        <v>550000.0</v>
      </c>
      <c r="E143" s="193">
        <v>0.3333333333333333</v>
      </c>
      <c r="F143" s="193">
        <v>0.7083333333333334</v>
      </c>
      <c r="G143" s="194">
        <f t="shared" si="1"/>
        <v>9</v>
      </c>
      <c r="H143" s="195">
        <f t="shared" si="2"/>
        <v>1</v>
      </c>
      <c r="I143" s="192">
        <f t="shared" si="32"/>
        <v>2037.037037</v>
      </c>
      <c r="J143" s="196"/>
      <c r="K143" s="192"/>
      <c r="L143" s="192"/>
      <c r="M143" s="192">
        <f t="shared" si="4"/>
        <v>18333.33333</v>
      </c>
    </row>
    <row r="144" ht="22.5" hidden="1" customHeight="1">
      <c r="A144" s="189" t="s">
        <v>29</v>
      </c>
      <c r="B144" s="190">
        <v>46053.0</v>
      </c>
      <c r="C144" s="191">
        <v>46053.0</v>
      </c>
      <c r="D144" s="192">
        <v>650000.0</v>
      </c>
      <c r="E144" s="193">
        <v>0.3729166666666667</v>
      </c>
      <c r="F144" s="193">
        <v>0.9993055555555556</v>
      </c>
      <c r="G144" s="194">
        <f t="shared" si="1"/>
        <v>15.03333333</v>
      </c>
      <c r="H144" s="195">
        <f t="shared" si="2"/>
        <v>1</v>
      </c>
      <c r="I144" s="192">
        <f t="shared" si="32"/>
        <v>2407.407407</v>
      </c>
      <c r="J144" s="196"/>
      <c r="K144" s="192"/>
      <c r="L144" s="192"/>
      <c r="M144" s="192">
        <f t="shared" si="4"/>
        <v>36191.35802</v>
      </c>
    </row>
    <row r="145" ht="22.5" hidden="1" customHeight="1">
      <c r="A145" s="189" t="s">
        <v>112</v>
      </c>
      <c r="B145" s="190">
        <v>46053.0</v>
      </c>
      <c r="C145" s="191">
        <v>46053.0</v>
      </c>
      <c r="D145" s="192">
        <v>600000.0</v>
      </c>
      <c r="E145" s="193">
        <v>0.3472222222222222</v>
      </c>
      <c r="F145" s="193">
        <v>0.7916666666666666</v>
      </c>
      <c r="G145" s="194">
        <f t="shared" si="1"/>
        <v>10.66666667</v>
      </c>
      <c r="H145" s="195">
        <f t="shared" si="2"/>
        <v>1</v>
      </c>
      <c r="I145" s="192">
        <f t="shared" si="32"/>
        <v>2222.222222</v>
      </c>
      <c r="J145" s="196"/>
      <c r="K145" s="192"/>
      <c r="L145" s="192"/>
      <c r="M145" s="192">
        <f t="shared" si="4"/>
        <v>23703.7037</v>
      </c>
    </row>
    <row r="146" ht="22.5" hidden="1" customHeight="1">
      <c r="A146" s="197" t="s">
        <v>102</v>
      </c>
      <c r="B146" s="190">
        <v>46053.0</v>
      </c>
      <c r="C146" s="191">
        <v>46053.0</v>
      </c>
      <c r="D146" s="192">
        <v>350000.0</v>
      </c>
      <c r="E146" s="193">
        <v>0.3333333333284827</v>
      </c>
      <c r="F146" s="193">
        <v>0.7083333333333334</v>
      </c>
      <c r="G146" s="194">
        <f t="shared" si="1"/>
        <v>9</v>
      </c>
      <c r="H146" s="195">
        <f t="shared" si="2"/>
        <v>1</v>
      </c>
      <c r="I146" s="192">
        <f t="shared" si="32"/>
        <v>1296.296296</v>
      </c>
      <c r="J146" s="196"/>
      <c r="K146" s="192"/>
      <c r="L146" s="192"/>
      <c r="M146" s="192">
        <f t="shared" si="4"/>
        <v>11666.66667</v>
      </c>
    </row>
    <row r="147" ht="22.5" hidden="1" customHeight="1">
      <c r="A147" s="189" t="s">
        <v>63</v>
      </c>
      <c r="B147" s="190">
        <v>46053.0</v>
      </c>
      <c r="C147" s="191">
        <v>46053.0</v>
      </c>
      <c r="D147" s="192">
        <v>500000.0</v>
      </c>
      <c r="E147" s="193">
        <v>0.3333333333284827</v>
      </c>
      <c r="F147" s="193">
        <v>0.7083333333284827</v>
      </c>
      <c r="G147" s="194">
        <f t="shared" si="1"/>
        <v>9</v>
      </c>
      <c r="H147" s="195">
        <f t="shared" si="2"/>
        <v>1</v>
      </c>
      <c r="I147" s="192">
        <f>D147/26/9</f>
        <v>2136.752137</v>
      </c>
      <c r="J147" s="196"/>
      <c r="K147" s="192"/>
      <c r="L147" s="192"/>
      <c r="M147" s="192">
        <f t="shared" si="4"/>
        <v>19230.76923</v>
      </c>
    </row>
    <row r="148" ht="22.5" hidden="1" customHeight="1">
      <c r="A148" s="189" t="s">
        <v>27</v>
      </c>
      <c r="B148" s="190">
        <v>46054.0</v>
      </c>
      <c r="C148" s="191">
        <v>46054.0</v>
      </c>
      <c r="D148" s="192">
        <v>850000.0</v>
      </c>
      <c r="E148" s="199">
        <v>0.375</v>
      </c>
      <c r="F148" s="199">
        <v>0.875</v>
      </c>
      <c r="G148" s="194">
        <f t="shared" si="1"/>
        <v>12</v>
      </c>
      <c r="H148" s="195">
        <f t="shared" si="2"/>
        <v>1</v>
      </c>
      <c r="I148" s="192">
        <f t="shared" ref="I148:I444" si="33">D148/28/9</f>
        <v>3373.015873</v>
      </c>
      <c r="J148" s="196"/>
      <c r="K148" s="198"/>
      <c r="L148" s="198"/>
      <c r="M148" s="192">
        <f t="shared" si="4"/>
        <v>40476.19048</v>
      </c>
    </row>
    <row r="149" ht="22.5" hidden="1" customHeight="1">
      <c r="A149" s="189" t="s">
        <v>29</v>
      </c>
      <c r="B149" s="190">
        <v>46054.0</v>
      </c>
      <c r="C149" s="191">
        <v>46054.0</v>
      </c>
      <c r="D149" s="192">
        <v>650000.0</v>
      </c>
      <c r="E149" s="193">
        <v>0.4583333333333333</v>
      </c>
      <c r="F149" s="193">
        <v>0.7083333333333334</v>
      </c>
      <c r="G149" s="194">
        <f t="shared" si="1"/>
        <v>6</v>
      </c>
      <c r="H149" s="195">
        <f t="shared" si="2"/>
        <v>1</v>
      </c>
      <c r="I149" s="192">
        <f t="shared" si="33"/>
        <v>2579.365079</v>
      </c>
      <c r="J149" s="196"/>
      <c r="K149" s="192">
        <v>5000.0</v>
      </c>
      <c r="L149" s="192"/>
      <c r="M149" s="192">
        <f t="shared" si="4"/>
        <v>15476.19048</v>
      </c>
    </row>
    <row r="150" ht="22.5" hidden="1" customHeight="1">
      <c r="A150" s="189" t="s">
        <v>28</v>
      </c>
      <c r="B150" s="190">
        <v>46054.0</v>
      </c>
      <c r="C150" s="191">
        <v>46054.0</v>
      </c>
      <c r="D150" s="192">
        <v>550000.0</v>
      </c>
      <c r="E150" s="193">
        <v>0.3333333333333333</v>
      </c>
      <c r="F150" s="193">
        <v>0.7083333333333334</v>
      </c>
      <c r="G150" s="194">
        <f t="shared" si="1"/>
        <v>9</v>
      </c>
      <c r="H150" s="195">
        <f t="shared" si="2"/>
        <v>1</v>
      </c>
      <c r="I150" s="192">
        <f t="shared" si="33"/>
        <v>2182.539683</v>
      </c>
      <c r="J150" s="196"/>
      <c r="K150" s="192"/>
      <c r="L150" s="192"/>
      <c r="M150" s="192">
        <f t="shared" si="4"/>
        <v>19642.85714</v>
      </c>
    </row>
    <row r="151" ht="22.5" hidden="1" customHeight="1">
      <c r="A151" s="189" t="s">
        <v>63</v>
      </c>
      <c r="B151" s="190">
        <v>46054.0</v>
      </c>
      <c r="C151" s="191">
        <v>46054.0</v>
      </c>
      <c r="D151" s="192">
        <v>500000.0</v>
      </c>
      <c r="E151" s="193">
        <v>0.3333333333284827</v>
      </c>
      <c r="F151" s="193">
        <v>0.7083333333284827</v>
      </c>
      <c r="G151" s="194">
        <f t="shared" si="1"/>
        <v>9</v>
      </c>
      <c r="H151" s="195">
        <f t="shared" si="2"/>
        <v>1</v>
      </c>
      <c r="I151" s="192">
        <f t="shared" si="33"/>
        <v>1984.126984</v>
      </c>
      <c r="J151" s="196"/>
      <c r="K151" s="192"/>
      <c r="L151" s="195"/>
      <c r="M151" s="192">
        <f t="shared" si="4"/>
        <v>17857.14286</v>
      </c>
    </row>
    <row r="152" ht="22.5" hidden="1" customHeight="1">
      <c r="A152" s="197" t="s">
        <v>102</v>
      </c>
      <c r="B152" s="200">
        <v>46054.0</v>
      </c>
      <c r="C152" s="201">
        <v>46054.0</v>
      </c>
      <c r="D152" s="192">
        <v>350000.0</v>
      </c>
      <c r="E152" s="193">
        <v>0.375</v>
      </c>
      <c r="F152" s="193">
        <v>0.75</v>
      </c>
      <c r="G152" s="194">
        <f t="shared" si="1"/>
        <v>9</v>
      </c>
      <c r="H152" s="195">
        <f t="shared" si="2"/>
        <v>1</v>
      </c>
      <c r="I152" s="192">
        <f t="shared" si="33"/>
        <v>1388.888889</v>
      </c>
      <c r="J152" s="196"/>
      <c r="K152" s="192"/>
      <c r="L152" s="195"/>
      <c r="M152" s="192">
        <f t="shared" si="4"/>
        <v>12500</v>
      </c>
    </row>
    <row r="153" ht="22.5" hidden="1" customHeight="1">
      <c r="A153" s="189" t="s">
        <v>27</v>
      </c>
      <c r="B153" s="190">
        <v>46055.0</v>
      </c>
      <c r="C153" s="191">
        <v>46055.0</v>
      </c>
      <c r="D153" s="192">
        <v>850000.0</v>
      </c>
      <c r="E153" s="199">
        <v>0.375</v>
      </c>
      <c r="F153" s="199">
        <v>0.8333333333333334</v>
      </c>
      <c r="G153" s="194">
        <f t="shared" si="1"/>
        <v>11</v>
      </c>
      <c r="H153" s="195">
        <f t="shared" si="2"/>
        <v>1</v>
      </c>
      <c r="I153" s="192">
        <f t="shared" si="33"/>
        <v>3373.015873</v>
      </c>
      <c r="J153" s="196"/>
      <c r="K153" s="198"/>
      <c r="L153" s="198"/>
      <c r="M153" s="192">
        <f t="shared" si="4"/>
        <v>37103.1746</v>
      </c>
    </row>
    <row r="154" ht="22.5" hidden="1" customHeight="1">
      <c r="A154" s="189" t="s">
        <v>29</v>
      </c>
      <c r="B154" s="190">
        <v>46055.0</v>
      </c>
      <c r="C154" s="191">
        <v>46055.0</v>
      </c>
      <c r="D154" s="192">
        <v>650000.0</v>
      </c>
      <c r="E154" s="193">
        <v>0.3333333333333333</v>
      </c>
      <c r="F154" s="193">
        <v>0.7916666666666666</v>
      </c>
      <c r="G154" s="194">
        <f t="shared" si="1"/>
        <v>11</v>
      </c>
      <c r="H154" s="195">
        <f t="shared" si="2"/>
        <v>1</v>
      </c>
      <c r="I154" s="192">
        <f t="shared" si="33"/>
        <v>2579.365079</v>
      </c>
      <c r="J154" s="196"/>
      <c r="K154" s="192">
        <v>10000.0</v>
      </c>
      <c r="L154" s="192"/>
      <c r="M154" s="192">
        <f t="shared" si="4"/>
        <v>28373.01587</v>
      </c>
    </row>
    <row r="155" ht="22.5" hidden="1" customHeight="1">
      <c r="A155" s="189" t="s">
        <v>28</v>
      </c>
      <c r="B155" s="190">
        <v>46055.0</v>
      </c>
      <c r="C155" s="191">
        <v>46055.0</v>
      </c>
      <c r="D155" s="192">
        <v>550000.0</v>
      </c>
      <c r="E155" s="193">
        <v>0.3333333333333333</v>
      </c>
      <c r="F155" s="193">
        <v>0.7083333333333334</v>
      </c>
      <c r="G155" s="194">
        <f t="shared" si="1"/>
        <v>9</v>
      </c>
      <c r="H155" s="195">
        <f t="shared" si="2"/>
        <v>1</v>
      </c>
      <c r="I155" s="192">
        <f t="shared" si="33"/>
        <v>2182.539683</v>
      </c>
      <c r="J155" s="196"/>
      <c r="K155" s="192"/>
      <c r="L155" s="192"/>
      <c r="M155" s="192">
        <f t="shared" si="4"/>
        <v>19642.85714</v>
      </c>
    </row>
    <row r="156" ht="22.5" hidden="1" customHeight="1">
      <c r="A156" s="189" t="s">
        <v>36</v>
      </c>
      <c r="B156" s="190">
        <v>46055.0</v>
      </c>
      <c r="C156" s="191">
        <v>46055.0</v>
      </c>
      <c r="D156" s="192">
        <v>1012500.0</v>
      </c>
      <c r="E156" s="193">
        <v>0.3333333333333333</v>
      </c>
      <c r="F156" s="193">
        <v>0.7083333333333334</v>
      </c>
      <c r="G156" s="194">
        <f t="shared" si="1"/>
        <v>9</v>
      </c>
      <c r="H156" s="195">
        <f t="shared" si="2"/>
        <v>1</v>
      </c>
      <c r="I156" s="192">
        <f t="shared" si="33"/>
        <v>4017.857143</v>
      </c>
      <c r="J156" s="196"/>
      <c r="K156" s="192"/>
      <c r="L156" s="195"/>
      <c r="M156" s="192">
        <f t="shared" si="4"/>
        <v>36160.71429</v>
      </c>
    </row>
    <row r="157" ht="22.5" hidden="1" customHeight="1">
      <c r="A157" s="189" t="s">
        <v>63</v>
      </c>
      <c r="B157" s="190">
        <v>46055.0</v>
      </c>
      <c r="C157" s="191">
        <v>46055.0</v>
      </c>
      <c r="D157" s="192">
        <v>500000.0</v>
      </c>
      <c r="E157" s="193">
        <v>0.3333333333284827</v>
      </c>
      <c r="F157" s="193">
        <v>0.7083333333284827</v>
      </c>
      <c r="G157" s="194">
        <f t="shared" si="1"/>
        <v>9</v>
      </c>
      <c r="H157" s="195">
        <f t="shared" si="2"/>
        <v>1</v>
      </c>
      <c r="I157" s="192">
        <f t="shared" si="33"/>
        <v>1984.126984</v>
      </c>
      <c r="J157" s="196"/>
      <c r="K157" s="192"/>
      <c r="L157" s="195"/>
      <c r="M157" s="192">
        <f t="shared" si="4"/>
        <v>17857.14286</v>
      </c>
    </row>
    <row r="158" ht="22.5" hidden="1" customHeight="1">
      <c r="A158" s="197" t="s">
        <v>102</v>
      </c>
      <c r="B158" s="200">
        <v>46055.0</v>
      </c>
      <c r="C158" s="201">
        <v>46055.0</v>
      </c>
      <c r="D158" s="192">
        <v>350000.0</v>
      </c>
      <c r="E158" s="193">
        <v>0.4166666666666667</v>
      </c>
      <c r="F158" s="193">
        <v>0.7916666666666666</v>
      </c>
      <c r="G158" s="194">
        <f t="shared" si="1"/>
        <v>9</v>
      </c>
      <c r="H158" s="195">
        <f t="shared" si="2"/>
        <v>1</v>
      </c>
      <c r="I158" s="192">
        <f t="shared" si="33"/>
        <v>1388.888889</v>
      </c>
      <c r="J158" s="196"/>
      <c r="K158" s="192"/>
      <c r="L158" s="195"/>
      <c r="M158" s="192">
        <f t="shared" si="4"/>
        <v>12500</v>
      </c>
    </row>
    <row r="159" ht="22.5" hidden="1" customHeight="1">
      <c r="A159" s="189" t="s">
        <v>112</v>
      </c>
      <c r="B159" s="190">
        <v>46056.0</v>
      </c>
      <c r="C159" s="191">
        <v>46056.0</v>
      </c>
      <c r="D159" s="192">
        <v>600000.0</v>
      </c>
      <c r="E159" s="193">
        <v>0.3541666666666667</v>
      </c>
      <c r="F159" s="193">
        <v>0.875</v>
      </c>
      <c r="G159" s="194">
        <f t="shared" si="1"/>
        <v>12.5</v>
      </c>
      <c r="H159" s="195">
        <f t="shared" si="2"/>
        <v>1</v>
      </c>
      <c r="I159" s="192">
        <f t="shared" si="33"/>
        <v>2380.952381</v>
      </c>
      <c r="J159" s="196"/>
      <c r="K159" s="192">
        <v>5000.0</v>
      </c>
      <c r="L159" s="192"/>
      <c r="M159" s="192">
        <f t="shared" si="4"/>
        <v>29761.90476</v>
      </c>
    </row>
    <row r="160" ht="22.5" hidden="1" customHeight="1">
      <c r="A160" s="189" t="s">
        <v>27</v>
      </c>
      <c r="B160" s="190">
        <v>46056.0</v>
      </c>
      <c r="C160" s="191">
        <v>46056.0</v>
      </c>
      <c r="D160" s="192">
        <v>850000.0</v>
      </c>
      <c r="E160" s="193">
        <v>0.375</v>
      </c>
      <c r="F160" s="199">
        <v>0.9166666666666666</v>
      </c>
      <c r="G160" s="194">
        <f t="shared" si="1"/>
        <v>13</v>
      </c>
      <c r="H160" s="195">
        <f t="shared" si="2"/>
        <v>1</v>
      </c>
      <c r="I160" s="192">
        <f t="shared" si="33"/>
        <v>3373.015873</v>
      </c>
      <c r="J160" s="196"/>
      <c r="K160" s="198">
        <v>5000.0</v>
      </c>
      <c r="L160" s="198"/>
      <c r="M160" s="192">
        <f t="shared" si="4"/>
        <v>43849.20635</v>
      </c>
    </row>
    <row r="161" ht="22.5" hidden="1" customHeight="1">
      <c r="A161" s="189" t="s">
        <v>29</v>
      </c>
      <c r="B161" s="190">
        <v>46056.0</v>
      </c>
      <c r="C161" s="191">
        <v>46056.0</v>
      </c>
      <c r="D161" s="192">
        <v>650000.0</v>
      </c>
      <c r="E161" s="193">
        <v>0.3333333333333333</v>
      </c>
      <c r="F161" s="193">
        <v>0.9583333333333334</v>
      </c>
      <c r="G161" s="194">
        <f t="shared" si="1"/>
        <v>15</v>
      </c>
      <c r="H161" s="195">
        <f t="shared" si="2"/>
        <v>1</v>
      </c>
      <c r="I161" s="192">
        <f t="shared" si="33"/>
        <v>2579.365079</v>
      </c>
      <c r="J161" s="196"/>
      <c r="K161" s="192">
        <v>10000.0</v>
      </c>
      <c r="L161" s="192"/>
      <c r="M161" s="192">
        <f t="shared" si="4"/>
        <v>38690.47619</v>
      </c>
    </row>
    <row r="162" ht="22.5" hidden="1" customHeight="1">
      <c r="A162" s="189" t="s">
        <v>28</v>
      </c>
      <c r="B162" s="190">
        <v>46056.0</v>
      </c>
      <c r="C162" s="191">
        <v>46056.0</v>
      </c>
      <c r="D162" s="192">
        <v>550000.0</v>
      </c>
      <c r="E162" s="193">
        <v>0.375</v>
      </c>
      <c r="F162" s="193">
        <v>0.875</v>
      </c>
      <c r="G162" s="194">
        <f t="shared" si="1"/>
        <v>12</v>
      </c>
      <c r="H162" s="195">
        <f t="shared" si="2"/>
        <v>1</v>
      </c>
      <c r="I162" s="192">
        <f t="shared" si="33"/>
        <v>2182.539683</v>
      </c>
      <c r="J162" s="196"/>
      <c r="K162" s="192">
        <v>106500.0</v>
      </c>
      <c r="L162" s="192"/>
      <c r="M162" s="192">
        <f t="shared" si="4"/>
        <v>26190.47619</v>
      </c>
    </row>
    <row r="163" ht="22.5" hidden="1" customHeight="1">
      <c r="A163" s="189" t="s">
        <v>36</v>
      </c>
      <c r="B163" s="190">
        <v>46056.0</v>
      </c>
      <c r="C163" s="191">
        <v>46056.0</v>
      </c>
      <c r="D163" s="192">
        <v>1012500.0</v>
      </c>
      <c r="E163" s="193">
        <v>0.3333333333333333</v>
      </c>
      <c r="F163" s="193">
        <v>0.7083333333333334</v>
      </c>
      <c r="G163" s="194">
        <f t="shared" si="1"/>
        <v>9</v>
      </c>
      <c r="H163" s="195">
        <f t="shared" si="2"/>
        <v>1</v>
      </c>
      <c r="I163" s="192">
        <f t="shared" si="33"/>
        <v>4017.857143</v>
      </c>
      <c r="J163" s="196"/>
      <c r="K163" s="192"/>
      <c r="L163" s="195"/>
      <c r="M163" s="192">
        <f t="shared" si="4"/>
        <v>36160.71429</v>
      </c>
    </row>
    <row r="164" ht="22.5" hidden="1" customHeight="1">
      <c r="A164" s="189" t="s">
        <v>63</v>
      </c>
      <c r="B164" s="190">
        <v>46056.0</v>
      </c>
      <c r="C164" s="191">
        <v>46056.0</v>
      </c>
      <c r="D164" s="192">
        <v>500000.0</v>
      </c>
      <c r="E164" s="193">
        <v>0.3333333333284827</v>
      </c>
      <c r="F164" s="193">
        <v>0.7083333333284827</v>
      </c>
      <c r="G164" s="194">
        <f t="shared" si="1"/>
        <v>9</v>
      </c>
      <c r="H164" s="195">
        <f t="shared" si="2"/>
        <v>1</v>
      </c>
      <c r="I164" s="192">
        <f t="shared" si="33"/>
        <v>1984.126984</v>
      </c>
      <c r="J164" s="196"/>
      <c r="K164" s="192"/>
      <c r="L164" s="195"/>
      <c r="M164" s="192">
        <f t="shared" si="4"/>
        <v>17857.14286</v>
      </c>
    </row>
    <row r="165" ht="22.5" hidden="1" customHeight="1">
      <c r="A165" s="189" t="s">
        <v>242</v>
      </c>
      <c r="B165" s="190">
        <v>46056.0</v>
      </c>
      <c r="C165" s="191">
        <v>46056.0</v>
      </c>
      <c r="D165" s="192">
        <v>750000.0</v>
      </c>
      <c r="E165" s="193">
        <v>0.5833333333333334</v>
      </c>
      <c r="F165" s="193">
        <v>0.875</v>
      </c>
      <c r="G165" s="194">
        <f t="shared" si="1"/>
        <v>7</v>
      </c>
      <c r="H165" s="195">
        <f t="shared" si="2"/>
        <v>1</v>
      </c>
      <c r="I165" s="192">
        <f t="shared" si="33"/>
        <v>2976.190476</v>
      </c>
      <c r="J165" s="196"/>
      <c r="K165" s="192">
        <v>25000.0</v>
      </c>
      <c r="L165" s="195"/>
      <c r="M165" s="192">
        <f t="shared" si="4"/>
        <v>20833.33333</v>
      </c>
    </row>
    <row r="166" ht="22.5" hidden="1" customHeight="1">
      <c r="A166" s="189" t="s">
        <v>114</v>
      </c>
      <c r="B166" s="190">
        <v>46056.0</v>
      </c>
      <c r="C166" s="191">
        <v>46056.0</v>
      </c>
      <c r="D166" s="192">
        <v>750000.0</v>
      </c>
      <c r="E166" s="193">
        <v>0.5833333333333334</v>
      </c>
      <c r="F166" s="193">
        <v>0.875</v>
      </c>
      <c r="G166" s="194">
        <f t="shared" si="1"/>
        <v>7</v>
      </c>
      <c r="H166" s="195">
        <f t="shared" si="2"/>
        <v>1</v>
      </c>
      <c r="I166" s="192">
        <f t="shared" si="33"/>
        <v>2976.190476</v>
      </c>
      <c r="J166" s="196"/>
      <c r="K166" s="198">
        <v>4857.0</v>
      </c>
      <c r="L166" s="195"/>
      <c r="M166" s="192">
        <f t="shared" si="4"/>
        <v>20833.33333</v>
      </c>
    </row>
    <row r="167" ht="22.5" hidden="1" customHeight="1">
      <c r="A167" s="197" t="s">
        <v>102</v>
      </c>
      <c r="B167" s="190">
        <v>46056.0</v>
      </c>
      <c r="C167" s="191">
        <v>46056.0</v>
      </c>
      <c r="D167" s="192">
        <v>350000.0</v>
      </c>
      <c r="E167" s="193">
        <v>0.3333333333333333</v>
      </c>
      <c r="F167" s="193">
        <v>0.7083333333333334</v>
      </c>
      <c r="G167" s="194">
        <f t="shared" si="1"/>
        <v>9</v>
      </c>
      <c r="H167" s="195">
        <f t="shared" si="2"/>
        <v>1</v>
      </c>
      <c r="I167" s="192">
        <f t="shared" si="33"/>
        <v>1388.888889</v>
      </c>
      <c r="J167" s="196"/>
      <c r="K167" s="192"/>
      <c r="L167" s="195"/>
      <c r="M167" s="192">
        <f t="shared" si="4"/>
        <v>12500</v>
      </c>
    </row>
    <row r="168" ht="22.5" hidden="1" customHeight="1">
      <c r="A168" s="189" t="s">
        <v>112</v>
      </c>
      <c r="B168" s="190">
        <v>46057.0</v>
      </c>
      <c r="C168" s="191">
        <v>46057.0</v>
      </c>
      <c r="D168" s="192">
        <v>600000.0</v>
      </c>
      <c r="E168" s="193">
        <v>0.2916666666666667</v>
      </c>
      <c r="F168" s="193">
        <v>0.875</v>
      </c>
      <c r="G168" s="194">
        <f t="shared" si="1"/>
        <v>14</v>
      </c>
      <c r="H168" s="195">
        <f t="shared" si="2"/>
        <v>1</v>
      </c>
      <c r="I168" s="192">
        <f t="shared" si="33"/>
        <v>2380.952381</v>
      </c>
      <c r="J168" s="196"/>
      <c r="K168" s="192">
        <v>3000.0</v>
      </c>
      <c r="L168" s="192"/>
      <c r="M168" s="192">
        <f t="shared" si="4"/>
        <v>33333.33333</v>
      </c>
    </row>
    <row r="169" ht="22.5" hidden="1" customHeight="1">
      <c r="A169" s="189" t="s">
        <v>27</v>
      </c>
      <c r="B169" s="190">
        <v>46057.0</v>
      </c>
      <c r="C169" s="191">
        <v>46057.0</v>
      </c>
      <c r="D169" s="192">
        <v>850000.0</v>
      </c>
      <c r="E169" s="193">
        <v>0.125</v>
      </c>
      <c r="F169" s="193">
        <v>0.7083333333333334</v>
      </c>
      <c r="G169" s="194">
        <f t="shared" si="1"/>
        <v>14</v>
      </c>
      <c r="H169" s="195">
        <f t="shared" si="2"/>
        <v>1</v>
      </c>
      <c r="I169" s="192">
        <f t="shared" si="33"/>
        <v>3373.015873</v>
      </c>
      <c r="J169" s="196"/>
      <c r="K169" s="198"/>
      <c r="L169" s="198"/>
      <c r="M169" s="192">
        <f t="shared" si="4"/>
        <v>47222.22222</v>
      </c>
    </row>
    <row r="170" ht="22.5" hidden="1" customHeight="1">
      <c r="A170" s="189" t="s">
        <v>29</v>
      </c>
      <c r="B170" s="190">
        <v>46057.0</v>
      </c>
      <c r="C170" s="191">
        <v>46057.0</v>
      </c>
      <c r="D170" s="192">
        <v>650000.0</v>
      </c>
      <c r="E170" s="193">
        <v>0.36319444444444443</v>
      </c>
      <c r="F170" s="193">
        <v>0.9583333333333334</v>
      </c>
      <c r="G170" s="194">
        <f t="shared" si="1"/>
        <v>14.28333333</v>
      </c>
      <c r="H170" s="195">
        <f t="shared" si="2"/>
        <v>1</v>
      </c>
      <c r="I170" s="192">
        <f t="shared" si="33"/>
        <v>2579.365079</v>
      </c>
      <c r="J170" s="196"/>
      <c r="K170" s="192">
        <v>5000.0</v>
      </c>
      <c r="L170" s="192"/>
      <c r="M170" s="192">
        <f t="shared" si="4"/>
        <v>36841.93122</v>
      </c>
    </row>
    <row r="171" ht="22.5" hidden="1" customHeight="1">
      <c r="A171" s="189" t="s">
        <v>28</v>
      </c>
      <c r="B171" s="190">
        <v>46057.0</v>
      </c>
      <c r="C171" s="191">
        <v>46057.0</v>
      </c>
      <c r="D171" s="192">
        <v>550000.0</v>
      </c>
      <c r="E171" s="193">
        <v>0.4166666666666667</v>
      </c>
      <c r="F171" s="193">
        <v>0.78125</v>
      </c>
      <c r="G171" s="194">
        <f t="shared" si="1"/>
        <v>8.75</v>
      </c>
      <c r="H171" s="195">
        <f t="shared" si="2"/>
        <v>1</v>
      </c>
      <c r="I171" s="192">
        <f t="shared" si="33"/>
        <v>2182.539683</v>
      </c>
      <c r="J171" s="196"/>
      <c r="K171" s="192">
        <v>5000.0</v>
      </c>
      <c r="L171" s="192"/>
      <c r="M171" s="192">
        <f t="shared" si="4"/>
        <v>19097.22222</v>
      </c>
    </row>
    <row r="172" ht="22.5" hidden="1" customHeight="1">
      <c r="A172" s="189" t="s">
        <v>36</v>
      </c>
      <c r="B172" s="190">
        <v>46057.0</v>
      </c>
      <c r="C172" s="191">
        <v>46057.0</v>
      </c>
      <c r="D172" s="192">
        <v>1012500.0</v>
      </c>
      <c r="E172" s="193">
        <v>0.3333333333333333</v>
      </c>
      <c r="F172" s="193">
        <v>0.7083333333333334</v>
      </c>
      <c r="G172" s="194">
        <f t="shared" si="1"/>
        <v>9</v>
      </c>
      <c r="H172" s="195">
        <f t="shared" si="2"/>
        <v>1</v>
      </c>
      <c r="I172" s="192">
        <f t="shared" si="33"/>
        <v>4017.857143</v>
      </c>
      <c r="J172" s="196"/>
      <c r="K172" s="192"/>
      <c r="L172" s="195"/>
      <c r="M172" s="192">
        <f t="shared" si="4"/>
        <v>36160.71429</v>
      </c>
    </row>
    <row r="173" ht="22.5" hidden="1" customHeight="1">
      <c r="A173" s="189" t="s">
        <v>63</v>
      </c>
      <c r="B173" s="190">
        <v>46057.0</v>
      </c>
      <c r="C173" s="191">
        <v>46057.0</v>
      </c>
      <c r="D173" s="192">
        <v>500000.0</v>
      </c>
      <c r="E173" s="193">
        <v>0.3333333333284827</v>
      </c>
      <c r="F173" s="193">
        <v>0.7083333333284827</v>
      </c>
      <c r="G173" s="194">
        <f t="shared" si="1"/>
        <v>9</v>
      </c>
      <c r="H173" s="195">
        <f t="shared" si="2"/>
        <v>1</v>
      </c>
      <c r="I173" s="192">
        <f t="shared" si="33"/>
        <v>1984.126984</v>
      </c>
      <c r="J173" s="196"/>
      <c r="K173" s="192"/>
      <c r="L173" s="195"/>
      <c r="M173" s="192">
        <f t="shared" si="4"/>
        <v>17857.14286</v>
      </c>
    </row>
    <row r="174" ht="22.5" hidden="1" customHeight="1">
      <c r="A174" s="189" t="s">
        <v>242</v>
      </c>
      <c r="B174" s="190">
        <v>46057.0</v>
      </c>
      <c r="C174" s="191">
        <v>46057.0</v>
      </c>
      <c r="D174" s="192">
        <v>750000.0</v>
      </c>
      <c r="E174" s="193">
        <v>0.36319444444444443</v>
      </c>
      <c r="F174" s="193">
        <v>0.75</v>
      </c>
      <c r="G174" s="194">
        <f t="shared" si="1"/>
        <v>9.283333333</v>
      </c>
      <c r="H174" s="195">
        <f t="shared" si="2"/>
        <v>1</v>
      </c>
      <c r="I174" s="192">
        <f t="shared" si="33"/>
        <v>2976.190476</v>
      </c>
      <c r="J174" s="196"/>
      <c r="K174" s="192">
        <v>17109.126984126953</v>
      </c>
      <c r="L174" s="195"/>
      <c r="M174" s="192">
        <f t="shared" si="4"/>
        <v>27628.96825</v>
      </c>
    </row>
    <row r="175" ht="22.5" hidden="1" customHeight="1">
      <c r="A175" s="189" t="s">
        <v>114</v>
      </c>
      <c r="B175" s="190">
        <v>46057.0</v>
      </c>
      <c r="C175" s="191">
        <v>46057.0</v>
      </c>
      <c r="D175" s="192">
        <v>750000.0</v>
      </c>
      <c r="E175" s="193">
        <v>0.36319444444444443</v>
      </c>
      <c r="F175" s="193">
        <v>0.75</v>
      </c>
      <c r="G175" s="194">
        <f t="shared" si="1"/>
        <v>9.283333333</v>
      </c>
      <c r="H175" s="195">
        <f t="shared" si="2"/>
        <v>1</v>
      </c>
      <c r="I175" s="192">
        <f t="shared" si="33"/>
        <v>2976.190476</v>
      </c>
      <c r="J175" s="196"/>
      <c r="K175" s="192"/>
      <c r="L175" s="195"/>
      <c r="M175" s="192">
        <f t="shared" si="4"/>
        <v>27628.96825</v>
      </c>
    </row>
    <row r="176" ht="22.5" hidden="1" customHeight="1">
      <c r="A176" s="197" t="s">
        <v>102</v>
      </c>
      <c r="B176" s="190">
        <v>46057.0</v>
      </c>
      <c r="C176" s="191">
        <v>46057.0</v>
      </c>
      <c r="D176" s="192">
        <v>350000.0</v>
      </c>
      <c r="E176" s="193">
        <v>0.3333333333333333</v>
      </c>
      <c r="F176" s="193">
        <v>0.7083333333333334</v>
      </c>
      <c r="G176" s="194">
        <f t="shared" si="1"/>
        <v>9</v>
      </c>
      <c r="H176" s="195">
        <f t="shared" si="2"/>
        <v>1</v>
      </c>
      <c r="I176" s="192">
        <f t="shared" si="33"/>
        <v>1388.888889</v>
      </c>
      <c r="J176" s="196"/>
      <c r="K176" s="192"/>
      <c r="L176" s="195"/>
      <c r="M176" s="192">
        <f t="shared" si="4"/>
        <v>12500</v>
      </c>
    </row>
    <row r="177" ht="22.5" hidden="1" customHeight="1">
      <c r="A177" s="189" t="s">
        <v>112</v>
      </c>
      <c r="B177" s="190">
        <v>46058.0</v>
      </c>
      <c r="C177" s="191">
        <v>46058.0</v>
      </c>
      <c r="D177" s="192">
        <v>600000.0</v>
      </c>
      <c r="E177" s="193">
        <v>0.3541666666666667</v>
      </c>
      <c r="F177" s="193">
        <v>0.7916666666666666</v>
      </c>
      <c r="G177" s="194">
        <f t="shared" si="1"/>
        <v>10.5</v>
      </c>
      <c r="H177" s="195">
        <f t="shared" si="2"/>
        <v>1</v>
      </c>
      <c r="I177" s="192">
        <f t="shared" si="33"/>
        <v>2380.952381</v>
      </c>
      <c r="J177" s="196"/>
      <c r="K177" s="192">
        <v>5000.0</v>
      </c>
      <c r="L177" s="192"/>
      <c r="M177" s="192">
        <f t="shared" si="4"/>
        <v>25000</v>
      </c>
    </row>
    <row r="178" ht="22.5" hidden="1" customHeight="1">
      <c r="A178" s="189" t="s">
        <v>27</v>
      </c>
      <c r="B178" s="190">
        <v>46058.0</v>
      </c>
      <c r="C178" s="191">
        <v>46058.0</v>
      </c>
      <c r="D178" s="192">
        <v>850000.0</v>
      </c>
      <c r="E178" s="199">
        <v>0.19722222222222222</v>
      </c>
      <c r="F178" s="193">
        <v>0.8902777777777777</v>
      </c>
      <c r="G178" s="194">
        <f t="shared" si="1"/>
        <v>16.63333333</v>
      </c>
      <c r="H178" s="195">
        <f t="shared" si="2"/>
        <v>1</v>
      </c>
      <c r="I178" s="192">
        <f t="shared" si="33"/>
        <v>3373.015873</v>
      </c>
      <c r="J178" s="196"/>
      <c r="K178" s="198">
        <v>8000.0</v>
      </c>
      <c r="L178" s="198"/>
      <c r="M178" s="192">
        <f t="shared" si="4"/>
        <v>56104.49735</v>
      </c>
    </row>
    <row r="179" ht="22.5" hidden="1" customHeight="1">
      <c r="A179" s="189" t="s">
        <v>29</v>
      </c>
      <c r="B179" s="190">
        <v>46058.0</v>
      </c>
      <c r="C179" s="191">
        <v>46058.0</v>
      </c>
      <c r="D179" s="192">
        <v>650000.0</v>
      </c>
      <c r="E179" s="193">
        <v>0.3333333333333333</v>
      </c>
      <c r="F179" s="193">
        <v>0.7083333333333334</v>
      </c>
      <c r="G179" s="194">
        <f t="shared" si="1"/>
        <v>9</v>
      </c>
      <c r="H179" s="195">
        <f t="shared" si="2"/>
        <v>1</v>
      </c>
      <c r="I179" s="192">
        <f t="shared" si="33"/>
        <v>2579.365079</v>
      </c>
      <c r="J179" s="196"/>
      <c r="K179" s="192">
        <v>300000.0</v>
      </c>
      <c r="L179" s="192"/>
      <c r="M179" s="192">
        <f t="shared" si="4"/>
        <v>23214.28571</v>
      </c>
    </row>
    <row r="180" ht="22.5" hidden="1" customHeight="1">
      <c r="A180" s="189" t="s">
        <v>113</v>
      </c>
      <c r="B180" s="190">
        <v>46058.0</v>
      </c>
      <c r="C180" s="191">
        <v>46058.0</v>
      </c>
      <c r="D180" s="192">
        <v>750000.0</v>
      </c>
      <c r="E180" s="193">
        <v>0.7916666666666666</v>
      </c>
      <c r="F180" s="193">
        <v>0.9993055555555556</v>
      </c>
      <c r="G180" s="194">
        <f t="shared" si="1"/>
        <v>4.983333333</v>
      </c>
      <c r="H180" s="195">
        <f t="shared" si="2"/>
        <v>1</v>
      </c>
      <c r="I180" s="192">
        <f t="shared" si="33"/>
        <v>2976.190476</v>
      </c>
      <c r="J180" s="196"/>
      <c r="K180" s="192"/>
      <c r="L180" s="195"/>
      <c r="M180" s="192">
        <f t="shared" si="4"/>
        <v>14831.34921</v>
      </c>
    </row>
    <row r="181" ht="22.5" hidden="1" customHeight="1">
      <c r="A181" s="189" t="s">
        <v>36</v>
      </c>
      <c r="B181" s="190">
        <v>46058.0</v>
      </c>
      <c r="C181" s="191">
        <v>46058.0</v>
      </c>
      <c r="D181" s="192">
        <v>1012500.0</v>
      </c>
      <c r="E181" s="193">
        <v>0.3333333333333333</v>
      </c>
      <c r="F181" s="193">
        <v>0.7083333333333334</v>
      </c>
      <c r="G181" s="194">
        <f t="shared" si="1"/>
        <v>9</v>
      </c>
      <c r="H181" s="195">
        <f t="shared" si="2"/>
        <v>1</v>
      </c>
      <c r="I181" s="192">
        <f t="shared" si="33"/>
        <v>4017.857143</v>
      </c>
      <c r="J181" s="196"/>
      <c r="K181" s="192"/>
      <c r="L181" s="195"/>
      <c r="M181" s="192">
        <f t="shared" si="4"/>
        <v>36160.71429</v>
      </c>
    </row>
    <row r="182" ht="22.5" hidden="1" customHeight="1">
      <c r="A182" s="189" t="s">
        <v>63</v>
      </c>
      <c r="B182" s="190">
        <v>46058.0</v>
      </c>
      <c r="C182" s="191">
        <v>46058.0</v>
      </c>
      <c r="D182" s="192">
        <v>500000.0</v>
      </c>
      <c r="E182" s="193">
        <v>0.3333333333284827</v>
      </c>
      <c r="F182" s="193">
        <v>0.7083333333284827</v>
      </c>
      <c r="G182" s="194">
        <f t="shared" si="1"/>
        <v>9</v>
      </c>
      <c r="H182" s="195">
        <f t="shared" si="2"/>
        <v>1</v>
      </c>
      <c r="I182" s="192">
        <f t="shared" si="33"/>
        <v>1984.126984</v>
      </c>
      <c r="J182" s="196"/>
      <c r="K182" s="192"/>
      <c r="L182" s="195"/>
      <c r="M182" s="192">
        <f t="shared" si="4"/>
        <v>17857.14286</v>
      </c>
    </row>
    <row r="183" ht="22.5" hidden="1" customHeight="1">
      <c r="A183" s="189" t="s">
        <v>242</v>
      </c>
      <c r="B183" s="190">
        <v>46058.0</v>
      </c>
      <c r="C183" s="191">
        <v>46058.0</v>
      </c>
      <c r="D183" s="192">
        <v>750000.0</v>
      </c>
      <c r="E183" s="193">
        <v>0.375</v>
      </c>
      <c r="F183" s="193">
        <v>0.7916666666666666</v>
      </c>
      <c r="G183" s="194">
        <f t="shared" si="1"/>
        <v>10</v>
      </c>
      <c r="H183" s="195">
        <f t="shared" si="2"/>
        <v>1</v>
      </c>
      <c r="I183" s="192">
        <f t="shared" si="33"/>
        <v>2976.190476</v>
      </c>
      <c r="J183" s="196"/>
      <c r="K183" s="192">
        <v>80000.0</v>
      </c>
      <c r="L183" s="195"/>
      <c r="M183" s="192">
        <f t="shared" si="4"/>
        <v>29761.90476</v>
      </c>
    </row>
    <row r="184" ht="22.5" hidden="1" customHeight="1">
      <c r="A184" s="189" t="s">
        <v>114</v>
      </c>
      <c r="B184" s="190">
        <v>46058.0</v>
      </c>
      <c r="C184" s="191">
        <v>46058.0</v>
      </c>
      <c r="D184" s="192">
        <v>750000.0</v>
      </c>
      <c r="E184" s="193">
        <v>0.375</v>
      </c>
      <c r="F184" s="193">
        <v>0.7916666666666666</v>
      </c>
      <c r="G184" s="194">
        <f t="shared" si="1"/>
        <v>10</v>
      </c>
      <c r="H184" s="195">
        <f t="shared" si="2"/>
        <v>1</v>
      </c>
      <c r="I184" s="192">
        <f t="shared" si="33"/>
        <v>2976.190476</v>
      </c>
      <c r="J184" s="196"/>
      <c r="K184" s="192">
        <v>5000.0</v>
      </c>
      <c r="L184" s="195"/>
      <c r="M184" s="192">
        <f t="shared" si="4"/>
        <v>29761.90476</v>
      </c>
    </row>
    <row r="185" ht="22.5" hidden="1" customHeight="1">
      <c r="A185" s="197" t="s">
        <v>102</v>
      </c>
      <c r="B185" s="190">
        <v>46058.0</v>
      </c>
      <c r="C185" s="191">
        <v>46058.0</v>
      </c>
      <c r="D185" s="192">
        <v>350000.0</v>
      </c>
      <c r="E185" s="193">
        <v>0.3333333333333333</v>
      </c>
      <c r="F185" s="193">
        <v>0.7083333333333334</v>
      </c>
      <c r="G185" s="194">
        <f t="shared" si="1"/>
        <v>9</v>
      </c>
      <c r="H185" s="195">
        <f t="shared" si="2"/>
        <v>1</v>
      </c>
      <c r="I185" s="192">
        <f t="shared" si="33"/>
        <v>1388.888889</v>
      </c>
      <c r="J185" s="196"/>
      <c r="K185" s="192"/>
      <c r="L185" s="195"/>
      <c r="M185" s="192">
        <f t="shared" si="4"/>
        <v>12500</v>
      </c>
    </row>
    <row r="186" ht="22.5" hidden="1" customHeight="1">
      <c r="A186" s="189" t="s">
        <v>112</v>
      </c>
      <c r="B186" s="190">
        <v>46059.0</v>
      </c>
      <c r="C186" s="191">
        <v>46059.0</v>
      </c>
      <c r="D186" s="192">
        <v>600000.0</v>
      </c>
      <c r="E186" s="193">
        <v>0.375</v>
      </c>
      <c r="F186" s="193">
        <v>0.7916666666666666</v>
      </c>
      <c r="G186" s="194">
        <f t="shared" si="1"/>
        <v>10</v>
      </c>
      <c r="H186" s="195">
        <f t="shared" si="2"/>
        <v>1</v>
      </c>
      <c r="I186" s="192">
        <f t="shared" si="33"/>
        <v>2380.952381</v>
      </c>
      <c r="J186" s="196"/>
      <c r="K186" s="192">
        <v>5000.0</v>
      </c>
      <c r="L186" s="192"/>
      <c r="M186" s="192">
        <f t="shared" si="4"/>
        <v>23809.52381</v>
      </c>
    </row>
    <row r="187" ht="22.5" hidden="1" customHeight="1">
      <c r="A187" s="189" t="s">
        <v>27</v>
      </c>
      <c r="B187" s="190">
        <v>46059.0</v>
      </c>
      <c r="C187" s="191">
        <v>46059.0</v>
      </c>
      <c r="D187" s="192">
        <v>850000.0</v>
      </c>
      <c r="E187" s="199">
        <v>0.375</v>
      </c>
      <c r="F187" s="199">
        <v>0.8958333333333334</v>
      </c>
      <c r="G187" s="194">
        <f t="shared" si="1"/>
        <v>12.5</v>
      </c>
      <c r="H187" s="195">
        <f t="shared" si="2"/>
        <v>1</v>
      </c>
      <c r="I187" s="192">
        <f t="shared" si="33"/>
        <v>3373.015873</v>
      </c>
      <c r="J187" s="196"/>
      <c r="K187" s="198"/>
      <c r="L187" s="198"/>
      <c r="M187" s="192">
        <f t="shared" si="4"/>
        <v>42162.69841</v>
      </c>
    </row>
    <row r="188" ht="22.5" hidden="1" customHeight="1">
      <c r="A188" s="189" t="s">
        <v>29</v>
      </c>
      <c r="B188" s="190">
        <v>46059.0</v>
      </c>
      <c r="C188" s="191">
        <v>46059.0</v>
      </c>
      <c r="D188" s="192">
        <v>650000.0</v>
      </c>
      <c r="E188" s="193">
        <v>0.375</v>
      </c>
      <c r="F188" s="193">
        <v>0.9166666666666666</v>
      </c>
      <c r="G188" s="194">
        <f t="shared" si="1"/>
        <v>13</v>
      </c>
      <c r="H188" s="195">
        <f t="shared" si="2"/>
        <v>1</v>
      </c>
      <c r="I188" s="192">
        <f t="shared" si="33"/>
        <v>2579.365079</v>
      </c>
      <c r="J188" s="196"/>
      <c r="K188" s="192">
        <v>5000.0</v>
      </c>
      <c r="L188" s="192"/>
      <c r="M188" s="192">
        <f t="shared" si="4"/>
        <v>33531.74603</v>
      </c>
    </row>
    <row r="189" ht="22.5" hidden="1" customHeight="1">
      <c r="A189" s="189" t="s">
        <v>28</v>
      </c>
      <c r="B189" s="190">
        <v>46059.0</v>
      </c>
      <c r="C189" s="191">
        <v>46059.0</v>
      </c>
      <c r="D189" s="192">
        <v>550000.0</v>
      </c>
      <c r="E189" s="193">
        <v>0.46041666666666664</v>
      </c>
      <c r="F189" s="193">
        <v>0.7708333333333334</v>
      </c>
      <c r="G189" s="194">
        <f t="shared" si="1"/>
        <v>7.45</v>
      </c>
      <c r="H189" s="195">
        <f t="shared" si="2"/>
        <v>1</v>
      </c>
      <c r="I189" s="192">
        <f t="shared" si="33"/>
        <v>2182.539683</v>
      </c>
      <c r="J189" s="196"/>
      <c r="K189" s="192">
        <v>10000.0</v>
      </c>
      <c r="L189" s="192"/>
      <c r="M189" s="192">
        <f t="shared" si="4"/>
        <v>16259.92063</v>
      </c>
    </row>
    <row r="190" ht="22.5" hidden="1" customHeight="1">
      <c r="A190" s="189" t="s">
        <v>130</v>
      </c>
      <c r="B190" s="190">
        <v>46059.0</v>
      </c>
      <c r="C190" s="191">
        <v>46059.0</v>
      </c>
      <c r="D190" s="192">
        <v>750000.0</v>
      </c>
      <c r="E190" s="193">
        <v>0.40625</v>
      </c>
      <c r="F190" s="193">
        <v>0.8541666666666666</v>
      </c>
      <c r="G190" s="194">
        <f t="shared" si="1"/>
        <v>10.75</v>
      </c>
      <c r="H190" s="195">
        <f t="shared" si="2"/>
        <v>1</v>
      </c>
      <c r="I190" s="192">
        <f t="shared" si="33"/>
        <v>2976.190476</v>
      </c>
      <c r="J190" s="196"/>
      <c r="K190" s="198">
        <v>18525.7936507937</v>
      </c>
      <c r="L190" s="195"/>
      <c r="M190" s="192">
        <f t="shared" si="4"/>
        <v>31994.04762</v>
      </c>
    </row>
    <row r="191" ht="22.5" hidden="1" customHeight="1">
      <c r="A191" s="189" t="s">
        <v>243</v>
      </c>
      <c r="B191" s="190">
        <v>46059.0</v>
      </c>
      <c r="C191" s="191">
        <v>46059.0</v>
      </c>
      <c r="D191" s="192">
        <v>750000.0</v>
      </c>
      <c r="E191" s="193">
        <v>0.3333333333333333</v>
      </c>
      <c r="F191" s="193">
        <v>0.8125</v>
      </c>
      <c r="G191" s="194">
        <f t="shared" si="1"/>
        <v>11.5</v>
      </c>
      <c r="H191" s="195">
        <f t="shared" si="2"/>
        <v>1</v>
      </c>
      <c r="I191" s="192">
        <f t="shared" si="33"/>
        <v>2976.190476</v>
      </c>
      <c r="J191" s="196"/>
      <c r="K191" s="192">
        <v>7230.0</v>
      </c>
      <c r="L191" s="195"/>
      <c r="M191" s="192">
        <f t="shared" si="4"/>
        <v>34226.19048</v>
      </c>
    </row>
    <row r="192" ht="22.5" hidden="1" customHeight="1">
      <c r="A192" s="189" t="s">
        <v>113</v>
      </c>
      <c r="B192" s="190">
        <v>46059.0</v>
      </c>
      <c r="C192" s="191">
        <v>46059.0</v>
      </c>
      <c r="D192" s="192">
        <v>750000.0</v>
      </c>
      <c r="E192" s="193">
        <v>0.0</v>
      </c>
      <c r="F192" s="193">
        <v>0.4166666666666667</v>
      </c>
      <c r="G192" s="194">
        <f t="shared" si="1"/>
        <v>10</v>
      </c>
      <c r="H192" s="195">
        <f t="shared" si="2"/>
        <v>1</v>
      </c>
      <c r="I192" s="192">
        <f t="shared" si="33"/>
        <v>2976.190476</v>
      </c>
      <c r="J192" s="196"/>
      <c r="K192" s="192">
        <v>4000.0</v>
      </c>
      <c r="L192" s="195"/>
      <c r="M192" s="192">
        <f t="shared" si="4"/>
        <v>29761.90476</v>
      </c>
    </row>
    <row r="193" ht="22.5" hidden="1" customHeight="1">
      <c r="A193" s="189" t="s">
        <v>113</v>
      </c>
      <c r="B193" s="190">
        <v>46059.0</v>
      </c>
      <c r="C193" s="191">
        <v>46059.0</v>
      </c>
      <c r="D193" s="192">
        <v>750000.0</v>
      </c>
      <c r="E193" s="193">
        <v>0.46041666666666664</v>
      </c>
      <c r="F193" s="193">
        <v>0.8645833333333334</v>
      </c>
      <c r="G193" s="194">
        <f t="shared" si="1"/>
        <v>9.7</v>
      </c>
      <c r="H193" s="195">
        <f t="shared" si="2"/>
        <v>1</v>
      </c>
      <c r="I193" s="192">
        <f t="shared" si="33"/>
        <v>2976.190476</v>
      </c>
      <c r="J193" s="196"/>
      <c r="K193" s="192">
        <v>8000.0</v>
      </c>
      <c r="L193" s="195"/>
      <c r="M193" s="192">
        <f t="shared" si="4"/>
        <v>28869.04762</v>
      </c>
    </row>
    <row r="194" ht="22.5" hidden="1" customHeight="1">
      <c r="A194" s="189" t="s">
        <v>63</v>
      </c>
      <c r="B194" s="190">
        <v>46059.0</v>
      </c>
      <c r="C194" s="191">
        <v>46059.0</v>
      </c>
      <c r="D194" s="192">
        <v>500000.0</v>
      </c>
      <c r="E194" s="193">
        <v>0.3333333333284827</v>
      </c>
      <c r="F194" s="193">
        <v>0.7083333333284827</v>
      </c>
      <c r="G194" s="194">
        <f t="shared" si="1"/>
        <v>9</v>
      </c>
      <c r="H194" s="195">
        <f t="shared" si="2"/>
        <v>1</v>
      </c>
      <c r="I194" s="192">
        <f t="shared" si="33"/>
        <v>1984.126984</v>
      </c>
      <c r="J194" s="196"/>
      <c r="K194" s="192"/>
      <c r="L194" s="195"/>
      <c r="M194" s="192">
        <f t="shared" si="4"/>
        <v>17857.14286</v>
      </c>
    </row>
    <row r="195" ht="22.5" hidden="1" customHeight="1">
      <c r="A195" s="189" t="s">
        <v>176</v>
      </c>
      <c r="B195" s="190">
        <v>46059.0</v>
      </c>
      <c r="C195" s="191">
        <v>46059.0</v>
      </c>
      <c r="D195" s="192">
        <v>750000.0</v>
      </c>
      <c r="E195" s="193">
        <v>0.3333333333333333</v>
      </c>
      <c r="F195" s="193">
        <v>0.8541666666666666</v>
      </c>
      <c r="G195" s="194">
        <f t="shared" si="1"/>
        <v>12.5</v>
      </c>
      <c r="H195" s="195">
        <f t="shared" si="2"/>
        <v>1</v>
      </c>
      <c r="I195" s="192">
        <f t="shared" si="33"/>
        <v>2976.190476</v>
      </c>
      <c r="J195" s="196"/>
      <c r="K195" s="192">
        <v>5000.0</v>
      </c>
      <c r="L195" s="195"/>
      <c r="M195" s="192">
        <f t="shared" si="4"/>
        <v>37202.38095</v>
      </c>
    </row>
    <row r="196" ht="22.5" hidden="1" customHeight="1">
      <c r="A196" s="189" t="s">
        <v>242</v>
      </c>
      <c r="B196" s="190">
        <v>46059.0</v>
      </c>
      <c r="C196" s="191">
        <v>46059.0</v>
      </c>
      <c r="D196" s="192">
        <v>750000.0</v>
      </c>
      <c r="E196" s="193">
        <v>0.375</v>
      </c>
      <c r="F196" s="193">
        <v>0.875</v>
      </c>
      <c r="G196" s="194">
        <f t="shared" si="1"/>
        <v>12</v>
      </c>
      <c r="H196" s="195">
        <f t="shared" si="2"/>
        <v>1</v>
      </c>
      <c r="I196" s="192">
        <f t="shared" si="33"/>
        <v>2976.190476</v>
      </c>
      <c r="J196" s="196"/>
      <c r="K196" s="192">
        <v>5000.0</v>
      </c>
      <c r="L196" s="195"/>
      <c r="M196" s="192">
        <f t="shared" si="4"/>
        <v>35714.28571</v>
      </c>
    </row>
    <row r="197" ht="22.5" hidden="1" customHeight="1">
      <c r="A197" s="189" t="s">
        <v>114</v>
      </c>
      <c r="B197" s="190">
        <v>46059.0</v>
      </c>
      <c r="C197" s="191">
        <v>46059.0</v>
      </c>
      <c r="D197" s="192">
        <v>750000.0</v>
      </c>
      <c r="E197" s="193">
        <v>0.3333333333333333</v>
      </c>
      <c r="F197" s="193">
        <v>0.875</v>
      </c>
      <c r="G197" s="194">
        <f t="shared" si="1"/>
        <v>13</v>
      </c>
      <c r="H197" s="195">
        <f t="shared" si="2"/>
        <v>1</v>
      </c>
      <c r="I197" s="192">
        <f t="shared" si="33"/>
        <v>2976.190476</v>
      </c>
      <c r="J197" s="196"/>
      <c r="K197" s="192">
        <v>10000.0</v>
      </c>
      <c r="L197" s="195"/>
      <c r="M197" s="192">
        <f t="shared" si="4"/>
        <v>38690.47619</v>
      </c>
    </row>
    <row r="198" ht="22.5" hidden="1" customHeight="1">
      <c r="A198" s="189" t="s">
        <v>114</v>
      </c>
      <c r="B198" s="190">
        <v>46059.0</v>
      </c>
      <c r="C198" s="191">
        <v>46059.0</v>
      </c>
      <c r="D198" s="192">
        <v>750000.0</v>
      </c>
      <c r="E198" s="193">
        <v>0.40625</v>
      </c>
      <c r="F198" s="193">
        <v>0.8541666666666666</v>
      </c>
      <c r="G198" s="194">
        <f t="shared" si="1"/>
        <v>10.75</v>
      </c>
      <c r="H198" s="195">
        <f t="shared" si="2"/>
        <v>1</v>
      </c>
      <c r="I198" s="192">
        <f t="shared" si="33"/>
        <v>2976.190476</v>
      </c>
      <c r="J198" s="196"/>
      <c r="K198" s="192">
        <v>10000.0</v>
      </c>
      <c r="L198" s="195"/>
      <c r="M198" s="192">
        <f t="shared" si="4"/>
        <v>31994.04762</v>
      </c>
    </row>
    <row r="199" ht="22.5" hidden="1" customHeight="1">
      <c r="A199" s="197" t="s">
        <v>102</v>
      </c>
      <c r="B199" s="190">
        <v>46059.0</v>
      </c>
      <c r="C199" s="191">
        <v>46059.0</v>
      </c>
      <c r="D199" s="192">
        <v>350000.0</v>
      </c>
      <c r="E199" s="193">
        <v>0.3333333333333333</v>
      </c>
      <c r="F199" s="193">
        <v>0.7083333333333334</v>
      </c>
      <c r="G199" s="194">
        <f t="shared" si="1"/>
        <v>9</v>
      </c>
      <c r="H199" s="195">
        <f t="shared" si="2"/>
        <v>1</v>
      </c>
      <c r="I199" s="192">
        <f t="shared" si="33"/>
        <v>1388.888889</v>
      </c>
      <c r="J199" s="196"/>
      <c r="K199" s="192"/>
      <c r="L199" s="195"/>
      <c r="M199" s="192">
        <f t="shared" si="4"/>
        <v>12500</v>
      </c>
    </row>
    <row r="200" ht="22.5" hidden="1" customHeight="1">
      <c r="A200" s="189" t="s">
        <v>244</v>
      </c>
      <c r="B200" s="190">
        <v>46059.0</v>
      </c>
      <c r="C200" s="191">
        <v>46059.0</v>
      </c>
      <c r="D200" s="192">
        <v>750000.0</v>
      </c>
      <c r="E200" s="193">
        <v>0.3333333333333333</v>
      </c>
      <c r="F200" s="193">
        <v>0.8333333333333334</v>
      </c>
      <c r="G200" s="194">
        <f t="shared" si="1"/>
        <v>12</v>
      </c>
      <c r="H200" s="195">
        <f t="shared" si="2"/>
        <v>1</v>
      </c>
      <c r="I200" s="192">
        <f t="shared" si="33"/>
        <v>2976.190476</v>
      </c>
      <c r="J200" s="196"/>
      <c r="K200" s="192">
        <v>11750.0</v>
      </c>
      <c r="L200" s="195"/>
      <c r="M200" s="192">
        <f t="shared" si="4"/>
        <v>35714.28571</v>
      </c>
    </row>
    <row r="201" ht="22.5" hidden="1" customHeight="1">
      <c r="A201" s="189" t="s">
        <v>245</v>
      </c>
      <c r="B201" s="190">
        <v>46059.0</v>
      </c>
      <c r="C201" s="191">
        <v>46059.0</v>
      </c>
      <c r="D201" s="192">
        <v>750000.0</v>
      </c>
      <c r="E201" s="193">
        <v>0.4583333333333333</v>
      </c>
      <c r="F201" s="193">
        <v>0.9583333333333334</v>
      </c>
      <c r="G201" s="194">
        <f t="shared" si="1"/>
        <v>12</v>
      </c>
      <c r="H201" s="195">
        <f t="shared" si="2"/>
        <v>1</v>
      </c>
      <c r="I201" s="192">
        <f t="shared" si="33"/>
        <v>2976.190476</v>
      </c>
      <c r="J201" s="196"/>
      <c r="K201" s="192">
        <v>5000.0</v>
      </c>
      <c r="L201" s="195"/>
      <c r="M201" s="192">
        <f t="shared" si="4"/>
        <v>35714.28571</v>
      </c>
    </row>
    <row r="202" ht="22.5" hidden="1" customHeight="1">
      <c r="A202" s="189" t="s">
        <v>36</v>
      </c>
      <c r="B202" s="190">
        <v>46059.0</v>
      </c>
      <c r="C202" s="191">
        <v>46059.0</v>
      </c>
      <c r="D202" s="192">
        <v>1012500.0</v>
      </c>
      <c r="E202" s="193">
        <v>0.46041666666666664</v>
      </c>
      <c r="F202" s="193">
        <v>0.8645833333333334</v>
      </c>
      <c r="G202" s="194">
        <f t="shared" si="1"/>
        <v>9.7</v>
      </c>
      <c r="H202" s="195">
        <f t="shared" si="2"/>
        <v>1</v>
      </c>
      <c r="I202" s="192">
        <f t="shared" si="33"/>
        <v>4017.857143</v>
      </c>
      <c r="J202" s="196"/>
      <c r="K202" s="192">
        <v>5000.0</v>
      </c>
      <c r="L202" s="195"/>
      <c r="M202" s="192">
        <f t="shared" si="4"/>
        <v>38973.21429</v>
      </c>
    </row>
    <row r="203" ht="22.5" hidden="1" customHeight="1">
      <c r="A203" s="189" t="s">
        <v>112</v>
      </c>
      <c r="B203" s="190">
        <v>46060.0</v>
      </c>
      <c r="C203" s="191">
        <v>46060.0</v>
      </c>
      <c r="D203" s="192">
        <v>600000.0</v>
      </c>
      <c r="E203" s="193">
        <v>0.375</v>
      </c>
      <c r="F203" s="193">
        <v>0.7916666666666666</v>
      </c>
      <c r="G203" s="194">
        <f t="shared" si="1"/>
        <v>10</v>
      </c>
      <c r="H203" s="195">
        <f t="shared" si="2"/>
        <v>1</v>
      </c>
      <c r="I203" s="192">
        <f t="shared" si="33"/>
        <v>2380.952381</v>
      </c>
      <c r="J203" s="196"/>
      <c r="K203" s="192">
        <v>5000.0</v>
      </c>
      <c r="L203" s="192"/>
      <c r="M203" s="192">
        <f t="shared" si="4"/>
        <v>23809.52381</v>
      </c>
    </row>
    <row r="204" ht="22.5" hidden="1" customHeight="1">
      <c r="A204" s="189" t="s">
        <v>27</v>
      </c>
      <c r="B204" s="190">
        <v>46060.0</v>
      </c>
      <c r="C204" s="191">
        <v>46060.0</v>
      </c>
      <c r="D204" s="192">
        <v>850000.0</v>
      </c>
      <c r="E204" s="193">
        <v>0.4027777777777778</v>
      </c>
      <c r="F204" s="199">
        <v>0.8958333333333334</v>
      </c>
      <c r="G204" s="194">
        <f t="shared" si="1"/>
        <v>11.83333333</v>
      </c>
      <c r="H204" s="195">
        <f t="shared" si="2"/>
        <v>1</v>
      </c>
      <c r="I204" s="192">
        <f t="shared" si="33"/>
        <v>3373.015873</v>
      </c>
      <c r="J204" s="196"/>
      <c r="K204" s="198"/>
      <c r="L204" s="198"/>
      <c r="M204" s="192">
        <f t="shared" si="4"/>
        <v>39914.02116</v>
      </c>
    </row>
    <row r="205" ht="22.5" hidden="1" customHeight="1">
      <c r="A205" s="189" t="s">
        <v>29</v>
      </c>
      <c r="B205" s="190">
        <v>46060.0</v>
      </c>
      <c r="C205" s="191">
        <v>46060.0</v>
      </c>
      <c r="D205" s="192">
        <v>650000.0</v>
      </c>
      <c r="E205" s="193">
        <v>0.4166666666666667</v>
      </c>
      <c r="F205" s="193">
        <v>0.875</v>
      </c>
      <c r="G205" s="194">
        <f t="shared" si="1"/>
        <v>11</v>
      </c>
      <c r="H205" s="195">
        <f t="shared" si="2"/>
        <v>1</v>
      </c>
      <c r="I205" s="192">
        <f t="shared" si="33"/>
        <v>2579.365079</v>
      </c>
      <c r="J205" s="196"/>
      <c r="K205" s="192">
        <v>5000.0</v>
      </c>
      <c r="L205" s="192"/>
      <c r="M205" s="192">
        <f t="shared" si="4"/>
        <v>28373.01587</v>
      </c>
    </row>
    <row r="206" ht="22.5" hidden="1" customHeight="1">
      <c r="A206" s="189" t="s">
        <v>28</v>
      </c>
      <c r="B206" s="190">
        <v>46060.0</v>
      </c>
      <c r="C206" s="191">
        <v>46060.0</v>
      </c>
      <c r="D206" s="192">
        <v>550000.0</v>
      </c>
      <c r="E206" s="193">
        <v>0.36944444444444446</v>
      </c>
      <c r="F206" s="193">
        <v>0.9166666666666666</v>
      </c>
      <c r="G206" s="194">
        <f t="shared" si="1"/>
        <v>13.13333333</v>
      </c>
      <c r="H206" s="195">
        <f t="shared" si="2"/>
        <v>1</v>
      </c>
      <c r="I206" s="192">
        <f t="shared" si="33"/>
        <v>2182.539683</v>
      </c>
      <c r="J206" s="196"/>
      <c r="K206" s="192">
        <v>10000.0</v>
      </c>
      <c r="L206" s="192"/>
      <c r="M206" s="192">
        <f t="shared" si="4"/>
        <v>28664.02116</v>
      </c>
    </row>
    <row r="207" ht="22.5" hidden="1" customHeight="1">
      <c r="A207" s="189" t="s">
        <v>130</v>
      </c>
      <c r="B207" s="190">
        <v>46060.0</v>
      </c>
      <c r="C207" s="191">
        <v>46060.0</v>
      </c>
      <c r="D207" s="192">
        <v>750000.0</v>
      </c>
      <c r="E207" s="193">
        <v>0.375</v>
      </c>
      <c r="F207" s="193">
        <v>0.7916666666666666</v>
      </c>
      <c r="G207" s="194">
        <f t="shared" si="1"/>
        <v>10</v>
      </c>
      <c r="H207" s="195">
        <f t="shared" si="2"/>
        <v>1</v>
      </c>
      <c r="I207" s="192">
        <f t="shared" si="33"/>
        <v>2976.190476</v>
      </c>
      <c r="J207" s="196"/>
      <c r="K207" s="192">
        <v>4000.0</v>
      </c>
      <c r="L207" s="195"/>
      <c r="M207" s="192">
        <f t="shared" si="4"/>
        <v>29761.90476</v>
      </c>
    </row>
    <row r="208" ht="22.5" hidden="1" customHeight="1">
      <c r="A208" s="189" t="s">
        <v>243</v>
      </c>
      <c r="B208" s="190">
        <v>46060.0</v>
      </c>
      <c r="C208" s="191">
        <v>46060.0</v>
      </c>
      <c r="D208" s="192">
        <v>750000.0</v>
      </c>
      <c r="E208" s="193">
        <v>0.3333333333333333</v>
      </c>
      <c r="F208" s="193">
        <v>0.8541666666666666</v>
      </c>
      <c r="G208" s="194">
        <f t="shared" si="1"/>
        <v>12.5</v>
      </c>
      <c r="H208" s="195">
        <f t="shared" si="2"/>
        <v>1</v>
      </c>
      <c r="I208" s="192">
        <f t="shared" si="33"/>
        <v>2976.190476</v>
      </c>
      <c r="J208" s="196"/>
      <c r="K208" s="192"/>
      <c r="L208" s="195"/>
      <c r="M208" s="192">
        <f t="shared" si="4"/>
        <v>37202.38095</v>
      </c>
    </row>
    <row r="209" ht="22.5" hidden="1" customHeight="1">
      <c r="A209" s="189" t="s">
        <v>113</v>
      </c>
      <c r="B209" s="190">
        <v>46060.0</v>
      </c>
      <c r="C209" s="191">
        <v>46060.0</v>
      </c>
      <c r="D209" s="192">
        <v>750000.0</v>
      </c>
      <c r="E209" s="193">
        <v>0.4791666666666667</v>
      </c>
      <c r="F209" s="193">
        <v>0.8958333333333334</v>
      </c>
      <c r="G209" s="194">
        <f t="shared" si="1"/>
        <v>10</v>
      </c>
      <c r="H209" s="195">
        <f t="shared" si="2"/>
        <v>1</v>
      </c>
      <c r="I209" s="192">
        <f t="shared" si="33"/>
        <v>2976.190476</v>
      </c>
      <c r="J209" s="196"/>
      <c r="K209" s="192">
        <v>5000.0</v>
      </c>
      <c r="L209" s="195"/>
      <c r="M209" s="192">
        <f t="shared" si="4"/>
        <v>29761.90476</v>
      </c>
    </row>
    <row r="210" ht="22.5" hidden="1" customHeight="1">
      <c r="A210" s="189" t="s">
        <v>63</v>
      </c>
      <c r="B210" s="190">
        <v>46060.0</v>
      </c>
      <c r="C210" s="191">
        <v>46060.0</v>
      </c>
      <c r="D210" s="192">
        <v>500000.0</v>
      </c>
      <c r="E210" s="193">
        <v>0.3333333333284827</v>
      </c>
      <c r="F210" s="193">
        <v>0.7083333333284827</v>
      </c>
      <c r="G210" s="194">
        <f t="shared" si="1"/>
        <v>9</v>
      </c>
      <c r="H210" s="195">
        <f t="shared" si="2"/>
        <v>1</v>
      </c>
      <c r="I210" s="192">
        <f t="shared" si="33"/>
        <v>1984.126984</v>
      </c>
      <c r="J210" s="196"/>
      <c r="K210" s="192"/>
      <c r="L210" s="195"/>
      <c r="M210" s="192">
        <f t="shared" si="4"/>
        <v>17857.14286</v>
      </c>
    </row>
    <row r="211" ht="26.25" hidden="1" customHeight="1">
      <c r="A211" s="189" t="s">
        <v>246</v>
      </c>
      <c r="B211" s="190">
        <v>46060.0</v>
      </c>
      <c r="C211" s="191">
        <v>46060.0</v>
      </c>
      <c r="D211" s="192">
        <v>750000.0</v>
      </c>
      <c r="E211" s="193">
        <v>0.3333333333333333</v>
      </c>
      <c r="F211" s="193">
        <v>0.875</v>
      </c>
      <c r="G211" s="194">
        <f t="shared" si="1"/>
        <v>13</v>
      </c>
      <c r="H211" s="195">
        <f t="shared" si="2"/>
        <v>1</v>
      </c>
      <c r="I211" s="192">
        <f t="shared" si="33"/>
        <v>2976.190476</v>
      </c>
      <c r="J211" s="196"/>
      <c r="K211" s="192"/>
      <c r="L211" s="195"/>
      <c r="M211" s="192">
        <f t="shared" si="4"/>
        <v>38690.47619</v>
      </c>
    </row>
    <row r="212" ht="26.25" hidden="1" customHeight="1">
      <c r="A212" s="189" t="s">
        <v>176</v>
      </c>
      <c r="B212" s="190">
        <v>46060.0</v>
      </c>
      <c r="C212" s="191">
        <v>46060.0</v>
      </c>
      <c r="D212" s="192">
        <v>750000.0</v>
      </c>
      <c r="E212" s="193">
        <v>0.3333333333333333</v>
      </c>
      <c r="F212" s="193">
        <v>0.8541666666666666</v>
      </c>
      <c r="G212" s="194">
        <f t="shared" si="1"/>
        <v>12.5</v>
      </c>
      <c r="H212" s="195">
        <f t="shared" si="2"/>
        <v>1</v>
      </c>
      <c r="I212" s="192">
        <f t="shared" si="33"/>
        <v>2976.190476</v>
      </c>
      <c r="J212" s="196"/>
      <c r="K212" s="192">
        <v>4000.0</v>
      </c>
      <c r="L212" s="195"/>
      <c r="M212" s="192">
        <f t="shared" si="4"/>
        <v>37202.38095</v>
      </c>
    </row>
    <row r="213" ht="26.25" hidden="1" customHeight="1">
      <c r="A213" s="189" t="s">
        <v>242</v>
      </c>
      <c r="B213" s="190">
        <v>46060.0</v>
      </c>
      <c r="C213" s="191">
        <v>46060.0</v>
      </c>
      <c r="D213" s="192">
        <v>750000.0</v>
      </c>
      <c r="E213" s="193">
        <v>0.375</v>
      </c>
      <c r="F213" s="193">
        <v>0.875</v>
      </c>
      <c r="G213" s="194">
        <f t="shared" si="1"/>
        <v>12</v>
      </c>
      <c r="H213" s="195">
        <f t="shared" si="2"/>
        <v>1</v>
      </c>
      <c r="I213" s="192">
        <f t="shared" si="33"/>
        <v>2976.190476</v>
      </c>
      <c r="J213" s="196"/>
      <c r="K213" s="192">
        <v>4000.0</v>
      </c>
      <c r="L213" s="195"/>
      <c r="M213" s="192">
        <f t="shared" si="4"/>
        <v>35714.28571</v>
      </c>
    </row>
    <row r="214" ht="26.25" hidden="1" customHeight="1">
      <c r="A214" s="197" t="s">
        <v>102</v>
      </c>
      <c r="B214" s="190">
        <v>46060.0</v>
      </c>
      <c r="C214" s="191">
        <v>46060.0</v>
      </c>
      <c r="D214" s="192">
        <v>350000.0</v>
      </c>
      <c r="E214" s="193">
        <v>0.3333333333333333</v>
      </c>
      <c r="F214" s="193">
        <v>0.7083333333333334</v>
      </c>
      <c r="G214" s="194">
        <f t="shared" si="1"/>
        <v>9</v>
      </c>
      <c r="H214" s="195">
        <f t="shared" si="2"/>
        <v>1</v>
      </c>
      <c r="I214" s="192">
        <f t="shared" si="33"/>
        <v>1388.888889</v>
      </c>
      <c r="J214" s="196"/>
      <c r="K214" s="192">
        <v>33000.0</v>
      </c>
      <c r="L214" s="195"/>
      <c r="M214" s="192">
        <f t="shared" si="4"/>
        <v>12500</v>
      </c>
    </row>
    <row r="215" ht="26.25" hidden="1" customHeight="1">
      <c r="A215" s="189" t="s">
        <v>244</v>
      </c>
      <c r="B215" s="190">
        <v>46060.0</v>
      </c>
      <c r="C215" s="191">
        <v>46060.0</v>
      </c>
      <c r="D215" s="192">
        <v>750000.0</v>
      </c>
      <c r="E215" s="193">
        <v>0.3333333333333333</v>
      </c>
      <c r="F215" s="193">
        <v>0.8333333333333334</v>
      </c>
      <c r="G215" s="194">
        <f t="shared" si="1"/>
        <v>12</v>
      </c>
      <c r="H215" s="195">
        <f t="shared" si="2"/>
        <v>1</v>
      </c>
      <c r="I215" s="192">
        <f t="shared" si="33"/>
        <v>2976.190476</v>
      </c>
      <c r="J215" s="196"/>
      <c r="K215" s="192">
        <v>4000.0</v>
      </c>
      <c r="L215" s="195"/>
      <c r="M215" s="192">
        <f t="shared" si="4"/>
        <v>35714.28571</v>
      </c>
    </row>
    <row r="216" ht="26.25" hidden="1" customHeight="1">
      <c r="A216" s="189" t="s">
        <v>245</v>
      </c>
      <c r="B216" s="190">
        <v>46060.0</v>
      </c>
      <c r="C216" s="191">
        <v>46060.0</v>
      </c>
      <c r="D216" s="192">
        <v>750000.0</v>
      </c>
      <c r="E216" s="193">
        <v>0.4583333333333333</v>
      </c>
      <c r="F216" s="193">
        <v>0.9583333333333334</v>
      </c>
      <c r="G216" s="194">
        <f t="shared" si="1"/>
        <v>12</v>
      </c>
      <c r="H216" s="195">
        <f t="shared" si="2"/>
        <v>1</v>
      </c>
      <c r="I216" s="192">
        <f t="shared" si="33"/>
        <v>2976.190476</v>
      </c>
      <c r="J216" s="196"/>
      <c r="K216" s="192">
        <v>4000.0</v>
      </c>
      <c r="L216" s="195"/>
      <c r="M216" s="192">
        <f t="shared" si="4"/>
        <v>35714.28571</v>
      </c>
    </row>
    <row r="217" ht="26.25" hidden="1" customHeight="1">
      <c r="A217" s="189" t="s">
        <v>36</v>
      </c>
      <c r="B217" s="190">
        <v>46060.0</v>
      </c>
      <c r="C217" s="191">
        <v>46060.0</v>
      </c>
      <c r="D217" s="192">
        <v>1012500.0</v>
      </c>
      <c r="E217" s="193">
        <v>0.4791666666666667</v>
      </c>
      <c r="F217" s="193">
        <v>0.8958333333333334</v>
      </c>
      <c r="G217" s="194">
        <f t="shared" si="1"/>
        <v>10</v>
      </c>
      <c r="H217" s="195">
        <f t="shared" si="2"/>
        <v>1</v>
      </c>
      <c r="I217" s="192">
        <f t="shared" si="33"/>
        <v>4017.857143</v>
      </c>
      <c r="J217" s="196"/>
      <c r="K217" s="192">
        <v>10000.0</v>
      </c>
      <c r="L217" s="195"/>
      <c r="M217" s="192">
        <f t="shared" si="4"/>
        <v>40178.57143</v>
      </c>
    </row>
    <row r="218" ht="26.25" hidden="1" customHeight="1">
      <c r="A218" s="189" t="s">
        <v>112</v>
      </c>
      <c r="B218" s="190">
        <v>46061.0</v>
      </c>
      <c r="C218" s="191">
        <v>46061.0</v>
      </c>
      <c r="D218" s="192">
        <v>600000.0</v>
      </c>
      <c r="E218" s="193">
        <v>0.3541666666666667</v>
      </c>
      <c r="F218" s="193">
        <v>0.85</v>
      </c>
      <c r="G218" s="194">
        <f t="shared" si="1"/>
        <v>11.9</v>
      </c>
      <c r="H218" s="195">
        <f t="shared" si="2"/>
        <v>1</v>
      </c>
      <c r="I218" s="192">
        <f t="shared" si="33"/>
        <v>2380.952381</v>
      </c>
      <c r="J218" s="196"/>
      <c r="K218" s="198">
        <v>6000.0</v>
      </c>
      <c r="L218" s="192"/>
      <c r="M218" s="192">
        <f t="shared" si="4"/>
        <v>28333.33333</v>
      </c>
    </row>
    <row r="219" ht="26.25" hidden="1" customHeight="1">
      <c r="A219" s="189" t="s">
        <v>27</v>
      </c>
      <c r="B219" s="190">
        <v>46061.0</v>
      </c>
      <c r="C219" s="191">
        <v>46061.0</v>
      </c>
      <c r="D219" s="192">
        <v>850000.0</v>
      </c>
      <c r="E219" s="193">
        <v>0.375</v>
      </c>
      <c r="F219" s="193">
        <v>0.8541666666666666</v>
      </c>
      <c r="G219" s="194">
        <f t="shared" si="1"/>
        <v>11.5</v>
      </c>
      <c r="H219" s="195">
        <f t="shared" si="2"/>
        <v>1</v>
      </c>
      <c r="I219" s="192">
        <f t="shared" si="33"/>
        <v>3373.015873</v>
      </c>
      <c r="J219" s="196"/>
      <c r="K219" s="192"/>
      <c r="L219" s="192"/>
      <c r="M219" s="192">
        <f t="shared" si="4"/>
        <v>38789.68254</v>
      </c>
    </row>
    <row r="220" ht="26.25" hidden="1" customHeight="1">
      <c r="A220" s="189" t="s">
        <v>29</v>
      </c>
      <c r="B220" s="190">
        <v>46061.0</v>
      </c>
      <c r="C220" s="191">
        <v>46061.0</v>
      </c>
      <c r="D220" s="192">
        <v>650000.0</v>
      </c>
      <c r="E220" s="193">
        <v>0.4097222222222222</v>
      </c>
      <c r="F220" s="193">
        <v>0.85</v>
      </c>
      <c r="G220" s="194">
        <f t="shared" si="1"/>
        <v>10.56666667</v>
      </c>
      <c r="H220" s="195">
        <f t="shared" si="2"/>
        <v>1</v>
      </c>
      <c r="I220" s="192">
        <f t="shared" si="33"/>
        <v>2579.365079</v>
      </c>
      <c r="J220" s="196"/>
      <c r="K220" s="192">
        <v>5000.0</v>
      </c>
      <c r="L220" s="192"/>
      <c r="M220" s="192">
        <f t="shared" si="4"/>
        <v>27255.29101</v>
      </c>
    </row>
    <row r="221" ht="26.25" hidden="1" customHeight="1">
      <c r="A221" s="189" t="s">
        <v>28</v>
      </c>
      <c r="B221" s="190">
        <v>46061.0</v>
      </c>
      <c r="C221" s="191">
        <v>46061.0</v>
      </c>
      <c r="D221" s="192">
        <v>550000.0</v>
      </c>
      <c r="E221" s="193">
        <v>0.375</v>
      </c>
      <c r="F221" s="193">
        <v>0.875</v>
      </c>
      <c r="G221" s="194">
        <f t="shared" si="1"/>
        <v>12</v>
      </c>
      <c r="H221" s="195">
        <f t="shared" si="2"/>
        <v>1</v>
      </c>
      <c r="I221" s="192">
        <f t="shared" si="33"/>
        <v>2182.539683</v>
      </c>
      <c r="J221" s="196"/>
      <c r="K221" s="192">
        <v>2000.0</v>
      </c>
      <c r="L221" s="192"/>
      <c r="M221" s="192">
        <f t="shared" si="4"/>
        <v>26190.47619</v>
      </c>
    </row>
    <row r="222" ht="26.25" hidden="1" customHeight="1">
      <c r="A222" s="189" t="s">
        <v>130</v>
      </c>
      <c r="B222" s="190">
        <v>46061.0</v>
      </c>
      <c r="C222" s="191">
        <v>46061.0</v>
      </c>
      <c r="D222" s="192">
        <v>750000.0</v>
      </c>
      <c r="E222" s="193">
        <v>0.3958333333333333</v>
      </c>
      <c r="F222" s="193">
        <v>0.85</v>
      </c>
      <c r="G222" s="194">
        <f t="shared" si="1"/>
        <v>10.9</v>
      </c>
      <c r="H222" s="195">
        <f t="shared" si="2"/>
        <v>1</v>
      </c>
      <c r="I222" s="192">
        <f t="shared" si="33"/>
        <v>2976.190476</v>
      </c>
      <c r="J222" s="196"/>
      <c r="K222" s="192">
        <v>5000.0</v>
      </c>
      <c r="L222" s="195"/>
      <c r="M222" s="192">
        <f t="shared" si="4"/>
        <v>32440.47619</v>
      </c>
    </row>
    <row r="223" ht="26.25" hidden="1" customHeight="1">
      <c r="A223" s="189" t="s">
        <v>243</v>
      </c>
      <c r="B223" s="190">
        <v>46061.0</v>
      </c>
      <c r="C223" s="191">
        <v>46061.0</v>
      </c>
      <c r="D223" s="192">
        <v>750000.0</v>
      </c>
      <c r="E223" s="193">
        <v>0.5416666666666666</v>
      </c>
      <c r="F223" s="193">
        <v>0.85</v>
      </c>
      <c r="G223" s="194">
        <f t="shared" si="1"/>
        <v>7.4</v>
      </c>
      <c r="H223" s="195">
        <f t="shared" si="2"/>
        <v>1</v>
      </c>
      <c r="I223" s="192">
        <f t="shared" si="33"/>
        <v>2976.190476</v>
      </c>
      <c r="J223" s="196"/>
      <c r="K223" s="192"/>
      <c r="L223" s="195"/>
      <c r="M223" s="192">
        <f t="shared" si="4"/>
        <v>22023.80952</v>
      </c>
    </row>
    <row r="224" ht="26.25" hidden="1" customHeight="1">
      <c r="A224" s="189" t="s">
        <v>113</v>
      </c>
      <c r="B224" s="190">
        <v>46061.0</v>
      </c>
      <c r="C224" s="191">
        <v>46061.0</v>
      </c>
      <c r="D224" s="192">
        <v>750000.0</v>
      </c>
      <c r="E224" s="193">
        <v>0.5208333333333334</v>
      </c>
      <c r="F224" s="193">
        <v>0.8020833333333334</v>
      </c>
      <c r="G224" s="194">
        <f t="shared" si="1"/>
        <v>6.75</v>
      </c>
      <c r="H224" s="195">
        <f t="shared" si="2"/>
        <v>1</v>
      </c>
      <c r="I224" s="192">
        <f t="shared" si="33"/>
        <v>2976.190476</v>
      </c>
      <c r="J224" s="196"/>
      <c r="K224" s="192">
        <v>4000.0</v>
      </c>
      <c r="L224" s="195"/>
      <c r="M224" s="192">
        <f t="shared" si="4"/>
        <v>20089.28571</v>
      </c>
    </row>
    <row r="225" ht="26.25" hidden="1" customHeight="1">
      <c r="A225" s="189" t="s">
        <v>63</v>
      </c>
      <c r="B225" s="190">
        <v>46061.0</v>
      </c>
      <c r="C225" s="191">
        <v>46061.0</v>
      </c>
      <c r="D225" s="192">
        <v>500000.0</v>
      </c>
      <c r="E225" s="193">
        <v>0.3333333333284827</v>
      </c>
      <c r="F225" s="193">
        <v>0.7083333333284827</v>
      </c>
      <c r="G225" s="194">
        <f t="shared" si="1"/>
        <v>9</v>
      </c>
      <c r="H225" s="195">
        <f t="shared" si="2"/>
        <v>1</v>
      </c>
      <c r="I225" s="192">
        <f t="shared" si="33"/>
        <v>1984.126984</v>
      </c>
      <c r="J225" s="196"/>
      <c r="K225" s="192"/>
      <c r="L225" s="195"/>
      <c r="M225" s="192">
        <f t="shared" si="4"/>
        <v>17857.14286</v>
      </c>
    </row>
    <row r="226" ht="26.25" hidden="1" customHeight="1">
      <c r="A226" s="189" t="s">
        <v>176</v>
      </c>
      <c r="B226" s="190">
        <v>46061.0</v>
      </c>
      <c r="C226" s="191">
        <v>46061.0</v>
      </c>
      <c r="D226" s="192">
        <v>750000.0</v>
      </c>
      <c r="E226" s="193">
        <v>0.3333333333333333</v>
      </c>
      <c r="F226" s="193">
        <v>0.85</v>
      </c>
      <c r="G226" s="194">
        <f t="shared" si="1"/>
        <v>12.4</v>
      </c>
      <c r="H226" s="195">
        <f t="shared" si="2"/>
        <v>1</v>
      </c>
      <c r="I226" s="192">
        <f t="shared" si="33"/>
        <v>2976.190476</v>
      </c>
      <c r="J226" s="196"/>
      <c r="K226" s="192">
        <v>5000.0</v>
      </c>
      <c r="L226" s="195"/>
      <c r="M226" s="192">
        <f t="shared" si="4"/>
        <v>36904.7619</v>
      </c>
    </row>
    <row r="227" ht="26.25" hidden="1" customHeight="1">
      <c r="A227" s="189" t="s">
        <v>242</v>
      </c>
      <c r="B227" s="190">
        <v>46061.0</v>
      </c>
      <c r="C227" s="191">
        <v>46061.0</v>
      </c>
      <c r="D227" s="192">
        <v>750000.0</v>
      </c>
      <c r="E227" s="193">
        <v>0.4027777777777778</v>
      </c>
      <c r="F227" s="193">
        <v>0.85</v>
      </c>
      <c r="G227" s="194">
        <f t="shared" si="1"/>
        <v>10.73333333</v>
      </c>
      <c r="H227" s="195">
        <f t="shared" si="2"/>
        <v>1</v>
      </c>
      <c r="I227" s="192">
        <f t="shared" si="33"/>
        <v>2976.190476</v>
      </c>
      <c r="J227" s="196"/>
      <c r="K227" s="192">
        <v>5000.0</v>
      </c>
      <c r="L227" s="195"/>
      <c r="M227" s="192">
        <f t="shared" si="4"/>
        <v>31944.44444</v>
      </c>
    </row>
    <row r="228" ht="26.25" hidden="1" customHeight="1">
      <c r="A228" s="189" t="s">
        <v>114</v>
      </c>
      <c r="B228" s="190">
        <v>46061.0</v>
      </c>
      <c r="C228" s="191">
        <v>46061.0</v>
      </c>
      <c r="D228" s="192">
        <v>750000.0</v>
      </c>
      <c r="E228" s="193">
        <v>0.3541666666666667</v>
      </c>
      <c r="F228" s="193">
        <v>0.85</v>
      </c>
      <c r="G228" s="194">
        <f t="shared" si="1"/>
        <v>11.9</v>
      </c>
      <c r="H228" s="195">
        <f t="shared" si="2"/>
        <v>1</v>
      </c>
      <c r="I228" s="192">
        <f t="shared" si="33"/>
        <v>2976.190476</v>
      </c>
      <c r="J228" s="196"/>
      <c r="K228" s="192">
        <v>5000.0</v>
      </c>
      <c r="L228" s="195"/>
      <c r="M228" s="192">
        <f t="shared" si="4"/>
        <v>35416.66667</v>
      </c>
    </row>
    <row r="229" ht="26.25" hidden="1" customHeight="1">
      <c r="A229" s="197" t="s">
        <v>102</v>
      </c>
      <c r="B229" s="190">
        <v>46061.0</v>
      </c>
      <c r="C229" s="191">
        <v>46061.0</v>
      </c>
      <c r="D229" s="192">
        <v>350000.0</v>
      </c>
      <c r="E229" s="193">
        <v>0.3333333333333333</v>
      </c>
      <c r="F229" s="193">
        <v>0.7083333333333334</v>
      </c>
      <c r="G229" s="194">
        <f t="shared" si="1"/>
        <v>9</v>
      </c>
      <c r="H229" s="195">
        <f t="shared" si="2"/>
        <v>1</v>
      </c>
      <c r="I229" s="192">
        <f t="shared" si="33"/>
        <v>1388.888889</v>
      </c>
      <c r="J229" s="196"/>
      <c r="K229" s="192"/>
      <c r="L229" s="195"/>
      <c r="M229" s="192">
        <f t="shared" si="4"/>
        <v>12500</v>
      </c>
    </row>
    <row r="230" ht="26.25" hidden="1" customHeight="1">
      <c r="A230" s="189" t="s">
        <v>244</v>
      </c>
      <c r="B230" s="190">
        <v>46061.0</v>
      </c>
      <c r="C230" s="191">
        <v>46061.0</v>
      </c>
      <c r="D230" s="192">
        <v>750000.0</v>
      </c>
      <c r="E230" s="193">
        <v>0.5416666666666666</v>
      </c>
      <c r="F230" s="193">
        <v>0.8541666666666666</v>
      </c>
      <c r="G230" s="194">
        <f t="shared" si="1"/>
        <v>7.5</v>
      </c>
      <c r="H230" s="195">
        <f t="shared" si="2"/>
        <v>1</v>
      </c>
      <c r="I230" s="192">
        <f t="shared" si="33"/>
        <v>2976.190476</v>
      </c>
      <c r="J230" s="196"/>
      <c r="K230" s="192">
        <v>5000.0</v>
      </c>
      <c r="L230" s="195"/>
      <c r="M230" s="192">
        <f t="shared" si="4"/>
        <v>22321.42857</v>
      </c>
    </row>
    <row r="231" ht="26.25" hidden="1" customHeight="1">
      <c r="A231" s="189" t="s">
        <v>245</v>
      </c>
      <c r="B231" s="190">
        <v>46061.0</v>
      </c>
      <c r="C231" s="191">
        <v>46061.0</v>
      </c>
      <c r="D231" s="192">
        <v>750000.0</v>
      </c>
      <c r="E231" s="193">
        <v>0.4583333333333333</v>
      </c>
      <c r="F231" s="193">
        <v>0.8333333333333334</v>
      </c>
      <c r="G231" s="194">
        <f t="shared" si="1"/>
        <v>9</v>
      </c>
      <c r="H231" s="195">
        <f t="shared" si="2"/>
        <v>1</v>
      </c>
      <c r="I231" s="192">
        <f t="shared" si="33"/>
        <v>2976.190476</v>
      </c>
      <c r="J231" s="196"/>
      <c r="K231" s="192">
        <v>5000.0</v>
      </c>
      <c r="L231" s="195"/>
      <c r="M231" s="192">
        <f t="shared" si="4"/>
        <v>26785.71429</v>
      </c>
    </row>
    <row r="232" ht="26.25" hidden="1" customHeight="1">
      <c r="A232" s="189" t="s">
        <v>125</v>
      </c>
      <c r="B232" s="190">
        <v>46061.0</v>
      </c>
      <c r="C232" s="191">
        <v>46061.0</v>
      </c>
      <c r="D232" s="192">
        <v>1012500.0</v>
      </c>
      <c r="E232" s="193">
        <v>0.375</v>
      </c>
      <c r="F232" s="193">
        <v>0.8333333333333334</v>
      </c>
      <c r="G232" s="194">
        <f t="shared" si="1"/>
        <v>11</v>
      </c>
      <c r="H232" s="195">
        <f t="shared" si="2"/>
        <v>1</v>
      </c>
      <c r="I232" s="192">
        <f t="shared" si="33"/>
        <v>4017.857143</v>
      </c>
      <c r="J232" s="196"/>
      <c r="K232" s="192"/>
      <c r="L232" s="195"/>
      <c r="M232" s="192">
        <f t="shared" si="4"/>
        <v>44196.42857</v>
      </c>
    </row>
    <row r="233" ht="26.25" hidden="1" customHeight="1">
      <c r="A233" s="189" t="s">
        <v>112</v>
      </c>
      <c r="B233" s="190">
        <v>46062.0</v>
      </c>
      <c r="C233" s="191">
        <v>46062.0</v>
      </c>
      <c r="D233" s="192">
        <v>600000.0</v>
      </c>
      <c r="E233" s="193">
        <v>0.3958333333333333</v>
      </c>
      <c r="F233" s="193">
        <v>0.7618055555555555</v>
      </c>
      <c r="G233" s="194">
        <f t="shared" si="1"/>
        <v>8.783333333</v>
      </c>
      <c r="H233" s="195">
        <f t="shared" si="2"/>
        <v>1</v>
      </c>
      <c r="I233" s="192">
        <f t="shared" si="33"/>
        <v>2380.952381</v>
      </c>
      <c r="J233" s="196"/>
      <c r="K233" s="192"/>
      <c r="L233" s="192"/>
      <c r="M233" s="192">
        <f t="shared" si="4"/>
        <v>20912.69841</v>
      </c>
    </row>
    <row r="234" ht="26.25" hidden="1" customHeight="1">
      <c r="A234" s="189" t="s">
        <v>27</v>
      </c>
      <c r="B234" s="190">
        <v>46062.0</v>
      </c>
      <c r="C234" s="191">
        <v>46062.0</v>
      </c>
      <c r="D234" s="192">
        <v>850000.0</v>
      </c>
      <c r="E234" s="193">
        <v>0.375</v>
      </c>
      <c r="F234" s="193">
        <v>0.875</v>
      </c>
      <c r="G234" s="194">
        <f t="shared" si="1"/>
        <v>12</v>
      </c>
      <c r="H234" s="195">
        <f t="shared" si="2"/>
        <v>1</v>
      </c>
      <c r="I234" s="192">
        <f t="shared" si="33"/>
        <v>3373.015873</v>
      </c>
      <c r="J234" s="196"/>
      <c r="K234" s="198">
        <v>10000.0</v>
      </c>
      <c r="L234" s="198"/>
      <c r="M234" s="192">
        <f t="shared" si="4"/>
        <v>40476.19048</v>
      </c>
    </row>
    <row r="235" ht="26.25" hidden="1" customHeight="1">
      <c r="A235" s="189" t="s">
        <v>29</v>
      </c>
      <c r="B235" s="190">
        <v>46062.0</v>
      </c>
      <c r="C235" s="191">
        <v>46062.0</v>
      </c>
      <c r="D235" s="192">
        <v>650000.0</v>
      </c>
      <c r="E235" s="193">
        <v>0.3958333333333333</v>
      </c>
      <c r="F235" s="193">
        <v>0.7618055555555555</v>
      </c>
      <c r="G235" s="194">
        <f t="shared" si="1"/>
        <v>8.783333333</v>
      </c>
      <c r="H235" s="195">
        <f t="shared" si="2"/>
        <v>1</v>
      </c>
      <c r="I235" s="192">
        <f t="shared" si="33"/>
        <v>2579.365079</v>
      </c>
      <c r="J235" s="196"/>
      <c r="K235" s="192">
        <v>10000.0</v>
      </c>
      <c r="L235" s="192"/>
      <c r="M235" s="192">
        <f t="shared" si="4"/>
        <v>22655.42328</v>
      </c>
    </row>
    <row r="236" ht="26.25" hidden="1" customHeight="1">
      <c r="A236" s="189" t="s">
        <v>28</v>
      </c>
      <c r="B236" s="190">
        <v>46062.0</v>
      </c>
      <c r="C236" s="191">
        <v>46062.0</v>
      </c>
      <c r="D236" s="192">
        <v>550000.0</v>
      </c>
      <c r="E236" s="193">
        <v>0.3333333333333333</v>
      </c>
      <c r="F236" s="193">
        <v>0.7083333333333334</v>
      </c>
      <c r="G236" s="194">
        <f t="shared" si="1"/>
        <v>9</v>
      </c>
      <c r="H236" s="195">
        <f t="shared" si="2"/>
        <v>1</v>
      </c>
      <c r="I236" s="192">
        <f t="shared" si="33"/>
        <v>2182.539683</v>
      </c>
      <c r="J236" s="196"/>
      <c r="K236" s="192">
        <v>20000.0</v>
      </c>
      <c r="L236" s="192"/>
      <c r="M236" s="192">
        <f t="shared" si="4"/>
        <v>19642.85714</v>
      </c>
    </row>
    <row r="237" ht="26.25" hidden="1" customHeight="1">
      <c r="A237" s="189" t="s">
        <v>130</v>
      </c>
      <c r="B237" s="190">
        <v>46062.0</v>
      </c>
      <c r="C237" s="191">
        <v>46062.0</v>
      </c>
      <c r="D237" s="192">
        <v>750000.0</v>
      </c>
      <c r="E237" s="193">
        <v>0.375</v>
      </c>
      <c r="F237" s="193">
        <v>0.7618055555555555</v>
      </c>
      <c r="G237" s="194">
        <f t="shared" si="1"/>
        <v>9.283333333</v>
      </c>
      <c r="H237" s="195">
        <f t="shared" si="2"/>
        <v>1</v>
      </c>
      <c r="I237" s="192">
        <f t="shared" si="33"/>
        <v>2976.190476</v>
      </c>
      <c r="J237" s="196"/>
      <c r="K237" s="192">
        <v>5000.0</v>
      </c>
      <c r="L237" s="195"/>
      <c r="M237" s="192">
        <f t="shared" si="4"/>
        <v>27628.96825</v>
      </c>
    </row>
    <row r="238" ht="26.25" hidden="1" customHeight="1">
      <c r="A238" s="189" t="s">
        <v>113</v>
      </c>
      <c r="B238" s="190">
        <v>46062.0</v>
      </c>
      <c r="C238" s="191">
        <v>46062.0</v>
      </c>
      <c r="D238" s="192">
        <v>750000.0</v>
      </c>
      <c r="E238" s="193">
        <v>0.0</v>
      </c>
      <c r="F238" s="193">
        <v>0.19444444444444445</v>
      </c>
      <c r="G238" s="194">
        <f t="shared" si="1"/>
        <v>4.666666667</v>
      </c>
      <c r="H238" s="195">
        <f t="shared" si="2"/>
        <v>1</v>
      </c>
      <c r="I238" s="192">
        <f t="shared" si="33"/>
        <v>2976.190476</v>
      </c>
      <c r="J238" s="196"/>
      <c r="K238" s="192">
        <v>5000.0</v>
      </c>
      <c r="L238" s="195"/>
      <c r="M238" s="192">
        <f t="shared" si="4"/>
        <v>13888.88889</v>
      </c>
    </row>
    <row r="239" ht="26.25" hidden="1" customHeight="1">
      <c r="A239" s="189" t="s">
        <v>63</v>
      </c>
      <c r="B239" s="190">
        <v>46062.0</v>
      </c>
      <c r="C239" s="191">
        <v>46062.0</v>
      </c>
      <c r="D239" s="192">
        <v>500000.0</v>
      </c>
      <c r="E239" s="193">
        <v>0.3333333333284827</v>
      </c>
      <c r="F239" s="193">
        <v>0.7083333333284827</v>
      </c>
      <c r="G239" s="194">
        <f t="shared" si="1"/>
        <v>9</v>
      </c>
      <c r="H239" s="195">
        <f t="shared" si="2"/>
        <v>1</v>
      </c>
      <c r="I239" s="192">
        <f t="shared" si="33"/>
        <v>1984.126984</v>
      </c>
      <c r="J239" s="196"/>
      <c r="K239" s="192"/>
      <c r="L239" s="195"/>
      <c r="M239" s="192">
        <f t="shared" si="4"/>
        <v>17857.14286</v>
      </c>
    </row>
    <row r="240" ht="26.25" hidden="1" customHeight="1">
      <c r="A240" s="189" t="s">
        <v>176</v>
      </c>
      <c r="B240" s="190">
        <v>46062.0</v>
      </c>
      <c r="C240" s="191">
        <v>46062.0</v>
      </c>
      <c r="D240" s="192">
        <v>750000.0</v>
      </c>
      <c r="E240" s="193">
        <v>0.3541666666666667</v>
      </c>
      <c r="F240" s="193">
        <v>0.7618055555555555</v>
      </c>
      <c r="G240" s="194">
        <f t="shared" si="1"/>
        <v>9.783333333</v>
      </c>
      <c r="H240" s="195">
        <f t="shared" si="2"/>
        <v>1</v>
      </c>
      <c r="I240" s="192">
        <f t="shared" si="33"/>
        <v>2976.190476</v>
      </c>
      <c r="J240" s="196"/>
      <c r="K240" s="192">
        <v>5000.0</v>
      </c>
      <c r="L240" s="195"/>
      <c r="M240" s="192">
        <f t="shared" si="4"/>
        <v>29117.06349</v>
      </c>
    </row>
    <row r="241" ht="26.25" hidden="1" customHeight="1">
      <c r="A241" s="189" t="s">
        <v>114</v>
      </c>
      <c r="B241" s="190">
        <v>46062.0</v>
      </c>
      <c r="C241" s="191">
        <v>46062.0</v>
      </c>
      <c r="D241" s="192">
        <v>750000.0</v>
      </c>
      <c r="E241" s="193">
        <v>0.3402777777777778</v>
      </c>
      <c r="F241" s="193">
        <v>0.7618055555555555</v>
      </c>
      <c r="G241" s="194">
        <f t="shared" si="1"/>
        <v>10.11666667</v>
      </c>
      <c r="H241" s="195">
        <f t="shared" si="2"/>
        <v>1</v>
      </c>
      <c r="I241" s="192">
        <f t="shared" si="33"/>
        <v>2976.190476</v>
      </c>
      <c r="J241" s="196"/>
      <c r="K241" s="192">
        <v>10000.0</v>
      </c>
      <c r="L241" s="195"/>
      <c r="M241" s="192">
        <f t="shared" si="4"/>
        <v>30109.12698</v>
      </c>
    </row>
    <row r="242" ht="26.25" hidden="1" customHeight="1">
      <c r="A242" s="197" t="s">
        <v>102</v>
      </c>
      <c r="B242" s="190">
        <v>46062.0</v>
      </c>
      <c r="C242" s="191">
        <v>46062.0</v>
      </c>
      <c r="D242" s="192">
        <v>350000.0</v>
      </c>
      <c r="E242" s="193">
        <v>0.3333333333333333</v>
      </c>
      <c r="F242" s="193">
        <v>0.7083333333333334</v>
      </c>
      <c r="G242" s="194">
        <f t="shared" si="1"/>
        <v>9</v>
      </c>
      <c r="H242" s="195">
        <f t="shared" si="2"/>
        <v>1</v>
      </c>
      <c r="I242" s="192">
        <f t="shared" si="33"/>
        <v>1388.888889</v>
      </c>
      <c r="J242" s="196"/>
      <c r="K242" s="192"/>
      <c r="L242" s="195"/>
      <c r="M242" s="192">
        <f t="shared" si="4"/>
        <v>12500</v>
      </c>
    </row>
    <row r="243" ht="26.25" hidden="1" customHeight="1">
      <c r="A243" s="189" t="s">
        <v>245</v>
      </c>
      <c r="B243" s="190">
        <v>46062.0</v>
      </c>
      <c r="C243" s="191">
        <v>46062.0</v>
      </c>
      <c r="D243" s="192">
        <v>750000.0</v>
      </c>
      <c r="E243" s="193">
        <v>0.4583333333333333</v>
      </c>
      <c r="F243" s="193">
        <v>0.8333333333333334</v>
      </c>
      <c r="G243" s="194">
        <f t="shared" si="1"/>
        <v>9</v>
      </c>
      <c r="H243" s="195">
        <f t="shared" si="2"/>
        <v>1</v>
      </c>
      <c r="I243" s="192">
        <f t="shared" si="33"/>
        <v>2976.190476</v>
      </c>
      <c r="J243" s="196"/>
      <c r="K243" s="192">
        <v>10000.0</v>
      </c>
      <c r="L243" s="195"/>
      <c r="M243" s="192">
        <f t="shared" si="4"/>
        <v>26785.71429</v>
      </c>
    </row>
    <row r="244" ht="26.25" hidden="1" customHeight="1">
      <c r="A244" s="189" t="s">
        <v>36</v>
      </c>
      <c r="B244" s="190">
        <v>46062.0</v>
      </c>
      <c r="C244" s="191">
        <v>46062.0</v>
      </c>
      <c r="D244" s="192">
        <v>1012500.0</v>
      </c>
      <c r="E244" s="193">
        <v>0.7916666666666666</v>
      </c>
      <c r="F244" s="193">
        <v>0.9993055555555556</v>
      </c>
      <c r="G244" s="194">
        <f t="shared" si="1"/>
        <v>4.983333333</v>
      </c>
      <c r="H244" s="195">
        <f t="shared" si="2"/>
        <v>1</v>
      </c>
      <c r="I244" s="192">
        <f t="shared" si="33"/>
        <v>4017.857143</v>
      </c>
      <c r="J244" s="196"/>
      <c r="K244" s="192">
        <v>5000.0</v>
      </c>
      <c r="L244" s="195"/>
      <c r="M244" s="192">
        <f t="shared" si="4"/>
        <v>20022.32143</v>
      </c>
    </row>
    <row r="245" ht="26.25" hidden="1" customHeight="1">
      <c r="A245" s="189" t="s">
        <v>112</v>
      </c>
      <c r="B245" s="190">
        <v>46063.0</v>
      </c>
      <c r="C245" s="191">
        <v>46063.0</v>
      </c>
      <c r="D245" s="192">
        <v>600000.0</v>
      </c>
      <c r="E245" s="193">
        <v>0.6375</v>
      </c>
      <c r="F245" s="193">
        <v>0.9791666666666666</v>
      </c>
      <c r="G245" s="194">
        <f t="shared" si="1"/>
        <v>8.2</v>
      </c>
      <c r="H245" s="195">
        <f t="shared" si="2"/>
        <v>1</v>
      </c>
      <c r="I245" s="192">
        <f t="shared" si="33"/>
        <v>2380.952381</v>
      </c>
      <c r="J245" s="196"/>
      <c r="K245" s="192"/>
      <c r="L245" s="192"/>
      <c r="M245" s="192">
        <f t="shared" si="4"/>
        <v>19523.80952</v>
      </c>
    </row>
    <row r="246" ht="26.25" hidden="1" customHeight="1">
      <c r="A246" s="189" t="s">
        <v>27</v>
      </c>
      <c r="B246" s="190">
        <v>46063.0</v>
      </c>
      <c r="C246" s="191">
        <v>46063.0</v>
      </c>
      <c r="D246" s="192">
        <v>850000.0</v>
      </c>
      <c r="E246" s="193">
        <v>0.14583333333333334</v>
      </c>
      <c r="F246" s="193">
        <v>0.6875</v>
      </c>
      <c r="G246" s="194">
        <f t="shared" si="1"/>
        <v>13</v>
      </c>
      <c r="H246" s="195">
        <f t="shared" si="2"/>
        <v>1</v>
      </c>
      <c r="I246" s="192">
        <f t="shared" si="33"/>
        <v>3373.015873</v>
      </c>
      <c r="J246" s="196"/>
      <c r="K246" s="192"/>
      <c r="L246" s="192"/>
      <c r="M246" s="192">
        <f t="shared" si="4"/>
        <v>43849.20635</v>
      </c>
    </row>
    <row r="247" ht="26.25" hidden="1" customHeight="1">
      <c r="A247" s="189" t="s">
        <v>29</v>
      </c>
      <c r="B247" s="190">
        <v>46063.0</v>
      </c>
      <c r="C247" s="191">
        <v>46063.0</v>
      </c>
      <c r="D247" s="192">
        <v>650000.0</v>
      </c>
      <c r="E247" s="193">
        <v>0.1375</v>
      </c>
      <c r="F247" s="193">
        <v>0.4791666666666667</v>
      </c>
      <c r="G247" s="194">
        <f t="shared" si="1"/>
        <v>8.2</v>
      </c>
      <c r="H247" s="195">
        <f t="shared" si="2"/>
        <v>1</v>
      </c>
      <c r="I247" s="192">
        <f t="shared" si="33"/>
        <v>2579.365079</v>
      </c>
      <c r="J247" s="196"/>
      <c r="K247" s="192">
        <v>4000.0</v>
      </c>
      <c r="L247" s="192"/>
      <c r="M247" s="192">
        <f t="shared" si="4"/>
        <v>21150.79365</v>
      </c>
    </row>
    <row r="248" ht="26.25" hidden="1" customHeight="1">
      <c r="A248" s="189" t="s">
        <v>28</v>
      </c>
      <c r="B248" s="190">
        <v>46063.0</v>
      </c>
      <c r="C248" s="191">
        <v>46063.0</v>
      </c>
      <c r="D248" s="192">
        <v>550000.0</v>
      </c>
      <c r="E248" s="193">
        <v>0.3472222222222222</v>
      </c>
      <c r="F248" s="193">
        <v>0.7083333333333334</v>
      </c>
      <c r="G248" s="194">
        <f t="shared" si="1"/>
        <v>8.666666667</v>
      </c>
      <c r="H248" s="195">
        <f t="shared" si="2"/>
        <v>1</v>
      </c>
      <c r="I248" s="192">
        <f t="shared" si="33"/>
        <v>2182.539683</v>
      </c>
      <c r="J248" s="196"/>
      <c r="K248" s="192">
        <v>25000.0</v>
      </c>
      <c r="L248" s="192"/>
      <c r="M248" s="192">
        <f t="shared" si="4"/>
        <v>18915.34392</v>
      </c>
    </row>
    <row r="249" ht="26.25" hidden="1" customHeight="1">
      <c r="A249" s="189" t="s">
        <v>130</v>
      </c>
      <c r="B249" s="190">
        <v>46063.0</v>
      </c>
      <c r="C249" s="191">
        <v>46063.0</v>
      </c>
      <c r="D249" s="192">
        <v>750000.0</v>
      </c>
      <c r="E249" s="193">
        <v>0.3541666666666667</v>
      </c>
      <c r="F249" s="193">
        <v>0.7083333333333334</v>
      </c>
      <c r="G249" s="194">
        <f t="shared" si="1"/>
        <v>8.5</v>
      </c>
      <c r="H249" s="195">
        <f t="shared" si="2"/>
        <v>1</v>
      </c>
      <c r="I249" s="192">
        <f t="shared" si="33"/>
        <v>2976.190476</v>
      </c>
      <c r="J249" s="196"/>
      <c r="K249" s="192">
        <v>4000.0</v>
      </c>
      <c r="L249" s="195"/>
      <c r="M249" s="192">
        <f t="shared" si="4"/>
        <v>25297.61905</v>
      </c>
    </row>
    <row r="250" ht="26.25" hidden="1" customHeight="1">
      <c r="A250" s="189" t="s">
        <v>113</v>
      </c>
      <c r="B250" s="190">
        <v>46063.0</v>
      </c>
      <c r="C250" s="191">
        <v>46063.0</v>
      </c>
      <c r="D250" s="192">
        <v>750000.0</v>
      </c>
      <c r="E250" s="193">
        <v>0.125</v>
      </c>
      <c r="F250" s="193">
        <v>0.4375</v>
      </c>
      <c r="G250" s="194">
        <f t="shared" si="1"/>
        <v>7.5</v>
      </c>
      <c r="H250" s="195">
        <f t="shared" si="2"/>
        <v>1</v>
      </c>
      <c r="I250" s="192">
        <f t="shared" si="33"/>
        <v>2976.190476</v>
      </c>
      <c r="J250" s="196"/>
      <c r="K250" s="192">
        <v>100000.0</v>
      </c>
      <c r="L250" s="195"/>
      <c r="M250" s="192">
        <f t="shared" si="4"/>
        <v>22321.42857</v>
      </c>
    </row>
    <row r="251" ht="26.25" hidden="1" customHeight="1">
      <c r="A251" s="189" t="s">
        <v>63</v>
      </c>
      <c r="B251" s="190">
        <v>46063.0</v>
      </c>
      <c r="C251" s="191">
        <v>46063.0</v>
      </c>
      <c r="D251" s="192">
        <v>500000.0</v>
      </c>
      <c r="E251" s="193">
        <v>0.3333333333284827</v>
      </c>
      <c r="F251" s="193">
        <v>0.7083333333284827</v>
      </c>
      <c r="G251" s="194">
        <f t="shared" si="1"/>
        <v>9</v>
      </c>
      <c r="H251" s="195">
        <f t="shared" si="2"/>
        <v>1</v>
      </c>
      <c r="I251" s="192">
        <f t="shared" si="33"/>
        <v>1984.126984</v>
      </c>
      <c r="J251" s="196"/>
      <c r="K251" s="192"/>
      <c r="L251" s="195"/>
      <c r="M251" s="192">
        <f t="shared" si="4"/>
        <v>17857.14286</v>
      </c>
    </row>
    <row r="252" ht="26.25" hidden="1" customHeight="1">
      <c r="A252" s="189" t="s">
        <v>176</v>
      </c>
      <c r="B252" s="190">
        <v>46063.0</v>
      </c>
      <c r="C252" s="191">
        <v>46063.0</v>
      </c>
      <c r="D252" s="192">
        <v>750000.0</v>
      </c>
      <c r="E252" s="193">
        <v>0.375</v>
      </c>
      <c r="F252" s="193">
        <v>0.7083333333333334</v>
      </c>
      <c r="G252" s="194">
        <f t="shared" si="1"/>
        <v>8</v>
      </c>
      <c r="H252" s="195">
        <f t="shared" si="2"/>
        <v>1</v>
      </c>
      <c r="I252" s="192">
        <f t="shared" si="33"/>
        <v>2976.190476</v>
      </c>
      <c r="J252" s="196"/>
      <c r="K252" s="192">
        <v>3000.0</v>
      </c>
      <c r="L252" s="195"/>
      <c r="M252" s="192">
        <f t="shared" si="4"/>
        <v>23809.52381</v>
      </c>
    </row>
    <row r="253" ht="26.25" hidden="1" customHeight="1">
      <c r="A253" s="189" t="s">
        <v>242</v>
      </c>
      <c r="B253" s="190">
        <v>46063.0</v>
      </c>
      <c r="C253" s="191">
        <v>46063.0</v>
      </c>
      <c r="D253" s="192">
        <v>750000.0</v>
      </c>
      <c r="E253" s="193">
        <v>0.3458333333333333</v>
      </c>
      <c r="F253" s="193">
        <v>0.9791666666666666</v>
      </c>
      <c r="G253" s="194">
        <f t="shared" si="1"/>
        <v>15.2</v>
      </c>
      <c r="H253" s="195">
        <f t="shared" si="2"/>
        <v>1</v>
      </c>
      <c r="I253" s="192">
        <f t="shared" si="33"/>
        <v>2976.190476</v>
      </c>
      <c r="J253" s="196"/>
      <c r="K253" s="192">
        <v>10000.0</v>
      </c>
      <c r="L253" s="195"/>
      <c r="M253" s="192">
        <f t="shared" si="4"/>
        <v>45238.09524</v>
      </c>
    </row>
    <row r="254" ht="26.25" hidden="1" customHeight="1">
      <c r="A254" s="189" t="s">
        <v>114</v>
      </c>
      <c r="B254" s="190">
        <v>46063.0</v>
      </c>
      <c r="C254" s="191">
        <v>46063.0</v>
      </c>
      <c r="D254" s="192">
        <v>750000.0</v>
      </c>
      <c r="E254" s="193">
        <v>0.375</v>
      </c>
      <c r="F254" s="193">
        <v>0.7083333333333334</v>
      </c>
      <c r="G254" s="194">
        <f t="shared" si="1"/>
        <v>8</v>
      </c>
      <c r="H254" s="195">
        <f t="shared" si="2"/>
        <v>1</v>
      </c>
      <c r="I254" s="192">
        <f t="shared" si="33"/>
        <v>2976.190476</v>
      </c>
      <c r="J254" s="196"/>
      <c r="K254" s="192">
        <v>5000.0</v>
      </c>
      <c r="L254" s="195"/>
      <c r="M254" s="192">
        <f t="shared" si="4"/>
        <v>23809.52381</v>
      </c>
    </row>
    <row r="255" ht="26.25" hidden="1" customHeight="1">
      <c r="A255" s="197" t="s">
        <v>102</v>
      </c>
      <c r="B255" s="190">
        <v>46063.0</v>
      </c>
      <c r="C255" s="191">
        <v>46063.0</v>
      </c>
      <c r="D255" s="192">
        <v>350000.0</v>
      </c>
      <c r="E255" s="193">
        <v>0.3333333333333333</v>
      </c>
      <c r="F255" s="193">
        <v>0.7083333333333334</v>
      </c>
      <c r="G255" s="194">
        <f t="shared" si="1"/>
        <v>9</v>
      </c>
      <c r="H255" s="195">
        <f t="shared" si="2"/>
        <v>1</v>
      </c>
      <c r="I255" s="192">
        <f t="shared" si="33"/>
        <v>1388.888889</v>
      </c>
      <c r="J255" s="196"/>
      <c r="K255" s="192"/>
      <c r="L255" s="195"/>
      <c r="M255" s="192">
        <f t="shared" si="4"/>
        <v>12500</v>
      </c>
    </row>
    <row r="256" ht="26.25" hidden="1" customHeight="1">
      <c r="A256" s="189" t="s">
        <v>245</v>
      </c>
      <c r="B256" s="190">
        <v>46063.0</v>
      </c>
      <c r="C256" s="191">
        <v>46063.0</v>
      </c>
      <c r="D256" s="192">
        <v>750000.0</v>
      </c>
      <c r="E256" s="193">
        <v>0.4583333333333333</v>
      </c>
      <c r="F256" s="193">
        <v>0.8333333333333334</v>
      </c>
      <c r="G256" s="194">
        <f t="shared" si="1"/>
        <v>9</v>
      </c>
      <c r="H256" s="195">
        <f t="shared" si="2"/>
        <v>1</v>
      </c>
      <c r="I256" s="192">
        <f t="shared" si="33"/>
        <v>2976.190476</v>
      </c>
      <c r="J256" s="196"/>
      <c r="K256" s="192">
        <v>20000.0</v>
      </c>
      <c r="L256" s="195"/>
      <c r="M256" s="192">
        <f t="shared" si="4"/>
        <v>26785.71429</v>
      </c>
    </row>
    <row r="257" ht="26.25" hidden="1" customHeight="1">
      <c r="A257" s="189" t="s">
        <v>36</v>
      </c>
      <c r="B257" s="190">
        <v>46063.0</v>
      </c>
      <c r="C257" s="191">
        <v>46063.0</v>
      </c>
      <c r="D257" s="192">
        <v>1012500.0</v>
      </c>
      <c r="E257" s="193">
        <v>0.0</v>
      </c>
      <c r="F257" s="193">
        <v>0.4166666666666667</v>
      </c>
      <c r="G257" s="194">
        <f t="shared" si="1"/>
        <v>10</v>
      </c>
      <c r="H257" s="195">
        <f t="shared" si="2"/>
        <v>1</v>
      </c>
      <c r="I257" s="192">
        <f t="shared" si="33"/>
        <v>4017.857143</v>
      </c>
      <c r="J257" s="196"/>
      <c r="K257" s="192">
        <v>10000.0</v>
      </c>
      <c r="L257" s="195"/>
      <c r="M257" s="192">
        <f t="shared" si="4"/>
        <v>40178.57143</v>
      </c>
    </row>
    <row r="258" ht="26.25" hidden="1" customHeight="1">
      <c r="A258" s="189" t="s">
        <v>112</v>
      </c>
      <c r="B258" s="190">
        <v>46064.0</v>
      </c>
      <c r="C258" s="191">
        <v>46064.0</v>
      </c>
      <c r="D258" s="192">
        <v>600000.0</v>
      </c>
      <c r="E258" s="193">
        <v>0.3541666666666667</v>
      </c>
      <c r="F258" s="193">
        <v>0.7083333333333334</v>
      </c>
      <c r="G258" s="194">
        <f t="shared" si="1"/>
        <v>8.5</v>
      </c>
      <c r="H258" s="195">
        <f t="shared" si="2"/>
        <v>1</v>
      </c>
      <c r="I258" s="192">
        <f t="shared" si="33"/>
        <v>2380.952381</v>
      </c>
      <c r="J258" s="196"/>
      <c r="K258" s="192"/>
      <c r="L258" s="192"/>
      <c r="M258" s="192">
        <f t="shared" si="4"/>
        <v>20238.09524</v>
      </c>
    </row>
    <row r="259" ht="26.25" hidden="1" customHeight="1">
      <c r="A259" s="189" t="s">
        <v>27</v>
      </c>
      <c r="B259" s="190">
        <v>46064.0</v>
      </c>
      <c r="C259" s="191">
        <v>46064.0</v>
      </c>
      <c r="D259" s="192">
        <v>850000.0</v>
      </c>
      <c r="E259" s="199">
        <v>0.3923611111111111</v>
      </c>
      <c r="F259" s="199">
        <v>0.8125</v>
      </c>
      <c r="G259" s="194">
        <f t="shared" si="1"/>
        <v>10.08333333</v>
      </c>
      <c r="H259" s="195">
        <f t="shared" si="2"/>
        <v>1</v>
      </c>
      <c r="I259" s="192">
        <f t="shared" si="33"/>
        <v>3373.015873</v>
      </c>
      <c r="J259" s="196"/>
      <c r="K259" s="192"/>
      <c r="L259" s="192"/>
      <c r="M259" s="192">
        <f t="shared" si="4"/>
        <v>34011.24339</v>
      </c>
    </row>
    <row r="260" ht="26.25" hidden="1" customHeight="1">
      <c r="A260" s="189" t="s">
        <v>29</v>
      </c>
      <c r="B260" s="190">
        <v>46064.0</v>
      </c>
      <c r="C260" s="191">
        <v>46064.0</v>
      </c>
      <c r="D260" s="192">
        <v>650000.0</v>
      </c>
      <c r="E260" s="193">
        <v>0.4861111111111111</v>
      </c>
      <c r="F260" s="193">
        <v>0.8506944444444444</v>
      </c>
      <c r="G260" s="194">
        <f t="shared" si="1"/>
        <v>8.75</v>
      </c>
      <c r="H260" s="195">
        <f t="shared" si="2"/>
        <v>1</v>
      </c>
      <c r="I260" s="192">
        <f t="shared" si="33"/>
        <v>2579.365079</v>
      </c>
      <c r="J260" s="196"/>
      <c r="K260" s="192">
        <v>5000.0</v>
      </c>
      <c r="L260" s="192"/>
      <c r="M260" s="192">
        <f t="shared" si="4"/>
        <v>22569.44444</v>
      </c>
    </row>
    <row r="261" ht="26.25" hidden="1" customHeight="1">
      <c r="A261" s="189" t="s">
        <v>28</v>
      </c>
      <c r="B261" s="190">
        <v>46064.0</v>
      </c>
      <c r="C261" s="191">
        <v>46064.0</v>
      </c>
      <c r="D261" s="192">
        <v>550000.0</v>
      </c>
      <c r="E261" s="193">
        <v>0.38819444444444445</v>
      </c>
      <c r="F261" s="193">
        <v>0.7083333333333334</v>
      </c>
      <c r="G261" s="194">
        <f t="shared" si="1"/>
        <v>7.683333333</v>
      </c>
      <c r="H261" s="195">
        <f t="shared" si="2"/>
        <v>1</v>
      </c>
      <c r="I261" s="192">
        <f t="shared" si="33"/>
        <v>2182.539683</v>
      </c>
      <c r="J261" s="196"/>
      <c r="K261" s="192">
        <v>25000.0</v>
      </c>
      <c r="L261" s="192"/>
      <c r="M261" s="192">
        <f t="shared" si="4"/>
        <v>16769.17989</v>
      </c>
    </row>
    <row r="262" ht="26.25" hidden="1" customHeight="1">
      <c r="A262" s="189" t="s">
        <v>130</v>
      </c>
      <c r="B262" s="190">
        <v>46064.0</v>
      </c>
      <c r="C262" s="191">
        <v>46064.0</v>
      </c>
      <c r="D262" s="192">
        <v>750000.0</v>
      </c>
      <c r="E262" s="193">
        <v>0.4166666666666667</v>
      </c>
      <c r="F262" s="193">
        <v>0.7708333333333334</v>
      </c>
      <c r="G262" s="194">
        <f t="shared" si="1"/>
        <v>8.5</v>
      </c>
      <c r="H262" s="195">
        <f t="shared" si="2"/>
        <v>1</v>
      </c>
      <c r="I262" s="192">
        <f t="shared" si="33"/>
        <v>2976.190476</v>
      </c>
      <c r="J262" s="196"/>
      <c r="K262" s="192">
        <v>55000.0</v>
      </c>
      <c r="L262" s="195"/>
      <c r="M262" s="192">
        <f t="shared" si="4"/>
        <v>25297.61905</v>
      </c>
    </row>
    <row r="263" ht="26.25" hidden="1" customHeight="1">
      <c r="A263" s="189" t="s">
        <v>113</v>
      </c>
      <c r="B263" s="190">
        <v>46064.0</v>
      </c>
      <c r="C263" s="191">
        <v>46064.0</v>
      </c>
      <c r="D263" s="192">
        <v>750000.0</v>
      </c>
      <c r="E263" s="193">
        <v>0.5625</v>
      </c>
      <c r="F263" s="193">
        <v>0.9993055555555556</v>
      </c>
      <c r="G263" s="194">
        <f t="shared" si="1"/>
        <v>10.48333333</v>
      </c>
      <c r="H263" s="195">
        <f t="shared" si="2"/>
        <v>1</v>
      </c>
      <c r="I263" s="192">
        <f t="shared" si="33"/>
        <v>2976.190476</v>
      </c>
      <c r="J263" s="196"/>
      <c r="K263" s="192">
        <v>10000.0</v>
      </c>
      <c r="L263" s="195"/>
      <c r="M263" s="192">
        <f t="shared" si="4"/>
        <v>31200.39683</v>
      </c>
    </row>
    <row r="264" ht="26.25" hidden="1" customHeight="1">
      <c r="A264" s="189" t="s">
        <v>63</v>
      </c>
      <c r="B264" s="190">
        <v>46064.0</v>
      </c>
      <c r="C264" s="191">
        <v>46064.0</v>
      </c>
      <c r="D264" s="192">
        <v>500000.0</v>
      </c>
      <c r="E264" s="193">
        <v>0.3333333333284827</v>
      </c>
      <c r="F264" s="193">
        <v>0.7083333333284827</v>
      </c>
      <c r="G264" s="194">
        <f t="shared" si="1"/>
        <v>9</v>
      </c>
      <c r="H264" s="195">
        <f t="shared" si="2"/>
        <v>1</v>
      </c>
      <c r="I264" s="192">
        <f t="shared" si="33"/>
        <v>1984.126984</v>
      </c>
      <c r="J264" s="196"/>
      <c r="K264" s="192"/>
      <c r="L264" s="195"/>
      <c r="M264" s="192">
        <f t="shared" si="4"/>
        <v>17857.14286</v>
      </c>
    </row>
    <row r="265" ht="26.25" hidden="1" customHeight="1">
      <c r="A265" s="189" t="s">
        <v>176</v>
      </c>
      <c r="B265" s="190">
        <v>46064.0</v>
      </c>
      <c r="C265" s="191">
        <v>46064.0</v>
      </c>
      <c r="D265" s="192">
        <v>750000.0</v>
      </c>
      <c r="E265" s="193">
        <v>0.375</v>
      </c>
      <c r="F265" s="193">
        <v>0.7708333333333334</v>
      </c>
      <c r="G265" s="194">
        <f t="shared" si="1"/>
        <v>9.5</v>
      </c>
      <c r="H265" s="195">
        <f t="shared" si="2"/>
        <v>1</v>
      </c>
      <c r="I265" s="192">
        <f t="shared" si="33"/>
        <v>2976.190476</v>
      </c>
      <c r="J265" s="196"/>
      <c r="K265" s="192">
        <v>5000.0</v>
      </c>
      <c r="L265" s="195"/>
      <c r="M265" s="192">
        <f t="shared" si="4"/>
        <v>28273.80952</v>
      </c>
    </row>
    <row r="266" ht="26.25" hidden="1" customHeight="1">
      <c r="A266" s="189" t="s">
        <v>242</v>
      </c>
      <c r="B266" s="190">
        <v>46064.0</v>
      </c>
      <c r="C266" s="191">
        <v>46064.0</v>
      </c>
      <c r="D266" s="192">
        <v>750000.0</v>
      </c>
      <c r="E266" s="193">
        <v>0.3541666666666667</v>
      </c>
      <c r="F266" s="193">
        <v>0.75</v>
      </c>
      <c r="G266" s="194">
        <f t="shared" si="1"/>
        <v>9.5</v>
      </c>
      <c r="H266" s="195">
        <f t="shared" si="2"/>
        <v>1</v>
      </c>
      <c r="I266" s="192">
        <f t="shared" si="33"/>
        <v>2976.190476</v>
      </c>
      <c r="J266" s="196"/>
      <c r="K266" s="192">
        <v>14000.0</v>
      </c>
      <c r="L266" s="195"/>
      <c r="M266" s="192">
        <f t="shared" si="4"/>
        <v>28273.80952</v>
      </c>
    </row>
    <row r="267" ht="26.25" hidden="1" customHeight="1">
      <c r="A267" s="189" t="s">
        <v>114</v>
      </c>
      <c r="B267" s="190">
        <v>46064.0</v>
      </c>
      <c r="C267" s="191">
        <v>46064.0</v>
      </c>
      <c r="D267" s="192">
        <v>750000.0</v>
      </c>
      <c r="E267" s="193">
        <v>0.375</v>
      </c>
      <c r="F267" s="193">
        <v>0.7756944444444445</v>
      </c>
      <c r="G267" s="194">
        <f t="shared" si="1"/>
        <v>9.616666667</v>
      </c>
      <c r="H267" s="195">
        <f t="shared" si="2"/>
        <v>1</v>
      </c>
      <c r="I267" s="192">
        <f t="shared" si="33"/>
        <v>2976.190476</v>
      </c>
      <c r="J267" s="196"/>
      <c r="K267" s="192">
        <v>5000.0</v>
      </c>
      <c r="L267" s="195"/>
      <c r="M267" s="192">
        <f t="shared" si="4"/>
        <v>28621.03175</v>
      </c>
    </row>
    <row r="268" ht="26.25" hidden="1" customHeight="1">
      <c r="A268" s="197" t="s">
        <v>102</v>
      </c>
      <c r="B268" s="190">
        <v>46064.0</v>
      </c>
      <c r="C268" s="191">
        <v>46064.0</v>
      </c>
      <c r="D268" s="192">
        <v>350000.0</v>
      </c>
      <c r="E268" s="193">
        <v>0.3333333333333333</v>
      </c>
      <c r="F268" s="193">
        <v>0.7083333333333334</v>
      </c>
      <c r="G268" s="194">
        <f t="shared" si="1"/>
        <v>9</v>
      </c>
      <c r="H268" s="195">
        <f t="shared" si="2"/>
        <v>1</v>
      </c>
      <c r="I268" s="192">
        <f t="shared" si="33"/>
        <v>1388.888889</v>
      </c>
      <c r="J268" s="196"/>
      <c r="K268" s="192"/>
      <c r="L268" s="195"/>
      <c r="M268" s="192">
        <f t="shared" si="4"/>
        <v>12500</v>
      </c>
    </row>
    <row r="269" ht="26.25" hidden="1" customHeight="1">
      <c r="A269" s="189" t="s">
        <v>245</v>
      </c>
      <c r="B269" s="190">
        <v>46064.0</v>
      </c>
      <c r="C269" s="191">
        <v>46064.0</v>
      </c>
      <c r="D269" s="192">
        <v>750000.0</v>
      </c>
      <c r="E269" s="193">
        <v>0.4583333333333333</v>
      </c>
      <c r="F269" s="193">
        <v>0.8333333333333334</v>
      </c>
      <c r="G269" s="194">
        <f t="shared" si="1"/>
        <v>9</v>
      </c>
      <c r="H269" s="195">
        <f t="shared" si="2"/>
        <v>1</v>
      </c>
      <c r="I269" s="192">
        <f t="shared" si="33"/>
        <v>2976.190476</v>
      </c>
      <c r="J269" s="196"/>
      <c r="K269" s="192">
        <v>12571.42857142858</v>
      </c>
      <c r="L269" s="195"/>
      <c r="M269" s="192">
        <f t="shared" si="4"/>
        <v>26785.71429</v>
      </c>
    </row>
    <row r="270" ht="26.25" hidden="1" customHeight="1">
      <c r="A270" s="189" t="s">
        <v>125</v>
      </c>
      <c r="B270" s="190">
        <v>46064.0</v>
      </c>
      <c r="C270" s="191">
        <v>46064.0</v>
      </c>
      <c r="D270" s="192">
        <v>1012500.0</v>
      </c>
      <c r="E270" s="193">
        <v>0.5</v>
      </c>
      <c r="F270" s="193">
        <v>0.8527777777777777</v>
      </c>
      <c r="G270" s="194">
        <f t="shared" si="1"/>
        <v>8.466666667</v>
      </c>
      <c r="H270" s="195">
        <f t="shared" si="2"/>
        <v>1</v>
      </c>
      <c r="I270" s="192">
        <f t="shared" si="33"/>
        <v>4017.857143</v>
      </c>
      <c r="J270" s="196"/>
      <c r="K270" s="192"/>
      <c r="L270" s="195"/>
      <c r="M270" s="192">
        <f t="shared" si="4"/>
        <v>34017.85714</v>
      </c>
    </row>
    <row r="271" ht="26.25" hidden="1" customHeight="1">
      <c r="A271" s="189" t="s">
        <v>27</v>
      </c>
      <c r="B271" s="190">
        <v>46065.0</v>
      </c>
      <c r="C271" s="191">
        <v>46065.0</v>
      </c>
      <c r="D271" s="192">
        <v>850000.0</v>
      </c>
      <c r="E271" s="199">
        <v>0.3958333333333333</v>
      </c>
      <c r="F271" s="199">
        <v>0.875</v>
      </c>
      <c r="G271" s="194">
        <f t="shared" si="1"/>
        <v>11.5</v>
      </c>
      <c r="H271" s="195">
        <f t="shared" si="2"/>
        <v>1</v>
      </c>
      <c r="I271" s="192">
        <f t="shared" si="33"/>
        <v>3373.015873</v>
      </c>
      <c r="J271" s="196"/>
      <c r="K271" s="198">
        <v>15000.0</v>
      </c>
      <c r="L271" s="198"/>
      <c r="M271" s="192">
        <f t="shared" si="4"/>
        <v>38789.68254</v>
      </c>
    </row>
    <row r="272" ht="26.25" hidden="1" customHeight="1">
      <c r="A272" s="189" t="s">
        <v>29</v>
      </c>
      <c r="B272" s="190">
        <v>46065.0</v>
      </c>
      <c r="C272" s="191">
        <v>46065.0</v>
      </c>
      <c r="D272" s="192">
        <v>650000.0</v>
      </c>
      <c r="E272" s="193">
        <v>0.3819444444444444</v>
      </c>
      <c r="F272" s="193">
        <v>0.6354166666666666</v>
      </c>
      <c r="G272" s="194">
        <f t="shared" si="1"/>
        <v>6.083333333</v>
      </c>
      <c r="H272" s="195">
        <f t="shared" si="2"/>
        <v>1</v>
      </c>
      <c r="I272" s="192">
        <f t="shared" si="33"/>
        <v>2579.365079</v>
      </c>
      <c r="J272" s="196"/>
      <c r="K272" s="192">
        <v>5000.0</v>
      </c>
      <c r="L272" s="192"/>
      <c r="M272" s="192">
        <f t="shared" si="4"/>
        <v>15691.13757</v>
      </c>
    </row>
    <row r="273" ht="26.25" hidden="1" customHeight="1">
      <c r="A273" s="189" t="s">
        <v>28</v>
      </c>
      <c r="B273" s="190">
        <v>46065.0</v>
      </c>
      <c r="C273" s="191">
        <v>46065.0</v>
      </c>
      <c r="D273" s="192">
        <v>550000.0</v>
      </c>
      <c r="E273" s="193">
        <v>0.3729166666666667</v>
      </c>
      <c r="F273" s="193">
        <v>0.8138888888888889</v>
      </c>
      <c r="G273" s="194">
        <f t="shared" si="1"/>
        <v>10.58333333</v>
      </c>
      <c r="H273" s="195">
        <f t="shared" si="2"/>
        <v>1</v>
      </c>
      <c r="I273" s="192">
        <f t="shared" si="33"/>
        <v>2182.539683</v>
      </c>
      <c r="J273" s="196"/>
      <c r="K273" s="192">
        <v>8000.0</v>
      </c>
      <c r="L273" s="192"/>
      <c r="M273" s="192">
        <f t="shared" si="4"/>
        <v>23098.54497</v>
      </c>
    </row>
    <row r="274" ht="26.25" hidden="1" customHeight="1">
      <c r="A274" s="189" t="s">
        <v>130</v>
      </c>
      <c r="B274" s="190">
        <v>46065.0</v>
      </c>
      <c r="C274" s="191">
        <v>46065.0</v>
      </c>
      <c r="D274" s="192">
        <v>750000.0</v>
      </c>
      <c r="E274" s="193">
        <v>0.3819444444444444</v>
      </c>
      <c r="F274" s="193">
        <v>0.6354166666666666</v>
      </c>
      <c r="G274" s="194">
        <f t="shared" si="1"/>
        <v>6.083333333</v>
      </c>
      <c r="H274" s="195">
        <f t="shared" si="2"/>
        <v>1</v>
      </c>
      <c r="I274" s="192">
        <f t="shared" si="33"/>
        <v>2976.190476</v>
      </c>
      <c r="J274" s="196"/>
      <c r="K274" s="192"/>
      <c r="L274" s="195"/>
      <c r="M274" s="192">
        <f t="shared" si="4"/>
        <v>18105.15873</v>
      </c>
    </row>
    <row r="275" ht="26.25" hidden="1" customHeight="1">
      <c r="A275" s="189" t="s">
        <v>113</v>
      </c>
      <c r="B275" s="190">
        <v>46065.0</v>
      </c>
      <c r="C275" s="191">
        <v>46065.0</v>
      </c>
      <c r="D275" s="192">
        <v>750000.0</v>
      </c>
      <c r="E275" s="193">
        <v>0.4375</v>
      </c>
      <c r="F275" s="193">
        <v>0.7708333333333334</v>
      </c>
      <c r="G275" s="194">
        <f t="shared" si="1"/>
        <v>8</v>
      </c>
      <c r="H275" s="195">
        <f t="shared" si="2"/>
        <v>1</v>
      </c>
      <c r="I275" s="192">
        <f t="shared" si="33"/>
        <v>2976.190476</v>
      </c>
      <c r="J275" s="196"/>
      <c r="K275" s="192">
        <v>5000.0</v>
      </c>
      <c r="L275" s="195"/>
      <c r="M275" s="192">
        <f t="shared" si="4"/>
        <v>23809.52381</v>
      </c>
    </row>
    <row r="276" ht="26.25" hidden="1" customHeight="1">
      <c r="A276" s="189" t="s">
        <v>63</v>
      </c>
      <c r="B276" s="190">
        <v>46065.0</v>
      </c>
      <c r="C276" s="191">
        <v>46065.0</v>
      </c>
      <c r="D276" s="192">
        <v>500000.0</v>
      </c>
      <c r="E276" s="193">
        <v>0.3333333333284827</v>
      </c>
      <c r="F276" s="193">
        <v>0.7083333333284827</v>
      </c>
      <c r="G276" s="194">
        <f t="shared" si="1"/>
        <v>9</v>
      </c>
      <c r="H276" s="195">
        <f t="shared" si="2"/>
        <v>1</v>
      </c>
      <c r="I276" s="192">
        <f t="shared" si="33"/>
        <v>1984.126984</v>
      </c>
      <c r="J276" s="196"/>
      <c r="K276" s="192"/>
      <c r="L276" s="195"/>
      <c r="M276" s="192">
        <f t="shared" si="4"/>
        <v>17857.14286</v>
      </c>
    </row>
    <row r="277" ht="26.25" hidden="1" customHeight="1">
      <c r="A277" s="189" t="s">
        <v>176</v>
      </c>
      <c r="B277" s="190">
        <v>46065.0</v>
      </c>
      <c r="C277" s="191">
        <v>46065.0</v>
      </c>
      <c r="D277" s="192">
        <v>750000.0</v>
      </c>
      <c r="E277" s="193">
        <v>0.3541666666666667</v>
      </c>
      <c r="F277" s="193">
        <v>0.7618055555555555</v>
      </c>
      <c r="G277" s="194">
        <f t="shared" si="1"/>
        <v>9.783333333</v>
      </c>
      <c r="H277" s="195">
        <f t="shared" si="2"/>
        <v>1</v>
      </c>
      <c r="I277" s="192">
        <f t="shared" si="33"/>
        <v>2976.190476</v>
      </c>
      <c r="J277" s="196"/>
      <c r="K277" s="192">
        <v>4000.0</v>
      </c>
      <c r="L277" s="195"/>
      <c r="M277" s="192">
        <f t="shared" si="4"/>
        <v>29117.06349</v>
      </c>
    </row>
    <row r="278" ht="26.25" hidden="1" customHeight="1">
      <c r="A278" s="189" t="s">
        <v>114</v>
      </c>
      <c r="B278" s="190">
        <v>46065.0</v>
      </c>
      <c r="C278" s="191">
        <v>46065.0</v>
      </c>
      <c r="D278" s="192">
        <v>750000.0</v>
      </c>
      <c r="E278" s="193">
        <v>0.41041666666666665</v>
      </c>
      <c r="F278" s="193">
        <v>0.7569444444444444</v>
      </c>
      <c r="G278" s="194">
        <f t="shared" si="1"/>
        <v>8.316666667</v>
      </c>
      <c r="H278" s="195">
        <f t="shared" si="2"/>
        <v>1</v>
      </c>
      <c r="I278" s="192">
        <f t="shared" si="33"/>
        <v>2976.190476</v>
      </c>
      <c r="J278" s="196"/>
      <c r="K278" s="192">
        <v>5000.0</v>
      </c>
      <c r="L278" s="195"/>
      <c r="M278" s="192">
        <f t="shared" si="4"/>
        <v>24751.98413</v>
      </c>
    </row>
    <row r="279" ht="26.25" hidden="1" customHeight="1">
      <c r="A279" s="197" t="s">
        <v>102</v>
      </c>
      <c r="B279" s="190">
        <v>46065.0</v>
      </c>
      <c r="C279" s="191">
        <v>46065.0</v>
      </c>
      <c r="D279" s="192">
        <v>350000.0</v>
      </c>
      <c r="E279" s="193">
        <v>0.3333333333333333</v>
      </c>
      <c r="F279" s="193">
        <v>0.7083333333333334</v>
      </c>
      <c r="G279" s="194">
        <f t="shared" si="1"/>
        <v>9</v>
      </c>
      <c r="H279" s="195">
        <f t="shared" si="2"/>
        <v>1</v>
      </c>
      <c r="I279" s="192">
        <f t="shared" si="33"/>
        <v>1388.888889</v>
      </c>
      <c r="J279" s="196"/>
      <c r="K279" s="192"/>
      <c r="L279" s="195"/>
      <c r="M279" s="192">
        <f t="shared" si="4"/>
        <v>12500</v>
      </c>
    </row>
    <row r="280" ht="26.25" hidden="1" customHeight="1">
      <c r="A280" s="189" t="s">
        <v>36</v>
      </c>
      <c r="B280" s="190">
        <v>46065.0</v>
      </c>
      <c r="C280" s="191">
        <v>46065.0</v>
      </c>
      <c r="D280" s="192">
        <v>1012500.0</v>
      </c>
      <c r="E280" s="193">
        <v>0.4166666666666667</v>
      </c>
      <c r="F280" s="193">
        <v>0.7083333333333334</v>
      </c>
      <c r="G280" s="194">
        <f t="shared" si="1"/>
        <v>7</v>
      </c>
      <c r="H280" s="195">
        <f t="shared" si="2"/>
        <v>1</v>
      </c>
      <c r="I280" s="192">
        <f t="shared" si="33"/>
        <v>4017.857143</v>
      </c>
      <c r="J280" s="196"/>
      <c r="K280" s="192">
        <v>5000.0</v>
      </c>
      <c r="L280" s="195"/>
      <c r="M280" s="192">
        <f t="shared" si="4"/>
        <v>28125</v>
      </c>
    </row>
    <row r="281" ht="26.25" hidden="1" customHeight="1">
      <c r="A281" s="189" t="s">
        <v>125</v>
      </c>
      <c r="B281" s="190">
        <v>46065.0</v>
      </c>
      <c r="C281" s="191">
        <v>46065.0</v>
      </c>
      <c r="D281" s="192">
        <v>1012500.0</v>
      </c>
      <c r="E281" s="193">
        <v>0.4375</v>
      </c>
      <c r="F281" s="193">
        <v>0.8125</v>
      </c>
      <c r="G281" s="194">
        <f t="shared" si="1"/>
        <v>9</v>
      </c>
      <c r="H281" s="195">
        <f t="shared" si="2"/>
        <v>1</v>
      </c>
      <c r="I281" s="192">
        <f t="shared" si="33"/>
        <v>4017.857143</v>
      </c>
      <c r="J281" s="196"/>
      <c r="K281" s="192"/>
      <c r="L281" s="195"/>
      <c r="M281" s="192">
        <f t="shared" si="4"/>
        <v>36160.71429</v>
      </c>
    </row>
    <row r="282" ht="26.25" hidden="1" customHeight="1">
      <c r="A282" s="189" t="s">
        <v>27</v>
      </c>
      <c r="B282" s="190">
        <v>46066.0</v>
      </c>
      <c r="C282" s="191">
        <v>46066.0</v>
      </c>
      <c r="D282" s="192">
        <v>850000.0</v>
      </c>
      <c r="E282" s="199">
        <v>0.42569444444444443</v>
      </c>
      <c r="F282" s="199">
        <v>0.8152777777777778</v>
      </c>
      <c r="G282" s="194">
        <f t="shared" si="1"/>
        <v>9.35</v>
      </c>
      <c r="H282" s="195">
        <f t="shared" si="2"/>
        <v>1</v>
      </c>
      <c r="I282" s="192">
        <f t="shared" si="33"/>
        <v>3373.015873</v>
      </c>
      <c r="J282" s="196"/>
      <c r="K282" s="192"/>
      <c r="L282" s="192"/>
      <c r="M282" s="192">
        <f t="shared" si="4"/>
        <v>31537.69841</v>
      </c>
    </row>
    <row r="283" ht="26.25" hidden="1" customHeight="1">
      <c r="A283" s="189" t="s">
        <v>28</v>
      </c>
      <c r="B283" s="190">
        <v>46066.0</v>
      </c>
      <c r="C283" s="191">
        <v>46066.0</v>
      </c>
      <c r="D283" s="192">
        <v>550000.0</v>
      </c>
      <c r="E283" s="193">
        <v>0.3888888888888889</v>
      </c>
      <c r="F283" s="193">
        <v>0.7833333333333333</v>
      </c>
      <c r="G283" s="194">
        <f t="shared" si="1"/>
        <v>9.466666667</v>
      </c>
      <c r="H283" s="195">
        <f t="shared" si="2"/>
        <v>1</v>
      </c>
      <c r="I283" s="192">
        <f t="shared" si="33"/>
        <v>2182.539683</v>
      </c>
      <c r="J283" s="196"/>
      <c r="K283" s="192">
        <v>25000.0</v>
      </c>
      <c r="L283" s="192"/>
      <c r="M283" s="192">
        <f t="shared" si="4"/>
        <v>20661.37566</v>
      </c>
    </row>
    <row r="284" ht="26.25" hidden="1" customHeight="1">
      <c r="A284" s="189" t="s">
        <v>113</v>
      </c>
      <c r="B284" s="190">
        <v>46066.0</v>
      </c>
      <c r="C284" s="191">
        <v>46066.0</v>
      </c>
      <c r="D284" s="192">
        <v>750000.0</v>
      </c>
      <c r="E284" s="193">
        <v>0.5</v>
      </c>
      <c r="F284" s="193">
        <v>0.9993055555555556</v>
      </c>
      <c r="G284" s="194">
        <f t="shared" si="1"/>
        <v>11.98333333</v>
      </c>
      <c r="H284" s="195">
        <f t="shared" si="2"/>
        <v>1</v>
      </c>
      <c r="I284" s="192">
        <f t="shared" si="33"/>
        <v>2976.190476</v>
      </c>
      <c r="J284" s="196"/>
      <c r="K284" s="192">
        <v>25000.0</v>
      </c>
      <c r="L284" s="195"/>
      <c r="M284" s="192">
        <f t="shared" si="4"/>
        <v>35664.68254</v>
      </c>
    </row>
    <row r="285" ht="26.25" hidden="1" customHeight="1">
      <c r="A285" s="189" t="s">
        <v>63</v>
      </c>
      <c r="B285" s="190">
        <v>46066.0</v>
      </c>
      <c r="C285" s="191">
        <v>46066.0</v>
      </c>
      <c r="D285" s="192">
        <v>500000.0</v>
      </c>
      <c r="E285" s="193">
        <v>0.3333333333284827</v>
      </c>
      <c r="F285" s="193">
        <v>0.7083333333284827</v>
      </c>
      <c r="G285" s="194">
        <f t="shared" si="1"/>
        <v>9</v>
      </c>
      <c r="H285" s="195">
        <f t="shared" si="2"/>
        <v>1</v>
      </c>
      <c r="I285" s="192">
        <f t="shared" si="33"/>
        <v>1984.126984</v>
      </c>
      <c r="J285" s="196"/>
      <c r="K285" s="192"/>
      <c r="L285" s="195"/>
      <c r="M285" s="192">
        <f t="shared" si="4"/>
        <v>17857.14286</v>
      </c>
    </row>
    <row r="286" ht="26.25" hidden="1" customHeight="1">
      <c r="A286" s="189" t="s">
        <v>176</v>
      </c>
      <c r="B286" s="190">
        <v>46066.0</v>
      </c>
      <c r="C286" s="191">
        <v>46066.0</v>
      </c>
      <c r="D286" s="192">
        <v>750000.0</v>
      </c>
      <c r="E286" s="193">
        <v>0.3645833333333333</v>
      </c>
      <c r="F286" s="193">
        <v>0.7916666666666666</v>
      </c>
      <c r="G286" s="194">
        <f t="shared" si="1"/>
        <v>10.25</v>
      </c>
      <c r="H286" s="195">
        <f t="shared" si="2"/>
        <v>1</v>
      </c>
      <c r="I286" s="192">
        <f t="shared" si="33"/>
        <v>2976.190476</v>
      </c>
      <c r="J286" s="196"/>
      <c r="K286" s="192">
        <v>3000.0</v>
      </c>
      <c r="L286" s="195"/>
      <c r="M286" s="192">
        <f t="shared" si="4"/>
        <v>30505.95238</v>
      </c>
    </row>
    <row r="287" ht="26.25" hidden="1" customHeight="1">
      <c r="A287" s="189" t="s">
        <v>114</v>
      </c>
      <c r="B287" s="190">
        <v>46066.0</v>
      </c>
      <c r="C287" s="191">
        <v>46066.0</v>
      </c>
      <c r="D287" s="192">
        <v>750000.0</v>
      </c>
      <c r="E287" s="193">
        <v>0.3645833333333333</v>
      </c>
      <c r="F287" s="193">
        <v>0.7916666666666666</v>
      </c>
      <c r="G287" s="194">
        <f t="shared" si="1"/>
        <v>10.25</v>
      </c>
      <c r="H287" s="195">
        <f t="shared" si="2"/>
        <v>1</v>
      </c>
      <c r="I287" s="192">
        <f t="shared" si="33"/>
        <v>2976.190476</v>
      </c>
      <c r="J287" s="196"/>
      <c r="K287" s="192">
        <v>5000.0</v>
      </c>
      <c r="L287" s="195"/>
      <c r="M287" s="192">
        <f t="shared" si="4"/>
        <v>30505.95238</v>
      </c>
    </row>
    <row r="288" ht="26.25" hidden="1" customHeight="1">
      <c r="A288" s="197" t="s">
        <v>102</v>
      </c>
      <c r="B288" s="190">
        <v>46066.0</v>
      </c>
      <c r="C288" s="191">
        <v>46066.0</v>
      </c>
      <c r="D288" s="192">
        <v>350000.0</v>
      </c>
      <c r="E288" s="193">
        <v>0.3333333333333333</v>
      </c>
      <c r="F288" s="193">
        <v>0.7083333333333334</v>
      </c>
      <c r="G288" s="194">
        <f t="shared" si="1"/>
        <v>9</v>
      </c>
      <c r="H288" s="195">
        <f t="shared" si="2"/>
        <v>1</v>
      </c>
      <c r="I288" s="192">
        <f t="shared" si="33"/>
        <v>1388.888889</v>
      </c>
      <c r="J288" s="196"/>
      <c r="K288" s="192"/>
      <c r="L288" s="195"/>
      <c r="M288" s="192">
        <f t="shared" si="4"/>
        <v>12500</v>
      </c>
    </row>
    <row r="289" ht="26.25" hidden="1" customHeight="1">
      <c r="A289" s="189" t="s">
        <v>36</v>
      </c>
      <c r="B289" s="190">
        <v>46066.0</v>
      </c>
      <c r="C289" s="191">
        <v>46066.0</v>
      </c>
      <c r="D289" s="192">
        <v>1012500.0</v>
      </c>
      <c r="E289" s="193">
        <v>0.3958333333333333</v>
      </c>
      <c r="F289" s="193">
        <v>0.7916666666666666</v>
      </c>
      <c r="G289" s="194">
        <f t="shared" si="1"/>
        <v>9.5</v>
      </c>
      <c r="H289" s="195">
        <f t="shared" si="2"/>
        <v>1</v>
      </c>
      <c r="I289" s="192">
        <f t="shared" si="33"/>
        <v>4017.857143</v>
      </c>
      <c r="J289" s="196"/>
      <c r="K289" s="192">
        <v>8000.0</v>
      </c>
      <c r="L289" s="195"/>
      <c r="M289" s="192">
        <f t="shared" si="4"/>
        <v>38169.64286</v>
      </c>
    </row>
    <row r="290" ht="26.25" hidden="1" customHeight="1">
      <c r="A290" s="189" t="s">
        <v>125</v>
      </c>
      <c r="B290" s="190">
        <v>46066.0</v>
      </c>
      <c r="C290" s="191">
        <v>46066.0</v>
      </c>
      <c r="D290" s="192">
        <v>1012500.0</v>
      </c>
      <c r="E290" s="193">
        <v>0.3888888888888889</v>
      </c>
      <c r="F290" s="193">
        <v>0.8284722222222223</v>
      </c>
      <c r="G290" s="194">
        <f t="shared" si="1"/>
        <v>10.55</v>
      </c>
      <c r="H290" s="195">
        <f t="shared" si="2"/>
        <v>1</v>
      </c>
      <c r="I290" s="192">
        <f t="shared" si="33"/>
        <v>4017.857143</v>
      </c>
      <c r="J290" s="196"/>
      <c r="K290" s="198">
        <v>110839.0</v>
      </c>
      <c r="L290" s="195"/>
      <c r="M290" s="192">
        <f t="shared" si="4"/>
        <v>42388.39286</v>
      </c>
    </row>
    <row r="291" ht="26.25" hidden="1" customHeight="1">
      <c r="A291" s="189" t="s">
        <v>112</v>
      </c>
      <c r="B291" s="190">
        <v>46067.0</v>
      </c>
      <c r="C291" s="191">
        <v>46067.0</v>
      </c>
      <c r="D291" s="192">
        <v>600000.0</v>
      </c>
      <c r="E291" s="193">
        <v>0.6805555555555556</v>
      </c>
      <c r="F291" s="193">
        <v>0.7291666666666666</v>
      </c>
      <c r="G291" s="194">
        <f t="shared" si="1"/>
        <v>1.166666667</v>
      </c>
      <c r="H291" s="195">
        <f t="shared" si="2"/>
        <v>1</v>
      </c>
      <c r="I291" s="192">
        <f t="shared" si="33"/>
        <v>2380.952381</v>
      </c>
      <c r="J291" s="196"/>
      <c r="K291" s="192"/>
      <c r="L291" s="192"/>
      <c r="M291" s="192">
        <f t="shared" si="4"/>
        <v>2777.777778</v>
      </c>
    </row>
    <row r="292" ht="26.25" hidden="1" customHeight="1">
      <c r="A292" s="189" t="s">
        <v>27</v>
      </c>
      <c r="B292" s="190">
        <v>46067.0</v>
      </c>
      <c r="C292" s="191">
        <v>46067.0</v>
      </c>
      <c r="D292" s="192">
        <v>850000.0</v>
      </c>
      <c r="E292" s="199">
        <v>0.4041666666666667</v>
      </c>
      <c r="F292" s="199">
        <v>0.8541666666666666</v>
      </c>
      <c r="G292" s="194">
        <f t="shared" si="1"/>
        <v>10.8</v>
      </c>
      <c r="H292" s="195">
        <f t="shared" si="2"/>
        <v>1</v>
      </c>
      <c r="I292" s="192">
        <f t="shared" si="33"/>
        <v>3373.015873</v>
      </c>
      <c r="J292" s="196"/>
      <c r="K292" s="198"/>
      <c r="L292" s="198"/>
      <c r="M292" s="192">
        <f t="shared" si="4"/>
        <v>36428.57143</v>
      </c>
    </row>
    <row r="293" ht="26.25" hidden="1" customHeight="1">
      <c r="A293" s="189" t="s">
        <v>29</v>
      </c>
      <c r="B293" s="190">
        <v>46067.0</v>
      </c>
      <c r="C293" s="191">
        <v>46067.0</v>
      </c>
      <c r="D293" s="192">
        <v>650000.0</v>
      </c>
      <c r="E293" s="193">
        <v>0.4375</v>
      </c>
      <c r="F293" s="193">
        <v>0.8125</v>
      </c>
      <c r="G293" s="194">
        <f t="shared" si="1"/>
        <v>9</v>
      </c>
      <c r="H293" s="195">
        <f t="shared" si="2"/>
        <v>1</v>
      </c>
      <c r="I293" s="192">
        <f t="shared" si="33"/>
        <v>2579.365079</v>
      </c>
      <c r="J293" s="196"/>
      <c r="K293" s="192">
        <v>4000.0</v>
      </c>
      <c r="L293" s="192"/>
      <c r="M293" s="192">
        <f t="shared" si="4"/>
        <v>23214.28571</v>
      </c>
    </row>
    <row r="294" ht="26.25" hidden="1" customHeight="1">
      <c r="A294" s="189" t="s">
        <v>28</v>
      </c>
      <c r="B294" s="190">
        <v>46067.0</v>
      </c>
      <c r="C294" s="191">
        <v>46067.0</v>
      </c>
      <c r="D294" s="192">
        <v>550000.0</v>
      </c>
      <c r="E294" s="193">
        <v>0.40555555555555556</v>
      </c>
      <c r="F294" s="193">
        <v>0.7979166666666667</v>
      </c>
      <c r="G294" s="194">
        <f t="shared" si="1"/>
        <v>9.416666667</v>
      </c>
      <c r="H294" s="195">
        <f t="shared" si="2"/>
        <v>1</v>
      </c>
      <c r="I294" s="192">
        <f t="shared" si="33"/>
        <v>2182.539683</v>
      </c>
      <c r="J294" s="196"/>
      <c r="K294" s="192">
        <v>5000.0</v>
      </c>
      <c r="L294" s="192"/>
      <c r="M294" s="192">
        <f t="shared" si="4"/>
        <v>20552.24868</v>
      </c>
    </row>
    <row r="295" ht="26.25" hidden="1" customHeight="1">
      <c r="A295" s="189" t="s">
        <v>113</v>
      </c>
      <c r="B295" s="190">
        <v>46067.0</v>
      </c>
      <c r="C295" s="191">
        <v>46067.0</v>
      </c>
      <c r="D295" s="192">
        <v>750000.0</v>
      </c>
      <c r="E295" s="193">
        <v>0.0</v>
      </c>
      <c r="F295" s="193">
        <v>0.19444444444444445</v>
      </c>
      <c r="G295" s="194">
        <f t="shared" si="1"/>
        <v>4.666666667</v>
      </c>
      <c r="H295" s="195">
        <f t="shared" si="2"/>
        <v>1</v>
      </c>
      <c r="I295" s="192">
        <f t="shared" si="33"/>
        <v>2976.190476</v>
      </c>
      <c r="J295" s="196"/>
      <c r="K295" s="192">
        <v>20000.0</v>
      </c>
      <c r="L295" s="195"/>
      <c r="M295" s="192">
        <f t="shared" si="4"/>
        <v>13888.88889</v>
      </c>
    </row>
    <row r="296" ht="26.25" hidden="1" customHeight="1">
      <c r="A296" s="189" t="s">
        <v>63</v>
      </c>
      <c r="B296" s="190">
        <v>46067.0</v>
      </c>
      <c r="C296" s="191">
        <v>46067.0</v>
      </c>
      <c r="D296" s="192">
        <v>500000.0</v>
      </c>
      <c r="E296" s="193">
        <v>0.3333333333284827</v>
      </c>
      <c r="F296" s="193">
        <v>0.7083333333284827</v>
      </c>
      <c r="G296" s="194">
        <f t="shared" si="1"/>
        <v>9</v>
      </c>
      <c r="H296" s="195">
        <f t="shared" si="2"/>
        <v>1</v>
      </c>
      <c r="I296" s="192">
        <f t="shared" si="33"/>
        <v>1984.126984</v>
      </c>
      <c r="J296" s="196"/>
      <c r="K296" s="192"/>
      <c r="L296" s="195"/>
      <c r="M296" s="192">
        <f t="shared" si="4"/>
        <v>17857.14286</v>
      </c>
    </row>
    <row r="297" ht="26.25" hidden="1" customHeight="1">
      <c r="A297" s="189" t="s">
        <v>176</v>
      </c>
      <c r="B297" s="190">
        <v>46067.0</v>
      </c>
      <c r="C297" s="191">
        <v>46067.0</v>
      </c>
      <c r="D297" s="192">
        <v>750000.0</v>
      </c>
      <c r="E297" s="193">
        <v>0.3541666666666667</v>
      </c>
      <c r="F297" s="193">
        <v>0.8125</v>
      </c>
      <c r="G297" s="194">
        <f t="shared" si="1"/>
        <v>11</v>
      </c>
      <c r="H297" s="195">
        <f t="shared" si="2"/>
        <v>1</v>
      </c>
      <c r="I297" s="192">
        <f t="shared" si="33"/>
        <v>2976.190476</v>
      </c>
      <c r="J297" s="196"/>
      <c r="K297" s="192"/>
      <c r="L297" s="195"/>
      <c r="M297" s="192">
        <f t="shared" si="4"/>
        <v>32738.09524</v>
      </c>
    </row>
    <row r="298" ht="26.25" hidden="1" customHeight="1">
      <c r="A298" s="189" t="s">
        <v>114</v>
      </c>
      <c r="B298" s="190">
        <v>46067.0</v>
      </c>
      <c r="C298" s="191">
        <v>46067.0</v>
      </c>
      <c r="D298" s="192">
        <v>750000.0</v>
      </c>
      <c r="E298" s="193">
        <v>0.5138888888905058</v>
      </c>
      <c r="F298" s="193">
        <v>0.8125</v>
      </c>
      <c r="G298" s="194">
        <f t="shared" si="1"/>
        <v>7.166666667</v>
      </c>
      <c r="H298" s="195">
        <f t="shared" si="2"/>
        <v>1</v>
      </c>
      <c r="I298" s="192">
        <f t="shared" si="33"/>
        <v>2976.190476</v>
      </c>
      <c r="J298" s="196"/>
      <c r="K298" s="192">
        <v>5000.0</v>
      </c>
      <c r="L298" s="195"/>
      <c r="M298" s="192">
        <f t="shared" si="4"/>
        <v>21329.36508</v>
      </c>
    </row>
    <row r="299" ht="26.25" hidden="1" customHeight="1">
      <c r="A299" s="197" t="s">
        <v>102</v>
      </c>
      <c r="B299" s="190">
        <v>46067.0</v>
      </c>
      <c r="C299" s="191">
        <v>46067.0</v>
      </c>
      <c r="D299" s="192">
        <v>350000.0</v>
      </c>
      <c r="E299" s="193">
        <v>0.3333333333333333</v>
      </c>
      <c r="F299" s="193">
        <v>0.7083333333333334</v>
      </c>
      <c r="G299" s="194">
        <f t="shared" si="1"/>
        <v>9</v>
      </c>
      <c r="H299" s="195">
        <f t="shared" si="2"/>
        <v>1</v>
      </c>
      <c r="I299" s="192">
        <f t="shared" si="33"/>
        <v>1388.888889</v>
      </c>
      <c r="J299" s="196"/>
      <c r="K299" s="192"/>
      <c r="L299" s="195"/>
      <c r="M299" s="192">
        <f t="shared" si="4"/>
        <v>12500</v>
      </c>
    </row>
    <row r="300" ht="26.25" hidden="1" customHeight="1">
      <c r="A300" s="189" t="s">
        <v>36</v>
      </c>
      <c r="B300" s="190">
        <v>46067.0</v>
      </c>
      <c r="C300" s="191">
        <v>46067.0</v>
      </c>
      <c r="D300" s="192">
        <v>1012500.0</v>
      </c>
      <c r="E300" s="193">
        <v>0.4166666666666667</v>
      </c>
      <c r="F300" s="193">
        <v>0.9166666666666666</v>
      </c>
      <c r="G300" s="194">
        <f t="shared" si="1"/>
        <v>12</v>
      </c>
      <c r="H300" s="195">
        <f t="shared" si="2"/>
        <v>1</v>
      </c>
      <c r="I300" s="192">
        <f t="shared" si="33"/>
        <v>4017.857143</v>
      </c>
      <c r="J300" s="196"/>
      <c r="K300" s="192">
        <v>150000.0</v>
      </c>
      <c r="L300" s="195"/>
      <c r="M300" s="192">
        <f t="shared" si="4"/>
        <v>48214.28571</v>
      </c>
    </row>
    <row r="301" ht="26.25" hidden="1" customHeight="1">
      <c r="A301" s="189" t="s">
        <v>125</v>
      </c>
      <c r="B301" s="190">
        <v>46067.0</v>
      </c>
      <c r="C301" s="191">
        <v>46067.0</v>
      </c>
      <c r="D301" s="192">
        <v>1012500.0</v>
      </c>
      <c r="E301" s="193">
        <v>0.3958333333333333</v>
      </c>
      <c r="F301" s="193">
        <v>0.7625</v>
      </c>
      <c r="G301" s="194">
        <f t="shared" si="1"/>
        <v>8.8</v>
      </c>
      <c r="H301" s="195">
        <f t="shared" si="2"/>
        <v>1</v>
      </c>
      <c r="I301" s="192">
        <f t="shared" si="33"/>
        <v>4017.857143</v>
      </c>
      <c r="J301" s="196"/>
      <c r="K301" s="192"/>
      <c r="L301" s="195"/>
      <c r="M301" s="192">
        <f t="shared" si="4"/>
        <v>35357.14286</v>
      </c>
    </row>
    <row r="302" ht="26.25" hidden="1" customHeight="1">
      <c r="A302" s="189" t="s">
        <v>112</v>
      </c>
      <c r="B302" s="190">
        <v>46068.0</v>
      </c>
      <c r="C302" s="191">
        <v>46068.0</v>
      </c>
      <c r="D302" s="192">
        <v>600000.0</v>
      </c>
      <c r="E302" s="193">
        <v>0.3541666666666667</v>
      </c>
      <c r="F302" s="193">
        <v>0.7708333333333334</v>
      </c>
      <c r="G302" s="194">
        <f t="shared" si="1"/>
        <v>10</v>
      </c>
      <c r="H302" s="195">
        <f t="shared" si="2"/>
        <v>1</v>
      </c>
      <c r="I302" s="192">
        <f t="shared" si="33"/>
        <v>2380.952381</v>
      </c>
      <c r="J302" s="196"/>
      <c r="K302" s="192">
        <v>5000.0</v>
      </c>
      <c r="L302" s="192"/>
      <c r="M302" s="192">
        <f t="shared" si="4"/>
        <v>23809.52381</v>
      </c>
    </row>
    <row r="303" ht="26.25" hidden="1" customHeight="1">
      <c r="A303" s="189" t="s">
        <v>27</v>
      </c>
      <c r="B303" s="190">
        <v>46068.0</v>
      </c>
      <c r="C303" s="191">
        <v>46068.0</v>
      </c>
      <c r="D303" s="192">
        <v>850000.0</v>
      </c>
      <c r="E303" s="199">
        <v>0.39652777777777776</v>
      </c>
      <c r="F303" s="199">
        <v>0.9993055555555556</v>
      </c>
      <c r="G303" s="194">
        <f t="shared" si="1"/>
        <v>14.46666667</v>
      </c>
      <c r="H303" s="195">
        <f t="shared" si="2"/>
        <v>1</v>
      </c>
      <c r="I303" s="192">
        <f t="shared" si="33"/>
        <v>3373.015873</v>
      </c>
      <c r="J303" s="196"/>
      <c r="K303" s="198">
        <v>80000.0</v>
      </c>
      <c r="L303" s="198"/>
      <c r="M303" s="192">
        <f t="shared" si="4"/>
        <v>48796.2963</v>
      </c>
    </row>
    <row r="304" ht="26.25" hidden="1" customHeight="1">
      <c r="A304" s="189" t="s">
        <v>29</v>
      </c>
      <c r="B304" s="190">
        <v>46068.0</v>
      </c>
      <c r="C304" s="191">
        <v>46068.0</v>
      </c>
      <c r="D304" s="192">
        <v>650000.0</v>
      </c>
      <c r="E304" s="193">
        <v>0.3645833333333333</v>
      </c>
      <c r="F304" s="193">
        <v>0.5833333333333334</v>
      </c>
      <c r="G304" s="194">
        <f t="shared" si="1"/>
        <v>5.25</v>
      </c>
      <c r="H304" s="195">
        <f t="shared" si="2"/>
        <v>1</v>
      </c>
      <c r="I304" s="192">
        <f t="shared" si="33"/>
        <v>2579.365079</v>
      </c>
      <c r="J304" s="196"/>
      <c r="K304" s="192">
        <v>3000.0</v>
      </c>
      <c r="L304" s="192"/>
      <c r="M304" s="192">
        <f t="shared" si="4"/>
        <v>13541.66667</v>
      </c>
    </row>
    <row r="305" ht="26.25" hidden="1" customHeight="1">
      <c r="A305" s="189" t="s">
        <v>113</v>
      </c>
      <c r="B305" s="190">
        <v>46068.0</v>
      </c>
      <c r="C305" s="191">
        <v>46068.0</v>
      </c>
      <c r="D305" s="192">
        <v>750000.0</v>
      </c>
      <c r="E305" s="193">
        <v>0.625</v>
      </c>
      <c r="F305" s="193">
        <v>0.8958333333333334</v>
      </c>
      <c r="G305" s="194">
        <f t="shared" si="1"/>
        <v>6.5</v>
      </c>
      <c r="H305" s="195">
        <f t="shared" si="2"/>
        <v>1</v>
      </c>
      <c r="I305" s="192">
        <f t="shared" si="33"/>
        <v>2976.190476</v>
      </c>
      <c r="J305" s="196"/>
      <c r="K305" s="192">
        <v>5000.0</v>
      </c>
      <c r="L305" s="195"/>
      <c r="M305" s="192">
        <f t="shared" si="4"/>
        <v>19345.2381</v>
      </c>
    </row>
    <row r="306" ht="26.25" hidden="1" customHeight="1">
      <c r="A306" s="189" t="s">
        <v>63</v>
      </c>
      <c r="B306" s="190">
        <v>46068.0</v>
      </c>
      <c r="C306" s="191">
        <v>46068.0</v>
      </c>
      <c r="D306" s="192">
        <v>500000.0</v>
      </c>
      <c r="E306" s="193">
        <v>0.3333333333284827</v>
      </c>
      <c r="F306" s="193">
        <v>0.7083333333284827</v>
      </c>
      <c r="G306" s="194">
        <f t="shared" si="1"/>
        <v>9</v>
      </c>
      <c r="H306" s="195">
        <f t="shared" si="2"/>
        <v>1</v>
      </c>
      <c r="I306" s="192">
        <f t="shared" si="33"/>
        <v>1984.126984</v>
      </c>
      <c r="J306" s="196"/>
      <c r="K306" s="192"/>
      <c r="L306" s="195"/>
      <c r="M306" s="192">
        <f t="shared" si="4"/>
        <v>17857.14286</v>
      </c>
    </row>
    <row r="307" ht="26.25" hidden="1" customHeight="1">
      <c r="A307" s="189" t="s">
        <v>176</v>
      </c>
      <c r="B307" s="190">
        <v>46068.0</v>
      </c>
      <c r="C307" s="191">
        <v>46068.0</v>
      </c>
      <c r="D307" s="192">
        <v>750000.0</v>
      </c>
      <c r="E307" s="193">
        <v>0.3645833333333333</v>
      </c>
      <c r="F307" s="193">
        <v>0.9993055555555556</v>
      </c>
      <c r="G307" s="194">
        <f t="shared" si="1"/>
        <v>15.23333333</v>
      </c>
      <c r="H307" s="195">
        <f t="shared" si="2"/>
        <v>1</v>
      </c>
      <c r="I307" s="192">
        <f t="shared" si="33"/>
        <v>2976.190476</v>
      </c>
      <c r="J307" s="196"/>
      <c r="K307" s="192">
        <v>3000.0</v>
      </c>
      <c r="L307" s="195"/>
      <c r="M307" s="192">
        <f t="shared" si="4"/>
        <v>45337.30159</v>
      </c>
    </row>
    <row r="308" ht="26.25" hidden="1" customHeight="1">
      <c r="A308" s="189" t="s">
        <v>114</v>
      </c>
      <c r="B308" s="190">
        <v>46068.0</v>
      </c>
      <c r="C308" s="191">
        <v>46068.0</v>
      </c>
      <c r="D308" s="192">
        <v>750000.0</v>
      </c>
      <c r="E308" s="193">
        <v>0.3333333333333333</v>
      </c>
      <c r="F308" s="193">
        <v>0.625</v>
      </c>
      <c r="G308" s="194">
        <f t="shared" si="1"/>
        <v>7</v>
      </c>
      <c r="H308" s="195">
        <f t="shared" si="2"/>
        <v>1</v>
      </c>
      <c r="I308" s="192">
        <f t="shared" si="33"/>
        <v>2976.190476</v>
      </c>
      <c r="J308" s="196"/>
      <c r="K308" s="192">
        <v>230000.0</v>
      </c>
      <c r="L308" s="195"/>
      <c r="M308" s="192">
        <f t="shared" si="4"/>
        <v>20833.33333</v>
      </c>
    </row>
    <row r="309" ht="26.25" hidden="1" customHeight="1">
      <c r="A309" s="197" t="s">
        <v>102</v>
      </c>
      <c r="B309" s="190">
        <v>46068.0</v>
      </c>
      <c r="C309" s="191">
        <v>46068.0</v>
      </c>
      <c r="D309" s="192">
        <v>350000.0</v>
      </c>
      <c r="E309" s="193">
        <v>0.3333333333333333</v>
      </c>
      <c r="F309" s="193">
        <v>0.7083333333333334</v>
      </c>
      <c r="G309" s="194">
        <f t="shared" si="1"/>
        <v>9</v>
      </c>
      <c r="H309" s="195">
        <f t="shared" si="2"/>
        <v>1</v>
      </c>
      <c r="I309" s="192">
        <f t="shared" si="33"/>
        <v>1388.888889</v>
      </c>
      <c r="J309" s="196"/>
      <c r="K309" s="192"/>
      <c r="L309" s="195"/>
      <c r="M309" s="192">
        <f t="shared" si="4"/>
        <v>12500</v>
      </c>
    </row>
    <row r="310" ht="26.25" hidden="1" customHeight="1">
      <c r="A310" s="189" t="s">
        <v>36</v>
      </c>
      <c r="B310" s="190">
        <v>46068.0</v>
      </c>
      <c r="C310" s="191">
        <v>46068.0</v>
      </c>
      <c r="D310" s="192">
        <v>1012500.0</v>
      </c>
      <c r="E310" s="193">
        <v>0.0</v>
      </c>
      <c r="F310" s="193">
        <v>0.6944444444444444</v>
      </c>
      <c r="G310" s="194">
        <f t="shared" si="1"/>
        <v>16.66666667</v>
      </c>
      <c r="H310" s="195">
        <f t="shared" si="2"/>
        <v>1</v>
      </c>
      <c r="I310" s="192">
        <f t="shared" si="33"/>
        <v>4017.857143</v>
      </c>
      <c r="J310" s="196"/>
      <c r="K310" s="192">
        <v>5000.0</v>
      </c>
      <c r="L310" s="195"/>
      <c r="M310" s="192">
        <f t="shared" si="4"/>
        <v>66964.28571</v>
      </c>
    </row>
    <row r="311" ht="26.25" hidden="1" customHeight="1">
      <c r="A311" s="189" t="s">
        <v>125</v>
      </c>
      <c r="B311" s="190">
        <v>46068.0</v>
      </c>
      <c r="C311" s="191">
        <v>46068.0</v>
      </c>
      <c r="D311" s="192">
        <v>1012500.0</v>
      </c>
      <c r="E311" s="193">
        <v>0.4513888888888889</v>
      </c>
      <c r="F311" s="193">
        <v>0.9993055555555556</v>
      </c>
      <c r="G311" s="194">
        <f t="shared" si="1"/>
        <v>13.15</v>
      </c>
      <c r="H311" s="195">
        <f t="shared" si="2"/>
        <v>1</v>
      </c>
      <c r="I311" s="192">
        <f t="shared" si="33"/>
        <v>4017.857143</v>
      </c>
      <c r="J311" s="196"/>
      <c r="K311" s="192"/>
      <c r="L311" s="195"/>
      <c r="M311" s="192">
        <f t="shared" si="4"/>
        <v>52834.82143</v>
      </c>
    </row>
    <row r="312" ht="26.25" hidden="1" customHeight="1">
      <c r="A312" s="189" t="s">
        <v>27</v>
      </c>
      <c r="B312" s="190">
        <v>46069.0</v>
      </c>
      <c r="C312" s="191">
        <v>46069.0</v>
      </c>
      <c r="D312" s="192">
        <v>850001.0</v>
      </c>
      <c r="E312" s="199">
        <v>0.0</v>
      </c>
      <c r="F312" s="199">
        <v>0.19236111111111112</v>
      </c>
      <c r="G312" s="194">
        <f t="shared" si="1"/>
        <v>4.616666667</v>
      </c>
      <c r="H312" s="195">
        <f t="shared" si="2"/>
        <v>1</v>
      </c>
      <c r="I312" s="192">
        <f t="shared" si="33"/>
        <v>3373.019841</v>
      </c>
      <c r="J312" s="196"/>
      <c r="K312" s="198">
        <v>300000.0</v>
      </c>
      <c r="L312" s="198"/>
      <c r="M312" s="192">
        <f t="shared" si="4"/>
        <v>15572.10827</v>
      </c>
    </row>
    <row r="313" ht="26.25" hidden="1" customHeight="1">
      <c r="A313" s="189" t="s">
        <v>27</v>
      </c>
      <c r="B313" s="190">
        <v>46069.0</v>
      </c>
      <c r="C313" s="191">
        <v>46069.0</v>
      </c>
      <c r="D313" s="192">
        <v>850000.0</v>
      </c>
      <c r="E313" s="199">
        <v>0.6131944444444445</v>
      </c>
      <c r="F313" s="199">
        <v>0.9965277777777778</v>
      </c>
      <c r="G313" s="194">
        <f t="shared" si="1"/>
        <v>9.2</v>
      </c>
      <c r="H313" s="195">
        <f t="shared" si="2"/>
        <v>1</v>
      </c>
      <c r="I313" s="192">
        <f t="shared" si="33"/>
        <v>3373.015873</v>
      </c>
      <c r="J313" s="196"/>
      <c r="K313" s="198">
        <v>2100000.0</v>
      </c>
      <c r="L313" s="198"/>
      <c r="M313" s="192">
        <f t="shared" si="4"/>
        <v>31031.74603</v>
      </c>
    </row>
    <row r="314" ht="26.25" hidden="1" customHeight="1">
      <c r="A314" s="189" t="s">
        <v>28</v>
      </c>
      <c r="B314" s="190">
        <v>46069.0</v>
      </c>
      <c r="C314" s="191">
        <v>46069.0</v>
      </c>
      <c r="D314" s="192">
        <v>550000.0</v>
      </c>
      <c r="E314" s="193">
        <v>0.11458333333333333</v>
      </c>
      <c r="F314" s="193">
        <v>0.5833333333333334</v>
      </c>
      <c r="G314" s="194">
        <f t="shared" si="1"/>
        <v>11.25</v>
      </c>
      <c r="H314" s="195">
        <f t="shared" si="2"/>
        <v>1</v>
      </c>
      <c r="I314" s="192">
        <f t="shared" si="33"/>
        <v>2182.539683</v>
      </c>
      <c r="J314" s="196"/>
      <c r="K314" s="192">
        <v>63000.0</v>
      </c>
      <c r="L314" s="192"/>
      <c r="M314" s="192">
        <f t="shared" si="4"/>
        <v>24553.57143</v>
      </c>
    </row>
    <row r="315" ht="26.25" hidden="1" customHeight="1">
      <c r="A315" s="189" t="s">
        <v>28</v>
      </c>
      <c r="B315" s="190">
        <v>46069.0</v>
      </c>
      <c r="C315" s="191">
        <v>46069.0</v>
      </c>
      <c r="D315" s="192">
        <v>550000.0</v>
      </c>
      <c r="E315" s="193">
        <v>0.4479166666666667</v>
      </c>
      <c r="F315" s="193">
        <v>0.9791666666666666</v>
      </c>
      <c r="G315" s="194">
        <f t="shared" si="1"/>
        <v>12.75</v>
      </c>
      <c r="H315" s="195">
        <f t="shared" si="2"/>
        <v>1</v>
      </c>
      <c r="I315" s="192">
        <f t="shared" si="33"/>
        <v>2182.539683</v>
      </c>
      <c r="J315" s="196"/>
      <c r="K315" s="192">
        <v>5000.0</v>
      </c>
      <c r="L315" s="192"/>
      <c r="M315" s="192">
        <f t="shared" si="4"/>
        <v>27827.38095</v>
      </c>
    </row>
    <row r="316" ht="26.25" hidden="1" customHeight="1">
      <c r="A316" s="189" t="s">
        <v>113</v>
      </c>
      <c r="B316" s="190">
        <v>46069.0</v>
      </c>
      <c r="C316" s="191">
        <v>46069.0</v>
      </c>
      <c r="D316" s="192">
        <v>750000.0</v>
      </c>
      <c r="E316" s="193">
        <v>0.5625</v>
      </c>
      <c r="F316" s="193">
        <v>0.9993055555555556</v>
      </c>
      <c r="G316" s="194">
        <f t="shared" si="1"/>
        <v>10.48333333</v>
      </c>
      <c r="H316" s="195">
        <f t="shared" si="2"/>
        <v>1</v>
      </c>
      <c r="I316" s="192">
        <f t="shared" si="33"/>
        <v>2976.190476</v>
      </c>
      <c r="J316" s="196"/>
      <c r="K316" s="192">
        <v>5000.0</v>
      </c>
      <c r="L316" s="195"/>
      <c r="M316" s="192">
        <f t="shared" si="4"/>
        <v>31200.39683</v>
      </c>
    </row>
    <row r="317" ht="26.25" hidden="1" customHeight="1">
      <c r="A317" s="189" t="s">
        <v>63</v>
      </c>
      <c r="B317" s="190">
        <v>46069.0</v>
      </c>
      <c r="C317" s="191">
        <v>46069.0</v>
      </c>
      <c r="D317" s="192">
        <v>500000.0</v>
      </c>
      <c r="E317" s="193">
        <v>0.3333333333284827</v>
      </c>
      <c r="F317" s="193">
        <v>0.7083333333284827</v>
      </c>
      <c r="G317" s="194">
        <f t="shared" si="1"/>
        <v>9</v>
      </c>
      <c r="H317" s="195">
        <f t="shared" si="2"/>
        <v>1</v>
      </c>
      <c r="I317" s="192">
        <f t="shared" si="33"/>
        <v>1984.126984</v>
      </c>
      <c r="J317" s="196"/>
      <c r="K317" s="192"/>
      <c r="L317" s="195"/>
      <c r="M317" s="192">
        <f t="shared" si="4"/>
        <v>17857.14286</v>
      </c>
    </row>
    <row r="318" ht="26.25" hidden="1" customHeight="1">
      <c r="A318" s="189" t="s">
        <v>176</v>
      </c>
      <c r="B318" s="190">
        <v>46069.0</v>
      </c>
      <c r="C318" s="191">
        <v>46069.0</v>
      </c>
      <c r="D318" s="192">
        <v>750001.0</v>
      </c>
      <c r="E318" s="193">
        <v>0.0</v>
      </c>
      <c r="F318" s="193">
        <v>0.08333333333333333</v>
      </c>
      <c r="G318" s="194">
        <f t="shared" si="1"/>
        <v>2</v>
      </c>
      <c r="H318" s="195">
        <f t="shared" si="2"/>
        <v>1</v>
      </c>
      <c r="I318" s="192">
        <f t="shared" si="33"/>
        <v>2976.194444</v>
      </c>
      <c r="J318" s="196"/>
      <c r="K318" s="192"/>
      <c r="L318" s="195"/>
      <c r="M318" s="192">
        <f t="shared" si="4"/>
        <v>5952.388889</v>
      </c>
    </row>
    <row r="319" ht="26.25" hidden="1" customHeight="1">
      <c r="A319" s="189" t="s">
        <v>176</v>
      </c>
      <c r="B319" s="190">
        <v>46069.0</v>
      </c>
      <c r="C319" s="191">
        <v>46069.0</v>
      </c>
      <c r="D319" s="192">
        <v>750000.0</v>
      </c>
      <c r="E319" s="193">
        <v>0.4166666666666667</v>
      </c>
      <c r="F319" s="193">
        <v>0.7291666666666666</v>
      </c>
      <c r="G319" s="194">
        <f t="shared" si="1"/>
        <v>7.5</v>
      </c>
      <c r="H319" s="195">
        <f t="shared" si="2"/>
        <v>1</v>
      </c>
      <c r="I319" s="192">
        <f t="shared" si="33"/>
        <v>2976.190476</v>
      </c>
      <c r="J319" s="196"/>
      <c r="K319" s="192">
        <v>5000.0</v>
      </c>
      <c r="L319" s="195"/>
      <c r="M319" s="192">
        <f t="shared" si="4"/>
        <v>22321.42857</v>
      </c>
    </row>
    <row r="320" ht="26.25" hidden="1" customHeight="1">
      <c r="A320" s="197" t="s">
        <v>102</v>
      </c>
      <c r="B320" s="190">
        <v>46069.0</v>
      </c>
      <c r="C320" s="191">
        <v>46069.0</v>
      </c>
      <c r="D320" s="192">
        <v>350000.0</v>
      </c>
      <c r="E320" s="193">
        <v>0.3333333333333333</v>
      </c>
      <c r="F320" s="193">
        <v>0.7083333333333334</v>
      </c>
      <c r="G320" s="194">
        <f t="shared" si="1"/>
        <v>9</v>
      </c>
      <c r="H320" s="195">
        <f t="shared" si="2"/>
        <v>1</v>
      </c>
      <c r="I320" s="192">
        <f t="shared" si="33"/>
        <v>1388.888889</v>
      </c>
      <c r="J320" s="196"/>
      <c r="K320" s="192"/>
      <c r="L320" s="195"/>
      <c r="M320" s="192">
        <f t="shared" si="4"/>
        <v>12500</v>
      </c>
    </row>
    <row r="321" ht="26.25" hidden="1" customHeight="1">
      <c r="A321" s="189" t="s">
        <v>36</v>
      </c>
      <c r="B321" s="190">
        <v>46069.0</v>
      </c>
      <c r="C321" s="191">
        <v>46069.0</v>
      </c>
      <c r="D321" s="192">
        <v>1012500.0</v>
      </c>
      <c r="E321" s="193">
        <v>0.625</v>
      </c>
      <c r="F321" s="193">
        <v>0.8958333333333334</v>
      </c>
      <c r="G321" s="194">
        <f t="shared" si="1"/>
        <v>6.5</v>
      </c>
      <c r="H321" s="195">
        <f t="shared" si="2"/>
        <v>1</v>
      </c>
      <c r="I321" s="192">
        <f t="shared" si="33"/>
        <v>4017.857143</v>
      </c>
      <c r="J321" s="196"/>
      <c r="K321" s="192">
        <v>5000.0</v>
      </c>
      <c r="L321" s="195"/>
      <c r="M321" s="192">
        <f t="shared" si="4"/>
        <v>26116.07143</v>
      </c>
    </row>
    <row r="322" ht="26.25" hidden="1" customHeight="1">
      <c r="A322" s="189" t="s">
        <v>125</v>
      </c>
      <c r="B322" s="190">
        <v>46069.0</v>
      </c>
      <c r="C322" s="191">
        <v>46069.0</v>
      </c>
      <c r="D322" s="192">
        <v>1012500.0</v>
      </c>
      <c r="E322" s="193">
        <v>0.0</v>
      </c>
      <c r="F322" s="193">
        <v>0.19444444444444445</v>
      </c>
      <c r="G322" s="194">
        <f t="shared" si="1"/>
        <v>4.666666667</v>
      </c>
      <c r="H322" s="195">
        <f t="shared" si="2"/>
        <v>1</v>
      </c>
      <c r="I322" s="192">
        <f t="shared" si="33"/>
        <v>4017.857143</v>
      </c>
      <c r="J322" s="196"/>
      <c r="K322" s="192"/>
      <c r="L322" s="195"/>
      <c r="M322" s="192">
        <f t="shared" si="4"/>
        <v>18750</v>
      </c>
    </row>
    <row r="323" ht="26.25" hidden="1" customHeight="1">
      <c r="A323" s="189" t="s">
        <v>125</v>
      </c>
      <c r="B323" s="190">
        <v>46069.0</v>
      </c>
      <c r="C323" s="191">
        <v>46069.0</v>
      </c>
      <c r="D323" s="192">
        <v>1012501.0</v>
      </c>
      <c r="E323" s="193">
        <v>0.5625</v>
      </c>
      <c r="F323" s="193">
        <v>0.8958333333333334</v>
      </c>
      <c r="G323" s="194">
        <f t="shared" si="1"/>
        <v>8</v>
      </c>
      <c r="H323" s="195">
        <f t="shared" si="2"/>
        <v>1</v>
      </c>
      <c r="I323" s="192">
        <f t="shared" si="33"/>
        <v>4017.861111</v>
      </c>
      <c r="J323" s="196"/>
      <c r="K323" s="192"/>
      <c r="L323" s="195"/>
      <c r="M323" s="192">
        <f t="shared" si="4"/>
        <v>32142.88889</v>
      </c>
    </row>
    <row r="324" ht="26.25" hidden="1" customHeight="1">
      <c r="A324" s="189" t="s">
        <v>112</v>
      </c>
      <c r="B324" s="190">
        <v>46070.0</v>
      </c>
      <c r="C324" s="191">
        <v>46070.0</v>
      </c>
      <c r="D324" s="192">
        <v>600000.0</v>
      </c>
      <c r="E324" s="193">
        <v>0.3541666666666667</v>
      </c>
      <c r="F324" s="193">
        <v>0.7326388888888888</v>
      </c>
      <c r="G324" s="194">
        <f t="shared" si="1"/>
        <v>9.083333333</v>
      </c>
      <c r="H324" s="195">
        <f t="shared" si="2"/>
        <v>1</v>
      </c>
      <c r="I324" s="192">
        <f t="shared" si="33"/>
        <v>2380.952381</v>
      </c>
      <c r="J324" s="196"/>
      <c r="K324" s="192">
        <v>2000.0</v>
      </c>
      <c r="L324" s="192"/>
      <c r="M324" s="192">
        <f t="shared" si="4"/>
        <v>21626.98413</v>
      </c>
    </row>
    <row r="325" ht="26.25" hidden="1" customHeight="1">
      <c r="A325" s="189" t="s">
        <v>27</v>
      </c>
      <c r="B325" s="190">
        <v>46070.0</v>
      </c>
      <c r="C325" s="191">
        <v>46070.0</v>
      </c>
      <c r="D325" s="192">
        <v>850000.0</v>
      </c>
      <c r="E325" s="199">
        <v>0.40555555555555556</v>
      </c>
      <c r="F325" s="199">
        <v>0.7777777777777778</v>
      </c>
      <c r="G325" s="194">
        <f t="shared" si="1"/>
        <v>8.933333333</v>
      </c>
      <c r="H325" s="195">
        <f t="shared" si="2"/>
        <v>1</v>
      </c>
      <c r="I325" s="192">
        <f t="shared" si="33"/>
        <v>3373.015873</v>
      </c>
      <c r="J325" s="196"/>
      <c r="K325" s="192"/>
      <c r="L325" s="192"/>
      <c r="M325" s="192">
        <f t="shared" si="4"/>
        <v>30132.27513</v>
      </c>
    </row>
    <row r="326" ht="26.25" hidden="1" customHeight="1">
      <c r="A326" s="189" t="s">
        <v>29</v>
      </c>
      <c r="B326" s="190">
        <v>46070.0</v>
      </c>
      <c r="C326" s="191">
        <v>46070.0</v>
      </c>
      <c r="D326" s="192">
        <v>650000.0</v>
      </c>
      <c r="E326" s="193">
        <v>0.4166666666666667</v>
      </c>
      <c r="F326" s="193">
        <v>0.9652777777777778</v>
      </c>
      <c r="G326" s="194">
        <f t="shared" si="1"/>
        <v>13.16666667</v>
      </c>
      <c r="H326" s="195">
        <f t="shared" si="2"/>
        <v>1</v>
      </c>
      <c r="I326" s="192">
        <f t="shared" si="33"/>
        <v>2579.365079</v>
      </c>
      <c r="J326" s="196"/>
      <c r="K326" s="192">
        <v>5000.0</v>
      </c>
      <c r="L326" s="192"/>
      <c r="M326" s="192">
        <f t="shared" si="4"/>
        <v>33961.64021</v>
      </c>
    </row>
    <row r="327" ht="26.25" hidden="1" customHeight="1">
      <c r="A327" s="189" t="s">
        <v>28</v>
      </c>
      <c r="B327" s="190">
        <v>46070.0</v>
      </c>
      <c r="C327" s="191">
        <v>46070.0</v>
      </c>
      <c r="D327" s="192">
        <v>550000.0</v>
      </c>
      <c r="E327" s="193">
        <v>0.4409722222222222</v>
      </c>
      <c r="F327" s="193">
        <v>0.9993055555555556</v>
      </c>
      <c r="G327" s="194">
        <f t="shared" si="1"/>
        <v>13.4</v>
      </c>
      <c r="H327" s="195">
        <f t="shared" si="2"/>
        <v>1</v>
      </c>
      <c r="I327" s="192">
        <f t="shared" si="33"/>
        <v>2182.539683</v>
      </c>
      <c r="J327" s="196"/>
      <c r="K327" s="192">
        <v>5000.0</v>
      </c>
      <c r="L327" s="192"/>
      <c r="M327" s="192">
        <f t="shared" si="4"/>
        <v>29246.03175</v>
      </c>
    </row>
    <row r="328" ht="26.25" hidden="1" customHeight="1">
      <c r="A328" s="189" t="s">
        <v>113</v>
      </c>
      <c r="B328" s="190">
        <v>46070.0</v>
      </c>
      <c r="C328" s="191">
        <v>46070.0</v>
      </c>
      <c r="D328" s="192">
        <v>750000.0</v>
      </c>
      <c r="E328" s="193">
        <v>0.4583333333333333</v>
      </c>
      <c r="F328" s="193">
        <v>0.9993055555555556</v>
      </c>
      <c r="G328" s="194">
        <f t="shared" si="1"/>
        <v>12.98333333</v>
      </c>
      <c r="H328" s="195">
        <f t="shared" si="2"/>
        <v>1</v>
      </c>
      <c r="I328" s="192">
        <f t="shared" si="33"/>
        <v>2976.190476</v>
      </c>
      <c r="J328" s="196"/>
      <c r="K328" s="192">
        <v>5000.0</v>
      </c>
      <c r="L328" s="195"/>
      <c r="M328" s="192">
        <f t="shared" si="4"/>
        <v>38640.87302</v>
      </c>
    </row>
    <row r="329" ht="26.25" hidden="1" customHeight="1">
      <c r="A329" s="189" t="s">
        <v>63</v>
      </c>
      <c r="B329" s="190">
        <v>46070.0</v>
      </c>
      <c r="C329" s="191">
        <v>46070.0</v>
      </c>
      <c r="D329" s="192">
        <v>500000.0</v>
      </c>
      <c r="E329" s="193">
        <v>0.3333333333284827</v>
      </c>
      <c r="F329" s="193">
        <v>0.7083333333284827</v>
      </c>
      <c r="G329" s="194">
        <f t="shared" si="1"/>
        <v>9</v>
      </c>
      <c r="H329" s="195">
        <f t="shared" si="2"/>
        <v>1</v>
      </c>
      <c r="I329" s="192">
        <f t="shared" si="33"/>
        <v>1984.126984</v>
      </c>
      <c r="J329" s="196"/>
      <c r="K329" s="192"/>
      <c r="L329" s="195"/>
      <c r="M329" s="192">
        <f t="shared" si="4"/>
        <v>17857.14286</v>
      </c>
    </row>
    <row r="330" ht="26.25" hidden="1" customHeight="1">
      <c r="A330" s="189" t="s">
        <v>176</v>
      </c>
      <c r="B330" s="190">
        <v>46070.0</v>
      </c>
      <c r="C330" s="191">
        <v>46070.0</v>
      </c>
      <c r="D330" s="192">
        <v>750000.0</v>
      </c>
      <c r="E330" s="193">
        <v>0.3333333333333333</v>
      </c>
      <c r="F330" s="193">
        <v>0.875</v>
      </c>
      <c r="G330" s="194">
        <f t="shared" si="1"/>
        <v>13</v>
      </c>
      <c r="H330" s="195">
        <f t="shared" si="2"/>
        <v>1</v>
      </c>
      <c r="I330" s="192">
        <f t="shared" si="33"/>
        <v>2976.190476</v>
      </c>
      <c r="J330" s="196"/>
      <c r="K330" s="192">
        <v>2000.0</v>
      </c>
      <c r="L330" s="195"/>
      <c r="M330" s="192">
        <f t="shared" si="4"/>
        <v>38690.47619</v>
      </c>
    </row>
    <row r="331" ht="26.25" hidden="1" customHeight="1">
      <c r="A331" s="189" t="s">
        <v>114</v>
      </c>
      <c r="B331" s="190">
        <v>46070.0</v>
      </c>
      <c r="C331" s="191">
        <v>46070.0</v>
      </c>
      <c r="D331" s="192">
        <v>600000.0</v>
      </c>
      <c r="E331" s="193">
        <v>0.3125</v>
      </c>
      <c r="F331" s="193">
        <v>0.6666666666666666</v>
      </c>
      <c r="G331" s="194">
        <f t="shared" si="1"/>
        <v>8.5</v>
      </c>
      <c r="H331" s="195">
        <f t="shared" si="2"/>
        <v>1</v>
      </c>
      <c r="I331" s="192">
        <f t="shared" si="33"/>
        <v>2380.952381</v>
      </c>
      <c r="J331" s="196"/>
      <c r="K331" s="192">
        <v>7000.0</v>
      </c>
      <c r="L331" s="195"/>
      <c r="M331" s="192">
        <f t="shared" si="4"/>
        <v>20238.09524</v>
      </c>
    </row>
    <row r="332" ht="26.25" hidden="1" customHeight="1">
      <c r="A332" s="197" t="s">
        <v>102</v>
      </c>
      <c r="B332" s="190">
        <v>46070.0</v>
      </c>
      <c r="C332" s="191">
        <v>46070.0</v>
      </c>
      <c r="D332" s="192">
        <v>350000.0</v>
      </c>
      <c r="E332" s="193">
        <v>0.3333333333333333</v>
      </c>
      <c r="F332" s="193">
        <v>0.7083333333333334</v>
      </c>
      <c r="G332" s="194">
        <f t="shared" si="1"/>
        <v>9</v>
      </c>
      <c r="H332" s="195">
        <f t="shared" si="2"/>
        <v>1</v>
      </c>
      <c r="I332" s="192">
        <f t="shared" si="33"/>
        <v>1388.888889</v>
      </c>
      <c r="J332" s="196"/>
      <c r="K332" s="192"/>
      <c r="L332" s="195"/>
      <c r="M332" s="192">
        <f t="shared" si="4"/>
        <v>12500</v>
      </c>
    </row>
    <row r="333" ht="26.25" hidden="1" customHeight="1">
      <c r="A333" s="189" t="s">
        <v>36</v>
      </c>
      <c r="B333" s="190">
        <v>46070.0</v>
      </c>
      <c r="C333" s="191">
        <v>46070.0</v>
      </c>
      <c r="D333" s="192">
        <v>1012500.0</v>
      </c>
      <c r="E333" s="193">
        <v>0.5625</v>
      </c>
      <c r="F333" s="193">
        <v>0.9993055555555556</v>
      </c>
      <c r="G333" s="194">
        <f t="shared" si="1"/>
        <v>10.48333333</v>
      </c>
      <c r="H333" s="195">
        <f t="shared" si="2"/>
        <v>1</v>
      </c>
      <c r="I333" s="192">
        <f t="shared" si="33"/>
        <v>4017.857143</v>
      </c>
      <c r="J333" s="196"/>
      <c r="K333" s="192">
        <v>2000.0</v>
      </c>
      <c r="L333" s="195"/>
      <c r="M333" s="192">
        <f t="shared" si="4"/>
        <v>42120.53571</v>
      </c>
    </row>
    <row r="334" ht="26.25" hidden="1" customHeight="1">
      <c r="A334" s="189" t="s">
        <v>125</v>
      </c>
      <c r="B334" s="190">
        <v>46070.0</v>
      </c>
      <c r="C334" s="191">
        <v>46070.0</v>
      </c>
      <c r="D334" s="192">
        <v>1012500.0</v>
      </c>
      <c r="E334" s="193">
        <v>0.4166666666666667</v>
      </c>
      <c r="F334" s="193">
        <v>0.9791666666666666</v>
      </c>
      <c r="G334" s="194">
        <f t="shared" si="1"/>
        <v>13.5</v>
      </c>
      <c r="H334" s="195">
        <f t="shared" si="2"/>
        <v>1</v>
      </c>
      <c r="I334" s="192">
        <f t="shared" si="33"/>
        <v>4017.857143</v>
      </c>
      <c r="J334" s="196"/>
      <c r="K334" s="192"/>
      <c r="L334" s="195"/>
      <c r="M334" s="192">
        <f t="shared" si="4"/>
        <v>54241.07143</v>
      </c>
    </row>
    <row r="335" ht="26.25" hidden="1" customHeight="1">
      <c r="A335" s="189" t="s">
        <v>112</v>
      </c>
      <c r="B335" s="190">
        <v>46071.0</v>
      </c>
      <c r="C335" s="191">
        <v>46071.0</v>
      </c>
      <c r="D335" s="192">
        <v>600000.0</v>
      </c>
      <c r="E335" s="193">
        <v>0.3611111111111111</v>
      </c>
      <c r="F335" s="193">
        <v>0.8402777777777778</v>
      </c>
      <c r="G335" s="194">
        <f t="shared" si="1"/>
        <v>11.5</v>
      </c>
      <c r="H335" s="195">
        <f t="shared" si="2"/>
        <v>1</v>
      </c>
      <c r="I335" s="192">
        <f t="shared" si="33"/>
        <v>2380.952381</v>
      </c>
      <c r="J335" s="196"/>
      <c r="K335" s="192">
        <v>2000.0</v>
      </c>
      <c r="L335" s="192"/>
      <c r="M335" s="192">
        <f t="shared" si="4"/>
        <v>27380.95238</v>
      </c>
    </row>
    <row r="336" ht="26.25" hidden="1" customHeight="1">
      <c r="A336" s="189" t="s">
        <v>27</v>
      </c>
      <c r="B336" s="190">
        <v>46071.0</v>
      </c>
      <c r="C336" s="191">
        <v>46071.0</v>
      </c>
      <c r="D336" s="192">
        <v>850000.0</v>
      </c>
      <c r="E336" s="199">
        <v>0.44375</v>
      </c>
      <c r="F336" s="199">
        <v>0.9166666666666666</v>
      </c>
      <c r="G336" s="194">
        <f t="shared" si="1"/>
        <v>11.35</v>
      </c>
      <c r="H336" s="195">
        <f t="shared" si="2"/>
        <v>1</v>
      </c>
      <c r="I336" s="192">
        <f t="shared" si="33"/>
        <v>3373.015873</v>
      </c>
      <c r="J336" s="196"/>
      <c r="K336" s="192"/>
      <c r="L336" s="192"/>
      <c r="M336" s="192">
        <f t="shared" si="4"/>
        <v>38283.73016</v>
      </c>
    </row>
    <row r="337" ht="26.25" hidden="1" customHeight="1">
      <c r="A337" s="189" t="s">
        <v>29</v>
      </c>
      <c r="B337" s="190">
        <v>46071.0</v>
      </c>
      <c r="C337" s="191">
        <v>46071.0</v>
      </c>
      <c r="D337" s="192">
        <v>650000.0</v>
      </c>
      <c r="E337" s="193">
        <v>0.36736111111111114</v>
      </c>
      <c r="F337" s="193">
        <v>0.9993055555555556</v>
      </c>
      <c r="G337" s="194">
        <f t="shared" si="1"/>
        <v>15.16666667</v>
      </c>
      <c r="H337" s="195">
        <f t="shared" si="2"/>
        <v>1</v>
      </c>
      <c r="I337" s="192">
        <f t="shared" si="33"/>
        <v>2579.365079</v>
      </c>
      <c r="J337" s="196"/>
      <c r="K337" s="192">
        <f>5000-3818</f>
        <v>1182</v>
      </c>
      <c r="L337" s="192"/>
      <c r="M337" s="192">
        <f t="shared" si="4"/>
        <v>39120.37037</v>
      </c>
    </row>
    <row r="338" ht="26.25" hidden="1" customHeight="1">
      <c r="A338" s="189" t="s">
        <v>28</v>
      </c>
      <c r="B338" s="190">
        <v>46071.0</v>
      </c>
      <c r="C338" s="191">
        <v>46071.0</v>
      </c>
      <c r="D338" s="192">
        <v>550000.0</v>
      </c>
      <c r="E338" s="193">
        <v>0.0</v>
      </c>
      <c r="F338" s="193">
        <v>0.2777777777777778</v>
      </c>
      <c r="G338" s="194">
        <f t="shared" si="1"/>
        <v>6.666666667</v>
      </c>
      <c r="H338" s="195">
        <f t="shared" si="2"/>
        <v>1</v>
      </c>
      <c r="I338" s="192">
        <f t="shared" si="33"/>
        <v>2182.539683</v>
      </c>
      <c r="J338" s="196"/>
      <c r="K338" s="192"/>
      <c r="L338" s="192"/>
      <c r="M338" s="192">
        <f t="shared" si="4"/>
        <v>14550.26455</v>
      </c>
    </row>
    <row r="339" ht="26.25" hidden="1" customHeight="1">
      <c r="A339" s="189" t="s">
        <v>28</v>
      </c>
      <c r="B339" s="190">
        <v>46071.0</v>
      </c>
      <c r="C339" s="191">
        <v>46071.0</v>
      </c>
      <c r="D339" s="192">
        <v>550000.0</v>
      </c>
      <c r="E339" s="193">
        <v>0.6145833333333334</v>
      </c>
      <c r="F339" s="193">
        <v>0.9993055555555556</v>
      </c>
      <c r="G339" s="194">
        <f t="shared" si="1"/>
        <v>9.233333333</v>
      </c>
      <c r="H339" s="195">
        <f t="shared" si="2"/>
        <v>1</v>
      </c>
      <c r="I339" s="192">
        <f t="shared" si="33"/>
        <v>2182.539683</v>
      </c>
      <c r="J339" s="196"/>
      <c r="K339" s="192">
        <v>25000.0</v>
      </c>
      <c r="L339" s="192"/>
      <c r="M339" s="192">
        <f t="shared" si="4"/>
        <v>20152.1164</v>
      </c>
    </row>
    <row r="340" ht="26.25" hidden="1" customHeight="1">
      <c r="A340" s="189" t="s">
        <v>113</v>
      </c>
      <c r="B340" s="190">
        <v>46071.0</v>
      </c>
      <c r="C340" s="191">
        <v>46071.0</v>
      </c>
      <c r="D340" s="192">
        <v>750000.0</v>
      </c>
      <c r="E340" s="193">
        <v>0.0</v>
      </c>
      <c r="F340" s="193">
        <v>0.375</v>
      </c>
      <c r="G340" s="194">
        <f t="shared" si="1"/>
        <v>9</v>
      </c>
      <c r="H340" s="195">
        <f t="shared" si="2"/>
        <v>1</v>
      </c>
      <c r="I340" s="192">
        <f t="shared" si="33"/>
        <v>2976.190476</v>
      </c>
      <c r="J340" s="196"/>
      <c r="K340" s="192">
        <v>5000.0</v>
      </c>
      <c r="L340" s="195"/>
      <c r="M340" s="192">
        <f t="shared" si="4"/>
        <v>26785.71429</v>
      </c>
    </row>
    <row r="341" ht="26.25" hidden="1" customHeight="1">
      <c r="A341" s="189" t="s">
        <v>63</v>
      </c>
      <c r="B341" s="190">
        <v>46071.0</v>
      </c>
      <c r="C341" s="191">
        <v>46071.0</v>
      </c>
      <c r="D341" s="192">
        <v>500000.0</v>
      </c>
      <c r="E341" s="193">
        <v>0.3333333333284827</v>
      </c>
      <c r="F341" s="193">
        <v>0.7083333333284827</v>
      </c>
      <c r="G341" s="194">
        <f t="shared" si="1"/>
        <v>9</v>
      </c>
      <c r="H341" s="195">
        <f t="shared" si="2"/>
        <v>1</v>
      </c>
      <c r="I341" s="192">
        <f t="shared" si="33"/>
        <v>1984.126984</v>
      </c>
      <c r="J341" s="196"/>
      <c r="K341" s="192"/>
      <c r="L341" s="195"/>
      <c r="M341" s="192">
        <f t="shared" si="4"/>
        <v>17857.14286</v>
      </c>
    </row>
    <row r="342" ht="26.25" hidden="1" customHeight="1">
      <c r="A342" s="189" t="s">
        <v>176</v>
      </c>
      <c r="B342" s="190">
        <v>46071.0</v>
      </c>
      <c r="C342" s="191">
        <v>46071.0</v>
      </c>
      <c r="D342" s="192">
        <v>750000.0</v>
      </c>
      <c r="E342" s="193">
        <v>0.3541666666666667</v>
      </c>
      <c r="F342" s="193">
        <v>0.8958333333333334</v>
      </c>
      <c r="G342" s="194">
        <f t="shared" si="1"/>
        <v>13</v>
      </c>
      <c r="H342" s="195">
        <f t="shared" si="2"/>
        <v>1</v>
      </c>
      <c r="I342" s="192">
        <f t="shared" si="33"/>
        <v>2976.190476</v>
      </c>
      <c r="J342" s="196"/>
      <c r="K342" s="192">
        <v>23823.42063492071</v>
      </c>
      <c r="L342" s="195"/>
      <c r="M342" s="192">
        <f t="shared" si="4"/>
        <v>38690.47619</v>
      </c>
    </row>
    <row r="343" ht="26.25" hidden="1" customHeight="1">
      <c r="A343" s="189" t="s">
        <v>114</v>
      </c>
      <c r="B343" s="190">
        <v>46071.0</v>
      </c>
      <c r="C343" s="191">
        <v>46071.0</v>
      </c>
      <c r="D343" s="192">
        <v>600000.0</v>
      </c>
      <c r="E343" s="193">
        <v>0.3541666666666667</v>
      </c>
      <c r="F343" s="193">
        <v>0.75</v>
      </c>
      <c r="G343" s="194">
        <f t="shared" si="1"/>
        <v>9.5</v>
      </c>
      <c r="H343" s="195">
        <f t="shared" si="2"/>
        <v>1</v>
      </c>
      <c r="I343" s="192">
        <f t="shared" si="33"/>
        <v>2380.952381</v>
      </c>
      <c r="J343" s="196"/>
      <c r="K343" s="192">
        <v>5000.0</v>
      </c>
      <c r="L343" s="195"/>
      <c r="M343" s="192">
        <f t="shared" si="4"/>
        <v>22619.04762</v>
      </c>
    </row>
    <row r="344" ht="26.25" hidden="1" customHeight="1">
      <c r="A344" s="189" t="s">
        <v>114</v>
      </c>
      <c r="B344" s="190">
        <v>46071.0</v>
      </c>
      <c r="C344" s="191">
        <v>46071.0</v>
      </c>
      <c r="D344" s="192">
        <v>600000.0</v>
      </c>
      <c r="E344" s="193">
        <v>0.0</v>
      </c>
      <c r="F344" s="193">
        <v>0.375</v>
      </c>
      <c r="G344" s="194">
        <f t="shared" si="1"/>
        <v>9</v>
      </c>
      <c r="H344" s="195">
        <f t="shared" si="2"/>
        <v>1</v>
      </c>
      <c r="I344" s="192">
        <f t="shared" si="33"/>
        <v>2380.952381</v>
      </c>
      <c r="J344" s="196"/>
      <c r="K344" s="192"/>
      <c r="L344" s="195"/>
      <c r="M344" s="192">
        <f t="shared" si="4"/>
        <v>21428.57143</v>
      </c>
    </row>
    <row r="345" ht="26.25" hidden="1" customHeight="1">
      <c r="A345" s="197" t="s">
        <v>102</v>
      </c>
      <c r="B345" s="190">
        <v>46071.0</v>
      </c>
      <c r="C345" s="191">
        <v>46071.0</v>
      </c>
      <c r="D345" s="192">
        <v>350000.0</v>
      </c>
      <c r="E345" s="193">
        <v>0.3333333333333333</v>
      </c>
      <c r="F345" s="193">
        <v>0.7083333333333334</v>
      </c>
      <c r="G345" s="194">
        <f t="shared" si="1"/>
        <v>9</v>
      </c>
      <c r="H345" s="195">
        <f t="shared" si="2"/>
        <v>1</v>
      </c>
      <c r="I345" s="192">
        <f t="shared" si="33"/>
        <v>1388.888889</v>
      </c>
      <c r="J345" s="196"/>
      <c r="K345" s="192"/>
      <c r="L345" s="195"/>
      <c r="M345" s="192">
        <f t="shared" si="4"/>
        <v>12500</v>
      </c>
    </row>
    <row r="346" ht="26.25" hidden="1" customHeight="1">
      <c r="A346" s="189" t="s">
        <v>36</v>
      </c>
      <c r="B346" s="190">
        <v>46071.0</v>
      </c>
      <c r="C346" s="191">
        <v>46071.0</v>
      </c>
      <c r="D346" s="192">
        <v>1012500.0</v>
      </c>
      <c r="E346" s="193">
        <v>0.0</v>
      </c>
      <c r="F346" s="193">
        <v>0.875</v>
      </c>
      <c r="G346" s="194">
        <f t="shared" si="1"/>
        <v>21</v>
      </c>
      <c r="H346" s="195">
        <f t="shared" si="2"/>
        <v>1</v>
      </c>
      <c r="I346" s="192">
        <f t="shared" si="33"/>
        <v>4017.857143</v>
      </c>
      <c r="J346" s="196"/>
      <c r="K346" s="192">
        <v>25000.0</v>
      </c>
      <c r="L346" s="195"/>
      <c r="M346" s="192">
        <f t="shared" si="4"/>
        <v>84375</v>
      </c>
    </row>
    <row r="347" ht="26.25" hidden="1" customHeight="1">
      <c r="A347" s="189" t="s">
        <v>125</v>
      </c>
      <c r="B347" s="190">
        <v>46071.0</v>
      </c>
      <c r="C347" s="191">
        <v>46071.0</v>
      </c>
      <c r="D347" s="192">
        <v>1012500.0</v>
      </c>
      <c r="E347" s="193">
        <v>0.4375</v>
      </c>
      <c r="F347" s="193">
        <v>0.9993055555555556</v>
      </c>
      <c r="G347" s="194">
        <f t="shared" si="1"/>
        <v>13.48333333</v>
      </c>
      <c r="H347" s="195">
        <f t="shared" si="2"/>
        <v>1</v>
      </c>
      <c r="I347" s="192">
        <f t="shared" si="33"/>
        <v>4017.857143</v>
      </c>
      <c r="J347" s="196"/>
      <c r="K347" s="192"/>
      <c r="L347" s="195"/>
      <c r="M347" s="192">
        <f t="shared" si="4"/>
        <v>54174.10714</v>
      </c>
    </row>
    <row r="348" ht="26.25" hidden="1" customHeight="1">
      <c r="A348" s="189" t="s">
        <v>112</v>
      </c>
      <c r="B348" s="190">
        <v>46072.0</v>
      </c>
      <c r="C348" s="191">
        <v>46072.0</v>
      </c>
      <c r="D348" s="192">
        <v>600000.0</v>
      </c>
      <c r="E348" s="193">
        <v>0.375</v>
      </c>
      <c r="F348" s="193">
        <v>0.7152777777777778</v>
      </c>
      <c r="G348" s="194">
        <f t="shared" si="1"/>
        <v>8.166666667</v>
      </c>
      <c r="H348" s="195">
        <f t="shared" si="2"/>
        <v>1</v>
      </c>
      <c r="I348" s="192">
        <f t="shared" si="33"/>
        <v>2380.952381</v>
      </c>
      <c r="J348" s="196"/>
      <c r="K348" s="192">
        <v>5000.0</v>
      </c>
      <c r="L348" s="192"/>
      <c r="M348" s="192">
        <f t="shared" si="4"/>
        <v>19444.44444</v>
      </c>
    </row>
    <row r="349" ht="26.25" hidden="1" customHeight="1">
      <c r="A349" s="189" t="s">
        <v>27</v>
      </c>
      <c r="B349" s="190">
        <v>46072.0</v>
      </c>
      <c r="C349" s="191">
        <v>46072.0</v>
      </c>
      <c r="D349" s="192">
        <v>850000.0</v>
      </c>
      <c r="E349" s="199">
        <v>0.3333333333333333</v>
      </c>
      <c r="F349" s="199">
        <v>0.9993055555555556</v>
      </c>
      <c r="G349" s="194">
        <f t="shared" si="1"/>
        <v>15.98333333</v>
      </c>
      <c r="H349" s="195">
        <f t="shared" si="2"/>
        <v>1</v>
      </c>
      <c r="I349" s="192">
        <f t="shared" si="33"/>
        <v>3373.015873</v>
      </c>
      <c r="J349" s="196"/>
      <c r="K349" s="192"/>
      <c r="L349" s="192"/>
      <c r="M349" s="192">
        <f t="shared" si="4"/>
        <v>53912.03704</v>
      </c>
    </row>
    <row r="350" ht="26.25" hidden="1" customHeight="1">
      <c r="A350" s="189" t="s">
        <v>29</v>
      </c>
      <c r="B350" s="190">
        <v>46072.0</v>
      </c>
      <c r="C350" s="191">
        <v>46072.0</v>
      </c>
      <c r="D350" s="192">
        <v>650000.0</v>
      </c>
      <c r="E350" s="193">
        <v>0.0</v>
      </c>
      <c r="F350" s="193">
        <v>0.36736111111111114</v>
      </c>
      <c r="G350" s="194">
        <f t="shared" si="1"/>
        <v>8.816666667</v>
      </c>
      <c r="H350" s="195">
        <f t="shared" si="2"/>
        <v>1</v>
      </c>
      <c r="I350" s="192">
        <f t="shared" si="33"/>
        <v>2579.365079</v>
      </c>
      <c r="J350" s="196"/>
      <c r="K350" s="192"/>
      <c r="L350" s="192"/>
      <c r="M350" s="192">
        <f t="shared" si="4"/>
        <v>22741.40212</v>
      </c>
    </row>
    <row r="351" ht="26.25" hidden="1" customHeight="1">
      <c r="A351" s="189" t="s">
        <v>28</v>
      </c>
      <c r="B351" s="190">
        <v>46072.0</v>
      </c>
      <c r="C351" s="191">
        <v>46072.0</v>
      </c>
      <c r="D351" s="192">
        <v>550000.0</v>
      </c>
      <c r="E351" s="193">
        <v>0.0</v>
      </c>
      <c r="F351" s="193">
        <v>0.15625</v>
      </c>
      <c r="G351" s="194">
        <f t="shared" si="1"/>
        <v>3.75</v>
      </c>
      <c r="H351" s="195">
        <f t="shared" si="2"/>
        <v>1</v>
      </c>
      <c r="I351" s="192">
        <f t="shared" si="33"/>
        <v>2182.539683</v>
      </c>
      <c r="J351" s="196"/>
      <c r="K351" s="192">
        <v>5000.0</v>
      </c>
      <c r="L351" s="192"/>
      <c r="M351" s="192">
        <f t="shared" si="4"/>
        <v>8184.52381</v>
      </c>
    </row>
    <row r="352" ht="26.25" hidden="1" customHeight="1">
      <c r="A352" s="189" t="s">
        <v>113</v>
      </c>
      <c r="B352" s="190">
        <v>46072.0</v>
      </c>
      <c r="C352" s="191">
        <v>46072.0</v>
      </c>
      <c r="D352" s="192">
        <v>750000.0</v>
      </c>
      <c r="E352" s="193">
        <v>0.041666666666666664</v>
      </c>
      <c r="F352" s="193">
        <v>0.25</v>
      </c>
      <c r="G352" s="194">
        <f t="shared" si="1"/>
        <v>5</v>
      </c>
      <c r="H352" s="195">
        <f t="shared" si="2"/>
        <v>1</v>
      </c>
      <c r="I352" s="192">
        <f t="shared" si="33"/>
        <v>2976.190476</v>
      </c>
      <c r="J352" s="196"/>
      <c r="K352" s="192">
        <v>9000.0</v>
      </c>
      <c r="L352" s="195"/>
      <c r="M352" s="192">
        <f t="shared" si="4"/>
        <v>14880.95238</v>
      </c>
    </row>
    <row r="353" ht="26.25" hidden="1" customHeight="1">
      <c r="A353" s="189" t="s">
        <v>63</v>
      </c>
      <c r="B353" s="190">
        <v>46072.0</v>
      </c>
      <c r="C353" s="191">
        <v>46072.0</v>
      </c>
      <c r="D353" s="192">
        <v>500000.0</v>
      </c>
      <c r="E353" s="193">
        <v>0.3333333333284827</v>
      </c>
      <c r="F353" s="193">
        <v>0.7083333333284827</v>
      </c>
      <c r="G353" s="194">
        <f t="shared" si="1"/>
        <v>9</v>
      </c>
      <c r="H353" s="195">
        <f t="shared" si="2"/>
        <v>1</v>
      </c>
      <c r="I353" s="192">
        <f t="shared" si="33"/>
        <v>1984.126984</v>
      </c>
      <c r="J353" s="196"/>
      <c r="K353" s="192"/>
      <c r="L353" s="195"/>
      <c r="M353" s="192">
        <f t="shared" si="4"/>
        <v>17857.14286</v>
      </c>
    </row>
    <row r="354" ht="26.25" hidden="1" customHeight="1">
      <c r="A354" s="189" t="s">
        <v>176</v>
      </c>
      <c r="B354" s="190">
        <v>46072.0</v>
      </c>
      <c r="C354" s="191">
        <v>46072.0</v>
      </c>
      <c r="D354" s="192">
        <v>750000.0</v>
      </c>
      <c r="E354" s="193">
        <v>0.3541666666666667</v>
      </c>
      <c r="F354" s="193">
        <v>0.7222222222222222</v>
      </c>
      <c r="G354" s="194">
        <f t="shared" si="1"/>
        <v>8.833333333</v>
      </c>
      <c r="H354" s="195">
        <f t="shared" si="2"/>
        <v>1</v>
      </c>
      <c r="I354" s="192">
        <f t="shared" si="33"/>
        <v>2976.190476</v>
      </c>
      <c r="J354" s="196"/>
      <c r="K354" s="192"/>
      <c r="L354" s="195"/>
      <c r="M354" s="192">
        <f t="shared" si="4"/>
        <v>26289.68254</v>
      </c>
    </row>
    <row r="355" ht="26.25" hidden="1" customHeight="1">
      <c r="A355" s="189" t="s">
        <v>114</v>
      </c>
      <c r="B355" s="190">
        <v>46072.0</v>
      </c>
      <c r="C355" s="191">
        <v>46072.0</v>
      </c>
      <c r="D355" s="192">
        <v>600000.0</v>
      </c>
      <c r="E355" s="193">
        <v>0.5416666666666666</v>
      </c>
      <c r="F355" s="193">
        <v>0.9993055555555556</v>
      </c>
      <c r="G355" s="194">
        <f t="shared" si="1"/>
        <v>10.98333333</v>
      </c>
      <c r="H355" s="195">
        <f t="shared" si="2"/>
        <v>1</v>
      </c>
      <c r="I355" s="192">
        <f t="shared" si="33"/>
        <v>2380.952381</v>
      </c>
      <c r="J355" s="196"/>
      <c r="K355" s="192">
        <v>1000.0</v>
      </c>
      <c r="L355" s="195"/>
      <c r="M355" s="192">
        <f t="shared" si="4"/>
        <v>26150.79365</v>
      </c>
    </row>
    <row r="356" ht="26.25" hidden="1" customHeight="1">
      <c r="A356" s="189" t="s">
        <v>114</v>
      </c>
      <c r="B356" s="190">
        <v>46072.0</v>
      </c>
      <c r="C356" s="191">
        <v>46072.0</v>
      </c>
      <c r="D356" s="192">
        <v>600000.0</v>
      </c>
      <c r="E356" s="193">
        <v>0.0</v>
      </c>
      <c r="F356" s="193">
        <v>0.16666666666666666</v>
      </c>
      <c r="G356" s="194">
        <f t="shared" si="1"/>
        <v>4</v>
      </c>
      <c r="H356" s="195">
        <f t="shared" si="2"/>
        <v>1</v>
      </c>
      <c r="I356" s="192">
        <f t="shared" si="33"/>
        <v>2380.952381</v>
      </c>
      <c r="J356" s="196"/>
      <c r="K356" s="192">
        <v>10000.0</v>
      </c>
      <c r="L356" s="195"/>
      <c r="M356" s="192">
        <f t="shared" si="4"/>
        <v>9523.809524</v>
      </c>
    </row>
    <row r="357" ht="26.25" hidden="1" customHeight="1">
      <c r="A357" s="197" t="s">
        <v>102</v>
      </c>
      <c r="B357" s="190">
        <v>46072.0</v>
      </c>
      <c r="C357" s="191">
        <v>46072.0</v>
      </c>
      <c r="D357" s="192">
        <v>350000.0</v>
      </c>
      <c r="E357" s="193">
        <v>0.3333333333333333</v>
      </c>
      <c r="F357" s="193">
        <v>0.7083333333333334</v>
      </c>
      <c r="G357" s="194">
        <f t="shared" si="1"/>
        <v>9</v>
      </c>
      <c r="H357" s="195">
        <f t="shared" si="2"/>
        <v>1</v>
      </c>
      <c r="I357" s="192">
        <f t="shared" si="33"/>
        <v>1388.888889</v>
      </c>
      <c r="J357" s="196"/>
      <c r="K357" s="192"/>
      <c r="L357" s="195"/>
      <c r="M357" s="192">
        <f t="shared" si="4"/>
        <v>12500</v>
      </c>
    </row>
    <row r="358" ht="26.25" hidden="1" customHeight="1">
      <c r="A358" s="189" t="s">
        <v>247</v>
      </c>
      <c r="B358" s="190">
        <v>46072.0</v>
      </c>
      <c r="C358" s="191">
        <v>46072.0</v>
      </c>
      <c r="D358" s="192">
        <v>750000.0</v>
      </c>
      <c r="E358" s="193">
        <v>0.34375</v>
      </c>
      <c r="F358" s="193">
        <v>0.8333333333333334</v>
      </c>
      <c r="G358" s="194">
        <f t="shared" si="1"/>
        <v>11.75</v>
      </c>
      <c r="H358" s="195">
        <f t="shared" si="2"/>
        <v>1</v>
      </c>
      <c r="I358" s="192">
        <f t="shared" si="33"/>
        <v>2976.190476</v>
      </c>
      <c r="J358" s="196"/>
      <c r="K358" s="192">
        <v>6000.0</v>
      </c>
      <c r="L358" s="195"/>
      <c r="M358" s="192">
        <f t="shared" si="4"/>
        <v>34970.2381</v>
      </c>
    </row>
    <row r="359" ht="26.25" hidden="1" customHeight="1">
      <c r="A359" s="189" t="s">
        <v>36</v>
      </c>
      <c r="B359" s="190">
        <v>46072.0</v>
      </c>
      <c r="C359" s="191">
        <v>46072.0</v>
      </c>
      <c r="D359" s="192">
        <v>1012500.0</v>
      </c>
      <c r="E359" s="193">
        <v>0.36041666666666666</v>
      </c>
      <c r="F359" s="193">
        <v>0.7083333333333334</v>
      </c>
      <c r="G359" s="194">
        <f t="shared" si="1"/>
        <v>8.35</v>
      </c>
      <c r="H359" s="195">
        <f t="shared" si="2"/>
        <v>1</v>
      </c>
      <c r="I359" s="192">
        <f t="shared" si="33"/>
        <v>4017.857143</v>
      </c>
      <c r="J359" s="196"/>
      <c r="K359" s="192">
        <v>40000.0</v>
      </c>
      <c r="L359" s="195"/>
      <c r="M359" s="192">
        <f t="shared" si="4"/>
        <v>33549.10714</v>
      </c>
    </row>
    <row r="360" ht="26.25" hidden="1" customHeight="1">
      <c r="A360" s="189" t="s">
        <v>125</v>
      </c>
      <c r="B360" s="190">
        <v>46072.0</v>
      </c>
      <c r="C360" s="191">
        <v>46072.0</v>
      </c>
      <c r="D360" s="192">
        <v>1012500.0</v>
      </c>
      <c r="E360" s="193">
        <v>0.0</v>
      </c>
      <c r="F360" s="193">
        <v>0.2916666666666667</v>
      </c>
      <c r="G360" s="194">
        <f t="shared" si="1"/>
        <v>7</v>
      </c>
      <c r="H360" s="195">
        <f t="shared" si="2"/>
        <v>1</v>
      </c>
      <c r="I360" s="192">
        <f t="shared" si="33"/>
        <v>4017.857143</v>
      </c>
      <c r="J360" s="196"/>
      <c r="K360" s="192"/>
      <c r="L360" s="195"/>
      <c r="M360" s="192">
        <f t="shared" si="4"/>
        <v>28125</v>
      </c>
    </row>
    <row r="361" ht="26.25" hidden="1" customHeight="1">
      <c r="A361" s="189" t="s">
        <v>125</v>
      </c>
      <c r="B361" s="190">
        <v>46072.0</v>
      </c>
      <c r="C361" s="191">
        <v>46072.0</v>
      </c>
      <c r="D361" s="192">
        <v>1012500.0</v>
      </c>
      <c r="E361" s="193">
        <v>0.8402777777777778</v>
      </c>
      <c r="F361" s="193">
        <v>0.9993055555555556</v>
      </c>
      <c r="G361" s="194">
        <f t="shared" si="1"/>
        <v>3.816666667</v>
      </c>
      <c r="H361" s="195">
        <f t="shared" si="2"/>
        <v>1</v>
      </c>
      <c r="I361" s="192">
        <f t="shared" si="33"/>
        <v>4017.857143</v>
      </c>
      <c r="J361" s="196"/>
      <c r="K361" s="192"/>
      <c r="L361" s="195"/>
      <c r="M361" s="192">
        <f t="shared" si="4"/>
        <v>15334.82143</v>
      </c>
    </row>
    <row r="362" ht="26.25" hidden="1" customHeight="1">
      <c r="A362" s="189" t="s">
        <v>112</v>
      </c>
      <c r="B362" s="190">
        <v>46073.0</v>
      </c>
      <c r="C362" s="191">
        <v>46073.0</v>
      </c>
      <c r="D362" s="192">
        <v>600000.0</v>
      </c>
      <c r="E362" s="193">
        <v>0.4583333333333333</v>
      </c>
      <c r="F362" s="193">
        <v>0.6458333333333334</v>
      </c>
      <c r="G362" s="194">
        <f t="shared" si="1"/>
        <v>4.5</v>
      </c>
      <c r="H362" s="195">
        <f t="shared" si="2"/>
        <v>1</v>
      </c>
      <c r="I362" s="192">
        <f t="shared" si="33"/>
        <v>2380.952381</v>
      </c>
      <c r="J362" s="196"/>
      <c r="K362" s="192">
        <v>5000.0</v>
      </c>
      <c r="L362" s="192"/>
      <c r="M362" s="192">
        <f t="shared" si="4"/>
        <v>10714.28571</v>
      </c>
    </row>
    <row r="363" ht="26.25" hidden="1" customHeight="1">
      <c r="A363" s="189" t="s">
        <v>27</v>
      </c>
      <c r="B363" s="190">
        <v>46073.0</v>
      </c>
      <c r="C363" s="191">
        <v>46073.0</v>
      </c>
      <c r="D363" s="192">
        <v>850000.0</v>
      </c>
      <c r="E363" s="199">
        <v>0.0</v>
      </c>
      <c r="F363" s="199">
        <v>0.08333333333333333</v>
      </c>
      <c r="G363" s="194">
        <f t="shared" si="1"/>
        <v>2</v>
      </c>
      <c r="H363" s="195">
        <f t="shared" si="2"/>
        <v>1</v>
      </c>
      <c r="I363" s="192">
        <f t="shared" si="33"/>
        <v>3373.015873</v>
      </c>
      <c r="J363" s="196"/>
      <c r="K363" s="198">
        <v>854.0</v>
      </c>
      <c r="L363" s="192"/>
      <c r="M363" s="192">
        <f t="shared" si="4"/>
        <v>6746.031746</v>
      </c>
    </row>
    <row r="364" ht="26.25" hidden="1" customHeight="1">
      <c r="A364" s="189" t="s">
        <v>27</v>
      </c>
      <c r="B364" s="190">
        <v>46073.0</v>
      </c>
      <c r="C364" s="191">
        <v>46073.0</v>
      </c>
      <c r="D364" s="192">
        <v>850000.0</v>
      </c>
      <c r="E364" s="199">
        <v>0.3333333333333333</v>
      </c>
      <c r="F364" s="199">
        <v>0.9166666666666666</v>
      </c>
      <c r="G364" s="194">
        <f t="shared" si="1"/>
        <v>14</v>
      </c>
      <c r="H364" s="195">
        <f t="shared" si="2"/>
        <v>1</v>
      </c>
      <c r="I364" s="192">
        <f t="shared" si="33"/>
        <v>3373.015873</v>
      </c>
      <c r="J364" s="196"/>
      <c r="K364" s="192"/>
      <c r="L364" s="192"/>
      <c r="M364" s="192">
        <f t="shared" si="4"/>
        <v>47222.22222</v>
      </c>
    </row>
    <row r="365" ht="26.25" hidden="1" customHeight="1">
      <c r="A365" s="189" t="s">
        <v>28</v>
      </c>
      <c r="B365" s="190">
        <v>46073.0</v>
      </c>
      <c r="C365" s="191">
        <v>46073.0</v>
      </c>
      <c r="D365" s="192">
        <v>550000.0</v>
      </c>
      <c r="E365" s="193">
        <v>0.6222222222222222</v>
      </c>
      <c r="F365" s="193">
        <v>0.9993055555555556</v>
      </c>
      <c r="G365" s="194">
        <f t="shared" si="1"/>
        <v>9.05</v>
      </c>
      <c r="H365" s="195">
        <f t="shared" si="2"/>
        <v>1</v>
      </c>
      <c r="I365" s="192">
        <f t="shared" si="33"/>
        <v>2182.539683</v>
      </c>
      <c r="J365" s="196"/>
      <c r="K365" s="192">
        <v>25000.0</v>
      </c>
      <c r="L365" s="192"/>
      <c r="M365" s="192">
        <f t="shared" si="4"/>
        <v>19751.98413</v>
      </c>
    </row>
    <row r="366" ht="26.25" hidden="1" customHeight="1">
      <c r="A366" s="189" t="s">
        <v>113</v>
      </c>
      <c r="B366" s="190">
        <v>46073.0</v>
      </c>
      <c r="C366" s="191">
        <v>46073.0</v>
      </c>
      <c r="D366" s="192">
        <v>750000.0</v>
      </c>
      <c r="E366" s="193">
        <v>0.5833333333333334</v>
      </c>
      <c r="F366" s="193">
        <v>0.9993055555555556</v>
      </c>
      <c r="G366" s="194">
        <f t="shared" si="1"/>
        <v>9.983333333</v>
      </c>
      <c r="H366" s="195">
        <f t="shared" si="2"/>
        <v>1</v>
      </c>
      <c r="I366" s="192">
        <f t="shared" si="33"/>
        <v>2976.190476</v>
      </c>
      <c r="J366" s="196"/>
      <c r="K366" s="192">
        <v>5000.0</v>
      </c>
      <c r="L366" s="195"/>
      <c r="M366" s="192">
        <f t="shared" si="4"/>
        <v>29712.30159</v>
      </c>
    </row>
    <row r="367" ht="26.25" hidden="1" customHeight="1">
      <c r="A367" s="189" t="s">
        <v>63</v>
      </c>
      <c r="B367" s="190">
        <v>46073.0</v>
      </c>
      <c r="C367" s="191">
        <v>46073.0</v>
      </c>
      <c r="D367" s="192">
        <v>500000.0</v>
      </c>
      <c r="E367" s="193">
        <v>0.3333333333284827</v>
      </c>
      <c r="F367" s="193">
        <v>0.7083333333284827</v>
      </c>
      <c r="G367" s="194">
        <f t="shared" si="1"/>
        <v>9</v>
      </c>
      <c r="H367" s="195">
        <f t="shared" si="2"/>
        <v>1</v>
      </c>
      <c r="I367" s="192">
        <f t="shared" si="33"/>
        <v>1984.126984</v>
      </c>
      <c r="J367" s="196"/>
      <c r="K367" s="192"/>
      <c r="L367" s="195"/>
      <c r="M367" s="192">
        <f t="shared" si="4"/>
        <v>17857.14286</v>
      </c>
    </row>
    <row r="368" ht="26.25" hidden="1" customHeight="1">
      <c r="A368" s="197" t="s">
        <v>102</v>
      </c>
      <c r="B368" s="190">
        <v>46073.0</v>
      </c>
      <c r="C368" s="191">
        <v>46073.0</v>
      </c>
      <c r="D368" s="192">
        <v>350000.0</v>
      </c>
      <c r="E368" s="193">
        <v>0.3333333333333333</v>
      </c>
      <c r="F368" s="193">
        <v>0.7083333333333334</v>
      </c>
      <c r="G368" s="194">
        <f t="shared" si="1"/>
        <v>9</v>
      </c>
      <c r="H368" s="195">
        <f t="shared" si="2"/>
        <v>1</v>
      </c>
      <c r="I368" s="192">
        <f t="shared" si="33"/>
        <v>1388.888889</v>
      </c>
      <c r="J368" s="196"/>
      <c r="K368" s="192"/>
      <c r="L368" s="195"/>
      <c r="M368" s="192">
        <f t="shared" si="4"/>
        <v>12500</v>
      </c>
    </row>
    <row r="369" ht="26.25" hidden="1" customHeight="1">
      <c r="A369" s="189" t="s">
        <v>247</v>
      </c>
      <c r="B369" s="190">
        <v>46073.0</v>
      </c>
      <c r="C369" s="191">
        <v>46073.0</v>
      </c>
      <c r="D369" s="192">
        <v>750000.0</v>
      </c>
      <c r="E369" s="193">
        <v>0.3333333333333333</v>
      </c>
      <c r="F369" s="193">
        <v>0.8402777777777778</v>
      </c>
      <c r="G369" s="194">
        <f t="shared" si="1"/>
        <v>12.16666667</v>
      </c>
      <c r="H369" s="195">
        <f t="shared" si="2"/>
        <v>1</v>
      </c>
      <c r="I369" s="192">
        <f t="shared" si="33"/>
        <v>2976.190476</v>
      </c>
      <c r="J369" s="196"/>
      <c r="K369" s="192">
        <v>6966.269841269837</v>
      </c>
      <c r="L369" s="195"/>
      <c r="M369" s="192">
        <f t="shared" si="4"/>
        <v>36210.31746</v>
      </c>
    </row>
    <row r="370" ht="26.25" hidden="1" customHeight="1">
      <c r="A370" s="189" t="s">
        <v>36</v>
      </c>
      <c r="B370" s="190">
        <v>46073.0</v>
      </c>
      <c r="C370" s="191">
        <v>46073.0</v>
      </c>
      <c r="D370" s="192">
        <v>1012500.0</v>
      </c>
      <c r="E370" s="193">
        <v>0.5416666666666666</v>
      </c>
      <c r="F370" s="193">
        <v>0.75</v>
      </c>
      <c r="G370" s="194">
        <f t="shared" si="1"/>
        <v>5</v>
      </c>
      <c r="H370" s="195">
        <f t="shared" si="2"/>
        <v>1</v>
      </c>
      <c r="I370" s="192">
        <f t="shared" si="33"/>
        <v>4017.857143</v>
      </c>
      <c r="J370" s="196"/>
      <c r="K370" s="198">
        <v>92000.0</v>
      </c>
      <c r="L370" s="202"/>
      <c r="M370" s="192">
        <f t="shared" si="4"/>
        <v>20089.28571</v>
      </c>
    </row>
    <row r="371" ht="26.25" hidden="1" customHeight="1">
      <c r="A371" s="189" t="s">
        <v>125</v>
      </c>
      <c r="B371" s="190">
        <v>46073.0</v>
      </c>
      <c r="C371" s="191">
        <v>46073.0</v>
      </c>
      <c r="D371" s="192">
        <v>1012500.0</v>
      </c>
      <c r="E371" s="193">
        <v>0.0</v>
      </c>
      <c r="F371" s="193">
        <v>0.3333333333333333</v>
      </c>
      <c r="G371" s="194">
        <f t="shared" si="1"/>
        <v>8</v>
      </c>
      <c r="H371" s="195">
        <f t="shared" si="2"/>
        <v>1</v>
      </c>
      <c r="I371" s="192">
        <f t="shared" si="33"/>
        <v>4017.857143</v>
      </c>
      <c r="J371" s="196"/>
      <c r="K371" s="192"/>
      <c r="L371" s="195"/>
      <c r="M371" s="192">
        <f t="shared" si="4"/>
        <v>32142.85714</v>
      </c>
    </row>
    <row r="372" ht="26.25" hidden="1" customHeight="1">
      <c r="A372" s="189" t="s">
        <v>112</v>
      </c>
      <c r="B372" s="190">
        <v>46074.0</v>
      </c>
      <c r="C372" s="191">
        <v>46074.0</v>
      </c>
      <c r="D372" s="192">
        <v>600000.0</v>
      </c>
      <c r="E372" s="193">
        <v>0.3541666666666667</v>
      </c>
      <c r="F372" s="193">
        <v>0.8125</v>
      </c>
      <c r="G372" s="194">
        <f t="shared" si="1"/>
        <v>11</v>
      </c>
      <c r="H372" s="195">
        <f t="shared" si="2"/>
        <v>1</v>
      </c>
      <c r="I372" s="192">
        <f t="shared" si="33"/>
        <v>2380.952381</v>
      </c>
      <c r="J372" s="196"/>
      <c r="K372" s="192">
        <v>3000.0</v>
      </c>
      <c r="L372" s="192"/>
      <c r="M372" s="192">
        <f t="shared" si="4"/>
        <v>26190.47619</v>
      </c>
    </row>
    <row r="373" ht="26.25" hidden="1" customHeight="1">
      <c r="A373" s="189" t="s">
        <v>27</v>
      </c>
      <c r="B373" s="190">
        <v>46074.0</v>
      </c>
      <c r="C373" s="191">
        <v>46074.0</v>
      </c>
      <c r="D373" s="192">
        <v>850000.0</v>
      </c>
      <c r="E373" s="193">
        <v>0.4166666666666667</v>
      </c>
      <c r="F373" s="199">
        <v>0.9736111111111111</v>
      </c>
      <c r="G373" s="194">
        <f t="shared" si="1"/>
        <v>13.36666667</v>
      </c>
      <c r="H373" s="195">
        <f t="shared" si="2"/>
        <v>1</v>
      </c>
      <c r="I373" s="192">
        <f t="shared" si="33"/>
        <v>3373.015873</v>
      </c>
      <c r="J373" s="196"/>
      <c r="K373" s="192"/>
      <c r="L373" s="192"/>
      <c r="M373" s="192">
        <f t="shared" si="4"/>
        <v>45085.97884</v>
      </c>
    </row>
    <row r="374" ht="26.25" hidden="1" customHeight="1">
      <c r="A374" s="189" t="s">
        <v>29</v>
      </c>
      <c r="B374" s="190">
        <v>46074.0</v>
      </c>
      <c r="C374" s="191">
        <v>46074.0</v>
      </c>
      <c r="D374" s="192">
        <v>650000.0</v>
      </c>
      <c r="E374" s="193">
        <v>0.4166666666666667</v>
      </c>
      <c r="F374" s="193">
        <v>0.9993055555555556</v>
      </c>
      <c r="G374" s="194">
        <f t="shared" si="1"/>
        <v>13.98333333</v>
      </c>
      <c r="H374" s="195">
        <f t="shared" si="2"/>
        <v>1</v>
      </c>
      <c r="I374" s="192">
        <f t="shared" si="33"/>
        <v>2579.365079</v>
      </c>
      <c r="J374" s="196"/>
      <c r="K374" s="192">
        <v>5000.0</v>
      </c>
      <c r="L374" s="192"/>
      <c r="M374" s="192">
        <f t="shared" si="4"/>
        <v>36068.12169</v>
      </c>
    </row>
    <row r="375" ht="26.25" hidden="1" customHeight="1">
      <c r="A375" s="189" t="s">
        <v>28</v>
      </c>
      <c r="B375" s="190">
        <v>46074.0</v>
      </c>
      <c r="C375" s="191">
        <v>46074.0</v>
      </c>
      <c r="D375" s="192">
        <v>550000.0</v>
      </c>
      <c r="E375" s="193">
        <v>0.0</v>
      </c>
      <c r="F375" s="193">
        <v>0.20833333333333334</v>
      </c>
      <c r="G375" s="194">
        <f t="shared" si="1"/>
        <v>5</v>
      </c>
      <c r="H375" s="195">
        <f t="shared" si="2"/>
        <v>1</v>
      </c>
      <c r="I375" s="192">
        <f t="shared" si="33"/>
        <v>2182.539683</v>
      </c>
      <c r="J375" s="196"/>
      <c r="K375" s="192">
        <v>5000.0</v>
      </c>
      <c r="L375" s="192"/>
      <c r="M375" s="192">
        <f t="shared" si="4"/>
        <v>10912.69841</v>
      </c>
    </row>
    <row r="376" ht="26.25" hidden="1" customHeight="1">
      <c r="A376" s="189" t="s">
        <v>113</v>
      </c>
      <c r="B376" s="190">
        <v>46074.0</v>
      </c>
      <c r="C376" s="191">
        <v>46074.0</v>
      </c>
      <c r="D376" s="192">
        <v>750000.0</v>
      </c>
      <c r="E376" s="193">
        <v>0.0</v>
      </c>
      <c r="F376" s="193">
        <v>0.25</v>
      </c>
      <c r="G376" s="194">
        <f t="shared" si="1"/>
        <v>6</v>
      </c>
      <c r="H376" s="195">
        <f t="shared" si="2"/>
        <v>1</v>
      </c>
      <c r="I376" s="192">
        <f t="shared" si="33"/>
        <v>2976.190476</v>
      </c>
      <c r="J376" s="196"/>
      <c r="K376" s="192">
        <v>3000.0</v>
      </c>
      <c r="L376" s="195"/>
      <c r="M376" s="192">
        <f t="shared" si="4"/>
        <v>17857.14286</v>
      </c>
    </row>
    <row r="377" ht="26.25" hidden="1" customHeight="1">
      <c r="A377" s="189" t="s">
        <v>63</v>
      </c>
      <c r="B377" s="190">
        <v>46074.0</v>
      </c>
      <c r="C377" s="191">
        <v>46074.0</v>
      </c>
      <c r="D377" s="192">
        <v>500000.0</v>
      </c>
      <c r="E377" s="193">
        <v>0.3333333333284827</v>
      </c>
      <c r="F377" s="193">
        <v>0.7083333333284827</v>
      </c>
      <c r="G377" s="194">
        <f t="shared" si="1"/>
        <v>9</v>
      </c>
      <c r="H377" s="195">
        <f t="shared" si="2"/>
        <v>1</v>
      </c>
      <c r="I377" s="192">
        <f t="shared" si="33"/>
        <v>1984.126984</v>
      </c>
      <c r="J377" s="196"/>
      <c r="K377" s="192"/>
      <c r="L377" s="195"/>
      <c r="M377" s="192">
        <f>G377*I377+50000</f>
        <v>67857.14286</v>
      </c>
    </row>
    <row r="378" ht="26.25" hidden="1" customHeight="1">
      <c r="A378" s="189" t="s">
        <v>176</v>
      </c>
      <c r="B378" s="190">
        <v>46074.0</v>
      </c>
      <c r="C378" s="191">
        <v>46074.0</v>
      </c>
      <c r="D378" s="192">
        <v>750000.0</v>
      </c>
      <c r="E378" s="193">
        <v>0.3541666666666667</v>
      </c>
      <c r="F378" s="193">
        <v>0.8125</v>
      </c>
      <c r="G378" s="194">
        <f t="shared" si="1"/>
        <v>11</v>
      </c>
      <c r="H378" s="195">
        <f t="shared" si="2"/>
        <v>1</v>
      </c>
      <c r="I378" s="192">
        <f t="shared" si="33"/>
        <v>2976.190476</v>
      </c>
      <c r="J378" s="196"/>
      <c r="K378" s="192"/>
      <c r="L378" s="195"/>
      <c r="M378" s="192">
        <f t="shared" ref="M378:M444" si="34">G378*I378</f>
        <v>32738.09524</v>
      </c>
    </row>
    <row r="379" ht="26.25" hidden="1" customHeight="1">
      <c r="A379" s="189" t="s">
        <v>114</v>
      </c>
      <c r="B379" s="190">
        <v>46074.0</v>
      </c>
      <c r="C379" s="191">
        <v>46074.0</v>
      </c>
      <c r="D379" s="192">
        <v>600000.0</v>
      </c>
      <c r="E379" s="193">
        <v>0.3333333333333333</v>
      </c>
      <c r="F379" s="193">
        <v>0.8125</v>
      </c>
      <c r="G379" s="194">
        <f t="shared" si="1"/>
        <v>11.5</v>
      </c>
      <c r="H379" s="195">
        <f t="shared" si="2"/>
        <v>1</v>
      </c>
      <c r="I379" s="192">
        <f t="shared" si="33"/>
        <v>2380.952381</v>
      </c>
      <c r="J379" s="196"/>
      <c r="K379" s="192"/>
      <c r="L379" s="195"/>
      <c r="M379" s="192">
        <f t="shared" si="34"/>
        <v>27380.95238</v>
      </c>
    </row>
    <row r="380" ht="26.25" hidden="1" customHeight="1">
      <c r="A380" s="197" t="s">
        <v>102</v>
      </c>
      <c r="B380" s="190">
        <v>46074.0</v>
      </c>
      <c r="C380" s="191">
        <v>46074.0</v>
      </c>
      <c r="D380" s="192">
        <v>350000.0</v>
      </c>
      <c r="E380" s="193">
        <v>0.3333333333333333</v>
      </c>
      <c r="F380" s="193">
        <v>0.7083333333333334</v>
      </c>
      <c r="G380" s="194">
        <f t="shared" si="1"/>
        <v>9</v>
      </c>
      <c r="H380" s="195">
        <f t="shared" si="2"/>
        <v>1</v>
      </c>
      <c r="I380" s="192">
        <f t="shared" si="33"/>
        <v>1388.888889</v>
      </c>
      <c r="J380" s="196"/>
      <c r="K380" s="192"/>
      <c r="L380" s="195"/>
      <c r="M380" s="192">
        <f t="shared" si="34"/>
        <v>12500</v>
      </c>
    </row>
    <row r="381" ht="26.25" hidden="1" customHeight="1">
      <c r="A381" s="189" t="s">
        <v>247</v>
      </c>
      <c r="B381" s="190">
        <v>46074.0</v>
      </c>
      <c r="C381" s="191">
        <v>46074.0</v>
      </c>
      <c r="D381" s="192">
        <v>750000.0</v>
      </c>
      <c r="E381" s="193">
        <v>0.3333333333333333</v>
      </c>
      <c r="F381" s="193">
        <v>0.7083333333333334</v>
      </c>
      <c r="G381" s="194">
        <f t="shared" si="1"/>
        <v>9</v>
      </c>
      <c r="H381" s="195">
        <f t="shared" si="2"/>
        <v>1</v>
      </c>
      <c r="I381" s="192">
        <f t="shared" si="33"/>
        <v>2976.190476</v>
      </c>
      <c r="J381" s="196"/>
      <c r="K381" s="192"/>
      <c r="L381" s="195"/>
      <c r="M381" s="192">
        <f t="shared" si="34"/>
        <v>26785.71429</v>
      </c>
    </row>
    <row r="382" ht="26.25" hidden="1" customHeight="1">
      <c r="A382" s="189" t="s">
        <v>36</v>
      </c>
      <c r="B382" s="190">
        <v>46074.0</v>
      </c>
      <c r="C382" s="191">
        <v>46074.0</v>
      </c>
      <c r="D382" s="192">
        <v>1012500.0</v>
      </c>
      <c r="E382" s="193">
        <v>0.10416666666666667</v>
      </c>
      <c r="F382" s="193">
        <v>0.20833333333333334</v>
      </c>
      <c r="G382" s="194">
        <f t="shared" si="1"/>
        <v>2.5</v>
      </c>
      <c r="H382" s="195">
        <f t="shared" si="2"/>
        <v>1</v>
      </c>
      <c r="I382" s="192">
        <f t="shared" si="33"/>
        <v>4017.857143</v>
      </c>
      <c r="J382" s="196"/>
      <c r="K382" s="192">
        <v>10000.0</v>
      </c>
      <c r="L382" s="195"/>
      <c r="M382" s="192">
        <f t="shared" si="34"/>
        <v>10044.64286</v>
      </c>
    </row>
    <row r="383" ht="26.25" hidden="1" customHeight="1">
      <c r="A383" s="189" t="s">
        <v>125</v>
      </c>
      <c r="B383" s="190">
        <v>46074.0</v>
      </c>
      <c r="C383" s="191">
        <v>46074.0</v>
      </c>
      <c r="D383" s="192">
        <v>1012500.0</v>
      </c>
      <c r="E383" s="193">
        <v>0.7083333333333334</v>
      </c>
      <c r="F383" s="193">
        <v>0.9993055555555556</v>
      </c>
      <c r="G383" s="194">
        <f t="shared" si="1"/>
        <v>6.983333333</v>
      </c>
      <c r="H383" s="195">
        <f t="shared" si="2"/>
        <v>1</v>
      </c>
      <c r="I383" s="192">
        <f t="shared" si="33"/>
        <v>4017.857143</v>
      </c>
      <c r="J383" s="196"/>
      <c r="K383" s="192"/>
      <c r="L383" s="195"/>
      <c r="M383" s="192">
        <f t="shared" si="34"/>
        <v>28058.03571</v>
      </c>
    </row>
    <row r="384" ht="26.25" hidden="1" customHeight="1">
      <c r="A384" s="189" t="s">
        <v>125</v>
      </c>
      <c r="B384" s="190">
        <v>46074.0</v>
      </c>
      <c r="C384" s="191">
        <v>46074.0</v>
      </c>
      <c r="D384" s="192">
        <v>1012500.0</v>
      </c>
      <c r="E384" s="193">
        <v>0.0</v>
      </c>
      <c r="F384" s="193">
        <v>0.20833333333333334</v>
      </c>
      <c r="G384" s="194">
        <f t="shared" si="1"/>
        <v>5</v>
      </c>
      <c r="H384" s="195">
        <f t="shared" si="2"/>
        <v>1</v>
      </c>
      <c r="I384" s="192">
        <f t="shared" si="33"/>
        <v>4017.857143</v>
      </c>
      <c r="J384" s="196"/>
      <c r="K384" s="192"/>
      <c r="L384" s="195"/>
      <c r="M384" s="192">
        <f t="shared" si="34"/>
        <v>20089.28571</v>
      </c>
    </row>
    <row r="385" ht="26.25" hidden="1" customHeight="1">
      <c r="A385" s="189" t="s">
        <v>27</v>
      </c>
      <c r="B385" s="190">
        <v>46075.0</v>
      </c>
      <c r="C385" s="191">
        <v>46075.0</v>
      </c>
      <c r="D385" s="192">
        <v>850000.0</v>
      </c>
      <c r="E385" s="193">
        <v>0.45</v>
      </c>
      <c r="F385" s="193">
        <v>0.875</v>
      </c>
      <c r="G385" s="194">
        <f t="shared" si="1"/>
        <v>10.2</v>
      </c>
      <c r="H385" s="195">
        <f t="shared" si="2"/>
        <v>1</v>
      </c>
      <c r="I385" s="192">
        <f t="shared" si="33"/>
        <v>3373.015873</v>
      </c>
      <c r="J385" s="196"/>
      <c r="K385" s="192"/>
      <c r="L385" s="192"/>
      <c r="M385" s="192">
        <f t="shared" si="34"/>
        <v>34404.7619</v>
      </c>
    </row>
    <row r="386" ht="26.25" hidden="1" customHeight="1">
      <c r="A386" s="189" t="s">
        <v>29</v>
      </c>
      <c r="B386" s="190">
        <v>46075.0</v>
      </c>
      <c r="C386" s="191">
        <v>46075.0</v>
      </c>
      <c r="D386" s="192">
        <v>650000.0</v>
      </c>
      <c r="E386" s="193">
        <v>0.0</v>
      </c>
      <c r="F386" s="193">
        <v>0.08333333333333333</v>
      </c>
      <c r="G386" s="194">
        <f t="shared" si="1"/>
        <v>2</v>
      </c>
      <c r="H386" s="195">
        <f t="shared" si="2"/>
        <v>1</v>
      </c>
      <c r="I386" s="192">
        <f t="shared" si="33"/>
        <v>2579.365079</v>
      </c>
      <c r="J386" s="196"/>
      <c r="K386" s="192">
        <v>10000.0</v>
      </c>
      <c r="L386" s="192"/>
      <c r="M386" s="192">
        <f t="shared" si="34"/>
        <v>5158.730159</v>
      </c>
    </row>
    <row r="387" ht="26.25" hidden="1" customHeight="1">
      <c r="A387" s="189" t="s">
        <v>28</v>
      </c>
      <c r="B387" s="190">
        <v>46075.0</v>
      </c>
      <c r="C387" s="191">
        <v>46075.0</v>
      </c>
      <c r="D387" s="192">
        <v>550000.0</v>
      </c>
      <c r="E387" s="193">
        <v>0.44722222222222224</v>
      </c>
      <c r="F387" s="193">
        <v>0.625</v>
      </c>
      <c r="G387" s="194">
        <f t="shared" si="1"/>
        <v>4.266666667</v>
      </c>
      <c r="H387" s="195">
        <f t="shared" si="2"/>
        <v>1</v>
      </c>
      <c r="I387" s="192">
        <f t="shared" si="33"/>
        <v>2182.539683</v>
      </c>
      <c r="J387" s="196"/>
      <c r="K387" s="192">
        <v>179000.0</v>
      </c>
      <c r="L387" s="192"/>
      <c r="M387" s="192">
        <f t="shared" si="34"/>
        <v>9312.169312</v>
      </c>
    </row>
    <row r="388" ht="26.25" hidden="1" customHeight="1">
      <c r="A388" s="189" t="s">
        <v>113</v>
      </c>
      <c r="B388" s="190">
        <v>46075.0</v>
      </c>
      <c r="C388" s="191">
        <v>46075.0</v>
      </c>
      <c r="D388" s="192">
        <v>750000.0</v>
      </c>
      <c r="E388" s="193">
        <v>0.8472222222222222</v>
      </c>
      <c r="F388" s="193">
        <v>0.9993055555555556</v>
      </c>
      <c r="G388" s="194">
        <f t="shared" si="1"/>
        <v>3.65</v>
      </c>
      <c r="H388" s="195">
        <f t="shared" si="2"/>
        <v>1</v>
      </c>
      <c r="I388" s="192">
        <f t="shared" si="33"/>
        <v>2976.190476</v>
      </c>
      <c r="J388" s="196"/>
      <c r="K388" s="192">
        <v>2000.0</v>
      </c>
      <c r="L388" s="195"/>
      <c r="M388" s="192">
        <f t="shared" si="34"/>
        <v>10863.09524</v>
      </c>
    </row>
    <row r="389" ht="26.25" hidden="1" customHeight="1">
      <c r="A389" s="189" t="s">
        <v>63</v>
      </c>
      <c r="B389" s="190">
        <v>46075.0</v>
      </c>
      <c r="C389" s="191">
        <v>46075.0</v>
      </c>
      <c r="D389" s="192">
        <v>500000.0</v>
      </c>
      <c r="E389" s="193">
        <v>0.3333333333284827</v>
      </c>
      <c r="F389" s="193">
        <v>0.7083333333284827</v>
      </c>
      <c r="G389" s="194">
        <f t="shared" si="1"/>
        <v>9</v>
      </c>
      <c r="H389" s="195">
        <f t="shared" si="2"/>
        <v>1</v>
      </c>
      <c r="I389" s="192">
        <f t="shared" si="33"/>
        <v>1984.126984</v>
      </c>
      <c r="J389" s="196"/>
      <c r="K389" s="192"/>
      <c r="L389" s="195"/>
      <c r="M389" s="192">
        <f t="shared" si="34"/>
        <v>17857.14286</v>
      </c>
    </row>
    <row r="390" ht="26.25" hidden="1" customHeight="1">
      <c r="A390" s="189" t="s">
        <v>176</v>
      </c>
      <c r="B390" s="190">
        <v>46075.0</v>
      </c>
      <c r="C390" s="191">
        <v>46075.0</v>
      </c>
      <c r="D390" s="192">
        <v>750000.0</v>
      </c>
      <c r="E390" s="193">
        <v>0.3645833333333333</v>
      </c>
      <c r="F390" s="193">
        <v>0.6916666666666667</v>
      </c>
      <c r="G390" s="194">
        <f t="shared" si="1"/>
        <v>7.85</v>
      </c>
      <c r="H390" s="195">
        <f t="shared" si="2"/>
        <v>1</v>
      </c>
      <c r="I390" s="192">
        <f t="shared" si="33"/>
        <v>2976.190476</v>
      </c>
      <c r="J390" s="196"/>
      <c r="K390" s="192"/>
      <c r="L390" s="195"/>
      <c r="M390" s="192">
        <f t="shared" si="34"/>
        <v>23363.09524</v>
      </c>
    </row>
    <row r="391" ht="26.25" hidden="1" customHeight="1">
      <c r="A391" s="189" t="s">
        <v>114</v>
      </c>
      <c r="B391" s="190">
        <v>46075.0</v>
      </c>
      <c r="C391" s="191">
        <v>46075.0</v>
      </c>
      <c r="D391" s="192">
        <v>600000.0</v>
      </c>
      <c r="E391" s="193">
        <v>0.3541666666666667</v>
      </c>
      <c r="F391" s="193">
        <v>0.6916666666666667</v>
      </c>
      <c r="G391" s="194">
        <f t="shared" si="1"/>
        <v>8.1</v>
      </c>
      <c r="H391" s="195">
        <f t="shared" si="2"/>
        <v>1</v>
      </c>
      <c r="I391" s="192">
        <f t="shared" si="33"/>
        <v>2380.952381</v>
      </c>
      <c r="J391" s="196"/>
      <c r="K391" s="192"/>
      <c r="L391" s="195"/>
      <c r="M391" s="192">
        <f t="shared" si="34"/>
        <v>19285.71429</v>
      </c>
    </row>
    <row r="392" ht="26.25" hidden="1" customHeight="1">
      <c r="A392" s="197" t="s">
        <v>102</v>
      </c>
      <c r="B392" s="190">
        <v>46075.0</v>
      </c>
      <c r="C392" s="191">
        <v>46075.0</v>
      </c>
      <c r="D392" s="192">
        <v>350000.0</v>
      </c>
      <c r="E392" s="193">
        <v>0.3333333333333333</v>
      </c>
      <c r="F392" s="193">
        <v>0.7083333333333334</v>
      </c>
      <c r="G392" s="194">
        <f t="shared" si="1"/>
        <v>9</v>
      </c>
      <c r="H392" s="195">
        <f t="shared" si="2"/>
        <v>1</v>
      </c>
      <c r="I392" s="192">
        <f t="shared" si="33"/>
        <v>1388.888889</v>
      </c>
      <c r="J392" s="196"/>
      <c r="K392" s="192">
        <v>50000.0</v>
      </c>
      <c r="L392" s="195"/>
      <c r="M392" s="192">
        <f t="shared" si="34"/>
        <v>12500</v>
      </c>
    </row>
    <row r="393" ht="26.25" hidden="1" customHeight="1">
      <c r="A393" s="189" t="s">
        <v>177</v>
      </c>
      <c r="B393" s="190">
        <v>46075.0</v>
      </c>
      <c r="C393" s="191">
        <v>46075.0</v>
      </c>
      <c r="D393" s="192">
        <v>750000.0</v>
      </c>
      <c r="E393" s="193">
        <v>0.3333333333333333</v>
      </c>
      <c r="F393" s="193">
        <v>0.8333333333333334</v>
      </c>
      <c r="G393" s="194">
        <f t="shared" si="1"/>
        <v>12</v>
      </c>
      <c r="H393" s="195">
        <f t="shared" si="2"/>
        <v>1</v>
      </c>
      <c r="I393" s="192">
        <f t="shared" si="33"/>
        <v>2976.190476</v>
      </c>
      <c r="J393" s="196"/>
      <c r="K393" s="192">
        <v>1714.2857142857101</v>
      </c>
      <c r="L393" s="195"/>
      <c r="M393" s="192">
        <f t="shared" si="34"/>
        <v>35714.28571</v>
      </c>
    </row>
    <row r="394" ht="26.25" hidden="1" customHeight="1">
      <c r="A394" s="189" t="s">
        <v>36</v>
      </c>
      <c r="B394" s="190">
        <v>46075.0</v>
      </c>
      <c r="C394" s="191">
        <v>46075.0</v>
      </c>
      <c r="D394" s="192">
        <v>1012500.0</v>
      </c>
      <c r="E394" s="193">
        <v>0.7291666666666666</v>
      </c>
      <c r="F394" s="193">
        <v>0.9993055555555556</v>
      </c>
      <c r="G394" s="194">
        <f t="shared" si="1"/>
        <v>6.483333333</v>
      </c>
      <c r="H394" s="195">
        <f t="shared" si="2"/>
        <v>1</v>
      </c>
      <c r="I394" s="192">
        <f t="shared" si="33"/>
        <v>4017.857143</v>
      </c>
      <c r="J394" s="196"/>
      <c r="K394" s="192">
        <v>90120.53571428568</v>
      </c>
      <c r="L394" s="195"/>
      <c r="M394" s="192">
        <f t="shared" si="34"/>
        <v>26049.10714</v>
      </c>
    </row>
    <row r="395" ht="26.25" hidden="1" customHeight="1">
      <c r="A395" s="189" t="s">
        <v>36</v>
      </c>
      <c r="B395" s="190">
        <v>46075.0</v>
      </c>
      <c r="C395" s="191">
        <v>46075.0</v>
      </c>
      <c r="D395" s="192">
        <v>1012500.0</v>
      </c>
      <c r="E395" s="193">
        <v>0.0</v>
      </c>
      <c r="F395" s="193">
        <v>0.125</v>
      </c>
      <c r="G395" s="194">
        <f t="shared" si="1"/>
        <v>3</v>
      </c>
      <c r="H395" s="195">
        <f t="shared" si="2"/>
        <v>1</v>
      </c>
      <c r="I395" s="192">
        <f t="shared" si="33"/>
        <v>4017.857143</v>
      </c>
      <c r="J395" s="196"/>
      <c r="K395" s="192"/>
      <c r="L395" s="195"/>
      <c r="M395" s="192">
        <f t="shared" si="34"/>
        <v>12053.57143</v>
      </c>
    </row>
    <row r="396" ht="26.25" hidden="1" customHeight="1">
      <c r="A396" s="189" t="s">
        <v>112</v>
      </c>
      <c r="B396" s="190">
        <v>46076.0</v>
      </c>
      <c r="C396" s="191">
        <v>46076.0</v>
      </c>
      <c r="D396" s="192">
        <v>600000.0</v>
      </c>
      <c r="E396" s="193">
        <v>0.3680555555555556</v>
      </c>
      <c r="F396" s="193">
        <v>0.6180555555555556</v>
      </c>
      <c r="G396" s="194">
        <f t="shared" si="1"/>
        <v>6</v>
      </c>
      <c r="H396" s="195">
        <f t="shared" si="2"/>
        <v>1</v>
      </c>
      <c r="I396" s="192">
        <f t="shared" si="33"/>
        <v>2380.952381</v>
      </c>
      <c r="J396" s="196"/>
      <c r="K396" s="192">
        <v>30000.0</v>
      </c>
      <c r="L396" s="192"/>
      <c r="M396" s="192">
        <f t="shared" si="34"/>
        <v>14285.71429</v>
      </c>
    </row>
    <row r="397" ht="26.25" hidden="1" customHeight="1">
      <c r="A397" s="189" t="s">
        <v>27</v>
      </c>
      <c r="B397" s="190">
        <v>46076.0</v>
      </c>
      <c r="C397" s="191">
        <v>46076.0</v>
      </c>
      <c r="D397" s="192">
        <v>850000.0</v>
      </c>
      <c r="E397" s="193">
        <v>0.3611111111111111</v>
      </c>
      <c r="F397" s="193">
        <v>0.9993055555555556</v>
      </c>
      <c r="G397" s="194">
        <f t="shared" si="1"/>
        <v>15.31666667</v>
      </c>
      <c r="H397" s="195">
        <f t="shared" si="2"/>
        <v>1</v>
      </c>
      <c r="I397" s="192">
        <f t="shared" si="33"/>
        <v>3373.015873</v>
      </c>
      <c r="J397" s="196"/>
      <c r="K397" s="192"/>
      <c r="L397" s="192"/>
      <c r="M397" s="192">
        <f t="shared" si="34"/>
        <v>51663.35979</v>
      </c>
    </row>
    <row r="398" ht="26.25" hidden="1" customHeight="1">
      <c r="A398" s="189" t="s">
        <v>28</v>
      </c>
      <c r="B398" s="190">
        <v>46076.0</v>
      </c>
      <c r="C398" s="191">
        <v>46076.0</v>
      </c>
      <c r="D398" s="192">
        <v>550000.0</v>
      </c>
      <c r="E398" s="193">
        <v>0.5798611111111112</v>
      </c>
      <c r="F398" s="193">
        <v>0.9993055555555556</v>
      </c>
      <c r="G398" s="194">
        <f t="shared" si="1"/>
        <v>10.06666667</v>
      </c>
      <c r="H398" s="195">
        <f t="shared" si="2"/>
        <v>1</v>
      </c>
      <c r="I398" s="192">
        <f t="shared" si="33"/>
        <v>2182.539683</v>
      </c>
      <c r="J398" s="196"/>
      <c r="K398" s="192">
        <f>4000-1663</f>
        <v>2337</v>
      </c>
      <c r="L398" s="192"/>
      <c r="M398" s="192">
        <f t="shared" si="34"/>
        <v>21970.89947</v>
      </c>
    </row>
    <row r="399" ht="26.25" hidden="1" customHeight="1">
      <c r="A399" s="189" t="s">
        <v>113</v>
      </c>
      <c r="B399" s="190">
        <v>46076.0</v>
      </c>
      <c r="C399" s="191">
        <v>46076.0</v>
      </c>
      <c r="D399" s="192">
        <v>750000.0</v>
      </c>
      <c r="E399" s="193">
        <v>0.0</v>
      </c>
      <c r="F399" s="193">
        <v>0.125</v>
      </c>
      <c r="G399" s="194">
        <f t="shared" si="1"/>
        <v>3</v>
      </c>
      <c r="H399" s="195">
        <f t="shared" si="2"/>
        <v>1</v>
      </c>
      <c r="I399" s="192">
        <f t="shared" si="33"/>
        <v>2976.190476</v>
      </c>
      <c r="J399" s="196"/>
      <c r="K399" s="192">
        <v>5000.0</v>
      </c>
      <c r="L399" s="195"/>
      <c r="M399" s="192">
        <f t="shared" si="34"/>
        <v>8928.571429</v>
      </c>
    </row>
    <row r="400" ht="26.25" hidden="1" customHeight="1">
      <c r="A400" s="189" t="s">
        <v>63</v>
      </c>
      <c r="B400" s="190">
        <v>46076.0</v>
      </c>
      <c r="C400" s="191">
        <v>46076.0</v>
      </c>
      <c r="D400" s="192">
        <v>500000.0</v>
      </c>
      <c r="E400" s="193">
        <v>0.3333333333284827</v>
      </c>
      <c r="F400" s="193">
        <v>0.7083333333284827</v>
      </c>
      <c r="G400" s="194">
        <f t="shared" si="1"/>
        <v>9</v>
      </c>
      <c r="H400" s="195">
        <f t="shared" si="2"/>
        <v>1</v>
      </c>
      <c r="I400" s="192">
        <f t="shared" si="33"/>
        <v>1984.126984</v>
      </c>
      <c r="J400" s="196"/>
      <c r="K400" s="192"/>
      <c r="L400" s="195"/>
      <c r="M400" s="192">
        <f t="shared" si="34"/>
        <v>17857.14286</v>
      </c>
    </row>
    <row r="401" ht="26.25" hidden="1" customHeight="1">
      <c r="A401" s="189" t="s">
        <v>176</v>
      </c>
      <c r="B401" s="190">
        <v>46076.0</v>
      </c>
      <c r="C401" s="191">
        <v>46076.0</v>
      </c>
      <c r="D401" s="192">
        <v>750000.0</v>
      </c>
      <c r="E401" s="193">
        <v>0.3680555555555556</v>
      </c>
      <c r="F401" s="193">
        <v>0.6805555555555556</v>
      </c>
      <c r="G401" s="194">
        <f t="shared" si="1"/>
        <v>7.5</v>
      </c>
      <c r="H401" s="195">
        <f t="shared" si="2"/>
        <v>1</v>
      </c>
      <c r="I401" s="192">
        <f t="shared" si="33"/>
        <v>2976.190476</v>
      </c>
      <c r="J401" s="196"/>
      <c r="K401" s="192"/>
      <c r="L401" s="195"/>
      <c r="M401" s="192">
        <f t="shared" si="34"/>
        <v>22321.42857</v>
      </c>
    </row>
    <row r="402" ht="26.25" hidden="1" customHeight="1">
      <c r="A402" s="189" t="s">
        <v>114</v>
      </c>
      <c r="B402" s="190">
        <v>46076.0</v>
      </c>
      <c r="C402" s="191">
        <v>46076.0</v>
      </c>
      <c r="D402" s="192">
        <v>600000.0</v>
      </c>
      <c r="E402" s="193">
        <v>0.375</v>
      </c>
      <c r="F402" s="193">
        <v>0.6180555555555556</v>
      </c>
      <c r="G402" s="194">
        <f t="shared" si="1"/>
        <v>5.833333333</v>
      </c>
      <c r="H402" s="195">
        <f t="shared" si="2"/>
        <v>1</v>
      </c>
      <c r="I402" s="192">
        <f t="shared" si="33"/>
        <v>2380.952381</v>
      </c>
      <c r="J402" s="196"/>
      <c r="K402" s="192"/>
      <c r="L402" s="195"/>
      <c r="M402" s="192">
        <f t="shared" si="34"/>
        <v>13888.88889</v>
      </c>
    </row>
    <row r="403" ht="26.25" hidden="1" customHeight="1">
      <c r="A403" s="197" t="s">
        <v>102</v>
      </c>
      <c r="B403" s="190">
        <v>46076.0</v>
      </c>
      <c r="C403" s="191">
        <v>46076.0</v>
      </c>
      <c r="D403" s="192">
        <v>350000.0</v>
      </c>
      <c r="E403" s="193">
        <v>0.3333333333333333</v>
      </c>
      <c r="F403" s="193">
        <v>0.7083333333333334</v>
      </c>
      <c r="G403" s="194">
        <f t="shared" si="1"/>
        <v>9</v>
      </c>
      <c r="H403" s="195">
        <f t="shared" si="2"/>
        <v>1</v>
      </c>
      <c r="I403" s="192">
        <f t="shared" si="33"/>
        <v>1388.888889</v>
      </c>
      <c r="J403" s="196"/>
      <c r="K403" s="192"/>
      <c r="L403" s="195"/>
      <c r="M403" s="192">
        <f t="shared" si="34"/>
        <v>12500</v>
      </c>
    </row>
    <row r="404" ht="26.25" hidden="1" customHeight="1">
      <c r="A404" s="189" t="s">
        <v>36</v>
      </c>
      <c r="B404" s="190">
        <v>46076.0</v>
      </c>
      <c r="C404" s="191">
        <v>46076.0</v>
      </c>
      <c r="D404" s="192">
        <v>1012500.0</v>
      </c>
      <c r="E404" s="193">
        <v>0.8541666666666666</v>
      </c>
      <c r="F404" s="193">
        <v>0.9993055555555556</v>
      </c>
      <c r="G404" s="194">
        <f t="shared" si="1"/>
        <v>3.483333333</v>
      </c>
      <c r="H404" s="195">
        <f t="shared" si="2"/>
        <v>1</v>
      </c>
      <c r="I404" s="192">
        <f t="shared" si="33"/>
        <v>4017.857143</v>
      </c>
      <c r="J404" s="196"/>
      <c r="K404" s="192"/>
      <c r="L404" s="195"/>
      <c r="M404" s="192">
        <f t="shared" si="34"/>
        <v>13995.53571</v>
      </c>
    </row>
    <row r="405" ht="26.25" hidden="1" customHeight="1">
      <c r="A405" s="189" t="s">
        <v>125</v>
      </c>
      <c r="B405" s="190">
        <v>46076.0</v>
      </c>
      <c r="C405" s="191">
        <v>46076.0</v>
      </c>
      <c r="D405" s="192">
        <v>1012500.0</v>
      </c>
      <c r="E405" s="193">
        <v>0.5</v>
      </c>
      <c r="F405" s="193">
        <v>0.875</v>
      </c>
      <c r="G405" s="194">
        <f t="shared" si="1"/>
        <v>9</v>
      </c>
      <c r="H405" s="195">
        <f t="shared" si="2"/>
        <v>1</v>
      </c>
      <c r="I405" s="192">
        <f t="shared" si="33"/>
        <v>4017.857143</v>
      </c>
      <c r="J405" s="196"/>
      <c r="K405" s="192"/>
      <c r="L405" s="195"/>
      <c r="M405" s="192">
        <f t="shared" si="34"/>
        <v>36160.71429</v>
      </c>
    </row>
    <row r="406" ht="26.25" hidden="1" customHeight="1">
      <c r="A406" s="189" t="s">
        <v>112</v>
      </c>
      <c r="B406" s="190">
        <v>46077.0</v>
      </c>
      <c r="C406" s="191">
        <v>46077.0</v>
      </c>
      <c r="D406" s="192">
        <v>600000.0</v>
      </c>
      <c r="E406" s="193">
        <v>0.3611111111111111</v>
      </c>
      <c r="F406" s="193">
        <v>0.9270833333333334</v>
      </c>
      <c r="G406" s="194">
        <f t="shared" si="1"/>
        <v>13.58333333</v>
      </c>
      <c r="H406" s="195">
        <f t="shared" si="2"/>
        <v>1</v>
      </c>
      <c r="I406" s="192">
        <f t="shared" si="33"/>
        <v>2380.952381</v>
      </c>
      <c r="J406" s="196"/>
      <c r="K406" s="192">
        <v>5000.0</v>
      </c>
      <c r="L406" s="192"/>
      <c r="M406" s="192">
        <f t="shared" si="34"/>
        <v>32341.26984</v>
      </c>
    </row>
    <row r="407" ht="26.25" hidden="1" customHeight="1">
      <c r="A407" s="189" t="s">
        <v>27</v>
      </c>
      <c r="B407" s="190">
        <v>46077.0</v>
      </c>
      <c r="C407" s="191">
        <v>46077.0</v>
      </c>
      <c r="D407" s="192">
        <v>850000.0</v>
      </c>
      <c r="E407" s="193">
        <v>0.0</v>
      </c>
      <c r="F407" s="193">
        <v>0.08333333333333333</v>
      </c>
      <c r="G407" s="194">
        <f t="shared" si="1"/>
        <v>2</v>
      </c>
      <c r="H407" s="195">
        <f t="shared" si="2"/>
        <v>1</v>
      </c>
      <c r="I407" s="192">
        <f t="shared" si="33"/>
        <v>3373.015873</v>
      </c>
      <c r="J407" s="196"/>
      <c r="K407" s="192"/>
      <c r="L407" s="192"/>
      <c r="M407" s="192">
        <f t="shared" si="34"/>
        <v>6746.031746</v>
      </c>
    </row>
    <row r="408" ht="26.25" hidden="1" customHeight="1">
      <c r="A408" s="189" t="s">
        <v>27</v>
      </c>
      <c r="B408" s="190">
        <v>46077.0</v>
      </c>
      <c r="C408" s="191">
        <v>46077.0</v>
      </c>
      <c r="D408" s="192">
        <v>850001.0</v>
      </c>
      <c r="E408" s="199">
        <v>0.8333333333333334</v>
      </c>
      <c r="F408" s="199">
        <v>0.9993055555555556</v>
      </c>
      <c r="G408" s="194">
        <f t="shared" si="1"/>
        <v>3.983333333</v>
      </c>
      <c r="H408" s="195">
        <f t="shared" si="2"/>
        <v>1</v>
      </c>
      <c r="I408" s="192">
        <f t="shared" si="33"/>
        <v>3373.019841</v>
      </c>
      <c r="J408" s="196"/>
      <c r="K408" s="192"/>
      <c r="L408" s="192"/>
      <c r="M408" s="192">
        <f t="shared" si="34"/>
        <v>13435.86237</v>
      </c>
    </row>
    <row r="409" ht="26.25" hidden="1" customHeight="1">
      <c r="A409" s="189" t="s">
        <v>29</v>
      </c>
      <c r="B409" s="190">
        <v>46077.0</v>
      </c>
      <c r="C409" s="191">
        <v>46077.0</v>
      </c>
      <c r="D409" s="192">
        <v>650000.0</v>
      </c>
      <c r="E409" s="193">
        <v>0.4166666666666667</v>
      </c>
      <c r="F409" s="193">
        <v>0.9993055555555556</v>
      </c>
      <c r="G409" s="194">
        <f t="shared" si="1"/>
        <v>13.98333333</v>
      </c>
      <c r="H409" s="195">
        <f t="shared" si="2"/>
        <v>1</v>
      </c>
      <c r="I409" s="192">
        <f t="shared" si="33"/>
        <v>2579.365079</v>
      </c>
      <c r="J409" s="196"/>
      <c r="K409" s="192">
        <v>5000.0</v>
      </c>
      <c r="L409" s="192"/>
      <c r="M409" s="192">
        <f t="shared" si="34"/>
        <v>36068.12169</v>
      </c>
    </row>
    <row r="410" ht="26.25" hidden="1" customHeight="1">
      <c r="A410" s="189" t="s">
        <v>28</v>
      </c>
      <c r="B410" s="190">
        <v>46077.0</v>
      </c>
      <c r="C410" s="191">
        <v>46077.0</v>
      </c>
      <c r="D410" s="192">
        <v>550000.0</v>
      </c>
      <c r="E410" s="193">
        <v>0.0</v>
      </c>
      <c r="F410" s="193">
        <v>0.15625</v>
      </c>
      <c r="G410" s="194">
        <f t="shared" si="1"/>
        <v>3.75</v>
      </c>
      <c r="H410" s="195">
        <f t="shared" si="2"/>
        <v>1</v>
      </c>
      <c r="I410" s="192">
        <f t="shared" si="33"/>
        <v>2182.539683</v>
      </c>
      <c r="J410" s="196"/>
      <c r="K410" s="192">
        <v>15000.0</v>
      </c>
      <c r="L410" s="192"/>
      <c r="M410" s="192">
        <f t="shared" si="34"/>
        <v>8184.52381</v>
      </c>
    </row>
    <row r="411" ht="26.25" hidden="1" customHeight="1">
      <c r="A411" s="189" t="s">
        <v>28</v>
      </c>
      <c r="B411" s="190">
        <v>46077.0</v>
      </c>
      <c r="C411" s="191">
        <v>46077.0</v>
      </c>
      <c r="D411" s="192">
        <v>550000.0</v>
      </c>
      <c r="E411" s="193">
        <v>0.5659722222222222</v>
      </c>
      <c r="F411" s="193">
        <v>0.9993055555555556</v>
      </c>
      <c r="G411" s="194">
        <f t="shared" si="1"/>
        <v>10.4</v>
      </c>
      <c r="H411" s="195">
        <f t="shared" si="2"/>
        <v>1</v>
      </c>
      <c r="I411" s="192">
        <f t="shared" si="33"/>
        <v>2182.539683</v>
      </c>
      <c r="J411" s="196"/>
      <c r="K411" s="192">
        <v>4000.0</v>
      </c>
      <c r="L411" s="192"/>
      <c r="M411" s="192">
        <f t="shared" si="34"/>
        <v>22698.4127</v>
      </c>
    </row>
    <row r="412" ht="26.25" hidden="1" customHeight="1">
      <c r="A412" s="189" t="s">
        <v>113</v>
      </c>
      <c r="B412" s="190">
        <v>46077.0</v>
      </c>
      <c r="C412" s="191">
        <v>46077.0</v>
      </c>
      <c r="D412" s="192">
        <v>750000.0</v>
      </c>
      <c r="E412" s="193">
        <v>0.25</v>
      </c>
      <c r="F412" s="193">
        <v>0.8333333333333334</v>
      </c>
      <c r="G412" s="194">
        <f t="shared" si="1"/>
        <v>14</v>
      </c>
      <c r="H412" s="195">
        <f t="shared" si="2"/>
        <v>1</v>
      </c>
      <c r="I412" s="192">
        <f t="shared" si="33"/>
        <v>2976.190476</v>
      </c>
      <c r="J412" s="196"/>
      <c r="K412" s="192">
        <v>23968.253968253965</v>
      </c>
      <c r="L412" s="195"/>
      <c r="M412" s="192">
        <f t="shared" si="34"/>
        <v>41666.66667</v>
      </c>
    </row>
    <row r="413" ht="26.25" hidden="1" customHeight="1">
      <c r="A413" s="189" t="s">
        <v>63</v>
      </c>
      <c r="B413" s="190">
        <v>46077.0</v>
      </c>
      <c r="C413" s="191">
        <v>46077.0</v>
      </c>
      <c r="D413" s="192">
        <v>500000.0</v>
      </c>
      <c r="E413" s="193">
        <v>0.3333333333284827</v>
      </c>
      <c r="F413" s="193">
        <v>0.7083333333284827</v>
      </c>
      <c r="G413" s="194">
        <f t="shared" si="1"/>
        <v>9</v>
      </c>
      <c r="H413" s="195">
        <f t="shared" si="2"/>
        <v>1</v>
      </c>
      <c r="I413" s="192">
        <f t="shared" si="33"/>
        <v>1984.126984</v>
      </c>
      <c r="J413" s="196"/>
      <c r="K413" s="192"/>
      <c r="L413" s="195"/>
      <c r="M413" s="192">
        <f t="shared" si="34"/>
        <v>17857.14286</v>
      </c>
    </row>
    <row r="414" ht="26.25" hidden="1" customHeight="1">
      <c r="A414" s="189" t="s">
        <v>176</v>
      </c>
      <c r="B414" s="190">
        <v>46077.0</v>
      </c>
      <c r="C414" s="191">
        <v>46077.0</v>
      </c>
      <c r="D414" s="192">
        <v>750000.0</v>
      </c>
      <c r="E414" s="193">
        <v>0.8541666666666666</v>
      </c>
      <c r="F414" s="193">
        <v>0.9993055555555556</v>
      </c>
      <c r="G414" s="194">
        <f t="shared" si="1"/>
        <v>3.483333333</v>
      </c>
      <c r="H414" s="195">
        <f t="shared" si="2"/>
        <v>1</v>
      </c>
      <c r="I414" s="192">
        <f t="shared" si="33"/>
        <v>2976.190476</v>
      </c>
      <c r="J414" s="196"/>
      <c r="K414" s="192"/>
      <c r="L414" s="195"/>
      <c r="M414" s="192">
        <f t="shared" si="34"/>
        <v>10367.06349</v>
      </c>
    </row>
    <row r="415" ht="26.25" hidden="1" customHeight="1">
      <c r="A415" s="189" t="s">
        <v>114</v>
      </c>
      <c r="B415" s="190">
        <v>46077.0</v>
      </c>
      <c r="C415" s="191">
        <v>46077.0</v>
      </c>
      <c r="D415" s="192">
        <v>600000.0</v>
      </c>
      <c r="E415" s="193">
        <v>0.3333333333333333</v>
      </c>
      <c r="F415" s="193">
        <v>0.9993055555555556</v>
      </c>
      <c r="G415" s="194">
        <f t="shared" si="1"/>
        <v>15.98333333</v>
      </c>
      <c r="H415" s="195">
        <f t="shared" si="2"/>
        <v>1</v>
      </c>
      <c r="I415" s="192">
        <f t="shared" si="33"/>
        <v>2380.952381</v>
      </c>
      <c r="J415" s="196"/>
      <c r="K415" s="192"/>
      <c r="L415" s="195"/>
      <c r="M415" s="192">
        <f t="shared" si="34"/>
        <v>38055.55556</v>
      </c>
    </row>
    <row r="416" ht="26.25" hidden="1" customHeight="1">
      <c r="A416" s="197" t="s">
        <v>102</v>
      </c>
      <c r="B416" s="190">
        <v>46077.0</v>
      </c>
      <c r="C416" s="191">
        <v>46077.0</v>
      </c>
      <c r="D416" s="192">
        <v>350000.0</v>
      </c>
      <c r="E416" s="193">
        <v>0.3333333333333333</v>
      </c>
      <c r="F416" s="193">
        <v>0.7083333333333334</v>
      </c>
      <c r="G416" s="194">
        <f t="shared" si="1"/>
        <v>9</v>
      </c>
      <c r="H416" s="195">
        <f t="shared" si="2"/>
        <v>1</v>
      </c>
      <c r="I416" s="192">
        <f t="shared" si="33"/>
        <v>1388.888889</v>
      </c>
      <c r="J416" s="196"/>
      <c r="K416" s="192"/>
      <c r="L416" s="195"/>
      <c r="M416" s="192">
        <f t="shared" si="34"/>
        <v>12500</v>
      </c>
    </row>
    <row r="417" ht="26.25" hidden="1" customHeight="1">
      <c r="A417" s="189" t="s">
        <v>36</v>
      </c>
      <c r="B417" s="190">
        <v>46077.0</v>
      </c>
      <c r="C417" s="191">
        <v>46077.0</v>
      </c>
      <c r="D417" s="192">
        <v>1012500.0</v>
      </c>
      <c r="E417" s="193">
        <v>0.25</v>
      </c>
      <c r="F417" s="193">
        <v>0.9993055555555556</v>
      </c>
      <c r="G417" s="194">
        <f t="shared" si="1"/>
        <v>17.98333333</v>
      </c>
      <c r="H417" s="195">
        <f t="shared" si="2"/>
        <v>1</v>
      </c>
      <c r="I417" s="192">
        <f t="shared" si="33"/>
        <v>4017.857143</v>
      </c>
      <c r="J417" s="196"/>
      <c r="K417" s="192">
        <v>10000.0</v>
      </c>
      <c r="L417" s="195"/>
      <c r="M417" s="192">
        <f t="shared" si="34"/>
        <v>72254.46429</v>
      </c>
    </row>
    <row r="418" ht="26.25" hidden="1" customHeight="1">
      <c r="A418" s="189" t="s">
        <v>125</v>
      </c>
      <c r="B418" s="190">
        <v>46077.0</v>
      </c>
      <c r="C418" s="191">
        <v>46077.0</v>
      </c>
      <c r="D418" s="192">
        <v>1012500.0</v>
      </c>
      <c r="E418" s="193">
        <v>0.7916666666666666</v>
      </c>
      <c r="F418" s="193">
        <v>0.9993055555555556</v>
      </c>
      <c r="G418" s="194">
        <f t="shared" si="1"/>
        <v>4.983333333</v>
      </c>
      <c r="H418" s="195">
        <f t="shared" si="2"/>
        <v>1</v>
      </c>
      <c r="I418" s="192">
        <f t="shared" si="33"/>
        <v>4017.857143</v>
      </c>
      <c r="J418" s="196"/>
      <c r="K418" s="192"/>
      <c r="L418" s="195"/>
      <c r="M418" s="192">
        <f t="shared" si="34"/>
        <v>20022.32143</v>
      </c>
    </row>
    <row r="419" ht="26.25" hidden="1" customHeight="1">
      <c r="A419" s="189" t="s">
        <v>27</v>
      </c>
      <c r="B419" s="190">
        <v>46078.0</v>
      </c>
      <c r="C419" s="191">
        <v>46078.0</v>
      </c>
      <c r="D419" s="192">
        <v>850001.0</v>
      </c>
      <c r="E419" s="199">
        <v>0.0</v>
      </c>
      <c r="F419" s="199">
        <v>0.08333333333333333</v>
      </c>
      <c r="G419" s="194">
        <f t="shared" si="1"/>
        <v>2</v>
      </c>
      <c r="H419" s="195">
        <f t="shared" si="2"/>
        <v>1</v>
      </c>
      <c r="I419" s="192">
        <f t="shared" si="33"/>
        <v>3373.019841</v>
      </c>
      <c r="J419" s="196"/>
      <c r="K419" s="192"/>
      <c r="L419" s="192"/>
      <c r="M419" s="192">
        <f t="shared" si="34"/>
        <v>6746.039683</v>
      </c>
    </row>
    <row r="420" ht="26.25" hidden="1" customHeight="1">
      <c r="A420" s="189" t="s">
        <v>27</v>
      </c>
      <c r="B420" s="190">
        <v>46078.0</v>
      </c>
      <c r="C420" s="191">
        <v>46078.0</v>
      </c>
      <c r="D420" s="192">
        <v>850001.0</v>
      </c>
      <c r="E420" s="199">
        <v>0.3333333333333333</v>
      </c>
      <c r="F420" s="199">
        <v>0.9166666666666666</v>
      </c>
      <c r="G420" s="194">
        <f t="shared" si="1"/>
        <v>14</v>
      </c>
      <c r="H420" s="195">
        <f t="shared" si="2"/>
        <v>1</v>
      </c>
      <c r="I420" s="192">
        <f t="shared" si="33"/>
        <v>3373.019841</v>
      </c>
      <c r="J420" s="196"/>
      <c r="K420" s="192"/>
      <c r="L420" s="192"/>
      <c r="M420" s="192">
        <f t="shared" si="34"/>
        <v>47222.27778</v>
      </c>
    </row>
    <row r="421" ht="26.25" hidden="1" customHeight="1">
      <c r="A421" s="189" t="s">
        <v>29</v>
      </c>
      <c r="B421" s="190">
        <v>46078.0</v>
      </c>
      <c r="C421" s="191">
        <v>46078.0</v>
      </c>
      <c r="D421" s="192">
        <v>650000.0</v>
      </c>
      <c r="E421" s="193">
        <v>0.0</v>
      </c>
      <c r="F421" s="193">
        <v>0.16666666666666666</v>
      </c>
      <c r="G421" s="194">
        <f t="shared" si="1"/>
        <v>4</v>
      </c>
      <c r="H421" s="195">
        <f t="shared" si="2"/>
        <v>1</v>
      </c>
      <c r="I421" s="192">
        <f t="shared" si="33"/>
        <v>2579.365079</v>
      </c>
      <c r="J421" s="196"/>
      <c r="K421" s="198">
        <v>500000.0</v>
      </c>
      <c r="L421" s="198"/>
      <c r="M421" s="192">
        <f t="shared" si="34"/>
        <v>10317.46032</v>
      </c>
    </row>
    <row r="422" ht="26.25" hidden="1" customHeight="1">
      <c r="A422" s="189" t="s">
        <v>28</v>
      </c>
      <c r="B422" s="190">
        <v>46078.0</v>
      </c>
      <c r="C422" s="191">
        <v>46078.0</v>
      </c>
      <c r="D422" s="192">
        <v>550000.0</v>
      </c>
      <c r="E422" s="193">
        <v>0.0</v>
      </c>
      <c r="F422" s="193">
        <v>0.14583333333333334</v>
      </c>
      <c r="G422" s="194">
        <f t="shared" si="1"/>
        <v>3.5</v>
      </c>
      <c r="H422" s="195">
        <f t="shared" si="2"/>
        <v>1</v>
      </c>
      <c r="I422" s="192">
        <f t="shared" si="33"/>
        <v>2182.539683</v>
      </c>
      <c r="J422" s="196"/>
      <c r="K422" s="192">
        <v>5000.0</v>
      </c>
      <c r="L422" s="192"/>
      <c r="M422" s="192">
        <f t="shared" si="34"/>
        <v>7638.888889</v>
      </c>
    </row>
    <row r="423" ht="26.25" hidden="1" customHeight="1">
      <c r="A423" s="189" t="s">
        <v>28</v>
      </c>
      <c r="B423" s="190">
        <v>46078.0</v>
      </c>
      <c r="C423" s="191">
        <v>46078.0</v>
      </c>
      <c r="D423" s="192">
        <v>550000.0</v>
      </c>
      <c r="E423" s="193">
        <v>0.61875</v>
      </c>
      <c r="F423" s="193">
        <v>0.9993055555555556</v>
      </c>
      <c r="G423" s="194">
        <f t="shared" si="1"/>
        <v>9.133333333</v>
      </c>
      <c r="H423" s="195">
        <f t="shared" si="2"/>
        <v>1</v>
      </c>
      <c r="I423" s="192">
        <f t="shared" si="33"/>
        <v>2182.539683</v>
      </c>
      <c r="J423" s="196"/>
      <c r="K423" s="192">
        <v>3000.0</v>
      </c>
      <c r="L423" s="192"/>
      <c r="M423" s="192">
        <f t="shared" si="34"/>
        <v>19933.86243</v>
      </c>
    </row>
    <row r="424" ht="26.25" hidden="1" customHeight="1">
      <c r="A424" s="189" t="s">
        <v>63</v>
      </c>
      <c r="B424" s="190">
        <v>46078.0</v>
      </c>
      <c r="C424" s="191">
        <v>46078.0</v>
      </c>
      <c r="D424" s="192">
        <v>500000.0</v>
      </c>
      <c r="E424" s="193">
        <v>0.3333333333284827</v>
      </c>
      <c r="F424" s="193">
        <v>0.7083333333284827</v>
      </c>
      <c r="G424" s="194">
        <f t="shared" si="1"/>
        <v>9</v>
      </c>
      <c r="H424" s="195">
        <f t="shared" si="2"/>
        <v>1</v>
      </c>
      <c r="I424" s="192">
        <f t="shared" si="33"/>
        <v>1984.126984</v>
      </c>
      <c r="J424" s="196"/>
      <c r="K424" s="192"/>
      <c r="L424" s="195"/>
      <c r="M424" s="192">
        <f t="shared" si="34"/>
        <v>17857.14286</v>
      </c>
    </row>
    <row r="425" ht="26.25" hidden="1" customHeight="1">
      <c r="A425" s="189" t="s">
        <v>176</v>
      </c>
      <c r="B425" s="190">
        <v>46078.0</v>
      </c>
      <c r="C425" s="191">
        <v>46078.0</v>
      </c>
      <c r="D425" s="192">
        <v>750000.0</v>
      </c>
      <c r="E425" s="193">
        <v>0.0</v>
      </c>
      <c r="F425" s="193">
        <v>0.16666666666666666</v>
      </c>
      <c r="G425" s="194">
        <f t="shared" si="1"/>
        <v>4</v>
      </c>
      <c r="H425" s="195">
        <f t="shared" si="2"/>
        <v>1</v>
      </c>
      <c r="I425" s="192">
        <f t="shared" si="33"/>
        <v>2976.190476</v>
      </c>
      <c r="J425" s="196"/>
      <c r="K425" s="192"/>
      <c r="L425" s="195"/>
      <c r="M425" s="192">
        <f t="shared" si="34"/>
        <v>11904.7619</v>
      </c>
    </row>
    <row r="426" ht="26.25" hidden="1" customHeight="1">
      <c r="A426" s="197" t="s">
        <v>102</v>
      </c>
      <c r="B426" s="190">
        <v>46078.0</v>
      </c>
      <c r="C426" s="191">
        <v>46078.0</v>
      </c>
      <c r="D426" s="192">
        <v>350000.0</v>
      </c>
      <c r="E426" s="193">
        <v>0.3333333333333333</v>
      </c>
      <c r="F426" s="193">
        <v>0.7083333333333334</v>
      </c>
      <c r="G426" s="194">
        <f t="shared" si="1"/>
        <v>9</v>
      </c>
      <c r="H426" s="195">
        <f t="shared" si="2"/>
        <v>1</v>
      </c>
      <c r="I426" s="192">
        <f t="shared" si="33"/>
        <v>1388.888889</v>
      </c>
      <c r="J426" s="196"/>
      <c r="K426" s="192"/>
      <c r="L426" s="195"/>
      <c r="M426" s="192">
        <f t="shared" si="34"/>
        <v>12500</v>
      </c>
    </row>
    <row r="427" ht="26.25" hidden="1" customHeight="1">
      <c r="A427" s="189" t="s">
        <v>36</v>
      </c>
      <c r="B427" s="190">
        <v>46078.0</v>
      </c>
      <c r="C427" s="191">
        <v>46078.0</v>
      </c>
      <c r="D427" s="192">
        <v>1012500.0</v>
      </c>
      <c r="E427" s="193">
        <v>0.9166666666666666</v>
      </c>
      <c r="F427" s="193">
        <v>0.9993055555555556</v>
      </c>
      <c r="G427" s="194">
        <f t="shared" si="1"/>
        <v>1.983333333</v>
      </c>
      <c r="H427" s="195">
        <f t="shared" si="2"/>
        <v>1</v>
      </c>
      <c r="I427" s="192">
        <f t="shared" si="33"/>
        <v>4017.857143</v>
      </c>
      <c r="J427" s="196"/>
      <c r="K427" s="192"/>
      <c r="L427" s="195"/>
      <c r="M427" s="192">
        <f t="shared" si="34"/>
        <v>7968.75</v>
      </c>
    </row>
    <row r="428" ht="26.25" hidden="1" customHeight="1">
      <c r="A428" s="189" t="s">
        <v>27</v>
      </c>
      <c r="B428" s="190">
        <v>46079.0</v>
      </c>
      <c r="C428" s="191">
        <v>46079.0</v>
      </c>
      <c r="D428" s="192">
        <v>850000.0</v>
      </c>
      <c r="E428" s="199">
        <v>0.09305555555555556</v>
      </c>
      <c r="F428" s="199">
        <v>0.39861111111111114</v>
      </c>
      <c r="G428" s="194">
        <f t="shared" si="1"/>
        <v>7.333333333</v>
      </c>
      <c r="H428" s="195">
        <f t="shared" si="2"/>
        <v>1</v>
      </c>
      <c r="I428" s="192">
        <f t="shared" si="33"/>
        <v>3373.015873</v>
      </c>
      <c r="J428" s="196"/>
      <c r="K428" s="192"/>
      <c r="L428" s="192"/>
      <c r="M428" s="192">
        <f t="shared" si="34"/>
        <v>24735.44974</v>
      </c>
    </row>
    <row r="429" ht="26.25" hidden="1" customHeight="1">
      <c r="A429" s="189" t="s">
        <v>28</v>
      </c>
      <c r="B429" s="190">
        <v>46079.0</v>
      </c>
      <c r="C429" s="191">
        <v>46079.0</v>
      </c>
      <c r="D429" s="192">
        <v>550000.0</v>
      </c>
      <c r="E429" s="193">
        <v>0.0</v>
      </c>
      <c r="F429" s="193">
        <v>0.2708333333333333</v>
      </c>
      <c r="G429" s="194">
        <f t="shared" si="1"/>
        <v>6.5</v>
      </c>
      <c r="H429" s="195">
        <f t="shared" si="2"/>
        <v>1</v>
      </c>
      <c r="I429" s="192">
        <f t="shared" si="33"/>
        <v>2182.539683</v>
      </c>
      <c r="J429" s="196"/>
      <c r="K429" s="192">
        <v>4000.0</v>
      </c>
      <c r="L429" s="192"/>
      <c r="M429" s="192">
        <f t="shared" si="34"/>
        <v>14186.50794</v>
      </c>
    </row>
    <row r="430" ht="26.25" hidden="1" customHeight="1">
      <c r="A430" s="189" t="s">
        <v>63</v>
      </c>
      <c r="B430" s="190">
        <v>46079.0</v>
      </c>
      <c r="C430" s="191">
        <v>46079.0</v>
      </c>
      <c r="D430" s="192">
        <v>500000.0</v>
      </c>
      <c r="E430" s="193">
        <v>0.3333333333284827</v>
      </c>
      <c r="F430" s="193">
        <v>0.7083333333284827</v>
      </c>
      <c r="G430" s="194">
        <f t="shared" si="1"/>
        <v>9</v>
      </c>
      <c r="H430" s="195">
        <f t="shared" si="2"/>
        <v>1</v>
      </c>
      <c r="I430" s="192">
        <f t="shared" si="33"/>
        <v>1984.126984</v>
      </c>
      <c r="J430" s="196"/>
      <c r="K430" s="192"/>
      <c r="L430" s="195"/>
      <c r="M430" s="192">
        <f t="shared" si="34"/>
        <v>17857.14286</v>
      </c>
    </row>
    <row r="431" ht="26.25" hidden="1" customHeight="1">
      <c r="A431" s="197" t="s">
        <v>102</v>
      </c>
      <c r="B431" s="190">
        <v>46079.0</v>
      </c>
      <c r="C431" s="191">
        <v>46079.0</v>
      </c>
      <c r="D431" s="192">
        <v>350000.0</v>
      </c>
      <c r="E431" s="193">
        <v>0.3333333333333333</v>
      </c>
      <c r="F431" s="193">
        <v>0.7083333333333334</v>
      </c>
      <c r="G431" s="194">
        <f t="shared" si="1"/>
        <v>9</v>
      </c>
      <c r="H431" s="195">
        <f t="shared" si="2"/>
        <v>1</v>
      </c>
      <c r="I431" s="192">
        <f t="shared" si="33"/>
        <v>1388.888889</v>
      </c>
      <c r="J431" s="196"/>
      <c r="K431" s="198"/>
      <c r="L431" s="202"/>
      <c r="M431" s="192">
        <f t="shared" si="34"/>
        <v>12500</v>
      </c>
    </row>
    <row r="432" ht="26.25" hidden="1" customHeight="1">
      <c r="A432" s="189" t="s">
        <v>36</v>
      </c>
      <c r="B432" s="190">
        <v>46079.0</v>
      </c>
      <c r="C432" s="191">
        <v>46079.0</v>
      </c>
      <c r="D432" s="192">
        <v>1012500.0</v>
      </c>
      <c r="E432" s="193">
        <v>0.0</v>
      </c>
      <c r="F432" s="193">
        <v>0.08333333333333333</v>
      </c>
      <c r="G432" s="194">
        <f t="shared" si="1"/>
        <v>2</v>
      </c>
      <c r="H432" s="195">
        <f t="shared" si="2"/>
        <v>1</v>
      </c>
      <c r="I432" s="192">
        <f t="shared" si="33"/>
        <v>4017.857143</v>
      </c>
      <c r="J432" s="196"/>
      <c r="K432" s="192"/>
      <c r="L432" s="195"/>
      <c r="M432" s="192">
        <f t="shared" si="34"/>
        <v>8035.714286</v>
      </c>
    </row>
    <row r="433" ht="26.25" hidden="1" customHeight="1">
      <c r="A433" s="189" t="s">
        <v>27</v>
      </c>
      <c r="B433" s="190">
        <v>46080.0</v>
      </c>
      <c r="C433" s="191">
        <v>46080.0</v>
      </c>
      <c r="D433" s="192">
        <v>850000.0</v>
      </c>
      <c r="E433" s="199">
        <v>0.8631944444444445</v>
      </c>
      <c r="F433" s="199">
        <v>0.9993055555555556</v>
      </c>
      <c r="G433" s="194">
        <f t="shared" si="1"/>
        <v>3.266666667</v>
      </c>
      <c r="H433" s="195">
        <f t="shared" si="2"/>
        <v>1</v>
      </c>
      <c r="I433" s="192">
        <f t="shared" si="33"/>
        <v>3373.015873</v>
      </c>
      <c r="J433" s="196"/>
      <c r="K433" s="192"/>
      <c r="L433" s="192"/>
      <c r="M433" s="192">
        <f t="shared" si="34"/>
        <v>11018.51852</v>
      </c>
    </row>
    <row r="434" ht="26.25" hidden="1" customHeight="1">
      <c r="A434" s="189" t="s">
        <v>28</v>
      </c>
      <c r="B434" s="190">
        <v>46080.0</v>
      </c>
      <c r="C434" s="191">
        <v>46080.0</v>
      </c>
      <c r="D434" s="192">
        <v>550000.0</v>
      </c>
      <c r="E434" s="193">
        <v>0.5833333333333334</v>
      </c>
      <c r="F434" s="193">
        <v>0.9993055555555556</v>
      </c>
      <c r="G434" s="194">
        <f t="shared" si="1"/>
        <v>9.983333333</v>
      </c>
      <c r="H434" s="195">
        <f t="shared" si="2"/>
        <v>1</v>
      </c>
      <c r="I434" s="192">
        <f t="shared" si="33"/>
        <v>2182.539683</v>
      </c>
      <c r="J434" s="196"/>
      <c r="K434" s="192">
        <v>3000.0</v>
      </c>
      <c r="L434" s="192"/>
      <c r="M434" s="192">
        <f t="shared" si="34"/>
        <v>21789.02116</v>
      </c>
    </row>
    <row r="435" ht="26.25" hidden="1" customHeight="1">
      <c r="A435" s="189" t="s">
        <v>63</v>
      </c>
      <c r="B435" s="190">
        <v>46080.0</v>
      </c>
      <c r="C435" s="191">
        <v>46080.0</v>
      </c>
      <c r="D435" s="192">
        <v>500000.0</v>
      </c>
      <c r="E435" s="193">
        <v>0.3333333333284827</v>
      </c>
      <c r="F435" s="193">
        <v>0.7083333333284827</v>
      </c>
      <c r="G435" s="194">
        <f t="shared" si="1"/>
        <v>9</v>
      </c>
      <c r="H435" s="195">
        <f t="shared" si="2"/>
        <v>1</v>
      </c>
      <c r="I435" s="192">
        <f t="shared" si="33"/>
        <v>1984.126984</v>
      </c>
      <c r="J435" s="196"/>
      <c r="K435" s="192"/>
      <c r="L435" s="195"/>
      <c r="M435" s="192">
        <f t="shared" si="34"/>
        <v>17857.14286</v>
      </c>
    </row>
    <row r="436" ht="26.25" hidden="1" customHeight="1">
      <c r="A436" s="197" t="s">
        <v>102</v>
      </c>
      <c r="B436" s="190">
        <v>46080.0</v>
      </c>
      <c r="C436" s="191">
        <v>46080.0</v>
      </c>
      <c r="D436" s="192">
        <v>350000.0</v>
      </c>
      <c r="E436" s="193">
        <v>0.3333333333333333</v>
      </c>
      <c r="F436" s="193">
        <v>0.7083333333333334</v>
      </c>
      <c r="G436" s="194">
        <f t="shared" si="1"/>
        <v>9</v>
      </c>
      <c r="H436" s="195">
        <f t="shared" si="2"/>
        <v>1</v>
      </c>
      <c r="I436" s="192">
        <f t="shared" si="33"/>
        <v>1388.888889</v>
      </c>
      <c r="J436" s="196"/>
      <c r="K436" s="192"/>
      <c r="L436" s="195"/>
      <c r="M436" s="192">
        <f t="shared" si="34"/>
        <v>12500</v>
      </c>
    </row>
    <row r="437" ht="26.25" hidden="1" customHeight="1">
      <c r="A437" s="189" t="s">
        <v>27</v>
      </c>
      <c r="B437" s="190">
        <v>46081.0</v>
      </c>
      <c r="C437" s="191">
        <v>46081.0</v>
      </c>
      <c r="D437" s="192">
        <v>850000.0</v>
      </c>
      <c r="E437" s="199">
        <v>0.0</v>
      </c>
      <c r="F437" s="199">
        <v>0.08958333333333333</v>
      </c>
      <c r="G437" s="194">
        <f t="shared" si="1"/>
        <v>2.15</v>
      </c>
      <c r="H437" s="195">
        <f t="shared" si="2"/>
        <v>1</v>
      </c>
      <c r="I437" s="192">
        <f t="shared" si="33"/>
        <v>3373.015873</v>
      </c>
      <c r="J437" s="196"/>
      <c r="K437" s="192"/>
      <c r="L437" s="192"/>
      <c r="M437" s="192">
        <f t="shared" si="34"/>
        <v>7251.984127</v>
      </c>
    </row>
    <row r="438" ht="26.25" hidden="1" customHeight="1">
      <c r="A438" s="189" t="s">
        <v>27</v>
      </c>
      <c r="B438" s="190">
        <v>46081.0</v>
      </c>
      <c r="C438" s="191">
        <v>46081.0</v>
      </c>
      <c r="D438" s="192">
        <v>850000.0</v>
      </c>
      <c r="E438" s="199">
        <v>0.5916666666666667</v>
      </c>
      <c r="F438" s="199">
        <v>0.9993055555555556</v>
      </c>
      <c r="G438" s="194">
        <f t="shared" si="1"/>
        <v>9.783333333</v>
      </c>
      <c r="H438" s="195">
        <f t="shared" si="2"/>
        <v>1</v>
      </c>
      <c r="I438" s="192">
        <f t="shared" si="33"/>
        <v>3373.015873</v>
      </c>
      <c r="J438" s="196"/>
      <c r="K438" s="192"/>
      <c r="L438" s="192"/>
      <c r="M438" s="192">
        <f t="shared" si="34"/>
        <v>32999.33862</v>
      </c>
    </row>
    <row r="439" ht="26.25" hidden="1" customHeight="1">
      <c r="A439" s="189" t="s">
        <v>29</v>
      </c>
      <c r="B439" s="190">
        <v>46081.0</v>
      </c>
      <c r="C439" s="191">
        <v>46081.0</v>
      </c>
      <c r="D439" s="192">
        <v>650000.0</v>
      </c>
      <c r="E439" s="193">
        <v>0.4791666666666667</v>
      </c>
      <c r="F439" s="193">
        <v>0.8958333333333334</v>
      </c>
      <c r="G439" s="194">
        <f t="shared" si="1"/>
        <v>10</v>
      </c>
      <c r="H439" s="195">
        <f t="shared" si="2"/>
        <v>1</v>
      </c>
      <c r="I439" s="192">
        <f t="shared" si="33"/>
        <v>2579.365079</v>
      </c>
      <c r="J439" s="196"/>
      <c r="K439" s="192">
        <v>1000.0</v>
      </c>
      <c r="L439" s="192"/>
      <c r="M439" s="192">
        <f t="shared" si="34"/>
        <v>25793.65079</v>
      </c>
    </row>
    <row r="440" ht="26.25" hidden="1" customHeight="1">
      <c r="A440" s="189" t="s">
        <v>28</v>
      </c>
      <c r="B440" s="190">
        <v>46081.0</v>
      </c>
      <c r="C440" s="191">
        <v>46081.0</v>
      </c>
      <c r="D440" s="192">
        <v>550000.0</v>
      </c>
      <c r="E440" s="193">
        <v>0.4409722222222222</v>
      </c>
      <c r="F440" s="193">
        <v>0.9381944444444444</v>
      </c>
      <c r="G440" s="194">
        <f t="shared" si="1"/>
        <v>11.93333333</v>
      </c>
      <c r="H440" s="195">
        <f t="shared" si="2"/>
        <v>1</v>
      </c>
      <c r="I440" s="192">
        <f t="shared" si="33"/>
        <v>2182.539683</v>
      </c>
      <c r="J440" s="196"/>
      <c r="K440" s="192">
        <v>5000.0</v>
      </c>
      <c r="L440" s="192"/>
      <c r="M440" s="192">
        <f t="shared" si="34"/>
        <v>26044.97354</v>
      </c>
    </row>
    <row r="441" ht="26.25" hidden="1" customHeight="1">
      <c r="A441" s="189" t="s">
        <v>63</v>
      </c>
      <c r="B441" s="190">
        <v>46081.0</v>
      </c>
      <c r="C441" s="191">
        <v>46081.0</v>
      </c>
      <c r="D441" s="192">
        <v>500000.0</v>
      </c>
      <c r="E441" s="193">
        <v>0.3333333333284827</v>
      </c>
      <c r="F441" s="193">
        <v>0.7083333333284827</v>
      </c>
      <c r="G441" s="194">
        <f t="shared" si="1"/>
        <v>9</v>
      </c>
      <c r="H441" s="195">
        <f t="shared" si="2"/>
        <v>1</v>
      </c>
      <c r="I441" s="192">
        <f t="shared" si="33"/>
        <v>1984.126984</v>
      </c>
      <c r="J441" s="196"/>
      <c r="K441" s="192"/>
      <c r="L441" s="195"/>
      <c r="M441" s="192">
        <f t="shared" si="34"/>
        <v>17857.14286</v>
      </c>
    </row>
    <row r="442" ht="26.25" hidden="1" customHeight="1">
      <c r="A442" s="189" t="s">
        <v>176</v>
      </c>
      <c r="B442" s="190">
        <v>46081.0</v>
      </c>
      <c r="C442" s="191">
        <v>46081.0</v>
      </c>
      <c r="D442" s="192">
        <v>750000.0</v>
      </c>
      <c r="E442" s="193">
        <v>0.375</v>
      </c>
      <c r="F442" s="193">
        <v>0.7666666666666667</v>
      </c>
      <c r="G442" s="194">
        <f t="shared" si="1"/>
        <v>9.4</v>
      </c>
      <c r="H442" s="195">
        <f t="shared" si="2"/>
        <v>1</v>
      </c>
      <c r="I442" s="192">
        <f t="shared" si="33"/>
        <v>2976.190476</v>
      </c>
      <c r="J442" s="196"/>
      <c r="K442" s="192"/>
      <c r="L442" s="195"/>
      <c r="M442" s="192">
        <f t="shared" si="34"/>
        <v>27976.19048</v>
      </c>
    </row>
    <row r="443" ht="26.25" hidden="1" customHeight="1">
      <c r="A443" s="189" t="s">
        <v>114</v>
      </c>
      <c r="B443" s="190">
        <v>46081.0</v>
      </c>
      <c r="C443" s="191">
        <v>46081.0</v>
      </c>
      <c r="D443" s="192">
        <v>600000.0</v>
      </c>
      <c r="E443" s="193">
        <v>0.4166666666666667</v>
      </c>
      <c r="F443" s="193">
        <v>0.7666666666666667</v>
      </c>
      <c r="G443" s="194">
        <f t="shared" si="1"/>
        <v>8.4</v>
      </c>
      <c r="H443" s="195">
        <f t="shared" si="2"/>
        <v>1</v>
      </c>
      <c r="I443" s="192">
        <f t="shared" si="33"/>
        <v>2380.952381</v>
      </c>
      <c r="J443" s="196"/>
      <c r="K443" s="192"/>
      <c r="L443" s="195"/>
      <c r="M443" s="192">
        <f t="shared" si="34"/>
        <v>20000</v>
      </c>
    </row>
    <row r="444" ht="26.25" hidden="1" customHeight="1">
      <c r="A444" s="197" t="s">
        <v>102</v>
      </c>
      <c r="B444" s="190">
        <v>46081.0</v>
      </c>
      <c r="C444" s="191">
        <v>46081.0</v>
      </c>
      <c r="D444" s="192">
        <v>350000.0</v>
      </c>
      <c r="E444" s="193">
        <v>0.3333333333333333</v>
      </c>
      <c r="F444" s="193">
        <v>0.7083333333333334</v>
      </c>
      <c r="G444" s="194">
        <f t="shared" si="1"/>
        <v>9</v>
      </c>
      <c r="H444" s="195">
        <f t="shared" si="2"/>
        <v>1</v>
      </c>
      <c r="I444" s="192">
        <f t="shared" si="33"/>
        <v>1388.888889</v>
      </c>
      <c r="J444" s="196"/>
      <c r="K444" s="192">
        <v>50000.0</v>
      </c>
      <c r="L444" s="195"/>
      <c r="M444" s="192">
        <f t="shared" si="34"/>
        <v>12500</v>
      </c>
    </row>
    <row r="445" ht="26.25" customHeight="1">
      <c r="A445" s="203" t="s">
        <v>102</v>
      </c>
      <c r="B445" s="204">
        <v>46082.0</v>
      </c>
      <c r="C445" s="205"/>
      <c r="D445" s="206"/>
      <c r="E445" s="207"/>
      <c r="F445" s="207"/>
      <c r="G445" s="208"/>
      <c r="H445" s="209"/>
      <c r="I445" s="206"/>
      <c r="J445" s="210">
        <v>25000.0</v>
      </c>
      <c r="K445" s="211">
        <f>32000+150000</f>
        <v>182000</v>
      </c>
      <c r="L445" s="212"/>
      <c r="M445" s="213">
        <v>350000.0</v>
      </c>
    </row>
    <row r="446" ht="26.25" customHeight="1">
      <c r="A446" s="214" t="s">
        <v>63</v>
      </c>
      <c r="B446" s="204">
        <v>46082.0</v>
      </c>
      <c r="C446" s="215"/>
      <c r="D446" s="216"/>
      <c r="E446" s="217"/>
      <c r="F446" s="217"/>
      <c r="G446" s="218"/>
      <c r="H446" s="219"/>
      <c r="I446" s="216"/>
      <c r="J446" s="220">
        <v>50000.0</v>
      </c>
      <c r="K446" s="221">
        <v>15000.0</v>
      </c>
      <c r="L446" s="219"/>
      <c r="M446" s="222">
        <v>550000.0</v>
      </c>
    </row>
    <row r="447" ht="26.25" customHeight="1">
      <c r="A447" s="223" t="s">
        <v>27</v>
      </c>
      <c r="B447" s="204">
        <v>46082.0</v>
      </c>
      <c r="C447" s="224">
        <v>46082.0</v>
      </c>
      <c r="D447" s="225">
        <v>850000.0</v>
      </c>
      <c r="E447" s="226">
        <v>0.6881944444444444</v>
      </c>
      <c r="F447" s="226">
        <v>0.9993055555555556</v>
      </c>
      <c r="G447" s="227">
        <f t="shared" ref="G447:G478" si="35">IF(AND(E447&lt;&gt;"",F447&lt;&gt;""),(F447-E447)*24,"")</f>
        <v>7.466666667</v>
      </c>
      <c r="H447" s="228">
        <f t="shared" ref="H447:H478" si="36">IF(A447&lt;&gt;"",1,"")</f>
        <v>1</v>
      </c>
      <c r="I447" s="229">
        <f t="shared" ref="I447:I479" si="37">D447/27/9</f>
        <v>3497.942387</v>
      </c>
      <c r="J447" s="230"/>
      <c r="K447" s="225"/>
      <c r="L447" s="231"/>
      <c r="M447" s="232">
        <f t="shared" ref="M447:M478" si="38">G447*I447</f>
        <v>26117.96982</v>
      </c>
    </row>
    <row r="448" ht="26.25" customHeight="1">
      <c r="A448" s="233" t="s">
        <v>27</v>
      </c>
      <c r="B448" s="234">
        <v>46083.0</v>
      </c>
      <c r="C448" s="235">
        <v>46083.0</v>
      </c>
      <c r="D448" s="236">
        <v>850000.0</v>
      </c>
      <c r="E448" s="237">
        <v>0.0</v>
      </c>
      <c r="F448" s="237">
        <v>0.041666666666666664</v>
      </c>
      <c r="G448" s="238">
        <f t="shared" si="35"/>
        <v>1</v>
      </c>
      <c r="H448" s="239">
        <f t="shared" si="36"/>
        <v>1</v>
      </c>
      <c r="I448" s="240">
        <f t="shared" si="37"/>
        <v>3497.942387</v>
      </c>
      <c r="J448" s="241">
        <v>50000.0</v>
      </c>
      <c r="K448" s="236">
        <v>6750.0</v>
      </c>
      <c r="L448" s="242"/>
      <c r="M448" s="243">
        <f t="shared" si="38"/>
        <v>3497.942387</v>
      </c>
    </row>
    <row r="449" ht="26.25" customHeight="1">
      <c r="A449" s="233" t="s">
        <v>27</v>
      </c>
      <c r="B449" s="234">
        <v>46083.0</v>
      </c>
      <c r="C449" s="235">
        <v>46083.0</v>
      </c>
      <c r="D449" s="236">
        <v>850000.0</v>
      </c>
      <c r="E449" s="237">
        <v>0.5375</v>
      </c>
      <c r="F449" s="237">
        <v>0.7333333333333333</v>
      </c>
      <c r="G449" s="238">
        <f t="shared" si="35"/>
        <v>4.7</v>
      </c>
      <c r="H449" s="239">
        <f t="shared" si="36"/>
        <v>1</v>
      </c>
      <c r="I449" s="240">
        <f t="shared" si="37"/>
        <v>3497.942387</v>
      </c>
      <c r="J449" s="241"/>
      <c r="K449" s="240"/>
      <c r="L449" s="242"/>
      <c r="M449" s="243">
        <f t="shared" si="38"/>
        <v>16440.32922</v>
      </c>
    </row>
    <row r="450" ht="26.25" customHeight="1">
      <c r="A450" s="233" t="s">
        <v>27</v>
      </c>
      <c r="B450" s="234">
        <v>46084.0</v>
      </c>
      <c r="C450" s="235">
        <v>46084.0</v>
      </c>
      <c r="D450" s="236">
        <v>850000.0</v>
      </c>
      <c r="E450" s="237">
        <v>0.4756944444444444</v>
      </c>
      <c r="F450" s="237">
        <v>0.9270833333333334</v>
      </c>
      <c r="G450" s="238">
        <f t="shared" si="35"/>
        <v>10.83333333</v>
      </c>
      <c r="H450" s="239">
        <f t="shared" si="36"/>
        <v>1</v>
      </c>
      <c r="I450" s="240">
        <f t="shared" si="37"/>
        <v>3497.942387</v>
      </c>
      <c r="J450" s="241"/>
      <c r="K450" s="240"/>
      <c r="L450" s="242"/>
      <c r="M450" s="243">
        <f t="shared" si="38"/>
        <v>37894.37586</v>
      </c>
    </row>
    <row r="451" ht="26.25" customHeight="1">
      <c r="A451" s="233" t="s">
        <v>27</v>
      </c>
      <c r="B451" s="234">
        <v>46085.0</v>
      </c>
      <c r="C451" s="235">
        <v>46085.0</v>
      </c>
      <c r="D451" s="236">
        <v>850000.0</v>
      </c>
      <c r="E451" s="237">
        <v>0.44583333333333336</v>
      </c>
      <c r="F451" s="237">
        <v>0.7416666666666667</v>
      </c>
      <c r="G451" s="238">
        <f t="shared" si="35"/>
        <v>7.1</v>
      </c>
      <c r="H451" s="239">
        <f t="shared" si="36"/>
        <v>1</v>
      </c>
      <c r="I451" s="240">
        <f t="shared" si="37"/>
        <v>3497.942387</v>
      </c>
      <c r="J451" s="241"/>
      <c r="K451" s="240"/>
      <c r="L451" s="242"/>
      <c r="M451" s="243">
        <f t="shared" si="38"/>
        <v>24835.39095</v>
      </c>
    </row>
    <row r="452" ht="26.25" customHeight="1">
      <c r="A452" s="233" t="s">
        <v>27</v>
      </c>
      <c r="B452" s="234">
        <v>46086.0</v>
      </c>
      <c r="C452" s="235">
        <v>46086.0</v>
      </c>
      <c r="D452" s="236">
        <v>850000.0</v>
      </c>
      <c r="E452" s="237">
        <v>0.3923611111111111</v>
      </c>
      <c r="F452" s="237">
        <v>0.73125</v>
      </c>
      <c r="G452" s="238">
        <f t="shared" si="35"/>
        <v>8.133333333</v>
      </c>
      <c r="H452" s="239">
        <f t="shared" si="36"/>
        <v>1</v>
      </c>
      <c r="I452" s="240">
        <f t="shared" si="37"/>
        <v>3497.942387</v>
      </c>
      <c r="J452" s="241"/>
      <c r="K452" s="240"/>
      <c r="L452" s="242"/>
      <c r="M452" s="243">
        <f t="shared" si="38"/>
        <v>28449.93141</v>
      </c>
    </row>
    <row r="453" ht="26.25" customHeight="1">
      <c r="A453" s="233"/>
      <c r="B453" s="234">
        <v>46087.0</v>
      </c>
      <c r="C453" s="235">
        <v>46087.0</v>
      </c>
      <c r="D453" s="236">
        <v>850000.0</v>
      </c>
      <c r="E453" s="237"/>
      <c r="F453" s="237"/>
      <c r="G453" s="238" t="str">
        <f t="shared" si="35"/>
        <v/>
      </c>
      <c r="H453" s="239" t="str">
        <f t="shared" si="36"/>
        <v/>
      </c>
      <c r="I453" s="240">
        <f t="shared" si="37"/>
        <v>3497.942387</v>
      </c>
      <c r="J453" s="241"/>
      <c r="K453" s="240"/>
      <c r="L453" s="242"/>
      <c r="M453" s="243">
        <f t="shared" si="38"/>
        <v>0</v>
      </c>
    </row>
    <row r="454" ht="26.25" customHeight="1">
      <c r="A454" s="233" t="s">
        <v>27</v>
      </c>
      <c r="B454" s="234">
        <v>46088.0</v>
      </c>
      <c r="C454" s="235">
        <v>46088.0</v>
      </c>
      <c r="D454" s="236">
        <v>850000.0</v>
      </c>
      <c r="E454" s="237">
        <v>0.38472222222222224</v>
      </c>
      <c r="F454" s="237">
        <v>0.7430555555555556</v>
      </c>
      <c r="G454" s="238">
        <f t="shared" si="35"/>
        <v>8.6</v>
      </c>
      <c r="H454" s="239">
        <f t="shared" si="36"/>
        <v>1</v>
      </c>
      <c r="I454" s="240">
        <f t="shared" si="37"/>
        <v>3497.942387</v>
      </c>
      <c r="J454" s="241"/>
      <c r="K454" s="240"/>
      <c r="L454" s="242"/>
      <c r="M454" s="243">
        <f t="shared" si="38"/>
        <v>30082.30453</v>
      </c>
    </row>
    <row r="455" ht="26.25" customHeight="1">
      <c r="A455" s="233" t="s">
        <v>27</v>
      </c>
      <c r="B455" s="234">
        <v>46089.0</v>
      </c>
      <c r="C455" s="235">
        <v>46089.0</v>
      </c>
      <c r="D455" s="236">
        <v>850000.0</v>
      </c>
      <c r="E455" s="237">
        <v>0.39861111111111114</v>
      </c>
      <c r="F455" s="237">
        <v>0.7916666666666666</v>
      </c>
      <c r="G455" s="238">
        <f t="shared" si="35"/>
        <v>9.433333333</v>
      </c>
      <c r="H455" s="239">
        <f t="shared" si="36"/>
        <v>1</v>
      </c>
      <c r="I455" s="240">
        <f t="shared" si="37"/>
        <v>3497.942387</v>
      </c>
      <c r="J455" s="241"/>
      <c r="K455" s="240"/>
      <c r="L455" s="242"/>
      <c r="M455" s="243">
        <f t="shared" si="38"/>
        <v>32997.25652</v>
      </c>
    </row>
    <row r="456" ht="26.25" customHeight="1">
      <c r="A456" s="233" t="s">
        <v>27</v>
      </c>
      <c r="B456" s="234">
        <v>46090.0</v>
      </c>
      <c r="C456" s="235">
        <v>46090.0</v>
      </c>
      <c r="D456" s="236">
        <v>850000.0</v>
      </c>
      <c r="E456" s="237">
        <v>0.4444444444444444</v>
      </c>
      <c r="F456" s="237">
        <v>0.7986111111111112</v>
      </c>
      <c r="G456" s="238">
        <f t="shared" si="35"/>
        <v>8.5</v>
      </c>
      <c r="H456" s="239">
        <f t="shared" si="36"/>
        <v>1</v>
      </c>
      <c r="I456" s="240">
        <f t="shared" si="37"/>
        <v>3497.942387</v>
      </c>
      <c r="J456" s="241"/>
      <c r="K456" s="236">
        <v>5000.0</v>
      </c>
      <c r="L456" s="242"/>
      <c r="M456" s="243">
        <f t="shared" si="38"/>
        <v>29732.51029</v>
      </c>
    </row>
    <row r="457" ht="26.25" customHeight="1">
      <c r="A457" s="233" t="s">
        <v>27</v>
      </c>
      <c r="B457" s="234">
        <v>46091.0</v>
      </c>
      <c r="C457" s="235">
        <v>46091.0</v>
      </c>
      <c r="D457" s="236">
        <v>850000.0</v>
      </c>
      <c r="E457" s="237">
        <v>0.41944444444444445</v>
      </c>
      <c r="F457" s="237">
        <v>0.7861111111111111</v>
      </c>
      <c r="G457" s="238">
        <f t="shared" si="35"/>
        <v>8.8</v>
      </c>
      <c r="H457" s="239">
        <f t="shared" si="36"/>
        <v>1</v>
      </c>
      <c r="I457" s="240">
        <f t="shared" si="37"/>
        <v>3497.942387</v>
      </c>
      <c r="J457" s="241"/>
      <c r="K457" s="240"/>
      <c r="L457" s="242"/>
      <c r="M457" s="243">
        <f t="shared" si="38"/>
        <v>30781.893</v>
      </c>
    </row>
    <row r="458" ht="26.25" customHeight="1">
      <c r="A458" s="233" t="s">
        <v>27</v>
      </c>
      <c r="B458" s="234">
        <v>46092.0</v>
      </c>
      <c r="C458" s="235">
        <v>46092.0</v>
      </c>
      <c r="D458" s="236">
        <v>850000.0</v>
      </c>
      <c r="E458" s="237">
        <v>0.28194444444444444</v>
      </c>
      <c r="F458" s="237">
        <v>0.7375</v>
      </c>
      <c r="G458" s="238">
        <f t="shared" si="35"/>
        <v>10.93333333</v>
      </c>
      <c r="H458" s="239">
        <f t="shared" si="36"/>
        <v>1</v>
      </c>
      <c r="I458" s="240">
        <f t="shared" si="37"/>
        <v>3497.942387</v>
      </c>
      <c r="J458" s="241"/>
      <c r="K458" s="240"/>
      <c r="L458" s="242"/>
      <c r="M458" s="243">
        <f t="shared" si="38"/>
        <v>38244.1701</v>
      </c>
    </row>
    <row r="459" ht="26.25" customHeight="1">
      <c r="A459" s="233" t="s">
        <v>27</v>
      </c>
      <c r="B459" s="234">
        <v>46093.0</v>
      </c>
      <c r="C459" s="235">
        <v>46093.0</v>
      </c>
      <c r="D459" s="236">
        <v>850000.0</v>
      </c>
      <c r="E459" s="237">
        <v>0.41944444444444445</v>
      </c>
      <c r="F459" s="237">
        <v>0.7708333333333334</v>
      </c>
      <c r="G459" s="238">
        <f t="shared" si="35"/>
        <v>8.433333333</v>
      </c>
      <c r="H459" s="239">
        <f t="shared" si="36"/>
        <v>1</v>
      </c>
      <c r="I459" s="240">
        <f t="shared" si="37"/>
        <v>3497.942387</v>
      </c>
      <c r="J459" s="241"/>
      <c r="K459" s="240"/>
      <c r="L459" s="242"/>
      <c r="M459" s="243">
        <f t="shared" si="38"/>
        <v>29499.31413</v>
      </c>
    </row>
    <row r="460" ht="26.25" customHeight="1">
      <c r="A460" s="233"/>
      <c r="B460" s="234">
        <v>46094.0</v>
      </c>
      <c r="C460" s="235">
        <v>46094.0</v>
      </c>
      <c r="D460" s="236">
        <v>850000.0</v>
      </c>
      <c r="E460" s="237"/>
      <c r="F460" s="237"/>
      <c r="G460" s="238" t="str">
        <f t="shared" si="35"/>
        <v/>
      </c>
      <c r="H460" s="239" t="str">
        <f t="shared" si="36"/>
        <v/>
      </c>
      <c r="I460" s="240">
        <f t="shared" si="37"/>
        <v>3497.942387</v>
      </c>
      <c r="J460" s="241"/>
      <c r="K460" s="240"/>
      <c r="L460" s="242"/>
      <c r="M460" s="243">
        <f t="shared" si="38"/>
        <v>0</v>
      </c>
    </row>
    <row r="461" ht="26.25" customHeight="1">
      <c r="A461" s="233" t="s">
        <v>27</v>
      </c>
      <c r="B461" s="234">
        <v>46095.0</v>
      </c>
      <c r="C461" s="235">
        <v>46095.0</v>
      </c>
      <c r="D461" s="236">
        <v>850000.0</v>
      </c>
      <c r="E461" s="237">
        <v>0.4166666666666667</v>
      </c>
      <c r="F461" s="237">
        <v>0.8020833333333334</v>
      </c>
      <c r="G461" s="238">
        <f t="shared" si="35"/>
        <v>9.25</v>
      </c>
      <c r="H461" s="239">
        <f t="shared" si="36"/>
        <v>1</v>
      </c>
      <c r="I461" s="240">
        <f t="shared" si="37"/>
        <v>3497.942387</v>
      </c>
      <c r="J461" s="241"/>
      <c r="K461" s="240"/>
      <c r="L461" s="242"/>
      <c r="M461" s="243">
        <f t="shared" si="38"/>
        <v>32355.96708</v>
      </c>
    </row>
    <row r="462" ht="26.25" customHeight="1">
      <c r="A462" s="233" t="s">
        <v>27</v>
      </c>
      <c r="B462" s="234">
        <v>46096.0</v>
      </c>
      <c r="C462" s="235">
        <v>46096.0</v>
      </c>
      <c r="D462" s="236">
        <v>850000.0</v>
      </c>
      <c r="E462" s="244">
        <v>0.44930555555555557</v>
      </c>
      <c r="F462" s="244">
        <v>0.7569444444444444</v>
      </c>
      <c r="G462" s="238">
        <f t="shared" si="35"/>
        <v>7.383333333</v>
      </c>
      <c r="H462" s="239">
        <f t="shared" si="36"/>
        <v>1</v>
      </c>
      <c r="I462" s="240">
        <f t="shared" si="37"/>
        <v>3497.942387</v>
      </c>
      <c r="J462" s="241"/>
      <c r="K462" s="240"/>
      <c r="L462" s="242"/>
      <c r="M462" s="243">
        <f t="shared" si="38"/>
        <v>25826.47462</v>
      </c>
    </row>
    <row r="463" ht="26.25" customHeight="1">
      <c r="A463" s="233" t="s">
        <v>27</v>
      </c>
      <c r="B463" s="234">
        <v>46097.0</v>
      </c>
      <c r="C463" s="235">
        <v>46097.0</v>
      </c>
      <c r="D463" s="236">
        <v>850000.0</v>
      </c>
      <c r="E463" s="244">
        <v>0.43680555555555556</v>
      </c>
      <c r="F463" s="244">
        <v>0.7708333333333334</v>
      </c>
      <c r="G463" s="238">
        <f t="shared" si="35"/>
        <v>8.016666667</v>
      </c>
      <c r="H463" s="239">
        <f t="shared" si="36"/>
        <v>1</v>
      </c>
      <c r="I463" s="240">
        <f t="shared" si="37"/>
        <v>3497.942387</v>
      </c>
      <c r="J463" s="241"/>
      <c r="K463" s="236">
        <v>40000.0</v>
      </c>
      <c r="L463" s="242"/>
      <c r="M463" s="243">
        <f t="shared" si="38"/>
        <v>28041.83813</v>
      </c>
    </row>
    <row r="464" ht="26.25" customHeight="1">
      <c r="A464" s="233" t="s">
        <v>27</v>
      </c>
      <c r="B464" s="234">
        <v>46098.0</v>
      </c>
      <c r="C464" s="235">
        <v>46098.0</v>
      </c>
      <c r="D464" s="236">
        <v>850000.0</v>
      </c>
      <c r="E464" s="244">
        <v>0.4270833333333333</v>
      </c>
      <c r="F464" s="244">
        <v>0.7659722222222223</v>
      </c>
      <c r="G464" s="238">
        <f t="shared" si="35"/>
        <v>8.133333333</v>
      </c>
      <c r="H464" s="239">
        <f t="shared" si="36"/>
        <v>1</v>
      </c>
      <c r="I464" s="240">
        <f t="shared" si="37"/>
        <v>3497.942387</v>
      </c>
      <c r="J464" s="241"/>
      <c r="K464" s="236">
        <v>55000.0</v>
      </c>
      <c r="L464" s="242"/>
      <c r="M464" s="243">
        <f t="shared" si="38"/>
        <v>28449.93141</v>
      </c>
    </row>
    <row r="465" ht="26.25" customHeight="1">
      <c r="A465" s="233" t="s">
        <v>27</v>
      </c>
      <c r="B465" s="234">
        <v>46099.0</v>
      </c>
      <c r="C465" s="235">
        <v>46099.0</v>
      </c>
      <c r="D465" s="236">
        <v>850000.0</v>
      </c>
      <c r="E465" s="244">
        <v>0.4201388888888889</v>
      </c>
      <c r="F465" s="244">
        <v>0.75</v>
      </c>
      <c r="G465" s="238">
        <f t="shared" si="35"/>
        <v>7.916666667</v>
      </c>
      <c r="H465" s="239">
        <f t="shared" si="36"/>
        <v>1</v>
      </c>
      <c r="I465" s="240">
        <f t="shared" si="37"/>
        <v>3497.942387</v>
      </c>
      <c r="J465" s="241"/>
      <c r="K465" s="240"/>
      <c r="L465" s="242"/>
      <c r="M465" s="243">
        <f t="shared" si="38"/>
        <v>27692.0439</v>
      </c>
    </row>
    <row r="466" ht="26.25" customHeight="1">
      <c r="A466" s="233" t="s">
        <v>27</v>
      </c>
      <c r="B466" s="234">
        <v>46100.0</v>
      </c>
      <c r="C466" s="235">
        <v>46100.0</v>
      </c>
      <c r="D466" s="236">
        <v>850000.0</v>
      </c>
      <c r="E466" s="244">
        <v>0.4423611111111111</v>
      </c>
      <c r="F466" s="244">
        <v>0.75</v>
      </c>
      <c r="G466" s="238">
        <f t="shared" si="35"/>
        <v>7.383333333</v>
      </c>
      <c r="H466" s="239">
        <f t="shared" si="36"/>
        <v>1</v>
      </c>
      <c r="I466" s="240">
        <f t="shared" si="37"/>
        <v>3497.942387</v>
      </c>
      <c r="J466" s="241"/>
      <c r="K466" s="236">
        <v>100000.0</v>
      </c>
      <c r="L466" s="242"/>
      <c r="M466" s="243">
        <f t="shared" si="38"/>
        <v>25826.47462</v>
      </c>
    </row>
    <row r="467" ht="26.25" customHeight="1">
      <c r="A467" s="233"/>
      <c r="B467" s="234">
        <v>46101.0</v>
      </c>
      <c r="C467" s="235">
        <v>46101.0</v>
      </c>
      <c r="D467" s="236">
        <v>850000.0</v>
      </c>
      <c r="E467" s="237"/>
      <c r="F467" s="237"/>
      <c r="G467" s="238" t="str">
        <f t="shared" si="35"/>
        <v/>
      </c>
      <c r="H467" s="239" t="str">
        <f t="shared" si="36"/>
        <v/>
      </c>
      <c r="I467" s="240">
        <f t="shared" si="37"/>
        <v>3497.942387</v>
      </c>
      <c r="J467" s="241"/>
      <c r="K467" s="240"/>
      <c r="L467" s="242"/>
      <c r="M467" s="243">
        <f t="shared" si="38"/>
        <v>0</v>
      </c>
    </row>
    <row r="468" ht="26.25" customHeight="1">
      <c r="A468" s="233" t="s">
        <v>27</v>
      </c>
      <c r="B468" s="234">
        <v>46102.0</v>
      </c>
      <c r="C468" s="235">
        <v>46102.0</v>
      </c>
      <c r="D468" s="236">
        <v>850000.0</v>
      </c>
      <c r="E468" s="244">
        <v>0.6527777777777778</v>
      </c>
      <c r="F468" s="244">
        <v>0.75</v>
      </c>
      <c r="G468" s="238">
        <f t="shared" si="35"/>
        <v>2.333333333</v>
      </c>
      <c r="H468" s="239">
        <f t="shared" si="36"/>
        <v>1</v>
      </c>
      <c r="I468" s="240">
        <f t="shared" si="37"/>
        <v>3497.942387</v>
      </c>
      <c r="J468" s="241"/>
      <c r="K468" s="240"/>
      <c r="L468" s="242"/>
      <c r="M468" s="243">
        <f t="shared" si="38"/>
        <v>8161.865569</v>
      </c>
    </row>
    <row r="469" ht="26.25" customHeight="1">
      <c r="A469" s="233" t="s">
        <v>27</v>
      </c>
      <c r="B469" s="234">
        <v>46103.0</v>
      </c>
      <c r="C469" s="235">
        <v>46103.0</v>
      </c>
      <c r="D469" s="236">
        <v>850000.0</v>
      </c>
      <c r="E469" s="244">
        <v>0.4201388888888889</v>
      </c>
      <c r="F469" s="244">
        <v>0.8763888888888889</v>
      </c>
      <c r="G469" s="238">
        <f t="shared" si="35"/>
        <v>10.95</v>
      </c>
      <c r="H469" s="239">
        <f t="shared" si="36"/>
        <v>1</v>
      </c>
      <c r="I469" s="240">
        <f t="shared" si="37"/>
        <v>3497.942387</v>
      </c>
      <c r="J469" s="241"/>
      <c r="K469" s="240"/>
      <c r="L469" s="242"/>
      <c r="M469" s="243">
        <f t="shared" si="38"/>
        <v>38302.46914</v>
      </c>
    </row>
    <row r="470" ht="26.25" customHeight="1">
      <c r="A470" s="233" t="s">
        <v>27</v>
      </c>
      <c r="B470" s="234">
        <v>46104.0</v>
      </c>
      <c r="C470" s="235">
        <v>46104.0</v>
      </c>
      <c r="D470" s="236">
        <v>850000.0</v>
      </c>
      <c r="E470" s="244">
        <v>0.41041666666666665</v>
      </c>
      <c r="F470" s="244">
        <v>0.75</v>
      </c>
      <c r="G470" s="238">
        <f t="shared" si="35"/>
        <v>8.15</v>
      </c>
      <c r="H470" s="239">
        <f t="shared" si="36"/>
        <v>1</v>
      </c>
      <c r="I470" s="240">
        <f t="shared" si="37"/>
        <v>3497.942387</v>
      </c>
      <c r="J470" s="241"/>
      <c r="K470" s="240"/>
      <c r="L470" s="242"/>
      <c r="M470" s="243">
        <f t="shared" si="38"/>
        <v>28508.23045</v>
      </c>
    </row>
    <row r="471" ht="26.25" customHeight="1">
      <c r="A471" s="233" t="s">
        <v>27</v>
      </c>
      <c r="B471" s="234">
        <v>46105.0</v>
      </c>
      <c r="C471" s="235">
        <v>46105.0</v>
      </c>
      <c r="D471" s="236">
        <v>850000.0</v>
      </c>
      <c r="E471" s="244">
        <v>0.3972222222222222</v>
      </c>
      <c r="F471" s="244">
        <v>0.7548611111111111</v>
      </c>
      <c r="G471" s="238">
        <f t="shared" si="35"/>
        <v>8.583333333</v>
      </c>
      <c r="H471" s="239">
        <f t="shared" si="36"/>
        <v>1</v>
      </c>
      <c r="I471" s="240">
        <f t="shared" si="37"/>
        <v>3497.942387</v>
      </c>
      <c r="J471" s="241"/>
      <c r="K471" s="240"/>
      <c r="L471" s="242"/>
      <c r="M471" s="243">
        <f t="shared" si="38"/>
        <v>30024.00549</v>
      </c>
    </row>
    <row r="472" ht="26.25" customHeight="1">
      <c r="A472" s="233"/>
      <c r="B472" s="234">
        <v>46106.0</v>
      </c>
      <c r="C472" s="235">
        <v>46106.0</v>
      </c>
      <c r="D472" s="236">
        <v>850000.0</v>
      </c>
      <c r="E472" s="237"/>
      <c r="F472" s="237"/>
      <c r="G472" s="238" t="str">
        <f t="shared" si="35"/>
        <v/>
      </c>
      <c r="H472" s="239" t="str">
        <f t="shared" si="36"/>
        <v/>
      </c>
      <c r="I472" s="240">
        <f t="shared" si="37"/>
        <v>3497.942387</v>
      </c>
      <c r="J472" s="241"/>
      <c r="K472" s="240"/>
      <c r="L472" s="242"/>
      <c r="M472" s="243">
        <f t="shared" si="38"/>
        <v>0</v>
      </c>
    </row>
    <row r="473" ht="26.25" customHeight="1">
      <c r="A473" s="233"/>
      <c r="B473" s="234">
        <v>46107.0</v>
      </c>
      <c r="C473" s="235">
        <v>46107.0</v>
      </c>
      <c r="D473" s="236">
        <v>850000.0</v>
      </c>
      <c r="E473" s="237"/>
      <c r="F473" s="237"/>
      <c r="G473" s="238" t="str">
        <f t="shared" si="35"/>
        <v/>
      </c>
      <c r="H473" s="239" t="str">
        <f t="shared" si="36"/>
        <v/>
      </c>
      <c r="I473" s="240">
        <f t="shared" si="37"/>
        <v>3497.942387</v>
      </c>
      <c r="J473" s="241"/>
      <c r="K473" s="240"/>
      <c r="L473" s="242"/>
      <c r="M473" s="243">
        <f t="shared" si="38"/>
        <v>0</v>
      </c>
    </row>
    <row r="474" ht="26.25" customHeight="1">
      <c r="A474" s="233"/>
      <c r="B474" s="234">
        <v>46108.0</v>
      </c>
      <c r="C474" s="235">
        <v>46108.0</v>
      </c>
      <c r="D474" s="236">
        <v>850000.0</v>
      </c>
      <c r="E474" s="237"/>
      <c r="F474" s="237"/>
      <c r="G474" s="238" t="str">
        <f t="shared" si="35"/>
        <v/>
      </c>
      <c r="H474" s="239" t="str">
        <f t="shared" si="36"/>
        <v/>
      </c>
      <c r="I474" s="240">
        <f t="shared" si="37"/>
        <v>3497.942387</v>
      </c>
      <c r="J474" s="241"/>
      <c r="K474" s="240"/>
      <c r="L474" s="242"/>
      <c r="M474" s="243">
        <f t="shared" si="38"/>
        <v>0</v>
      </c>
    </row>
    <row r="475" ht="26.25" customHeight="1">
      <c r="A475" s="233"/>
      <c r="B475" s="234">
        <v>46109.0</v>
      </c>
      <c r="C475" s="235">
        <v>46109.0</v>
      </c>
      <c r="D475" s="236">
        <v>850000.0</v>
      </c>
      <c r="E475" s="237"/>
      <c r="F475" s="237"/>
      <c r="G475" s="238" t="str">
        <f t="shared" si="35"/>
        <v/>
      </c>
      <c r="H475" s="239" t="str">
        <f t="shared" si="36"/>
        <v/>
      </c>
      <c r="I475" s="240">
        <f t="shared" si="37"/>
        <v>3497.942387</v>
      </c>
      <c r="J475" s="241"/>
      <c r="K475" s="240"/>
      <c r="L475" s="242"/>
      <c r="M475" s="243">
        <f t="shared" si="38"/>
        <v>0</v>
      </c>
    </row>
    <row r="476" ht="26.25" customHeight="1">
      <c r="A476" s="233"/>
      <c r="B476" s="234">
        <v>46110.0</v>
      </c>
      <c r="C476" s="235">
        <v>46110.0</v>
      </c>
      <c r="D476" s="236">
        <v>850000.0</v>
      </c>
      <c r="E476" s="237"/>
      <c r="F476" s="237"/>
      <c r="G476" s="238" t="str">
        <f t="shared" si="35"/>
        <v/>
      </c>
      <c r="H476" s="239" t="str">
        <f t="shared" si="36"/>
        <v/>
      </c>
      <c r="I476" s="240">
        <f t="shared" si="37"/>
        <v>3497.942387</v>
      </c>
      <c r="J476" s="241"/>
      <c r="K476" s="240"/>
      <c r="L476" s="242"/>
      <c r="M476" s="243">
        <f t="shared" si="38"/>
        <v>0</v>
      </c>
    </row>
    <row r="477" ht="26.25" customHeight="1">
      <c r="A477" s="245"/>
      <c r="B477" s="246">
        <v>46111.0</v>
      </c>
      <c r="C477" s="247">
        <v>46111.0</v>
      </c>
      <c r="D477" s="240">
        <v>850000.0</v>
      </c>
      <c r="E477" s="237"/>
      <c r="F477" s="237"/>
      <c r="G477" s="238" t="str">
        <f t="shared" si="35"/>
        <v/>
      </c>
      <c r="H477" s="239" t="str">
        <f t="shared" si="36"/>
        <v/>
      </c>
      <c r="I477" s="240">
        <f t="shared" si="37"/>
        <v>3497.942387</v>
      </c>
      <c r="J477" s="241"/>
      <c r="K477" s="240"/>
      <c r="L477" s="241"/>
      <c r="M477" s="243">
        <f t="shared" si="38"/>
        <v>0</v>
      </c>
    </row>
    <row r="478" ht="26.25" customHeight="1">
      <c r="A478" s="245"/>
      <c r="B478" s="246">
        <v>46112.0</v>
      </c>
      <c r="C478" s="247">
        <v>46112.0</v>
      </c>
      <c r="D478" s="240">
        <v>850000.0</v>
      </c>
      <c r="E478" s="237"/>
      <c r="F478" s="237"/>
      <c r="G478" s="238" t="str">
        <f t="shared" si="35"/>
        <v/>
      </c>
      <c r="H478" s="239" t="str">
        <f t="shared" si="36"/>
        <v/>
      </c>
      <c r="I478" s="240">
        <f t="shared" si="37"/>
        <v>3497.942387</v>
      </c>
      <c r="J478" s="241"/>
      <c r="K478" s="240"/>
      <c r="L478" s="241"/>
      <c r="M478" s="243">
        <f t="shared" si="38"/>
        <v>0</v>
      </c>
    </row>
    <row r="479" ht="26.25" customHeight="1">
      <c r="A479" s="248"/>
      <c r="B479" s="249"/>
      <c r="C479" s="250"/>
      <c r="D479" s="251"/>
      <c r="E479" s="252"/>
      <c r="F479" s="252"/>
      <c r="G479" s="253"/>
      <c r="H479" s="254"/>
      <c r="I479" s="251">
        <f t="shared" si="37"/>
        <v>0</v>
      </c>
      <c r="J479" s="255"/>
      <c r="K479" s="251"/>
      <c r="L479" s="256"/>
      <c r="M479" s="257"/>
    </row>
    <row r="480" ht="26.25" customHeight="1">
      <c r="A480" s="197"/>
      <c r="B480" s="200"/>
      <c r="C480" s="201"/>
      <c r="D480" s="198"/>
      <c r="E480" s="193"/>
      <c r="F480" s="193"/>
      <c r="G480" s="258"/>
      <c r="H480" s="195"/>
      <c r="I480" s="192"/>
      <c r="J480" s="196"/>
      <c r="K480" s="192"/>
      <c r="L480" s="195"/>
      <c r="M480" s="192"/>
    </row>
    <row r="481" ht="26.25" customHeight="1">
      <c r="A481" s="259" t="s">
        <v>28</v>
      </c>
      <c r="B481" s="204">
        <v>46082.0</v>
      </c>
      <c r="C481" s="224">
        <v>46082.0</v>
      </c>
      <c r="D481" s="225">
        <v>550000.0</v>
      </c>
      <c r="E481" s="260">
        <v>0.625</v>
      </c>
      <c r="F481" s="260">
        <v>0.9993055555555556</v>
      </c>
      <c r="G481" s="227">
        <f t="shared" ref="G481:G512" si="39">IF(AND(E481&lt;&gt;"",F481&lt;&gt;""),(F481-E481)*24,"")</f>
        <v>8.983333333</v>
      </c>
      <c r="H481" s="231">
        <f t="shared" ref="H481:H512" si="40">IF(A481&lt;&gt;"",1,"")</f>
        <v>1</v>
      </c>
      <c r="I481" s="229">
        <f>D481/27/9</f>
        <v>2263.374486</v>
      </c>
      <c r="J481" s="230"/>
      <c r="K481" s="225">
        <v>50000.0</v>
      </c>
      <c r="L481" s="231"/>
      <c r="M481" s="232">
        <f t="shared" ref="M481:M512" si="41">G481*I481</f>
        <v>20332.64746</v>
      </c>
    </row>
    <row r="482" ht="26.25" customHeight="1">
      <c r="A482" s="261" t="s">
        <v>28</v>
      </c>
      <c r="B482" s="234">
        <v>46083.0</v>
      </c>
      <c r="C482" s="235">
        <v>46083.0</v>
      </c>
      <c r="D482" s="236">
        <v>550000.0</v>
      </c>
      <c r="E482" s="244">
        <v>0.0</v>
      </c>
      <c r="F482" s="244">
        <v>0.06319444444444444</v>
      </c>
      <c r="G482" s="238">
        <f t="shared" si="39"/>
        <v>1.516666667</v>
      </c>
      <c r="H482" s="242">
        <f t="shared" si="40"/>
        <v>1</v>
      </c>
      <c r="I482" s="240">
        <f t="shared" ref="I482:I511" si="42">D481/27/9</f>
        <v>2263.374486</v>
      </c>
      <c r="J482" s="262"/>
      <c r="K482" s="236"/>
      <c r="L482" s="242"/>
      <c r="M482" s="243">
        <f t="shared" si="41"/>
        <v>3432.784636</v>
      </c>
    </row>
    <row r="483" ht="26.25" customHeight="1">
      <c r="A483" s="261" t="s">
        <v>28</v>
      </c>
      <c r="B483" s="234">
        <v>46083.0</v>
      </c>
      <c r="C483" s="235">
        <v>46083.0</v>
      </c>
      <c r="D483" s="236">
        <v>550000.0</v>
      </c>
      <c r="E483" s="244">
        <v>0.4895833333333333</v>
      </c>
      <c r="F483" s="244">
        <v>0.7229166666666667</v>
      </c>
      <c r="G483" s="238">
        <f t="shared" si="39"/>
        <v>5.6</v>
      </c>
      <c r="H483" s="242">
        <f t="shared" si="40"/>
        <v>1</v>
      </c>
      <c r="I483" s="240">
        <f t="shared" si="42"/>
        <v>2263.374486</v>
      </c>
      <c r="J483" s="241"/>
      <c r="K483" s="240"/>
      <c r="L483" s="242"/>
      <c r="M483" s="243">
        <f t="shared" si="41"/>
        <v>12674.89712</v>
      </c>
    </row>
    <row r="484" ht="26.25" customHeight="1">
      <c r="A484" s="261" t="s">
        <v>28</v>
      </c>
      <c r="B484" s="234">
        <v>46084.0</v>
      </c>
      <c r="C484" s="235">
        <v>46084.0</v>
      </c>
      <c r="D484" s="236">
        <v>550000.0</v>
      </c>
      <c r="E484" s="244">
        <v>0.4583333333333333</v>
      </c>
      <c r="F484" s="244">
        <v>0.7229166666666667</v>
      </c>
      <c r="G484" s="238">
        <f t="shared" si="39"/>
        <v>6.35</v>
      </c>
      <c r="H484" s="242">
        <f t="shared" si="40"/>
        <v>1</v>
      </c>
      <c r="I484" s="240">
        <f t="shared" si="42"/>
        <v>2263.374486</v>
      </c>
      <c r="J484" s="241"/>
      <c r="K484" s="236">
        <v>3500.0</v>
      </c>
      <c r="L484" s="242"/>
      <c r="M484" s="243">
        <f t="shared" si="41"/>
        <v>14372.42798</v>
      </c>
    </row>
    <row r="485" ht="26.25" customHeight="1">
      <c r="A485" s="261"/>
      <c r="B485" s="234">
        <v>46085.0</v>
      </c>
      <c r="C485" s="235">
        <v>46085.0</v>
      </c>
      <c r="D485" s="236">
        <v>550000.0</v>
      </c>
      <c r="E485" s="237"/>
      <c r="F485" s="237"/>
      <c r="G485" s="238" t="str">
        <f t="shared" si="39"/>
        <v/>
      </c>
      <c r="H485" s="242" t="str">
        <f t="shared" si="40"/>
        <v/>
      </c>
      <c r="I485" s="240">
        <f t="shared" si="42"/>
        <v>2263.374486</v>
      </c>
      <c r="J485" s="241"/>
      <c r="K485" s="240"/>
      <c r="L485" s="242"/>
      <c r="M485" s="243">
        <f t="shared" si="41"/>
        <v>0</v>
      </c>
    </row>
    <row r="486" ht="26.25" customHeight="1">
      <c r="A486" s="261" t="s">
        <v>28</v>
      </c>
      <c r="B486" s="234">
        <v>46086.0</v>
      </c>
      <c r="C486" s="235">
        <v>46086.0</v>
      </c>
      <c r="D486" s="236">
        <v>550000.0</v>
      </c>
      <c r="E486" s="244">
        <v>0.38055555555555554</v>
      </c>
      <c r="F486" s="244">
        <v>0.9090277777777778</v>
      </c>
      <c r="G486" s="238">
        <f t="shared" si="39"/>
        <v>12.68333333</v>
      </c>
      <c r="H486" s="242">
        <f t="shared" si="40"/>
        <v>1</v>
      </c>
      <c r="I486" s="240">
        <f t="shared" si="42"/>
        <v>2263.374486</v>
      </c>
      <c r="J486" s="241"/>
      <c r="K486" s="240"/>
      <c r="L486" s="242"/>
      <c r="M486" s="243">
        <f t="shared" si="41"/>
        <v>28707.13306</v>
      </c>
    </row>
    <row r="487" ht="26.25" customHeight="1">
      <c r="A487" s="261" t="s">
        <v>28</v>
      </c>
      <c r="B487" s="234">
        <v>46087.0</v>
      </c>
      <c r="C487" s="235">
        <v>46087.0</v>
      </c>
      <c r="D487" s="236">
        <v>550000.0</v>
      </c>
      <c r="E487" s="244">
        <v>0.5</v>
      </c>
      <c r="F487" s="244">
        <v>0.9993055555555556</v>
      </c>
      <c r="G487" s="238">
        <f t="shared" si="39"/>
        <v>11.98333333</v>
      </c>
      <c r="H487" s="242">
        <f t="shared" si="40"/>
        <v>1</v>
      </c>
      <c r="I487" s="240">
        <f t="shared" si="42"/>
        <v>2263.374486</v>
      </c>
      <c r="J487" s="241"/>
      <c r="K487" s="240"/>
      <c r="L487" s="242"/>
      <c r="M487" s="243">
        <f t="shared" si="41"/>
        <v>27122.77092</v>
      </c>
    </row>
    <row r="488" ht="26.25" customHeight="1">
      <c r="A488" s="261" t="s">
        <v>28</v>
      </c>
      <c r="B488" s="234">
        <v>46088.0</v>
      </c>
      <c r="C488" s="235">
        <v>46088.0</v>
      </c>
      <c r="D488" s="236">
        <v>550000.0</v>
      </c>
      <c r="E488" s="244">
        <v>0.0</v>
      </c>
      <c r="F488" s="244">
        <v>0.125</v>
      </c>
      <c r="G488" s="238">
        <f t="shared" si="39"/>
        <v>3</v>
      </c>
      <c r="H488" s="242">
        <f t="shared" si="40"/>
        <v>1</v>
      </c>
      <c r="I488" s="240">
        <f t="shared" si="42"/>
        <v>2263.374486</v>
      </c>
      <c r="J488" s="241"/>
      <c r="K488" s="240"/>
      <c r="L488" s="242"/>
      <c r="M488" s="243">
        <f t="shared" si="41"/>
        <v>6790.123457</v>
      </c>
    </row>
    <row r="489" ht="26.25" customHeight="1">
      <c r="A489" s="261" t="s">
        <v>28</v>
      </c>
      <c r="B489" s="234">
        <v>46088.0</v>
      </c>
      <c r="C489" s="235">
        <v>46088.0</v>
      </c>
      <c r="D489" s="236">
        <v>550000.0</v>
      </c>
      <c r="E489" s="244">
        <v>0.375</v>
      </c>
      <c r="F489" s="244">
        <v>0.7430555555555556</v>
      </c>
      <c r="G489" s="238">
        <f t="shared" si="39"/>
        <v>8.833333333</v>
      </c>
      <c r="H489" s="242">
        <f t="shared" si="40"/>
        <v>1</v>
      </c>
      <c r="I489" s="240">
        <f t="shared" si="42"/>
        <v>2263.374486</v>
      </c>
      <c r="J489" s="241"/>
      <c r="K489" s="240"/>
      <c r="L489" s="242"/>
      <c r="M489" s="243">
        <f t="shared" si="41"/>
        <v>19993.14129</v>
      </c>
    </row>
    <row r="490" ht="26.25" customHeight="1">
      <c r="A490" s="261" t="s">
        <v>28</v>
      </c>
      <c r="B490" s="234">
        <v>46089.0</v>
      </c>
      <c r="C490" s="235">
        <v>46089.0</v>
      </c>
      <c r="D490" s="236">
        <v>550000.0</v>
      </c>
      <c r="E490" s="244">
        <v>0.42569444444444443</v>
      </c>
      <c r="F490" s="244">
        <v>0.7986111111111112</v>
      </c>
      <c r="G490" s="238">
        <f t="shared" si="39"/>
        <v>8.95</v>
      </c>
      <c r="H490" s="242">
        <f t="shared" si="40"/>
        <v>1</v>
      </c>
      <c r="I490" s="240">
        <f t="shared" si="42"/>
        <v>2263.374486</v>
      </c>
      <c r="J490" s="241"/>
      <c r="K490" s="240"/>
      <c r="L490" s="242"/>
      <c r="M490" s="243">
        <f t="shared" si="41"/>
        <v>20257.20165</v>
      </c>
    </row>
    <row r="491" ht="26.25" customHeight="1">
      <c r="A491" s="261" t="s">
        <v>28</v>
      </c>
      <c r="B491" s="234">
        <v>46090.0</v>
      </c>
      <c r="C491" s="235">
        <v>46090.0</v>
      </c>
      <c r="D491" s="236">
        <v>550000.0</v>
      </c>
      <c r="E491" s="244">
        <v>0.4375</v>
      </c>
      <c r="F491" s="244">
        <v>0.9375</v>
      </c>
      <c r="G491" s="238">
        <f t="shared" si="39"/>
        <v>12</v>
      </c>
      <c r="H491" s="242">
        <f t="shared" si="40"/>
        <v>1</v>
      </c>
      <c r="I491" s="240">
        <f t="shared" si="42"/>
        <v>2263.374486</v>
      </c>
      <c r="J491" s="241"/>
      <c r="K491" s="240"/>
      <c r="L491" s="242"/>
      <c r="M491" s="243">
        <f t="shared" si="41"/>
        <v>27160.49383</v>
      </c>
    </row>
    <row r="492" ht="26.25" customHeight="1">
      <c r="A492" s="261" t="s">
        <v>28</v>
      </c>
      <c r="B492" s="234">
        <v>46091.0</v>
      </c>
      <c r="C492" s="235">
        <v>46091.0</v>
      </c>
      <c r="D492" s="236">
        <v>550000.0</v>
      </c>
      <c r="E492" s="244">
        <v>0.4166666666666667</v>
      </c>
      <c r="F492" s="244">
        <v>0.8125</v>
      </c>
      <c r="G492" s="238">
        <f t="shared" si="39"/>
        <v>9.5</v>
      </c>
      <c r="H492" s="242">
        <f t="shared" si="40"/>
        <v>1</v>
      </c>
      <c r="I492" s="240">
        <f t="shared" si="42"/>
        <v>2263.374486</v>
      </c>
      <c r="J492" s="241"/>
      <c r="K492" s="240"/>
      <c r="L492" s="242"/>
      <c r="M492" s="243">
        <f t="shared" si="41"/>
        <v>21502.05761</v>
      </c>
    </row>
    <row r="493" ht="26.25" customHeight="1">
      <c r="A493" s="261" t="s">
        <v>28</v>
      </c>
      <c r="B493" s="234">
        <v>46092.0</v>
      </c>
      <c r="C493" s="235">
        <v>46092.0</v>
      </c>
      <c r="D493" s="236">
        <v>550000.0</v>
      </c>
      <c r="E493" s="244">
        <v>0.3333333333333333</v>
      </c>
      <c r="F493" s="244">
        <v>0.75</v>
      </c>
      <c r="G493" s="238">
        <f t="shared" si="39"/>
        <v>10</v>
      </c>
      <c r="H493" s="242">
        <f t="shared" si="40"/>
        <v>1</v>
      </c>
      <c r="I493" s="240">
        <f t="shared" si="42"/>
        <v>2263.374486</v>
      </c>
      <c r="J493" s="241"/>
      <c r="K493" s="240"/>
      <c r="L493" s="242"/>
      <c r="M493" s="243">
        <f t="shared" si="41"/>
        <v>22633.74486</v>
      </c>
    </row>
    <row r="494" ht="26.25" customHeight="1">
      <c r="A494" s="261" t="s">
        <v>28</v>
      </c>
      <c r="B494" s="234">
        <v>46093.0</v>
      </c>
      <c r="C494" s="235">
        <v>46093.0</v>
      </c>
      <c r="D494" s="236">
        <v>550000.0</v>
      </c>
      <c r="E494" s="244">
        <v>0.4375</v>
      </c>
      <c r="F494" s="244">
        <v>0.9993055555555556</v>
      </c>
      <c r="G494" s="238">
        <f t="shared" si="39"/>
        <v>13.48333333</v>
      </c>
      <c r="H494" s="242">
        <f t="shared" si="40"/>
        <v>1</v>
      </c>
      <c r="I494" s="240">
        <f t="shared" si="42"/>
        <v>2263.374486</v>
      </c>
      <c r="J494" s="241"/>
      <c r="K494" s="240"/>
      <c r="L494" s="242"/>
      <c r="M494" s="243">
        <f t="shared" si="41"/>
        <v>30517.83265</v>
      </c>
    </row>
    <row r="495" ht="26.25" customHeight="1">
      <c r="A495" s="261" t="s">
        <v>28</v>
      </c>
      <c r="B495" s="234">
        <v>46094.0</v>
      </c>
      <c r="C495" s="235">
        <v>46094.0</v>
      </c>
      <c r="D495" s="236">
        <v>550000.0</v>
      </c>
      <c r="E495" s="244">
        <v>0.14583333333333334</v>
      </c>
      <c r="F495" s="244">
        <v>0.5</v>
      </c>
      <c r="G495" s="238">
        <f t="shared" si="39"/>
        <v>8.5</v>
      </c>
      <c r="H495" s="242">
        <f t="shared" si="40"/>
        <v>1</v>
      </c>
      <c r="I495" s="240">
        <f t="shared" si="42"/>
        <v>2263.374486</v>
      </c>
      <c r="J495" s="241"/>
      <c r="K495" s="240"/>
      <c r="L495" s="242"/>
      <c r="M495" s="243">
        <f t="shared" si="41"/>
        <v>19238.68313</v>
      </c>
    </row>
    <row r="496" ht="26.25" customHeight="1">
      <c r="A496" s="261" t="s">
        <v>28</v>
      </c>
      <c r="B496" s="234">
        <v>46095.0</v>
      </c>
      <c r="C496" s="235">
        <v>46095.0</v>
      </c>
      <c r="D496" s="236">
        <v>550000.0</v>
      </c>
      <c r="E496" s="244">
        <v>0.4375</v>
      </c>
      <c r="F496" s="244">
        <v>0.8993055555555556</v>
      </c>
      <c r="G496" s="238">
        <f t="shared" si="39"/>
        <v>11.08333333</v>
      </c>
      <c r="H496" s="242">
        <f t="shared" si="40"/>
        <v>1</v>
      </c>
      <c r="I496" s="240">
        <f t="shared" si="42"/>
        <v>2263.374486</v>
      </c>
      <c r="J496" s="241"/>
      <c r="K496" s="236">
        <v>15000.0</v>
      </c>
      <c r="L496" s="242"/>
      <c r="M496" s="243">
        <f t="shared" si="41"/>
        <v>25085.73388</v>
      </c>
    </row>
    <row r="497" ht="26.25" customHeight="1">
      <c r="A497" s="261" t="s">
        <v>28</v>
      </c>
      <c r="B497" s="234">
        <v>46096.0</v>
      </c>
      <c r="C497" s="235">
        <v>46096.0</v>
      </c>
      <c r="D497" s="236">
        <v>550000.0</v>
      </c>
      <c r="E497" s="237"/>
      <c r="F497" s="237"/>
      <c r="G497" s="238" t="str">
        <f t="shared" si="39"/>
        <v/>
      </c>
      <c r="H497" s="242">
        <f t="shared" si="40"/>
        <v>1</v>
      </c>
      <c r="I497" s="240">
        <f t="shared" si="42"/>
        <v>2263.374486</v>
      </c>
      <c r="J497" s="241"/>
      <c r="K497" s="236">
        <v>30000.0</v>
      </c>
      <c r="L497" s="242"/>
      <c r="M497" s="243">
        <f t="shared" si="41"/>
        <v>0</v>
      </c>
    </row>
    <row r="498" ht="26.25" customHeight="1">
      <c r="A498" s="261" t="s">
        <v>28</v>
      </c>
      <c r="B498" s="234">
        <v>46097.0</v>
      </c>
      <c r="C498" s="235">
        <v>46097.0</v>
      </c>
      <c r="D498" s="236">
        <v>550000.0</v>
      </c>
      <c r="E498" s="244">
        <v>0.41388888888888886</v>
      </c>
      <c r="F498" s="244">
        <v>0.8138888888888889</v>
      </c>
      <c r="G498" s="238">
        <f t="shared" si="39"/>
        <v>9.6</v>
      </c>
      <c r="H498" s="242">
        <f t="shared" si="40"/>
        <v>1</v>
      </c>
      <c r="I498" s="240">
        <f t="shared" si="42"/>
        <v>2263.374486</v>
      </c>
      <c r="J498" s="241"/>
      <c r="K498" s="240"/>
      <c r="L498" s="242"/>
      <c r="M498" s="243">
        <f t="shared" si="41"/>
        <v>21728.39506</v>
      </c>
    </row>
    <row r="499" ht="26.25" customHeight="1">
      <c r="A499" s="261" t="s">
        <v>28</v>
      </c>
      <c r="B499" s="234">
        <v>46098.0</v>
      </c>
      <c r="C499" s="235">
        <v>46098.0</v>
      </c>
      <c r="D499" s="236">
        <v>550000.0</v>
      </c>
      <c r="E499" s="244">
        <v>0.4097222222222222</v>
      </c>
      <c r="F499" s="244">
        <v>0.74375</v>
      </c>
      <c r="G499" s="238">
        <f t="shared" si="39"/>
        <v>8.016666667</v>
      </c>
      <c r="H499" s="242">
        <f t="shared" si="40"/>
        <v>1</v>
      </c>
      <c r="I499" s="240">
        <f t="shared" si="42"/>
        <v>2263.374486</v>
      </c>
      <c r="J499" s="241"/>
      <c r="K499" s="240"/>
      <c r="L499" s="242"/>
      <c r="M499" s="243">
        <f t="shared" si="41"/>
        <v>18144.71879</v>
      </c>
    </row>
    <row r="500" ht="26.25" customHeight="1">
      <c r="A500" s="261" t="s">
        <v>28</v>
      </c>
      <c r="B500" s="234">
        <v>46099.0</v>
      </c>
      <c r="C500" s="235">
        <v>46099.0</v>
      </c>
      <c r="D500" s="236">
        <v>550000.0</v>
      </c>
      <c r="E500" s="244">
        <v>0.40347222222222223</v>
      </c>
      <c r="F500" s="244">
        <v>0.9166666666666666</v>
      </c>
      <c r="G500" s="238">
        <f t="shared" si="39"/>
        <v>12.31666667</v>
      </c>
      <c r="H500" s="242">
        <f t="shared" si="40"/>
        <v>1</v>
      </c>
      <c r="I500" s="240">
        <f t="shared" si="42"/>
        <v>2263.374486</v>
      </c>
      <c r="J500" s="241"/>
      <c r="K500" s="240"/>
      <c r="L500" s="242"/>
      <c r="M500" s="243">
        <f t="shared" si="41"/>
        <v>27877.22908</v>
      </c>
    </row>
    <row r="501" ht="26.25" customHeight="1">
      <c r="A501" s="261" t="s">
        <v>28</v>
      </c>
      <c r="B501" s="234">
        <v>46100.0</v>
      </c>
      <c r="C501" s="235">
        <v>46100.0</v>
      </c>
      <c r="D501" s="236">
        <v>550000.0</v>
      </c>
      <c r="E501" s="244">
        <v>0.4236111111111111</v>
      </c>
      <c r="F501" s="244">
        <v>0.9159722222222222</v>
      </c>
      <c r="G501" s="238">
        <f t="shared" si="39"/>
        <v>11.81666667</v>
      </c>
      <c r="H501" s="242">
        <f t="shared" si="40"/>
        <v>1</v>
      </c>
      <c r="I501" s="240">
        <f t="shared" si="42"/>
        <v>2263.374486</v>
      </c>
      <c r="J501" s="241"/>
      <c r="K501" s="236">
        <v>25000.0</v>
      </c>
      <c r="L501" s="242"/>
      <c r="M501" s="243">
        <f t="shared" si="41"/>
        <v>26745.54184</v>
      </c>
    </row>
    <row r="502" ht="26.25" customHeight="1">
      <c r="A502" s="261" t="s">
        <v>28</v>
      </c>
      <c r="B502" s="234">
        <v>46101.0</v>
      </c>
      <c r="C502" s="235">
        <v>46101.0</v>
      </c>
      <c r="D502" s="236">
        <v>550000.0</v>
      </c>
      <c r="E502" s="244">
        <v>0.3333333333333333</v>
      </c>
      <c r="F502" s="244">
        <v>0.75</v>
      </c>
      <c r="G502" s="238">
        <f t="shared" si="39"/>
        <v>10</v>
      </c>
      <c r="H502" s="242">
        <f t="shared" si="40"/>
        <v>1</v>
      </c>
      <c r="I502" s="240">
        <f t="shared" si="42"/>
        <v>2263.374486</v>
      </c>
      <c r="J502" s="241"/>
      <c r="K502" s="240"/>
      <c r="L502" s="242"/>
      <c r="M502" s="243">
        <f t="shared" si="41"/>
        <v>22633.74486</v>
      </c>
    </row>
    <row r="503" ht="26.25" customHeight="1">
      <c r="A503" s="261" t="s">
        <v>28</v>
      </c>
      <c r="B503" s="234">
        <v>46102.0</v>
      </c>
      <c r="C503" s="235">
        <v>46102.0</v>
      </c>
      <c r="D503" s="236">
        <v>550000.0</v>
      </c>
      <c r="E503" s="244">
        <v>0.5833333333333334</v>
      </c>
      <c r="F503" s="244">
        <v>0.9583333333333334</v>
      </c>
      <c r="G503" s="238">
        <f t="shared" si="39"/>
        <v>9</v>
      </c>
      <c r="H503" s="242">
        <f t="shared" si="40"/>
        <v>1</v>
      </c>
      <c r="I503" s="240">
        <f t="shared" si="42"/>
        <v>2263.374486</v>
      </c>
      <c r="J503" s="241"/>
      <c r="K503" s="236"/>
      <c r="L503" s="242"/>
      <c r="M503" s="243">
        <f t="shared" si="41"/>
        <v>20370.37037</v>
      </c>
    </row>
    <row r="504" ht="26.25" customHeight="1">
      <c r="A504" s="261" t="s">
        <v>28</v>
      </c>
      <c r="B504" s="234">
        <v>46103.0</v>
      </c>
      <c r="C504" s="235">
        <v>46103.0</v>
      </c>
      <c r="D504" s="236">
        <v>550000.0</v>
      </c>
      <c r="E504" s="244">
        <v>0.375</v>
      </c>
      <c r="F504" s="244">
        <v>0.875</v>
      </c>
      <c r="G504" s="238">
        <f t="shared" si="39"/>
        <v>12</v>
      </c>
      <c r="H504" s="242">
        <f t="shared" si="40"/>
        <v>1</v>
      </c>
      <c r="I504" s="240">
        <f t="shared" si="42"/>
        <v>2263.374486</v>
      </c>
      <c r="J504" s="241"/>
      <c r="K504" s="236">
        <v>230000.0</v>
      </c>
      <c r="L504" s="242"/>
      <c r="M504" s="243">
        <f t="shared" si="41"/>
        <v>27160.49383</v>
      </c>
    </row>
    <row r="505" ht="26.25" customHeight="1">
      <c r="A505" s="261" t="s">
        <v>28</v>
      </c>
      <c r="B505" s="234">
        <v>46104.0</v>
      </c>
      <c r="C505" s="235">
        <v>46104.0</v>
      </c>
      <c r="D505" s="236">
        <v>550000.0</v>
      </c>
      <c r="E505" s="244">
        <v>0.375</v>
      </c>
      <c r="F505" s="244">
        <v>0.875</v>
      </c>
      <c r="G505" s="238">
        <f t="shared" si="39"/>
        <v>12</v>
      </c>
      <c r="H505" s="242">
        <f t="shared" si="40"/>
        <v>1</v>
      </c>
      <c r="I505" s="240">
        <f t="shared" si="42"/>
        <v>2263.374486</v>
      </c>
      <c r="J505" s="241"/>
      <c r="K505" s="240"/>
      <c r="L505" s="242"/>
      <c r="M505" s="243">
        <f t="shared" si="41"/>
        <v>27160.49383</v>
      </c>
    </row>
    <row r="506" ht="26.25" customHeight="1">
      <c r="A506" s="261" t="s">
        <v>28</v>
      </c>
      <c r="B506" s="234">
        <v>46105.0</v>
      </c>
      <c r="C506" s="235">
        <v>46105.0</v>
      </c>
      <c r="D506" s="236">
        <v>550000.0</v>
      </c>
      <c r="E506" s="244">
        <v>0.375</v>
      </c>
      <c r="F506" s="244">
        <v>0.875</v>
      </c>
      <c r="G506" s="238">
        <f t="shared" si="39"/>
        <v>12</v>
      </c>
      <c r="H506" s="242">
        <f t="shared" si="40"/>
        <v>1</v>
      </c>
      <c r="I506" s="240">
        <f t="shared" si="42"/>
        <v>2263.374486</v>
      </c>
      <c r="J506" s="241"/>
      <c r="K506" s="236"/>
      <c r="L506" s="242"/>
      <c r="M506" s="243">
        <f t="shared" si="41"/>
        <v>27160.49383</v>
      </c>
    </row>
    <row r="507" ht="26.25" customHeight="1">
      <c r="A507" s="261" t="s">
        <v>28</v>
      </c>
      <c r="B507" s="234">
        <v>46106.0</v>
      </c>
      <c r="C507" s="235">
        <v>46106.0</v>
      </c>
      <c r="D507" s="236">
        <v>550000.0</v>
      </c>
      <c r="E507" s="244">
        <v>0.375</v>
      </c>
      <c r="F507" s="244">
        <v>0.875</v>
      </c>
      <c r="G507" s="238">
        <f t="shared" si="39"/>
        <v>12</v>
      </c>
      <c r="H507" s="242">
        <f t="shared" si="40"/>
        <v>1</v>
      </c>
      <c r="I507" s="240">
        <f t="shared" si="42"/>
        <v>2263.374486</v>
      </c>
      <c r="J507" s="241"/>
      <c r="K507" s="236"/>
      <c r="L507" s="242"/>
      <c r="M507" s="243">
        <f t="shared" si="41"/>
        <v>27160.49383</v>
      </c>
    </row>
    <row r="508" ht="26.25" customHeight="1">
      <c r="A508" s="261" t="s">
        <v>28</v>
      </c>
      <c r="B508" s="234">
        <v>46107.0</v>
      </c>
      <c r="C508" s="235">
        <v>46107.0</v>
      </c>
      <c r="D508" s="236">
        <v>550000.0</v>
      </c>
      <c r="E508" s="244">
        <v>0.375</v>
      </c>
      <c r="F508" s="244">
        <v>0.875</v>
      </c>
      <c r="G508" s="238">
        <f t="shared" si="39"/>
        <v>12</v>
      </c>
      <c r="H508" s="242">
        <f t="shared" si="40"/>
        <v>1</v>
      </c>
      <c r="I508" s="240">
        <f t="shared" si="42"/>
        <v>2263.374486</v>
      </c>
      <c r="J508" s="241"/>
      <c r="K508" s="240"/>
      <c r="L508" s="242"/>
      <c r="M508" s="243">
        <f t="shared" si="41"/>
        <v>27160.49383</v>
      </c>
    </row>
    <row r="509" ht="26.25" customHeight="1">
      <c r="A509" s="261"/>
      <c r="B509" s="234">
        <v>46108.0</v>
      </c>
      <c r="C509" s="235">
        <v>46108.0</v>
      </c>
      <c r="D509" s="236">
        <v>550000.0</v>
      </c>
      <c r="E509" s="237"/>
      <c r="F509" s="237"/>
      <c r="G509" s="238" t="str">
        <f t="shared" si="39"/>
        <v/>
      </c>
      <c r="H509" s="242" t="str">
        <f t="shared" si="40"/>
        <v/>
      </c>
      <c r="I509" s="240">
        <f t="shared" si="42"/>
        <v>2263.374486</v>
      </c>
      <c r="J509" s="241"/>
      <c r="K509" s="240"/>
      <c r="L509" s="242"/>
      <c r="M509" s="243">
        <f t="shared" si="41"/>
        <v>0</v>
      </c>
    </row>
    <row r="510" ht="26.25" customHeight="1">
      <c r="A510" s="261"/>
      <c r="B510" s="234">
        <v>46109.0</v>
      </c>
      <c r="C510" s="235">
        <v>46109.0</v>
      </c>
      <c r="D510" s="236">
        <v>550000.0</v>
      </c>
      <c r="E510" s="237"/>
      <c r="F510" s="237"/>
      <c r="G510" s="238" t="str">
        <f t="shared" si="39"/>
        <v/>
      </c>
      <c r="H510" s="242" t="str">
        <f t="shared" si="40"/>
        <v/>
      </c>
      <c r="I510" s="240">
        <f t="shared" si="42"/>
        <v>2263.374486</v>
      </c>
      <c r="J510" s="241"/>
      <c r="K510" s="240"/>
      <c r="L510" s="242"/>
      <c r="M510" s="243">
        <f t="shared" si="41"/>
        <v>0</v>
      </c>
    </row>
    <row r="511" ht="26.25" customHeight="1">
      <c r="A511" s="261"/>
      <c r="B511" s="234">
        <v>46110.0</v>
      </c>
      <c r="C511" s="235">
        <v>46110.0</v>
      </c>
      <c r="D511" s="263">
        <v>550000.0</v>
      </c>
      <c r="E511" s="264"/>
      <c r="F511" s="264"/>
      <c r="G511" s="265" t="str">
        <f t="shared" si="39"/>
        <v/>
      </c>
      <c r="H511" s="266" t="str">
        <f t="shared" si="40"/>
        <v/>
      </c>
      <c r="I511" s="240">
        <f t="shared" si="42"/>
        <v>2263.374486</v>
      </c>
      <c r="J511" s="267"/>
      <c r="K511" s="263"/>
      <c r="L511" s="268"/>
      <c r="M511" s="269">
        <f t="shared" si="41"/>
        <v>0</v>
      </c>
    </row>
    <row r="512" ht="26.25" customHeight="1">
      <c r="A512" s="270"/>
      <c r="B512" s="234">
        <v>46111.0</v>
      </c>
      <c r="C512" s="235">
        <v>46111.0</v>
      </c>
      <c r="D512" s="271">
        <v>550000.0</v>
      </c>
      <c r="E512" s="272"/>
      <c r="F512" s="272"/>
      <c r="G512" s="273" t="str">
        <f t="shared" si="39"/>
        <v/>
      </c>
      <c r="H512" s="274" t="str">
        <f t="shared" si="40"/>
        <v/>
      </c>
      <c r="I512" s="271">
        <f>D481/27/9</f>
        <v>2263.374486</v>
      </c>
      <c r="J512" s="275"/>
      <c r="K512" s="271"/>
      <c r="L512" s="276"/>
      <c r="M512" s="277">
        <f t="shared" si="41"/>
        <v>0</v>
      </c>
    </row>
    <row r="513" ht="26.25" customHeight="1">
      <c r="A513" s="278"/>
      <c r="B513" s="279"/>
      <c r="C513" s="280"/>
      <c r="D513" s="281"/>
      <c r="E513" s="282"/>
      <c r="F513" s="282"/>
      <c r="G513" s="283"/>
      <c r="H513" s="284"/>
      <c r="I513" s="281"/>
      <c r="J513" s="285"/>
      <c r="K513" s="281"/>
      <c r="L513" s="286"/>
      <c r="M513" s="287"/>
    </row>
    <row r="514" ht="26.25" customHeight="1">
      <c r="A514" s="288"/>
      <c r="B514" s="289"/>
      <c r="C514" s="290"/>
      <c r="D514" s="291"/>
      <c r="E514" s="292"/>
      <c r="F514" s="292"/>
      <c r="G514" s="293"/>
      <c r="H514" s="294"/>
      <c r="I514" s="295"/>
      <c r="J514" s="296"/>
      <c r="K514" s="295"/>
      <c r="L514" s="294"/>
      <c r="M514" s="297"/>
    </row>
    <row r="515" ht="26.25" customHeight="1">
      <c r="A515" s="259" t="s">
        <v>114</v>
      </c>
      <c r="B515" s="298">
        <v>46082.0</v>
      </c>
      <c r="C515" s="299">
        <v>46082.0</v>
      </c>
      <c r="D515" s="229">
        <v>750000.0</v>
      </c>
      <c r="E515" s="260">
        <v>0.375</v>
      </c>
      <c r="F515" s="260">
        <v>0.75</v>
      </c>
      <c r="G515" s="227">
        <f t="shared" ref="G515:G545" si="43">IF(AND(E515&lt;&gt;"",F515&lt;&gt;""),(F515-E515)*24,"")</f>
        <v>9</v>
      </c>
      <c r="H515" s="231">
        <f t="shared" ref="H515:H545" si="44">IF(A515&lt;&gt;"",1,"")</f>
        <v>1</v>
      </c>
      <c r="I515" s="229">
        <f>D515/27/9</f>
        <v>3086.419753</v>
      </c>
      <c r="J515" s="230"/>
      <c r="K515" s="229"/>
      <c r="L515" s="300">
        <v>2160.0</v>
      </c>
      <c r="M515" s="232">
        <f t="shared" ref="M515:M545" si="45">G515*I515</f>
        <v>27777.77778</v>
      </c>
    </row>
    <row r="516" ht="26.25" customHeight="1">
      <c r="A516" s="261" t="s">
        <v>114</v>
      </c>
      <c r="B516" s="246">
        <v>46083.0</v>
      </c>
      <c r="C516" s="247">
        <v>46083.0</v>
      </c>
      <c r="D516" s="240">
        <v>750000.0</v>
      </c>
      <c r="E516" s="244">
        <v>0.4375</v>
      </c>
      <c r="F516" s="244">
        <v>0.7083333333333334</v>
      </c>
      <c r="G516" s="238">
        <f t="shared" si="43"/>
        <v>6.5</v>
      </c>
      <c r="H516" s="242">
        <f t="shared" si="44"/>
        <v>1</v>
      </c>
      <c r="I516" s="240">
        <f t="shared" ref="I516:I545" si="46">D515/27/9</f>
        <v>3086.419753</v>
      </c>
      <c r="J516" s="241"/>
      <c r="K516" s="240"/>
      <c r="L516" s="237"/>
      <c r="M516" s="243">
        <f t="shared" si="45"/>
        <v>20061.7284</v>
      </c>
    </row>
    <row r="517" ht="26.25" customHeight="1">
      <c r="A517" s="245"/>
      <c r="B517" s="246">
        <v>46084.0</v>
      </c>
      <c r="C517" s="247">
        <v>46084.0</v>
      </c>
      <c r="D517" s="240">
        <v>750000.0</v>
      </c>
      <c r="E517" s="237"/>
      <c r="F517" s="237"/>
      <c r="G517" s="238" t="str">
        <f t="shared" si="43"/>
        <v/>
      </c>
      <c r="H517" s="242" t="str">
        <f t="shared" si="44"/>
        <v/>
      </c>
      <c r="I517" s="240">
        <f t="shared" si="46"/>
        <v>3086.419753</v>
      </c>
      <c r="J517" s="241"/>
      <c r="K517" s="240"/>
      <c r="L517" s="237"/>
      <c r="M517" s="243">
        <f t="shared" si="45"/>
        <v>0</v>
      </c>
    </row>
    <row r="518" ht="26.25" customHeight="1">
      <c r="A518" s="245"/>
      <c r="B518" s="246">
        <v>46085.0</v>
      </c>
      <c r="C518" s="247">
        <v>46085.0</v>
      </c>
      <c r="D518" s="240">
        <v>750000.0</v>
      </c>
      <c r="E518" s="237"/>
      <c r="F518" s="237"/>
      <c r="G518" s="238" t="str">
        <f t="shared" si="43"/>
        <v/>
      </c>
      <c r="H518" s="242" t="str">
        <f t="shared" si="44"/>
        <v/>
      </c>
      <c r="I518" s="240">
        <f t="shared" si="46"/>
        <v>3086.419753</v>
      </c>
      <c r="J518" s="241"/>
      <c r="K518" s="240"/>
      <c r="L518" s="237"/>
      <c r="M518" s="243">
        <f t="shared" si="45"/>
        <v>0</v>
      </c>
    </row>
    <row r="519" ht="26.25" customHeight="1">
      <c r="A519" s="245"/>
      <c r="B519" s="246">
        <v>46086.0</v>
      </c>
      <c r="C519" s="247">
        <v>46086.0</v>
      </c>
      <c r="D519" s="240">
        <v>750000.0</v>
      </c>
      <c r="E519" s="237"/>
      <c r="F519" s="237"/>
      <c r="G519" s="238" t="str">
        <f t="shared" si="43"/>
        <v/>
      </c>
      <c r="H519" s="242" t="str">
        <f t="shared" si="44"/>
        <v/>
      </c>
      <c r="I519" s="240">
        <f t="shared" si="46"/>
        <v>3086.419753</v>
      </c>
      <c r="J519" s="241"/>
      <c r="K519" s="240"/>
      <c r="L519" s="237"/>
      <c r="M519" s="243">
        <f t="shared" si="45"/>
        <v>0</v>
      </c>
    </row>
    <row r="520" ht="26.25" customHeight="1">
      <c r="A520" s="245"/>
      <c r="B520" s="246">
        <v>46087.0</v>
      </c>
      <c r="C520" s="247">
        <v>46087.0</v>
      </c>
      <c r="D520" s="240">
        <v>750000.0</v>
      </c>
      <c r="E520" s="237"/>
      <c r="F520" s="237"/>
      <c r="G520" s="238" t="str">
        <f t="shared" si="43"/>
        <v/>
      </c>
      <c r="H520" s="242" t="str">
        <f t="shared" si="44"/>
        <v/>
      </c>
      <c r="I520" s="240">
        <f t="shared" si="46"/>
        <v>3086.419753</v>
      </c>
      <c r="J520" s="241"/>
      <c r="K520" s="240"/>
      <c r="L520" s="237"/>
      <c r="M520" s="243">
        <f t="shared" si="45"/>
        <v>0</v>
      </c>
    </row>
    <row r="521" ht="26.25" customHeight="1">
      <c r="A521" s="245"/>
      <c r="B521" s="246">
        <v>46088.0</v>
      </c>
      <c r="C521" s="247">
        <v>46088.0</v>
      </c>
      <c r="D521" s="240">
        <v>750000.0</v>
      </c>
      <c r="E521" s="237"/>
      <c r="F521" s="237"/>
      <c r="G521" s="238" t="str">
        <f t="shared" si="43"/>
        <v/>
      </c>
      <c r="H521" s="242" t="str">
        <f t="shared" si="44"/>
        <v/>
      </c>
      <c r="I521" s="240">
        <f t="shared" si="46"/>
        <v>3086.419753</v>
      </c>
      <c r="J521" s="241"/>
      <c r="K521" s="240"/>
      <c r="L521" s="237"/>
      <c r="M521" s="243">
        <f t="shared" si="45"/>
        <v>0</v>
      </c>
    </row>
    <row r="522" ht="26.25" customHeight="1">
      <c r="A522" s="245"/>
      <c r="B522" s="246">
        <v>46089.0</v>
      </c>
      <c r="C522" s="247">
        <v>46089.0</v>
      </c>
      <c r="D522" s="240">
        <v>750000.0</v>
      </c>
      <c r="E522" s="237"/>
      <c r="F522" s="237"/>
      <c r="G522" s="238" t="str">
        <f t="shared" si="43"/>
        <v/>
      </c>
      <c r="H522" s="242" t="str">
        <f t="shared" si="44"/>
        <v/>
      </c>
      <c r="I522" s="240">
        <f t="shared" si="46"/>
        <v>3086.419753</v>
      </c>
      <c r="J522" s="241"/>
      <c r="K522" s="240"/>
      <c r="L522" s="237"/>
      <c r="M522" s="243">
        <f t="shared" si="45"/>
        <v>0</v>
      </c>
    </row>
    <row r="523" ht="26.25" customHeight="1">
      <c r="A523" s="245"/>
      <c r="B523" s="246">
        <v>46090.0</v>
      </c>
      <c r="C523" s="247">
        <v>46090.0</v>
      </c>
      <c r="D523" s="240">
        <v>750000.0</v>
      </c>
      <c r="E523" s="237"/>
      <c r="F523" s="237"/>
      <c r="G523" s="238" t="str">
        <f t="shared" si="43"/>
        <v/>
      </c>
      <c r="H523" s="242" t="str">
        <f t="shared" si="44"/>
        <v/>
      </c>
      <c r="I523" s="240">
        <f t="shared" si="46"/>
        <v>3086.419753</v>
      </c>
      <c r="J523" s="241"/>
      <c r="K523" s="240"/>
      <c r="L523" s="237"/>
      <c r="M523" s="243">
        <f t="shared" si="45"/>
        <v>0</v>
      </c>
    </row>
    <row r="524" ht="26.25" customHeight="1">
      <c r="A524" s="245"/>
      <c r="B524" s="246">
        <v>46091.0</v>
      </c>
      <c r="C524" s="247">
        <v>46091.0</v>
      </c>
      <c r="D524" s="240">
        <v>750000.0</v>
      </c>
      <c r="E524" s="237"/>
      <c r="F524" s="237"/>
      <c r="G524" s="238" t="str">
        <f t="shared" si="43"/>
        <v/>
      </c>
      <c r="H524" s="242" t="str">
        <f t="shared" si="44"/>
        <v/>
      </c>
      <c r="I524" s="240">
        <f t="shared" si="46"/>
        <v>3086.419753</v>
      </c>
      <c r="J524" s="241"/>
      <c r="K524" s="240"/>
      <c r="L524" s="237"/>
      <c r="M524" s="243">
        <f t="shared" si="45"/>
        <v>0</v>
      </c>
    </row>
    <row r="525" ht="26.25" customHeight="1">
      <c r="A525" s="245"/>
      <c r="B525" s="246">
        <v>46092.0</v>
      </c>
      <c r="C525" s="247">
        <v>46092.0</v>
      </c>
      <c r="D525" s="240">
        <v>750000.0</v>
      </c>
      <c r="E525" s="237"/>
      <c r="F525" s="237"/>
      <c r="G525" s="238" t="str">
        <f t="shared" si="43"/>
        <v/>
      </c>
      <c r="H525" s="242" t="str">
        <f t="shared" si="44"/>
        <v/>
      </c>
      <c r="I525" s="240">
        <f t="shared" si="46"/>
        <v>3086.419753</v>
      </c>
      <c r="J525" s="241"/>
      <c r="K525" s="240"/>
      <c r="L525" s="237"/>
      <c r="M525" s="243">
        <f t="shared" si="45"/>
        <v>0</v>
      </c>
    </row>
    <row r="526" ht="26.25" customHeight="1">
      <c r="A526" s="245"/>
      <c r="B526" s="246">
        <v>46093.0</v>
      </c>
      <c r="C526" s="247">
        <v>46093.0</v>
      </c>
      <c r="D526" s="240">
        <v>750000.0</v>
      </c>
      <c r="E526" s="237"/>
      <c r="F526" s="237"/>
      <c r="G526" s="238" t="str">
        <f t="shared" si="43"/>
        <v/>
      </c>
      <c r="H526" s="242" t="str">
        <f t="shared" si="44"/>
        <v/>
      </c>
      <c r="I526" s="240">
        <f t="shared" si="46"/>
        <v>3086.419753</v>
      </c>
      <c r="J526" s="241"/>
      <c r="K526" s="240"/>
      <c r="L526" s="237"/>
      <c r="M526" s="243">
        <f t="shared" si="45"/>
        <v>0</v>
      </c>
    </row>
    <row r="527" ht="26.25" customHeight="1">
      <c r="A527" s="245"/>
      <c r="B527" s="246">
        <v>46094.0</v>
      </c>
      <c r="C527" s="247">
        <v>46094.0</v>
      </c>
      <c r="D527" s="240">
        <v>750000.0</v>
      </c>
      <c r="E527" s="237"/>
      <c r="F527" s="237"/>
      <c r="G527" s="238" t="str">
        <f t="shared" si="43"/>
        <v/>
      </c>
      <c r="H527" s="242" t="str">
        <f t="shared" si="44"/>
        <v/>
      </c>
      <c r="I527" s="240">
        <f t="shared" si="46"/>
        <v>3086.419753</v>
      </c>
      <c r="J527" s="241"/>
      <c r="K527" s="240"/>
      <c r="L527" s="237"/>
      <c r="M527" s="243">
        <f t="shared" si="45"/>
        <v>0</v>
      </c>
    </row>
    <row r="528" ht="26.25" customHeight="1">
      <c r="A528" s="245"/>
      <c r="B528" s="246">
        <v>46095.0</v>
      </c>
      <c r="C528" s="247">
        <v>46095.0</v>
      </c>
      <c r="D528" s="240">
        <v>750000.0</v>
      </c>
      <c r="E528" s="237"/>
      <c r="F528" s="237"/>
      <c r="G528" s="238" t="str">
        <f t="shared" si="43"/>
        <v/>
      </c>
      <c r="H528" s="242" t="str">
        <f t="shared" si="44"/>
        <v/>
      </c>
      <c r="I528" s="240">
        <f t="shared" si="46"/>
        <v>3086.419753</v>
      </c>
      <c r="J528" s="241"/>
      <c r="K528" s="240"/>
      <c r="L528" s="237"/>
      <c r="M528" s="243">
        <f t="shared" si="45"/>
        <v>0</v>
      </c>
    </row>
    <row r="529" ht="26.25" customHeight="1">
      <c r="A529" s="245"/>
      <c r="B529" s="246">
        <v>46096.0</v>
      </c>
      <c r="C529" s="247">
        <v>46096.0</v>
      </c>
      <c r="D529" s="240">
        <v>750000.0</v>
      </c>
      <c r="E529" s="237"/>
      <c r="F529" s="237"/>
      <c r="G529" s="238" t="str">
        <f t="shared" si="43"/>
        <v/>
      </c>
      <c r="H529" s="242" t="str">
        <f t="shared" si="44"/>
        <v/>
      </c>
      <c r="I529" s="240">
        <f t="shared" si="46"/>
        <v>3086.419753</v>
      </c>
      <c r="J529" s="241"/>
      <c r="K529" s="240"/>
      <c r="L529" s="237"/>
      <c r="M529" s="243">
        <f t="shared" si="45"/>
        <v>0</v>
      </c>
    </row>
    <row r="530" ht="26.25" customHeight="1">
      <c r="A530" s="245"/>
      <c r="B530" s="246">
        <v>46097.0</v>
      </c>
      <c r="C530" s="247">
        <v>46097.0</v>
      </c>
      <c r="D530" s="240">
        <v>750000.0</v>
      </c>
      <c r="E530" s="237"/>
      <c r="F530" s="237"/>
      <c r="G530" s="238" t="str">
        <f t="shared" si="43"/>
        <v/>
      </c>
      <c r="H530" s="242" t="str">
        <f t="shared" si="44"/>
        <v/>
      </c>
      <c r="I530" s="240">
        <f t="shared" si="46"/>
        <v>3086.419753</v>
      </c>
      <c r="J530" s="241"/>
      <c r="K530" s="240"/>
      <c r="L530" s="237"/>
      <c r="M530" s="243">
        <f t="shared" si="45"/>
        <v>0</v>
      </c>
    </row>
    <row r="531" ht="26.25" customHeight="1">
      <c r="A531" s="245"/>
      <c r="B531" s="246">
        <v>46098.0</v>
      </c>
      <c r="C531" s="247">
        <v>46098.0</v>
      </c>
      <c r="D531" s="240">
        <v>750000.0</v>
      </c>
      <c r="E531" s="237"/>
      <c r="F531" s="237"/>
      <c r="G531" s="238" t="str">
        <f t="shared" si="43"/>
        <v/>
      </c>
      <c r="H531" s="242" t="str">
        <f t="shared" si="44"/>
        <v/>
      </c>
      <c r="I531" s="240">
        <f t="shared" si="46"/>
        <v>3086.419753</v>
      </c>
      <c r="J531" s="241"/>
      <c r="K531" s="240"/>
      <c r="L531" s="237"/>
      <c r="M531" s="243">
        <f t="shared" si="45"/>
        <v>0</v>
      </c>
    </row>
    <row r="532" ht="26.25" customHeight="1">
      <c r="A532" s="245"/>
      <c r="B532" s="246">
        <v>46099.0</v>
      </c>
      <c r="C532" s="247">
        <v>46099.0</v>
      </c>
      <c r="D532" s="240">
        <v>750000.0</v>
      </c>
      <c r="E532" s="237"/>
      <c r="F532" s="237"/>
      <c r="G532" s="238" t="str">
        <f t="shared" si="43"/>
        <v/>
      </c>
      <c r="H532" s="242" t="str">
        <f t="shared" si="44"/>
        <v/>
      </c>
      <c r="I532" s="240">
        <f t="shared" si="46"/>
        <v>3086.419753</v>
      </c>
      <c r="J532" s="241"/>
      <c r="K532" s="240"/>
      <c r="L532" s="237"/>
      <c r="M532" s="243">
        <f t="shared" si="45"/>
        <v>0</v>
      </c>
    </row>
    <row r="533" ht="26.25" customHeight="1">
      <c r="A533" s="245"/>
      <c r="B533" s="246">
        <v>46100.0</v>
      </c>
      <c r="C533" s="247">
        <v>46100.0</v>
      </c>
      <c r="D533" s="240">
        <v>750000.0</v>
      </c>
      <c r="E533" s="237"/>
      <c r="F533" s="237"/>
      <c r="G533" s="238" t="str">
        <f t="shared" si="43"/>
        <v/>
      </c>
      <c r="H533" s="242" t="str">
        <f t="shared" si="44"/>
        <v/>
      </c>
      <c r="I533" s="240">
        <f t="shared" si="46"/>
        <v>3086.419753</v>
      </c>
      <c r="J533" s="241"/>
      <c r="K533" s="240"/>
      <c r="L533" s="237"/>
      <c r="M533" s="243">
        <f t="shared" si="45"/>
        <v>0</v>
      </c>
    </row>
    <row r="534" ht="26.25" customHeight="1">
      <c r="A534" s="245"/>
      <c r="B534" s="246">
        <v>46101.0</v>
      </c>
      <c r="C534" s="247">
        <v>46101.0</v>
      </c>
      <c r="D534" s="240">
        <v>750000.0</v>
      </c>
      <c r="E534" s="237"/>
      <c r="F534" s="237"/>
      <c r="G534" s="238" t="str">
        <f t="shared" si="43"/>
        <v/>
      </c>
      <c r="H534" s="242" t="str">
        <f t="shared" si="44"/>
        <v/>
      </c>
      <c r="I534" s="240">
        <f t="shared" si="46"/>
        <v>3086.419753</v>
      </c>
      <c r="J534" s="241"/>
      <c r="K534" s="240"/>
      <c r="L534" s="237"/>
      <c r="M534" s="243">
        <f t="shared" si="45"/>
        <v>0</v>
      </c>
    </row>
    <row r="535" ht="26.25" customHeight="1">
      <c r="A535" s="245"/>
      <c r="B535" s="246">
        <v>46102.0</v>
      </c>
      <c r="C535" s="247">
        <v>46102.0</v>
      </c>
      <c r="D535" s="240">
        <v>750000.0</v>
      </c>
      <c r="E535" s="237"/>
      <c r="F535" s="237"/>
      <c r="G535" s="238" t="str">
        <f t="shared" si="43"/>
        <v/>
      </c>
      <c r="H535" s="242" t="str">
        <f t="shared" si="44"/>
        <v/>
      </c>
      <c r="I535" s="240">
        <f t="shared" si="46"/>
        <v>3086.419753</v>
      </c>
      <c r="J535" s="241"/>
      <c r="K535" s="240"/>
      <c r="L535" s="237"/>
      <c r="M535" s="243">
        <f t="shared" si="45"/>
        <v>0</v>
      </c>
    </row>
    <row r="536" ht="26.25" customHeight="1">
      <c r="A536" s="245"/>
      <c r="B536" s="246">
        <v>46103.0</v>
      </c>
      <c r="C536" s="247">
        <v>46103.0</v>
      </c>
      <c r="D536" s="240">
        <v>750000.0</v>
      </c>
      <c r="E536" s="237"/>
      <c r="F536" s="237"/>
      <c r="G536" s="238" t="str">
        <f t="shared" si="43"/>
        <v/>
      </c>
      <c r="H536" s="242" t="str">
        <f t="shared" si="44"/>
        <v/>
      </c>
      <c r="I536" s="240">
        <f t="shared" si="46"/>
        <v>3086.419753</v>
      </c>
      <c r="J536" s="241"/>
      <c r="K536" s="240"/>
      <c r="L536" s="237"/>
      <c r="M536" s="243">
        <f t="shared" si="45"/>
        <v>0</v>
      </c>
    </row>
    <row r="537" ht="26.25" customHeight="1">
      <c r="A537" s="245"/>
      <c r="B537" s="246">
        <v>46104.0</v>
      </c>
      <c r="C537" s="247">
        <v>46104.0</v>
      </c>
      <c r="D537" s="240">
        <v>750000.0</v>
      </c>
      <c r="E537" s="237"/>
      <c r="F537" s="237"/>
      <c r="G537" s="238" t="str">
        <f t="shared" si="43"/>
        <v/>
      </c>
      <c r="H537" s="242" t="str">
        <f t="shared" si="44"/>
        <v/>
      </c>
      <c r="I537" s="240">
        <f t="shared" si="46"/>
        <v>3086.419753</v>
      </c>
      <c r="J537" s="241"/>
      <c r="K537" s="240"/>
      <c r="L537" s="237"/>
      <c r="M537" s="243">
        <f t="shared" si="45"/>
        <v>0</v>
      </c>
    </row>
    <row r="538" ht="26.25" customHeight="1">
      <c r="A538" s="245"/>
      <c r="B538" s="246">
        <v>46105.0</v>
      </c>
      <c r="C538" s="247">
        <v>46105.0</v>
      </c>
      <c r="D538" s="240">
        <v>750000.0</v>
      </c>
      <c r="E538" s="237"/>
      <c r="F538" s="237"/>
      <c r="G538" s="238" t="str">
        <f t="shared" si="43"/>
        <v/>
      </c>
      <c r="H538" s="242" t="str">
        <f t="shared" si="44"/>
        <v/>
      </c>
      <c r="I538" s="240">
        <f t="shared" si="46"/>
        <v>3086.419753</v>
      </c>
      <c r="J538" s="241"/>
      <c r="K538" s="240"/>
      <c r="L538" s="237"/>
      <c r="M538" s="243">
        <f t="shared" si="45"/>
        <v>0</v>
      </c>
    </row>
    <row r="539" ht="26.25" customHeight="1">
      <c r="A539" s="245"/>
      <c r="B539" s="246">
        <v>46106.0</v>
      </c>
      <c r="C539" s="247">
        <v>46106.0</v>
      </c>
      <c r="D539" s="240">
        <v>750000.0</v>
      </c>
      <c r="E539" s="237"/>
      <c r="F539" s="237"/>
      <c r="G539" s="238" t="str">
        <f t="shared" si="43"/>
        <v/>
      </c>
      <c r="H539" s="242" t="str">
        <f t="shared" si="44"/>
        <v/>
      </c>
      <c r="I539" s="240">
        <f t="shared" si="46"/>
        <v>3086.419753</v>
      </c>
      <c r="J539" s="241"/>
      <c r="K539" s="240"/>
      <c r="L539" s="237"/>
      <c r="M539" s="243">
        <f t="shared" si="45"/>
        <v>0</v>
      </c>
    </row>
    <row r="540" ht="26.25" customHeight="1">
      <c r="A540" s="245"/>
      <c r="B540" s="246">
        <v>46107.0</v>
      </c>
      <c r="C540" s="247">
        <v>46107.0</v>
      </c>
      <c r="D540" s="240">
        <v>750000.0</v>
      </c>
      <c r="E540" s="237"/>
      <c r="F540" s="237"/>
      <c r="G540" s="238" t="str">
        <f t="shared" si="43"/>
        <v/>
      </c>
      <c r="H540" s="242" t="str">
        <f t="shared" si="44"/>
        <v/>
      </c>
      <c r="I540" s="240">
        <f t="shared" si="46"/>
        <v>3086.419753</v>
      </c>
      <c r="J540" s="241"/>
      <c r="K540" s="240"/>
      <c r="L540" s="237"/>
      <c r="M540" s="243">
        <f t="shared" si="45"/>
        <v>0</v>
      </c>
    </row>
    <row r="541" ht="26.25" customHeight="1">
      <c r="A541" s="245"/>
      <c r="B541" s="246">
        <v>46108.0</v>
      </c>
      <c r="C541" s="247">
        <v>46108.0</v>
      </c>
      <c r="D541" s="240">
        <v>750000.0</v>
      </c>
      <c r="E541" s="237"/>
      <c r="F541" s="237"/>
      <c r="G541" s="238" t="str">
        <f t="shared" si="43"/>
        <v/>
      </c>
      <c r="H541" s="242" t="str">
        <f t="shared" si="44"/>
        <v/>
      </c>
      <c r="I541" s="240">
        <f t="shared" si="46"/>
        <v>3086.419753</v>
      </c>
      <c r="J541" s="241"/>
      <c r="K541" s="240"/>
      <c r="L541" s="237"/>
      <c r="M541" s="243">
        <f t="shared" si="45"/>
        <v>0</v>
      </c>
    </row>
    <row r="542" ht="26.25" customHeight="1">
      <c r="A542" s="245"/>
      <c r="B542" s="246">
        <v>46109.0</v>
      </c>
      <c r="C542" s="247">
        <v>46109.0</v>
      </c>
      <c r="D542" s="240">
        <v>750000.0</v>
      </c>
      <c r="E542" s="237"/>
      <c r="F542" s="237"/>
      <c r="G542" s="238" t="str">
        <f t="shared" si="43"/>
        <v/>
      </c>
      <c r="H542" s="242" t="str">
        <f t="shared" si="44"/>
        <v/>
      </c>
      <c r="I542" s="240">
        <f t="shared" si="46"/>
        <v>3086.419753</v>
      </c>
      <c r="J542" s="241"/>
      <c r="K542" s="240"/>
      <c r="L542" s="237"/>
      <c r="M542" s="243">
        <f t="shared" si="45"/>
        <v>0</v>
      </c>
    </row>
    <row r="543" ht="26.25" customHeight="1">
      <c r="A543" s="245"/>
      <c r="B543" s="246">
        <v>46110.0</v>
      </c>
      <c r="C543" s="247">
        <v>46110.0</v>
      </c>
      <c r="D543" s="240">
        <v>750000.0</v>
      </c>
      <c r="E543" s="237"/>
      <c r="F543" s="237"/>
      <c r="G543" s="238" t="str">
        <f t="shared" si="43"/>
        <v/>
      </c>
      <c r="H543" s="242" t="str">
        <f t="shared" si="44"/>
        <v/>
      </c>
      <c r="I543" s="240">
        <f t="shared" si="46"/>
        <v>3086.419753</v>
      </c>
      <c r="J543" s="241"/>
      <c r="K543" s="240"/>
      <c r="L543" s="237"/>
      <c r="M543" s="243">
        <f t="shared" si="45"/>
        <v>0</v>
      </c>
    </row>
    <row r="544" ht="26.25" customHeight="1">
      <c r="A544" s="245"/>
      <c r="B544" s="246">
        <v>46111.0</v>
      </c>
      <c r="C544" s="247">
        <v>46111.0</v>
      </c>
      <c r="D544" s="240">
        <v>750000.0</v>
      </c>
      <c r="E544" s="237"/>
      <c r="F544" s="237"/>
      <c r="G544" s="238" t="str">
        <f t="shared" si="43"/>
        <v/>
      </c>
      <c r="H544" s="242" t="str">
        <f t="shared" si="44"/>
        <v/>
      </c>
      <c r="I544" s="240">
        <f t="shared" si="46"/>
        <v>3086.419753</v>
      </c>
      <c r="J544" s="241"/>
      <c r="K544" s="240"/>
      <c r="L544" s="237"/>
      <c r="M544" s="243">
        <f t="shared" si="45"/>
        <v>0</v>
      </c>
    </row>
    <row r="545" ht="26.25" customHeight="1">
      <c r="A545" s="301"/>
      <c r="B545" s="249">
        <v>46112.0</v>
      </c>
      <c r="C545" s="250">
        <v>46112.0</v>
      </c>
      <c r="D545" s="251">
        <v>750000.0</v>
      </c>
      <c r="E545" s="252"/>
      <c r="F545" s="252"/>
      <c r="G545" s="253" t="str">
        <f t="shared" si="43"/>
        <v/>
      </c>
      <c r="H545" s="302" t="str">
        <f t="shared" si="44"/>
        <v/>
      </c>
      <c r="I545" s="251">
        <f t="shared" si="46"/>
        <v>3086.419753</v>
      </c>
      <c r="J545" s="256"/>
      <c r="K545" s="251"/>
      <c r="L545" s="252"/>
      <c r="M545" s="257">
        <f t="shared" si="45"/>
        <v>0</v>
      </c>
    </row>
    <row r="546" ht="26.25" customHeight="1">
      <c r="A546" s="303"/>
      <c r="B546" s="304"/>
      <c r="C546" s="305"/>
      <c r="D546" s="211"/>
      <c r="E546" s="207"/>
      <c r="F546" s="207"/>
      <c r="G546" s="208"/>
      <c r="H546" s="209"/>
      <c r="I546" s="206"/>
      <c r="J546" s="306"/>
      <c r="K546" s="206"/>
      <c r="L546" s="209"/>
      <c r="M546" s="307"/>
    </row>
    <row r="547" ht="26.25" customHeight="1">
      <c r="A547" s="308"/>
      <c r="B547" s="309"/>
      <c r="C547" s="310"/>
      <c r="D547" s="221"/>
      <c r="E547" s="217"/>
      <c r="F547" s="217"/>
      <c r="G547" s="218"/>
      <c r="H547" s="219"/>
      <c r="I547" s="216"/>
      <c r="J547" s="311"/>
      <c r="K547" s="216"/>
      <c r="L547" s="219"/>
      <c r="M547" s="312"/>
    </row>
    <row r="548" ht="26.25" customHeight="1">
      <c r="A548" s="313" t="s">
        <v>176</v>
      </c>
      <c r="B548" s="298">
        <v>46082.0</v>
      </c>
      <c r="C548" s="299">
        <v>46082.0</v>
      </c>
      <c r="D548" s="229">
        <v>650000.0</v>
      </c>
      <c r="E548" s="260">
        <v>0.375</v>
      </c>
      <c r="F548" s="260">
        <v>0.75</v>
      </c>
      <c r="G548" s="227">
        <f t="shared" ref="G548:G578" si="47">IF(AND(E548&lt;&gt;"",F548&lt;&gt;""),(F548-E548)*24,"")</f>
        <v>9</v>
      </c>
      <c r="H548" s="231">
        <f t="shared" ref="H548:H578" si="48">IF(A548&lt;&gt;"",1,"")</f>
        <v>1</v>
      </c>
      <c r="I548" s="229">
        <f t="shared" ref="I548:I578" si="49">D548/27/9</f>
        <v>2674.897119</v>
      </c>
      <c r="J548" s="230"/>
      <c r="K548" s="229"/>
      <c r="L548" s="300">
        <v>4527.0</v>
      </c>
      <c r="M548" s="232">
        <f t="shared" ref="M548:M578" si="50">G548*I548</f>
        <v>24074.07407</v>
      </c>
    </row>
    <row r="549" ht="26.25" customHeight="1">
      <c r="A549" s="261" t="s">
        <v>176</v>
      </c>
      <c r="B549" s="246">
        <v>46083.0</v>
      </c>
      <c r="C549" s="247">
        <v>46083.0</v>
      </c>
      <c r="D549" s="240">
        <v>650000.0</v>
      </c>
      <c r="E549" s="244">
        <v>0.375</v>
      </c>
      <c r="F549" s="244">
        <v>0.7083333333333334</v>
      </c>
      <c r="G549" s="238">
        <f t="shared" si="47"/>
        <v>8</v>
      </c>
      <c r="H549" s="242">
        <f t="shared" si="48"/>
        <v>1</v>
      </c>
      <c r="I549" s="240">
        <f t="shared" si="49"/>
        <v>2674.897119</v>
      </c>
      <c r="J549" s="241"/>
      <c r="K549" s="240"/>
      <c r="L549" s="237"/>
      <c r="M549" s="243">
        <f t="shared" si="50"/>
        <v>21399.17695</v>
      </c>
    </row>
    <row r="550" ht="26.25" customHeight="1">
      <c r="A550" s="245"/>
      <c r="B550" s="246">
        <v>46084.0</v>
      </c>
      <c r="C550" s="247">
        <v>46084.0</v>
      </c>
      <c r="D550" s="240">
        <v>650000.0</v>
      </c>
      <c r="E550" s="237"/>
      <c r="F550" s="237"/>
      <c r="G550" s="238" t="str">
        <f t="shared" si="47"/>
        <v/>
      </c>
      <c r="H550" s="242" t="str">
        <f t="shared" si="48"/>
        <v/>
      </c>
      <c r="I550" s="240">
        <f t="shared" si="49"/>
        <v>2674.897119</v>
      </c>
      <c r="J550" s="241"/>
      <c r="K550" s="240"/>
      <c r="L550" s="237"/>
      <c r="M550" s="243">
        <f t="shared" si="50"/>
        <v>0</v>
      </c>
    </row>
    <row r="551" ht="26.25" customHeight="1">
      <c r="A551" s="245"/>
      <c r="B551" s="246">
        <v>46085.0</v>
      </c>
      <c r="C551" s="247">
        <v>46085.0</v>
      </c>
      <c r="D551" s="240">
        <v>650000.0</v>
      </c>
      <c r="E551" s="237"/>
      <c r="F551" s="237"/>
      <c r="G551" s="238" t="str">
        <f t="shared" si="47"/>
        <v/>
      </c>
      <c r="H551" s="242" t="str">
        <f t="shared" si="48"/>
        <v/>
      </c>
      <c r="I551" s="240">
        <f t="shared" si="49"/>
        <v>2674.897119</v>
      </c>
      <c r="J551" s="241"/>
      <c r="K551" s="240"/>
      <c r="L551" s="237"/>
      <c r="M551" s="243">
        <f t="shared" si="50"/>
        <v>0</v>
      </c>
    </row>
    <row r="552" ht="26.25" customHeight="1">
      <c r="A552" s="245"/>
      <c r="B552" s="246">
        <v>46086.0</v>
      </c>
      <c r="C552" s="247">
        <v>46086.0</v>
      </c>
      <c r="D552" s="240">
        <v>650000.0</v>
      </c>
      <c r="E552" s="237"/>
      <c r="F552" s="237"/>
      <c r="G552" s="238" t="str">
        <f t="shared" si="47"/>
        <v/>
      </c>
      <c r="H552" s="242" t="str">
        <f t="shared" si="48"/>
        <v/>
      </c>
      <c r="I552" s="240">
        <f t="shared" si="49"/>
        <v>2674.897119</v>
      </c>
      <c r="J552" s="241"/>
      <c r="K552" s="240"/>
      <c r="L552" s="237"/>
      <c r="M552" s="243">
        <f t="shared" si="50"/>
        <v>0</v>
      </c>
    </row>
    <row r="553" ht="26.25" customHeight="1">
      <c r="A553" s="245"/>
      <c r="B553" s="246">
        <v>46087.0</v>
      </c>
      <c r="C553" s="247">
        <v>46087.0</v>
      </c>
      <c r="D553" s="240">
        <v>650000.0</v>
      </c>
      <c r="E553" s="237"/>
      <c r="F553" s="237"/>
      <c r="G553" s="238" t="str">
        <f t="shared" si="47"/>
        <v/>
      </c>
      <c r="H553" s="242" t="str">
        <f t="shared" si="48"/>
        <v/>
      </c>
      <c r="I553" s="240">
        <f t="shared" si="49"/>
        <v>2674.897119</v>
      </c>
      <c r="J553" s="241"/>
      <c r="K553" s="240"/>
      <c r="L553" s="237"/>
      <c r="M553" s="243">
        <f t="shared" si="50"/>
        <v>0</v>
      </c>
    </row>
    <row r="554" ht="26.25" customHeight="1">
      <c r="A554" s="245"/>
      <c r="B554" s="246">
        <v>46088.0</v>
      </c>
      <c r="C554" s="247">
        <v>46088.0</v>
      </c>
      <c r="D554" s="240">
        <v>650000.0</v>
      </c>
      <c r="E554" s="237"/>
      <c r="F554" s="237"/>
      <c r="G554" s="238" t="str">
        <f t="shared" si="47"/>
        <v/>
      </c>
      <c r="H554" s="242" t="str">
        <f t="shared" si="48"/>
        <v/>
      </c>
      <c r="I554" s="240">
        <f t="shared" si="49"/>
        <v>2674.897119</v>
      </c>
      <c r="J554" s="241"/>
      <c r="K554" s="240"/>
      <c r="L554" s="237"/>
      <c r="M554" s="243">
        <f t="shared" si="50"/>
        <v>0</v>
      </c>
    </row>
    <row r="555" ht="26.25" customHeight="1">
      <c r="A555" s="245"/>
      <c r="B555" s="246">
        <v>46089.0</v>
      </c>
      <c r="C555" s="247">
        <v>46089.0</v>
      </c>
      <c r="D555" s="240">
        <v>650000.0</v>
      </c>
      <c r="E555" s="237"/>
      <c r="F555" s="237"/>
      <c r="G555" s="238" t="str">
        <f t="shared" si="47"/>
        <v/>
      </c>
      <c r="H555" s="242" t="str">
        <f t="shared" si="48"/>
        <v/>
      </c>
      <c r="I555" s="240">
        <f t="shared" si="49"/>
        <v>2674.897119</v>
      </c>
      <c r="J555" s="241"/>
      <c r="K555" s="240"/>
      <c r="L555" s="237"/>
      <c r="M555" s="243">
        <f t="shared" si="50"/>
        <v>0</v>
      </c>
    </row>
    <row r="556" ht="26.25" customHeight="1">
      <c r="A556" s="245"/>
      <c r="B556" s="246">
        <v>46090.0</v>
      </c>
      <c r="C556" s="247">
        <v>46090.0</v>
      </c>
      <c r="D556" s="240">
        <v>650000.0</v>
      </c>
      <c r="E556" s="237"/>
      <c r="F556" s="237"/>
      <c r="G556" s="238" t="str">
        <f t="shared" si="47"/>
        <v/>
      </c>
      <c r="H556" s="242" t="str">
        <f t="shared" si="48"/>
        <v/>
      </c>
      <c r="I556" s="240">
        <f t="shared" si="49"/>
        <v>2674.897119</v>
      </c>
      <c r="J556" s="241"/>
      <c r="K556" s="240"/>
      <c r="L556" s="237"/>
      <c r="M556" s="243">
        <f t="shared" si="50"/>
        <v>0</v>
      </c>
    </row>
    <row r="557" ht="26.25" customHeight="1">
      <c r="A557" s="245"/>
      <c r="B557" s="246">
        <v>46091.0</v>
      </c>
      <c r="C557" s="247">
        <v>46091.0</v>
      </c>
      <c r="D557" s="240">
        <v>650000.0</v>
      </c>
      <c r="E557" s="237"/>
      <c r="F557" s="237"/>
      <c r="G557" s="238" t="str">
        <f t="shared" si="47"/>
        <v/>
      </c>
      <c r="H557" s="242" t="str">
        <f t="shared" si="48"/>
        <v/>
      </c>
      <c r="I557" s="240">
        <f t="shared" si="49"/>
        <v>2674.897119</v>
      </c>
      <c r="J557" s="241"/>
      <c r="K557" s="240"/>
      <c r="L557" s="237"/>
      <c r="M557" s="243">
        <f t="shared" si="50"/>
        <v>0</v>
      </c>
    </row>
    <row r="558" ht="26.25" customHeight="1">
      <c r="A558" s="245"/>
      <c r="B558" s="246">
        <v>46092.0</v>
      </c>
      <c r="C558" s="247">
        <v>46092.0</v>
      </c>
      <c r="D558" s="240">
        <v>650000.0</v>
      </c>
      <c r="E558" s="237"/>
      <c r="F558" s="237"/>
      <c r="G558" s="238" t="str">
        <f t="shared" si="47"/>
        <v/>
      </c>
      <c r="H558" s="242" t="str">
        <f t="shared" si="48"/>
        <v/>
      </c>
      <c r="I558" s="240">
        <f t="shared" si="49"/>
        <v>2674.897119</v>
      </c>
      <c r="J558" s="241"/>
      <c r="K558" s="240"/>
      <c r="L558" s="237"/>
      <c r="M558" s="243">
        <f t="shared" si="50"/>
        <v>0</v>
      </c>
    </row>
    <row r="559" ht="26.25" customHeight="1">
      <c r="A559" s="245"/>
      <c r="B559" s="246">
        <v>46093.0</v>
      </c>
      <c r="C559" s="247">
        <v>46093.0</v>
      </c>
      <c r="D559" s="240">
        <v>650000.0</v>
      </c>
      <c r="E559" s="237"/>
      <c r="F559" s="237"/>
      <c r="G559" s="238" t="str">
        <f t="shared" si="47"/>
        <v/>
      </c>
      <c r="H559" s="242" t="str">
        <f t="shared" si="48"/>
        <v/>
      </c>
      <c r="I559" s="240">
        <f t="shared" si="49"/>
        <v>2674.897119</v>
      </c>
      <c r="J559" s="241"/>
      <c r="K559" s="240"/>
      <c r="L559" s="237"/>
      <c r="M559" s="243">
        <f t="shared" si="50"/>
        <v>0</v>
      </c>
    </row>
    <row r="560" ht="26.25" customHeight="1">
      <c r="A560" s="245"/>
      <c r="B560" s="246">
        <v>46094.0</v>
      </c>
      <c r="C560" s="247">
        <v>46094.0</v>
      </c>
      <c r="D560" s="240">
        <v>650000.0</v>
      </c>
      <c r="E560" s="237"/>
      <c r="F560" s="237"/>
      <c r="G560" s="238" t="str">
        <f t="shared" si="47"/>
        <v/>
      </c>
      <c r="H560" s="242" t="str">
        <f t="shared" si="48"/>
        <v/>
      </c>
      <c r="I560" s="240">
        <f t="shared" si="49"/>
        <v>2674.897119</v>
      </c>
      <c r="J560" s="241"/>
      <c r="K560" s="240"/>
      <c r="L560" s="237"/>
      <c r="M560" s="243">
        <f t="shared" si="50"/>
        <v>0</v>
      </c>
    </row>
    <row r="561" ht="26.25" customHeight="1">
      <c r="A561" s="245"/>
      <c r="B561" s="246">
        <v>46095.0</v>
      </c>
      <c r="C561" s="247">
        <v>46095.0</v>
      </c>
      <c r="D561" s="240">
        <v>650000.0</v>
      </c>
      <c r="E561" s="237"/>
      <c r="F561" s="237"/>
      <c r="G561" s="238" t="str">
        <f t="shared" si="47"/>
        <v/>
      </c>
      <c r="H561" s="242" t="str">
        <f t="shared" si="48"/>
        <v/>
      </c>
      <c r="I561" s="240">
        <f t="shared" si="49"/>
        <v>2674.897119</v>
      </c>
      <c r="J561" s="241"/>
      <c r="K561" s="240"/>
      <c r="L561" s="237"/>
      <c r="M561" s="243">
        <f t="shared" si="50"/>
        <v>0</v>
      </c>
    </row>
    <row r="562" ht="26.25" customHeight="1">
      <c r="A562" s="245"/>
      <c r="B562" s="246">
        <v>46096.0</v>
      </c>
      <c r="C562" s="247">
        <v>46096.0</v>
      </c>
      <c r="D562" s="240">
        <v>650000.0</v>
      </c>
      <c r="E562" s="237"/>
      <c r="F562" s="237"/>
      <c r="G562" s="238" t="str">
        <f t="shared" si="47"/>
        <v/>
      </c>
      <c r="H562" s="242" t="str">
        <f t="shared" si="48"/>
        <v/>
      </c>
      <c r="I562" s="240">
        <f t="shared" si="49"/>
        <v>2674.897119</v>
      </c>
      <c r="J562" s="241"/>
      <c r="K562" s="240"/>
      <c r="L562" s="237"/>
      <c r="M562" s="243">
        <f t="shared" si="50"/>
        <v>0</v>
      </c>
    </row>
    <row r="563" ht="26.25" customHeight="1">
      <c r="A563" s="245"/>
      <c r="B563" s="246">
        <v>46097.0</v>
      </c>
      <c r="C563" s="247">
        <v>46097.0</v>
      </c>
      <c r="D563" s="240">
        <v>650000.0</v>
      </c>
      <c r="E563" s="237"/>
      <c r="F563" s="237"/>
      <c r="G563" s="238" t="str">
        <f t="shared" si="47"/>
        <v/>
      </c>
      <c r="H563" s="242" t="str">
        <f t="shared" si="48"/>
        <v/>
      </c>
      <c r="I563" s="240">
        <f t="shared" si="49"/>
        <v>2674.897119</v>
      </c>
      <c r="J563" s="241"/>
      <c r="K563" s="240"/>
      <c r="L563" s="237"/>
      <c r="M563" s="243">
        <f t="shared" si="50"/>
        <v>0</v>
      </c>
    </row>
    <row r="564" ht="26.25" customHeight="1">
      <c r="A564" s="245"/>
      <c r="B564" s="246">
        <v>46098.0</v>
      </c>
      <c r="C564" s="247">
        <v>46098.0</v>
      </c>
      <c r="D564" s="240">
        <v>650000.0</v>
      </c>
      <c r="E564" s="237"/>
      <c r="F564" s="237"/>
      <c r="G564" s="238" t="str">
        <f t="shared" si="47"/>
        <v/>
      </c>
      <c r="H564" s="242" t="str">
        <f t="shared" si="48"/>
        <v/>
      </c>
      <c r="I564" s="240">
        <f t="shared" si="49"/>
        <v>2674.897119</v>
      </c>
      <c r="J564" s="241"/>
      <c r="K564" s="240"/>
      <c r="L564" s="237"/>
      <c r="M564" s="243">
        <f t="shared" si="50"/>
        <v>0</v>
      </c>
    </row>
    <row r="565" ht="26.25" customHeight="1">
      <c r="A565" s="245"/>
      <c r="B565" s="246">
        <v>46099.0</v>
      </c>
      <c r="C565" s="247">
        <v>46099.0</v>
      </c>
      <c r="D565" s="240">
        <v>650000.0</v>
      </c>
      <c r="E565" s="237"/>
      <c r="F565" s="237"/>
      <c r="G565" s="238" t="str">
        <f t="shared" si="47"/>
        <v/>
      </c>
      <c r="H565" s="242" t="str">
        <f t="shared" si="48"/>
        <v/>
      </c>
      <c r="I565" s="240">
        <f t="shared" si="49"/>
        <v>2674.897119</v>
      </c>
      <c r="J565" s="241"/>
      <c r="K565" s="240"/>
      <c r="L565" s="237"/>
      <c r="M565" s="243">
        <f t="shared" si="50"/>
        <v>0</v>
      </c>
    </row>
    <row r="566" ht="26.25" customHeight="1">
      <c r="A566" s="245"/>
      <c r="B566" s="246">
        <v>46100.0</v>
      </c>
      <c r="C566" s="247">
        <v>46100.0</v>
      </c>
      <c r="D566" s="240">
        <v>650000.0</v>
      </c>
      <c r="E566" s="237"/>
      <c r="F566" s="237"/>
      <c r="G566" s="238" t="str">
        <f t="shared" si="47"/>
        <v/>
      </c>
      <c r="H566" s="242" t="str">
        <f t="shared" si="48"/>
        <v/>
      </c>
      <c r="I566" s="240">
        <f t="shared" si="49"/>
        <v>2674.897119</v>
      </c>
      <c r="J566" s="241"/>
      <c r="K566" s="240"/>
      <c r="L566" s="237"/>
      <c r="M566" s="243">
        <f t="shared" si="50"/>
        <v>0</v>
      </c>
    </row>
    <row r="567" ht="26.25" customHeight="1">
      <c r="A567" s="245"/>
      <c r="B567" s="246">
        <v>46101.0</v>
      </c>
      <c r="C567" s="247">
        <v>46101.0</v>
      </c>
      <c r="D567" s="240">
        <v>650000.0</v>
      </c>
      <c r="E567" s="237"/>
      <c r="F567" s="237"/>
      <c r="G567" s="238" t="str">
        <f t="shared" si="47"/>
        <v/>
      </c>
      <c r="H567" s="242" t="str">
        <f t="shared" si="48"/>
        <v/>
      </c>
      <c r="I567" s="240">
        <f t="shared" si="49"/>
        <v>2674.897119</v>
      </c>
      <c r="J567" s="241"/>
      <c r="K567" s="240"/>
      <c r="L567" s="237"/>
      <c r="M567" s="243">
        <f t="shared" si="50"/>
        <v>0</v>
      </c>
    </row>
    <row r="568" ht="26.25" customHeight="1">
      <c r="A568" s="245"/>
      <c r="B568" s="246">
        <v>46102.0</v>
      </c>
      <c r="C568" s="247">
        <v>46102.0</v>
      </c>
      <c r="D568" s="240">
        <v>650000.0</v>
      </c>
      <c r="E568" s="237"/>
      <c r="F568" s="237"/>
      <c r="G568" s="238" t="str">
        <f t="shared" si="47"/>
        <v/>
      </c>
      <c r="H568" s="242" t="str">
        <f t="shared" si="48"/>
        <v/>
      </c>
      <c r="I568" s="240">
        <f t="shared" si="49"/>
        <v>2674.897119</v>
      </c>
      <c r="J568" s="241"/>
      <c r="K568" s="240"/>
      <c r="L568" s="237"/>
      <c r="M568" s="243">
        <f t="shared" si="50"/>
        <v>0</v>
      </c>
    </row>
    <row r="569" ht="26.25" customHeight="1">
      <c r="A569" s="245"/>
      <c r="B569" s="246">
        <v>46103.0</v>
      </c>
      <c r="C569" s="247">
        <v>46103.0</v>
      </c>
      <c r="D569" s="240">
        <v>650000.0</v>
      </c>
      <c r="E569" s="237"/>
      <c r="F569" s="237"/>
      <c r="G569" s="238" t="str">
        <f t="shared" si="47"/>
        <v/>
      </c>
      <c r="H569" s="242" t="str">
        <f t="shared" si="48"/>
        <v/>
      </c>
      <c r="I569" s="240">
        <f t="shared" si="49"/>
        <v>2674.897119</v>
      </c>
      <c r="J569" s="241"/>
      <c r="K569" s="240"/>
      <c r="L569" s="237"/>
      <c r="M569" s="243">
        <f t="shared" si="50"/>
        <v>0</v>
      </c>
    </row>
    <row r="570" ht="26.25" customHeight="1">
      <c r="A570" s="245"/>
      <c r="B570" s="246">
        <v>46104.0</v>
      </c>
      <c r="C570" s="247">
        <v>46104.0</v>
      </c>
      <c r="D570" s="240">
        <v>650000.0</v>
      </c>
      <c r="E570" s="237"/>
      <c r="F570" s="237"/>
      <c r="G570" s="238" t="str">
        <f t="shared" si="47"/>
        <v/>
      </c>
      <c r="H570" s="242" t="str">
        <f t="shared" si="48"/>
        <v/>
      </c>
      <c r="I570" s="240">
        <f t="shared" si="49"/>
        <v>2674.897119</v>
      </c>
      <c r="J570" s="241"/>
      <c r="K570" s="240"/>
      <c r="L570" s="237"/>
      <c r="M570" s="243">
        <f t="shared" si="50"/>
        <v>0</v>
      </c>
    </row>
    <row r="571" ht="26.25" customHeight="1">
      <c r="A571" s="245"/>
      <c r="B571" s="246">
        <v>46105.0</v>
      </c>
      <c r="C571" s="247">
        <v>46105.0</v>
      </c>
      <c r="D571" s="240">
        <v>650000.0</v>
      </c>
      <c r="E571" s="237"/>
      <c r="F571" s="237"/>
      <c r="G571" s="238" t="str">
        <f t="shared" si="47"/>
        <v/>
      </c>
      <c r="H571" s="242" t="str">
        <f t="shared" si="48"/>
        <v/>
      </c>
      <c r="I571" s="240">
        <f t="shared" si="49"/>
        <v>2674.897119</v>
      </c>
      <c r="J571" s="241"/>
      <c r="K571" s="240"/>
      <c r="L571" s="237"/>
      <c r="M571" s="243">
        <f t="shared" si="50"/>
        <v>0</v>
      </c>
    </row>
    <row r="572" ht="26.25" customHeight="1">
      <c r="A572" s="245"/>
      <c r="B572" s="246">
        <v>46106.0</v>
      </c>
      <c r="C572" s="247">
        <v>46106.0</v>
      </c>
      <c r="D572" s="240">
        <v>650000.0</v>
      </c>
      <c r="E572" s="237"/>
      <c r="F572" s="237"/>
      <c r="G572" s="238" t="str">
        <f t="shared" si="47"/>
        <v/>
      </c>
      <c r="H572" s="242" t="str">
        <f t="shared" si="48"/>
        <v/>
      </c>
      <c r="I572" s="240">
        <f t="shared" si="49"/>
        <v>2674.897119</v>
      </c>
      <c r="J572" s="241"/>
      <c r="K572" s="240"/>
      <c r="L572" s="237"/>
      <c r="M572" s="243">
        <f t="shared" si="50"/>
        <v>0</v>
      </c>
    </row>
    <row r="573" ht="26.25" customHeight="1">
      <c r="A573" s="245"/>
      <c r="B573" s="246">
        <v>46107.0</v>
      </c>
      <c r="C573" s="247">
        <v>46107.0</v>
      </c>
      <c r="D573" s="240">
        <v>650000.0</v>
      </c>
      <c r="E573" s="237"/>
      <c r="F573" s="237"/>
      <c r="G573" s="238" t="str">
        <f t="shared" si="47"/>
        <v/>
      </c>
      <c r="H573" s="242" t="str">
        <f t="shared" si="48"/>
        <v/>
      </c>
      <c r="I573" s="240">
        <f t="shared" si="49"/>
        <v>2674.897119</v>
      </c>
      <c r="J573" s="241"/>
      <c r="K573" s="240"/>
      <c r="L573" s="237"/>
      <c r="M573" s="243">
        <f t="shared" si="50"/>
        <v>0</v>
      </c>
    </row>
    <row r="574" ht="26.25" customHeight="1">
      <c r="A574" s="245"/>
      <c r="B574" s="246">
        <v>46108.0</v>
      </c>
      <c r="C574" s="247">
        <v>46108.0</v>
      </c>
      <c r="D574" s="240">
        <v>650000.0</v>
      </c>
      <c r="E574" s="237"/>
      <c r="F574" s="237"/>
      <c r="G574" s="238" t="str">
        <f t="shared" si="47"/>
        <v/>
      </c>
      <c r="H574" s="242" t="str">
        <f t="shared" si="48"/>
        <v/>
      </c>
      <c r="I574" s="240">
        <f t="shared" si="49"/>
        <v>2674.897119</v>
      </c>
      <c r="J574" s="241"/>
      <c r="K574" s="240"/>
      <c r="L574" s="237"/>
      <c r="M574" s="243">
        <f t="shared" si="50"/>
        <v>0</v>
      </c>
    </row>
    <row r="575" ht="26.25" customHeight="1">
      <c r="A575" s="245"/>
      <c r="B575" s="246">
        <v>46109.0</v>
      </c>
      <c r="C575" s="247">
        <v>46109.0</v>
      </c>
      <c r="D575" s="240">
        <v>650000.0</v>
      </c>
      <c r="E575" s="237"/>
      <c r="F575" s="237"/>
      <c r="G575" s="238" t="str">
        <f t="shared" si="47"/>
        <v/>
      </c>
      <c r="H575" s="242" t="str">
        <f t="shared" si="48"/>
        <v/>
      </c>
      <c r="I575" s="240">
        <f t="shared" si="49"/>
        <v>2674.897119</v>
      </c>
      <c r="J575" s="241"/>
      <c r="K575" s="240"/>
      <c r="L575" s="237"/>
      <c r="M575" s="243">
        <f t="shared" si="50"/>
        <v>0</v>
      </c>
    </row>
    <row r="576" ht="26.25" customHeight="1">
      <c r="A576" s="245"/>
      <c r="B576" s="246">
        <v>46110.0</v>
      </c>
      <c r="C576" s="247">
        <v>46110.0</v>
      </c>
      <c r="D576" s="240">
        <v>650000.0</v>
      </c>
      <c r="E576" s="237"/>
      <c r="F576" s="237"/>
      <c r="G576" s="238" t="str">
        <f t="shared" si="47"/>
        <v/>
      </c>
      <c r="H576" s="242" t="str">
        <f t="shared" si="48"/>
        <v/>
      </c>
      <c r="I576" s="240">
        <f t="shared" si="49"/>
        <v>2674.897119</v>
      </c>
      <c r="J576" s="241"/>
      <c r="K576" s="240"/>
      <c r="L576" s="237"/>
      <c r="M576" s="243">
        <f t="shared" si="50"/>
        <v>0</v>
      </c>
    </row>
    <row r="577" ht="26.25" customHeight="1">
      <c r="A577" s="245"/>
      <c r="B577" s="246">
        <v>46111.0</v>
      </c>
      <c r="C577" s="247">
        <v>46111.0</v>
      </c>
      <c r="D577" s="240">
        <v>650000.0</v>
      </c>
      <c r="E577" s="237"/>
      <c r="F577" s="237"/>
      <c r="G577" s="238" t="str">
        <f t="shared" si="47"/>
        <v/>
      </c>
      <c r="H577" s="242" t="str">
        <f t="shared" si="48"/>
        <v/>
      </c>
      <c r="I577" s="240">
        <f t="shared" si="49"/>
        <v>2674.897119</v>
      </c>
      <c r="J577" s="241"/>
      <c r="K577" s="240"/>
      <c r="L577" s="237"/>
      <c r="M577" s="243">
        <f t="shared" si="50"/>
        <v>0</v>
      </c>
    </row>
    <row r="578" ht="26.25" customHeight="1">
      <c r="A578" s="248"/>
      <c r="B578" s="249">
        <v>46112.0</v>
      </c>
      <c r="C578" s="250">
        <v>46112.0</v>
      </c>
      <c r="D578" s="251">
        <v>650000.0</v>
      </c>
      <c r="E578" s="252"/>
      <c r="F578" s="252"/>
      <c r="G578" s="253" t="str">
        <f t="shared" si="47"/>
        <v/>
      </c>
      <c r="H578" s="302" t="str">
        <f t="shared" si="48"/>
        <v/>
      </c>
      <c r="I578" s="251">
        <f t="shared" si="49"/>
        <v>2674.897119</v>
      </c>
      <c r="J578" s="256"/>
      <c r="K578" s="251"/>
      <c r="L578" s="252"/>
      <c r="M578" s="257">
        <f t="shared" si="50"/>
        <v>0</v>
      </c>
    </row>
    <row r="579" ht="26.25" customHeight="1">
      <c r="A579" s="203"/>
      <c r="B579" s="314"/>
      <c r="C579" s="305"/>
      <c r="D579" s="211"/>
      <c r="E579" s="207"/>
      <c r="F579" s="207"/>
      <c r="G579" s="208"/>
      <c r="H579" s="209"/>
      <c r="I579" s="206"/>
      <c r="J579" s="306"/>
      <c r="K579" s="206"/>
      <c r="L579" s="315"/>
      <c r="M579" s="316"/>
    </row>
    <row r="580" ht="26.25" customHeight="1">
      <c r="A580" s="214"/>
      <c r="B580" s="317"/>
      <c r="C580" s="310"/>
      <c r="D580" s="221"/>
      <c r="E580" s="217"/>
      <c r="F580" s="217"/>
      <c r="G580" s="218"/>
      <c r="H580" s="219"/>
      <c r="I580" s="216"/>
      <c r="J580" s="311"/>
      <c r="K580" s="216"/>
      <c r="L580" s="318"/>
      <c r="M580" s="319"/>
    </row>
    <row r="581" ht="26.25" customHeight="1">
      <c r="A581" s="259" t="s">
        <v>29</v>
      </c>
      <c r="B581" s="298">
        <v>46082.0</v>
      </c>
      <c r="C581" s="299">
        <v>46082.0</v>
      </c>
      <c r="D581" s="229">
        <v>750000.0</v>
      </c>
      <c r="E581" s="260">
        <v>0.41944444444444445</v>
      </c>
      <c r="F581" s="260">
        <v>0.75</v>
      </c>
      <c r="G581" s="227">
        <f t="shared" ref="G581:G611" si="51">IF(AND(E581&lt;&gt;"",F581&lt;&gt;""),(F581-E581)*24,"")</f>
        <v>7.933333333</v>
      </c>
      <c r="H581" s="231">
        <f t="shared" ref="H581:H611" si="52">IF(A581&lt;&gt;"",1,"")</f>
        <v>1</v>
      </c>
      <c r="I581" s="229">
        <f t="shared" ref="I581:I611" si="53">D581/27/9</f>
        <v>3086.419753</v>
      </c>
      <c r="J581" s="230"/>
      <c r="K581" s="236">
        <v>3500.0</v>
      </c>
      <c r="L581" s="226"/>
      <c r="M581" s="232">
        <f t="shared" ref="M581:M611" si="54">G581*I581</f>
        <v>24485.59671</v>
      </c>
    </row>
    <row r="582" ht="26.25" customHeight="1">
      <c r="A582" s="261"/>
      <c r="B582" s="246">
        <v>46083.0</v>
      </c>
      <c r="C582" s="247">
        <v>46083.0</v>
      </c>
      <c r="D582" s="240">
        <v>750000.0</v>
      </c>
      <c r="E582" s="237"/>
      <c r="F582" s="237"/>
      <c r="G582" s="238" t="str">
        <f t="shared" si="51"/>
        <v/>
      </c>
      <c r="H582" s="242" t="str">
        <f t="shared" si="52"/>
        <v/>
      </c>
      <c r="I582" s="240">
        <f t="shared" si="53"/>
        <v>3086.419753</v>
      </c>
      <c r="J582" s="241"/>
      <c r="K582" s="236"/>
      <c r="L582" s="237"/>
      <c r="M582" s="243">
        <f t="shared" si="54"/>
        <v>0</v>
      </c>
    </row>
    <row r="583" ht="26.25" customHeight="1">
      <c r="A583" s="261" t="s">
        <v>29</v>
      </c>
      <c r="B583" s="246">
        <v>46084.0</v>
      </c>
      <c r="C583" s="247">
        <v>46084.0</v>
      </c>
      <c r="D583" s="240">
        <v>750000.0</v>
      </c>
      <c r="E583" s="244">
        <v>0.4513888888888889</v>
      </c>
      <c r="F583" s="244">
        <v>0.75</v>
      </c>
      <c r="G583" s="238">
        <f t="shared" si="51"/>
        <v>7.166666667</v>
      </c>
      <c r="H583" s="242">
        <f t="shared" si="52"/>
        <v>1</v>
      </c>
      <c r="I583" s="240">
        <f t="shared" si="53"/>
        <v>3086.419753</v>
      </c>
      <c r="J583" s="262">
        <v>50000.0</v>
      </c>
      <c r="K583" s="240"/>
      <c r="L583" s="237"/>
      <c r="M583" s="243">
        <f t="shared" si="54"/>
        <v>22119.34156</v>
      </c>
    </row>
    <row r="584" ht="26.25" customHeight="1">
      <c r="A584" s="261" t="s">
        <v>29</v>
      </c>
      <c r="B584" s="246">
        <v>46085.0</v>
      </c>
      <c r="C584" s="247">
        <v>46085.0</v>
      </c>
      <c r="D584" s="240">
        <v>750000.0</v>
      </c>
      <c r="E584" s="244">
        <v>0.4166666666666667</v>
      </c>
      <c r="F584" s="244">
        <v>0.75</v>
      </c>
      <c r="G584" s="238">
        <f t="shared" si="51"/>
        <v>8</v>
      </c>
      <c r="H584" s="242">
        <f t="shared" si="52"/>
        <v>1</v>
      </c>
      <c r="I584" s="240">
        <f t="shared" si="53"/>
        <v>3086.419753</v>
      </c>
      <c r="J584" s="241"/>
      <c r="K584" s="236">
        <v>5000.0</v>
      </c>
      <c r="L584" s="237"/>
      <c r="M584" s="243">
        <f t="shared" si="54"/>
        <v>24691.35802</v>
      </c>
    </row>
    <row r="585" ht="26.25" customHeight="1">
      <c r="A585" s="261" t="s">
        <v>29</v>
      </c>
      <c r="B585" s="246">
        <v>46086.0</v>
      </c>
      <c r="C585" s="247">
        <v>46086.0</v>
      </c>
      <c r="D585" s="240">
        <v>750000.0</v>
      </c>
      <c r="E585" s="244">
        <v>0.375</v>
      </c>
      <c r="F585" s="244">
        <v>0.625</v>
      </c>
      <c r="G585" s="238">
        <f t="shared" si="51"/>
        <v>6</v>
      </c>
      <c r="H585" s="242">
        <f t="shared" si="52"/>
        <v>1</v>
      </c>
      <c r="I585" s="240">
        <f t="shared" si="53"/>
        <v>3086.419753</v>
      </c>
      <c r="J585" s="241"/>
      <c r="K585" s="240"/>
      <c r="L585" s="237"/>
      <c r="M585" s="243">
        <f t="shared" si="54"/>
        <v>18518.51852</v>
      </c>
    </row>
    <row r="586" ht="26.25" customHeight="1">
      <c r="A586" s="245"/>
      <c r="B586" s="246">
        <v>46087.0</v>
      </c>
      <c r="C586" s="247">
        <v>46087.0</v>
      </c>
      <c r="D586" s="240">
        <v>750000.0</v>
      </c>
      <c r="E586" s="237"/>
      <c r="F586" s="237"/>
      <c r="G586" s="238" t="str">
        <f t="shared" si="51"/>
        <v/>
      </c>
      <c r="H586" s="242" t="str">
        <f t="shared" si="52"/>
        <v/>
      </c>
      <c r="I586" s="240">
        <f t="shared" si="53"/>
        <v>3086.419753</v>
      </c>
      <c r="J586" s="241"/>
      <c r="K586" s="240"/>
      <c r="L586" s="237"/>
      <c r="M586" s="243">
        <f t="shared" si="54"/>
        <v>0</v>
      </c>
    </row>
    <row r="587" ht="26.25" customHeight="1">
      <c r="A587" s="245"/>
      <c r="B587" s="246">
        <v>46088.0</v>
      </c>
      <c r="C587" s="247">
        <v>46088.0</v>
      </c>
      <c r="D587" s="240">
        <v>750000.0</v>
      </c>
      <c r="E587" s="237"/>
      <c r="F587" s="237"/>
      <c r="G587" s="238" t="str">
        <f t="shared" si="51"/>
        <v/>
      </c>
      <c r="H587" s="242" t="str">
        <f t="shared" si="52"/>
        <v/>
      </c>
      <c r="I587" s="240">
        <f t="shared" si="53"/>
        <v>3086.419753</v>
      </c>
      <c r="J587" s="241"/>
      <c r="K587" s="240"/>
      <c r="L587" s="237"/>
      <c r="M587" s="243">
        <f t="shared" si="54"/>
        <v>0</v>
      </c>
    </row>
    <row r="588" ht="26.25" customHeight="1">
      <c r="A588" s="245"/>
      <c r="B588" s="246">
        <v>46089.0</v>
      </c>
      <c r="C588" s="247">
        <v>46089.0</v>
      </c>
      <c r="D588" s="240">
        <v>750000.0</v>
      </c>
      <c r="E588" s="237"/>
      <c r="F588" s="237"/>
      <c r="G588" s="238" t="str">
        <f t="shared" si="51"/>
        <v/>
      </c>
      <c r="H588" s="242" t="str">
        <f t="shared" si="52"/>
        <v/>
      </c>
      <c r="I588" s="240">
        <f t="shared" si="53"/>
        <v>3086.419753</v>
      </c>
      <c r="J588" s="241"/>
      <c r="K588" s="240"/>
      <c r="L588" s="237"/>
      <c r="M588" s="243">
        <f t="shared" si="54"/>
        <v>0</v>
      </c>
    </row>
    <row r="589" ht="26.25" customHeight="1">
      <c r="A589" s="261" t="s">
        <v>29</v>
      </c>
      <c r="B589" s="246">
        <v>46090.0</v>
      </c>
      <c r="C589" s="247">
        <v>46090.0</v>
      </c>
      <c r="D589" s="240">
        <v>750000.0</v>
      </c>
      <c r="E589" s="244">
        <v>0.375</v>
      </c>
      <c r="F589" s="244">
        <v>0.7708333333333334</v>
      </c>
      <c r="G589" s="238">
        <f t="shared" si="51"/>
        <v>9.5</v>
      </c>
      <c r="H589" s="242">
        <f t="shared" si="52"/>
        <v>1</v>
      </c>
      <c r="I589" s="240">
        <f t="shared" si="53"/>
        <v>3086.419753</v>
      </c>
      <c r="J589" s="241"/>
      <c r="K589" s="240"/>
      <c r="L589" s="237"/>
      <c r="M589" s="243">
        <f t="shared" si="54"/>
        <v>29320.98765</v>
      </c>
    </row>
    <row r="590" ht="26.25" customHeight="1">
      <c r="A590" s="261" t="s">
        <v>29</v>
      </c>
      <c r="B590" s="246">
        <v>46091.0</v>
      </c>
      <c r="C590" s="247">
        <v>46091.0</v>
      </c>
      <c r="D590" s="240">
        <v>750000.0</v>
      </c>
      <c r="E590" s="244">
        <v>0.375</v>
      </c>
      <c r="F590" s="244">
        <v>0.7708333333333334</v>
      </c>
      <c r="G590" s="238">
        <f t="shared" si="51"/>
        <v>9.5</v>
      </c>
      <c r="H590" s="242">
        <f t="shared" si="52"/>
        <v>1</v>
      </c>
      <c r="I590" s="240">
        <f t="shared" si="53"/>
        <v>3086.419753</v>
      </c>
      <c r="J590" s="241"/>
      <c r="K590" s="240"/>
      <c r="L590" s="237"/>
      <c r="M590" s="243">
        <f t="shared" si="54"/>
        <v>29320.98765</v>
      </c>
    </row>
    <row r="591" ht="26.25" customHeight="1">
      <c r="A591" s="261" t="s">
        <v>29</v>
      </c>
      <c r="B591" s="246">
        <v>46092.0</v>
      </c>
      <c r="C591" s="247">
        <v>46092.0</v>
      </c>
      <c r="D591" s="240">
        <v>750000.0</v>
      </c>
      <c r="E591" s="244">
        <v>0.20833333333333334</v>
      </c>
      <c r="F591" s="244">
        <v>0.75</v>
      </c>
      <c r="G591" s="238">
        <f t="shared" si="51"/>
        <v>13</v>
      </c>
      <c r="H591" s="242">
        <f t="shared" si="52"/>
        <v>1</v>
      </c>
      <c r="I591" s="240">
        <f t="shared" si="53"/>
        <v>3086.419753</v>
      </c>
      <c r="J591" s="241"/>
      <c r="K591" s="240"/>
      <c r="L591" s="237"/>
      <c r="M591" s="243">
        <f t="shared" si="54"/>
        <v>40123.45679</v>
      </c>
    </row>
    <row r="592" ht="26.25" customHeight="1">
      <c r="A592" s="245"/>
      <c r="B592" s="246">
        <v>46093.0</v>
      </c>
      <c r="C592" s="247">
        <v>46093.0</v>
      </c>
      <c r="D592" s="240">
        <v>750000.0</v>
      </c>
      <c r="E592" s="237"/>
      <c r="F592" s="237"/>
      <c r="G592" s="238" t="str">
        <f t="shared" si="51"/>
        <v/>
      </c>
      <c r="H592" s="242" t="str">
        <f t="shared" si="52"/>
        <v/>
      </c>
      <c r="I592" s="240">
        <f t="shared" si="53"/>
        <v>3086.419753</v>
      </c>
      <c r="J592" s="241"/>
      <c r="K592" s="240"/>
      <c r="L592" s="237"/>
      <c r="M592" s="243">
        <f t="shared" si="54"/>
        <v>0</v>
      </c>
    </row>
    <row r="593" ht="26.25" customHeight="1">
      <c r="A593" s="245"/>
      <c r="B593" s="246">
        <v>46094.0</v>
      </c>
      <c r="C593" s="247">
        <v>46094.0</v>
      </c>
      <c r="D593" s="240">
        <v>750000.0</v>
      </c>
      <c r="E593" s="237"/>
      <c r="F593" s="237"/>
      <c r="G593" s="238" t="str">
        <f t="shared" si="51"/>
        <v/>
      </c>
      <c r="H593" s="242" t="str">
        <f t="shared" si="52"/>
        <v/>
      </c>
      <c r="I593" s="240">
        <f t="shared" si="53"/>
        <v>3086.419753</v>
      </c>
      <c r="J593" s="241"/>
      <c r="K593" s="240"/>
      <c r="L593" s="237"/>
      <c r="M593" s="243">
        <f t="shared" si="54"/>
        <v>0</v>
      </c>
    </row>
    <row r="594" ht="26.25" customHeight="1">
      <c r="A594" s="245"/>
      <c r="B594" s="246">
        <v>46095.0</v>
      </c>
      <c r="C594" s="247">
        <v>46095.0</v>
      </c>
      <c r="D594" s="240">
        <v>750000.0</v>
      </c>
      <c r="E594" s="237"/>
      <c r="F594" s="237"/>
      <c r="G594" s="238" t="str">
        <f t="shared" si="51"/>
        <v/>
      </c>
      <c r="H594" s="242" t="str">
        <f t="shared" si="52"/>
        <v/>
      </c>
      <c r="I594" s="240">
        <f t="shared" si="53"/>
        <v>3086.419753</v>
      </c>
      <c r="J594" s="241"/>
      <c r="K594" s="240"/>
      <c r="L594" s="237"/>
      <c r="M594" s="243">
        <f t="shared" si="54"/>
        <v>0</v>
      </c>
    </row>
    <row r="595" ht="26.25" customHeight="1">
      <c r="A595" s="245"/>
      <c r="B595" s="246">
        <v>46096.0</v>
      </c>
      <c r="C595" s="247">
        <v>46096.0</v>
      </c>
      <c r="D595" s="240">
        <v>750000.0</v>
      </c>
      <c r="E595" s="237"/>
      <c r="F595" s="237"/>
      <c r="G595" s="238" t="str">
        <f t="shared" si="51"/>
        <v/>
      </c>
      <c r="H595" s="242" t="str">
        <f t="shared" si="52"/>
        <v/>
      </c>
      <c r="I595" s="240">
        <f t="shared" si="53"/>
        <v>3086.419753</v>
      </c>
      <c r="J595" s="241"/>
      <c r="K595" s="240"/>
      <c r="L595" s="237"/>
      <c r="M595" s="243">
        <f t="shared" si="54"/>
        <v>0</v>
      </c>
    </row>
    <row r="596" ht="26.25" customHeight="1">
      <c r="A596" s="245"/>
      <c r="B596" s="246">
        <v>46097.0</v>
      </c>
      <c r="C596" s="247">
        <v>46097.0</v>
      </c>
      <c r="D596" s="240">
        <v>750000.0</v>
      </c>
      <c r="E596" s="237"/>
      <c r="F596" s="237"/>
      <c r="G596" s="238" t="str">
        <f t="shared" si="51"/>
        <v/>
      </c>
      <c r="H596" s="242" t="str">
        <f t="shared" si="52"/>
        <v/>
      </c>
      <c r="I596" s="240">
        <f t="shared" si="53"/>
        <v>3086.419753</v>
      </c>
      <c r="J596" s="241"/>
      <c r="K596" s="240"/>
      <c r="L596" s="237"/>
      <c r="M596" s="243">
        <f t="shared" si="54"/>
        <v>0</v>
      </c>
    </row>
    <row r="597" ht="26.25" customHeight="1">
      <c r="A597" s="245"/>
      <c r="B597" s="246">
        <v>46098.0</v>
      </c>
      <c r="C597" s="247">
        <v>46098.0</v>
      </c>
      <c r="D597" s="240">
        <v>750000.0</v>
      </c>
      <c r="E597" s="237"/>
      <c r="F597" s="237"/>
      <c r="G597" s="238" t="str">
        <f t="shared" si="51"/>
        <v/>
      </c>
      <c r="H597" s="242" t="str">
        <f t="shared" si="52"/>
        <v/>
      </c>
      <c r="I597" s="240">
        <f t="shared" si="53"/>
        <v>3086.419753</v>
      </c>
      <c r="J597" s="241"/>
      <c r="K597" s="240"/>
      <c r="L597" s="237"/>
      <c r="M597" s="243">
        <f t="shared" si="54"/>
        <v>0</v>
      </c>
    </row>
    <row r="598" ht="26.25" customHeight="1">
      <c r="A598" s="245"/>
      <c r="B598" s="246">
        <v>46099.0</v>
      </c>
      <c r="C598" s="247">
        <v>46099.0</v>
      </c>
      <c r="D598" s="240">
        <v>750000.0</v>
      </c>
      <c r="E598" s="237"/>
      <c r="F598" s="237"/>
      <c r="G598" s="238" t="str">
        <f t="shared" si="51"/>
        <v/>
      </c>
      <c r="H598" s="242" t="str">
        <f t="shared" si="52"/>
        <v/>
      </c>
      <c r="I598" s="240">
        <f t="shared" si="53"/>
        <v>3086.419753</v>
      </c>
      <c r="J598" s="241"/>
      <c r="K598" s="240"/>
      <c r="L598" s="237"/>
      <c r="M598" s="243">
        <f t="shared" si="54"/>
        <v>0</v>
      </c>
    </row>
    <row r="599" ht="26.25" customHeight="1">
      <c r="A599" s="245"/>
      <c r="B599" s="246">
        <v>46100.0</v>
      </c>
      <c r="C599" s="247">
        <v>46100.0</v>
      </c>
      <c r="D599" s="240">
        <v>750000.0</v>
      </c>
      <c r="E599" s="237"/>
      <c r="F599" s="237"/>
      <c r="G599" s="238" t="str">
        <f t="shared" si="51"/>
        <v/>
      </c>
      <c r="H599" s="242" t="str">
        <f t="shared" si="52"/>
        <v/>
      </c>
      <c r="I599" s="240">
        <f t="shared" si="53"/>
        <v>3086.419753</v>
      </c>
      <c r="J599" s="241"/>
      <c r="K599" s="240"/>
      <c r="L599" s="237"/>
      <c r="M599" s="243">
        <f t="shared" si="54"/>
        <v>0</v>
      </c>
    </row>
    <row r="600" ht="26.25" customHeight="1">
      <c r="A600" s="245"/>
      <c r="B600" s="246">
        <v>46101.0</v>
      </c>
      <c r="C600" s="247">
        <v>46101.0</v>
      </c>
      <c r="D600" s="240">
        <v>750000.0</v>
      </c>
      <c r="E600" s="237"/>
      <c r="F600" s="237"/>
      <c r="G600" s="238" t="str">
        <f t="shared" si="51"/>
        <v/>
      </c>
      <c r="H600" s="242" t="str">
        <f t="shared" si="52"/>
        <v/>
      </c>
      <c r="I600" s="240">
        <f t="shared" si="53"/>
        <v>3086.419753</v>
      </c>
      <c r="J600" s="241"/>
      <c r="K600" s="240"/>
      <c r="L600" s="237"/>
      <c r="M600" s="243">
        <f t="shared" si="54"/>
        <v>0</v>
      </c>
    </row>
    <row r="601" ht="26.25" customHeight="1">
      <c r="A601" s="261" t="s">
        <v>29</v>
      </c>
      <c r="B601" s="246">
        <v>46102.0</v>
      </c>
      <c r="C601" s="247">
        <v>46102.0</v>
      </c>
      <c r="D601" s="240">
        <v>750000.0</v>
      </c>
      <c r="E601" s="237"/>
      <c r="F601" s="237"/>
      <c r="G601" s="238" t="str">
        <f t="shared" si="51"/>
        <v/>
      </c>
      <c r="H601" s="242">
        <f t="shared" si="52"/>
        <v>1</v>
      </c>
      <c r="I601" s="240">
        <f t="shared" si="53"/>
        <v>3086.419753</v>
      </c>
      <c r="J601" s="241"/>
      <c r="K601" s="236">
        <v>80000.0</v>
      </c>
      <c r="L601" s="237"/>
      <c r="M601" s="243">
        <f t="shared" si="54"/>
        <v>0</v>
      </c>
    </row>
    <row r="602" ht="26.25" customHeight="1">
      <c r="A602" s="245"/>
      <c r="B602" s="246">
        <v>46103.0</v>
      </c>
      <c r="C602" s="247">
        <v>46103.0</v>
      </c>
      <c r="D602" s="240">
        <v>750000.0</v>
      </c>
      <c r="E602" s="237"/>
      <c r="F602" s="237"/>
      <c r="G602" s="238" t="str">
        <f t="shared" si="51"/>
        <v/>
      </c>
      <c r="H602" s="242" t="str">
        <f t="shared" si="52"/>
        <v/>
      </c>
      <c r="I602" s="240">
        <f t="shared" si="53"/>
        <v>3086.419753</v>
      </c>
      <c r="J602" s="241"/>
      <c r="K602" s="240"/>
      <c r="L602" s="237"/>
      <c r="M602" s="243">
        <f t="shared" si="54"/>
        <v>0</v>
      </c>
    </row>
    <row r="603" ht="26.25" customHeight="1">
      <c r="A603" s="245"/>
      <c r="B603" s="246">
        <v>46104.0</v>
      </c>
      <c r="C603" s="247">
        <v>46104.0</v>
      </c>
      <c r="D603" s="240">
        <v>750000.0</v>
      </c>
      <c r="E603" s="237"/>
      <c r="F603" s="237"/>
      <c r="G603" s="238" t="str">
        <f t="shared" si="51"/>
        <v/>
      </c>
      <c r="H603" s="242" t="str">
        <f t="shared" si="52"/>
        <v/>
      </c>
      <c r="I603" s="240">
        <f t="shared" si="53"/>
        <v>3086.419753</v>
      </c>
      <c r="J603" s="241"/>
      <c r="K603" s="240"/>
      <c r="L603" s="237"/>
      <c r="M603" s="243">
        <f t="shared" si="54"/>
        <v>0</v>
      </c>
    </row>
    <row r="604" ht="26.25" customHeight="1">
      <c r="A604" s="245"/>
      <c r="B604" s="246">
        <v>46105.0</v>
      </c>
      <c r="C604" s="247">
        <v>46105.0</v>
      </c>
      <c r="D604" s="240">
        <v>750000.0</v>
      </c>
      <c r="E604" s="237"/>
      <c r="F604" s="237"/>
      <c r="G604" s="238" t="str">
        <f t="shared" si="51"/>
        <v/>
      </c>
      <c r="H604" s="242" t="str">
        <f t="shared" si="52"/>
        <v/>
      </c>
      <c r="I604" s="240">
        <f t="shared" si="53"/>
        <v>3086.419753</v>
      </c>
      <c r="J604" s="241"/>
      <c r="K604" s="240"/>
      <c r="L604" s="237"/>
      <c r="M604" s="243">
        <f t="shared" si="54"/>
        <v>0</v>
      </c>
    </row>
    <row r="605" ht="26.25" customHeight="1">
      <c r="A605" s="245"/>
      <c r="B605" s="246">
        <v>46106.0</v>
      </c>
      <c r="C605" s="247">
        <v>46106.0</v>
      </c>
      <c r="D605" s="240">
        <v>750000.0</v>
      </c>
      <c r="E605" s="237"/>
      <c r="F605" s="237"/>
      <c r="G605" s="238" t="str">
        <f t="shared" si="51"/>
        <v/>
      </c>
      <c r="H605" s="242" t="str">
        <f t="shared" si="52"/>
        <v/>
      </c>
      <c r="I605" s="240">
        <f t="shared" si="53"/>
        <v>3086.419753</v>
      </c>
      <c r="J605" s="241"/>
      <c r="K605" s="240"/>
      <c r="L605" s="237"/>
      <c r="M605" s="243">
        <f t="shared" si="54"/>
        <v>0</v>
      </c>
    </row>
    <row r="606" ht="26.25" customHeight="1">
      <c r="A606" s="245"/>
      <c r="B606" s="246">
        <v>46107.0</v>
      </c>
      <c r="C606" s="247">
        <v>46107.0</v>
      </c>
      <c r="D606" s="240">
        <v>750000.0</v>
      </c>
      <c r="E606" s="237"/>
      <c r="F606" s="237"/>
      <c r="G606" s="238" t="str">
        <f t="shared" si="51"/>
        <v/>
      </c>
      <c r="H606" s="242" t="str">
        <f t="shared" si="52"/>
        <v/>
      </c>
      <c r="I606" s="240">
        <f t="shared" si="53"/>
        <v>3086.419753</v>
      </c>
      <c r="J606" s="241"/>
      <c r="K606" s="240"/>
      <c r="L606" s="237"/>
      <c r="M606" s="243">
        <f t="shared" si="54"/>
        <v>0</v>
      </c>
    </row>
    <row r="607" ht="26.25" customHeight="1">
      <c r="A607" s="245"/>
      <c r="B607" s="246">
        <v>46108.0</v>
      </c>
      <c r="C607" s="247">
        <v>46108.0</v>
      </c>
      <c r="D607" s="240">
        <v>750000.0</v>
      </c>
      <c r="E607" s="237"/>
      <c r="F607" s="237"/>
      <c r="G607" s="238" t="str">
        <f t="shared" si="51"/>
        <v/>
      </c>
      <c r="H607" s="242" t="str">
        <f t="shared" si="52"/>
        <v/>
      </c>
      <c r="I607" s="240">
        <f t="shared" si="53"/>
        <v>3086.419753</v>
      </c>
      <c r="J607" s="241"/>
      <c r="K607" s="240"/>
      <c r="L607" s="237"/>
      <c r="M607" s="243">
        <f t="shared" si="54"/>
        <v>0</v>
      </c>
    </row>
    <row r="608" ht="26.25" customHeight="1">
      <c r="A608" s="245"/>
      <c r="B608" s="246">
        <v>46109.0</v>
      </c>
      <c r="C608" s="247">
        <v>46109.0</v>
      </c>
      <c r="D608" s="240">
        <v>750000.0</v>
      </c>
      <c r="E608" s="237"/>
      <c r="F608" s="237"/>
      <c r="G608" s="238" t="str">
        <f t="shared" si="51"/>
        <v/>
      </c>
      <c r="H608" s="242" t="str">
        <f t="shared" si="52"/>
        <v/>
      </c>
      <c r="I608" s="240">
        <f t="shared" si="53"/>
        <v>3086.419753</v>
      </c>
      <c r="J608" s="241"/>
      <c r="K608" s="240"/>
      <c r="L608" s="237"/>
      <c r="M608" s="243">
        <f t="shared" si="54"/>
        <v>0</v>
      </c>
    </row>
    <row r="609" ht="26.25" customHeight="1">
      <c r="A609" s="245"/>
      <c r="B609" s="246">
        <v>46110.0</v>
      </c>
      <c r="C609" s="247">
        <v>46110.0</v>
      </c>
      <c r="D609" s="240">
        <v>750000.0</v>
      </c>
      <c r="E609" s="237"/>
      <c r="F609" s="237"/>
      <c r="G609" s="238" t="str">
        <f t="shared" si="51"/>
        <v/>
      </c>
      <c r="H609" s="242" t="str">
        <f t="shared" si="52"/>
        <v/>
      </c>
      <c r="I609" s="240">
        <f t="shared" si="53"/>
        <v>3086.419753</v>
      </c>
      <c r="J609" s="241"/>
      <c r="K609" s="240"/>
      <c r="L609" s="237"/>
      <c r="M609" s="243">
        <f t="shared" si="54"/>
        <v>0</v>
      </c>
    </row>
    <row r="610" ht="26.25" customHeight="1">
      <c r="A610" s="245"/>
      <c r="B610" s="246">
        <v>46111.0</v>
      </c>
      <c r="C610" s="247">
        <v>46111.0</v>
      </c>
      <c r="D610" s="240">
        <v>750000.0</v>
      </c>
      <c r="E610" s="237"/>
      <c r="F610" s="237"/>
      <c r="G610" s="238" t="str">
        <f t="shared" si="51"/>
        <v/>
      </c>
      <c r="H610" s="242" t="str">
        <f t="shared" si="52"/>
        <v/>
      </c>
      <c r="I610" s="240">
        <f t="shared" si="53"/>
        <v>3086.419753</v>
      </c>
      <c r="J610" s="241"/>
      <c r="K610" s="240"/>
      <c r="L610" s="237"/>
      <c r="M610" s="243">
        <f t="shared" si="54"/>
        <v>0</v>
      </c>
    </row>
    <row r="611" ht="26.25" customHeight="1">
      <c r="A611" s="248"/>
      <c r="B611" s="249">
        <v>46112.0</v>
      </c>
      <c r="C611" s="250">
        <v>46112.0</v>
      </c>
      <c r="D611" s="251">
        <v>750000.0</v>
      </c>
      <c r="E611" s="252"/>
      <c r="F611" s="252"/>
      <c r="G611" s="253" t="str">
        <f t="shared" si="51"/>
        <v/>
      </c>
      <c r="H611" s="302" t="str">
        <f t="shared" si="52"/>
        <v/>
      </c>
      <c r="I611" s="240">
        <f t="shared" si="53"/>
        <v>3086.419753</v>
      </c>
      <c r="J611" s="256"/>
      <c r="K611" s="251"/>
      <c r="L611" s="252"/>
      <c r="M611" s="257">
        <f t="shared" si="54"/>
        <v>0</v>
      </c>
    </row>
    <row r="612" ht="26.25" customHeight="1">
      <c r="A612" s="320"/>
      <c r="B612" s="321"/>
      <c r="C612" s="205"/>
      <c r="D612" s="206"/>
      <c r="E612" s="207"/>
      <c r="F612" s="207"/>
      <c r="G612" s="208"/>
      <c r="H612" s="209"/>
      <c r="I612" s="206"/>
      <c r="J612" s="306"/>
      <c r="K612" s="206"/>
      <c r="L612" s="207"/>
      <c r="M612" s="316"/>
    </row>
    <row r="613" ht="26.25" customHeight="1">
      <c r="A613" s="322"/>
      <c r="B613" s="323"/>
      <c r="C613" s="215"/>
      <c r="D613" s="216"/>
      <c r="E613" s="217"/>
      <c r="F613" s="217"/>
      <c r="G613" s="218"/>
      <c r="H613" s="219"/>
      <c r="I613" s="216"/>
      <c r="J613" s="311"/>
      <c r="K613" s="216"/>
      <c r="L613" s="217"/>
      <c r="M613" s="319"/>
    </row>
    <row r="614" ht="22.5" hidden="1" customHeight="1">
      <c r="A614" s="189"/>
      <c r="B614" s="190"/>
      <c r="C614" s="191"/>
      <c r="D614" s="192"/>
      <c r="E614" s="193"/>
      <c r="F614" s="193"/>
      <c r="G614" s="194" t="str">
        <f t="shared" ref="G614:G1029" si="55">IF(AND(E614&lt;&gt;"",F614&lt;&gt;""),(F614-E614)*24,"")</f>
        <v/>
      </c>
      <c r="H614" s="195" t="str">
        <f t="shared" ref="H614:H1029" si="56">IF(A614&lt;&gt;"",1,"")</f>
        <v/>
      </c>
      <c r="I614" s="192">
        <f t="shared" ref="I614:I646" si="57">D614/30/9</f>
        <v>0</v>
      </c>
      <c r="J614" s="196"/>
      <c r="K614" s="192"/>
      <c r="L614" s="324"/>
      <c r="M614" s="192">
        <f t="shared" ref="M614:M1029" si="58">G614*I614</f>
        <v>0</v>
      </c>
    </row>
    <row r="615" ht="22.5" hidden="1" customHeight="1">
      <c r="A615" s="189"/>
      <c r="B615" s="190"/>
      <c r="C615" s="191"/>
      <c r="D615" s="192"/>
      <c r="E615" s="193"/>
      <c r="F615" s="193"/>
      <c r="G615" s="194" t="str">
        <f t="shared" si="55"/>
        <v/>
      </c>
      <c r="H615" s="195" t="str">
        <f t="shared" si="56"/>
        <v/>
      </c>
      <c r="I615" s="192">
        <f t="shared" si="57"/>
        <v>0</v>
      </c>
      <c r="J615" s="196"/>
      <c r="K615" s="192"/>
      <c r="L615" s="324"/>
      <c r="M615" s="192">
        <f t="shared" si="58"/>
        <v>0</v>
      </c>
    </row>
    <row r="616" ht="22.5" hidden="1" customHeight="1">
      <c r="A616" s="189"/>
      <c r="B616" s="190"/>
      <c r="C616" s="191"/>
      <c r="D616" s="192"/>
      <c r="E616" s="193"/>
      <c r="F616" s="193"/>
      <c r="G616" s="194" t="str">
        <f t="shared" si="55"/>
        <v/>
      </c>
      <c r="H616" s="195" t="str">
        <f t="shared" si="56"/>
        <v/>
      </c>
      <c r="I616" s="192">
        <f t="shared" si="57"/>
        <v>0</v>
      </c>
      <c r="J616" s="196"/>
      <c r="K616" s="192"/>
      <c r="L616" s="324"/>
      <c r="M616" s="192">
        <f t="shared" si="58"/>
        <v>0</v>
      </c>
    </row>
    <row r="617" ht="22.5" hidden="1" customHeight="1">
      <c r="A617" s="189"/>
      <c r="B617" s="190"/>
      <c r="C617" s="191"/>
      <c r="D617" s="192"/>
      <c r="E617" s="193"/>
      <c r="F617" s="193"/>
      <c r="G617" s="194" t="str">
        <f t="shared" si="55"/>
        <v/>
      </c>
      <c r="H617" s="195" t="str">
        <f t="shared" si="56"/>
        <v/>
      </c>
      <c r="I617" s="192">
        <f t="shared" si="57"/>
        <v>0</v>
      </c>
      <c r="J617" s="196"/>
      <c r="K617" s="192"/>
      <c r="L617" s="324"/>
      <c r="M617" s="192">
        <f t="shared" si="58"/>
        <v>0</v>
      </c>
    </row>
    <row r="618" ht="22.5" hidden="1" customHeight="1">
      <c r="A618" s="189"/>
      <c r="B618" s="190"/>
      <c r="C618" s="191"/>
      <c r="D618" s="192"/>
      <c r="E618" s="193"/>
      <c r="F618" s="193"/>
      <c r="G618" s="194" t="str">
        <f t="shared" si="55"/>
        <v/>
      </c>
      <c r="H618" s="195" t="str">
        <f t="shared" si="56"/>
        <v/>
      </c>
      <c r="I618" s="192">
        <f t="shared" si="57"/>
        <v>0</v>
      </c>
      <c r="J618" s="196"/>
      <c r="K618" s="192"/>
      <c r="L618" s="324"/>
      <c r="M618" s="192">
        <f t="shared" si="58"/>
        <v>0</v>
      </c>
    </row>
    <row r="619" ht="22.5" hidden="1" customHeight="1">
      <c r="A619" s="189"/>
      <c r="B619" s="190"/>
      <c r="C619" s="191"/>
      <c r="D619" s="192"/>
      <c r="E619" s="193"/>
      <c r="F619" s="193"/>
      <c r="G619" s="194" t="str">
        <f t="shared" si="55"/>
        <v/>
      </c>
      <c r="H619" s="195" t="str">
        <f t="shared" si="56"/>
        <v/>
      </c>
      <c r="I619" s="192">
        <f t="shared" si="57"/>
        <v>0</v>
      </c>
      <c r="J619" s="196"/>
      <c r="K619" s="192"/>
      <c r="L619" s="324"/>
      <c r="M619" s="192">
        <f t="shared" si="58"/>
        <v>0</v>
      </c>
    </row>
    <row r="620" ht="22.5" hidden="1" customHeight="1">
      <c r="A620" s="189"/>
      <c r="B620" s="190"/>
      <c r="C620" s="191"/>
      <c r="D620" s="192"/>
      <c r="E620" s="193"/>
      <c r="F620" s="193"/>
      <c r="G620" s="194" t="str">
        <f t="shared" si="55"/>
        <v/>
      </c>
      <c r="H620" s="195" t="str">
        <f t="shared" si="56"/>
        <v/>
      </c>
      <c r="I620" s="192">
        <f t="shared" si="57"/>
        <v>0</v>
      </c>
      <c r="J620" s="196"/>
      <c r="K620" s="192"/>
      <c r="L620" s="324"/>
      <c r="M620" s="192">
        <f t="shared" si="58"/>
        <v>0</v>
      </c>
    </row>
    <row r="621" ht="22.5" hidden="1" customHeight="1">
      <c r="A621" s="189"/>
      <c r="B621" s="190"/>
      <c r="C621" s="191"/>
      <c r="D621" s="192"/>
      <c r="E621" s="193"/>
      <c r="F621" s="193"/>
      <c r="G621" s="194" t="str">
        <f t="shared" si="55"/>
        <v/>
      </c>
      <c r="H621" s="195" t="str">
        <f t="shared" si="56"/>
        <v/>
      </c>
      <c r="I621" s="192">
        <f t="shared" si="57"/>
        <v>0</v>
      </c>
      <c r="J621" s="196"/>
      <c r="K621" s="192"/>
      <c r="L621" s="324"/>
      <c r="M621" s="192">
        <f t="shared" si="58"/>
        <v>0</v>
      </c>
    </row>
    <row r="622" ht="22.5" hidden="1" customHeight="1">
      <c r="A622" s="189"/>
      <c r="B622" s="190"/>
      <c r="C622" s="191"/>
      <c r="D622" s="192"/>
      <c r="E622" s="193"/>
      <c r="F622" s="193"/>
      <c r="G622" s="194" t="str">
        <f t="shared" si="55"/>
        <v/>
      </c>
      <c r="H622" s="195" t="str">
        <f t="shared" si="56"/>
        <v/>
      </c>
      <c r="I622" s="192">
        <f t="shared" si="57"/>
        <v>0</v>
      </c>
      <c r="J622" s="196"/>
      <c r="K622" s="192"/>
      <c r="L622" s="324"/>
      <c r="M622" s="192">
        <f t="shared" si="58"/>
        <v>0</v>
      </c>
    </row>
    <row r="623" ht="22.5" hidden="1" customHeight="1">
      <c r="A623" s="189"/>
      <c r="B623" s="190"/>
      <c r="C623" s="191"/>
      <c r="D623" s="192"/>
      <c r="E623" s="193"/>
      <c r="F623" s="193"/>
      <c r="G623" s="194" t="str">
        <f t="shared" si="55"/>
        <v/>
      </c>
      <c r="H623" s="195" t="str">
        <f t="shared" si="56"/>
        <v/>
      </c>
      <c r="I623" s="192">
        <f t="shared" si="57"/>
        <v>0</v>
      </c>
      <c r="J623" s="196"/>
      <c r="K623" s="192"/>
      <c r="L623" s="324"/>
      <c r="M623" s="192">
        <f t="shared" si="58"/>
        <v>0</v>
      </c>
    </row>
    <row r="624" ht="22.5" hidden="1" customHeight="1">
      <c r="A624" s="189"/>
      <c r="B624" s="190"/>
      <c r="C624" s="191"/>
      <c r="D624" s="192"/>
      <c r="E624" s="193"/>
      <c r="F624" s="193"/>
      <c r="G624" s="194" t="str">
        <f t="shared" si="55"/>
        <v/>
      </c>
      <c r="H624" s="195" t="str">
        <f t="shared" si="56"/>
        <v/>
      </c>
      <c r="I624" s="192">
        <f t="shared" si="57"/>
        <v>0</v>
      </c>
      <c r="J624" s="196"/>
      <c r="K624" s="192"/>
      <c r="L624" s="324"/>
      <c r="M624" s="192">
        <f t="shared" si="58"/>
        <v>0</v>
      </c>
    </row>
    <row r="625" ht="22.5" hidden="1" customHeight="1">
      <c r="A625" s="189"/>
      <c r="B625" s="190"/>
      <c r="C625" s="191"/>
      <c r="D625" s="192"/>
      <c r="E625" s="193"/>
      <c r="F625" s="193"/>
      <c r="G625" s="194" t="str">
        <f t="shared" si="55"/>
        <v/>
      </c>
      <c r="H625" s="195" t="str">
        <f t="shared" si="56"/>
        <v/>
      </c>
      <c r="I625" s="192">
        <f t="shared" si="57"/>
        <v>0</v>
      </c>
      <c r="J625" s="196"/>
      <c r="K625" s="192"/>
      <c r="L625" s="324"/>
      <c r="M625" s="192">
        <f t="shared" si="58"/>
        <v>0</v>
      </c>
    </row>
    <row r="626" ht="22.5" hidden="1" customHeight="1">
      <c r="A626" s="189"/>
      <c r="B626" s="190"/>
      <c r="C626" s="191"/>
      <c r="D626" s="192"/>
      <c r="E626" s="193"/>
      <c r="F626" s="193"/>
      <c r="G626" s="194" t="str">
        <f t="shared" si="55"/>
        <v/>
      </c>
      <c r="H626" s="195" t="str">
        <f t="shared" si="56"/>
        <v/>
      </c>
      <c r="I626" s="192">
        <f t="shared" si="57"/>
        <v>0</v>
      </c>
      <c r="J626" s="196"/>
      <c r="K626" s="192"/>
      <c r="L626" s="324"/>
      <c r="M626" s="192">
        <f t="shared" si="58"/>
        <v>0</v>
      </c>
    </row>
    <row r="627" ht="22.5" hidden="1" customHeight="1">
      <c r="A627" s="189"/>
      <c r="B627" s="190"/>
      <c r="C627" s="191"/>
      <c r="D627" s="192"/>
      <c r="E627" s="193"/>
      <c r="F627" s="193"/>
      <c r="G627" s="194" t="str">
        <f t="shared" si="55"/>
        <v/>
      </c>
      <c r="H627" s="195" t="str">
        <f t="shared" si="56"/>
        <v/>
      </c>
      <c r="I627" s="192">
        <f t="shared" si="57"/>
        <v>0</v>
      </c>
      <c r="J627" s="196"/>
      <c r="K627" s="192"/>
      <c r="L627" s="324"/>
      <c r="M627" s="192">
        <f t="shared" si="58"/>
        <v>0</v>
      </c>
    </row>
    <row r="628" ht="22.5" hidden="1" customHeight="1">
      <c r="A628" s="189"/>
      <c r="B628" s="190"/>
      <c r="C628" s="191"/>
      <c r="D628" s="192"/>
      <c r="E628" s="193"/>
      <c r="F628" s="193"/>
      <c r="G628" s="194" t="str">
        <f t="shared" si="55"/>
        <v/>
      </c>
      <c r="H628" s="195" t="str">
        <f t="shared" si="56"/>
        <v/>
      </c>
      <c r="I628" s="192">
        <f t="shared" si="57"/>
        <v>0</v>
      </c>
      <c r="J628" s="196"/>
      <c r="K628" s="192"/>
      <c r="L628" s="324"/>
      <c r="M628" s="192">
        <f t="shared" si="58"/>
        <v>0</v>
      </c>
    </row>
    <row r="629" ht="22.5" hidden="1" customHeight="1">
      <c r="A629" s="189"/>
      <c r="B629" s="190"/>
      <c r="C629" s="191"/>
      <c r="D629" s="192"/>
      <c r="E629" s="193"/>
      <c r="F629" s="193"/>
      <c r="G629" s="194" t="str">
        <f t="shared" si="55"/>
        <v/>
      </c>
      <c r="H629" s="195" t="str">
        <f t="shared" si="56"/>
        <v/>
      </c>
      <c r="I629" s="192">
        <f t="shared" si="57"/>
        <v>0</v>
      </c>
      <c r="J629" s="196"/>
      <c r="K629" s="192"/>
      <c r="L629" s="324"/>
      <c r="M629" s="192">
        <f t="shared" si="58"/>
        <v>0</v>
      </c>
    </row>
    <row r="630" ht="22.5" hidden="1" customHeight="1">
      <c r="A630" s="189"/>
      <c r="B630" s="190"/>
      <c r="C630" s="191"/>
      <c r="D630" s="192"/>
      <c r="E630" s="193"/>
      <c r="F630" s="193"/>
      <c r="G630" s="194" t="str">
        <f t="shared" si="55"/>
        <v/>
      </c>
      <c r="H630" s="195" t="str">
        <f t="shared" si="56"/>
        <v/>
      </c>
      <c r="I630" s="192">
        <f t="shared" si="57"/>
        <v>0</v>
      </c>
      <c r="J630" s="196"/>
      <c r="K630" s="192"/>
      <c r="L630" s="324"/>
      <c r="M630" s="192">
        <f t="shared" si="58"/>
        <v>0</v>
      </c>
    </row>
    <row r="631" ht="22.5" hidden="1" customHeight="1">
      <c r="A631" s="189"/>
      <c r="B631" s="190"/>
      <c r="C631" s="191"/>
      <c r="D631" s="192"/>
      <c r="E631" s="193"/>
      <c r="F631" s="193"/>
      <c r="G631" s="194" t="str">
        <f t="shared" si="55"/>
        <v/>
      </c>
      <c r="H631" s="195" t="str">
        <f t="shared" si="56"/>
        <v/>
      </c>
      <c r="I631" s="192">
        <f t="shared" si="57"/>
        <v>0</v>
      </c>
      <c r="J631" s="196"/>
      <c r="K631" s="192"/>
      <c r="L631" s="324"/>
      <c r="M631" s="192">
        <f t="shared" si="58"/>
        <v>0</v>
      </c>
    </row>
    <row r="632" ht="22.5" hidden="1" customHeight="1">
      <c r="A632" s="189"/>
      <c r="B632" s="190"/>
      <c r="C632" s="191"/>
      <c r="D632" s="192"/>
      <c r="E632" s="193"/>
      <c r="F632" s="193"/>
      <c r="G632" s="194" t="str">
        <f t="shared" si="55"/>
        <v/>
      </c>
      <c r="H632" s="195" t="str">
        <f t="shared" si="56"/>
        <v/>
      </c>
      <c r="I632" s="192">
        <f t="shared" si="57"/>
        <v>0</v>
      </c>
      <c r="J632" s="196"/>
      <c r="K632" s="192"/>
      <c r="L632" s="324"/>
      <c r="M632" s="192">
        <f t="shared" si="58"/>
        <v>0</v>
      </c>
    </row>
    <row r="633" ht="22.5" hidden="1" customHeight="1">
      <c r="A633" s="189"/>
      <c r="B633" s="190"/>
      <c r="C633" s="191"/>
      <c r="D633" s="192"/>
      <c r="E633" s="193"/>
      <c r="F633" s="193"/>
      <c r="G633" s="194" t="str">
        <f t="shared" si="55"/>
        <v/>
      </c>
      <c r="H633" s="195" t="str">
        <f t="shared" si="56"/>
        <v/>
      </c>
      <c r="I633" s="192">
        <f t="shared" si="57"/>
        <v>0</v>
      </c>
      <c r="J633" s="196"/>
      <c r="K633" s="192"/>
      <c r="L633" s="324"/>
      <c r="M633" s="192">
        <f t="shared" si="58"/>
        <v>0</v>
      </c>
    </row>
    <row r="634" ht="22.5" hidden="1" customHeight="1">
      <c r="A634" s="189"/>
      <c r="B634" s="190"/>
      <c r="C634" s="191"/>
      <c r="D634" s="192"/>
      <c r="E634" s="193"/>
      <c r="F634" s="193"/>
      <c r="G634" s="194" t="str">
        <f t="shared" si="55"/>
        <v/>
      </c>
      <c r="H634" s="195" t="str">
        <f t="shared" si="56"/>
        <v/>
      </c>
      <c r="I634" s="192">
        <f t="shared" si="57"/>
        <v>0</v>
      </c>
      <c r="J634" s="196"/>
      <c r="K634" s="192"/>
      <c r="L634" s="324"/>
      <c r="M634" s="192">
        <f t="shared" si="58"/>
        <v>0</v>
      </c>
    </row>
    <row r="635" ht="22.5" hidden="1" customHeight="1">
      <c r="A635" s="189"/>
      <c r="B635" s="190"/>
      <c r="C635" s="191"/>
      <c r="D635" s="192"/>
      <c r="E635" s="193"/>
      <c r="F635" s="193"/>
      <c r="G635" s="194" t="str">
        <f t="shared" si="55"/>
        <v/>
      </c>
      <c r="H635" s="195" t="str">
        <f t="shared" si="56"/>
        <v/>
      </c>
      <c r="I635" s="192">
        <f t="shared" si="57"/>
        <v>0</v>
      </c>
      <c r="J635" s="196"/>
      <c r="K635" s="192"/>
      <c r="L635" s="324"/>
      <c r="M635" s="192">
        <f t="shared" si="58"/>
        <v>0</v>
      </c>
    </row>
    <row r="636" ht="22.5" hidden="1" customHeight="1">
      <c r="A636" s="189"/>
      <c r="B636" s="190"/>
      <c r="C636" s="191"/>
      <c r="D636" s="192"/>
      <c r="E636" s="193"/>
      <c r="F636" s="193"/>
      <c r="G636" s="194" t="str">
        <f t="shared" si="55"/>
        <v/>
      </c>
      <c r="H636" s="195" t="str">
        <f t="shared" si="56"/>
        <v/>
      </c>
      <c r="I636" s="192">
        <f t="shared" si="57"/>
        <v>0</v>
      </c>
      <c r="J636" s="196"/>
      <c r="K636" s="192"/>
      <c r="L636" s="324"/>
      <c r="M636" s="192">
        <f t="shared" si="58"/>
        <v>0</v>
      </c>
    </row>
    <row r="637" ht="22.5" hidden="1" customHeight="1">
      <c r="A637" s="189"/>
      <c r="B637" s="190"/>
      <c r="C637" s="191"/>
      <c r="D637" s="192"/>
      <c r="E637" s="193"/>
      <c r="F637" s="193"/>
      <c r="G637" s="194" t="str">
        <f t="shared" si="55"/>
        <v/>
      </c>
      <c r="H637" s="195" t="str">
        <f t="shared" si="56"/>
        <v/>
      </c>
      <c r="I637" s="192">
        <f t="shared" si="57"/>
        <v>0</v>
      </c>
      <c r="J637" s="196"/>
      <c r="K637" s="192"/>
      <c r="L637" s="324"/>
      <c r="M637" s="192">
        <f t="shared" si="58"/>
        <v>0</v>
      </c>
    </row>
    <row r="638" ht="22.5" hidden="1" customHeight="1">
      <c r="A638" s="189"/>
      <c r="B638" s="190"/>
      <c r="C638" s="191"/>
      <c r="D638" s="192"/>
      <c r="E638" s="193"/>
      <c r="F638" s="193"/>
      <c r="G638" s="194" t="str">
        <f t="shared" si="55"/>
        <v/>
      </c>
      <c r="H638" s="195" t="str">
        <f t="shared" si="56"/>
        <v/>
      </c>
      <c r="I638" s="192">
        <f t="shared" si="57"/>
        <v>0</v>
      </c>
      <c r="J638" s="196"/>
      <c r="K638" s="192"/>
      <c r="L638" s="324"/>
      <c r="M638" s="192">
        <f t="shared" si="58"/>
        <v>0</v>
      </c>
    </row>
    <row r="639" ht="22.5" hidden="1" customHeight="1">
      <c r="A639" s="189"/>
      <c r="B639" s="190"/>
      <c r="C639" s="191"/>
      <c r="D639" s="192"/>
      <c r="E639" s="193"/>
      <c r="F639" s="193"/>
      <c r="G639" s="194" t="str">
        <f t="shared" si="55"/>
        <v/>
      </c>
      <c r="H639" s="195" t="str">
        <f t="shared" si="56"/>
        <v/>
      </c>
      <c r="I639" s="192">
        <f t="shared" si="57"/>
        <v>0</v>
      </c>
      <c r="J639" s="196"/>
      <c r="K639" s="192"/>
      <c r="L639" s="324"/>
      <c r="M639" s="192">
        <f t="shared" si="58"/>
        <v>0</v>
      </c>
    </row>
    <row r="640" ht="22.5" hidden="1" customHeight="1">
      <c r="A640" s="189"/>
      <c r="B640" s="190"/>
      <c r="C640" s="191"/>
      <c r="D640" s="192"/>
      <c r="E640" s="193"/>
      <c r="F640" s="193"/>
      <c r="G640" s="194" t="str">
        <f t="shared" si="55"/>
        <v/>
      </c>
      <c r="H640" s="195" t="str">
        <f t="shared" si="56"/>
        <v/>
      </c>
      <c r="I640" s="192">
        <f t="shared" si="57"/>
        <v>0</v>
      </c>
      <c r="J640" s="196"/>
      <c r="K640" s="192"/>
      <c r="L640" s="324"/>
      <c r="M640" s="192">
        <f t="shared" si="58"/>
        <v>0</v>
      </c>
    </row>
    <row r="641" ht="22.5" hidden="1" customHeight="1">
      <c r="A641" s="189"/>
      <c r="B641" s="190"/>
      <c r="C641" s="191"/>
      <c r="D641" s="192"/>
      <c r="E641" s="193"/>
      <c r="F641" s="193"/>
      <c r="G641" s="194" t="str">
        <f t="shared" si="55"/>
        <v/>
      </c>
      <c r="H641" s="195" t="str">
        <f t="shared" si="56"/>
        <v/>
      </c>
      <c r="I641" s="192">
        <f t="shared" si="57"/>
        <v>0</v>
      </c>
      <c r="J641" s="196"/>
      <c r="K641" s="192"/>
      <c r="L641" s="324"/>
      <c r="M641" s="192">
        <f t="shared" si="58"/>
        <v>0</v>
      </c>
    </row>
    <row r="642" ht="22.5" hidden="1" customHeight="1">
      <c r="A642" s="189"/>
      <c r="B642" s="190"/>
      <c r="C642" s="191"/>
      <c r="D642" s="192"/>
      <c r="E642" s="193"/>
      <c r="F642" s="193"/>
      <c r="G642" s="194" t="str">
        <f t="shared" si="55"/>
        <v/>
      </c>
      <c r="H642" s="195" t="str">
        <f t="shared" si="56"/>
        <v/>
      </c>
      <c r="I642" s="192">
        <f t="shared" si="57"/>
        <v>0</v>
      </c>
      <c r="J642" s="196"/>
      <c r="K642" s="192"/>
      <c r="L642" s="324"/>
      <c r="M642" s="192">
        <f t="shared" si="58"/>
        <v>0</v>
      </c>
    </row>
    <row r="643" ht="22.5" hidden="1" customHeight="1">
      <c r="A643" s="189"/>
      <c r="B643" s="190"/>
      <c r="C643" s="191"/>
      <c r="D643" s="192"/>
      <c r="E643" s="193"/>
      <c r="F643" s="193"/>
      <c r="G643" s="194" t="str">
        <f t="shared" si="55"/>
        <v/>
      </c>
      <c r="H643" s="195" t="str">
        <f t="shared" si="56"/>
        <v/>
      </c>
      <c r="I643" s="192">
        <f t="shared" si="57"/>
        <v>0</v>
      </c>
      <c r="J643" s="196"/>
      <c r="K643" s="192"/>
      <c r="L643" s="324"/>
      <c r="M643" s="192">
        <f t="shared" si="58"/>
        <v>0</v>
      </c>
    </row>
    <row r="644" ht="22.5" hidden="1" customHeight="1">
      <c r="A644" s="189"/>
      <c r="B644" s="190"/>
      <c r="C644" s="191"/>
      <c r="D644" s="192"/>
      <c r="E644" s="193"/>
      <c r="F644" s="193"/>
      <c r="G644" s="194" t="str">
        <f t="shared" si="55"/>
        <v/>
      </c>
      <c r="H644" s="195" t="str">
        <f t="shared" si="56"/>
        <v/>
      </c>
      <c r="I644" s="192">
        <f t="shared" si="57"/>
        <v>0</v>
      </c>
      <c r="J644" s="196"/>
      <c r="K644" s="192"/>
      <c r="L644" s="324"/>
      <c r="M644" s="192">
        <f t="shared" si="58"/>
        <v>0</v>
      </c>
    </row>
    <row r="645" ht="22.5" hidden="1" customHeight="1">
      <c r="A645" s="189"/>
      <c r="B645" s="190"/>
      <c r="C645" s="191"/>
      <c r="D645" s="192"/>
      <c r="E645" s="193"/>
      <c r="F645" s="193"/>
      <c r="G645" s="194" t="str">
        <f t="shared" si="55"/>
        <v/>
      </c>
      <c r="H645" s="195" t="str">
        <f t="shared" si="56"/>
        <v/>
      </c>
      <c r="I645" s="192">
        <f t="shared" si="57"/>
        <v>0</v>
      </c>
      <c r="J645" s="196"/>
      <c r="K645" s="192"/>
      <c r="L645" s="324"/>
      <c r="M645" s="192">
        <f t="shared" si="58"/>
        <v>0</v>
      </c>
    </row>
    <row r="646" ht="22.5" hidden="1" customHeight="1">
      <c r="A646" s="189"/>
      <c r="B646" s="190"/>
      <c r="C646" s="191"/>
      <c r="D646" s="192"/>
      <c r="E646" s="193"/>
      <c r="F646" s="193"/>
      <c r="G646" s="194" t="str">
        <f t="shared" si="55"/>
        <v/>
      </c>
      <c r="H646" s="195" t="str">
        <f t="shared" si="56"/>
        <v/>
      </c>
      <c r="I646" s="192">
        <f t="shared" si="57"/>
        <v>0</v>
      </c>
      <c r="J646" s="196"/>
      <c r="K646" s="192"/>
      <c r="L646" s="324"/>
      <c r="M646" s="192">
        <f t="shared" si="58"/>
        <v>0</v>
      </c>
    </row>
    <row r="647" ht="22.5" hidden="1" customHeight="1">
      <c r="A647" s="189"/>
      <c r="B647" s="190"/>
      <c r="C647" s="191"/>
      <c r="D647" s="192"/>
      <c r="E647" s="193"/>
      <c r="F647" s="193"/>
      <c r="G647" s="194" t="str">
        <f t="shared" si="55"/>
        <v/>
      </c>
      <c r="H647" s="195" t="str">
        <f t="shared" si="56"/>
        <v/>
      </c>
      <c r="I647" s="192"/>
      <c r="J647" s="196"/>
      <c r="K647" s="192"/>
      <c r="L647" s="324"/>
      <c r="M647" s="192">
        <f t="shared" si="58"/>
        <v>0</v>
      </c>
    </row>
    <row r="648" ht="22.5" hidden="1" customHeight="1">
      <c r="A648" s="189"/>
      <c r="B648" s="190"/>
      <c r="C648" s="191"/>
      <c r="D648" s="192"/>
      <c r="E648" s="193"/>
      <c r="F648" s="193"/>
      <c r="G648" s="194" t="str">
        <f t="shared" si="55"/>
        <v/>
      </c>
      <c r="H648" s="195" t="str">
        <f t="shared" si="56"/>
        <v/>
      </c>
      <c r="I648" s="192"/>
      <c r="J648" s="196"/>
      <c r="K648" s="192"/>
      <c r="L648" s="324"/>
      <c r="M648" s="192">
        <f t="shared" si="58"/>
        <v>0</v>
      </c>
    </row>
    <row r="649" ht="22.5" hidden="1" customHeight="1">
      <c r="A649" s="189"/>
      <c r="B649" s="190"/>
      <c r="C649" s="191"/>
      <c r="D649" s="192"/>
      <c r="E649" s="193"/>
      <c r="F649" s="193"/>
      <c r="G649" s="194" t="str">
        <f t="shared" si="55"/>
        <v/>
      </c>
      <c r="H649" s="195" t="str">
        <f t="shared" si="56"/>
        <v/>
      </c>
      <c r="I649" s="192"/>
      <c r="J649" s="196"/>
      <c r="K649" s="192"/>
      <c r="L649" s="324"/>
      <c r="M649" s="192">
        <f t="shared" si="58"/>
        <v>0</v>
      </c>
    </row>
    <row r="650" ht="22.5" hidden="1" customHeight="1">
      <c r="A650" s="189"/>
      <c r="B650" s="190"/>
      <c r="C650" s="191"/>
      <c r="D650" s="192"/>
      <c r="E650" s="193"/>
      <c r="F650" s="193"/>
      <c r="G650" s="194" t="str">
        <f t="shared" si="55"/>
        <v/>
      </c>
      <c r="H650" s="195" t="str">
        <f t="shared" si="56"/>
        <v/>
      </c>
      <c r="I650" s="192"/>
      <c r="J650" s="196"/>
      <c r="K650" s="192"/>
      <c r="L650" s="324"/>
      <c r="M650" s="192">
        <f t="shared" si="58"/>
        <v>0</v>
      </c>
    </row>
    <row r="651" ht="22.5" hidden="1" customHeight="1">
      <c r="A651" s="189"/>
      <c r="B651" s="190"/>
      <c r="C651" s="191"/>
      <c r="D651" s="192"/>
      <c r="E651" s="193"/>
      <c r="F651" s="193"/>
      <c r="G651" s="194" t="str">
        <f t="shared" si="55"/>
        <v/>
      </c>
      <c r="H651" s="195" t="str">
        <f t="shared" si="56"/>
        <v/>
      </c>
      <c r="I651" s="192"/>
      <c r="J651" s="196"/>
      <c r="K651" s="192"/>
      <c r="L651" s="324"/>
      <c r="M651" s="192">
        <f t="shared" si="58"/>
        <v>0</v>
      </c>
    </row>
    <row r="652" ht="22.5" hidden="1" customHeight="1">
      <c r="A652" s="189"/>
      <c r="B652" s="190"/>
      <c r="C652" s="191"/>
      <c r="D652" s="192"/>
      <c r="E652" s="193"/>
      <c r="F652" s="193"/>
      <c r="G652" s="194" t="str">
        <f t="shared" si="55"/>
        <v/>
      </c>
      <c r="H652" s="195" t="str">
        <f t="shared" si="56"/>
        <v/>
      </c>
      <c r="I652" s="192"/>
      <c r="J652" s="196"/>
      <c r="K652" s="192"/>
      <c r="L652" s="324"/>
      <c r="M652" s="192">
        <f t="shared" si="58"/>
        <v>0</v>
      </c>
    </row>
    <row r="653" ht="22.5" hidden="1" customHeight="1">
      <c r="A653" s="189"/>
      <c r="B653" s="190"/>
      <c r="C653" s="191"/>
      <c r="D653" s="192"/>
      <c r="E653" s="193"/>
      <c r="F653" s="193"/>
      <c r="G653" s="194" t="str">
        <f t="shared" si="55"/>
        <v/>
      </c>
      <c r="H653" s="195" t="str">
        <f t="shared" si="56"/>
        <v/>
      </c>
      <c r="I653" s="192"/>
      <c r="J653" s="196"/>
      <c r="K653" s="192"/>
      <c r="L653" s="324"/>
      <c r="M653" s="192">
        <f t="shared" si="58"/>
        <v>0</v>
      </c>
    </row>
    <row r="654" ht="22.5" hidden="1" customHeight="1">
      <c r="A654" s="189"/>
      <c r="B654" s="190"/>
      <c r="C654" s="191"/>
      <c r="D654" s="192"/>
      <c r="E654" s="193"/>
      <c r="F654" s="193"/>
      <c r="G654" s="194" t="str">
        <f t="shared" si="55"/>
        <v/>
      </c>
      <c r="H654" s="195" t="str">
        <f t="shared" si="56"/>
        <v/>
      </c>
      <c r="I654" s="192"/>
      <c r="J654" s="196"/>
      <c r="K654" s="192"/>
      <c r="L654" s="324"/>
      <c r="M654" s="192">
        <f t="shared" si="58"/>
        <v>0</v>
      </c>
    </row>
    <row r="655" ht="22.5" hidden="1" customHeight="1">
      <c r="A655" s="189"/>
      <c r="B655" s="190"/>
      <c r="C655" s="191"/>
      <c r="D655" s="192"/>
      <c r="E655" s="193"/>
      <c r="F655" s="193"/>
      <c r="G655" s="194" t="str">
        <f t="shared" si="55"/>
        <v/>
      </c>
      <c r="H655" s="195" t="str">
        <f t="shared" si="56"/>
        <v/>
      </c>
      <c r="I655" s="192"/>
      <c r="J655" s="196"/>
      <c r="K655" s="192"/>
      <c r="L655" s="324"/>
      <c r="M655" s="192">
        <f t="shared" si="58"/>
        <v>0</v>
      </c>
    </row>
    <row r="656" ht="22.5" hidden="1" customHeight="1">
      <c r="A656" s="189"/>
      <c r="B656" s="190"/>
      <c r="C656" s="191"/>
      <c r="D656" s="192"/>
      <c r="E656" s="193"/>
      <c r="F656" s="193"/>
      <c r="G656" s="194" t="str">
        <f t="shared" si="55"/>
        <v/>
      </c>
      <c r="H656" s="195" t="str">
        <f t="shared" si="56"/>
        <v/>
      </c>
      <c r="I656" s="192"/>
      <c r="J656" s="196"/>
      <c r="K656" s="192"/>
      <c r="L656" s="324"/>
      <c r="M656" s="192">
        <f t="shared" si="58"/>
        <v>0</v>
      </c>
    </row>
    <row r="657" ht="22.5" hidden="1" customHeight="1">
      <c r="A657" s="189"/>
      <c r="B657" s="190"/>
      <c r="C657" s="191"/>
      <c r="D657" s="192"/>
      <c r="E657" s="193"/>
      <c r="F657" s="193"/>
      <c r="G657" s="194" t="str">
        <f t="shared" si="55"/>
        <v/>
      </c>
      <c r="H657" s="195" t="str">
        <f t="shared" si="56"/>
        <v/>
      </c>
      <c r="I657" s="192"/>
      <c r="J657" s="196"/>
      <c r="K657" s="192"/>
      <c r="L657" s="324"/>
      <c r="M657" s="192">
        <f t="shared" si="58"/>
        <v>0</v>
      </c>
    </row>
    <row r="658" ht="22.5" hidden="1" customHeight="1">
      <c r="A658" s="189"/>
      <c r="B658" s="190"/>
      <c r="C658" s="191"/>
      <c r="D658" s="192"/>
      <c r="E658" s="193"/>
      <c r="F658" s="193"/>
      <c r="G658" s="194" t="str">
        <f t="shared" si="55"/>
        <v/>
      </c>
      <c r="H658" s="195" t="str">
        <f t="shared" si="56"/>
        <v/>
      </c>
      <c r="I658" s="192"/>
      <c r="J658" s="196"/>
      <c r="K658" s="192"/>
      <c r="L658" s="324"/>
      <c r="M658" s="192">
        <f t="shared" si="58"/>
        <v>0</v>
      </c>
    </row>
    <row r="659" ht="22.5" hidden="1" customHeight="1">
      <c r="A659" s="189"/>
      <c r="B659" s="190"/>
      <c r="C659" s="191"/>
      <c r="D659" s="192"/>
      <c r="E659" s="193"/>
      <c r="F659" s="193"/>
      <c r="G659" s="194" t="str">
        <f t="shared" si="55"/>
        <v/>
      </c>
      <c r="H659" s="195" t="str">
        <f t="shared" si="56"/>
        <v/>
      </c>
      <c r="I659" s="192"/>
      <c r="J659" s="196"/>
      <c r="K659" s="192"/>
      <c r="L659" s="324"/>
      <c r="M659" s="192">
        <f t="shared" si="58"/>
        <v>0</v>
      </c>
    </row>
    <row r="660" ht="22.5" hidden="1" customHeight="1">
      <c r="A660" s="189"/>
      <c r="B660" s="190"/>
      <c r="C660" s="191"/>
      <c r="D660" s="192"/>
      <c r="E660" s="193"/>
      <c r="F660" s="193"/>
      <c r="G660" s="194" t="str">
        <f t="shared" si="55"/>
        <v/>
      </c>
      <c r="H660" s="195" t="str">
        <f t="shared" si="56"/>
        <v/>
      </c>
      <c r="I660" s="192"/>
      <c r="J660" s="196"/>
      <c r="K660" s="192"/>
      <c r="L660" s="324"/>
      <c r="M660" s="192">
        <f t="shared" si="58"/>
        <v>0</v>
      </c>
    </row>
    <row r="661" ht="22.5" hidden="1" customHeight="1">
      <c r="A661" s="189"/>
      <c r="B661" s="190"/>
      <c r="C661" s="191"/>
      <c r="D661" s="192"/>
      <c r="E661" s="193"/>
      <c r="F661" s="193"/>
      <c r="G661" s="194" t="str">
        <f t="shared" si="55"/>
        <v/>
      </c>
      <c r="H661" s="195" t="str">
        <f t="shared" si="56"/>
        <v/>
      </c>
      <c r="I661" s="192"/>
      <c r="J661" s="196"/>
      <c r="K661" s="192"/>
      <c r="L661" s="324"/>
      <c r="M661" s="192">
        <f t="shared" si="58"/>
        <v>0</v>
      </c>
    </row>
    <row r="662" ht="22.5" hidden="1" customHeight="1">
      <c r="A662" s="189"/>
      <c r="B662" s="190"/>
      <c r="C662" s="191"/>
      <c r="D662" s="192"/>
      <c r="E662" s="193"/>
      <c r="F662" s="193"/>
      <c r="G662" s="194" t="str">
        <f t="shared" si="55"/>
        <v/>
      </c>
      <c r="H662" s="195" t="str">
        <f t="shared" si="56"/>
        <v/>
      </c>
      <c r="I662" s="192"/>
      <c r="J662" s="196"/>
      <c r="K662" s="192"/>
      <c r="L662" s="324"/>
      <c r="M662" s="192">
        <f t="shared" si="58"/>
        <v>0</v>
      </c>
    </row>
    <row r="663" ht="22.5" hidden="1" customHeight="1">
      <c r="A663" s="189"/>
      <c r="B663" s="190"/>
      <c r="C663" s="191"/>
      <c r="D663" s="192"/>
      <c r="E663" s="193"/>
      <c r="F663" s="193"/>
      <c r="G663" s="194" t="str">
        <f t="shared" si="55"/>
        <v/>
      </c>
      <c r="H663" s="195" t="str">
        <f t="shared" si="56"/>
        <v/>
      </c>
      <c r="I663" s="192"/>
      <c r="J663" s="196"/>
      <c r="K663" s="192"/>
      <c r="L663" s="324"/>
      <c r="M663" s="192">
        <f t="shared" si="58"/>
        <v>0</v>
      </c>
    </row>
    <row r="664" ht="22.5" hidden="1" customHeight="1">
      <c r="A664" s="189"/>
      <c r="B664" s="190"/>
      <c r="C664" s="191"/>
      <c r="D664" s="192"/>
      <c r="E664" s="193"/>
      <c r="F664" s="193"/>
      <c r="G664" s="194" t="str">
        <f t="shared" si="55"/>
        <v/>
      </c>
      <c r="H664" s="195" t="str">
        <f t="shared" si="56"/>
        <v/>
      </c>
      <c r="I664" s="192"/>
      <c r="J664" s="196"/>
      <c r="K664" s="192"/>
      <c r="L664" s="324"/>
      <c r="M664" s="192">
        <f t="shared" si="58"/>
        <v>0</v>
      </c>
    </row>
    <row r="665" ht="22.5" hidden="1" customHeight="1">
      <c r="A665" s="189"/>
      <c r="B665" s="190"/>
      <c r="C665" s="191"/>
      <c r="D665" s="192"/>
      <c r="E665" s="193"/>
      <c r="F665" s="193"/>
      <c r="G665" s="194" t="str">
        <f t="shared" si="55"/>
        <v/>
      </c>
      <c r="H665" s="195" t="str">
        <f t="shared" si="56"/>
        <v/>
      </c>
      <c r="I665" s="192"/>
      <c r="J665" s="196"/>
      <c r="K665" s="192"/>
      <c r="L665" s="324"/>
      <c r="M665" s="192">
        <f t="shared" si="58"/>
        <v>0</v>
      </c>
    </row>
    <row r="666" ht="22.5" hidden="1" customHeight="1">
      <c r="A666" s="189"/>
      <c r="B666" s="190"/>
      <c r="C666" s="191"/>
      <c r="D666" s="192"/>
      <c r="E666" s="193"/>
      <c r="F666" s="193"/>
      <c r="G666" s="194" t="str">
        <f t="shared" si="55"/>
        <v/>
      </c>
      <c r="H666" s="195" t="str">
        <f t="shared" si="56"/>
        <v/>
      </c>
      <c r="I666" s="192"/>
      <c r="J666" s="196"/>
      <c r="K666" s="192"/>
      <c r="L666" s="324"/>
      <c r="M666" s="192">
        <f t="shared" si="58"/>
        <v>0</v>
      </c>
    </row>
    <row r="667" ht="22.5" hidden="1" customHeight="1">
      <c r="A667" s="189"/>
      <c r="B667" s="190"/>
      <c r="C667" s="191"/>
      <c r="D667" s="192"/>
      <c r="E667" s="193"/>
      <c r="F667" s="193"/>
      <c r="G667" s="194" t="str">
        <f t="shared" si="55"/>
        <v/>
      </c>
      <c r="H667" s="195" t="str">
        <f t="shared" si="56"/>
        <v/>
      </c>
      <c r="I667" s="192"/>
      <c r="J667" s="196"/>
      <c r="K667" s="192"/>
      <c r="L667" s="324"/>
      <c r="M667" s="192">
        <f t="shared" si="58"/>
        <v>0</v>
      </c>
    </row>
    <row r="668" ht="22.5" hidden="1" customHeight="1">
      <c r="A668" s="189"/>
      <c r="B668" s="190"/>
      <c r="C668" s="191"/>
      <c r="D668" s="192"/>
      <c r="E668" s="193"/>
      <c r="F668" s="193"/>
      <c r="G668" s="194" t="str">
        <f t="shared" si="55"/>
        <v/>
      </c>
      <c r="H668" s="195" t="str">
        <f t="shared" si="56"/>
        <v/>
      </c>
      <c r="I668" s="192"/>
      <c r="J668" s="196"/>
      <c r="K668" s="192"/>
      <c r="L668" s="324"/>
      <c r="M668" s="192">
        <f t="shared" si="58"/>
        <v>0</v>
      </c>
    </row>
    <row r="669" ht="22.5" hidden="1" customHeight="1">
      <c r="A669" s="189"/>
      <c r="B669" s="190"/>
      <c r="C669" s="191"/>
      <c r="D669" s="192"/>
      <c r="E669" s="193"/>
      <c r="F669" s="193"/>
      <c r="G669" s="194" t="str">
        <f t="shared" si="55"/>
        <v/>
      </c>
      <c r="H669" s="195" t="str">
        <f t="shared" si="56"/>
        <v/>
      </c>
      <c r="I669" s="192"/>
      <c r="J669" s="196"/>
      <c r="K669" s="192"/>
      <c r="L669" s="324"/>
      <c r="M669" s="192">
        <f t="shared" si="58"/>
        <v>0</v>
      </c>
    </row>
    <row r="670" ht="22.5" hidden="1" customHeight="1">
      <c r="A670" s="189"/>
      <c r="B670" s="190"/>
      <c r="C670" s="191"/>
      <c r="D670" s="192"/>
      <c r="E670" s="193"/>
      <c r="F670" s="193"/>
      <c r="G670" s="194" t="str">
        <f t="shared" si="55"/>
        <v/>
      </c>
      <c r="H670" s="195" t="str">
        <f t="shared" si="56"/>
        <v/>
      </c>
      <c r="I670" s="192"/>
      <c r="J670" s="196"/>
      <c r="K670" s="192"/>
      <c r="L670" s="324"/>
      <c r="M670" s="192">
        <f t="shared" si="58"/>
        <v>0</v>
      </c>
    </row>
    <row r="671" ht="22.5" hidden="1" customHeight="1">
      <c r="A671" s="189"/>
      <c r="B671" s="190"/>
      <c r="C671" s="191"/>
      <c r="D671" s="192"/>
      <c r="E671" s="193"/>
      <c r="F671" s="193"/>
      <c r="G671" s="194" t="str">
        <f t="shared" si="55"/>
        <v/>
      </c>
      <c r="H671" s="195" t="str">
        <f t="shared" si="56"/>
        <v/>
      </c>
      <c r="I671" s="192"/>
      <c r="J671" s="196"/>
      <c r="K671" s="192"/>
      <c r="L671" s="324"/>
      <c r="M671" s="192">
        <f t="shared" si="58"/>
        <v>0</v>
      </c>
    </row>
    <row r="672" ht="22.5" hidden="1" customHeight="1">
      <c r="A672" s="189"/>
      <c r="B672" s="190"/>
      <c r="C672" s="191"/>
      <c r="D672" s="192"/>
      <c r="E672" s="193"/>
      <c r="F672" s="193"/>
      <c r="G672" s="194" t="str">
        <f t="shared" si="55"/>
        <v/>
      </c>
      <c r="H672" s="195" t="str">
        <f t="shared" si="56"/>
        <v/>
      </c>
      <c r="I672" s="192"/>
      <c r="J672" s="196"/>
      <c r="K672" s="192"/>
      <c r="L672" s="324"/>
      <c r="M672" s="192">
        <f t="shared" si="58"/>
        <v>0</v>
      </c>
    </row>
    <row r="673" ht="22.5" hidden="1" customHeight="1">
      <c r="A673" s="189"/>
      <c r="B673" s="190"/>
      <c r="C673" s="191"/>
      <c r="D673" s="192"/>
      <c r="E673" s="193"/>
      <c r="F673" s="193"/>
      <c r="G673" s="194" t="str">
        <f t="shared" si="55"/>
        <v/>
      </c>
      <c r="H673" s="195" t="str">
        <f t="shared" si="56"/>
        <v/>
      </c>
      <c r="I673" s="192"/>
      <c r="J673" s="196"/>
      <c r="K673" s="192"/>
      <c r="L673" s="324"/>
      <c r="M673" s="192">
        <f t="shared" si="58"/>
        <v>0</v>
      </c>
    </row>
    <row r="674" ht="22.5" hidden="1" customHeight="1">
      <c r="A674" s="189"/>
      <c r="B674" s="190"/>
      <c r="C674" s="191"/>
      <c r="D674" s="192"/>
      <c r="E674" s="193"/>
      <c r="F674" s="193"/>
      <c r="G674" s="194" t="str">
        <f t="shared" si="55"/>
        <v/>
      </c>
      <c r="H674" s="195" t="str">
        <f t="shared" si="56"/>
        <v/>
      </c>
      <c r="I674" s="192"/>
      <c r="J674" s="196"/>
      <c r="K674" s="192"/>
      <c r="L674" s="324"/>
      <c r="M674" s="192">
        <f t="shared" si="58"/>
        <v>0</v>
      </c>
    </row>
    <row r="675" ht="22.5" hidden="1" customHeight="1">
      <c r="A675" s="189"/>
      <c r="B675" s="190"/>
      <c r="C675" s="191"/>
      <c r="D675" s="192"/>
      <c r="E675" s="193"/>
      <c r="F675" s="193"/>
      <c r="G675" s="194" t="str">
        <f t="shared" si="55"/>
        <v/>
      </c>
      <c r="H675" s="195" t="str">
        <f t="shared" si="56"/>
        <v/>
      </c>
      <c r="I675" s="192"/>
      <c r="J675" s="196"/>
      <c r="K675" s="192"/>
      <c r="L675" s="324"/>
      <c r="M675" s="192">
        <f t="shared" si="58"/>
        <v>0</v>
      </c>
    </row>
    <row r="676" ht="22.5" hidden="1" customHeight="1">
      <c r="A676" s="189"/>
      <c r="B676" s="190"/>
      <c r="C676" s="191"/>
      <c r="D676" s="192"/>
      <c r="E676" s="193"/>
      <c r="F676" s="193"/>
      <c r="G676" s="194" t="str">
        <f t="shared" si="55"/>
        <v/>
      </c>
      <c r="H676" s="195" t="str">
        <f t="shared" si="56"/>
        <v/>
      </c>
      <c r="I676" s="192"/>
      <c r="J676" s="196"/>
      <c r="K676" s="192"/>
      <c r="L676" s="324"/>
      <c r="M676" s="192">
        <f t="shared" si="58"/>
        <v>0</v>
      </c>
    </row>
    <row r="677" ht="22.5" hidden="1" customHeight="1">
      <c r="A677" s="189"/>
      <c r="B677" s="190"/>
      <c r="C677" s="191"/>
      <c r="D677" s="192"/>
      <c r="E677" s="193"/>
      <c r="F677" s="193"/>
      <c r="G677" s="194" t="str">
        <f t="shared" si="55"/>
        <v/>
      </c>
      <c r="H677" s="195" t="str">
        <f t="shared" si="56"/>
        <v/>
      </c>
      <c r="I677" s="192"/>
      <c r="J677" s="196"/>
      <c r="K677" s="192"/>
      <c r="L677" s="324"/>
      <c r="M677" s="192">
        <f t="shared" si="58"/>
        <v>0</v>
      </c>
    </row>
    <row r="678" ht="22.5" hidden="1" customHeight="1">
      <c r="A678" s="189"/>
      <c r="B678" s="190"/>
      <c r="C678" s="191"/>
      <c r="D678" s="192"/>
      <c r="E678" s="193"/>
      <c r="F678" s="193"/>
      <c r="G678" s="194" t="str">
        <f t="shared" si="55"/>
        <v/>
      </c>
      <c r="H678" s="195" t="str">
        <f t="shared" si="56"/>
        <v/>
      </c>
      <c r="I678" s="192"/>
      <c r="J678" s="196"/>
      <c r="K678" s="192"/>
      <c r="L678" s="324"/>
      <c r="M678" s="192">
        <f t="shared" si="58"/>
        <v>0</v>
      </c>
    </row>
    <row r="679" ht="22.5" hidden="1" customHeight="1">
      <c r="A679" s="189"/>
      <c r="B679" s="190"/>
      <c r="C679" s="191"/>
      <c r="D679" s="192"/>
      <c r="E679" s="193"/>
      <c r="F679" s="193"/>
      <c r="G679" s="194" t="str">
        <f t="shared" si="55"/>
        <v/>
      </c>
      <c r="H679" s="195" t="str">
        <f t="shared" si="56"/>
        <v/>
      </c>
      <c r="I679" s="192"/>
      <c r="J679" s="196"/>
      <c r="K679" s="192"/>
      <c r="L679" s="324"/>
      <c r="M679" s="192">
        <f t="shared" si="58"/>
        <v>0</v>
      </c>
    </row>
    <row r="680" ht="22.5" hidden="1" customHeight="1">
      <c r="A680" s="189"/>
      <c r="B680" s="190"/>
      <c r="C680" s="191"/>
      <c r="D680" s="192"/>
      <c r="E680" s="193"/>
      <c r="F680" s="193"/>
      <c r="G680" s="194" t="str">
        <f t="shared" si="55"/>
        <v/>
      </c>
      <c r="H680" s="195" t="str">
        <f t="shared" si="56"/>
        <v/>
      </c>
      <c r="I680" s="192"/>
      <c r="J680" s="196"/>
      <c r="K680" s="192"/>
      <c r="L680" s="324"/>
      <c r="M680" s="192">
        <f t="shared" si="58"/>
        <v>0</v>
      </c>
    </row>
    <row r="681" ht="22.5" hidden="1" customHeight="1">
      <c r="A681" s="189"/>
      <c r="B681" s="190"/>
      <c r="C681" s="191"/>
      <c r="D681" s="192"/>
      <c r="E681" s="193"/>
      <c r="F681" s="193"/>
      <c r="G681" s="194" t="str">
        <f t="shared" si="55"/>
        <v/>
      </c>
      <c r="H681" s="195" t="str">
        <f t="shared" si="56"/>
        <v/>
      </c>
      <c r="I681" s="192"/>
      <c r="J681" s="196"/>
      <c r="K681" s="192"/>
      <c r="L681" s="324"/>
      <c r="M681" s="192">
        <f t="shared" si="58"/>
        <v>0</v>
      </c>
    </row>
    <row r="682" ht="22.5" hidden="1" customHeight="1">
      <c r="A682" s="189"/>
      <c r="B682" s="190"/>
      <c r="C682" s="191"/>
      <c r="D682" s="192"/>
      <c r="E682" s="193"/>
      <c r="F682" s="193"/>
      <c r="G682" s="194" t="str">
        <f t="shared" si="55"/>
        <v/>
      </c>
      <c r="H682" s="195" t="str">
        <f t="shared" si="56"/>
        <v/>
      </c>
      <c r="I682" s="192"/>
      <c r="J682" s="196"/>
      <c r="K682" s="192"/>
      <c r="L682" s="324"/>
      <c r="M682" s="192">
        <f t="shared" si="58"/>
        <v>0</v>
      </c>
    </row>
    <row r="683" ht="22.5" hidden="1" customHeight="1">
      <c r="A683" s="189"/>
      <c r="B683" s="190"/>
      <c r="C683" s="191"/>
      <c r="D683" s="192"/>
      <c r="E683" s="193"/>
      <c r="F683" s="193"/>
      <c r="G683" s="194" t="str">
        <f t="shared" si="55"/>
        <v/>
      </c>
      <c r="H683" s="195" t="str">
        <f t="shared" si="56"/>
        <v/>
      </c>
      <c r="I683" s="192"/>
      <c r="J683" s="196"/>
      <c r="K683" s="192"/>
      <c r="L683" s="324"/>
      <c r="M683" s="192">
        <f t="shared" si="58"/>
        <v>0</v>
      </c>
    </row>
    <row r="684" ht="22.5" hidden="1" customHeight="1">
      <c r="A684" s="189"/>
      <c r="B684" s="190"/>
      <c r="C684" s="191"/>
      <c r="D684" s="192"/>
      <c r="E684" s="193"/>
      <c r="F684" s="193"/>
      <c r="G684" s="194" t="str">
        <f t="shared" si="55"/>
        <v/>
      </c>
      <c r="H684" s="195" t="str">
        <f t="shared" si="56"/>
        <v/>
      </c>
      <c r="I684" s="192"/>
      <c r="J684" s="196"/>
      <c r="K684" s="192"/>
      <c r="L684" s="324"/>
      <c r="M684" s="192">
        <f t="shared" si="58"/>
        <v>0</v>
      </c>
    </row>
    <row r="685" ht="22.5" hidden="1" customHeight="1">
      <c r="A685" s="189"/>
      <c r="B685" s="190"/>
      <c r="C685" s="191"/>
      <c r="D685" s="192"/>
      <c r="E685" s="193"/>
      <c r="F685" s="193"/>
      <c r="G685" s="194" t="str">
        <f t="shared" si="55"/>
        <v/>
      </c>
      <c r="H685" s="195" t="str">
        <f t="shared" si="56"/>
        <v/>
      </c>
      <c r="I685" s="192"/>
      <c r="J685" s="196"/>
      <c r="K685" s="192"/>
      <c r="L685" s="324"/>
      <c r="M685" s="192">
        <f t="shared" si="58"/>
        <v>0</v>
      </c>
    </row>
    <row r="686" ht="22.5" hidden="1" customHeight="1">
      <c r="A686" s="189"/>
      <c r="B686" s="190"/>
      <c r="C686" s="191"/>
      <c r="D686" s="192"/>
      <c r="E686" s="193"/>
      <c r="F686" s="193"/>
      <c r="G686" s="194" t="str">
        <f t="shared" si="55"/>
        <v/>
      </c>
      <c r="H686" s="195" t="str">
        <f t="shared" si="56"/>
        <v/>
      </c>
      <c r="I686" s="192"/>
      <c r="J686" s="196"/>
      <c r="K686" s="192"/>
      <c r="L686" s="324"/>
      <c r="M686" s="192">
        <f t="shared" si="58"/>
        <v>0</v>
      </c>
    </row>
    <row r="687" ht="22.5" hidden="1" customHeight="1">
      <c r="A687" s="189"/>
      <c r="B687" s="190"/>
      <c r="C687" s="191"/>
      <c r="D687" s="192"/>
      <c r="E687" s="193"/>
      <c r="F687" s="193"/>
      <c r="G687" s="194" t="str">
        <f t="shared" si="55"/>
        <v/>
      </c>
      <c r="H687" s="195" t="str">
        <f t="shared" si="56"/>
        <v/>
      </c>
      <c r="I687" s="192"/>
      <c r="J687" s="196"/>
      <c r="K687" s="192"/>
      <c r="L687" s="324"/>
      <c r="M687" s="192">
        <f t="shared" si="58"/>
        <v>0</v>
      </c>
    </row>
    <row r="688" ht="22.5" hidden="1" customHeight="1">
      <c r="A688" s="189"/>
      <c r="B688" s="190"/>
      <c r="C688" s="191"/>
      <c r="D688" s="192"/>
      <c r="E688" s="193"/>
      <c r="F688" s="193"/>
      <c r="G688" s="194" t="str">
        <f t="shared" si="55"/>
        <v/>
      </c>
      <c r="H688" s="195" t="str">
        <f t="shared" si="56"/>
        <v/>
      </c>
      <c r="I688" s="192"/>
      <c r="J688" s="196"/>
      <c r="K688" s="192"/>
      <c r="L688" s="324"/>
      <c r="M688" s="192">
        <f t="shared" si="58"/>
        <v>0</v>
      </c>
    </row>
    <row r="689" ht="22.5" hidden="1" customHeight="1">
      <c r="A689" s="189"/>
      <c r="B689" s="190"/>
      <c r="C689" s="191"/>
      <c r="D689" s="192"/>
      <c r="E689" s="193"/>
      <c r="F689" s="193"/>
      <c r="G689" s="194" t="str">
        <f t="shared" si="55"/>
        <v/>
      </c>
      <c r="H689" s="195" t="str">
        <f t="shared" si="56"/>
        <v/>
      </c>
      <c r="I689" s="192"/>
      <c r="J689" s="196"/>
      <c r="K689" s="192"/>
      <c r="L689" s="324"/>
      <c r="M689" s="192">
        <f t="shared" si="58"/>
        <v>0</v>
      </c>
    </row>
    <row r="690" ht="22.5" hidden="1" customHeight="1">
      <c r="A690" s="189"/>
      <c r="B690" s="190"/>
      <c r="C690" s="191"/>
      <c r="D690" s="192"/>
      <c r="E690" s="193"/>
      <c r="F690" s="193"/>
      <c r="G690" s="194" t="str">
        <f t="shared" si="55"/>
        <v/>
      </c>
      <c r="H690" s="195" t="str">
        <f t="shared" si="56"/>
        <v/>
      </c>
      <c r="I690" s="192"/>
      <c r="J690" s="196"/>
      <c r="K690" s="192"/>
      <c r="L690" s="324"/>
      <c r="M690" s="192">
        <f t="shared" si="58"/>
        <v>0</v>
      </c>
    </row>
    <row r="691" ht="22.5" hidden="1" customHeight="1">
      <c r="A691" s="189"/>
      <c r="B691" s="190"/>
      <c r="C691" s="191"/>
      <c r="D691" s="192"/>
      <c r="E691" s="193"/>
      <c r="F691" s="193"/>
      <c r="G691" s="194" t="str">
        <f t="shared" si="55"/>
        <v/>
      </c>
      <c r="H691" s="195" t="str">
        <f t="shared" si="56"/>
        <v/>
      </c>
      <c r="I691" s="192"/>
      <c r="J691" s="196"/>
      <c r="K691" s="192"/>
      <c r="L691" s="324"/>
      <c r="M691" s="192">
        <f t="shared" si="58"/>
        <v>0</v>
      </c>
    </row>
    <row r="692" ht="22.5" hidden="1" customHeight="1">
      <c r="A692" s="189"/>
      <c r="B692" s="190"/>
      <c r="C692" s="191"/>
      <c r="D692" s="192"/>
      <c r="E692" s="193"/>
      <c r="F692" s="193"/>
      <c r="G692" s="194" t="str">
        <f t="shared" si="55"/>
        <v/>
      </c>
      <c r="H692" s="195" t="str">
        <f t="shared" si="56"/>
        <v/>
      </c>
      <c r="I692" s="192"/>
      <c r="J692" s="196"/>
      <c r="K692" s="192"/>
      <c r="L692" s="324"/>
      <c r="M692" s="192">
        <f t="shared" si="58"/>
        <v>0</v>
      </c>
    </row>
    <row r="693" ht="22.5" hidden="1" customHeight="1">
      <c r="A693" s="189"/>
      <c r="B693" s="190"/>
      <c r="C693" s="191"/>
      <c r="D693" s="192"/>
      <c r="E693" s="193"/>
      <c r="F693" s="193"/>
      <c r="G693" s="194" t="str">
        <f t="shared" si="55"/>
        <v/>
      </c>
      <c r="H693" s="195" t="str">
        <f t="shared" si="56"/>
        <v/>
      </c>
      <c r="I693" s="192"/>
      <c r="J693" s="196"/>
      <c r="K693" s="192"/>
      <c r="L693" s="324"/>
      <c r="M693" s="192">
        <f t="shared" si="58"/>
        <v>0</v>
      </c>
    </row>
    <row r="694" ht="22.5" hidden="1" customHeight="1">
      <c r="A694" s="189"/>
      <c r="B694" s="190"/>
      <c r="C694" s="191"/>
      <c r="D694" s="192"/>
      <c r="E694" s="193"/>
      <c r="F694" s="193"/>
      <c r="G694" s="194" t="str">
        <f t="shared" si="55"/>
        <v/>
      </c>
      <c r="H694" s="195" t="str">
        <f t="shared" si="56"/>
        <v/>
      </c>
      <c r="I694" s="192"/>
      <c r="J694" s="196"/>
      <c r="K694" s="192"/>
      <c r="L694" s="324"/>
      <c r="M694" s="192">
        <f t="shared" si="58"/>
        <v>0</v>
      </c>
    </row>
    <row r="695" ht="22.5" hidden="1" customHeight="1">
      <c r="A695" s="189"/>
      <c r="B695" s="190"/>
      <c r="C695" s="191"/>
      <c r="D695" s="192"/>
      <c r="E695" s="193"/>
      <c r="F695" s="193"/>
      <c r="G695" s="194" t="str">
        <f t="shared" si="55"/>
        <v/>
      </c>
      <c r="H695" s="195" t="str">
        <f t="shared" si="56"/>
        <v/>
      </c>
      <c r="I695" s="192"/>
      <c r="J695" s="196"/>
      <c r="K695" s="192"/>
      <c r="L695" s="324"/>
      <c r="M695" s="192">
        <f t="shared" si="58"/>
        <v>0</v>
      </c>
    </row>
    <row r="696" ht="22.5" hidden="1" customHeight="1">
      <c r="A696" s="189"/>
      <c r="B696" s="190"/>
      <c r="C696" s="191"/>
      <c r="D696" s="192"/>
      <c r="E696" s="193"/>
      <c r="F696" s="193"/>
      <c r="G696" s="194" t="str">
        <f t="shared" si="55"/>
        <v/>
      </c>
      <c r="H696" s="195" t="str">
        <f t="shared" si="56"/>
        <v/>
      </c>
      <c r="I696" s="192"/>
      <c r="J696" s="196"/>
      <c r="K696" s="192"/>
      <c r="L696" s="324"/>
      <c r="M696" s="192">
        <f t="shared" si="58"/>
        <v>0</v>
      </c>
    </row>
    <row r="697" ht="22.5" hidden="1" customHeight="1">
      <c r="A697" s="189"/>
      <c r="B697" s="190"/>
      <c r="C697" s="191"/>
      <c r="D697" s="192"/>
      <c r="E697" s="193"/>
      <c r="F697" s="193"/>
      <c r="G697" s="194" t="str">
        <f t="shared" si="55"/>
        <v/>
      </c>
      <c r="H697" s="195" t="str">
        <f t="shared" si="56"/>
        <v/>
      </c>
      <c r="I697" s="192"/>
      <c r="J697" s="196"/>
      <c r="K697" s="192"/>
      <c r="L697" s="324"/>
      <c r="M697" s="192">
        <f t="shared" si="58"/>
        <v>0</v>
      </c>
    </row>
    <row r="698" ht="22.5" hidden="1" customHeight="1">
      <c r="A698" s="189"/>
      <c r="B698" s="190"/>
      <c r="C698" s="191"/>
      <c r="D698" s="192"/>
      <c r="E698" s="193"/>
      <c r="F698" s="193"/>
      <c r="G698" s="194" t="str">
        <f t="shared" si="55"/>
        <v/>
      </c>
      <c r="H698" s="195" t="str">
        <f t="shared" si="56"/>
        <v/>
      </c>
      <c r="I698" s="192"/>
      <c r="J698" s="196"/>
      <c r="K698" s="192"/>
      <c r="L698" s="324"/>
      <c r="M698" s="192">
        <f t="shared" si="58"/>
        <v>0</v>
      </c>
    </row>
    <row r="699" ht="22.5" hidden="1" customHeight="1">
      <c r="A699" s="189"/>
      <c r="B699" s="190"/>
      <c r="C699" s="191"/>
      <c r="D699" s="192"/>
      <c r="E699" s="193"/>
      <c r="F699" s="193"/>
      <c r="G699" s="194" t="str">
        <f t="shared" si="55"/>
        <v/>
      </c>
      <c r="H699" s="195" t="str">
        <f t="shared" si="56"/>
        <v/>
      </c>
      <c r="I699" s="192"/>
      <c r="J699" s="196"/>
      <c r="K699" s="192"/>
      <c r="L699" s="324"/>
      <c r="M699" s="192">
        <f t="shared" si="58"/>
        <v>0</v>
      </c>
    </row>
    <row r="700" ht="22.5" hidden="1" customHeight="1">
      <c r="A700" s="189"/>
      <c r="B700" s="190"/>
      <c r="C700" s="191"/>
      <c r="D700" s="192"/>
      <c r="E700" s="193"/>
      <c r="F700" s="193"/>
      <c r="G700" s="194" t="str">
        <f t="shared" si="55"/>
        <v/>
      </c>
      <c r="H700" s="195" t="str">
        <f t="shared" si="56"/>
        <v/>
      </c>
      <c r="I700" s="192"/>
      <c r="J700" s="196"/>
      <c r="K700" s="192"/>
      <c r="L700" s="324"/>
      <c r="M700" s="192">
        <f t="shared" si="58"/>
        <v>0</v>
      </c>
    </row>
    <row r="701" ht="22.5" hidden="1" customHeight="1">
      <c r="A701" s="189"/>
      <c r="B701" s="190"/>
      <c r="C701" s="191"/>
      <c r="D701" s="192"/>
      <c r="E701" s="193"/>
      <c r="F701" s="193"/>
      <c r="G701" s="194" t="str">
        <f t="shared" si="55"/>
        <v/>
      </c>
      <c r="H701" s="195" t="str">
        <f t="shared" si="56"/>
        <v/>
      </c>
      <c r="I701" s="192"/>
      <c r="J701" s="196"/>
      <c r="K701" s="192"/>
      <c r="L701" s="324"/>
      <c r="M701" s="192">
        <f t="shared" si="58"/>
        <v>0</v>
      </c>
    </row>
    <row r="702" ht="22.5" hidden="1" customHeight="1">
      <c r="A702" s="189"/>
      <c r="B702" s="190"/>
      <c r="C702" s="191"/>
      <c r="D702" s="192"/>
      <c r="E702" s="193"/>
      <c r="F702" s="193"/>
      <c r="G702" s="194" t="str">
        <f t="shared" si="55"/>
        <v/>
      </c>
      <c r="H702" s="195" t="str">
        <f t="shared" si="56"/>
        <v/>
      </c>
      <c r="I702" s="192"/>
      <c r="J702" s="196"/>
      <c r="K702" s="192"/>
      <c r="L702" s="324"/>
      <c r="M702" s="192">
        <f t="shared" si="58"/>
        <v>0</v>
      </c>
    </row>
    <row r="703" ht="22.5" hidden="1" customHeight="1">
      <c r="A703" s="189"/>
      <c r="B703" s="190"/>
      <c r="C703" s="191"/>
      <c r="D703" s="192"/>
      <c r="E703" s="193"/>
      <c r="F703" s="193"/>
      <c r="G703" s="194" t="str">
        <f t="shared" si="55"/>
        <v/>
      </c>
      <c r="H703" s="195" t="str">
        <f t="shared" si="56"/>
        <v/>
      </c>
      <c r="I703" s="192"/>
      <c r="J703" s="196"/>
      <c r="K703" s="192"/>
      <c r="L703" s="324"/>
      <c r="M703" s="192">
        <f t="shared" si="58"/>
        <v>0</v>
      </c>
    </row>
    <row r="704" ht="22.5" hidden="1" customHeight="1">
      <c r="A704" s="189"/>
      <c r="B704" s="190"/>
      <c r="C704" s="191"/>
      <c r="D704" s="192"/>
      <c r="E704" s="193"/>
      <c r="F704" s="193"/>
      <c r="G704" s="194" t="str">
        <f t="shared" si="55"/>
        <v/>
      </c>
      <c r="H704" s="195" t="str">
        <f t="shared" si="56"/>
        <v/>
      </c>
      <c r="I704" s="192"/>
      <c r="J704" s="196"/>
      <c r="K704" s="192"/>
      <c r="L704" s="324"/>
      <c r="M704" s="192">
        <f t="shared" si="58"/>
        <v>0</v>
      </c>
    </row>
    <row r="705" ht="22.5" hidden="1" customHeight="1">
      <c r="A705" s="189"/>
      <c r="B705" s="190"/>
      <c r="C705" s="191"/>
      <c r="D705" s="192"/>
      <c r="E705" s="193"/>
      <c r="F705" s="193"/>
      <c r="G705" s="194" t="str">
        <f t="shared" si="55"/>
        <v/>
      </c>
      <c r="H705" s="195" t="str">
        <f t="shared" si="56"/>
        <v/>
      </c>
      <c r="I705" s="192"/>
      <c r="J705" s="196"/>
      <c r="K705" s="192"/>
      <c r="L705" s="324"/>
      <c r="M705" s="192">
        <f t="shared" si="58"/>
        <v>0</v>
      </c>
    </row>
    <row r="706" ht="22.5" hidden="1" customHeight="1">
      <c r="A706" s="189"/>
      <c r="B706" s="190"/>
      <c r="C706" s="191"/>
      <c r="D706" s="192"/>
      <c r="E706" s="193"/>
      <c r="F706" s="193"/>
      <c r="G706" s="194" t="str">
        <f t="shared" si="55"/>
        <v/>
      </c>
      <c r="H706" s="195" t="str">
        <f t="shared" si="56"/>
        <v/>
      </c>
      <c r="I706" s="192"/>
      <c r="J706" s="196"/>
      <c r="K706" s="192"/>
      <c r="L706" s="324"/>
      <c r="M706" s="192">
        <f t="shared" si="58"/>
        <v>0</v>
      </c>
    </row>
    <row r="707" ht="22.5" hidden="1" customHeight="1">
      <c r="A707" s="189"/>
      <c r="B707" s="190"/>
      <c r="C707" s="191"/>
      <c r="D707" s="192"/>
      <c r="E707" s="193"/>
      <c r="F707" s="193"/>
      <c r="G707" s="194" t="str">
        <f t="shared" si="55"/>
        <v/>
      </c>
      <c r="H707" s="195" t="str">
        <f t="shared" si="56"/>
        <v/>
      </c>
      <c r="I707" s="192"/>
      <c r="J707" s="196"/>
      <c r="K707" s="192"/>
      <c r="L707" s="324"/>
      <c r="M707" s="192">
        <f t="shared" si="58"/>
        <v>0</v>
      </c>
    </row>
    <row r="708" ht="22.5" hidden="1" customHeight="1">
      <c r="A708" s="189"/>
      <c r="B708" s="190"/>
      <c r="C708" s="191"/>
      <c r="D708" s="192"/>
      <c r="E708" s="193"/>
      <c r="F708" s="193"/>
      <c r="G708" s="194" t="str">
        <f t="shared" si="55"/>
        <v/>
      </c>
      <c r="H708" s="195" t="str">
        <f t="shared" si="56"/>
        <v/>
      </c>
      <c r="I708" s="192"/>
      <c r="J708" s="196"/>
      <c r="K708" s="192"/>
      <c r="L708" s="324"/>
      <c r="M708" s="192">
        <f t="shared" si="58"/>
        <v>0</v>
      </c>
    </row>
    <row r="709" ht="22.5" hidden="1" customHeight="1">
      <c r="A709" s="189"/>
      <c r="B709" s="190"/>
      <c r="C709" s="191"/>
      <c r="D709" s="192"/>
      <c r="E709" s="193"/>
      <c r="F709" s="193"/>
      <c r="G709" s="194" t="str">
        <f t="shared" si="55"/>
        <v/>
      </c>
      <c r="H709" s="195" t="str">
        <f t="shared" si="56"/>
        <v/>
      </c>
      <c r="I709" s="192"/>
      <c r="J709" s="196"/>
      <c r="K709" s="192"/>
      <c r="L709" s="324"/>
      <c r="M709" s="192">
        <f t="shared" si="58"/>
        <v>0</v>
      </c>
    </row>
    <row r="710" ht="22.5" hidden="1" customHeight="1">
      <c r="A710" s="189"/>
      <c r="B710" s="190"/>
      <c r="C710" s="191"/>
      <c r="D710" s="192"/>
      <c r="E710" s="193"/>
      <c r="F710" s="193"/>
      <c r="G710" s="194" t="str">
        <f t="shared" si="55"/>
        <v/>
      </c>
      <c r="H710" s="195" t="str">
        <f t="shared" si="56"/>
        <v/>
      </c>
      <c r="I710" s="192"/>
      <c r="J710" s="196"/>
      <c r="K710" s="192"/>
      <c r="L710" s="324"/>
      <c r="M710" s="192">
        <f t="shared" si="58"/>
        <v>0</v>
      </c>
    </row>
    <row r="711" ht="22.5" hidden="1" customHeight="1">
      <c r="A711" s="189"/>
      <c r="B711" s="190"/>
      <c r="C711" s="191"/>
      <c r="D711" s="192"/>
      <c r="E711" s="193"/>
      <c r="F711" s="193"/>
      <c r="G711" s="194" t="str">
        <f t="shared" si="55"/>
        <v/>
      </c>
      <c r="H711" s="195" t="str">
        <f t="shared" si="56"/>
        <v/>
      </c>
      <c r="I711" s="192"/>
      <c r="J711" s="196"/>
      <c r="K711" s="192"/>
      <c r="L711" s="324"/>
      <c r="M711" s="192">
        <f t="shared" si="58"/>
        <v>0</v>
      </c>
    </row>
    <row r="712" ht="22.5" hidden="1" customHeight="1">
      <c r="A712" s="189"/>
      <c r="B712" s="190"/>
      <c r="C712" s="191"/>
      <c r="D712" s="192"/>
      <c r="E712" s="193"/>
      <c r="F712" s="193"/>
      <c r="G712" s="194" t="str">
        <f t="shared" si="55"/>
        <v/>
      </c>
      <c r="H712" s="195" t="str">
        <f t="shared" si="56"/>
        <v/>
      </c>
      <c r="I712" s="192"/>
      <c r="J712" s="196"/>
      <c r="K712" s="192"/>
      <c r="L712" s="324"/>
      <c r="M712" s="192">
        <f t="shared" si="58"/>
        <v>0</v>
      </c>
    </row>
    <row r="713" ht="22.5" hidden="1" customHeight="1">
      <c r="A713" s="189"/>
      <c r="B713" s="190"/>
      <c r="C713" s="191"/>
      <c r="D713" s="192"/>
      <c r="E713" s="193"/>
      <c r="F713" s="193"/>
      <c r="G713" s="194" t="str">
        <f t="shared" si="55"/>
        <v/>
      </c>
      <c r="H713" s="195" t="str">
        <f t="shared" si="56"/>
        <v/>
      </c>
      <c r="I713" s="192"/>
      <c r="J713" s="196"/>
      <c r="K713" s="192"/>
      <c r="L713" s="324"/>
      <c r="M713" s="192">
        <f t="shared" si="58"/>
        <v>0</v>
      </c>
    </row>
    <row r="714" ht="22.5" hidden="1" customHeight="1">
      <c r="A714" s="189"/>
      <c r="B714" s="190"/>
      <c r="C714" s="191"/>
      <c r="D714" s="192"/>
      <c r="E714" s="193"/>
      <c r="F714" s="193"/>
      <c r="G714" s="194" t="str">
        <f t="shared" si="55"/>
        <v/>
      </c>
      <c r="H714" s="195" t="str">
        <f t="shared" si="56"/>
        <v/>
      </c>
      <c r="I714" s="192"/>
      <c r="J714" s="196"/>
      <c r="K714" s="192"/>
      <c r="L714" s="324"/>
      <c r="M714" s="192">
        <f t="shared" si="58"/>
        <v>0</v>
      </c>
    </row>
    <row r="715" ht="22.5" hidden="1" customHeight="1">
      <c r="A715" s="189"/>
      <c r="B715" s="190"/>
      <c r="C715" s="191"/>
      <c r="D715" s="192"/>
      <c r="E715" s="193"/>
      <c r="F715" s="193"/>
      <c r="G715" s="194" t="str">
        <f t="shared" si="55"/>
        <v/>
      </c>
      <c r="H715" s="195" t="str">
        <f t="shared" si="56"/>
        <v/>
      </c>
      <c r="I715" s="192"/>
      <c r="J715" s="196"/>
      <c r="K715" s="192"/>
      <c r="L715" s="324"/>
      <c r="M715" s="192">
        <f t="shared" si="58"/>
        <v>0</v>
      </c>
    </row>
    <row r="716" ht="22.5" hidden="1" customHeight="1">
      <c r="A716" s="189"/>
      <c r="B716" s="190"/>
      <c r="C716" s="191"/>
      <c r="D716" s="192"/>
      <c r="E716" s="193"/>
      <c r="F716" s="193"/>
      <c r="G716" s="194" t="str">
        <f t="shared" si="55"/>
        <v/>
      </c>
      <c r="H716" s="195" t="str">
        <f t="shared" si="56"/>
        <v/>
      </c>
      <c r="I716" s="192"/>
      <c r="J716" s="196"/>
      <c r="K716" s="192"/>
      <c r="L716" s="324"/>
      <c r="M716" s="192">
        <f t="shared" si="58"/>
        <v>0</v>
      </c>
    </row>
    <row r="717" ht="22.5" hidden="1" customHeight="1">
      <c r="A717" s="189"/>
      <c r="B717" s="190"/>
      <c r="C717" s="191"/>
      <c r="D717" s="192"/>
      <c r="E717" s="193"/>
      <c r="F717" s="193"/>
      <c r="G717" s="194" t="str">
        <f t="shared" si="55"/>
        <v/>
      </c>
      <c r="H717" s="195" t="str">
        <f t="shared" si="56"/>
        <v/>
      </c>
      <c r="I717" s="192"/>
      <c r="J717" s="196"/>
      <c r="K717" s="192"/>
      <c r="L717" s="324"/>
      <c r="M717" s="192">
        <f t="shared" si="58"/>
        <v>0</v>
      </c>
    </row>
    <row r="718" ht="22.5" hidden="1" customHeight="1">
      <c r="A718" s="189"/>
      <c r="B718" s="190"/>
      <c r="C718" s="191"/>
      <c r="D718" s="192"/>
      <c r="E718" s="193"/>
      <c r="F718" s="193"/>
      <c r="G718" s="194" t="str">
        <f t="shared" si="55"/>
        <v/>
      </c>
      <c r="H718" s="195" t="str">
        <f t="shared" si="56"/>
        <v/>
      </c>
      <c r="I718" s="192"/>
      <c r="J718" s="196"/>
      <c r="K718" s="192"/>
      <c r="L718" s="324"/>
      <c r="M718" s="192">
        <f t="shared" si="58"/>
        <v>0</v>
      </c>
    </row>
    <row r="719" ht="22.5" hidden="1" customHeight="1">
      <c r="A719" s="189"/>
      <c r="B719" s="190"/>
      <c r="C719" s="191"/>
      <c r="D719" s="192"/>
      <c r="E719" s="193"/>
      <c r="F719" s="193"/>
      <c r="G719" s="194" t="str">
        <f t="shared" si="55"/>
        <v/>
      </c>
      <c r="H719" s="195" t="str">
        <f t="shared" si="56"/>
        <v/>
      </c>
      <c r="I719" s="192"/>
      <c r="J719" s="196"/>
      <c r="K719" s="192"/>
      <c r="L719" s="324"/>
      <c r="M719" s="192">
        <f t="shared" si="58"/>
        <v>0</v>
      </c>
    </row>
    <row r="720" ht="22.5" hidden="1" customHeight="1">
      <c r="A720" s="189"/>
      <c r="B720" s="190"/>
      <c r="C720" s="191"/>
      <c r="D720" s="192"/>
      <c r="E720" s="193"/>
      <c r="F720" s="193"/>
      <c r="G720" s="194" t="str">
        <f t="shared" si="55"/>
        <v/>
      </c>
      <c r="H720" s="195" t="str">
        <f t="shared" si="56"/>
        <v/>
      </c>
      <c r="I720" s="192"/>
      <c r="J720" s="196"/>
      <c r="K720" s="192"/>
      <c r="L720" s="324"/>
      <c r="M720" s="192">
        <f t="shared" si="58"/>
        <v>0</v>
      </c>
    </row>
    <row r="721" ht="22.5" hidden="1" customHeight="1">
      <c r="A721" s="189"/>
      <c r="B721" s="190"/>
      <c r="C721" s="191"/>
      <c r="D721" s="192"/>
      <c r="E721" s="193"/>
      <c r="F721" s="193"/>
      <c r="G721" s="194" t="str">
        <f t="shared" si="55"/>
        <v/>
      </c>
      <c r="H721" s="195" t="str">
        <f t="shared" si="56"/>
        <v/>
      </c>
      <c r="I721" s="192"/>
      <c r="J721" s="196"/>
      <c r="K721" s="192"/>
      <c r="L721" s="324"/>
      <c r="M721" s="192">
        <f t="shared" si="58"/>
        <v>0</v>
      </c>
    </row>
    <row r="722" ht="22.5" hidden="1" customHeight="1">
      <c r="A722" s="189"/>
      <c r="B722" s="190"/>
      <c r="C722" s="191"/>
      <c r="D722" s="192"/>
      <c r="E722" s="193"/>
      <c r="F722" s="193"/>
      <c r="G722" s="194" t="str">
        <f t="shared" si="55"/>
        <v/>
      </c>
      <c r="H722" s="195" t="str">
        <f t="shared" si="56"/>
        <v/>
      </c>
      <c r="I722" s="192"/>
      <c r="J722" s="196"/>
      <c r="K722" s="192"/>
      <c r="L722" s="324"/>
      <c r="M722" s="192">
        <f t="shared" si="58"/>
        <v>0</v>
      </c>
    </row>
    <row r="723" ht="22.5" hidden="1" customHeight="1">
      <c r="A723" s="189"/>
      <c r="B723" s="190"/>
      <c r="C723" s="191"/>
      <c r="D723" s="192"/>
      <c r="E723" s="193"/>
      <c r="F723" s="193"/>
      <c r="G723" s="194" t="str">
        <f t="shared" si="55"/>
        <v/>
      </c>
      <c r="H723" s="195" t="str">
        <f t="shared" si="56"/>
        <v/>
      </c>
      <c r="I723" s="192"/>
      <c r="J723" s="196"/>
      <c r="K723" s="192"/>
      <c r="L723" s="324"/>
      <c r="M723" s="192">
        <f t="shared" si="58"/>
        <v>0</v>
      </c>
    </row>
    <row r="724" ht="22.5" hidden="1" customHeight="1">
      <c r="A724" s="189"/>
      <c r="B724" s="190"/>
      <c r="C724" s="191"/>
      <c r="D724" s="192"/>
      <c r="E724" s="193"/>
      <c r="F724" s="193"/>
      <c r="G724" s="194" t="str">
        <f t="shared" si="55"/>
        <v/>
      </c>
      <c r="H724" s="195" t="str">
        <f t="shared" si="56"/>
        <v/>
      </c>
      <c r="I724" s="192"/>
      <c r="J724" s="196"/>
      <c r="K724" s="192"/>
      <c r="L724" s="324"/>
      <c r="M724" s="192">
        <f t="shared" si="58"/>
        <v>0</v>
      </c>
    </row>
    <row r="725" ht="22.5" hidden="1" customHeight="1">
      <c r="A725" s="189"/>
      <c r="B725" s="190"/>
      <c r="C725" s="191"/>
      <c r="D725" s="192"/>
      <c r="E725" s="193"/>
      <c r="F725" s="193"/>
      <c r="G725" s="194" t="str">
        <f t="shared" si="55"/>
        <v/>
      </c>
      <c r="H725" s="195" t="str">
        <f t="shared" si="56"/>
        <v/>
      </c>
      <c r="I725" s="192"/>
      <c r="J725" s="196"/>
      <c r="K725" s="192"/>
      <c r="L725" s="324"/>
      <c r="M725" s="192">
        <f t="shared" si="58"/>
        <v>0</v>
      </c>
    </row>
    <row r="726" ht="22.5" hidden="1" customHeight="1">
      <c r="A726" s="189"/>
      <c r="B726" s="190"/>
      <c r="C726" s="191"/>
      <c r="D726" s="192"/>
      <c r="E726" s="193"/>
      <c r="F726" s="193"/>
      <c r="G726" s="194" t="str">
        <f t="shared" si="55"/>
        <v/>
      </c>
      <c r="H726" s="195" t="str">
        <f t="shared" si="56"/>
        <v/>
      </c>
      <c r="I726" s="192"/>
      <c r="J726" s="196"/>
      <c r="K726" s="192"/>
      <c r="L726" s="324"/>
      <c r="M726" s="192">
        <f t="shared" si="58"/>
        <v>0</v>
      </c>
    </row>
    <row r="727" ht="22.5" hidden="1" customHeight="1">
      <c r="A727" s="189"/>
      <c r="B727" s="190"/>
      <c r="C727" s="191"/>
      <c r="D727" s="192"/>
      <c r="E727" s="193"/>
      <c r="F727" s="193"/>
      <c r="G727" s="194" t="str">
        <f t="shared" si="55"/>
        <v/>
      </c>
      <c r="H727" s="195" t="str">
        <f t="shared" si="56"/>
        <v/>
      </c>
      <c r="I727" s="192"/>
      <c r="J727" s="196"/>
      <c r="K727" s="192"/>
      <c r="L727" s="324"/>
      <c r="M727" s="192">
        <f t="shared" si="58"/>
        <v>0</v>
      </c>
    </row>
    <row r="728" ht="22.5" hidden="1" customHeight="1">
      <c r="A728" s="189"/>
      <c r="B728" s="190"/>
      <c r="C728" s="191"/>
      <c r="D728" s="192"/>
      <c r="E728" s="193"/>
      <c r="F728" s="193"/>
      <c r="G728" s="194" t="str">
        <f t="shared" si="55"/>
        <v/>
      </c>
      <c r="H728" s="195" t="str">
        <f t="shared" si="56"/>
        <v/>
      </c>
      <c r="I728" s="192"/>
      <c r="J728" s="196"/>
      <c r="K728" s="192"/>
      <c r="L728" s="324"/>
      <c r="M728" s="192">
        <f t="shared" si="58"/>
        <v>0</v>
      </c>
    </row>
    <row r="729" ht="22.5" hidden="1" customHeight="1">
      <c r="A729" s="189"/>
      <c r="B729" s="190"/>
      <c r="C729" s="191"/>
      <c r="D729" s="192"/>
      <c r="E729" s="193"/>
      <c r="F729" s="193"/>
      <c r="G729" s="194" t="str">
        <f t="shared" si="55"/>
        <v/>
      </c>
      <c r="H729" s="195" t="str">
        <f t="shared" si="56"/>
        <v/>
      </c>
      <c r="I729" s="192"/>
      <c r="J729" s="196"/>
      <c r="K729" s="192"/>
      <c r="L729" s="324"/>
      <c r="M729" s="192">
        <f t="shared" si="58"/>
        <v>0</v>
      </c>
    </row>
    <row r="730" ht="22.5" hidden="1" customHeight="1">
      <c r="A730" s="189"/>
      <c r="B730" s="190"/>
      <c r="C730" s="191"/>
      <c r="D730" s="192"/>
      <c r="E730" s="193"/>
      <c r="F730" s="193"/>
      <c r="G730" s="194" t="str">
        <f t="shared" si="55"/>
        <v/>
      </c>
      <c r="H730" s="195" t="str">
        <f t="shared" si="56"/>
        <v/>
      </c>
      <c r="I730" s="192"/>
      <c r="J730" s="196"/>
      <c r="K730" s="192"/>
      <c r="L730" s="324"/>
      <c r="M730" s="192">
        <f t="shared" si="58"/>
        <v>0</v>
      </c>
    </row>
    <row r="731" ht="22.5" hidden="1" customHeight="1">
      <c r="A731" s="189"/>
      <c r="B731" s="190"/>
      <c r="C731" s="191"/>
      <c r="D731" s="192"/>
      <c r="E731" s="193"/>
      <c r="F731" s="193"/>
      <c r="G731" s="194" t="str">
        <f t="shared" si="55"/>
        <v/>
      </c>
      <c r="H731" s="195" t="str">
        <f t="shared" si="56"/>
        <v/>
      </c>
      <c r="I731" s="192"/>
      <c r="J731" s="196"/>
      <c r="K731" s="192"/>
      <c r="L731" s="324"/>
      <c r="M731" s="192">
        <f t="shared" si="58"/>
        <v>0</v>
      </c>
    </row>
    <row r="732" ht="22.5" hidden="1" customHeight="1">
      <c r="A732" s="189"/>
      <c r="B732" s="190"/>
      <c r="C732" s="191"/>
      <c r="D732" s="192"/>
      <c r="E732" s="193"/>
      <c r="F732" s="193"/>
      <c r="G732" s="194" t="str">
        <f t="shared" si="55"/>
        <v/>
      </c>
      <c r="H732" s="195" t="str">
        <f t="shared" si="56"/>
        <v/>
      </c>
      <c r="I732" s="192"/>
      <c r="J732" s="196"/>
      <c r="K732" s="192"/>
      <c r="L732" s="324"/>
      <c r="M732" s="192">
        <f t="shared" si="58"/>
        <v>0</v>
      </c>
    </row>
    <row r="733" ht="22.5" hidden="1" customHeight="1">
      <c r="A733" s="189"/>
      <c r="B733" s="190"/>
      <c r="C733" s="191"/>
      <c r="D733" s="192"/>
      <c r="E733" s="193"/>
      <c r="F733" s="193"/>
      <c r="G733" s="194" t="str">
        <f t="shared" si="55"/>
        <v/>
      </c>
      <c r="H733" s="195" t="str">
        <f t="shared" si="56"/>
        <v/>
      </c>
      <c r="I733" s="192"/>
      <c r="J733" s="196"/>
      <c r="K733" s="192"/>
      <c r="L733" s="324"/>
      <c r="M733" s="192">
        <f t="shared" si="58"/>
        <v>0</v>
      </c>
    </row>
    <row r="734" ht="22.5" hidden="1" customHeight="1">
      <c r="A734" s="189"/>
      <c r="B734" s="190"/>
      <c r="C734" s="191"/>
      <c r="D734" s="192"/>
      <c r="E734" s="193"/>
      <c r="F734" s="193"/>
      <c r="G734" s="194" t="str">
        <f t="shared" si="55"/>
        <v/>
      </c>
      <c r="H734" s="195" t="str">
        <f t="shared" si="56"/>
        <v/>
      </c>
      <c r="I734" s="192"/>
      <c r="J734" s="196"/>
      <c r="K734" s="192"/>
      <c r="L734" s="324"/>
      <c r="M734" s="192">
        <f t="shared" si="58"/>
        <v>0</v>
      </c>
    </row>
    <row r="735" ht="22.5" hidden="1" customHeight="1">
      <c r="A735" s="189"/>
      <c r="B735" s="190"/>
      <c r="C735" s="191"/>
      <c r="D735" s="192"/>
      <c r="E735" s="193"/>
      <c r="F735" s="193"/>
      <c r="G735" s="194" t="str">
        <f t="shared" si="55"/>
        <v/>
      </c>
      <c r="H735" s="195" t="str">
        <f t="shared" si="56"/>
        <v/>
      </c>
      <c r="I735" s="192"/>
      <c r="J735" s="196"/>
      <c r="K735" s="192"/>
      <c r="L735" s="324"/>
      <c r="M735" s="192">
        <f t="shared" si="58"/>
        <v>0</v>
      </c>
    </row>
    <row r="736" ht="22.5" hidden="1" customHeight="1">
      <c r="A736" s="189"/>
      <c r="B736" s="190"/>
      <c r="C736" s="191"/>
      <c r="D736" s="192"/>
      <c r="E736" s="193"/>
      <c r="F736" s="193"/>
      <c r="G736" s="194" t="str">
        <f t="shared" si="55"/>
        <v/>
      </c>
      <c r="H736" s="195" t="str">
        <f t="shared" si="56"/>
        <v/>
      </c>
      <c r="I736" s="192"/>
      <c r="J736" s="196"/>
      <c r="K736" s="192"/>
      <c r="L736" s="324"/>
      <c r="M736" s="192">
        <f t="shared" si="58"/>
        <v>0</v>
      </c>
    </row>
    <row r="737" ht="22.5" hidden="1" customHeight="1">
      <c r="A737" s="189"/>
      <c r="B737" s="190"/>
      <c r="C737" s="191"/>
      <c r="D737" s="192"/>
      <c r="E737" s="193"/>
      <c r="F737" s="193"/>
      <c r="G737" s="194" t="str">
        <f t="shared" si="55"/>
        <v/>
      </c>
      <c r="H737" s="195" t="str">
        <f t="shared" si="56"/>
        <v/>
      </c>
      <c r="I737" s="192"/>
      <c r="J737" s="196"/>
      <c r="K737" s="192"/>
      <c r="L737" s="324"/>
      <c r="M737" s="192">
        <f t="shared" si="58"/>
        <v>0</v>
      </c>
    </row>
    <row r="738" ht="22.5" hidden="1" customHeight="1">
      <c r="A738" s="189"/>
      <c r="B738" s="190"/>
      <c r="C738" s="191"/>
      <c r="D738" s="192"/>
      <c r="E738" s="193"/>
      <c r="F738" s="193"/>
      <c r="G738" s="194" t="str">
        <f t="shared" si="55"/>
        <v/>
      </c>
      <c r="H738" s="195" t="str">
        <f t="shared" si="56"/>
        <v/>
      </c>
      <c r="I738" s="192"/>
      <c r="J738" s="196"/>
      <c r="K738" s="192"/>
      <c r="L738" s="324"/>
      <c r="M738" s="192">
        <f t="shared" si="58"/>
        <v>0</v>
      </c>
    </row>
    <row r="739" ht="22.5" hidden="1" customHeight="1">
      <c r="A739" s="189"/>
      <c r="B739" s="190"/>
      <c r="C739" s="191"/>
      <c r="D739" s="192"/>
      <c r="E739" s="193"/>
      <c r="F739" s="193"/>
      <c r="G739" s="194" t="str">
        <f t="shared" si="55"/>
        <v/>
      </c>
      <c r="H739" s="195" t="str">
        <f t="shared" si="56"/>
        <v/>
      </c>
      <c r="I739" s="192"/>
      <c r="J739" s="196"/>
      <c r="K739" s="192"/>
      <c r="L739" s="324"/>
      <c r="M739" s="192">
        <f t="shared" si="58"/>
        <v>0</v>
      </c>
    </row>
    <row r="740" ht="22.5" hidden="1" customHeight="1">
      <c r="A740" s="189"/>
      <c r="B740" s="190"/>
      <c r="C740" s="191"/>
      <c r="D740" s="192"/>
      <c r="E740" s="193"/>
      <c r="F740" s="193"/>
      <c r="G740" s="194" t="str">
        <f t="shared" si="55"/>
        <v/>
      </c>
      <c r="H740" s="195" t="str">
        <f t="shared" si="56"/>
        <v/>
      </c>
      <c r="I740" s="192"/>
      <c r="J740" s="196"/>
      <c r="K740" s="192"/>
      <c r="L740" s="324"/>
      <c r="M740" s="192">
        <f t="shared" si="58"/>
        <v>0</v>
      </c>
    </row>
    <row r="741" ht="22.5" hidden="1" customHeight="1">
      <c r="A741" s="189"/>
      <c r="B741" s="190"/>
      <c r="C741" s="191"/>
      <c r="D741" s="192"/>
      <c r="E741" s="193"/>
      <c r="F741" s="193"/>
      <c r="G741" s="194" t="str">
        <f t="shared" si="55"/>
        <v/>
      </c>
      <c r="H741" s="195" t="str">
        <f t="shared" si="56"/>
        <v/>
      </c>
      <c r="I741" s="192"/>
      <c r="J741" s="196"/>
      <c r="K741" s="192"/>
      <c r="L741" s="324"/>
      <c r="M741" s="192">
        <f t="shared" si="58"/>
        <v>0</v>
      </c>
    </row>
    <row r="742" ht="22.5" hidden="1" customHeight="1">
      <c r="A742" s="189"/>
      <c r="B742" s="190"/>
      <c r="C742" s="191"/>
      <c r="D742" s="192"/>
      <c r="E742" s="193"/>
      <c r="F742" s="193"/>
      <c r="G742" s="194" t="str">
        <f t="shared" si="55"/>
        <v/>
      </c>
      <c r="H742" s="195" t="str">
        <f t="shared" si="56"/>
        <v/>
      </c>
      <c r="I742" s="192"/>
      <c r="J742" s="196"/>
      <c r="K742" s="192"/>
      <c r="L742" s="324"/>
      <c r="M742" s="192">
        <f t="shared" si="58"/>
        <v>0</v>
      </c>
    </row>
    <row r="743" ht="22.5" hidden="1" customHeight="1">
      <c r="A743" s="189"/>
      <c r="B743" s="190"/>
      <c r="C743" s="191"/>
      <c r="D743" s="192"/>
      <c r="E743" s="193"/>
      <c r="F743" s="193"/>
      <c r="G743" s="194" t="str">
        <f t="shared" si="55"/>
        <v/>
      </c>
      <c r="H743" s="195" t="str">
        <f t="shared" si="56"/>
        <v/>
      </c>
      <c r="I743" s="192"/>
      <c r="J743" s="196"/>
      <c r="K743" s="192"/>
      <c r="L743" s="324"/>
      <c r="M743" s="192">
        <f t="shared" si="58"/>
        <v>0</v>
      </c>
    </row>
    <row r="744" ht="22.5" hidden="1" customHeight="1">
      <c r="A744" s="189"/>
      <c r="B744" s="190"/>
      <c r="C744" s="191"/>
      <c r="D744" s="192"/>
      <c r="E744" s="193"/>
      <c r="F744" s="193"/>
      <c r="G744" s="194" t="str">
        <f t="shared" si="55"/>
        <v/>
      </c>
      <c r="H744" s="195" t="str">
        <f t="shared" si="56"/>
        <v/>
      </c>
      <c r="I744" s="192"/>
      <c r="J744" s="196"/>
      <c r="K744" s="192"/>
      <c r="L744" s="324"/>
      <c r="M744" s="192">
        <f t="shared" si="58"/>
        <v>0</v>
      </c>
    </row>
    <row r="745" ht="22.5" hidden="1" customHeight="1">
      <c r="A745" s="189"/>
      <c r="B745" s="190"/>
      <c r="C745" s="191"/>
      <c r="D745" s="192"/>
      <c r="E745" s="193"/>
      <c r="F745" s="193"/>
      <c r="G745" s="194" t="str">
        <f t="shared" si="55"/>
        <v/>
      </c>
      <c r="H745" s="195" t="str">
        <f t="shared" si="56"/>
        <v/>
      </c>
      <c r="I745" s="192"/>
      <c r="J745" s="196"/>
      <c r="K745" s="192"/>
      <c r="L745" s="324"/>
      <c r="M745" s="192">
        <f t="shared" si="58"/>
        <v>0</v>
      </c>
    </row>
    <row r="746" ht="22.5" hidden="1" customHeight="1">
      <c r="A746" s="189"/>
      <c r="B746" s="190"/>
      <c r="C746" s="191"/>
      <c r="D746" s="192"/>
      <c r="E746" s="193"/>
      <c r="F746" s="193"/>
      <c r="G746" s="194" t="str">
        <f t="shared" si="55"/>
        <v/>
      </c>
      <c r="H746" s="195" t="str">
        <f t="shared" si="56"/>
        <v/>
      </c>
      <c r="I746" s="192"/>
      <c r="J746" s="196"/>
      <c r="K746" s="192"/>
      <c r="L746" s="324"/>
      <c r="M746" s="192">
        <f t="shared" si="58"/>
        <v>0</v>
      </c>
    </row>
    <row r="747" ht="22.5" hidden="1" customHeight="1">
      <c r="A747" s="189"/>
      <c r="B747" s="190"/>
      <c r="C747" s="191"/>
      <c r="D747" s="192"/>
      <c r="E747" s="193"/>
      <c r="F747" s="193"/>
      <c r="G747" s="194" t="str">
        <f t="shared" si="55"/>
        <v/>
      </c>
      <c r="H747" s="195" t="str">
        <f t="shared" si="56"/>
        <v/>
      </c>
      <c r="I747" s="192"/>
      <c r="J747" s="196"/>
      <c r="K747" s="192"/>
      <c r="L747" s="324"/>
      <c r="M747" s="192">
        <f t="shared" si="58"/>
        <v>0</v>
      </c>
    </row>
    <row r="748" ht="22.5" hidden="1" customHeight="1">
      <c r="A748" s="189"/>
      <c r="B748" s="190"/>
      <c r="C748" s="191"/>
      <c r="D748" s="192"/>
      <c r="E748" s="193"/>
      <c r="F748" s="193"/>
      <c r="G748" s="194" t="str">
        <f t="shared" si="55"/>
        <v/>
      </c>
      <c r="H748" s="195" t="str">
        <f t="shared" si="56"/>
        <v/>
      </c>
      <c r="I748" s="192"/>
      <c r="J748" s="196"/>
      <c r="K748" s="192"/>
      <c r="L748" s="324"/>
      <c r="M748" s="192">
        <f t="shared" si="58"/>
        <v>0</v>
      </c>
    </row>
    <row r="749" ht="22.5" hidden="1" customHeight="1">
      <c r="A749" s="189"/>
      <c r="B749" s="190"/>
      <c r="C749" s="191"/>
      <c r="D749" s="192"/>
      <c r="E749" s="193"/>
      <c r="F749" s="193"/>
      <c r="G749" s="194" t="str">
        <f t="shared" si="55"/>
        <v/>
      </c>
      <c r="H749" s="195" t="str">
        <f t="shared" si="56"/>
        <v/>
      </c>
      <c r="I749" s="192"/>
      <c r="J749" s="196"/>
      <c r="K749" s="192"/>
      <c r="L749" s="324"/>
      <c r="M749" s="192">
        <f t="shared" si="58"/>
        <v>0</v>
      </c>
    </row>
    <row r="750" ht="22.5" hidden="1" customHeight="1">
      <c r="A750" s="189"/>
      <c r="B750" s="190"/>
      <c r="C750" s="191"/>
      <c r="D750" s="192"/>
      <c r="E750" s="193"/>
      <c r="F750" s="193"/>
      <c r="G750" s="194" t="str">
        <f t="shared" si="55"/>
        <v/>
      </c>
      <c r="H750" s="195" t="str">
        <f t="shared" si="56"/>
        <v/>
      </c>
      <c r="I750" s="192"/>
      <c r="J750" s="196"/>
      <c r="K750" s="192"/>
      <c r="L750" s="324"/>
      <c r="M750" s="192">
        <f t="shared" si="58"/>
        <v>0</v>
      </c>
    </row>
    <row r="751" ht="22.5" hidden="1" customHeight="1">
      <c r="A751" s="189"/>
      <c r="B751" s="190"/>
      <c r="C751" s="191"/>
      <c r="D751" s="192"/>
      <c r="E751" s="193"/>
      <c r="F751" s="193"/>
      <c r="G751" s="194" t="str">
        <f t="shared" si="55"/>
        <v/>
      </c>
      <c r="H751" s="195" t="str">
        <f t="shared" si="56"/>
        <v/>
      </c>
      <c r="I751" s="192"/>
      <c r="J751" s="196"/>
      <c r="K751" s="192"/>
      <c r="L751" s="324"/>
      <c r="M751" s="192">
        <f t="shared" si="58"/>
        <v>0</v>
      </c>
    </row>
    <row r="752" ht="22.5" hidden="1" customHeight="1">
      <c r="A752" s="189"/>
      <c r="B752" s="190"/>
      <c r="C752" s="191"/>
      <c r="D752" s="192"/>
      <c r="E752" s="193"/>
      <c r="F752" s="193"/>
      <c r="G752" s="194" t="str">
        <f t="shared" si="55"/>
        <v/>
      </c>
      <c r="H752" s="195" t="str">
        <f t="shared" si="56"/>
        <v/>
      </c>
      <c r="I752" s="192"/>
      <c r="J752" s="196"/>
      <c r="K752" s="192"/>
      <c r="L752" s="324"/>
      <c r="M752" s="192">
        <f t="shared" si="58"/>
        <v>0</v>
      </c>
    </row>
    <row r="753" ht="22.5" hidden="1" customHeight="1">
      <c r="A753" s="189"/>
      <c r="B753" s="190"/>
      <c r="C753" s="191"/>
      <c r="D753" s="192"/>
      <c r="E753" s="193"/>
      <c r="F753" s="193"/>
      <c r="G753" s="194" t="str">
        <f t="shared" si="55"/>
        <v/>
      </c>
      <c r="H753" s="195" t="str">
        <f t="shared" si="56"/>
        <v/>
      </c>
      <c r="I753" s="192"/>
      <c r="J753" s="196"/>
      <c r="K753" s="192"/>
      <c r="L753" s="324"/>
      <c r="M753" s="192">
        <f t="shared" si="58"/>
        <v>0</v>
      </c>
    </row>
    <row r="754" ht="22.5" hidden="1" customHeight="1">
      <c r="A754" s="189"/>
      <c r="B754" s="190"/>
      <c r="C754" s="191"/>
      <c r="D754" s="192"/>
      <c r="E754" s="193"/>
      <c r="F754" s="193"/>
      <c r="G754" s="194" t="str">
        <f t="shared" si="55"/>
        <v/>
      </c>
      <c r="H754" s="195" t="str">
        <f t="shared" si="56"/>
        <v/>
      </c>
      <c r="I754" s="192"/>
      <c r="J754" s="196"/>
      <c r="K754" s="192"/>
      <c r="L754" s="324"/>
      <c r="M754" s="192">
        <f t="shared" si="58"/>
        <v>0</v>
      </c>
    </row>
    <row r="755" ht="22.5" hidden="1" customHeight="1">
      <c r="A755" s="189"/>
      <c r="B755" s="190"/>
      <c r="C755" s="191"/>
      <c r="D755" s="192"/>
      <c r="E755" s="193"/>
      <c r="F755" s="193"/>
      <c r="G755" s="194" t="str">
        <f t="shared" si="55"/>
        <v/>
      </c>
      <c r="H755" s="195" t="str">
        <f t="shared" si="56"/>
        <v/>
      </c>
      <c r="I755" s="192"/>
      <c r="J755" s="196"/>
      <c r="K755" s="192"/>
      <c r="L755" s="324"/>
      <c r="M755" s="192">
        <f t="shared" si="58"/>
        <v>0</v>
      </c>
    </row>
    <row r="756" ht="22.5" hidden="1" customHeight="1">
      <c r="A756" s="189"/>
      <c r="B756" s="190"/>
      <c r="C756" s="191"/>
      <c r="D756" s="192"/>
      <c r="E756" s="193"/>
      <c r="F756" s="193"/>
      <c r="G756" s="194" t="str">
        <f t="shared" si="55"/>
        <v/>
      </c>
      <c r="H756" s="195" t="str">
        <f t="shared" si="56"/>
        <v/>
      </c>
      <c r="I756" s="192"/>
      <c r="J756" s="196"/>
      <c r="K756" s="192"/>
      <c r="L756" s="324"/>
      <c r="M756" s="192">
        <f t="shared" si="58"/>
        <v>0</v>
      </c>
    </row>
    <row r="757" ht="22.5" hidden="1" customHeight="1">
      <c r="A757" s="189"/>
      <c r="B757" s="190"/>
      <c r="C757" s="191"/>
      <c r="D757" s="192"/>
      <c r="E757" s="193"/>
      <c r="F757" s="193"/>
      <c r="G757" s="194" t="str">
        <f t="shared" si="55"/>
        <v/>
      </c>
      <c r="H757" s="195" t="str">
        <f t="shared" si="56"/>
        <v/>
      </c>
      <c r="I757" s="192"/>
      <c r="J757" s="196"/>
      <c r="K757" s="192"/>
      <c r="L757" s="324"/>
      <c r="M757" s="192">
        <f t="shared" si="58"/>
        <v>0</v>
      </c>
    </row>
    <row r="758" ht="22.5" hidden="1" customHeight="1">
      <c r="A758" s="189"/>
      <c r="B758" s="190"/>
      <c r="C758" s="191"/>
      <c r="D758" s="192"/>
      <c r="E758" s="193"/>
      <c r="F758" s="193"/>
      <c r="G758" s="194" t="str">
        <f t="shared" si="55"/>
        <v/>
      </c>
      <c r="H758" s="195" t="str">
        <f t="shared" si="56"/>
        <v/>
      </c>
      <c r="I758" s="192"/>
      <c r="J758" s="196"/>
      <c r="K758" s="192"/>
      <c r="L758" s="324"/>
      <c r="M758" s="192">
        <f t="shared" si="58"/>
        <v>0</v>
      </c>
    </row>
    <row r="759" ht="22.5" hidden="1" customHeight="1">
      <c r="A759" s="189"/>
      <c r="B759" s="190"/>
      <c r="C759" s="191"/>
      <c r="D759" s="192"/>
      <c r="E759" s="193"/>
      <c r="F759" s="193"/>
      <c r="G759" s="194" t="str">
        <f t="shared" si="55"/>
        <v/>
      </c>
      <c r="H759" s="195" t="str">
        <f t="shared" si="56"/>
        <v/>
      </c>
      <c r="I759" s="192"/>
      <c r="J759" s="196"/>
      <c r="K759" s="192"/>
      <c r="L759" s="324"/>
      <c r="M759" s="192">
        <f t="shared" si="58"/>
        <v>0</v>
      </c>
    </row>
    <row r="760" ht="22.5" hidden="1" customHeight="1">
      <c r="A760" s="189"/>
      <c r="B760" s="190"/>
      <c r="C760" s="191"/>
      <c r="D760" s="192"/>
      <c r="E760" s="193"/>
      <c r="F760" s="193"/>
      <c r="G760" s="194" t="str">
        <f t="shared" si="55"/>
        <v/>
      </c>
      <c r="H760" s="195" t="str">
        <f t="shared" si="56"/>
        <v/>
      </c>
      <c r="I760" s="192"/>
      <c r="J760" s="196"/>
      <c r="K760" s="192"/>
      <c r="L760" s="324"/>
      <c r="M760" s="192">
        <f t="shared" si="58"/>
        <v>0</v>
      </c>
    </row>
    <row r="761" ht="22.5" hidden="1" customHeight="1">
      <c r="A761" s="189"/>
      <c r="B761" s="190"/>
      <c r="C761" s="191"/>
      <c r="D761" s="192"/>
      <c r="E761" s="193"/>
      <c r="F761" s="193"/>
      <c r="G761" s="194" t="str">
        <f t="shared" si="55"/>
        <v/>
      </c>
      <c r="H761" s="195" t="str">
        <f t="shared" si="56"/>
        <v/>
      </c>
      <c r="I761" s="192"/>
      <c r="J761" s="196"/>
      <c r="K761" s="192"/>
      <c r="L761" s="324"/>
      <c r="M761" s="192">
        <f t="shared" si="58"/>
        <v>0</v>
      </c>
    </row>
    <row r="762" ht="22.5" hidden="1" customHeight="1">
      <c r="A762" s="189"/>
      <c r="B762" s="190"/>
      <c r="C762" s="191"/>
      <c r="D762" s="192"/>
      <c r="E762" s="193"/>
      <c r="F762" s="193"/>
      <c r="G762" s="194" t="str">
        <f t="shared" si="55"/>
        <v/>
      </c>
      <c r="H762" s="195" t="str">
        <f t="shared" si="56"/>
        <v/>
      </c>
      <c r="I762" s="192"/>
      <c r="J762" s="196"/>
      <c r="K762" s="192"/>
      <c r="L762" s="324"/>
      <c r="M762" s="192">
        <f t="shared" si="58"/>
        <v>0</v>
      </c>
    </row>
    <row r="763" ht="22.5" hidden="1" customHeight="1">
      <c r="A763" s="189"/>
      <c r="B763" s="190"/>
      <c r="C763" s="191"/>
      <c r="D763" s="192"/>
      <c r="E763" s="193"/>
      <c r="F763" s="193"/>
      <c r="G763" s="194" t="str">
        <f t="shared" si="55"/>
        <v/>
      </c>
      <c r="H763" s="195" t="str">
        <f t="shared" si="56"/>
        <v/>
      </c>
      <c r="I763" s="192"/>
      <c r="J763" s="196"/>
      <c r="K763" s="192"/>
      <c r="L763" s="324"/>
      <c r="M763" s="192">
        <f t="shared" si="58"/>
        <v>0</v>
      </c>
    </row>
    <row r="764" ht="22.5" hidden="1" customHeight="1">
      <c r="A764" s="189"/>
      <c r="B764" s="190"/>
      <c r="C764" s="191"/>
      <c r="D764" s="192"/>
      <c r="E764" s="193"/>
      <c r="F764" s="193"/>
      <c r="G764" s="194" t="str">
        <f t="shared" si="55"/>
        <v/>
      </c>
      <c r="H764" s="195" t="str">
        <f t="shared" si="56"/>
        <v/>
      </c>
      <c r="I764" s="192"/>
      <c r="J764" s="196"/>
      <c r="K764" s="192"/>
      <c r="L764" s="324"/>
      <c r="M764" s="192">
        <f t="shared" si="58"/>
        <v>0</v>
      </c>
    </row>
    <row r="765" ht="22.5" hidden="1" customHeight="1">
      <c r="A765" s="189"/>
      <c r="B765" s="190"/>
      <c r="C765" s="191"/>
      <c r="D765" s="192"/>
      <c r="E765" s="193"/>
      <c r="F765" s="193"/>
      <c r="G765" s="194" t="str">
        <f t="shared" si="55"/>
        <v/>
      </c>
      <c r="H765" s="195" t="str">
        <f t="shared" si="56"/>
        <v/>
      </c>
      <c r="I765" s="192"/>
      <c r="J765" s="196"/>
      <c r="K765" s="192"/>
      <c r="L765" s="324"/>
      <c r="M765" s="192">
        <f t="shared" si="58"/>
        <v>0</v>
      </c>
    </row>
    <row r="766" ht="22.5" hidden="1" customHeight="1">
      <c r="A766" s="189"/>
      <c r="B766" s="190"/>
      <c r="C766" s="191"/>
      <c r="D766" s="192"/>
      <c r="E766" s="193"/>
      <c r="F766" s="193"/>
      <c r="G766" s="194" t="str">
        <f t="shared" si="55"/>
        <v/>
      </c>
      <c r="H766" s="195" t="str">
        <f t="shared" si="56"/>
        <v/>
      </c>
      <c r="I766" s="192"/>
      <c r="J766" s="196"/>
      <c r="K766" s="192"/>
      <c r="L766" s="324"/>
      <c r="M766" s="192">
        <f t="shared" si="58"/>
        <v>0</v>
      </c>
    </row>
    <row r="767" ht="22.5" hidden="1" customHeight="1">
      <c r="A767" s="189"/>
      <c r="B767" s="190"/>
      <c r="C767" s="191"/>
      <c r="D767" s="192"/>
      <c r="E767" s="193"/>
      <c r="F767" s="193"/>
      <c r="G767" s="194" t="str">
        <f t="shared" si="55"/>
        <v/>
      </c>
      <c r="H767" s="195" t="str">
        <f t="shared" si="56"/>
        <v/>
      </c>
      <c r="I767" s="192"/>
      <c r="J767" s="196"/>
      <c r="K767" s="192"/>
      <c r="L767" s="324"/>
      <c r="M767" s="192">
        <f t="shared" si="58"/>
        <v>0</v>
      </c>
    </row>
    <row r="768" ht="22.5" hidden="1" customHeight="1">
      <c r="A768" s="189"/>
      <c r="B768" s="190"/>
      <c r="C768" s="191"/>
      <c r="D768" s="192"/>
      <c r="E768" s="193"/>
      <c r="F768" s="193"/>
      <c r="G768" s="194" t="str">
        <f t="shared" si="55"/>
        <v/>
      </c>
      <c r="H768" s="195" t="str">
        <f t="shared" si="56"/>
        <v/>
      </c>
      <c r="I768" s="192"/>
      <c r="J768" s="196"/>
      <c r="K768" s="192"/>
      <c r="L768" s="324"/>
      <c r="M768" s="192">
        <f t="shared" si="58"/>
        <v>0</v>
      </c>
    </row>
    <row r="769" ht="22.5" hidden="1" customHeight="1">
      <c r="A769" s="189"/>
      <c r="B769" s="190"/>
      <c r="C769" s="191"/>
      <c r="D769" s="192"/>
      <c r="E769" s="193"/>
      <c r="F769" s="193"/>
      <c r="G769" s="194" t="str">
        <f t="shared" si="55"/>
        <v/>
      </c>
      <c r="H769" s="195" t="str">
        <f t="shared" si="56"/>
        <v/>
      </c>
      <c r="I769" s="192"/>
      <c r="J769" s="196"/>
      <c r="K769" s="192"/>
      <c r="L769" s="324"/>
      <c r="M769" s="192">
        <f t="shared" si="58"/>
        <v>0</v>
      </c>
    </row>
    <row r="770" ht="22.5" hidden="1" customHeight="1">
      <c r="A770" s="189"/>
      <c r="B770" s="190"/>
      <c r="C770" s="191"/>
      <c r="D770" s="192"/>
      <c r="E770" s="193"/>
      <c r="F770" s="193"/>
      <c r="G770" s="194" t="str">
        <f t="shared" si="55"/>
        <v/>
      </c>
      <c r="H770" s="195" t="str">
        <f t="shared" si="56"/>
        <v/>
      </c>
      <c r="I770" s="192"/>
      <c r="J770" s="196"/>
      <c r="K770" s="192"/>
      <c r="L770" s="324"/>
      <c r="M770" s="192">
        <f t="shared" si="58"/>
        <v>0</v>
      </c>
    </row>
    <row r="771" ht="22.5" hidden="1" customHeight="1">
      <c r="A771" s="189"/>
      <c r="B771" s="190"/>
      <c r="C771" s="191"/>
      <c r="D771" s="192"/>
      <c r="E771" s="193"/>
      <c r="F771" s="193"/>
      <c r="G771" s="194" t="str">
        <f t="shared" si="55"/>
        <v/>
      </c>
      <c r="H771" s="195" t="str">
        <f t="shared" si="56"/>
        <v/>
      </c>
      <c r="I771" s="192"/>
      <c r="J771" s="196"/>
      <c r="K771" s="192"/>
      <c r="L771" s="324"/>
      <c r="M771" s="192">
        <f t="shared" si="58"/>
        <v>0</v>
      </c>
    </row>
    <row r="772" ht="22.5" hidden="1" customHeight="1">
      <c r="A772" s="189"/>
      <c r="B772" s="190"/>
      <c r="C772" s="191"/>
      <c r="D772" s="192"/>
      <c r="E772" s="193"/>
      <c r="F772" s="193"/>
      <c r="G772" s="194" t="str">
        <f t="shared" si="55"/>
        <v/>
      </c>
      <c r="H772" s="195" t="str">
        <f t="shared" si="56"/>
        <v/>
      </c>
      <c r="I772" s="192"/>
      <c r="J772" s="196"/>
      <c r="K772" s="192"/>
      <c r="L772" s="324"/>
      <c r="M772" s="192">
        <f t="shared" si="58"/>
        <v>0</v>
      </c>
    </row>
    <row r="773" ht="22.5" hidden="1" customHeight="1">
      <c r="A773" s="189"/>
      <c r="B773" s="190"/>
      <c r="C773" s="191"/>
      <c r="D773" s="192"/>
      <c r="E773" s="193"/>
      <c r="F773" s="193"/>
      <c r="G773" s="194" t="str">
        <f t="shared" si="55"/>
        <v/>
      </c>
      <c r="H773" s="195" t="str">
        <f t="shared" si="56"/>
        <v/>
      </c>
      <c r="I773" s="192"/>
      <c r="J773" s="196"/>
      <c r="K773" s="192"/>
      <c r="L773" s="324"/>
      <c r="M773" s="192">
        <f t="shared" si="58"/>
        <v>0</v>
      </c>
    </row>
    <row r="774" ht="22.5" hidden="1" customHeight="1">
      <c r="A774" s="189"/>
      <c r="B774" s="190"/>
      <c r="C774" s="191"/>
      <c r="D774" s="192"/>
      <c r="E774" s="193"/>
      <c r="F774" s="193"/>
      <c r="G774" s="194" t="str">
        <f t="shared" si="55"/>
        <v/>
      </c>
      <c r="H774" s="195" t="str">
        <f t="shared" si="56"/>
        <v/>
      </c>
      <c r="I774" s="192"/>
      <c r="J774" s="196"/>
      <c r="K774" s="192"/>
      <c r="L774" s="324"/>
      <c r="M774" s="192">
        <f t="shared" si="58"/>
        <v>0</v>
      </c>
    </row>
    <row r="775" ht="22.5" hidden="1" customHeight="1">
      <c r="A775" s="189"/>
      <c r="B775" s="190"/>
      <c r="C775" s="191"/>
      <c r="D775" s="192"/>
      <c r="E775" s="193"/>
      <c r="F775" s="193"/>
      <c r="G775" s="194" t="str">
        <f t="shared" si="55"/>
        <v/>
      </c>
      <c r="H775" s="195" t="str">
        <f t="shared" si="56"/>
        <v/>
      </c>
      <c r="I775" s="192"/>
      <c r="J775" s="196"/>
      <c r="K775" s="192"/>
      <c r="L775" s="324"/>
      <c r="M775" s="192">
        <f t="shared" si="58"/>
        <v>0</v>
      </c>
    </row>
    <row r="776" ht="22.5" hidden="1" customHeight="1">
      <c r="A776" s="189"/>
      <c r="B776" s="190"/>
      <c r="C776" s="191"/>
      <c r="D776" s="192"/>
      <c r="E776" s="193"/>
      <c r="F776" s="193"/>
      <c r="G776" s="194" t="str">
        <f t="shared" si="55"/>
        <v/>
      </c>
      <c r="H776" s="195" t="str">
        <f t="shared" si="56"/>
        <v/>
      </c>
      <c r="I776" s="192"/>
      <c r="J776" s="196"/>
      <c r="K776" s="192"/>
      <c r="L776" s="324"/>
      <c r="M776" s="192">
        <f t="shared" si="58"/>
        <v>0</v>
      </c>
    </row>
    <row r="777" ht="22.5" hidden="1" customHeight="1">
      <c r="A777" s="189"/>
      <c r="B777" s="190"/>
      <c r="C777" s="191"/>
      <c r="D777" s="192"/>
      <c r="E777" s="193"/>
      <c r="F777" s="193"/>
      <c r="G777" s="194" t="str">
        <f t="shared" si="55"/>
        <v/>
      </c>
      <c r="H777" s="195" t="str">
        <f t="shared" si="56"/>
        <v/>
      </c>
      <c r="I777" s="192"/>
      <c r="J777" s="196"/>
      <c r="K777" s="192"/>
      <c r="L777" s="324"/>
      <c r="M777" s="192">
        <f t="shared" si="58"/>
        <v>0</v>
      </c>
    </row>
    <row r="778" ht="22.5" hidden="1" customHeight="1">
      <c r="A778" s="189"/>
      <c r="B778" s="190"/>
      <c r="C778" s="191"/>
      <c r="D778" s="192"/>
      <c r="E778" s="193"/>
      <c r="F778" s="193"/>
      <c r="G778" s="194" t="str">
        <f t="shared" si="55"/>
        <v/>
      </c>
      <c r="H778" s="195" t="str">
        <f t="shared" si="56"/>
        <v/>
      </c>
      <c r="I778" s="192"/>
      <c r="J778" s="196"/>
      <c r="K778" s="192"/>
      <c r="L778" s="324"/>
      <c r="M778" s="192">
        <f t="shared" si="58"/>
        <v>0</v>
      </c>
    </row>
    <row r="779" ht="22.5" hidden="1" customHeight="1">
      <c r="A779" s="189"/>
      <c r="B779" s="190"/>
      <c r="C779" s="191"/>
      <c r="D779" s="192"/>
      <c r="E779" s="193"/>
      <c r="F779" s="193"/>
      <c r="G779" s="194" t="str">
        <f t="shared" si="55"/>
        <v/>
      </c>
      <c r="H779" s="195" t="str">
        <f t="shared" si="56"/>
        <v/>
      </c>
      <c r="I779" s="192"/>
      <c r="J779" s="196"/>
      <c r="K779" s="192"/>
      <c r="L779" s="324"/>
      <c r="M779" s="192">
        <f t="shared" si="58"/>
        <v>0</v>
      </c>
    </row>
    <row r="780" ht="22.5" hidden="1" customHeight="1">
      <c r="A780" s="189"/>
      <c r="B780" s="190"/>
      <c r="C780" s="191"/>
      <c r="D780" s="192"/>
      <c r="E780" s="193"/>
      <c r="F780" s="193"/>
      <c r="G780" s="194" t="str">
        <f t="shared" si="55"/>
        <v/>
      </c>
      <c r="H780" s="195" t="str">
        <f t="shared" si="56"/>
        <v/>
      </c>
      <c r="I780" s="192"/>
      <c r="J780" s="196"/>
      <c r="K780" s="192"/>
      <c r="L780" s="324"/>
      <c r="M780" s="192">
        <f t="shared" si="58"/>
        <v>0</v>
      </c>
    </row>
    <row r="781" ht="22.5" hidden="1" customHeight="1">
      <c r="A781" s="189"/>
      <c r="B781" s="190"/>
      <c r="C781" s="191"/>
      <c r="D781" s="192"/>
      <c r="E781" s="193"/>
      <c r="F781" s="193"/>
      <c r="G781" s="194" t="str">
        <f t="shared" si="55"/>
        <v/>
      </c>
      <c r="H781" s="195" t="str">
        <f t="shared" si="56"/>
        <v/>
      </c>
      <c r="I781" s="192"/>
      <c r="J781" s="196"/>
      <c r="K781" s="192"/>
      <c r="L781" s="324"/>
      <c r="M781" s="192">
        <f t="shared" si="58"/>
        <v>0</v>
      </c>
    </row>
    <row r="782" ht="22.5" hidden="1" customHeight="1">
      <c r="A782" s="189"/>
      <c r="B782" s="190"/>
      <c r="C782" s="191"/>
      <c r="D782" s="192"/>
      <c r="E782" s="193"/>
      <c r="F782" s="193"/>
      <c r="G782" s="194" t="str">
        <f t="shared" si="55"/>
        <v/>
      </c>
      <c r="H782" s="195" t="str">
        <f t="shared" si="56"/>
        <v/>
      </c>
      <c r="I782" s="192"/>
      <c r="J782" s="196"/>
      <c r="K782" s="192"/>
      <c r="L782" s="324"/>
      <c r="M782" s="192">
        <f t="shared" si="58"/>
        <v>0</v>
      </c>
    </row>
    <row r="783" ht="22.5" hidden="1" customHeight="1">
      <c r="A783" s="189"/>
      <c r="B783" s="190"/>
      <c r="C783" s="191"/>
      <c r="D783" s="192"/>
      <c r="E783" s="193"/>
      <c r="F783" s="193"/>
      <c r="G783" s="194" t="str">
        <f t="shared" si="55"/>
        <v/>
      </c>
      <c r="H783" s="195" t="str">
        <f t="shared" si="56"/>
        <v/>
      </c>
      <c r="I783" s="192"/>
      <c r="J783" s="196"/>
      <c r="K783" s="192"/>
      <c r="L783" s="324"/>
      <c r="M783" s="192">
        <f t="shared" si="58"/>
        <v>0</v>
      </c>
    </row>
    <row r="784" ht="22.5" hidden="1" customHeight="1">
      <c r="A784" s="189"/>
      <c r="B784" s="190"/>
      <c r="C784" s="191"/>
      <c r="D784" s="192"/>
      <c r="E784" s="193"/>
      <c r="F784" s="193"/>
      <c r="G784" s="194" t="str">
        <f t="shared" si="55"/>
        <v/>
      </c>
      <c r="H784" s="195" t="str">
        <f t="shared" si="56"/>
        <v/>
      </c>
      <c r="I784" s="192"/>
      <c r="J784" s="196"/>
      <c r="K784" s="192"/>
      <c r="L784" s="324"/>
      <c r="M784" s="192">
        <f t="shared" si="58"/>
        <v>0</v>
      </c>
    </row>
    <row r="785" ht="22.5" hidden="1" customHeight="1">
      <c r="A785" s="189"/>
      <c r="B785" s="190"/>
      <c r="C785" s="191"/>
      <c r="D785" s="192"/>
      <c r="E785" s="193"/>
      <c r="F785" s="193"/>
      <c r="G785" s="194" t="str">
        <f t="shared" si="55"/>
        <v/>
      </c>
      <c r="H785" s="195" t="str">
        <f t="shared" si="56"/>
        <v/>
      </c>
      <c r="I785" s="192"/>
      <c r="J785" s="196"/>
      <c r="K785" s="192"/>
      <c r="L785" s="324"/>
      <c r="M785" s="192">
        <f t="shared" si="58"/>
        <v>0</v>
      </c>
    </row>
    <row r="786" ht="22.5" hidden="1" customHeight="1">
      <c r="A786" s="189"/>
      <c r="B786" s="190"/>
      <c r="C786" s="191"/>
      <c r="D786" s="192"/>
      <c r="E786" s="193"/>
      <c r="F786" s="193"/>
      <c r="G786" s="194" t="str">
        <f t="shared" si="55"/>
        <v/>
      </c>
      <c r="H786" s="195" t="str">
        <f t="shared" si="56"/>
        <v/>
      </c>
      <c r="I786" s="192"/>
      <c r="J786" s="196"/>
      <c r="K786" s="192"/>
      <c r="L786" s="324"/>
      <c r="M786" s="192">
        <f t="shared" si="58"/>
        <v>0</v>
      </c>
    </row>
    <row r="787" ht="22.5" hidden="1" customHeight="1">
      <c r="A787" s="189"/>
      <c r="B787" s="190"/>
      <c r="C787" s="191"/>
      <c r="D787" s="192"/>
      <c r="E787" s="193"/>
      <c r="F787" s="193"/>
      <c r="G787" s="194" t="str">
        <f t="shared" si="55"/>
        <v/>
      </c>
      <c r="H787" s="195" t="str">
        <f t="shared" si="56"/>
        <v/>
      </c>
      <c r="I787" s="192"/>
      <c r="J787" s="196"/>
      <c r="K787" s="192"/>
      <c r="L787" s="324"/>
      <c r="M787" s="192">
        <f t="shared" si="58"/>
        <v>0</v>
      </c>
    </row>
    <row r="788" ht="22.5" hidden="1" customHeight="1">
      <c r="A788" s="189"/>
      <c r="B788" s="190"/>
      <c r="C788" s="191"/>
      <c r="D788" s="192"/>
      <c r="E788" s="193"/>
      <c r="F788" s="193"/>
      <c r="G788" s="194" t="str">
        <f t="shared" si="55"/>
        <v/>
      </c>
      <c r="H788" s="195" t="str">
        <f t="shared" si="56"/>
        <v/>
      </c>
      <c r="I788" s="192"/>
      <c r="J788" s="196"/>
      <c r="K788" s="192"/>
      <c r="L788" s="324"/>
      <c r="M788" s="192">
        <f t="shared" si="58"/>
        <v>0</v>
      </c>
    </row>
    <row r="789" ht="22.5" hidden="1" customHeight="1">
      <c r="A789" s="189"/>
      <c r="B789" s="190"/>
      <c r="C789" s="191"/>
      <c r="D789" s="192"/>
      <c r="E789" s="193"/>
      <c r="F789" s="193"/>
      <c r="G789" s="194" t="str">
        <f t="shared" si="55"/>
        <v/>
      </c>
      <c r="H789" s="195" t="str">
        <f t="shared" si="56"/>
        <v/>
      </c>
      <c r="I789" s="192"/>
      <c r="J789" s="196"/>
      <c r="K789" s="192"/>
      <c r="L789" s="324"/>
      <c r="M789" s="192">
        <f t="shared" si="58"/>
        <v>0</v>
      </c>
    </row>
    <row r="790" ht="22.5" hidden="1" customHeight="1">
      <c r="A790" s="189"/>
      <c r="B790" s="190"/>
      <c r="C790" s="191"/>
      <c r="D790" s="192"/>
      <c r="E790" s="193"/>
      <c r="F790" s="193"/>
      <c r="G790" s="194" t="str">
        <f t="shared" si="55"/>
        <v/>
      </c>
      <c r="H790" s="195" t="str">
        <f t="shared" si="56"/>
        <v/>
      </c>
      <c r="I790" s="192"/>
      <c r="J790" s="196"/>
      <c r="K790" s="192"/>
      <c r="L790" s="324"/>
      <c r="M790" s="192">
        <f t="shared" si="58"/>
        <v>0</v>
      </c>
    </row>
    <row r="791" ht="22.5" hidden="1" customHeight="1">
      <c r="A791" s="189"/>
      <c r="B791" s="190"/>
      <c r="C791" s="191"/>
      <c r="D791" s="192"/>
      <c r="E791" s="193"/>
      <c r="F791" s="193"/>
      <c r="G791" s="194" t="str">
        <f t="shared" si="55"/>
        <v/>
      </c>
      <c r="H791" s="195" t="str">
        <f t="shared" si="56"/>
        <v/>
      </c>
      <c r="I791" s="192"/>
      <c r="J791" s="196"/>
      <c r="K791" s="192"/>
      <c r="L791" s="324"/>
      <c r="M791" s="192">
        <f t="shared" si="58"/>
        <v>0</v>
      </c>
    </row>
    <row r="792" ht="22.5" hidden="1" customHeight="1">
      <c r="A792" s="189"/>
      <c r="B792" s="190"/>
      <c r="C792" s="191"/>
      <c r="D792" s="192"/>
      <c r="E792" s="193"/>
      <c r="F792" s="193"/>
      <c r="G792" s="194" t="str">
        <f t="shared" si="55"/>
        <v/>
      </c>
      <c r="H792" s="195" t="str">
        <f t="shared" si="56"/>
        <v/>
      </c>
      <c r="I792" s="192"/>
      <c r="J792" s="196"/>
      <c r="K792" s="192"/>
      <c r="L792" s="324"/>
      <c r="M792" s="192">
        <f t="shared" si="58"/>
        <v>0</v>
      </c>
    </row>
    <row r="793" ht="22.5" hidden="1" customHeight="1">
      <c r="A793" s="189"/>
      <c r="B793" s="190"/>
      <c r="C793" s="191"/>
      <c r="D793" s="192"/>
      <c r="E793" s="193"/>
      <c r="F793" s="193"/>
      <c r="G793" s="194" t="str">
        <f t="shared" si="55"/>
        <v/>
      </c>
      <c r="H793" s="195" t="str">
        <f t="shared" si="56"/>
        <v/>
      </c>
      <c r="I793" s="192"/>
      <c r="J793" s="196"/>
      <c r="K793" s="192"/>
      <c r="L793" s="324"/>
      <c r="M793" s="192">
        <f t="shared" si="58"/>
        <v>0</v>
      </c>
    </row>
    <row r="794" ht="22.5" hidden="1" customHeight="1">
      <c r="A794" s="189"/>
      <c r="B794" s="190"/>
      <c r="C794" s="191"/>
      <c r="D794" s="192"/>
      <c r="E794" s="193"/>
      <c r="F794" s="193"/>
      <c r="G794" s="194" t="str">
        <f t="shared" si="55"/>
        <v/>
      </c>
      <c r="H794" s="195" t="str">
        <f t="shared" si="56"/>
        <v/>
      </c>
      <c r="I794" s="192"/>
      <c r="J794" s="196"/>
      <c r="K794" s="192"/>
      <c r="L794" s="324"/>
      <c r="M794" s="192">
        <f t="shared" si="58"/>
        <v>0</v>
      </c>
    </row>
    <row r="795" ht="22.5" hidden="1" customHeight="1">
      <c r="A795" s="189"/>
      <c r="B795" s="190"/>
      <c r="C795" s="191"/>
      <c r="D795" s="192"/>
      <c r="E795" s="193"/>
      <c r="F795" s="193"/>
      <c r="G795" s="194" t="str">
        <f t="shared" si="55"/>
        <v/>
      </c>
      <c r="H795" s="195" t="str">
        <f t="shared" si="56"/>
        <v/>
      </c>
      <c r="I795" s="192"/>
      <c r="J795" s="196"/>
      <c r="K795" s="192"/>
      <c r="L795" s="324"/>
      <c r="M795" s="192">
        <f t="shared" si="58"/>
        <v>0</v>
      </c>
    </row>
    <row r="796" ht="22.5" hidden="1" customHeight="1">
      <c r="A796" s="189"/>
      <c r="B796" s="190"/>
      <c r="C796" s="191"/>
      <c r="D796" s="192"/>
      <c r="E796" s="193"/>
      <c r="F796" s="193"/>
      <c r="G796" s="194" t="str">
        <f t="shared" si="55"/>
        <v/>
      </c>
      <c r="H796" s="195" t="str">
        <f t="shared" si="56"/>
        <v/>
      </c>
      <c r="I796" s="192"/>
      <c r="J796" s="196"/>
      <c r="K796" s="192"/>
      <c r="L796" s="324"/>
      <c r="M796" s="192">
        <f t="shared" si="58"/>
        <v>0</v>
      </c>
    </row>
    <row r="797" ht="22.5" hidden="1" customHeight="1">
      <c r="A797" s="189"/>
      <c r="B797" s="190"/>
      <c r="C797" s="191"/>
      <c r="D797" s="192"/>
      <c r="E797" s="193"/>
      <c r="F797" s="193"/>
      <c r="G797" s="194" t="str">
        <f t="shared" si="55"/>
        <v/>
      </c>
      <c r="H797" s="195" t="str">
        <f t="shared" si="56"/>
        <v/>
      </c>
      <c r="I797" s="192"/>
      <c r="J797" s="196"/>
      <c r="K797" s="192"/>
      <c r="L797" s="324"/>
      <c r="M797" s="192">
        <f t="shared" si="58"/>
        <v>0</v>
      </c>
    </row>
    <row r="798" ht="22.5" hidden="1" customHeight="1">
      <c r="A798" s="189"/>
      <c r="B798" s="190"/>
      <c r="C798" s="191"/>
      <c r="D798" s="192"/>
      <c r="E798" s="193"/>
      <c r="F798" s="193"/>
      <c r="G798" s="194" t="str">
        <f t="shared" si="55"/>
        <v/>
      </c>
      <c r="H798" s="195" t="str">
        <f t="shared" si="56"/>
        <v/>
      </c>
      <c r="I798" s="192"/>
      <c r="J798" s="196"/>
      <c r="K798" s="192"/>
      <c r="L798" s="324"/>
      <c r="M798" s="192">
        <f t="shared" si="58"/>
        <v>0</v>
      </c>
    </row>
    <row r="799" ht="22.5" hidden="1" customHeight="1">
      <c r="A799" s="189"/>
      <c r="B799" s="190"/>
      <c r="C799" s="191"/>
      <c r="D799" s="192"/>
      <c r="E799" s="193"/>
      <c r="F799" s="193"/>
      <c r="G799" s="194" t="str">
        <f t="shared" si="55"/>
        <v/>
      </c>
      <c r="H799" s="195" t="str">
        <f t="shared" si="56"/>
        <v/>
      </c>
      <c r="I799" s="192"/>
      <c r="J799" s="196"/>
      <c r="K799" s="192"/>
      <c r="L799" s="324"/>
      <c r="M799" s="192">
        <f t="shared" si="58"/>
        <v>0</v>
      </c>
    </row>
    <row r="800" ht="22.5" hidden="1" customHeight="1">
      <c r="A800" s="189"/>
      <c r="B800" s="190"/>
      <c r="C800" s="191"/>
      <c r="D800" s="192"/>
      <c r="E800" s="193"/>
      <c r="F800" s="193"/>
      <c r="G800" s="194" t="str">
        <f t="shared" si="55"/>
        <v/>
      </c>
      <c r="H800" s="195" t="str">
        <f t="shared" si="56"/>
        <v/>
      </c>
      <c r="I800" s="192"/>
      <c r="J800" s="196"/>
      <c r="K800" s="192"/>
      <c r="L800" s="324"/>
      <c r="M800" s="192">
        <f t="shared" si="58"/>
        <v>0</v>
      </c>
    </row>
    <row r="801" ht="22.5" hidden="1" customHeight="1">
      <c r="A801" s="189"/>
      <c r="B801" s="190"/>
      <c r="C801" s="191"/>
      <c r="D801" s="192"/>
      <c r="E801" s="193"/>
      <c r="F801" s="193"/>
      <c r="G801" s="194" t="str">
        <f t="shared" si="55"/>
        <v/>
      </c>
      <c r="H801" s="195" t="str">
        <f t="shared" si="56"/>
        <v/>
      </c>
      <c r="I801" s="192"/>
      <c r="J801" s="196"/>
      <c r="K801" s="192"/>
      <c r="L801" s="324"/>
      <c r="M801" s="192">
        <f t="shared" si="58"/>
        <v>0</v>
      </c>
    </row>
    <row r="802" ht="22.5" hidden="1" customHeight="1">
      <c r="A802" s="189"/>
      <c r="B802" s="190"/>
      <c r="C802" s="191"/>
      <c r="D802" s="192"/>
      <c r="E802" s="193"/>
      <c r="F802" s="193"/>
      <c r="G802" s="194" t="str">
        <f t="shared" si="55"/>
        <v/>
      </c>
      <c r="H802" s="195" t="str">
        <f t="shared" si="56"/>
        <v/>
      </c>
      <c r="I802" s="192"/>
      <c r="J802" s="196"/>
      <c r="K802" s="192"/>
      <c r="L802" s="324"/>
      <c r="M802" s="192">
        <f t="shared" si="58"/>
        <v>0</v>
      </c>
    </row>
    <row r="803" ht="22.5" hidden="1" customHeight="1">
      <c r="A803" s="189"/>
      <c r="B803" s="190"/>
      <c r="C803" s="191"/>
      <c r="D803" s="192"/>
      <c r="E803" s="193"/>
      <c r="F803" s="193"/>
      <c r="G803" s="194" t="str">
        <f t="shared" si="55"/>
        <v/>
      </c>
      <c r="H803" s="195" t="str">
        <f t="shared" si="56"/>
        <v/>
      </c>
      <c r="I803" s="192"/>
      <c r="J803" s="196"/>
      <c r="K803" s="192"/>
      <c r="L803" s="324"/>
      <c r="M803" s="192">
        <f t="shared" si="58"/>
        <v>0</v>
      </c>
    </row>
    <row r="804" ht="22.5" hidden="1" customHeight="1">
      <c r="A804" s="189"/>
      <c r="B804" s="190"/>
      <c r="C804" s="191"/>
      <c r="D804" s="192"/>
      <c r="E804" s="193"/>
      <c r="F804" s="193"/>
      <c r="G804" s="194" t="str">
        <f t="shared" si="55"/>
        <v/>
      </c>
      <c r="H804" s="195" t="str">
        <f t="shared" si="56"/>
        <v/>
      </c>
      <c r="I804" s="192"/>
      <c r="J804" s="196"/>
      <c r="K804" s="192"/>
      <c r="L804" s="324"/>
      <c r="M804" s="192">
        <f t="shared" si="58"/>
        <v>0</v>
      </c>
    </row>
    <row r="805" ht="22.5" hidden="1" customHeight="1">
      <c r="A805" s="189"/>
      <c r="B805" s="190"/>
      <c r="C805" s="191"/>
      <c r="D805" s="192"/>
      <c r="E805" s="193"/>
      <c r="F805" s="193"/>
      <c r="G805" s="194" t="str">
        <f t="shared" si="55"/>
        <v/>
      </c>
      <c r="H805" s="195" t="str">
        <f t="shared" si="56"/>
        <v/>
      </c>
      <c r="I805" s="192"/>
      <c r="J805" s="196"/>
      <c r="K805" s="192"/>
      <c r="L805" s="324"/>
      <c r="M805" s="192">
        <f t="shared" si="58"/>
        <v>0</v>
      </c>
    </row>
    <row r="806" ht="22.5" hidden="1" customHeight="1">
      <c r="A806" s="189"/>
      <c r="B806" s="190"/>
      <c r="C806" s="191"/>
      <c r="D806" s="192"/>
      <c r="E806" s="193"/>
      <c r="F806" s="193"/>
      <c r="G806" s="194" t="str">
        <f t="shared" si="55"/>
        <v/>
      </c>
      <c r="H806" s="195" t="str">
        <f t="shared" si="56"/>
        <v/>
      </c>
      <c r="I806" s="192"/>
      <c r="J806" s="196"/>
      <c r="K806" s="192"/>
      <c r="L806" s="324"/>
      <c r="M806" s="192">
        <f t="shared" si="58"/>
        <v>0</v>
      </c>
    </row>
    <row r="807" ht="22.5" hidden="1" customHeight="1">
      <c r="A807" s="189"/>
      <c r="B807" s="190"/>
      <c r="C807" s="191"/>
      <c r="D807" s="192"/>
      <c r="E807" s="193"/>
      <c r="F807" s="193"/>
      <c r="G807" s="194" t="str">
        <f t="shared" si="55"/>
        <v/>
      </c>
      <c r="H807" s="195" t="str">
        <f t="shared" si="56"/>
        <v/>
      </c>
      <c r="I807" s="192"/>
      <c r="J807" s="196"/>
      <c r="K807" s="192"/>
      <c r="L807" s="324"/>
      <c r="M807" s="192">
        <f t="shared" si="58"/>
        <v>0</v>
      </c>
    </row>
    <row r="808" ht="22.5" hidden="1" customHeight="1">
      <c r="A808" s="189"/>
      <c r="B808" s="190"/>
      <c r="C808" s="191"/>
      <c r="D808" s="192"/>
      <c r="E808" s="193"/>
      <c r="F808" s="193"/>
      <c r="G808" s="194" t="str">
        <f t="shared" si="55"/>
        <v/>
      </c>
      <c r="H808" s="195" t="str">
        <f t="shared" si="56"/>
        <v/>
      </c>
      <c r="I808" s="192"/>
      <c r="J808" s="196"/>
      <c r="K808" s="192"/>
      <c r="L808" s="324"/>
      <c r="M808" s="192">
        <f t="shared" si="58"/>
        <v>0</v>
      </c>
    </row>
    <row r="809" ht="22.5" hidden="1" customHeight="1">
      <c r="A809" s="189"/>
      <c r="B809" s="190"/>
      <c r="C809" s="191"/>
      <c r="D809" s="192"/>
      <c r="E809" s="193"/>
      <c r="F809" s="193"/>
      <c r="G809" s="194" t="str">
        <f t="shared" si="55"/>
        <v/>
      </c>
      <c r="H809" s="195" t="str">
        <f t="shared" si="56"/>
        <v/>
      </c>
      <c r="I809" s="192"/>
      <c r="J809" s="196"/>
      <c r="K809" s="192"/>
      <c r="L809" s="324"/>
      <c r="M809" s="192">
        <f t="shared" si="58"/>
        <v>0</v>
      </c>
    </row>
    <row r="810" ht="22.5" hidden="1" customHeight="1">
      <c r="A810" s="189"/>
      <c r="B810" s="190"/>
      <c r="C810" s="191"/>
      <c r="D810" s="192"/>
      <c r="E810" s="193"/>
      <c r="F810" s="193"/>
      <c r="G810" s="194" t="str">
        <f t="shared" si="55"/>
        <v/>
      </c>
      <c r="H810" s="195" t="str">
        <f t="shared" si="56"/>
        <v/>
      </c>
      <c r="I810" s="192"/>
      <c r="J810" s="196"/>
      <c r="K810" s="192"/>
      <c r="L810" s="324"/>
      <c r="M810" s="192">
        <f t="shared" si="58"/>
        <v>0</v>
      </c>
    </row>
    <row r="811" ht="22.5" hidden="1" customHeight="1">
      <c r="A811" s="189"/>
      <c r="B811" s="190"/>
      <c r="C811" s="191"/>
      <c r="D811" s="192"/>
      <c r="E811" s="193"/>
      <c r="F811" s="193"/>
      <c r="G811" s="194" t="str">
        <f t="shared" si="55"/>
        <v/>
      </c>
      <c r="H811" s="195" t="str">
        <f t="shared" si="56"/>
        <v/>
      </c>
      <c r="I811" s="192"/>
      <c r="J811" s="196"/>
      <c r="K811" s="192"/>
      <c r="L811" s="324"/>
      <c r="M811" s="192">
        <f t="shared" si="58"/>
        <v>0</v>
      </c>
    </row>
    <row r="812" ht="22.5" hidden="1" customHeight="1">
      <c r="A812" s="189"/>
      <c r="B812" s="190"/>
      <c r="C812" s="191"/>
      <c r="D812" s="192"/>
      <c r="E812" s="193"/>
      <c r="F812" s="193"/>
      <c r="G812" s="194" t="str">
        <f t="shared" si="55"/>
        <v/>
      </c>
      <c r="H812" s="195" t="str">
        <f t="shared" si="56"/>
        <v/>
      </c>
      <c r="I812" s="192"/>
      <c r="J812" s="196"/>
      <c r="K812" s="192"/>
      <c r="L812" s="324"/>
      <c r="M812" s="192">
        <f t="shared" si="58"/>
        <v>0</v>
      </c>
    </row>
    <row r="813" ht="22.5" hidden="1" customHeight="1">
      <c r="A813" s="189"/>
      <c r="B813" s="190"/>
      <c r="C813" s="191"/>
      <c r="D813" s="192"/>
      <c r="E813" s="193"/>
      <c r="F813" s="193"/>
      <c r="G813" s="194" t="str">
        <f t="shared" si="55"/>
        <v/>
      </c>
      <c r="H813" s="195" t="str">
        <f t="shared" si="56"/>
        <v/>
      </c>
      <c r="I813" s="192"/>
      <c r="J813" s="196"/>
      <c r="K813" s="192"/>
      <c r="L813" s="324"/>
      <c r="M813" s="192">
        <f t="shared" si="58"/>
        <v>0</v>
      </c>
    </row>
    <row r="814" ht="22.5" hidden="1" customHeight="1">
      <c r="A814" s="189"/>
      <c r="B814" s="190"/>
      <c r="C814" s="191"/>
      <c r="D814" s="192"/>
      <c r="E814" s="193"/>
      <c r="F814" s="193"/>
      <c r="G814" s="194" t="str">
        <f t="shared" si="55"/>
        <v/>
      </c>
      <c r="H814" s="195" t="str">
        <f t="shared" si="56"/>
        <v/>
      </c>
      <c r="I814" s="192"/>
      <c r="J814" s="196"/>
      <c r="K814" s="192"/>
      <c r="L814" s="324"/>
      <c r="M814" s="192">
        <f t="shared" si="58"/>
        <v>0</v>
      </c>
    </row>
    <row r="815" ht="22.5" hidden="1" customHeight="1">
      <c r="A815" s="189"/>
      <c r="B815" s="190"/>
      <c r="C815" s="191"/>
      <c r="D815" s="192"/>
      <c r="E815" s="193"/>
      <c r="F815" s="193"/>
      <c r="G815" s="194" t="str">
        <f t="shared" si="55"/>
        <v/>
      </c>
      <c r="H815" s="195" t="str">
        <f t="shared" si="56"/>
        <v/>
      </c>
      <c r="I815" s="192"/>
      <c r="J815" s="196"/>
      <c r="K815" s="192"/>
      <c r="L815" s="324"/>
      <c r="M815" s="192">
        <f t="shared" si="58"/>
        <v>0</v>
      </c>
    </row>
    <row r="816" ht="22.5" hidden="1" customHeight="1">
      <c r="A816" s="189"/>
      <c r="B816" s="190"/>
      <c r="C816" s="191"/>
      <c r="D816" s="192"/>
      <c r="E816" s="193"/>
      <c r="F816" s="193"/>
      <c r="G816" s="194" t="str">
        <f t="shared" si="55"/>
        <v/>
      </c>
      <c r="H816" s="195" t="str">
        <f t="shared" si="56"/>
        <v/>
      </c>
      <c r="I816" s="192"/>
      <c r="J816" s="196"/>
      <c r="K816" s="192"/>
      <c r="L816" s="324"/>
      <c r="M816" s="192">
        <f t="shared" si="58"/>
        <v>0</v>
      </c>
    </row>
    <row r="817" ht="22.5" hidden="1" customHeight="1">
      <c r="A817" s="189"/>
      <c r="B817" s="190"/>
      <c r="C817" s="191"/>
      <c r="D817" s="192"/>
      <c r="E817" s="193"/>
      <c r="F817" s="193"/>
      <c r="G817" s="194" t="str">
        <f t="shared" si="55"/>
        <v/>
      </c>
      <c r="H817" s="195" t="str">
        <f t="shared" si="56"/>
        <v/>
      </c>
      <c r="I817" s="192"/>
      <c r="J817" s="196"/>
      <c r="K817" s="192"/>
      <c r="L817" s="324"/>
      <c r="M817" s="192">
        <f t="shared" si="58"/>
        <v>0</v>
      </c>
    </row>
    <row r="818" ht="22.5" hidden="1" customHeight="1">
      <c r="A818" s="189"/>
      <c r="B818" s="190"/>
      <c r="C818" s="191"/>
      <c r="D818" s="192"/>
      <c r="E818" s="193"/>
      <c r="F818" s="193"/>
      <c r="G818" s="194" t="str">
        <f t="shared" si="55"/>
        <v/>
      </c>
      <c r="H818" s="195" t="str">
        <f t="shared" si="56"/>
        <v/>
      </c>
      <c r="I818" s="192"/>
      <c r="J818" s="196"/>
      <c r="K818" s="192"/>
      <c r="L818" s="324"/>
      <c r="M818" s="192">
        <f t="shared" si="58"/>
        <v>0</v>
      </c>
    </row>
    <row r="819" ht="22.5" hidden="1" customHeight="1">
      <c r="A819" s="189"/>
      <c r="B819" s="190"/>
      <c r="C819" s="191"/>
      <c r="D819" s="192"/>
      <c r="E819" s="193"/>
      <c r="F819" s="193"/>
      <c r="G819" s="194" t="str">
        <f t="shared" si="55"/>
        <v/>
      </c>
      <c r="H819" s="195" t="str">
        <f t="shared" si="56"/>
        <v/>
      </c>
      <c r="I819" s="192"/>
      <c r="J819" s="196"/>
      <c r="K819" s="192"/>
      <c r="L819" s="324"/>
      <c r="M819" s="192">
        <f t="shared" si="58"/>
        <v>0</v>
      </c>
    </row>
    <row r="820" ht="22.5" hidden="1" customHeight="1">
      <c r="A820" s="189"/>
      <c r="B820" s="190"/>
      <c r="C820" s="191"/>
      <c r="D820" s="192"/>
      <c r="E820" s="193"/>
      <c r="F820" s="193"/>
      <c r="G820" s="194" t="str">
        <f t="shared" si="55"/>
        <v/>
      </c>
      <c r="H820" s="195" t="str">
        <f t="shared" si="56"/>
        <v/>
      </c>
      <c r="I820" s="192"/>
      <c r="J820" s="196"/>
      <c r="K820" s="192"/>
      <c r="L820" s="324"/>
      <c r="M820" s="192">
        <f t="shared" si="58"/>
        <v>0</v>
      </c>
    </row>
    <row r="821" ht="22.5" hidden="1" customHeight="1">
      <c r="A821" s="189"/>
      <c r="B821" s="190"/>
      <c r="C821" s="191"/>
      <c r="D821" s="192"/>
      <c r="E821" s="193"/>
      <c r="F821" s="193"/>
      <c r="G821" s="194" t="str">
        <f t="shared" si="55"/>
        <v/>
      </c>
      <c r="H821" s="195" t="str">
        <f t="shared" si="56"/>
        <v/>
      </c>
      <c r="I821" s="192"/>
      <c r="J821" s="196"/>
      <c r="K821" s="192"/>
      <c r="L821" s="324"/>
      <c r="M821" s="192">
        <f t="shared" si="58"/>
        <v>0</v>
      </c>
    </row>
    <row r="822" ht="22.5" hidden="1" customHeight="1">
      <c r="A822" s="189"/>
      <c r="B822" s="190"/>
      <c r="C822" s="191"/>
      <c r="D822" s="192"/>
      <c r="E822" s="193"/>
      <c r="F822" s="193"/>
      <c r="G822" s="194" t="str">
        <f t="shared" si="55"/>
        <v/>
      </c>
      <c r="H822" s="195" t="str">
        <f t="shared" si="56"/>
        <v/>
      </c>
      <c r="I822" s="192"/>
      <c r="J822" s="196"/>
      <c r="K822" s="192"/>
      <c r="L822" s="324"/>
      <c r="M822" s="192">
        <f t="shared" si="58"/>
        <v>0</v>
      </c>
    </row>
    <row r="823" ht="22.5" hidden="1" customHeight="1">
      <c r="A823" s="189"/>
      <c r="B823" s="190"/>
      <c r="C823" s="191"/>
      <c r="D823" s="192"/>
      <c r="E823" s="193"/>
      <c r="F823" s="193"/>
      <c r="G823" s="194" t="str">
        <f t="shared" si="55"/>
        <v/>
      </c>
      <c r="H823" s="195" t="str">
        <f t="shared" si="56"/>
        <v/>
      </c>
      <c r="I823" s="192"/>
      <c r="J823" s="196"/>
      <c r="K823" s="192"/>
      <c r="L823" s="324"/>
      <c r="M823" s="192">
        <f t="shared" si="58"/>
        <v>0</v>
      </c>
    </row>
    <row r="824" ht="22.5" hidden="1" customHeight="1">
      <c r="A824" s="189"/>
      <c r="B824" s="190"/>
      <c r="C824" s="191"/>
      <c r="D824" s="192"/>
      <c r="E824" s="193"/>
      <c r="F824" s="193"/>
      <c r="G824" s="194" t="str">
        <f t="shared" si="55"/>
        <v/>
      </c>
      <c r="H824" s="195" t="str">
        <f t="shared" si="56"/>
        <v/>
      </c>
      <c r="I824" s="192"/>
      <c r="J824" s="196"/>
      <c r="K824" s="192"/>
      <c r="L824" s="324"/>
      <c r="M824" s="192">
        <f t="shared" si="58"/>
        <v>0</v>
      </c>
    </row>
    <row r="825" ht="22.5" hidden="1" customHeight="1">
      <c r="A825" s="189"/>
      <c r="B825" s="190"/>
      <c r="C825" s="191"/>
      <c r="D825" s="192"/>
      <c r="E825" s="193"/>
      <c r="F825" s="193"/>
      <c r="G825" s="194" t="str">
        <f t="shared" si="55"/>
        <v/>
      </c>
      <c r="H825" s="195" t="str">
        <f t="shared" si="56"/>
        <v/>
      </c>
      <c r="I825" s="192"/>
      <c r="J825" s="196"/>
      <c r="K825" s="192"/>
      <c r="L825" s="324"/>
      <c r="M825" s="192">
        <f t="shared" si="58"/>
        <v>0</v>
      </c>
    </row>
    <row r="826" ht="22.5" hidden="1" customHeight="1">
      <c r="A826" s="189"/>
      <c r="B826" s="190"/>
      <c r="C826" s="191"/>
      <c r="D826" s="192"/>
      <c r="E826" s="193"/>
      <c r="F826" s="193"/>
      <c r="G826" s="194" t="str">
        <f t="shared" si="55"/>
        <v/>
      </c>
      <c r="H826" s="195" t="str">
        <f t="shared" si="56"/>
        <v/>
      </c>
      <c r="I826" s="192"/>
      <c r="J826" s="196"/>
      <c r="K826" s="192"/>
      <c r="L826" s="324"/>
      <c r="M826" s="192">
        <f t="shared" si="58"/>
        <v>0</v>
      </c>
    </row>
    <row r="827" ht="22.5" hidden="1" customHeight="1">
      <c r="A827" s="189"/>
      <c r="B827" s="190"/>
      <c r="C827" s="191"/>
      <c r="D827" s="192"/>
      <c r="E827" s="193"/>
      <c r="F827" s="193"/>
      <c r="G827" s="194" t="str">
        <f t="shared" si="55"/>
        <v/>
      </c>
      <c r="H827" s="195" t="str">
        <f t="shared" si="56"/>
        <v/>
      </c>
      <c r="I827" s="192"/>
      <c r="J827" s="196"/>
      <c r="K827" s="192"/>
      <c r="L827" s="324"/>
      <c r="M827" s="192">
        <f t="shared" si="58"/>
        <v>0</v>
      </c>
    </row>
    <row r="828" ht="22.5" hidden="1" customHeight="1">
      <c r="A828" s="189"/>
      <c r="B828" s="190"/>
      <c r="C828" s="191"/>
      <c r="D828" s="192"/>
      <c r="E828" s="193"/>
      <c r="F828" s="193"/>
      <c r="G828" s="194" t="str">
        <f t="shared" si="55"/>
        <v/>
      </c>
      <c r="H828" s="195" t="str">
        <f t="shared" si="56"/>
        <v/>
      </c>
      <c r="I828" s="192"/>
      <c r="J828" s="196"/>
      <c r="K828" s="192"/>
      <c r="L828" s="324"/>
      <c r="M828" s="192">
        <f t="shared" si="58"/>
        <v>0</v>
      </c>
    </row>
    <row r="829" ht="22.5" hidden="1" customHeight="1">
      <c r="A829" s="189"/>
      <c r="B829" s="190"/>
      <c r="C829" s="191"/>
      <c r="D829" s="192"/>
      <c r="E829" s="193"/>
      <c r="F829" s="193"/>
      <c r="G829" s="194" t="str">
        <f t="shared" si="55"/>
        <v/>
      </c>
      <c r="H829" s="195" t="str">
        <f t="shared" si="56"/>
        <v/>
      </c>
      <c r="I829" s="192"/>
      <c r="J829" s="196"/>
      <c r="K829" s="192"/>
      <c r="L829" s="324"/>
      <c r="M829" s="192">
        <f t="shared" si="58"/>
        <v>0</v>
      </c>
    </row>
    <row r="830" ht="22.5" hidden="1" customHeight="1">
      <c r="A830" s="189"/>
      <c r="B830" s="190"/>
      <c r="C830" s="191"/>
      <c r="D830" s="192"/>
      <c r="E830" s="193"/>
      <c r="F830" s="193"/>
      <c r="G830" s="194" t="str">
        <f t="shared" si="55"/>
        <v/>
      </c>
      <c r="H830" s="195" t="str">
        <f t="shared" si="56"/>
        <v/>
      </c>
      <c r="I830" s="192"/>
      <c r="J830" s="196"/>
      <c r="K830" s="192"/>
      <c r="L830" s="324"/>
      <c r="M830" s="192">
        <f t="shared" si="58"/>
        <v>0</v>
      </c>
    </row>
    <row r="831" ht="22.5" hidden="1" customHeight="1">
      <c r="A831" s="189"/>
      <c r="B831" s="190"/>
      <c r="C831" s="191"/>
      <c r="D831" s="192"/>
      <c r="E831" s="193"/>
      <c r="F831" s="193"/>
      <c r="G831" s="194" t="str">
        <f t="shared" si="55"/>
        <v/>
      </c>
      <c r="H831" s="195" t="str">
        <f t="shared" si="56"/>
        <v/>
      </c>
      <c r="I831" s="192"/>
      <c r="J831" s="196"/>
      <c r="K831" s="192"/>
      <c r="L831" s="324"/>
      <c r="M831" s="192">
        <f t="shared" si="58"/>
        <v>0</v>
      </c>
    </row>
    <row r="832" ht="22.5" hidden="1" customHeight="1">
      <c r="A832" s="189"/>
      <c r="B832" s="190"/>
      <c r="C832" s="191"/>
      <c r="D832" s="192"/>
      <c r="E832" s="193"/>
      <c r="F832" s="193"/>
      <c r="G832" s="194" t="str">
        <f t="shared" si="55"/>
        <v/>
      </c>
      <c r="H832" s="195" t="str">
        <f t="shared" si="56"/>
        <v/>
      </c>
      <c r="I832" s="192"/>
      <c r="J832" s="196"/>
      <c r="K832" s="192"/>
      <c r="L832" s="324"/>
      <c r="M832" s="192">
        <f t="shared" si="58"/>
        <v>0</v>
      </c>
    </row>
    <row r="833" ht="22.5" hidden="1" customHeight="1">
      <c r="A833" s="189"/>
      <c r="B833" s="190"/>
      <c r="C833" s="191"/>
      <c r="D833" s="192"/>
      <c r="E833" s="193"/>
      <c r="F833" s="193"/>
      <c r="G833" s="194" t="str">
        <f t="shared" si="55"/>
        <v/>
      </c>
      <c r="H833" s="195" t="str">
        <f t="shared" si="56"/>
        <v/>
      </c>
      <c r="I833" s="192"/>
      <c r="J833" s="196"/>
      <c r="K833" s="192"/>
      <c r="L833" s="324"/>
      <c r="M833" s="192">
        <f t="shared" si="58"/>
        <v>0</v>
      </c>
    </row>
    <row r="834" ht="22.5" hidden="1" customHeight="1">
      <c r="A834" s="189"/>
      <c r="B834" s="190"/>
      <c r="C834" s="191"/>
      <c r="D834" s="192"/>
      <c r="E834" s="193"/>
      <c r="F834" s="193"/>
      <c r="G834" s="194" t="str">
        <f t="shared" si="55"/>
        <v/>
      </c>
      <c r="H834" s="195" t="str">
        <f t="shared" si="56"/>
        <v/>
      </c>
      <c r="I834" s="192"/>
      <c r="J834" s="196"/>
      <c r="K834" s="192"/>
      <c r="L834" s="324"/>
      <c r="M834" s="192">
        <f t="shared" si="58"/>
        <v>0</v>
      </c>
    </row>
    <row r="835" ht="22.5" hidden="1" customHeight="1">
      <c r="A835" s="189"/>
      <c r="B835" s="190"/>
      <c r="C835" s="191"/>
      <c r="D835" s="192"/>
      <c r="E835" s="193"/>
      <c r="F835" s="193"/>
      <c r="G835" s="194" t="str">
        <f t="shared" si="55"/>
        <v/>
      </c>
      <c r="H835" s="195" t="str">
        <f t="shared" si="56"/>
        <v/>
      </c>
      <c r="I835" s="192"/>
      <c r="J835" s="196"/>
      <c r="K835" s="192"/>
      <c r="L835" s="324"/>
      <c r="M835" s="192">
        <f t="shared" si="58"/>
        <v>0</v>
      </c>
    </row>
    <row r="836" ht="22.5" hidden="1" customHeight="1">
      <c r="A836" s="189"/>
      <c r="B836" s="190"/>
      <c r="C836" s="191"/>
      <c r="D836" s="192"/>
      <c r="E836" s="193"/>
      <c r="F836" s="193"/>
      <c r="G836" s="194" t="str">
        <f t="shared" si="55"/>
        <v/>
      </c>
      <c r="H836" s="195" t="str">
        <f t="shared" si="56"/>
        <v/>
      </c>
      <c r="I836" s="192"/>
      <c r="J836" s="196"/>
      <c r="K836" s="192"/>
      <c r="L836" s="324"/>
      <c r="M836" s="192">
        <f t="shared" si="58"/>
        <v>0</v>
      </c>
    </row>
    <row r="837" ht="22.5" hidden="1" customHeight="1">
      <c r="A837" s="189"/>
      <c r="B837" s="190"/>
      <c r="C837" s="191"/>
      <c r="D837" s="192"/>
      <c r="E837" s="193"/>
      <c r="F837" s="193"/>
      <c r="G837" s="194" t="str">
        <f t="shared" si="55"/>
        <v/>
      </c>
      <c r="H837" s="195" t="str">
        <f t="shared" si="56"/>
        <v/>
      </c>
      <c r="I837" s="192"/>
      <c r="J837" s="196"/>
      <c r="K837" s="192"/>
      <c r="L837" s="324"/>
      <c r="M837" s="192">
        <f t="shared" si="58"/>
        <v>0</v>
      </c>
    </row>
    <row r="838" ht="22.5" hidden="1" customHeight="1">
      <c r="A838" s="189"/>
      <c r="B838" s="190"/>
      <c r="C838" s="191"/>
      <c r="D838" s="192"/>
      <c r="E838" s="193"/>
      <c r="F838" s="193"/>
      <c r="G838" s="194" t="str">
        <f t="shared" si="55"/>
        <v/>
      </c>
      <c r="H838" s="195" t="str">
        <f t="shared" si="56"/>
        <v/>
      </c>
      <c r="I838" s="192"/>
      <c r="J838" s="196"/>
      <c r="K838" s="192"/>
      <c r="L838" s="324"/>
      <c r="M838" s="192">
        <f t="shared" si="58"/>
        <v>0</v>
      </c>
    </row>
    <row r="839" ht="22.5" hidden="1" customHeight="1">
      <c r="A839" s="189"/>
      <c r="B839" s="190"/>
      <c r="C839" s="191"/>
      <c r="D839" s="192"/>
      <c r="E839" s="193"/>
      <c r="F839" s="193"/>
      <c r="G839" s="194" t="str">
        <f t="shared" si="55"/>
        <v/>
      </c>
      <c r="H839" s="195" t="str">
        <f t="shared" si="56"/>
        <v/>
      </c>
      <c r="I839" s="192"/>
      <c r="J839" s="196"/>
      <c r="K839" s="192"/>
      <c r="L839" s="324"/>
      <c r="M839" s="192">
        <f t="shared" si="58"/>
        <v>0</v>
      </c>
    </row>
    <row r="840" ht="22.5" hidden="1" customHeight="1">
      <c r="A840" s="189"/>
      <c r="B840" s="190"/>
      <c r="C840" s="191"/>
      <c r="D840" s="192"/>
      <c r="E840" s="193"/>
      <c r="F840" s="193"/>
      <c r="G840" s="194" t="str">
        <f t="shared" si="55"/>
        <v/>
      </c>
      <c r="H840" s="195" t="str">
        <f t="shared" si="56"/>
        <v/>
      </c>
      <c r="I840" s="192"/>
      <c r="J840" s="196"/>
      <c r="K840" s="192"/>
      <c r="L840" s="324"/>
      <c r="M840" s="192">
        <f t="shared" si="58"/>
        <v>0</v>
      </c>
    </row>
    <row r="841" ht="22.5" hidden="1" customHeight="1">
      <c r="A841" s="189"/>
      <c r="B841" s="190"/>
      <c r="C841" s="191"/>
      <c r="D841" s="192"/>
      <c r="E841" s="193"/>
      <c r="F841" s="193"/>
      <c r="G841" s="194" t="str">
        <f t="shared" si="55"/>
        <v/>
      </c>
      <c r="H841" s="195" t="str">
        <f t="shared" si="56"/>
        <v/>
      </c>
      <c r="I841" s="192"/>
      <c r="J841" s="196"/>
      <c r="K841" s="192"/>
      <c r="L841" s="324"/>
      <c r="M841" s="192">
        <f t="shared" si="58"/>
        <v>0</v>
      </c>
    </row>
    <row r="842" ht="22.5" hidden="1" customHeight="1">
      <c r="A842" s="189"/>
      <c r="B842" s="190"/>
      <c r="C842" s="191"/>
      <c r="D842" s="192"/>
      <c r="E842" s="193"/>
      <c r="F842" s="193"/>
      <c r="G842" s="194" t="str">
        <f t="shared" si="55"/>
        <v/>
      </c>
      <c r="H842" s="195" t="str">
        <f t="shared" si="56"/>
        <v/>
      </c>
      <c r="I842" s="192"/>
      <c r="J842" s="196"/>
      <c r="K842" s="192"/>
      <c r="L842" s="324"/>
      <c r="M842" s="192">
        <f t="shared" si="58"/>
        <v>0</v>
      </c>
    </row>
    <row r="843" ht="22.5" hidden="1" customHeight="1">
      <c r="A843" s="189"/>
      <c r="B843" s="190"/>
      <c r="C843" s="191"/>
      <c r="D843" s="192"/>
      <c r="E843" s="193"/>
      <c r="F843" s="193"/>
      <c r="G843" s="194" t="str">
        <f t="shared" si="55"/>
        <v/>
      </c>
      <c r="H843" s="195" t="str">
        <f t="shared" si="56"/>
        <v/>
      </c>
      <c r="I843" s="192"/>
      <c r="J843" s="196"/>
      <c r="K843" s="192"/>
      <c r="L843" s="324"/>
      <c r="M843" s="192">
        <f t="shared" si="58"/>
        <v>0</v>
      </c>
    </row>
    <row r="844" ht="22.5" hidden="1" customHeight="1">
      <c r="A844" s="189"/>
      <c r="B844" s="190"/>
      <c r="C844" s="191"/>
      <c r="D844" s="192"/>
      <c r="E844" s="193"/>
      <c r="F844" s="193"/>
      <c r="G844" s="194" t="str">
        <f t="shared" si="55"/>
        <v/>
      </c>
      <c r="H844" s="195" t="str">
        <f t="shared" si="56"/>
        <v/>
      </c>
      <c r="I844" s="192"/>
      <c r="J844" s="196"/>
      <c r="K844" s="192"/>
      <c r="L844" s="324"/>
      <c r="M844" s="192">
        <f t="shared" si="58"/>
        <v>0</v>
      </c>
    </row>
    <row r="845" ht="22.5" hidden="1" customHeight="1">
      <c r="A845" s="189"/>
      <c r="B845" s="190"/>
      <c r="C845" s="191"/>
      <c r="D845" s="192"/>
      <c r="E845" s="193"/>
      <c r="F845" s="193"/>
      <c r="G845" s="194" t="str">
        <f t="shared" si="55"/>
        <v/>
      </c>
      <c r="H845" s="195" t="str">
        <f t="shared" si="56"/>
        <v/>
      </c>
      <c r="I845" s="192"/>
      <c r="J845" s="196"/>
      <c r="K845" s="192"/>
      <c r="L845" s="324"/>
      <c r="M845" s="192">
        <f t="shared" si="58"/>
        <v>0</v>
      </c>
    </row>
    <row r="846" ht="22.5" hidden="1" customHeight="1">
      <c r="A846" s="189"/>
      <c r="B846" s="190"/>
      <c r="C846" s="191"/>
      <c r="D846" s="192"/>
      <c r="E846" s="193"/>
      <c r="F846" s="193"/>
      <c r="G846" s="194" t="str">
        <f t="shared" si="55"/>
        <v/>
      </c>
      <c r="H846" s="195" t="str">
        <f t="shared" si="56"/>
        <v/>
      </c>
      <c r="I846" s="192"/>
      <c r="J846" s="196"/>
      <c r="K846" s="192"/>
      <c r="L846" s="324"/>
      <c r="M846" s="192">
        <f t="shared" si="58"/>
        <v>0</v>
      </c>
    </row>
    <row r="847" ht="22.5" hidden="1" customHeight="1">
      <c r="A847" s="189"/>
      <c r="B847" s="190"/>
      <c r="C847" s="191"/>
      <c r="D847" s="192"/>
      <c r="E847" s="193"/>
      <c r="F847" s="193"/>
      <c r="G847" s="194" t="str">
        <f t="shared" si="55"/>
        <v/>
      </c>
      <c r="H847" s="195" t="str">
        <f t="shared" si="56"/>
        <v/>
      </c>
      <c r="I847" s="192"/>
      <c r="J847" s="196"/>
      <c r="K847" s="192"/>
      <c r="L847" s="324"/>
      <c r="M847" s="192">
        <f t="shared" si="58"/>
        <v>0</v>
      </c>
    </row>
    <row r="848" ht="22.5" hidden="1" customHeight="1">
      <c r="A848" s="189"/>
      <c r="B848" s="190"/>
      <c r="C848" s="191"/>
      <c r="D848" s="192"/>
      <c r="E848" s="193"/>
      <c r="F848" s="193"/>
      <c r="G848" s="194" t="str">
        <f t="shared" si="55"/>
        <v/>
      </c>
      <c r="H848" s="195" t="str">
        <f t="shared" si="56"/>
        <v/>
      </c>
      <c r="I848" s="192"/>
      <c r="J848" s="196"/>
      <c r="K848" s="192"/>
      <c r="L848" s="324"/>
      <c r="M848" s="192">
        <f t="shared" si="58"/>
        <v>0</v>
      </c>
    </row>
    <row r="849" ht="22.5" hidden="1" customHeight="1">
      <c r="A849" s="189"/>
      <c r="B849" s="190"/>
      <c r="C849" s="191"/>
      <c r="D849" s="192"/>
      <c r="E849" s="193"/>
      <c r="F849" s="193"/>
      <c r="G849" s="194" t="str">
        <f t="shared" si="55"/>
        <v/>
      </c>
      <c r="H849" s="195" t="str">
        <f t="shared" si="56"/>
        <v/>
      </c>
      <c r="I849" s="192"/>
      <c r="J849" s="196"/>
      <c r="K849" s="192"/>
      <c r="L849" s="324"/>
      <c r="M849" s="192">
        <f t="shared" si="58"/>
        <v>0</v>
      </c>
    </row>
    <row r="850" ht="22.5" hidden="1" customHeight="1">
      <c r="A850" s="189"/>
      <c r="B850" s="190"/>
      <c r="C850" s="191"/>
      <c r="D850" s="192"/>
      <c r="E850" s="193"/>
      <c r="F850" s="193"/>
      <c r="G850" s="194" t="str">
        <f t="shared" si="55"/>
        <v/>
      </c>
      <c r="H850" s="195" t="str">
        <f t="shared" si="56"/>
        <v/>
      </c>
      <c r="I850" s="192"/>
      <c r="J850" s="196"/>
      <c r="K850" s="192"/>
      <c r="L850" s="324"/>
      <c r="M850" s="192">
        <f t="shared" si="58"/>
        <v>0</v>
      </c>
    </row>
    <row r="851" ht="22.5" hidden="1" customHeight="1">
      <c r="A851" s="189"/>
      <c r="B851" s="190"/>
      <c r="C851" s="191"/>
      <c r="D851" s="192"/>
      <c r="E851" s="193"/>
      <c r="F851" s="193"/>
      <c r="G851" s="194" t="str">
        <f t="shared" si="55"/>
        <v/>
      </c>
      <c r="H851" s="195" t="str">
        <f t="shared" si="56"/>
        <v/>
      </c>
      <c r="I851" s="192"/>
      <c r="J851" s="196"/>
      <c r="K851" s="192"/>
      <c r="L851" s="324"/>
      <c r="M851" s="192">
        <f t="shared" si="58"/>
        <v>0</v>
      </c>
    </row>
    <row r="852" ht="22.5" hidden="1" customHeight="1">
      <c r="A852" s="189"/>
      <c r="B852" s="190"/>
      <c r="C852" s="191"/>
      <c r="D852" s="192"/>
      <c r="E852" s="193"/>
      <c r="F852" s="193"/>
      <c r="G852" s="194" t="str">
        <f t="shared" si="55"/>
        <v/>
      </c>
      <c r="H852" s="195" t="str">
        <f t="shared" si="56"/>
        <v/>
      </c>
      <c r="I852" s="192"/>
      <c r="J852" s="196"/>
      <c r="K852" s="192"/>
      <c r="L852" s="324"/>
      <c r="M852" s="192">
        <f t="shared" si="58"/>
        <v>0</v>
      </c>
    </row>
    <row r="853" ht="22.5" hidden="1" customHeight="1">
      <c r="A853" s="189"/>
      <c r="B853" s="190"/>
      <c r="C853" s="191"/>
      <c r="D853" s="192"/>
      <c r="E853" s="193"/>
      <c r="F853" s="193"/>
      <c r="G853" s="194" t="str">
        <f t="shared" si="55"/>
        <v/>
      </c>
      <c r="H853" s="195" t="str">
        <f t="shared" si="56"/>
        <v/>
      </c>
      <c r="I853" s="192"/>
      <c r="J853" s="196"/>
      <c r="K853" s="192"/>
      <c r="L853" s="324"/>
      <c r="M853" s="192">
        <f t="shared" si="58"/>
        <v>0</v>
      </c>
    </row>
    <row r="854" ht="22.5" hidden="1" customHeight="1">
      <c r="A854" s="189"/>
      <c r="B854" s="190"/>
      <c r="C854" s="191"/>
      <c r="D854" s="192"/>
      <c r="E854" s="193"/>
      <c r="F854" s="193"/>
      <c r="G854" s="194" t="str">
        <f t="shared" si="55"/>
        <v/>
      </c>
      <c r="H854" s="195" t="str">
        <f t="shared" si="56"/>
        <v/>
      </c>
      <c r="I854" s="192"/>
      <c r="J854" s="196"/>
      <c r="K854" s="192"/>
      <c r="L854" s="324"/>
      <c r="M854" s="192">
        <f t="shared" si="58"/>
        <v>0</v>
      </c>
    </row>
    <row r="855" ht="22.5" hidden="1" customHeight="1">
      <c r="A855" s="189"/>
      <c r="B855" s="190"/>
      <c r="C855" s="191"/>
      <c r="D855" s="192"/>
      <c r="E855" s="193"/>
      <c r="F855" s="193"/>
      <c r="G855" s="194" t="str">
        <f t="shared" si="55"/>
        <v/>
      </c>
      <c r="H855" s="195" t="str">
        <f t="shared" si="56"/>
        <v/>
      </c>
      <c r="I855" s="192"/>
      <c r="J855" s="196"/>
      <c r="K855" s="192"/>
      <c r="L855" s="324"/>
      <c r="M855" s="192">
        <f t="shared" si="58"/>
        <v>0</v>
      </c>
    </row>
    <row r="856" ht="22.5" hidden="1" customHeight="1">
      <c r="A856" s="189"/>
      <c r="B856" s="190"/>
      <c r="C856" s="191"/>
      <c r="D856" s="192"/>
      <c r="E856" s="193"/>
      <c r="F856" s="193"/>
      <c r="G856" s="194" t="str">
        <f t="shared" si="55"/>
        <v/>
      </c>
      <c r="H856" s="195" t="str">
        <f t="shared" si="56"/>
        <v/>
      </c>
      <c r="I856" s="192"/>
      <c r="J856" s="196"/>
      <c r="K856" s="192"/>
      <c r="L856" s="324"/>
      <c r="M856" s="192">
        <f t="shared" si="58"/>
        <v>0</v>
      </c>
    </row>
    <row r="857" ht="22.5" hidden="1" customHeight="1">
      <c r="A857" s="189"/>
      <c r="B857" s="190"/>
      <c r="C857" s="191"/>
      <c r="D857" s="192"/>
      <c r="E857" s="193"/>
      <c r="F857" s="193"/>
      <c r="G857" s="194" t="str">
        <f t="shared" si="55"/>
        <v/>
      </c>
      <c r="H857" s="195" t="str">
        <f t="shared" si="56"/>
        <v/>
      </c>
      <c r="I857" s="192"/>
      <c r="J857" s="196"/>
      <c r="K857" s="192"/>
      <c r="L857" s="324"/>
      <c r="M857" s="192">
        <f t="shared" si="58"/>
        <v>0</v>
      </c>
    </row>
    <row r="858" ht="22.5" hidden="1" customHeight="1">
      <c r="A858" s="189"/>
      <c r="B858" s="190"/>
      <c r="C858" s="191"/>
      <c r="D858" s="192"/>
      <c r="E858" s="193"/>
      <c r="F858" s="193"/>
      <c r="G858" s="194" t="str">
        <f t="shared" si="55"/>
        <v/>
      </c>
      <c r="H858" s="195" t="str">
        <f t="shared" si="56"/>
        <v/>
      </c>
      <c r="I858" s="192"/>
      <c r="J858" s="196"/>
      <c r="K858" s="192"/>
      <c r="L858" s="324"/>
      <c r="M858" s="192">
        <f t="shared" si="58"/>
        <v>0</v>
      </c>
    </row>
    <row r="859" ht="22.5" hidden="1" customHeight="1">
      <c r="A859" s="189"/>
      <c r="B859" s="190"/>
      <c r="C859" s="191"/>
      <c r="D859" s="192"/>
      <c r="E859" s="193"/>
      <c r="F859" s="193"/>
      <c r="G859" s="194" t="str">
        <f t="shared" si="55"/>
        <v/>
      </c>
      <c r="H859" s="195" t="str">
        <f t="shared" si="56"/>
        <v/>
      </c>
      <c r="I859" s="192"/>
      <c r="J859" s="196"/>
      <c r="K859" s="192"/>
      <c r="L859" s="324"/>
      <c r="M859" s="192">
        <f t="shared" si="58"/>
        <v>0</v>
      </c>
    </row>
    <row r="860" ht="22.5" hidden="1" customHeight="1">
      <c r="A860" s="189"/>
      <c r="B860" s="190"/>
      <c r="C860" s="191"/>
      <c r="D860" s="192"/>
      <c r="E860" s="193"/>
      <c r="F860" s="193"/>
      <c r="G860" s="194" t="str">
        <f t="shared" si="55"/>
        <v/>
      </c>
      <c r="H860" s="195" t="str">
        <f t="shared" si="56"/>
        <v/>
      </c>
      <c r="I860" s="192"/>
      <c r="J860" s="196"/>
      <c r="K860" s="192"/>
      <c r="L860" s="324"/>
      <c r="M860" s="192">
        <f t="shared" si="58"/>
        <v>0</v>
      </c>
    </row>
    <row r="861" ht="22.5" hidden="1" customHeight="1">
      <c r="A861" s="189"/>
      <c r="B861" s="190"/>
      <c r="C861" s="191"/>
      <c r="D861" s="192"/>
      <c r="E861" s="193"/>
      <c r="F861" s="193"/>
      <c r="G861" s="194" t="str">
        <f t="shared" si="55"/>
        <v/>
      </c>
      <c r="H861" s="195" t="str">
        <f t="shared" si="56"/>
        <v/>
      </c>
      <c r="I861" s="192"/>
      <c r="J861" s="196"/>
      <c r="K861" s="192"/>
      <c r="L861" s="324"/>
      <c r="M861" s="192">
        <f t="shared" si="58"/>
        <v>0</v>
      </c>
    </row>
    <row r="862" ht="22.5" hidden="1" customHeight="1">
      <c r="A862" s="189"/>
      <c r="B862" s="190"/>
      <c r="C862" s="191"/>
      <c r="D862" s="192"/>
      <c r="E862" s="193"/>
      <c r="F862" s="193"/>
      <c r="G862" s="194" t="str">
        <f t="shared" si="55"/>
        <v/>
      </c>
      <c r="H862" s="195" t="str">
        <f t="shared" si="56"/>
        <v/>
      </c>
      <c r="I862" s="192"/>
      <c r="J862" s="196"/>
      <c r="K862" s="192"/>
      <c r="L862" s="324"/>
      <c r="M862" s="192">
        <f t="shared" si="58"/>
        <v>0</v>
      </c>
    </row>
    <row r="863" ht="22.5" hidden="1" customHeight="1">
      <c r="A863" s="189"/>
      <c r="B863" s="190"/>
      <c r="C863" s="191"/>
      <c r="D863" s="192"/>
      <c r="E863" s="193"/>
      <c r="F863" s="193"/>
      <c r="G863" s="194" t="str">
        <f t="shared" si="55"/>
        <v/>
      </c>
      <c r="H863" s="195" t="str">
        <f t="shared" si="56"/>
        <v/>
      </c>
      <c r="I863" s="192"/>
      <c r="J863" s="196"/>
      <c r="K863" s="192"/>
      <c r="L863" s="324"/>
      <c r="M863" s="192">
        <f t="shared" si="58"/>
        <v>0</v>
      </c>
    </row>
    <row r="864" ht="22.5" hidden="1" customHeight="1">
      <c r="A864" s="189"/>
      <c r="B864" s="190"/>
      <c r="C864" s="191"/>
      <c r="D864" s="192"/>
      <c r="E864" s="193"/>
      <c r="F864" s="193"/>
      <c r="G864" s="194" t="str">
        <f t="shared" si="55"/>
        <v/>
      </c>
      <c r="H864" s="195" t="str">
        <f t="shared" si="56"/>
        <v/>
      </c>
      <c r="I864" s="192"/>
      <c r="J864" s="196"/>
      <c r="K864" s="192"/>
      <c r="L864" s="324"/>
      <c r="M864" s="192">
        <f t="shared" si="58"/>
        <v>0</v>
      </c>
    </row>
    <row r="865" ht="22.5" hidden="1" customHeight="1">
      <c r="A865" s="189"/>
      <c r="B865" s="190"/>
      <c r="C865" s="191"/>
      <c r="D865" s="192"/>
      <c r="E865" s="193"/>
      <c r="F865" s="193"/>
      <c r="G865" s="194" t="str">
        <f t="shared" si="55"/>
        <v/>
      </c>
      <c r="H865" s="195" t="str">
        <f t="shared" si="56"/>
        <v/>
      </c>
      <c r="I865" s="192"/>
      <c r="J865" s="196"/>
      <c r="K865" s="192"/>
      <c r="L865" s="324"/>
      <c r="M865" s="192">
        <f t="shared" si="58"/>
        <v>0</v>
      </c>
    </row>
    <row r="866" ht="22.5" hidden="1" customHeight="1">
      <c r="A866" s="189"/>
      <c r="B866" s="190"/>
      <c r="C866" s="191"/>
      <c r="D866" s="192"/>
      <c r="E866" s="193"/>
      <c r="F866" s="193"/>
      <c r="G866" s="194" t="str">
        <f t="shared" si="55"/>
        <v/>
      </c>
      <c r="H866" s="195" t="str">
        <f t="shared" si="56"/>
        <v/>
      </c>
      <c r="I866" s="192"/>
      <c r="J866" s="196"/>
      <c r="K866" s="192"/>
      <c r="L866" s="324"/>
      <c r="M866" s="192">
        <f t="shared" si="58"/>
        <v>0</v>
      </c>
    </row>
    <row r="867" ht="22.5" hidden="1" customHeight="1">
      <c r="A867" s="189"/>
      <c r="B867" s="190"/>
      <c r="C867" s="191"/>
      <c r="D867" s="192"/>
      <c r="E867" s="193"/>
      <c r="F867" s="193"/>
      <c r="G867" s="194" t="str">
        <f t="shared" si="55"/>
        <v/>
      </c>
      <c r="H867" s="195" t="str">
        <f t="shared" si="56"/>
        <v/>
      </c>
      <c r="I867" s="192"/>
      <c r="J867" s="196"/>
      <c r="K867" s="192"/>
      <c r="L867" s="324"/>
      <c r="M867" s="192">
        <f t="shared" si="58"/>
        <v>0</v>
      </c>
    </row>
    <row r="868" ht="22.5" hidden="1" customHeight="1">
      <c r="A868" s="189"/>
      <c r="B868" s="190"/>
      <c r="C868" s="191"/>
      <c r="D868" s="192"/>
      <c r="E868" s="193"/>
      <c r="F868" s="193"/>
      <c r="G868" s="194" t="str">
        <f t="shared" si="55"/>
        <v/>
      </c>
      <c r="H868" s="195" t="str">
        <f t="shared" si="56"/>
        <v/>
      </c>
      <c r="I868" s="192"/>
      <c r="J868" s="196"/>
      <c r="K868" s="192"/>
      <c r="L868" s="324"/>
      <c r="M868" s="192">
        <f t="shared" si="58"/>
        <v>0</v>
      </c>
    </row>
    <row r="869" ht="22.5" hidden="1" customHeight="1">
      <c r="A869" s="189"/>
      <c r="B869" s="190"/>
      <c r="C869" s="191"/>
      <c r="D869" s="192"/>
      <c r="E869" s="193"/>
      <c r="F869" s="193"/>
      <c r="G869" s="194" t="str">
        <f t="shared" si="55"/>
        <v/>
      </c>
      <c r="H869" s="195" t="str">
        <f t="shared" si="56"/>
        <v/>
      </c>
      <c r="I869" s="192"/>
      <c r="J869" s="196"/>
      <c r="K869" s="192"/>
      <c r="L869" s="324"/>
      <c r="M869" s="192">
        <f t="shared" si="58"/>
        <v>0</v>
      </c>
    </row>
    <row r="870" ht="22.5" hidden="1" customHeight="1">
      <c r="A870" s="189"/>
      <c r="B870" s="190"/>
      <c r="C870" s="191"/>
      <c r="D870" s="192"/>
      <c r="E870" s="193"/>
      <c r="F870" s="193"/>
      <c r="G870" s="194" t="str">
        <f t="shared" si="55"/>
        <v/>
      </c>
      <c r="H870" s="195" t="str">
        <f t="shared" si="56"/>
        <v/>
      </c>
      <c r="I870" s="192"/>
      <c r="J870" s="196"/>
      <c r="K870" s="192"/>
      <c r="L870" s="324"/>
      <c r="M870" s="192">
        <f t="shared" si="58"/>
        <v>0</v>
      </c>
    </row>
    <row r="871" ht="22.5" hidden="1" customHeight="1">
      <c r="A871" s="189"/>
      <c r="B871" s="190"/>
      <c r="C871" s="191"/>
      <c r="D871" s="192"/>
      <c r="E871" s="193"/>
      <c r="F871" s="193"/>
      <c r="G871" s="194" t="str">
        <f t="shared" si="55"/>
        <v/>
      </c>
      <c r="H871" s="195" t="str">
        <f t="shared" si="56"/>
        <v/>
      </c>
      <c r="I871" s="192"/>
      <c r="J871" s="196"/>
      <c r="K871" s="192"/>
      <c r="L871" s="324"/>
      <c r="M871" s="192">
        <f t="shared" si="58"/>
        <v>0</v>
      </c>
    </row>
    <row r="872" ht="22.5" hidden="1" customHeight="1">
      <c r="A872" s="189"/>
      <c r="B872" s="190"/>
      <c r="C872" s="191"/>
      <c r="D872" s="192"/>
      <c r="E872" s="193"/>
      <c r="F872" s="193"/>
      <c r="G872" s="194" t="str">
        <f t="shared" si="55"/>
        <v/>
      </c>
      <c r="H872" s="195" t="str">
        <f t="shared" si="56"/>
        <v/>
      </c>
      <c r="I872" s="192"/>
      <c r="J872" s="196"/>
      <c r="K872" s="192"/>
      <c r="L872" s="324"/>
      <c r="M872" s="192">
        <f t="shared" si="58"/>
        <v>0</v>
      </c>
    </row>
    <row r="873" ht="22.5" hidden="1" customHeight="1">
      <c r="A873" s="189"/>
      <c r="B873" s="190"/>
      <c r="C873" s="191"/>
      <c r="D873" s="192"/>
      <c r="E873" s="193"/>
      <c r="F873" s="193"/>
      <c r="G873" s="194" t="str">
        <f t="shared" si="55"/>
        <v/>
      </c>
      <c r="H873" s="195" t="str">
        <f t="shared" si="56"/>
        <v/>
      </c>
      <c r="I873" s="192"/>
      <c r="J873" s="196"/>
      <c r="K873" s="192"/>
      <c r="L873" s="324"/>
      <c r="M873" s="192">
        <f t="shared" si="58"/>
        <v>0</v>
      </c>
    </row>
    <row r="874" ht="22.5" hidden="1" customHeight="1">
      <c r="A874" s="189"/>
      <c r="B874" s="190"/>
      <c r="C874" s="191"/>
      <c r="D874" s="192"/>
      <c r="E874" s="193"/>
      <c r="F874" s="193"/>
      <c r="G874" s="194" t="str">
        <f t="shared" si="55"/>
        <v/>
      </c>
      <c r="H874" s="195" t="str">
        <f t="shared" si="56"/>
        <v/>
      </c>
      <c r="I874" s="192"/>
      <c r="J874" s="196"/>
      <c r="K874" s="192"/>
      <c r="L874" s="324"/>
      <c r="M874" s="192">
        <f t="shared" si="58"/>
        <v>0</v>
      </c>
    </row>
    <row r="875" ht="22.5" hidden="1" customHeight="1">
      <c r="A875" s="189"/>
      <c r="B875" s="190"/>
      <c r="C875" s="191"/>
      <c r="D875" s="192"/>
      <c r="E875" s="193"/>
      <c r="F875" s="193"/>
      <c r="G875" s="194" t="str">
        <f t="shared" si="55"/>
        <v/>
      </c>
      <c r="H875" s="195" t="str">
        <f t="shared" si="56"/>
        <v/>
      </c>
      <c r="I875" s="192"/>
      <c r="J875" s="196"/>
      <c r="K875" s="192"/>
      <c r="L875" s="324"/>
      <c r="M875" s="192">
        <f t="shared" si="58"/>
        <v>0</v>
      </c>
    </row>
    <row r="876" ht="22.5" hidden="1" customHeight="1">
      <c r="A876" s="189"/>
      <c r="B876" s="190"/>
      <c r="C876" s="191"/>
      <c r="D876" s="192"/>
      <c r="E876" s="193"/>
      <c r="F876" s="193"/>
      <c r="G876" s="194" t="str">
        <f t="shared" si="55"/>
        <v/>
      </c>
      <c r="H876" s="195" t="str">
        <f t="shared" si="56"/>
        <v/>
      </c>
      <c r="I876" s="192"/>
      <c r="J876" s="196"/>
      <c r="K876" s="192"/>
      <c r="L876" s="324"/>
      <c r="M876" s="192">
        <f t="shared" si="58"/>
        <v>0</v>
      </c>
    </row>
    <row r="877" ht="22.5" hidden="1" customHeight="1">
      <c r="A877" s="189"/>
      <c r="B877" s="190"/>
      <c r="C877" s="191"/>
      <c r="D877" s="192"/>
      <c r="E877" s="193"/>
      <c r="F877" s="193"/>
      <c r="G877" s="194" t="str">
        <f t="shared" si="55"/>
        <v/>
      </c>
      <c r="H877" s="195" t="str">
        <f t="shared" si="56"/>
        <v/>
      </c>
      <c r="I877" s="192"/>
      <c r="J877" s="196"/>
      <c r="K877" s="192"/>
      <c r="L877" s="324"/>
      <c r="M877" s="192">
        <f t="shared" si="58"/>
        <v>0</v>
      </c>
    </row>
    <row r="878" ht="22.5" hidden="1" customHeight="1">
      <c r="A878" s="189"/>
      <c r="B878" s="190"/>
      <c r="C878" s="191"/>
      <c r="D878" s="192"/>
      <c r="E878" s="193"/>
      <c r="F878" s="193"/>
      <c r="G878" s="194" t="str">
        <f t="shared" si="55"/>
        <v/>
      </c>
      <c r="H878" s="195" t="str">
        <f t="shared" si="56"/>
        <v/>
      </c>
      <c r="I878" s="192"/>
      <c r="J878" s="196"/>
      <c r="K878" s="192"/>
      <c r="L878" s="324"/>
      <c r="M878" s="192">
        <f t="shared" si="58"/>
        <v>0</v>
      </c>
    </row>
    <row r="879" ht="22.5" hidden="1" customHeight="1">
      <c r="A879" s="189"/>
      <c r="B879" s="190"/>
      <c r="C879" s="191"/>
      <c r="D879" s="192"/>
      <c r="E879" s="193"/>
      <c r="F879" s="193"/>
      <c r="G879" s="194" t="str">
        <f t="shared" si="55"/>
        <v/>
      </c>
      <c r="H879" s="195" t="str">
        <f t="shared" si="56"/>
        <v/>
      </c>
      <c r="I879" s="192"/>
      <c r="J879" s="196"/>
      <c r="K879" s="192"/>
      <c r="L879" s="324"/>
      <c r="M879" s="192">
        <f t="shared" si="58"/>
        <v>0</v>
      </c>
    </row>
    <row r="880" ht="22.5" hidden="1" customHeight="1">
      <c r="A880" s="189"/>
      <c r="B880" s="190"/>
      <c r="C880" s="191"/>
      <c r="D880" s="192"/>
      <c r="E880" s="193"/>
      <c r="F880" s="193"/>
      <c r="G880" s="194" t="str">
        <f t="shared" si="55"/>
        <v/>
      </c>
      <c r="H880" s="195" t="str">
        <f t="shared" si="56"/>
        <v/>
      </c>
      <c r="I880" s="192"/>
      <c r="J880" s="196"/>
      <c r="K880" s="192"/>
      <c r="L880" s="324"/>
      <c r="M880" s="192">
        <f t="shared" si="58"/>
        <v>0</v>
      </c>
    </row>
    <row r="881" ht="22.5" hidden="1" customHeight="1">
      <c r="A881" s="189"/>
      <c r="B881" s="190"/>
      <c r="C881" s="191"/>
      <c r="D881" s="192"/>
      <c r="E881" s="193"/>
      <c r="F881" s="193"/>
      <c r="G881" s="194" t="str">
        <f t="shared" si="55"/>
        <v/>
      </c>
      <c r="H881" s="195" t="str">
        <f t="shared" si="56"/>
        <v/>
      </c>
      <c r="I881" s="192"/>
      <c r="J881" s="196"/>
      <c r="K881" s="192"/>
      <c r="L881" s="324"/>
      <c r="M881" s="192">
        <f t="shared" si="58"/>
        <v>0</v>
      </c>
    </row>
    <row r="882" ht="22.5" hidden="1" customHeight="1">
      <c r="A882" s="189"/>
      <c r="B882" s="190"/>
      <c r="C882" s="191"/>
      <c r="D882" s="192"/>
      <c r="E882" s="193"/>
      <c r="F882" s="193"/>
      <c r="G882" s="194" t="str">
        <f t="shared" si="55"/>
        <v/>
      </c>
      <c r="H882" s="195" t="str">
        <f t="shared" si="56"/>
        <v/>
      </c>
      <c r="I882" s="192"/>
      <c r="J882" s="196"/>
      <c r="K882" s="192"/>
      <c r="L882" s="324"/>
      <c r="M882" s="192">
        <f t="shared" si="58"/>
        <v>0</v>
      </c>
    </row>
    <row r="883" ht="22.5" hidden="1" customHeight="1">
      <c r="A883" s="189"/>
      <c r="B883" s="190"/>
      <c r="C883" s="191"/>
      <c r="D883" s="192"/>
      <c r="E883" s="193"/>
      <c r="F883" s="193"/>
      <c r="G883" s="194" t="str">
        <f t="shared" si="55"/>
        <v/>
      </c>
      <c r="H883" s="195" t="str">
        <f t="shared" si="56"/>
        <v/>
      </c>
      <c r="I883" s="192"/>
      <c r="J883" s="196"/>
      <c r="K883" s="192"/>
      <c r="L883" s="324"/>
      <c r="M883" s="192">
        <f t="shared" si="58"/>
        <v>0</v>
      </c>
    </row>
    <row r="884" ht="22.5" hidden="1" customHeight="1">
      <c r="A884" s="189"/>
      <c r="B884" s="190"/>
      <c r="C884" s="191"/>
      <c r="D884" s="192"/>
      <c r="E884" s="193"/>
      <c r="F884" s="193"/>
      <c r="G884" s="194" t="str">
        <f t="shared" si="55"/>
        <v/>
      </c>
      <c r="H884" s="195" t="str">
        <f t="shared" si="56"/>
        <v/>
      </c>
      <c r="I884" s="192"/>
      <c r="J884" s="196"/>
      <c r="K884" s="192"/>
      <c r="L884" s="324"/>
      <c r="M884" s="192">
        <f t="shared" si="58"/>
        <v>0</v>
      </c>
    </row>
    <row r="885" ht="22.5" hidden="1" customHeight="1">
      <c r="A885" s="189"/>
      <c r="B885" s="190"/>
      <c r="C885" s="191"/>
      <c r="D885" s="192"/>
      <c r="E885" s="193"/>
      <c r="F885" s="193"/>
      <c r="G885" s="194" t="str">
        <f t="shared" si="55"/>
        <v/>
      </c>
      <c r="H885" s="195" t="str">
        <f t="shared" si="56"/>
        <v/>
      </c>
      <c r="I885" s="192"/>
      <c r="J885" s="196"/>
      <c r="K885" s="192"/>
      <c r="L885" s="324"/>
      <c r="M885" s="192">
        <f t="shared" si="58"/>
        <v>0</v>
      </c>
    </row>
    <row r="886" ht="22.5" hidden="1" customHeight="1">
      <c r="A886" s="189"/>
      <c r="B886" s="190"/>
      <c r="C886" s="191"/>
      <c r="D886" s="192"/>
      <c r="E886" s="193"/>
      <c r="F886" s="193"/>
      <c r="G886" s="194" t="str">
        <f t="shared" si="55"/>
        <v/>
      </c>
      <c r="H886" s="195" t="str">
        <f t="shared" si="56"/>
        <v/>
      </c>
      <c r="I886" s="192"/>
      <c r="J886" s="196"/>
      <c r="K886" s="192"/>
      <c r="L886" s="324"/>
      <c r="M886" s="192">
        <f t="shared" si="58"/>
        <v>0</v>
      </c>
    </row>
    <row r="887" ht="22.5" hidden="1" customHeight="1">
      <c r="A887" s="189"/>
      <c r="B887" s="190"/>
      <c r="C887" s="191"/>
      <c r="D887" s="192"/>
      <c r="E887" s="193"/>
      <c r="F887" s="193"/>
      <c r="G887" s="194" t="str">
        <f t="shared" si="55"/>
        <v/>
      </c>
      <c r="H887" s="195" t="str">
        <f t="shared" si="56"/>
        <v/>
      </c>
      <c r="I887" s="192"/>
      <c r="J887" s="196"/>
      <c r="K887" s="192"/>
      <c r="L887" s="324"/>
      <c r="M887" s="192">
        <f t="shared" si="58"/>
        <v>0</v>
      </c>
    </row>
    <row r="888" ht="22.5" hidden="1" customHeight="1">
      <c r="A888" s="189"/>
      <c r="B888" s="190"/>
      <c r="C888" s="191"/>
      <c r="D888" s="192"/>
      <c r="E888" s="193"/>
      <c r="F888" s="193"/>
      <c r="G888" s="194" t="str">
        <f t="shared" si="55"/>
        <v/>
      </c>
      <c r="H888" s="195" t="str">
        <f t="shared" si="56"/>
        <v/>
      </c>
      <c r="I888" s="192"/>
      <c r="J888" s="196"/>
      <c r="K888" s="192"/>
      <c r="L888" s="324"/>
      <c r="M888" s="192">
        <f t="shared" si="58"/>
        <v>0</v>
      </c>
    </row>
    <row r="889" ht="22.5" hidden="1" customHeight="1">
      <c r="A889" s="189"/>
      <c r="B889" s="190"/>
      <c r="C889" s="191"/>
      <c r="D889" s="192"/>
      <c r="E889" s="193"/>
      <c r="F889" s="193"/>
      <c r="G889" s="194" t="str">
        <f t="shared" si="55"/>
        <v/>
      </c>
      <c r="H889" s="195" t="str">
        <f t="shared" si="56"/>
        <v/>
      </c>
      <c r="I889" s="192"/>
      <c r="J889" s="196"/>
      <c r="K889" s="192"/>
      <c r="L889" s="324"/>
      <c r="M889" s="192">
        <f t="shared" si="58"/>
        <v>0</v>
      </c>
    </row>
    <row r="890" ht="22.5" hidden="1" customHeight="1">
      <c r="A890" s="189"/>
      <c r="B890" s="190"/>
      <c r="C890" s="191"/>
      <c r="D890" s="192"/>
      <c r="E890" s="193"/>
      <c r="F890" s="193"/>
      <c r="G890" s="194" t="str">
        <f t="shared" si="55"/>
        <v/>
      </c>
      <c r="H890" s="195" t="str">
        <f t="shared" si="56"/>
        <v/>
      </c>
      <c r="I890" s="192"/>
      <c r="J890" s="196"/>
      <c r="K890" s="192"/>
      <c r="L890" s="324"/>
      <c r="M890" s="192">
        <f t="shared" si="58"/>
        <v>0</v>
      </c>
    </row>
    <row r="891" ht="22.5" hidden="1" customHeight="1">
      <c r="A891" s="189"/>
      <c r="B891" s="190"/>
      <c r="C891" s="191"/>
      <c r="D891" s="192"/>
      <c r="E891" s="193"/>
      <c r="F891" s="193"/>
      <c r="G891" s="194" t="str">
        <f t="shared" si="55"/>
        <v/>
      </c>
      <c r="H891" s="195" t="str">
        <f t="shared" si="56"/>
        <v/>
      </c>
      <c r="I891" s="192"/>
      <c r="J891" s="196"/>
      <c r="K891" s="192"/>
      <c r="L891" s="324"/>
      <c r="M891" s="192">
        <f t="shared" si="58"/>
        <v>0</v>
      </c>
    </row>
    <row r="892" ht="22.5" hidden="1" customHeight="1">
      <c r="A892" s="189"/>
      <c r="B892" s="190"/>
      <c r="C892" s="191"/>
      <c r="D892" s="192"/>
      <c r="E892" s="193"/>
      <c r="F892" s="193"/>
      <c r="G892" s="194" t="str">
        <f t="shared" si="55"/>
        <v/>
      </c>
      <c r="H892" s="195" t="str">
        <f t="shared" si="56"/>
        <v/>
      </c>
      <c r="I892" s="192"/>
      <c r="J892" s="196"/>
      <c r="K892" s="192"/>
      <c r="L892" s="324"/>
      <c r="M892" s="192">
        <f t="shared" si="58"/>
        <v>0</v>
      </c>
    </row>
    <row r="893" ht="22.5" hidden="1" customHeight="1">
      <c r="A893" s="189"/>
      <c r="B893" s="190"/>
      <c r="C893" s="191"/>
      <c r="D893" s="192"/>
      <c r="E893" s="193"/>
      <c r="F893" s="193"/>
      <c r="G893" s="194" t="str">
        <f t="shared" si="55"/>
        <v/>
      </c>
      <c r="H893" s="195" t="str">
        <f t="shared" si="56"/>
        <v/>
      </c>
      <c r="I893" s="192"/>
      <c r="J893" s="196"/>
      <c r="K893" s="192"/>
      <c r="L893" s="324"/>
      <c r="M893" s="192">
        <f t="shared" si="58"/>
        <v>0</v>
      </c>
    </row>
    <row r="894" ht="22.5" hidden="1" customHeight="1">
      <c r="A894" s="189"/>
      <c r="B894" s="190"/>
      <c r="C894" s="191"/>
      <c r="D894" s="192"/>
      <c r="E894" s="193"/>
      <c r="F894" s="193"/>
      <c r="G894" s="194" t="str">
        <f t="shared" si="55"/>
        <v/>
      </c>
      <c r="H894" s="195" t="str">
        <f t="shared" si="56"/>
        <v/>
      </c>
      <c r="I894" s="192"/>
      <c r="J894" s="196"/>
      <c r="K894" s="192"/>
      <c r="L894" s="324"/>
      <c r="M894" s="192">
        <f t="shared" si="58"/>
        <v>0</v>
      </c>
    </row>
    <row r="895" ht="22.5" hidden="1" customHeight="1">
      <c r="A895" s="189"/>
      <c r="B895" s="190"/>
      <c r="C895" s="191"/>
      <c r="D895" s="192"/>
      <c r="E895" s="193"/>
      <c r="F895" s="193"/>
      <c r="G895" s="194" t="str">
        <f t="shared" si="55"/>
        <v/>
      </c>
      <c r="H895" s="195" t="str">
        <f t="shared" si="56"/>
        <v/>
      </c>
      <c r="I895" s="192"/>
      <c r="J895" s="196"/>
      <c r="K895" s="192"/>
      <c r="L895" s="324"/>
      <c r="M895" s="192">
        <f t="shared" si="58"/>
        <v>0</v>
      </c>
    </row>
    <row r="896" ht="22.5" hidden="1" customHeight="1">
      <c r="A896" s="189"/>
      <c r="B896" s="190"/>
      <c r="C896" s="191"/>
      <c r="D896" s="192"/>
      <c r="E896" s="193"/>
      <c r="F896" s="193"/>
      <c r="G896" s="194" t="str">
        <f t="shared" si="55"/>
        <v/>
      </c>
      <c r="H896" s="195" t="str">
        <f t="shared" si="56"/>
        <v/>
      </c>
      <c r="I896" s="192"/>
      <c r="J896" s="196"/>
      <c r="K896" s="192"/>
      <c r="L896" s="324"/>
      <c r="M896" s="192">
        <f t="shared" si="58"/>
        <v>0</v>
      </c>
    </row>
    <row r="897" ht="22.5" hidden="1" customHeight="1">
      <c r="A897" s="189"/>
      <c r="B897" s="190"/>
      <c r="C897" s="191"/>
      <c r="D897" s="192"/>
      <c r="E897" s="193"/>
      <c r="F897" s="193"/>
      <c r="G897" s="194" t="str">
        <f t="shared" si="55"/>
        <v/>
      </c>
      <c r="H897" s="195" t="str">
        <f t="shared" si="56"/>
        <v/>
      </c>
      <c r="I897" s="192"/>
      <c r="J897" s="196"/>
      <c r="K897" s="192"/>
      <c r="L897" s="324"/>
      <c r="M897" s="192">
        <f t="shared" si="58"/>
        <v>0</v>
      </c>
    </row>
    <row r="898" ht="22.5" hidden="1" customHeight="1">
      <c r="A898" s="189"/>
      <c r="B898" s="190"/>
      <c r="C898" s="191"/>
      <c r="D898" s="192"/>
      <c r="E898" s="193"/>
      <c r="F898" s="193"/>
      <c r="G898" s="194" t="str">
        <f t="shared" si="55"/>
        <v/>
      </c>
      <c r="H898" s="195" t="str">
        <f t="shared" si="56"/>
        <v/>
      </c>
      <c r="I898" s="192"/>
      <c r="J898" s="196"/>
      <c r="K898" s="192"/>
      <c r="L898" s="324"/>
      <c r="M898" s="192">
        <f t="shared" si="58"/>
        <v>0</v>
      </c>
    </row>
    <row r="899" ht="22.5" hidden="1" customHeight="1">
      <c r="A899" s="189"/>
      <c r="B899" s="190"/>
      <c r="C899" s="191"/>
      <c r="D899" s="192"/>
      <c r="E899" s="193"/>
      <c r="F899" s="193"/>
      <c r="G899" s="194" t="str">
        <f t="shared" si="55"/>
        <v/>
      </c>
      <c r="H899" s="195" t="str">
        <f t="shared" si="56"/>
        <v/>
      </c>
      <c r="I899" s="192"/>
      <c r="J899" s="196"/>
      <c r="K899" s="192"/>
      <c r="L899" s="324"/>
      <c r="M899" s="192">
        <f t="shared" si="58"/>
        <v>0</v>
      </c>
    </row>
    <row r="900" ht="22.5" hidden="1" customHeight="1">
      <c r="A900" s="189"/>
      <c r="B900" s="190"/>
      <c r="C900" s="191"/>
      <c r="D900" s="192"/>
      <c r="E900" s="193"/>
      <c r="F900" s="193"/>
      <c r="G900" s="194" t="str">
        <f t="shared" si="55"/>
        <v/>
      </c>
      <c r="H900" s="195" t="str">
        <f t="shared" si="56"/>
        <v/>
      </c>
      <c r="I900" s="192"/>
      <c r="J900" s="196"/>
      <c r="K900" s="192"/>
      <c r="L900" s="324"/>
      <c r="M900" s="192">
        <f t="shared" si="58"/>
        <v>0</v>
      </c>
    </row>
    <row r="901" ht="22.5" hidden="1" customHeight="1">
      <c r="A901" s="189"/>
      <c r="B901" s="190"/>
      <c r="C901" s="191"/>
      <c r="D901" s="192"/>
      <c r="E901" s="193"/>
      <c r="F901" s="193"/>
      <c r="G901" s="194" t="str">
        <f t="shared" si="55"/>
        <v/>
      </c>
      <c r="H901" s="195" t="str">
        <f t="shared" si="56"/>
        <v/>
      </c>
      <c r="I901" s="192"/>
      <c r="J901" s="196"/>
      <c r="K901" s="192"/>
      <c r="L901" s="324"/>
      <c r="M901" s="192">
        <f t="shared" si="58"/>
        <v>0</v>
      </c>
    </row>
    <row r="902" ht="22.5" hidden="1" customHeight="1">
      <c r="A902" s="189"/>
      <c r="B902" s="190"/>
      <c r="C902" s="191"/>
      <c r="D902" s="192"/>
      <c r="E902" s="193"/>
      <c r="F902" s="193"/>
      <c r="G902" s="194" t="str">
        <f t="shared" si="55"/>
        <v/>
      </c>
      <c r="H902" s="195" t="str">
        <f t="shared" si="56"/>
        <v/>
      </c>
      <c r="I902" s="192"/>
      <c r="J902" s="196"/>
      <c r="K902" s="192"/>
      <c r="L902" s="324"/>
      <c r="M902" s="192">
        <f t="shared" si="58"/>
        <v>0</v>
      </c>
    </row>
    <row r="903" ht="22.5" hidden="1" customHeight="1">
      <c r="A903" s="189"/>
      <c r="B903" s="190"/>
      <c r="C903" s="191"/>
      <c r="D903" s="192"/>
      <c r="E903" s="193"/>
      <c r="F903" s="193"/>
      <c r="G903" s="194" t="str">
        <f t="shared" si="55"/>
        <v/>
      </c>
      <c r="H903" s="195" t="str">
        <f t="shared" si="56"/>
        <v/>
      </c>
      <c r="I903" s="192"/>
      <c r="J903" s="196"/>
      <c r="K903" s="192"/>
      <c r="L903" s="324"/>
      <c r="M903" s="192">
        <f t="shared" si="58"/>
        <v>0</v>
      </c>
    </row>
    <row r="904" ht="22.5" hidden="1" customHeight="1">
      <c r="A904" s="189"/>
      <c r="B904" s="190"/>
      <c r="C904" s="191"/>
      <c r="D904" s="192"/>
      <c r="E904" s="193"/>
      <c r="F904" s="193"/>
      <c r="G904" s="194" t="str">
        <f t="shared" si="55"/>
        <v/>
      </c>
      <c r="H904" s="195" t="str">
        <f t="shared" si="56"/>
        <v/>
      </c>
      <c r="I904" s="192"/>
      <c r="J904" s="196"/>
      <c r="K904" s="192"/>
      <c r="L904" s="324"/>
      <c r="M904" s="192">
        <f t="shared" si="58"/>
        <v>0</v>
      </c>
    </row>
    <row r="905" ht="22.5" hidden="1" customHeight="1">
      <c r="A905" s="189"/>
      <c r="B905" s="190"/>
      <c r="C905" s="191"/>
      <c r="D905" s="192"/>
      <c r="E905" s="193"/>
      <c r="F905" s="193"/>
      <c r="G905" s="194" t="str">
        <f t="shared" si="55"/>
        <v/>
      </c>
      <c r="H905" s="195" t="str">
        <f t="shared" si="56"/>
        <v/>
      </c>
      <c r="I905" s="192"/>
      <c r="J905" s="196"/>
      <c r="K905" s="192"/>
      <c r="L905" s="324"/>
      <c r="M905" s="192">
        <f t="shared" si="58"/>
        <v>0</v>
      </c>
    </row>
    <row r="906" ht="22.5" hidden="1" customHeight="1">
      <c r="A906" s="189"/>
      <c r="B906" s="190"/>
      <c r="C906" s="191"/>
      <c r="D906" s="192"/>
      <c r="E906" s="193"/>
      <c r="F906" s="193"/>
      <c r="G906" s="194" t="str">
        <f t="shared" si="55"/>
        <v/>
      </c>
      <c r="H906" s="195" t="str">
        <f t="shared" si="56"/>
        <v/>
      </c>
      <c r="I906" s="192"/>
      <c r="J906" s="196"/>
      <c r="K906" s="192"/>
      <c r="L906" s="324"/>
      <c r="M906" s="192">
        <f t="shared" si="58"/>
        <v>0</v>
      </c>
    </row>
    <row r="907" ht="22.5" hidden="1" customHeight="1">
      <c r="A907" s="189"/>
      <c r="B907" s="190"/>
      <c r="C907" s="191"/>
      <c r="D907" s="192"/>
      <c r="E907" s="193"/>
      <c r="F907" s="193"/>
      <c r="G907" s="194" t="str">
        <f t="shared" si="55"/>
        <v/>
      </c>
      <c r="H907" s="195" t="str">
        <f t="shared" si="56"/>
        <v/>
      </c>
      <c r="I907" s="192"/>
      <c r="J907" s="196"/>
      <c r="K907" s="192"/>
      <c r="L907" s="324"/>
      <c r="M907" s="192">
        <f t="shared" si="58"/>
        <v>0</v>
      </c>
    </row>
    <row r="908" ht="22.5" hidden="1" customHeight="1">
      <c r="A908" s="189"/>
      <c r="B908" s="190"/>
      <c r="C908" s="191"/>
      <c r="D908" s="192"/>
      <c r="E908" s="193"/>
      <c r="F908" s="193"/>
      <c r="G908" s="194" t="str">
        <f t="shared" si="55"/>
        <v/>
      </c>
      <c r="H908" s="195" t="str">
        <f t="shared" si="56"/>
        <v/>
      </c>
      <c r="I908" s="192"/>
      <c r="J908" s="196"/>
      <c r="K908" s="192"/>
      <c r="L908" s="324"/>
      <c r="M908" s="192">
        <f t="shared" si="58"/>
        <v>0</v>
      </c>
    </row>
    <row r="909" ht="22.5" hidden="1" customHeight="1">
      <c r="A909" s="189"/>
      <c r="B909" s="190"/>
      <c r="C909" s="191"/>
      <c r="D909" s="192"/>
      <c r="E909" s="193"/>
      <c r="F909" s="193"/>
      <c r="G909" s="194" t="str">
        <f t="shared" si="55"/>
        <v/>
      </c>
      <c r="H909" s="195" t="str">
        <f t="shared" si="56"/>
        <v/>
      </c>
      <c r="I909" s="192"/>
      <c r="J909" s="196"/>
      <c r="K909" s="192"/>
      <c r="L909" s="324"/>
      <c r="M909" s="192">
        <f t="shared" si="58"/>
        <v>0</v>
      </c>
    </row>
    <row r="910" ht="22.5" hidden="1" customHeight="1">
      <c r="A910" s="189"/>
      <c r="B910" s="190"/>
      <c r="C910" s="191"/>
      <c r="D910" s="192"/>
      <c r="E910" s="193"/>
      <c r="F910" s="193"/>
      <c r="G910" s="194" t="str">
        <f t="shared" si="55"/>
        <v/>
      </c>
      <c r="H910" s="195" t="str">
        <f t="shared" si="56"/>
        <v/>
      </c>
      <c r="I910" s="192"/>
      <c r="J910" s="196"/>
      <c r="K910" s="192"/>
      <c r="L910" s="324"/>
      <c r="M910" s="192">
        <f t="shared" si="58"/>
        <v>0</v>
      </c>
    </row>
    <row r="911" ht="22.5" hidden="1" customHeight="1">
      <c r="A911" s="189"/>
      <c r="B911" s="190"/>
      <c r="C911" s="191"/>
      <c r="D911" s="192"/>
      <c r="E911" s="193"/>
      <c r="F911" s="193"/>
      <c r="G911" s="194" t="str">
        <f t="shared" si="55"/>
        <v/>
      </c>
      <c r="H911" s="195" t="str">
        <f t="shared" si="56"/>
        <v/>
      </c>
      <c r="I911" s="192"/>
      <c r="J911" s="196"/>
      <c r="K911" s="192"/>
      <c r="L911" s="324"/>
      <c r="M911" s="192">
        <f t="shared" si="58"/>
        <v>0</v>
      </c>
    </row>
    <row r="912" ht="22.5" hidden="1" customHeight="1">
      <c r="A912" s="189"/>
      <c r="B912" s="190"/>
      <c r="C912" s="191"/>
      <c r="D912" s="192"/>
      <c r="E912" s="193"/>
      <c r="F912" s="193"/>
      <c r="G912" s="194" t="str">
        <f t="shared" si="55"/>
        <v/>
      </c>
      <c r="H912" s="195" t="str">
        <f t="shared" si="56"/>
        <v/>
      </c>
      <c r="I912" s="192"/>
      <c r="J912" s="196"/>
      <c r="K912" s="192"/>
      <c r="L912" s="324"/>
      <c r="M912" s="192">
        <f t="shared" si="58"/>
        <v>0</v>
      </c>
    </row>
    <row r="913" ht="22.5" hidden="1" customHeight="1">
      <c r="A913" s="189"/>
      <c r="B913" s="190"/>
      <c r="C913" s="191"/>
      <c r="D913" s="192"/>
      <c r="E913" s="193"/>
      <c r="F913" s="193"/>
      <c r="G913" s="194" t="str">
        <f t="shared" si="55"/>
        <v/>
      </c>
      <c r="H913" s="195" t="str">
        <f t="shared" si="56"/>
        <v/>
      </c>
      <c r="I913" s="192"/>
      <c r="J913" s="196"/>
      <c r="K913" s="192"/>
      <c r="L913" s="324"/>
      <c r="M913" s="192">
        <f t="shared" si="58"/>
        <v>0</v>
      </c>
    </row>
    <row r="914" ht="22.5" hidden="1" customHeight="1">
      <c r="A914" s="189"/>
      <c r="B914" s="190"/>
      <c r="C914" s="191"/>
      <c r="D914" s="192"/>
      <c r="E914" s="193"/>
      <c r="F914" s="193"/>
      <c r="G914" s="194" t="str">
        <f t="shared" si="55"/>
        <v/>
      </c>
      <c r="H914" s="195" t="str">
        <f t="shared" si="56"/>
        <v/>
      </c>
      <c r="I914" s="192"/>
      <c r="J914" s="196"/>
      <c r="K914" s="192"/>
      <c r="L914" s="324"/>
      <c r="M914" s="192">
        <f t="shared" si="58"/>
        <v>0</v>
      </c>
    </row>
    <row r="915" ht="22.5" hidden="1" customHeight="1">
      <c r="A915" s="189"/>
      <c r="B915" s="190"/>
      <c r="C915" s="191"/>
      <c r="D915" s="192"/>
      <c r="E915" s="193"/>
      <c r="F915" s="193"/>
      <c r="G915" s="194" t="str">
        <f t="shared" si="55"/>
        <v/>
      </c>
      <c r="H915" s="195" t="str">
        <f t="shared" si="56"/>
        <v/>
      </c>
      <c r="I915" s="192"/>
      <c r="J915" s="196"/>
      <c r="K915" s="192"/>
      <c r="L915" s="324"/>
      <c r="M915" s="192">
        <f t="shared" si="58"/>
        <v>0</v>
      </c>
    </row>
    <row r="916" ht="22.5" hidden="1" customHeight="1">
      <c r="A916" s="189"/>
      <c r="B916" s="190"/>
      <c r="C916" s="191"/>
      <c r="D916" s="192"/>
      <c r="E916" s="193"/>
      <c r="F916" s="193"/>
      <c r="G916" s="194" t="str">
        <f t="shared" si="55"/>
        <v/>
      </c>
      <c r="H916" s="195" t="str">
        <f t="shared" si="56"/>
        <v/>
      </c>
      <c r="I916" s="192"/>
      <c r="J916" s="196"/>
      <c r="K916" s="192"/>
      <c r="L916" s="324"/>
      <c r="M916" s="192">
        <f t="shared" si="58"/>
        <v>0</v>
      </c>
    </row>
    <row r="917" ht="22.5" hidden="1" customHeight="1">
      <c r="A917" s="189"/>
      <c r="B917" s="190"/>
      <c r="C917" s="191"/>
      <c r="D917" s="192"/>
      <c r="E917" s="193"/>
      <c r="F917" s="193"/>
      <c r="G917" s="194" t="str">
        <f t="shared" si="55"/>
        <v/>
      </c>
      <c r="H917" s="195" t="str">
        <f t="shared" si="56"/>
        <v/>
      </c>
      <c r="I917" s="192"/>
      <c r="J917" s="196"/>
      <c r="K917" s="192"/>
      <c r="L917" s="324"/>
      <c r="M917" s="192">
        <f t="shared" si="58"/>
        <v>0</v>
      </c>
    </row>
    <row r="918" ht="22.5" hidden="1" customHeight="1">
      <c r="A918" s="189"/>
      <c r="B918" s="190"/>
      <c r="C918" s="191"/>
      <c r="D918" s="192"/>
      <c r="E918" s="193"/>
      <c r="F918" s="193"/>
      <c r="G918" s="194" t="str">
        <f t="shared" si="55"/>
        <v/>
      </c>
      <c r="H918" s="195" t="str">
        <f t="shared" si="56"/>
        <v/>
      </c>
      <c r="I918" s="192"/>
      <c r="J918" s="196"/>
      <c r="K918" s="192"/>
      <c r="L918" s="324"/>
      <c r="M918" s="192">
        <f t="shared" si="58"/>
        <v>0</v>
      </c>
    </row>
    <row r="919" ht="22.5" hidden="1" customHeight="1">
      <c r="A919" s="189"/>
      <c r="B919" s="190"/>
      <c r="C919" s="191"/>
      <c r="D919" s="192"/>
      <c r="E919" s="193"/>
      <c r="F919" s="193"/>
      <c r="G919" s="194" t="str">
        <f t="shared" si="55"/>
        <v/>
      </c>
      <c r="H919" s="195" t="str">
        <f t="shared" si="56"/>
        <v/>
      </c>
      <c r="I919" s="192"/>
      <c r="J919" s="196"/>
      <c r="K919" s="192"/>
      <c r="L919" s="324"/>
      <c r="M919" s="192">
        <f t="shared" si="58"/>
        <v>0</v>
      </c>
    </row>
    <row r="920" ht="22.5" hidden="1" customHeight="1">
      <c r="A920" s="189"/>
      <c r="B920" s="190"/>
      <c r="C920" s="191"/>
      <c r="D920" s="192"/>
      <c r="E920" s="193"/>
      <c r="F920" s="193"/>
      <c r="G920" s="194" t="str">
        <f t="shared" si="55"/>
        <v/>
      </c>
      <c r="H920" s="195" t="str">
        <f t="shared" si="56"/>
        <v/>
      </c>
      <c r="I920" s="192"/>
      <c r="J920" s="196"/>
      <c r="K920" s="192"/>
      <c r="L920" s="324"/>
      <c r="M920" s="192">
        <f t="shared" si="58"/>
        <v>0</v>
      </c>
    </row>
    <row r="921" ht="22.5" hidden="1" customHeight="1">
      <c r="A921" s="189"/>
      <c r="B921" s="190"/>
      <c r="C921" s="191"/>
      <c r="D921" s="192"/>
      <c r="E921" s="193"/>
      <c r="F921" s="193"/>
      <c r="G921" s="194" t="str">
        <f t="shared" si="55"/>
        <v/>
      </c>
      <c r="H921" s="195" t="str">
        <f t="shared" si="56"/>
        <v/>
      </c>
      <c r="I921" s="192"/>
      <c r="J921" s="196"/>
      <c r="K921" s="192"/>
      <c r="L921" s="324"/>
      <c r="M921" s="192">
        <f t="shared" si="58"/>
        <v>0</v>
      </c>
    </row>
    <row r="922" ht="22.5" hidden="1" customHeight="1">
      <c r="A922" s="189"/>
      <c r="B922" s="190"/>
      <c r="C922" s="191"/>
      <c r="D922" s="192"/>
      <c r="E922" s="193"/>
      <c r="F922" s="193"/>
      <c r="G922" s="194" t="str">
        <f t="shared" si="55"/>
        <v/>
      </c>
      <c r="H922" s="195" t="str">
        <f t="shared" si="56"/>
        <v/>
      </c>
      <c r="I922" s="192"/>
      <c r="J922" s="196"/>
      <c r="K922" s="192"/>
      <c r="L922" s="324"/>
      <c r="M922" s="192">
        <f t="shared" si="58"/>
        <v>0</v>
      </c>
    </row>
    <row r="923" ht="22.5" hidden="1" customHeight="1">
      <c r="A923" s="189"/>
      <c r="B923" s="190"/>
      <c r="C923" s="191"/>
      <c r="D923" s="192"/>
      <c r="E923" s="193"/>
      <c r="F923" s="193"/>
      <c r="G923" s="194" t="str">
        <f t="shared" si="55"/>
        <v/>
      </c>
      <c r="H923" s="195" t="str">
        <f t="shared" si="56"/>
        <v/>
      </c>
      <c r="I923" s="192"/>
      <c r="J923" s="196"/>
      <c r="K923" s="192"/>
      <c r="L923" s="324"/>
      <c r="M923" s="192">
        <f t="shared" si="58"/>
        <v>0</v>
      </c>
    </row>
    <row r="924" ht="22.5" hidden="1" customHeight="1">
      <c r="A924" s="189"/>
      <c r="B924" s="190"/>
      <c r="C924" s="191"/>
      <c r="D924" s="192"/>
      <c r="E924" s="193"/>
      <c r="F924" s="193"/>
      <c r="G924" s="194" t="str">
        <f t="shared" si="55"/>
        <v/>
      </c>
      <c r="H924" s="195" t="str">
        <f t="shared" si="56"/>
        <v/>
      </c>
      <c r="I924" s="192"/>
      <c r="J924" s="196"/>
      <c r="K924" s="192"/>
      <c r="L924" s="324"/>
      <c r="M924" s="192">
        <f t="shared" si="58"/>
        <v>0</v>
      </c>
    </row>
    <row r="925" ht="22.5" hidden="1" customHeight="1">
      <c r="A925" s="189"/>
      <c r="B925" s="190"/>
      <c r="C925" s="191"/>
      <c r="D925" s="192"/>
      <c r="E925" s="193"/>
      <c r="F925" s="193"/>
      <c r="G925" s="194" t="str">
        <f t="shared" si="55"/>
        <v/>
      </c>
      <c r="H925" s="195" t="str">
        <f t="shared" si="56"/>
        <v/>
      </c>
      <c r="I925" s="192"/>
      <c r="J925" s="196"/>
      <c r="K925" s="192"/>
      <c r="L925" s="324"/>
      <c r="M925" s="192">
        <f t="shared" si="58"/>
        <v>0</v>
      </c>
    </row>
    <row r="926" ht="22.5" hidden="1" customHeight="1">
      <c r="A926" s="189"/>
      <c r="B926" s="190"/>
      <c r="C926" s="191"/>
      <c r="D926" s="192"/>
      <c r="E926" s="193"/>
      <c r="F926" s="193"/>
      <c r="G926" s="194" t="str">
        <f t="shared" si="55"/>
        <v/>
      </c>
      <c r="H926" s="195" t="str">
        <f t="shared" si="56"/>
        <v/>
      </c>
      <c r="I926" s="192"/>
      <c r="J926" s="196"/>
      <c r="K926" s="192"/>
      <c r="L926" s="324"/>
      <c r="M926" s="192">
        <f t="shared" si="58"/>
        <v>0</v>
      </c>
    </row>
    <row r="927" ht="22.5" hidden="1" customHeight="1">
      <c r="A927" s="189"/>
      <c r="B927" s="190"/>
      <c r="C927" s="191"/>
      <c r="D927" s="192"/>
      <c r="E927" s="193"/>
      <c r="F927" s="193"/>
      <c r="G927" s="194" t="str">
        <f t="shared" si="55"/>
        <v/>
      </c>
      <c r="H927" s="195" t="str">
        <f t="shared" si="56"/>
        <v/>
      </c>
      <c r="I927" s="192"/>
      <c r="J927" s="196"/>
      <c r="K927" s="192"/>
      <c r="L927" s="324"/>
      <c r="M927" s="192">
        <f t="shared" si="58"/>
        <v>0</v>
      </c>
    </row>
    <row r="928" ht="22.5" hidden="1" customHeight="1">
      <c r="A928" s="189"/>
      <c r="B928" s="190"/>
      <c r="C928" s="191"/>
      <c r="D928" s="192"/>
      <c r="E928" s="193"/>
      <c r="F928" s="193"/>
      <c r="G928" s="194" t="str">
        <f t="shared" si="55"/>
        <v/>
      </c>
      <c r="H928" s="195" t="str">
        <f t="shared" si="56"/>
        <v/>
      </c>
      <c r="I928" s="192"/>
      <c r="J928" s="196"/>
      <c r="K928" s="192"/>
      <c r="L928" s="324"/>
      <c r="M928" s="192">
        <f t="shared" si="58"/>
        <v>0</v>
      </c>
    </row>
    <row r="929" ht="22.5" hidden="1" customHeight="1">
      <c r="A929" s="189"/>
      <c r="B929" s="190"/>
      <c r="C929" s="191"/>
      <c r="D929" s="192"/>
      <c r="E929" s="193"/>
      <c r="F929" s="193"/>
      <c r="G929" s="194" t="str">
        <f t="shared" si="55"/>
        <v/>
      </c>
      <c r="H929" s="195" t="str">
        <f t="shared" si="56"/>
        <v/>
      </c>
      <c r="I929" s="192"/>
      <c r="J929" s="196"/>
      <c r="K929" s="192"/>
      <c r="L929" s="324"/>
      <c r="M929" s="192">
        <f t="shared" si="58"/>
        <v>0</v>
      </c>
    </row>
    <row r="930" ht="22.5" hidden="1" customHeight="1">
      <c r="A930" s="189"/>
      <c r="B930" s="190"/>
      <c r="C930" s="191"/>
      <c r="D930" s="192"/>
      <c r="E930" s="193"/>
      <c r="F930" s="193"/>
      <c r="G930" s="194" t="str">
        <f t="shared" si="55"/>
        <v/>
      </c>
      <c r="H930" s="195" t="str">
        <f t="shared" si="56"/>
        <v/>
      </c>
      <c r="I930" s="192"/>
      <c r="J930" s="196"/>
      <c r="K930" s="192"/>
      <c r="L930" s="324"/>
      <c r="M930" s="192">
        <f t="shared" si="58"/>
        <v>0</v>
      </c>
    </row>
    <row r="931" ht="22.5" hidden="1" customHeight="1">
      <c r="A931" s="189"/>
      <c r="B931" s="190"/>
      <c r="C931" s="191"/>
      <c r="D931" s="192"/>
      <c r="E931" s="193"/>
      <c r="F931" s="193"/>
      <c r="G931" s="194" t="str">
        <f t="shared" si="55"/>
        <v/>
      </c>
      <c r="H931" s="195" t="str">
        <f t="shared" si="56"/>
        <v/>
      </c>
      <c r="I931" s="192"/>
      <c r="J931" s="196"/>
      <c r="K931" s="192"/>
      <c r="L931" s="324"/>
      <c r="M931" s="192">
        <f t="shared" si="58"/>
        <v>0</v>
      </c>
    </row>
    <row r="932" ht="22.5" hidden="1" customHeight="1">
      <c r="A932" s="189"/>
      <c r="B932" s="190"/>
      <c r="C932" s="191"/>
      <c r="D932" s="192"/>
      <c r="E932" s="193"/>
      <c r="F932" s="193"/>
      <c r="G932" s="194" t="str">
        <f t="shared" si="55"/>
        <v/>
      </c>
      <c r="H932" s="195" t="str">
        <f t="shared" si="56"/>
        <v/>
      </c>
      <c r="I932" s="192"/>
      <c r="J932" s="196"/>
      <c r="K932" s="192"/>
      <c r="L932" s="324"/>
      <c r="M932" s="192">
        <f t="shared" si="58"/>
        <v>0</v>
      </c>
    </row>
    <row r="933" ht="22.5" hidden="1" customHeight="1">
      <c r="A933" s="189"/>
      <c r="B933" s="190"/>
      <c r="C933" s="191"/>
      <c r="D933" s="192"/>
      <c r="E933" s="193"/>
      <c r="F933" s="193"/>
      <c r="G933" s="194" t="str">
        <f t="shared" si="55"/>
        <v/>
      </c>
      <c r="H933" s="195" t="str">
        <f t="shared" si="56"/>
        <v/>
      </c>
      <c r="I933" s="192"/>
      <c r="J933" s="196"/>
      <c r="K933" s="192"/>
      <c r="L933" s="324"/>
      <c r="M933" s="192">
        <f t="shared" si="58"/>
        <v>0</v>
      </c>
    </row>
    <row r="934" ht="22.5" hidden="1" customHeight="1">
      <c r="A934" s="189"/>
      <c r="B934" s="190"/>
      <c r="C934" s="191"/>
      <c r="D934" s="192"/>
      <c r="E934" s="193"/>
      <c r="F934" s="193"/>
      <c r="G934" s="194" t="str">
        <f t="shared" si="55"/>
        <v/>
      </c>
      <c r="H934" s="195" t="str">
        <f t="shared" si="56"/>
        <v/>
      </c>
      <c r="I934" s="192"/>
      <c r="J934" s="196"/>
      <c r="K934" s="192"/>
      <c r="L934" s="324"/>
      <c r="M934" s="192">
        <f t="shared" si="58"/>
        <v>0</v>
      </c>
    </row>
    <row r="935" ht="22.5" hidden="1" customHeight="1">
      <c r="A935" s="189"/>
      <c r="B935" s="190"/>
      <c r="C935" s="191"/>
      <c r="D935" s="192"/>
      <c r="E935" s="193"/>
      <c r="F935" s="193"/>
      <c r="G935" s="194" t="str">
        <f t="shared" si="55"/>
        <v/>
      </c>
      <c r="H935" s="195" t="str">
        <f t="shared" si="56"/>
        <v/>
      </c>
      <c r="I935" s="192"/>
      <c r="J935" s="196"/>
      <c r="K935" s="192"/>
      <c r="L935" s="324"/>
      <c r="M935" s="192">
        <f t="shared" si="58"/>
        <v>0</v>
      </c>
    </row>
    <row r="936" ht="22.5" hidden="1" customHeight="1">
      <c r="A936" s="189"/>
      <c r="B936" s="190"/>
      <c r="C936" s="191"/>
      <c r="D936" s="192"/>
      <c r="E936" s="193"/>
      <c r="F936" s="193"/>
      <c r="G936" s="194" t="str">
        <f t="shared" si="55"/>
        <v/>
      </c>
      <c r="H936" s="195" t="str">
        <f t="shared" si="56"/>
        <v/>
      </c>
      <c r="I936" s="192"/>
      <c r="J936" s="196"/>
      <c r="K936" s="192"/>
      <c r="L936" s="324"/>
      <c r="M936" s="192">
        <f t="shared" si="58"/>
        <v>0</v>
      </c>
    </row>
    <row r="937" ht="22.5" hidden="1" customHeight="1">
      <c r="A937" s="189"/>
      <c r="B937" s="190"/>
      <c r="C937" s="191"/>
      <c r="D937" s="192"/>
      <c r="E937" s="193"/>
      <c r="F937" s="193"/>
      <c r="G937" s="194" t="str">
        <f t="shared" si="55"/>
        <v/>
      </c>
      <c r="H937" s="195" t="str">
        <f t="shared" si="56"/>
        <v/>
      </c>
      <c r="I937" s="192"/>
      <c r="J937" s="196"/>
      <c r="K937" s="192"/>
      <c r="L937" s="324"/>
      <c r="M937" s="192">
        <f t="shared" si="58"/>
        <v>0</v>
      </c>
    </row>
    <row r="938" ht="22.5" hidden="1" customHeight="1">
      <c r="A938" s="189"/>
      <c r="B938" s="190"/>
      <c r="C938" s="191"/>
      <c r="D938" s="192"/>
      <c r="E938" s="193"/>
      <c r="F938" s="193"/>
      <c r="G938" s="194" t="str">
        <f t="shared" si="55"/>
        <v/>
      </c>
      <c r="H938" s="195" t="str">
        <f t="shared" si="56"/>
        <v/>
      </c>
      <c r="I938" s="192"/>
      <c r="J938" s="196"/>
      <c r="K938" s="192"/>
      <c r="L938" s="324"/>
      <c r="M938" s="192">
        <f t="shared" si="58"/>
        <v>0</v>
      </c>
    </row>
    <row r="939" ht="22.5" hidden="1" customHeight="1">
      <c r="A939" s="189"/>
      <c r="B939" s="190"/>
      <c r="C939" s="191"/>
      <c r="D939" s="192"/>
      <c r="E939" s="193"/>
      <c r="F939" s="193"/>
      <c r="G939" s="194" t="str">
        <f t="shared" si="55"/>
        <v/>
      </c>
      <c r="H939" s="195" t="str">
        <f t="shared" si="56"/>
        <v/>
      </c>
      <c r="I939" s="192"/>
      <c r="J939" s="196"/>
      <c r="K939" s="192"/>
      <c r="L939" s="324"/>
      <c r="M939" s="192">
        <f t="shared" si="58"/>
        <v>0</v>
      </c>
    </row>
    <row r="940" ht="22.5" hidden="1" customHeight="1">
      <c r="A940" s="189"/>
      <c r="B940" s="190"/>
      <c r="C940" s="191"/>
      <c r="D940" s="192"/>
      <c r="E940" s="193"/>
      <c r="F940" s="193"/>
      <c r="G940" s="194" t="str">
        <f t="shared" si="55"/>
        <v/>
      </c>
      <c r="H940" s="195" t="str">
        <f t="shared" si="56"/>
        <v/>
      </c>
      <c r="I940" s="192"/>
      <c r="J940" s="196"/>
      <c r="K940" s="192"/>
      <c r="L940" s="324"/>
      <c r="M940" s="192">
        <f t="shared" si="58"/>
        <v>0</v>
      </c>
    </row>
    <row r="941" ht="22.5" hidden="1" customHeight="1">
      <c r="A941" s="189"/>
      <c r="B941" s="190"/>
      <c r="C941" s="191"/>
      <c r="D941" s="192"/>
      <c r="E941" s="193"/>
      <c r="F941" s="193"/>
      <c r="G941" s="194" t="str">
        <f t="shared" si="55"/>
        <v/>
      </c>
      <c r="H941" s="195" t="str">
        <f t="shared" si="56"/>
        <v/>
      </c>
      <c r="I941" s="192"/>
      <c r="J941" s="196"/>
      <c r="K941" s="192"/>
      <c r="L941" s="324"/>
      <c r="M941" s="192">
        <f t="shared" si="58"/>
        <v>0</v>
      </c>
    </row>
    <row r="942" ht="22.5" hidden="1" customHeight="1">
      <c r="A942" s="189"/>
      <c r="B942" s="190"/>
      <c r="C942" s="191"/>
      <c r="D942" s="192"/>
      <c r="E942" s="193"/>
      <c r="F942" s="193"/>
      <c r="G942" s="194" t="str">
        <f t="shared" si="55"/>
        <v/>
      </c>
      <c r="H942" s="195" t="str">
        <f t="shared" si="56"/>
        <v/>
      </c>
      <c r="I942" s="192"/>
      <c r="J942" s="196"/>
      <c r="K942" s="192"/>
      <c r="L942" s="324"/>
      <c r="M942" s="192">
        <f t="shared" si="58"/>
        <v>0</v>
      </c>
    </row>
    <row r="943" ht="22.5" hidden="1" customHeight="1">
      <c r="A943" s="189"/>
      <c r="B943" s="190"/>
      <c r="C943" s="191"/>
      <c r="D943" s="192"/>
      <c r="E943" s="193"/>
      <c r="F943" s="193"/>
      <c r="G943" s="194" t="str">
        <f t="shared" si="55"/>
        <v/>
      </c>
      <c r="H943" s="195" t="str">
        <f t="shared" si="56"/>
        <v/>
      </c>
      <c r="I943" s="192"/>
      <c r="J943" s="196"/>
      <c r="K943" s="192"/>
      <c r="L943" s="324"/>
      <c r="M943" s="192">
        <f t="shared" si="58"/>
        <v>0</v>
      </c>
    </row>
    <row r="944" ht="22.5" hidden="1" customHeight="1">
      <c r="A944" s="189"/>
      <c r="B944" s="190"/>
      <c r="C944" s="191"/>
      <c r="D944" s="192"/>
      <c r="E944" s="193"/>
      <c r="F944" s="193"/>
      <c r="G944" s="194" t="str">
        <f t="shared" si="55"/>
        <v/>
      </c>
      <c r="H944" s="195" t="str">
        <f t="shared" si="56"/>
        <v/>
      </c>
      <c r="I944" s="192"/>
      <c r="J944" s="196"/>
      <c r="K944" s="192"/>
      <c r="L944" s="324"/>
      <c r="M944" s="192">
        <f t="shared" si="58"/>
        <v>0</v>
      </c>
    </row>
    <row r="945" ht="22.5" hidden="1" customHeight="1">
      <c r="A945" s="189"/>
      <c r="B945" s="190"/>
      <c r="C945" s="191"/>
      <c r="D945" s="192"/>
      <c r="E945" s="193"/>
      <c r="F945" s="193"/>
      <c r="G945" s="194" t="str">
        <f t="shared" si="55"/>
        <v/>
      </c>
      <c r="H945" s="195" t="str">
        <f t="shared" si="56"/>
        <v/>
      </c>
      <c r="I945" s="192"/>
      <c r="J945" s="196"/>
      <c r="K945" s="192"/>
      <c r="L945" s="324"/>
      <c r="M945" s="192">
        <f t="shared" si="58"/>
        <v>0</v>
      </c>
    </row>
    <row r="946" ht="22.5" hidden="1" customHeight="1">
      <c r="A946" s="189"/>
      <c r="B946" s="190"/>
      <c r="C946" s="191"/>
      <c r="D946" s="192"/>
      <c r="E946" s="193"/>
      <c r="F946" s="193"/>
      <c r="G946" s="194" t="str">
        <f t="shared" si="55"/>
        <v/>
      </c>
      <c r="H946" s="195" t="str">
        <f t="shared" si="56"/>
        <v/>
      </c>
      <c r="I946" s="192"/>
      <c r="J946" s="196"/>
      <c r="K946" s="192"/>
      <c r="L946" s="324"/>
      <c r="M946" s="192">
        <f t="shared" si="58"/>
        <v>0</v>
      </c>
    </row>
    <row r="947" ht="22.5" hidden="1" customHeight="1">
      <c r="A947" s="189"/>
      <c r="B947" s="190"/>
      <c r="C947" s="191"/>
      <c r="D947" s="192"/>
      <c r="E947" s="193"/>
      <c r="F947" s="193"/>
      <c r="G947" s="194" t="str">
        <f t="shared" si="55"/>
        <v/>
      </c>
      <c r="H947" s="195" t="str">
        <f t="shared" si="56"/>
        <v/>
      </c>
      <c r="I947" s="192"/>
      <c r="J947" s="196"/>
      <c r="K947" s="192"/>
      <c r="L947" s="324"/>
      <c r="M947" s="192">
        <f t="shared" si="58"/>
        <v>0</v>
      </c>
    </row>
    <row r="948" ht="22.5" hidden="1" customHeight="1">
      <c r="A948" s="189"/>
      <c r="B948" s="190"/>
      <c r="C948" s="191"/>
      <c r="D948" s="192"/>
      <c r="E948" s="193"/>
      <c r="F948" s="193"/>
      <c r="G948" s="194" t="str">
        <f t="shared" si="55"/>
        <v/>
      </c>
      <c r="H948" s="195" t="str">
        <f t="shared" si="56"/>
        <v/>
      </c>
      <c r="I948" s="192"/>
      <c r="J948" s="196"/>
      <c r="K948" s="192"/>
      <c r="L948" s="324"/>
      <c r="M948" s="192">
        <f t="shared" si="58"/>
        <v>0</v>
      </c>
    </row>
    <row r="949" ht="22.5" hidden="1" customHeight="1">
      <c r="A949" s="189"/>
      <c r="B949" s="190"/>
      <c r="C949" s="191"/>
      <c r="D949" s="192"/>
      <c r="E949" s="193"/>
      <c r="F949" s="193"/>
      <c r="G949" s="194" t="str">
        <f t="shared" si="55"/>
        <v/>
      </c>
      <c r="H949" s="195" t="str">
        <f t="shared" si="56"/>
        <v/>
      </c>
      <c r="I949" s="192"/>
      <c r="J949" s="196"/>
      <c r="K949" s="192"/>
      <c r="L949" s="324"/>
      <c r="M949" s="192">
        <f t="shared" si="58"/>
        <v>0</v>
      </c>
    </row>
    <row r="950" ht="22.5" hidden="1" customHeight="1">
      <c r="A950" s="189"/>
      <c r="B950" s="190"/>
      <c r="C950" s="191"/>
      <c r="D950" s="192"/>
      <c r="E950" s="193"/>
      <c r="F950" s="193"/>
      <c r="G950" s="194" t="str">
        <f t="shared" si="55"/>
        <v/>
      </c>
      <c r="H950" s="195" t="str">
        <f t="shared" si="56"/>
        <v/>
      </c>
      <c r="I950" s="192"/>
      <c r="J950" s="196"/>
      <c r="K950" s="192"/>
      <c r="L950" s="324"/>
      <c r="M950" s="192">
        <f t="shared" si="58"/>
        <v>0</v>
      </c>
    </row>
    <row r="951" ht="22.5" hidden="1" customHeight="1">
      <c r="A951" s="189"/>
      <c r="B951" s="190"/>
      <c r="C951" s="191"/>
      <c r="D951" s="192"/>
      <c r="E951" s="193"/>
      <c r="F951" s="193"/>
      <c r="G951" s="194" t="str">
        <f t="shared" si="55"/>
        <v/>
      </c>
      <c r="H951" s="195" t="str">
        <f t="shared" si="56"/>
        <v/>
      </c>
      <c r="I951" s="192"/>
      <c r="J951" s="196"/>
      <c r="K951" s="192"/>
      <c r="L951" s="324"/>
      <c r="M951" s="192">
        <f t="shared" si="58"/>
        <v>0</v>
      </c>
    </row>
    <row r="952" ht="22.5" hidden="1" customHeight="1">
      <c r="A952" s="189"/>
      <c r="B952" s="190"/>
      <c r="C952" s="191"/>
      <c r="D952" s="192"/>
      <c r="E952" s="193"/>
      <c r="F952" s="193"/>
      <c r="G952" s="194" t="str">
        <f t="shared" si="55"/>
        <v/>
      </c>
      <c r="H952" s="195" t="str">
        <f t="shared" si="56"/>
        <v/>
      </c>
      <c r="I952" s="192"/>
      <c r="J952" s="196"/>
      <c r="K952" s="192"/>
      <c r="L952" s="324"/>
      <c r="M952" s="192">
        <f t="shared" si="58"/>
        <v>0</v>
      </c>
    </row>
    <row r="953" ht="22.5" hidden="1" customHeight="1">
      <c r="A953" s="189"/>
      <c r="B953" s="190"/>
      <c r="C953" s="191"/>
      <c r="D953" s="192"/>
      <c r="E953" s="193"/>
      <c r="F953" s="193"/>
      <c r="G953" s="194" t="str">
        <f t="shared" si="55"/>
        <v/>
      </c>
      <c r="H953" s="195" t="str">
        <f t="shared" si="56"/>
        <v/>
      </c>
      <c r="I953" s="192"/>
      <c r="J953" s="196"/>
      <c r="K953" s="192"/>
      <c r="L953" s="324"/>
      <c r="M953" s="192">
        <f t="shared" si="58"/>
        <v>0</v>
      </c>
    </row>
    <row r="954" ht="22.5" hidden="1" customHeight="1">
      <c r="A954" s="189"/>
      <c r="B954" s="190"/>
      <c r="C954" s="191"/>
      <c r="D954" s="192"/>
      <c r="E954" s="193"/>
      <c r="F954" s="193"/>
      <c r="G954" s="194" t="str">
        <f t="shared" si="55"/>
        <v/>
      </c>
      <c r="H954" s="195" t="str">
        <f t="shared" si="56"/>
        <v/>
      </c>
      <c r="I954" s="192"/>
      <c r="J954" s="196"/>
      <c r="K954" s="192"/>
      <c r="L954" s="324"/>
      <c r="M954" s="192">
        <f t="shared" si="58"/>
        <v>0</v>
      </c>
    </row>
    <row r="955" ht="22.5" hidden="1" customHeight="1">
      <c r="A955" s="189"/>
      <c r="B955" s="190"/>
      <c r="C955" s="191"/>
      <c r="D955" s="192"/>
      <c r="E955" s="193"/>
      <c r="F955" s="193"/>
      <c r="G955" s="194" t="str">
        <f t="shared" si="55"/>
        <v/>
      </c>
      <c r="H955" s="195" t="str">
        <f t="shared" si="56"/>
        <v/>
      </c>
      <c r="I955" s="192"/>
      <c r="J955" s="196"/>
      <c r="K955" s="192"/>
      <c r="L955" s="324"/>
      <c r="M955" s="192">
        <f t="shared" si="58"/>
        <v>0</v>
      </c>
    </row>
    <row r="956" ht="22.5" hidden="1" customHeight="1">
      <c r="A956" s="189"/>
      <c r="B956" s="190"/>
      <c r="C956" s="191"/>
      <c r="D956" s="192"/>
      <c r="E956" s="193"/>
      <c r="F956" s="193"/>
      <c r="G956" s="194" t="str">
        <f t="shared" si="55"/>
        <v/>
      </c>
      <c r="H956" s="195" t="str">
        <f t="shared" si="56"/>
        <v/>
      </c>
      <c r="I956" s="192"/>
      <c r="J956" s="196"/>
      <c r="K956" s="192"/>
      <c r="L956" s="324"/>
      <c r="M956" s="192">
        <f t="shared" si="58"/>
        <v>0</v>
      </c>
    </row>
    <row r="957" ht="22.5" hidden="1" customHeight="1">
      <c r="A957" s="189"/>
      <c r="B957" s="190"/>
      <c r="C957" s="191"/>
      <c r="D957" s="192"/>
      <c r="E957" s="193"/>
      <c r="F957" s="193"/>
      <c r="G957" s="194" t="str">
        <f t="shared" si="55"/>
        <v/>
      </c>
      <c r="H957" s="195" t="str">
        <f t="shared" si="56"/>
        <v/>
      </c>
      <c r="I957" s="192"/>
      <c r="J957" s="196"/>
      <c r="K957" s="192"/>
      <c r="L957" s="324"/>
      <c r="M957" s="192">
        <f t="shared" si="58"/>
        <v>0</v>
      </c>
    </row>
    <row r="958" ht="22.5" hidden="1" customHeight="1">
      <c r="A958" s="189"/>
      <c r="B958" s="190"/>
      <c r="C958" s="191"/>
      <c r="D958" s="192"/>
      <c r="E958" s="193"/>
      <c r="F958" s="193"/>
      <c r="G958" s="194" t="str">
        <f t="shared" si="55"/>
        <v/>
      </c>
      <c r="H958" s="195" t="str">
        <f t="shared" si="56"/>
        <v/>
      </c>
      <c r="I958" s="192"/>
      <c r="J958" s="196"/>
      <c r="K958" s="192"/>
      <c r="L958" s="324"/>
      <c r="M958" s="192">
        <f t="shared" si="58"/>
        <v>0</v>
      </c>
    </row>
    <row r="959" ht="22.5" hidden="1" customHeight="1">
      <c r="A959" s="189"/>
      <c r="B959" s="190"/>
      <c r="C959" s="191"/>
      <c r="D959" s="192"/>
      <c r="E959" s="193"/>
      <c r="F959" s="193"/>
      <c r="G959" s="194" t="str">
        <f t="shared" si="55"/>
        <v/>
      </c>
      <c r="H959" s="195" t="str">
        <f t="shared" si="56"/>
        <v/>
      </c>
      <c r="I959" s="192"/>
      <c r="J959" s="196"/>
      <c r="K959" s="192"/>
      <c r="L959" s="324"/>
      <c r="M959" s="192">
        <f t="shared" si="58"/>
        <v>0</v>
      </c>
    </row>
    <row r="960" ht="22.5" hidden="1" customHeight="1">
      <c r="A960" s="189"/>
      <c r="B960" s="190"/>
      <c r="C960" s="191"/>
      <c r="D960" s="192"/>
      <c r="E960" s="193"/>
      <c r="F960" s="193"/>
      <c r="G960" s="194" t="str">
        <f t="shared" si="55"/>
        <v/>
      </c>
      <c r="H960" s="195" t="str">
        <f t="shared" si="56"/>
        <v/>
      </c>
      <c r="I960" s="192"/>
      <c r="J960" s="196"/>
      <c r="K960" s="192"/>
      <c r="L960" s="324"/>
      <c r="M960" s="192">
        <f t="shared" si="58"/>
        <v>0</v>
      </c>
    </row>
    <row r="961" ht="22.5" hidden="1" customHeight="1">
      <c r="A961" s="189"/>
      <c r="B961" s="190"/>
      <c r="C961" s="191"/>
      <c r="D961" s="192"/>
      <c r="E961" s="193"/>
      <c r="F961" s="193"/>
      <c r="G961" s="194" t="str">
        <f t="shared" si="55"/>
        <v/>
      </c>
      <c r="H961" s="195" t="str">
        <f t="shared" si="56"/>
        <v/>
      </c>
      <c r="I961" s="192"/>
      <c r="J961" s="196"/>
      <c r="K961" s="192"/>
      <c r="L961" s="324"/>
      <c r="M961" s="192">
        <f t="shared" si="58"/>
        <v>0</v>
      </c>
    </row>
    <row r="962" ht="22.5" hidden="1" customHeight="1">
      <c r="A962" s="189"/>
      <c r="B962" s="190"/>
      <c r="C962" s="191"/>
      <c r="D962" s="192"/>
      <c r="E962" s="193"/>
      <c r="F962" s="193"/>
      <c r="G962" s="194" t="str">
        <f t="shared" si="55"/>
        <v/>
      </c>
      <c r="H962" s="195" t="str">
        <f t="shared" si="56"/>
        <v/>
      </c>
      <c r="I962" s="192"/>
      <c r="J962" s="196"/>
      <c r="K962" s="192"/>
      <c r="L962" s="324"/>
      <c r="M962" s="192">
        <f t="shared" si="58"/>
        <v>0</v>
      </c>
    </row>
    <row r="963" ht="22.5" hidden="1" customHeight="1">
      <c r="A963" s="189"/>
      <c r="B963" s="190"/>
      <c r="C963" s="191"/>
      <c r="D963" s="192"/>
      <c r="E963" s="193"/>
      <c r="F963" s="193"/>
      <c r="G963" s="194" t="str">
        <f t="shared" si="55"/>
        <v/>
      </c>
      <c r="H963" s="195" t="str">
        <f t="shared" si="56"/>
        <v/>
      </c>
      <c r="I963" s="192"/>
      <c r="J963" s="196"/>
      <c r="K963" s="192"/>
      <c r="L963" s="324"/>
      <c r="M963" s="192">
        <f t="shared" si="58"/>
        <v>0</v>
      </c>
    </row>
    <row r="964" ht="22.5" hidden="1" customHeight="1">
      <c r="A964" s="189"/>
      <c r="B964" s="190"/>
      <c r="C964" s="191"/>
      <c r="D964" s="192"/>
      <c r="E964" s="193"/>
      <c r="F964" s="193"/>
      <c r="G964" s="194" t="str">
        <f t="shared" si="55"/>
        <v/>
      </c>
      <c r="H964" s="195" t="str">
        <f t="shared" si="56"/>
        <v/>
      </c>
      <c r="I964" s="192"/>
      <c r="J964" s="196"/>
      <c r="K964" s="192"/>
      <c r="L964" s="324"/>
      <c r="M964" s="192">
        <f t="shared" si="58"/>
        <v>0</v>
      </c>
    </row>
    <row r="965" ht="22.5" hidden="1" customHeight="1">
      <c r="A965" s="189"/>
      <c r="B965" s="190"/>
      <c r="C965" s="191"/>
      <c r="D965" s="192"/>
      <c r="E965" s="193"/>
      <c r="F965" s="193"/>
      <c r="G965" s="194" t="str">
        <f t="shared" si="55"/>
        <v/>
      </c>
      <c r="H965" s="195" t="str">
        <f t="shared" si="56"/>
        <v/>
      </c>
      <c r="I965" s="192"/>
      <c r="J965" s="196"/>
      <c r="K965" s="192"/>
      <c r="L965" s="324"/>
      <c r="M965" s="192">
        <f t="shared" si="58"/>
        <v>0</v>
      </c>
    </row>
    <row r="966" ht="22.5" hidden="1" customHeight="1">
      <c r="A966" s="189"/>
      <c r="B966" s="190"/>
      <c r="C966" s="191"/>
      <c r="D966" s="192"/>
      <c r="E966" s="193"/>
      <c r="F966" s="193"/>
      <c r="G966" s="194" t="str">
        <f t="shared" si="55"/>
        <v/>
      </c>
      <c r="H966" s="195" t="str">
        <f t="shared" si="56"/>
        <v/>
      </c>
      <c r="I966" s="192"/>
      <c r="J966" s="196"/>
      <c r="K966" s="192"/>
      <c r="L966" s="324"/>
      <c r="M966" s="192">
        <f t="shared" si="58"/>
        <v>0</v>
      </c>
    </row>
    <row r="967" ht="22.5" hidden="1" customHeight="1">
      <c r="A967" s="189"/>
      <c r="B967" s="190"/>
      <c r="C967" s="191"/>
      <c r="D967" s="192"/>
      <c r="E967" s="193"/>
      <c r="F967" s="193"/>
      <c r="G967" s="194" t="str">
        <f t="shared" si="55"/>
        <v/>
      </c>
      <c r="H967" s="195" t="str">
        <f t="shared" si="56"/>
        <v/>
      </c>
      <c r="I967" s="192"/>
      <c r="J967" s="196"/>
      <c r="K967" s="192"/>
      <c r="L967" s="324"/>
      <c r="M967" s="192">
        <f t="shared" si="58"/>
        <v>0</v>
      </c>
    </row>
    <row r="968" ht="22.5" hidden="1" customHeight="1">
      <c r="A968" s="189"/>
      <c r="B968" s="190"/>
      <c r="C968" s="191"/>
      <c r="D968" s="192"/>
      <c r="E968" s="193"/>
      <c r="F968" s="193"/>
      <c r="G968" s="194" t="str">
        <f t="shared" si="55"/>
        <v/>
      </c>
      <c r="H968" s="195" t="str">
        <f t="shared" si="56"/>
        <v/>
      </c>
      <c r="I968" s="192"/>
      <c r="J968" s="196"/>
      <c r="K968" s="192"/>
      <c r="L968" s="324"/>
      <c r="M968" s="192">
        <f t="shared" si="58"/>
        <v>0</v>
      </c>
    </row>
    <row r="969" ht="22.5" hidden="1" customHeight="1">
      <c r="A969" s="189"/>
      <c r="B969" s="190"/>
      <c r="C969" s="191"/>
      <c r="D969" s="192"/>
      <c r="E969" s="193"/>
      <c r="F969" s="193"/>
      <c r="G969" s="194" t="str">
        <f t="shared" si="55"/>
        <v/>
      </c>
      <c r="H969" s="195" t="str">
        <f t="shared" si="56"/>
        <v/>
      </c>
      <c r="I969" s="192"/>
      <c r="J969" s="196"/>
      <c r="K969" s="192"/>
      <c r="L969" s="324"/>
      <c r="M969" s="192">
        <f t="shared" si="58"/>
        <v>0</v>
      </c>
    </row>
    <row r="970" ht="22.5" hidden="1" customHeight="1">
      <c r="A970" s="189"/>
      <c r="B970" s="190"/>
      <c r="C970" s="191"/>
      <c r="D970" s="192"/>
      <c r="E970" s="193"/>
      <c r="F970" s="193"/>
      <c r="G970" s="194" t="str">
        <f t="shared" si="55"/>
        <v/>
      </c>
      <c r="H970" s="195" t="str">
        <f t="shared" si="56"/>
        <v/>
      </c>
      <c r="I970" s="192"/>
      <c r="J970" s="196"/>
      <c r="K970" s="192"/>
      <c r="L970" s="324"/>
      <c r="M970" s="192">
        <f t="shared" si="58"/>
        <v>0</v>
      </c>
    </row>
    <row r="971" ht="22.5" hidden="1" customHeight="1">
      <c r="A971" s="189"/>
      <c r="B971" s="190"/>
      <c r="C971" s="191"/>
      <c r="D971" s="192"/>
      <c r="E971" s="193"/>
      <c r="F971" s="193"/>
      <c r="G971" s="194" t="str">
        <f t="shared" si="55"/>
        <v/>
      </c>
      <c r="H971" s="195" t="str">
        <f t="shared" si="56"/>
        <v/>
      </c>
      <c r="I971" s="192"/>
      <c r="J971" s="196"/>
      <c r="K971" s="192"/>
      <c r="L971" s="324"/>
      <c r="M971" s="192">
        <f t="shared" si="58"/>
        <v>0</v>
      </c>
    </row>
    <row r="972" ht="22.5" hidden="1" customHeight="1">
      <c r="A972" s="189"/>
      <c r="B972" s="190"/>
      <c r="C972" s="191"/>
      <c r="D972" s="192"/>
      <c r="E972" s="193"/>
      <c r="F972" s="193"/>
      <c r="G972" s="194" t="str">
        <f t="shared" si="55"/>
        <v/>
      </c>
      <c r="H972" s="195" t="str">
        <f t="shared" si="56"/>
        <v/>
      </c>
      <c r="I972" s="192"/>
      <c r="J972" s="196"/>
      <c r="K972" s="192"/>
      <c r="L972" s="324"/>
      <c r="M972" s="192">
        <f t="shared" si="58"/>
        <v>0</v>
      </c>
    </row>
    <row r="973" ht="22.5" hidden="1" customHeight="1">
      <c r="A973" s="189"/>
      <c r="B973" s="190"/>
      <c r="C973" s="191"/>
      <c r="D973" s="192"/>
      <c r="E973" s="193"/>
      <c r="F973" s="193"/>
      <c r="G973" s="194" t="str">
        <f t="shared" si="55"/>
        <v/>
      </c>
      <c r="H973" s="195" t="str">
        <f t="shared" si="56"/>
        <v/>
      </c>
      <c r="I973" s="192"/>
      <c r="J973" s="196"/>
      <c r="K973" s="192"/>
      <c r="L973" s="324"/>
      <c r="M973" s="192">
        <f t="shared" si="58"/>
        <v>0</v>
      </c>
    </row>
    <row r="974" ht="22.5" hidden="1" customHeight="1">
      <c r="A974" s="189"/>
      <c r="B974" s="190"/>
      <c r="C974" s="191"/>
      <c r="D974" s="192"/>
      <c r="E974" s="193"/>
      <c r="F974" s="193"/>
      <c r="G974" s="194" t="str">
        <f t="shared" si="55"/>
        <v/>
      </c>
      <c r="H974" s="195" t="str">
        <f t="shared" si="56"/>
        <v/>
      </c>
      <c r="I974" s="192"/>
      <c r="J974" s="196"/>
      <c r="K974" s="192"/>
      <c r="L974" s="324"/>
      <c r="M974" s="192">
        <f t="shared" si="58"/>
        <v>0</v>
      </c>
    </row>
    <row r="975" ht="22.5" hidden="1" customHeight="1">
      <c r="A975" s="189"/>
      <c r="B975" s="190"/>
      <c r="C975" s="191"/>
      <c r="D975" s="192"/>
      <c r="E975" s="193"/>
      <c r="F975" s="193"/>
      <c r="G975" s="194" t="str">
        <f t="shared" si="55"/>
        <v/>
      </c>
      <c r="H975" s="195" t="str">
        <f t="shared" si="56"/>
        <v/>
      </c>
      <c r="I975" s="192"/>
      <c r="J975" s="196"/>
      <c r="K975" s="192"/>
      <c r="L975" s="324"/>
      <c r="M975" s="192">
        <f t="shared" si="58"/>
        <v>0</v>
      </c>
    </row>
    <row r="976" ht="22.5" hidden="1" customHeight="1">
      <c r="A976" s="189"/>
      <c r="B976" s="190"/>
      <c r="C976" s="191"/>
      <c r="D976" s="192"/>
      <c r="E976" s="193"/>
      <c r="F976" s="193"/>
      <c r="G976" s="194" t="str">
        <f t="shared" si="55"/>
        <v/>
      </c>
      <c r="H976" s="195" t="str">
        <f t="shared" si="56"/>
        <v/>
      </c>
      <c r="I976" s="192"/>
      <c r="J976" s="196"/>
      <c r="K976" s="192"/>
      <c r="L976" s="324"/>
      <c r="M976" s="192">
        <f t="shared" si="58"/>
        <v>0</v>
      </c>
    </row>
    <row r="977" ht="22.5" hidden="1" customHeight="1">
      <c r="A977" s="189"/>
      <c r="B977" s="190"/>
      <c r="C977" s="191"/>
      <c r="D977" s="192"/>
      <c r="E977" s="193"/>
      <c r="F977" s="193"/>
      <c r="G977" s="194" t="str">
        <f t="shared" si="55"/>
        <v/>
      </c>
      <c r="H977" s="195" t="str">
        <f t="shared" si="56"/>
        <v/>
      </c>
      <c r="I977" s="192"/>
      <c r="J977" s="196"/>
      <c r="K977" s="192"/>
      <c r="L977" s="324"/>
      <c r="M977" s="192">
        <f t="shared" si="58"/>
        <v>0</v>
      </c>
    </row>
    <row r="978" ht="22.5" hidden="1" customHeight="1">
      <c r="A978" s="189"/>
      <c r="B978" s="190"/>
      <c r="C978" s="191"/>
      <c r="D978" s="192"/>
      <c r="E978" s="193"/>
      <c r="F978" s="193"/>
      <c r="G978" s="194" t="str">
        <f t="shared" si="55"/>
        <v/>
      </c>
      <c r="H978" s="195" t="str">
        <f t="shared" si="56"/>
        <v/>
      </c>
      <c r="I978" s="192"/>
      <c r="J978" s="196"/>
      <c r="K978" s="192"/>
      <c r="L978" s="324"/>
      <c r="M978" s="192">
        <f t="shared" si="58"/>
        <v>0</v>
      </c>
    </row>
    <row r="979" ht="22.5" hidden="1" customHeight="1">
      <c r="A979" s="189"/>
      <c r="B979" s="190"/>
      <c r="C979" s="191"/>
      <c r="D979" s="192"/>
      <c r="E979" s="193"/>
      <c r="F979" s="193"/>
      <c r="G979" s="194" t="str">
        <f t="shared" si="55"/>
        <v/>
      </c>
      <c r="H979" s="195" t="str">
        <f t="shared" si="56"/>
        <v/>
      </c>
      <c r="I979" s="192"/>
      <c r="J979" s="196"/>
      <c r="K979" s="192"/>
      <c r="L979" s="324"/>
      <c r="M979" s="192">
        <f t="shared" si="58"/>
        <v>0</v>
      </c>
    </row>
    <row r="980" ht="22.5" hidden="1" customHeight="1">
      <c r="A980" s="189"/>
      <c r="B980" s="190"/>
      <c r="C980" s="191"/>
      <c r="D980" s="192"/>
      <c r="E980" s="193"/>
      <c r="F980" s="193"/>
      <c r="G980" s="194" t="str">
        <f t="shared" si="55"/>
        <v/>
      </c>
      <c r="H980" s="195" t="str">
        <f t="shared" si="56"/>
        <v/>
      </c>
      <c r="I980" s="192"/>
      <c r="J980" s="196"/>
      <c r="K980" s="192"/>
      <c r="L980" s="324"/>
      <c r="M980" s="192">
        <f t="shared" si="58"/>
        <v>0</v>
      </c>
    </row>
    <row r="981" ht="22.5" hidden="1" customHeight="1">
      <c r="A981" s="189"/>
      <c r="B981" s="190"/>
      <c r="C981" s="191"/>
      <c r="D981" s="192"/>
      <c r="E981" s="193"/>
      <c r="F981" s="193"/>
      <c r="G981" s="194" t="str">
        <f t="shared" si="55"/>
        <v/>
      </c>
      <c r="H981" s="195" t="str">
        <f t="shared" si="56"/>
        <v/>
      </c>
      <c r="I981" s="192"/>
      <c r="J981" s="196"/>
      <c r="K981" s="192"/>
      <c r="L981" s="324"/>
      <c r="M981" s="192">
        <f t="shared" si="58"/>
        <v>0</v>
      </c>
    </row>
    <row r="982" ht="22.5" hidden="1" customHeight="1">
      <c r="A982" s="189"/>
      <c r="B982" s="190"/>
      <c r="C982" s="191"/>
      <c r="D982" s="192"/>
      <c r="E982" s="193"/>
      <c r="F982" s="193"/>
      <c r="G982" s="194" t="str">
        <f t="shared" si="55"/>
        <v/>
      </c>
      <c r="H982" s="195" t="str">
        <f t="shared" si="56"/>
        <v/>
      </c>
      <c r="I982" s="192"/>
      <c r="J982" s="196"/>
      <c r="K982" s="192"/>
      <c r="L982" s="324"/>
      <c r="M982" s="192">
        <f t="shared" si="58"/>
        <v>0</v>
      </c>
    </row>
    <row r="983" ht="22.5" hidden="1" customHeight="1">
      <c r="A983" s="189"/>
      <c r="B983" s="190"/>
      <c r="C983" s="191"/>
      <c r="D983" s="192"/>
      <c r="E983" s="193"/>
      <c r="F983" s="193"/>
      <c r="G983" s="194" t="str">
        <f t="shared" si="55"/>
        <v/>
      </c>
      <c r="H983" s="195" t="str">
        <f t="shared" si="56"/>
        <v/>
      </c>
      <c r="I983" s="192"/>
      <c r="J983" s="196"/>
      <c r="K983" s="192"/>
      <c r="L983" s="324"/>
      <c r="M983" s="192">
        <f t="shared" si="58"/>
        <v>0</v>
      </c>
    </row>
    <row r="984" ht="22.5" hidden="1" customHeight="1">
      <c r="A984" s="189"/>
      <c r="B984" s="190"/>
      <c r="C984" s="191"/>
      <c r="D984" s="192"/>
      <c r="E984" s="193"/>
      <c r="F984" s="193"/>
      <c r="G984" s="194" t="str">
        <f t="shared" si="55"/>
        <v/>
      </c>
      <c r="H984" s="195" t="str">
        <f t="shared" si="56"/>
        <v/>
      </c>
      <c r="I984" s="192"/>
      <c r="J984" s="196"/>
      <c r="K984" s="192"/>
      <c r="L984" s="324"/>
      <c r="M984" s="192">
        <f t="shared" si="58"/>
        <v>0</v>
      </c>
    </row>
    <row r="985" ht="22.5" hidden="1" customHeight="1">
      <c r="A985" s="189"/>
      <c r="B985" s="190"/>
      <c r="C985" s="191"/>
      <c r="D985" s="192"/>
      <c r="E985" s="193"/>
      <c r="F985" s="193"/>
      <c r="G985" s="194" t="str">
        <f t="shared" si="55"/>
        <v/>
      </c>
      <c r="H985" s="195" t="str">
        <f t="shared" si="56"/>
        <v/>
      </c>
      <c r="I985" s="192"/>
      <c r="J985" s="196"/>
      <c r="K985" s="192"/>
      <c r="L985" s="324"/>
      <c r="M985" s="192">
        <f t="shared" si="58"/>
        <v>0</v>
      </c>
    </row>
    <row r="986" ht="22.5" hidden="1" customHeight="1">
      <c r="A986" s="189"/>
      <c r="B986" s="190"/>
      <c r="C986" s="191"/>
      <c r="D986" s="192"/>
      <c r="E986" s="193"/>
      <c r="F986" s="193"/>
      <c r="G986" s="194" t="str">
        <f t="shared" si="55"/>
        <v/>
      </c>
      <c r="H986" s="195" t="str">
        <f t="shared" si="56"/>
        <v/>
      </c>
      <c r="I986" s="192"/>
      <c r="J986" s="196"/>
      <c r="K986" s="192"/>
      <c r="L986" s="324"/>
      <c r="M986" s="192">
        <f t="shared" si="58"/>
        <v>0</v>
      </c>
    </row>
    <row r="987" ht="22.5" hidden="1" customHeight="1">
      <c r="A987" s="189"/>
      <c r="B987" s="190"/>
      <c r="C987" s="191"/>
      <c r="D987" s="192"/>
      <c r="E987" s="193"/>
      <c r="F987" s="193"/>
      <c r="G987" s="194" t="str">
        <f t="shared" si="55"/>
        <v/>
      </c>
      <c r="H987" s="195" t="str">
        <f t="shared" si="56"/>
        <v/>
      </c>
      <c r="I987" s="192"/>
      <c r="J987" s="196"/>
      <c r="K987" s="192"/>
      <c r="L987" s="324"/>
      <c r="M987" s="192">
        <f t="shared" si="58"/>
        <v>0</v>
      </c>
    </row>
    <row r="988" ht="22.5" hidden="1" customHeight="1">
      <c r="A988" s="189"/>
      <c r="B988" s="190"/>
      <c r="C988" s="191"/>
      <c r="D988" s="192"/>
      <c r="E988" s="193"/>
      <c r="F988" s="193"/>
      <c r="G988" s="194" t="str">
        <f t="shared" si="55"/>
        <v/>
      </c>
      <c r="H988" s="195" t="str">
        <f t="shared" si="56"/>
        <v/>
      </c>
      <c r="I988" s="192"/>
      <c r="J988" s="196"/>
      <c r="K988" s="192"/>
      <c r="L988" s="324"/>
      <c r="M988" s="192">
        <f t="shared" si="58"/>
        <v>0</v>
      </c>
    </row>
    <row r="989" ht="22.5" hidden="1" customHeight="1">
      <c r="A989" s="189"/>
      <c r="B989" s="190"/>
      <c r="C989" s="191"/>
      <c r="D989" s="192"/>
      <c r="E989" s="193"/>
      <c r="F989" s="193"/>
      <c r="G989" s="194" t="str">
        <f t="shared" si="55"/>
        <v/>
      </c>
      <c r="H989" s="195" t="str">
        <f t="shared" si="56"/>
        <v/>
      </c>
      <c r="I989" s="192"/>
      <c r="J989" s="196"/>
      <c r="K989" s="192"/>
      <c r="L989" s="324"/>
      <c r="M989" s="192">
        <f t="shared" si="58"/>
        <v>0</v>
      </c>
    </row>
    <row r="990" ht="22.5" hidden="1" customHeight="1">
      <c r="A990" s="189"/>
      <c r="B990" s="190"/>
      <c r="C990" s="191"/>
      <c r="D990" s="192"/>
      <c r="E990" s="193"/>
      <c r="F990" s="193"/>
      <c r="G990" s="194" t="str">
        <f t="shared" si="55"/>
        <v/>
      </c>
      <c r="H990" s="195" t="str">
        <f t="shared" si="56"/>
        <v/>
      </c>
      <c r="I990" s="192"/>
      <c r="J990" s="196"/>
      <c r="K990" s="192"/>
      <c r="L990" s="324"/>
      <c r="M990" s="192">
        <f t="shared" si="58"/>
        <v>0</v>
      </c>
    </row>
    <row r="991" ht="22.5" hidden="1" customHeight="1">
      <c r="A991" s="189"/>
      <c r="B991" s="190"/>
      <c r="C991" s="191"/>
      <c r="D991" s="192"/>
      <c r="E991" s="193"/>
      <c r="F991" s="193"/>
      <c r="G991" s="194" t="str">
        <f t="shared" si="55"/>
        <v/>
      </c>
      <c r="H991" s="195" t="str">
        <f t="shared" si="56"/>
        <v/>
      </c>
      <c r="I991" s="192"/>
      <c r="J991" s="196"/>
      <c r="K991" s="192"/>
      <c r="L991" s="324"/>
      <c r="M991" s="192">
        <f t="shared" si="58"/>
        <v>0</v>
      </c>
    </row>
    <row r="992" ht="22.5" hidden="1" customHeight="1">
      <c r="A992" s="189"/>
      <c r="B992" s="190"/>
      <c r="C992" s="191"/>
      <c r="D992" s="192"/>
      <c r="E992" s="193"/>
      <c r="F992" s="193"/>
      <c r="G992" s="194" t="str">
        <f t="shared" si="55"/>
        <v/>
      </c>
      <c r="H992" s="195" t="str">
        <f t="shared" si="56"/>
        <v/>
      </c>
      <c r="I992" s="192"/>
      <c r="J992" s="196"/>
      <c r="K992" s="192"/>
      <c r="L992" s="324"/>
      <c r="M992" s="192">
        <f t="shared" si="58"/>
        <v>0</v>
      </c>
    </row>
    <row r="993" ht="22.5" hidden="1" customHeight="1">
      <c r="A993" s="189"/>
      <c r="B993" s="190"/>
      <c r="C993" s="191"/>
      <c r="D993" s="192"/>
      <c r="E993" s="193"/>
      <c r="F993" s="193"/>
      <c r="G993" s="194" t="str">
        <f t="shared" si="55"/>
        <v/>
      </c>
      <c r="H993" s="195" t="str">
        <f t="shared" si="56"/>
        <v/>
      </c>
      <c r="I993" s="192"/>
      <c r="J993" s="196"/>
      <c r="K993" s="192"/>
      <c r="L993" s="324"/>
      <c r="M993" s="192">
        <f t="shared" si="58"/>
        <v>0</v>
      </c>
    </row>
    <row r="994" ht="22.5" hidden="1" customHeight="1">
      <c r="A994" s="189"/>
      <c r="B994" s="190"/>
      <c r="C994" s="191"/>
      <c r="D994" s="192"/>
      <c r="E994" s="193"/>
      <c r="F994" s="193"/>
      <c r="G994" s="194" t="str">
        <f t="shared" si="55"/>
        <v/>
      </c>
      <c r="H994" s="195" t="str">
        <f t="shared" si="56"/>
        <v/>
      </c>
      <c r="I994" s="192"/>
      <c r="J994" s="196"/>
      <c r="K994" s="192"/>
      <c r="L994" s="324"/>
      <c r="M994" s="192">
        <f t="shared" si="58"/>
        <v>0</v>
      </c>
    </row>
    <row r="995" ht="22.5" hidden="1" customHeight="1">
      <c r="A995" s="189"/>
      <c r="B995" s="190"/>
      <c r="C995" s="191"/>
      <c r="D995" s="192"/>
      <c r="E995" s="193"/>
      <c r="F995" s="193"/>
      <c r="G995" s="194" t="str">
        <f t="shared" si="55"/>
        <v/>
      </c>
      <c r="H995" s="195" t="str">
        <f t="shared" si="56"/>
        <v/>
      </c>
      <c r="I995" s="192"/>
      <c r="J995" s="196"/>
      <c r="K995" s="192"/>
      <c r="L995" s="324"/>
      <c r="M995" s="192">
        <f t="shared" si="58"/>
        <v>0</v>
      </c>
    </row>
    <row r="996" ht="22.5" hidden="1" customHeight="1">
      <c r="A996" s="189"/>
      <c r="B996" s="190"/>
      <c r="C996" s="191"/>
      <c r="D996" s="192"/>
      <c r="E996" s="193"/>
      <c r="F996" s="193"/>
      <c r="G996" s="194" t="str">
        <f t="shared" si="55"/>
        <v/>
      </c>
      <c r="H996" s="195" t="str">
        <f t="shared" si="56"/>
        <v/>
      </c>
      <c r="I996" s="192"/>
      <c r="J996" s="196"/>
      <c r="K996" s="192"/>
      <c r="L996" s="324"/>
      <c r="M996" s="192">
        <f t="shared" si="58"/>
        <v>0</v>
      </c>
    </row>
    <row r="997" ht="22.5" hidden="1" customHeight="1">
      <c r="A997" s="189"/>
      <c r="B997" s="190"/>
      <c r="C997" s="191"/>
      <c r="D997" s="192"/>
      <c r="E997" s="193"/>
      <c r="F997" s="193"/>
      <c r="G997" s="194" t="str">
        <f t="shared" si="55"/>
        <v/>
      </c>
      <c r="H997" s="195" t="str">
        <f t="shared" si="56"/>
        <v/>
      </c>
      <c r="I997" s="192"/>
      <c r="J997" s="196"/>
      <c r="K997" s="192"/>
      <c r="L997" s="324"/>
      <c r="M997" s="192">
        <f t="shared" si="58"/>
        <v>0</v>
      </c>
    </row>
    <row r="998" ht="22.5" hidden="1" customHeight="1">
      <c r="A998" s="189"/>
      <c r="B998" s="190"/>
      <c r="C998" s="191"/>
      <c r="D998" s="192"/>
      <c r="E998" s="193"/>
      <c r="F998" s="193"/>
      <c r="G998" s="194" t="str">
        <f t="shared" si="55"/>
        <v/>
      </c>
      <c r="H998" s="195" t="str">
        <f t="shared" si="56"/>
        <v/>
      </c>
      <c r="I998" s="192"/>
      <c r="J998" s="196"/>
      <c r="K998" s="192"/>
      <c r="L998" s="324"/>
      <c r="M998" s="192">
        <f t="shared" si="58"/>
        <v>0</v>
      </c>
    </row>
    <row r="999" ht="22.5" hidden="1" customHeight="1">
      <c r="A999" s="189"/>
      <c r="B999" s="190"/>
      <c r="C999" s="191"/>
      <c r="D999" s="192"/>
      <c r="E999" s="193"/>
      <c r="F999" s="193"/>
      <c r="G999" s="194" t="str">
        <f t="shared" si="55"/>
        <v/>
      </c>
      <c r="H999" s="195" t="str">
        <f t="shared" si="56"/>
        <v/>
      </c>
      <c r="I999" s="192"/>
      <c r="J999" s="196"/>
      <c r="K999" s="192"/>
      <c r="L999" s="324"/>
      <c r="M999" s="192">
        <f t="shared" si="58"/>
        <v>0</v>
      </c>
    </row>
    <row r="1000" ht="22.5" hidden="1" customHeight="1">
      <c r="A1000" s="189"/>
      <c r="B1000" s="190"/>
      <c r="C1000" s="191"/>
      <c r="D1000" s="192"/>
      <c r="E1000" s="193"/>
      <c r="F1000" s="193"/>
      <c r="G1000" s="194" t="str">
        <f t="shared" si="55"/>
        <v/>
      </c>
      <c r="H1000" s="195" t="str">
        <f t="shared" si="56"/>
        <v/>
      </c>
      <c r="I1000" s="192"/>
      <c r="J1000" s="196"/>
      <c r="K1000" s="192"/>
      <c r="L1000" s="324"/>
      <c r="M1000" s="192">
        <f t="shared" si="58"/>
        <v>0</v>
      </c>
    </row>
    <row r="1001" ht="22.5" hidden="1" customHeight="1">
      <c r="A1001" s="189"/>
      <c r="B1001" s="190"/>
      <c r="C1001" s="191"/>
      <c r="D1001" s="192"/>
      <c r="E1001" s="193"/>
      <c r="F1001" s="193"/>
      <c r="G1001" s="194" t="str">
        <f t="shared" si="55"/>
        <v/>
      </c>
      <c r="H1001" s="195" t="str">
        <f t="shared" si="56"/>
        <v/>
      </c>
      <c r="I1001" s="192"/>
      <c r="J1001" s="196"/>
      <c r="K1001" s="192"/>
      <c r="L1001" s="324"/>
      <c r="M1001" s="192">
        <f t="shared" si="58"/>
        <v>0</v>
      </c>
    </row>
    <row r="1002" ht="22.5" hidden="1" customHeight="1">
      <c r="A1002" s="189"/>
      <c r="B1002" s="190"/>
      <c r="C1002" s="191"/>
      <c r="D1002" s="192"/>
      <c r="E1002" s="193"/>
      <c r="F1002" s="193"/>
      <c r="G1002" s="194" t="str">
        <f t="shared" si="55"/>
        <v/>
      </c>
      <c r="H1002" s="195" t="str">
        <f t="shared" si="56"/>
        <v/>
      </c>
      <c r="I1002" s="192"/>
      <c r="J1002" s="196"/>
      <c r="K1002" s="192"/>
      <c r="L1002" s="324"/>
      <c r="M1002" s="192">
        <f t="shared" si="58"/>
        <v>0</v>
      </c>
    </row>
    <row r="1003" ht="22.5" hidden="1" customHeight="1">
      <c r="A1003" s="189"/>
      <c r="B1003" s="190"/>
      <c r="C1003" s="191"/>
      <c r="D1003" s="192"/>
      <c r="E1003" s="193"/>
      <c r="F1003" s="193"/>
      <c r="G1003" s="194" t="str">
        <f t="shared" si="55"/>
        <v/>
      </c>
      <c r="H1003" s="195" t="str">
        <f t="shared" si="56"/>
        <v/>
      </c>
      <c r="I1003" s="192"/>
      <c r="J1003" s="196"/>
      <c r="K1003" s="192"/>
      <c r="L1003" s="324"/>
      <c r="M1003" s="192">
        <f t="shared" si="58"/>
        <v>0</v>
      </c>
    </row>
    <row r="1004" ht="22.5" hidden="1" customHeight="1">
      <c r="A1004" s="189"/>
      <c r="B1004" s="190"/>
      <c r="C1004" s="191"/>
      <c r="D1004" s="192"/>
      <c r="E1004" s="193"/>
      <c r="F1004" s="193"/>
      <c r="G1004" s="194" t="str">
        <f t="shared" si="55"/>
        <v/>
      </c>
      <c r="H1004" s="195" t="str">
        <f t="shared" si="56"/>
        <v/>
      </c>
      <c r="I1004" s="192"/>
      <c r="J1004" s="196"/>
      <c r="K1004" s="192"/>
      <c r="L1004" s="324"/>
      <c r="M1004" s="192">
        <f t="shared" si="58"/>
        <v>0</v>
      </c>
    </row>
    <row r="1005" ht="22.5" hidden="1" customHeight="1">
      <c r="A1005" s="189"/>
      <c r="B1005" s="190"/>
      <c r="C1005" s="191"/>
      <c r="D1005" s="192"/>
      <c r="E1005" s="193"/>
      <c r="F1005" s="193"/>
      <c r="G1005" s="194" t="str">
        <f t="shared" si="55"/>
        <v/>
      </c>
      <c r="H1005" s="195" t="str">
        <f t="shared" si="56"/>
        <v/>
      </c>
      <c r="I1005" s="192"/>
      <c r="J1005" s="196"/>
      <c r="K1005" s="192"/>
      <c r="L1005" s="324"/>
      <c r="M1005" s="192">
        <f t="shared" si="58"/>
        <v>0</v>
      </c>
    </row>
    <row r="1006" ht="22.5" hidden="1" customHeight="1">
      <c r="A1006" s="189"/>
      <c r="B1006" s="190"/>
      <c r="C1006" s="191"/>
      <c r="D1006" s="192"/>
      <c r="E1006" s="193"/>
      <c r="F1006" s="193"/>
      <c r="G1006" s="194" t="str">
        <f t="shared" si="55"/>
        <v/>
      </c>
      <c r="H1006" s="195" t="str">
        <f t="shared" si="56"/>
        <v/>
      </c>
      <c r="I1006" s="192"/>
      <c r="J1006" s="196"/>
      <c r="K1006" s="192"/>
      <c r="L1006" s="324"/>
      <c r="M1006" s="192">
        <f t="shared" si="58"/>
        <v>0</v>
      </c>
    </row>
    <row r="1007" ht="22.5" hidden="1" customHeight="1">
      <c r="A1007" s="189"/>
      <c r="B1007" s="190"/>
      <c r="C1007" s="191"/>
      <c r="D1007" s="192"/>
      <c r="E1007" s="193"/>
      <c r="F1007" s="193"/>
      <c r="G1007" s="194" t="str">
        <f t="shared" si="55"/>
        <v/>
      </c>
      <c r="H1007" s="195" t="str">
        <f t="shared" si="56"/>
        <v/>
      </c>
      <c r="I1007" s="192"/>
      <c r="J1007" s="196"/>
      <c r="K1007" s="192"/>
      <c r="L1007" s="324"/>
      <c r="M1007" s="192">
        <f t="shared" si="58"/>
        <v>0</v>
      </c>
    </row>
    <row r="1008" ht="22.5" hidden="1" customHeight="1">
      <c r="A1008" s="189"/>
      <c r="B1008" s="190"/>
      <c r="C1008" s="191"/>
      <c r="D1008" s="192"/>
      <c r="E1008" s="193"/>
      <c r="F1008" s="193"/>
      <c r="G1008" s="194" t="str">
        <f t="shared" si="55"/>
        <v/>
      </c>
      <c r="H1008" s="195" t="str">
        <f t="shared" si="56"/>
        <v/>
      </c>
      <c r="I1008" s="192"/>
      <c r="J1008" s="196"/>
      <c r="K1008" s="192"/>
      <c r="L1008" s="324"/>
      <c r="M1008" s="192">
        <f t="shared" si="58"/>
        <v>0</v>
      </c>
    </row>
    <row r="1009" ht="22.5" hidden="1" customHeight="1">
      <c r="A1009" s="189"/>
      <c r="B1009" s="190"/>
      <c r="C1009" s="191"/>
      <c r="D1009" s="192"/>
      <c r="E1009" s="193"/>
      <c r="F1009" s="193"/>
      <c r="G1009" s="194" t="str">
        <f t="shared" si="55"/>
        <v/>
      </c>
      <c r="H1009" s="195" t="str">
        <f t="shared" si="56"/>
        <v/>
      </c>
      <c r="I1009" s="192"/>
      <c r="J1009" s="196"/>
      <c r="K1009" s="192"/>
      <c r="L1009" s="324"/>
      <c r="M1009" s="192">
        <f t="shared" si="58"/>
        <v>0</v>
      </c>
    </row>
    <row r="1010" ht="22.5" hidden="1" customHeight="1">
      <c r="A1010" s="189"/>
      <c r="B1010" s="190"/>
      <c r="C1010" s="191"/>
      <c r="D1010" s="192"/>
      <c r="E1010" s="193"/>
      <c r="F1010" s="193"/>
      <c r="G1010" s="194" t="str">
        <f t="shared" si="55"/>
        <v/>
      </c>
      <c r="H1010" s="195" t="str">
        <f t="shared" si="56"/>
        <v/>
      </c>
      <c r="I1010" s="192"/>
      <c r="J1010" s="196"/>
      <c r="K1010" s="192"/>
      <c r="L1010" s="324"/>
      <c r="M1010" s="192">
        <f t="shared" si="58"/>
        <v>0</v>
      </c>
    </row>
    <row r="1011" ht="22.5" hidden="1" customHeight="1">
      <c r="A1011" s="189"/>
      <c r="B1011" s="190"/>
      <c r="C1011" s="191"/>
      <c r="D1011" s="192"/>
      <c r="E1011" s="193"/>
      <c r="F1011" s="193"/>
      <c r="G1011" s="194" t="str">
        <f t="shared" si="55"/>
        <v/>
      </c>
      <c r="H1011" s="195" t="str">
        <f t="shared" si="56"/>
        <v/>
      </c>
      <c r="I1011" s="192"/>
      <c r="J1011" s="196"/>
      <c r="K1011" s="192"/>
      <c r="L1011" s="324"/>
      <c r="M1011" s="192">
        <f t="shared" si="58"/>
        <v>0</v>
      </c>
    </row>
    <row r="1012" ht="22.5" hidden="1" customHeight="1">
      <c r="A1012" s="189"/>
      <c r="B1012" s="190"/>
      <c r="C1012" s="191"/>
      <c r="D1012" s="192"/>
      <c r="E1012" s="193"/>
      <c r="F1012" s="193"/>
      <c r="G1012" s="194" t="str">
        <f t="shared" si="55"/>
        <v/>
      </c>
      <c r="H1012" s="195" t="str">
        <f t="shared" si="56"/>
        <v/>
      </c>
      <c r="I1012" s="192"/>
      <c r="J1012" s="196"/>
      <c r="K1012" s="192"/>
      <c r="L1012" s="324"/>
      <c r="M1012" s="192">
        <f t="shared" si="58"/>
        <v>0</v>
      </c>
    </row>
    <row r="1013" ht="22.5" hidden="1" customHeight="1">
      <c r="A1013" s="189"/>
      <c r="B1013" s="190"/>
      <c r="C1013" s="191"/>
      <c r="D1013" s="192"/>
      <c r="E1013" s="193"/>
      <c r="F1013" s="193"/>
      <c r="G1013" s="194" t="str">
        <f t="shared" si="55"/>
        <v/>
      </c>
      <c r="H1013" s="195" t="str">
        <f t="shared" si="56"/>
        <v/>
      </c>
      <c r="I1013" s="192"/>
      <c r="J1013" s="196"/>
      <c r="K1013" s="192"/>
      <c r="L1013" s="324"/>
      <c r="M1013" s="192">
        <f t="shared" si="58"/>
        <v>0</v>
      </c>
    </row>
    <row r="1014" ht="22.5" hidden="1" customHeight="1">
      <c r="A1014" s="189"/>
      <c r="B1014" s="190"/>
      <c r="C1014" s="191"/>
      <c r="D1014" s="192"/>
      <c r="E1014" s="193"/>
      <c r="F1014" s="193"/>
      <c r="G1014" s="194" t="str">
        <f t="shared" si="55"/>
        <v/>
      </c>
      <c r="H1014" s="195" t="str">
        <f t="shared" si="56"/>
        <v/>
      </c>
      <c r="I1014" s="192"/>
      <c r="J1014" s="196"/>
      <c r="K1014" s="192"/>
      <c r="L1014" s="324"/>
      <c r="M1014" s="192">
        <f t="shared" si="58"/>
        <v>0</v>
      </c>
    </row>
    <row r="1015" ht="22.5" hidden="1" customHeight="1">
      <c r="A1015" s="189"/>
      <c r="B1015" s="190"/>
      <c r="C1015" s="191"/>
      <c r="D1015" s="192"/>
      <c r="E1015" s="193"/>
      <c r="F1015" s="193"/>
      <c r="G1015" s="194" t="str">
        <f t="shared" si="55"/>
        <v/>
      </c>
      <c r="H1015" s="195" t="str">
        <f t="shared" si="56"/>
        <v/>
      </c>
      <c r="I1015" s="192"/>
      <c r="J1015" s="196"/>
      <c r="K1015" s="192"/>
      <c r="L1015" s="324"/>
      <c r="M1015" s="192">
        <f t="shared" si="58"/>
        <v>0</v>
      </c>
    </row>
    <row r="1016" ht="22.5" hidden="1" customHeight="1">
      <c r="A1016" s="189"/>
      <c r="B1016" s="190"/>
      <c r="C1016" s="191"/>
      <c r="D1016" s="192"/>
      <c r="E1016" s="193"/>
      <c r="F1016" s="193"/>
      <c r="G1016" s="194" t="str">
        <f t="shared" si="55"/>
        <v/>
      </c>
      <c r="H1016" s="195" t="str">
        <f t="shared" si="56"/>
        <v/>
      </c>
      <c r="I1016" s="192"/>
      <c r="J1016" s="196"/>
      <c r="K1016" s="192"/>
      <c r="L1016" s="324"/>
      <c r="M1016" s="192">
        <f t="shared" si="58"/>
        <v>0</v>
      </c>
    </row>
    <row r="1017" ht="22.5" hidden="1" customHeight="1">
      <c r="A1017" s="189"/>
      <c r="B1017" s="190"/>
      <c r="C1017" s="191"/>
      <c r="D1017" s="192"/>
      <c r="E1017" s="193"/>
      <c r="F1017" s="193"/>
      <c r="G1017" s="194" t="str">
        <f t="shared" si="55"/>
        <v/>
      </c>
      <c r="H1017" s="195" t="str">
        <f t="shared" si="56"/>
        <v/>
      </c>
      <c r="I1017" s="192"/>
      <c r="J1017" s="196"/>
      <c r="K1017" s="192"/>
      <c r="L1017" s="324"/>
      <c r="M1017" s="192">
        <f t="shared" si="58"/>
        <v>0</v>
      </c>
    </row>
    <row r="1018" ht="22.5" hidden="1" customHeight="1">
      <c r="A1018" s="189"/>
      <c r="B1018" s="190"/>
      <c r="C1018" s="191"/>
      <c r="D1018" s="192"/>
      <c r="E1018" s="193"/>
      <c r="F1018" s="193"/>
      <c r="G1018" s="194" t="str">
        <f t="shared" si="55"/>
        <v/>
      </c>
      <c r="H1018" s="195" t="str">
        <f t="shared" si="56"/>
        <v/>
      </c>
      <c r="I1018" s="192"/>
      <c r="J1018" s="196"/>
      <c r="K1018" s="192"/>
      <c r="L1018" s="324"/>
      <c r="M1018" s="192">
        <f t="shared" si="58"/>
        <v>0</v>
      </c>
    </row>
    <row r="1019" ht="22.5" hidden="1" customHeight="1">
      <c r="A1019" s="189"/>
      <c r="B1019" s="190"/>
      <c r="C1019" s="191"/>
      <c r="D1019" s="192"/>
      <c r="E1019" s="193"/>
      <c r="F1019" s="193"/>
      <c r="G1019" s="194" t="str">
        <f t="shared" si="55"/>
        <v/>
      </c>
      <c r="H1019" s="195" t="str">
        <f t="shared" si="56"/>
        <v/>
      </c>
      <c r="I1019" s="192"/>
      <c r="J1019" s="196"/>
      <c r="K1019" s="192"/>
      <c r="L1019" s="324"/>
      <c r="M1019" s="192">
        <f t="shared" si="58"/>
        <v>0</v>
      </c>
    </row>
    <row r="1020" ht="22.5" hidden="1" customHeight="1">
      <c r="A1020" s="189"/>
      <c r="B1020" s="190"/>
      <c r="C1020" s="191"/>
      <c r="D1020" s="192"/>
      <c r="E1020" s="193"/>
      <c r="F1020" s="193"/>
      <c r="G1020" s="194" t="str">
        <f t="shared" si="55"/>
        <v/>
      </c>
      <c r="H1020" s="195" t="str">
        <f t="shared" si="56"/>
        <v/>
      </c>
      <c r="I1020" s="192"/>
      <c r="J1020" s="196"/>
      <c r="K1020" s="192"/>
      <c r="L1020" s="324"/>
      <c r="M1020" s="192">
        <f t="shared" si="58"/>
        <v>0</v>
      </c>
    </row>
    <row r="1021" ht="22.5" hidden="1" customHeight="1">
      <c r="A1021" s="189"/>
      <c r="B1021" s="190"/>
      <c r="C1021" s="191"/>
      <c r="D1021" s="192"/>
      <c r="E1021" s="193"/>
      <c r="F1021" s="193"/>
      <c r="G1021" s="194" t="str">
        <f t="shared" si="55"/>
        <v/>
      </c>
      <c r="H1021" s="195" t="str">
        <f t="shared" si="56"/>
        <v/>
      </c>
      <c r="I1021" s="192"/>
      <c r="J1021" s="196"/>
      <c r="K1021" s="192"/>
      <c r="L1021" s="324"/>
      <c r="M1021" s="192">
        <f t="shared" si="58"/>
        <v>0</v>
      </c>
    </row>
    <row r="1022" ht="22.5" hidden="1" customHeight="1">
      <c r="A1022" s="189"/>
      <c r="B1022" s="190"/>
      <c r="C1022" s="191"/>
      <c r="D1022" s="192"/>
      <c r="E1022" s="193"/>
      <c r="F1022" s="193"/>
      <c r="G1022" s="194" t="str">
        <f t="shared" si="55"/>
        <v/>
      </c>
      <c r="H1022" s="195" t="str">
        <f t="shared" si="56"/>
        <v/>
      </c>
      <c r="I1022" s="192"/>
      <c r="J1022" s="196"/>
      <c r="K1022" s="192"/>
      <c r="L1022" s="324"/>
      <c r="M1022" s="192">
        <f t="shared" si="58"/>
        <v>0</v>
      </c>
    </row>
    <row r="1023" ht="22.5" hidden="1" customHeight="1">
      <c r="A1023" s="189"/>
      <c r="B1023" s="190"/>
      <c r="C1023" s="191"/>
      <c r="D1023" s="192"/>
      <c r="E1023" s="193"/>
      <c r="F1023" s="193"/>
      <c r="G1023" s="194" t="str">
        <f t="shared" si="55"/>
        <v/>
      </c>
      <c r="H1023" s="195" t="str">
        <f t="shared" si="56"/>
        <v/>
      </c>
      <c r="I1023" s="192"/>
      <c r="J1023" s="196"/>
      <c r="K1023" s="192"/>
      <c r="L1023" s="324"/>
      <c r="M1023" s="192">
        <f t="shared" si="58"/>
        <v>0</v>
      </c>
    </row>
    <row r="1024" ht="22.5" hidden="1" customHeight="1">
      <c r="A1024" s="189"/>
      <c r="B1024" s="190"/>
      <c r="C1024" s="191"/>
      <c r="D1024" s="192"/>
      <c r="E1024" s="193"/>
      <c r="F1024" s="193"/>
      <c r="G1024" s="194" t="str">
        <f t="shared" si="55"/>
        <v/>
      </c>
      <c r="H1024" s="195" t="str">
        <f t="shared" si="56"/>
        <v/>
      </c>
      <c r="I1024" s="192"/>
      <c r="J1024" s="196"/>
      <c r="K1024" s="192"/>
      <c r="L1024" s="324"/>
      <c r="M1024" s="192">
        <f t="shared" si="58"/>
        <v>0</v>
      </c>
    </row>
    <row r="1025" ht="22.5" hidden="1" customHeight="1">
      <c r="A1025" s="189"/>
      <c r="B1025" s="190"/>
      <c r="C1025" s="191"/>
      <c r="D1025" s="192"/>
      <c r="E1025" s="193"/>
      <c r="F1025" s="193"/>
      <c r="G1025" s="194" t="str">
        <f t="shared" si="55"/>
        <v/>
      </c>
      <c r="H1025" s="195" t="str">
        <f t="shared" si="56"/>
        <v/>
      </c>
      <c r="I1025" s="192"/>
      <c r="J1025" s="196"/>
      <c r="K1025" s="192"/>
      <c r="L1025" s="324"/>
      <c r="M1025" s="192">
        <f t="shared" si="58"/>
        <v>0</v>
      </c>
    </row>
    <row r="1026" ht="22.5" hidden="1" customHeight="1">
      <c r="A1026" s="189"/>
      <c r="B1026" s="190"/>
      <c r="C1026" s="191"/>
      <c r="D1026" s="192"/>
      <c r="E1026" s="193"/>
      <c r="F1026" s="193"/>
      <c r="G1026" s="194" t="str">
        <f t="shared" si="55"/>
        <v/>
      </c>
      <c r="H1026" s="195" t="str">
        <f t="shared" si="56"/>
        <v/>
      </c>
      <c r="I1026" s="192"/>
      <c r="J1026" s="196"/>
      <c r="K1026" s="192"/>
      <c r="L1026" s="324"/>
      <c r="M1026" s="192">
        <f t="shared" si="58"/>
        <v>0</v>
      </c>
    </row>
    <row r="1027" ht="22.5" hidden="1" customHeight="1">
      <c r="A1027" s="189"/>
      <c r="B1027" s="190"/>
      <c r="C1027" s="191"/>
      <c r="D1027" s="192"/>
      <c r="E1027" s="193"/>
      <c r="F1027" s="193"/>
      <c r="G1027" s="194" t="str">
        <f t="shared" si="55"/>
        <v/>
      </c>
      <c r="H1027" s="195" t="str">
        <f t="shared" si="56"/>
        <v/>
      </c>
      <c r="I1027" s="192"/>
      <c r="J1027" s="196"/>
      <c r="K1027" s="192"/>
      <c r="L1027" s="324"/>
      <c r="M1027" s="192">
        <f t="shared" si="58"/>
        <v>0</v>
      </c>
    </row>
    <row r="1028" ht="22.5" hidden="1" customHeight="1">
      <c r="A1028" s="189"/>
      <c r="B1028" s="190"/>
      <c r="C1028" s="191"/>
      <c r="D1028" s="192"/>
      <c r="E1028" s="193"/>
      <c r="F1028" s="193"/>
      <c r="G1028" s="194" t="str">
        <f t="shared" si="55"/>
        <v/>
      </c>
      <c r="H1028" s="195" t="str">
        <f t="shared" si="56"/>
        <v/>
      </c>
      <c r="I1028" s="192"/>
      <c r="J1028" s="196"/>
      <c r="K1028" s="192"/>
      <c r="L1028" s="324"/>
      <c r="M1028" s="192">
        <f t="shared" si="58"/>
        <v>0</v>
      </c>
    </row>
    <row r="1029" ht="22.5" hidden="1" customHeight="1">
      <c r="A1029" s="189"/>
      <c r="B1029" s="190"/>
      <c r="C1029" s="191"/>
      <c r="D1029" s="192"/>
      <c r="E1029" s="193"/>
      <c r="F1029" s="193"/>
      <c r="G1029" s="194" t="str">
        <f t="shared" si="55"/>
        <v/>
      </c>
      <c r="H1029" s="195" t="str">
        <f t="shared" si="56"/>
        <v/>
      </c>
      <c r="I1029" s="192"/>
      <c r="J1029" s="196"/>
      <c r="K1029" s="192"/>
      <c r="L1029" s="324"/>
      <c r="M1029" s="192">
        <f t="shared" si="58"/>
        <v>0</v>
      </c>
    </row>
  </sheetData>
  <dataValidations>
    <dataValidation type="custom" allowBlank="1" showDropDown="1" sqref="E2:F1029">
      <formula1>OR(TIMEVALUE(TEXT(E2, "hh:mm:ss"))=E2, AND(ISNUMBER(E2), LEFT(CELL("format", E2))="D"))</formula1>
    </dataValidation>
    <dataValidation type="custom" allowBlank="1" showDropDown="1" sqref="B2:C1029">
      <formula1>OR(NOT(ISERROR(DATEVALUE(B2))), AND(ISNUMBER(B2), LEFT(CELL("format", B2))="D"))</formula1>
    </dataValidation>
    <dataValidation type="custom" allowBlank="1" showDropDown="1" sqref="D2:D1029 G2:K1029 M2:M1029">
      <formula1>AND(ISNUMBER(D2),(NOT(OR(NOT(ISERROR(DATEVALUE(D2))), AND(ISNUMBER(D2), LEFT(CELL("format", D2))="D")))))</formula1>
    </dataValidation>
    <dataValidation allowBlank="1" showDropDown="1" sqref="A2:A1029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2" width="20.0"/>
  </cols>
  <sheetData>
    <row r="1" ht="26.25" customHeight="1">
      <c r="A1" s="325" t="s">
        <v>248</v>
      </c>
      <c r="B1" s="326" t="s">
        <v>249</v>
      </c>
      <c r="C1" s="327" t="s">
        <v>250</v>
      </c>
      <c r="D1" s="328" t="s">
        <v>251</v>
      </c>
      <c r="E1" s="327" t="s">
        <v>252</v>
      </c>
      <c r="F1" s="327" t="s">
        <v>11</v>
      </c>
      <c r="G1" s="328" t="s">
        <v>12</v>
      </c>
      <c r="H1" s="328" t="s">
        <v>13</v>
      </c>
      <c r="I1" s="328" t="s">
        <v>253</v>
      </c>
      <c r="J1" s="328" t="s">
        <v>14</v>
      </c>
      <c r="K1" s="328" t="s">
        <v>15</v>
      </c>
      <c r="L1" s="328" t="s">
        <v>16</v>
      </c>
      <c r="M1" s="329" t="s">
        <v>17</v>
      </c>
      <c r="N1" s="330"/>
      <c r="O1" s="331" t="str">
        <f>IFERROR(__xludf.DUMMYFUNCTION("IFERROR(AVERAGE(FILTER('حضور '!I:I,'حضور '!A:A=A1,MONTH('حضور '!B:B)=N1)),"""")"),"")</f>
        <v/>
      </c>
    </row>
    <row r="2" ht="26.25" customHeight="1">
      <c r="A2" s="332" t="s">
        <v>27</v>
      </c>
      <c r="B2" s="333">
        <f>IFERROR(__xludf.DUMMYFUNCTION("COUNTA(UNIQUE(FILTER('حضور '!B:B,'حضور '!A:A=A2,'حضور '!B:B&gt;=EOMONTH(M2,-1)+1,'حضور '!B:B&lt;=EOMONTH(M2,0))))"),29.0)</f>
        <v>29</v>
      </c>
      <c r="C2" s="334">
        <f>SUMIFS('حضور '!G:G,'حضور '!A:A,A2,'حضور '!B:B,"&gt;="&amp;EOMONTH(M2,-1)+1,'حضور '!B:B,"&lt;="&amp;EOMONTH(M2,0))</f>
        <v>273.7333333</v>
      </c>
      <c r="D2" s="335"/>
      <c r="E2" s="335">
        <f t="shared" ref="E2:E7" si="1">J2-F2</f>
        <v>40086.41975</v>
      </c>
      <c r="F2" s="335">
        <f t="shared" ref="F2:F7" si="2">B2*9*O2</f>
        <v>821666.6667</v>
      </c>
      <c r="G2" s="335">
        <f>SUMIFS('حضور '!K:K,'حضور '!A:A,A2,'حضور '!B:B,"&gt;="&amp;EOMONTH(M2,-1)+1,'حضور '!B:B,"&lt;="&amp;EOMONTH(M2,0))</f>
        <v>111000</v>
      </c>
      <c r="H2" s="336">
        <f>SUMIFS('حضور '!J:J,'حضور '!A:A,A2,'حضور '!B:B,"&gt;="&amp;EOMONTH(M2,-1)+1,'حضور '!B:B,"&lt;="&amp;EOMONTH(M2,0))</f>
        <v>0</v>
      </c>
      <c r="I2" s="336">
        <f>SUMIFS('حضور '!L:L,'حضور '!A:A,A2,'حضور '!B:B,"&gt;="&amp;EOMONTH(M2,-1)+1,'حضور '!B:B,"&lt;="&amp;EOMONTH(M2,0))</f>
        <v>0</v>
      </c>
      <c r="J2" s="335">
        <f>SUMIFS('حضور '!M:M,'حضور '!A:A,A2,'حضور '!B:B,"&gt;="&amp;EOMONTH(M2,-1)+1,'حضور '!B:B,"&lt;="&amp;EOMONTH(M2,0))</f>
        <v>861753.0864</v>
      </c>
      <c r="K2" s="335">
        <f t="shared" ref="K2:K3" si="3">J2-G2-L2</f>
        <v>0.086420523</v>
      </c>
      <c r="L2" s="337">
        <v>750753.0</v>
      </c>
      <c r="M2" s="338">
        <v>46024.0</v>
      </c>
      <c r="N2" s="339">
        <v>1.0</v>
      </c>
      <c r="O2" s="331">
        <f>IFERROR(__xludf.DUMMYFUNCTION("IFERROR(AVERAGE(FILTER('حضور '!I:I,'حضور '!A:A=A2,MONTH('حضور '!B:B)=N2)),"""")"),3148.1481481481464)</f>
        <v>3148.148148</v>
      </c>
    </row>
    <row r="3" ht="26.25" customHeight="1">
      <c r="A3" s="340" t="s">
        <v>28</v>
      </c>
      <c r="B3" s="341">
        <f>IFERROR(__xludf.DUMMYFUNCTION("COUNTA(UNIQUE(FILTER('حضور '!B:B,'حضور '!A:A=A3,'حضور '!B:B&gt;=EOMONTH(M3,-1)+1,'حضور '!B:B&lt;=EOMONTH(M3,0))))"),25.0)</f>
        <v>25</v>
      </c>
      <c r="C3" s="342">
        <f>SUMIFS('حضور '!G:G,'حضور '!A:A,A3,'حضور '!B:B,"&gt;="&amp;EOMONTH(M3,-1)+1,'حضور '!B:B,"&lt;="&amp;EOMONTH(M3,0))</f>
        <v>232.2333333</v>
      </c>
      <c r="D3" s="336"/>
      <c r="E3" s="336">
        <f t="shared" si="1"/>
        <v>14734.5679</v>
      </c>
      <c r="F3" s="336">
        <f t="shared" si="2"/>
        <v>458333.3333</v>
      </c>
      <c r="G3" s="336">
        <f>SUMIFS('حضور '!K:K,'حضور '!A:A,A3,'حضور '!B:B,"&gt;="&amp;EOMONTH(M3,-1)+1,'حضور '!B:B,"&lt;="&amp;EOMONTH(M3,0))</f>
        <v>353000</v>
      </c>
      <c r="H3" s="336">
        <f>SUMIFS('حضور '!J:J,'حضور '!A:A,A3,'حضور '!B:B,"&gt;="&amp;EOMONTH(M3,-1)+1,'حضور '!B:B,"&lt;="&amp;EOMONTH(M3,0))</f>
        <v>0</v>
      </c>
      <c r="I3" s="336">
        <f>SUMIFS('حضور '!L:L,'حضور '!A:A,A3,'حضور '!B:B,"&gt;="&amp;EOMONTH(M3,-1)+1,'حضور '!B:B,"&lt;="&amp;EOMONTH(M3,0))</f>
        <v>0</v>
      </c>
      <c r="J3" s="336">
        <f>SUMIFS('حضور '!M:M,'حضور '!A:A,A3,'حضور '!B:B,"&gt;="&amp;EOMONTH(M3,-1)+1,'حضور '!B:B,"&lt;="&amp;EOMONTH(M3,0))</f>
        <v>473067.9012</v>
      </c>
      <c r="K3" s="336">
        <f t="shared" si="3"/>
        <v>-179932.0988</v>
      </c>
      <c r="L3" s="343">
        <v>300000.0</v>
      </c>
      <c r="M3" s="344">
        <v>46025.0</v>
      </c>
      <c r="N3" s="339">
        <v>1.0</v>
      </c>
      <c r="O3" s="331">
        <f>IFERROR(__xludf.DUMMYFUNCTION("IFERROR(AVERAGE(FILTER('حضور '!I:I,'حضور '!A:A=A3,MONTH('حضور '!B:B)=N3)),"""")"),2037.0370370370367)</f>
        <v>2037.037037</v>
      </c>
    </row>
    <row r="4" ht="26.25" customHeight="1">
      <c r="A4" s="340" t="s">
        <v>29</v>
      </c>
      <c r="B4" s="341">
        <f>IFERROR(__xludf.DUMMYFUNCTION("COUNTA(UNIQUE(FILTER('حضور '!B:B,'حضور '!A:A=A4,'حضور '!B:B&gt;=EOMONTH(M4,-1)+1,'حضور '!B:B&lt;=EOMONTH(M4,0))))"),16.0)</f>
        <v>16</v>
      </c>
      <c r="C4" s="342">
        <f>SUMIFS('حضور '!G:G,'حضور '!A:A,A4,'حضور '!B:B,"&gt;="&amp;EOMONTH(M4,-1)+1,'حضور '!B:B,"&lt;="&amp;EOMONTH(M4,0))</f>
        <v>141.6833333</v>
      </c>
      <c r="D4" s="336"/>
      <c r="E4" s="336">
        <f t="shared" si="1"/>
        <v>-5577.160494</v>
      </c>
      <c r="F4" s="336">
        <f t="shared" si="2"/>
        <v>346666.6667</v>
      </c>
      <c r="G4" s="336">
        <f>SUMIFS('حضور '!K:K,'حضور '!A:A,A4,'حضور '!B:B,"&gt;="&amp;EOMONTH(M4,-1)+1,'حضور '!B:B,"&lt;="&amp;EOMONTH(M4,0))</f>
        <v>0</v>
      </c>
      <c r="H4" s="336">
        <f>SUMIFS('حضور '!J:J,'حضور '!A:A,A4,'حضور '!B:B,"&gt;="&amp;EOMONTH(M4,-1)+1,'حضور '!B:B,"&lt;="&amp;EOMONTH(M4,0))</f>
        <v>0</v>
      </c>
      <c r="I4" s="336">
        <f>SUMIFS('حضور '!L:L,'حضور '!A:A,A4,'حضور '!B:B,"&gt;="&amp;EOMONTH(M4,-1)+1,'حضور '!B:B,"&lt;="&amp;EOMONTH(M4,0))</f>
        <v>0</v>
      </c>
      <c r="J4" s="336">
        <f>SUMIFS('حضور '!M:M,'حضور '!A:A,A4,'حضور '!B:B,"&gt;="&amp;EOMONTH(M4,-1)+1,'حضور '!B:B,"&lt;="&amp;EOMONTH(M4,0))</f>
        <v>341089.5062</v>
      </c>
      <c r="K4" s="343">
        <v>143000.0</v>
      </c>
      <c r="L4" s="343">
        <v>250000.0</v>
      </c>
      <c r="M4" s="344">
        <v>46027.0</v>
      </c>
      <c r="N4" s="339">
        <v>1.0</v>
      </c>
      <c r="O4" s="331">
        <f>IFERROR(__xludf.DUMMYFUNCTION("IFERROR(AVERAGE(FILTER('حضور '!I:I,'حضور '!A:A=A4,MONTH('حضور '!B:B)=N4)),"""")"),2407.407407407408)</f>
        <v>2407.407407</v>
      </c>
    </row>
    <row r="5" ht="26.25" customHeight="1">
      <c r="A5" s="340" t="s">
        <v>112</v>
      </c>
      <c r="B5" s="341">
        <f>IFERROR(__xludf.DUMMYFUNCTION("COUNTA(UNIQUE(FILTER('حضور '!B:B,'حضور '!A:A=A5,'حضور '!B:B&gt;=EOMONTH(M5,-1)+1,'حضور '!B:B&lt;=EOMONTH(M5,0))))"),5.0)</f>
        <v>5</v>
      </c>
      <c r="C5" s="342">
        <f>SUMIFS('حضور '!G:G,'حضور '!A:A,A5,'حضور '!B:B,"&gt;="&amp;EOMONTH(M5,-1)+1,'حضور '!B:B,"&lt;="&amp;EOMONTH(M5,0))</f>
        <v>49.66666667</v>
      </c>
      <c r="D5" s="336"/>
      <c r="E5" s="336">
        <f t="shared" si="1"/>
        <v>10370.37037</v>
      </c>
      <c r="F5" s="336">
        <f t="shared" si="2"/>
        <v>100000</v>
      </c>
      <c r="G5" s="336">
        <f>SUMIFS('حضور '!K:K,'حضور '!A:A,A5,'حضور '!B:B,"&gt;="&amp;EOMONTH(M5,-1)+1,'حضور '!B:B,"&lt;="&amp;EOMONTH(M5,0))</f>
        <v>0</v>
      </c>
      <c r="H5" s="336">
        <f>SUMIFS('حضور '!J:J,'حضور '!A:A,A5,'حضور '!B:B,"&gt;="&amp;EOMONTH(M5,-1)+1,'حضور '!B:B,"&lt;="&amp;EOMONTH(M5,0))</f>
        <v>0</v>
      </c>
      <c r="I5" s="336">
        <f>SUMIFS('حضور '!L:L,'حضور '!A:A,A5,'حضور '!B:B,"&gt;="&amp;EOMONTH(M5,-1)+1,'حضور '!B:B,"&lt;="&amp;EOMONTH(M5,0))</f>
        <v>0</v>
      </c>
      <c r="J5" s="336">
        <f>SUMIFS('حضور '!M:M,'حضور '!A:A,A5,'حضور '!B:B,"&gt;="&amp;EOMONTH(M5,-1)+1,'حضور '!B:B,"&lt;="&amp;EOMONTH(M5,0))</f>
        <v>110370.3704</v>
      </c>
      <c r="K5" s="336">
        <f t="shared" ref="K5:K7" si="4">J5-G5-L5</f>
        <v>0.3703703704</v>
      </c>
      <c r="L5" s="343">
        <v>110370.0</v>
      </c>
      <c r="M5" s="344">
        <v>46028.0</v>
      </c>
      <c r="N5" s="339">
        <v>1.0</v>
      </c>
      <c r="O5" s="331">
        <f>IFERROR(__xludf.DUMMYFUNCTION("IFERROR(AVERAGE(FILTER('حضور '!I:I,'حضور '!A:A=A5,MONTH('حضور '!B:B)=N5)),"""")"),2222.222222222222)</f>
        <v>2222.222222</v>
      </c>
    </row>
    <row r="6" ht="26.25" customHeight="1">
      <c r="A6" s="345" t="s">
        <v>102</v>
      </c>
      <c r="B6" s="341">
        <f>IFERROR(__xludf.DUMMYFUNCTION("COUNTA(UNIQUE(FILTER('حضور '!B:B,'حضور '!A:A=A6,'حضور '!B:B&gt;=EOMONTH(M6,-1)+1,'حضور '!B:B&lt;=EOMONTH(M6,0))))"),30.0)</f>
        <v>30</v>
      </c>
      <c r="C6" s="342">
        <f>SUMIFS('حضور '!G:G,'حضور '!A:A,A6,'حضور '!B:B,"&gt;="&amp;EOMONTH(M6,-1)+1,'حضور '!B:B,"&lt;="&amp;EOMONTH(M6,0))</f>
        <v>270</v>
      </c>
      <c r="D6" s="336"/>
      <c r="E6" s="336">
        <f t="shared" si="1"/>
        <v>0.000004526984412</v>
      </c>
      <c r="F6" s="336">
        <f t="shared" si="2"/>
        <v>350000</v>
      </c>
      <c r="G6" s="336">
        <f>SUMIFS('حضور '!K:K,'حضور '!A:A,A6,'حضور '!B:B,"&gt;="&amp;EOMONTH(M6,-1)+1,'حضور '!B:B,"&lt;="&amp;EOMONTH(M6,0))</f>
        <v>183000</v>
      </c>
      <c r="H6" s="336">
        <f>SUMIFS('حضور '!J:J,'حضور '!A:A,A6,'حضور '!B:B,"&gt;="&amp;EOMONTH(M6,-1)+1,'حضور '!B:B,"&lt;="&amp;EOMONTH(M6,0))</f>
        <v>0</v>
      </c>
      <c r="I6" s="336">
        <f>SUMIFS('حضور '!L:L,'حضور '!A:A,A6,'حضور '!B:B,"&gt;="&amp;EOMONTH(M6,-1)+1,'حضور '!B:B,"&lt;="&amp;EOMONTH(M6,0))</f>
        <v>0</v>
      </c>
      <c r="J6" s="336">
        <f>SUMIFS('حضور '!M:M,'حضور '!A:A,A6,'حضور '!B:B,"&gt;="&amp;EOMONTH(M6,-1)+1,'حضور '!B:B,"&lt;="&amp;EOMONTH(M6,0))</f>
        <v>350000</v>
      </c>
      <c r="K6" s="336">
        <f t="shared" si="4"/>
        <v>0.000004526984412</v>
      </c>
      <c r="L6" s="343">
        <v>167000.0</v>
      </c>
      <c r="M6" s="344">
        <v>46029.0</v>
      </c>
      <c r="N6" s="339">
        <v>1.0</v>
      </c>
      <c r="O6" s="331">
        <f>IFERROR(__xludf.DUMMYFUNCTION("IFERROR(AVERAGE(FILTER('حضور '!I:I,'حضور '!A:A=A6,MONTH('حضور '!B:B)=N6)),"""")"),1296.2962962962963)</f>
        <v>1296.296296</v>
      </c>
    </row>
    <row r="7" ht="26.25" customHeight="1">
      <c r="A7" s="346" t="s">
        <v>63</v>
      </c>
      <c r="B7" s="347">
        <f>IFERROR(__xludf.DUMMYFUNCTION("COUNTA(UNIQUE(FILTER('حضور '!B:B,'حضور '!A:A=A7,'حضور '!B:B&gt;=EOMONTH(M7,-1)+1,'حضور '!B:B&lt;=EOMONTH(M7,0))))"),30.0)</f>
        <v>30</v>
      </c>
      <c r="C7" s="348">
        <f>SUMIFS('حضور '!G:G,'حضور '!A:A,A7,'حضور '!B:B,"&gt;="&amp;EOMONTH(M7,-1)+1,'حضور '!B:B,"&lt;="&amp;EOMONTH(M7,0))</f>
        <v>270</v>
      </c>
      <c r="D7" s="349"/>
      <c r="E7" s="349">
        <f t="shared" si="1"/>
        <v>-0.0000000003492459655</v>
      </c>
      <c r="F7" s="349">
        <f t="shared" si="2"/>
        <v>576923.0769</v>
      </c>
      <c r="G7" s="349">
        <f>SUMIFS('حضور '!K:K,'حضور '!A:A,A7,'حضور '!B:B,"&gt;="&amp;EOMONTH(M7,-1)+1,'حضور '!B:B,"&lt;="&amp;EOMONTH(M7,0))</f>
        <v>96923.07692</v>
      </c>
      <c r="H7" s="349">
        <f>SUMIFS('حضور '!J:J,'حضور '!A:A,A7,'حضور '!B:B,"&gt;="&amp;EOMONTH(M7,-1)+1,'حضور '!B:B,"&lt;="&amp;EOMONTH(M7,0))</f>
        <v>0</v>
      </c>
      <c r="I7" s="349">
        <f>SUMIFS('حضور '!L:L,'حضور '!A:A,A7,'حضور '!B:B,"&gt;="&amp;EOMONTH(M7,-1)+1,'حضور '!B:B,"&lt;="&amp;EOMONTH(M7,0))</f>
        <v>0</v>
      </c>
      <c r="J7" s="349">
        <f>SUMIFS('حضور '!M:M,'حضور '!A:A,A7,'حضور '!B:B,"&gt;="&amp;EOMONTH(M7,-1)+1,'حضور '!B:B,"&lt;="&amp;EOMONTH(M7,0))</f>
        <v>576923.0769</v>
      </c>
      <c r="K7" s="349">
        <f t="shared" si="4"/>
        <v>0</v>
      </c>
      <c r="L7" s="350">
        <v>480000.0</v>
      </c>
      <c r="M7" s="351">
        <v>46030.0</v>
      </c>
      <c r="N7" s="339">
        <v>1.0</v>
      </c>
      <c r="O7" s="331">
        <f>IFERROR(__xludf.DUMMYFUNCTION("IFERROR(AVERAGE(FILTER('حضور '!I:I,'حضور '!A:A=A7,MONTH('حضور '!B:B)=N7)),"""")"),2136.7521367521385)</f>
        <v>2136.752137</v>
      </c>
    </row>
    <row r="8" ht="26.25" customHeight="1">
      <c r="A8" s="352" t="s">
        <v>254</v>
      </c>
      <c r="B8" s="353"/>
      <c r="C8" s="354"/>
      <c r="D8" s="355"/>
      <c r="E8" s="355"/>
      <c r="F8" s="355"/>
      <c r="G8" s="356">
        <f t="shared" ref="G8:L8" si="5">SUM(G2:G7)</f>
        <v>743923.0769</v>
      </c>
      <c r="H8" s="356">
        <f t="shared" si="5"/>
        <v>0</v>
      </c>
      <c r="I8" s="356">
        <f t="shared" si="5"/>
        <v>0</v>
      </c>
      <c r="J8" s="356">
        <f t="shared" si="5"/>
        <v>2713203.941</v>
      </c>
      <c r="K8" s="356">
        <f t="shared" si="5"/>
        <v>-36931.64197</v>
      </c>
      <c r="L8" s="356">
        <f t="shared" si="5"/>
        <v>2058123</v>
      </c>
      <c r="M8" s="357" t="s">
        <v>255</v>
      </c>
      <c r="N8" s="358"/>
      <c r="O8" s="359"/>
    </row>
    <row r="9" ht="26.25" customHeight="1">
      <c r="A9" s="332" t="s">
        <v>27</v>
      </c>
      <c r="B9" s="333">
        <f>IFERROR(__xludf.DUMMYFUNCTION("COUNTA(UNIQUE(FILTER('حضور '!B:B,'حضور '!A:A=A9,'حضور '!B:B&gt;=EOMONTH(M9,-1)+1,'حضور '!B:B&lt;=EOMONTH(M9,0))))"),28.0)</f>
        <v>28</v>
      </c>
      <c r="C9" s="334">
        <f>SUMIFS('حضور '!G:G,'حضور '!A:A,A9,'حضور '!B:B,"&gt;="&amp;EOMONTH(M9,-1)+1,'حضور '!B:B,"&lt;="&amp;EOMONTH(M9,0))</f>
        <v>333.15</v>
      </c>
      <c r="D9" s="337">
        <f>SUMIFS('حضور عمل خارجي'!I:I,'حضور عمل خارجي'!A:A,A9,'حضور عمل خارجي'!C:C,"&gt;="&amp;EOMONTH(M9,-1)+1,'حضور عمل خارجي'!C:C,"&lt;="&amp;EOMONTH(M9,0))</f>
        <v>97705.04039</v>
      </c>
      <c r="E9" s="335">
        <f t="shared" ref="E9:E22" si="6">J9-F9</f>
        <v>492853.8436</v>
      </c>
      <c r="F9" s="335">
        <f t="shared" ref="F9:F22" si="7">B9*9*O9</f>
        <v>850000.1212</v>
      </c>
      <c r="G9" s="335">
        <f>SUMIFS('حضور '!K:K,'حضور '!A:A,A9,'حضور '!B:B,"&gt;="&amp;EOMONTH(M9,-1)+1,'حضور '!B:B,"&lt;="&amp;EOMONTH(M9,0))</f>
        <v>2518854</v>
      </c>
      <c r="H9" s="335">
        <f>SUMIFS('حضور '!J:J,'حضور '!A:A,A9,'حضور '!B:B,"&gt;="&amp;EOMONTH(M9,-1)+1,'حضور '!B:B,"&lt;="&amp;EOMONTH(M9,0))</f>
        <v>0</v>
      </c>
      <c r="I9" s="335">
        <f>SUMIFS('حضور '!L:L,'حضور '!A:A,A9,'حضور '!B:B,"&gt;="&amp;EOMONTH(M9,-1)+1,'حضور '!B:B,"&lt;="&amp;EOMONTH(M9,0))</f>
        <v>0</v>
      </c>
      <c r="J9" s="335">
        <f>SUMIFS('حضور '!M:M,'حضور '!A:A,A9,'حضور '!B:B,"&gt;="&amp;EOMONTH(M9,-1)+1,'حضور '!B:B,"&lt;="&amp;EOMONTH(M9,0))+(O9*36)+D9</f>
        <v>1342853.965</v>
      </c>
      <c r="K9" s="335">
        <f t="shared" ref="K9:K22" si="8">J9-G9-L9</f>
        <v>-1976000.035</v>
      </c>
      <c r="L9" s="337">
        <v>800000.0</v>
      </c>
      <c r="M9" s="338">
        <v>46054.0</v>
      </c>
      <c r="N9" s="339">
        <v>2.0</v>
      </c>
      <c r="O9" s="331">
        <f>IFERROR(__xludf.DUMMYFUNCTION("IFERROR(AVERAGE(FILTER('حضور '!I:I,'حضور '!A:A=A9,MONTH('حضور '!B:B)=N9)),"""")"),3373.016354016354)</f>
        <v>3373.016354</v>
      </c>
    </row>
    <row r="10" ht="26.25" customHeight="1">
      <c r="A10" s="340" t="s">
        <v>28</v>
      </c>
      <c r="B10" s="341">
        <f>IFERROR(__xludf.DUMMYFUNCTION("COUNTA(UNIQUE(FILTER('حضور '!B:B,'حضور '!A:A=A10,'حضور '!B:B&gt;=EOMONTH(M10,-1)+1,'حضور '!B:B&lt;=EOMONTH(M10,0))))"),26.0)</f>
        <v>26</v>
      </c>
      <c r="C10" s="342">
        <f>SUMIFS('حضور '!G:G,'حضور '!A:A,A10,'حضور '!B:B,"&gt;="&amp;EOMONTH(M10,-1)+1,'حضور '!B:B,"&lt;="&amp;EOMONTH(M10,0))</f>
        <v>266.7833333</v>
      </c>
      <c r="D10" s="343">
        <f>SUMIFS('حضور عمل خارجي'!I:I,'حضور عمل خارجي'!A:A,A10,'حضور عمل خارجي'!C:C,"&gt;="&amp;EOMONTH(M10,-1)+1,'حضور عمل خارجي'!C:C,"&lt;="&amp;EOMONTH(M10,0))</f>
        <v>0</v>
      </c>
      <c r="E10" s="336">
        <f t="shared" si="6"/>
        <v>150122.3545</v>
      </c>
      <c r="F10" s="336">
        <f t="shared" si="7"/>
        <v>510714.2857</v>
      </c>
      <c r="G10" s="336">
        <f>SUMIFS('حضور '!K:K,'حضور '!A:A,A10,'حضور '!B:B,"&gt;="&amp;EOMONTH(M10,-1)+1,'حضور '!B:B,"&lt;="&amp;EOMONTH(M10,0))</f>
        <v>594837</v>
      </c>
      <c r="H10" s="336">
        <f>SUMIFS('حضور '!J:J,'حضور '!A:A,A10,'حضور '!B:B,"&gt;="&amp;EOMONTH(M10,-1)+1,'حضور '!B:B,"&lt;="&amp;EOMONTH(M10,0))</f>
        <v>0</v>
      </c>
      <c r="I10" s="336">
        <f>SUMIFS('حضور '!L:L,'حضور '!A:A,A10,'حضور '!B:B,"&gt;="&amp;EOMONTH(M10,-1)+1,'حضور '!B:B,"&lt;="&amp;EOMONTH(M10,0))</f>
        <v>0</v>
      </c>
      <c r="J10" s="336">
        <f>SUMIFS('حضور '!M:M,'حضور '!A:A,A10,'حضور '!B:B,"&gt;="&amp;EOMONTH(M10,-1)+1,'حضور '!B:B,"&lt;="&amp;EOMONTH(M10,0))+(O10*36)+D10</f>
        <v>660836.6402</v>
      </c>
      <c r="K10" s="336">
        <f t="shared" si="8"/>
        <v>-234000.3598</v>
      </c>
      <c r="L10" s="343">
        <v>300000.0</v>
      </c>
      <c r="M10" s="344">
        <v>46054.0</v>
      </c>
      <c r="N10" s="339">
        <v>2.0</v>
      </c>
      <c r="O10" s="331">
        <f>IFERROR(__xludf.DUMMYFUNCTION("IFERROR(AVERAGE(FILTER('حضور '!I:I,'حضور '!A:A=A10,MONTH('حضور '!B:B)=N10)),"""")"),2182.5396825396824)</f>
        <v>2182.539683</v>
      </c>
    </row>
    <row r="11" ht="26.25" customHeight="1">
      <c r="A11" s="340" t="s">
        <v>29</v>
      </c>
      <c r="B11" s="341">
        <f>IFERROR(__xludf.DUMMYFUNCTION("COUNTA(UNIQUE(FILTER('حضور '!B:B,'حضور '!A:A=A11,'حضور '!B:B&gt;=EOMONTH(M11,-1)+1,'حضور '!B:B&lt;=EOMONTH(M11,0))))"),22.0)</f>
        <v>22</v>
      </c>
      <c r="C11" s="342">
        <f>SUMIFS('حضور '!G:G,'حضور '!A:A,A11,'حضور '!B:B,"&gt;="&amp;EOMONTH(M11,-1)+1,'حضور '!B:B,"&lt;="&amp;EOMONTH(M11,0))</f>
        <v>217.0333333</v>
      </c>
      <c r="D11" s="343">
        <f>SUMIFS('حضور عمل خارجي'!I:I,'حضور عمل خارجي'!A:A,A11,'حضور عمل خارجي'!C:C,"&gt;="&amp;EOMONTH(M11,-1)+1,'حضور عمل خارجي'!C:C,"&lt;="&amp;EOMONTH(M11,0))</f>
        <v>42516.53439</v>
      </c>
      <c r="E11" s="336">
        <f t="shared" si="6"/>
        <v>327467.5926</v>
      </c>
      <c r="F11" s="336">
        <f t="shared" si="7"/>
        <v>510714.2857</v>
      </c>
      <c r="G11" s="336">
        <f>SUMIFS('حضور '!K:K,'حضور '!A:A,A11,'حضور '!B:B,"&gt;="&amp;EOMONTH(M11,-1)+1,'حضور '!B:B,"&lt;="&amp;EOMONTH(M11,0))</f>
        <v>903182</v>
      </c>
      <c r="H11" s="336">
        <f>SUMIFS('حضور '!J:J,'حضور '!A:A,A11,'حضور '!B:B,"&gt;="&amp;EOMONTH(M11,-1)+1,'حضور '!B:B,"&lt;="&amp;EOMONTH(M11,0))</f>
        <v>0</v>
      </c>
      <c r="I11" s="336">
        <f>SUMIFS('حضور '!L:L,'حضور '!A:A,A11,'حضور '!B:B,"&gt;="&amp;EOMONTH(M11,-1)+1,'حضور '!B:B,"&lt;="&amp;EOMONTH(M11,0))</f>
        <v>0</v>
      </c>
      <c r="J11" s="336">
        <f>SUMIFS('حضور '!M:M,'حضور '!A:A,A11,'حضور '!B:B,"&gt;="&amp;EOMONTH(M11,-1)+1,'حضور '!B:B,"&lt;="&amp;EOMONTH(M11,0))+(O11*36)+D11+143000</f>
        <v>838181.8783</v>
      </c>
      <c r="K11" s="336">
        <f t="shared" si="8"/>
        <v>-565000.1217</v>
      </c>
      <c r="L11" s="343">
        <v>500000.0</v>
      </c>
      <c r="M11" s="344">
        <v>46054.0</v>
      </c>
      <c r="N11" s="339">
        <v>2.0</v>
      </c>
      <c r="O11" s="331">
        <f>IFERROR(__xludf.DUMMYFUNCTION("IFERROR(AVERAGE(FILTER('حضور '!I:I,'حضور '!A:A=A11,MONTH('حضور '!B:B)=N11)),"""")"),2579.365079365081)</f>
        <v>2579.365079</v>
      </c>
    </row>
    <row r="12" ht="26.25" customHeight="1">
      <c r="A12" s="340" t="s">
        <v>112</v>
      </c>
      <c r="B12" s="341">
        <f>IFERROR(__xludf.DUMMYFUNCTION("COUNTA(UNIQUE(FILTER('حضور '!B:B,'حضور '!A:A=A12,'حضور '!B:B&gt;=EOMONTH(M12,-1)+1,'حضور '!B:B&lt;=EOMONTH(M12,0))))"),18.0)</f>
        <v>18</v>
      </c>
      <c r="C12" s="342">
        <f>SUMIFS('حضور '!G:G,'حضور '!A:A,A12,'حضور '!B:B,"&gt;="&amp;EOMONTH(M12,-1)+1,'حضور '!B:B,"&lt;="&amp;EOMONTH(M12,0))</f>
        <v>169.3833333</v>
      </c>
      <c r="D12" s="343">
        <f>SUMIFS('حضور عمل خارجي'!I:I,'حضور عمل خارجي'!A:A,A12,'حضور عمل خارجي'!C:C,"&gt;="&amp;EOMONTH(M12,-1)+1,'حضور عمل خارجي'!C:C,"&lt;="&amp;EOMONTH(M12,0))</f>
        <v>0</v>
      </c>
      <c r="E12" s="336">
        <f t="shared" si="6"/>
        <v>103293.6508</v>
      </c>
      <c r="F12" s="336">
        <f t="shared" si="7"/>
        <v>385714.2857</v>
      </c>
      <c r="G12" s="336">
        <f>SUMIFS('حضور '!K:K,'حضور '!A:A,A12,'حضور '!B:B,"&gt;="&amp;EOMONTH(M12,-1)+1,'حضور '!B:B,"&lt;="&amp;EOMONTH(M12,0))</f>
        <v>86000</v>
      </c>
      <c r="H12" s="336">
        <f>SUMIFS('حضور '!J:J,'حضور '!A:A,A12,'حضور '!B:B,"&gt;="&amp;EOMONTH(M12,-1)+1,'حضور '!B:B,"&lt;="&amp;EOMONTH(M12,0))</f>
        <v>0</v>
      </c>
      <c r="I12" s="336">
        <f>SUMIFS('حضور '!L:L,'حضور '!A:A,A12,'حضور '!B:B,"&gt;="&amp;EOMONTH(M12,-1)+1,'حضور '!B:B,"&lt;="&amp;EOMONTH(M12,0))</f>
        <v>0</v>
      </c>
      <c r="J12" s="336">
        <f>SUMIFS('حضور '!M:M,'حضور '!A:A,A12,'حضور '!B:B,"&gt;="&amp;EOMONTH(M12,-1)+1,'حضور '!B:B,"&lt;="&amp;EOMONTH(M12,0))+(O12*36)+D12</f>
        <v>489007.9365</v>
      </c>
      <c r="K12" s="336">
        <f t="shared" si="8"/>
        <v>-0.06349206349</v>
      </c>
      <c r="L12" s="343">
        <v>403008.0</v>
      </c>
      <c r="M12" s="344">
        <v>46054.0</v>
      </c>
      <c r="N12" s="339">
        <v>2.0</v>
      </c>
      <c r="O12" s="331">
        <f>IFERROR(__xludf.DUMMYFUNCTION("IFERROR(AVERAGE(FILTER('حضور '!I:I,'حضور '!A:A=A12,MONTH('حضور '!B:B)=N12)),"""")"),2380.952380952381)</f>
        <v>2380.952381</v>
      </c>
    </row>
    <row r="13" ht="26.25" customHeight="1">
      <c r="A13" s="340" t="s">
        <v>102</v>
      </c>
      <c r="B13" s="341">
        <f>IFERROR(__xludf.DUMMYFUNCTION("COUNTA(UNIQUE(FILTER('حضور '!B:B,'حضور '!A:A=A13,'حضور '!B:B&gt;=EOMONTH(M13,-1)+1,'حضور '!B:B&lt;=EOMONTH(M13,0))))"),28.0)</f>
        <v>28</v>
      </c>
      <c r="C13" s="342">
        <f>SUMIFS('حضور '!G:G,'حضور '!A:A,A13,'حضور '!B:B,"&gt;="&amp;EOMONTH(M13,-1)+1,'حضور '!B:B,"&lt;="&amp;EOMONTH(M13,0))</f>
        <v>252</v>
      </c>
      <c r="D13" s="343">
        <f>SUMIFS('حضور عمل خارجي'!I:I,'حضور عمل خارجي'!A:A,A13,'حضور عمل خارجي'!C:C,"&gt;="&amp;EOMONTH(M13,-1)+1,'حضور عمل خارجي'!C:C,"&lt;="&amp;EOMONTH(M13,0))</f>
        <v>0</v>
      </c>
      <c r="E13" s="336">
        <f t="shared" si="6"/>
        <v>-0.0000000002328306437</v>
      </c>
      <c r="F13" s="336">
        <f t="shared" si="7"/>
        <v>350000</v>
      </c>
      <c r="G13" s="336">
        <f>SUMIFS('حضور '!K:K,'حضور '!A:A,A13,'حضور '!B:B,"&gt;="&amp;EOMONTH(M13,-1)+1,'حضور '!B:B,"&lt;="&amp;EOMONTH(M13,0))</f>
        <v>133000</v>
      </c>
      <c r="H13" s="336">
        <f>SUMIFS('حضور '!J:J,'حضور '!A:A,A13,'حضور '!B:B,"&gt;="&amp;EOMONTH(M13,-1)+1,'حضور '!B:B,"&lt;="&amp;EOMONTH(M13,0))</f>
        <v>0</v>
      </c>
      <c r="I13" s="336">
        <f>SUMIFS('حضور '!L:L,'حضور '!A:A,A13,'حضور '!B:B,"&gt;="&amp;EOMONTH(M13,-1)+1,'حضور '!B:B,"&lt;="&amp;EOMONTH(M13,0))</f>
        <v>0</v>
      </c>
      <c r="J13" s="336">
        <f>SUMIFS('حضور '!M:M,'حضور '!A:A,A13,'حضور '!B:B,"&gt;="&amp;EOMONTH(M13,-1)+1,'حضور '!B:B,"&lt;="&amp;EOMONTH(M13,0))</f>
        <v>350000</v>
      </c>
      <c r="K13" s="336">
        <f t="shared" si="8"/>
        <v>25000</v>
      </c>
      <c r="L13" s="343">
        <v>192000.0</v>
      </c>
      <c r="M13" s="344">
        <v>46054.0</v>
      </c>
      <c r="N13" s="339">
        <v>2.0</v>
      </c>
      <c r="O13" s="331">
        <f>IFERROR(__xludf.DUMMYFUNCTION("IFERROR(AVERAGE(FILTER('حضور '!I:I,'حضور '!A:A=A13,MONTH('حضور '!B:B)=N13)),"""")"),1388.8888888888898)</f>
        <v>1388.888889</v>
      </c>
    </row>
    <row r="14" ht="26.25" customHeight="1">
      <c r="A14" s="340" t="s">
        <v>63</v>
      </c>
      <c r="B14" s="341">
        <f>IFERROR(__xludf.DUMMYFUNCTION("COUNTA(UNIQUE(FILTER('حضور '!B:B,'حضور '!A:A=A14,'حضور '!B:B&gt;=EOMONTH(M14,-1)+1,'حضور '!B:B&lt;=EOMONTH(M14,0))))"),28.0)</f>
        <v>28</v>
      </c>
      <c r="C14" s="342">
        <f>SUMIFS('حضور '!G:G,'حضور '!A:A,A14,'حضور '!B:B,"&gt;="&amp;EOMONTH(M14,-1)+1,'حضور '!B:B,"&lt;="&amp;EOMONTH(M14,0))</f>
        <v>252</v>
      </c>
      <c r="D14" s="343">
        <f>SUMIFS('حضور عمل خارجي'!I:I,'حضور عمل خارجي'!A:A,A14,'حضور عمل خارجي'!C:C,"&gt;="&amp;EOMONTH(M14,-1)+1,'حضور عمل خارجي'!C:C,"&lt;="&amp;EOMONTH(M14,0))</f>
        <v>0</v>
      </c>
      <c r="E14" s="336">
        <f t="shared" si="6"/>
        <v>50000</v>
      </c>
      <c r="F14" s="336">
        <f t="shared" si="7"/>
        <v>500000</v>
      </c>
      <c r="G14" s="336">
        <f>SUMIFS('حضور '!K:K,'حضور '!A:A,A14,'حضور '!B:B,"&gt;="&amp;EOMONTH(M14,-1)+1,'حضور '!B:B,"&lt;="&amp;EOMONTH(M14,0))</f>
        <v>0</v>
      </c>
      <c r="H14" s="336">
        <f>SUMIFS('حضور '!J:J,'حضور '!A:A,A14,'حضور '!B:B,"&gt;="&amp;EOMONTH(M14,-1)+1,'حضور '!B:B,"&lt;="&amp;EOMONTH(M14,0))</f>
        <v>0</v>
      </c>
      <c r="I14" s="336">
        <f>SUMIFS('حضور '!L:L,'حضور '!A:A,A14,'حضور '!B:B,"&gt;="&amp;EOMONTH(M14,-1)+1,'حضور '!B:B,"&lt;="&amp;EOMONTH(M14,0))</f>
        <v>0</v>
      </c>
      <c r="J14" s="336">
        <f>SUMIFS('حضور '!M:M,'حضور '!A:A,A14,'حضور '!B:B,"&gt;="&amp;EOMONTH(M14,-1)+1,'حضور '!B:B,"&lt;="&amp;EOMONTH(M14,0))</f>
        <v>550000</v>
      </c>
      <c r="K14" s="336">
        <f t="shared" si="8"/>
        <v>-0.0000000001164153218</v>
      </c>
      <c r="L14" s="343">
        <v>550000.0</v>
      </c>
      <c r="M14" s="344">
        <v>46054.0</v>
      </c>
      <c r="N14" s="339">
        <v>2.0</v>
      </c>
      <c r="O14" s="331">
        <f>IFERROR(__xludf.DUMMYFUNCTION("IFERROR(AVERAGE(FILTER('حضور '!I:I,'حضور '!A:A=A14,MONTH('حضور '!B:B)=N14)),"""")"),1984.1269841269839)</f>
        <v>1984.126984</v>
      </c>
    </row>
    <row r="15" ht="26.25" customHeight="1">
      <c r="A15" s="340" t="s">
        <v>130</v>
      </c>
      <c r="B15" s="341">
        <f>IFERROR(__xludf.DUMMYFUNCTION("COUNTA(UNIQUE(FILTER('حضور '!B:B,'حضور '!A:A=A15,'حضور '!B:B&gt;=EOMONTH(M15,-1)+1,'حضور '!B:B&lt;=EOMONTH(M15,0))))"),7.0)</f>
        <v>7</v>
      </c>
      <c r="C15" s="342">
        <f>SUMIFS('حضور '!G:G,'حضور '!A:A,A15,'حضور '!B:B,"&gt;="&amp;EOMONTH(M15,-1)+1,'حضور '!B:B,"&lt;="&amp;EOMONTH(M15,0))</f>
        <v>64.01666667</v>
      </c>
      <c r="D15" s="343">
        <f>SUMIFS('حضور عمل خارجي'!I:I,'حضور عمل خارجي'!A:A,A15,'حضور عمل خارجي'!C:C,"&gt;="&amp;EOMONTH(M15,-1)+1,'حضور عمل خارجي'!C:C,"&lt;="&amp;EOMONTH(M15,0))</f>
        <v>0</v>
      </c>
      <c r="E15" s="336">
        <f t="shared" si="6"/>
        <v>3025.793651</v>
      </c>
      <c r="F15" s="336">
        <f t="shared" si="7"/>
        <v>187500</v>
      </c>
      <c r="G15" s="336">
        <f>SUMIFS('حضور '!K:K,'حضور '!A:A,A15,'حضور '!B:B,"&gt;="&amp;EOMONTH(M15,-1)+1,'حضور '!B:B,"&lt;="&amp;EOMONTH(M15,0))</f>
        <v>91525.79365</v>
      </c>
      <c r="H15" s="336">
        <f>SUMIFS('حضور '!J:J,'حضور '!A:A,A15,'حضور '!B:B,"&gt;="&amp;EOMONTH(M15,-1)+1,'حضور '!B:B,"&lt;="&amp;EOMONTH(M15,0))</f>
        <v>0</v>
      </c>
      <c r="I15" s="336">
        <f>SUMIFS('حضور '!L:L,'حضور '!A:A,A15,'حضور '!B:B,"&gt;="&amp;EOMONTH(M15,-1)+1,'حضور '!B:B,"&lt;="&amp;EOMONTH(M15,0))</f>
        <v>0</v>
      </c>
      <c r="J15" s="336">
        <f>SUMIFS('حضور '!M:M,'حضور '!A:A,A15,'حضور '!B:B,"&gt;="&amp;EOMONTH(M15,-1)+1,'حضور '!B:B,"&lt;="&amp;EOMONTH(M15,0))</f>
        <v>190525.7937</v>
      </c>
      <c r="K15" s="336">
        <f t="shared" si="8"/>
        <v>0</v>
      </c>
      <c r="L15" s="343">
        <v>99000.0</v>
      </c>
      <c r="M15" s="344">
        <v>46054.0</v>
      </c>
      <c r="N15" s="339">
        <v>2.0</v>
      </c>
      <c r="O15" s="331">
        <f>IFERROR(__xludf.DUMMYFUNCTION("IFERROR(AVERAGE(FILTER('حضور '!I:I,'حضور '!A:A=A15,MONTH('حضور '!B:B)=N15)),"""")"),2976.1904761904766)</f>
        <v>2976.190476</v>
      </c>
    </row>
    <row r="16" ht="26.25" customHeight="1">
      <c r="A16" s="340" t="s">
        <v>113</v>
      </c>
      <c r="B16" s="341">
        <f>IFERROR(__xludf.DUMMYFUNCTION("COUNTA(UNIQUE(FILTER('حضور '!B:B,'حضور '!A:A=A16,'حضور '!B:B&gt;=EOMONTH(M16,-1)+1,'حضور '!B:B&lt;=EOMONTH(M16,0))))"),20.0)</f>
        <v>20</v>
      </c>
      <c r="C16" s="342">
        <f>SUMIFS('حضور '!G:G,'حضور '!A:A,A16,'حضور '!B:B,"&gt;="&amp;EOMONTH(M16,-1)+1,'حضور '!B:B,"&lt;="&amp;EOMONTH(M16,0))</f>
        <v>169.3333333</v>
      </c>
      <c r="D16" s="343">
        <f>SUMIFS('حضور عمل خارجي'!I:I,'حضور عمل خارجي'!A:A,A16,'حضور عمل خارجي'!C:C,"&gt;="&amp;EOMONTH(M16,-1)+1,'حضور عمل خارجي'!C:C,"&lt;="&amp;EOMONTH(M16,0))</f>
        <v>0</v>
      </c>
      <c r="E16" s="336">
        <f t="shared" si="6"/>
        <v>-31746.03175</v>
      </c>
      <c r="F16" s="336">
        <f t="shared" si="7"/>
        <v>535714.2857</v>
      </c>
      <c r="G16" s="336">
        <f>SUMIFS('حضور '!K:K,'حضور '!A:A,A16,'حضور '!B:B,"&gt;="&amp;EOMONTH(M16,-1)+1,'حضور '!B:B,"&lt;="&amp;EOMONTH(M16,0))</f>
        <v>253968.254</v>
      </c>
      <c r="H16" s="336">
        <f>SUMIFS('حضور '!J:J,'حضور '!A:A,A16,'حضور '!B:B,"&gt;="&amp;EOMONTH(M16,-1)+1,'حضور '!B:B,"&lt;="&amp;EOMONTH(M16,0))</f>
        <v>0</v>
      </c>
      <c r="I16" s="336">
        <f>SUMIFS('حضور '!L:L,'حضور '!A:A,A16,'حضور '!B:B,"&gt;="&amp;EOMONTH(M16,-1)+1,'حضور '!B:B,"&lt;="&amp;EOMONTH(M16,0))</f>
        <v>0</v>
      </c>
      <c r="J16" s="336">
        <f>SUMIFS('حضور '!M:M,'حضور '!A:A,A16,'حضور '!B:B,"&gt;="&amp;EOMONTH(M16,-1)+1,'حضور '!B:B,"&lt;="&amp;EOMONTH(M16,0))</f>
        <v>503968.254</v>
      </c>
      <c r="K16" s="336">
        <f t="shared" si="8"/>
        <v>0</v>
      </c>
      <c r="L16" s="343">
        <v>250000.0</v>
      </c>
      <c r="M16" s="344">
        <v>46054.0</v>
      </c>
      <c r="N16" s="339">
        <v>2.0</v>
      </c>
      <c r="O16" s="331">
        <f>IFERROR(__xludf.DUMMYFUNCTION("IFERROR(AVERAGE(FILTER('حضور '!I:I,'حضور '!A:A=A16,MONTH('حضور '!B:B)=N16)),"""")"),2976.1904761904752)</f>
        <v>2976.190476</v>
      </c>
    </row>
    <row r="17" ht="26.25" customHeight="1">
      <c r="A17" s="340" t="s">
        <v>36</v>
      </c>
      <c r="B17" s="341">
        <f>IFERROR(__xludf.DUMMYFUNCTION("COUNTA(UNIQUE(FILTER('حضور '!B:B,'حضور '!A:A=A17,'حضور '!B:B&gt;=EOMONTH(M17,-1)+1,'حضور '!B:B&lt;=EOMONTH(M17,0))))"),23.0)</f>
        <v>23</v>
      </c>
      <c r="C17" s="342">
        <f>SUMIFS('حضور '!G:G,'حضور '!A:A,A17,'حضور '!B:B,"&gt;="&amp;EOMONTH(M17,-1)+1,'حضور '!B:B,"&lt;="&amp;EOMONTH(M17,0))</f>
        <v>204.6166667</v>
      </c>
      <c r="D17" s="343">
        <f>SUMIFS('حضور عمل خارجي'!I:I,'حضور عمل خارجي'!A:A,A17,'حضور عمل خارجي'!C:C,"&gt;="&amp;EOMONTH(M17,-1)+1,'حضور عمل خارجي'!C:C,"&lt;="&amp;EOMONTH(M17,0))</f>
        <v>0</v>
      </c>
      <c r="E17" s="336">
        <f t="shared" si="6"/>
        <v>-9575.892857</v>
      </c>
      <c r="F17" s="336">
        <f t="shared" si="7"/>
        <v>831696.4286</v>
      </c>
      <c r="G17" s="336">
        <f>SUMIFS('حضور '!K:K,'حضور '!A:A,A17,'حضور '!B:B,"&gt;="&amp;EOMONTH(M17,-1)+1,'حضور '!B:B,"&lt;="&amp;EOMONTH(M17,0))</f>
        <v>472120.5357</v>
      </c>
      <c r="H17" s="336">
        <f>SUMIFS('حضور '!J:J,'حضور '!A:A,A17,'حضور '!B:B,"&gt;="&amp;EOMONTH(M17,-1)+1,'حضور '!B:B,"&lt;="&amp;EOMONTH(M17,0))</f>
        <v>0</v>
      </c>
      <c r="I17" s="336">
        <f>SUMIFS('حضور '!L:L,'حضور '!A:A,A17,'حضور '!B:B,"&gt;="&amp;EOMONTH(M17,-1)+1,'حضور '!B:B,"&lt;="&amp;EOMONTH(M17,0))</f>
        <v>0</v>
      </c>
      <c r="J17" s="336">
        <f>SUMIFS('حضور '!M:M,'حضور '!A:A,A17,'حضور '!B:B,"&gt;="&amp;EOMONTH(M17,-1)+1,'حضور '!B:B,"&lt;="&amp;EOMONTH(M17,0))</f>
        <v>822120.5357</v>
      </c>
      <c r="K17" s="336">
        <f t="shared" si="8"/>
        <v>0</v>
      </c>
      <c r="L17" s="343">
        <v>350000.0</v>
      </c>
      <c r="M17" s="344">
        <v>46054.0</v>
      </c>
      <c r="N17" s="339">
        <v>2.0</v>
      </c>
      <c r="O17" s="331">
        <f>IFERROR(__xludf.DUMMYFUNCTION("IFERROR(AVERAGE(FILTER('حضور '!I:I,'حضور '!A:A=A17,MONTH('حضور '!B:B)=N17)),"""")"),4017.8571428571436)</f>
        <v>4017.857143</v>
      </c>
    </row>
    <row r="18" ht="26.25" customHeight="1">
      <c r="A18" s="340" t="s">
        <v>176</v>
      </c>
      <c r="B18" s="341">
        <f>IFERROR(__xludf.DUMMYFUNCTION("COUNTA(UNIQUE(FILTER('حضور '!B:B,'حضور '!A:A=A18,'حضور '!B:B&gt;=EOMONTH(M18,-1)+1,'حضور '!B:B&lt;=EOMONTH(M18,0))))"),20.0)</f>
        <v>20</v>
      </c>
      <c r="C18" s="342">
        <f>SUMIFS('حضور '!G:G,'حضور '!A:A,A18,'حضور '!B:B,"&gt;="&amp;EOMONTH(M18,-1)+1,'حضور '!B:B,"&lt;="&amp;EOMONTH(M18,0))</f>
        <v>198.5166667</v>
      </c>
      <c r="D18" s="343">
        <f>SUMIFS('حضور عمل خارجي'!I:I,'حضور عمل خارجي'!A:A,A18,'حضور عمل خارجي'!C:C,"&gt;="&amp;EOMONTH(M18,-1)+1,'حضور عمل خارجي'!C:C,"&lt;="&amp;EOMONTH(M18,0))</f>
        <v>0</v>
      </c>
      <c r="E18" s="336">
        <f t="shared" si="6"/>
        <v>55109.10091</v>
      </c>
      <c r="F18" s="336">
        <f t="shared" si="7"/>
        <v>535714.3197</v>
      </c>
      <c r="G18" s="336">
        <f>SUMIFS('حضور '!K:K,'حضور '!A:A,A18,'حضور '!B:B,"&gt;="&amp;EOMONTH(M18,-1)+1,'حضور '!B:B,"&lt;="&amp;EOMONTH(M18,0))</f>
        <v>67823.42063</v>
      </c>
      <c r="H18" s="336">
        <f>SUMIFS('حضور '!J:J,'حضور '!A:A,A18,'حضور '!B:B,"&gt;="&amp;EOMONTH(M18,-1)+1,'حضور '!B:B,"&lt;="&amp;EOMONTH(M18,0))</f>
        <v>0</v>
      </c>
      <c r="I18" s="336">
        <f>SUMIFS('حضور '!L:L,'حضور '!A:A,A18,'حضور '!B:B,"&gt;="&amp;EOMONTH(M18,-1)+1,'حضور '!B:B,"&lt;="&amp;EOMONTH(M18,0))</f>
        <v>0</v>
      </c>
      <c r="J18" s="336">
        <f>SUMIFS('حضور '!M:M,'حضور '!A:A,A18,'حضور '!B:B,"&gt;="&amp;EOMONTH(M18,-1)+1,'حضور '!B:B,"&lt;="&amp;EOMONTH(M18,0))</f>
        <v>590823.4206</v>
      </c>
      <c r="K18" s="336">
        <f t="shared" si="8"/>
        <v>0</v>
      </c>
      <c r="L18" s="343">
        <v>523000.0</v>
      </c>
      <c r="M18" s="344">
        <v>46054.0</v>
      </c>
      <c r="N18" s="339">
        <v>2.0</v>
      </c>
      <c r="O18" s="331">
        <f>IFERROR(__xludf.DUMMYFUNCTION("IFERROR(AVERAGE(FILTER('حضور '!I:I,'حضور '!A:A=A18,MONTH('حضور '!B:B)=N18)),"""")"),2976.19066515495)</f>
        <v>2976.190665</v>
      </c>
    </row>
    <row r="19" ht="26.25" customHeight="1">
      <c r="A19" s="340" t="s">
        <v>242</v>
      </c>
      <c r="B19" s="341">
        <f>IFERROR(__xludf.DUMMYFUNCTION("COUNTA(UNIQUE(FILTER('حضور '!B:B,'حضور '!A:A=A19,'حضور '!B:B&gt;=EOMONTH(M19,-1)+1,'حضور '!B:B&lt;=EOMONTH(M19,0))))"),8.0)</f>
        <v>8</v>
      </c>
      <c r="C19" s="342">
        <f>SUMIFS('حضور '!G:G,'حضور '!A:A,A19,'حضور '!B:B,"&gt;="&amp;EOMONTH(M19,-1)+1,'حضور '!B:B,"&lt;="&amp;EOMONTH(M19,0))</f>
        <v>85.71666667</v>
      </c>
      <c r="D19" s="343">
        <f>SUMIFS('حضور عمل خارجي'!I:I,'حضور عمل خارجي'!A:A,A19,'حضور عمل خارجي'!C:C,"&gt;="&amp;EOMONTH(M19,-1)+1,'حضور عمل خارجي'!C:C,"&lt;="&amp;EOMONTH(M19,0))</f>
        <v>0</v>
      </c>
      <c r="E19" s="336">
        <f t="shared" si="6"/>
        <v>40823.4127</v>
      </c>
      <c r="F19" s="336">
        <f t="shared" si="7"/>
        <v>214285.7143</v>
      </c>
      <c r="G19" s="336">
        <f>SUMIFS('حضور '!K:K,'حضور '!A:A,A19,'حضور '!B:B,"&gt;="&amp;EOMONTH(M19,-1)+1,'حضور '!B:B,"&lt;="&amp;EOMONTH(M19,0))</f>
        <v>160109.127</v>
      </c>
      <c r="H19" s="336">
        <f>SUMIFS('حضور '!J:J,'حضور '!A:A,A19,'حضور '!B:B,"&gt;="&amp;EOMONTH(M19,-1)+1,'حضور '!B:B,"&lt;="&amp;EOMONTH(M19,0))</f>
        <v>0</v>
      </c>
      <c r="I19" s="336">
        <f>SUMIFS('حضور '!L:L,'حضور '!A:A,A19,'حضور '!B:B,"&gt;="&amp;EOMONTH(M19,-1)+1,'حضور '!B:B,"&lt;="&amp;EOMONTH(M19,0))</f>
        <v>0</v>
      </c>
      <c r="J19" s="336">
        <f>SUMIFS('حضور '!M:M,'حضور '!A:A,A19,'حضور '!B:B,"&gt;="&amp;EOMONTH(M19,-1)+1,'حضور '!B:B,"&lt;="&amp;EOMONTH(M19,0))</f>
        <v>255109.127</v>
      </c>
      <c r="K19" s="336">
        <f t="shared" si="8"/>
        <v>0</v>
      </c>
      <c r="L19" s="343">
        <v>95000.0</v>
      </c>
      <c r="M19" s="344">
        <v>46054.0</v>
      </c>
      <c r="N19" s="339">
        <v>2.0</v>
      </c>
      <c r="O19" s="331">
        <f>IFERROR(__xludf.DUMMYFUNCTION("IFERROR(AVERAGE(FILTER('حضور '!I:I,'حضور '!A:A=A19,MONTH('حضور '!B:B)=N19)),"""")"),2976.1904761904766)</f>
        <v>2976.190476</v>
      </c>
    </row>
    <row r="20" ht="26.25" customHeight="1">
      <c r="A20" s="340" t="s">
        <v>114</v>
      </c>
      <c r="B20" s="341">
        <f>IFERROR(__xludf.DUMMYFUNCTION("COUNTA(UNIQUE(FILTER('حضور '!B:B,'حضور '!A:A=A20,'حضور '!B:B&gt;=EOMONTH(M20,-1)+1,'حضور '!B:B&lt;=EOMONTH(M20,0))))"),20.0)</f>
        <v>20</v>
      </c>
      <c r="C20" s="342">
        <f>SUMIFS('حضور '!G:G,'حضور '!A:A,A20,'حضور '!B:B,"&gt;="&amp;EOMONTH(M20,-1)+1,'حضور '!B:B,"&lt;="&amp;EOMONTH(M20,0))</f>
        <v>214.2</v>
      </c>
      <c r="D20" s="343">
        <f>SUMIFS('حضور عمل خارجي'!I:I,'حضور عمل خارجي'!A:A,A20,'حضور عمل خارجي'!C:C,"&gt;="&amp;EOMONTH(M20,-1)+1,'حضور عمل خارجي'!C:C,"&lt;="&amp;EOMONTH(M20,0))</f>
        <v>0</v>
      </c>
      <c r="E20" s="336">
        <f t="shared" si="6"/>
        <v>93726.70807</v>
      </c>
      <c r="F20" s="336">
        <f t="shared" si="7"/>
        <v>489130.4348</v>
      </c>
      <c r="G20" s="336">
        <f>SUMIFS('حضور '!K:K,'حضور '!A:A,A20,'حضور '!B:B,"&gt;="&amp;EOMONTH(M20,-1)+1,'حضور '!B:B,"&lt;="&amp;EOMONTH(M20,0))</f>
        <v>322857</v>
      </c>
      <c r="H20" s="336">
        <f>SUMIFS('حضور '!J:J,'حضور '!A:A,A20,'حضور '!B:B,"&gt;="&amp;EOMONTH(M20,-1)+1,'حضور '!B:B,"&lt;="&amp;EOMONTH(M20,0))</f>
        <v>0</v>
      </c>
      <c r="I20" s="336">
        <f>SUMIFS('حضور '!L:L,'حضور '!A:A,A20,'حضور '!B:B,"&gt;="&amp;EOMONTH(M20,-1)+1,'حضور '!B:B,"&lt;="&amp;EOMONTH(M20,0))</f>
        <v>0</v>
      </c>
      <c r="J20" s="336">
        <f>SUMIFS('حضور '!M:M,'حضور '!A:A,A20,'حضور '!B:B,"&gt;="&amp;EOMONTH(M20,-1)+1,'حضور '!B:B,"&lt;="&amp;EOMONTH(M20,0))</f>
        <v>582857.1429</v>
      </c>
      <c r="K20" s="336">
        <f t="shared" si="8"/>
        <v>0.1428570274</v>
      </c>
      <c r="L20" s="343">
        <v>260000.0</v>
      </c>
      <c r="M20" s="344">
        <v>46054.0</v>
      </c>
      <c r="N20" s="339">
        <v>2.0</v>
      </c>
      <c r="O20" s="331">
        <f>IFERROR(__xludf.DUMMYFUNCTION("IFERROR(AVERAGE(FILTER('حضور '!I:I,'حضور '!A:A=A20,MONTH('حضور '!B:B)=N20)),"""")"),2717.3913043478265)</f>
        <v>2717.391304</v>
      </c>
    </row>
    <row r="21" ht="26.25" customHeight="1">
      <c r="A21" s="340" t="s">
        <v>177</v>
      </c>
      <c r="B21" s="341">
        <f>IFERROR(__xludf.DUMMYFUNCTION("COUNTA(UNIQUE(FILTER('حضور '!B:B,'حضور '!A:A=A21,'حضور '!B:B&gt;=EOMONTH(M21,-1)+1,'حضور '!B:B&lt;=EOMONTH(M21,0))))"),1.0)</f>
        <v>1</v>
      </c>
      <c r="C21" s="342">
        <f>SUMIFS('حضور '!G:G,'حضور '!A:A,A21,'حضور '!B:B,"&gt;="&amp;EOMONTH(M21,-1)+1,'حضور '!B:B,"&lt;="&amp;EOMONTH(M21,0))</f>
        <v>12</v>
      </c>
      <c r="D21" s="343">
        <f>SUMIFS('حضور عمل خارجي'!I:I,'حضور عمل خارجي'!A:A,A21,'حضور عمل خارجي'!C:C,"&gt;="&amp;EOMONTH(M21,-1)+1,'حضور عمل خارجي'!C:C,"&lt;="&amp;EOMONTH(M21,0))</f>
        <v>0</v>
      </c>
      <c r="E21" s="336">
        <f t="shared" si="6"/>
        <v>8928.571429</v>
      </c>
      <c r="F21" s="336">
        <f t="shared" si="7"/>
        <v>26785.71429</v>
      </c>
      <c r="G21" s="336">
        <f>SUMIFS('حضور '!K:K,'حضور '!A:A,A21,'حضور '!B:B,"&gt;="&amp;EOMONTH(M21,-1)+1,'حضور '!B:B,"&lt;="&amp;EOMONTH(M21,0))</f>
        <v>1714.285714</v>
      </c>
      <c r="H21" s="336">
        <f>SUMIFS('حضور '!J:J,'حضور '!A:A,A21,'حضور '!B:B,"&gt;="&amp;EOMONTH(M21,-1)+1,'حضور '!B:B,"&lt;="&amp;EOMONTH(M21,0))</f>
        <v>0</v>
      </c>
      <c r="I21" s="336">
        <f>SUMIFS('حضور '!L:L,'حضور '!A:A,A21,'حضور '!B:B,"&gt;="&amp;EOMONTH(M21,-1)+1,'حضور '!B:B,"&lt;="&amp;EOMONTH(M21,0))</f>
        <v>0</v>
      </c>
      <c r="J21" s="336">
        <f>SUMIFS('حضور '!M:M,'حضور '!A:A,A21,'حضور '!B:B,"&gt;="&amp;EOMONTH(M21,-1)+1,'حضور '!B:B,"&lt;="&amp;EOMONTH(M21,0))</f>
        <v>35714.28571</v>
      </c>
      <c r="K21" s="336">
        <f t="shared" si="8"/>
        <v>0</v>
      </c>
      <c r="L21" s="343">
        <v>34000.0</v>
      </c>
      <c r="M21" s="344">
        <v>46054.0</v>
      </c>
      <c r="N21" s="339">
        <v>2.0</v>
      </c>
      <c r="O21" s="331">
        <f>IFERROR(__xludf.DUMMYFUNCTION("IFERROR(AVERAGE(FILTER('حضور '!I:I,'حضور '!A:A=A21,MONTH('حضور '!B:B)=N21)),"""")"),2976.190476190476)</f>
        <v>2976.190476</v>
      </c>
    </row>
    <row r="22" ht="26.25" customHeight="1">
      <c r="A22" s="360" t="s">
        <v>125</v>
      </c>
      <c r="B22" s="347">
        <f>IFERROR(__xludf.DUMMYFUNCTION("COUNTA(UNIQUE(FILTER('حضور '!B:B,'حضور '!A:A=A22,'حضور '!B:B&gt;=EOMONTH(M22,-1)+1,'حضور '!B:B&lt;=EOMONTH(M22,0))))"),14.0)</f>
        <v>14</v>
      </c>
      <c r="C22" s="348">
        <f>SUMIFS('حضور '!G:G,'حضور '!A:A,A22,'حضور '!B:B,"&gt;="&amp;EOMONTH(M22,-1)+1,'حضور '!B:B,"&lt;="&amp;EOMONTH(M22,0))</f>
        <v>145.4</v>
      </c>
      <c r="D22" s="350">
        <f>SUMIFS('حضور عمل خارجي'!I:I,'حضور عمل خارجي'!A:A,A22,'حضور عمل خارجي'!C:C,"&gt;="&amp;EOMONTH(M22,-1)+1,'حضور عمل خارجي'!C:C,"&lt;="&amp;EOMONTH(M22,0))</f>
        <v>0</v>
      </c>
      <c r="E22" s="349">
        <f t="shared" si="6"/>
        <v>222589.2965</v>
      </c>
      <c r="F22" s="349">
        <f t="shared" si="7"/>
        <v>506250.0294</v>
      </c>
      <c r="G22" s="349">
        <f>SUMIFS('حضور '!K:K,'حضور '!A:A,A22,'حضور '!B:B,"&gt;="&amp;EOMONTH(M22,-1)+1,'حضور '!B:B,"&lt;="&amp;EOMONTH(M22,0))</f>
        <v>110839</v>
      </c>
      <c r="H22" s="349">
        <f>SUMIFS('حضور '!J:J,'حضور '!A:A,A22,'حضور '!B:B,"&gt;="&amp;EOMONTH(M22,-1)+1,'حضور '!B:B,"&lt;="&amp;EOMONTH(M22,0))</f>
        <v>0</v>
      </c>
      <c r="I22" s="349">
        <f>SUMIFS('حضور '!L:L,'حضور '!A:A,A22,'حضور '!B:B,"&gt;="&amp;EOMONTH(M22,-1)+1,'حضور '!B:B,"&lt;="&amp;EOMONTH(M22,0))</f>
        <v>0</v>
      </c>
      <c r="J22" s="349">
        <f>SUMIFS('حضور '!M:M,'حضور '!A:A,A22,'حضور '!B:B,"&gt;="&amp;EOMONTH(M22,-1)+1,'حضور '!B:B,"&lt;="&amp;EOMONTH(M22,0))+(O22*36)+D22</f>
        <v>728839.3259</v>
      </c>
      <c r="K22" s="349">
        <f t="shared" si="8"/>
        <v>0.3258636789</v>
      </c>
      <c r="L22" s="350">
        <v>618000.0</v>
      </c>
      <c r="M22" s="351">
        <v>46054.0</v>
      </c>
      <c r="N22" s="339">
        <v>2.0</v>
      </c>
      <c r="O22" s="331">
        <f>IFERROR(__xludf.DUMMYFUNCTION("IFERROR(AVERAGE(FILTER('حضور '!I:I,'حضور '!A:A=A22,MONTH('حضور '!B:B)=N22)),"""")"),4017.8573762838478)</f>
        <v>4017.857376</v>
      </c>
    </row>
    <row r="23" ht="26.25" customHeight="1">
      <c r="A23" s="352" t="s">
        <v>254</v>
      </c>
      <c r="B23" s="353"/>
      <c r="C23" s="354"/>
      <c r="D23" s="355"/>
      <c r="E23" s="355"/>
      <c r="F23" s="355"/>
      <c r="G23" s="361">
        <f t="shared" ref="G23:L23" si="9">SUM(G9:G22)</f>
        <v>5716830.417</v>
      </c>
      <c r="H23" s="361">
        <f t="shared" si="9"/>
        <v>0</v>
      </c>
      <c r="I23" s="361">
        <f t="shared" si="9"/>
        <v>0</v>
      </c>
      <c r="J23" s="361">
        <f t="shared" si="9"/>
        <v>7940838.305</v>
      </c>
      <c r="K23" s="361">
        <f t="shared" si="9"/>
        <v>-2750000.111</v>
      </c>
      <c r="L23" s="361">
        <f t="shared" si="9"/>
        <v>4974008</v>
      </c>
      <c r="M23" s="362" t="s">
        <v>256</v>
      </c>
      <c r="N23" s="363"/>
      <c r="O23" s="359"/>
    </row>
    <row r="24" ht="26.25" customHeight="1">
      <c r="A24" s="332" t="s">
        <v>27</v>
      </c>
      <c r="B24" s="333">
        <f>SUMIFS('حضور '!H:H,'حضور '!A:A,A24,'حضور '!B:B,"&gt;="&amp;EOMONTH(M24,-1)+1,'حضور '!B:B,"&lt;="&amp;EOMONTH(M24,0))</f>
        <v>22</v>
      </c>
      <c r="C24" s="334">
        <f>SUMIFS('حضور '!G:G,'حضور '!A:A,A24,'حضور '!B:B,"&gt;="&amp;EOMONTH(M24,-1)+1,'حضور '!B:B,"&lt;="&amp;EOMONTH(M24,0))</f>
        <v>172.0333333</v>
      </c>
      <c r="D24" s="335">
        <f>SUMIFS('حضور عمل خارجي'!I:I,'حضور عمل خارجي'!A:A,A24,'حضور عمل خارجي'!C:C,"&gt;="&amp;EOMONTH(M24,-1)+1,'حضور عمل خارجي'!C:C,"&lt;="&amp;EOMONTH(M24,0))</f>
        <v>0</v>
      </c>
      <c r="E24" s="335">
        <f t="shared" ref="E24:E30" si="10">J24-F24</f>
        <v>35096.02195</v>
      </c>
      <c r="F24" s="335">
        <f t="shared" ref="F24:F30" si="11">B24*9*O24</f>
        <v>692592.5926</v>
      </c>
      <c r="G24" s="335">
        <f>SUMIFS('حضور '!K:K,'حضور '!A:A,A24,'حضور '!B:B,"&gt;="&amp;EOMONTH(M24,-1)+1,'حضور '!B:B,"&lt;="&amp;EOMONTH(M24,0))</f>
        <v>206750</v>
      </c>
      <c r="H24" s="335">
        <f>SUMIFS('حضور '!J:J,'حضور '!A:A,A24,'حضور '!B:B,"&gt;="&amp;EOMONTH(M24,-1)+1,'حضور '!B:B,"&lt;="&amp;EOMONTH(M24,0))</f>
        <v>50000</v>
      </c>
      <c r="I24" s="335">
        <f>SUMIFS('حضور '!L:L,'حضور '!A:A,A24,'حضور '!B:B,"&gt;="&amp;EOMONTH(M24,-1)+1,'حضور '!B:B,"&lt;="&amp;EOMONTH(M24,0))</f>
        <v>0</v>
      </c>
      <c r="J24" s="335">
        <f>SUMIFS('حضور '!M:M,'حضور '!A:A,A24,'حضور '!B:B,"&gt;="&amp;EOMONTH(M24,-1)+1,'حضور '!B:B,"&lt;="&amp;EOMONTH(M24,0))+(O24*36)+D24</f>
        <v>727688.6145</v>
      </c>
      <c r="K24" s="335">
        <f t="shared" ref="K24:K30" si="12">J24-G24-L24-H24+I24</f>
        <v>470938.6145</v>
      </c>
      <c r="L24" s="335"/>
      <c r="M24" s="338">
        <v>46093.0</v>
      </c>
      <c r="N24" s="339">
        <v>3.0</v>
      </c>
      <c r="O24" s="331">
        <f>IFERROR(__xludf.DUMMYFUNCTION("IFERROR(AVERAGE(FILTER('حضور '!I:I,'حضور '!A:A=A24,MONTH('حضور '!B:B)=N24)),"""")"),3497.9423868312747)</f>
        <v>3497.942387</v>
      </c>
    </row>
    <row r="25" ht="26.25" customHeight="1">
      <c r="A25" s="340" t="s">
        <v>28</v>
      </c>
      <c r="B25" s="341">
        <f>SUMIFS('حضور '!H:H,'حضور '!A:A,A25,'حضور '!B:B,"&gt;="&amp;EOMONTH(M25,-1)+1,'حضور '!B:B,"&lt;="&amp;EOMONTH(M25,0))</f>
        <v>27</v>
      </c>
      <c r="C25" s="342">
        <f>SUMIFS('حضور '!G:G,'حضور '!A:A,A25,'حضور '!B:B,"&gt;="&amp;EOMONTH(M25,-1)+1,'حضور '!B:B,"&lt;="&amp;EOMONTH(M25,0))</f>
        <v>253.2166667</v>
      </c>
      <c r="D25" s="336">
        <f>SUMIFS('حضور عمل خارجي'!I:I,'حضور عمل خارجي'!A:A,A25,'حضور عمل خارجي'!C:C,"&gt;="&amp;EOMONTH(M25,-1)+1,'حضور عمل خارجي'!C:C,"&lt;="&amp;EOMONTH(M25,0))</f>
        <v>67901.23457</v>
      </c>
      <c r="E25" s="336">
        <f t="shared" si="10"/>
        <v>172506.8587</v>
      </c>
      <c r="F25" s="336">
        <f t="shared" si="11"/>
        <v>550000</v>
      </c>
      <c r="G25" s="336">
        <f>SUMIFS('حضور '!K:K,'حضور '!A:A,A25,'حضور '!B:B,"&gt;="&amp;EOMONTH(M25,-1)+1,'حضور '!B:B,"&lt;="&amp;EOMONTH(M25,0))</f>
        <v>353500</v>
      </c>
      <c r="H25" s="336">
        <f>SUMIFS('حضور '!J:J,'حضور '!A:A,A25,'حضور '!B:B,"&gt;="&amp;EOMONTH(M25,-1)+1,'حضور '!B:B,"&lt;="&amp;EOMONTH(M25,0))</f>
        <v>0</v>
      </c>
      <c r="I25" s="336">
        <f>SUMIFS('حضور '!L:L,'حضور '!A:A,A25,'حضور '!B:B,"&gt;="&amp;EOMONTH(M25,-1)+1,'حضور '!B:B,"&lt;="&amp;EOMONTH(M25,0))</f>
        <v>0</v>
      </c>
      <c r="J25" s="336">
        <f>SUMIFS('حضور '!M:M,'حضور '!A:A,A25,'حضور '!B:B,"&gt;="&amp;EOMONTH(M25,-1)+1,'حضور '!B:B,"&lt;="&amp;EOMONTH(M25,0))+(O25*36)+D25</f>
        <v>722506.8587</v>
      </c>
      <c r="K25" s="336">
        <f t="shared" si="12"/>
        <v>369006.8587</v>
      </c>
      <c r="L25" s="336"/>
      <c r="M25" s="344">
        <v>46094.0</v>
      </c>
      <c r="N25" s="339">
        <v>3.0</v>
      </c>
      <c r="O25" s="331">
        <f>IFERROR(__xludf.DUMMYFUNCTION("IFERROR(AVERAGE(FILTER('حضور '!I:I,'حضور '!A:A=A25,MONTH('حضور '!B:B)=N25)),"""")"),2263.3744855967084)</f>
        <v>2263.374486</v>
      </c>
    </row>
    <row r="26" ht="26.25" customHeight="1">
      <c r="A26" s="340" t="s">
        <v>29</v>
      </c>
      <c r="B26" s="341">
        <f>SUMIFS('حضور '!H:H,'حضور '!A:A,A26,'حضور '!B:B,"&gt;="&amp;EOMONTH(M26,-1)+1,'حضور '!B:B,"&lt;="&amp;EOMONTH(M26,0))</f>
        <v>8</v>
      </c>
      <c r="C26" s="342">
        <f>SUMIFS('حضور '!G:G,'حضور '!A:A,A26,'حضور '!B:B,"&gt;="&amp;EOMONTH(M26,-1)+1,'حضور '!B:B,"&lt;="&amp;EOMONTH(M26,0))</f>
        <v>61.1</v>
      </c>
      <c r="D26" s="336"/>
      <c r="E26" s="336">
        <f t="shared" si="10"/>
        <v>77469.1358</v>
      </c>
      <c r="F26" s="336">
        <f t="shared" si="11"/>
        <v>222222.2222</v>
      </c>
      <c r="G26" s="336">
        <f>SUMIFS('حضور '!K:K,'حضور '!A:A,A26,'حضور '!B:B,"&gt;="&amp;EOMONTH(M26,-1)+1,'حضور '!B:B,"&lt;="&amp;EOMONTH(M26,0))</f>
        <v>88500</v>
      </c>
      <c r="H26" s="336">
        <f>SUMIFS('حضور '!J:J,'حضور '!A:A,A26,'حضور '!B:B,"&gt;="&amp;EOMONTH(M26,-1)+1,'حضور '!B:B,"&lt;="&amp;EOMONTH(M26,0))</f>
        <v>50000</v>
      </c>
      <c r="I26" s="336">
        <f>SUMIFS('حضور '!L:L,'حضور '!A:A,A26,'حضور '!B:B,"&gt;="&amp;EOMONTH(M26,-1)+1,'حضور '!B:B,"&lt;="&amp;EOMONTH(M26,0))</f>
        <v>0</v>
      </c>
      <c r="J26" s="336">
        <f>SUMIFS('حضور '!M:M,'حضور '!A:A,A26,'حضور '!B:B,"&gt;="&amp;EOMONTH(M26,-1)+1,'حضور '!B:B,"&lt;="&amp;EOMONTH(M26,0))+(O26*36)+D26</f>
        <v>299691.358</v>
      </c>
      <c r="K26" s="336">
        <f t="shared" si="12"/>
        <v>161191.358</v>
      </c>
      <c r="L26" s="336"/>
      <c r="M26" s="344">
        <v>46095.0</v>
      </c>
      <c r="N26" s="339">
        <v>3.0</v>
      </c>
      <c r="O26" s="331">
        <f>IFERROR(__xludf.DUMMYFUNCTION("IFERROR(AVERAGE(FILTER('حضور '!I:I,'حضور '!A:A=A26,MONTH('حضور '!B:B)=N26)),"""")"),3086.4197530864194)</f>
        <v>3086.419753</v>
      </c>
    </row>
    <row r="27" ht="26.25" customHeight="1">
      <c r="A27" s="340" t="s">
        <v>176</v>
      </c>
      <c r="B27" s="341">
        <f>SUMIFS('حضور '!H:H,'حضور '!A:A,A27,'حضور '!B:B,"&gt;="&amp;EOMONTH(M27,-1)+1,'حضور '!B:B,"&lt;="&amp;EOMONTH(M27,0))</f>
        <v>2</v>
      </c>
      <c r="C27" s="342">
        <f>SUMIFS('حضور '!G:G,'حضور '!A:A,A27,'حضور '!B:B,"&gt;="&amp;EOMONTH(M27,-1)+1,'حضور '!B:B,"&lt;="&amp;EOMONTH(M27,0))</f>
        <v>17</v>
      </c>
      <c r="D27" s="336"/>
      <c r="E27" s="336">
        <f t="shared" si="10"/>
        <v>-2674.897119</v>
      </c>
      <c r="F27" s="336">
        <f t="shared" si="11"/>
        <v>48148.14815</v>
      </c>
      <c r="G27" s="336">
        <f>SUMIFS('حضور '!K:K,'حضور '!A:A,A27,'حضور '!B:B,"&gt;="&amp;EOMONTH(M27,-1)+1,'حضور '!B:B,"&lt;="&amp;EOMONTH(M27,0))</f>
        <v>0</v>
      </c>
      <c r="H27" s="336">
        <f>SUMIFS('حضور '!J:J,'حضور '!A:A,A27,'حضور '!B:B,"&gt;="&amp;EOMONTH(M27,-1)+1,'حضور '!B:B,"&lt;="&amp;EOMONTH(M27,0))</f>
        <v>0</v>
      </c>
      <c r="I27" s="336">
        <f>SUMIFS('حضور '!L:L,'حضور '!A:A,A27,'حضور '!B:B,"&gt;="&amp;EOMONTH(M27,-1)+1,'حضور '!B:B,"&lt;="&amp;EOMONTH(M27,0))</f>
        <v>4527</v>
      </c>
      <c r="J27" s="336">
        <f>SUMIFS('حضور '!M:M,'حضور '!A:A,A27,'حضور '!B:B,"&gt;="&amp;EOMONTH(M27,-1)+1,'حضور '!B:B,"&lt;="&amp;EOMONTH(M27,0))</f>
        <v>45473.25103</v>
      </c>
      <c r="K27" s="336">
        <f t="shared" si="12"/>
        <v>0.2510288066</v>
      </c>
      <c r="L27" s="343">
        <v>50000.0</v>
      </c>
      <c r="M27" s="344">
        <v>46098.0</v>
      </c>
      <c r="N27" s="339">
        <v>3.0</v>
      </c>
      <c r="O27" s="331">
        <f>IFERROR(__xludf.DUMMYFUNCTION("IFERROR(AVERAGE(FILTER('حضور '!I:I,'حضور '!A:A=A27,MONTH('حضور '!B:B)=N27)),"""")"),2674.8971193415637)</f>
        <v>2674.897119</v>
      </c>
    </row>
    <row r="28" ht="26.25" customHeight="1">
      <c r="A28" s="340" t="s">
        <v>114</v>
      </c>
      <c r="B28" s="341">
        <f>SUMIFS('حضور '!H:H,'حضور '!A:A,A28,'حضور '!B:B,"&gt;="&amp;EOMONTH(M28,-1)+1,'حضور '!B:B,"&lt;="&amp;EOMONTH(M28,0))</f>
        <v>2</v>
      </c>
      <c r="C28" s="342">
        <f>SUMIFS('حضور '!G:G,'حضور '!A:A,A28,'حضور '!B:B,"&gt;="&amp;EOMONTH(M28,-1)+1,'حضور '!B:B,"&lt;="&amp;EOMONTH(M28,0))</f>
        <v>15.5</v>
      </c>
      <c r="D28" s="336"/>
      <c r="E28" s="336">
        <f t="shared" si="10"/>
        <v>-7716.049383</v>
      </c>
      <c r="F28" s="336">
        <f t="shared" si="11"/>
        <v>55555.55556</v>
      </c>
      <c r="G28" s="336">
        <f>SUMIFS('حضور '!K:K,'حضور '!A:A,A28,'حضور '!B:B,"&gt;="&amp;EOMONTH(M28,-1)+1,'حضور '!B:B,"&lt;="&amp;EOMONTH(M28,0))</f>
        <v>0</v>
      </c>
      <c r="H28" s="336">
        <f>SUMIFS('حضور '!J:J,'حضور '!A:A,A28,'حضور '!B:B,"&gt;="&amp;EOMONTH(M28,-1)+1,'حضور '!B:B,"&lt;="&amp;EOMONTH(M28,0))</f>
        <v>0</v>
      </c>
      <c r="I28" s="336">
        <f>SUMIFS('حضور '!L:L,'حضور '!A:A,A28,'حضور '!B:B,"&gt;="&amp;EOMONTH(M28,-1)+1,'حضور '!B:B,"&lt;="&amp;EOMONTH(M28,0))</f>
        <v>2160</v>
      </c>
      <c r="J28" s="336">
        <f>SUMIFS('حضور '!M:M,'حضور '!A:A,A28,'حضور '!B:B,"&gt;="&amp;EOMONTH(M28,-1)+1,'حضور '!B:B,"&lt;="&amp;EOMONTH(M28,0))</f>
        <v>47839.50617</v>
      </c>
      <c r="K28" s="336">
        <f t="shared" si="12"/>
        <v>-0.4938271605</v>
      </c>
      <c r="L28" s="343">
        <v>50000.0</v>
      </c>
      <c r="M28" s="344">
        <v>46099.0</v>
      </c>
      <c r="N28" s="339">
        <v>3.0</v>
      </c>
      <c r="O28" s="331">
        <f>IFERROR(__xludf.DUMMYFUNCTION("IFERROR(AVERAGE(FILTER('حضور '!I:I,'حضور '!A:A=A28,MONTH('حضور '!B:B)=N28)),"""")"),3086.41975308642)</f>
        <v>3086.419753</v>
      </c>
    </row>
    <row r="29" ht="26.25" customHeight="1">
      <c r="A29" s="340" t="s">
        <v>102</v>
      </c>
      <c r="B29" s="341">
        <f>SUMIFS('حضور '!H:H,'حضور '!A:A,A29,'حضور '!B:B,"&gt;="&amp;EOMONTH(M29,-1)+1,'حضور '!B:B,"&lt;="&amp;EOMONTH(M29,0))</f>
        <v>0</v>
      </c>
      <c r="C29" s="342">
        <f>SUMIFS('حضور '!G:G,'حضور '!A:A,A29,'حضور '!B:B,"&gt;="&amp;EOMONTH(M29,-1)+1,'حضور '!B:B,"&lt;="&amp;EOMONTH(M29,0))</f>
        <v>0</v>
      </c>
      <c r="D29" s="336"/>
      <c r="E29" s="336">
        <f t="shared" si="10"/>
        <v>350000</v>
      </c>
      <c r="F29" s="336">
        <f t="shared" si="11"/>
        <v>0</v>
      </c>
      <c r="G29" s="336">
        <f>SUMIFS('حضور '!K:K,'حضور '!A:A,A29,'حضور '!B:B,"&gt;="&amp;EOMONTH(M29,-1)+1,'حضور '!B:B,"&lt;="&amp;EOMONTH(M29,0))</f>
        <v>182000</v>
      </c>
      <c r="H29" s="336">
        <f>SUMIFS('حضور '!J:J,'حضور '!A:A,A29,'حضور '!B:B,"&gt;="&amp;EOMONTH(M29,-1)+1,'حضور '!B:B,"&lt;="&amp;EOMONTH(M29,0))</f>
        <v>25000</v>
      </c>
      <c r="I29" s="336">
        <f>SUMIFS('حضور '!L:L,'حضور '!A:A,A29,'حضور '!B:B,"&gt;="&amp;EOMONTH(M29,-1)+1,'حضور '!B:B,"&lt;="&amp;EOMONTH(M29,0))</f>
        <v>0</v>
      </c>
      <c r="J29" s="336">
        <f>SUMIFS('حضور '!M:M,'حضور '!A:A,A29,'حضور '!B:B,"&gt;="&amp;EOMONTH(M29,-1)+1,'حضور '!B:B,"&lt;="&amp;EOMONTH(M29,0))+(O29*36)+D29</f>
        <v>350000</v>
      </c>
      <c r="K29" s="336">
        <f t="shared" si="12"/>
        <v>143000</v>
      </c>
      <c r="L29" s="336"/>
      <c r="M29" s="344">
        <v>46096.0</v>
      </c>
      <c r="N29" s="339">
        <v>3.0</v>
      </c>
      <c r="O29" s="331" t="str">
        <f>IFERROR(__xludf.DUMMYFUNCTION("IFERROR(AVERAGE(FILTER('حضور '!I:I,'حضور '!A:A=A29,MONTH('حضور '!B:B)=N29)),"""")"),"")</f>
        <v/>
      </c>
    </row>
    <row r="30" ht="26.25" customHeight="1">
      <c r="A30" s="340" t="s">
        <v>63</v>
      </c>
      <c r="B30" s="341">
        <f>SUMIFS('حضور '!H:H,'حضور '!A:A,A30,'حضور '!B:B,"&gt;="&amp;EOMONTH(M30,-1)+1,'حضور '!B:B,"&lt;="&amp;EOMONTH(M30,0))</f>
        <v>0</v>
      </c>
      <c r="C30" s="342">
        <f>SUMIFS('حضور '!G:G,'حضور '!A:A,A30,'حضور '!B:B,"&gt;="&amp;EOMONTH(M30,-1)+1,'حضور '!B:B,"&lt;="&amp;EOMONTH(M30,0))</f>
        <v>0</v>
      </c>
      <c r="D30" s="336"/>
      <c r="E30" s="336">
        <f t="shared" si="10"/>
        <v>550000</v>
      </c>
      <c r="F30" s="336">
        <f t="shared" si="11"/>
        <v>0</v>
      </c>
      <c r="G30" s="336">
        <f>SUMIFS('حضور '!K:K,'حضور '!A:A,A30,'حضور '!B:B,"&gt;="&amp;EOMONTH(M30,-1)+1,'حضور '!B:B,"&lt;="&amp;EOMONTH(M30,0))</f>
        <v>15000</v>
      </c>
      <c r="H30" s="336">
        <f>SUMIFS('حضور '!J:J,'حضور '!A:A,A30,'حضور '!B:B,"&gt;="&amp;EOMONTH(M30,-1)+1,'حضور '!B:B,"&lt;="&amp;EOMONTH(M30,0))</f>
        <v>50000</v>
      </c>
      <c r="I30" s="336">
        <f>SUMIFS('حضور '!L:L,'حضور '!A:A,A30,'حضور '!B:B,"&gt;="&amp;EOMONTH(M30,-1)+1,'حضور '!B:B,"&lt;="&amp;EOMONTH(M30,0))</f>
        <v>0</v>
      </c>
      <c r="J30" s="336">
        <f>SUMIFS('حضور '!M:M,'حضور '!A:A,A30,'حضور '!B:B,"&gt;="&amp;EOMONTH(M30,-1)+1,'حضور '!B:B,"&lt;="&amp;EOMONTH(M30,0))+(O30*36)+D30</f>
        <v>550000</v>
      </c>
      <c r="K30" s="336">
        <f t="shared" si="12"/>
        <v>485000</v>
      </c>
      <c r="L30" s="336"/>
      <c r="M30" s="344">
        <v>46097.0</v>
      </c>
      <c r="N30" s="339">
        <v>3.0</v>
      </c>
      <c r="O30" s="331" t="str">
        <f>IFERROR(__xludf.DUMMYFUNCTION("IFERROR(AVERAGE(FILTER('حضور '!I:I,'حضور '!A:A=A30,MONTH('حضور '!B:B)=N30)),"""")"),"")</f>
        <v/>
      </c>
    </row>
    <row r="31" ht="26.25" customHeight="1">
      <c r="A31" s="360"/>
      <c r="B31" s="347"/>
      <c r="C31" s="348"/>
      <c r="D31" s="349"/>
      <c r="E31" s="349"/>
      <c r="F31" s="349"/>
      <c r="G31" s="349"/>
      <c r="H31" s="349"/>
      <c r="I31" s="349"/>
      <c r="J31" s="349"/>
      <c r="K31" s="349"/>
      <c r="L31" s="349"/>
      <c r="M31" s="351"/>
      <c r="N31" s="339"/>
      <c r="O31" s="331"/>
    </row>
    <row r="32" ht="26.25" customHeight="1">
      <c r="A32" s="364" t="s">
        <v>254</v>
      </c>
      <c r="B32" s="365"/>
      <c r="C32" s="366"/>
      <c r="D32" s="367"/>
      <c r="E32" s="367"/>
      <c r="F32" s="367"/>
      <c r="G32" s="367">
        <f t="shared" ref="G32:L32" si="13">SUM(G24:G30)</f>
        <v>845750</v>
      </c>
      <c r="H32" s="367">
        <f t="shared" si="13"/>
        <v>175000</v>
      </c>
      <c r="I32" s="367">
        <f t="shared" si="13"/>
        <v>6687</v>
      </c>
      <c r="J32" s="367">
        <f t="shared" si="13"/>
        <v>2743199.588</v>
      </c>
      <c r="K32" s="367">
        <f t="shared" si="13"/>
        <v>1629136.588</v>
      </c>
      <c r="L32" s="367">
        <f t="shared" si="13"/>
        <v>100000</v>
      </c>
      <c r="M32" s="368" t="s">
        <v>257</v>
      </c>
      <c r="N32" s="339"/>
      <c r="O32" s="331"/>
    </row>
    <row r="33" ht="26.25" hidden="1" customHeight="1">
      <c r="A33" s="369"/>
      <c r="B33" s="341"/>
      <c r="C33" s="342"/>
      <c r="D33" s="336"/>
      <c r="E33" s="336"/>
      <c r="F33" s="336"/>
      <c r="G33" s="336"/>
      <c r="H33" s="336"/>
      <c r="I33" s="336"/>
      <c r="J33" s="336"/>
      <c r="K33" s="336"/>
      <c r="L33" s="336"/>
      <c r="M33" s="370"/>
      <c r="N33" s="339"/>
      <c r="O33" s="331"/>
    </row>
    <row r="34" ht="26.25" hidden="1" customHeight="1">
      <c r="A34" s="369"/>
      <c r="B34" s="341"/>
      <c r="C34" s="342"/>
      <c r="D34" s="336"/>
      <c r="E34" s="336"/>
      <c r="F34" s="336"/>
      <c r="G34" s="336"/>
      <c r="H34" s="336"/>
      <c r="I34" s="336"/>
      <c r="J34" s="336"/>
      <c r="K34" s="336"/>
      <c r="L34" s="336"/>
      <c r="M34" s="370"/>
      <c r="N34" s="330"/>
      <c r="O34" s="331"/>
    </row>
    <row r="35" ht="26.25" hidden="1" customHeight="1">
      <c r="A35" s="369"/>
      <c r="B35" s="341"/>
      <c r="C35" s="342"/>
      <c r="D35" s="336"/>
      <c r="E35" s="336"/>
      <c r="F35" s="336"/>
      <c r="G35" s="336"/>
      <c r="H35" s="336"/>
      <c r="I35" s="336"/>
      <c r="J35" s="336"/>
      <c r="K35" s="336"/>
      <c r="L35" s="336"/>
      <c r="M35" s="370"/>
      <c r="N35" s="339"/>
      <c r="O35" s="331" t="str">
        <f>IFERROR(__xludf.DUMMYFUNCTION("IFERROR(AVERAGE(FILTER('حضور '!I:I,'حضور '!A:A=A35,MONTH('حضور '!B:B)=N35)),"""")"),"")</f>
        <v/>
      </c>
    </row>
    <row r="36" ht="26.25" hidden="1" customHeight="1">
      <c r="A36" s="369"/>
      <c r="B36" s="341"/>
      <c r="C36" s="342"/>
      <c r="D36" s="336"/>
      <c r="E36" s="336"/>
      <c r="F36" s="336"/>
      <c r="G36" s="336"/>
      <c r="H36" s="336"/>
      <c r="I36" s="336"/>
      <c r="J36" s="336"/>
      <c r="K36" s="336"/>
      <c r="L36" s="336"/>
      <c r="M36" s="370"/>
      <c r="N36" s="339"/>
      <c r="O36" s="331" t="str">
        <f>IFERROR(__xludf.DUMMYFUNCTION("IFERROR(AVERAGE(FILTER('حضور '!I:I,'حضور '!A:A=A36,MONTH('حضور '!B:B)=N36)),"""")"),"")</f>
        <v/>
      </c>
    </row>
    <row r="37" ht="26.25" hidden="1" customHeight="1">
      <c r="A37" s="369"/>
      <c r="B37" s="341"/>
      <c r="C37" s="342"/>
      <c r="D37" s="336"/>
      <c r="E37" s="336"/>
      <c r="F37" s="336"/>
      <c r="G37" s="336"/>
      <c r="H37" s="336"/>
      <c r="I37" s="336"/>
      <c r="J37" s="336"/>
      <c r="K37" s="336"/>
      <c r="L37" s="336"/>
      <c r="M37" s="370"/>
      <c r="N37" s="339"/>
      <c r="O37" s="331" t="str">
        <f>IFERROR(__xludf.DUMMYFUNCTION("IFERROR(AVERAGE(FILTER('حضور '!I:I,'حضور '!A:A=A37,MONTH('حضور '!B:B)=N37)),"""")"),"")</f>
        <v/>
      </c>
    </row>
    <row r="38" ht="26.25" hidden="1" customHeight="1">
      <c r="A38" s="369"/>
      <c r="B38" s="341"/>
      <c r="C38" s="342"/>
      <c r="D38" s="336"/>
      <c r="E38" s="336"/>
      <c r="F38" s="336"/>
      <c r="G38" s="336"/>
      <c r="H38" s="336"/>
      <c r="I38" s="336"/>
      <c r="J38" s="336"/>
      <c r="K38" s="336"/>
      <c r="L38" s="336"/>
      <c r="M38" s="370"/>
      <c r="N38" s="339"/>
      <c r="O38" s="331" t="str">
        <f>IFERROR(__xludf.DUMMYFUNCTION("IFERROR(AVERAGE(FILTER('حضور '!I:I,'حضور '!A:A=A38,MONTH('حضور '!B:B)=N38)),"""")"),"")</f>
        <v/>
      </c>
    </row>
    <row r="39" ht="26.25" hidden="1" customHeight="1">
      <c r="A39" s="369"/>
      <c r="B39" s="341"/>
      <c r="C39" s="342"/>
      <c r="D39" s="336"/>
      <c r="E39" s="336"/>
      <c r="F39" s="336"/>
      <c r="G39" s="336"/>
      <c r="H39" s="336"/>
      <c r="I39" s="336"/>
      <c r="J39" s="336"/>
      <c r="K39" s="336"/>
      <c r="L39" s="336"/>
      <c r="M39" s="370"/>
      <c r="N39" s="330"/>
      <c r="O39" s="331" t="str">
        <f>IFERROR(__xludf.DUMMYFUNCTION("IFERROR(AVERAGE(FILTER('حضور '!I:I,'حضور '!A:A=A39,MONTH('حضور '!B:B)=N39)),"""")"),"")</f>
        <v/>
      </c>
    </row>
    <row r="40" ht="26.25" hidden="1" customHeight="1">
      <c r="A40" s="369"/>
      <c r="B40" s="341"/>
      <c r="C40" s="342"/>
      <c r="D40" s="336"/>
      <c r="E40" s="336"/>
      <c r="F40" s="336"/>
      <c r="G40" s="336"/>
      <c r="H40" s="336"/>
      <c r="I40" s="336"/>
      <c r="J40" s="336"/>
      <c r="K40" s="336"/>
      <c r="L40" s="336"/>
      <c r="M40" s="370"/>
      <c r="N40" s="339"/>
      <c r="O40" s="331" t="str">
        <f>IFERROR(__xludf.DUMMYFUNCTION("IFERROR(AVERAGE(FILTER('حضور '!I:I,'حضور '!A:A=A40,MONTH('حضور '!B:B)=N40)),"""")"),"")</f>
        <v/>
      </c>
    </row>
    <row r="41" ht="26.25" hidden="1" customHeight="1">
      <c r="A41" s="369"/>
      <c r="B41" s="341"/>
      <c r="C41" s="342"/>
      <c r="D41" s="336"/>
      <c r="E41" s="336"/>
      <c r="F41" s="336"/>
      <c r="G41" s="336"/>
      <c r="H41" s="336"/>
      <c r="I41" s="336"/>
      <c r="J41" s="336"/>
      <c r="K41" s="336"/>
      <c r="L41" s="336"/>
      <c r="M41" s="370"/>
      <c r="N41" s="339"/>
      <c r="O41" s="331" t="str">
        <f>IFERROR(__xludf.DUMMYFUNCTION("IFERROR(AVERAGE(FILTER('حضور '!I:I,'حضور '!A:A=A41,MONTH('حضور '!B:B)=N41)),"""")"),"")</f>
        <v/>
      </c>
    </row>
    <row r="42" ht="26.25" hidden="1" customHeight="1">
      <c r="A42" s="369"/>
      <c r="B42" s="341"/>
      <c r="C42" s="342"/>
      <c r="D42" s="336"/>
      <c r="E42" s="336"/>
      <c r="F42" s="336"/>
      <c r="G42" s="336"/>
      <c r="H42" s="336"/>
      <c r="I42" s="336"/>
      <c r="J42" s="336"/>
      <c r="K42" s="336"/>
      <c r="L42" s="336"/>
      <c r="M42" s="370"/>
      <c r="N42" s="339"/>
      <c r="O42" s="331" t="str">
        <f>IFERROR(__xludf.DUMMYFUNCTION("IFERROR(AVERAGE(FILTER('حضور '!I:I,'حضور '!A:A=A42,MONTH('حضور '!B:B)=N42)),"""")"),"")</f>
        <v/>
      </c>
    </row>
    <row r="43" ht="26.25" hidden="1" customHeight="1">
      <c r="A43" s="369"/>
      <c r="B43" s="341"/>
      <c r="C43" s="342"/>
      <c r="D43" s="336"/>
      <c r="E43" s="336"/>
      <c r="F43" s="336"/>
      <c r="G43" s="336"/>
      <c r="H43" s="336"/>
      <c r="I43" s="336"/>
      <c r="J43" s="336"/>
      <c r="K43" s="336"/>
      <c r="L43" s="336"/>
      <c r="M43" s="370"/>
      <c r="N43" s="339"/>
      <c r="O43" s="331" t="str">
        <f>IFERROR(__xludf.DUMMYFUNCTION("IFERROR(AVERAGE(FILTER('حضور '!I:I,'حضور '!A:A=A43,MONTH('حضور '!B:B)=N43)),"""")"),"")</f>
        <v/>
      </c>
    </row>
    <row r="44" ht="26.25" hidden="1" customHeight="1">
      <c r="A44" s="369"/>
      <c r="B44" s="341"/>
      <c r="C44" s="342"/>
      <c r="D44" s="336"/>
      <c r="E44" s="336"/>
      <c r="F44" s="336"/>
      <c r="G44" s="336"/>
      <c r="H44" s="336"/>
      <c r="I44" s="336"/>
      <c r="J44" s="336"/>
      <c r="K44" s="336"/>
      <c r="L44" s="336"/>
      <c r="M44" s="370"/>
      <c r="N44" s="330"/>
      <c r="O44" s="331" t="str">
        <f>IFERROR(__xludf.DUMMYFUNCTION("IFERROR(AVERAGE(FILTER('حضور '!I:I,'حضور '!A:A=A44,MONTH('حضور '!B:B)=N44)),"""")"),"")</f>
        <v/>
      </c>
    </row>
    <row r="45" ht="26.25" hidden="1" customHeight="1">
      <c r="A45" s="369"/>
      <c r="B45" s="341"/>
      <c r="C45" s="342"/>
      <c r="D45" s="336"/>
      <c r="E45" s="336"/>
      <c r="F45" s="336"/>
      <c r="G45" s="336"/>
      <c r="H45" s="336"/>
      <c r="I45" s="336"/>
      <c r="J45" s="336"/>
      <c r="K45" s="336"/>
      <c r="L45" s="336"/>
      <c r="M45" s="370"/>
      <c r="N45" s="339"/>
      <c r="O45" s="331" t="str">
        <f>IFERROR(__xludf.DUMMYFUNCTION("IFERROR(AVERAGE(FILTER('حضور '!I:I,'حضور '!A:A=A45,MONTH('حضور '!B:B)=N45)),"""")"),"")</f>
        <v/>
      </c>
    </row>
    <row r="46" ht="26.25" hidden="1" customHeight="1">
      <c r="A46" s="369"/>
      <c r="B46" s="341"/>
      <c r="C46" s="342"/>
      <c r="D46" s="336"/>
      <c r="E46" s="336"/>
      <c r="F46" s="336"/>
      <c r="G46" s="336"/>
      <c r="H46" s="336"/>
      <c r="I46" s="336"/>
      <c r="J46" s="336"/>
      <c r="K46" s="336"/>
      <c r="L46" s="336"/>
      <c r="M46" s="370"/>
      <c r="N46" s="339"/>
      <c r="O46" s="331" t="str">
        <f>IFERROR(__xludf.DUMMYFUNCTION("IFERROR(AVERAGE(FILTER('حضور '!I:I,'حضور '!A:A=A46,MONTH('حضور '!B:B)=N46)),"""")"),"")</f>
        <v/>
      </c>
    </row>
    <row r="47" ht="26.25" hidden="1" customHeight="1">
      <c r="A47" s="369"/>
      <c r="B47" s="341"/>
      <c r="C47" s="342"/>
      <c r="D47" s="336"/>
      <c r="E47" s="336"/>
      <c r="F47" s="336"/>
      <c r="G47" s="336"/>
      <c r="H47" s="336"/>
      <c r="I47" s="336"/>
      <c r="J47" s="336"/>
      <c r="K47" s="336"/>
      <c r="L47" s="336"/>
      <c r="M47" s="370"/>
      <c r="N47" s="339"/>
      <c r="O47" s="331" t="str">
        <f>IFERROR(__xludf.DUMMYFUNCTION("IFERROR(AVERAGE(FILTER('حضور '!I:I,'حضور '!A:A=A47,MONTH('حضور '!B:B)=N47)),"""")"),"")</f>
        <v/>
      </c>
    </row>
    <row r="48" ht="26.25" hidden="1" customHeight="1">
      <c r="A48" s="369"/>
      <c r="B48" s="341"/>
      <c r="C48" s="342"/>
      <c r="D48" s="336"/>
      <c r="E48" s="336"/>
      <c r="F48" s="336"/>
      <c r="G48" s="336"/>
      <c r="H48" s="336"/>
      <c r="I48" s="336"/>
      <c r="J48" s="336"/>
      <c r="K48" s="336"/>
      <c r="L48" s="336"/>
      <c r="M48" s="370"/>
      <c r="N48" s="339"/>
      <c r="O48" s="331" t="str">
        <f>IFERROR(__xludf.DUMMYFUNCTION("IFERROR(AVERAGE(FILTER('حضور '!I:I,'حضور '!A:A=A48,MONTH('حضور '!B:B)=N48)),"""")"),"")</f>
        <v/>
      </c>
    </row>
    <row r="49" ht="26.25" hidden="1" customHeight="1">
      <c r="A49" s="369"/>
      <c r="B49" s="341"/>
      <c r="C49" s="342"/>
      <c r="D49" s="336"/>
      <c r="E49" s="336"/>
      <c r="F49" s="336"/>
      <c r="G49" s="336"/>
      <c r="H49" s="336"/>
      <c r="I49" s="336"/>
      <c r="J49" s="336"/>
      <c r="K49" s="336"/>
      <c r="L49" s="336"/>
      <c r="M49" s="370"/>
      <c r="N49" s="330"/>
      <c r="O49" s="331" t="str">
        <f>IFERROR(__xludf.DUMMYFUNCTION("IFERROR(AVERAGE(FILTER('حضور '!I:I,'حضور '!A:A=A49,MONTH('حضور '!B:B)=N49)),"""")"),"")</f>
        <v/>
      </c>
    </row>
    <row r="50" ht="26.25" hidden="1" customHeight="1">
      <c r="A50" s="369"/>
      <c r="B50" s="341"/>
      <c r="C50" s="342"/>
      <c r="D50" s="336"/>
      <c r="E50" s="336"/>
      <c r="F50" s="336"/>
      <c r="G50" s="336"/>
      <c r="H50" s="336"/>
      <c r="I50" s="336"/>
      <c r="J50" s="336"/>
      <c r="K50" s="336"/>
      <c r="L50" s="336"/>
      <c r="M50" s="370"/>
      <c r="N50" s="339"/>
      <c r="O50" s="331" t="str">
        <f>IFERROR(__xludf.DUMMYFUNCTION("IFERROR(AVERAGE(FILTER('حضور '!I:I,'حضور '!A:A=A50,MONTH('حضور '!B:B)=N50)),"""")"),"")</f>
        <v/>
      </c>
    </row>
    <row r="51" ht="26.25" hidden="1" customHeight="1">
      <c r="A51" s="369"/>
      <c r="B51" s="341"/>
      <c r="C51" s="342"/>
      <c r="D51" s="336"/>
      <c r="E51" s="336"/>
      <c r="F51" s="336"/>
      <c r="G51" s="336"/>
      <c r="H51" s="336"/>
      <c r="I51" s="336"/>
      <c r="J51" s="336"/>
      <c r="K51" s="336"/>
      <c r="L51" s="336"/>
      <c r="M51" s="370"/>
      <c r="N51" s="339"/>
      <c r="O51" s="331" t="str">
        <f>IFERROR(__xludf.DUMMYFUNCTION("IFERROR(AVERAGE(FILTER('حضور '!I:I,'حضور '!A:A=A51,MONTH('حضور '!B:B)=N51)),"""")"),"")</f>
        <v/>
      </c>
    </row>
    <row r="52" ht="26.25" hidden="1" customHeight="1">
      <c r="A52" s="369"/>
      <c r="B52" s="341"/>
      <c r="C52" s="342"/>
      <c r="D52" s="336"/>
      <c r="E52" s="336"/>
      <c r="F52" s="336"/>
      <c r="G52" s="336"/>
      <c r="H52" s="336"/>
      <c r="I52" s="336"/>
      <c r="J52" s="336"/>
      <c r="K52" s="336"/>
      <c r="L52" s="336"/>
      <c r="M52" s="370"/>
      <c r="N52" s="339"/>
      <c r="O52" s="331" t="str">
        <f>IFERROR(__xludf.DUMMYFUNCTION("IFERROR(AVERAGE(FILTER('حضور '!I:I,'حضور '!A:A=A52,MONTH('حضور '!B:B)=N52)),"""")"),"")</f>
        <v/>
      </c>
    </row>
    <row r="53" ht="26.25" hidden="1" customHeight="1">
      <c r="A53" s="369"/>
      <c r="B53" s="341"/>
      <c r="C53" s="342"/>
      <c r="D53" s="336"/>
      <c r="E53" s="336"/>
      <c r="F53" s="336"/>
      <c r="G53" s="336"/>
      <c r="H53" s="336"/>
      <c r="I53" s="336"/>
      <c r="J53" s="336"/>
      <c r="K53" s="336"/>
      <c r="L53" s="336"/>
      <c r="M53" s="370"/>
      <c r="N53" s="339"/>
      <c r="O53" s="331" t="str">
        <f>IFERROR(__xludf.DUMMYFUNCTION("IFERROR(AVERAGE(FILTER('حضور '!I:I,'حضور '!A:A=A53,MONTH('حضور '!B:B)=N53)),"""")"),"")</f>
        <v/>
      </c>
    </row>
    <row r="54" ht="26.25" hidden="1" customHeight="1">
      <c r="A54" s="369"/>
      <c r="B54" s="341"/>
      <c r="C54" s="342"/>
      <c r="D54" s="336"/>
      <c r="E54" s="336"/>
      <c r="F54" s="336"/>
      <c r="G54" s="336"/>
      <c r="H54" s="336"/>
      <c r="I54" s="336"/>
      <c r="J54" s="336"/>
      <c r="K54" s="336"/>
      <c r="L54" s="336"/>
      <c r="M54" s="370"/>
      <c r="N54" s="330"/>
      <c r="O54" s="331" t="str">
        <f>IFERROR(__xludf.DUMMYFUNCTION("IFERROR(AVERAGE(FILTER('حضور '!I:I,'حضور '!A:A=A54,MONTH('حضور '!B:B)=N54)),"""")"),"")</f>
        <v/>
      </c>
    </row>
    <row r="55" ht="26.25" hidden="1" customHeight="1">
      <c r="A55" s="369"/>
      <c r="B55" s="341"/>
      <c r="C55" s="342"/>
      <c r="D55" s="336"/>
      <c r="E55" s="336"/>
      <c r="F55" s="336"/>
      <c r="G55" s="336"/>
      <c r="H55" s="336"/>
      <c r="I55" s="336"/>
      <c r="J55" s="336"/>
      <c r="K55" s="336"/>
      <c r="L55" s="336"/>
      <c r="M55" s="370"/>
      <c r="N55" s="339"/>
      <c r="O55" s="331" t="str">
        <f>IFERROR(__xludf.DUMMYFUNCTION("IFERROR(AVERAGE(FILTER('حضور '!I:I,'حضور '!A:A=A55,MONTH('حضور '!B:B)=N55)),"""")"),"")</f>
        <v/>
      </c>
    </row>
    <row r="56" ht="26.25" hidden="1" customHeight="1">
      <c r="A56" s="371"/>
      <c r="B56" s="372"/>
      <c r="C56" s="66"/>
      <c r="D56" s="90"/>
      <c r="E56" s="66"/>
      <c r="F56" s="66"/>
      <c r="G56" s="66"/>
      <c r="H56" s="66"/>
      <c r="I56" s="66"/>
      <c r="J56" s="66"/>
      <c r="K56" s="66"/>
      <c r="L56" s="66"/>
      <c r="M56" s="330"/>
      <c r="N56" s="339"/>
      <c r="O56" s="331" t="str">
        <f>IFERROR(__xludf.DUMMYFUNCTION("IFERROR(AVERAGE(FILTER('حضور '!I:I,'حضور '!A:A=A56,MONTH('حضور '!B:B)=N56)),"""")"),"")</f>
        <v/>
      </c>
    </row>
    <row r="57" ht="26.25" hidden="1" customHeight="1">
      <c r="A57" s="371"/>
      <c r="B57" s="372"/>
      <c r="C57" s="66"/>
      <c r="D57" s="90"/>
      <c r="E57" s="66"/>
      <c r="F57" s="66"/>
      <c r="G57" s="66"/>
      <c r="H57" s="66"/>
      <c r="I57" s="66"/>
      <c r="J57" s="66"/>
      <c r="K57" s="66"/>
      <c r="L57" s="66"/>
      <c r="M57" s="330"/>
      <c r="N57" s="339"/>
      <c r="O57" s="331" t="str">
        <f>IFERROR(__xludf.DUMMYFUNCTION("IFERROR(AVERAGE(FILTER('حضور '!I:I,'حضور '!A:A=A57,MONTH('حضور '!B:B)=N57)),"""")"),"")</f>
        <v/>
      </c>
    </row>
    <row r="58" ht="26.25" hidden="1" customHeight="1">
      <c r="A58" s="371"/>
      <c r="B58" s="372"/>
      <c r="C58" s="66"/>
      <c r="D58" s="90"/>
      <c r="E58" s="66"/>
      <c r="F58" s="66"/>
      <c r="G58" s="66"/>
      <c r="H58" s="66"/>
      <c r="I58" s="66"/>
      <c r="J58" s="66"/>
      <c r="K58" s="66"/>
      <c r="L58" s="66"/>
      <c r="M58" s="330"/>
      <c r="N58" s="339"/>
      <c r="O58" s="331" t="str">
        <f>IFERROR(__xludf.DUMMYFUNCTION("IFERROR(AVERAGE(FILTER('حضور '!I:I,'حضور '!A:A=A58,MONTH('حضور '!B:B)=N58)),"""")"),"")</f>
        <v/>
      </c>
    </row>
    <row r="59" ht="26.25" hidden="1" customHeight="1">
      <c r="A59" s="371"/>
      <c r="B59" s="372"/>
      <c r="C59" s="66"/>
      <c r="D59" s="90"/>
      <c r="E59" s="66"/>
      <c r="F59" s="66"/>
      <c r="G59" s="66"/>
      <c r="H59" s="66"/>
      <c r="I59" s="66"/>
      <c r="J59" s="66"/>
      <c r="K59" s="66"/>
      <c r="L59" s="66"/>
      <c r="M59" s="330"/>
      <c r="N59" s="330"/>
      <c r="O59" s="331" t="str">
        <f>IFERROR(__xludf.DUMMYFUNCTION("IFERROR(AVERAGE(FILTER('حضور '!I:I,'حضور '!A:A=A59,MONTH('حضور '!B:B)=N59)),"""")"),"")</f>
        <v/>
      </c>
    </row>
    <row r="60" ht="26.25" hidden="1" customHeight="1">
      <c r="A60" s="371"/>
      <c r="B60" s="372"/>
      <c r="C60" s="66"/>
      <c r="D60" s="90"/>
      <c r="E60" s="66"/>
      <c r="F60" s="66"/>
      <c r="G60" s="66"/>
      <c r="H60" s="66"/>
      <c r="I60" s="66"/>
      <c r="J60" s="66"/>
      <c r="K60" s="66"/>
      <c r="L60" s="66"/>
      <c r="M60" s="330"/>
      <c r="N60" s="339"/>
      <c r="O60" s="331" t="str">
        <f>IFERROR(__xludf.DUMMYFUNCTION("IFERROR(AVERAGE(FILTER('حضور '!I:I,'حضور '!A:A=A60,MONTH('حضور '!B:B)=N60)),"""")"),"")</f>
        <v/>
      </c>
    </row>
    <row r="61" ht="26.25" hidden="1" customHeight="1">
      <c r="A61" s="371"/>
      <c r="B61" s="372"/>
      <c r="C61" s="66"/>
      <c r="D61" s="90"/>
      <c r="E61" s="66"/>
      <c r="F61" s="66"/>
      <c r="G61" s="66"/>
      <c r="H61" s="66"/>
      <c r="I61" s="66"/>
      <c r="J61" s="66"/>
      <c r="K61" s="66"/>
      <c r="L61" s="66"/>
      <c r="M61" s="330"/>
      <c r="N61" s="339"/>
      <c r="O61" s="331" t="str">
        <f>IFERROR(__xludf.DUMMYFUNCTION("IFERROR(AVERAGE(FILTER('حضور '!I:I,'حضور '!A:A=A61,MONTH('حضور '!B:B)=N61)),"""")"),"")</f>
        <v/>
      </c>
    </row>
    <row r="62" ht="26.25" hidden="1" customHeight="1">
      <c r="A62" s="371"/>
      <c r="B62" s="372"/>
      <c r="C62" s="66"/>
      <c r="D62" s="90"/>
      <c r="E62" s="66"/>
      <c r="F62" s="66"/>
      <c r="G62" s="66"/>
      <c r="H62" s="66"/>
      <c r="I62" s="66"/>
      <c r="J62" s="66"/>
      <c r="K62" s="66"/>
      <c r="L62" s="66"/>
      <c r="M62" s="330"/>
      <c r="N62" s="339"/>
      <c r="O62" s="331" t="str">
        <f>IFERROR(__xludf.DUMMYFUNCTION("IFERROR(AVERAGE(FILTER('حضور '!I:I,'حضور '!A:A=A62,MONTH('حضور '!B:B)=N62)),"""")"),"")</f>
        <v/>
      </c>
    </row>
    <row r="63" ht="26.25" hidden="1" customHeight="1">
      <c r="A63" s="371"/>
      <c r="B63" s="372"/>
      <c r="C63" s="66"/>
      <c r="D63" s="90"/>
      <c r="E63" s="66"/>
      <c r="F63" s="66"/>
      <c r="G63" s="66"/>
      <c r="H63" s="66"/>
      <c r="I63" s="66"/>
      <c r="J63" s="66"/>
      <c r="K63" s="66"/>
      <c r="L63" s="66"/>
      <c r="M63" s="330"/>
      <c r="N63" s="339"/>
      <c r="O63" s="331" t="str">
        <f>IFERROR(__xludf.DUMMYFUNCTION("IFERROR(AVERAGE(FILTER('حضور '!I:I,'حضور '!A:A=A63,MONTH('حضور '!B:B)=N63)),"""")"),"")</f>
        <v/>
      </c>
    </row>
    <row r="64" ht="26.25" hidden="1" customHeight="1">
      <c r="A64" s="371"/>
      <c r="B64" s="372"/>
      <c r="C64" s="66"/>
      <c r="D64" s="90"/>
      <c r="E64" s="66"/>
      <c r="F64" s="66"/>
      <c r="G64" s="66"/>
      <c r="H64" s="66"/>
      <c r="I64" s="66"/>
      <c r="J64" s="66"/>
      <c r="K64" s="66"/>
      <c r="L64" s="66"/>
      <c r="M64" s="330"/>
      <c r="N64" s="330"/>
      <c r="O64" s="331" t="str">
        <f>IFERROR(__xludf.DUMMYFUNCTION("IFERROR(AVERAGE(FILTER('حضور '!I:I,'حضور '!A:A=A64,MONTH('حضور '!B:B)=N64)),"""")"),"")</f>
        <v/>
      </c>
    </row>
    <row r="65" ht="26.25" hidden="1" customHeight="1">
      <c r="A65" s="371"/>
      <c r="B65" s="372"/>
      <c r="C65" s="66"/>
      <c r="D65" s="90"/>
      <c r="E65" s="66"/>
      <c r="F65" s="66"/>
      <c r="G65" s="66"/>
      <c r="H65" s="66"/>
      <c r="I65" s="66"/>
      <c r="J65" s="66"/>
      <c r="K65" s="66"/>
      <c r="L65" s="66"/>
      <c r="M65" s="330"/>
      <c r="N65" s="339"/>
      <c r="O65" s="331" t="str">
        <f>IFERROR(__xludf.DUMMYFUNCTION("IFERROR(AVERAGE(FILTER('حضور '!I:I,'حضور '!A:A=A65,MONTH('حضور '!B:B)=N65)),"""")"),"")</f>
        <v/>
      </c>
    </row>
    <row r="66" ht="26.25" hidden="1" customHeight="1">
      <c r="A66" s="371"/>
      <c r="B66" s="372"/>
      <c r="C66" s="66"/>
      <c r="D66" s="90"/>
      <c r="E66" s="66"/>
      <c r="F66" s="66"/>
      <c r="G66" s="66"/>
      <c r="H66" s="66"/>
      <c r="I66" s="66"/>
      <c r="J66" s="66"/>
      <c r="K66" s="66"/>
      <c r="L66" s="66"/>
      <c r="M66" s="330"/>
      <c r="N66" s="339"/>
      <c r="O66" s="331" t="str">
        <f>IFERROR(__xludf.DUMMYFUNCTION("IFERROR(AVERAGE(FILTER('حضور '!I:I,'حضور '!A:A=A66,MONTH('حضور '!B:B)=N66)),"""")"),"")</f>
        <v/>
      </c>
    </row>
    <row r="67" ht="26.25" hidden="1" customHeight="1">
      <c r="A67" s="371"/>
      <c r="B67" s="372"/>
      <c r="C67" s="66"/>
      <c r="D67" s="90"/>
      <c r="E67" s="66"/>
      <c r="F67" s="66"/>
      <c r="G67" s="66"/>
      <c r="H67" s="66"/>
      <c r="I67" s="66"/>
      <c r="J67" s="66"/>
      <c r="K67" s="66"/>
      <c r="L67" s="66"/>
      <c r="M67" s="330"/>
      <c r="N67" s="339"/>
      <c r="O67" s="331" t="str">
        <f>IFERROR(__xludf.DUMMYFUNCTION("IFERROR(AVERAGE(FILTER('حضور '!I:I,'حضور '!A:A=A67,MONTH('حضور '!B:B)=N67)),"""")"),"")</f>
        <v/>
      </c>
    </row>
    <row r="68" ht="26.25" hidden="1" customHeight="1">
      <c r="A68" s="371"/>
      <c r="B68" s="372"/>
      <c r="C68" s="66"/>
      <c r="D68" s="90"/>
      <c r="E68" s="66"/>
      <c r="F68" s="66"/>
      <c r="G68" s="66"/>
      <c r="H68" s="66"/>
      <c r="I68" s="66"/>
      <c r="J68" s="66"/>
      <c r="K68" s="66"/>
      <c r="L68" s="66"/>
      <c r="M68" s="330"/>
      <c r="N68" s="339"/>
      <c r="O68" s="331" t="str">
        <f>IFERROR(__xludf.DUMMYFUNCTION("IFERROR(AVERAGE(FILTER('حضور '!I:I,'حضور '!A:A=A68,MONTH('حضور '!B:B)=N68)),"""")"),"")</f>
        <v/>
      </c>
    </row>
    <row r="69" ht="26.25" hidden="1" customHeight="1">
      <c r="A69" s="371"/>
      <c r="B69" s="372"/>
      <c r="C69" s="66"/>
      <c r="D69" s="90"/>
      <c r="E69" s="66"/>
      <c r="F69" s="66"/>
      <c r="G69" s="66"/>
      <c r="H69" s="66"/>
      <c r="I69" s="66"/>
      <c r="J69" s="66"/>
      <c r="K69" s="66"/>
      <c r="L69" s="66"/>
      <c r="M69" s="330"/>
      <c r="N69" s="330"/>
      <c r="O69" s="331" t="str">
        <f>IFERROR(__xludf.DUMMYFUNCTION("IFERROR(AVERAGE(FILTER('حضور '!I:I,'حضور '!A:A=A69,MONTH('حضور '!B:B)=N69)),"""")"),"")</f>
        <v/>
      </c>
    </row>
    <row r="70" ht="26.25" hidden="1" customHeight="1">
      <c r="A70" s="371"/>
      <c r="B70" s="372"/>
      <c r="C70" s="66"/>
      <c r="D70" s="90"/>
      <c r="E70" s="66"/>
      <c r="F70" s="66"/>
      <c r="G70" s="66"/>
      <c r="H70" s="66"/>
      <c r="I70" s="66"/>
      <c r="J70" s="66"/>
      <c r="K70" s="66"/>
      <c r="L70" s="66"/>
      <c r="M70" s="330"/>
      <c r="N70" s="339"/>
      <c r="O70" s="331" t="str">
        <f>IFERROR(__xludf.DUMMYFUNCTION("IFERROR(AVERAGE(FILTER('حضور '!I:I,'حضور '!A:A=A70,MONTH('حضور '!B:B)=N70)),"""")"),"")</f>
        <v/>
      </c>
    </row>
    <row r="71" ht="26.25" hidden="1" customHeight="1">
      <c r="A71" s="371"/>
      <c r="B71" s="372"/>
      <c r="C71" s="66"/>
      <c r="D71" s="90"/>
      <c r="E71" s="66"/>
      <c r="F71" s="66"/>
      <c r="G71" s="66"/>
      <c r="H71" s="66"/>
      <c r="I71" s="66"/>
      <c r="J71" s="66"/>
      <c r="K71" s="66"/>
      <c r="L71" s="66"/>
      <c r="M71" s="330"/>
      <c r="N71" s="339"/>
      <c r="O71" s="331" t="str">
        <f>IFERROR(__xludf.DUMMYFUNCTION("IFERROR(AVERAGE(FILTER('حضور '!I:I,'حضور '!A:A=A71,MONTH('حضور '!B:B)=N71)),"""")"),"")</f>
        <v/>
      </c>
    </row>
    <row r="72" ht="26.25" hidden="1" customHeight="1">
      <c r="A72" s="371"/>
      <c r="B72" s="372"/>
      <c r="C72" s="66"/>
      <c r="D72" s="90"/>
      <c r="E72" s="66"/>
      <c r="F72" s="66"/>
      <c r="G72" s="66"/>
      <c r="H72" s="66"/>
      <c r="I72" s="66"/>
      <c r="J72" s="66"/>
      <c r="K72" s="66"/>
      <c r="L72" s="66"/>
      <c r="M72" s="330"/>
      <c r="N72" s="339"/>
      <c r="O72" s="331" t="str">
        <f>IFERROR(__xludf.DUMMYFUNCTION("IFERROR(AVERAGE(FILTER('حضور '!I:I,'حضور '!A:A=A72,MONTH('حضور '!B:B)=N72)),"""")"),"")</f>
        <v/>
      </c>
    </row>
    <row r="73" ht="26.25" hidden="1" customHeight="1">
      <c r="A73" s="371"/>
      <c r="B73" s="372"/>
      <c r="C73" s="66"/>
      <c r="D73" s="90"/>
      <c r="E73" s="66"/>
      <c r="F73" s="66"/>
      <c r="G73" s="66"/>
      <c r="H73" s="66"/>
      <c r="I73" s="66"/>
      <c r="J73" s="66"/>
      <c r="K73" s="66"/>
      <c r="L73" s="66"/>
      <c r="M73" s="330"/>
      <c r="N73" s="339"/>
      <c r="O73" s="331" t="str">
        <f>IFERROR(__xludf.DUMMYFUNCTION("IFERROR(AVERAGE(FILTER('حضور '!I:I,'حضور '!A:A=A73,MONTH('حضور '!B:B)=N73)),"""")"),"")</f>
        <v/>
      </c>
    </row>
    <row r="74" ht="26.25" hidden="1" customHeight="1">
      <c r="A74" s="371"/>
      <c r="B74" s="372"/>
      <c r="C74" s="66"/>
      <c r="D74" s="90"/>
      <c r="E74" s="66"/>
      <c r="F74" s="66"/>
      <c r="G74" s="66"/>
      <c r="H74" s="66"/>
      <c r="I74" s="66"/>
      <c r="J74" s="66"/>
      <c r="K74" s="66"/>
      <c r="L74" s="66"/>
      <c r="M74" s="330"/>
      <c r="N74" s="330"/>
      <c r="O74" s="331" t="str">
        <f>IFERROR(__xludf.DUMMYFUNCTION("IFERROR(AVERAGE(FILTER('حضور '!I:I,'حضور '!A:A=A74,MONTH('حضور '!B:B)=N74)),"""")"),"")</f>
        <v/>
      </c>
    </row>
    <row r="75" ht="26.25" hidden="1" customHeight="1">
      <c r="A75" s="371"/>
      <c r="B75" s="372"/>
      <c r="C75" s="66"/>
      <c r="D75" s="90"/>
      <c r="E75" s="66"/>
      <c r="F75" s="66"/>
      <c r="G75" s="66"/>
      <c r="H75" s="66"/>
      <c r="I75" s="66"/>
      <c r="J75" s="66"/>
      <c r="K75" s="66"/>
      <c r="L75" s="66"/>
      <c r="M75" s="330"/>
      <c r="N75" s="339"/>
      <c r="O75" s="331" t="str">
        <f>IFERROR(__xludf.DUMMYFUNCTION("IFERROR(AVERAGE(FILTER('حضور '!I:I,'حضور '!A:A=A75,MONTH('حضور '!B:B)=N75)),"""")"),"")</f>
        <v/>
      </c>
    </row>
    <row r="76" ht="26.25" hidden="1" customHeight="1">
      <c r="A76" s="371"/>
      <c r="B76" s="372"/>
      <c r="C76" s="66"/>
      <c r="D76" s="90"/>
      <c r="E76" s="66"/>
      <c r="F76" s="66"/>
      <c r="G76" s="66"/>
      <c r="H76" s="66"/>
      <c r="I76" s="66"/>
      <c r="J76" s="66"/>
      <c r="K76" s="66"/>
      <c r="L76" s="66"/>
      <c r="M76" s="330"/>
      <c r="N76" s="339"/>
      <c r="O76" s="331" t="str">
        <f>IFERROR(__xludf.DUMMYFUNCTION("IFERROR(AVERAGE(FILTER('حضور '!I:I,'حضور '!A:A=A76,MONTH('حضور '!B:B)=N76)),"""")"),"")</f>
        <v/>
      </c>
    </row>
    <row r="77" ht="26.25" hidden="1" customHeight="1">
      <c r="A77" s="371"/>
      <c r="B77" s="372"/>
      <c r="C77" s="66"/>
      <c r="D77" s="90"/>
      <c r="E77" s="66"/>
      <c r="F77" s="66"/>
      <c r="G77" s="66"/>
      <c r="H77" s="66"/>
      <c r="I77" s="66"/>
      <c r="J77" s="66"/>
      <c r="K77" s="66"/>
      <c r="L77" s="66"/>
      <c r="M77" s="330"/>
      <c r="N77" s="339"/>
      <c r="O77" s="331" t="str">
        <f>IFERROR(__xludf.DUMMYFUNCTION("IFERROR(AVERAGE(FILTER('حضور '!I:I,'حضور '!A:A=A77,MONTH('حضور '!B:B)=N77)),"""")"),"")</f>
        <v/>
      </c>
    </row>
    <row r="78" ht="26.25" hidden="1" customHeight="1">
      <c r="A78" s="371"/>
      <c r="B78" s="372"/>
      <c r="C78" s="66"/>
      <c r="D78" s="90"/>
      <c r="E78" s="66"/>
      <c r="F78" s="66"/>
      <c r="G78" s="66"/>
      <c r="H78" s="66"/>
      <c r="I78" s="66"/>
      <c r="J78" s="66"/>
      <c r="K78" s="66"/>
      <c r="L78" s="66"/>
      <c r="M78" s="330"/>
      <c r="N78" s="339"/>
      <c r="O78" s="331" t="str">
        <f>IFERROR(__xludf.DUMMYFUNCTION("IFERROR(AVERAGE(FILTER('حضور '!I:I,'حضور '!A:A=A78,MONTH('حضور '!B:B)=N78)),"""")"),"")</f>
        <v/>
      </c>
    </row>
    <row r="79" ht="26.25" hidden="1" customHeight="1">
      <c r="A79" s="371"/>
      <c r="B79" s="372"/>
      <c r="C79" s="66"/>
      <c r="D79" s="90"/>
      <c r="E79" s="66"/>
      <c r="F79" s="66"/>
      <c r="G79" s="66"/>
      <c r="H79" s="66"/>
      <c r="I79" s="66"/>
      <c r="J79" s="66"/>
      <c r="K79" s="66"/>
      <c r="L79" s="66"/>
      <c r="M79" s="330"/>
      <c r="N79" s="330"/>
      <c r="O79" s="331" t="str">
        <f>IFERROR(__xludf.DUMMYFUNCTION("IFERROR(AVERAGE(FILTER('حضور '!I:I,'حضور '!A:A=A79,MONTH('حضور '!B:B)=N79)),"""")"),"")</f>
        <v/>
      </c>
    </row>
    <row r="80" ht="26.25" hidden="1" customHeight="1">
      <c r="A80" s="371"/>
      <c r="B80" s="372"/>
      <c r="C80" s="66"/>
      <c r="D80" s="90"/>
      <c r="E80" s="66"/>
      <c r="F80" s="66"/>
      <c r="G80" s="66"/>
      <c r="H80" s="66"/>
      <c r="I80" s="66"/>
      <c r="J80" s="66"/>
      <c r="K80" s="66"/>
      <c r="L80" s="66"/>
      <c r="M80" s="330"/>
      <c r="N80" s="339"/>
      <c r="O80" s="331" t="str">
        <f>IFERROR(__xludf.DUMMYFUNCTION("IFERROR(AVERAGE(FILTER('حضور '!I:I,'حضور '!A:A=A80,MONTH('حضور '!B:B)=N80)),"""")"),"")</f>
        <v/>
      </c>
    </row>
    <row r="81" ht="26.25" hidden="1" customHeight="1">
      <c r="A81" s="371"/>
      <c r="B81" s="372"/>
      <c r="C81" s="66"/>
      <c r="D81" s="90"/>
      <c r="E81" s="66"/>
      <c r="F81" s="66"/>
      <c r="G81" s="66"/>
      <c r="H81" s="66"/>
      <c r="I81" s="66"/>
      <c r="J81" s="66"/>
      <c r="K81" s="66"/>
      <c r="L81" s="66"/>
      <c r="M81" s="330"/>
      <c r="N81" s="339"/>
      <c r="O81" s="331" t="str">
        <f>IFERROR(__xludf.DUMMYFUNCTION("IFERROR(AVERAGE(FILTER('حضور '!I:I,'حضور '!A:A=A81,MONTH('حضور '!B:B)=N81)),"""")"),"")</f>
        <v/>
      </c>
    </row>
    <row r="82" ht="26.25" hidden="1" customHeight="1">
      <c r="A82" s="371"/>
      <c r="B82" s="372"/>
      <c r="C82" s="66"/>
      <c r="D82" s="90"/>
      <c r="E82" s="66"/>
      <c r="F82" s="66"/>
      <c r="G82" s="66"/>
      <c r="H82" s="66"/>
      <c r="I82" s="66"/>
      <c r="J82" s="66"/>
      <c r="K82" s="66"/>
      <c r="L82" s="66"/>
      <c r="M82" s="330"/>
      <c r="N82" s="339"/>
      <c r="O82" s="331" t="str">
        <f>IFERROR(__xludf.DUMMYFUNCTION("IFERROR(AVERAGE(FILTER('حضور '!I:I,'حضور '!A:A=A82,MONTH('حضور '!B:B)=N82)),"""")"),"")</f>
        <v/>
      </c>
    </row>
    <row r="83" ht="26.25" hidden="1" customHeight="1">
      <c r="A83" s="371"/>
      <c r="B83" s="372"/>
      <c r="C83" s="66"/>
      <c r="D83" s="90"/>
      <c r="E83" s="66"/>
      <c r="F83" s="66"/>
      <c r="G83" s="66"/>
      <c r="H83" s="66"/>
      <c r="I83" s="66"/>
      <c r="J83" s="66"/>
      <c r="K83" s="66"/>
      <c r="L83" s="66"/>
      <c r="M83" s="330"/>
      <c r="N83" s="339"/>
      <c r="O83" s="331" t="str">
        <f>IFERROR(__xludf.DUMMYFUNCTION("IFERROR(AVERAGE(FILTER('حضور '!I:I,'حضور '!A:A=A83,MONTH('حضور '!B:B)=N83)),"""")"),"")</f>
        <v/>
      </c>
    </row>
    <row r="84" ht="26.25" hidden="1" customHeight="1">
      <c r="A84" s="371"/>
      <c r="B84" s="372"/>
      <c r="C84" s="66"/>
      <c r="D84" s="90"/>
      <c r="E84" s="66"/>
      <c r="F84" s="66"/>
      <c r="G84" s="66"/>
      <c r="H84" s="66"/>
      <c r="I84" s="66"/>
      <c r="J84" s="66"/>
      <c r="K84" s="66"/>
      <c r="L84" s="66"/>
      <c r="M84" s="330"/>
      <c r="N84" s="330"/>
      <c r="O84" s="331" t="str">
        <f>IFERROR(__xludf.DUMMYFUNCTION("IFERROR(AVERAGE(FILTER('حضور '!I:I,'حضور '!A:A=A84,MONTH('حضور '!B:B)=N84)),"""")"),"")</f>
        <v/>
      </c>
    </row>
    <row r="85" ht="26.25" hidden="1" customHeight="1">
      <c r="A85" s="371"/>
      <c r="B85" s="372"/>
      <c r="C85" s="66"/>
      <c r="D85" s="90"/>
      <c r="E85" s="66"/>
      <c r="F85" s="66"/>
      <c r="G85" s="66"/>
      <c r="H85" s="66"/>
      <c r="I85" s="66"/>
      <c r="J85" s="66"/>
      <c r="K85" s="66"/>
      <c r="L85" s="66"/>
      <c r="M85" s="330"/>
      <c r="N85" s="339"/>
      <c r="O85" s="331" t="str">
        <f>IFERROR(__xludf.DUMMYFUNCTION("IFERROR(AVERAGE(FILTER('حضور '!I:I,'حضور '!A:A=A85,MONTH('حضور '!B:B)=N85)),"""")"),"")</f>
        <v/>
      </c>
    </row>
    <row r="86" ht="26.25" hidden="1" customHeight="1">
      <c r="A86" s="371"/>
      <c r="B86" s="372"/>
      <c r="C86" s="66"/>
      <c r="D86" s="90"/>
      <c r="E86" s="66"/>
      <c r="F86" s="66"/>
      <c r="G86" s="66"/>
      <c r="H86" s="66"/>
      <c r="I86" s="66"/>
      <c r="J86" s="66"/>
      <c r="K86" s="66"/>
      <c r="L86" s="66"/>
      <c r="M86" s="330"/>
      <c r="N86" s="339"/>
      <c r="O86" s="331" t="str">
        <f>IFERROR(__xludf.DUMMYFUNCTION("IFERROR(AVERAGE(FILTER('حضور '!I:I,'حضور '!A:A=A86,MONTH('حضور '!B:B)=N86)),"""")"),"")</f>
        <v/>
      </c>
    </row>
    <row r="87" ht="26.25" hidden="1" customHeight="1">
      <c r="A87" s="371"/>
      <c r="B87" s="372"/>
      <c r="C87" s="66"/>
      <c r="D87" s="90"/>
      <c r="E87" s="66"/>
      <c r="F87" s="66"/>
      <c r="G87" s="66"/>
      <c r="H87" s="66"/>
      <c r="I87" s="66"/>
      <c r="J87" s="66"/>
      <c r="K87" s="66"/>
      <c r="L87" s="66"/>
      <c r="M87" s="330"/>
      <c r="N87" s="339"/>
      <c r="O87" s="331" t="str">
        <f>IFERROR(__xludf.DUMMYFUNCTION("IFERROR(AVERAGE(FILTER('حضور '!I:I,'حضور '!A:A=A87,MONTH('حضور '!B:B)=N87)),"""")"),"")</f>
        <v/>
      </c>
    </row>
    <row r="88" ht="26.25" hidden="1" customHeight="1">
      <c r="A88" s="371"/>
      <c r="B88" s="372"/>
      <c r="C88" s="66"/>
      <c r="D88" s="90"/>
      <c r="E88" s="66"/>
      <c r="F88" s="66"/>
      <c r="G88" s="66"/>
      <c r="H88" s="66"/>
      <c r="I88" s="66"/>
      <c r="J88" s="66"/>
      <c r="K88" s="66"/>
      <c r="L88" s="66"/>
      <c r="M88" s="330"/>
      <c r="N88" s="339"/>
      <c r="O88" s="331" t="str">
        <f>IFERROR(__xludf.DUMMYFUNCTION("IFERROR(AVERAGE(FILTER('حضور '!I:I,'حضور '!A:A=A88,MONTH('حضور '!B:B)=N88)),"""")"),"")</f>
        <v/>
      </c>
    </row>
    <row r="89" ht="26.25" hidden="1" customHeight="1">
      <c r="A89" s="371"/>
      <c r="B89" s="372"/>
      <c r="C89" s="66"/>
      <c r="D89" s="90"/>
      <c r="E89" s="66"/>
      <c r="F89" s="66"/>
      <c r="G89" s="66"/>
      <c r="H89" s="66"/>
      <c r="I89" s="66"/>
      <c r="J89" s="66"/>
      <c r="K89" s="66"/>
      <c r="L89" s="66"/>
      <c r="M89" s="330"/>
      <c r="N89" s="330"/>
      <c r="O89" s="331" t="str">
        <f>IFERROR(__xludf.DUMMYFUNCTION("IFERROR(AVERAGE(FILTER('حضور '!I:I,'حضور '!A:A=A89,MONTH('حضور '!B:B)=N89)),"""")"),"")</f>
        <v/>
      </c>
    </row>
    <row r="90" ht="26.25" hidden="1" customHeight="1">
      <c r="A90" s="371"/>
      <c r="B90" s="372"/>
      <c r="C90" s="66"/>
      <c r="D90" s="90"/>
      <c r="E90" s="66"/>
      <c r="F90" s="66"/>
      <c r="G90" s="66"/>
      <c r="H90" s="66"/>
      <c r="I90" s="66"/>
      <c r="J90" s="66"/>
      <c r="K90" s="66"/>
      <c r="L90" s="66"/>
      <c r="M90" s="330"/>
      <c r="N90" s="339"/>
      <c r="O90" s="331" t="str">
        <f>IFERROR(__xludf.DUMMYFUNCTION("IFERROR(AVERAGE(FILTER('حضور '!I:I,'حضور '!A:A=A90,MONTH('حضور '!B:B)=N90)),"""")"),"")</f>
        <v/>
      </c>
    </row>
    <row r="91" ht="26.25" hidden="1" customHeight="1">
      <c r="A91" s="371"/>
      <c r="B91" s="372"/>
      <c r="C91" s="66"/>
      <c r="D91" s="90"/>
      <c r="E91" s="66"/>
      <c r="F91" s="66"/>
      <c r="G91" s="66"/>
      <c r="H91" s="66"/>
      <c r="I91" s="66"/>
      <c r="J91" s="66"/>
      <c r="K91" s="66"/>
      <c r="L91" s="66"/>
      <c r="M91" s="330"/>
      <c r="N91" s="339"/>
      <c r="O91" s="331" t="str">
        <f>IFERROR(__xludf.DUMMYFUNCTION("IFERROR(AVERAGE(FILTER('حضور '!I:I,'حضور '!A:A=A91,MONTH('حضور '!B:B)=N91)),"""")"),"")</f>
        <v/>
      </c>
    </row>
    <row r="92" ht="26.25" hidden="1" customHeight="1">
      <c r="A92" s="371"/>
      <c r="B92" s="372"/>
      <c r="C92" s="66"/>
      <c r="D92" s="90"/>
      <c r="E92" s="66"/>
      <c r="F92" s="66"/>
      <c r="G92" s="66"/>
      <c r="H92" s="66"/>
      <c r="I92" s="66"/>
      <c r="J92" s="66"/>
      <c r="K92" s="66"/>
      <c r="L92" s="66"/>
      <c r="M92" s="330"/>
      <c r="N92" s="339"/>
      <c r="O92" s="331" t="str">
        <f>IFERROR(__xludf.DUMMYFUNCTION("IFERROR(AVERAGE(FILTER('حضور '!I:I,'حضور '!A:A=A92,MONTH('حضور '!B:B)=N92)),"""")"),"")</f>
        <v/>
      </c>
    </row>
    <row r="93" ht="26.25" hidden="1" customHeight="1">
      <c r="A93" s="371"/>
      <c r="B93" s="372"/>
      <c r="C93" s="66"/>
      <c r="D93" s="90"/>
      <c r="E93" s="66"/>
      <c r="F93" s="66"/>
      <c r="G93" s="66"/>
      <c r="H93" s="66"/>
      <c r="I93" s="66"/>
      <c r="J93" s="66"/>
      <c r="K93" s="66"/>
      <c r="L93" s="66"/>
      <c r="M93" s="330"/>
      <c r="N93" s="339"/>
      <c r="O93" s="331" t="str">
        <f>IFERROR(__xludf.DUMMYFUNCTION("IFERROR(AVERAGE(FILTER('حضور '!I:I,'حضور '!A:A=A93,MONTH('حضور '!B:B)=N93)),"""")"),"")</f>
        <v/>
      </c>
    </row>
    <row r="94" ht="26.25" hidden="1" customHeight="1">
      <c r="A94" s="371"/>
      <c r="B94" s="372"/>
      <c r="C94" s="66"/>
      <c r="D94" s="90"/>
      <c r="E94" s="66"/>
      <c r="F94" s="66"/>
      <c r="G94" s="66"/>
      <c r="H94" s="66"/>
      <c r="I94" s="66"/>
      <c r="J94" s="66"/>
      <c r="K94" s="66"/>
      <c r="L94" s="66"/>
      <c r="M94" s="330"/>
      <c r="N94" s="330"/>
      <c r="O94" s="331" t="str">
        <f>IFERROR(__xludf.DUMMYFUNCTION("IFERROR(AVERAGE(FILTER('حضور '!I:I,'حضور '!A:A=A94,MONTH('حضور '!B:B)=N94)),"""")"),"")</f>
        <v/>
      </c>
    </row>
    <row r="95" ht="26.25" hidden="1" customHeight="1">
      <c r="A95" s="371"/>
      <c r="B95" s="372"/>
      <c r="C95" s="66"/>
      <c r="D95" s="90"/>
      <c r="E95" s="66"/>
      <c r="F95" s="66"/>
      <c r="G95" s="66"/>
      <c r="H95" s="66"/>
      <c r="I95" s="66"/>
      <c r="J95" s="66"/>
      <c r="K95" s="66"/>
      <c r="L95" s="66"/>
      <c r="M95" s="330"/>
      <c r="N95" s="339"/>
      <c r="O95" s="331" t="str">
        <f>IFERROR(__xludf.DUMMYFUNCTION("IFERROR(AVERAGE(FILTER('حضور '!I:I,'حضور '!A:A=A95,MONTH('حضور '!B:B)=N95)),"""")"),"")</f>
        <v/>
      </c>
    </row>
    <row r="96" ht="26.25" hidden="1" customHeight="1">
      <c r="A96" s="371"/>
      <c r="B96" s="372"/>
      <c r="C96" s="66"/>
      <c r="D96" s="90"/>
      <c r="E96" s="66"/>
      <c r="F96" s="66"/>
      <c r="G96" s="66"/>
      <c r="H96" s="66"/>
      <c r="I96" s="66"/>
      <c r="J96" s="66"/>
      <c r="K96" s="66"/>
      <c r="L96" s="66"/>
      <c r="M96" s="330"/>
      <c r="N96" s="339"/>
      <c r="O96" s="331" t="str">
        <f>IFERROR(__xludf.DUMMYFUNCTION("IFERROR(AVERAGE(FILTER('حضور '!I:I,'حضور '!A:A=A96,MONTH('حضور '!B:B)=N96)),"""")"),"")</f>
        <v/>
      </c>
    </row>
    <row r="97" ht="26.25" hidden="1" customHeight="1">
      <c r="A97" s="371"/>
      <c r="B97" s="372"/>
      <c r="C97" s="66"/>
      <c r="D97" s="90"/>
      <c r="E97" s="66"/>
      <c r="F97" s="66"/>
      <c r="G97" s="66"/>
      <c r="H97" s="66"/>
      <c r="I97" s="66"/>
      <c r="J97" s="66"/>
      <c r="K97" s="66"/>
      <c r="L97" s="66"/>
      <c r="M97" s="330"/>
      <c r="N97" s="339"/>
      <c r="O97" s="331" t="str">
        <f>IFERROR(__xludf.DUMMYFUNCTION("IFERROR(AVERAGE(FILTER('حضور '!I:I,'حضور '!A:A=A97,MONTH('حضور '!B:B)=N97)),"""")"),"")</f>
        <v/>
      </c>
    </row>
    <row r="98" ht="26.25" hidden="1" customHeight="1">
      <c r="A98" s="371"/>
      <c r="B98" s="372"/>
      <c r="C98" s="66"/>
      <c r="D98" s="90"/>
      <c r="E98" s="66"/>
      <c r="F98" s="66"/>
      <c r="G98" s="66"/>
      <c r="H98" s="66"/>
      <c r="I98" s="66"/>
      <c r="J98" s="66"/>
      <c r="K98" s="66"/>
      <c r="L98" s="66"/>
      <c r="M98" s="330"/>
      <c r="N98" s="339"/>
      <c r="O98" s="331" t="str">
        <f>IFERROR(__xludf.DUMMYFUNCTION("IFERROR(AVERAGE(FILTER('حضور '!I:I,'حضور '!A:A=A98,MONTH('حضور '!B:B)=N98)),"""")"),"")</f>
        <v/>
      </c>
    </row>
    <row r="99" ht="26.25" hidden="1" customHeight="1">
      <c r="A99" s="371"/>
      <c r="B99" s="372"/>
      <c r="C99" s="66"/>
      <c r="D99" s="90"/>
      <c r="E99" s="66"/>
      <c r="F99" s="66"/>
      <c r="G99" s="66"/>
      <c r="H99" s="66"/>
      <c r="I99" s="66"/>
      <c r="J99" s="66"/>
      <c r="K99" s="66"/>
      <c r="L99" s="66"/>
      <c r="M99" s="330"/>
      <c r="N99" s="330"/>
      <c r="O99" s="331" t="str">
        <f>IFERROR(__xludf.DUMMYFUNCTION("IFERROR(AVERAGE(FILTER('حضور '!I:I,'حضور '!A:A=A99,MONTH('حضور '!B:B)=N99)),"""")"),"")</f>
        <v/>
      </c>
    </row>
    <row r="100" ht="26.25" hidden="1" customHeight="1">
      <c r="A100" s="371"/>
      <c r="B100" s="372"/>
      <c r="C100" s="66"/>
      <c r="D100" s="90"/>
      <c r="E100" s="66"/>
      <c r="F100" s="66"/>
      <c r="G100" s="66"/>
      <c r="H100" s="66"/>
      <c r="I100" s="66"/>
      <c r="J100" s="66"/>
      <c r="K100" s="66"/>
      <c r="L100" s="66"/>
      <c r="M100" s="330"/>
      <c r="N100" s="339"/>
      <c r="O100" s="331" t="str">
        <f>IFERROR(__xludf.DUMMYFUNCTION("IFERROR(AVERAGE(FILTER('حضور '!I:I,'حضور '!A:A=A100,MONTH('حضور '!B:B)=N100)),"""")"),"")</f>
        <v/>
      </c>
    </row>
    <row r="101" ht="26.25" hidden="1" customHeight="1">
      <c r="A101" s="371"/>
      <c r="B101" s="372"/>
      <c r="C101" s="66"/>
      <c r="D101" s="90"/>
      <c r="E101" s="66"/>
      <c r="F101" s="66"/>
      <c r="G101" s="66"/>
      <c r="H101" s="66"/>
      <c r="I101" s="66"/>
      <c r="J101" s="66"/>
      <c r="K101" s="66"/>
      <c r="L101" s="66"/>
      <c r="M101" s="330"/>
      <c r="N101" s="339"/>
      <c r="O101" s="331" t="str">
        <f>IFERROR(__xludf.DUMMYFUNCTION("IFERROR(AVERAGE(FILTER('حضور '!I:I,'حضور '!A:A=A101,MONTH('حضور '!B:B)=N101)),"""")"),"")</f>
        <v/>
      </c>
    </row>
    <row r="102" ht="26.25" hidden="1" customHeight="1">
      <c r="A102" s="371"/>
      <c r="B102" s="372"/>
      <c r="C102" s="66"/>
      <c r="D102" s="90"/>
      <c r="E102" s="66"/>
      <c r="F102" s="66"/>
      <c r="G102" s="66"/>
      <c r="H102" s="66"/>
      <c r="I102" s="66"/>
      <c r="J102" s="66"/>
      <c r="K102" s="66"/>
      <c r="L102" s="66"/>
      <c r="M102" s="330"/>
      <c r="N102" s="339"/>
      <c r="O102" s="331" t="str">
        <f>IFERROR(__xludf.DUMMYFUNCTION("IFERROR(AVERAGE(FILTER('حضور '!I:I,'حضور '!A:A=A102,MONTH('حضور '!B:B)=N102)),"""")"),"")</f>
        <v/>
      </c>
    </row>
    <row r="103" ht="26.25" hidden="1" customHeight="1">
      <c r="A103" s="371"/>
      <c r="B103" s="372"/>
      <c r="C103" s="66"/>
      <c r="D103" s="90"/>
      <c r="E103" s="66"/>
      <c r="F103" s="66"/>
      <c r="G103" s="66"/>
      <c r="H103" s="66"/>
      <c r="I103" s="66"/>
      <c r="J103" s="66"/>
      <c r="K103" s="66"/>
      <c r="L103" s="66"/>
      <c r="M103" s="330"/>
      <c r="N103" s="339"/>
      <c r="O103" s="331" t="str">
        <f>IFERROR(__xludf.DUMMYFUNCTION("IFERROR(AVERAGE(FILTER('حضور '!I:I,'حضور '!A:A=A103,MONTH('حضور '!B:B)=N103)),"""")"),"")</f>
        <v/>
      </c>
    </row>
    <row r="104" ht="26.25" hidden="1" customHeight="1">
      <c r="A104" s="371"/>
      <c r="B104" s="372"/>
      <c r="C104" s="66"/>
      <c r="D104" s="90"/>
      <c r="E104" s="66"/>
      <c r="F104" s="66"/>
      <c r="G104" s="66"/>
      <c r="H104" s="66"/>
      <c r="I104" s="66"/>
      <c r="J104" s="66"/>
      <c r="K104" s="66"/>
      <c r="L104" s="66"/>
      <c r="M104" s="330"/>
      <c r="N104" s="330"/>
      <c r="O104" s="331" t="str">
        <f>IFERROR(__xludf.DUMMYFUNCTION("IFERROR(AVERAGE(FILTER('حضور '!I:I,'حضور '!A:A=A104,MONTH('حضور '!B:B)=N104)),"""")"),"")</f>
        <v/>
      </c>
    </row>
    <row r="105" ht="26.25" hidden="1" customHeight="1">
      <c r="A105" s="371"/>
      <c r="B105" s="372"/>
      <c r="C105" s="66"/>
      <c r="D105" s="90"/>
      <c r="E105" s="66"/>
      <c r="F105" s="66"/>
      <c r="G105" s="66"/>
      <c r="H105" s="66"/>
      <c r="I105" s="66"/>
      <c r="J105" s="66"/>
      <c r="K105" s="66"/>
      <c r="L105" s="66"/>
      <c r="M105" s="330"/>
      <c r="N105" s="339"/>
      <c r="O105" s="331" t="str">
        <f>IFERROR(__xludf.DUMMYFUNCTION("IFERROR(AVERAGE(FILTER('حضور '!I:I,'حضور '!A:A=A105,MONTH('حضور '!B:B)=N105)),"""")"),"")</f>
        <v/>
      </c>
    </row>
    <row r="106" ht="26.25" hidden="1" customHeight="1">
      <c r="A106" s="371"/>
      <c r="B106" s="372"/>
      <c r="C106" s="66"/>
      <c r="D106" s="90"/>
      <c r="E106" s="66"/>
      <c r="F106" s="66"/>
      <c r="G106" s="66"/>
      <c r="H106" s="66"/>
      <c r="I106" s="66"/>
      <c r="J106" s="66"/>
      <c r="K106" s="66"/>
      <c r="L106" s="66"/>
      <c r="M106" s="330"/>
      <c r="N106" s="339"/>
      <c r="O106" s="331" t="str">
        <f>IFERROR(__xludf.DUMMYFUNCTION("IFERROR(AVERAGE(FILTER('حضور '!I:I,'حضور '!A:A=A106,MONTH('حضور '!B:B)=N106)),"""")"),"")</f>
        <v/>
      </c>
    </row>
    <row r="107" ht="26.25" hidden="1" customHeight="1">
      <c r="A107" s="371"/>
      <c r="B107" s="372"/>
      <c r="C107" s="66"/>
      <c r="D107" s="90"/>
      <c r="E107" s="66"/>
      <c r="F107" s="66"/>
      <c r="G107" s="66"/>
      <c r="H107" s="66"/>
      <c r="I107" s="66"/>
      <c r="J107" s="66"/>
      <c r="K107" s="66"/>
      <c r="L107" s="66"/>
      <c r="M107" s="330"/>
      <c r="N107" s="339"/>
      <c r="O107" s="331" t="str">
        <f>IFERROR(__xludf.DUMMYFUNCTION("IFERROR(AVERAGE(FILTER('حضور '!I:I,'حضور '!A:A=A107,MONTH('حضور '!B:B)=N107)),"""")"),"")</f>
        <v/>
      </c>
    </row>
    <row r="108" ht="26.25" hidden="1" customHeight="1">
      <c r="A108" s="371"/>
      <c r="B108" s="372"/>
      <c r="C108" s="66"/>
      <c r="D108" s="90"/>
      <c r="E108" s="66"/>
      <c r="F108" s="66"/>
      <c r="G108" s="66"/>
      <c r="H108" s="66"/>
      <c r="I108" s="66"/>
      <c r="J108" s="66"/>
      <c r="K108" s="66"/>
      <c r="L108" s="66"/>
      <c r="M108" s="330"/>
      <c r="N108" s="339"/>
      <c r="O108" s="331" t="str">
        <f>IFERROR(__xludf.DUMMYFUNCTION("IFERROR(AVERAGE(FILTER('حضور '!I:I,'حضور '!A:A=A108,MONTH('حضور '!B:B)=N108)),"""")"),"")</f>
        <v/>
      </c>
    </row>
    <row r="109" ht="26.25" hidden="1" customHeight="1">
      <c r="A109" s="371"/>
      <c r="B109" s="372"/>
      <c r="C109" s="66"/>
      <c r="D109" s="90"/>
      <c r="E109" s="66"/>
      <c r="F109" s="66"/>
      <c r="G109" s="66"/>
      <c r="H109" s="66"/>
      <c r="I109" s="66"/>
      <c r="J109" s="66"/>
      <c r="K109" s="66"/>
      <c r="L109" s="66"/>
      <c r="M109" s="330"/>
      <c r="N109" s="330"/>
      <c r="O109" s="331" t="str">
        <f>IFERROR(__xludf.DUMMYFUNCTION("IFERROR(AVERAGE(FILTER('حضور '!I:I,'حضور '!A:A=A109,MONTH('حضور '!B:B)=N109)),"""")"),"")</f>
        <v/>
      </c>
    </row>
    <row r="110" ht="26.25" hidden="1" customHeight="1">
      <c r="A110" s="371"/>
      <c r="B110" s="372"/>
      <c r="C110" s="66"/>
      <c r="D110" s="90"/>
      <c r="E110" s="66"/>
      <c r="F110" s="66"/>
      <c r="G110" s="66"/>
      <c r="H110" s="66"/>
      <c r="I110" s="66"/>
      <c r="J110" s="66"/>
      <c r="K110" s="66"/>
      <c r="L110" s="66"/>
      <c r="M110" s="330"/>
      <c r="N110" s="339"/>
      <c r="O110" s="331" t="str">
        <f>IFERROR(__xludf.DUMMYFUNCTION("IFERROR(AVERAGE(FILTER('حضور '!I:I,'حضور '!A:A=A110,MONTH('حضور '!B:B)=N110)),"""")"),"")</f>
        <v/>
      </c>
    </row>
    <row r="111" ht="26.25" hidden="1" customHeight="1">
      <c r="A111" s="371"/>
      <c r="B111" s="372"/>
      <c r="C111" s="66"/>
      <c r="D111" s="90"/>
      <c r="E111" s="66"/>
      <c r="F111" s="66"/>
      <c r="G111" s="66"/>
      <c r="H111" s="66"/>
      <c r="I111" s="66"/>
      <c r="J111" s="66"/>
      <c r="K111" s="66"/>
      <c r="L111" s="66"/>
      <c r="M111" s="330"/>
      <c r="N111" s="339"/>
      <c r="O111" s="331" t="str">
        <f>IFERROR(__xludf.DUMMYFUNCTION("IFERROR(AVERAGE(FILTER('حضور '!I:I,'حضور '!A:A=A111,MONTH('حضور '!B:B)=N111)),"""")"),"")</f>
        <v/>
      </c>
    </row>
    <row r="112" ht="26.25" hidden="1" customHeight="1">
      <c r="A112" s="371"/>
      <c r="B112" s="372"/>
      <c r="C112" s="66"/>
      <c r="D112" s="90"/>
      <c r="E112" s="66"/>
      <c r="F112" s="66"/>
      <c r="G112" s="66"/>
      <c r="H112" s="66"/>
      <c r="I112" s="66"/>
      <c r="J112" s="66"/>
      <c r="K112" s="66"/>
      <c r="L112" s="66"/>
      <c r="M112" s="330"/>
      <c r="N112" s="339"/>
      <c r="O112" s="331" t="str">
        <f>IFERROR(__xludf.DUMMYFUNCTION("IFERROR(AVERAGE(FILTER('حضور '!I:I,'حضور '!A:A=A112,MONTH('حضور '!B:B)=N112)),"""")"),"")</f>
        <v/>
      </c>
    </row>
    <row r="113" ht="26.25" hidden="1" customHeight="1">
      <c r="A113" s="371"/>
      <c r="B113" s="372"/>
      <c r="C113" s="66"/>
      <c r="D113" s="90"/>
      <c r="E113" s="66"/>
      <c r="F113" s="66"/>
      <c r="G113" s="66"/>
      <c r="H113" s="66"/>
      <c r="I113" s="66"/>
      <c r="J113" s="66"/>
      <c r="K113" s="66"/>
      <c r="L113" s="66"/>
      <c r="M113" s="330"/>
      <c r="N113" s="339"/>
      <c r="O113" s="331" t="str">
        <f>IFERROR(__xludf.DUMMYFUNCTION("IFERROR(AVERAGE(FILTER('حضور '!I:I,'حضور '!A:A=A113,MONTH('حضور '!B:B)=N113)),"""")"),"")</f>
        <v/>
      </c>
    </row>
    <row r="114" ht="26.25" hidden="1" customHeight="1">
      <c r="A114" s="371"/>
      <c r="B114" s="372"/>
      <c r="C114" s="66"/>
      <c r="D114" s="90"/>
      <c r="E114" s="66"/>
      <c r="F114" s="66"/>
      <c r="G114" s="66"/>
      <c r="H114" s="66"/>
      <c r="I114" s="66"/>
      <c r="J114" s="66"/>
      <c r="K114" s="66"/>
      <c r="L114" s="66"/>
      <c r="M114" s="330"/>
      <c r="N114" s="330"/>
      <c r="O114" s="331" t="str">
        <f>IFERROR(__xludf.DUMMYFUNCTION("IFERROR(AVERAGE(FILTER('حضور '!I:I,'حضور '!A:A=A114,MONTH('حضور '!B:B)=N114)),"""")"),"")</f>
        <v/>
      </c>
    </row>
    <row r="115" ht="26.25" hidden="1" customHeight="1">
      <c r="A115" s="371"/>
      <c r="B115" s="372"/>
      <c r="C115" s="66"/>
      <c r="D115" s="90"/>
      <c r="E115" s="66"/>
      <c r="F115" s="66"/>
      <c r="G115" s="66"/>
      <c r="H115" s="66"/>
      <c r="I115" s="66"/>
      <c r="J115" s="66"/>
      <c r="K115" s="66"/>
      <c r="L115" s="66"/>
      <c r="M115" s="330"/>
      <c r="N115" s="339"/>
      <c r="O115" s="331" t="str">
        <f>IFERROR(__xludf.DUMMYFUNCTION("IFERROR(AVERAGE(FILTER('حضور '!I:I,'حضور '!A:A=A115,MONTH('حضور '!B:B)=N115)),"""")"),"")</f>
        <v/>
      </c>
    </row>
    <row r="116" ht="26.25" hidden="1" customHeight="1">
      <c r="A116" s="371"/>
      <c r="B116" s="372"/>
      <c r="C116" s="66"/>
      <c r="D116" s="90"/>
      <c r="E116" s="66"/>
      <c r="F116" s="66"/>
      <c r="G116" s="66"/>
      <c r="H116" s="66"/>
      <c r="I116" s="66"/>
      <c r="J116" s="66"/>
      <c r="K116" s="66"/>
      <c r="L116" s="66"/>
      <c r="M116" s="330"/>
      <c r="N116" s="339"/>
      <c r="O116" s="331" t="str">
        <f>IFERROR(__xludf.DUMMYFUNCTION("IFERROR(AVERAGE(FILTER('حضور '!I:I,'حضور '!A:A=A116,MONTH('حضور '!B:B)=N116)),"""")"),"")</f>
        <v/>
      </c>
    </row>
    <row r="117" ht="26.25" hidden="1" customHeight="1">
      <c r="A117" s="371"/>
      <c r="B117" s="372"/>
      <c r="C117" s="66"/>
      <c r="D117" s="90"/>
      <c r="E117" s="66"/>
      <c r="F117" s="66"/>
      <c r="G117" s="66"/>
      <c r="H117" s="66"/>
      <c r="I117" s="66"/>
      <c r="J117" s="66"/>
      <c r="K117" s="66"/>
      <c r="L117" s="66"/>
      <c r="M117" s="330"/>
      <c r="N117" s="339"/>
      <c r="O117" s="331" t="str">
        <f>IFERROR(__xludf.DUMMYFUNCTION("IFERROR(AVERAGE(FILTER('حضور '!I:I,'حضور '!A:A=A117,MONTH('حضور '!B:B)=N117)),"""")"),"")</f>
        <v/>
      </c>
    </row>
    <row r="118" ht="26.25" hidden="1" customHeight="1">
      <c r="A118" s="371"/>
      <c r="B118" s="372"/>
      <c r="C118" s="66"/>
      <c r="D118" s="90"/>
      <c r="E118" s="66"/>
      <c r="F118" s="66"/>
      <c r="G118" s="66"/>
      <c r="H118" s="66"/>
      <c r="I118" s="66"/>
      <c r="J118" s="66"/>
      <c r="K118" s="66"/>
      <c r="L118" s="66"/>
      <c r="M118" s="330"/>
      <c r="N118" s="339"/>
      <c r="O118" s="331" t="str">
        <f>IFERROR(__xludf.DUMMYFUNCTION("IFERROR(AVERAGE(FILTER('حضور '!I:I,'حضور '!A:A=A118,MONTH('حضور '!B:B)=N118)),"""")"),"")</f>
        <v/>
      </c>
    </row>
    <row r="119" ht="26.25" hidden="1" customHeight="1">
      <c r="A119" s="371"/>
      <c r="B119" s="372"/>
      <c r="C119" s="66"/>
      <c r="D119" s="90"/>
      <c r="E119" s="66"/>
      <c r="F119" s="66"/>
      <c r="G119" s="66"/>
      <c r="H119" s="66"/>
      <c r="I119" s="66"/>
      <c r="J119" s="66"/>
      <c r="K119" s="66"/>
      <c r="L119" s="66"/>
      <c r="M119" s="330"/>
      <c r="N119" s="330"/>
      <c r="O119" s="331" t="str">
        <f>IFERROR(__xludf.DUMMYFUNCTION("IFERROR(AVERAGE(FILTER('حضور '!I:I,'حضور '!A:A=A119,MONTH('حضور '!B:B)=N119)),"""")"),"")</f>
        <v/>
      </c>
    </row>
    <row r="120" ht="26.25" hidden="1" customHeight="1">
      <c r="A120" s="371"/>
      <c r="B120" s="372"/>
      <c r="C120" s="66"/>
      <c r="D120" s="90"/>
      <c r="E120" s="66"/>
      <c r="F120" s="66"/>
      <c r="G120" s="66"/>
      <c r="H120" s="66"/>
      <c r="I120" s="66"/>
      <c r="J120" s="66"/>
      <c r="K120" s="66"/>
      <c r="L120" s="66"/>
      <c r="M120" s="330"/>
      <c r="N120" s="339"/>
      <c r="O120" s="331" t="str">
        <f>IFERROR(__xludf.DUMMYFUNCTION("IFERROR(AVERAGE(FILTER('حضور '!I:I,'حضور '!A:A=A120,MONTH('حضور '!B:B)=N120)),"""")"),"")</f>
        <v/>
      </c>
    </row>
    <row r="121" ht="26.25" hidden="1" customHeight="1">
      <c r="A121" s="371"/>
      <c r="B121" s="372"/>
      <c r="C121" s="66"/>
      <c r="D121" s="90"/>
      <c r="E121" s="66"/>
      <c r="F121" s="66"/>
      <c r="G121" s="66"/>
      <c r="H121" s="66"/>
      <c r="I121" s="66"/>
      <c r="J121" s="66"/>
      <c r="K121" s="66"/>
      <c r="L121" s="66"/>
      <c r="M121" s="330"/>
      <c r="N121" s="339"/>
      <c r="O121" s="331" t="str">
        <f>IFERROR(__xludf.DUMMYFUNCTION("IFERROR(AVERAGE(FILTER('حضور '!I:I,'حضور '!A:A=A121,MONTH('حضور '!B:B)=N121)),"""")"),"")</f>
        <v/>
      </c>
    </row>
    <row r="122" ht="26.25" hidden="1" customHeight="1">
      <c r="A122" s="371"/>
      <c r="B122" s="372"/>
      <c r="C122" s="66"/>
      <c r="D122" s="90"/>
      <c r="E122" s="66"/>
      <c r="F122" s="66"/>
      <c r="G122" s="66"/>
      <c r="H122" s="66"/>
      <c r="I122" s="66"/>
      <c r="J122" s="66"/>
      <c r="K122" s="66"/>
      <c r="L122" s="66"/>
      <c r="M122" s="330"/>
      <c r="N122" s="339"/>
      <c r="O122" s="331" t="str">
        <f>IFERROR(__xludf.DUMMYFUNCTION("IFERROR(AVERAGE(FILTER('حضور '!I:I,'حضور '!A:A=A122,MONTH('حضور '!B:B)=N122)),"""")"),"")</f>
        <v/>
      </c>
    </row>
    <row r="123" ht="26.25" hidden="1" customHeight="1">
      <c r="A123" s="371"/>
      <c r="B123" s="372"/>
      <c r="C123" s="66"/>
      <c r="D123" s="90"/>
      <c r="E123" s="66"/>
      <c r="F123" s="66"/>
      <c r="G123" s="66"/>
      <c r="H123" s="66"/>
      <c r="I123" s="66"/>
      <c r="J123" s="66"/>
      <c r="K123" s="66"/>
      <c r="L123" s="66"/>
      <c r="M123" s="330"/>
      <c r="N123" s="339"/>
      <c r="O123" s="331" t="str">
        <f>IFERROR(__xludf.DUMMYFUNCTION("IFERROR(AVERAGE(FILTER('حضور '!I:I,'حضور '!A:A=A123,MONTH('حضور '!B:B)=N123)),"""")"),"")</f>
        <v/>
      </c>
    </row>
    <row r="124" ht="26.25" hidden="1" customHeight="1">
      <c r="A124" s="371"/>
      <c r="B124" s="372"/>
      <c r="C124" s="66"/>
      <c r="D124" s="90"/>
      <c r="E124" s="66"/>
      <c r="F124" s="66"/>
      <c r="G124" s="66"/>
      <c r="H124" s="66"/>
      <c r="I124" s="66"/>
      <c r="J124" s="66"/>
      <c r="K124" s="66"/>
      <c r="L124" s="66"/>
      <c r="M124" s="330"/>
      <c r="N124" s="330"/>
      <c r="O124" s="331" t="str">
        <f>IFERROR(__xludf.DUMMYFUNCTION("IFERROR(AVERAGE(FILTER('حضور '!I:I,'حضور '!A:A=A124,MONTH('حضور '!B:B)=N124)),"""")"),"")</f>
        <v/>
      </c>
    </row>
    <row r="125" ht="26.25" hidden="1" customHeight="1">
      <c r="A125" s="371"/>
      <c r="B125" s="372"/>
      <c r="C125" s="66"/>
      <c r="D125" s="90"/>
      <c r="E125" s="66"/>
      <c r="F125" s="66"/>
      <c r="G125" s="66"/>
      <c r="H125" s="66"/>
      <c r="I125" s="66"/>
      <c r="J125" s="66"/>
      <c r="K125" s="66"/>
      <c r="L125" s="66"/>
      <c r="M125" s="330"/>
      <c r="N125" s="339"/>
      <c r="O125" s="331" t="str">
        <f>IFERROR(__xludf.DUMMYFUNCTION("IFERROR(AVERAGE(FILTER('حضور '!I:I,'حضور '!A:A=A125,MONTH('حضور '!B:B)=N125)),"""")"),"")</f>
        <v/>
      </c>
    </row>
    <row r="126" ht="26.25" hidden="1" customHeight="1">
      <c r="A126" s="371"/>
      <c r="B126" s="372"/>
      <c r="C126" s="66"/>
      <c r="D126" s="90"/>
      <c r="E126" s="66"/>
      <c r="F126" s="66"/>
      <c r="G126" s="66"/>
      <c r="H126" s="66"/>
      <c r="I126" s="66"/>
      <c r="J126" s="66"/>
      <c r="K126" s="66"/>
      <c r="L126" s="66"/>
      <c r="M126" s="330"/>
      <c r="N126" s="339"/>
      <c r="O126" s="331" t="str">
        <f>IFERROR(__xludf.DUMMYFUNCTION("IFERROR(AVERAGE(FILTER('حضور '!I:I,'حضور '!A:A=A126,MONTH('حضور '!B:B)=N126)),"""")"),"")</f>
        <v/>
      </c>
    </row>
    <row r="127" ht="26.25" hidden="1" customHeight="1">
      <c r="A127" s="371"/>
      <c r="B127" s="372"/>
      <c r="C127" s="66"/>
      <c r="D127" s="90"/>
      <c r="E127" s="66"/>
      <c r="F127" s="66"/>
      <c r="G127" s="66"/>
      <c r="H127" s="66"/>
      <c r="I127" s="66"/>
      <c r="J127" s="66"/>
      <c r="K127" s="66"/>
      <c r="L127" s="66"/>
      <c r="M127" s="330"/>
      <c r="N127" s="339"/>
      <c r="O127" s="331" t="str">
        <f>IFERROR(__xludf.DUMMYFUNCTION("IFERROR(AVERAGE(FILTER('حضور '!I:I,'حضور '!A:A=A127,MONTH('حضور '!B:B)=N127)),"""")"),"")</f>
        <v/>
      </c>
    </row>
    <row r="128" ht="26.25" hidden="1" customHeight="1">
      <c r="A128" s="371"/>
      <c r="B128" s="372"/>
      <c r="C128" s="66"/>
      <c r="D128" s="90"/>
      <c r="E128" s="66"/>
      <c r="F128" s="66"/>
      <c r="G128" s="66"/>
      <c r="H128" s="66"/>
      <c r="I128" s="66"/>
      <c r="J128" s="66"/>
      <c r="K128" s="66"/>
      <c r="L128" s="66"/>
      <c r="M128" s="330"/>
      <c r="N128" s="339"/>
      <c r="O128" s="331" t="str">
        <f>IFERROR(__xludf.DUMMYFUNCTION("IFERROR(AVERAGE(FILTER('حضور '!I:I,'حضور '!A:A=A128,MONTH('حضور '!B:B)=N128)),"""")"),"")</f>
        <v/>
      </c>
    </row>
    <row r="129" ht="26.25" hidden="1" customHeight="1">
      <c r="A129" s="371"/>
      <c r="B129" s="372"/>
      <c r="C129" s="66"/>
      <c r="D129" s="90"/>
      <c r="E129" s="66"/>
      <c r="F129" s="66"/>
      <c r="G129" s="66"/>
      <c r="H129" s="66"/>
      <c r="I129" s="66"/>
      <c r="J129" s="66"/>
      <c r="K129" s="66"/>
      <c r="L129" s="66"/>
      <c r="M129" s="330"/>
      <c r="N129" s="330"/>
      <c r="O129" s="331" t="str">
        <f>IFERROR(__xludf.DUMMYFUNCTION("IFERROR(AVERAGE(FILTER('حضور '!I:I,'حضور '!A:A=A129,MONTH('حضور '!B:B)=N129)),"""")"),"")</f>
        <v/>
      </c>
    </row>
    <row r="130" ht="26.25" hidden="1" customHeight="1">
      <c r="A130" s="371"/>
      <c r="B130" s="372"/>
      <c r="C130" s="66"/>
      <c r="D130" s="90"/>
      <c r="E130" s="66"/>
      <c r="F130" s="66"/>
      <c r="G130" s="66"/>
      <c r="H130" s="66"/>
      <c r="I130" s="66"/>
      <c r="J130" s="66"/>
      <c r="K130" s="66"/>
      <c r="L130" s="66"/>
      <c r="M130" s="330"/>
      <c r="N130" s="339"/>
      <c r="O130" s="331" t="str">
        <f>IFERROR(__xludf.DUMMYFUNCTION("IFERROR(AVERAGE(FILTER('حضور '!I:I,'حضور '!A:A=A130,MONTH('حضور '!B:B)=N130)),"""")"),"")</f>
        <v/>
      </c>
    </row>
    <row r="131" ht="26.25" hidden="1" customHeight="1">
      <c r="A131" s="371"/>
      <c r="B131" s="372"/>
      <c r="C131" s="66"/>
      <c r="D131" s="90"/>
      <c r="E131" s="66"/>
      <c r="F131" s="66"/>
      <c r="G131" s="66"/>
      <c r="H131" s="66"/>
      <c r="I131" s="66"/>
      <c r="J131" s="66"/>
      <c r="K131" s="66"/>
      <c r="L131" s="66"/>
      <c r="M131" s="330"/>
      <c r="N131" s="339"/>
      <c r="O131" s="331" t="str">
        <f>IFERROR(__xludf.DUMMYFUNCTION("IFERROR(AVERAGE(FILTER('حضور '!I:I,'حضور '!A:A=A131,MONTH('حضور '!B:B)=N131)),"""")"),"")</f>
        <v/>
      </c>
    </row>
    <row r="132" ht="26.25" hidden="1" customHeight="1">
      <c r="A132" s="371"/>
      <c r="B132" s="372"/>
      <c r="C132" s="66"/>
      <c r="D132" s="90"/>
      <c r="E132" s="66"/>
      <c r="F132" s="66"/>
      <c r="G132" s="66"/>
      <c r="H132" s="66"/>
      <c r="I132" s="66"/>
      <c r="J132" s="66"/>
      <c r="K132" s="66"/>
      <c r="L132" s="66"/>
      <c r="M132" s="330"/>
      <c r="N132" s="339"/>
      <c r="O132" s="331" t="str">
        <f>IFERROR(__xludf.DUMMYFUNCTION("IFERROR(AVERAGE(FILTER('حضور '!I:I,'حضور '!A:A=A132,MONTH('حضور '!B:B)=N132)),"""")"),"")</f>
        <v/>
      </c>
    </row>
    <row r="133" ht="26.25" hidden="1" customHeight="1">
      <c r="A133" s="371"/>
      <c r="B133" s="372"/>
      <c r="C133" s="66"/>
      <c r="D133" s="90"/>
      <c r="E133" s="66"/>
      <c r="F133" s="66"/>
      <c r="G133" s="66"/>
      <c r="H133" s="66"/>
      <c r="I133" s="66"/>
      <c r="J133" s="66"/>
      <c r="K133" s="66"/>
      <c r="L133" s="66"/>
      <c r="M133" s="330"/>
      <c r="N133" s="339"/>
      <c r="O133" s="331" t="str">
        <f>IFERROR(__xludf.DUMMYFUNCTION("IFERROR(AVERAGE(FILTER('حضور '!I:I,'حضور '!A:A=A133,MONTH('حضور '!B:B)=N133)),"""")"),"")</f>
        <v/>
      </c>
    </row>
    <row r="134" ht="26.25" hidden="1" customHeight="1">
      <c r="A134" s="371"/>
      <c r="B134" s="372"/>
      <c r="C134" s="66"/>
      <c r="D134" s="90"/>
      <c r="E134" s="66"/>
      <c r="F134" s="66"/>
      <c r="G134" s="66"/>
      <c r="H134" s="66"/>
      <c r="I134" s="66"/>
      <c r="J134" s="66"/>
      <c r="K134" s="66"/>
      <c r="L134" s="66"/>
      <c r="M134" s="330"/>
      <c r="N134" s="330"/>
      <c r="O134" s="331" t="str">
        <f>IFERROR(__xludf.DUMMYFUNCTION("IFERROR(AVERAGE(FILTER('حضور '!I:I,'حضور '!A:A=A134,MONTH('حضور '!B:B)=N134)),"""")"),"")</f>
        <v/>
      </c>
    </row>
    <row r="135" ht="26.25" hidden="1" customHeight="1">
      <c r="A135" s="371"/>
      <c r="B135" s="372"/>
      <c r="C135" s="66"/>
      <c r="D135" s="90"/>
      <c r="E135" s="66"/>
      <c r="F135" s="66"/>
      <c r="G135" s="66"/>
      <c r="H135" s="66"/>
      <c r="I135" s="66"/>
      <c r="J135" s="66"/>
      <c r="K135" s="66"/>
      <c r="L135" s="66"/>
      <c r="M135" s="330"/>
      <c r="N135" s="339"/>
      <c r="O135" s="331" t="str">
        <f>IFERROR(__xludf.DUMMYFUNCTION("IFERROR(AVERAGE(FILTER('حضور '!I:I,'حضور '!A:A=A135,MONTH('حضور '!B:B)=N135)),"""")"),"")</f>
        <v/>
      </c>
    </row>
    <row r="136" ht="26.25" hidden="1" customHeight="1">
      <c r="A136" s="371"/>
      <c r="B136" s="372"/>
      <c r="C136" s="66"/>
      <c r="D136" s="90"/>
      <c r="E136" s="66"/>
      <c r="F136" s="66"/>
      <c r="G136" s="66"/>
      <c r="H136" s="66"/>
      <c r="I136" s="66"/>
      <c r="J136" s="66"/>
      <c r="K136" s="66"/>
      <c r="L136" s="66"/>
      <c r="M136" s="330"/>
      <c r="N136" s="339"/>
      <c r="O136" s="331" t="str">
        <f>IFERROR(__xludf.DUMMYFUNCTION("IFERROR(AVERAGE(FILTER('حضور '!I:I,'حضور '!A:A=A136,MONTH('حضور '!B:B)=N136)),"""")"),"")</f>
        <v/>
      </c>
    </row>
    <row r="137" ht="26.25" hidden="1" customHeight="1">
      <c r="A137" s="371"/>
      <c r="B137" s="372"/>
      <c r="C137" s="66"/>
      <c r="D137" s="90"/>
      <c r="E137" s="66"/>
      <c r="F137" s="66"/>
      <c r="G137" s="66"/>
      <c r="H137" s="66"/>
      <c r="I137" s="66"/>
      <c r="J137" s="66"/>
      <c r="K137" s="66"/>
      <c r="L137" s="66"/>
      <c r="M137" s="330"/>
      <c r="N137" s="339"/>
      <c r="O137" s="331" t="str">
        <f>IFERROR(__xludf.DUMMYFUNCTION("IFERROR(AVERAGE(FILTER('حضور '!I:I,'حضور '!A:A=A137,MONTH('حضور '!B:B)=N137)),"""")"),"")</f>
        <v/>
      </c>
    </row>
    <row r="138" ht="26.25" hidden="1" customHeight="1">
      <c r="A138" s="371"/>
      <c r="B138" s="372"/>
      <c r="C138" s="66"/>
      <c r="D138" s="90"/>
      <c r="E138" s="66"/>
      <c r="F138" s="66"/>
      <c r="G138" s="66"/>
      <c r="H138" s="66"/>
      <c r="I138" s="66"/>
      <c r="J138" s="66"/>
      <c r="K138" s="66"/>
      <c r="L138" s="66"/>
      <c r="M138" s="330"/>
      <c r="N138" s="339"/>
      <c r="O138" s="331" t="str">
        <f>IFERROR(__xludf.DUMMYFUNCTION("IFERROR(AVERAGE(FILTER('حضور '!I:I,'حضور '!A:A=A138,MONTH('حضور '!B:B)=N138)),"""")"),"")</f>
        <v/>
      </c>
    </row>
    <row r="139" ht="26.25" hidden="1" customHeight="1">
      <c r="A139" s="371"/>
      <c r="B139" s="372"/>
      <c r="C139" s="66"/>
      <c r="D139" s="90"/>
      <c r="E139" s="66"/>
      <c r="F139" s="66"/>
      <c r="G139" s="66"/>
      <c r="H139" s="66"/>
      <c r="I139" s="66"/>
      <c r="J139" s="66"/>
      <c r="K139" s="66"/>
      <c r="L139" s="66"/>
      <c r="M139" s="330"/>
      <c r="N139" s="330"/>
      <c r="O139" s="331" t="str">
        <f>IFERROR(__xludf.DUMMYFUNCTION("IFERROR(AVERAGE(FILTER('حضور '!I:I,'حضور '!A:A=A139,MONTH('حضور '!B:B)=N139)),"""")"),"")</f>
        <v/>
      </c>
    </row>
    <row r="140" ht="26.25" hidden="1" customHeight="1">
      <c r="A140" s="371"/>
      <c r="B140" s="372"/>
      <c r="C140" s="66"/>
      <c r="D140" s="90"/>
      <c r="E140" s="66"/>
      <c r="F140" s="66"/>
      <c r="G140" s="66"/>
      <c r="H140" s="66"/>
      <c r="I140" s="66"/>
      <c r="J140" s="66"/>
      <c r="K140" s="66"/>
      <c r="L140" s="66"/>
      <c r="M140" s="330"/>
      <c r="N140" s="339"/>
      <c r="O140" s="331" t="str">
        <f>IFERROR(__xludf.DUMMYFUNCTION("IFERROR(AVERAGE(FILTER('حضور '!I:I,'حضور '!A:A=A140,MONTH('حضور '!B:B)=N140)),"""")"),"")</f>
        <v/>
      </c>
    </row>
    <row r="141" ht="26.25" hidden="1" customHeight="1">
      <c r="A141" s="371"/>
      <c r="B141" s="372"/>
      <c r="C141" s="66"/>
      <c r="D141" s="90"/>
      <c r="E141" s="66"/>
      <c r="F141" s="66"/>
      <c r="G141" s="66"/>
      <c r="H141" s="66"/>
      <c r="I141" s="66"/>
      <c r="J141" s="66"/>
      <c r="K141" s="66"/>
      <c r="L141" s="66"/>
      <c r="M141" s="330"/>
      <c r="N141" s="339"/>
      <c r="O141" s="331" t="str">
        <f>IFERROR(__xludf.DUMMYFUNCTION("IFERROR(AVERAGE(FILTER('حضور '!I:I,'حضور '!A:A=A141,MONTH('حضور '!B:B)=N141)),"""")"),"")</f>
        <v/>
      </c>
    </row>
    <row r="142" ht="26.25" hidden="1" customHeight="1">
      <c r="A142" s="371"/>
      <c r="B142" s="372"/>
      <c r="C142" s="66"/>
      <c r="D142" s="90"/>
      <c r="E142" s="66"/>
      <c r="F142" s="66"/>
      <c r="G142" s="66"/>
      <c r="H142" s="66"/>
      <c r="I142" s="66"/>
      <c r="J142" s="66"/>
      <c r="K142" s="66"/>
      <c r="L142" s="66"/>
      <c r="M142" s="330"/>
      <c r="N142" s="339"/>
      <c r="O142" s="331" t="str">
        <f>IFERROR(__xludf.DUMMYFUNCTION("IFERROR(AVERAGE(FILTER('حضور '!I:I,'حضور '!A:A=A142,MONTH('حضور '!B:B)=N142)),"""")"),"")</f>
        <v/>
      </c>
    </row>
    <row r="143" ht="26.25" hidden="1" customHeight="1">
      <c r="A143" s="371"/>
      <c r="B143" s="372"/>
      <c r="C143" s="66"/>
      <c r="D143" s="90"/>
      <c r="E143" s="66"/>
      <c r="F143" s="66"/>
      <c r="G143" s="66"/>
      <c r="H143" s="66"/>
      <c r="I143" s="66"/>
      <c r="J143" s="66"/>
      <c r="K143" s="66"/>
      <c r="L143" s="66"/>
      <c r="M143" s="330"/>
      <c r="N143" s="339"/>
      <c r="O143" s="331" t="str">
        <f>IFERROR(__xludf.DUMMYFUNCTION("IFERROR(AVERAGE(FILTER('حضور '!I:I,'حضور '!A:A=A143,MONTH('حضور '!B:B)=N143)),"""")"),"")</f>
        <v/>
      </c>
    </row>
    <row r="144" ht="26.25" hidden="1" customHeight="1">
      <c r="A144" s="371"/>
      <c r="B144" s="372"/>
      <c r="C144" s="66"/>
      <c r="D144" s="90"/>
      <c r="E144" s="66"/>
      <c r="F144" s="66"/>
      <c r="G144" s="66"/>
      <c r="H144" s="66"/>
      <c r="I144" s="66"/>
      <c r="J144" s="66"/>
      <c r="K144" s="66"/>
      <c r="L144" s="66"/>
      <c r="M144" s="330"/>
      <c r="N144" s="330"/>
      <c r="O144" s="331" t="str">
        <f>IFERROR(__xludf.DUMMYFUNCTION("IFERROR(AVERAGE(FILTER('حضور '!I:I,'حضور '!A:A=A144,MONTH('حضور '!B:B)=N144)),"""")"),"")</f>
        <v/>
      </c>
    </row>
    <row r="145" ht="26.25" hidden="1" customHeight="1">
      <c r="A145" s="371"/>
      <c r="B145" s="372"/>
      <c r="C145" s="66"/>
      <c r="D145" s="90"/>
      <c r="E145" s="66"/>
      <c r="F145" s="66"/>
      <c r="G145" s="66"/>
      <c r="H145" s="66"/>
      <c r="I145" s="66"/>
      <c r="J145" s="66"/>
      <c r="K145" s="66"/>
      <c r="L145" s="66"/>
      <c r="M145" s="330"/>
      <c r="N145" s="339"/>
      <c r="O145" s="331" t="str">
        <f>IFERROR(__xludf.DUMMYFUNCTION("IFERROR(AVERAGE(FILTER('حضور '!I:I,'حضور '!A:A=A145,MONTH('حضور '!B:B)=N145)),"""")"),"")</f>
        <v/>
      </c>
    </row>
    <row r="146" ht="26.25" hidden="1" customHeight="1">
      <c r="A146" s="371"/>
      <c r="B146" s="372"/>
      <c r="C146" s="66"/>
      <c r="D146" s="90"/>
      <c r="E146" s="66"/>
      <c r="F146" s="66"/>
      <c r="G146" s="66"/>
      <c r="H146" s="66"/>
      <c r="I146" s="66"/>
      <c r="J146" s="66"/>
      <c r="K146" s="66"/>
      <c r="L146" s="66"/>
      <c r="M146" s="330"/>
      <c r="N146" s="339"/>
      <c r="O146" s="331" t="str">
        <f>IFERROR(__xludf.DUMMYFUNCTION("IFERROR(AVERAGE(FILTER('حضور '!I:I,'حضور '!A:A=A146,MONTH('حضور '!B:B)=N146)),"""")"),"")</f>
        <v/>
      </c>
    </row>
    <row r="147" ht="26.25" hidden="1" customHeight="1">
      <c r="A147" s="371"/>
      <c r="B147" s="372"/>
      <c r="C147" s="66"/>
      <c r="D147" s="90"/>
      <c r="E147" s="66"/>
      <c r="F147" s="66"/>
      <c r="G147" s="66"/>
      <c r="H147" s="66"/>
      <c r="I147" s="66"/>
      <c r="J147" s="66"/>
      <c r="K147" s="66"/>
      <c r="L147" s="66"/>
      <c r="M147" s="330"/>
      <c r="N147" s="339"/>
      <c r="O147" s="331" t="str">
        <f>IFERROR(__xludf.DUMMYFUNCTION("IFERROR(AVERAGE(FILTER('حضور '!I:I,'حضور '!A:A=A147,MONTH('حضور '!B:B)=N147)),"""")"),"")</f>
        <v/>
      </c>
    </row>
    <row r="148" ht="26.25" hidden="1" customHeight="1">
      <c r="A148" s="371"/>
      <c r="B148" s="372"/>
      <c r="C148" s="66"/>
      <c r="D148" s="90"/>
      <c r="E148" s="66"/>
      <c r="F148" s="66"/>
      <c r="G148" s="66"/>
      <c r="H148" s="66"/>
      <c r="I148" s="66"/>
      <c r="J148" s="66"/>
      <c r="K148" s="66"/>
      <c r="L148" s="66"/>
      <c r="M148" s="330"/>
      <c r="N148" s="339"/>
      <c r="O148" s="331" t="str">
        <f>IFERROR(__xludf.DUMMYFUNCTION("IFERROR(AVERAGE(FILTER('حضور '!I:I,'حضور '!A:A=A148,MONTH('حضور '!B:B)=N148)),"""")"),"")</f>
        <v/>
      </c>
    </row>
    <row r="149" ht="26.25" hidden="1" customHeight="1">
      <c r="A149" s="371"/>
      <c r="B149" s="372"/>
      <c r="C149" s="66"/>
      <c r="D149" s="90"/>
      <c r="E149" s="66"/>
      <c r="F149" s="66"/>
      <c r="G149" s="66"/>
      <c r="H149" s="66"/>
      <c r="I149" s="66"/>
      <c r="J149" s="66"/>
      <c r="K149" s="66"/>
      <c r="L149" s="66"/>
      <c r="M149" s="330"/>
      <c r="N149" s="330"/>
      <c r="O149" s="331" t="str">
        <f>IFERROR(__xludf.DUMMYFUNCTION("IFERROR(AVERAGE(FILTER('حضور '!I:I,'حضور '!A:A=A149,MONTH('حضور '!B:B)=N149)),"""")"),"")</f>
        <v/>
      </c>
    </row>
    <row r="150" ht="26.25" hidden="1" customHeight="1">
      <c r="A150" s="371"/>
      <c r="B150" s="372"/>
      <c r="C150" s="66"/>
      <c r="D150" s="90"/>
      <c r="E150" s="66"/>
      <c r="F150" s="66"/>
      <c r="G150" s="66"/>
      <c r="H150" s="66"/>
      <c r="I150" s="66"/>
      <c r="J150" s="66"/>
      <c r="K150" s="66"/>
      <c r="L150" s="66"/>
      <c r="M150" s="330"/>
      <c r="N150" s="339"/>
      <c r="O150" s="331" t="str">
        <f>IFERROR(__xludf.DUMMYFUNCTION("IFERROR(AVERAGE(FILTER('حضور '!I:I,'حضور '!A:A=A150,MONTH('حضور '!B:B)=N150)),"""")"),"")</f>
        <v/>
      </c>
    </row>
    <row r="151" ht="26.25" hidden="1" customHeight="1">
      <c r="A151" s="371"/>
      <c r="B151" s="372"/>
      <c r="C151" s="66"/>
      <c r="D151" s="90"/>
      <c r="E151" s="66"/>
      <c r="F151" s="66"/>
      <c r="G151" s="66"/>
      <c r="H151" s="66"/>
      <c r="I151" s="66"/>
      <c r="J151" s="66"/>
      <c r="K151" s="66"/>
      <c r="L151" s="66"/>
      <c r="M151" s="330"/>
      <c r="N151" s="339"/>
      <c r="O151" s="331" t="str">
        <f>IFERROR(__xludf.DUMMYFUNCTION("IFERROR(AVERAGE(FILTER('حضور '!I:I,'حضور '!A:A=A151,MONTH('حضور '!B:B)=N151)),"""")"),"")</f>
        <v/>
      </c>
    </row>
    <row r="152" ht="26.25" hidden="1" customHeight="1">
      <c r="A152" s="371"/>
      <c r="B152" s="372"/>
      <c r="C152" s="66"/>
      <c r="D152" s="90"/>
      <c r="E152" s="66"/>
      <c r="F152" s="66"/>
      <c r="G152" s="66"/>
      <c r="H152" s="66"/>
      <c r="I152" s="66"/>
      <c r="J152" s="66"/>
      <c r="K152" s="66"/>
      <c r="L152" s="66"/>
      <c r="M152" s="330"/>
      <c r="N152" s="339"/>
      <c r="O152" s="331" t="str">
        <f>IFERROR(__xludf.DUMMYFUNCTION("IFERROR(AVERAGE(FILTER('حضور '!I:I,'حضور '!A:A=A152,MONTH('حضور '!B:B)=N152)),"""")"),"")</f>
        <v/>
      </c>
    </row>
    <row r="153" ht="26.25" hidden="1" customHeight="1">
      <c r="A153" s="371"/>
      <c r="B153" s="372"/>
      <c r="C153" s="66"/>
      <c r="D153" s="90"/>
      <c r="E153" s="66"/>
      <c r="F153" s="66"/>
      <c r="G153" s="66"/>
      <c r="H153" s="66"/>
      <c r="I153" s="66"/>
      <c r="J153" s="66"/>
      <c r="K153" s="66"/>
      <c r="L153" s="66"/>
      <c r="M153" s="330"/>
      <c r="N153" s="339"/>
      <c r="O153" s="331" t="str">
        <f>IFERROR(__xludf.DUMMYFUNCTION("IFERROR(AVERAGE(FILTER('حضور '!I:I,'حضور '!A:A=A153,MONTH('حضور '!B:B)=N153)),"""")"),"")</f>
        <v/>
      </c>
    </row>
    <row r="154" ht="26.25" hidden="1" customHeight="1">
      <c r="A154" s="371"/>
      <c r="B154" s="372"/>
      <c r="C154" s="66"/>
      <c r="D154" s="90"/>
      <c r="E154" s="66"/>
      <c r="F154" s="66"/>
      <c r="G154" s="66"/>
      <c r="H154" s="66"/>
      <c r="I154" s="66"/>
      <c r="J154" s="66"/>
      <c r="K154" s="66"/>
      <c r="L154" s="66"/>
      <c r="M154" s="330"/>
      <c r="N154" s="330"/>
      <c r="O154" s="331" t="str">
        <f>IFERROR(__xludf.DUMMYFUNCTION("IFERROR(AVERAGE(FILTER('حضور '!I:I,'حضور '!A:A=A154,MONTH('حضور '!B:B)=N154)),"""")"),"")</f>
        <v/>
      </c>
    </row>
    <row r="155" ht="26.25" hidden="1" customHeight="1">
      <c r="A155" s="371"/>
      <c r="B155" s="372"/>
      <c r="C155" s="66"/>
      <c r="D155" s="90"/>
      <c r="E155" s="66"/>
      <c r="F155" s="66"/>
      <c r="G155" s="66"/>
      <c r="H155" s="66"/>
      <c r="I155" s="66"/>
      <c r="J155" s="66"/>
      <c r="K155" s="66"/>
      <c r="L155" s="66"/>
      <c r="M155" s="330"/>
      <c r="N155" s="339"/>
      <c r="O155" s="331" t="str">
        <f>IFERROR(__xludf.DUMMYFUNCTION("IFERROR(AVERAGE(FILTER('حضور '!I:I,'حضور '!A:A=A155,MONTH('حضور '!B:B)=N155)),"""")"),"")</f>
        <v/>
      </c>
    </row>
    <row r="156" ht="26.25" hidden="1" customHeight="1">
      <c r="A156" s="371"/>
      <c r="B156" s="372"/>
      <c r="C156" s="66"/>
      <c r="D156" s="90"/>
      <c r="E156" s="66"/>
      <c r="F156" s="66"/>
      <c r="G156" s="66"/>
      <c r="H156" s="66"/>
      <c r="I156" s="66"/>
      <c r="J156" s="66"/>
      <c r="K156" s="66"/>
      <c r="L156" s="66"/>
      <c r="M156" s="330"/>
      <c r="N156" s="339"/>
      <c r="O156" s="331" t="str">
        <f>IFERROR(__xludf.DUMMYFUNCTION("IFERROR(AVERAGE(FILTER('حضور '!I:I,'حضور '!A:A=A156,MONTH('حضور '!B:B)=N156)),"""")"),"")</f>
        <v/>
      </c>
    </row>
    <row r="157" ht="26.25" hidden="1" customHeight="1">
      <c r="A157" s="371"/>
      <c r="B157" s="372"/>
      <c r="C157" s="66"/>
      <c r="D157" s="90"/>
      <c r="E157" s="66"/>
      <c r="F157" s="66"/>
      <c r="G157" s="66"/>
      <c r="H157" s="66"/>
      <c r="I157" s="66"/>
      <c r="J157" s="66"/>
      <c r="K157" s="66"/>
      <c r="L157" s="66"/>
      <c r="M157" s="330"/>
      <c r="N157" s="339"/>
      <c r="O157" s="331" t="str">
        <f>IFERROR(__xludf.DUMMYFUNCTION("IFERROR(AVERAGE(FILTER('حضور '!I:I,'حضور '!A:A=A157,MONTH('حضور '!B:B)=N157)),"""")"),"")</f>
        <v/>
      </c>
    </row>
    <row r="158" ht="26.25" hidden="1" customHeight="1">
      <c r="A158" s="371"/>
      <c r="B158" s="372"/>
      <c r="C158" s="66"/>
      <c r="D158" s="90"/>
      <c r="E158" s="66"/>
      <c r="F158" s="66"/>
      <c r="G158" s="66"/>
      <c r="H158" s="66"/>
      <c r="I158" s="66"/>
      <c r="J158" s="66"/>
      <c r="K158" s="66"/>
      <c r="L158" s="66"/>
      <c r="M158" s="330"/>
      <c r="N158" s="339"/>
      <c r="O158" s="331" t="str">
        <f>IFERROR(__xludf.DUMMYFUNCTION("IFERROR(AVERAGE(FILTER('حضور '!I:I,'حضور '!A:A=A158,MONTH('حضور '!B:B)=N158)),"""")"),"")</f>
        <v/>
      </c>
    </row>
    <row r="159" ht="26.25" hidden="1" customHeight="1">
      <c r="A159" s="371"/>
      <c r="B159" s="372"/>
      <c r="C159" s="66"/>
      <c r="D159" s="90"/>
      <c r="E159" s="66"/>
      <c r="F159" s="66"/>
      <c r="G159" s="66"/>
      <c r="H159" s="66"/>
      <c r="I159" s="66"/>
      <c r="J159" s="66"/>
      <c r="K159" s="66"/>
      <c r="L159" s="66"/>
      <c r="M159" s="330"/>
      <c r="N159" s="330"/>
      <c r="O159" s="331" t="str">
        <f>IFERROR(__xludf.DUMMYFUNCTION("IFERROR(AVERAGE(FILTER('حضور '!I:I,'حضور '!A:A=A159,MONTH('حضور '!B:B)=N159)),"""")"),"")</f>
        <v/>
      </c>
    </row>
    <row r="160" ht="26.25" hidden="1" customHeight="1">
      <c r="A160" s="371"/>
      <c r="B160" s="372"/>
      <c r="C160" s="66"/>
      <c r="D160" s="90"/>
      <c r="E160" s="66"/>
      <c r="F160" s="66"/>
      <c r="G160" s="66"/>
      <c r="H160" s="66"/>
      <c r="I160" s="66"/>
      <c r="J160" s="66"/>
      <c r="K160" s="66"/>
      <c r="L160" s="66"/>
      <c r="M160" s="330"/>
      <c r="N160" s="339"/>
      <c r="O160" s="331" t="str">
        <f>IFERROR(__xludf.DUMMYFUNCTION("IFERROR(AVERAGE(FILTER('حضور '!I:I,'حضور '!A:A=A160,MONTH('حضور '!B:B)=N160)),"""")"),"")</f>
        <v/>
      </c>
    </row>
    <row r="161" ht="26.25" hidden="1" customHeight="1">
      <c r="A161" s="371"/>
      <c r="B161" s="372"/>
      <c r="C161" s="66"/>
      <c r="D161" s="90"/>
      <c r="E161" s="66"/>
      <c r="F161" s="66"/>
      <c r="G161" s="66"/>
      <c r="H161" s="66"/>
      <c r="I161" s="66"/>
      <c r="J161" s="66"/>
      <c r="K161" s="66"/>
      <c r="L161" s="66"/>
      <c r="M161" s="330"/>
      <c r="N161" s="339"/>
      <c r="O161" s="331" t="str">
        <f>IFERROR(__xludf.DUMMYFUNCTION("IFERROR(AVERAGE(FILTER('حضور '!I:I,'حضور '!A:A=A161,MONTH('حضور '!B:B)=N161)),"""")"),"")</f>
        <v/>
      </c>
    </row>
    <row r="162" ht="26.25" hidden="1" customHeight="1">
      <c r="A162" s="371"/>
      <c r="B162" s="372"/>
      <c r="C162" s="66"/>
      <c r="D162" s="90"/>
      <c r="E162" s="66"/>
      <c r="F162" s="66"/>
      <c r="G162" s="66"/>
      <c r="H162" s="66"/>
      <c r="I162" s="66"/>
      <c r="J162" s="66"/>
      <c r="K162" s="66"/>
      <c r="L162" s="66"/>
      <c r="M162" s="330"/>
      <c r="N162" s="339"/>
      <c r="O162" s="331" t="str">
        <f>IFERROR(__xludf.DUMMYFUNCTION("IFERROR(AVERAGE(FILTER('حضور '!I:I,'حضور '!A:A=A162,MONTH('حضور '!B:B)=N162)),"""")"),"")</f>
        <v/>
      </c>
    </row>
    <row r="163" ht="26.25" hidden="1" customHeight="1">
      <c r="A163" s="371"/>
      <c r="B163" s="372"/>
      <c r="C163" s="66"/>
      <c r="D163" s="90"/>
      <c r="E163" s="66"/>
      <c r="F163" s="66"/>
      <c r="G163" s="66"/>
      <c r="H163" s="66"/>
      <c r="I163" s="66"/>
      <c r="J163" s="66"/>
      <c r="K163" s="66"/>
      <c r="L163" s="66"/>
      <c r="M163" s="330"/>
      <c r="N163" s="339"/>
      <c r="O163" s="331" t="str">
        <f>IFERROR(__xludf.DUMMYFUNCTION("IFERROR(AVERAGE(FILTER('حضور '!I:I,'حضور '!A:A=A163,MONTH('حضور '!B:B)=N163)),"""")"),"")</f>
        <v/>
      </c>
    </row>
    <row r="164" ht="26.25" hidden="1" customHeight="1">
      <c r="A164" s="371"/>
      <c r="B164" s="372"/>
      <c r="C164" s="66"/>
      <c r="D164" s="90"/>
      <c r="E164" s="66"/>
      <c r="F164" s="66"/>
      <c r="G164" s="66"/>
      <c r="H164" s="66"/>
      <c r="I164" s="66"/>
      <c r="J164" s="66"/>
      <c r="K164" s="66"/>
      <c r="L164" s="66"/>
      <c r="M164" s="330"/>
      <c r="N164" s="330"/>
      <c r="O164" s="331" t="str">
        <f>IFERROR(__xludf.DUMMYFUNCTION("IFERROR(AVERAGE(FILTER('حضور '!I:I,'حضور '!A:A=A164,MONTH('حضور '!B:B)=N164)),"""")"),"")</f>
        <v/>
      </c>
    </row>
    <row r="165" ht="26.25" hidden="1" customHeight="1">
      <c r="A165" s="371"/>
      <c r="B165" s="372"/>
      <c r="C165" s="66"/>
      <c r="D165" s="90"/>
      <c r="E165" s="66"/>
      <c r="F165" s="66"/>
      <c r="G165" s="66"/>
      <c r="H165" s="66"/>
      <c r="I165" s="66"/>
      <c r="J165" s="66"/>
      <c r="K165" s="66"/>
      <c r="L165" s="66"/>
      <c r="M165" s="330"/>
      <c r="N165" s="339"/>
      <c r="O165" s="331" t="str">
        <f>IFERROR(__xludf.DUMMYFUNCTION("IFERROR(AVERAGE(FILTER('حضور '!I:I,'حضور '!A:A=A165,MONTH('حضور '!B:B)=N165)),"""")"),"")</f>
        <v/>
      </c>
    </row>
    <row r="166" ht="26.25" hidden="1" customHeight="1">
      <c r="A166" s="371"/>
      <c r="B166" s="372"/>
      <c r="C166" s="66"/>
      <c r="D166" s="90"/>
      <c r="E166" s="66"/>
      <c r="F166" s="66"/>
      <c r="G166" s="66"/>
      <c r="H166" s="66"/>
      <c r="I166" s="66"/>
      <c r="J166" s="66"/>
      <c r="K166" s="66"/>
      <c r="L166" s="66"/>
      <c r="M166" s="330"/>
      <c r="N166" s="339"/>
      <c r="O166" s="331" t="str">
        <f>IFERROR(__xludf.DUMMYFUNCTION("IFERROR(AVERAGE(FILTER('حضور '!I:I,'حضور '!A:A=A166,MONTH('حضور '!B:B)=N166)),"""")"),"")</f>
        <v/>
      </c>
    </row>
    <row r="167" ht="26.25" hidden="1" customHeight="1">
      <c r="A167" s="371"/>
      <c r="B167" s="372"/>
      <c r="C167" s="66"/>
      <c r="D167" s="90"/>
      <c r="E167" s="66"/>
      <c r="F167" s="66"/>
      <c r="G167" s="66"/>
      <c r="H167" s="66"/>
      <c r="I167" s="66"/>
      <c r="J167" s="66"/>
      <c r="K167" s="66"/>
      <c r="L167" s="66"/>
      <c r="M167" s="330"/>
      <c r="N167" s="339"/>
      <c r="O167" s="331" t="str">
        <f>IFERROR(__xludf.DUMMYFUNCTION("IFERROR(AVERAGE(FILTER('حضور '!I:I,'حضور '!A:A=A167,MONTH('حضور '!B:B)=N167)),"""")"),"")</f>
        <v/>
      </c>
    </row>
    <row r="168" ht="26.25" hidden="1" customHeight="1">
      <c r="A168" s="371"/>
      <c r="B168" s="372"/>
      <c r="C168" s="66"/>
      <c r="D168" s="90"/>
      <c r="E168" s="66"/>
      <c r="F168" s="66"/>
      <c r="G168" s="66"/>
      <c r="H168" s="66"/>
      <c r="I168" s="66"/>
      <c r="J168" s="66"/>
      <c r="K168" s="66"/>
      <c r="L168" s="66"/>
      <c r="M168" s="330"/>
      <c r="N168" s="339"/>
      <c r="O168" s="331" t="str">
        <f>IFERROR(__xludf.DUMMYFUNCTION("IFERROR(AVERAGE(FILTER('حضور '!I:I,'حضور '!A:A=A168,MONTH('حضور '!B:B)=N168)),"""")"),"")</f>
        <v/>
      </c>
    </row>
    <row r="169" ht="26.25" hidden="1" customHeight="1">
      <c r="A169" s="371"/>
      <c r="B169" s="372"/>
      <c r="C169" s="66"/>
      <c r="D169" s="90"/>
      <c r="E169" s="66"/>
      <c r="F169" s="66"/>
      <c r="G169" s="66"/>
      <c r="H169" s="66"/>
      <c r="I169" s="66"/>
      <c r="J169" s="66"/>
      <c r="K169" s="66"/>
      <c r="L169" s="66"/>
      <c r="M169" s="330"/>
      <c r="N169" s="330"/>
      <c r="O169" s="331" t="str">
        <f>IFERROR(__xludf.DUMMYFUNCTION("IFERROR(AVERAGE(FILTER('حضور '!I:I,'حضور '!A:A=A169,MONTH('حضور '!B:B)=N169)),"""")"),"")</f>
        <v/>
      </c>
    </row>
    <row r="170" ht="26.25" hidden="1" customHeight="1">
      <c r="A170" s="371"/>
      <c r="B170" s="372"/>
      <c r="C170" s="66"/>
      <c r="D170" s="90"/>
      <c r="E170" s="66"/>
      <c r="F170" s="66"/>
      <c r="G170" s="66"/>
      <c r="H170" s="66"/>
      <c r="I170" s="66"/>
      <c r="J170" s="66"/>
      <c r="K170" s="66"/>
      <c r="L170" s="66"/>
      <c r="M170" s="330"/>
      <c r="N170" s="339"/>
      <c r="O170" s="331" t="str">
        <f>IFERROR(__xludf.DUMMYFUNCTION("IFERROR(AVERAGE(FILTER('حضور '!I:I,'حضور '!A:A=A170,MONTH('حضور '!B:B)=N170)),"""")"),"")</f>
        <v/>
      </c>
    </row>
    <row r="171" ht="26.25" hidden="1" customHeight="1">
      <c r="A171" s="371"/>
      <c r="B171" s="372"/>
      <c r="C171" s="66"/>
      <c r="D171" s="90"/>
      <c r="E171" s="66"/>
      <c r="F171" s="66"/>
      <c r="G171" s="66"/>
      <c r="H171" s="66"/>
      <c r="I171" s="66"/>
      <c r="J171" s="66"/>
      <c r="K171" s="66"/>
      <c r="L171" s="66"/>
      <c r="M171" s="330"/>
      <c r="N171" s="339"/>
      <c r="O171" s="331" t="str">
        <f>IFERROR(__xludf.DUMMYFUNCTION("IFERROR(AVERAGE(FILTER('حضور '!I:I,'حضور '!A:A=A171,MONTH('حضور '!B:B)=N171)),"""")"),"")</f>
        <v/>
      </c>
    </row>
    <row r="172" ht="26.25" hidden="1" customHeight="1">
      <c r="A172" s="371"/>
      <c r="B172" s="372"/>
      <c r="C172" s="66"/>
      <c r="D172" s="90"/>
      <c r="E172" s="66"/>
      <c r="F172" s="66"/>
      <c r="G172" s="66"/>
      <c r="H172" s="66"/>
      <c r="I172" s="66"/>
      <c r="J172" s="66"/>
      <c r="K172" s="66"/>
      <c r="L172" s="66"/>
      <c r="M172" s="330"/>
      <c r="N172" s="339"/>
      <c r="O172" s="331" t="str">
        <f>IFERROR(__xludf.DUMMYFUNCTION("IFERROR(AVERAGE(FILTER('حضور '!I:I,'حضور '!A:A=A172,MONTH('حضور '!B:B)=N172)),"""")"),"")</f>
        <v/>
      </c>
    </row>
    <row r="173" ht="26.25" hidden="1" customHeight="1">
      <c r="A173" s="371"/>
      <c r="B173" s="372"/>
      <c r="C173" s="66"/>
      <c r="D173" s="90"/>
      <c r="E173" s="66"/>
      <c r="F173" s="66"/>
      <c r="G173" s="66"/>
      <c r="H173" s="66"/>
      <c r="I173" s="66"/>
      <c r="J173" s="66"/>
      <c r="K173" s="66"/>
      <c r="L173" s="66"/>
      <c r="M173" s="330"/>
      <c r="N173" s="339"/>
      <c r="O173" s="331" t="str">
        <f>IFERROR(__xludf.DUMMYFUNCTION("IFERROR(AVERAGE(FILTER('حضور '!I:I,'حضور '!A:A=A173,MONTH('حضور '!B:B)=N173)),"""")"),"")</f>
        <v/>
      </c>
    </row>
    <row r="174" ht="26.25" hidden="1" customHeight="1">
      <c r="A174" s="371"/>
      <c r="B174" s="372"/>
      <c r="C174" s="66"/>
      <c r="D174" s="90"/>
      <c r="E174" s="66"/>
      <c r="F174" s="66"/>
      <c r="G174" s="66"/>
      <c r="H174" s="66"/>
      <c r="I174" s="66"/>
      <c r="J174" s="66"/>
      <c r="K174" s="66"/>
      <c r="L174" s="66"/>
      <c r="M174" s="330"/>
      <c r="N174" s="330"/>
      <c r="O174" s="331" t="str">
        <f>IFERROR(__xludf.DUMMYFUNCTION("IFERROR(AVERAGE(FILTER('حضور '!I:I,'حضور '!A:A=A174,MONTH('حضور '!B:B)=N174)),"""")"),"")</f>
        <v/>
      </c>
    </row>
    <row r="175" ht="26.25" hidden="1" customHeight="1">
      <c r="A175" s="371"/>
      <c r="B175" s="372"/>
      <c r="C175" s="66"/>
      <c r="D175" s="90"/>
      <c r="E175" s="66"/>
      <c r="F175" s="66"/>
      <c r="G175" s="66"/>
      <c r="H175" s="66"/>
      <c r="I175" s="66"/>
      <c r="J175" s="66"/>
      <c r="K175" s="66"/>
      <c r="L175" s="66"/>
      <c r="M175" s="330"/>
      <c r="N175" s="339"/>
      <c r="O175" s="331" t="str">
        <f>IFERROR(__xludf.DUMMYFUNCTION("IFERROR(AVERAGE(FILTER('حضور '!I:I,'حضور '!A:A=A175,MONTH('حضور '!B:B)=N175)),"""")"),"")</f>
        <v/>
      </c>
    </row>
    <row r="176" ht="26.25" hidden="1" customHeight="1">
      <c r="A176" s="371"/>
      <c r="B176" s="372"/>
      <c r="C176" s="66"/>
      <c r="D176" s="90"/>
      <c r="E176" s="66"/>
      <c r="F176" s="66"/>
      <c r="G176" s="66"/>
      <c r="H176" s="66"/>
      <c r="I176" s="66"/>
      <c r="J176" s="66"/>
      <c r="K176" s="66"/>
      <c r="L176" s="66"/>
      <c r="M176" s="330"/>
      <c r="N176" s="339"/>
      <c r="O176" s="331" t="str">
        <f>IFERROR(__xludf.DUMMYFUNCTION("IFERROR(AVERAGE(FILTER('حضور '!I:I,'حضور '!A:A=A176,MONTH('حضور '!B:B)=N176)),"""")"),"")</f>
        <v/>
      </c>
    </row>
    <row r="177" ht="26.25" hidden="1" customHeight="1">
      <c r="A177" s="371"/>
      <c r="B177" s="372"/>
      <c r="C177" s="66"/>
      <c r="D177" s="90"/>
      <c r="E177" s="66"/>
      <c r="F177" s="66"/>
      <c r="G177" s="66"/>
      <c r="H177" s="66"/>
      <c r="I177" s="66"/>
      <c r="J177" s="66"/>
      <c r="K177" s="66"/>
      <c r="L177" s="66"/>
      <c r="M177" s="330"/>
      <c r="N177" s="339"/>
      <c r="O177" s="331" t="str">
        <f>IFERROR(__xludf.DUMMYFUNCTION("IFERROR(AVERAGE(FILTER('حضور '!I:I,'حضور '!A:A=A177,MONTH('حضور '!B:B)=N177)),"""")"),"")</f>
        <v/>
      </c>
    </row>
    <row r="178" ht="26.25" hidden="1" customHeight="1">
      <c r="A178" s="371"/>
      <c r="B178" s="372"/>
      <c r="C178" s="66"/>
      <c r="D178" s="90"/>
      <c r="E178" s="66"/>
      <c r="F178" s="66"/>
      <c r="G178" s="66"/>
      <c r="H178" s="66"/>
      <c r="I178" s="66"/>
      <c r="J178" s="66"/>
      <c r="K178" s="66"/>
      <c r="L178" s="66"/>
      <c r="M178" s="330"/>
      <c r="N178" s="339"/>
      <c r="O178" s="331" t="str">
        <f>IFERROR(__xludf.DUMMYFUNCTION("IFERROR(AVERAGE(FILTER('حضور '!I:I,'حضور '!A:A=A178,MONTH('حضور '!B:B)=N178)),"""")"),"")</f>
        <v/>
      </c>
    </row>
    <row r="179" ht="26.25" hidden="1" customHeight="1">
      <c r="A179" s="371"/>
      <c r="B179" s="372"/>
      <c r="C179" s="66"/>
      <c r="D179" s="90"/>
      <c r="E179" s="66"/>
      <c r="F179" s="66"/>
      <c r="G179" s="66"/>
      <c r="H179" s="66"/>
      <c r="I179" s="66"/>
      <c r="J179" s="66"/>
      <c r="K179" s="66"/>
      <c r="L179" s="66"/>
      <c r="M179" s="330"/>
      <c r="N179" s="330"/>
      <c r="O179" s="331" t="str">
        <f>IFERROR(__xludf.DUMMYFUNCTION("IFERROR(AVERAGE(FILTER('حضور '!I:I,'حضور '!A:A=A179,MONTH('حضور '!B:B)=N179)),"""")"),"")</f>
        <v/>
      </c>
    </row>
    <row r="180" ht="26.25" hidden="1" customHeight="1">
      <c r="A180" s="371"/>
      <c r="B180" s="372"/>
      <c r="C180" s="66"/>
      <c r="D180" s="90"/>
      <c r="E180" s="66"/>
      <c r="F180" s="66"/>
      <c r="G180" s="66"/>
      <c r="H180" s="66"/>
      <c r="I180" s="66"/>
      <c r="J180" s="66"/>
      <c r="K180" s="66"/>
      <c r="L180" s="66"/>
      <c r="M180" s="330"/>
      <c r="N180" s="339"/>
      <c r="O180" s="331" t="str">
        <f>IFERROR(__xludf.DUMMYFUNCTION("IFERROR(AVERAGE(FILTER('حضور '!I:I,'حضور '!A:A=A180,MONTH('حضور '!B:B)=N180)),"""")"),"")</f>
        <v/>
      </c>
    </row>
    <row r="181" ht="26.25" hidden="1" customHeight="1">
      <c r="A181" s="371"/>
      <c r="B181" s="372"/>
      <c r="C181" s="66"/>
      <c r="D181" s="90"/>
      <c r="E181" s="66"/>
      <c r="F181" s="66"/>
      <c r="G181" s="66"/>
      <c r="H181" s="66"/>
      <c r="I181" s="66"/>
      <c r="J181" s="66"/>
      <c r="K181" s="66"/>
      <c r="L181" s="66"/>
      <c r="M181" s="330"/>
      <c r="N181" s="339"/>
      <c r="O181" s="331" t="str">
        <f>IFERROR(__xludf.DUMMYFUNCTION("IFERROR(AVERAGE(FILTER('حضور '!I:I,'حضور '!A:A=A181,MONTH('حضور '!B:B)=N181)),"""")"),"")</f>
        <v/>
      </c>
    </row>
    <row r="182" ht="26.25" hidden="1" customHeight="1">
      <c r="A182" s="371"/>
      <c r="B182" s="372"/>
      <c r="C182" s="66"/>
      <c r="D182" s="90"/>
      <c r="E182" s="66"/>
      <c r="F182" s="66"/>
      <c r="G182" s="66"/>
      <c r="H182" s="66"/>
      <c r="I182" s="66"/>
      <c r="J182" s="66"/>
      <c r="K182" s="66"/>
      <c r="L182" s="66"/>
      <c r="M182" s="330"/>
      <c r="N182" s="339"/>
      <c r="O182" s="331" t="str">
        <f>IFERROR(__xludf.DUMMYFUNCTION("IFERROR(AVERAGE(FILTER('حضور '!I:I,'حضور '!A:A=A182,MONTH('حضور '!B:B)=N182)),"""")"),"")</f>
        <v/>
      </c>
    </row>
    <row r="183" ht="26.25" hidden="1" customHeight="1">
      <c r="A183" s="371"/>
      <c r="B183" s="372"/>
      <c r="C183" s="66"/>
      <c r="D183" s="90"/>
      <c r="E183" s="66"/>
      <c r="F183" s="66"/>
      <c r="G183" s="66"/>
      <c r="H183" s="66"/>
      <c r="I183" s="66"/>
      <c r="J183" s="66"/>
      <c r="K183" s="66"/>
      <c r="L183" s="66"/>
      <c r="M183" s="330"/>
      <c r="N183" s="339"/>
      <c r="O183" s="331" t="str">
        <f>IFERROR(__xludf.DUMMYFUNCTION("IFERROR(AVERAGE(FILTER('حضور '!I:I,'حضور '!A:A=A183,MONTH('حضور '!B:B)=N183)),"""")"),"")</f>
        <v/>
      </c>
    </row>
    <row r="184" ht="26.25" hidden="1" customHeight="1">
      <c r="A184" s="371"/>
      <c r="B184" s="372"/>
      <c r="C184" s="66"/>
      <c r="D184" s="90"/>
      <c r="E184" s="66"/>
      <c r="F184" s="66"/>
      <c r="G184" s="66"/>
      <c r="H184" s="66"/>
      <c r="I184" s="66"/>
      <c r="J184" s="66"/>
      <c r="K184" s="66"/>
      <c r="L184" s="66"/>
      <c r="M184" s="330"/>
      <c r="N184" s="330"/>
      <c r="O184" s="331" t="str">
        <f>IFERROR(__xludf.DUMMYFUNCTION("IFERROR(AVERAGE(FILTER('حضور '!I:I,'حضور '!A:A=A184,MONTH('حضور '!B:B)=N184)),"""")"),"")</f>
        <v/>
      </c>
    </row>
    <row r="185" ht="26.25" hidden="1" customHeight="1">
      <c r="A185" s="371"/>
      <c r="B185" s="372"/>
      <c r="C185" s="66"/>
      <c r="D185" s="90"/>
      <c r="E185" s="66"/>
      <c r="F185" s="66"/>
      <c r="G185" s="66"/>
      <c r="H185" s="66"/>
      <c r="I185" s="66"/>
      <c r="J185" s="66"/>
      <c r="K185" s="66"/>
      <c r="L185" s="66"/>
      <c r="M185" s="330"/>
      <c r="N185" s="339"/>
      <c r="O185" s="331" t="str">
        <f>IFERROR(__xludf.DUMMYFUNCTION("IFERROR(AVERAGE(FILTER('حضور '!I:I,'حضور '!A:A=A185,MONTH('حضور '!B:B)=N185)),"""")"),"")</f>
        <v/>
      </c>
    </row>
    <row r="186" ht="26.25" hidden="1" customHeight="1">
      <c r="A186" s="371"/>
      <c r="B186" s="372"/>
      <c r="C186" s="66"/>
      <c r="D186" s="90"/>
      <c r="E186" s="66"/>
      <c r="F186" s="66"/>
      <c r="G186" s="66"/>
      <c r="H186" s="66"/>
      <c r="I186" s="66"/>
      <c r="J186" s="66"/>
      <c r="K186" s="66"/>
      <c r="L186" s="66"/>
      <c r="M186" s="330"/>
      <c r="N186" s="339"/>
      <c r="O186" s="331" t="str">
        <f>IFERROR(__xludf.DUMMYFUNCTION("IFERROR(AVERAGE(FILTER('حضور '!I:I,'حضور '!A:A=A186,MONTH('حضور '!B:B)=N186)),"""")"),"")</f>
        <v/>
      </c>
    </row>
    <row r="187" ht="26.25" hidden="1" customHeight="1">
      <c r="A187" s="371"/>
      <c r="B187" s="372"/>
      <c r="C187" s="66"/>
      <c r="D187" s="90"/>
      <c r="E187" s="66"/>
      <c r="F187" s="66"/>
      <c r="G187" s="66"/>
      <c r="H187" s="66"/>
      <c r="I187" s="66"/>
      <c r="J187" s="66"/>
      <c r="K187" s="66"/>
      <c r="L187" s="66"/>
      <c r="M187" s="330"/>
      <c r="N187" s="339"/>
      <c r="O187" s="331" t="str">
        <f>IFERROR(__xludf.DUMMYFUNCTION("IFERROR(AVERAGE(FILTER('حضور '!I:I,'حضور '!A:A=A187,MONTH('حضور '!B:B)=N187)),"""")"),"")</f>
        <v/>
      </c>
    </row>
    <row r="188" ht="26.25" hidden="1" customHeight="1">
      <c r="A188" s="371"/>
      <c r="B188" s="372"/>
      <c r="C188" s="66"/>
      <c r="D188" s="90"/>
      <c r="E188" s="66"/>
      <c r="F188" s="66"/>
      <c r="G188" s="66"/>
      <c r="H188" s="66"/>
      <c r="I188" s="66"/>
      <c r="J188" s="66"/>
      <c r="K188" s="66"/>
      <c r="L188" s="66"/>
      <c r="M188" s="330"/>
      <c r="N188" s="339"/>
      <c r="O188" s="331" t="str">
        <f>IFERROR(__xludf.DUMMYFUNCTION("IFERROR(AVERAGE(FILTER('حضور '!I:I,'حضور '!A:A=A188,MONTH('حضور '!B:B)=N188)),"""")"),"")</f>
        <v/>
      </c>
    </row>
    <row r="189" ht="26.25" hidden="1" customHeight="1">
      <c r="A189" s="371"/>
      <c r="B189" s="372"/>
      <c r="C189" s="66"/>
      <c r="D189" s="90"/>
      <c r="E189" s="66"/>
      <c r="F189" s="66"/>
      <c r="G189" s="66"/>
      <c r="H189" s="66"/>
      <c r="I189" s="66"/>
      <c r="J189" s="66"/>
      <c r="K189" s="66"/>
      <c r="L189" s="66"/>
      <c r="M189" s="330"/>
      <c r="N189" s="330"/>
      <c r="O189" s="331" t="str">
        <f>IFERROR(__xludf.DUMMYFUNCTION("IFERROR(AVERAGE(FILTER('حضور '!I:I,'حضور '!A:A=A189,MONTH('حضور '!B:B)=N189)),"""")"),"")</f>
        <v/>
      </c>
    </row>
    <row r="190" ht="26.25" hidden="1" customHeight="1">
      <c r="A190" s="371"/>
      <c r="B190" s="372"/>
      <c r="C190" s="66"/>
      <c r="D190" s="90"/>
      <c r="E190" s="66"/>
      <c r="F190" s="66"/>
      <c r="G190" s="66"/>
      <c r="H190" s="66"/>
      <c r="I190" s="66"/>
      <c r="J190" s="66"/>
      <c r="K190" s="66"/>
      <c r="L190" s="66"/>
      <c r="M190" s="330"/>
      <c r="N190" s="339"/>
      <c r="O190" s="331" t="str">
        <f>IFERROR(__xludf.DUMMYFUNCTION("IFERROR(AVERAGE(FILTER('حضور '!I:I,'حضور '!A:A=A190,MONTH('حضور '!B:B)=N190)),"""")"),"")</f>
        <v/>
      </c>
    </row>
    <row r="191" ht="26.25" hidden="1" customHeight="1">
      <c r="A191" s="371"/>
      <c r="B191" s="372"/>
      <c r="C191" s="66"/>
      <c r="D191" s="90"/>
      <c r="E191" s="66"/>
      <c r="F191" s="66"/>
      <c r="G191" s="66"/>
      <c r="H191" s="66"/>
      <c r="I191" s="66"/>
      <c r="J191" s="66"/>
      <c r="K191" s="66"/>
      <c r="L191" s="66"/>
      <c r="M191" s="330"/>
      <c r="N191" s="339"/>
      <c r="O191" s="331" t="str">
        <f>IFERROR(__xludf.DUMMYFUNCTION("IFERROR(AVERAGE(FILTER('حضور '!I:I,'حضور '!A:A=A191,MONTH('حضور '!B:B)=N191)),"""")"),"")</f>
        <v/>
      </c>
    </row>
    <row r="192" ht="26.25" hidden="1" customHeight="1">
      <c r="A192" s="371"/>
      <c r="B192" s="372"/>
      <c r="C192" s="66"/>
      <c r="D192" s="90"/>
      <c r="E192" s="66"/>
      <c r="F192" s="66"/>
      <c r="G192" s="66"/>
      <c r="H192" s="66"/>
      <c r="I192" s="66"/>
      <c r="J192" s="66"/>
      <c r="K192" s="66"/>
      <c r="L192" s="66"/>
      <c r="M192" s="330"/>
      <c r="N192" s="339"/>
      <c r="O192" s="331" t="str">
        <f>IFERROR(__xludf.DUMMYFUNCTION("IFERROR(AVERAGE(FILTER('حضور '!I:I,'حضور '!A:A=A192,MONTH('حضور '!B:B)=N192)),"""")"),"")</f>
        <v/>
      </c>
    </row>
    <row r="193" ht="26.25" hidden="1" customHeight="1">
      <c r="A193" s="371"/>
      <c r="B193" s="372"/>
      <c r="C193" s="66"/>
      <c r="D193" s="90"/>
      <c r="E193" s="66"/>
      <c r="F193" s="66"/>
      <c r="G193" s="66"/>
      <c r="H193" s="66"/>
      <c r="I193" s="66"/>
      <c r="J193" s="66"/>
      <c r="K193" s="66"/>
      <c r="L193" s="66"/>
      <c r="M193" s="330"/>
      <c r="N193" s="339"/>
      <c r="O193" s="331" t="str">
        <f>IFERROR(__xludf.DUMMYFUNCTION("IFERROR(AVERAGE(FILTER('حضور '!I:I,'حضور '!A:A=A193,MONTH('حضور '!B:B)=N193)),"""")"),"")</f>
        <v/>
      </c>
    </row>
    <row r="194" ht="26.25" hidden="1" customHeight="1">
      <c r="A194" s="371"/>
      <c r="B194" s="372"/>
      <c r="C194" s="66"/>
      <c r="D194" s="90"/>
      <c r="E194" s="66"/>
      <c r="F194" s="66"/>
      <c r="G194" s="66"/>
      <c r="H194" s="66"/>
      <c r="I194" s="66"/>
      <c r="J194" s="66"/>
      <c r="K194" s="66"/>
      <c r="L194" s="66"/>
      <c r="M194" s="330"/>
      <c r="N194" s="330"/>
      <c r="O194" s="331" t="str">
        <f>IFERROR(__xludf.DUMMYFUNCTION("IFERROR(AVERAGE(FILTER('حضور '!I:I,'حضور '!A:A=A194,MONTH('حضور '!B:B)=N194)),"""")"),"")</f>
        <v/>
      </c>
    </row>
    <row r="195" ht="26.25" hidden="1" customHeight="1">
      <c r="A195" s="371"/>
      <c r="B195" s="372"/>
      <c r="C195" s="66"/>
      <c r="D195" s="90"/>
      <c r="E195" s="66"/>
      <c r="F195" s="66"/>
      <c r="G195" s="66"/>
      <c r="H195" s="66"/>
      <c r="I195" s="66"/>
      <c r="J195" s="66"/>
      <c r="K195" s="66"/>
      <c r="L195" s="66"/>
      <c r="M195" s="330"/>
      <c r="N195" s="339"/>
      <c r="O195" s="331" t="str">
        <f>IFERROR(__xludf.DUMMYFUNCTION("IFERROR(AVERAGE(FILTER('حضور '!I:I,'حضور '!A:A=A195,MONTH('حضور '!B:B)=N195)),"""")"),"")</f>
        <v/>
      </c>
    </row>
    <row r="196" ht="26.25" hidden="1" customHeight="1">
      <c r="A196" s="371"/>
      <c r="B196" s="372"/>
      <c r="C196" s="66"/>
      <c r="D196" s="90"/>
      <c r="E196" s="66"/>
      <c r="F196" s="66"/>
      <c r="G196" s="66"/>
      <c r="H196" s="66"/>
      <c r="I196" s="66"/>
      <c r="J196" s="66"/>
      <c r="K196" s="66"/>
      <c r="L196" s="66"/>
      <c r="M196" s="330"/>
      <c r="N196" s="339"/>
      <c r="O196" s="331" t="str">
        <f>IFERROR(__xludf.DUMMYFUNCTION("IFERROR(AVERAGE(FILTER('حضور '!I:I,'حضور '!A:A=A196,MONTH('حضور '!B:B)=N196)),"""")"),"")</f>
        <v/>
      </c>
    </row>
    <row r="197" ht="26.25" hidden="1" customHeight="1">
      <c r="A197" s="371"/>
      <c r="B197" s="372"/>
      <c r="C197" s="66"/>
      <c r="D197" s="90"/>
      <c r="E197" s="66"/>
      <c r="F197" s="66"/>
      <c r="G197" s="66"/>
      <c r="H197" s="66"/>
      <c r="I197" s="66"/>
      <c r="J197" s="66"/>
      <c r="K197" s="66"/>
      <c r="L197" s="66"/>
      <c r="M197" s="330"/>
      <c r="N197" s="339"/>
      <c r="O197" s="331" t="str">
        <f>IFERROR(__xludf.DUMMYFUNCTION("IFERROR(AVERAGE(FILTER('حضور '!I:I,'حضور '!A:A=A197,MONTH('حضور '!B:B)=N197)),"""")"),"")</f>
        <v/>
      </c>
    </row>
    <row r="198" ht="26.25" hidden="1" customHeight="1">
      <c r="A198" s="371"/>
      <c r="B198" s="372"/>
      <c r="C198" s="66"/>
      <c r="D198" s="90"/>
      <c r="E198" s="66"/>
      <c r="F198" s="66"/>
      <c r="G198" s="66"/>
      <c r="H198" s="66"/>
      <c r="I198" s="66"/>
      <c r="J198" s="66"/>
      <c r="K198" s="66"/>
      <c r="L198" s="66"/>
      <c r="M198" s="330"/>
      <c r="N198" s="339"/>
      <c r="O198" s="331" t="str">
        <f>IFERROR(__xludf.DUMMYFUNCTION("IFERROR(AVERAGE(FILTER('حضور '!I:I,'حضور '!A:A=A198,MONTH('حضور '!B:B)=N198)),"""")"),"")</f>
        <v/>
      </c>
    </row>
    <row r="199" ht="26.25" hidden="1" customHeight="1">
      <c r="A199" s="371"/>
      <c r="B199" s="372"/>
      <c r="C199" s="66"/>
      <c r="D199" s="90"/>
      <c r="E199" s="66"/>
      <c r="F199" s="66"/>
      <c r="G199" s="66"/>
      <c r="H199" s="66"/>
      <c r="I199" s="66"/>
      <c r="J199" s="66"/>
      <c r="K199" s="66"/>
      <c r="L199" s="66"/>
      <c r="M199" s="330"/>
      <c r="N199" s="330"/>
      <c r="O199" s="331" t="str">
        <f>IFERROR(__xludf.DUMMYFUNCTION("IFERROR(AVERAGE(FILTER('حضور '!I:I,'حضور '!A:A=A199,MONTH('حضور '!B:B)=N199)),"""")"),"")</f>
        <v/>
      </c>
    </row>
    <row r="200" ht="26.25" hidden="1" customHeight="1">
      <c r="A200" s="371"/>
      <c r="B200" s="372"/>
      <c r="C200" s="66"/>
      <c r="D200" s="90"/>
      <c r="E200" s="66"/>
      <c r="F200" s="66"/>
      <c r="G200" s="66"/>
      <c r="H200" s="66"/>
      <c r="I200" s="66"/>
      <c r="J200" s="66"/>
      <c r="K200" s="66"/>
      <c r="L200" s="66"/>
      <c r="M200" s="330"/>
      <c r="N200" s="339"/>
      <c r="O200" s="331" t="str">
        <f>IFERROR(__xludf.DUMMYFUNCTION("IFERROR(AVERAGE(FILTER('حضور '!I:I,'حضور '!A:A=A200,MONTH('حضور '!B:B)=N200)),"""")"),"")</f>
        <v/>
      </c>
    </row>
    <row r="201" ht="26.25" hidden="1" customHeight="1">
      <c r="A201" s="371"/>
      <c r="B201" s="372"/>
      <c r="C201" s="66"/>
      <c r="D201" s="90"/>
      <c r="E201" s="66"/>
      <c r="F201" s="66"/>
      <c r="G201" s="66"/>
      <c r="H201" s="66"/>
      <c r="I201" s="66"/>
      <c r="J201" s="66"/>
      <c r="K201" s="66"/>
      <c r="L201" s="66"/>
      <c r="M201" s="330"/>
      <c r="N201" s="339"/>
      <c r="O201" s="331" t="str">
        <f>IFERROR(__xludf.DUMMYFUNCTION("IFERROR(AVERAGE(FILTER('حضور '!I:I,'حضور '!A:A=A201,MONTH('حضور '!B:B)=N201)),"""")"),"")</f>
        <v/>
      </c>
    </row>
    <row r="202" ht="26.25" hidden="1" customHeight="1">
      <c r="A202" s="371"/>
      <c r="B202" s="372"/>
      <c r="C202" s="66"/>
      <c r="D202" s="90"/>
      <c r="E202" s="66"/>
      <c r="F202" s="66"/>
      <c r="G202" s="66"/>
      <c r="H202" s="66"/>
      <c r="I202" s="66"/>
      <c r="J202" s="66"/>
      <c r="K202" s="66"/>
      <c r="L202" s="66"/>
      <c r="M202" s="330"/>
      <c r="N202" s="339"/>
      <c r="O202" s="331" t="str">
        <f>IFERROR(__xludf.DUMMYFUNCTION("IFERROR(AVERAGE(FILTER('حضور '!I:I,'حضور '!A:A=A202,MONTH('حضور '!B:B)=N202)),"""")"),"")</f>
        <v/>
      </c>
    </row>
    <row r="203" ht="26.25" hidden="1" customHeight="1">
      <c r="A203" s="371"/>
      <c r="B203" s="372"/>
      <c r="C203" s="66"/>
      <c r="D203" s="90"/>
      <c r="E203" s="66"/>
      <c r="F203" s="66"/>
      <c r="G203" s="66"/>
      <c r="H203" s="66"/>
      <c r="I203" s="66"/>
      <c r="J203" s="66"/>
      <c r="K203" s="66"/>
      <c r="L203" s="66"/>
      <c r="M203" s="330"/>
      <c r="N203" s="339"/>
      <c r="O203" s="331" t="str">
        <f>IFERROR(__xludf.DUMMYFUNCTION("IFERROR(AVERAGE(FILTER('حضور '!I:I,'حضور '!A:A=A203,MONTH('حضور '!B:B)=N203)),"""")"),"")</f>
        <v/>
      </c>
    </row>
    <row r="204" ht="26.25" hidden="1" customHeight="1">
      <c r="A204" s="371"/>
      <c r="B204" s="372"/>
      <c r="C204" s="66"/>
      <c r="D204" s="90"/>
      <c r="E204" s="66"/>
      <c r="F204" s="66"/>
      <c r="G204" s="66"/>
      <c r="H204" s="66"/>
      <c r="I204" s="66"/>
      <c r="J204" s="66"/>
      <c r="K204" s="66"/>
      <c r="L204" s="66"/>
      <c r="M204" s="330"/>
      <c r="N204" s="330"/>
      <c r="O204" s="331" t="str">
        <f>IFERROR(__xludf.DUMMYFUNCTION("IFERROR(AVERAGE(FILTER('حضور '!I:I,'حضور '!A:A=A204,MONTH('حضور '!B:B)=N204)),"""")"),"")</f>
        <v/>
      </c>
    </row>
    <row r="205" ht="26.25" hidden="1" customHeight="1">
      <c r="A205" s="371"/>
      <c r="B205" s="372"/>
      <c r="C205" s="66"/>
      <c r="D205" s="90"/>
      <c r="E205" s="66"/>
      <c r="F205" s="66"/>
      <c r="G205" s="66"/>
      <c r="H205" s="66"/>
      <c r="I205" s="66"/>
      <c r="J205" s="66"/>
      <c r="K205" s="66"/>
      <c r="L205" s="66"/>
      <c r="M205" s="330"/>
      <c r="N205" s="339"/>
      <c r="O205" s="331" t="str">
        <f>IFERROR(__xludf.DUMMYFUNCTION("IFERROR(AVERAGE(FILTER('حضور '!I:I,'حضور '!A:A=A205,MONTH('حضور '!B:B)=N205)),"""")"),"")</f>
        <v/>
      </c>
    </row>
    <row r="206" ht="26.25" hidden="1" customHeight="1">
      <c r="A206" s="371"/>
      <c r="B206" s="372"/>
      <c r="C206" s="66"/>
      <c r="D206" s="90"/>
      <c r="E206" s="66"/>
      <c r="F206" s="66"/>
      <c r="G206" s="66"/>
      <c r="H206" s="66"/>
      <c r="I206" s="66"/>
      <c r="J206" s="66"/>
      <c r="K206" s="66"/>
      <c r="L206" s="66"/>
      <c r="M206" s="330"/>
      <c r="N206" s="339"/>
      <c r="O206" s="331" t="str">
        <f>IFERROR(__xludf.DUMMYFUNCTION("IFERROR(AVERAGE(FILTER('حضور '!I:I,'حضور '!A:A=A206,MONTH('حضور '!B:B)=N206)),"""")"),"")</f>
        <v/>
      </c>
    </row>
    <row r="207" ht="26.25" hidden="1" customHeight="1">
      <c r="A207" s="371"/>
      <c r="B207" s="372"/>
      <c r="C207" s="66"/>
      <c r="D207" s="90"/>
      <c r="E207" s="66"/>
      <c r="F207" s="66"/>
      <c r="G207" s="66"/>
      <c r="H207" s="66"/>
      <c r="I207" s="66"/>
      <c r="J207" s="66"/>
      <c r="K207" s="66"/>
      <c r="L207" s="66"/>
      <c r="M207" s="330"/>
      <c r="N207" s="339"/>
      <c r="O207" s="331" t="str">
        <f>IFERROR(__xludf.DUMMYFUNCTION("IFERROR(AVERAGE(FILTER('حضور '!I:I,'حضور '!A:A=A207,MONTH('حضور '!B:B)=N207)),"""")"),"")</f>
        <v/>
      </c>
    </row>
    <row r="208" ht="26.25" hidden="1" customHeight="1">
      <c r="A208" s="371"/>
      <c r="B208" s="372"/>
      <c r="C208" s="66"/>
      <c r="D208" s="90"/>
      <c r="E208" s="66"/>
      <c r="F208" s="66"/>
      <c r="G208" s="66"/>
      <c r="H208" s="66"/>
      <c r="I208" s="66"/>
      <c r="J208" s="66"/>
      <c r="K208" s="66"/>
      <c r="L208" s="66"/>
      <c r="M208" s="330"/>
      <c r="N208" s="339"/>
      <c r="O208" s="331" t="str">
        <f>IFERROR(__xludf.DUMMYFUNCTION("IFERROR(AVERAGE(FILTER('حضور '!I:I,'حضور '!A:A=A208,MONTH('حضور '!B:B)=N208)),"""")"),"")</f>
        <v/>
      </c>
    </row>
    <row r="209" ht="26.25" hidden="1" customHeight="1">
      <c r="A209" s="371"/>
      <c r="B209" s="372"/>
      <c r="C209" s="66"/>
      <c r="D209" s="90"/>
      <c r="E209" s="66"/>
      <c r="F209" s="66"/>
      <c r="G209" s="66"/>
      <c r="H209" s="66"/>
      <c r="I209" s="66"/>
      <c r="J209" s="66"/>
      <c r="K209" s="66"/>
      <c r="L209" s="66"/>
      <c r="M209" s="330"/>
      <c r="N209" s="330"/>
      <c r="O209" s="331" t="str">
        <f>IFERROR(__xludf.DUMMYFUNCTION("IFERROR(AVERAGE(FILTER('حضور '!I:I,'حضور '!A:A=A209,MONTH('حضور '!B:B)=N209)),"""")"),"")</f>
        <v/>
      </c>
    </row>
    <row r="210" ht="26.25" hidden="1" customHeight="1">
      <c r="A210" s="371"/>
      <c r="B210" s="372"/>
      <c r="C210" s="66"/>
      <c r="D210" s="90"/>
      <c r="E210" s="66"/>
      <c r="F210" s="66"/>
      <c r="G210" s="66"/>
      <c r="H210" s="66"/>
      <c r="I210" s="66"/>
      <c r="J210" s="66"/>
      <c r="K210" s="66"/>
      <c r="L210" s="66"/>
      <c r="M210" s="330"/>
      <c r="N210" s="339"/>
      <c r="O210" s="331" t="str">
        <f>IFERROR(__xludf.DUMMYFUNCTION("IFERROR(AVERAGE(FILTER('حضور '!I:I,'حضور '!A:A=A210,MONTH('حضور '!B:B)=N210)),"""")"),"")</f>
        <v/>
      </c>
    </row>
    <row r="211" ht="26.25" hidden="1" customHeight="1">
      <c r="A211" s="371"/>
      <c r="B211" s="372"/>
      <c r="C211" s="66"/>
      <c r="D211" s="90"/>
      <c r="E211" s="66"/>
      <c r="F211" s="66"/>
      <c r="G211" s="66"/>
      <c r="H211" s="66"/>
      <c r="I211" s="66"/>
      <c r="J211" s="66"/>
      <c r="K211" s="66"/>
      <c r="L211" s="66"/>
      <c r="M211" s="330"/>
      <c r="N211" s="339"/>
      <c r="O211" s="331" t="str">
        <f>IFERROR(__xludf.DUMMYFUNCTION("IFERROR(AVERAGE(FILTER('حضور '!I:I,'حضور '!A:A=A211,MONTH('حضور '!B:B)=N211)),"""")"),"")</f>
        <v/>
      </c>
    </row>
    <row r="212" ht="26.25" hidden="1" customHeight="1">
      <c r="A212" s="371"/>
      <c r="B212" s="372"/>
      <c r="C212" s="66"/>
      <c r="D212" s="90"/>
      <c r="E212" s="66"/>
      <c r="F212" s="66"/>
      <c r="G212" s="66"/>
      <c r="H212" s="66"/>
      <c r="I212" s="66"/>
      <c r="J212" s="66"/>
      <c r="K212" s="66"/>
      <c r="L212" s="66"/>
      <c r="M212" s="330"/>
      <c r="N212" s="339"/>
      <c r="O212" s="331" t="str">
        <f>IFERROR(__xludf.DUMMYFUNCTION("IFERROR(AVERAGE(FILTER('حضور '!I:I,'حضور '!A:A=A212,MONTH('حضور '!B:B)=N212)),"""")"),"")</f>
        <v/>
      </c>
    </row>
    <row r="213" ht="26.25" hidden="1" customHeight="1">
      <c r="A213" s="371"/>
      <c r="B213" s="372"/>
      <c r="C213" s="66"/>
      <c r="D213" s="90"/>
      <c r="E213" s="66"/>
      <c r="F213" s="66"/>
      <c r="G213" s="66"/>
      <c r="H213" s="66"/>
      <c r="I213" s="66"/>
      <c r="J213" s="66"/>
      <c r="K213" s="66"/>
      <c r="L213" s="66"/>
      <c r="M213" s="330"/>
      <c r="N213" s="339"/>
      <c r="O213" s="331" t="str">
        <f>IFERROR(__xludf.DUMMYFUNCTION("IFERROR(AVERAGE(FILTER('حضور '!I:I,'حضور '!A:A=A213,MONTH('حضور '!B:B)=N213)),"""")"),"")</f>
        <v/>
      </c>
    </row>
    <row r="214" ht="26.25" hidden="1" customHeight="1">
      <c r="A214" s="371"/>
      <c r="B214" s="372"/>
      <c r="C214" s="66"/>
      <c r="D214" s="90"/>
      <c r="E214" s="66"/>
      <c r="F214" s="66"/>
      <c r="G214" s="66"/>
      <c r="H214" s="66"/>
      <c r="I214" s="66"/>
      <c r="J214" s="66"/>
      <c r="K214" s="66"/>
      <c r="L214" s="66"/>
      <c r="M214" s="330"/>
      <c r="N214" s="330"/>
      <c r="O214" s="331" t="str">
        <f>IFERROR(__xludf.DUMMYFUNCTION("IFERROR(AVERAGE(FILTER('حضور '!I:I,'حضور '!A:A=A214,MONTH('حضور '!B:B)=N214)),"""")"),"")</f>
        <v/>
      </c>
    </row>
    <row r="215" ht="26.25" hidden="1" customHeight="1">
      <c r="A215" s="371"/>
      <c r="B215" s="372"/>
      <c r="C215" s="66"/>
      <c r="D215" s="90"/>
      <c r="E215" s="66"/>
      <c r="F215" s="66"/>
      <c r="G215" s="66"/>
      <c r="H215" s="66"/>
      <c r="I215" s="66"/>
      <c r="J215" s="66"/>
      <c r="K215" s="66"/>
      <c r="L215" s="66"/>
      <c r="M215" s="330"/>
      <c r="N215" s="339"/>
      <c r="O215" s="331" t="str">
        <f>IFERROR(__xludf.DUMMYFUNCTION("IFERROR(AVERAGE(FILTER('حضور '!I:I,'حضور '!A:A=A215,MONTH('حضور '!B:B)=N215)),"""")"),"")</f>
        <v/>
      </c>
    </row>
    <row r="216" ht="26.25" hidden="1" customHeight="1">
      <c r="A216" s="371"/>
      <c r="B216" s="372"/>
      <c r="C216" s="66"/>
      <c r="D216" s="90"/>
      <c r="E216" s="66"/>
      <c r="F216" s="66"/>
      <c r="G216" s="66"/>
      <c r="H216" s="66"/>
      <c r="I216" s="66"/>
      <c r="J216" s="66"/>
      <c r="K216" s="66"/>
      <c r="L216" s="66"/>
      <c r="M216" s="330"/>
      <c r="N216" s="339"/>
      <c r="O216" s="331" t="str">
        <f>IFERROR(__xludf.DUMMYFUNCTION("IFERROR(AVERAGE(FILTER('حضور '!I:I,'حضور '!A:A=A216,MONTH('حضور '!B:B)=N216)),"""")"),"")</f>
        <v/>
      </c>
    </row>
    <row r="217" ht="26.25" hidden="1" customHeight="1">
      <c r="A217" s="371"/>
      <c r="B217" s="372"/>
      <c r="C217" s="66"/>
      <c r="D217" s="90"/>
      <c r="E217" s="66"/>
      <c r="F217" s="66"/>
      <c r="G217" s="66"/>
      <c r="H217" s="66"/>
      <c r="I217" s="66"/>
      <c r="J217" s="66"/>
      <c r="K217" s="66"/>
      <c r="L217" s="66"/>
      <c r="M217" s="330"/>
      <c r="N217" s="339"/>
      <c r="O217" s="331" t="str">
        <f>IFERROR(__xludf.DUMMYFUNCTION("IFERROR(AVERAGE(FILTER('حضور '!I:I,'حضور '!A:A=A217,MONTH('حضور '!B:B)=N217)),"""")"),"")</f>
        <v/>
      </c>
    </row>
    <row r="218" ht="26.25" hidden="1" customHeight="1">
      <c r="A218" s="371"/>
      <c r="B218" s="372"/>
      <c r="C218" s="66"/>
      <c r="D218" s="90"/>
      <c r="E218" s="66"/>
      <c r="F218" s="66"/>
      <c r="G218" s="66"/>
      <c r="H218" s="66"/>
      <c r="I218" s="66"/>
      <c r="J218" s="66"/>
      <c r="K218" s="66"/>
      <c r="L218" s="66"/>
      <c r="M218" s="330"/>
      <c r="N218" s="339"/>
      <c r="O218" s="331" t="str">
        <f>IFERROR(__xludf.DUMMYFUNCTION("IFERROR(AVERAGE(FILTER('حضور '!I:I,'حضور '!A:A=A218,MONTH('حضور '!B:B)=N218)),"""")"),"")</f>
        <v/>
      </c>
    </row>
    <row r="219" ht="26.25" hidden="1" customHeight="1">
      <c r="A219" s="371"/>
      <c r="B219" s="372"/>
      <c r="C219" s="66"/>
      <c r="D219" s="90"/>
      <c r="E219" s="66"/>
      <c r="F219" s="66"/>
      <c r="G219" s="66"/>
      <c r="H219" s="66"/>
      <c r="I219" s="66"/>
      <c r="J219" s="66"/>
      <c r="K219" s="66"/>
      <c r="L219" s="66"/>
      <c r="M219" s="330"/>
      <c r="N219" s="330"/>
      <c r="O219" s="331" t="str">
        <f>IFERROR(__xludf.DUMMYFUNCTION("IFERROR(AVERAGE(FILTER('حضور '!I:I,'حضور '!A:A=A219,MONTH('حضور '!B:B)=N219)),"""")"),"")</f>
        <v/>
      </c>
    </row>
    <row r="220" ht="26.25" hidden="1" customHeight="1">
      <c r="A220" s="371"/>
      <c r="B220" s="372"/>
      <c r="C220" s="66"/>
      <c r="D220" s="90"/>
      <c r="E220" s="66"/>
      <c r="F220" s="66"/>
      <c r="G220" s="66"/>
      <c r="H220" s="66"/>
      <c r="I220" s="66"/>
      <c r="J220" s="66"/>
      <c r="K220" s="66"/>
      <c r="L220" s="66"/>
      <c r="M220" s="330"/>
      <c r="N220" s="339"/>
      <c r="O220" s="331" t="str">
        <f>IFERROR(__xludf.DUMMYFUNCTION("IFERROR(AVERAGE(FILTER('حضور '!I:I,'حضور '!A:A=A220,MONTH('حضور '!B:B)=N220)),"""")"),"")</f>
        <v/>
      </c>
    </row>
    <row r="221" ht="26.25" hidden="1" customHeight="1">
      <c r="A221" s="371"/>
      <c r="B221" s="372"/>
      <c r="C221" s="66"/>
      <c r="D221" s="90"/>
      <c r="E221" s="66"/>
      <c r="F221" s="66"/>
      <c r="G221" s="66"/>
      <c r="H221" s="66"/>
      <c r="I221" s="66"/>
      <c r="J221" s="66"/>
      <c r="K221" s="66"/>
      <c r="L221" s="66"/>
      <c r="M221" s="330"/>
      <c r="N221" s="339"/>
      <c r="O221" s="331" t="str">
        <f>IFERROR(__xludf.DUMMYFUNCTION("IFERROR(AVERAGE(FILTER('حضور '!I:I,'حضور '!A:A=A221,MONTH('حضور '!B:B)=N221)),"""")"),"")</f>
        <v/>
      </c>
    </row>
    <row r="222" ht="26.25" hidden="1" customHeight="1">
      <c r="A222" s="371"/>
      <c r="B222" s="372"/>
      <c r="C222" s="66"/>
      <c r="D222" s="90"/>
      <c r="E222" s="66"/>
      <c r="F222" s="66"/>
      <c r="G222" s="66"/>
      <c r="H222" s="66"/>
      <c r="I222" s="66"/>
      <c r="J222" s="66"/>
      <c r="K222" s="66"/>
      <c r="L222" s="66"/>
      <c r="M222" s="330"/>
      <c r="N222" s="339"/>
      <c r="O222" s="331" t="str">
        <f>IFERROR(__xludf.DUMMYFUNCTION("IFERROR(AVERAGE(FILTER('حضور '!I:I,'حضور '!A:A=A222,MONTH('حضور '!B:B)=N222)),"""")"),"")</f>
        <v/>
      </c>
    </row>
    <row r="223" ht="26.25" hidden="1" customHeight="1">
      <c r="A223" s="371"/>
      <c r="B223" s="372"/>
      <c r="C223" s="66"/>
      <c r="D223" s="90"/>
      <c r="E223" s="66"/>
      <c r="F223" s="66"/>
      <c r="G223" s="66"/>
      <c r="H223" s="66"/>
      <c r="I223" s="66"/>
      <c r="J223" s="66"/>
      <c r="K223" s="66"/>
      <c r="L223" s="66"/>
      <c r="M223" s="330"/>
      <c r="N223" s="339"/>
      <c r="O223" s="331" t="str">
        <f>IFERROR(__xludf.DUMMYFUNCTION("IFERROR(AVERAGE(FILTER('حضور '!I:I,'حضور '!A:A=A223,MONTH('حضور '!B:B)=N223)),"""")"),"")</f>
        <v/>
      </c>
    </row>
    <row r="224" ht="26.25" hidden="1" customHeight="1">
      <c r="A224" s="371"/>
      <c r="B224" s="372"/>
      <c r="C224" s="66"/>
      <c r="D224" s="90"/>
      <c r="E224" s="66"/>
      <c r="F224" s="66"/>
      <c r="G224" s="66"/>
      <c r="H224" s="66"/>
      <c r="I224" s="66"/>
      <c r="J224" s="66"/>
      <c r="K224" s="66"/>
      <c r="L224" s="66"/>
      <c r="M224" s="330"/>
      <c r="N224" s="330"/>
      <c r="O224" s="331" t="str">
        <f>IFERROR(__xludf.DUMMYFUNCTION("IFERROR(AVERAGE(FILTER('حضور '!I:I,'حضور '!A:A=A224,MONTH('حضور '!B:B)=N224)),"""")"),"")</f>
        <v/>
      </c>
    </row>
    <row r="225" ht="26.25" hidden="1" customHeight="1">
      <c r="A225" s="371"/>
      <c r="B225" s="372"/>
      <c r="C225" s="66"/>
      <c r="D225" s="90"/>
      <c r="E225" s="66"/>
      <c r="F225" s="66"/>
      <c r="G225" s="66"/>
      <c r="H225" s="66"/>
      <c r="I225" s="66"/>
      <c r="J225" s="66"/>
      <c r="K225" s="66"/>
      <c r="L225" s="66"/>
      <c r="M225" s="330"/>
      <c r="N225" s="339"/>
      <c r="O225" s="331" t="str">
        <f>IFERROR(__xludf.DUMMYFUNCTION("IFERROR(AVERAGE(FILTER('حضور '!I:I,'حضور '!A:A=A225,MONTH('حضور '!B:B)=N225)),"""")"),"")</f>
        <v/>
      </c>
    </row>
    <row r="226" ht="26.25" hidden="1" customHeight="1">
      <c r="A226" s="371"/>
      <c r="B226" s="372"/>
      <c r="C226" s="66"/>
      <c r="D226" s="90"/>
      <c r="E226" s="66"/>
      <c r="F226" s="66"/>
      <c r="G226" s="66"/>
      <c r="H226" s="66"/>
      <c r="I226" s="66"/>
      <c r="J226" s="66"/>
      <c r="K226" s="66"/>
      <c r="L226" s="66"/>
      <c r="M226" s="330"/>
      <c r="N226" s="339"/>
      <c r="O226" s="331" t="str">
        <f>IFERROR(__xludf.DUMMYFUNCTION("IFERROR(AVERAGE(FILTER('حضور '!I:I,'حضور '!A:A=A226,MONTH('حضور '!B:B)=N226)),"""")"),"")</f>
        <v/>
      </c>
    </row>
    <row r="227" ht="26.25" hidden="1" customHeight="1">
      <c r="A227" s="371"/>
      <c r="B227" s="372"/>
      <c r="C227" s="66"/>
      <c r="D227" s="90"/>
      <c r="E227" s="66"/>
      <c r="F227" s="66"/>
      <c r="G227" s="66"/>
      <c r="H227" s="66"/>
      <c r="I227" s="66"/>
      <c r="J227" s="66"/>
      <c r="K227" s="66"/>
      <c r="L227" s="66"/>
      <c r="M227" s="330"/>
      <c r="N227" s="339"/>
      <c r="O227" s="331" t="str">
        <f>IFERROR(__xludf.DUMMYFUNCTION("IFERROR(AVERAGE(FILTER('حضور '!I:I,'حضور '!A:A=A227,MONTH('حضور '!B:B)=N227)),"""")"),"")</f>
        <v/>
      </c>
    </row>
    <row r="228" ht="26.25" hidden="1" customHeight="1">
      <c r="A228" s="371"/>
      <c r="B228" s="372"/>
      <c r="C228" s="66"/>
      <c r="D228" s="90"/>
      <c r="E228" s="66"/>
      <c r="F228" s="66"/>
      <c r="G228" s="66"/>
      <c r="H228" s="66"/>
      <c r="I228" s="66"/>
      <c r="J228" s="66"/>
      <c r="K228" s="66"/>
      <c r="L228" s="66"/>
      <c r="M228" s="330"/>
      <c r="N228" s="339"/>
      <c r="O228" s="331" t="str">
        <f>IFERROR(__xludf.DUMMYFUNCTION("IFERROR(AVERAGE(FILTER('حضور '!I:I,'حضور '!A:A=A228,MONTH('حضور '!B:B)=N228)),"""")"),"")</f>
        <v/>
      </c>
    </row>
    <row r="229" ht="26.25" hidden="1" customHeight="1">
      <c r="A229" s="371"/>
      <c r="B229" s="372"/>
      <c r="C229" s="66"/>
      <c r="D229" s="90"/>
      <c r="E229" s="66"/>
      <c r="F229" s="66"/>
      <c r="G229" s="66"/>
      <c r="H229" s="66"/>
      <c r="I229" s="66"/>
      <c r="J229" s="66"/>
      <c r="K229" s="66"/>
      <c r="L229" s="66"/>
      <c r="M229" s="330"/>
      <c r="N229" s="330"/>
      <c r="O229" s="331" t="str">
        <f>IFERROR(__xludf.DUMMYFUNCTION("IFERROR(AVERAGE(FILTER('حضور '!I:I,'حضور '!A:A=A229,MONTH('حضور '!B:B)=N229)),"""")"),"")</f>
        <v/>
      </c>
    </row>
    <row r="230" ht="26.25" hidden="1" customHeight="1">
      <c r="A230" s="371"/>
      <c r="B230" s="372"/>
      <c r="C230" s="66"/>
      <c r="D230" s="90"/>
      <c r="E230" s="66"/>
      <c r="F230" s="66"/>
      <c r="G230" s="66"/>
      <c r="H230" s="66"/>
      <c r="I230" s="66"/>
      <c r="J230" s="66"/>
      <c r="K230" s="66"/>
      <c r="L230" s="66"/>
      <c r="M230" s="330"/>
      <c r="N230" s="339"/>
      <c r="O230" s="331" t="str">
        <f>IFERROR(__xludf.DUMMYFUNCTION("IFERROR(AVERAGE(FILTER('حضور '!I:I,'حضور '!A:A=A230,MONTH('حضور '!B:B)=N230)),"""")"),"")</f>
        <v/>
      </c>
    </row>
    <row r="231" ht="26.25" hidden="1" customHeight="1">
      <c r="A231" s="371"/>
      <c r="B231" s="372"/>
      <c r="C231" s="66"/>
      <c r="D231" s="90"/>
      <c r="E231" s="66"/>
      <c r="F231" s="66"/>
      <c r="G231" s="66"/>
      <c r="H231" s="66"/>
      <c r="I231" s="66"/>
      <c r="J231" s="66"/>
      <c r="K231" s="66"/>
      <c r="L231" s="66"/>
      <c r="M231" s="330"/>
      <c r="N231" s="339"/>
      <c r="O231" s="331" t="str">
        <f>IFERROR(__xludf.DUMMYFUNCTION("IFERROR(AVERAGE(FILTER('حضور '!I:I,'حضور '!A:A=A231,MONTH('حضور '!B:B)=N231)),"""")"),"")</f>
        <v/>
      </c>
    </row>
    <row r="232" ht="26.25" hidden="1" customHeight="1">
      <c r="A232" s="371"/>
      <c r="B232" s="372"/>
      <c r="C232" s="66"/>
      <c r="D232" s="90"/>
      <c r="E232" s="66"/>
      <c r="F232" s="66"/>
      <c r="G232" s="66"/>
      <c r="H232" s="66"/>
      <c r="I232" s="66"/>
      <c r="J232" s="66"/>
      <c r="K232" s="66"/>
      <c r="L232" s="66"/>
      <c r="M232" s="330"/>
      <c r="N232" s="339"/>
      <c r="O232" s="331" t="str">
        <f>IFERROR(__xludf.DUMMYFUNCTION("IFERROR(AVERAGE(FILTER('حضور '!I:I,'حضور '!A:A=A232,MONTH('حضور '!B:B)=N232)),"""")"),"")</f>
        <v/>
      </c>
    </row>
    <row r="233" ht="26.25" hidden="1" customHeight="1">
      <c r="A233" s="371"/>
      <c r="B233" s="372"/>
      <c r="C233" s="66"/>
      <c r="D233" s="90"/>
      <c r="E233" s="66"/>
      <c r="F233" s="66"/>
      <c r="G233" s="66"/>
      <c r="H233" s="66"/>
      <c r="I233" s="66"/>
      <c r="J233" s="66"/>
      <c r="K233" s="66"/>
      <c r="L233" s="66"/>
      <c r="M233" s="330"/>
      <c r="N233" s="339"/>
      <c r="O233" s="331" t="str">
        <f>IFERROR(__xludf.DUMMYFUNCTION("IFERROR(AVERAGE(FILTER('حضور '!I:I,'حضور '!A:A=A233,MONTH('حضور '!B:B)=N233)),"""")"),"")</f>
        <v/>
      </c>
    </row>
    <row r="234" ht="26.25" hidden="1" customHeight="1">
      <c r="A234" s="371"/>
      <c r="B234" s="372"/>
      <c r="C234" s="66"/>
      <c r="D234" s="90"/>
      <c r="E234" s="66"/>
      <c r="F234" s="66"/>
      <c r="G234" s="66"/>
      <c r="H234" s="66"/>
      <c r="I234" s="66"/>
      <c r="J234" s="66"/>
      <c r="K234" s="66"/>
      <c r="L234" s="66"/>
      <c r="M234" s="330"/>
      <c r="N234" s="330"/>
      <c r="O234" s="331" t="str">
        <f>IFERROR(__xludf.DUMMYFUNCTION("IFERROR(AVERAGE(FILTER('حضور '!I:I,'حضور '!A:A=A234,MONTH('حضور '!B:B)=N234)),"""")"),"")</f>
        <v/>
      </c>
    </row>
    <row r="235" ht="26.25" hidden="1" customHeight="1">
      <c r="A235" s="371"/>
      <c r="B235" s="372"/>
      <c r="C235" s="66"/>
      <c r="D235" s="90"/>
      <c r="E235" s="66"/>
      <c r="F235" s="66"/>
      <c r="G235" s="66"/>
      <c r="H235" s="66"/>
      <c r="I235" s="66"/>
      <c r="J235" s="66"/>
      <c r="K235" s="66"/>
      <c r="L235" s="66"/>
      <c r="M235" s="330"/>
      <c r="N235" s="339"/>
      <c r="O235" s="331" t="str">
        <f>IFERROR(__xludf.DUMMYFUNCTION("IFERROR(AVERAGE(FILTER('حضور '!I:I,'حضور '!A:A=A235,MONTH('حضور '!B:B)=N235)),"""")"),"")</f>
        <v/>
      </c>
    </row>
    <row r="236" ht="26.25" hidden="1" customHeight="1">
      <c r="A236" s="371"/>
      <c r="B236" s="372"/>
      <c r="C236" s="66"/>
      <c r="D236" s="90"/>
      <c r="E236" s="66"/>
      <c r="F236" s="66"/>
      <c r="G236" s="66"/>
      <c r="H236" s="66"/>
      <c r="I236" s="66"/>
      <c r="J236" s="66"/>
      <c r="K236" s="66"/>
      <c r="L236" s="66"/>
      <c r="M236" s="330"/>
      <c r="N236" s="339"/>
      <c r="O236" s="331" t="str">
        <f>IFERROR(__xludf.DUMMYFUNCTION("IFERROR(AVERAGE(FILTER('حضور '!I:I,'حضور '!A:A=A236,MONTH('حضور '!B:B)=N236)),"""")"),"")</f>
        <v/>
      </c>
    </row>
    <row r="237" ht="26.25" hidden="1" customHeight="1">
      <c r="A237" s="371"/>
      <c r="B237" s="372"/>
      <c r="C237" s="66"/>
      <c r="D237" s="90"/>
      <c r="E237" s="66"/>
      <c r="F237" s="66"/>
      <c r="G237" s="66"/>
      <c r="H237" s="66"/>
      <c r="I237" s="66"/>
      <c r="J237" s="66"/>
      <c r="K237" s="66"/>
      <c r="L237" s="66"/>
      <c r="M237" s="330"/>
      <c r="N237" s="339"/>
      <c r="O237" s="331" t="str">
        <f>IFERROR(__xludf.DUMMYFUNCTION("IFERROR(AVERAGE(FILTER('حضور '!I:I,'حضور '!A:A=A237,MONTH('حضور '!B:B)=N237)),"""")"),"")</f>
        <v/>
      </c>
    </row>
    <row r="238" ht="26.25" hidden="1" customHeight="1">
      <c r="A238" s="371"/>
      <c r="B238" s="372"/>
      <c r="C238" s="66"/>
      <c r="D238" s="90"/>
      <c r="E238" s="66"/>
      <c r="F238" s="66"/>
      <c r="G238" s="66"/>
      <c r="H238" s="66"/>
      <c r="I238" s="66"/>
      <c r="J238" s="66"/>
      <c r="K238" s="66"/>
      <c r="L238" s="66"/>
      <c r="M238" s="330"/>
      <c r="N238" s="339"/>
      <c r="O238" s="331" t="str">
        <f>IFERROR(__xludf.DUMMYFUNCTION("IFERROR(AVERAGE(FILTER('حضور '!I:I,'حضور '!A:A=A238,MONTH('حضور '!B:B)=N238)),"""")"),"")</f>
        <v/>
      </c>
    </row>
    <row r="239" ht="26.25" hidden="1" customHeight="1">
      <c r="A239" s="371"/>
      <c r="B239" s="372"/>
      <c r="C239" s="66"/>
      <c r="D239" s="90"/>
      <c r="E239" s="66"/>
      <c r="F239" s="66"/>
      <c r="G239" s="66"/>
      <c r="H239" s="66"/>
      <c r="I239" s="66"/>
      <c r="J239" s="66"/>
      <c r="K239" s="66"/>
      <c r="L239" s="66"/>
      <c r="M239" s="330"/>
      <c r="N239" s="330"/>
      <c r="O239" s="331" t="str">
        <f>IFERROR(__xludf.DUMMYFUNCTION("IFERROR(AVERAGE(FILTER('حضور '!I:I,'حضور '!A:A=A239,MONTH('حضور '!B:B)=N239)),"""")"),"")</f>
        <v/>
      </c>
    </row>
    <row r="240" ht="26.25" hidden="1" customHeight="1">
      <c r="A240" s="371"/>
      <c r="B240" s="372"/>
      <c r="C240" s="66"/>
      <c r="D240" s="90"/>
      <c r="E240" s="66"/>
      <c r="F240" s="66"/>
      <c r="G240" s="66"/>
      <c r="H240" s="66"/>
      <c r="I240" s="66"/>
      <c r="J240" s="66"/>
      <c r="K240" s="66"/>
      <c r="L240" s="66"/>
      <c r="M240" s="330"/>
      <c r="N240" s="339"/>
      <c r="O240" s="331" t="str">
        <f>IFERROR(__xludf.DUMMYFUNCTION("IFERROR(AVERAGE(FILTER('حضور '!I:I,'حضور '!A:A=A240,MONTH('حضور '!B:B)=N240)),"""")"),"")</f>
        <v/>
      </c>
    </row>
    <row r="241" ht="26.25" hidden="1" customHeight="1">
      <c r="A241" s="371"/>
      <c r="B241" s="372"/>
      <c r="C241" s="66"/>
      <c r="D241" s="90"/>
      <c r="E241" s="66"/>
      <c r="F241" s="66"/>
      <c r="G241" s="66"/>
      <c r="H241" s="66"/>
      <c r="I241" s="66"/>
      <c r="J241" s="66"/>
      <c r="K241" s="66"/>
      <c r="L241" s="66"/>
      <c r="M241" s="330"/>
      <c r="N241" s="339"/>
      <c r="O241" s="331" t="str">
        <f>IFERROR(__xludf.DUMMYFUNCTION("IFERROR(AVERAGE(FILTER('حضور '!I:I,'حضور '!A:A=A241,MONTH('حضور '!B:B)=N241)),"""")"),"")</f>
        <v/>
      </c>
    </row>
    <row r="242" ht="26.25" hidden="1" customHeight="1">
      <c r="A242" s="371"/>
      <c r="B242" s="372"/>
      <c r="C242" s="66"/>
      <c r="D242" s="90"/>
      <c r="E242" s="66"/>
      <c r="F242" s="66"/>
      <c r="G242" s="66"/>
      <c r="H242" s="66"/>
      <c r="I242" s="66"/>
      <c r="J242" s="66"/>
      <c r="K242" s="66"/>
      <c r="L242" s="66"/>
      <c r="M242" s="330"/>
      <c r="N242" s="339"/>
      <c r="O242" s="331" t="str">
        <f>IFERROR(__xludf.DUMMYFUNCTION("IFERROR(AVERAGE(FILTER('حضور '!I:I,'حضور '!A:A=A242,MONTH('حضور '!B:B)=N242)),"""")"),"")</f>
        <v/>
      </c>
    </row>
    <row r="243" ht="26.25" hidden="1" customHeight="1">
      <c r="A243" s="371"/>
      <c r="B243" s="372"/>
      <c r="C243" s="66"/>
      <c r="D243" s="90"/>
      <c r="E243" s="66"/>
      <c r="F243" s="66"/>
      <c r="G243" s="66"/>
      <c r="H243" s="66"/>
      <c r="I243" s="66"/>
      <c r="J243" s="66"/>
      <c r="K243" s="66"/>
      <c r="L243" s="66"/>
      <c r="M243" s="330"/>
      <c r="N243" s="339"/>
      <c r="O243" s="331" t="str">
        <f>IFERROR(__xludf.DUMMYFUNCTION("IFERROR(AVERAGE(FILTER('حضور '!I:I,'حضور '!A:A=A243,MONTH('حضور '!B:B)=N243)),"""")"),"")</f>
        <v/>
      </c>
    </row>
    <row r="244" ht="26.25" hidden="1" customHeight="1">
      <c r="A244" s="371"/>
      <c r="B244" s="372"/>
      <c r="C244" s="66"/>
      <c r="D244" s="90"/>
      <c r="E244" s="66"/>
      <c r="F244" s="66"/>
      <c r="G244" s="66"/>
      <c r="H244" s="66"/>
      <c r="I244" s="66"/>
      <c r="J244" s="66"/>
      <c r="K244" s="66"/>
      <c r="L244" s="66"/>
      <c r="M244" s="330"/>
      <c r="N244" s="330"/>
      <c r="O244" s="331" t="str">
        <f>IFERROR(__xludf.DUMMYFUNCTION("IFERROR(AVERAGE(FILTER('حضور '!I:I,'حضور '!A:A=A244,MONTH('حضور '!B:B)=N244)),"""")"),"")</f>
        <v/>
      </c>
    </row>
    <row r="245" ht="26.25" hidden="1" customHeight="1">
      <c r="A245" s="371"/>
      <c r="B245" s="372"/>
      <c r="C245" s="66"/>
      <c r="D245" s="90"/>
      <c r="E245" s="66"/>
      <c r="F245" s="66"/>
      <c r="G245" s="66"/>
      <c r="H245" s="66"/>
      <c r="I245" s="66"/>
      <c r="J245" s="66"/>
      <c r="K245" s="66"/>
      <c r="L245" s="66"/>
      <c r="M245" s="330"/>
      <c r="N245" s="339"/>
      <c r="O245" s="331" t="str">
        <f>IFERROR(__xludf.DUMMYFUNCTION("IFERROR(AVERAGE(FILTER('حضور '!I:I,'حضور '!A:A=A245,MONTH('حضور '!B:B)=N245)),"""")"),"")</f>
        <v/>
      </c>
    </row>
    <row r="246" ht="26.25" hidden="1" customHeight="1">
      <c r="A246" s="371"/>
      <c r="B246" s="372"/>
      <c r="C246" s="66"/>
      <c r="D246" s="90"/>
      <c r="E246" s="66"/>
      <c r="F246" s="66"/>
      <c r="G246" s="66"/>
      <c r="H246" s="66"/>
      <c r="I246" s="66"/>
      <c r="J246" s="66"/>
      <c r="K246" s="66"/>
      <c r="L246" s="66"/>
      <c r="M246" s="330"/>
      <c r="N246" s="339"/>
      <c r="O246" s="331" t="str">
        <f>IFERROR(__xludf.DUMMYFUNCTION("IFERROR(AVERAGE(FILTER('حضور '!I:I,'حضور '!A:A=A246,MONTH('حضور '!B:B)=N246)),"""")"),"")</f>
        <v/>
      </c>
    </row>
    <row r="247" ht="26.25" hidden="1" customHeight="1">
      <c r="A247" s="371"/>
      <c r="B247" s="372"/>
      <c r="C247" s="66"/>
      <c r="D247" s="90"/>
      <c r="E247" s="66"/>
      <c r="F247" s="66"/>
      <c r="G247" s="66"/>
      <c r="H247" s="66"/>
      <c r="I247" s="66"/>
      <c r="J247" s="66"/>
      <c r="K247" s="66"/>
      <c r="L247" s="66"/>
      <c r="M247" s="330"/>
      <c r="N247" s="339"/>
      <c r="O247" s="331" t="str">
        <f>IFERROR(__xludf.DUMMYFUNCTION("IFERROR(AVERAGE(FILTER('حضور '!I:I,'حضور '!A:A=A247,MONTH('حضور '!B:B)=N247)),"""")"),"")</f>
        <v/>
      </c>
    </row>
    <row r="248" ht="26.25" hidden="1" customHeight="1">
      <c r="A248" s="371"/>
      <c r="B248" s="372"/>
      <c r="C248" s="66"/>
      <c r="D248" s="90"/>
      <c r="E248" s="66"/>
      <c r="F248" s="66"/>
      <c r="G248" s="66"/>
      <c r="H248" s="66"/>
      <c r="I248" s="66"/>
      <c r="J248" s="66"/>
      <c r="K248" s="66"/>
      <c r="L248" s="66"/>
      <c r="M248" s="330"/>
      <c r="N248" s="339"/>
      <c r="O248" s="331" t="str">
        <f>IFERROR(__xludf.DUMMYFUNCTION("IFERROR(AVERAGE(FILTER('حضور '!I:I,'حضور '!A:A=A248,MONTH('حضور '!B:B)=N248)),"""")"),"")</f>
        <v/>
      </c>
    </row>
    <row r="249" ht="26.25" hidden="1" customHeight="1">
      <c r="A249" s="371"/>
      <c r="B249" s="372"/>
      <c r="C249" s="66"/>
      <c r="D249" s="90"/>
      <c r="E249" s="66"/>
      <c r="F249" s="66"/>
      <c r="G249" s="66"/>
      <c r="H249" s="66"/>
      <c r="I249" s="66"/>
      <c r="J249" s="66"/>
      <c r="K249" s="66"/>
      <c r="L249" s="66"/>
      <c r="M249" s="330"/>
      <c r="N249" s="330"/>
      <c r="O249" s="331" t="str">
        <f>IFERROR(__xludf.DUMMYFUNCTION("IFERROR(AVERAGE(FILTER('حضور '!I:I,'حضور '!A:A=A249,MONTH('حضور '!B:B)=N249)),"""")"),"")</f>
        <v/>
      </c>
    </row>
    <row r="250" ht="26.25" hidden="1" customHeight="1">
      <c r="A250" s="371"/>
      <c r="B250" s="372"/>
      <c r="C250" s="66"/>
      <c r="D250" s="90"/>
      <c r="E250" s="66"/>
      <c r="F250" s="66"/>
      <c r="G250" s="66"/>
      <c r="H250" s="66"/>
      <c r="I250" s="66"/>
      <c r="J250" s="66"/>
      <c r="K250" s="66"/>
      <c r="L250" s="66"/>
      <c r="M250" s="330"/>
      <c r="N250" s="339"/>
      <c r="O250" s="331" t="str">
        <f>IFERROR(__xludf.DUMMYFUNCTION("IFERROR(AVERAGE(FILTER('حضور '!I:I,'حضور '!A:A=A250,MONTH('حضور '!B:B)=N250)),"""")"),"")</f>
        <v/>
      </c>
    </row>
    <row r="251" ht="26.25" hidden="1" customHeight="1">
      <c r="A251" s="371"/>
      <c r="B251" s="372"/>
      <c r="C251" s="66"/>
      <c r="D251" s="90"/>
      <c r="E251" s="66"/>
      <c r="F251" s="66"/>
      <c r="G251" s="66"/>
      <c r="H251" s="66"/>
      <c r="I251" s="66"/>
      <c r="J251" s="66"/>
      <c r="K251" s="66"/>
      <c r="L251" s="66"/>
      <c r="M251" s="330"/>
      <c r="N251" s="339"/>
      <c r="O251" s="331" t="str">
        <f>IFERROR(__xludf.DUMMYFUNCTION("IFERROR(AVERAGE(FILTER('حضور '!I:I,'حضور '!A:A=A251,MONTH('حضور '!B:B)=N251)),"""")"),"")</f>
        <v/>
      </c>
    </row>
    <row r="252" ht="26.25" hidden="1" customHeight="1">
      <c r="A252" s="371"/>
      <c r="B252" s="372"/>
      <c r="C252" s="66"/>
      <c r="D252" s="90"/>
      <c r="E252" s="66"/>
      <c r="F252" s="66"/>
      <c r="G252" s="66"/>
      <c r="H252" s="66"/>
      <c r="I252" s="66"/>
      <c r="J252" s="66"/>
      <c r="K252" s="66"/>
      <c r="L252" s="66"/>
      <c r="M252" s="330"/>
      <c r="N252" s="339"/>
      <c r="O252" s="331" t="str">
        <f>IFERROR(__xludf.DUMMYFUNCTION("IFERROR(AVERAGE(FILTER('حضور '!I:I,'حضور '!A:A=A252,MONTH('حضور '!B:B)=N252)),"""")"),"")</f>
        <v/>
      </c>
    </row>
    <row r="253" ht="26.25" hidden="1" customHeight="1">
      <c r="A253" s="371"/>
      <c r="B253" s="372"/>
      <c r="C253" s="66"/>
      <c r="D253" s="90"/>
      <c r="E253" s="66"/>
      <c r="F253" s="66"/>
      <c r="G253" s="66"/>
      <c r="H253" s="66"/>
      <c r="I253" s="66"/>
      <c r="J253" s="66"/>
      <c r="K253" s="66"/>
      <c r="L253" s="66"/>
      <c r="M253" s="330"/>
      <c r="N253" s="339"/>
      <c r="O253" s="331" t="str">
        <f>IFERROR(__xludf.DUMMYFUNCTION("IFERROR(AVERAGE(FILTER('حضور '!I:I,'حضور '!A:A=A253,MONTH('حضور '!B:B)=N253)),"""")"),"")</f>
        <v/>
      </c>
    </row>
    <row r="254" ht="26.25" hidden="1" customHeight="1">
      <c r="A254" s="371"/>
      <c r="B254" s="372"/>
      <c r="C254" s="66"/>
      <c r="D254" s="90"/>
      <c r="E254" s="66"/>
      <c r="F254" s="66"/>
      <c r="G254" s="66"/>
      <c r="H254" s="66"/>
      <c r="I254" s="66"/>
      <c r="J254" s="66"/>
      <c r="K254" s="66"/>
      <c r="L254" s="66"/>
      <c r="M254" s="330"/>
      <c r="N254" s="330"/>
      <c r="O254" s="331" t="str">
        <f>IFERROR(__xludf.DUMMYFUNCTION("IFERROR(AVERAGE(FILTER('حضور '!I:I,'حضور '!A:A=A254,MONTH('حضور '!B:B)=N254)),"""")"),"")</f>
        <v/>
      </c>
    </row>
    <row r="255" ht="26.25" hidden="1" customHeight="1">
      <c r="A255" s="371"/>
      <c r="B255" s="372"/>
      <c r="C255" s="66"/>
      <c r="D255" s="90"/>
      <c r="E255" s="66"/>
      <c r="F255" s="66"/>
      <c r="G255" s="66"/>
      <c r="H255" s="66"/>
      <c r="I255" s="66"/>
      <c r="J255" s="66"/>
      <c r="K255" s="66"/>
      <c r="L255" s="66"/>
      <c r="M255" s="330"/>
      <c r="N255" s="339"/>
      <c r="O255" s="331" t="str">
        <f>IFERROR(__xludf.DUMMYFUNCTION("IFERROR(AVERAGE(FILTER('حضور '!I:I,'حضور '!A:A=A255,MONTH('حضور '!B:B)=N255)),"""")"),"")</f>
        <v/>
      </c>
    </row>
    <row r="256" ht="26.25" hidden="1" customHeight="1">
      <c r="A256" s="371"/>
      <c r="B256" s="372"/>
      <c r="C256" s="66"/>
      <c r="D256" s="90"/>
      <c r="E256" s="66"/>
      <c r="F256" s="66"/>
      <c r="G256" s="66"/>
      <c r="H256" s="66"/>
      <c r="I256" s="66"/>
      <c r="J256" s="66"/>
      <c r="K256" s="66"/>
      <c r="L256" s="66"/>
      <c r="M256" s="330"/>
      <c r="N256" s="339"/>
      <c r="O256" s="331" t="str">
        <f>IFERROR(__xludf.DUMMYFUNCTION("IFERROR(AVERAGE(FILTER('حضور '!I:I,'حضور '!A:A=A256,MONTH('حضور '!B:B)=N256)),"""")"),"")</f>
        <v/>
      </c>
    </row>
    <row r="257" ht="26.25" hidden="1" customHeight="1">
      <c r="A257" s="371"/>
      <c r="B257" s="372"/>
      <c r="C257" s="66"/>
      <c r="D257" s="90"/>
      <c r="E257" s="66"/>
      <c r="F257" s="66"/>
      <c r="G257" s="66"/>
      <c r="H257" s="66"/>
      <c r="I257" s="66"/>
      <c r="J257" s="66"/>
      <c r="K257" s="66"/>
      <c r="L257" s="66"/>
      <c r="M257" s="330"/>
      <c r="N257" s="339"/>
      <c r="O257" s="331" t="str">
        <f>IFERROR(__xludf.DUMMYFUNCTION("IFERROR(AVERAGE(FILTER('حضور '!I:I,'حضور '!A:A=A257,MONTH('حضور '!B:B)=N257)),"""")"),"")</f>
        <v/>
      </c>
    </row>
    <row r="258" ht="26.25" hidden="1" customHeight="1">
      <c r="A258" s="371"/>
      <c r="B258" s="372"/>
      <c r="C258" s="66"/>
      <c r="D258" s="90"/>
      <c r="E258" s="66"/>
      <c r="F258" s="66"/>
      <c r="G258" s="66"/>
      <c r="H258" s="66"/>
      <c r="I258" s="66"/>
      <c r="J258" s="66"/>
      <c r="K258" s="66"/>
      <c r="L258" s="66"/>
      <c r="M258" s="330"/>
      <c r="N258" s="339"/>
      <c r="O258" s="331" t="str">
        <f>IFERROR(__xludf.DUMMYFUNCTION("IFERROR(AVERAGE(FILTER('حضور '!I:I,'حضور '!A:A=A258,MONTH('حضور '!B:B)=N258)),"""")"),"")</f>
        <v/>
      </c>
    </row>
    <row r="259" ht="26.25" hidden="1" customHeight="1">
      <c r="A259" s="371"/>
      <c r="B259" s="372"/>
      <c r="C259" s="66"/>
      <c r="D259" s="90"/>
      <c r="E259" s="66"/>
      <c r="F259" s="66"/>
      <c r="G259" s="66"/>
      <c r="H259" s="66"/>
      <c r="I259" s="66"/>
      <c r="J259" s="66"/>
      <c r="K259" s="66"/>
      <c r="L259" s="66"/>
      <c r="M259" s="330"/>
      <c r="N259" s="330"/>
      <c r="O259" s="331" t="str">
        <f>IFERROR(__xludf.DUMMYFUNCTION("IFERROR(AVERAGE(FILTER('حضور '!I:I,'حضور '!A:A=A259,MONTH('حضور '!B:B)=N259)),"""")"),"")</f>
        <v/>
      </c>
    </row>
    <row r="260" ht="26.25" hidden="1" customHeight="1">
      <c r="A260" s="371"/>
      <c r="B260" s="372"/>
      <c r="C260" s="66"/>
      <c r="D260" s="90"/>
      <c r="E260" s="66"/>
      <c r="F260" s="66"/>
      <c r="G260" s="66"/>
      <c r="H260" s="66"/>
      <c r="I260" s="66"/>
      <c r="J260" s="66"/>
      <c r="K260" s="66"/>
      <c r="L260" s="66"/>
      <c r="M260" s="330"/>
      <c r="N260" s="339"/>
      <c r="O260" s="331" t="str">
        <f>IFERROR(__xludf.DUMMYFUNCTION("IFERROR(AVERAGE(FILTER('حضور '!I:I,'حضور '!A:A=A260,MONTH('حضور '!B:B)=N260)),"""")"),"")</f>
        <v/>
      </c>
    </row>
    <row r="261" ht="26.25" hidden="1" customHeight="1">
      <c r="A261" s="371"/>
      <c r="B261" s="372"/>
      <c r="C261" s="66"/>
      <c r="D261" s="90"/>
      <c r="E261" s="66"/>
      <c r="F261" s="66"/>
      <c r="G261" s="66"/>
      <c r="H261" s="66"/>
      <c r="I261" s="66"/>
      <c r="J261" s="66"/>
      <c r="K261" s="66"/>
      <c r="L261" s="66"/>
      <c r="M261" s="330"/>
      <c r="N261" s="339"/>
      <c r="O261" s="331" t="str">
        <f>IFERROR(__xludf.DUMMYFUNCTION("IFERROR(AVERAGE(FILTER('حضور '!I:I,'حضور '!A:A=A261,MONTH('حضور '!B:B)=N261)),"""")"),"")</f>
        <v/>
      </c>
    </row>
    <row r="262" ht="26.25" hidden="1" customHeight="1">
      <c r="A262" s="371"/>
      <c r="B262" s="372"/>
      <c r="C262" s="66"/>
      <c r="D262" s="90"/>
      <c r="E262" s="66"/>
      <c r="F262" s="66"/>
      <c r="G262" s="66"/>
      <c r="H262" s="66"/>
      <c r="I262" s="66"/>
      <c r="J262" s="66"/>
      <c r="K262" s="66"/>
      <c r="L262" s="66"/>
      <c r="M262" s="330"/>
      <c r="N262" s="339"/>
      <c r="O262" s="331" t="str">
        <f>IFERROR(__xludf.DUMMYFUNCTION("IFERROR(AVERAGE(FILTER('حضور '!I:I,'حضور '!A:A=A262,MONTH('حضور '!B:B)=N262)),"""")"),"")</f>
        <v/>
      </c>
    </row>
    <row r="263" ht="26.25" hidden="1" customHeight="1">
      <c r="A263" s="371"/>
      <c r="B263" s="372"/>
      <c r="C263" s="66"/>
      <c r="D263" s="90"/>
      <c r="E263" s="66"/>
      <c r="F263" s="66"/>
      <c r="G263" s="66"/>
      <c r="H263" s="66"/>
      <c r="I263" s="66"/>
      <c r="J263" s="66"/>
      <c r="K263" s="66"/>
      <c r="L263" s="66"/>
      <c r="M263" s="330"/>
      <c r="N263" s="339"/>
      <c r="O263" s="331" t="str">
        <f>IFERROR(__xludf.DUMMYFUNCTION("IFERROR(AVERAGE(FILTER('حضور '!I:I,'حضور '!A:A=A263,MONTH('حضور '!B:B)=N263)),"""")"),"")</f>
        <v/>
      </c>
    </row>
    <row r="264" ht="26.25" hidden="1" customHeight="1">
      <c r="A264" s="371"/>
      <c r="B264" s="372"/>
      <c r="C264" s="66"/>
      <c r="D264" s="90"/>
      <c r="E264" s="66"/>
      <c r="F264" s="66"/>
      <c r="G264" s="66"/>
      <c r="H264" s="66"/>
      <c r="I264" s="66"/>
      <c r="J264" s="66"/>
      <c r="K264" s="66"/>
      <c r="L264" s="66"/>
      <c r="M264" s="330"/>
      <c r="N264" s="330"/>
      <c r="O264" s="331" t="str">
        <f>IFERROR(__xludf.DUMMYFUNCTION("IFERROR(AVERAGE(FILTER('حضور '!I:I,'حضور '!A:A=A264,MONTH('حضور '!B:B)=N264)),"""")"),"")</f>
        <v/>
      </c>
    </row>
    <row r="265" ht="26.25" hidden="1" customHeight="1">
      <c r="A265" s="371"/>
      <c r="B265" s="372"/>
      <c r="C265" s="66"/>
      <c r="D265" s="90"/>
      <c r="E265" s="66"/>
      <c r="F265" s="66"/>
      <c r="G265" s="66"/>
      <c r="H265" s="66"/>
      <c r="I265" s="66"/>
      <c r="J265" s="66"/>
      <c r="K265" s="66"/>
      <c r="L265" s="66"/>
      <c r="M265" s="330"/>
      <c r="N265" s="339"/>
      <c r="O265" s="331" t="str">
        <f>IFERROR(__xludf.DUMMYFUNCTION("IFERROR(AVERAGE(FILTER('حضور '!I:I,'حضور '!A:A=A265,MONTH('حضور '!B:B)=N265)),"""")"),"")</f>
        <v/>
      </c>
    </row>
    <row r="266" ht="26.25" hidden="1" customHeight="1">
      <c r="A266" s="371"/>
      <c r="B266" s="372"/>
      <c r="C266" s="66"/>
      <c r="D266" s="90"/>
      <c r="E266" s="66"/>
      <c r="F266" s="66"/>
      <c r="G266" s="66"/>
      <c r="H266" s="66"/>
      <c r="I266" s="66"/>
      <c r="J266" s="66"/>
      <c r="K266" s="66"/>
      <c r="L266" s="66"/>
      <c r="M266" s="330"/>
      <c r="N266" s="339"/>
      <c r="O266" s="331" t="str">
        <f>IFERROR(__xludf.DUMMYFUNCTION("IFERROR(AVERAGE(FILTER('حضور '!I:I,'حضور '!A:A=A266,MONTH('حضور '!B:B)=N266)),"""")"),"")</f>
        <v/>
      </c>
    </row>
    <row r="267" ht="26.25" hidden="1" customHeight="1">
      <c r="A267" s="371"/>
      <c r="B267" s="372"/>
      <c r="C267" s="66"/>
      <c r="D267" s="90"/>
      <c r="E267" s="66"/>
      <c r="F267" s="66"/>
      <c r="G267" s="66"/>
      <c r="H267" s="66"/>
      <c r="I267" s="66"/>
      <c r="J267" s="66"/>
      <c r="K267" s="66"/>
      <c r="L267" s="66"/>
      <c r="M267" s="330"/>
      <c r="N267" s="339"/>
      <c r="O267" s="331" t="str">
        <f>IFERROR(__xludf.DUMMYFUNCTION("IFERROR(AVERAGE(FILTER('حضور '!I:I,'حضور '!A:A=A267,MONTH('حضور '!B:B)=N267)),"""")"),"")</f>
        <v/>
      </c>
    </row>
    <row r="268" ht="26.25" hidden="1" customHeight="1">
      <c r="A268" s="371"/>
      <c r="B268" s="372"/>
      <c r="C268" s="66"/>
      <c r="D268" s="90"/>
      <c r="E268" s="66"/>
      <c r="F268" s="66"/>
      <c r="G268" s="66"/>
      <c r="H268" s="66"/>
      <c r="I268" s="66"/>
      <c r="J268" s="66"/>
      <c r="K268" s="66"/>
      <c r="L268" s="66"/>
      <c r="M268" s="330"/>
      <c r="N268" s="339"/>
      <c r="O268" s="331" t="str">
        <f>IFERROR(__xludf.DUMMYFUNCTION("IFERROR(AVERAGE(FILTER('حضور '!I:I,'حضور '!A:A=A268,MONTH('حضور '!B:B)=N268)),"""")"),"")</f>
        <v/>
      </c>
    </row>
    <row r="269" ht="26.25" hidden="1" customHeight="1">
      <c r="A269" s="371"/>
      <c r="B269" s="372"/>
      <c r="C269" s="66"/>
      <c r="D269" s="90"/>
      <c r="E269" s="66"/>
      <c r="F269" s="66"/>
      <c r="G269" s="66"/>
      <c r="H269" s="66"/>
      <c r="I269" s="66"/>
      <c r="J269" s="66"/>
      <c r="K269" s="66"/>
      <c r="L269" s="66"/>
      <c r="M269" s="330"/>
      <c r="N269" s="330"/>
      <c r="O269" s="331" t="str">
        <f>IFERROR(__xludf.DUMMYFUNCTION("IFERROR(AVERAGE(FILTER('حضور '!I:I,'حضور '!A:A=A269,MONTH('حضور '!B:B)=N269)),"""")"),"")</f>
        <v/>
      </c>
    </row>
    <row r="270" ht="26.25" hidden="1" customHeight="1">
      <c r="A270" s="371"/>
      <c r="B270" s="372"/>
      <c r="C270" s="66"/>
      <c r="D270" s="90"/>
      <c r="E270" s="66"/>
      <c r="F270" s="66"/>
      <c r="G270" s="66"/>
      <c r="H270" s="66"/>
      <c r="I270" s="66"/>
      <c r="J270" s="66"/>
      <c r="K270" s="66"/>
      <c r="L270" s="66"/>
      <c r="M270" s="330"/>
      <c r="N270" s="339"/>
      <c r="O270" s="331" t="str">
        <f>IFERROR(__xludf.DUMMYFUNCTION("IFERROR(AVERAGE(FILTER('حضور '!I:I,'حضور '!A:A=A270,MONTH('حضور '!B:B)=N270)),"""")"),"")</f>
        <v/>
      </c>
    </row>
    <row r="271" ht="26.25" hidden="1" customHeight="1">
      <c r="A271" s="371"/>
      <c r="B271" s="372"/>
      <c r="C271" s="66"/>
      <c r="D271" s="90"/>
      <c r="E271" s="66"/>
      <c r="F271" s="66"/>
      <c r="G271" s="66"/>
      <c r="H271" s="66"/>
      <c r="I271" s="66"/>
      <c r="J271" s="66"/>
      <c r="K271" s="66"/>
      <c r="L271" s="66"/>
      <c r="M271" s="330"/>
      <c r="N271" s="339"/>
      <c r="O271" s="331" t="str">
        <f>IFERROR(__xludf.DUMMYFUNCTION("IFERROR(AVERAGE(FILTER('حضور '!I:I,'حضور '!A:A=A271,MONTH('حضور '!B:B)=N271)),"""")"),"")</f>
        <v/>
      </c>
    </row>
    <row r="272" ht="26.25" hidden="1" customHeight="1">
      <c r="A272" s="371"/>
      <c r="B272" s="372"/>
      <c r="C272" s="66"/>
      <c r="D272" s="90"/>
      <c r="E272" s="66"/>
      <c r="F272" s="66"/>
      <c r="G272" s="66"/>
      <c r="H272" s="66"/>
      <c r="I272" s="66"/>
      <c r="J272" s="66"/>
      <c r="K272" s="66"/>
      <c r="L272" s="66"/>
      <c r="M272" s="330"/>
      <c r="N272" s="339"/>
      <c r="O272" s="331" t="str">
        <f>IFERROR(__xludf.DUMMYFUNCTION("IFERROR(AVERAGE(FILTER('حضور '!I:I,'حضور '!A:A=A272,MONTH('حضور '!B:B)=N272)),"""")"),"")</f>
        <v/>
      </c>
    </row>
    <row r="273" ht="26.25" hidden="1" customHeight="1">
      <c r="A273" s="371"/>
      <c r="B273" s="372"/>
      <c r="C273" s="66"/>
      <c r="D273" s="90"/>
      <c r="E273" s="66"/>
      <c r="F273" s="66"/>
      <c r="G273" s="66"/>
      <c r="H273" s="66"/>
      <c r="I273" s="66"/>
      <c r="J273" s="66"/>
      <c r="K273" s="66"/>
      <c r="L273" s="66"/>
      <c r="M273" s="330"/>
      <c r="N273" s="339"/>
      <c r="O273" s="331" t="str">
        <f>IFERROR(__xludf.DUMMYFUNCTION("IFERROR(AVERAGE(FILTER('حضور '!I:I,'حضور '!A:A=A273,MONTH('حضور '!B:B)=N273)),"""")"),"")</f>
        <v/>
      </c>
    </row>
    <row r="274" ht="26.25" hidden="1" customHeight="1">
      <c r="A274" s="371"/>
      <c r="B274" s="372"/>
      <c r="C274" s="66"/>
      <c r="D274" s="90"/>
      <c r="E274" s="66"/>
      <c r="F274" s="66"/>
      <c r="G274" s="66"/>
      <c r="H274" s="66"/>
      <c r="I274" s="66"/>
      <c r="J274" s="66"/>
      <c r="K274" s="66"/>
      <c r="L274" s="66"/>
      <c r="M274" s="330"/>
      <c r="N274" s="330"/>
      <c r="O274" s="331" t="str">
        <f>IFERROR(__xludf.DUMMYFUNCTION("IFERROR(AVERAGE(FILTER('حضور '!I:I,'حضور '!A:A=A274,MONTH('حضور '!B:B)=N274)),"""")"),"")</f>
        <v/>
      </c>
    </row>
    <row r="275" ht="26.25" hidden="1" customHeight="1">
      <c r="A275" s="371"/>
      <c r="B275" s="372"/>
      <c r="C275" s="66"/>
      <c r="D275" s="90"/>
      <c r="E275" s="66"/>
      <c r="F275" s="66"/>
      <c r="G275" s="66"/>
      <c r="H275" s="66"/>
      <c r="I275" s="66"/>
      <c r="J275" s="66"/>
      <c r="K275" s="66"/>
      <c r="L275" s="66"/>
      <c r="M275" s="330"/>
      <c r="N275" s="339"/>
      <c r="O275" s="331" t="str">
        <f>IFERROR(__xludf.DUMMYFUNCTION("IFERROR(AVERAGE(FILTER('حضور '!I:I,'حضور '!A:A=A275,MONTH('حضور '!B:B)=N275)),"""")"),"")</f>
        <v/>
      </c>
    </row>
    <row r="276" ht="26.25" hidden="1" customHeight="1">
      <c r="A276" s="371"/>
      <c r="B276" s="372"/>
      <c r="C276" s="66"/>
      <c r="D276" s="90"/>
      <c r="E276" s="66"/>
      <c r="F276" s="66"/>
      <c r="G276" s="66"/>
      <c r="H276" s="66"/>
      <c r="I276" s="66"/>
      <c r="J276" s="66"/>
      <c r="K276" s="66"/>
      <c r="L276" s="66"/>
      <c r="M276" s="330"/>
      <c r="N276" s="339"/>
      <c r="O276" s="331" t="str">
        <f>IFERROR(__xludf.DUMMYFUNCTION("IFERROR(AVERAGE(FILTER('حضور '!I:I,'حضور '!A:A=A276,MONTH('حضور '!B:B)=N276)),"""")"),"")</f>
        <v/>
      </c>
    </row>
    <row r="277" ht="26.25" hidden="1" customHeight="1">
      <c r="A277" s="371"/>
      <c r="B277" s="372"/>
      <c r="C277" s="66"/>
      <c r="D277" s="90"/>
      <c r="E277" s="66"/>
      <c r="F277" s="66"/>
      <c r="G277" s="66"/>
      <c r="H277" s="66"/>
      <c r="I277" s="66"/>
      <c r="J277" s="66"/>
      <c r="K277" s="66"/>
      <c r="L277" s="66"/>
      <c r="M277" s="330"/>
      <c r="N277" s="339"/>
      <c r="O277" s="331" t="str">
        <f>IFERROR(__xludf.DUMMYFUNCTION("IFERROR(AVERAGE(FILTER('حضور '!I:I,'حضور '!A:A=A277,MONTH('حضور '!B:B)=N277)),"""")"),"")</f>
        <v/>
      </c>
    </row>
    <row r="278" ht="26.25" hidden="1" customHeight="1">
      <c r="A278" s="371"/>
      <c r="B278" s="372"/>
      <c r="C278" s="66"/>
      <c r="D278" s="90"/>
      <c r="E278" s="66"/>
      <c r="F278" s="66"/>
      <c r="G278" s="66"/>
      <c r="H278" s="66"/>
      <c r="I278" s="66"/>
      <c r="J278" s="66"/>
      <c r="K278" s="66"/>
      <c r="L278" s="66"/>
      <c r="M278" s="330"/>
      <c r="N278" s="339"/>
      <c r="O278" s="331" t="str">
        <f>IFERROR(__xludf.DUMMYFUNCTION("IFERROR(AVERAGE(FILTER('حضور '!I:I,'حضور '!A:A=A278,MONTH('حضور '!B:B)=N278)),"""")"),"")</f>
        <v/>
      </c>
    </row>
    <row r="279" ht="26.25" hidden="1" customHeight="1">
      <c r="A279" s="371"/>
      <c r="B279" s="372"/>
      <c r="C279" s="66"/>
      <c r="D279" s="90"/>
      <c r="E279" s="66"/>
      <c r="F279" s="66"/>
      <c r="G279" s="66"/>
      <c r="H279" s="66"/>
      <c r="I279" s="66"/>
      <c r="J279" s="66"/>
      <c r="K279" s="66"/>
      <c r="L279" s="66"/>
      <c r="M279" s="330"/>
      <c r="N279" s="330"/>
      <c r="O279" s="331" t="str">
        <f>IFERROR(__xludf.DUMMYFUNCTION("IFERROR(AVERAGE(FILTER('حضور '!I:I,'حضور '!A:A=A279,MONTH('حضور '!B:B)=N279)),"""")"),"")</f>
        <v/>
      </c>
    </row>
    <row r="280" ht="26.25" hidden="1" customHeight="1">
      <c r="A280" s="371"/>
      <c r="B280" s="372"/>
      <c r="C280" s="66"/>
      <c r="D280" s="90"/>
      <c r="E280" s="66"/>
      <c r="F280" s="66"/>
      <c r="G280" s="66"/>
      <c r="H280" s="66"/>
      <c r="I280" s="66"/>
      <c r="J280" s="66"/>
      <c r="K280" s="66"/>
      <c r="L280" s="66"/>
      <c r="M280" s="330"/>
      <c r="N280" s="339"/>
      <c r="O280" s="331" t="str">
        <f>IFERROR(__xludf.DUMMYFUNCTION("IFERROR(AVERAGE(FILTER('حضور '!I:I,'حضور '!A:A=A280,MONTH('حضور '!B:B)=N280)),"""")"),"")</f>
        <v/>
      </c>
    </row>
    <row r="281" ht="26.25" hidden="1" customHeight="1">
      <c r="A281" s="371"/>
      <c r="B281" s="372"/>
      <c r="C281" s="66"/>
      <c r="D281" s="90"/>
      <c r="E281" s="66"/>
      <c r="F281" s="66"/>
      <c r="G281" s="66"/>
      <c r="H281" s="66"/>
      <c r="I281" s="66"/>
      <c r="J281" s="66"/>
      <c r="K281" s="66"/>
      <c r="L281" s="66"/>
      <c r="M281" s="330"/>
      <c r="N281" s="339"/>
      <c r="O281" s="331" t="str">
        <f>IFERROR(__xludf.DUMMYFUNCTION("IFERROR(AVERAGE(FILTER('حضور '!I:I,'حضور '!A:A=A281,MONTH('حضور '!B:B)=N281)),"""")"),"")</f>
        <v/>
      </c>
    </row>
    <row r="282" ht="26.25" hidden="1" customHeight="1">
      <c r="A282" s="371"/>
      <c r="B282" s="372"/>
      <c r="C282" s="66"/>
      <c r="D282" s="90"/>
      <c r="E282" s="66"/>
      <c r="F282" s="66"/>
      <c r="G282" s="66"/>
      <c r="H282" s="66"/>
      <c r="I282" s="66"/>
      <c r="J282" s="66"/>
      <c r="K282" s="66"/>
      <c r="L282" s="66"/>
      <c r="M282" s="330"/>
      <c r="N282" s="339"/>
      <c r="O282" s="331" t="str">
        <f>IFERROR(__xludf.DUMMYFUNCTION("IFERROR(AVERAGE(FILTER('حضور '!I:I,'حضور '!A:A=A282,MONTH('حضور '!B:B)=N282)),"""")"),"")</f>
        <v/>
      </c>
    </row>
    <row r="283" ht="26.25" hidden="1" customHeight="1">
      <c r="A283" s="371"/>
      <c r="B283" s="372"/>
      <c r="C283" s="66"/>
      <c r="D283" s="90"/>
      <c r="E283" s="66"/>
      <c r="F283" s="66"/>
      <c r="G283" s="66"/>
      <c r="H283" s="66"/>
      <c r="I283" s="66"/>
      <c r="J283" s="66"/>
      <c r="K283" s="66"/>
      <c r="L283" s="66"/>
      <c r="M283" s="330"/>
      <c r="N283" s="339"/>
      <c r="O283" s="331" t="str">
        <f>IFERROR(__xludf.DUMMYFUNCTION("IFERROR(AVERAGE(FILTER('حضور '!I:I,'حضور '!A:A=A283,MONTH('حضور '!B:B)=N283)),"""")"),"")</f>
        <v/>
      </c>
    </row>
    <row r="284" ht="26.25" hidden="1" customHeight="1">
      <c r="A284" s="371"/>
      <c r="B284" s="372"/>
      <c r="C284" s="66"/>
      <c r="D284" s="90"/>
      <c r="E284" s="66"/>
      <c r="F284" s="66"/>
      <c r="G284" s="66"/>
      <c r="H284" s="66"/>
      <c r="I284" s="66"/>
      <c r="J284" s="66"/>
      <c r="K284" s="66"/>
      <c r="L284" s="66"/>
      <c r="M284" s="330"/>
      <c r="N284" s="330"/>
      <c r="O284" s="331" t="str">
        <f>IFERROR(__xludf.DUMMYFUNCTION("IFERROR(AVERAGE(FILTER('حضور '!I:I,'حضور '!A:A=A284,MONTH('حضور '!B:B)=N284)),"""")"),"")</f>
        <v/>
      </c>
    </row>
    <row r="285" ht="26.25" hidden="1" customHeight="1">
      <c r="A285" s="371"/>
      <c r="B285" s="372"/>
      <c r="C285" s="66"/>
      <c r="D285" s="90"/>
      <c r="E285" s="66"/>
      <c r="F285" s="66"/>
      <c r="G285" s="66"/>
      <c r="H285" s="66"/>
      <c r="I285" s="66"/>
      <c r="J285" s="66"/>
      <c r="K285" s="66"/>
      <c r="L285" s="66"/>
      <c r="M285" s="330"/>
      <c r="N285" s="339"/>
      <c r="O285" s="331" t="str">
        <f>IFERROR(__xludf.DUMMYFUNCTION("IFERROR(AVERAGE(FILTER('حضور '!I:I,'حضور '!A:A=A285,MONTH('حضور '!B:B)=N285)),"""")"),"")</f>
        <v/>
      </c>
    </row>
    <row r="286" ht="26.25" hidden="1" customHeight="1">
      <c r="A286" s="371"/>
      <c r="B286" s="372"/>
      <c r="C286" s="66"/>
      <c r="D286" s="90"/>
      <c r="E286" s="66"/>
      <c r="F286" s="66"/>
      <c r="G286" s="66"/>
      <c r="H286" s="66"/>
      <c r="I286" s="66"/>
      <c r="J286" s="66"/>
      <c r="K286" s="66"/>
      <c r="L286" s="66"/>
      <c r="M286" s="330"/>
      <c r="N286" s="339"/>
      <c r="O286" s="331" t="str">
        <f>IFERROR(__xludf.DUMMYFUNCTION("IFERROR(AVERAGE(FILTER('حضور '!I:I,'حضور '!A:A=A286,MONTH('حضور '!B:B)=N286)),"""")"),"")</f>
        <v/>
      </c>
    </row>
    <row r="287" ht="26.25" hidden="1" customHeight="1">
      <c r="A287" s="371"/>
      <c r="B287" s="372"/>
      <c r="C287" s="66"/>
      <c r="D287" s="90"/>
      <c r="E287" s="66"/>
      <c r="F287" s="66"/>
      <c r="G287" s="66"/>
      <c r="H287" s="66"/>
      <c r="I287" s="66"/>
      <c r="J287" s="66"/>
      <c r="K287" s="66"/>
      <c r="L287" s="66"/>
      <c r="M287" s="330"/>
      <c r="N287" s="339"/>
      <c r="O287" s="331" t="str">
        <f>IFERROR(__xludf.DUMMYFUNCTION("IFERROR(AVERAGE(FILTER('حضور '!I:I,'حضور '!A:A=A287,MONTH('حضور '!B:B)=N287)),"""")"),"")</f>
        <v/>
      </c>
    </row>
    <row r="288" ht="26.25" hidden="1" customHeight="1">
      <c r="A288" s="371"/>
      <c r="B288" s="372"/>
      <c r="C288" s="66"/>
      <c r="D288" s="90"/>
      <c r="E288" s="66"/>
      <c r="F288" s="66"/>
      <c r="G288" s="66"/>
      <c r="H288" s="66"/>
      <c r="I288" s="66"/>
      <c r="J288" s="66"/>
      <c r="K288" s="66"/>
      <c r="L288" s="66"/>
      <c r="M288" s="330"/>
      <c r="N288" s="339"/>
      <c r="O288" s="331" t="str">
        <f>IFERROR(__xludf.DUMMYFUNCTION("IFERROR(AVERAGE(FILTER('حضور '!I:I,'حضور '!A:A=A288,MONTH('حضور '!B:B)=N288)),"""")"),"")</f>
        <v/>
      </c>
    </row>
    <row r="289" ht="26.25" hidden="1" customHeight="1">
      <c r="A289" s="371"/>
      <c r="B289" s="372"/>
      <c r="C289" s="66"/>
      <c r="D289" s="90"/>
      <c r="E289" s="66"/>
      <c r="F289" s="66"/>
      <c r="G289" s="66"/>
      <c r="H289" s="66"/>
      <c r="I289" s="66"/>
      <c r="J289" s="66"/>
      <c r="K289" s="66"/>
      <c r="L289" s="66"/>
      <c r="M289" s="330"/>
      <c r="N289" s="330"/>
      <c r="O289" s="331" t="str">
        <f>IFERROR(__xludf.DUMMYFUNCTION("IFERROR(AVERAGE(FILTER('حضور '!I:I,'حضور '!A:A=A289,MONTH('حضور '!B:B)=N289)),"""")"),"")</f>
        <v/>
      </c>
    </row>
    <row r="290" ht="26.25" hidden="1" customHeight="1">
      <c r="A290" s="371"/>
      <c r="B290" s="372"/>
      <c r="C290" s="66"/>
      <c r="D290" s="90"/>
      <c r="E290" s="66"/>
      <c r="F290" s="66"/>
      <c r="G290" s="66"/>
      <c r="H290" s="66"/>
      <c r="I290" s="66"/>
      <c r="J290" s="66"/>
      <c r="K290" s="66"/>
      <c r="L290" s="66"/>
      <c r="M290" s="330"/>
      <c r="N290" s="339"/>
      <c r="O290" s="331" t="str">
        <f>IFERROR(__xludf.DUMMYFUNCTION("IFERROR(AVERAGE(FILTER('حضور '!I:I,'حضور '!A:A=A290,MONTH('حضور '!B:B)=N290)),"""")"),"")</f>
        <v/>
      </c>
    </row>
    <row r="291" ht="26.25" hidden="1" customHeight="1">
      <c r="A291" s="371"/>
      <c r="B291" s="372"/>
      <c r="C291" s="66"/>
      <c r="D291" s="90"/>
      <c r="E291" s="66"/>
      <c r="F291" s="66"/>
      <c r="G291" s="66"/>
      <c r="H291" s="66"/>
      <c r="I291" s="66"/>
      <c r="J291" s="66"/>
      <c r="K291" s="66"/>
      <c r="L291" s="66"/>
      <c r="M291" s="330"/>
      <c r="N291" s="339"/>
      <c r="O291" s="331" t="str">
        <f>IFERROR(__xludf.DUMMYFUNCTION("IFERROR(AVERAGE(FILTER('حضور '!I:I,'حضور '!A:A=A291,MONTH('حضور '!B:B)=N291)),"""")"),"")</f>
        <v/>
      </c>
    </row>
    <row r="292" ht="26.25" hidden="1" customHeight="1">
      <c r="A292" s="371"/>
      <c r="B292" s="372"/>
      <c r="C292" s="66"/>
      <c r="D292" s="90"/>
      <c r="E292" s="66"/>
      <c r="F292" s="66"/>
      <c r="G292" s="66"/>
      <c r="H292" s="66"/>
      <c r="I292" s="66"/>
      <c r="J292" s="66"/>
      <c r="K292" s="66"/>
      <c r="L292" s="66"/>
      <c r="M292" s="330"/>
      <c r="N292" s="339"/>
      <c r="O292" s="331" t="str">
        <f>IFERROR(__xludf.DUMMYFUNCTION("IFERROR(AVERAGE(FILTER('حضور '!I:I,'حضور '!A:A=A292,MONTH('حضور '!B:B)=N292)),"""")"),"")</f>
        <v/>
      </c>
    </row>
    <row r="293" ht="26.25" hidden="1" customHeight="1">
      <c r="A293" s="371"/>
      <c r="B293" s="372"/>
      <c r="C293" s="66"/>
      <c r="D293" s="90"/>
      <c r="E293" s="66"/>
      <c r="F293" s="66"/>
      <c r="G293" s="66"/>
      <c r="H293" s="66"/>
      <c r="I293" s="66"/>
      <c r="J293" s="66"/>
      <c r="K293" s="66"/>
      <c r="L293" s="66"/>
      <c r="M293" s="330"/>
      <c r="N293" s="339"/>
      <c r="O293" s="331" t="str">
        <f>IFERROR(__xludf.DUMMYFUNCTION("IFERROR(AVERAGE(FILTER('حضور '!I:I,'حضور '!A:A=A293,MONTH('حضور '!B:B)=N293)),"""")"),"")</f>
        <v/>
      </c>
    </row>
    <row r="294" ht="26.25" hidden="1" customHeight="1">
      <c r="A294" s="371"/>
      <c r="B294" s="372"/>
      <c r="C294" s="66"/>
      <c r="D294" s="90"/>
      <c r="E294" s="66"/>
      <c r="F294" s="66"/>
      <c r="G294" s="66"/>
      <c r="H294" s="66"/>
      <c r="I294" s="66"/>
      <c r="J294" s="66"/>
      <c r="K294" s="66"/>
      <c r="L294" s="66"/>
      <c r="M294" s="330"/>
      <c r="N294" s="330"/>
      <c r="O294" s="331" t="str">
        <f>IFERROR(__xludf.DUMMYFUNCTION("IFERROR(AVERAGE(FILTER('حضور '!I:I,'حضور '!A:A=A294,MONTH('حضور '!B:B)=N294)),"""")"),"")</f>
        <v/>
      </c>
    </row>
    <row r="295" ht="26.25" hidden="1" customHeight="1">
      <c r="A295" s="371"/>
      <c r="B295" s="372"/>
      <c r="C295" s="66"/>
      <c r="D295" s="90"/>
      <c r="E295" s="66"/>
      <c r="F295" s="66"/>
      <c r="G295" s="66"/>
      <c r="H295" s="66"/>
      <c r="I295" s="66"/>
      <c r="J295" s="66"/>
      <c r="K295" s="66"/>
      <c r="L295" s="66"/>
      <c r="M295" s="330"/>
      <c r="N295" s="339"/>
      <c r="O295" s="331" t="str">
        <f>IFERROR(__xludf.DUMMYFUNCTION("IFERROR(AVERAGE(FILTER('حضور '!I:I,'حضور '!A:A=A295,MONTH('حضور '!B:B)=N295)),"""")"),"")</f>
        <v/>
      </c>
    </row>
    <row r="296" ht="26.25" hidden="1" customHeight="1">
      <c r="A296" s="371"/>
      <c r="B296" s="372"/>
      <c r="C296" s="66"/>
      <c r="D296" s="90"/>
      <c r="E296" s="66"/>
      <c r="F296" s="66"/>
      <c r="G296" s="66"/>
      <c r="H296" s="66"/>
      <c r="I296" s="66"/>
      <c r="J296" s="66"/>
      <c r="K296" s="66"/>
      <c r="L296" s="66"/>
      <c r="M296" s="330"/>
      <c r="N296" s="339"/>
      <c r="O296" s="331" t="str">
        <f>IFERROR(__xludf.DUMMYFUNCTION("IFERROR(AVERAGE(FILTER('حضور '!I:I,'حضور '!A:A=A296,MONTH('حضور '!B:B)=N296)),"""")"),"")</f>
        <v/>
      </c>
    </row>
    <row r="297" ht="26.25" hidden="1" customHeight="1">
      <c r="A297" s="371"/>
      <c r="B297" s="372"/>
      <c r="C297" s="66"/>
      <c r="D297" s="90"/>
      <c r="E297" s="66"/>
      <c r="F297" s="66"/>
      <c r="G297" s="66"/>
      <c r="H297" s="66"/>
      <c r="I297" s="66"/>
      <c r="J297" s="66"/>
      <c r="K297" s="66"/>
      <c r="L297" s="66"/>
      <c r="M297" s="330"/>
      <c r="N297" s="339"/>
      <c r="O297" s="331" t="str">
        <f>IFERROR(__xludf.DUMMYFUNCTION("IFERROR(AVERAGE(FILTER('حضور '!I:I,'حضور '!A:A=A297,MONTH('حضور '!B:B)=N297)),"""")"),"")</f>
        <v/>
      </c>
    </row>
    <row r="298" ht="26.25" hidden="1" customHeight="1">
      <c r="A298" s="371"/>
      <c r="B298" s="372"/>
      <c r="C298" s="66"/>
      <c r="D298" s="90"/>
      <c r="E298" s="66"/>
      <c r="F298" s="66"/>
      <c r="G298" s="66"/>
      <c r="H298" s="66"/>
      <c r="I298" s="66"/>
      <c r="J298" s="66"/>
      <c r="K298" s="66"/>
      <c r="L298" s="66"/>
      <c r="M298" s="330"/>
      <c r="N298" s="339"/>
      <c r="O298" s="331" t="str">
        <f>IFERROR(__xludf.DUMMYFUNCTION("IFERROR(AVERAGE(FILTER('حضور '!I:I,'حضور '!A:A=A298,MONTH('حضور '!B:B)=N298)),"""")"),"")</f>
        <v/>
      </c>
    </row>
    <row r="299" ht="26.25" hidden="1" customHeight="1">
      <c r="A299" s="371"/>
      <c r="B299" s="372"/>
      <c r="C299" s="66"/>
      <c r="D299" s="90"/>
      <c r="E299" s="66"/>
      <c r="F299" s="66"/>
      <c r="G299" s="66"/>
      <c r="H299" s="66"/>
      <c r="I299" s="66"/>
      <c r="J299" s="66"/>
      <c r="K299" s="66"/>
      <c r="L299" s="66"/>
      <c r="M299" s="330"/>
      <c r="N299" s="330"/>
      <c r="O299" s="331" t="str">
        <f>IFERROR(__xludf.DUMMYFUNCTION("IFERROR(AVERAGE(FILTER('حضور '!I:I,'حضور '!A:A=A299,MONTH('حضور '!B:B)=N299)),"""")"),"")</f>
        <v/>
      </c>
    </row>
    <row r="300" ht="26.25" hidden="1" customHeight="1">
      <c r="A300" s="371"/>
      <c r="B300" s="372"/>
      <c r="C300" s="66"/>
      <c r="D300" s="90"/>
      <c r="E300" s="66"/>
      <c r="F300" s="66"/>
      <c r="G300" s="66"/>
      <c r="H300" s="66"/>
      <c r="I300" s="66"/>
      <c r="J300" s="66"/>
      <c r="K300" s="66"/>
      <c r="L300" s="66"/>
      <c r="M300" s="330"/>
      <c r="N300" s="339"/>
      <c r="O300" s="331" t="str">
        <f>IFERROR(__xludf.DUMMYFUNCTION("IFERROR(AVERAGE(FILTER('حضور '!I:I,'حضور '!A:A=A300,MONTH('حضور '!B:B)=N300)),"""")"),"")</f>
        <v/>
      </c>
    </row>
    <row r="301" ht="26.25" hidden="1" customHeight="1">
      <c r="A301" s="371"/>
      <c r="B301" s="372"/>
      <c r="C301" s="66"/>
      <c r="D301" s="90"/>
      <c r="E301" s="66"/>
      <c r="F301" s="66"/>
      <c r="G301" s="66"/>
      <c r="H301" s="66"/>
      <c r="I301" s="66"/>
      <c r="J301" s="66"/>
      <c r="K301" s="66"/>
      <c r="L301" s="66"/>
      <c r="M301" s="330"/>
      <c r="N301" s="339"/>
      <c r="O301" s="331" t="str">
        <f>IFERROR(__xludf.DUMMYFUNCTION("IFERROR(AVERAGE(FILTER('حضور '!I:I,'حضور '!A:A=A301,MONTH('حضور '!B:B)=N301)),"""")"),"")</f>
        <v/>
      </c>
    </row>
    <row r="302" ht="26.25" hidden="1" customHeight="1">
      <c r="A302" s="371"/>
      <c r="B302" s="372"/>
      <c r="C302" s="66"/>
      <c r="D302" s="90"/>
      <c r="E302" s="66"/>
      <c r="F302" s="66"/>
      <c r="G302" s="66"/>
      <c r="H302" s="66"/>
      <c r="I302" s="66"/>
      <c r="J302" s="66"/>
      <c r="K302" s="66"/>
      <c r="L302" s="66"/>
      <c r="M302" s="330"/>
      <c r="N302" s="339"/>
      <c r="O302" s="331" t="str">
        <f>IFERROR(__xludf.DUMMYFUNCTION("IFERROR(AVERAGE(FILTER('حضور '!I:I,'حضور '!A:A=A302,MONTH('حضور '!B:B)=N302)),"""")"),"")</f>
        <v/>
      </c>
    </row>
    <row r="303" ht="26.25" hidden="1" customHeight="1">
      <c r="A303" s="371"/>
      <c r="B303" s="372"/>
      <c r="C303" s="66"/>
      <c r="D303" s="90"/>
      <c r="E303" s="66"/>
      <c r="F303" s="66"/>
      <c r="G303" s="66"/>
      <c r="H303" s="66"/>
      <c r="I303" s="66"/>
      <c r="J303" s="66"/>
      <c r="K303" s="66"/>
      <c r="L303" s="66"/>
      <c r="M303" s="330"/>
      <c r="N303" s="339"/>
      <c r="O303" s="331" t="str">
        <f>IFERROR(__xludf.DUMMYFUNCTION("IFERROR(AVERAGE(FILTER('حضور '!I:I,'حضور '!A:A=A303,MONTH('حضور '!B:B)=N303)),"""")"),"")</f>
        <v/>
      </c>
    </row>
    <row r="304" ht="26.25" hidden="1" customHeight="1">
      <c r="A304" s="371"/>
      <c r="B304" s="372"/>
      <c r="C304" s="66"/>
      <c r="D304" s="90"/>
      <c r="E304" s="66"/>
      <c r="F304" s="66"/>
      <c r="G304" s="66"/>
      <c r="H304" s="66"/>
      <c r="I304" s="66"/>
      <c r="J304" s="66"/>
      <c r="K304" s="66"/>
      <c r="L304" s="66"/>
      <c r="M304" s="330"/>
      <c r="N304" s="330"/>
      <c r="O304" s="331" t="str">
        <f>IFERROR(__xludf.DUMMYFUNCTION("IFERROR(AVERAGE(FILTER('حضور '!I:I,'حضور '!A:A=A304,MONTH('حضور '!B:B)=N304)),"""")"),"")</f>
        <v/>
      </c>
    </row>
    <row r="305" ht="26.25" hidden="1" customHeight="1">
      <c r="A305" s="371"/>
      <c r="B305" s="372"/>
      <c r="C305" s="66"/>
      <c r="D305" s="90"/>
      <c r="E305" s="66"/>
      <c r="F305" s="66"/>
      <c r="G305" s="66"/>
      <c r="H305" s="66"/>
      <c r="I305" s="66"/>
      <c r="J305" s="66"/>
      <c r="K305" s="66"/>
      <c r="L305" s="66"/>
      <c r="M305" s="330"/>
      <c r="N305" s="339"/>
      <c r="O305" s="331" t="str">
        <f>IFERROR(__xludf.DUMMYFUNCTION("IFERROR(AVERAGE(FILTER('حضور '!I:I,'حضور '!A:A=A305,MONTH('حضور '!B:B)=N305)),"""")"),"")</f>
        <v/>
      </c>
    </row>
    <row r="306" ht="26.25" hidden="1" customHeight="1">
      <c r="A306" s="371"/>
      <c r="B306" s="372"/>
      <c r="C306" s="66"/>
      <c r="D306" s="90"/>
      <c r="E306" s="66"/>
      <c r="F306" s="66"/>
      <c r="G306" s="66"/>
      <c r="H306" s="66"/>
      <c r="I306" s="66"/>
      <c r="J306" s="66"/>
      <c r="K306" s="66"/>
      <c r="L306" s="66"/>
      <c r="M306" s="330"/>
      <c r="N306" s="339"/>
      <c r="O306" s="331" t="str">
        <f>IFERROR(__xludf.DUMMYFUNCTION("IFERROR(AVERAGE(FILTER('حضور '!I:I,'حضور '!A:A=A306,MONTH('حضور '!B:B)=N306)),"""")"),"")</f>
        <v/>
      </c>
    </row>
    <row r="307" ht="26.25" hidden="1" customHeight="1">
      <c r="A307" s="371"/>
      <c r="B307" s="372"/>
      <c r="C307" s="66"/>
      <c r="D307" s="90"/>
      <c r="E307" s="66"/>
      <c r="F307" s="66"/>
      <c r="G307" s="66"/>
      <c r="H307" s="66"/>
      <c r="I307" s="66"/>
      <c r="J307" s="66"/>
      <c r="K307" s="66"/>
      <c r="L307" s="66"/>
      <c r="M307" s="330"/>
      <c r="N307" s="339"/>
      <c r="O307" s="331" t="str">
        <f>IFERROR(__xludf.DUMMYFUNCTION("IFERROR(AVERAGE(FILTER('حضور '!I:I,'حضور '!A:A=A307,MONTH('حضور '!B:B)=N307)),"""")"),"")</f>
        <v/>
      </c>
    </row>
    <row r="308" ht="26.25" hidden="1" customHeight="1">
      <c r="A308" s="371"/>
      <c r="B308" s="372"/>
      <c r="C308" s="66"/>
      <c r="D308" s="90"/>
      <c r="E308" s="66"/>
      <c r="F308" s="66"/>
      <c r="G308" s="66"/>
      <c r="H308" s="66"/>
      <c r="I308" s="66"/>
      <c r="J308" s="66"/>
      <c r="K308" s="66"/>
      <c r="L308" s="66"/>
      <c r="M308" s="330"/>
      <c r="N308" s="339"/>
      <c r="O308" s="331" t="str">
        <f>IFERROR(__xludf.DUMMYFUNCTION("IFERROR(AVERAGE(FILTER('حضور '!I:I,'حضور '!A:A=A308,MONTH('حضور '!B:B)=N308)),"""")"),"")</f>
        <v/>
      </c>
    </row>
    <row r="309" ht="26.25" hidden="1" customHeight="1">
      <c r="A309" s="371"/>
      <c r="B309" s="372"/>
      <c r="C309" s="66"/>
      <c r="D309" s="90"/>
      <c r="E309" s="66"/>
      <c r="F309" s="66"/>
      <c r="G309" s="66"/>
      <c r="H309" s="66"/>
      <c r="I309" s="66"/>
      <c r="J309" s="66"/>
      <c r="K309" s="66"/>
      <c r="L309" s="66"/>
      <c r="M309" s="330"/>
      <c r="N309" s="330"/>
      <c r="O309" s="331" t="str">
        <f>IFERROR(__xludf.DUMMYFUNCTION("IFERROR(AVERAGE(FILTER('حضور '!I:I,'حضور '!A:A=A309,MONTH('حضور '!B:B)=N309)),"""")"),"")</f>
        <v/>
      </c>
    </row>
    <row r="310" ht="26.25" hidden="1" customHeight="1">
      <c r="A310" s="371"/>
      <c r="B310" s="372"/>
      <c r="C310" s="66"/>
      <c r="D310" s="90"/>
      <c r="E310" s="66"/>
      <c r="F310" s="66"/>
      <c r="G310" s="66"/>
      <c r="H310" s="66"/>
      <c r="I310" s="66"/>
      <c r="J310" s="66"/>
      <c r="K310" s="66"/>
      <c r="L310" s="66"/>
      <c r="M310" s="330"/>
      <c r="N310" s="339"/>
      <c r="O310" s="331" t="str">
        <f>IFERROR(__xludf.DUMMYFUNCTION("IFERROR(AVERAGE(FILTER('حضور '!I:I,'حضور '!A:A=A310,MONTH('حضور '!B:B)=N310)),"""")"),"")</f>
        <v/>
      </c>
    </row>
    <row r="311" ht="26.25" hidden="1" customHeight="1">
      <c r="A311" s="371"/>
      <c r="B311" s="372"/>
      <c r="C311" s="66"/>
      <c r="D311" s="90"/>
      <c r="E311" s="66"/>
      <c r="F311" s="66"/>
      <c r="G311" s="66"/>
      <c r="H311" s="66"/>
      <c r="I311" s="66"/>
      <c r="J311" s="66"/>
      <c r="K311" s="66"/>
      <c r="L311" s="66"/>
      <c r="M311" s="330"/>
      <c r="N311" s="339"/>
      <c r="O311" s="331" t="str">
        <f>IFERROR(__xludf.DUMMYFUNCTION("IFERROR(AVERAGE(FILTER('حضور '!I:I,'حضور '!A:A=A311,MONTH('حضور '!B:B)=N311)),"""")"),"")</f>
        <v/>
      </c>
    </row>
    <row r="312" ht="26.25" hidden="1" customHeight="1">
      <c r="A312" s="371"/>
      <c r="B312" s="372"/>
      <c r="C312" s="66"/>
      <c r="D312" s="90"/>
      <c r="E312" s="66"/>
      <c r="F312" s="66"/>
      <c r="G312" s="66"/>
      <c r="H312" s="66"/>
      <c r="I312" s="66"/>
      <c r="J312" s="66"/>
      <c r="K312" s="66"/>
      <c r="L312" s="66"/>
      <c r="M312" s="330"/>
      <c r="N312" s="339"/>
      <c r="O312" s="331" t="str">
        <f>IFERROR(__xludf.DUMMYFUNCTION("IFERROR(AVERAGE(FILTER('حضور '!I:I,'حضور '!A:A=A312,MONTH('حضور '!B:B)=N312)),"""")"),"")</f>
        <v/>
      </c>
    </row>
    <row r="313" ht="26.25" hidden="1" customHeight="1">
      <c r="A313" s="371"/>
      <c r="B313" s="372"/>
      <c r="C313" s="66"/>
      <c r="D313" s="90"/>
      <c r="E313" s="66"/>
      <c r="F313" s="66"/>
      <c r="G313" s="66"/>
      <c r="H313" s="66"/>
      <c r="I313" s="66"/>
      <c r="J313" s="66"/>
      <c r="K313" s="66"/>
      <c r="L313" s="66"/>
      <c r="M313" s="330"/>
      <c r="N313" s="339"/>
      <c r="O313" s="331" t="str">
        <f>IFERROR(__xludf.DUMMYFUNCTION("IFERROR(AVERAGE(FILTER('حضور '!I:I,'حضور '!A:A=A313,MONTH('حضور '!B:B)=N313)),"""")"),"")</f>
        <v/>
      </c>
    </row>
    <row r="314" ht="26.25" hidden="1" customHeight="1">
      <c r="A314" s="371"/>
      <c r="B314" s="372"/>
      <c r="C314" s="66"/>
      <c r="D314" s="90"/>
      <c r="E314" s="66"/>
      <c r="F314" s="66"/>
      <c r="G314" s="66"/>
      <c r="H314" s="66"/>
      <c r="I314" s="66"/>
      <c r="J314" s="66"/>
      <c r="K314" s="66"/>
      <c r="L314" s="66"/>
      <c r="M314" s="330"/>
      <c r="N314" s="330"/>
      <c r="O314" s="331" t="str">
        <f>IFERROR(__xludf.DUMMYFUNCTION("IFERROR(AVERAGE(FILTER('حضور '!I:I,'حضور '!A:A=A314,MONTH('حضور '!B:B)=N314)),"""")"),"")</f>
        <v/>
      </c>
    </row>
    <row r="315" ht="26.25" hidden="1" customHeight="1">
      <c r="A315" s="371"/>
      <c r="B315" s="372"/>
      <c r="C315" s="66"/>
      <c r="D315" s="90"/>
      <c r="E315" s="66"/>
      <c r="F315" s="66"/>
      <c r="G315" s="66"/>
      <c r="H315" s="66"/>
      <c r="I315" s="66"/>
      <c r="J315" s="66"/>
      <c r="K315" s="66"/>
      <c r="L315" s="66"/>
      <c r="M315" s="330"/>
      <c r="N315" s="339"/>
      <c r="O315" s="331" t="str">
        <f>IFERROR(__xludf.DUMMYFUNCTION("IFERROR(AVERAGE(FILTER('حضور '!I:I,'حضور '!A:A=A315,MONTH('حضور '!B:B)=N315)),"""")"),"")</f>
        <v/>
      </c>
    </row>
    <row r="316" ht="26.25" hidden="1" customHeight="1">
      <c r="A316" s="371"/>
      <c r="B316" s="372"/>
      <c r="C316" s="66"/>
      <c r="D316" s="90"/>
      <c r="E316" s="66"/>
      <c r="F316" s="66"/>
      <c r="G316" s="66"/>
      <c r="H316" s="66"/>
      <c r="I316" s="66"/>
      <c r="J316" s="66"/>
      <c r="K316" s="66"/>
      <c r="L316" s="66"/>
      <c r="M316" s="330"/>
      <c r="N316" s="339"/>
      <c r="O316" s="331" t="str">
        <f>IFERROR(__xludf.DUMMYFUNCTION("IFERROR(AVERAGE(FILTER('حضور '!I:I,'حضور '!A:A=A316,MONTH('حضور '!B:B)=N316)),"""")"),"")</f>
        <v/>
      </c>
    </row>
    <row r="317" ht="26.25" hidden="1" customHeight="1">
      <c r="A317" s="371"/>
      <c r="B317" s="372"/>
      <c r="C317" s="66"/>
      <c r="D317" s="90"/>
      <c r="E317" s="66"/>
      <c r="F317" s="66"/>
      <c r="G317" s="66"/>
      <c r="H317" s="66"/>
      <c r="I317" s="66"/>
      <c r="J317" s="66"/>
      <c r="K317" s="66"/>
      <c r="L317" s="66"/>
      <c r="M317" s="330"/>
      <c r="N317" s="339"/>
      <c r="O317" s="331" t="str">
        <f>IFERROR(__xludf.DUMMYFUNCTION("IFERROR(AVERAGE(FILTER('حضور '!I:I,'حضور '!A:A=A317,MONTH('حضور '!B:B)=N317)),"""")"),"")</f>
        <v/>
      </c>
    </row>
    <row r="318" ht="26.25" hidden="1" customHeight="1">
      <c r="A318" s="371"/>
      <c r="B318" s="372"/>
      <c r="C318" s="66"/>
      <c r="D318" s="90"/>
      <c r="E318" s="66"/>
      <c r="F318" s="66"/>
      <c r="G318" s="66"/>
      <c r="H318" s="66"/>
      <c r="I318" s="66"/>
      <c r="J318" s="66"/>
      <c r="K318" s="66"/>
      <c r="L318" s="66"/>
      <c r="M318" s="330"/>
      <c r="N318" s="339"/>
      <c r="O318" s="331" t="str">
        <f>IFERROR(__xludf.DUMMYFUNCTION("IFERROR(AVERAGE(FILTER('حضور '!I:I,'حضور '!A:A=A318,MONTH('حضور '!B:B)=N318)),"""")"),"")</f>
        <v/>
      </c>
    </row>
    <row r="319" ht="26.25" hidden="1" customHeight="1">
      <c r="A319" s="371"/>
      <c r="B319" s="372"/>
      <c r="C319" s="66"/>
      <c r="D319" s="90"/>
      <c r="E319" s="66"/>
      <c r="F319" s="66"/>
      <c r="G319" s="66"/>
      <c r="H319" s="66"/>
      <c r="I319" s="66"/>
      <c r="J319" s="66"/>
      <c r="K319" s="66"/>
      <c r="L319" s="66"/>
      <c r="M319" s="330"/>
      <c r="N319" s="330"/>
      <c r="O319" s="331" t="str">
        <f>IFERROR(__xludf.DUMMYFUNCTION("IFERROR(AVERAGE(FILTER('حضور '!I:I,'حضور '!A:A=A319,MONTH('حضور '!B:B)=N319)),"""")"),"")</f>
        <v/>
      </c>
    </row>
    <row r="320" ht="26.25" hidden="1" customHeight="1">
      <c r="A320" s="371"/>
      <c r="B320" s="372"/>
      <c r="C320" s="66"/>
      <c r="D320" s="90"/>
      <c r="E320" s="66"/>
      <c r="F320" s="66"/>
      <c r="G320" s="66"/>
      <c r="H320" s="66"/>
      <c r="I320" s="66"/>
      <c r="J320" s="66"/>
      <c r="K320" s="66"/>
      <c r="L320" s="66"/>
      <c r="M320" s="330"/>
      <c r="N320" s="339"/>
      <c r="O320" s="331" t="str">
        <f>IFERROR(__xludf.DUMMYFUNCTION("IFERROR(AVERAGE(FILTER('حضور '!I:I,'حضور '!A:A=A320,MONTH('حضور '!B:B)=N320)),"""")"),"")</f>
        <v/>
      </c>
    </row>
    <row r="321" ht="26.25" hidden="1" customHeight="1">
      <c r="A321" s="371"/>
      <c r="B321" s="372"/>
      <c r="C321" s="66"/>
      <c r="D321" s="90"/>
      <c r="E321" s="66"/>
      <c r="F321" s="66"/>
      <c r="G321" s="66"/>
      <c r="H321" s="66"/>
      <c r="I321" s="66"/>
      <c r="J321" s="66"/>
      <c r="K321" s="66"/>
      <c r="L321" s="66"/>
      <c r="M321" s="330"/>
      <c r="N321" s="339"/>
      <c r="O321" s="331" t="str">
        <f>IFERROR(__xludf.DUMMYFUNCTION("IFERROR(AVERAGE(FILTER('حضور '!I:I,'حضور '!A:A=A321,MONTH('حضور '!B:B)=N321)),"""")"),"")</f>
        <v/>
      </c>
    </row>
    <row r="322" ht="26.25" hidden="1" customHeight="1">
      <c r="A322" s="371"/>
      <c r="B322" s="372"/>
      <c r="C322" s="66"/>
      <c r="D322" s="90"/>
      <c r="E322" s="66"/>
      <c r="F322" s="66"/>
      <c r="G322" s="66"/>
      <c r="H322" s="66"/>
      <c r="I322" s="66"/>
      <c r="J322" s="66"/>
      <c r="K322" s="66"/>
      <c r="L322" s="66"/>
      <c r="M322" s="330"/>
      <c r="N322" s="339"/>
      <c r="O322" s="331" t="str">
        <f>IFERROR(__xludf.DUMMYFUNCTION("IFERROR(AVERAGE(FILTER('حضور '!I:I,'حضور '!A:A=A322,MONTH('حضور '!B:B)=N322)),"""")"),"")</f>
        <v/>
      </c>
    </row>
    <row r="323" ht="26.25" hidden="1" customHeight="1">
      <c r="A323" s="371"/>
      <c r="B323" s="372"/>
      <c r="C323" s="66"/>
      <c r="D323" s="90"/>
      <c r="E323" s="66"/>
      <c r="F323" s="66"/>
      <c r="G323" s="66"/>
      <c r="H323" s="66"/>
      <c r="I323" s="66"/>
      <c r="J323" s="66"/>
      <c r="K323" s="66"/>
      <c r="L323" s="66"/>
      <c r="M323" s="330"/>
      <c r="N323" s="339"/>
      <c r="O323" s="331" t="str">
        <f>IFERROR(__xludf.DUMMYFUNCTION("IFERROR(AVERAGE(FILTER('حضور '!I:I,'حضور '!A:A=A323,MONTH('حضور '!B:B)=N323)),"""")"),"")</f>
        <v/>
      </c>
    </row>
    <row r="324" ht="26.25" hidden="1" customHeight="1">
      <c r="A324" s="371"/>
      <c r="B324" s="372"/>
      <c r="C324" s="66"/>
      <c r="D324" s="90"/>
      <c r="E324" s="66"/>
      <c r="F324" s="66"/>
      <c r="G324" s="66"/>
      <c r="H324" s="66"/>
      <c r="I324" s="66"/>
      <c r="J324" s="66"/>
      <c r="K324" s="66"/>
      <c r="L324" s="66"/>
      <c r="M324" s="330"/>
      <c r="N324" s="330"/>
      <c r="O324" s="331" t="str">
        <f>IFERROR(__xludf.DUMMYFUNCTION("IFERROR(AVERAGE(FILTER('حضور '!I:I,'حضور '!A:A=A324,MONTH('حضور '!B:B)=N324)),"""")"),"")</f>
        <v/>
      </c>
    </row>
    <row r="325" ht="26.25" hidden="1" customHeight="1">
      <c r="A325" s="371"/>
      <c r="B325" s="372"/>
      <c r="C325" s="66"/>
      <c r="D325" s="90"/>
      <c r="E325" s="66"/>
      <c r="F325" s="66"/>
      <c r="G325" s="66"/>
      <c r="H325" s="66"/>
      <c r="I325" s="66"/>
      <c r="J325" s="66"/>
      <c r="K325" s="66"/>
      <c r="L325" s="66"/>
      <c r="M325" s="330"/>
      <c r="N325" s="339"/>
      <c r="O325" s="331" t="str">
        <f>IFERROR(__xludf.DUMMYFUNCTION("IFERROR(AVERAGE(FILTER('حضور '!I:I,'حضور '!A:A=A325,MONTH('حضور '!B:B)=N325)),"""")"),"")</f>
        <v/>
      </c>
    </row>
    <row r="326" ht="26.25" hidden="1" customHeight="1">
      <c r="A326" s="371"/>
      <c r="B326" s="372"/>
      <c r="C326" s="66"/>
      <c r="D326" s="90"/>
      <c r="E326" s="66"/>
      <c r="F326" s="66"/>
      <c r="G326" s="66"/>
      <c r="H326" s="66"/>
      <c r="I326" s="66"/>
      <c r="J326" s="66"/>
      <c r="K326" s="66"/>
      <c r="L326" s="66"/>
      <c r="M326" s="330"/>
      <c r="N326" s="339"/>
      <c r="O326" s="331" t="str">
        <f>IFERROR(__xludf.DUMMYFUNCTION("IFERROR(AVERAGE(FILTER('حضور '!I:I,'حضور '!A:A=A326,MONTH('حضور '!B:B)=N326)),"""")"),"")</f>
        <v/>
      </c>
    </row>
    <row r="327" ht="26.25" hidden="1" customHeight="1">
      <c r="A327" s="371"/>
      <c r="B327" s="372"/>
      <c r="C327" s="66"/>
      <c r="D327" s="90"/>
      <c r="E327" s="66"/>
      <c r="F327" s="66"/>
      <c r="G327" s="66"/>
      <c r="H327" s="66"/>
      <c r="I327" s="66"/>
      <c r="J327" s="66"/>
      <c r="K327" s="66"/>
      <c r="L327" s="66"/>
      <c r="M327" s="330"/>
      <c r="N327" s="339"/>
      <c r="O327" s="331" t="str">
        <f>IFERROR(__xludf.DUMMYFUNCTION("IFERROR(AVERAGE(FILTER('حضور '!I:I,'حضور '!A:A=A327,MONTH('حضور '!B:B)=N327)),"""")"),"")</f>
        <v/>
      </c>
    </row>
    <row r="328" ht="26.25" hidden="1" customHeight="1">
      <c r="A328" s="371"/>
      <c r="B328" s="372"/>
      <c r="C328" s="66"/>
      <c r="D328" s="90"/>
      <c r="E328" s="66"/>
      <c r="F328" s="66"/>
      <c r="G328" s="66"/>
      <c r="H328" s="66"/>
      <c r="I328" s="66"/>
      <c r="J328" s="66"/>
      <c r="K328" s="66"/>
      <c r="L328" s="66"/>
      <c r="M328" s="330"/>
      <c r="N328" s="339"/>
      <c r="O328" s="331" t="str">
        <f>IFERROR(__xludf.DUMMYFUNCTION("IFERROR(AVERAGE(FILTER('حضور '!I:I,'حضور '!A:A=A328,MONTH('حضور '!B:B)=N328)),"""")"),"")</f>
        <v/>
      </c>
    </row>
    <row r="329" ht="26.25" hidden="1" customHeight="1">
      <c r="A329" s="371"/>
      <c r="B329" s="372"/>
      <c r="C329" s="66"/>
      <c r="D329" s="90"/>
      <c r="E329" s="66"/>
      <c r="F329" s="66"/>
      <c r="G329" s="66"/>
      <c r="H329" s="66"/>
      <c r="I329" s="66"/>
      <c r="J329" s="66"/>
      <c r="K329" s="66"/>
      <c r="L329" s="66"/>
      <c r="M329" s="330"/>
      <c r="N329" s="330"/>
      <c r="O329" s="331" t="str">
        <f>IFERROR(__xludf.DUMMYFUNCTION("IFERROR(AVERAGE(FILTER('حضور '!I:I,'حضور '!A:A=A329,MONTH('حضور '!B:B)=N329)),"""")"),"")</f>
        <v/>
      </c>
    </row>
    <row r="330" ht="26.25" hidden="1" customHeight="1">
      <c r="A330" s="371"/>
      <c r="B330" s="372"/>
      <c r="C330" s="66"/>
      <c r="D330" s="90"/>
      <c r="E330" s="66"/>
      <c r="F330" s="66"/>
      <c r="G330" s="66"/>
      <c r="H330" s="66"/>
      <c r="I330" s="66"/>
      <c r="J330" s="66"/>
      <c r="K330" s="66"/>
      <c r="L330" s="66"/>
      <c r="M330" s="330"/>
      <c r="N330" s="339"/>
      <c r="O330" s="331" t="str">
        <f>IFERROR(__xludf.DUMMYFUNCTION("IFERROR(AVERAGE(FILTER('حضور '!I:I,'حضور '!A:A=A330,MONTH('حضور '!B:B)=N330)),"""")"),"")</f>
        <v/>
      </c>
    </row>
    <row r="331" ht="26.25" hidden="1" customHeight="1">
      <c r="A331" s="371"/>
      <c r="B331" s="372"/>
      <c r="C331" s="66"/>
      <c r="D331" s="90"/>
      <c r="E331" s="66"/>
      <c r="F331" s="66"/>
      <c r="G331" s="66"/>
      <c r="H331" s="66"/>
      <c r="I331" s="66"/>
      <c r="J331" s="66"/>
      <c r="K331" s="66"/>
      <c r="L331" s="66"/>
      <c r="M331" s="330"/>
      <c r="N331" s="339"/>
      <c r="O331" s="331" t="str">
        <f>IFERROR(__xludf.DUMMYFUNCTION("IFERROR(AVERAGE(FILTER('حضور '!I:I,'حضور '!A:A=A331,MONTH('حضور '!B:B)=N331)),"""")"),"")</f>
        <v/>
      </c>
    </row>
    <row r="332" ht="26.25" hidden="1" customHeight="1">
      <c r="A332" s="371"/>
      <c r="B332" s="372"/>
      <c r="C332" s="66"/>
      <c r="D332" s="90"/>
      <c r="E332" s="66"/>
      <c r="F332" s="66"/>
      <c r="G332" s="66"/>
      <c r="H332" s="66"/>
      <c r="I332" s="66"/>
      <c r="J332" s="66"/>
      <c r="K332" s="66"/>
      <c r="L332" s="66"/>
      <c r="M332" s="330"/>
      <c r="N332" s="339"/>
      <c r="O332" s="331" t="str">
        <f>IFERROR(__xludf.DUMMYFUNCTION("IFERROR(AVERAGE(FILTER('حضور '!I:I,'حضور '!A:A=A332,MONTH('حضور '!B:B)=N332)),"""")"),"")</f>
        <v/>
      </c>
    </row>
    <row r="333" ht="26.25" hidden="1" customHeight="1">
      <c r="A333" s="371"/>
      <c r="B333" s="372"/>
      <c r="C333" s="66"/>
      <c r="D333" s="90"/>
      <c r="E333" s="66"/>
      <c r="F333" s="66"/>
      <c r="G333" s="66"/>
      <c r="H333" s="66"/>
      <c r="I333" s="66"/>
      <c r="J333" s="66"/>
      <c r="K333" s="66"/>
      <c r="L333" s="66"/>
      <c r="M333" s="330"/>
      <c r="N333" s="339"/>
      <c r="O333" s="331" t="str">
        <f>IFERROR(__xludf.DUMMYFUNCTION("IFERROR(AVERAGE(FILTER('حضور '!I:I,'حضور '!A:A=A333,MONTH('حضور '!B:B)=N333)),"""")"),"")</f>
        <v/>
      </c>
    </row>
    <row r="334" ht="26.25" hidden="1" customHeight="1">
      <c r="A334" s="371"/>
      <c r="B334" s="372"/>
      <c r="C334" s="66"/>
      <c r="D334" s="90"/>
      <c r="E334" s="66"/>
      <c r="F334" s="66"/>
      <c r="G334" s="66"/>
      <c r="H334" s="66"/>
      <c r="I334" s="66"/>
      <c r="J334" s="66"/>
      <c r="K334" s="66"/>
      <c r="L334" s="66"/>
      <c r="M334" s="330"/>
      <c r="N334" s="330"/>
      <c r="O334" s="331" t="str">
        <f>IFERROR(__xludf.DUMMYFUNCTION("IFERROR(AVERAGE(FILTER('حضور '!I:I,'حضور '!A:A=A334,MONTH('حضور '!B:B)=N334)),"""")"),"")</f>
        <v/>
      </c>
    </row>
    <row r="335" ht="26.25" hidden="1" customHeight="1">
      <c r="A335" s="371"/>
      <c r="B335" s="372"/>
      <c r="C335" s="66"/>
      <c r="D335" s="90"/>
      <c r="E335" s="66"/>
      <c r="F335" s="66"/>
      <c r="G335" s="66"/>
      <c r="H335" s="66"/>
      <c r="I335" s="66"/>
      <c r="J335" s="66"/>
      <c r="K335" s="66"/>
      <c r="L335" s="66"/>
      <c r="M335" s="330"/>
      <c r="N335" s="339"/>
      <c r="O335" s="331" t="str">
        <f>IFERROR(__xludf.DUMMYFUNCTION("IFERROR(AVERAGE(FILTER('حضور '!I:I,'حضور '!A:A=A335,MONTH('حضور '!B:B)=N335)),"""")"),"")</f>
        <v/>
      </c>
    </row>
    <row r="336" ht="26.25" hidden="1" customHeight="1">
      <c r="A336" s="371"/>
      <c r="B336" s="372"/>
      <c r="C336" s="66"/>
      <c r="D336" s="90"/>
      <c r="E336" s="66"/>
      <c r="F336" s="66"/>
      <c r="G336" s="66"/>
      <c r="H336" s="66"/>
      <c r="I336" s="66"/>
      <c r="J336" s="66"/>
      <c r="K336" s="66"/>
      <c r="L336" s="66"/>
      <c r="M336" s="330"/>
      <c r="N336" s="339"/>
      <c r="O336" s="331" t="str">
        <f>IFERROR(__xludf.DUMMYFUNCTION("IFERROR(AVERAGE(FILTER('حضور '!I:I,'حضور '!A:A=A336,MONTH('حضور '!B:B)=N336)),"""")"),"")</f>
        <v/>
      </c>
    </row>
    <row r="337" ht="26.25" hidden="1" customHeight="1">
      <c r="A337" s="371"/>
      <c r="B337" s="372"/>
      <c r="C337" s="66"/>
      <c r="D337" s="90"/>
      <c r="E337" s="66"/>
      <c r="F337" s="66"/>
      <c r="G337" s="66"/>
      <c r="H337" s="66"/>
      <c r="I337" s="66"/>
      <c r="J337" s="66"/>
      <c r="K337" s="66"/>
      <c r="L337" s="66"/>
      <c r="M337" s="330"/>
      <c r="N337" s="339"/>
      <c r="O337" s="331" t="str">
        <f>IFERROR(__xludf.DUMMYFUNCTION("IFERROR(AVERAGE(FILTER('حضور '!I:I,'حضور '!A:A=A337,MONTH('حضور '!B:B)=N337)),"""")"),"")</f>
        <v/>
      </c>
    </row>
    <row r="338" ht="26.25" hidden="1" customHeight="1">
      <c r="A338" s="371"/>
      <c r="B338" s="372"/>
      <c r="C338" s="66"/>
      <c r="D338" s="90"/>
      <c r="E338" s="66"/>
      <c r="F338" s="66"/>
      <c r="G338" s="66"/>
      <c r="H338" s="66"/>
      <c r="I338" s="66"/>
      <c r="J338" s="66"/>
      <c r="K338" s="66"/>
      <c r="L338" s="66"/>
      <c r="M338" s="330"/>
      <c r="N338" s="339"/>
      <c r="O338" s="331" t="str">
        <f>IFERROR(__xludf.DUMMYFUNCTION("IFERROR(AVERAGE(FILTER('حضور '!I:I,'حضور '!A:A=A338,MONTH('حضور '!B:B)=N338)),"""")"),"")</f>
        <v/>
      </c>
    </row>
    <row r="339" ht="26.25" hidden="1" customHeight="1">
      <c r="A339" s="371"/>
      <c r="B339" s="372"/>
      <c r="C339" s="66"/>
      <c r="D339" s="90"/>
      <c r="E339" s="66"/>
      <c r="F339" s="66"/>
      <c r="G339" s="66"/>
      <c r="H339" s="66"/>
      <c r="I339" s="66"/>
      <c r="J339" s="66"/>
      <c r="K339" s="66"/>
      <c r="L339" s="66"/>
      <c r="M339" s="330"/>
      <c r="N339" s="330"/>
      <c r="O339" s="331" t="str">
        <f>IFERROR(__xludf.DUMMYFUNCTION("IFERROR(AVERAGE(FILTER('حضور '!I:I,'حضور '!A:A=A339,MONTH('حضور '!B:B)=N339)),"""")"),"")</f>
        <v/>
      </c>
    </row>
    <row r="340" ht="26.25" hidden="1" customHeight="1">
      <c r="A340" s="371"/>
      <c r="B340" s="372"/>
      <c r="C340" s="66"/>
      <c r="D340" s="90"/>
      <c r="E340" s="66"/>
      <c r="F340" s="66"/>
      <c r="G340" s="66"/>
      <c r="H340" s="66"/>
      <c r="I340" s="66"/>
      <c r="J340" s="66"/>
      <c r="K340" s="66"/>
      <c r="L340" s="66"/>
      <c r="M340" s="330"/>
      <c r="N340" s="339"/>
      <c r="O340" s="331" t="str">
        <f>IFERROR(__xludf.DUMMYFUNCTION("IFERROR(AVERAGE(FILTER('حضور '!I:I,'حضور '!A:A=A340,MONTH('حضور '!B:B)=N340)),"""")"),"")</f>
        <v/>
      </c>
    </row>
    <row r="341" ht="26.25" hidden="1" customHeight="1">
      <c r="A341" s="371"/>
      <c r="B341" s="372"/>
      <c r="C341" s="66"/>
      <c r="D341" s="90"/>
      <c r="E341" s="66"/>
      <c r="F341" s="66"/>
      <c r="G341" s="66"/>
      <c r="H341" s="66"/>
      <c r="I341" s="66"/>
      <c r="J341" s="66"/>
      <c r="K341" s="66"/>
      <c r="L341" s="66"/>
      <c r="M341" s="330"/>
      <c r="N341" s="339"/>
      <c r="O341" s="331" t="str">
        <f>IFERROR(__xludf.DUMMYFUNCTION("IFERROR(AVERAGE(FILTER('حضور '!I:I,'حضور '!A:A=A341,MONTH('حضور '!B:B)=N341)),"""")"),"")</f>
        <v/>
      </c>
    </row>
    <row r="342" ht="26.25" hidden="1" customHeight="1">
      <c r="A342" s="371"/>
      <c r="B342" s="372"/>
      <c r="C342" s="66"/>
      <c r="D342" s="90"/>
      <c r="E342" s="66"/>
      <c r="F342" s="66"/>
      <c r="G342" s="66"/>
      <c r="H342" s="66"/>
      <c r="I342" s="66"/>
      <c r="J342" s="66"/>
      <c r="K342" s="66"/>
      <c r="L342" s="66"/>
      <c r="M342" s="330"/>
      <c r="N342" s="339"/>
      <c r="O342" s="331" t="str">
        <f>IFERROR(__xludf.DUMMYFUNCTION("IFERROR(AVERAGE(FILTER('حضور '!I:I,'حضور '!A:A=A342,MONTH('حضور '!B:B)=N342)),"""")"),"")</f>
        <v/>
      </c>
    </row>
    <row r="343" ht="26.25" hidden="1" customHeight="1">
      <c r="A343" s="371"/>
      <c r="B343" s="372"/>
      <c r="C343" s="66"/>
      <c r="D343" s="90"/>
      <c r="E343" s="66"/>
      <c r="F343" s="66"/>
      <c r="G343" s="66"/>
      <c r="H343" s="66"/>
      <c r="I343" s="66"/>
      <c r="J343" s="66"/>
      <c r="K343" s="66"/>
      <c r="L343" s="66"/>
      <c r="M343" s="330"/>
      <c r="N343" s="339"/>
      <c r="O343" s="331" t="str">
        <f>IFERROR(__xludf.DUMMYFUNCTION("IFERROR(AVERAGE(FILTER('حضور '!I:I,'حضور '!A:A=A343,MONTH('حضور '!B:B)=N343)),"""")"),"")</f>
        <v/>
      </c>
    </row>
    <row r="344" ht="26.25" hidden="1" customHeight="1">
      <c r="A344" s="371"/>
      <c r="B344" s="372"/>
      <c r="C344" s="66"/>
      <c r="D344" s="90"/>
      <c r="E344" s="66"/>
      <c r="F344" s="66"/>
      <c r="G344" s="66"/>
      <c r="H344" s="66"/>
      <c r="I344" s="66"/>
      <c r="J344" s="66"/>
      <c r="K344" s="66"/>
      <c r="L344" s="66"/>
      <c r="M344" s="330"/>
      <c r="N344" s="330"/>
      <c r="O344" s="331" t="str">
        <f>IFERROR(__xludf.DUMMYFUNCTION("IFERROR(AVERAGE(FILTER('حضور '!I:I,'حضور '!A:A=A344,MONTH('حضور '!B:B)=N344)),"""")"),"")</f>
        <v/>
      </c>
    </row>
    <row r="345" ht="26.25" hidden="1" customHeight="1">
      <c r="A345" s="371"/>
      <c r="B345" s="372"/>
      <c r="C345" s="66"/>
      <c r="D345" s="90"/>
      <c r="E345" s="66"/>
      <c r="F345" s="66"/>
      <c r="G345" s="66"/>
      <c r="H345" s="66"/>
      <c r="I345" s="66"/>
      <c r="J345" s="66"/>
      <c r="K345" s="66"/>
      <c r="L345" s="66"/>
      <c r="M345" s="330"/>
      <c r="N345" s="339"/>
      <c r="O345" s="331" t="str">
        <f>IFERROR(__xludf.DUMMYFUNCTION("IFERROR(AVERAGE(FILTER('حضور '!I:I,'حضور '!A:A=A345,MONTH('حضور '!B:B)=N345)),"""")"),"")</f>
        <v/>
      </c>
    </row>
    <row r="346" ht="26.25" hidden="1" customHeight="1">
      <c r="A346" s="371"/>
      <c r="B346" s="372"/>
      <c r="C346" s="66"/>
      <c r="D346" s="90"/>
      <c r="E346" s="66"/>
      <c r="F346" s="66"/>
      <c r="G346" s="66"/>
      <c r="H346" s="66"/>
      <c r="I346" s="66"/>
      <c r="J346" s="66"/>
      <c r="K346" s="66"/>
      <c r="L346" s="66"/>
      <c r="M346" s="330"/>
      <c r="N346" s="339"/>
      <c r="O346" s="331" t="str">
        <f>IFERROR(__xludf.DUMMYFUNCTION("IFERROR(AVERAGE(FILTER('حضور '!I:I,'حضور '!A:A=A346,MONTH('حضور '!B:B)=N346)),"""")"),"")</f>
        <v/>
      </c>
    </row>
    <row r="347" ht="26.25" hidden="1" customHeight="1">
      <c r="A347" s="371"/>
      <c r="B347" s="372"/>
      <c r="C347" s="66"/>
      <c r="D347" s="90"/>
      <c r="E347" s="66"/>
      <c r="F347" s="66"/>
      <c r="G347" s="66"/>
      <c r="H347" s="66"/>
      <c r="I347" s="66"/>
      <c r="J347" s="66"/>
      <c r="K347" s="66"/>
      <c r="L347" s="66"/>
      <c r="M347" s="330"/>
      <c r="N347" s="339"/>
      <c r="O347" s="331" t="str">
        <f>IFERROR(__xludf.DUMMYFUNCTION("IFERROR(AVERAGE(FILTER('حضور '!I:I,'حضور '!A:A=A347,MONTH('حضور '!B:B)=N347)),"""")"),"")</f>
        <v/>
      </c>
    </row>
    <row r="348" ht="26.25" hidden="1" customHeight="1">
      <c r="A348" s="371"/>
      <c r="B348" s="372"/>
      <c r="C348" s="66"/>
      <c r="D348" s="90"/>
      <c r="E348" s="66"/>
      <c r="F348" s="66"/>
      <c r="G348" s="66"/>
      <c r="H348" s="66"/>
      <c r="I348" s="66"/>
      <c r="J348" s="66"/>
      <c r="K348" s="66"/>
      <c r="L348" s="66"/>
      <c r="M348" s="330"/>
      <c r="N348" s="339"/>
      <c r="O348" s="331" t="str">
        <f>IFERROR(__xludf.DUMMYFUNCTION("IFERROR(AVERAGE(FILTER('حضور '!I:I,'حضور '!A:A=A348,MONTH('حضور '!B:B)=N348)),"""")"),"")</f>
        <v/>
      </c>
    </row>
    <row r="349" ht="26.25" hidden="1" customHeight="1">
      <c r="A349" s="371"/>
      <c r="B349" s="372"/>
      <c r="C349" s="66"/>
      <c r="D349" s="90"/>
      <c r="E349" s="66"/>
      <c r="F349" s="66"/>
      <c r="G349" s="66"/>
      <c r="H349" s="66"/>
      <c r="I349" s="66"/>
      <c r="J349" s="66"/>
      <c r="K349" s="66"/>
      <c r="L349" s="66"/>
      <c r="M349" s="330"/>
      <c r="N349" s="330"/>
      <c r="O349" s="331" t="str">
        <f>IFERROR(__xludf.DUMMYFUNCTION("IFERROR(AVERAGE(FILTER('حضور '!I:I,'حضور '!A:A=A349,MONTH('حضور '!B:B)=N349)),"""")"),"")</f>
        <v/>
      </c>
    </row>
    <row r="350" ht="26.25" hidden="1" customHeight="1">
      <c r="A350" s="371"/>
      <c r="B350" s="372"/>
      <c r="C350" s="66"/>
      <c r="D350" s="90"/>
      <c r="E350" s="66"/>
      <c r="F350" s="66"/>
      <c r="G350" s="66"/>
      <c r="H350" s="66"/>
      <c r="I350" s="66"/>
      <c r="J350" s="66"/>
      <c r="K350" s="66"/>
      <c r="L350" s="66"/>
      <c r="M350" s="330"/>
      <c r="N350" s="339"/>
      <c r="O350" s="331" t="str">
        <f>IFERROR(__xludf.DUMMYFUNCTION("IFERROR(AVERAGE(FILTER('حضور '!I:I,'حضور '!A:A=A350,MONTH('حضور '!B:B)=N350)),"""")"),"")</f>
        <v/>
      </c>
    </row>
    <row r="351" ht="26.25" hidden="1" customHeight="1">
      <c r="A351" s="371"/>
      <c r="B351" s="372"/>
      <c r="C351" s="66"/>
      <c r="D351" s="90"/>
      <c r="E351" s="66"/>
      <c r="F351" s="66"/>
      <c r="G351" s="66"/>
      <c r="H351" s="66"/>
      <c r="I351" s="66"/>
      <c r="J351" s="66"/>
      <c r="K351" s="66"/>
      <c r="L351" s="66"/>
      <c r="M351" s="330"/>
      <c r="N351" s="339"/>
      <c r="O351" s="331" t="str">
        <f>IFERROR(__xludf.DUMMYFUNCTION("IFERROR(AVERAGE(FILTER('حضور '!I:I,'حضور '!A:A=A351,MONTH('حضور '!B:B)=N351)),"""")"),"")</f>
        <v/>
      </c>
    </row>
    <row r="352" ht="26.25" hidden="1" customHeight="1">
      <c r="A352" s="371"/>
      <c r="B352" s="372"/>
      <c r="C352" s="66"/>
      <c r="D352" s="90"/>
      <c r="E352" s="66"/>
      <c r="F352" s="66"/>
      <c r="G352" s="66"/>
      <c r="H352" s="66"/>
      <c r="I352" s="66"/>
      <c r="J352" s="66"/>
      <c r="K352" s="66"/>
      <c r="L352" s="66"/>
      <c r="M352" s="330"/>
      <c r="N352" s="339"/>
      <c r="O352" s="331" t="str">
        <f>IFERROR(__xludf.DUMMYFUNCTION("IFERROR(AVERAGE(FILTER('حضور '!I:I,'حضور '!A:A=A352,MONTH('حضور '!B:B)=N352)),"""")"),"")</f>
        <v/>
      </c>
    </row>
    <row r="353" ht="26.25" hidden="1" customHeight="1">
      <c r="A353" s="371"/>
      <c r="B353" s="372"/>
      <c r="C353" s="66"/>
      <c r="D353" s="90"/>
      <c r="E353" s="66"/>
      <c r="F353" s="66"/>
      <c r="G353" s="66"/>
      <c r="H353" s="66"/>
      <c r="I353" s="66"/>
      <c r="J353" s="66"/>
      <c r="K353" s="66"/>
      <c r="L353" s="66"/>
      <c r="M353" s="330"/>
      <c r="N353" s="339"/>
      <c r="O353" s="331" t="str">
        <f>IFERROR(__xludf.DUMMYFUNCTION("IFERROR(AVERAGE(FILTER('حضور '!I:I,'حضور '!A:A=A353,MONTH('حضور '!B:B)=N353)),"""")"),"")</f>
        <v/>
      </c>
    </row>
    <row r="354" ht="26.25" hidden="1" customHeight="1">
      <c r="A354" s="371"/>
      <c r="B354" s="372"/>
      <c r="C354" s="66"/>
      <c r="D354" s="90"/>
      <c r="E354" s="66"/>
      <c r="F354" s="66"/>
      <c r="G354" s="66"/>
      <c r="H354" s="66"/>
      <c r="I354" s="66"/>
      <c r="J354" s="66"/>
      <c r="K354" s="66"/>
      <c r="L354" s="66"/>
      <c r="M354" s="330"/>
      <c r="N354" s="330"/>
      <c r="O354" s="331" t="str">
        <f>IFERROR(__xludf.DUMMYFUNCTION("IFERROR(AVERAGE(FILTER('حضور '!I:I,'حضور '!A:A=A354,MONTH('حضور '!B:B)=N354)),"""")"),"")</f>
        <v/>
      </c>
    </row>
    <row r="355" ht="26.25" hidden="1" customHeight="1">
      <c r="A355" s="371"/>
      <c r="B355" s="372"/>
      <c r="C355" s="66"/>
      <c r="D355" s="90"/>
      <c r="E355" s="66"/>
      <c r="F355" s="66"/>
      <c r="G355" s="66"/>
      <c r="H355" s="66"/>
      <c r="I355" s="66"/>
      <c r="J355" s="66"/>
      <c r="K355" s="66"/>
      <c r="L355" s="66"/>
      <c r="M355" s="330"/>
      <c r="N355" s="339"/>
      <c r="O355" s="331" t="str">
        <f>IFERROR(__xludf.DUMMYFUNCTION("IFERROR(AVERAGE(FILTER('حضور '!I:I,'حضور '!A:A=A355,MONTH('حضور '!B:B)=N355)),"""")"),"")</f>
        <v/>
      </c>
    </row>
    <row r="356" ht="26.25" hidden="1" customHeight="1">
      <c r="A356" s="371"/>
      <c r="B356" s="372"/>
      <c r="C356" s="66"/>
      <c r="D356" s="90"/>
      <c r="E356" s="66"/>
      <c r="F356" s="66"/>
      <c r="G356" s="66"/>
      <c r="H356" s="66"/>
      <c r="I356" s="66"/>
      <c r="J356" s="66"/>
      <c r="K356" s="66"/>
      <c r="L356" s="66"/>
      <c r="M356" s="330"/>
      <c r="N356" s="339"/>
      <c r="O356" s="331" t="str">
        <f>IFERROR(__xludf.DUMMYFUNCTION("IFERROR(AVERAGE(FILTER('حضور '!I:I,'حضور '!A:A=A356,MONTH('حضور '!B:B)=N356)),"""")"),"")</f>
        <v/>
      </c>
    </row>
    <row r="357" ht="26.25" hidden="1" customHeight="1">
      <c r="A357" s="371"/>
      <c r="B357" s="372"/>
      <c r="C357" s="66"/>
      <c r="D357" s="90"/>
      <c r="E357" s="66"/>
      <c r="F357" s="66"/>
      <c r="G357" s="66"/>
      <c r="H357" s="66"/>
      <c r="I357" s="66"/>
      <c r="J357" s="66"/>
      <c r="K357" s="66"/>
      <c r="L357" s="66"/>
      <c r="M357" s="330"/>
      <c r="N357" s="339"/>
      <c r="O357" s="331" t="str">
        <f>IFERROR(__xludf.DUMMYFUNCTION("IFERROR(AVERAGE(FILTER('حضور '!I:I,'حضور '!A:A=A357,MONTH('حضور '!B:B)=N357)),"""")"),"")</f>
        <v/>
      </c>
    </row>
    <row r="358" ht="26.25" hidden="1" customHeight="1">
      <c r="A358" s="371"/>
      <c r="B358" s="372"/>
      <c r="C358" s="66"/>
      <c r="D358" s="90"/>
      <c r="E358" s="66"/>
      <c r="F358" s="66"/>
      <c r="G358" s="66"/>
      <c r="H358" s="66"/>
      <c r="I358" s="66"/>
      <c r="J358" s="66"/>
      <c r="K358" s="66"/>
      <c r="L358" s="66"/>
      <c r="M358" s="330"/>
      <c r="N358" s="339"/>
      <c r="O358" s="331" t="str">
        <f>IFERROR(__xludf.DUMMYFUNCTION("IFERROR(AVERAGE(FILTER('حضور '!I:I,'حضور '!A:A=A358,MONTH('حضور '!B:B)=N358)),"""")"),"")</f>
        <v/>
      </c>
    </row>
    <row r="359" ht="26.25" hidden="1" customHeight="1">
      <c r="A359" s="371"/>
      <c r="B359" s="372"/>
      <c r="C359" s="66"/>
      <c r="D359" s="90"/>
      <c r="E359" s="66"/>
      <c r="F359" s="66"/>
      <c r="G359" s="66"/>
      <c r="H359" s="66"/>
      <c r="I359" s="66"/>
      <c r="J359" s="66"/>
      <c r="K359" s="66"/>
      <c r="L359" s="66"/>
      <c r="M359" s="330"/>
      <c r="N359" s="330"/>
      <c r="O359" s="331" t="str">
        <f>IFERROR(__xludf.DUMMYFUNCTION("IFERROR(AVERAGE(FILTER('حضور '!I:I,'حضور '!A:A=A359,MONTH('حضور '!B:B)=N359)),"""")"),"")</f>
        <v/>
      </c>
    </row>
    <row r="360" ht="26.25" hidden="1" customHeight="1">
      <c r="A360" s="371"/>
      <c r="B360" s="372"/>
      <c r="C360" s="66"/>
      <c r="D360" s="90"/>
      <c r="E360" s="66"/>
      <c r="F360" s="66"/>
      <c r="G360" s="66"/>
      <c r="H360" s="66"/>
      <c r="I360" s="66"/>
      <c r="J360" s="66"/>
      <c r="K360" s="66"/>
      <c r="L360" s="66"/>
      <c r="M360" s="330"/>
      <c r="N360" s="339"/>
      <c r="O360" s="331" t="str">
        <f>IFERROR(__xludf.DUMMYFUNCTION("IFERROR(AVERAGE(FILTER('حضور '!I:I,'حضور '!A:A=A360,MONTH('حضور '!B:B)=N360)),"""")"),"")</f>
        <v/>
      </c>
    </row>
    <row r="361" ht="26.25" hidden="1" customHeight="1">
      <c r="A361" s="371"/>
      <c r="B361" s="372"/>
      <c r="C361" s="66"/>
      <c r="D361" s="90"/>
      <c r="E361" s="66"/>
      <c r="F361" s="66"/>
      <c r="G361" s="66"/>
      <c r="H361" s="66"/>
      <c r="I361" s="66"/>
      <c r="J361" s="66"/>
      <c r="K361" s="66"/>
      <c r="L361" s="66"/>
      <c r="M361" s="330"/>
      <c r="N361" s="339"/>
      <c r="O361" s="331" t="str">
        <f>IFERROR(__xludf.DUMMYFUNCTION("IFERROR(AVERAGE(FILTER('حضور '!I:I,'حضور '!A:A=A361,MONTH('حضور '!B:B)=N361)),"""")"),"")</f>
        <v/>
      </c>
    </row>
    <row r="362" ht="26.25" hidden="1" customHeight="1">
      <c r="A362" s="371"/>
      <c r="B362" s="372"/>
      <c r="C362" s="66"/>
      <c r="D362" s="90"/>
      <c r="E362" s="66"/>
      <c r="F362" s="66"/>
      <c r="G362" s="66"/>
      <c r="H362" s="66"/>
      <c r="I362" s="66"/>
      <c r="J362" s="66"/>
      <c r="K362" s="66"/>
      <c r="L362" s="66"/>
      <c r="M362" s="330"/>
      <c r="N362" s="339"/>
      <c r="O362" s="331" t="str">
        <f>IFERROR(__xludf.DUMMYFUNCTION("IFERROR(AVERAGE(FILTER('حضور '!I:I,'حضور '!A:A=A362,MONTH('حضور '!B:B)=N362)),"""")"),"")</f>
        <v/>
      </c>
    </row>
    <row r="363" ht="26.25" hidden="1" customHeight="1">
      <c r="A363" s="371"/>
      <c r="B363" s="372"/>
      <c r="C363" s="66"/>
      <c r="D363" s="90"/>
      <c r="E363" s="66"/>
      <c r="F363" s="66"/>
      <c r="G363" s="66"/>
      <c r="H363" s="66"/>
      <c r="I363" s="66"/>
      <c r="J363" s="66"/>
      <c r="K363" s="66"/>
      <c r="L363" s="66"/>
      <c r="M363" s="330"/>
      <c r="N363" s="339"/>
      <c r="O363" s="331" t="str">
        <f>IFERROR(__xludf.DUMMYFUNCTION("IFERROR(AVERAGE(FILTER('حضور '!I:I,'حضور '!A:A=A363,MONTH('حضور '!B:B)=N363)),"""")"),"")</f>
        <v/>
      </c>
    </row>
    <row r="364" ht="26.25" hidden="1" customHeight="1">
      <c r="A364" s="371"/>
      <c r="B364" s="372"/>
      <c r="C364" s="66"/>
      <c r="D364" s="90"/>
      <c r="E364" s="66"/>
      <c r="F364" s="66"/>
      <c r="G364" s="66"/>
      <c r="H364" s="66"/>
      <c r="I364" s="66"/>
      <c r="J364" s="66"/>
      <c r="K364" s="66"/>
      <c r="L364" s="66"/>
      <c r="M364" s="330"/>
      <c r="N364" s="330"/>
      <c r="O364" s="331" t="str">
        <f>IFERROR(__xludf.DUMMYFUNCTION("IFERROR(AVERAGE(FILTER('حضور '!I:I,'حضور '!A:A=A364,MONTH('حضور '!B:B)=N364)),"""")"),"")</f>
        <v/>
      </c>
    </row>
    <row r="365" ht="26.25" hidden="1" customHeight="1">
      <c r="A365" s="371"/>
      <c r="B365" s="372"/>
      <c r="C365" s="66"/>
      <c r="D365" s="90"/>
      <c r="E365" s="66"/>
      <c r="F365" s="66"/>
      <c r="G365" s="66"/>
      <c r="H365" s="66"/>
      <c r="I365" s="66"/>
      <c r="J365" s="66"/>
      <c r="K365" s="66"/>
      <c r="L365" s="66"/>
      <c r="M365" s="330"/>
      <c r="N365" s="339"/>
      <c r="O365" s="331" t="str">
        <f>IFERROR(__xludf.DUMMYFUNCTION("IFERROR(AVERAGE(FILTER('حضور '!I:I,'حضور '!A:A=A365,MONTH('حضور '!B:B)=N365)),"""")"),"")</f>
        <v/>
      </c>
    </row>
    <row r="366" ht="26.25" hidden="1" customHeight="1">
      <c r="A366" s="371"/>
      <c r="B366" s="372"/>
      <c r="C366" s="66"/>
      <c r="D366" s="90"/>
      <c r="E366" s="66"/>
      <c r="F366" s="66"/>
      <c r="G366" s="66"/>
      <c r="H366" s="66"/>
      <c r="I366" s="66"/>
      <c r="J366" s="66"/>
      <c r="K366" s="66"/>
      <c r="L366" s="66"/>
      <c r="M366" s="330"/>
      <c r="N366" s="339"/>
      <c r="O366" s="331" t="str">
        <f>IFERROR(__xludf.DUMMYFUNCTION("IFERROR(AVERAGE(FILTER('حضور '!I:I,'حضور '!A:A=A366,MONTH('حضور '!B:B)=N366)),"""")"),"")</f>
        <v/>
      </c>
    </row>
    <row r="367" ht="26.25" hidden="1" customHeight="1">
      <c r="A367" s="371"/>
      <c r="B367" s="372"/>
      <c r="C367" s="66"/>
      <c r="D367" s="90"/>
      <c r="E367" s="66"/>
      <c r="F367" s="66"/>
      <c r="G367" s="66"/>
      <c r="H367" s="66"/>
      <c r="I367" s="66"/>
      <c r="J367" s="66"/>
      <c r="K367" s="66"/>
      <c r="L367" s="66"/>
      <c r="M367" s="330"/>
      <c r="N367" s="339"/>
      <c r="O367" s="331" t="str">
        <f>IFERROR(__xludf.DUMMYFUNCTION("IFERROR(AVERAGE(FILTER('حضور '!I:I,'حضور '!A:A=A367,MONTH('حضور '!B:B)=N367)),"""")"),"")</f>
        <v/>
      </c>
    </row>
    <row r="368" ht="26.25" hidden="1" customHeight="1">
      <c r="A368" s="371"/>
      <c r="B368" s="372"/>
      <c r="C368" s="66"/>
      <c r="D368" s="90"/>
      <c r="E368" s="66"/>
      <c r="F368" s="66"/>
      <c r="G368" s="66"/>
      <c r="H368" s="66"/>
      <c r="I368" s="66"/>
      <c r="J368" s="66"/>
      <c r="K368" s="66"/>
      <c r="L368" s="66"/>
      <c r="M368" s="330"/>
      <c r="N368" s="339"/>
      <c r="O368" s="331" t="str">
        <f>IFERROR(__xludf.DUMMYFUNCTION("IFERROR(AVERAGE(FILTER('حضور '!I:I,'حضور '!A:A=A368,MONTH('حضور '!B:B)=N368)),"""")"),"")</f>
        <v/>
      </c>
    </row>
    <row r="369" ht="26.25" hidden="1" customHeight="1">
      <c r="A369" s="371"/>
      <c r="B369" s="372"/>
      <c r="C369" s="66"/>
      <c r="D369" s="90"/>
      <c r="E369" s="66"/>
      <c r="F369" s="66"/>
      <c r="G369" s="66"/>
      <c r="H369" s="66"/>
      <c r="I369" s="66"/>
      <c r="J369" s="66"/>
      <c r="K369" s="66"/>
      <c r="L369" s="66"/>
      <c r="M369" s="330"/>
      <c r="N369" s="330"/>
      <c r="O369" s="331" t="str">
        <f>IFERROR(__xludf.DUMMYFUNCTION("IFERROR(AVERAGE(FILTER('حضور '!I:I,'حضور '!A:A=A369,MONTH('حضور '!B:B)=N369)),"""")"),"")</f>
        <v/>
      </c>
    </row>
    <row r="370" ht="26.25" hidden="1" customHeight="1">
      <c r="A370" s="371"/>
      <c r="B370" s="372"/>
      <c r="C370" s="66"/>
      <c r="D370" s="90"/>
      <c r="E370" s="66"/>
      <c r="F370" s="66"/>
      <c r="G370" s="66"/>
      <c r="H370" s="66"/>
      <c r="I370" s="66"/>
      <c r="J370" s="66"/>
      <c r="K370" s="66"/>
      <c r="L370" s="66"/>
      <c r="M370" s="330"/>
      <c r="N370" s="339"/>
      <c r="O370" s="331" t="str">
        <f>IFERROR(__xludf.DUMMYFUNCTION("IFERROR(AVERAGE(FILTER('حضور '!I:I,'حضور '!A:A=A370,MONTH('حضور '!B:B)=N370)),"""")"),"")</f>
        <v/>
      </c>
    </row>
    <row r="371" ht="26.25" hidden="1" customHeight="1">
      <c r="A371" s="371"/>
      <c r="B371" s="372"/>
      <c r="C371" s="66"/>
      <c r="D371" s="90"/>
      <c r="E371" s="66"/>
      <c r="F371" s="66"/>
      <c r="G371" s="66"/>
      <c r="H371" s="66"/>
      <c r="I371" s="66"/>
      <c r="J371" s="66"/>
      <c r="K371" s="66"/>
      <c r="L371" s="66"/>
      <c r="M371" s="330"/>
      <c r="N371" s="339"/>
      <c r="O371" s="331" t="str">
        <f>IFERROR(__xludf.DUMMYFUNCTION("IFERROR(AVERAGE(FILTER('حضور '!I:I,'حضور '!A:A=A371,MONTH('حضور '!B:B)=N371)),"""")"),"")</f>
        <v/>
      </c>
    </row>
    <row r="372" ht="26.25" hidden="1" customHeight="1">
      <c r="A372" s="371"/>
      <c r="B372" s="372"/>
      <c r="C372" s="66"/>
      <c r="D372" s="90"/>
      <c r="E372" s="66"/>
      <c r="F372" s="66"/>
      <c r="G372" s="66"/>
      <c r="H372" s="66"/>
      <c r="I372" s="66"/>
      <c r="J372" s="66"/>
      <c r="K372" s="66"/>
      <c r="L372" s="66"/>
      <c r="M372" s="330"/>
      <c r="N372" s="339"/>
      <c r="O372" s="331" t="str">
        <f>IFERROR(__xludf.DUMMYFUNCTION("IFERROR(AVERAGE(FILTER('حضور '!I:I,'حضور '!A:A=A372,MONTH('حضور '!B:B)=N372)),"""")"),"")</f>
        <v/>
      </c>
    </row>
    <row r="373" ht="26.25" hidden="1" customHeight="1">
      <c r="A373" s="371"/>
      <c r="B373" s="372"/>
      <c r="C373" s="66"/>
      <c r="D373" s="90"/>
      <c r="E373" s="66"/>
      <c r="F373" s="66"/>
      <c r="G373" s="66"/>
      <c r="H373" s="66"/>
      <c r="I373" s="66"/>
      <c r="J373" s="66"/>
      <c r="K373" s="66"/>
      <c r="L373" s="66"/>
      <c r="M373" s="330"/>
      <c r="N373" s="339"/>
      <c r="O373" s="331" t="str">
        <f>IFERROR(__xludf.DUMMYFUNCTION("IFERROR(AVERAGE(FILTER('حضور '!I:I,'حضور '!A:A=A373,MONTH('حضور '!B:B)=N373)),"""")"),"")</f>
        <v/>
      </c>
    </row>
    <row r="374" ht="26.25" hidden="1" customHeight="1">
      <c r="A374" s="371"/>
      <c r="B374" s="372"/>
      <c r="C374" s="66"/>
      <c r="D374" s="90"/>
      <c r="E374" s="66"/>
      <c r="F374" s="66"/>
      <c r="G374" s="66"/>
      <c r="H374" s="66"/>
      <c r="I374" s="66"/>
      <c r="J374" s="66"/>
      <c r="K374" s="66"/>
      <c r="L374" s="66"/>
      <c r="M374" s="330"/>
      <c r="N374" s="330"/>
      <c r="O374" s="331" t="str">
        <f>IFERROR(__xludf.DUMMYFUNCTION("IFERROR(AVERAGE(FILTER('حضور '!I:I,'حضور '!A:A=A374,MONTH('حضور '!B:B)=N374)),"""")"),"")</f>
        <v/>
      </c>
    </row>
    <row r="375" ht="26.25" hidden="1" customHeight="1">
      <c r="A375" s="371"/>
      <c r="B375" s="372"/>
      <c r="C375" s="66"/>
      <c r="D375" s="90"/>
      <c r="E375" s="66"/>
      <c r="F375" s="66"/>
      <c r="G375" s="66"/>
      <c r="H375" s="66"/>
      <c r="I375" s="66"/>
      <c r="J375" s="66"/>
      <c r="K375" s="66"/>
      <c r="L375" s="66"/>
      <c r="M375" s="330"/>
      <c r="N375" s="339"/>
      <c r="O375" s="331" t="str">
        <f>IFERROR(__xludf.DUMMYFUNCTION("IFERROR(AVERAGE(FILTER('حضور '!I:I,'حضور '!A:A=A375,MONTH('حضور '!B:B)=N375)),"""")"),"")</f>
        <v/>
      </c>
    </row>
    <row r="376" ht="26.25" hidden="1" customHeight="1">
      <c r="A376" s="371"/>
      <c r="B376" s="372"/>
      <c r="C376" s="66"/>
      <c r="D376" s="90"/>
      <c r="E376" s="66"/>
      <c r="F376" s="66"/>
      <c r="G376" s="66"/>
      <c r="H376" s="66"/>
      <c r="I376" s="66"/>
      <c r="J376" s="66"/>
      <c r="K376" s="66"/>
      <c r="L376" s="66"/>
      <c r="M376" s="330"/>
      <c r="N376" s="339"/>
      <c r="O376" s="331" t="str">
        <f>IFERROR(__xludf.DUMMYFUNCTION("IFERROR(AVERAGE(FILTER('حضور '!I:I,'حضور '!A:A=A376,MONTH('حضور '!B:B)=N376)),"""")"),"")</f>
        <v/>
      </c>
    </row>
    <row r="377" ht="26.25" hidden="1" customHeight="1">
      <c r="A377" s="371"/>
      <c r="B377" s="372"/>
      <c r="C377" s="66"/>
      <c r="D377" s="90"/>
      <c r="E377" s="66"/>
      <c r="F377" s="66"/>
      <c r="G377" s="66"/>
      <c r="H377" s="66"/>
      <c r="I377" s="66"/>
      <c r="J377" s="66"/>
      <c r="K377" s="66"/>
      <c r="L377" s="66"/>
      <c r="M377" s="330"/>
      <c r="N377" s="339"/>
      <c r="O377" s="331" t="str">
        <f>IFERROR(__xludf.DUMMYFUNCTION("IFERROR(AVERAGE(FILTER('حضور '!I:I,'حضور '!A:A=A377,MONTH('حضور '!B:B)=N377)),"""")"),"")</f>
        <v/>
      </c>
    </row>
    <row r="378" ht="26.25" hidden="1" customHeight="1">
      <c r="A378" s="371"/>
      <c r="B378" s="372"/>
      <c r="C378" s="66"/>
      <c r="D378" s="90"/>
      <c r="E378" s="66"/>
      <c r="F378" s="66"/>
      <c r="G378" s="66"/>
      <c r="H378" s="66"/>
      <c r="I378" s="66"/>
      <c r="J378" s="66"/>
      <c r="K378" s="66"/>
      <c r="L378" s="66"/>
      <c r="M378" s="330"/>
      <c r="N378" s="339"/>
      <c r="O378" s="331" t="str">
        <f>IFERROR(__xludf.DUMMYFUNCTION("IFERROR(AVERAGE(FILTER('حضور '!I:I,'حضور '!A:A=A378,MONTH('حضور '!B:B)=N378)),"""")"),"")</f>
        <v/>
      </c>
    </row>
    <row r="379" ht="26.25" hidden="1" customHeight="1">
      <c r="A379" s="371"/>
      <c r="B379" s="372"/>
      <c r="C379" s="66"/>
      <c r="D379" s="90"/>
      <c r="E379" s="66"/>
      <c r="F379" s="66"/>
      <c r="G379" s="66"/>
      <c r="H379" s="66"/>
      <c r="I379" s="66"/>
      <c r="J379" s="66"/>
      <c r="K379" s="66"/>
      <c r="L379" s="66"/>
      <c r="M379" s="330"/>
      <c r="N379" s="330"/>
      <c r="O379" s="331" t="str">
        <f>IFERROR(__xludf.DUMMYFUNCTION("IFERROR(AVERAGE(FILTER('حضور '!I:I,'حضور '!A:A=A379,MONTH('حضور '!B:B)=N379)),"""")"),"")</f>
        <v/>
      </c>
    </row>
    <row r="380" ht="26.25" hidden="1" customHeight="1">
      <c r="A380" s="371"/>
      <c r="B380" s="372"/>
      <c r="C380" s="66"/>
      <c r="D380" s="90"/>
      <c r="E380" s="66"/>
      <c r="F380" s="66"/>
      <c r="G380" s="66"/>
      <c r="H380" s="66"/>
      <c r="I380" s="66"/>
      <c r="J380" s="66"/>
      <c r="K380" s="66"/>
      <c r="L380" s="66"/>
      <c r="M380" s="330"/>
      <c r="N380" s="339"/>
      <c r="O380" s="331" t="str">
        <f>IFERROR(__xludf.DUMMYFUNCTION("IFERROR(AVERAGE(FILTER('حضور '!I:I,'حضور '!A:A=A380,MONTH('حضور '!B:B)=N380)),"""")"),"")</f>
        <v/>
      </c>
    </row>
    <row r="381" ht="26.25" hidden="1" customHeight="1">
      <c r="A381" s="371"/>
      <c r="B381" s="372"/>
      <c r="C381" s="66"/>
      <c r="D381" s="90"/>
      <c r="E381" s="66"/>
      <c r="F381" s="66"/>
      <c r="G381" s="66"/>
      <c r="H381" s="66"/>
      <c r="I381" s="66"/>
      <c r="J381" s="66"/>
      <c r="K381" s="66"/>
      <c r="L381" s="66"/>
      <c r="M381" s="330"/>
      <c r="N381" s="339"/>
      <c r="O381" s="331" t="str">
        <f>IFERROR(__xludf.DUMMYFUNCTION("IFERROR(AVERAGE(FILTER('حضور '!I:I,'حضور '!A:A=A381,MONTH('حضور '!B:B)=N381)),"""")"),"")</f>
        <v/>
      </c>
    </row>
    <row r="382" ht="26.25" hidden="1" customHeight="1">
      <c r="A382" s="371"/>
      <c r="B382" s="372"/>
      <c r="C382" s="66"/>
      <c r="D382" s="90"/>
      <c r="E382" s="66"/>
      <c r="F382" s="66"/>
      <c r="G382" s="66"/>
      <c r="H382" s="66"/>
      <c r="I382" s="66"/>
      <c r="J382" s="66"/>
      <c r="K382" s="66"/>
      <c r="L382" s="66"/>
      <c r="M382" s="330"/>
      <c r="N382" s="339"/>
      <c r="O382" s="331" t="str">
        <f>IFERROR(__xludf.DUMMYFUNCTION("IFERROR(AVERAGE(FILTER('حضور '!I:I,'حضور '!A:A=A382,MONTH('حضور '!B:B)=N382)),"""")"),"")</f>
        <v/>
      </c>
    </row>
    <row r="383" ht="26.25" hidden="1" customHeight="1">
      <c r="A383" s="371"/>
      <c r="B383" s="372"/>
      <c r="C383" s="66"/>
      <c r="D383" s="90"/>
      <c r="E383" s="66"/>
      <c r="F383" s="66"/>
      <c r="G383" s="66"/>
      <c r="H383" s="66"/>
      <c r="I383" s="66"/>
      <c r="J383" s="66"/>
      <c r="K383" s="66"/>
      <c r="L383" s="66"/>
      <c r="M383" s="330"/>
      <c r="N383" s="339"/>
      <c r="O383" s="331" t="str">
        <f>IFERROR(__xludf.DUMMYFUNCTION("IFERROR(AVERAGE(FILTER('حضور '!I:I,'حضور '!A:A=A383,MONTH('حضور '!B:B)=N383)),"""")"),"")</f>
        <v/>
      </c>
    </row>
    <row r="384" ht="26.25" hidden="1" customHeight="1">
      <c r="A384" s="371"/>
      <c r="B384" s="372"/>
      <c r="C384" s="66"/>
      <c r="D384" s="90"/>
      <c r="E384" s="66"/>
      <c r="F384" s="66"/>
      <c r="G384" s="66"/>
      <c r="H384" s="66"/>
      <c r="I384" s="66"/>
      <c r="J384" s="66"/>
      <c r="K384" s="66"/>
      <c r="L384" s="66"/>
      <c r="M384" s="330"/>
      <c r="N384" s="330"/>
      <c r="O384" s="331" t="str">
        <f>IFERROR(__xludf.DUMMYFUNCTION("IFERROR(AVERAGE(FILTER('حضور '!I:I,'حضور '!A:A=A384,MONTH('حضور '!B:B)=N384)),"""")"),"")</f>
        <v/>
      </c>
    </row>
    <row r="385" ht="26.25" hidden="1" customHeight="1">
      <c r="A385" s="371"/>
      <c r="B385" s="372"/>
      <c r="C385" s="66"/>
      <c r="D385" s="90"/>
      <c r="E385" s="66"/>
      <c r="F385" s="66"/>
      <c r="G385" s="66"/>
      <c r="H385" s="66"/>
      <c r="I385" s="66"/>
      <c r="J385" s="66"/>
      <c r="K385" s="66"/>
      <c r="L385" s="66"/>
      <c r="M385" s="330"/>
      <c r="N385" s="339"/>
      <c r="O385" s="331" t="str">
        <f>IFERROR(__xludf.DUMMYFUNCTION("IFERROR(AVERAGE(FILTER('حضور '!I:I,'حضور '!A:A=A385,MONTH('حضور '!B:B)=N385)),"""")"),"")</f>
        <v/>
      </c>
    </row>
    <row r="386" ht="26.25" hidden="1" customHeight="1">
      <c r="A386" s="371"/>
      <c r="B386" s="372"/>
      <c r="C386" s="66"/>
      <c r="D386" s="90"/>
      <c r="E386" s="66"/>
      <c r="F386" s="66"/>
      <c r="G386" s="66"/>
      <c r="H386" s="66"/>
      <c r="I386" s="66"/>
      <c r="J386" s="66"/>
      <c r="K386" s="66"/>
      <c r="L386" s="66"/>
      <c r="M386" s="330"/>
      <c r="N386" s="339"/>
      <c r="O386" s="331" t="str">
        <f>IFERROR(__xludf.DUMMYFUNCTION("IFERROR(AVERAGE(FILTER('حضور '!I:I,'حضور '!A:A=A386,MONTH('حضور '!B:B)=N386)),"""")"),"")</f>
        <v/>
      </c>
    </row>
    <row r="387" ht="26.25" hidden="1" customHeight="1">
      <c r="A387" s="371"/>
      <c r="B387" s="372"/>
      <c r="C387" s="66"/>
      <c r="D387" s="90"/>
      <c r="E387" s="66"/>
      <c r="F387" s="66"/>
      <c r="G387" s="66"/>
      <c r="H387" s="66"/>
      <c r="I387" s="66"/>
      <c r="J387" s="66"/>
      <c r="K387" s="66"/>
      <c r="L387" s="66"/>
      <c r="M387" s="330"/>
      <c r="N387" s="339"/>
      <c r="O387" s="331" t="str">
        <f>IFERROR(__xludf.DUMMYFUNCTION("IFERROR(AVERAGE(FILTER('حضور '!I:I,'حضور '!A:A=A387,MONTH('حضور '!B:B)=N387)),"""")"),"")</f>
        <v/>
      </c>
    </row>
    <row r="388" ht="26.25" hidden="1" customHeight="1">
      <c r="A388" s="371"/>
      <c r="B388" s="372"/>
      <c r="C388" s="66"/>
      <c r="D388" s="90"/>
      <c r="E388" s="66"/>
      <c r="F388" s="66"/>
      <c r="G388" s="66"/>
      <c r="H388" s="66"/>
      <c r="I388" s="66"/>
      <c r="J388" s="66"/>
      <c r="K388" s="66"/>
      <c r="L388" s="66"/>
      <c r="M388" s="330"/>
      <c r="N388" s="339"/>
      <c r="O388" s="331" t="str">
        <f>IFERROR(__xludf.DUMMYFUNCTION("IFERROR(AVERAGE(FILTER('حضور '!I:I,'حضور '!A:A=A388,MONTH('حضور '!B:B)=N388)),"""")"),"")</f>
        <v/>
      </c>
    </row>
    <row r="389" ht="26.25" hidden="1" customHeight="1">
      <c r="A389" s="371"/>
      <c r="B389" s="372"/>
      <c r="C389" s="66"/>
      <c r="D389" s="90"/>
      <c r="E389" s="66"/>
      <c r="F389" s="66"/>
      <c r="G389" s="66"/>
      <c r="H389" s="66"/>
      <c r="I389" s="66"/>
      <c r="J389" s="66"/>
      <c r="K389" s="66"/>
      <c r="L389" s="66"/>
      <c r="M389" s="330"/>
      <c r="N389" s="330"/>
      <c r="O389" s="331" t="str">
        <f>IFERROR(__xludf.DUMMYFUNCTION("IFERROR(AVERAGE(FILTER('حضور '!I:I,'حضور '!A:A=A389,MONTH('حضور '!B:B)=N389)),"""")"),"")</f>
        <v/>
      </c>
    </row>
    <row r="390" ht="26.25" hidden="1" customHeight="1">
      <c r="A390" s="371"/>
      <c r="B390" s="372"/>
      <c r="C390" s="66"/>
      <c r="D390" s="90"/>
      <c r="E390" s="66"/>
      <c r="F390" s="66"/>
      <c r="G390" s="66"/>
      <c r="H390" s="66"/>
      <c r="I390" s="66"/>
      <c r="J390" s="66"/>
      <c r="K390" s="66"/>
      <c r="L390" s="66"/>
      <c r="M390" s="330"/>
      <c r="N390" s="339"/>
      <c r="O390" s="331" t="str">
        <f>IFERROR(__xludf.DUMMYFUNCTION("IFERROR(AVERAGE(FILTER('حضور '!I:I,'حضور '!A:A=A390,MONTH('حضور '!B:B)=N390)),"""")"),"")</f>
        <v/>
      </c>
    </row>
    <row r="391" ht="26.25" hidden="1" customHeight="1">
      <c r="A391" s="371"/>
      <c r="B391" s="372"/>
      <c r="C391" s="66"/>
      <c r="D391" s="90"/>
      <c r="E391" s="66"/>
      <c r="F391" s="66"/>
      <c r="G391" s="66"/>
      <c r="H391" s="66"/>
      <c r="I391" s="66"/>
      <c r="J391" s="66"/>
      <c r="K391" s="66"/>
      <c r="L391" s="66"/>
      <c r="M391" s="330"/>
      <c r="N391" s="339"/>
      <c r="O391" s="331" t="str">
        <f>IFERROR(__xludf.DUMMYFUNCTION("IFERROR(AVERAGE(FILTER('حضور '!I:I,'حضور '!A:A=A391,MONTH('حضور '!B:B)=N391)),"""")"),"")</f>
        <v/>
      </c>
    </row>
    <row r="392" ht="26.25" hidden="1" customHeight="1">
      <c r="A392" s="371"/>
      <c r="B392" s="372"/>
      <c r="C392" s="66"/>
      <c r="D392" s="90"/>
      <c r="E392" s="66"/>
      <c r="F392" s="66"/>
      <c r="G392" s="66"/>
      <c r="H392" s="66"/>
      <c r="I392" s="66"/>
      <c r="J392" s="66"/>
      <c r="K392" s="66"/>
      <c r="L392" s="66"/>
      <c r="M392" s="330"/>
      <c r="N392" s="339"/>
      <c r="O392" s="331" t="str">
        <f>IFERROR(__xludf.DUMMYFUNCTION("IFERROR(AVERAGE(FILTER('حضور '!I:I,'حضور '!A:A=A392,MONTH('حضور '!B:B)=N392)),"""")"),"")</f>
        <v/>
      </c>
    </row>
    <row r="393" ht="26.25" hidden="1" customHeight="1">
      <c r="A393" s="371"/>
      <c r="B393" s="372"/>
      <c r="C393" s="66"/>
      <c r="D393" s="90"/>
      <c r="E393" s="66"/>
      <c r="F393" s="66"/>
      <c r="G393" s="66"/>
      <c r="H393" s="66"/>
      <c r="I393" s="66"/>
      <c r="J393" s="66"/>
      <c r="K393" s="66"/>
      <c r="L393" s="66"/>
      <c r="M393" s="330"/>
      <c r="N393" s="339"/>
      <c r="O393" s="331" t="str">
        <f>IFERROR(__xludf.DUMMYFUNCTION("IFERROR(AVERAGE(FILTER('حضور '!I:I,'حضور '!A:A=A393,MONTH('حضور '!B:B)=N393)),"""")"),"")</f>
        <v/>
      </c>
    </row>
    <row r="394" ht="26.25" hidden="1" customHeight="1">
      <c r="A394" s="371"/>
      <c r="B394" s="372"/>
      <c r="C394" s="66"/>
      <c r="D394" s="90"/>
      <c r="E394" s="66"/>
      <c r="F394" s="66"/>
      <c r="G394" s="66"/>
      <c r="H394" s="66"/>
      <c r="I394" s="66"/>
      <c r="J394" s="66"/>
      <c r="K394" s="66"/>
      <c r="L394" s="66"/>
      <c r="M394" s="330"/>
      <c r="N394" s="330"/>
      <c r="O394" s="331" t="str">
        <f>IFERROR(__xludf.DUMMYFUNCTION("IFERROR(AVERAGE(FILTER('حضور '!I:I,'حضور '!A:A=A394,MONTH('حضور '!B:B)=N394)),"""")"),"")</f>
        <v/>
      </c>
    </row>
    <row r="395" ht="26.25" hidden="1" customHeight="1">
      <c r="A395" s="371"/>
      <c r="B395" s="372"/>
      <c r="C395" s="66"/>
      <c r="D395" s="90"/>
      <c r="E395" s="66"/>
      <c r="F395" s="66"/>
      <c r="G395" s="66"/>
      <c r="H395" s="66"/>
      <c r="I395" s="66"/>
      <c r="J395" s="66"/>
      <c r="K395" s="66"/>
      <c r="L395" s="66"/>
      <c r="M395" s="330"/>
      <c r="N395" s="339"/>
      <c r="O395" s="331" t="str">
        <f>IFERROR(__xludf.DUMMYFUNCTION("IFERROR(AVERAGE(FILTER('حضور '!I:I,'حضور '!A:A=A395,MONTH('حضور '!B:B)=N395)),"""")"),"")</f>
        <v/>
      </c>
    </row>
    <row r="396" ht="26.25" hidden="1" customHeight="1">
      <c r="A396" s="371"/>
      <c r="B396" s="372"/>
      <c r="C396" s="66"/>
      <c r="D396" s="90"/>
      <c r="E396" s="66"/>
      <c r="F396" s="66"/>
      <c r="G396" s="66"/>
      <c r="H396" s="66"/>
      <c r="I396" s="66"/>
      <c r="J396" s="66"/>
      <c r="K396" s="66"/>
      <c r="L396" s="66"/>
      <c r="M396" s="330"/>
      <c r="N396" s="339"/>
      <c r="O396" s="331" t="str">
        <f>IFERROR(__xludf.DUMMYFUNCTION("IFERROR(AVERAGE(FILTER('حضور '!I:I,'حضور '!A:A=A396,MONTH('حضور '!B:B)=N396)),"""")"),"")</f>
        <v/>
      </c>
    </row>
    <row r="397" ht="26.25" hidden="1" customHeight="1">
      <c r="A397" s="371"/>
      <c r="B397" s="372"/>
      <c r="C397" s="66"/>
      <c r="D397" s="90"/>
      <c r="E397" s="66"/>
      <c r="F397" s="66"/>
      <c r="G397" s="66"/>
      <c r="H397" s="66"/>
      <c r="I397" s="66"/>
      <c r="J397" s="66"/>
      <c r="K397" s="66"/>
      <c r="L397" s="66"/>
      <c r="M397" s="330"/>
      <c r="N397" s="339"/>
      <c r="O397" s="331" t="str">
        <f>IFERROR(__xludf.DUMMYFUNCTION("IFERROR(AVERAGE(FILTER('حضور '!I:I,'حضور '!A:A=A397,MONTH('حضور '!B:B)=N397)),"""")"),"")</f>
        <v/>
      </c>
    </row>
    <row r="398" ht="26.25" hidden="1" customHeight="1">
      <c r="A398" s="371"/>
      <c r="B398" s="372"/>
      <c r="C398" s="66"/>
      <c r="D398" s="90"/>
      <c r="E398" s="66"/>
      <c r="F398" s="66"/>
      <c r="G398" s="66"/>
      <c r="H398" s="66"/>
      <c r="I398" s="66"/>
      <c r="J398" s="66"/>
      <c r="K398" s="66"/>
      <c r="L398" s="66"/>
      <c r="M398" s="330"/>
      <c r="N398" s="339"/>
      <c r="O398" s="331" t="str">
        <f>IFERROR(__xludf.DUMMYFUNCTION("IFERROR(AVERAGE(FILTER('حضور '!I:I,'حضور '!A:A=A398,MONTH('حضور '!B:B)=N398)),"""")"),"")</f>
        <v/>
      </c>
    </row>
    <row r="399" ht="26.25" hidden="1" customHeight="1">
      <c r="A399" s="371"/>
      <c r="B399" s="372"/>
      <c r="C399" s="66"/>
      <c r="D399" s="90"/>
      <c r="E399" s="66"/>
      <c r="F399" s="66"/>
      <c r="G399" s="66"/>
      <c r="H399" s="66"/>
      <c r="I399" s="66"/>
      <c r="J399" s="66"/>
      <c r="K399" s="66"/>
      <c r="L399" s="66"/>
      <c r="M399" s="330"/>
      <c r="N399" s="330"/>
      <c r="O399" s="331" t="str">
        <f>IFERROR(__xludf.DUMMYFUNCTION("IFERROR(AVERAGE(FILTER('حضور '!I:I,'حضور '!A:A=A399,MONTH('حضور '!B:B)=N399)),"""")"),"")</f>
        <v/>
      </c>
    </row>
    <row r="400" ht="26.25" hidden="1" customHeight="1">
      <c r="A400" s="371"/>
      <c r="B400" s="372"/>
      <c r="C400" s="66"/>
      <c r="D400" s="90"/>
      <c r="E400" s="66"/>
      <c r="F400" s="66"/>
      <c r="G400" s="66"/>
      <c r="H400" s="66"/>
      <c r="I400" s="66"/>
      <c r="J400" s="66"/>
      <c r="K400" s="66"/>
      <c r="L400" s="66"/>
      <c r="M400" s="330"/>
      <c r="N400" s="339"/>
      <c r="O400" s="331" t="str">
        <f>IFERROR(__xludf.DUMMYFUNCTION("IFERROR(AVERAGE(FILTER('حضور '!I:I,'حضور '!A:A=A400,MONTH('حضور '!B:B)=N400)),"""")"),"")</f>
        <v/>
      </c>
    </row>
    <row r="401" ht="26.25" hidden="1" customHeight="1">
      <c r="A401" s="371"/>
      <c r="B401" s="372"/>
      <c r="C401" s="66"/>
      <c r="D401" s="90"/>
      <c r="E401" s="66"/>
      <c r="F401" s="66"/>
      <c r="G401" s="66"/>
      <c r="H401" s="66"/>
      <c r="I401" s="66"/>
      <c r="J401" s="66"/>
      <c r="K401" s="66"/>
      <c r="L401" s="66"/>
      <c r="M401" s="330"/>
      <c r="N401" s="339"/>
      <c r="O401" s="331" t="str">
        <f>IFERROR(__xludf.DUMMYFUNCTION("IFERROR(AVERAGE(FILTER('حضور '!I:I,'حضور '!A:A=A401,MONTH('حضور '!B:B)=N401)),"""")"),"")</f>
        <v/>
      </c>
    </row>
    <row r="402" ht="26.25" hidden="1" customHeight="1">
      <c r="A402" s="371"/>
      <c r="B402" s="372"/>
      <c r="C402" s="66"/>
      <c r="D402" s="90"/>
      <c r="E402" s="66"/>
      <c r="F402" s="66"/>
      <c r="G402" s="66"/>
      <c r="H402" s="66"/>
      <c r="I402" s="66"/>
      <c r="J402" s="66"/>
      <c r="K402" s="66"/>
      <c r="L402" s="66"/>
      <c r="M402" s="330"/>
      <c r="N402" s="339"/>
      <c r="O402" s="331" t="str">
        <f>IFERROR(__xludf.DUMMYFUNCTION("IFERROR(AVERAGE(FILTER('حضور '!I:I,'حضور '!A:A=A402,MONTH('حضور '!B:B)=N402)),"""")"),"")</f>
        <v/>
      </c>
    </row>
    <row r="403" ht="26.25" hidden="1" customHeight="1">
      <c r="A403" s="371"/>
      <c r="B403" s="372"/>
      <c r="C403" s="66"/>
      <c r="D403" s="90"/>
      <c r="E403" s="66"/>
      <c r="F403" s="66"/>
      <c r="G403" s="66"/>
      <c r="H403" s="66"/>
      <c r="I403" s="66"/>
      <c r="J403" s="66"/>
      <c r="K403" s="66"/>
      <c r="L403" s="66"/>
      <c r="M403" s="330"/>
      <c r="N403" s="339"/>
      <c r="O403" s="331" t="str">
        <f>IFERROR(__xludf.DUMMYFUNCTION("IFERROR(AVERAGE(FILTER('حضور '!I:I,'حضور '!A:A=A403,MONTH('حضور '!B:B)=N403)),"""")"),"")</f>
        <v/>
      </c>
    </row>
    <row r="404" ht="26.25" hidden="1" customHeight="1">
      <c r="A404" s="371"/>
      <c r="B404" s="372"/>
      <c r="C404" s="66"/>
      <c r="D404" s="90"/>
      <c r="E404" s="66"/>
      <c r="F404" s="66"/>
      <c r="G404" s="66"/>
      <c r="H404" s="66"/>
      <c r="I404" s="66"/>
      <c r="J404" s="66"/>
      <c r="K404" s="66"/>
      <c r="L404" s="66"/>
      <c r="M404" s="330"/>
      <c r="N404" s="330"/>
      <c r="O404" s="331" t="str">
        <f>IFERROR(__xludf.DUMMYFUNCTION("IFERROR(AVERAGE(FILTER('حضور '!I:I,'حضور '!A:A=A404,MONTH('حضور '!B:B)=N404)),"""")"),"")</f>
        <v/>
      </c>
    </row>
    <row r="405" ht="26.25" hidden="1" customHeight="1">
      <c r="A405" s="371"/>
      <c r="B405" s="372"/>
      <c r="C405" s="66"/>
      <c r="D405" s="90"/>
      <c r="E405" s="66"/>
      <c r="F405" s="66"/>
      <c r="G405" s="66"/>
      <c r="H405" s="66"/>
      <c r="I405" s="66"/>
      <c r="J405" s="66"/>
      <c r="K405" s="66"/>
      <c r="L405" s="66"/>
      <c r="M405" s="330"/>
      <c r="N405" s="339"/>
      <c r="O405" s="331" t="str">
        <f>IFERROR(__xludf.DUMMYFUNCTION("IFERROR(AVERAGE(FILTER('حضور '!I:I,'حضور '!A:A=A405,MONTH('حضور '!B:B)=N405)),"""")"),"")</f>
        <v/>
      </c>
    </row>
    <row r="406" ht="26.25" hidden="1" customHeight="1">
      <c r="A406" s="371"/>
      <c r="B406" s="372"/>
      <c r="C406" s="66"/>
      <c r="D406" s="90"/>
      <c r="E406" s="66"/>
      <c r="F406" s="66"/>
      <c r="G406" s="66"/>
      <c r="H406" s="66"/>
      <c r="I406" s="66"/>
      <c r="J406" s="66"/>
      <c r="K406" s="66"/>
      <c r="L406" s="66"/>
      <c r="M406" s="330"/>
      <c r="N406" s="339"/>
      <c r="O406" s="331" t="str">
        <f>IFERROR(__xludf.DUMMYFUNCTION("IFERROR(AVERAGE(FILTER('حضور '!I:I,'حضور '!A:A=A406,MONTH('حضور '!B:B)=N406)),"""")"),"")</f>
        <v/>
      </c>
    </row>
    <row r="407" ht="26.25" hidden="1" customHeight="1">
      <c r="A407" s="371"/>
      <c r="B407" s="372"/>
      <c r="C407" s="66"/>
      <c r="D407" s="90"/>
      <c r="E407" s="66"/>
      <c r="F407" s="66"/>
      <c r="G407" s="66"/>
      <c r="H407" s="66"/>
      <c r="I407" s="66"/>
      <c r="J407" s="66"/>
      <c r="K407" s="66"/>
      <c r="L407" s="66"/>
      <c r="M407" s="330"/>
      <c r="N407" s="339"/>
      <c r="O407" s="331" t="str">
        <f>IFERROR(__xludf.DUMMYFUNCTION("IFERROR(AVERAGE(FILTER('حضور '!I:I,'حضور '!A:A=A407,MONTH('حضور '!B:B)=N407)),"""")"),"")</f>
        <v/>
      </c>
    </row>
    <row r="408" ht="26.25" hidden="1" customHeight="1">
      <c r="A408" s="371"/>
      <c r="B408" s="372"/>
      <c r="C408" s="66"/>
      <c r="D408" s="90"/>
      <c r="E408" s="66"/>
      <c r="F408" s="66"/>
      <c r="G408" s="66"/>
      <c r="H408" s="66"/>
      <c r="I408" s="66"/>
      <c r="J408" s="66"/>
      <c r="K408" s="66"/>
      <c r="L408" s="66"/>
      <c r="M408" s="330"/>
      <c r="N408" s="339"/>
      <c r="O408" s="331" t="str">
        <f>IFERROR(__xludf.DUMMYFUNCTION("IFERROR(AVERAGE(FILTER('حضور '!I:I,'حضور '!A:A=A408,MONTH('حضور '!B:B)=N408)),"""")"),"")</f>
        <v/>
      </c>
    </row>
    <row r="409" ht="26.25" hidden="1" customHeight="1">
      <c r="A409" s="371"/>
      <c r="B409" s="372"/>
      <c r="C409" s="66"/>
      <c r="D409" s="90"/>
      <c r="E409" s="66"/>
      <c r="F409" s="66"/>
      <c r="G409" s="66"/>
      <c r="H409" s="66"/>
      <c r="I409" s="66"/>
      <c r="J409" s="66"/>
      <c r="K409" s="66"/>
      <c r="L409" s="66"/>
      <c r="M409" s="330"/>
      <c r="N409" s="330"/>
      <c r="O409" s="331" t="str">
        <f>IFERROR(__xludf.DUMMYFUNCTION("IFERROR(AVERAGE(FILTER('حضور '!I:I,'حضور '!A:A=A409,MONTH('حضور '!B:B)=N409)),"""")"),"")</f>
        <v/>
      </c>
    </row>
    <row r="410" ht="26.25" hidden="1" customHeight="1">
      <c r="A410" s="371"/>
      <c r="B410" s="372"/>
      <c r="C410" s="66"/>
      <c r="D410" s="90"/>
      <c r="E410" s="66"/>
      <c r="F410" s="66"/>
      <c r="G410" s="66"/>
      <c r="H410" s="66"/>
      <c r="I410" s="66"/>
      <c r="J410" s="66"/>
      <c r="K410" s="66"/>
      <c r="L410" s="66"/>
      <c r="M410" s="330"/>
      <c r="N410" s="339"/>
      <c r="O410" s="331" t="str">
        <f>IFERROR(__xludf.DUMMYFUNCTION("IFERROR(AVERAGE(FILTER('حضور '!I:I,'حضور '!A:A=A410,MONTH('حضور '!B:B)=N410)),"""")"),"")</f>
        <v/>
      </c>
    </row>
    <row r="411" ht="26.25" hidden="1" customHeight="1">
      <c r="A411" s="371"/>
      <c r="B411" s="372"/>
      <c r="C411" s="66"/>
      <c r="D411" s="90"/>
      <c r="E411" s="66"/>
      <c r="F411" s="66"/>
      <c r="G411" s="66"/>
      <c r="H411" s="66"/>
      <c r="I411" s="66"/>
      <c r="J411" s="66"/>
      <c r="K411" s="66"/>
      <c r="L411" s="66"/>
      <c r="M411" s="330"/>
      <c r="N411" s="339"/>
      <c r="O411" s="331" t="str">
        <f>IFERROR(__xludf.DUMMYFUNCTION("IFERROR(AVERAGE(FILTER('حضور '!I:I,'حضور '!A:A=A411,MONTH('حضور '!B:B)=N411)),"""")"),"")</f>
        <v/>
      </c>
    </row>
    <row r="412" ht="26.25" hidden="1" customHeight="1">
      <c r="A412" s="371"/>
      <c r="B412" s="372"/>
      <c r="C412" s="66"/>
      <c r="D412" s="90"/>
      <c r="E412" s="66"/>
      <c r="F412" s="66"/>
      <c r="G412" s="66"/>
      <c r="H412" s="66"/>
      <c r="I412" s="66"/>
      <c r="J412" s="66"/>
      <c r="K412" s="66"/>
      <c r="L412" s="66"/>
      <c r="M412" s="330"/>
      <c r="N412" s="339"/>
      <c r="O412" s="331" t="str">
        <f>IFERROR(__xludf.DUMMYFUNCTION("IFERROR(AVERAGE(FILTER('حضور '!I:I,'حضور '!A:A=A412,MONTH('حضور '!B:B)=N412)),"""")"),"")</f>
        <v/>
      </c>
    </row>
    <row r="413" ht="26.25" hidden="1" customHeight="1">
      <c r="A413" s="371"/>
      <c r="B413" s="372"/>
      <c r="C413" s="66"/>
      <c r="D413" s="90"/>
      <c r="E413" s="66"/>
      <c r="F413" s="66"/>
      <c r="G413" s="66"/>
      <c r="H413" s="66"/>
      <c r="I413" s="66"/>
      <c r="J413" s="66"/>
      <c r="K413" s="66"/>
      <c r="L413" s="66"/>
      <c r="M413" s="330"/>
      <c r="N413" s="339"/>
      <c r="O413" s="331" t="str">
        <f>IFERROR(__xludf.DUMMYFUNCTION("IFERROR(AVERAGE(FILTER('حضور '!I:I,'حضور '!A:A=A413,MONTH('حضور '!B:B)=N413)),"""")"),"")</f>
        <v/>
      </c>
    </row>
    <row r="414" ht="26.25" hidden="1" customHeight="1">
      <c r="A414" s="371"/>
      <c r="B414" s="372"/>
      <c r="C414" s="66"/>
      <c r="D414" s="90"/>
      <c r="E414" s="66"/>
      <c r="F414" s="66"/>
      <c r="G414" s="66"/>
      <c r="H414" s="66"/>
      <c r="I414" s="66"/>
      <c r="J414" s="66"/>
      <c r="K414" s="66"/>
      <c r="L414" s="66"/>
      <c r="M414" s="330"/>
      <c r="N414" s="330"/>
      <c r="O414" s="331" t="str">
        <f>IFERROR(__xludf.DUMMYFUNCTION("IFERROR(AVERAGE(FILTER('حضور '!I:I,'حضور '!A:A=A414,MONTH('حضور '!B:B)=N414)),"""")"),"")</f>
        <v/>
      </c>
    </row>
    <row r="415" ht="26.25" hidden="1" customHeight="1">
      <c r="A415" s="371"/>
      <c r="B415" s="372"/>
      <c r="C415" s="66"/>
      <c r="D415" s="90"/>
      <c r="E415" s="66"/>
      <c r="F415" s="66"/>
      <c r="G415" s="66"/>
      <c r="H415" s="66"/>
      <c r="I415" s="66"/>
      <c r="J415" s="66"/>
      <c r="K415" s="66"/>
      <c r="L415" s="66"/>
      <c r="M415" s="330"/>
      <c r="N415" s="339"/>
      <c r="O415" s="331" t="str">
        <f>IFERROR(__xludf.DUMMYFUNCTION("IFERROR(AVERAGE(FILTER('حضور '!I:I,'حضور '!A:A=A415,MONTH('حضور '!B:B)=N415)),"""")"),"")</f>
        <v/>
      </c>
    </row>
    <row r="416" ht="26.25" hidden="1" customHeight="1">
      <c r="A416" s="371"/>
      <c r="B416" s="372"/>
      <c r="C416" s="66"/>
      <c r="D416" s="90"/>
      <c r="E416" s="66"/>
      <c r="F416" s="66"/>
      <c r="G416" s="66"/>
      <c r="H416" s="66"/>
      <c r="I416" s="66"/>
      <c r="J416" s="66"/>
      <c r="K416" s="66"/>
      <c r="L416" s="66"/>
      <c r="M416" s="330"/>
      <c r="N416" s="339"/>
      <c r="O416" s="331" t="str">
        <f>IFERROR(__xludf.DUMMYFUNCTION("IFERROR(AVERAGE(FILTER('حضور '!I:I,'حضور '!A:A=A416,MONTH('حضور '!B:B)=N416)),"""")"),"")</f>
        <v/>
      </c>
    </row>
    <row r="417" ht="26.25" hidden="1" customHeight="1">
      <c r="A417" s="371"/>
      <c r="B417" s="372"/>
      <c r="C417" s="66"/>
      <c r="D417" s="90"/>
      <c r="E417" s="66"/>
      <c r="F417" s="66"/>
      <c r="G417" s="66"/>
      <c r="H417" s="66"/>
      <c r="I417" s="66"/>
      <c r="J417" s="66"/>
      <c r="K417" s="66"/>
      <c r="L417" s="66"/>
      <c r="M417" s="330"/>
      <c r="N417" s="339"/>
      <c r="O417" s="331" t="str">
        <f>IFERROR(__xludf.DUMMYFUNCTION("IFERROR(AVERAGE(FILTER('حضور '!I:I,'حضور '!A:A=A417,MONTH('حضور '!B:B)=N417)),"""")"),"")</f>
        <v/>
      </c>
    </row>
    <row r="418" ht="26.25" hidden="1" customHeight="1">
      <c r="A418" s="371"/>
      <c r="B418" s="372"/>
      <c r="C418" s="66"/>
      <c r="D418" s="90"/>
      <c r="E418" s="66"/>
      <c r="F418" s="66"/>
      <c r="G418" s="66"/>
      <c r="H418" s="66"/>
      <c r="I418" s="66"/>
      <c r="J418" s="66"/>
      <c r="K418" s="66"/>
      <c r="L418" s="66"/>
      <c r="M418" s="330"/>
      <c r="N418" s="339"/>
      <c r="O418" s="331" t="str">
        <f>IFERROR(__xludf.DUMMYFUNCTION("IFERROR(AVERAGE(FILTER('حضور '!I:I,'حضور '!A:A=A418,MONTH('حضور '!B:B)=N418)),"""")"),"")</f>
        <v/>
      </c>
    </row>
    <row r="419" ht="26.25" hidden="1" customHeight="1">
      <c r="A419" s="371"/>
      <c r="B419" s="372"/>
      <c r="C419" s="66"/>
      <c r="D419" s="90"/>
      <c r="E419" s="66"/>
      <c r="F419" s="66"/>
      <c r="G419" s="66"/>
      <c r="H419" s="66"/>
      <c r="I419" s="66"/>
      <c r="J419" s="66"/>
      <c r="K419" s="66"/>
      <c r="L419" s="66"/>
      <c r="M419" s="330"/>
      <c r="N419" s="330"/>
      <c r="O419" s="331" t="str">
        <f>IFERROR(__xludf.DUMMYFUNCTION("IFERROR(AVERAGE(FILTER('حضور '!I:I,'حضور '!A:A=A419,MONTH('حضور '!B:B)=N419)),"""")"),"")</f>
        <v/>
      </c>
    </row>
    <row r="420" ht="26.25" hidden="1" customHeight="1">
      <c r="A420" s="371"/>
      <c r="B420" s="372"/>
      <c r="C420" s="66"/>
      <c r="D420" s="90"/>
      <c r="E420" s="66"/>
      <c r="F420" s="66"/>
      <c r="G420" s="66"/>
      <c r="H420" s="66"/>
      <c r="I420" s="66"/>
      <c r="J420" s="66"/>
      <c r="K420" s="66"/>
      <c r="L420" s="66"/>
      <c r="M420" s="330"/>
      <c r="N420" s="339"/>
      <c r="O420" s="331" t="str">
        <f>IFERROR(__xludf.DUMMYFUNCTION("IFERROR(AVERAGE(FILTER('حضور '!I:I,'حضور '!A:A=A420,MONTH('حضور '!B:B)=N420)),"""")"),"")</f>
        <v/>
      </c>
    </row>
    <row r="421" ht="26.25" hidden="1" customHeight="1">
      <c r="A421" s="371"/>
      <c r="B421" s="372"/>
      <c r="C421" s="66"/>
      <c r="D421" s="90"/>
      <c r="E421" s="66"/>
      <c r="F421" s="66"/>
      <c r="G421" s="66"/>
      <c r="H421" s="66"/>
      <c r="I421" s="66"/>
      <c r="J421" s="66"/>
      <c r="K421" s="66"/>
      <c r="L421" s="66"/>
      <c r="M421" s="330"/>
      <c r="N421" s="339"/>
      <c r="O421" s="331" t="str">
        <f>IFERROR(__xludf.DUMMYFUNCTION("IFERROR(AVERAGE(FILTER('حضور '!I:I,'حضور '!A:A=A421,MONTH('حضور '!B:B)=N421)),"""")"),"")</f>
        <v/>
      </c>
    </row>
    <row r="422" ht="26.25" hidden="1" customHeight="1">
      <c r="A422" s="371"/>
      <c r="B422" s="372"/>
      <c r="C422" s="66"/>
      <c r="D422" s="90"/>
      <c r="E422" s="66"/>
      <c r="F422" s="66"/>
      <c r="G422" s="66"/>
      <c r="H422" s="66"/>
      <c r="I422" s="66"/>
      <c r="J422" s="66"/>
      <c r="K422" s="66"/>
      <c r="L422" s="66"/>
      <c r="M422" s="330"/>
      <c r="N422" s="339"/>
      <c r="O422" s="331" t="str">
        <f>IFERROR(__xludf.DUMMYFUNCTION("IFERROR(AVERAGE(FILTER('حضور '!I:I,'حضور '!A:A=A422,MONTH('حضور '!B:B)=N422)),"""")"),"")</f>
        <v/>
      </c>
    </row>
    <row r="423" ht="26.25" hidden="1" customHeight="1">
      <c r="A423" s="371"/>
      <c r="B423" s="372"/>
      <c r="C423" s="66"/>
      <c r="D423" s="90"/>
      <c r="E423" s="66"/>
      <c r="F423" s="66"/>
      <c r="G423" s="66"/>
      <c r="H423" s="66"/>
      <c r="I423" s="66"/>
      <c r="J423" s="66"/>
      <c r="K423" s="66"/>
      <c r="L423" s="66"/>
      <c r="M423" s="330"/>
      <c r="N423" s="339"/>
      <c r="O423" s="331" t="str">
        <f>IFERROR(__xludf.DUMMYFUNCTION("IFERROR(AVERAGE(FILTER('حضور '!I:I,'حضور '!A:A=A423,MONTH('حضور '!B:B)=N423)),"""")"),"")</f>
        <v/>
      </c>
    </row>
    <row r="424" ht="26.25" hidden="1" customHeight="1">
      <c r="A424" s="371"/>
      <c r="B424" s="372"/>
      <c r="C424" s="66"/>
      <c r="D424" s="90"/>
      <c r="E424" s="66"/>
      <c r="F424" s="66"/>
      <c r="G424" s="66"/>
      <c r="H424" s="66"/>
      <c r="I424" s="66"/>
      <c r="J424" s="66"/>
      <c r="K424" s="66"/>
      <c r="L424" s="66"/>
      <c r="M424" s="330"/>
      <c r="N424" s="330"/>
      <c r="O424" s="331" t="str">
        <f>IFERROR(__xludf.DUMMYFUNCTION("IFERROR(AVERAGE(FILTER('حضور '!I:I,'حضور '!A:A=A424,MONTH('حضور '!B:B)=N424)),"""")"),"")</f>
        <v/>
      </c>
    </row>
    <row r="425" ht="26.25" hidden="1" customHeight="1">
      <c r="A425" s="371"/>
      <c r="B425" s="372"/>
      <c r="C425" s="66"/>
      <c r="D425" s="90"/>
      <c r="E425" s="66"/>
      <c r="F425" s="66"/>
      <c r="G425" s="66"/>
      <c r="H425" s="66"/>
      <c r="I425" s="66"/>
      <c r="J425" s="66"/>
      <c r="K425" s="66"/>
      <c r="L425" s="66"/>
      <c r="M425" s="330"/>
      <c r="N425" s="339"/>
      <c r="O425" s="331" t="str">
        <f>IFERROR(__xludf.DUMMYFUNCTION("IFERROR(AVERAGE(FILTER('حضور '!I:I,'حضور '!A:A=A425,MONTH('حضور '!B:B)=N425)),"""")"),"")</f>
        <v/>
      </c>
    </row>
    <row r="426" ht="26.25" hidden="1" customHeight="1">
      <c r="A426" s="371"/>
      <c r="B426" s="372"/>
      <c r="C426" s="66"/>
      <c r="D426" s="90"/>
      <c r="E426" s="66"/>
      <c r="F426" s="66"/>
      <c r="G426" s="66"/>
      <c r="H426" s="66"/>
      <c r="I426" s="66"/>
      <c r="J426" s="66"/>
      <c r="K426" s="66"/>
      <c r="L426" s="66"/>
      <c r="M426" s="330"/>
      <c r="N426" s="339"/>
      <c r="O426" s="331" t="str">
        <f>IFERROR(__xludf.DUMMYFUNCTION("IFERROR(AVERAGE(FILTER('حضور '!I:I,'حضور '!A:A=A426,MONTH('حضور '!B:B)=N426)),"""")"),"")</f>
        <v/>
      </c>
    </row>
    <row r="427" ht="26.25" hidden="1" customHeight="1">
      <c r="A427" s="371"/>
      <c r="B427" s="372"/>
      <c r="C427" s="66"/>
      <c r="D427" s="90"/>
      <c r="E427" s="66"/>
      <c r="F427" s="66"/>
      <c r="G427" s="66"/>
      <c r="H427" s="66"/>
      <c r="I427" s="66"/>
      <c r="J427" s="66"/>
      <c r="K427" s="66"/>
      <c r="L427" s="66"/>
      <c r="M427" s="330"/>
      <c r="N427" s="339"/>
      <c r="O427" s="331" t="str">
        <f>IFERROR(__xludf.DUMMYFUNCTION("IFERROR(AVERAGE(FILTER('حضور '!I:I,'حضور '!A:A=A427,MONTH('حضور '!B:B)=N427)),"""")"),"")</f>
        <v/>
      </c>
    </row>
    <row r="428" ht="26.25" hidden="1" customHeight="1">
      <c r="A428" s="371"/>
      <c r="B428" s="372"/>
      <c r="C428" s="66"/>
      <c r="D428" s="90"/>
      <c r="E428" s="66"/>
      <c r="F428" s="66"/>
      <c r="G428" s="66"/>
      <c r="H428" s="66"/>
      <c r="I428" s="66"/>
      <c r="J428" s="66"/>
      <c r="K428" s="66"/>
      <c r="L428" s="66"/>
      <c r="M428" s="330"/>
      <c r="N428" s="339"/>
      <c r="O428" s="331" t="str">
        <f>IFERROR(__xludf.DUMMYFUNCTION("IFERROR(AVERAGE(FILTER('حضور '!I:I,'حضور '!A:A=A428,MONTH('حضور '!B:B)=N428)),"""")"),"")</f>
        <v/>
      </c>
    </row>
    <row r="429" ht="26.25" hidden="1" customHeight="1">
      <c r="A429" s="371"/>
      <c r="B429" s="372"/>
      <c r="C429" s="66"/>
      <c r="D429" s="90"/>
      <c r="E429" s="66"/>
      <c r="F429" s="66"/>
      <c r="G429" s="66"/>
      <c r="H429" s="66"/>
      <c r="I429" s="66"/>
      <c r="J429" s="66"/>
      <c r="K429" s="66"/>
      <c r="L429" s="66"/>
      <c r="M429" s="330"/>
      <c r="N429" s="330"/>
      <c r="O429" s="331" t="str">
        <f>IFERROR(__xludf.DUMMYFUNCTION("IFERROR(AVERAGE(FILTER('حضور '!I:I,'حضور '!A:A=A429,MONTH('حضور '!B:B)=N429)),"""")"),"")</f>
        <v/>
      </c>
    </row>
    <row r="430" ht="26.25" hidden="1" customHeight="1">
      <c r="A430" s="371"/>
      <c r="B430" s="372"/>
      <c r="C430" s="66"/>
      <c r="D430" s="90"/>
      <c r="E430" s="66"/>
      <c r="F430" s="66"/>
      <c r="G430" s="66"/>
      <c r="H430" s="66"/>
      <c r="I430" s="66"/>
      <c r="J430" s="66"/>
      <c r="K430" s="66"/>
      <c r="L430" s="66"/>
      <c r="M430" s="330"/>
      <c r="N430" s="339"/>
      <c r="O430" s="331" t="str">
        <f>IFERROR(__xludf.DUMMYFUNCTION("IFERROR(AVERAGE(FILTER('حضور '!I:I,'حضور '!A:A=A430,MONTH('حضور '!B:B)=N430)),"""")"),"")</f>
        <v/>
      </c>
    </row>
    <row r="431" ht="26.25" hidden="1" customHeight="1">
      <c r="A431" s="371"/>
      <c r="B431" s="372"/>
      <c r="C431" s="66"/>
      <c r="D431" s="90"/>
      <c r="E431" s="66"/>
      <c r="F431" s="66"/>
      <c r="G431" s="66"/>
      <c r="H431" s="66"/>
      <c r="I431" s="66"/>
      <c r="J431" s="66"/>
      <c r="K431" s="66"/>
      <c r="L431" s="66"/>
      <c r="M431" s="330"/>
      <c r="N431" s="339"/>
      <c r="O431" s="331" t="str">
        <f>IFERROR(__xludf.DUMMYFUNCTION("IFERROR(AVERAGE(FILTER('حضور '!I:I,'حضور '!A:A=A431,MONTH('حضور '!B:B)=N431)),"""")"),"")</f>
        <v/>
      </c>
    </row>
    <row r="432" ht="26.25" hidden="1" customHeight="1">
      <c r="A432" s="371"/>
      <c r="B432" s="372"/>
      <c r="C432" s="66"/>
      <c r="D432" s="90"/>
      <c r="E432" s="66"/>
      <c r="F432" s="66"/>
      <c r="G432" s="66"/>
      <c r="H432" s="66"/>
      <c r="I432" s="66"/>
      <c r="J432" s="66"/>
      <c r="K432" s="66"/>
      <c r="L432" s="66"/>
      <c r="M432" s="330"/>
      <c r="N432" s="339"/>
      <c r="O432" s="331" t="str">
        <f>IFERROR(__xludf.DUMMYFUNCTION("IFERROR(AVERAGE(FILTER('حضور '!I:I,'حضور '!A:A=A432,MONTH('حضور '!B:B)=N432)),"""")"),"")</f>
        <v/>
      </c>
    </row>
    <row r="433" ht="26.25" hidden="1" customHeight="1">
      <c r="A433" s="371"/>
      <c r="B433" s="372"/>
      <c r="C433" s="66"/>
      <c r="D433" s="90"/>
      <c r="E433" s="66"/>
      <c r="F433" s="66"/>
      <c r="G433" s="66"/>
      <c r="H433" s="66"/>
      <c r="I433" s="66"/>
      <c r="J433" s="66"/>
      <c r="K433" s="66"/>
      <c r="L433" s="66"/>
      <c r="M433" s="330"/>
      <c r="N433" s="339"/>
      <c r="O433" s="331" t="str">
        <f>IFERROR(__xludf.DUMMYFUNCTION("IFERROR(AVERAGE(FILTER('حضور '!I:I,'حضور '!A:A=A433,MONTH('حضور '!B:B)=N433)),"""")"),"")</f>
        <v/>
      </c>
    </row>
    <row r="434" ht="26.25" hidden="1" customHeight="1">
      <c r="A434" s="371"/>
      <c r="B434" s="372"/>
      <c r="C434" s="66"/>
      <c r="D434" s="90"/>
      <c r="E434" s="66"/>
      <c r="F434" s="66"/>
      <c r="G434" s="66"/>
      <c r="H434" s="66"/>
      <c r="I434" s="66"/>
      <c r="J434" s="66"/>
      <c r="K434" s="66"/>
      <c r="L434" s="66"/>
      <c r="M434" s="330"/>
      <c r="N434" s="330"/>
      <c r="O434" s="331" t="str">
        <f>IFERROR(__xludf.DUMMYFUNCTION("IFERROR(AVERAGE(FILTER('حضور '!I:I,'حضور '!A:A=A434,MONTH('حضور '!B:B)=N434)),"""")"),"")</f>
        <v/>
      </c>
    </row>
    <row r="435" ht="26.25" hidden="1" customHeight="1">
      <c r="A435" s="371"/>
      <c r="B435" s="372"/>
      <c r="C435" s="66"/>
      <c r="D435" s="90"/>
      <c r="E435" s="66"/>
      <c r="F435" s="66"/>
      <c r="G435" s="66"/>
      <c r="H435" s="66"/>
      <c r="I435" s="66"/>
      <c r="J435" s="66"/>
      <c r="K435" s="66"/>
      <c r="L435" s="66"/>
      <c r="M435" s="330"/>
      <c r="N435" s="339"/>
      <c r="O435" s="331" t="str">
        <f>IFERROR(__xludf.DUMMYFUNCTION("IFERROR(AVERAGE(FILTER('حضور '!I:I,'حضور '!A:A=A435,MONTH('حضور '!B:B)=N435)),"""")"),"")</f>
        <v/>
      </c>
    </row>
    <row r="436" ht="26.25" hidden="1" customHeight="1">
      <c r="A436" s="371"/>
      <c r="B436" s="372"/>
      <c r="C436" s="66"/>
      <c r="D436" s="90"/>
      <c r="E436" s="66"/>
      <c r="F436" s="66"/>
      <c r="G436" s="66"/>
      <c r="H436" s="66"/>
      <c r="I436" s="66"/>
      <c r="J436" s="66"/>
      <c r="K436" s="66"/>
      <c r="L436" s="66"/>
      <c r="M436" s="330"/>
      <c r="N436" s="339"/>
      <c r="O436" s="331" t="str">
        <f>IFERROR(__xludf.DUMMYFUNCTION("IFERROR(AVERAGE(FILTER('حضور '!I:I,'حضور '!A:A=A436,MONTH('حضور '!B:B)=N436)),"""")"),"")</f>
        <v/>
      </c>
    </row>
    <row r="437" ht="26.25" hidden="1" customHeight="1">
      <c r="A437" s="371"/>
      <c r="B437" s="372"/>
      <c r="C437" s="66"/>
      <c r="D437" s="90"/>
      <c r="E437" s="66"/>
      <c r="F437" s="66"/>
      <c r="G437" s="66"/>
      <c r="H437" s="66"/>
      <c r="I437" s="66"/>
      <c r="J437" s="66"/>
      <c r="K437" s="66"/>
      <c r="L437" s="66"/>
      <c r="M437" s="330"/>
      <c r="N437" s="339"/>
      <c r="O437" s="331" t="str">
        <f>IFERROR(__xludf.DUMMYFUNCTION("IFERROR(AVERAGE(FILTER('حضور '!I:I,'حضور '!A:A=A437,MONTH('حضور '!B:B)=N437)),"""")"),"")</f>
        <v/>
      </c>
    </row>
    <row r="438" ht="26.25" hidden="1" customHeight="1">
      <c r="A438" s="371"/>
      <c r="B438" s="372"/>
      <c r="C438" s="66"/>
      <c r="D438" s="90"/>
      <c r="E438" s="66"/>
      <c r="F438" s="66"/>
      <c r="G438" s="66"/>
      <c r="H438" s="66"/>
      <c r="I438" s="66"/>
      <c r="J438" s="66"/>
      <c r="K438" s="66"/>
      <c r="L438" s="66"/>
      <c r="M438" s="330"/>
      <c r="N438" s="339"/>
      <c r="O438" s="331" t="str">
        <f>IFERROR(__xludf.DUMMYFUNCTION("IFERROR(AVERAGE(FILTER('حضور '!I:I,'حضور '!A:A=A438,MONTH('حضور '!B:B)=N438)),"""")"),"")</f>
        <v/>
      </c>
    </row>
    <row r="439" ht="26.25" hidden="1" customHeight="1">
      <c r="A439" s="371"/>
      <c r="B439" s="372"/>
      <c r="C439" s="66"/>
      <c r="D439" s="90"/>
      <c r="E439" s="66"/>
      <c r="F439" s="66"/>
      <c r="G439" s="66"/>
      <c r="H439" s="66"/>
      <c r="I439" s="66"/>
      <c r="J439" s="66"/>
      <c r="K439" s="66"/>
      <c r="L439" s="66"/>
      <c r="M439" s="330"/>
      <c r="N439" s="330"/>
      <c r="O439" s="331" t="str">
        <f>IFERROR(__xludf.DUMMYFUNCTION("IFERROR(AVERAGE(FILTER('حضور '!I:I,'حضور '!A:A=A439,MONTH('حضور '!B:B)=N439)),"""")"),"")</f>
        <v/>
      </c>
    </row>
    <row r="440" ht="26.25" hidden="1" customHeight="1">
      <c r="A440" s="371"/>
      <c r="B440" s="372"/>
      <c r="C440" s="66"/>
      <c r="D440" s="90"/>
      <c r="E440" s="66"/>
      <c r="F440" s="66"/>
      <c r="G440" s="66"/>
      <c r="H440" s="66"/>
      <c r="I440" s="66"/>
      <c r="J440" s="66"/>
      <c r="K440" s="66"/>
      <c r="L440" s="66"/>
      <c r="M440" s="330"/>
      <c r="N440" s="339"/>
      <c r="O440" s="331" t="str">
        <f>IFERROR(__xludf.DUMMYFUNCTION("IFERROR(AVERAGE(FILTER('حضور '!I:I,'حضور '!A:A=A440,MONTH('حضور '!B:B)=N440)),"""")"),"")</f>
        <v/>
      </c>
    </row>
    <row r="441" ht="26.25" hidden="1" customHeight="1">
      <c r="A441" s="371"/>
      <c r="B441" s="372"/>
      <c r="C441" s="66"/>
      <c r="D441" s="90"/>
      <c r="E441" s="66"/>
      <c r="F441" s="66"/>
      <c r="G441" s="66"/>
      <c r="H441" s="66"/>
      <c r="I441" s="66"/>
      <c r="J441" s="66"/>
      <c r="K441" s="66"/>
      <c r="L441" s="66"/>
      <c r="M441" s="330"/>
      <c r="N441" s="339"/>
      <c r="O441" s="331" t="str">
        <f>IFERROR(__xludf.DUMMYFUNCTION("IFERROR(AVERAGE(FILTER('حضور '!I:I,'حضور '!A:A=A441,MONTH('حضور '!B:B)=N441)),"""")"),"")</f>
        <v/>
      </c>
    </row>
    <row r="442" ht="26.25" hidden="1" customHeight="1">
      <c r="A442" s="371"/>
      <c r="B442" s="372"/>
      <c r="C442" s="66"/>
      <c r="D442" s="90"/>
      <c r="E442" s="66"/>
      <c r="F442" s="66"/>
      <c r="G442" s="66"/>
      <c r="H442" s="66"/>
      <c r="I442" s="66"/>
      <c r="J442" s="66"/>
      <c r="K442" s="66"/>
      <c r="L442" s="66"/>
      <c r="M442" s="330"/>
      <c r="N442" s="339"/>
      <c r="O442" s="331" t="str">
        <f>IFERROR(__xludf.DUMMYFUNCTION("IFERROR(AVERAGE(FILTER('حضور '!I:I,'حضور '!A:A=A442,MONTH('حضور '!B:B)=N442)),"""")"),"")</f>
        <v/>
      </c>
    </row>
    <row r="443" ht="26.25" hidden="1" customHeight="1">
      <c r="A443" s="371"/>
      <c r="B443" s="372"/>
      <c r="C443" s="66"/>
      <c r="D443" s="90"/>
      <c r="E443" s="66"/>
      <c r="F443" s="66"/>
      <c r="G443" s="66"/>
      <c r="H443" s="66"/>
      <c r="I443" s="66"/>
      <c r="J443" s="66"/>
      <c r="K443" s="66"/>
      <c r="L443" s="66"/>
      <c r="M443" s="330"/>
      <c r="N443" s="339"/>
      <c r="O443" s="331" t="str">
        <f>IFERROR(__xludf.DUMMYFUNCTION("IFERROR(AVERAGE(FILTER('حضور '!I:I,'حضور '!A:A=A443,MONTH('حضور '!B:B)=N443)),"""")"),"")</f>
        <v/>
      </c>
    </row>
    <row r="444" ht="26.25" hidden="1" customHeight="1">
      <c r="A444" s="371"/>
      <c r="B444" s="372"/>
      <c r="C444" s="66"/>
      <c r="D444" s="90"/>
      <c r="E444" s="66"/>
      <c r="F444" s="66"/>
      <c r="G444" s="66"/>
      <c r="H444" s="66"/>
      <c r="I444" s="66"/>
      <c r="J444" s="66"/>
      <c r="K444" s="66"/>
      <c r="L444" s="66"/>
      <c r="M444" s="330"/>
      <c r="N444" s="330"/>
      <c r="O444" s="331" t="str">
        <f>IFERROR(__xludf.DUMMYFUNCTION("IFERROR(AVERAGE(FILTER('حضور '!I:I,'حضور '!A:A=A444,MONTH('حضور '!B:B)=N444)),"""")"),"")</f>
        <v/>
      </c>
    </row>
    <row r="445" ht="26.25" hidden="1" customHeight="1">
      <c r="A445" s="371"/>
      <c r="B445" s="372"/>
      <c r="C445" s="66"/>
      <c r="D445" s="90"/>
      <c r="E445" s="66"/>
      <c r="F445" s="66"/>
      <c r="G445" s="66"/>
      <c r="H445" s="66"/>
      <c r="I445" s="66"/>
      <c r="J445" s="66"/>
      <c r="K445" s="66"/>
      <c r="L445" s="66"/>
      <c r="M445" s="330"/>
      <c r="N445" s="339"/>
      <c r="O445" s="331" t="str">
        <f>IFERROR(__xludf.DUMMYFUNCTION("IFERROR(AVERAGE(FILTER('حضور '!I:I,'حضور '!A:A=A445,MONTH('حضور '!B:B)=N445)),"""")"),"")</f>
        <v/>
      </c>
    </row>
    <row r="446" ht="26.25" hidden="1" customHeight="1">
      <c r="A446" s="371"/>
      <c r="B446" s="372"/>
      <c r="C446" s="66"/>
      <c r="D446" s="90"/>
      <c r="E446" s="66"/>
      <c r="F446" s="66"/>
      <c r="G446" s="66"/>
      <c r="H446" s="66"/>
      <c r="I446" s="66"/>
      <c r="J446" s="66"/>
      <c r="K446" s="66"/>
      <c r="L446" s="66"/>
      <c r="M446" s="330"/>
      <c r="N446" s="339"/>
      <c r="O446" s="331" t="str">
        <f>IFERROR(__xludf.DUMMYFUNCTION("IFERROR(AVERAGE(FILTER('حضور '!I:I,'حضور '!A:A=A446,MONTH('حضور '!B:B)=N446)),"""")"),"")</f>
        <v/>
      </c>
    </row>
    <row r="447" ht="26.25" hidden="1" customHeight="1">
      <c r="A447" s="371"/>
      <c r="B447" s="372"/>
      <c r="C447" s="66"/>
      <c r="D447" s="90"/>
      <c r="E447" s="66"/>
      <c r="F447" s="66"/>
      <c r="G447" s="66"/>
      <c r="H447" s="66"/>
      <c r="I447" s="66"/>
      <c r="J447" s="66"/>
      <c r="K447" s="66"/>
      <c r="L447" s="66"/>
      <c r="M447" s="330"/>
      <c r="N447" s="339"/>
      <c r="O447" s="331" t="str">
        <f>IFERROR(__xludf.DUMMYFUNCTION("IFERROR(AVERAGE(FILTER('حضور '!I:I,'حضور '!A:A=A447,MONTH('حضور '!B:B)=N447)),"""")"),"")</f>
        <v/>
      </c>
    </row>
    <row r="448" ht="26.25" hidden="1" customHeight="1">
      <c r="A448" s="371"/>
      <c r="B448" s="372"/>
      <c r="C448" s="66"/>
      <c r="D448" s="90"/>
      <c r="E448" s="66"/>
      <c r="F448" s="66"/>
      <c r="G448" s="66"/>
      <c r="H448" s="66"/>
      <c r="I448" s="66"/>
      <c r="J448" s="66"/>
      <c r="K448" s="66"/>
      <c r="L448" s="66"/>
      <c r="M448" s="330"/>
      <c r="N448" s="339"/>
      <c r="O448" s="331" t="str">
        <f>IFERROR(__xludf.DUMMYFUNCTION("IFERROR(AVERAGE(FILTER('حضور '!I:I,'حضور '!A:A=A448,MONTH('حضور '!B:B)=N448)),"""")"),"")</f>
        <v/>
      </c>
    </row>
    <row r="449" ht="26.25" hidden="1" customHeight="1">
      <c r="A449" s="371"/>
      <c r="B449" s="372"/>
      <c r="C449" s="66"/>
      <c r="D449" s="90"/>
      <c r="E449" s="66"/>
      <c r="F449" s="66"/>
      <c r="G449" s="66"/>
      <c r="H449" s="66"/>
      <c r="I449" s="66"/>
      <c r="J449" s="66"/>
      <c r="K449" s="66"/>
      <c r="L449" s="66"/>
      <c r="M449" s="330"/>
      <c r="N449" s="330"/>
      <c r="O449" s="331" t="str">
        <f>IFERROR(__xludf.DUMMYFUNCTION("IFERROR(AVERAGE(FILTER('حضور '!I:I,'حضور '!A:A=A449,MONTH('حضور '!B:B)=N449)),"""")"),"")</f>
        <v/>
      </c>
    </row>
    <row r="450" ht="26.25" hidden="1" customHeight="1">
      <c r="A450" s="371"/>
      <c r="B450" s="372"/>
      <c r="C450" s="66"/>
      <c r="D450" s="90"/>
      <c r="E450" s="66"/>
      <c r="F450" s="66"/>
      <c r="G450" s="66"/>
      <c r="H450" s="66"/>
      <c r="I450" s="66"/>
      <c r="J450" s="66"/>
      <c r="K450" s="66"/>
      <c r="L450" s="66"/>
      <c r="M450" s="330"/>
      <c r="N450" s="339"/>
      <c r="O450" s="331" t="str">
        <f>IFERROR(__xludf.DUMMYFUNCTION("IFERROR(AVERAGE(FILTER('حضور '!I:I,'حضور '!A:A=A450,MONTH('حضور '!B:B)=N450)),"""")"),"")</f>
        <v/>
      </c>
    </row>
    <row r="451" ht="26.25" hidden="1" customHeight="1">
      <c r="A451" s="371"/>
      <c r="B451" s="372"/>
      <c r="C451" s="66"/>
      <c r="D451" s="90"/>
      <c r="E451" s="66"/>
      <c r="F451" s="66"/>
      <c r="G451" s="66"/>
      <c r="H451" s="66"/>
      <c r="I451" s="66"/>
      <c r="J451" s="66"/>
      <c r="K451" s="66"/>
      <c r="L451" s="66"/>
      <c r="M451" s="330"/>
      <c r="N451" s="339"/>
      <c r="O451" s="331" t="str">
        <f>IFERROR(__xludf.DUMMYFUNCTION("IFERROR(AVERAGE(FILTER('حضور '!I:I,'حضور '!A:A=A451,MONTH('حضور '!B:B)=N451)),"""")"),"")</f>
        <v/>
      </c>
    </row>
    <row r="452" ht="26.25" hidden="1" customHeight="1">
      <c r="A452" s="371"/>
      <c r="B452" s="372"/>
      <c r="C452" s="66"/>
      <c r="D452" s="90"/>
      <c r="E452" s="66"/>
      <c r="F452" s="66"/>
      <c r="G452" s="66"/>
      <c r="H452" s="66"/>
      <c r="I452" s="66"/>
      <c r="J452" s="66"/>
      <c r="K452" s="66"/>
      <c r="L452" s="66"/>
      <c r="M452" s="330"/>
      <c r="N452" s="339"/>
      <c r="O452" s="331" t="str">
        <f>IFERROR(__xludf.DUMMYFUNCTION("IFERROR(AVERAGE(FILTER('حضور '!I:I,'حضور '!A:A=A452,MONTH('حضور '!B:B)=N452)),"""")"),"")</f>
        <v/>
      </c>
    </row>
    <row r="453" ht="26.25" hidden="1" customHeight="1">
      <c r="A453" s="371"/>
      <c r="B453" s="372"/>
      <c r="C453" s="66"/>
      <c r="D453" s="90"/>
      <c r="E453" s="66"/>
      <c r="F453" s="66"/>
      <c r="G453" s="66"/>
      <c r="H453" s="66"/>
      <c r="I453" s="66"/>
      <c r="J453" s="66"/>
      <c r="K453" s="66"/>
      <c r="L453" s="66"/>
      <c r="M453" s="330"/>
      <c r="N453" s="339"/>
      <c r="O453" s="331" t="str">
        <f>IFERROR(__xludf.DUMMYFUNCTION("IFERROR(AVERAGE(FILTER('حضور '!I:I,'حضور '!A:A=A453,MONTH('حضور '!B:B)=N453)),"""")"),"")</f>
        <v/>
      </c>
    </row>
    <row r="454" ht="26.25" hidden="1" customHeight="1">
      <c r="A454" s="371"/>
      <c r="B454" s="372"/>
      <c r="C454" s="66"/>
      <c r="D454" s="90"/>
      <c r="E454" s="66"/>
      <c r="F454" s="66"/>
      <c r="G454" s="66"/>
      <c r="H454" s="66"/>
      <c r="I454" s="66"/>
      <c r="J454" s="66"/>
      <c r="K454" s="66"/>
      <c r="L454" s="66"/>
      <c r="M454" s="330"/>
      <c r="N454" s="330"/>
      <c r="O454" s="331" t="str">
        <f>IFERROR(__xludf.DUMMYFUNCTION("IFERROR(AVERAGE(FILTER('حضور '!I:I,'حضور '!A:A=A454,MONTH('حضور '!B:B)=N454)),"""")"),"")</f>
        <v/>
      </c>
    </row>
    <row r="455" ht="26.25" hidden="1" customHeight="1">
      <c r="A455" s="371"/>
      <c r="B455" s="372"/>
      <c r="C455" s="66"/>
      <c r="D455" s="90"/>
      <c r="E455" s="66"/>
      <c r="F455" s="66"/>
      <c r="G455" s="66"/>
      <c r="H455" s="66"/>
      <c r="I455" s="66"/>
      <c r="J455" s="66"/>
      <c r="K455" s="66"/>
      <c r="L455" s="66"/>
      <c r="M455" s="330"/>
      <c r="N455" s="339"/>
      <c r="O455" s="331" t="str">
        <f>IFERROR(__xludf.DUMMYFUNCTION("IFERROR(AVERAGE(FILTER('حضور '!I:I,'حضور '!A:A=A455,MONTH('حضور '!B:B)=N455)),"""")"),"")</f>
        <v/>
      </c>
    </row>
    <row r="456" ht="26.25" hidden="1" customHeight="1">
      <c r="A456" s="371"/>
      <c r="B456" s="372"/>
      <c r="C456" s="66"/>
      <c r="D456" s="90"/>
      <c r="E456" s="66"/>
      <c r="F456" s="66"/>
      <c r="G456" s="66"/>
      <c r="H456" s="66"/>
      <c r="I456" s="66"/>
      <c r="J456" s="66"/>
      <c r="K456" s="66"/>
      <c r="L456" s="66"/>
      <c r="M456" s="330"/>
      <c r="N456" s="339"/>
      <c r="O456" s="331" t="str">
        <f>IFERROR(__xludf.DUMMYFUNCTION("IFERROR(AVERAGE(FILTER('حضور '!I:I,'حضور '!A:A=A456,MONTH('حضور '!B:B)=N456)),"""")"),"")</f>
        <v/>
      </c>
    </row>
    <row r="457" ht="26.25" hidden="1" customHeight="1">
      <c r="A457" s="371"/>
      <c r="B457" s="372"/>
      <c r="C457" s="66"/>
      <c r="D457" s="90"/>
      <c r="E457" s="66"/>
      <c r="F457" s="66"/>
      <c r="G457" s="66"/>
      <c r="H457" s="66"/>
      <c r="I457" s="66"/>
      <c r="J457" s="66"/>
      <c r="K457" s="66"/>
      <c r="L457" s="66"/>
      <c r="M457" s="330"/>
      <c r="N457" s="339"/>
      <c r="O457" s="331" t="str">
        <f>IFERROR(__xludf.DUMMYFUNCTION("IFERROR(AVERAGE(FILTER('حضور '!I:I,'حضور '!A:A=A457,MONTH('حضور '!B:B)=N457)),"""")"),"")</f>
        <v/>
      </c>
    </row>
    <row r="458" ht="26.25" hidden="1" customHeight="1">
      <c r="A458" s="371"/>
      <c r="B458" s="372"/>
      <c r="C458" s="66"/>
      <c r="D458" s="90"/>
      <c r="E458" s="66"/>
      <c r="F458" s="66"/>
      <c r="G458" s="66"/>
      <c r="H458" s="66"/>
      <c r="I458" s="66"/>
      <c r="J458" s="66"/>
      <c r="K458" s="66"/>
      <c r="L458" s="66"/>
      <c r="M458" s="330"/>
      <c r="N458" s="339"/>
      <c r="O458" s="331" t="str">
        <f>IFERROR(__xludf.DUMMYFUNCTION("IFERROR(AVERAGE(FILTER('حضور '!I:I,'حضور '!A:A=A458,MONTH('حضور '!B:B)=N458)),"""")"),"")</f>
        <v/>
      </c>
    </row>
    <row r="459" ht="26.25" hidden="1" customHeight="1">
      <c r="A459" s="371"/>
      <c r="B459" s="372"/>
      <c r="C459" s="66"/>
      <c r="D459" s="90"/>
      <c r="E459" s="66"/>
      <c r="F459" s="66"/>
      <c r="G459" s="66"/>
      <c r="H459" s="66"/>
      <c r="I459" s="66"/>
      <c r="J459" s="66"/>
      <c r="K459" s="66"/>
      <c r="L459" s="66"/>
      <c r="M459" s="330"/>
      <c r="N459" s="330"/>
      <c r="O459" s="331" t="str">
        <f>IFERROR(__xludf.DUMMYFUNCTION("IFERROR(AVERAGE(FILTER('حضور '!I:I,'حضور '!A:A=A459,MONTH('حضور '!B:B)=N459)),"""")"),"")</f>
        <v/>
      </c>
    </row>
    <row r="460" ht="26.25" hidden="1" customHeight="1">
      <c r="A460" s="371"/>
      <c r="B460" s="372"/>
      <c r="C460" s="66"/>
      <c r="D460" s="90"/>
      <c r="E460" s="66"/>
      <c r="F460" s="66"/>
      <c r="G460" s="66"/>
      <c r="H460" s="66"/>
      <c r="I460" s="66"/>
      <c r="J460" s="66"/>
      <c r="K460" s="66"/>
      <c r="L460" s="66"/>
      <c r="M460" s="330"/>
      <c r="N460" s="339"/>
      <c r="O460" s="331" t="str">
        <f>IFERROR(__xludf.DUMMYFUNCTION("IFERROR(AVERAGE(FILTER('حضور '!I:I,'حضور '!A:A=A460,MONTH('حضور '!B:B)=N460)),"""")"),"")</f>
        <v/>
      </c>
    </row>
    <row r="461" ht="26.25" hidden="1" customHeight="1">
      <c r="A461" s="371"/>
      <c r="B461" s="372"/>
      <c r="C461" s="66"/>
      <c r="D461" s="90"/>
      <c r="E461" s="66"/>
      <c r="F461" s="66"/>
      <c r="G461" s="66"/>
      <c r="H461" s="66"/>
      <c r="I461" s="66"/>
      <c r="J461" s="66"/>
      <c r="K461" s="66"/>
      <c r="L461" s="66"/>
      <c r="M461" s="330"/>
      <c r="N461" s="339"/>
      <c r="O461" s="331" t="str">
        <f>IFERROR(__xludf.DUMMYFUNCTION("IFERROR(AVERAGE(FILTER('حضور '!I:I,'حضور '!A:A=A461,MONTH('حضور '!B:B)=N461)),"""")"),"")</f>
        <v/>
      </c>
    </row>
    <row r="462" ht="26.25" hidden="1" customHeight="1">
      <c r="A462" s="371"/>
      <c r="B462" s="372"/>
      <c r="C462" s="66"/>
      <c r="D462" s="90"/>
      <c r="E462" s="66"/>
      <c r="F462" s="66"/>
      <c r="G462" s="66"/>
      <c r="H462" s="66"/>
      <c r="I462" s="66"/>
      <c r="J462" s="66"/>
      <c r="K462" s="66"/>
      <c r="L462" s="66"/>
      <c r="M462" s="330"/>
      <c r="N462" s="339"/>
      <c r="O462" s="331" t="str">
        <f>IFERROR(__xludf.DUMMYFUNCTION("IFERROR(AVERAGE(FILTER('حضور '!I:I,'حضور '!A:A=A462,MONTH('حضور '!B:B)=N462)),"""")"),"")</f>
        <v/>
      </c>
    </row>
    <row r="463" ht="26.25" hidden="1" customHeight="1">
      <c r="A463" s="371"/>
      <c r="B463" s="372"/>
      <c r="C463" s="66"/>
      <c r="D463" s="90"/>
      <c r="E463" s="66"/>
      <c r="F463" s="66"/>
      <c r="G463" s="66"/>
      <c r="H463" s="66"/>
      <c r="I463" s="66"/>
      <c r="J463" s="66"/>
      <c r="K463" s="66"/>
      <c r="L463" s="66"/>
      <c r="M463" s="330"/>
      <c r="N463" s="339"/>
      <c r="O463" s="331" t="str">
        <f>IFERROR(__xludf.DUMMYFUNCTION("IFERROR(AVERAGE(FILTER('حضور '!I:I,'حضور '!A:A=A463,MONTH('حضور '!B:B)=N463)),"""")"),"")</f>
        <v/>
      </c>
    </row>
    <row r="464" ht="26.25" hidden="1" customHeight="1">
      <c r="A464" s="371"/>
      <c r="B464" s="372"/>
      <c r="C464" s="66"/>
      <c r="D464" s="90"/>
      <c r="E464" s="66"/>
      <c r="F464" s="66"/>
      <c r="G464" s="66"/>
      <c r="H464" s="66"/>
      <c r="I464" s="66"/>
      <c r="J464" s="66"/>
      <c r="K464" s="66"/>
      <c r="L464" s="66"/>
      <c r="M464" s="330"/>
      <c r="N464" s="330"/>
      <c r="O464" s="331" t="str">
        <f>IFERROR(__xludf.DUMMYFUNCTION("IFERROR(AVERAGE(FILTER('حضور '!I:I,'حضور '!A:A=A464,MONTH('حضور '!B:B)=N464)),"""")"),"")</f>
        <v/>
      </c>
    </row>
    <row r="465" ht="26.25" hidden="1" customHeight="1">
      <c r="A465" s="371"/>
      <c r="B465" s="372"/>
      <c r="C465" s="66"/>
      <c r="D465" s="90"/>
      <c r="E465" s="66"/>
      <c r="F465" s="66"/>
      <c r="G465" s="66"/>
      <c r="H465" s="66"/>
      <c r="I465" s="66"/>
      <c r="J465" s="66"/>
      <c r="K465" s="66"/>
      <c r="L465" s="66"/>
      <c r="M465" s="330"/>
      <c r="N465" s="339"/>
      <c r="O465" s="331" t="str">
        <f>IFERROR(__xludf.DUMMYFUNCTION("IFERROR(AVERAGE(FILTER('حضور '!I:I,'حضور '!A:A=A465,MONTH('حضور '!B:B)=N465)),"""")"),"")</f>
        <v/>
      </c>
    </row>
    <row r="466" ht="26.25" hidden="1" customHeight="1">
      <c r="A466" s="371"/>
      <c r="B466" s="372"/>
      <c r="C466" s="66"/>
      <c r="D466" s="90"/>
      <c r="E466" s="66"/>
      <c r="F466" s="66"/>
      <c r="G466" s="66"/>
      <c r="H466" s="66"/>
      <c r="I466" s="66"/>
      <c r="J466" s="66"/>
      <c r="K466" s="66"/>
      <c r="L466" s="66"/>
      <c r="M466" s="330"/>
      <c r="N466" s="339"/>
      <c r="O466" s="331" t="str">
        <f>IFERROR(__xludf.DUMMYFUNCTION("IFERROR(AVERAGE(FILTER('حضور '!I:I,'حضور '!A:A=A466,MONTH('حضور '!B:B)=N466)),"""")"),"")</f>
        <v/>
      </c>
    </row>
    <row r="467" ht="26.25" hidden="1" customHeight="1">
      <c r="A467" s="371"/>
      <c r="B467" s="372"/>
      <c r="C467" s="66"/>
      <c r="D467" s="90"/>
      <c r="E467" s="66"/>
      <c r="F467" s="66"/>
      <c r="G467" s="66"/>
      <c r="H467" s="66"/>
      <c r="I467" s="66"/>
      <c r="J467" s="66"/>
      <c r="K467" s="66"/>
      <c r="L467" s="66"/>
      <c r="M467" s="330"/>
      <c r="N467" s="339"/>
      <c r="O467" s="331" t="str">
        <f>IFERROR(__xludf.DUMMYFUNCTION("IFERROR(AVERAGE(FILTER('حضور '!I:I,'حضور '!A:A=A467,MONTH('حضور '!B:B)=N467)),"""")"),"")</f>
        <v/>
      </c>
    </row>
    <row r="468" ht="26.25" hidden="1" customHeight="1">
      <c r="A468" s="371"/>
      <c r="B468" s="372"/>
      <c r="C468" s="66"/>
      <c r="D468" s="90"/>
      <c r="E468" s="66"/>
      <c r="F468" s="66"/>
      <c r="G468" s="66"/>
      <c r="H468" s="66"/>
      <c r="I468" s="66"/>
      <c r="J468" s="66"/>
      <c r="K468" s="66"/>
      <c r="L468" s="66"/>
      <c r="M468" s="330"/>
      <c r="N468" s="339"/>
      <c r="O468" s="331" t="str">
        <f>IFERROR(__xludf.DUMMYFUNCTION("IFERROR(AVERAGE(FILTER('حضور '!I:I,'حضور '!A:A=A468,MONTH('حضور '!B:B)=N468)),"""")"),"")</f>
        <v/>
      </c>
    </row>
    <row r="469" ht="26.25" hidden="1" customHeight="1">
      <c r="A469" s="371"/>
      <c r="B469" s="372"/>
      <c r="C469" s="66"/>
      <c r="D469" s="90"/>
      <c r="E469" s="66"/>
      <c r="F469" s="66"/>
      <c r="G469" s="66"/>
      <c r="H469" s="66"/>
      <c r="I469" s="66"/>
      <c r="J469" s="66"/>
      <c r="K469" s="66"/>
      <c r="L469" s="66"/>
      <c r="M469" s="330"/>
      <c r="N469" s="330"/>
      <c r="O469" s="331" t="str">
        <f>IFERROR(__xludf.DUMMYFUNCTION("IFERROR(AVERAGE(FILTER('حضور '!I:I,'حضور '!A:A=A469,MONTH('حضور '!B:B)=N469)),"""")"),"")</f>
        <v/>
      </c>
    </row>
    <row r="470" ht="26.25" hidden="1" customHeight="1">
      <c r="A470" s="371"/>
      <c r="B470" s="372"/>
      <c r="C470" s="66"/>
      <c r="D470" s="90"/>
      <c r="E470" s="66"/>
      <c r="F470" s="66"/>
      <c r="G470" s="66"/>
      <c r="H470" s="66"/>
      <c r="I470" s="66"/>
      <c r="J470" s="66"/>
      <c r="K470" s="66"/>
      <c r="L470" s="66"/>
      <c r="M470" s="330"/>
      <c r="N470" s="339"/>
      <c r="O470" s="331" t="str">
        <f>IFERROR(__xludf.DUMMYFUNCTION("IFERROR(AVERAGE(FILTER('حضور '!I:I,'حضور '!A:A=A470,MONTH('حضور '!B:B)=N470)),"""")"),"")</f>
        <v/>
      </c>
    </row>
    <row r="471" ht="26.25" hidden="1" customHeight="1">
      <c r="A471" s="371"/>
      <c r="B471" s="372"/>
      <c r="C471" s="66"/>
      <c r="D471" s="90"/>
      <c r="E471" s="66"/>
      <c r="F471" s="66"/>
      <c r="G471" s="66"/>
      <c r="H471" s="66"/>
      <c r="I471" s="66"/>
      <c r="J471" s="66"/>
      <c r="K471" s="66"/>
      <c r="L471" s="66"/>
      <c r="M471" s="330"/>
      <c r="N471" s="339"/>
      <c r="O471" s="331" t="str">
        <f>IFERROR(__xludf.DUMMYFUNCTION("IFERROR(AVERAGE(FILTER('حضور '!I:I,'حضور '!A:A=A471,MONTH('حضور '!B:B)=N471)),"""")"),"")</f>
        <v/>
      </c>
    </row>
    <row r="472" ht="26.25" hidden="1" customHeight="1">
      <c r="A472" s="371"/>
      <c r="B472" s="372"/>
      <c r="C472" s="66"/>
      <c r="D472" s="90"/>
      <c r="E472" s="66"/>
      <c r="F472" s="66"/>
      <c r="G472" s="66"/>
      <c r="H472" s="66"/>
      <c r="I472" s="66"/>
      <c r="J472" s="66"/>
      <c r="K472" s="66"/>
      <c r="L472" s="66"/>
      <c r="M472" s="330"/>
      <c r="N472" s="339"/>
      <c r="O472" s="331" t="str">
        <f>IFERROR(__xludf.DUMMYFUNCTION("IFERROR(AVERAGE(FILTER('حضور '!I:I,'حضور '!A:A=A472,MONTH('حضور '!B:B)=N472)),"""")"),"")</f>
        <v/>
      </c>
    </row>
    <row r="473" ht="26.25" hidden="1" customHeight="1">
      <c r="A473" s="371"/>
      <c r="B473" s="372"/>
      <c r="C473" s="66"/>
      <c r="D473" s="90"/>
      <c r="E473" s="66"/>
      <c r="F473" s="66"/>
      <c r="G473" s="66"/>
      <c r="H473" s="66"/>
      <c r="I473" s="66"/>
      <c r="J473" s="66"/>
      <c r="K473" s="66"/>
      <c r="L473" s="66"/>
      <c r="M473" s="330"/>
      <c r="N473" s="339"/>
      <c r="O473" s="331" t="str">
        <f>IFERROR(__xludf.DUMMYFUNCTION("IFERROR(AVERAGE(FILTER('حضور '!I:I,'حضور '!A:A=A473,MONTH('حضور '!B:B)=N473)),"""")"),"")</f>
        <v/>
      </c>
    </row>
    <row r="474" ht="26.25" hidden="1" customHeight="1">
      <c r="A474" s="371"/>
      <c r="B474" s="372"/>
      <c r="C474" s="66"/>
      <c r="D474" s="90"/>
      <c r="E474" s="66"/>
      <c r="F474" s="66"/>
      <c r="G474" s="66"/>
      <c r="H474" s="66"/>
      <c r="I474" s="66"/>
      <c r="J474" s="66"/>
      <c r="K474" s="66"/>
      <c r="L474" s="66"/>
      <c r="M474" s="330"/>
      <c r="N474" s="330"/>
      <c r="O474" s="331" t="str">
        <f>IFERROR(__xludf.DUMMYFUNCTION("IFERROR(AVERAGE(FILTER('حضور '!I:I,'حضور '!A:A=A474,MONTH('حضور '!B:B)=N474)),"""")"),"")</f>
        <v/>
      </c>
    </row>
    <row r="475" ht="26.25" hidden="1" customHeight="1">
      <c r="A475" s="371"/>
      <c r="B475" s="372"/>
      <c r="C475" s="66"/>
      <c r="D475" s="90"/>
      <c r="E475" s="66"/>
      <c r="F475" s="66"/>
      <c r="G475" s="66"/>
      <c r="H475" s="66"/>
      <c r="I475" s="66"/>
      <c r="J475" s="66"/>
      <c r="K475" s="66"/>
      <c r="L475" s="66"/>
      <c r="M475" s="330"/>
      <c r="N475" s="339"/>
      <c r="O475" s="331" t="str">
        <f>IFERROR(__xludf.DUMMYFUNCTION("IFERROR(AVERAGE(FILTER('حضور '!I:I,'حضور '!A:A=A475,MONTH('حضور '!B:B)=N475)),"""")"),"")</f>
        <v/>
      </c>
    </row>
    <row r="476" ht="26.25" hidden="1" customHeight="1">
      <c r="A476" s="371"/>
      <c r="B476" s="372"/>
      <c r="C476" s="66"/>
      <c r="D476" s="90"/>
      <c r="E476" s="66"/>
      <c r="F476" s="66"/>
      <c r="G476" s="66"/>
      <c r="H476" s="66"/>
      <c r="I476" s="66"/>
      <c r="J476" s="66"/>
      <c r="K476" s="66"/>
      <c r="L476" s="66"/>
      <c r="M476" s="330"/>
      <c r="N476" s="339"/>
      <c r="O476" s="331" t="str">
        <f>IFERROR(__xludf.DUMMYFUNCTION("IFERROR(AVERAGE(FILTER('حضور '!I:I,'حضور '!A:A=A476,MONTH('حضور '!B:B)=N476)),"""")"),"")</f>
        <v/>
      </c>
    </row>
    <row r="477" ht="26.25" hidden="1" customHeight="1">
      <c r="A477" s="371"/>
      <c r="B477" s="372"/>
      <c r="C477" s="66"/>
      <c r="D477" s="90"/>
      <c r="E477" s="66"/>
      <c r="F477" s="66"/>
      <c r="G477" s="66"/>
      <c r="H477" s="66"/>
      <c r="I477" s="66"/>
      <c r="J477" s="66"/>
      <c r="K477" s="66"/>
      <c r="L477" s="66"/>
      <c r="M477" s="330"/>
      <c r="N477" s="339"/>
      <c r="O477" s="331" t="str">
        <f>IFERROR(__xludf.DUMMYFUNCTION("IFERROR(AVERAGE(FILTER('حضور '!I:I,'حضور '!A:A=A477,MONTH('حضور '!B:B)=N477)),"""")"),"")</f>
        <v/>
      </c>
    </row>
    <row r="478" ht="26.25" hidden="1" customHeight="1">
      <c r="A478" s="371"/>
      <c r="B478" s="372"/>
      <c r="C478" s="66"/>
      <c r="D478" s="90"/>
      <c r="E478" s="66"/>
      <c r="F478" s="66"/>
      <c r="G478" s="66"/>
      <c r="H478" s="66"/>
      <c r="I478" s="66"/>
      <c r="J478" s="66"/>
      <c r="K478" s="66"/>
      <c r="L478" s="66"/>
      <c r="M478" s="330"/>
      <c r="N478" s="339"/>
      <c r="O478" s="331" t="str">
        <f>IFERROR(__xludf.DUMMYFUNCTION("IFERROR(AVERAGE(FILTER('حضور '!I:I,'حضور '!A:A=A478,MONTH('حضور '!B:B)=N478)),"""")"),"")</f>
        <v/>
      </c>
    </row>
    <row r="479" ht="26.25" hidden="1" customHeight="1">
      <c r="A479" s="371"/>
      <c r="B479" s="372"/>
      <c r="C479" s="66"/>
      <c r="D479" s="90"/>
      <c r="E479" s="66"/>
      <c r="F479" s="66"/>
      <c r="G479" s="66"/>
      <c r="H479" s="66"/>
      <c r="I479" s="66"/>
      <c r="J479" s="66"/>
      <c r="K479" s="66"/>
      <c r="L479" s="66"/>
      <c r="M479" s="330"/>
      <c r="N479" s="330"/>
      <c r="O479" s="331" t="str">
        <f>IFERROR(__xludf.DUMMYFUNCTION("IFERROR(AVERAGE(FILTER('حضور '!I:I,'حضور '!A:A=A479,MONTH('حضور '!B:B)=N479)),"""")"),"")</f>
        <v/>
      </c>
    </row>
    <row r="480" ht="26.25" hidden="1" customHeight="1">
      <c r="A480" s="371"/>
      <c r="B480" s="372"/>
      <c r="C480" s="66"/>
      <c r="D480" s="90"/>
      <c r="E480" s="66"/>
      <c r="F480" s="66"/>
      <c r="G480" s="66"/>
      <c r="H480" s="66"/>
      <c r="I480" s="66"/>
      <c r="J480" s="66"/>
      <c r="K480" s="66"/>
      <c r="L480" s="66"/>
      <c r="M480" s="330"/>
      <c r="N480" s="339"/>
      <c r="O480" s="331" t="str">
        <f>IFERROR(__xludf.DUMMYFUNCTION("IFERROR(AVERAGE(FILTER('حضور '!I:I,'حضور '!A:A=A480,MONTH('حضور '!B:B)=N480)),"""")"),"")</f>
        <v/>
      </c>
    </row>
    <row r="481" ht="26.25" hidden="1" customHeight="1">
      <c r="A481" s="371"/>
      <c r="B481" s="372"/>
      <c r="C481" s="66"/>
      <c r="D481" s="90"/>
      <c r="E481" s="66"/>
      <c r="F481" s="66"/>
      <c r="G481" s="66"/>
      <c r="H481" s="66"/>
      <c r="I481" s="66"/>
      <c r="J481" s="66"/>
      <c r="K481" s="66"/>
      <c r="L481" s="66"/>
      <c r="M481" s="330"/>
      <c r="N481" s="339"/>
      <c r="O481" s="331" t="str">
        <f>IFERROR(__xludf.DUMMYFUNCTION("IFERROR(AVERAGE(FILTER('حضور '!I:I,'حضور '!A:A=A481,MONTH('حضور '!B:B)=N481)),"""")"),"")</f>
        <v/>
      </c>
    </row>
    <row r="482" ht="26.25" hidden="1" customHeight="1">
      <c r="A482" s="371"/>
      <c r="B482" s="372"/>
      <c r="C482" s="66"/>
      <c r="D482" s="90"/>
      <c r="E482" s="66"/>
      <c r="F482" s="66"/>
      <c r="G482" s="66"/>
      <c r="H482" s="66"/>
      <c r="I482" s="66"/>
      <c r="J482" s="66"/>
      <c r="K482" s="66"/>
      <c r="L482" s="66"/>
      <c r="M482" s="330"/>
      <c r="N482" s="339"/>
      <c r="O482" s="331" t="str">
        <f>IFERROR(__xludf.DUMMYFUNCTION("IFERROR(AVERAGE(FILTER('حضور '!I:I,'حضور '!A:A=A482,MONTH('حضور '!B:B)=N482)),"""")"),"")</f>
        <v/>
      </c>
    </row>
    <row r="483" ht="26.25" hidden="1" customHeight="1">
      <c r="A483" s="371"/>
      <c r="B483" s="372"/>
      <c r="C483" s="66"/>
      <c r="D483" s="90"/>
      <c r="E483" s="66"/>
      <c r="F483" s="66"/>
      <c r="G483" s="66"/>
      <c r="H483" s="66"/>
      <c r="I483" s="66"/>
      <c r="J483" s="66"/>
      <c r="K483" s="66"/>
      <c r="L483" s="66"/>
      <c r="M483" s="330"/>
      <c r="N483" s="339"/>
      <c r="O483" s="331" t="str">
        <f>IFERROR(__xludf.DUMMYFUNCTION("IFERROR(AVERAGE(FILTER('حضور '!I:I,'حضور '!A:A=A483,MONTH('حضور '!B:B)=N483)),"""")"),"")</f>
        <v/>
      </c>
    </row>
    <row r="484" ht="26.25" hidden="1" customHeight="1">
      <c r="A484" s="371"/>
      <c r="B484" s="372"/>
      <c r="C484" s="66"/>
      <c r="D484" s="90"/>
      <c r="E484" s="66"/>
      <c r="F484" s="66"/>
      <c r="G484" s="66"/>
      <c r="H484" s="66"/>
      <c r="I484" s="66"/>
      <c r="J484" s="66"/>
      <c r="K484" s="66"/>
      <c r="L484" s="66"/>
      <c r="M484" s="330"/>
      <c r="N484" s="330"/>
      <c r="O484" s="331" t="str">
        <f>IFERROR(__xludf.DUMMYFUNCTION("IFERROR(AVERAGE(FILTER('حضور '!I:I,'حضور '!A:A=A484,MONTH('حضور '!B:B)=N484)),"""")"),"")</f>
        <v/>
      </c>
    </row>
    <row r="485" ht="26.25" hidden="1" customHeight="1">
      <c r="A485" s="371"/>
      <c r="B485" s="372"/>
      <c r="C485" s="66"/>
      <c r="D485" s="90"/>
      <c r="E485" s="66"/>
      <c r="F485" s="66"/>
      <c r="G485" s="66"/>
      <c r="H485" s="66"/>
      <c r="I485" s="66"/>
      <c r="J485" s="66"/>
      <c r="K485" s="66"/>
      <c r="L485" s="66"/>
      <c r="M485" s="330"/>
      <c r="N485" s="339"/>
      <c r="O485" s="331" t="str">
        <f>IFERROR(__xludf.DUMMYFUNCTION("IFERROR(AVERAGE(FILTER('حضور '!I:I,'حضور '!A:A=A485,MONTH('حضور '!B:B)=N485)),"""")"),"")</f>
        <v/>
      </c>
    </row>
    <row r="486" ht="26.25" hidden="1" customHeight="1">
      <c r="A486" s="371"/>
      <c r="B486" s="372"/>
      <c r="C486" s="66"/>
      <c r="D486" s="90"/>
      <c r="E486" s="66"/>
      <c r="F486" s="66"/>
      <c r="G486" s="66"/>
      <c r="H486" s="66"/>
      <c r="I486" s="66"/>
      <c r="J486" s="66"/>
      <c r="K486" s="66"/>
      <c r="L486" s="66"/>
      <c r="M486" s="330"/>
      <c r="N486" s="339"/>
      <c r="O486" s="331" t="str">
        <f>IFERROR(__xludf.DUMMYFUNCTION("IFERROR(AVERAGE(FILTER('حضور '!I:I,'حضور '!A:A=A486,MONTH('حضور '!B:B)=N486)),"""")"),"")</f>
        <v/>
      </c>
    </row>
    <row r="487" ht="26.25" hidden="1" customHeight="1">
      <c r="A487" s="371"/>
      <c r="B487" s="372"/>
      <c r="C487" s="66"/>
      <c r="D487" s="90"/>
      <c r="E487" s="66"/>
      <c r="F487" s="66"/>
      <c r="G487" s="66"/>
      <c r="H487" s="66"/>
      <c r="I487" s="66"/>
      <c r="J487" s="66"/>
      <c r="K487" s="66"/>
      <c r="L487" s="66"/>
      <c r="M487" s="330"/>
      <c r="N487" s="339"/>
      <c r="O487" s="331" t="str">
        <f>IFERROR(__xludf.DUMMYFUNCTION("IFERROR(AVERAGE(FILTER('حضور '!I:I,'حضور '!A:A=A487,MONTH('حضور '!B:B)=N487)),"""")"),"")</f>
        <v/>
      </c>
    </row>
    <row r="488" ht="26.25" hidden="1" customHeight="1">
      <c r="A488" s="371"/>
      <c r="B488" s="372"/>
      <c r="C488" s="66"/>
      <c r="D488" s="90"/>
      <c r="E488" s="66"/>
      <c r="F488" s="66"/>
      <c r="G488" s="66"/>
      <c r="H488" s="66"/>
      <c r="I488" s="66"/>
      <c r="J488" s="66"/>
      <c r="K488" s="66"/>
      <c r="L488" s="66"/>
      <c r="M488" s="330"/>
      <c r="N488" s="339"/>
      <c r="O488" s="331" t="str">
        <f>IFERROR(__xludf.DUMMYFUNCTION("IFERROR(AVERAGE(FILTER('حضور '!I:I,'حضور '!A:A=A488,MONTH('حضور '!B:B)=N488)),"""")"),"")</f>
        <v/>
      </c>
    </row>
    <row r="489" ht="26.25" hidden="1" customHeight="1">
      <c r="A489" s="371"/>
      <c r="B489" s="372"/>
      <c r="C489" s="66"/>
      <c r="D489" s="90"/>
      <c r="E489" s="66"/>
      <c r="F489" s="66"/>
      <c r="G489" s="66"/>
      <c r="H489" s="66"/>
      <c r="I489" s="66"/>
      <c r="J489" s="66"/>
      <c r="K489" s="66"/>
      <c r="L489" s="66"/>
      <c r="M489" s="330"/>
      <c r="N489" s="330"/>
      <c r="O489" s="331" t="str">
        <f>IFERROR(__xludf.DUMMYFUNCTION("IFERROR(AVERAGE(FILTER('حضور '!I:I,'حضور '!A:A=A489,MONTH('حضور '!B:B)=N489)),"""")"),"")</f>
        <v/>
      </c>
    </row>
    <row r="490" ht="26.25" hidden="1" customHeight="1">
      <c r="A490" s="371"/>
      <c r="B490" s="372"/>
      <c r="C490" s="66"/>
      <c r="D490" s="90"/>
      <c r="E490" s="66"/>
      <c r="F490" s="66"/>
      <c r="G490" s="66"/>
      <c r="H490" s="66"/>
      <c r="I490" s="66"/>
      <c r="J490" s="66"/>
      <c r="K490" s="66"/>
      <c r="L490" s="66"/>
      <c r="M490" s="330"/>
      <c r="N490" s="339"/>
      <c r="O490" s="331" t="str">
        <f>IFERROR(__xludf.DUMMYFUNCTION("IFERROR(AVERAGE(FILTER('حضور '!I:I,'حضور '!A:A=A490,MONTH('حضور '!B:B)=N490)),"""")"),"")</f>
        <v/>
      </c>
    </row>
    <row r="491" ht="26.25" hidden="1" customHeight="1">
      <c r="A491" s="371"/>
      <c r="B491" s="372"/>
      <c r="C491" s="66"/>
      <c r="D491" s="90"/>
      <c r="E491" s="66"/>
      <c r="F491" s="66"/>
      <c r="G491" s="66"/>
      <c r="H491" s="66"/>
      <c r="I491" s="66"/>
      <c r="J491" s="66"/>
      <c r="K491" s="66"/>
      <c r="L491" s="66"/>
      <c r="M491" s="330"/>
      <c r="N491" s="339"/>
      <c r="O491" s="331" t="str">
        <f>IFERROR(__xludf.DUMMYFUNCTION("IFERROR(AVERAGE(FILTER('حضور '!I:I,'حضور '!A:A=A491,MONTH('حضور '!B:B)=N491)),"""")"),"")</f>
        <v/>
      </c>
    </row>
    <row r="492" ht="26.25" hidden="1" customHeight="1">
      <c r="A492" s="371"/>
      <c r="B492" s="372"/>
      <c r="C492" s="66"/>
      <c r="D492" s="90"/>
      <c r="E492" s="66"/>
      <c r="F492" s="66"/>
      <c r="G492" s="66"/>
      <c r="H492" s="66"/>
      <c r="I492" s="66"/>
      <c r="J492" s="66"/>
      <c r="K492" s="66"/>
      <c r="L492" s="66"/>
      <c r="M492" s="330"/>
      <c r="N492" s="339"/>
      <c r="O492" s="331" t="str">
        <f>IFERROR(__xludf.DUMMYFUNCTION("IFERROR(AVERAGE(FILTER('حضور '!I:I,'حضور '!A:A=A492,MONTH('حضور '!B:B)=N492)),"""")"),"")</f>
        <v/>
      </c>
    </row>
    <row r="493" ht="26.25" hidden="1" customHeight="1">
      <c r="A493" s="371"/>
      <c r="B493" s="372"/>
      <c r="C493" s="66"/>
      <c r="D493" s="90"/>
      <c r="E493" s="66"/>
      <c r="F493" s="66"/>
      <c r="G493" s="66"/>
      <c r="H493" s="66"/>
      <c r="I493" s="66"/>
      <c r="J493" s="66"/>
      <c r="K493" s="66"/>
      <c r="L493" s="66"/>
      <c r="M493" s="330"/>
      <c r="N493" s="339"/>
      <c r="O493" s="331" t="str">
        <f>IFERROR(__xludf.DUMMYFUNCTION("IFERROR(AVERAGE(FILTER('حضور '!I:I,'حضور '!A:A=A493,MONTH('حضور '!B:B)=N493)),"""")"),"")</f>
        <v/>
      </c>
    </row>
    <row r="494" ht="26.25" hidden="1" customHeight="1">
      <c r="A494" s="371"/>
      <c r="B494" s="372"/>
      <c r="C494" s="66"/>
      <c r="D494" s="90"/>
      <c r="E494" s="66"/>
      <c r="F494" s="66"/>
      <c r="G494" s="66"/>
      <c r="H494" s="66"/>
      <c r="I494" s="66"/>
      <c r="J494" s="66"/>
      <c r="K494" s="66"/>
      <c r="L494" s="66"/>
      <c r="M494" s="330"/>
      <c r="N494" s="330"/>
      <c r="O494" s="331" t="str">
        <f>IFERROR(__xludf.DUMMYFUNCTION("IFERROR(AVERAGE(FILTER('حضور '!I:I,'حضور '!A:A=A494,MONTH('حضور '!B:B)=N494)),"""")"),"")</f>
        <v/>
      </c>
    </row>
    <row r="495" ht="26.25" hidden="1" customHeight="1">
      <c r="A495" s="371"/>
      <c r="B495" s="372"/>
      <c r="C495" s="66"/>
      <c r="D495" s="90"/>
      <c r="E495" s="66"/>
      <c r="F495" s="66"/>
      <c r="G495" s="66"/>
      <c r="H495" s="66"/>
      <c r="I495" s="66"/>
      <c r="J495" s="66"/>
      <c r="K495" s="66"/>
      <c r="L495" s="66"/>
      <c r="M495" s="330"/>
      <c r="N495" s="339"/>
      <c r="O495" s="331" t="str">
        <f>IFERROR(__xludf.DUMMYFUNCTION("IFERROR(AVERAGE(FILTER('حضور '!I:I,'حضور '!A:A=A495,MONTH('حضور '!B:B)=N495)),"""")"),"")</f>
        <v/>
      </c>
    </row>
    <row r="496" ht="26.25" hidden="1" customHeight="1">
      <c r="A496" s="371"/>
      <c r="B496" s="372"/>
      <c r="C496" s="66"/>
      <c r="D496" s="90"/>
      <c r="E496" s="66"/>
      <c r="F496" s="66"/>
      <c r="G496" s="66"/>
      <c r="H496" s="66"/>
      <c r="I496" s="66"/>
      <c r="J496" s="66"/>
      <c r="K496" s="66"/>
      <c r="L496" s="66"/>
      <c r="M496" s="330"/>
      <c r="N496" s="339"/>
      <c r="O496" s="331" t="str">
        <f>IFERROR(__xludf.DUMMYFUNCTION("IFERROR(AVERAGE(FILTER('حضور '!I:I,'حضور '!A:A=A496,MONTH('حضور '!B:B)=N496)),"""")"),"")</f>
        <v/>
      </c>
    </row>
    <row r="497" ht="26.25" hidden="1" customHeight="1">
      <c r="A497" s="371"/>
      <c r="B497" s="372"/>
      <c r="C497" s="66"/>
      <c r="D497" s="90"/>
      <c r="E497" s="66"/>
      <c r="F497" s="66"/>
      <c r="G497" s="66"/>
      <c r="H497" s="66"/>
      <c r="I497" s="66"/>
      <c r="J497" s="66"/>
      <c r="K497" s="66"/>
      <c r="L497" s="66"/>
      <c r="M497" s="330"/>
      <c r="N497" s="339"/>
      <c r="O497" s="331" t="str">
        <f>IFERROR(__xludf.DUMMYFUNCTION("IFERROR(AVERAGE(FILTER('حضور '!I:I,'حضور '!A:A=A497,MONTH('حضور '!B:B)=N497)),"""")"),"")</f>
        <v/>
      </c>
    </row>
    <row r="498" ht="26.25" hidden="1" customHeight="1">
      <c r="A498" s="371"/>
      <c r="B498" s="372"/>
      <c r="C498" s="66"/>
      <c r="D498" s="90"/>
      <c r="E498" s="66"/>
      <c r="F498" s="66"/>
      <c r="G498" s="66"/>
      <c r="H498" s="66"/>
      <c r="I498" s="66"/>
      <c r="J498" s="66"/>
      <c r="K498" s="66"/>
      <c r="L498" s="66"/>
      <c r="M498" s="330"/>
      <c r="N498" s="339"/>
      <c r="O498" s="331" t="str">
        <f>IFERROR(__xludf.DUMMYFUNCTION("IFERROR(AVERAGE(FILTER('حضور '!I:I,'حضور '!A:A=A498,MONTH('حضور '!B:B)=N498)),"""")"),"")</f>
        <v/>
      </c>
    </row>
    <row r="499" ht="26.25" hidden="1" customHeight="1">
      <c r="A499" s="371"/>
      <c r="B499" s="372"/>
      <c r="C499" s="66"/>
      <c r="D499" s="90"/>
      <c r="E499" s="66"/>
      <c r="F499" s="66"/>
      <c r="G499" s="66"/>
      <c r="H499" s="66"/>
      <c r="I499" s="66"/>
      <c r="J499" s="66"/>
      <c r="K499" s="66"/>
      <c r="L499" s="66"/>
      <c r="M499" s="330"/>
      <c r="N499" s="330"/>
      <c r="O499" s="331" t="str">
        <f>IFERROR(__xludf.DUMMYFUNCTION("IFERROR(AVERAGE(FILTER('حضور '!I:I,'حضور '!A:A=A499,MONTH('حضور '!B:B)=N499)),"""")"),"")</f>
        <v/>
      </c>
    </row>
    <row r="500" ht="26.25" hidden="1" customHeight="1">
      <c r="A500" s="371"/>
      <c r="B500" s="372"/>
      <c r="C500" s="66"/>
      <c r="D500" s="90"/>
      <c r="E500" s="66"/>
      <c r="F500" s="66"/>
      <c r="G500" s="66"/>
      <c r="H500" s="66"/>
      <c r="I500" s="66"/>
      <c r="J500" s="66"/>
      <c r="K500" s="66"/>
      <c r="L500" s="66"/>
      <c r="M500" s="330"/>
      <c r="N500" s="339"/>
      <c r="O500" s="331" t="str">
        <f>IFERROR(__xludf.DUMMYFUNCTION("IFERROR(AVERAGE(FILTER('حضور '!I:I,'حضور '!A:A=A500,MONTH('حضور '!B:B)=N500)),"""")"),"")</f>
        <v/>
      </c>
    </row>
    <row r="501" ht="26.25" hidden="1" customHeight="1">
      <c r="A501" s="371"/>
      <c r="B501" s="372"/>
      <c r="C501" s="66"/>
      <c r="D501" s="90"/>
      <c r="E501" s="66"/>
      <c r="F501" s="66"/>
      <c r="G501" s="66"/>
      <c r="H501" s="66"/>
      <c r="I501" s="66"/>
      <c r="J501" s="66"/>
      <c r="K501" s="66"/>
      <c r="L501" s="66"/>
      <c r="M501" s="330"/>
      <c r="N501" s="339"/>
      <c r="O501" s="331" t="str">
        <f>IFERROR(__xludf.DUMMYFUNCTION("IFERROR(AVERAGE(FILTER('حضور '!I:I,'حضور '!A:A=A501,MONTH('حضور '!B:B)=N501)),"""")"),"")</f>
        <v/>
      </c>
    </row>
    <row r="502" ht="26.25" hidden="1" customHeight="1">
      <c r="A502" s="371"/>
      <c r="B502" s="372"/>
      <c r="C502" s="66"/>
      <c r="D502" s="90"/>
      <c r="E502" s="66"/>
      <c r="F502" s="66"/>
      <c r="G502" s="66"/>
      <c r="H502" s="66"/>
      <c r="I502" s="66"/>
      <c r="J502" s="66"/>
      <c r="K502" s="66"/>
      <c r="L502" s="66"/>
      <c r="M502" s="330"/>
      <c r="N502" s="339"/>
      <c r="O502" s="331" t="str">
        <f>IFERROR(__xludf.DUMMYFUNCTION("IFERROR(AVERAGE(FILTER('حضور '!I:I,'حضور '!A:A=A502,MONTH('حضور '!B:B)=N502)),"""")"),"")</f>
        <v/>
      </c>
    </row>
    <row r="503" ht="26.25" hidden="1" customHeight="1">
      <c r="A503" s="371"/>
      <c r="B503" s="372"/>
      <c r="C503" s="66"/>
      <c r="D503" s="90"/>
      <c r="E503" s="66"/>
      <c r="F503" s="66"/>
      <c r="G503" s="66"/>
      <c r="H503" s="66"/>
      <c r="I503" s="66"/>
      <c r="J503" s="66"/>
      <c r="K503" s="66"/>
      <c r="L503" s="66"/>
      <c r="M503" s="330"/>
      <c r="N503" s="339"/>
      <c r="O503" s="331" t="str">
        <f>IFERROR(__xludf.DUMMYFUNCTION("IFERROR(AVERAGE(FILTER('حضور '!I:I,'حضور '!A:A=A503,MONTH('حضور '!B:B)=N503)),"""")"),"")</f>
        <v/>
      </c>
    </row>
    <row r="504" ht="26.25" hidden="1" customHeight="1">
      <c r="A504" s="371"/>
      <c r="B504" s="372"/>
      <c r="C504" s="66"/>
      <c r="D504" s="90"/>
      <c r="E504" s="66"/>
      <c r="F504" s="66"/>
      <c r="G504" s="66"/>
      <c r="H504" s="66"/>
      <c r="I504" s="66"/>
      <c r="J504" s="66"/>
      <c r="K504" s="66"/>
      <c r="L504" s="66"/>
      <c r="M504" s="330"/>
      <c r="N504" s="330"/>
      <c r="O504" s="331" t="str">
        <f>IFERROR(__xludf.DUMMYFUNCTION("IFERROR(AVERAGE(FILTER('حضور '!I:I,'حضور '!A:A=A504,MONTH('حضور '!B:B)=N504)),"""")"),"")</f>
        <v/>
      </c>
    </row>
    <row r="505" ht="26.25" hidden="1" customHeight="1">
      <c r="A505" s="371"/>
      <c r="B505" s="372"/>
      <c r="C505" s="66"/>
      <c r="D505" s="90"/>
      <c r="E505" s="66"/>
      <c r="F505" s="66"/>
      <c r="G505" s="66"/>
      <c r="H505" s="66"/>
      <c r="I505" s="66"/>
      <c r="J505" s="66"/>
      <c r="K505" s="66"/>
      <c r="L505" s="66"/>
      <c r="M505" s="330"/>
      <c r="N505" s="339"/>
      <c r="O505" s="331" t="str">
        <f>IFERROR(__xludf.DUMMYFUNCTION("IFERROR(AVERAGE(FILTER('حضور '!I:I,'حضور '!A:A=A505,MONTH('حضور '!B:B)=N505)),"""")"),"")</f>
        <v/>
      </c>
    </row>
    <row r="506" ht="26.25" hidden="1" customHeight="1">
      <c r="A506" s="371"/>
      <c r="B506" s="372"/>
      <c r="C506" s="66"/>
      <c r="D506" s="90"/>
      <c r="E506" s="66"/>
      <c r="F506" s="66"/>
      <c r="G506" s="66"/>
      <c r="H506" s="66"/>
      <c r="I506" s="66"/>
      <c r="J506" s="66"/>
      <c r="K506" s="66"/>
      <c r="L506" s="66"/>
      <c r="M506" s="330"/>
      <c r="N506" s="339"/>
      <c r="O506" s="331" t="str">
        <f>IFERROR(__xludf.DUMMYFUNCTION("IFERROR(AVERAGE(FILTER('حضور '!I:I,'حضور '!A:A=A506,MONTH('حضور '!B:B)=N506)),"""")"),"")</f>
        <v/>
      </c>
    </row>
    <row r="507" ht="26.25" hidden="1" customHeight="1">
      <c r="A507" s="371"/>
      <c r="B507" s="372"/>
      <c r="C507" s="66"/>
      <c r="D507" s="90"/>
      <c r="E507" s="66"/>
      <c r="F507" s="66"/>
      <c r="G507" s="66"/>
      <c r="H507" s="66"/>
      <c r="I507" s="66"/>
      <c r="J507" s="66"/>
      <c r="K507" s="66"/>
      <c r="L507" s="66"/>
      <c r="M507" s="330"/>
      <c r="N507" s="339"/>
      <c r="O507" s="331" t="str">
        <f>IFERROR(__xludf.DUMMYFUNCTION("IFERROR(AVERAGE(FILTER('حضور '!I:I,'حضور '!A:A=A507,MONTH('حضور '!B:B)=N507)),"""")"),"")</f>
        <v/>
      </c>
    </row>
    <row r="508" ht="26.25" hidden="1" customHeight="1">
      <c r="A508" s="371"/>
      <c r="B508" s="372"/>
      <c r="C508" s="66"/>
      <c r="D508" s="90"/>
      <c r="E508" s="66"/>
      <c r="F508" s="66"/>
      <c r="G508" s="66"/>
      <c r="H508" s="66"/>
      <c r="I508" s="66"/>
      <c r="J508" s="66"/>
      <c r="K508" s="66"/>
      <c r="L508" s="66"/>
      <c r="M508" s="330"/>
      <c r="N508" s="339"/>
      <c r="O508" s="331" t="str">
        <f>IFERROR(__xludf.DUMMYFUNCTION("IFERROR(AVERAGE(FILTER('حضور '!I:I,'حضور '!A:A=A508,MONTH('حضور '!B:B)=N508)),"""")"),"")</f>
        <v/>
      </c>
    </row>
    <row r="509" ht="26.25" hidden="1" customHeight="1">
      <c r="A509" s="371"/>
      <c r="B509" s="372"/>
      <c r="C509" s="66"/>
      <c r="D509" s="90"/>
      <c r="E509" s="66"/>
      <c r="F509" s="66"/>
      <c r="G509" s="66"/>
      <c r="H509" s="66"/>
      <c r="I509" s="66"/>
      <c r="J509" s="66"/>
      <c r="K509" s="66"/>
      <c r="L509" s="66"/>
      <c r="M509" s="330"/>
      <c r="N509" s="330"/>
      <c r="O509" s="331" t="str">
        <f>IFERROR(__xludf.DUMMYFUNCTION("IFERROR(AVERAGE(FILTER('حضور '!I:I,'حضور '!A:A=A509,MONTH('حضور '!B:B)=N509)),"""")"),"")</f>
        <v/>
      </c>
    </row>
    <row r="510" ht="26.25" hidden="1" customHeight="1">
      <c r="A510" s="371"/>
      <c r="B510" s="372"/>
      <c r="C510" s="66"/>
      <c r="D510" s="90"/>
      <c r="E510" s="66"/>
      <c r="F510" s="66"/>
      <c r="G510" s="66"/>
      <c r="H510" s="66"/>
      <c r="I510" s="66"/>
      <c r="J510" s="66"/>
      <c r="K510" s="66"/>
      <c r="L510" s="66"/>
      <c r="M510" s="330"/>
      <c r="N510" s="339"/>
      <c r="O510" s="331" t="str">
        <f>IFERROR(__xludf.DUMMYFUNCTION("IFERROR(AVERAGE(FILTER('حضور '!I:I,'حضور '!A:A=A510,MONTH('حضور '!B:B)=N510)),"""")"),"")</f>
        <v/>
      </c>
    </row>
    <row r="511" ht="26.25" hidden="1" customHeight="1">
      <c r="A511" s="371"/>
      <c r="B511" s="372"/>
      <c r="C511" s="66"/>
      <c r="D511" s="90"/>
      <c r="E511" s="66"/>
      <c r="F511" s="66"/>
      <c r="G511" s="66"/>
      <c r="H511" s="66"/>
      <c r="I511" s="66"/>
      <c r="J511" s="66"/>
      <c r="K511" s="66"/>
      <c r="L511" s="66"/>
      <c r="M511" s="330"/>
      <c r="N511" s="339"/>
      <c r="O511" s="331" t="str">
        <f>IFERROR(__xludf.DUMMYFUNCTION("IFERROR(AVERAGE(FILTER('حضور '!I:I,'حضور '!A:A=A511,MONTH('حضور '!B:B)=N511)),"""")"),"")</f>
        <v/>
      </c>
    </row>
    <row r="512" ht="26.25" hidden="1" customHeight="1">
      <c r="A512" s="371"/>
      <c r="B512" s="372"/>
      <c r="C512" s="66"/>
      <c r="D512" s="90"/>
      <c r="E512" s="66"/>
      <c r="F512" s="66"/>
      <c r="G512" s="66"/>
      <c r="H512" s="66"/>
      <c r="I512" s="66"/>
      <c r="J512" s="66"/>
      <c r="K512" s="66"/>
      <c r="L512" s="66"/>
      <c r="M512" s="330"/>
      <c r="N512" s="339"/>
      <c r="O512" s="331" t="str">
        <f>IFERROR(__xludf.DUMMYFUNCTION("IFERROR(AVERAGE(FILTER('حضور '!I:I,'حضور '!A:A=A512,MONTH('حضور '!B:B)=N512)),"""")"),"")</f>
        <v/>
      </c>
    </row>
    <row r="513" ht="26.25" hidden="1" customHeight="1">
      <c r="A513" s="371"/>
      <c r="B513" s="372"/>
      <c r="C513" s="66"/>
      <c r="D513" s="90"/>
      <c r="E513" s="66"/>
      <c r="F513" s="66"/>
      <c r="G513" s="66"/>
      <c r="H513" s="66"/>
      <c r="I513" s="66"/>
      <c r="J513" s="66"/>
      <c r="K513" s="66"/>
      <c r="L513" s="66"/>
      <c r="M513" s="330"/>
      <c r="N513" s="339"/>
      <c r="O513" s="331" t="str">
        <f>IFERROR(__xludf.DUMMYFUNCTION("IFERROR(AVERAGE(FILTER('حضور '!I:I,'حضور '!A:A=A513,MONTH('حضور '!B:B)=N513)),"""")"),"")</f>
        <v/>
      </c>
    </row>
    <row r="514" ht="26.25" hidden="1" customHeight="1">
      <c r="A514" s="371"/>
      <c r="B514" s="372"/>
      <c r="C514" s="66"/>
      <c r="D514" s="90"/>
      <c r="E514" s="66"/>
      <c r="F514" s="66"/>
      <c r="G514" s="66"/>
      <c r="H514" s="66"/>
      <c r="I514" s="66"/>
      <c r="J514" s="66"/>
      <c r="K514" s="66"/>
      <c r="L514" s="66"/>
      <c r="M514" s="330"/>
      <c r="N514" s="330"/>
      <c r="O514" s="331" t="str">
        <f>IFERROR(__xludf.DUMMYFUNCTION("IFERROR(AVERAGE(FILTER('حضور '!I:I,'حضور '!A:A=A514,MONTH('حضور '!B:B)=N514)),"""")"),"")</f>
        <v/>
      </c>
    </row>
    <row r="515" ht="26.25" hidden="1" customHeight="1">
      <c r="A515" s="371"/>
      <c r="B515" s="372"/>
      <c r="C515" s="66"/>
      <c r="D515" s="90"/>
      <c r="E515" s="66"/>
      <c r="F515" s="66"/>
      <c r="G515" s="66"/>
      <c r="H515" s="66"/>
      <c r="I515" s="66"/>
      <c r="J515" s="66"/>
      <c r="K515" s="66"/>
      <c r="L515" s="66"/>
      <c r="M515" s="330"/>
      <c r="N515" s="339"/>
      <c r="O515" s="331" t="str">
        <f>IFERROR(__xludf.DUMMYFUNCTION("IFERROR(AVERAGE(FILTER('حضور '!I:I,'حضور '!A:A=A515,MONTH('حضور '!B:B)=N515)),"""")"),"")</f>
        <v/>
      </c>
    </row>
    <row r="516" ht="26.25" hidden="1" customHeight="1">
      <c r="A516" s="371"/>
      <c r="B516" s="372"/>
      <c r="C516" s="66"/>
      <c r="D516" s="90"/>
      <c r="E516" s="66"/>
      <c r="F516" s="66"/>
      <c r="G516" s="66"/>
      <c r="H516" s="66"/>
      <c r="I516" s="66"/>
      <c r="J516" s="66"/>
      <c r="K516" s="66"/>
      <c r="L516" s="66"/>
      <c r="M516" s="330"/>
      <c r="N516" s="339"/>
      <c r="O516" s="331" t="str">
        <f>IFERROR(__xludf.DUMMYFUNCTION("IFERROR(AVERAGE(FILTER('حضور '!I:I,'حضور '!A:A=A516,MONTH('حضور '!B:B)=N516)),"""")"),"")</f>
        <v/>
      </c>
    </row>
    <row r="517" ht="26.25" hidden="1" customHeight="1">
      <c r="A517" s="371"/>
      <c r="B517" s="372"/>
      <c r="C517" s="66"/>
      <c r="D517" s="90"/>
      <c r="E517" s="66"/>
      <c r="F517" s="66"/>
      <c r="G517" s="66"/>
      <c r="H517" s="66"/>
      <c r="I517" s="66"/>
      <c r="J517" s="66"/>
      <c r="K517" s="66"/>
      <c r="L517" s="66"/>
      <c r="M517" s="330"/>
      <c r="N517" s="339"/>
      <c r="O517" s="331" t="str">
        <f>IFERROR(__xludf.DUMMYFUNCTION("IFERROR(AVERAGE(FILTER('حضور '!I:I,'حضور '!A:A=A517,MONTH('حضور '!B:B)=N517)),"""")"),"")</f>
        <v/>
      </c>
    </row>
    <row r="518" ht="26.25" hidden="1" customHeight="1">
      <c r="A518" s="371"/>
      <c r="B518" s="372"/>
      <c r="C518" s="66"/>
      <c r="D518" s="90"/>
      <c r="E518" s="66"/>
      <c r="F518" s="66"/>
      <c r="G518" s="66"/>
      <c r="H518" s="66"/>
      <c r="I518" s="66"/>
      <c r="J518" s="66"/>
      <c r="K518" s="66"/>
      <c r="L518" s="66"/>
      <c r="M518" s="330"/>
      <c r="N518" s="339"/>
      <c r="O518" s="331" t="str">
        <f>IFERROR(__xludf.DUMMYFUNCTION("IFERROR(AVERAGE(FILTER('حضور '!I:I,'حضور '!A:A=A518,MONTH('حضور '!B:B)=N518)),"""")"),"")</f>
        <v/>
      </c>
    </row>
    <row r="519" ht="26.25" hidden="1" customHeight="1">
      <c r="A519" s="371"/>
      <c r="B519" s="372"/>
      <c r="C519" s="66"/>
      <c r="D519" s="90"/>
      <c r="E519" s="66"/>
      <c r="F519" s="66"/>
      <c r="G519" s="66"/>
      <c r="H519" s="66"/>
      <c r="I519" s="66"/>
      <c r="J519" s="66"/>
      <c r="K519" s="66"/>
      <c r="L519" s="66"/>
      <c r="M519" s="330"/>
      <c r="N519" s="330"/>
      <c r="O519" s="331" t="str">
        <f>IFERROR(__xludf.DUMMYFUNCTION("IFERROR(AVERAGE(FILTER('حضور '!I:I,'حضور '!A:A=A519,MONTH('حضور '!B:B)=N519)),"""")"),"")</f>
        <v/>
      </c>
    </row>
    <row r="520" ht="26.25" hidden="1" customHeight="1">
      <c r="A520" s="371"/>
      <c r="B520" s="372"/>
      <c r="C520" s="66"/>
      <c r="D520" s="90"/>
      <c r="E520" s="66"/>
      <c r="F520" s="66"/>
      <c r="G520" s="66"/>
      <c r="H520" s="66"/>
      <c r="I520" s="66"/>
      <c r="J520" s="66"/>
      <c r="K520" s="66"/>
      <c r="L520" s="66"/>
      <c r="M520" s="330"/>
      <c r="N520" s="339"/>
      <c r="O520" s="331" t="str">
        <f>IFERROR(__xludf.DUMMYFUNCTION("IFERROR(AVERAGE(FILTER('حضور '!I:I,'حضور '!A:A=A520,MONTH('حضور '!B:B)=N520)),"""")"),"")</f>
        <v/>
      </c>
    </row>
    <row r="521" ht="26.25" hidden="1" customHeight="1">
      <c r="A521" s="371"/>
      <c r="B521" s="372"/>
      <c r="C521" s="66"/>
      <c r="D521" s="90"/>
      <c r="E521" s="66"/>
      <c r="F521" s="66"/>
      <c r="G521" s="66"/>
      <c r="H521" s="66"/>
      <c r="I521" s="66"/>
      <c r="J521" s="66"/>
      <c r="K521" s="66"/>
      <c r="L521" s="66"/>
      <c r="M521" s="330"/>
      <c r="N521" s="339"/>
      <c r="O521" s="331" t="str">
        <f>IFERROR(__xludf.DUMMYFUNCTION("IFERROR(AVERAGE(FILTER('حضور '!I:I,'حضور '!A:A=A521,MONTH('حضور '!B:B)=N521)),"""")"),"")</f>
        <v/>
      </c>
    </row>
    <row r="522" ht="26.25" hidden="1" customHeight="1">
      <c r="A522" s="371"/>
      <c r="B522" s="372"/>
      <c r="C522" s="66"/>
      <c r="D522" s="90"/>
      <c r="E522" s="66"/>
      <c r="F522" s="66"/>
      <c r="G522" s="66"/>
      <c r="H522" s="66"/>
      <c r="I522" s="66"/>
      <c r="J522" s="66"/>
      <c r="K522" s="66"/>
      <c r="L522" s="66"/>
      <c r="M522" s="330"/>
      <c r="N522" s="339"/>
      <c r="O522" s="331" t="str">
        <f>IFERROR(__xludf.DUMMYFUNCTION("IFERROR(AVERAGE(FILTER('حضور '!I:I,'حضور '!A:A=A522,MONTH('حضور '!B:B)=N522)),"""")"),"")</f>
        <v/>
      </c>
    </row>
    <row r="523" ht="26.25" hidden="1" customHeight="1">
      <c r="A523" s="371"/>
      <c r="B523" s="372"/>
      <c r="C523" s="66"/>
      <c r="D523" s="90"/>
      <c r="E523" s="66"/>
      <c r="F523" s="66"/>
      <c r="G523" s="66"/>
      <c r="H523" s="66"/>
      <c r="I523" s="66"/>
      <c r="J523" s="66"/>
      <c r="K523" s="66"/>
      <c r="L523" s="66"/>
      <c r="M523" s="330"/>
      <c r="N523" s="339"/>
      <c r="O523" s="331" t="str">
        <f>IFERROR(__xludf.DUMMYFUNCTION("IFERROR(AVERAGE(FILTER('حضور '!I:I,'حضور '!A:A=A523,MONTH('حضور '!B:B)=N523)),"""")"),"")</f>
        <v/>
      </c>
    </row>
    <row r="524" ht="26.25" hidden="1" customHeight="1">
      <c r="A524" s="371"/>
      <c r="B524" s="372"/>
      <c r="C524" s="66"/>
      <c r="D524" s="90"/>
      <c r="E524" s="66"/>
      <c r="F524" s="66"/>
      <c r="G524" s="66"/>
      <c r="H524" s="66"/>
      <c r="I524" s="66"/>
      <c r="J524" s="66"/>
      <c r="K524" s="66"/>
      <c r="L524" s="66"/>
      <c r="M524" s="330"/>
      <c r="N524" s="330"/>
      <c r="O524" s="331" t="str">
        <f>IFERROR(__xludf.DUMMYFUNCTION("IFERROR(AVERAGE(FILTER('حضور '!I:I,'حضور '!A:A=A524,MONTH('حضور '!B:B)=N524)),"""")"),"")</f>
        <v/>
      </c>
    </row>
    <row r="525" ht="26.25" hidden="1" customHeight="1">
      <c r="A525" s="371"/>
      <c r="B525" s="372"/>
      <c r="C525" s="66"/>
      <c r="D525" s="90"/>
      <c r="E525" s="66"/>
      <c r="F525" s="66"/>
      <c r="G525" s="66"/>
      <c r="H525" s="66"/>
      <c r="I525" s="66"/>
      <c r="J525" s="66"/>
      <c r="K525" s="66"/>
      <c r="L525" s="66"/>
      <c r="M525" s="330"/>
      <c r="N525" s="339"/>
      <c r="O525" s="331" t="str">
        <f>IFERROR(__xludf.DUMMYFUNCTION("IFERROR(AVERAGE(FILTER('حضور '!I:I,'حضور '!A:A=A525,MONTH('حضور '!B:B)=N525)),"""")"),"")</f>
        <v/>
      </c>
    </row>
    <row r="526" ht="26.25" hidden="1" customHeight="1">
      <c r="A526" s="371"/>
      <c r="B526" s="372"/>
      <c r="C526" s="66"/>
      <c r="D526" s="90"/>
      <c r="E526" s="66"/>
      <c r="F526" s="66"/>
      <c r="G526" s="66"/>
      <c r="H526" s="66"/>
      <c r="I526" s="66"/>
      <c r="J526" s="66"/>
      <c r="K526" s="66"/>
      <c r="L526" s="66"/>
      <c r="M526" s="330"/>
      <c r="N526" s="339"/>
      <c r="O526" s="331" t="str">
        <f>IFERROR(__xludf.DUMMYFUNCTION("IFERROR(AVERAGE(FILTER('حضور '!I:I,'حضور '!A:A=A526,MONTH('حضور '!B:B)=N526)),"""")"),"")</f>
        <v/>
      </c>
    </row>
    <row r="527" ht="26.25" hidden="1" customHeight="1">
      <c r="A527" s="371"/>
      <c r="B527" s="372"/>
      <c r="C527" s="66"/>
      <c r="D527" s="90"/>
      <c r="E527" s="66"/>
      <c r="F527" s="66"/>
      <c r="G527" s="66"/>
      <c r="H527" s="66"/>
      <c r="I527" s="66"/>
      <c r="J527" s="66"/>
      <c r="K527" s="66"/>
      <c r="L527" s="66"/>
      <c r="M527" s="330"/>
      <c r="N527" s="339"/>
      <c r="O527" s="331" t="str">
        <f>IFERROR(__xludf.DUMMYFUNCTION("IFERROR(AVERAGE(FILTER('حضور '!I:I,'حضور '!A:A=A527,MONTH('حضور '!B:B)=N527)),"""")"),"")</f>
        <v/>
      </c>
    </row>
    <row r="528" ht="26.25" hidden="1" customHeight="1">
      <c r="A528" s="371"/>
      <c r="B528" s="372"/>
      <c r="C528" s="66"/>
      <c r="D528" s="90"/>
      <c r="E528" s="66"/>
      <c r="F528" s="66"/>
      <c r="G528" s="66"/>
      <c r="H528" s="66"/>
      <c r="I528" s="66"/>
      <c r="J528" s="66"/>
      <c r="K528" s="66"/>
      <c r="L528" s="66"/>
      <c r="M528" s="330"/>
      <c r="N528" s="339"/>
      <c r="O528" s="331" t="str">
        <f>IFERROR(__xludf.DUMMYFUNCTION("IFERROR(AVERAGE(FILTER('حضور '!I:I,'حضور '!A:A=A528,MONTH('حضور '!B:B)=N528)),"""")"),"")</f>
        <v/>
      </c>
    </row>
    <row r="529" ht="26.25" hidden="1" customHeight="1">
      <c r="A529" s="371"/>
      <c r="B529" s="372"/>
      <c r="C529" s="66"/>
      <c r="D529" s="90"/>
      <c r="E529" s="66"/>
      <c r="F529" s="66"/>
      <c r="G529" s="66"/>
      <c r="H529" s="66"/>
      <c r="I529" s="66"/>
      <c r="J529" s="66"/>
      <c r="K529" s="66"/>
      <c r="L529" s="66"/>
      <c r="M529" s="330"/>
      <c r="N529" s="330"/>
      <c r="O529" s="331" t="str">
        <f>IFERROR(__xludf.DUMMYFUNCTION("IFERROR(AVERAGE(FILTER('حضور '!I:I,'حضور '!A:A=A529,MONTH('حضور '!B:B)=N529)),"""")"),"")</f>
        <v/>
      </c>
    </row>
    <row r="530" ht="26.25" hidden="1" customHeight="1">
      <c r="A530" s="371"/>
      <c r="B530" s="372"/>
      <c r="C530" s="66"/>
      <c r="D530" s="90"/>
      <c r="E530" s="66"/>
      <c r="F530" s="66"/>
      <c r="G530" s="66"/>
      <c r="H530" s="66"/>
      <c r="I530" s="66"/>
      <c r="J530" s="66"/>
      <c r="K530" s="66"/>
      <c r="L530" s="66"/>
      <c r="M530" s="330"/>
      <c r="N530" s="339"/>
      <c r="O530" s="331" t="str">
        <f>IFERROR(__xludf.DUMMYFUNCTION("IFERROR(AVERAGE(FILTER('حضور '!I:I,'حضور '!A:A=A530,MONTH('حضور '!B:B)=N530)),"""")"),"")</f>
        <v/>
      </c>
    </row>
    <row r="531" ht="26.25" hidden="1" customHeight="1">
      <c r="A531" s="371"/>
      <c r="B531" s="372"/>
      <c r="C531" s="66"/>
      <c r="D531" s="90"/>
      <c r="E531" s="66"/>
      <c r="F531" s="66"/>
      <c r="G531" s="66"/>
      <c r="H531" s="66"/>
      <c r="I531" s="66"/>
      <c r="J531" s="66"/>
      <c r="K531" s="66"/>
      <c r="L531" s="66"/>
      <c r="M531" s="330"/>
      <c r="N531" s="339"/>
      <c r="O531" s="331" t="str">
        <f>IFERROR(__xludf.DUMMYFUNCTION("IFERROR(AVERAGE(FILTER('حضور '!I:I,'حضور '!A:A=A531,MONTH('حضور '!B:B)=N531)),"""")"),"")</f>
        <v/>
      </c>
    </row>
    <row r="532" ht="26.25" hidden="1" customHeight="1">
      <c r="A532" s="371"/>
      <c r="B532" s="372"/>
      <c r="C532" s="66"/>
      <c r="D532" s="90"/>
      <c r="E532" s="66"/>
      <c r="F532" s="66"/>
      <c r="G532" s="66"/>
      <c r="H532" s="66"/>
      <c r="I532" s="66"/>
      <c r="J532" s="66"/>
      <c r="K532" s="66"/>
      <c r="L532" s="66"/>
      <c r="M532" s="330"/>
      <c r="N532" s="339"/>
      <c r="O532" s="331" t="str">
        <f>IFERROR(__xludf.DUMMYFUNCTION("IFERROR(AVERAGE(FILTER('حضور '!I:I,'حضور '!A:A=A532,MONTH('حضور '!B:B)=N532)),"""")"),"")</f>
        <v/>
      </c>
    </row>
    <row r="533" ht="26.25" hidden="1" customHeight="1">
      <c r="A533" s="371"/>
      <c r="B533" s="372"/>
      <c r="C533" s="66"/>
      <c r="D533" s="90"/>
      <c r="E533" s="66"/>
      <c r="F533" s="66"/>
      <c r="G533" s="66"/>
      <c r="H533" s="66"/>
      <c r="I533" s="66"/>
      <c r="J533" s="66"/>
      <c r="K533" s="66"/>
      <c r="L533" s="66"/>
      <c r="M533" s="330"/>
      <c r="N533" s="339"/>
      <c r="O533" s="331" t="str">
        <f>IFERROR(__xludf.DUMMYFUNCTION("IFERROR(AVERAGE(FILTER('حضور '!I:I,'حضور '!A:A=A533,MONTH('حضور '!B:B)=N533)),"""")"),"")</f>
        <v/>
      </c>
    </row>
    <row r="534" ht="26.25" hidden="1" customHeight="1">
      <c r="A534" s="371"/>
      <c r="B534" s="372"/>
      <c r="C534" s="66"/>
      <c r="D534" s="90"/>
      <c r="E534" s="66"/>
      <c r="F534" s="66"/>
      <c r="G534" s="66"/>
      <c r="H534" s="66"/>
      <c r="I534" s="66"/>
      <c r="J534" s="66"/>
      <c r="K534" s="66"/>
      <c r="L534" s="66"/>
      <c r="M534" s="330"/>
      <c r="N534" s="330"/>
      <c r="O534" s="331" t="str">
        <f>IFERROR(__xludf.DUMMYFUNCTION("IFERROR(AVERAGE(FILTER('حضور '!I:I,'حضور '!A:A=A534,MONTH('حضور '!B:B)=N534)),"""")"),"")</f>
        <v/>
      </c>
    </row>
    <row r="535" ht="26.25" hidden="1" customHeight="1">
      <c r="A535" s="371"/>
      <c r="B535" s="372"/>
      <c r="C535" s="66"/>
      <c r="D535" s="90"/>
      <c r="E535" s="66"/>
      <c r="F535" s="66"/>
      <c r="G535" s="66"/>
      <c r="H535" s="66"/>
      <c r="I535" s="66"/>
      <c r="J535" s="66"/>
      <c r="K535" s="66"/>
      <c r="L535" s="66"/>
      <c r="M535" s="330"/>
      <c r="N535" s="339"/>
      <c r="O535" s="331" t="str">
        <f>IFERROR(__xludf.DUMMYFUNCTION("IFERROR(AVERAGE(FILTER('حضور '!I:I,'حضور '!A:A=A535,MONTH('حضور '!B:B)=N535)),"""")"),"")</f>
        <v/>
      </c>
    </row>
    <row r="536" ht="26.25" hidden="1" customHeight="1">
      <c r="A536" s="371"/>
      <c r="B536" s="372"/>
      <c r="C536" s="66"/>
      <c r="D536" s="90"/>
      <c r="E536" s="66"/>
      <c r="F536" s="66"/>
      <c r="G536" s="66"/>
      <c r="H536" s="66"/>
      <c r="I536" s="66"/>
      <c r="J536" s="66"/>
      <c r="K536" s="66"/>
      <c r="L536" s="66"/>
      <c r="M536" s="330"/>
      <c r="N536" s="339"/>
      <c r="O536" s="331" t="str">
        <f>IFERROR(__xludf.DUMMYFUNCTION("IFERROR(AVERAGE(FILTER('حضور '!I:I,'حضور '!A:A=A536,MONTH('حضور '!B:B)=N536)),"""")"),"")</f>
        <v/>
      </c>
    </row>
    <row r="537" ht="26.25" hidden="1" customHeight="1">
      <c r="A537" s="371"/>
      <c r="B537" s="372"/>
      <c r="C537" s="66"/>
      <c r="D537" s="90"/>
      <c r="E537" s="66"/>
      <c r="F537" s="66"/>
      <c r="G537" s="66"/>
      <c r="H537" s="66"/>
      <c r="I537" s="66"/>
      <c r="J537" s="66"/>
      <c r="K537" s="66"/>
      <c r="L537" s="66"/>
      <c r="M537" s="330"/>
      <c r="N537" s="339"/>
      <c r="O537" s="331" t="str">
        <f>IFERROR(__xludf.DUMMYFUNCTION("IFERROR(AVERAGE(FILTER('حضور '!I:I,'حضور '!A:A=A537,MONTH('حضور '!B:B)=N537)),"""")"),"")</f>
        <v/>
      </c>
    </row>
    <row r="538" ht="26.25" hidden="1" customHeight="1">
      <c r="A538" s="371"/>
      <c r="B538" s="372"/>
      <c r="C538" s="66"/>
      <c r="D538" s="90"/>
      <c r="E538" s="66"/>
      <c r="F538" s="66"/>
      <c r="G538" s="66"/>
      <c r="H538" s="66"/>
      <c r="I538" s="66"/>
      <c r="J538" s="66"/>
      <c r="K538" s="66"/>
      <c r="L538" s="66"/>
      <c r="M538" s="330"/>
      <c r="N538" s="339"/>
      <c r="O538" s="331" t="str">
        <f>IFERROR(__xludf.DUMMYFUNCTION("IFERROR(AVERAGE(FILTER('حضور '!I:I,'حضور '!A:A=A538,MONTH('حضور '!B:B)=N538)),"""")"),"")</f>
        <v/>
      </c>
    </row>
    <row r="539" ht="26.25" hidden="1" customHeight="1">
      <c r="A539" s="371"/>
      <c r="B539" s="372"/>
      <c r="C539" s="66"/>
      <c r="D539" s="90"/>
      <c r="E539" s="66"/>
      <c r="F539" s="66"/>
      <c r="G539" s="66"/>
      <c r="H539" s="66"/>
      <c r="I539" s="66"/>
      <c r="J539" s="66"/>
      <c r="K539" s="66"/>
      <c r="L539" s="66"/>
      <c r="M539" s="330"/>
      <c r="N539" s="330"/>
      <c r="O539" s="331" t="str">
        <f>IFERROR(__xludf.DUMMYFUNCTION("IFERROR(AVERAGE(FILTER('حضور '!I:I,'حضور '!A:A=A539,MONTH('حضور '!B:B)=N539)),"""")"),"")</f>
        <v/>
      </c>
    </row>
    <row r="540" ht="26.25" hidden="1" customHeight="1">
      <c r="A540" s="371"/>
      <c r="B540" s="372"/>
      <c r="C540" s="66"/>
      <c r="D540" s="90"/>
      <c r="E540" s="66"/>
      <c r="F540" s="66"/>
      <c r="G540" s="66"/>
      <c r="H540" s="66"/>
      <c r="I540" s="66"/>
      <c r="J540" s="66"/>
      <c r="K540" s="66"/>
      <c r="L540" s="66"/>
      <c r="M540" s="330"/>
      <c r="N540" s="339"/>
      <c r="O540" s="331" t="str">
        <f>IFERROR(__xludf.DUMMYFUNCTION("IFERROR(AVERAGE(FILTER('حضور '!I:I,'حضور '!A:A=A540,MONTH('حضور '!B:B)=N540)),"""")"),"")</f>
        <v/>
      </c>
    </row>
    <row r="541" ht="26.25" hidden="1" customHeight="1">
      <c r="A541" s="371"/>
      <c r="B541" s="372"/>
      <c r="C541" s="66"/>
      <c r="D541" s="90"/>
      <c r="E541" s="66"/>
      <c r="F541" s="66"/>
      <c r="G541" s="66"/>
      <c r="H541" s="66"/>
      <c r="I541" s="66"/>
      <c r="J541" s="66"/>
      <c r="K541" s="66"/>
      <c r="L541" s="66"/>
      <c r="M541" s="330"/>
      <c r="N541" s="339"/>
      <c r="O541" s="331" t="str">
        <f>IFERROR(__xludf.DUMMYFUNCTION("IFERROR(AVERAGE(FILTER('حضور '!I:I,'حضور '!A:A=A541,MONTH('حضور '!B:B)=N541)),"""")"),"")</f>
        <v/>
      </c>
    </row>
    <row r="542" ht="26.25" hidden="1" customHeight="1">
      <c r="A542" s="371"/>
      <c r="B542" s="372"/>
      <c r="C542" s="66"/>
      <c r="D542" s="90"/>
      <c r="E542" s="66"/>
      <c r="F542" s="66"/>
      <c r="G542" s="66"/>
      <c r="H542" s="66"/>
      <c r="I542" s="66"/>
      <c r="J542" s="66"/>
      <c r="K542" s="66"/>
      <c r="L542" s="66"/>
      <c r="M542" s="330"/>
      <c r="N542" s="339"/>
      <c r="O542" s="331" t="str">
        <f>IFERROR(__xludf.DUMMYFUNCTION("IFERROR(AVERAGE(FILTER('حضور '!I:I,'حضور '!A:A=A542,MONTH('حضور '!B:B)=N542)),"""")"),"")</f>
        <v/>
      </c>
    </row>
    <row r="543" ht="26.25" hidden="1" customHeight="1">
      <c r="A543" s="371"/>
      <c r="B543" s="372"/>
      <c r="C543" s="66"/>
      <c r="D543" s="90"/>
      <c r="E543" s="66"/>
      <c r="F543" s="66"/>
      <c r="G543" s="66"/>
      <c r="H543" s="66"/>
      <c r="I543" s="66"/>
      <c r="J543" s="66"/>
      <c r="K543" s="66"/>
      <c r="L543" s="66"/>
      <c r="M543" s="330"/>
      <c r="N543" s="339"/>
      <c r="O543" s="331" t="str">
        <f>IFERROR(__xludf.DUMMYFUNCTION("IFERROR(AVERAGE(FILTER('حضور '!I:I,'حضور '!A:A=A543,MONTH('حضور '!B:B)=N543)),"""")"),"")</f>
        <v/>
      </c>
    </row>
    <row r="544" ht="26.25" hidden="1" customHeight="1">
      <c r="A544" s="371"/>
      <c r="B544" s="372"/>
      <c r="C544" s="66"/>
      <c r="D544" s="90"/>
      <c r="E544" s="66"/>
      <c r="F544" s="66"/>
      <c r="G544" s="66"/>
      <c r="H544" s="66"/>
      <c r="I544" s="66"/>
      <c r="J544" s="66"/>
      <c r="K544" s="66"/>
      <c r="L544" s="66"/>
      <c r="M544" s="330"/>
      <c r="N544" s="330"/>
      <c r="O544" s="331" t="str">
        <f>IFERROR(__xludf.DUMMYFUNCTION("IFERROR(AVERAGE(FILTER('حضور '!I:I,'حضور '!A:A=A544,MONTH('حضور '!B:B)=N544)),"""")"),"")</f>
        <v/>
      </c>
    </row>
    <row r="545" ht="26.25" hidden="1" customHeight="1">
      <c r="A545" s="371"/>
      <c r="B545" s="372"/>
      <c r="C545" s="66"/>
      <c r="D545" s="90"/>
      <c r="E545" s="66"/>
      <c r="F545" s="66"/>
      <c r="G545" s="66"/>
      <c r="H545" s="66"/>
      <c r="I545" s="66"/>
      <c r="J545" s="66"/>
      <c r="K545" s="66"/>
      <c r="L545" s="66"/>
      <c r="M545" s="330"/>
      <c r="N545" s="339"/>
      <c r="O545" s="331" t="str">
        <f>IFERROR(__xludf.DUMMYFUNCTION("IFERROR(AVERAGE(FILTER('حضور '!I:I,'حضور '!A:A=A545,MONTH('حضور '!B:B)=N545)),"""")"),"")</f>
        <v/>
      </c>
    </row>
    <row r="546" ht="26.25" hidden="1" customHeight="1">
      <c r="A546" s="371"/>
      <c r="B546" s="372"/>
      <c r="C546" s="66"/>
      <c r="D546" s="90"/>
      <c r="E546" s="66"/>
      <c r="F546" s="66"/>
      <c r="G546" s="66"/>
      <c r="H546" s="66"/>
      <c r="I546" s="66"/>
      <c r="J546" s="66"/>
      <c r="K546" s="66"/>
      <c r="L546" s="66"/>
      <c r="M546" s="330"/>
      <c r="N546" s="339"/>
      <c r="O546" s="331" t="str">
        <f>IFERROR(__xludf.DUMMYFUNCTION("IFERROR(AVERAGE(FILTER('حضور '!I:I,'حضور '!A:A=A546,MONTH('حضور '!B:B)=N546)),"""")"),"")</f>
        <v/>
      </c>
    </row>
    <row r="547" ht="26.25" hidden="1" customHeight="1">
      <c r="A547" s="371"/>
      <c r="B547" s="372"/>
      <c r="C547" s="66"/>
      <c r="D547" s="90"/>
      <c r="E547" s="66"/>
      <c r="F547" s="66"/>
      <c r="G547" s="66"/>
      <c r="H547" s="66"/>
      <c r="I547" s="66"/>
      <c r="J547" s="66"/>
      <c r="K547" s="66"/>
      <c r="L547" s="66"/>
      <c r="M547" s="330"/>
      <c r="N547" s="339"/>
      <c r="O547" s="331" t="str">
        <f>IFERROR(__xludf.DUMMYFUNCTION("IFERROR(AVERAGE(FILTER('حضور '!I:I,'حضور '!A:A=A547,MONTH('حضور '!B:B)=N547)),"""")"),"")</f>
        <v/>
      </c>
    </row>
    <row r="548" ht="26.25" hidden="1" customHeight="1">
      <c r="A548" s="371"/>
      <c r="B548" s="372"/>
      <c r="C548" s="66"/>
      <c r="D548" s="90"/>
      <c r="E548" s="66"/>
      <c r="F548" s="66"/>
      <c r="G548" s="66"/>
      <c r="H548" s="66"/>
      <c r="I548" s="66"/>
      <c r="J548" s="66"/>
      <c r="K548" s="66"/>
      <c r="L548" s="66"/>
      <c r="M548" s="330"/>
      <c r="N548" s="339"/>
      <c r="O548" s="331" t="str">
        <f>IFERROR(__xludf.DUMMYFUNCTION("IFERROR(AVERAGE(FILTER('حضور '!I:I,'حضور '!A:A=A548,MONTH('حضور '!B:B)=N548)),"""")"),"")</f>
        <v/>
      </c>
    </row>
    <row r="549" ht="26.25" hidden="1" customHeight="1">
      <c r="A549" s="371"/>
      <c r="B549" s="372"/>
      <c r="C549" s="66"/>
      <c r="D549" s="90"/>
      <c r="E549" s="66"/>
      <c r="F549" s="66"/>
      <c r="G549" s="66"/>
      <c r="H549" s="66"/>
      <c r="I549" s="66"/>
      <c r="J549" s="66"/>
      <c r="K549" s="66"/>
      <c r="L549" s="66"/>
      <c r="M549" s="330"/>
      <c r="N549" s="330"/>
      <c r="O549" s="331" t="str">
        <f>IFERROR(__xludf.DUMMYFUNCTION("IFERROR(AVERAGE(FILTER('حضور '!I:I,'حضور '!A:A=A549,MONTH('حضور '!B:B)=N549)),"""")"),"")</f>
        <v/>
      </c>
    </row>
    <row r="550" ht="26.25" hidden="1" customHeight="1">
      <c r="A550" s="371"/>
      <c r="B550" s="372"/>
      <c r="C550" s="66"/>
      <c r="D550" s="90"/>
      <c r="E550" s="66"/>
      <c r="F550" s="66"/>
      <c r="G550" s="66"/>
      <c r="H550" s="66"/>
      <c r="I550" s="66"/>
      <c r="J550" s="66"/>
      <c r="K550" s="66"/>
      <c r="L550" s="66"/>
      <c r="M550" s="330"/>
      <c r="N550" s="339"/>
      <c r="O550" s="331" t="str">
        <f>IFERROR(__xludf.DUMMYFUNCTION("IFERROR(AVERAGE(FILTER('حضور '!I:I,'حضور '!A:A=A550,MONTH('حضور '!B:B)=N550)),"""")"),"")</f>
        <v/>
      </c>
    </row>
    <row r="551" ht="26.25" hidden="1" customHeight="1">
      <c r="A551" s="371"/>
      <c r="B551" s="372"/>
      <c r="C551" s="66"/>
      <c r="D551" s="90"/>
      <c r="E551" s="66"/>
      <c r="F551" s="66"/>
      <c r="G551" s="66"/>
      <c r="H551" s="66"/>
      <c r="I551" s="66"/>
      <c r="J551" s="66"/>
      <c r="K551" s="66"/>
      <c r="L551" s="66"/>
      <c r="M551" s="330"/>
      <c r="N551" s="339"/>
      <c r="O551" s="331" t="str">
        <f>IFERROR(__xludf.DUMMYFUNCTION("IFERROR(AVERAGE(FILTER('حضور '!I:I,'حضور '!A:A=A551,MONTH('حضور '!B:B)=N551)),"""")"),"")</f>
        <v/>
      </c>
    </row>
    <row r="552" ht="26.25" hidden="1" customHeight="1">
      <c r="A552" s="371"/>
      <c r="B552" s="372"/>
      <c r="C552" s="66"/>
      <c r="D552" s="90"/>
      <c r="E552" s="66"/>
      <c r="F552" s="66"/>
      <c r="G552" s="66"/>
      <c r="H552" s="66"/>
      <c r="I552" s="66"/>
      <c r="J552" s="66"/>
      <c r="K552" s="66"/>
      <c r="L552" s="66"/>
      <c r="M552" s="330"/>
      <c r="N552" s="339"/>
      <c r="O552" s="331" t="str">
        <f>IFERROR(__xludf.DUMMYFUNCTION("IFERROR(AVERAGE(FILTER('حضور '!I:I,'حضور '!A:A=A552,MONTH('حضور '!B:B)=N552)),"""")"),"")</f>
        <v/>
      </c>
    </row>
    <row r="553" ht="26.25" hidden="1" customHeight="1">
      <c r="A553" s="371"/>
      <c r="B553" s="372"/>
      <c r="C553" s="66"/>
      <c r="D553" s="90"/>
      <c r="E553" s="66"/>
      <c r="F553" s="66"/>
      <c r="G553" s="66"/>
      <c r="H553" s="66"/>
      <c r="I553" s="66"/>
      <c r="J553" s="66"/>
      <c r="K553" s="66"/>
      <c r="L553" s="66"/>
      <c r="M553" s="330"/>
      <c r="N553" s="339"/>
      <c r="O553" s="331" t="str">
        <f>IFERROR(__xludf.DUMMYFUNCTION("IFERROR(AVERAGE(FILTER('حضور '!I:I,'حضور '!A:A=A553,MONTH('حضور '!B:B)=N553)),"""")"),"")</f>
        <v/>
      </c>
    </row>
    <row r="554" ht="26.25" hidden="1" customHeight="1">
      <c r="A554" s="371"/>
      <c r="B554" s="372"/>
      <c r="C554" s="66"/>
      <c r="D554" s="90"/>
      <c r="E554" s="66"/>
      <c r="F554" s="66"/>
      <c r="G554" s="66"/>
      <c r="H554" s="66"/>
      <c r="I554" s="66"/>
      <c r="J554" s="66"/>
      <c r="K554" s="66"/>
      <c r="L554" s="66"/>
      <c r="M554" s="330"/>
      <c r="N554" s="330"/>
      <c r="O554" s="331" t="str">
        <f>IFERROR(__xludf.DUMMYFUNCTION("IFERROR(AVERAGE(FILTER('حضور '!I:I,'حضور '!A:A=A554,MONTH('حضور '!B:B)=N554)),"""")"),"")</f>
        <v/>
      </c>
    </row>
    <row r="555" ht="26.25" hidden="1" customHeight="1">
      <c r="A555" s="371"/>
      <c r="B555" s="372"/>
      <c r="C555" s="66"/>
      <c r="D555" s="90"/>
      <c r="E555" s="66"/>
      <c r="F555" s="66"/>
      <c r="G555" s="66"/>
      <c r="H555" s="66"/>
      <c r="I555" s="66"/>
      <c r="J555" s="66"/>
      <c r="K555" s="66"/>
      <c r="L555" s="66"/>
      <c r="M555" s="330"/>
      <c r="N555" s="339"/>
      <c r="O555" s="331" t="str">
        <f>IFERROR(__xludf.DUMMYFUNCTION("IFERROR(AVERAGE(FILTER('حضور '!I:I,'حضور '!A:A=A555,MONTH('حضور '!B:B)=N555)),"""")"),"")</f>
        <v/>
      </c>
    </row>
    <row r="556" ht="26.25" hidden="1" customHeight="1">
      <c r="A556" s="371"/>
      <c r="B556" s="372"/>
      <c r="C556" s="66"/>
      <c r="D556" s="90"/>
      <c r="E556" s="66"/>
      <c r="F556" s="66"/>
      <c r="G556" s="66"/>
      <c r="H556" s="66"/>
      <c r="I556" s="66"/>
      <c r="J556" s="66"/>
      <c r="K556" s="66"/>
      <c r="L556" s="66"/>
      <c r="M556" s="330"/>
      <c r="N556" s="339"/>
      <c r="O556" s="331" t="str">
        <f>IFERROR(__xludf.DUMMYFUNCTION("IFERROR(AVERAGE(FILTER('حضور '!I:I,'حضور '!A:A=A556,MONTH('حضور '!B:B)=N556)),"""")"),"")</f>
        <v/>
      </c>
    </row>
    <row r="557" ht="26.25" hidden="1" customHeight="1">
      <c r="A557" s="371"/>
      <c r="B557" s="372"/>
      <c r="C557" s="66"/>
      <c r="D557" s="90"/>
      <c r="E557" s="66"/>
      <c r="F557" s="66"/>
      <c r="G557" s="66"/>
      <c r="H557" s="66"/>
      <c r="I557" s="66"/>
      <c r="J557" s="66"/>
      <c r="K557" s="66"/>
      <c r="L557" s="66"/>
      <c r="M557" s="330"/>
      <c r="N557" s="339"/>
      <c r="O557" s="331" t="str">
        <f>IFERROR(__xludf.DUMMYFUNCTION("IFERROR(AVERAGE(FILTER('حضور '!I:I,'حضور '!A:A=A557,MONTH('حضور '!B:B)=N557)),"""")"),"")</f>
        <v/>
      </c>
    </row>
    <row r="558" ht="26.25" hidden="1" customHeight="1">
      <c r="A558" s="371"/>
      <c r="B558" s="372"/>
      <c r="C558" s="66"/>
      <c r="D558" s="90"/>
      <c r="E558" s="66"/>
      <c r="F558" s="66"/>
      <c r="G558" s="66"/>
      <c r="H558" s="66"/>
      <c r="I558" s="66"/>
      <c r="J558" s="66"/>
      <c r="K558" s="66"/>
      <c r="L558" s="66"/>
      <c r="M558" s="330"/>
      <c r="N558" s="339"/>
      <c r="O558" s="331" t="str">
        <f>IFERROR(__xludf.DUMMYFUNCTION("IFERROR(AVERAGE(FILTER('حضور '!I:I,'حضور '!A:A=A558,MONTH('حضور '!B:B)=N558)),"""")"),"")</f>
        <v/>
      </c>
    </row>
    <row r="559" ht="26.25" hidden="1" customHeight="1">
      <c r="A559" s="371"/>
      <c r="B559" s="372"/>
      <c r="C559" s="66"/>
      <c r="D559" s="90"/>
      <c r="E559" s="66"/>
      <c r="F559" s="66"/>
      <c r="G559" s="66"/>
      <c r="H559" s="66"/>
      <c r="I559" s="66"/>
      <c r="J559" s="66"/>
      <c r="K559" s="66"/>
      <c r="L559" s="66"/>
      <c r="M559" s="330"/>
      <c r="N559" s="330"/>
      <c r="O559" s="331" t="str">
        <f>IFERROR(__xludf.DUMMYFUNCTION("IFERROR(AVERAGE(FILTER('حضور '!I:I,'حضور '!A:A=A559,MONTH('حضور '!B:B)=N559)),"""")"),"")</f>
        <v/>
      </c>
    </row>
    <row r="560" ht="26.25" hidden="1" customHeight="1">
      <c r="A560" s="371"/>
      <c r="B560" s="372"/>
      <c r="C560" s="66"/>
      <c r="D560" s="90"/>
      <c r="E560" s="66"/>
      <c r="F560" s="66"/>
      <c r="G560" s="66"/>
      <c r="H560" s="66"/>
      <c r="I560" s="66"/>
      <c r="J560" s="66"/>
      <c r="K560" s="66"/>
      <c r="L560" s="66"/>
      <c r="M560" s="330"/>
      <c r="N560" s="339"/>
      <c r="O560" s="331" t="str">
        <f>IFERROR(__xludf.DUMMYFUNCTION("IFERROR(AVERAGE(FILTER('حضور '!I:I,'حضور '!A:A=A560,MONTH('حضور '!B:B)=N560)),"""")"),"")</f>
        <v/>
      </c>
    </row>
    <row r="561" ht="26.25" hidden="1" customHeight="1">
      <c r="A561" s="371"/>
      <c r="B561" s="372"/>
      <c r="C561" s="66"/>
      <c r="D561" s="90"/>
      <c r="E561" s="66"/>
      <c r="F561" s="66"/>
      <c r="G561" s="66"/>
      <c r="H561" s="66"/>
      <c r="I561" s="66"/>
      <c r="J561" s="66"/>
      <c r="K561" s="66"/>
      <c r="L561" s="66"/>
      <c r="M561" s="330"/>
      <c r="N561" s="339"/>
      <c r="O561" s="331" t="str">
        <f>IFERROR(__xludf.DUMMYFUNCTION("IFERROR(AVERAGE(FILTER('حضور '!I:I,'حضور '!A:A=A561,MONTH('حضور '!B:B)=N561)),"""")"),"")</f>
        <v/>
      </c>
    </row>
    <row r="562" ht="26.25" hidden="1" customHeight="1">
      <c r="A562" s="371"/>
      <c r="B562" s="372"/>
      <c r="C562" s="66"/>
      <c r="D562" s="90"/>
      <c r="E562" s="66"/>
      <c r="F562" s="66"/>
      <c r="G562" s="66"/>
      <c r="H562" s="66"/>
      <c r="I562" s="66"/>
      <c r="J562" s="66"/>
      <c r="K562" s="66"/>
      <c r="L562" s="66"/>
      <c r="M562" s="330"/>
      <c r="N562" s="339"/>
      <c r="O562" s="331" t="str">
        <f>IFERROR(__xludf.DUMMYFUNCTION("IFERROR(AVERAGE(FILTER('حضور '!I:I,'حضور '!A:A=A562,MONTH('حضور '!B:B)=N562)),"""")"),"")</f>
        <v/>
      </c>
    </row>
    <row r="563" ht="26.25" hidden="1" customHeight="1">
      <c r="A563" s="371"/>
      <c r="B563" s="372"/>
      <c r="C563" s="66"/>
      <c r="D563" s="90"/>
      <c r="E563" s="66"/>
      <c r="F563" s="66"/>
      <c r="G563" s="66"/>
      <c r="H563" s="66"/>
      <c r="I563" s="66"/>
      <c r="J563" s="66"/>
      <c r="K563" s="66"/>
      <c r="L563" s="66"/>
      <c r="M563" s="330"/>
      <c r="N563" s="339"/>
      <c r="O563" s="331" t="str">
        <f>IFERROR(__xludf.DUMMYFUNCTION("IFERROR(AVERAGE(FILTER('حضور '!I:I,'حضور '!A:A=A563,MONTH('حضور '!B:B)=N563)),"""")"),"")</f>
        <v/>
      </c>
    </row>
    <row r="564" ht="26.25" hidden="1" customHeight="1">
      <c r="A564" s="371"/>
      <c r="B564" s="372"/>
      <c r="C564" s="66"/>
      <c r="D564" s="90"/>
      <c r="E564" s="66"/>
      <c r="F564" s="66"/>
      <c r="G564" s="66"/>
      <c r="H564" s="66"/>
      <c r="I564" s="66"/>
      <c r="J564" s="66"/>
      <c r="K564" s="66"/>
      <c r="L564" s="66"/>
      <c r="M564" s="330"/>
      <c r="N564" s="330"/>
      <c r="O564" s="331" t="str">
        <f>IFERROR(__xludf.DUMMYFUNCTION("IFERROR(AVERAGE(FILTER('حضور '!I:I,'حضور '!A:A=A564,MONTH('حضور '!B:B)=N564)),"""")"),"")</f>
        <v/>
      </c>
    </row>
    <row r="565" ht="26.25" hidden="1" customHeight="1">
      <c r="A565" s="371"/>
      <c r="B565" s="372"/>
      <c r="C565" s="66"/>
      <c r="D565" s="90"/>
      <c r="E565" s="66"/>
      <c r="F565" s="66"/>
      <c r="G565" s="66"/>
      <c r="H565" s="66"/>
      <c r="I565" s="66"/>
      <c r="J565" s="66"/>
      <c r="K565" s="66"/>
      <c r="L565" s="66"/>
      <c r="M565" s="330"/>
      <c r="N565" s="339"/>
      <c r="O565" s="331" t="str">
        <f>IFERROR(__xludf.DUMMYFUNCTION("IFERROR(AVERAGE(FILTER('حضور '!I:I,'حضور '!A:A=A565,MONTH('حضور '!B:B)=N565)),"""")"),"")</f>
        <v/>
      </c>
    </row>
    <row r="566" ht="26.25" hidden="1" customHeight="1">
      <c r="A566" s="371"/>
      <c r="B566" s="372"/>
      <c r="C566" s="66"/>
      <c r="D566" s="90"/>
      <c r="E566" s="66"/>
      <c r="F566" s="66"/>
      <c r="G566" s="66"/>
      <c r="H566" s="66"/>
      <c r="I566" s="66"/>
      <c r="J566" s="66"/>
      <c r="K566" s="66"/>
      <c r="L566" s="66"/>
      <c r="M566" s="330"/>
      <c r="N566" s="339"/>
      <c r="O566" s="331" t="str">
        <f>IFERROR(__xludf.DUMMYFUNCTION("IFERROR(AVERAGE(FILTER('حضور '!I:I,'حضور '!A:A=A566,MONTH('حضور '!B:B)=N566)),"""")"),"")</f>
        <v/>
      </c>
    </row>
    <row r="567" ht="26.25" hidden="1" customHeight="1">
      <c r="A567" s="371"/>
      <c r="B567" s="372"/>
      <c r="C567" s="66"/>
      <c r="D567" s="90"/>
      <c r="E567" s="66"/>
      <c r="F567" s="66"/>
      <c r="G567" s="66"/>
      <c r="H567" s="66"/>
      <c r="I567" s="66"/>
      <c r="J567" s="66"/>
      <c r="K567" s="66"/>
      <c r="L567" s="66"/>
      <c r="M567" s="330"/>
      <c r="N567" s="339"/>
      <c r="O567" s="331" t="str">
        <f>IFERROR(__xludf.DUMMYFUNCTION("IFERROR(AVERAGE(FILTER('حضور '!I:I,'حضور '!A:A=A567,MONTH('حضور '!B:B)=N567)),"""")"),"")</f>
        <v/>
      </c>
    </row>
    <row r="568" ht="26.25" hidden="1" customHeight="1">
      <c r="A568" s="371"/>
      <c r="B568" s="372"/>
      <c r="C568" s="66"/>
      <c r="D568" s="90"/>
      <c r="E568" s="66"/>
      <c r="F568" s="66"/>
      <c r="G568" s="66"/>
      <c r="H568" s="66"/>
      <c r="I568" s="66"/>
      <c r="J568" s="66"/>
      <c r="K568" s="66"/>
      <c r="L568" s="66"/>
      <c r="M568" s="330"/>
      <c r="N568" s="339"/>
      <c r="O568" s="331" t="str">
        <f>IFERROR(__xludf.DUMMYFUNCTION("IFERROR(AVERAGE(FILTER('حضور '!I:I,'حضور '!A:A=A568,MONTH('حضور '!B:B)=N568)),"""")"),"")</f>
        <v/>
      </c>
    </row>
    <row r="569" ht="26.25" hidden="1" customHeight="1">
      <c r="A569" s="371"/>
      <c r="B569" s="372"/>
      <c r="C569" s="66"/>
      <c r="D569" s="90"/>
      <c r="E569" s="66"/>
      <c r="F569" s="66"/>
      <c r="G569" s="66"/>
      <c r="H569" s="66"/>
      <c r="I569" s="66"/>
      <c r="J569" s="66"/>
      <c r="K569" s="66"/>
      <c r="L569" s="66"/>
      <c r="M569" s="330"/>
      <c r="N569" s="330"/>
      <c r="O569" s="331" t="str">
        <f>IFERROR(__xludf.DUMMYFUNCTION("IFERROR(AVERAGE(FILTER('حضور '!I:I,'حضور '!A:A=A569,MONTH('حضور '!B:B)=N569)),"""")"),"")</f>
        <v/>
      </c>
    </row>
    <row r="570" ht="26.25" hidden="1" customHeight="1">
      <c r="A570" s="371"/>
      <c r="B570" s="372"/>
      <c r="C570" s="66"/>
      <c r="D570" s="90"/>
      <c r="E570" s="66"/>
      <c r="F570" s="66"/>
      <c r="G570" s="66"/>
      <c r="H570" s="66"/>
      <c r="I570" s="66"/>
      <c r="J570" s="66"/>
      <c r="K570" s="66"/>
      <c r="L570" s="66"/>
      <c r="M570" s="330"/>
      <c r="N570" s="339"/>
      <c r="O570" s="331" t="str">
        <f>IFERROR(__xludf.DUMMYFUNCTION("IFERROR(AVERAGE(FILTER('حضور '!I:I,'حضور '!A:A=A570,MONTH('حضور '!B:B)=N570)),"""")"),"")</f>
        <v/>
      </c>
    </row>
    <row r="571" ht="26.25" hidden="1" customHeight="1">
      <c r="A571" s="371"/>
      <c r="B571" s="372"/>
      <c r="C571" s="66"/>
      <c r="D571" s="90"/>
      <c r="E571" s="66"/>
      <c r="F571" s="66"/>
      <c r="G571" s="66"/>
      <c r="H571" s="66"/>
      <c r="I571" s="66"/>
      <c r="J571" s="66"/>
      <c r="K571" s="66"/>
      <c r="L571" s="66"/>
      <c r="M571" s="330"/>
      <c r="N571" s="339"/>
      <c r="O571" s="331" t="str">
        <f>IFERROR(__xludf.DUMMYFUNCTION("IFERROR(AVERAGE(FILTER('حضور '!I:I,'حضور '!A:A=A571,MONTH('حضور '!B:B)=N571)),"""")"),"")</f>
        <v/>
      </c>
    </row>
    <row r="572" ht="26.25" hidden="1" customHeight="1">
      <c r="A572" s="371"/>
      <c r="B572" s="372"/>
      <c r="C572" s="66"/>
      <c r="D572" s="90"/>
      <c r="E572" s="66"/>
      <c r="F572" s="66"/>
      <c r="G572" s="66"/>
      <c r="H572" s="66"/>
      <c r="I572" s="66"/>
      <c r="J572" s="66"/>
      <c r="K572" s="66"/>
      <c r="L572" s="66"/>
      <c r="M572" s="330"/>
      <c r="N572" s="339"/>
      <c r="O572" s="331" t="str">
        <f>IFERROR(__xludf.DUMMYFUNCTION("IFERROR(AVERAGE(FILTER('حضور '!I:I,'حضور '!A:A=A572,MONTH('حضور '!B:B)=N572)),"""")"),"")</f>
        <v/>
      </c>
    </row>
    <row r="573" ht="26.25" hidden="1" customHeight="1">
      <c r="A573" s="371"/>
      <c r="B573" s="372"/>
      <c r="C573" s="66"/>
      <c r="D573" s="90"/>
      <c r="E573" s="66"/>
      <c r="F573" s="66"/>
      <c r="G573" s="66"/>
      <c r="H573" s="66"/>
      <c r="I573" s="66"/>
      <c r="J573" s="66"/>
      <c r="K573" s="66"/>
      <c r="L573" s="66"/>
      <c r="M573" s="330"/>
      <c r="N573" s="339"/>
      <c r="O573" s="331" t="str">
        <f>IFERROR(__xludf.DUMMYFUNCTION("IFERROR(AVERAGE(FILTER('حضور '!I:I,'حضور '!A:A=A573,MONTH('حضور '!B:B)=N573)),"""")"),"")</f>
        <v/>
      </c>
    </row>
    <row r="574" ht="26.25" hidden="1" customHeight="1">
      <c r="A574" s="371"/>
      <c r="B574" s="372"/>
      <c r="C574" s="66"/>
      <c r="D574" s="90"/>
      <c r="E574" s="66"/>
      <c r="F574" s="66"/>
      <c r="G574" s="66"/>
      <c r="H574" s="66"/>
      <c r="I574" s="66"/>
      <c r="J574" s="66"/>
      <c r="K574" s="66"/>
      <c r="L574" s="66"/>
      <c r="M574" s="330"/>
      <c r="N574" s="330"/>
      <c r="O574" s="331" t="str">
        <f>IFERROR(__xludf.DUMMYFUNCTION("IFERROR(AVERAGE(FILTER('حضور '!I:I,'حضور '!A:A=A574,MONTH('حضور '!B:B)=N574)),"""")"),"")</f>
        <v/>
      </c>
    </row>
    <row r="575" ht="26.25" hidden="1" customHeight="1">
      <c r="A575" s="371"/>
      <c r="B575" s="372"/>
      <c r="C575" s="66"/>
      <c r="D575" s="90"/>
      <c r="E575" s="66"/>
      <c r="F575" s="66"/>
      <c r="G575" s="66"/>
      <c r="H575" s="66"/>
      <c r="I575" s="66"/>
      <c r="J575" s="66"/>
      <c r="K575" s="66"/>
      <c r="L575" s="66"/>
      <c r="M575" s="330"/>
      <c r="N575" s="339"/>
      <c r="O575" s="331" t="str">
        <f>IFERROR(__xludf.DUMMYFUNCTION("IFERROR(AVERAGE(FILTER('حضور '!I:I,'حضور '!A:A=A575,MONTH('حضور '!B:B)=N575)),"""")"),"")</f>
        <v/>
      </c>
    </row>
    <row r="576" ht="26.25" hidden="1" customHeight="1">
      <c r="A576" s="371"/>
      <c r="B576" s="372"/>
      <c r="C576" s="66"/>
      <c r="D576" s="90"/>
      <c r="E576" s="66"/>
      <c r="F576" s="66"/>
      <c r="G576" s="66"/>
      <c r="H576" s="66"/>
      <c r="I576" s="66"/>
      <c r="J576" s="66"/>
      <c r="K576" s="66"/>
      <c r="L576" s="66"/>
      <c r="M576" s="330"/>
      <c r="N576" s="339"/>
      <c r="O576" s="331" t="str">
        <f>IFERROR(__xludf.DUMMYFUNCTION("IFERROR(AVERAGE(FILTER('حضور '!I:I,'حضور '!A:A=A576,MONTH('حضور '!B:B)=N576)),"""")"),"")</f>
        <v/>
      </c>
    </row>
    <row r="577" ht="26.25" hidden="1" customHeight="1">
      <c r="A577" s="371"/>
      <c r="B577" s="372"/>
      <c r="C577" s="66"/>
      <c r="D577" s="90"/>
      <c r="E577" s="66"/>
      <c r="F577" s="66"/>
      <c r="G577" s="66"/>
      <c r="H577" s="66"/>
      <c r="I577" s="66"/>
      <c r="J577" s="66"/>
      <c r="K577" s="66"/>
      <c r="L577" s="66"/>
      <c r="M577" s="330"/>
      <c r="N577" s="339"/>
      <c r="O577" s="331" t="str">
        <f>IFERROR(__xludf.DUMMYFUNCTION("IFERROR(AVERAGE(FILTER('حضور '!I:I,'حضور '!A:A=A577,MONTH('حضور '!B:B)=N577)),"""")"),"")</f>
        <v/>
      </c>
    </row>
    <row r="578" ht="26.25" hidden="1" customHeight="1">
      <c r="A578" s="371"/>
      <c r="B578" s="372"/>
      <c r="C578" s="66"/>
      <c r="D578" s="90"/>
      <c r="E578" s="66"/>
      <c r="F578" s="66"/>
      <c r="G578" s="66"/>
      <c r="H578" s="66"/>
      <c r="I578" s="66"/>
      <c r="J578" s="66"/>
      <c r="K578" s="66"/>
      <c r="L578" s="66"/>
      <c r="M578" s="330"/>
      <c r="N578" s="339"/>
      <c r="O578" s="331" t="str">
        <f>IFERROR(__xludf.DUMMYFUNCTION("IFERROR(AVERAGE(FILTER('حضور '!I:I,'حضور '!A:A=A578,MONTH('حضور '!B:B)=N578)),"""")"),"")</f>
        <v/>
      </c>
    </row>
    <row r="579" ht="26.25" hidden="1" customHeight="1">
      <c r="A579" s="371"/>
      <c r="B579" s="372"/>
      <c r="C579" s="66"/>
      <c r="D579" s="90"/>
      <c r="E579" s="66"/>
      <c r="F579" s="66"/>
      <c r="G579" s="66"/>
      <c r="H579" s="66"/>
      <c r="I579" s="66"/>
      <c r="J579" s="66"/>
      <c r="K579" s="66"/>
      <c r="L579" s="66"/>
      <c r="M579" s="330"/>
      <c r="N579" s="330"/>
      <c r="O579" s="331" t="str">
        <f>IFERROR(__xludf.DUMMYFUNCTION("IFERROR(AVERAGE(FILTER('حضور '!I:I,'حضور '!A:A=A579,MONTH('حضور '!B:B)=N579)),"""")"),"")</f>
        <v/>
      </c>
    </row>
    <row r="580" ht="26.25" hidden="1" customHeight="1">
      <c r="A580" s="371"/>
      <c r="B580" s="372"/>
      <c r="C580" s="66"/>
      <c r="D580" s="90"/>
      <c r="E580" s="66"/>
      <c r="F580" s="66"/>
      <c r="G580" s="66"/>
      <c r="H580" s="66"/>
      <c r="I580" s="66"/>
      <c r="J580" s="66"/>
      <c r="K580" s="66"/>
      <c r="L580" s="66"/>
      <c r="M580" s="330"/>
      <c r="N580" s="339"/>
      <c r="O580" s="331" t="str">
        <f>IFERROR(__xludf.DUMMYFUNCTION("IFERROR(AVERAGE(FILTER('حضور '!I:I,'حضور '!A:A=A580,MONTH('حضور '!B:B)=N580)),"""")"),"")</f>
        <v/>
      </c>
    </row>
    <row r="581" ht="26.25" hidden="1" customHeight="1">
      <c r="A581" s="371"/>
      <c r="B581" s="372"/>
      <c r="C581" s="66"/>
      <c r="D581" s="90"/>
      <c r="E581" s="66"/>
      <c r="F581" s="66"/>
      <c r="G581" s="66"/>
      <c r="H581" s="66"/>
      <c r="I581" s="66"/>
      <c r="J581" s="66"/>
      <c r="K581" s="66"/>
      <c r="L581" s="66"/>
      <c r="M581" s="330"/>
      <c r="N581" s="339"/>
      <c r="O581" s="331" t="str">
        <f>IFERROR(__xludf.DUMMYFUNCTION("IFERROR(AVERAGE(FILTER('حضور '!I:I,'حضور '!A:A=A581,MONTH('حضور '!B:B)=N581)),"""")"),"")</f>
        <v/>
      </c>
    </row>
    <row r="582" ht="26.25" hidden="1" customHeight="1">
      <c r="A582" s="371"/>
      <c r="B582" s="372"/>
      <c r="C582" s="66"/>
      <c r="D582" s="90"/>
      <c r="E582" s="66"/>
      <c r="F582" s="66"/>
      <c r="G582" s="66"/>
      <c r="H582" s="66"/>
      <c r="I582" s="66"/>
      <c r="J582" s="66"/>
      <c r="K582" s="66"/>
      <c r="L582" s="66"/>
      <c r="M582" s="330"/>
      <c r="N582" s="339"/>
      <c r="O582" s="331" t="str">
        <f>IFERROR(__xludf.DUMMYFUNCTION("IFERROR(AVERAGE(FILTER('حضور '!I:I,'حضور '!A:A=A582,MONTH('حضور '!B:B)=N582)),"""")"),"")</f>
        <v/>
      </c>
    </row>
    <row r="583" ht="26.25" hidden="1" customHeight="1">
      <c r="A583" s="371"/>
      <c r="B583" s="372"/>
      <c r="C583" s="66"/>
      <c r="D583" s="90"/>
      <c r="E583" s="66"/>
      <c r="F583" s="66"/>
      <c r="G583" s="66"/>
      <c r="H583" s="66"/>
      <c r="I583" s="66"/>
      <c r="J583" s="66"/>
      <c r="K583" s="66"/>
      <c r="L583" s="66"/>
      <c r="M583" s="330"/>
      <c r="N583" s="339"/>
      <c r="O583" s="331" t="str">
        <f>IFERROR(__xludf.DUMMYFUNCTION("IFERROR(AVERAGE(FILTER('حضور '!I:I,'حضور '!A:A=A583,MONTH('حضور '!B:B)=N583)),"""")"),"")</f>
        <v/>
      </c>
    </row>
    <row r="584" ht="26.25" hidden="1" customHeight="1">
      <c r="A584" s="371"/>
      <c r="B584" s="372"/>
      <c r="C584" s="66"/>
      <c r="D584" s="90"/>
      <c r="E584" s="66"/>
      <c r="F584" s="66"/>
      <c r="G584" s="66"/>
      <c r="H584" s="66"/>
      <c r="I584" s="66"/>
      <c r="J584" s="66"/>
      <c r="K584" s="66"/>
      <c r="L584" s="66"/>
      <c r="M584" s="330"/>
      <c r="N584" s="330"/>
      <c r="O584" s="331" t="str">
        <f>IFERROR(__xludf.DUMMYFUNCTION("IFERROR(AVERAGE(FILTER('حضور '!I:I,'حضور '!A:A=A584,MONTH('حضور '!B:B)=N584)),"""")"),"")</f>
        <v/>
      </c>
    </row>
    <row r="585" ht="26.25" hidden="1" customHeight="1">
      <c r="A585" s="371"/>
      <c r="B585" s="372"/>
      <c r="C585" s="66"/>
      <c r="D585" s="90"/>
      <c r="E585" s="66"/>
      <c r="F585" s="66"/>
      <c r="G585" s="66"/>
      <c r="H585" s="66"/>
      <c r="I585" s="66"/>
      <c r="J585" s="66"/>
      <c r="K585" s="66"/>
      <c r="L585" s="66"/>
      <c r="M585" s="330"/>
      <c r="N585" s="339"/>
      <c r="O585" s="331" t="str">
        <f>IFERROR(__xludf.DUMMYFUNCTION("IFERROR(AVERAGE(FILTER('حضور '!I:I,'حضور '!A:A=A585,MONTH('حضور '!B:B)=N585)),"""")"),"")</f>
        <v/>
      </c>
    </row>
    <row r="586" ht="26.25" hidden="1" customHeight="1">
      <c r="A586" s="371"/>
      <c r="B586" s="372"/>
      <c r="C586" s="66"/>
      <c r="D586" s="90"/>
      <c r="E586" s="66"/>
      <c r="F586" s="66"/>
      <c r="G586" s="66"/>
      <c r="H586" s="66"/>
      <c r="I586" s="66"/>
      <c r="J586" s="66"/>
      <c r="K586" s="66"/>
      <c r="L586" s="66"/>
      <c r="M586" s="330"/>
      <c r="N586" s="339"/>
      <c r="O586" s="331" t="str">
        <f>IFERROR(__xludf.DUMMYFUNCTION("IFERROR(AVERAGE(FILTER('حضور '!I:I,'حضور '!A:A=A586,MONTH('حضور '!B:B)=N586)),"""")"),"")</f>
        <v/>
      </c>
    </row>
    <row r="587" ht="26.25" hidden="1" customHeight="1">
      <c r="A587" s="371"/>
      <c r="B587" s="372"/>
      <c r="C587" s="66"/>
      <c r="D587" s="90"/>
      <c r="E587" s="66"/>
      <c r="F587" s="66"/>
      <c r="G587" s="66"/>
      <c r="H587" s="66"/>
      <c r="I587" s="66"/>
      <c r="J587" s="66"/>
      <c r="K587" s="66"/>
      <c r="L587" s="66"/>
      <c r="M587" s="330"/>
      <c r="N587" s="339"/>
      <c r="O587" s="331" t="str">
        <f>IFERROR(__xludf.DUMMYFUNCTION("IFERROR(AVERAGE(FILTER('حضور '!I:I,'حضور '!A:A=A587,MONTH('حضور '!B:B)=N587)),"""")"),"")</f>
        <v/>
      </c>
    </row>
    <row r="588" ht="26.25" hidden="1" customHeight="1">
      <c r="A588" s="371"/>
      <c r="B588" s="372"/>
      <c r="C588" s="66"/>
      <c r="D588" s="90"/>
      <c r="E588" s="66"/>
      <c r="F588" s="66"/>
      <c r="G588" s="66"/>
      <c r="H588" s="66"/>
      <c r="I588" s="66"/>
      <c r="J588" s="66"/>
      <c r="K588" s="66"/>
      <c r="L588" s="66"/>
      <c r="M588" s="330"/>
      <c r="N588" s="339"/>
      <c r="O588" s="331" t="str">
        <f>IFERROR(__xludf.DUMMYFUNCTION("IFERROR(AVERAGE(FILTER('حضور '!I:I,'حضور '!A:A=A588,MONTH('حضور '!B:B)=N588)),"""")"),"")</f>
        <v/>
      </c>
    </row>
    <row r="589" ht="26.25" hidden="1" customHeight="1">
      <c r="A589" s="371"/>
      <c r="B589" s="372"/>
      <c r="C589" s="66"/>
      <c r="D589" s="90"/>
      <c r="E589" s="66"/>
      <c r="F589" s="66"/>
      <c r="G589" s="66"/>
      <c r="H589" s="66"/>
      <c r="I589" s="66"/>
      <c r="J589" s="66"/>
      <c r="K589" s="66"/>
      <c r="L589" s="66"/>
      <c r="M589" s="330"/>
      <c r="N589" s="330"/>
      <c r="O589" s="331" t="str">
        <f>IFERROR(__xludf.DUMMYFUNCTION("IFERROR(AVERAGE(FILTER('حضور '!I:I,'حضور '!A:A=A589,MONTH('حضور '!B:B)=N589)),"""")"),"")</f>
        <v/>
      </c>
    </row>
    <row r="590" ht="26.25" hidden="1" customHeight="1">
      <c r="A590" s="371"/>
      <c r="B590" s="372"/>
      <c r="C590" s="66"/>
      <c r="D590" s="90"/>
      <c r="E590" s="66"/>
      <c r="F590" s="66"/>
      <c r="G590" s="66"/>
      <c r="H590" s="66"/>
      <c r="I590" s="66"/>
      <c r="J590" s="66"/>
      <c r="K590" s="66"/>
      <c r="L590" s="66"/>
      <c r="M590" s="330"/>
      <c r="N590" s="339"/>
      <c r="O590" s="331" t="str">
        <f>IFERROR(__xludf.DUMMYFUNCTION("IFERROR(AVERAGE(FILTER('حضور '!I:I,'حضور '!A:A=A590,MONTH('حضور '!B:B)=N590)),"""")"),"")</f>
        <v/>
      </c>
    </row>
    <row r="591" ht="26.25" hidden="1" customHeight="1">
      <c r="A591" s="371"/>
      <c r="B591" s="372"/>
      <c r="C591" s="66"/>
      <c r="D591" s="90"/>
      <c r="E591" s="66"/>
      <c r="F591" s="66"/>
      <c r="G591" s="66"/>
      <c r="H591" s="66"/>
      <c r="I591" s="66"/>
      <c r="J591" s="66"/>
      <c r="K591" s="66"/>
      <c r="L591" s="66"/>
      <c r="M591" s="330"/>
      <c r="N591" s="339"/>
      <c r="O591" s="331" t="str">
        <f>IFERROR(__xludf.DUMMYFUNCTION("IFERROR(AVERAGE(FILTER('حضور '!I:I,'حضور '!A:A=A591,MONTH('حضور '!B:B)=N591)),"""")"),"")</f>
        <v/>
      </c>
    </row>
    <row r="592" ht="26.25" hidden="1" customHeight="1">
      <c r="A592" s="371"/>
      <c r="B592" s="372"/>
      <c r="C592" s="66"/>
      <c r="D592" s="90"/>
      <c r="E592" s="66"/>
      <c r="F592" s="66"/>
      <c r="G592" s="66"/>
      <c r="H592" s="66"/>
      <c r="I592" s="66"/>
      <c r="J592" s="66"/>
      <c r="K592" s="66"/>
      <c r="L592" s="66"/>
      <c r="M592" s="330"/>
      <c r="N592" s="339"/>
      <c r="O592" s="331" t="str">
        <f>IFERROR(__xludf.DUMMYFUNCTION("IFERROR(AVERAGE(FILTER('حضور '!I:I,'حضور '!A:A=A592,MONTH('حضور '!B:B)=N592)),"""")"),"")</f>
        <v/>
      </c>
    </row>
    <row r="593" ht="26.25" hidden="1" customHeight="1">
      <c r="A593" s="371"/>
      <c r="B593" s="372"/>
      <c r="C593" s="66"/>
      <c r="D593" s="90"/>
      <c r="E593" s="66"/>
      <c r="F593" s="66"/>
      <c r="G593" s="66"/>
      <c r="H593" s="66"/>
      <c r="I593" s="66"/>
      <c r="J593" s="66"/>
      <c r="K593" s="66"/>
      <c r="L593" s="66"/>
      <c r="M593" s="330"/>
      <c r="N593" s="339"/>
      <c r="O593" s="331" t="str">
        <f>IFERROR(__xludf.DUMMYFUNCTION("IFERROR(AVERAGE(FILTER('حضور '!I:I,'حضور '!A:A=A593,MONTH('حضور '!B:B)=N593)),"""")"),"")</f>
        <v/>
      </c>
    </row>
    <row r="594" ht="26.25" hidden="1" customHeight="1">
      <c r="A594" s="371"/>
      <c r="B594" s="372"/>
      <c r="C594" s="66"/>
      <c r="D594" s="90"/>
      <c r="E594" s="66"/>
      <c r="F594" s="66"/>
      <c r="G594" s="66"/>
      <c r="H594" s="66"/>
      <c r="I594" s="66"/>
      <c r="J594" s="66"/>
      <c r="K594" s="66"/>
      <c r="L594" s="66"/>
      <c r="M594" s="330"/>
      <c r="N594" s="330"/>
      <c r="O594" s="331" t="str">
        <f>IFERROR(__xludf.DUMMYFUNCTION("IFERROR(AVERAGE(FILTER('حضور '!I:I,'حضور '!A:A=A594,MONTH('حضور '!B:B)=N594)),"""")"),"")</f>
        <v/>
      </c>
    </row>
    <row r="595" ht="26.25" hidden="1" customHeight="1">
      <c r="A595" s="371"/>
      <c r="B595" s="372"/>
      <c r="C595" s="66"/>
      <c r="D595" s="90"/>
      <c r="E595" s="66"/>
      <c r="F595" s="66"/>
      <c r="G595" s="66"/>
      <c r="H595" s="66"/>
      <c r="I595" s="66"/>
      <c r="J595" s="66"/>
      <c r="K595" s="66"/>
      <c r="L595" s="66"/>
      <c r="M595" s="330"/>
      <c r="N595" s="339"/>
      <c r="O595" s="331" t="str">
        <f>IFERROR(__xludf.DUMMYFUNCTION("IFERROR(AVERAGE(FILTER('حضور '!I:I,'حضور '!A:A=A595,MONTH('حضور '!B:B)=N595)),"""")"),"")</f>
        <v/>
      </c>
    </row>
    <row r="596" ht="26.25" hidden="1" customHeight="1">
      <c r="A596" s="371"/>
      <c r="B596" s="372"/>
      <c r="C596" s="66"/>
      <c r="D596" s="90"/>
      <c r="E596" s="66"/>
      <c r="F596" s="66"/>
      <c r="G596" s="66"/>
      <c r="H596" s="66"/>
      <c r="I596" s="66"/>
      <c r="J596" s="66"/>
      <c r="K596" s="66"/>
      <c r="L596" s="66"/>
      <c r="M596" s="330"/>
      <c r="N596" s="339"/>
      <c r="O596" s="331" t="str">
        <f>IFERROR(__xludf.DUMMYFUNCTION("IFERROR(AVERAGE(FILTER('حضور '!I:I,'حضور '!A:A=A596,MONTH('حضور '!B:B)=N596)),"""")"),"")</f>
        <v/>
      </c>
    </row>
    <row r="597" ht="26.25" hidden="1" customHeight="1">
      <c r="A597" s="371"/>
      <c r="B597" s="372"/>
      <c r="C597" s="66"/>
      <c r="D597" s="90"/>
      <c r="E597" s="66"/>
      <c r="F597" s="66"/>
      <c r="G597" s="66"/>
      <c r="H597" s="66"/>
      <c r="I597" s="66"/>
      <c r="J597" s="66"/>
      <c r="K597" s="66"/>
      <c r="L597" s="66"/>
      <c r="M597" s="330"/>
      <c r="N597" s="339"/>
      <c r="O597" s="331" t="str">
        <f>IFERROR(__xludf.DUMMYFUNCTION("IFERROR(AVERAGE(FILTER('حضور '!I:I,'حضور '!A:A=A597,MONTH('حضور '!B:B)=N597)),"""")"),"")</f>
        <v/>
      </c>
    </row>
    <row r="598" ht="26.25" hidden="1" customHeight="1">
      <c r="A598" s="371"/>
      <c r="B598" s="372"/>
      <c r="C598" s="66"/>
      <c r="D598" s="90"/>
      <c r="E598" s="66"/>
      <c r="F598" s="66"/>
      <c r="G598" s="66"/>
      <c r="H598" s="66"/>
      <c r="I598" s="66"/>
      <c r="J598" s="66"/>
      <c r="K598" s="66"/>
      <c r="L598" s="66"/>
      <c r="M598" s="330"/>
      <c r="N598" s="339"/>
      <c r="O598" s="331" t="str">
        <f>IFERROR(__xludf.DUMMYFUNCTION("IFERROR(AVERAGE(FILTER('حضور '!I:I,'حضور '!A:A=A598,MONTH('حضور '!B:B)=N598)),"""")"),"")</f>
        <v/>
      </c>
    </row>
    <row r="599" ht="26.25" hidden="1" customHeight="1">
      <c r="A599" s="371"/>
      <c r="B599" s="372"/>
      <c r="C599" s="66"/>
      <c r="D599" s="90"/>
      <c r="E599" s="66"/>
      <c r="F599" s="66"/>
      <c r="G599" s="66"/>
      <c r="H599" s="66"/>
      <c r="I599" s="66"/>
      <c r="J599" s="66"/>
      <c r="K599" s="66"/>
      <c r="L599" s="66"/>
      <c r="M599" s="330"/>
      <c r="N599" s="330"/>
      <c r="O599" s="331" t="str">
        <f>IFERROR(__xludf.DUMMYFUNCTION("IFERROR(AVERAGE(FILTER('حضور '!I:I,'حضور '!A:A=A599,MONTH('حضور '!B:B)=N599)),"""")"),"")</f>
        <v/>
      </c>
    </row>
    <row r="600" ht="26.25" hidden="1" customHeight="1">
      <c r="A600" s="371"/>
      <c r="B600" s="372"/>
      <c r="C600" s="66"/>
      <c r="D600" s="90"/>
      <c r="E600" s="66"/>
      <c r="F600" s="66"/>
      <c r="G600" s="66"/>
      <c r="H600" s="66"/>
      <c r="I600" s="66"/>
      <c r="J600" s="66"/>
      <c r="K600" s="66"/>
      <c r="L600" s="66"/>
      <c r="M600" s="330"/>
      <c r="N600" s="339"/>
      <c r="O600" s="331" t="str">
        <f>IFERROR(__xludf.DUMMYFUNCTION("IFERROR(AVERAGE(FILTER('حضور '!I:I,'حضور '!A:A=A600,MONTH('حضور '!B:B)=N600)),"""")"),"")</f>
        <v/>
      </c>
    </row>
    <row r="601" ht="26.25" hidden="1" customHeight="1">
      <c r="A601" s="371"/>
      <c r="B601" s="372"/>
      <c r="C601" s="66"/>
      <c r="D601" s="90"/>
      <c r="E601" s="66"/>
      <c r="F601" s="66"/>
      <c r="G601" s="66"/>
      <c r="H601" s="66"/>
      <c r="I601" s="66"/>
      <c r="J601" s="66"/>
      <c r="K601" s="66"/>
      <c r="L601" s="66"/>
      <c r="M601" s="330"/>
      <c r="N601" s="339"/>
      <c r="O601" s="331" t="str">
        <f>IFERROR(__xludf.DUMMYFUNCTION("IFERROR(AVERAGE(FILTER('حضور '!I:I,'حضور '!A:A=A601,MONTH('حضور '!B:B)=N601)),"""")"),"")</f>
        <v/>
      </c>
    </row>
    <row r="602" ht="26.25" hidden="1" customHeight="1">
      <c r="A602" s="371"/>
      <c r="B602" s="372"/>
      <c r="C602" s="66"/>
      <c r="D602" s="90"/>
      <c r="E602" s="66"/>
      <c r="F602" s="66"/>
      <c r="G602" s="66"/>
      <c r="H602" s="66"/>
      <c r="I602" s="66"/>
      <c r="J602" s="66"/>
      <c r="K602" s="66"/>
      <c r="L602" s="66"/>
      <c r="M602" s="330"/>
      <c r="N602" s="339"/>
      <c r="O602" s="331" t="str">
        <f>IFERROR(__xludf.DUMMYFUNCTION("IFERROR(AVERAGE(FILTER('حضور '!I:I,'حضور '!A:A=A602,MONTH('حضور '!B:B)=N602)),"""")"),"")</f>
        <v/>
      </c>
    </row>
    <row r="603" ht="26.25" hidden="1" customHeight="1">
      <c r="A603" s="371"/>
      <c r="B603" s="372"/>
      <c r="C603" s="66"/>
      <c r="D603" s="90"/>
      <c r="E603" s="66"/>
      <c r="F603" s="66"/>
      <c r="G603" s="66"/>
      <c r="H603" s="66"/>
      <c r="I603" s="66"/>
      <c r="J603" s="66"/>
      <c r="K603" s="66"/>
      <c r="L603" s="66"/>
      <c r="M603" s="330"/>
      <c r="N603" s="339"/>
      <c r="O603" s="331" t="str">
        <f>IFERROR(__xludf.DUMMYFUNCTION("IFERROR(AVERAGE(FILTER('حضور '!I:I,'حضور '!A:A=A603,MONTH('حضور '!B:B)=N603)),"""")"),"")</f>
        <v/>
      </c>
    </row>
    <row r="604" ht="26.25" hidden="1" customHeight="1">
      <c r="A604" s="371"/>
      <c r="B604" s="372"/>
      <c r="C604" s="66"/>
      <c r="D604" s="90"/>
      <c r="E604" s="66"/>
      <c r="F604" s="66"/>
      <c r="G604" s="66"/>
      <c r="H604" s="66"/>
      <c r="I604" s="66"/>
      <c r="J604" s="66"/>
      <c r="K604" s="66"/>
      <c r="L604" s="66"/>
      <c r="M604" s="330"/>
      <c r="N604" s="330"/>
      <c r="O604" s="331" t="str">
        <f>IFERROR(__xludf.DUMMYFUNCTION("IFERROR(AVERAGE(FILTER('حضور '!I:I,'حضور '!A:A=A604,MONTH('حضور '!B:B)=N604)),"""")"),"")</f>
        <v/>
      </c>
    </row>
    <row r="605" ht="26.25" hidden="1" customHeight="1">
      <c r="A605" s="371"/>
      <c r="B605" s="372"/>
      <c r="C605" s="66"/>
      <c r="D605" s="90"/>
      <c r="E605" s="66"/>
      <c r="F605" s="66"/>
      <c r="G605" s="66"/>
      <c r="H605" s="66"/>
      <c r="I605" s="66"/>
      <c r="J605" s="66"/>
      <c r="K605" s="66"/>
      <c r="L605" s="66"/>
      <c r="M605" s="330"/>
      <c r="N605" s="339"/>
      <c r="O605" s="331" t="str">
        <f>IFERROR(__xludf.DUMMYFUNCTION("IFERROR(AVERAGE(FILTER('حضور '!I:I,'حضور '!A:A=A605,MONTH('حضور '!B:B)=N605)),"""")"),"")</f>
        <v/>
      </c>
    </row>
    <row r="606" ht="26.25" hidden="1" customHeight="1">
      <c r="A606" s="371"/>
      <c r="B606" s="372"/>
      <c r="C606" s="66"/>
      <c r="D606" s="90"/>
      <c r="E606" s="66"/>
      <c r="F606" s="66"/>
      <c r="G606" s="66"/>
      <c r="H606" s="66"/>
      <c r="I606" s="66"/>
      <c r="J606" s="66"/>
      <c r="K606" s="66"/>
      <c r="L606" s="66"/>
      <c r="M606" s="330"/>
      <c r="N606" s="339"/>
      <c r="O606" s="331" t="str">
        <f>IFERROR(__xludf.DUMMYFUNCTION("IFERROR(AVERAGE(FILTER('حضور '!I:I,'حضور '!A:A=A606,MONTH('حضور '!B:B)=N606)),"""")"),"")</f>
        <v/>
      </c>
    </row>
    <row r="607" ht="26.25" hidden="1" customHeight="1">
      <c r="A607" s="371"/>
      <c r="B607" s="372"/>
      <c r="C607" s="66"/>
      <c r="D607" s="90"/>
      <c r="E607" s="66"/>
      <c r="F607" s="66"/>
      <c r="G607" s="66"/>
      <c r="H607" s="66"/>
      <c r="I607" s="66"/>
      <c r="J607" s="66"/>
      <c r="K607" s="66"/>
      <c r="L607" s="66"/>
      <c r="M607" s="330"/>
      <c r="N607" s="339"/>
      <c r="O607" s="331" t="str">
        <f>IFERROR(__xludf.DUMMYFUNCTION("IFERROR(AVERAGE(FILTER('حضور '!I:I,'حضور '!A:A=A607,MONTH('حضور '!B:B)=N607)),"""")"),"")</f>
        <v/>
      </c>
    </row>
    <row r="608" ht="26.25" hidden="1" customHeight="1">
      <c r="A608" s="371"/>
      <c r="B608" s="372"/>
      <c r="C608" s="66"/>
      <c r="D608" s="90"/>
      <c r="E608" s="66"/>
      <c r="F608" s="66"/>
      <c r="G608" s="66"/>
      <c r="H608" s="66"/>
      <c r="I608" s="66"/>
      <c r="J608" s="66"/>
      <c r="K608" s="66"/>
      <c r="L608" s="66"/>
      <c r="M608" s="330"/>
      <c r="N608" s="339"/>
      <c r="O608" s="331" t="str">
        <f>IFERROR(__xludf.DUMMYFUNCTION("IFERROR(AVERAGE(FILTER('حضور '!I:I,'حضور '!A:A=A608,MONTH('حضور '!B:B)=N608)),"""")"),"")</f>
        <v/>
      </c>
    </row>
    <row r="609" ht="26.25" hidden="1" customHeight="1">
      <c r="A609" s="371"/>
      <c r="B609" s="372"/>
      <c r="C609" s="66"/>
      <c r="D609" s="90"/>
      <c r="E609" s="66"/>
      <c r="F609" s="66"/>
      <c r="G609" s="66"/>
      <c r="H609" s="66"/>
      <c r="I609" s="66"/>
      <c r="J609" s="66"/>
      <c r="K609" s="66"/>
      <c r="L609" s="66"/>
      <c r="M609" s="330"/>
      <c r="N609" s="330"/>
      <c r="O609" s="331" t="str">
        <f>IFERROR(__xludf.DUMMYFUNCTION("IFERROR(AVERAGE(FILTER('حضور '!I:I,'حضور '!A:A=A609,MONTH('حضور '!B:B)=N609)),"""")"),"")</f>
        <v/>
      </c>
    </row>
    <row r="610" ht="26.25" hidden="1" customHeight="1">
      <c r="A610" s="371"/>
      <c r="B610" s="372"/>
      <c r="C610" s="66"/>
      <c r="D610" s="90"/>
      <c r="E610" s="66"/>
      <c r="F610" s="66"/>
      <c r="G610" s="66"/>
      <c r="H610" s="66"/>
      <c r="I610" s="66"/>
      <c r="J610" s="66"/>
      <c r="K610" s="66"/>
      <c r="L610" s="66"/>
      <c r="M610" s="330"/>
      <c r="N610" s="339"/>
      <c r="O610" s="331" t="str">
        <f>IFERROR(__xludf.DUMMYFUNCTION("IFERROR(AVERAGE(FILTER('حضور '!I:I,'حضور '!A:A=A610,MONTH('حضور '!B:B)=N610)),"""")"),"")</f>
        <v/>
      </c>
    </row>
    <row r="611" ht="26.25" hidden="1" customHeight="1">
      <c r="A611" s="371"/>
      <c r="B611" s="372"/>
      <c r="C611" s="66"/>
      <c r="D611" s="90"/>
      <c r="E611" s="66"/>
      <c r="F611" s="66"/>
      <c r="G611" s="66"/>
      <c r="H611" s="66"/>
      <c r="I611" s="66"/>
      <c r="J611" s="66"/>
      <c r="K611" s="66"/>
      <c r="L611" s="66"/>
      <c r="M611" s="330"/>
      <c r="N611" s="339"/>
      <c r="O611" s="331" t="str">
        <f>IFERROR(__xludf.DUMMYFUNCTION("IFERROR(AVERAGE(FILTER('حضور '!I:I,'حضور '!A:A=A611,MONTH('حضور '!B:B)=N611)),"""")"),"")</f>
        <v/>
      </c>
    </row>
    <row r="612" ht="26.25" hidden="1" customHeight="1">
      <c r="A612" s="371"/>
      <c r="B612" s="372"/>
      <c r="C612" s="66"/>
      <c r="D612" s="90"/>
      <c r="E612" s="66"/>
      <c r="F612" s="66"/>
      <c r="G612" s="66"/>
      <c r="H612" s="66"/>
      <c r="I612" s="66"/>
      <c r="J612" s="66"/>
      <c r="K612" s="66"/>
      <c r="L612" s="66"/>
      <c r="M612" s="330"/>
      <c r="N612" s="339"/>
      <c r="O612" s="331" t="str">
        <f>IFERROR(__xludf.DUMMYFUNCTION("IFERROR(AVERAGE(FILTER('حضور '!I:I,'حضور '!A:A=A612,MONTH('حضور '!B:B)=N612)),"""")"),"")</f>
        <v/>
      </c>
    </row>
    <row r="613" ht="26.25" hidden="1" customHeight="1">
      <c r="A613" s="371"/>
      <c r="B613" s="372"/>
      <c r="C613" s="66"/>
      <c r="D613" s="90"/>
      <c r="E613" s="66"/>
      <c r="F613" s="66"/>
      <c r="G613" s="66"/>
      <c r="H613" s="66"/>
      <c r="I613" s="66"/>
      <c r="J613" s="66"/>
      <c r="K613" s="66"/>
      <c r="L613" s="66"/>
      <c r="M613" s="330"/>
      <c r="N613" s="339"/>
      <c r="O613" s="331" t="str">
        <f>IFERROR(__xludf.DUMMYFUNCTION("IFERROR(AVERAGE(FILTER('حضور '!I:I,'حضور '!A:A=A613,MONTH('حضور '!B:B)=N613)),"""")"),"")</f>
        <v/>
      </c>
    </row>
    <row r="614" ht="26.25" hidden="1" customHeight="1">
      <c r="A614" s="371"/>
      <c r="B614" s="372"/>
      <c r="C614" s="66"/>
      <c r="D614" s="90"/>
      <c r="E614" s="66"/>
      <c r="F614" s="66"/>
      <c r="G614" s="66"/>
      <c r="H614" s="66"/>
      <c r="I614" s="66"/>
      <c r="J614" s="66"/>
      <c r="K614" s="66"/>
      <c r="L614" s="66"/>
      <c r="M614" s="330"/>
      <c r="N614" s="330"/>
      <c r="O614" s="331" t="str">
        <f>IFERROR(__xludf.DUMMYFUNCTION("IFERROR(AVERAGE(FILTER('حضور '!I:I,'حضور '!A:A=A614,MONTH('حضور '!B:B)=N614)),"""")"),"")</f>
        <v/>
      </c>
    </row>
    <row r="615" ht="26.25" hidden="1" customHeight="1">
      <c r="A615" s="371"/>
      <c r="B615" s="372"/>
      <c r="C615" s="66"/>
      <c r="D615" s="90"/>
      <c r="E615" s="66"/>
      <c r="F615" s="66"/>
      <c r="G615" s="66"/>
      <c r="H615" s="66"/>
      <c r="I615" s="66"/>
      <c r="J615" s="66"/>
      <c r="K615" s="66"/>
      <c r="L615" s="66"/>
      <c r="M615" s="330"/>
      <c r="N615" s="339"/>
      <c r="O615" s="331" t="str">
        <f>IFERROR(__xludf.DUMMYFUNCTION("IFERROR(AVERAGE(FILTER('حضور '!I:I,'حضور '!A:A=A615,MONTH('حضور '!B:B)=N615)),"""")"),"")</f>
        <v/>
      </c>
    </row>
    <row r="616" ht="26.25" hidden="1" customHeight="1">
      <c r="A616" s="371"/>
      <c r="B616" s="372"/>
      <c r="C616" s="66"/>
      <c r="D616" s="90"/>
      <c r="E616" s="66"/>
      <c r="F616" s="66"/>
      <c r="G616" s="66"/>
      <c r="H616" s="66"/>
      <c r="I616" s="66"/>
      <c r="J616" s="66"/>
      <c r="K616" s="66"/>
      <c r="L616" s="66"/>
      <c r="M616" s="330"/>
      <c r="N616" s="339"/>
      <c r="O616" s="331" t="str">
        <f>IFERROR(__xludf.DUMMYFUNCTION("IFERROR(AVERAGE(FILTER('حضور '!I:I,'حضور '!A:A=A616,MONTH('حضور '!B:B)=N616)),"""")"),"")</f>
        <v/>
      </c>
    </row>
    <row r="617" ht="26.25" hidden="1" customHeight="1">
      <c r="A617" s="371"/>
      <c r="B617" s="372"/>
      <c r="C617" s="66"/>
      <c r="D617" s="90"/>
      <c r="E617" s="66"/>
      <c r="F617" s="66"/>
      <c r="G617" s="66"/>
      <c r="H617" s="66"/>
      <c r="I617" s="66"/>
      <c r="J617" s="66"/>
      <c r="K617" s="66"/>
      <c r="L617" s="66"/>
      <c r="M617" s="330"/>
      <c r="N617" s="339"/>
      <c r="O617" s="331" t="str">
        <f>IFERROR(__xludf.DUMMYFUNCTION("IFERROR(AVERAGE(FILTER('حضور '!I:I,'حضور '!A:A=A617,MONTH('حضور '!B:B)=N617)),"""")"),"")</f>
        <v/>
      </c>
    </row>
    <row r="618" ht="26.25" hidden="1" customHeight="1">
      <c r="A618" s="371"/>
      <c r="B618" s="372"/>
      <c r="C618" s="66"/>
      <c r="D618" s="90"/>
      <c r="E618" s="66"/>
      <c r="F618" s="66"/>
      <c r="G618" s="66"/>
      <c r="H618" s="66"/>
      <c r="I618" s="66"/>
      <c r="J618" s="66"/>
      <c r="K618" s="66"/>
      <c r="L618" s="66"/>
      <c r="M618" s="330"/>
      <c r="N618" s="339"/>
      <c r="O618" s="331" t="str">
        <f>IFERROR(__xludf.DUMMYFUNCTION("IFERROR(AVERAGE(FILTER('حضور '!I:I,'حضور '!A:A=A618,MONTH('حضور '!B:B)=N618)),"""")"),"")</f>
        <v/>
      </c>
    </row>
    <row r="619" ht="26.25" hidden="1" customHeight="1">
      <c r="A619" s="371"/>
      <c r="B619" s="372"/>
      <c r="C619" s="66"/>
      <c r="D619" s="90"/>
      <c r="E619" s="66"/>
      <c r="F619" s="66"/>
      <c r="G619" s="66"/>
      <c r="H619" s="66"/>
      <c r="I619" s="66"/>
      <c r="J619" s="66"/>
      <c r="K619" s="66"/>
      <c r="L619" s="66"/>
      <c r="M619" s="330"/>
      <c r="N619" s="330"/>
      <c r="O619" s="331" t="str">
        <f>IFERROR(__xludf.DUMMYFUNCTION("IFERROR(AVERAGE(FILTER('حضور '!I:I,'حضور '!A:A=A619,MONTH('حضور '!B:B)=N619)),"""")"),"")</f>
        <v/>
      </c>
    </row>
    <row r="620" ht="26.25" hidden="1" customHeight="1">
      <c r="A620" s="371"/>
      <c r="B620" s="372"/>
      <c r="C620" s="66"/>
      <c r="D620" s="90"/>
      <c r="E620" s="66"/>
      <c r="F620" s="66"/>
      <c r="G620" s="66"/>
      <c r="H620" s="66"/>
      <c r="I620" s="66"/>
      <c r="J620" s="66"/>
      <c r="K620" s="66"/>
      <c r="L620" s="66"/>
      <c r="M620" s="330"/>
      <c r="N620" s="339"/>
      <c r="O620" s="331" t="str">
        <f>IFERROR(__xludf.DUMMYFUNCTION("IFERROR(AVERAGE(FILTER('حضور '!I:I,'حضور '!A:A=A620,MONTH('حضور '!B:B)=N620)),"""")"),"")</f>
        <v/>
      </c>
    </row>
    <row r="621" ht="26.25" hidden="1" customHeight="1">
      <c r="A621" s="371"/>
      <c r="B621" s="372"/>
      <c r="C621" s="66"/>
      <c r="D621" s="90"/>
      <c r="E621" s="66"/>
      <c r="F621" s="66"/>
      <c r="G621" s="66"/>
      <c r="H621" s="66"/>
      <c r="I621" s="66"/>
      <c r="J621" s="66"/>
      <c r="K621" s="66"/>
      <c r="L621" s="66"/>
      <c r="M621" s="330"/>
      <c r="N621" s="339"/>
      <c r="O621" s="331" t="str">
        <f>IFERROR(__xludf.DUMMYFUNCTION("IFERROR(AVERAGE(FILTER('حضور '!I:I,'حضور '!A:A=A621,MONTH('حضور '!B:B)=N621)),"""")"),"")</f>
        <v/>
      </c>
    </row>
    <row r="622" ht="26.25" hidden="1" customHeight="1">
      <c r="A622" s="371"/>
      <c r="B622" s="372"/>
      <c r="C622" s="66"/>
      <c r="D622" s="90"/>
      <c r="E622" s="66"/>
      <c r="F622" s="66"/>
      <c r="G622" s="66"/>
      <c r="H622" s="66"/>
      <c r="I622" s="66"/>
      <c r="J622" s="66"/>
      <c r="K622" s="66"/>
      <c r="L622" s="66"/>
      <c r="M622" s="330"/>
      <c r="N622" s="339"/>
      <c r="O622" s="331" t="str">
        <f>IFERROR(__xludf.DUMMYFUNCTION("IFERROR(AVERAGE(FILTER('حضور '!I:I,'حضور '!A:A=A622,MONTH('حضور '!B:B)=N622)),"""")"),"")</f>
        <v/>
      </c>
    </row>
    <row r="623" ht="26.25" hidden="1" customHeight="1">
      <c r="A623" s="371"/>
      <c r="B623" s="372"/>
      <c r="C623" s="66"/>
      <c r="D623" s="90"/>
      <c r="E623" s="66"/>
      <c r="F623" s="66"/>
      <c r="G623" s="66"/>
      <c r="H623" s="66"/>
      <c r="I623" s="66"/>
      <c r="J623" s="66"/>
      <c r="K623" s="66"/>
      <c r="L623" s="66"/>
      <c r="M623" s="330"/>
      <c r="N623" s="339"/>
      <c r="O623" s="331" t="str">
        <f>IFERROR(__xludf.DUMMYFUNCTION("IFERROR(AVERAGE(FILTER('حضور '!I:I,'حضور '!A:A=A623,MONTH('حضور '!B:B)=N623)),"""")"),"")</f>
        <v/>
      </c>
    </row>
    <row r="624" ht="26.25" hidden="1" customHeight="1">
      <c r="A624" s="371"/>
      <c r="B624" s="372"/>
      <c r="C624" s="66"/>
      <c r="D624" s="90"/>
      <c r="E624" s="66"/>
      <c r="F624" s="66"/>
      <c r="G624" s="66"/>
      <c r="H624" s="66"/>
      <c r="I624" s="66"/>
      <c r="J624" s="66"/>
      <c r="K624" s="66"/>
      <c r="L624" s="66"/>
      <c r="M624" s="330"/>
      <c r="N624" s="330"/>
      <c r="O624" s="331" t="str">
        <f>IFERROR(__xludf.DUMMYFUNCTION("IFERROR(AVERAGE(FILTER('حضور '!I:I,'حضور '!A:A=A624,MONTH('حضور '!B:B)=N624)),"""")"),"")</f>
        <v/>
      </c>
    </row>
    <row r="625" ht="26.25" hidden="1" customHeight="1">
      <c r="A625" s="371"/>
      <c r="B625" s="372"/>
      <c r="C625" s="66"/>
      <c r="D625" s="90"/>
      <c r="E625" s="66"/>
      <c r="F625" s="66"/>
      <c r="G625" s="66"/>
      <c r="H625" s="66"/>
      <c r="I625" s="66"/>
      <c r="J625" s="66"/>
      <c r="K625" s="66"/>
      <c r="L625" s="66"/>
      <c r="M625" s="330"/>
      <c r="N625" s="339"/>
      <c r="O625" s="331" t="str">
        <f>IFERROR(__xludf.DUMMYFUNCTION("IFERROR(AVERAGE(FILTER('حضور '!I:I,'حضور '!A:A=A625,MONTH('حضور '!B:B)=N625)),"""")"),"")</f>
        <v/>
      </c>
    </row>
    <row r="626" ht="26.25" hidden="1" customHeight="1">
      <c r="A626" s="371"/>
      <c r="B626" s="372"/>
      <c r="C626" s="66"/>
      <c r="D626" s="90"/>
      <c r="E626" s="66"/>
      <c r="F626" s="66"/>
      <c r="G626" s="66"/>
      <c r="H626" s="66"/>
      <c r="I626" s="66"/>
      <c r="J626" s="66"/>
      <c r="K626" s="66"/>
      <c r="L626" s="66"/>
      <c r="M626" s="330"/>
      <c r="N626" s="339"/>
      <c r="O626" s="331" t="str">
        <f>IFERROR(__xludf.DUMMYFUNCTION("IFERROR(AVERAGE(FILTER('حضور '!I:I,'حضور '!A:A=A626,MONTH('حضور '!B:B)=N626)),"""")"),"")</f>
        <v/>
      </c>
    </row>
    <row r="627" ht="26.25" hidden="1" customHeight="1">
      <c r="A627" s="371"/>
      <c r="B627" s="372"/>
      <c r="C627" s="66"/>
      <c r="D627" s="90"/>
      <c r="E627" s="66"/>
      <c r="F627" s="66"/>
      <c r="G627" s="66"/>
      <c r="H627" s="66"/>
      <c r="I627" s="66"/>
      <c r="J627" s="66"/>
      <c r="K627" s="66"/>
      <c r="L627" s="66"/>
      <c r="M627" s="330"/>
      <c r="N627" s="339"/>
      <c r="O627" s="331" t="str">
        <f>IFERROR(__xludf.DUMMYFUNCTION("IFERROR(AVERAGE(FILTER('حضور '!I:I,'حضور '!A:A=A627,MONTH('حضور '!B:B)=N627)),"""")"),"")</f>
        <v/>
      </c>
    </row>
    <row r="628" ht="26.25" hidden="1" customHeight="1">
      <c r="A628" s="371"/>
      <c r="B628" s="372"/>
      <c r="C628" s="66"/>
      <c r="D628" s="90"/>
      <c r="E628" s="66"/>
      <c r="F628" s="66"/>
      <c r="G628" s="66"/>
      <c r="H628" s="66"/>
      <c r="I628" s="66"/>
      <c r="J628" s="66"/>
      <c r="K628" s="66"/>
      <c r="L628" s="66"/>
      <c r="M628" s="330"/>
      <c r="N628" s="339"/>
      <c r="O628" s="331" t="str">
        <f>IFERROR(__xludf.DUMMYFUNCTION("IFERROR(AVERAGE(FILTER('حضور '!I:I,'حضور '!A:A=A628,MONTH('حضور '!B:B)=N628)),"""")"),"")</f>
        <v/>
      </c>
    </row>
    <row r="629" ht="26.25" hidden="1" customHeight="1">
      <c r="A629" s="371"/>
      <c r="B629" s="372"/>
      <c r="C629" s="66"/>
      <c r="D629" s="90"/>
      <c r="E629" s="66"/>
      <c r="F629" s="66"/>
      <c r="G629" s="66"/>
      <c r="H629" s="66"/>
      <c r="I629" s="66"/>
      <c r="J629" s="66"/>
      <c r="K629" s="66"/>
      <c r="L629" s="66"/>
      <c r="M629" s="330"/>
      <c r="N629" s="330"/>
      <c r="O629" s="331" t="str">
        <f>IFERROR(__xludf.DUMMYFUNCTION("IFERROR(AVERAGE(FILTER('حضور '!I:I,'حضور '!A:A=A629,MONTH('حضور '!B:B)=N629)),"""")"),"")</f>
        <v/>
      </c>
    </row>
    <row r="630" ht="26.25" hidden="1" customHeight="1">
      <c r="A630" s="371"/>
      <c r="B630" s="372"/>
      <c r="C630" s="66"/>
      <c r="D630" s="90"/>
      <c r="E630" s="66"/>
      <c r="F630" s="66"/>
      <c r="G630" s="66"/>
      <c r="H630" s="66"/>
      <c r="I630" s="66"/>
      <c r="J630" s="66"/>
      <c r="K630" s="66"/>
      <c r="L630" s="66"/>
      <c r="M630" s="330"/>
      <c r="N630" s="339"/>
      <c r="O630" s="331" t="str">
        <f>IFERROR(__xludf.DUMMYFUNCTION("IFERROR(AVERAGE(FILTER('حضور '!I:I,'حضور '!A:A=A630,MONTH('حضور '!B:B)=N630)),"""")"),"")</f>
        <v/>
      </c>
    </row>
    <row r="631" ht="26.25" hidden="1" customHeight="1">
      <c r="A631" s="371"/>
      <c r="B631" s="372"/>
      <c r="C631" s="66"/>
      <c r="D631" s="90"/>
      <c r="E631" s="66"/>
      <c r="F631" s="66"/>
      <c r="G631" s="66"/>
      <c r="H631" s="66"/>
      <c r="I631" s="66"/>
      <c r="J631" s="66"/>
      <c r="K631" s="66"/>
      <c r="L631" s="66"/>
      <c r="M631" s="330"/>
      <c r="N631" s="339"/>
      <c r="O631" s="331" t="str">
        <f>IFERROR(__xludf.DUMMYFUNCTION("IFERROR(AVERAGE(FILTER('حضور '!I:I,'حضور '!A:A=A631,MONTH('حضور '!B:B)=N631)),"""")"),"")</f>
        <v/>
      </c>
    </row>
    <row r="632" ht="26.25" hidden="1" customHeight="1">
      <c r="A632" s="371"/>
      <c r="B632" s="372"/>
      <c r="C632" s="66"/>
      <c r="D632" s="90"/>
      <c r="E632" s="66"/>
      <c r="F632" s="66"/>
      <c r="G632" s="66"/>
      <c r="H632" s="66"/>
      <c r="I632" s="66"/>
      <c r="J632" s="66"/>
      <c r="K632" s="66"/>
      <c r="L632" s="66"/>
      <c r="M632" s="330"/>
      <c r="N632" s="339"/>
      <c r="O632" s="331" t="str">
        <f>IFERROR(__xludf.DUMMYFUNCTION("IFERROR(AVERAGE(FILTER('حضور '!I:I,'حضور '!A:A=A632,MONTH('حضور '!B:B)=N632)),"""")"),"")</f>
        <v/>
      </c>
    </row>
    <row r="633" ht="26.25" hidden="1" customHeight="1">
      <c r="A633" s="371"/>
      <c r="B633" s="372"/>
      <c r="C633" s="66"/>
      <c r="D633" s="90"/>
      <c r="E633" s="66"/>
      <c r="F633" s="66"/>
      <c r="G633" s="66"/>
      <c r="H633" s="66"/>
      <c r="I633" s="66"/>
      <c r="J633" s="66"/>
      <c r="K633" s="66"/>
      <c r="L633" s="66"/>
      <c r="M633" s="330"/>
      <c r="N633" s="339"/>
      <c r="O633" s="331" t="str">
        <f>IFERROR(__xludf.DUMMYFUNCTION("IFERROR(AVERAGE(FILTER('حضور '!I:I,'حضور '!A:A=A633,MONTH('حضور '!B:B)=N633)),"""")"),"")</f>
        <v/>
      </c>
    </row>
    <row r="634" ht="26.25" hidden="1" customHeight="1">
      <c r="A634" s="371"/>
      <c r="B634" s="372"/>
      <c r="C634" s="66"/>
      <c r="D634" s="90"/>
      <c r="E634" s="66"/>
      <c r="F634" s="66"/>
      <c r="G634" s="66"/>
      <c r="H634" s="66"/>
      <c r="I634" s="66"/>
      <c r="J634" s="66"/>
      <c r="K634" s="66"/>
      <c r="L634" s="66"/>
      <c r="M634" s="330"/>
      <c r="N634" s="330"/>
      <c r="O634" s="331" t="str">
        <f>IFERROR(__xludf.DUMMYFUNCTION("IFERROR(AVERAGE(FILTER('حضور '!I:I,'حضور '!A:A=A634,MONTH('حضور '!B:B)=N634)),"""")"),"")</f>
        <v/>
      </c>
    </row>
    <row r="635" ht="26.25" hidden="1" customHeight="1">
      <c r="A635" s="371"/>
      <c r="B635" s="372"/>
      <c r="C635" s="66"/>
      <c r="D635" s="90"/>
      <c r="E635" s="66"/>
      <c r="F635" s="66"/>
      <c r="G635" s="66"/>
      <c r="H635" s="66"/>
      <c r="I635" s="66"/>
      <c r="J635" s="66"/>
      <c r="K635" s="66"/>
      <c r="L635" s="66"/>
      <c r="M635" s="330"/>
      <c r="N635" s="339"/>
      <c r="O635" s="331" t="str">
        <f>IFERROR(__xludf.DUMMYFUNCTION("IFERROR(AVERAGE(FILTER('حضور '!I:I,'حضور '!A:A=A635,MONTH('حضور '!B:B)=N635)),"""")"),"")</f>
        <v/>
      </c>
    </row>
    <row r="636" ht="26.25" hidden="1" customHeight="1">
      <c r="A636" s="371"/>
      <c r="B636" s="372"/>
      <c r="C636" s="66"/>
      <c r="D636" s="90"/>
      <c r="E636" s="66"/>
      <c r="F636" s="66"/>
      <c r="G636" s="66"/>
      <c r="H636" s="66"/>
      <c r="I636" s="66"/>
      <c r="J636" s="66"/>
      <c r="K636" s="66"/>
      <c r="L636" s="66"/>
      <c r="M636" s="330"/>
      <c r="N636" s="339"/>
      <c r="O636" s="331" t="str">
        <f>IFERROR(__xludf.DUMMYFUNCTION("IFERROR(AVERAGE(FILTER('حضور '!I:I,'حضور '!A:A=A636,MONTH('حضور '!B:B)=N636)),"""")"),"")</f>
        <v/>
      </c>
    </row>
    <row r="637" ht="26.25" hidden="1" customHeight="1">
      <c r="A637" s="371"/>
      <c r="B637" s="372"/>
      <c r="C637" s="66"/>
      <c r="D637" s="90"/>
      <c r="E637" s="66"/>
      <c r="F637" s="66"/>
      <c r="G637" s="66"/>
      <c r="H637" s="66"/>
      <c r="I637" s="66"/>
      <c r="J637" s="66"/>
      <c r="K637" s="66"/>
      <c r="L637" s="66"/>
      <c r="M637" s="330"/>
      <c r="N637" s="339"/>
      <c r="O637" s="331" t="str">
        <f>IFERROR(__xludf.DUMMYFUNCTION("IFERROR(AVERAGE(FILTER('حضور '!I:I,'حضور '!A:A=A637,MONTH('حضور '!B:B)=N637)),"""")"),"")</f>
        <v/>
      </c>
    </row>
    <row r="638" ht="26.25" hidden="1" customHeight="1">
      <c r="A638" s="371"/>
      <c r="B638" s="372"/>
      <c r="C638" s="66"/>
      <c r="D638" s="90"/>
      <c r="E638" s="66"/>
      <c r="F638" s="66"/>
      <c r="G638" s="66"/>
      <c r="H638" s="66"/>
      <c r="I638" s="66"/>
      <c r="J638" s="66"/>
      <c r="K638" s="66"/>
      <c r="L638" s="66"/>
      <c r="M638" s="330"/>
      <c r="N638" s="339"/>
      <c r="O638" s="331" t="str">
        <f>IFERROR(__xludf.DUMMYFUNCTION("IFERROR(AVERAGE(FILTER('حضور '!I:I,'حضور '!A:A=A638,MONTH('حضور '!B:B)=N638)),"""")"),"")</f>
        <v/>
      </c>
    </row>
    <row r="639" ht="26.25" hidden="1" customHeight="1">
      <c r="A639" s="371"/>
      <c r="B639" s="372"/>
      <c r="C639" s="66"/>
      <c r="D639" s="90"/>
      <c r="E639" s="66"/>
      <c r="F639" s="66"/>
      <c r="G639" s="66"/>
      <c r="H639" s="66"/>
      <c r="I639" s="66"/>
      <c r="J639" s="66"/>
      <c r="K639" s="66"/>
      <c r="L639" s="66"/>
      <c r="M639" s="330"/>
      <c r="N639" s="330"/>
      <c r="O639" s="331" t="str">
        <f>IFERROR(__xludf.DUMMYFUNCTION("IFERROR(AVERAGE(FILTER('حضور '!I:I,'حضور '!A:A=A639,MONTH('حضور '!B:B)=N639)),"""")"),"")</f>
        <v/>
      </c>
    </row>
    <row r="640" ht="26.25" hidden="1" customHeight="1">
      <c r="A640" s="371"/>
      <c r="B640" s="372"/>
      <c r="C640" s="66"/>
      <c r="D640" s="90"/>
      <c r="E640" s="66"/>
      <c r="F640" s="66"/>
      <c r="G640" s="66"/>
      <c r="H640" s="66"/>
      <c r="I640" s="66"/>
      <c r="J640" s="66"/>
      <c r="K640" s="66"/>
      <c r="L640" s="66"/>
      <c r="M640" s="330"/>
      <c r="N640" s="339"/>
      <c r="O640" s="331" t="str">
        <f>IFERROR(__xludf.DUMMYFUNCTION("IFERROR(AVERAGE(FILTER('حضور '!I:I,'حضور '!A:A=A640,MONTH('حضور '!B:B)=N640)),"""")"),"")</f>
        <v/>
      </c>
    </row>
    <row r="641" ht="26.25" hidden="1" customHeight="1">
      <c r="A641" s="371"/>
      <c r="B641" s="372"/>
      <c r="C641" s="66"/>
      <c r="D641" s="90"/>
      <c r="E641" s="66"/>
      <c r="F641" s="66"/>
      <c r="G641" s="66"/>
      <c r="H641" s="66"/>
      <c r="I641" s="66"/>
      <c r="J641" s="66"/>
      <c r="K641" s="66"/>
      <c r="L641" s="66"/>
      <c r="M641" s="330"/>
      <c r="N641" s="339"/>
      <c r="O641" s="331" t="str">
        <f>IFERROR(__xludf.DUMMYFUNCTION("IFERROR(AVERAGE(FILTER('حضور '!I:I,'حضور '!A:A=A641,MONTH('حضور '!B:B)=N641)),"""")"),"")</f>
        <v/>
      </c>
    </row>
    <row r="642" ht="26.25" hidden="1" customHeight="1">
      <c r="A642" s="371"/>
      <c r="B642" s="372"/>
      <c r="C642" s="66"/>
      <c r="D642" s="90"/>
      <c r="E642" s="66"/>
      <c r="F642" s="66"/>
      <c r="G642" s="66"/>
      <c r="H642" s="66"/>
      <c r="I642" s="66"/>
      <c r="J642" s="66"/>
      <c r="K642" s="66"/>
      <c r="L642" s="66"/>
      <c r="M642" s="330"/>
      <c r="N642" s="339"/>
      <c r="O642" s="331" t="str">
        <f>IFERROR(__xludf.DUMMYFUNCTION("IFERROR(AVERAGE(FILTER('حضور '!I:I,'حضور '!A:A=A642,MONTH('حضور '!B:B)=N642)),"""")"),"")</f>
        <v/>
      </c>
    </row>
    <row r="643" ht="26.25" hidden="1" customHeight="1">
      <c r="A643" s="371"/>
      <c r="B643" s="372"/>
      <c r="C643" s="66"/>
      <c r="D643" s="90"/>
      <c r="E643" s="66"/>
      <c r="F643" s="66"/>
      <c r="G643" s="66"/>
      <c r="H643" s="66"/>
      <c r="I643" s="66"/>
      <c r="J643" s="66"/>
      <c r="K643" s="66"/>
      <c r="L643" s="66"/>
      <c r="M643" s="330"/>
      <c r="N643" s="339"/>
      <c r="O643" s="331" t="str">
        <f>IFERROR(__xludf.DUMMYFUNCTION("IFERROR(AVERAGE(FILTER('حضور '!I:I,'حضور '!A:A=A643,MONTH('حضور '!B:B)=N643)),"""")"),"")</f>
        <v/>
      </c>
    </row>
    <row r="644" ht="26.25" hidden="1" customHeight="1">
      <c r="A644" s="371"/>
      <c r="B644" s="372"/>
      <c r="C644" s="66"/>
      <c r="D644" s="90"/>
      <c r="E644" s="66"/>
      <c r="F644" s="66"/>
      <c r="G644" s="66"/>
      <c r="H644" s="66"/>
      <c r="I644" s="66"/>
      <c r="J644" s="66"/>
      <c r="K644" s="66"/>
      <c r="L644" s="66"/>
      <c r="M644" s="330"/>
      <c r="N644" s="330"/>
      <c r="O644" s="331" t="str">
        <f>IFERROR(__xludf.DUMMYFUNCTION("IFERROR(AVERAGE(FILTER('حضور '!I:I,'حضور '!A:A=A644,MONTH('حضور '!B:B)=N644)),"""")"),"")</f>
        <v/>
      </c>
    </row>
    <row r="645" ht="26.25" hidden="1" customHeight="1">
      <c r="A645" s="371"/>
      <c r="B645" s="372"/>
      <c r="C645" s="66"/>
      <c r="D645" s="90"/>
      <c r="E645" s="66"/>
      <c r="F645" s="66"/>
      <c r="G645" s="66"/>
      <c r="H645" s="66"/>
      <c r="I645" s="66"/>
      <c r="J645" s="66"/>
      <c r="K645" s="66"/>
      <c r="L645" s="66"/>
      <c r="M645" s="330"/>
      <c r="N645" s="339"/>
      <c r="O645" s="331" t="str">
        <f>IFERROR(__xludf.DUMMYFUNCTION("IFERROR(AVERAGE(FILTER('حضور '!I:I,'حضور '!A:A=A645,MONTH('حضور '!B:B)=N645)),"""")"),"")</f>
        <v/>
      </c>
    </row>
    <row r="646" ht="26.25" hidden="1" customHeight="1">
      <c r="A646" s="371"/>
      <c r="B646" s="372"/>
      <c r="C646" s="66"/>
      <c r="D646" s="90"/>
      <c r="E646" s="66"/>
      <c r="F646" s="66"/>
      <c r="G646" s="66"/>
      <c r="H646" s="66"/>
      <c r="I646" s="66"/>
      <c r="J646" s="66"/>
      <c r="K646" s="66"/>
      <c r="L646" s="66"/>
      <c r="M646" s="330"/>
      <c r="N646" s="339"/>
      <c r="O646" s="331" t="str">
        <f>IFERROR(__xludf.DUMMYFUNCTION("IFERROR(AVERAGE(FILTER('حضور '!I:I,'حضور '!A:A=A646,MONTH('حضور '!B:B)=N646)),"""")"),"")</f>
        <v/>
      </c>
    </row>
    <row r="647" ht="26.25" hidden="1" customHeight="1">
      <c r="A647" s="371"/>
      <c r="B647" s="372"/>
      <c r="C647" s="66"/>
      <c r="D647" s="90"/>
      <c r="E647" s="66"/>
      <c r="F647" s="66"/>
      <c r="G647" s="66"/>
      <c r="H647" s="66"/>
      <c r="I647" s="66"/>
      <c r="J647" s="66"/>
      <c r="K647" s="66"/>
      <c r="L647" s="66"/>
      <c r="M647" s="330"/>
      <c r="N647" s="339"/>
      <c r="O647" s="331" t="str">
        <f>IFERROR(__xludf.DUMMYFUNCTION("IFERROR(AVERAGE(FILTER('حضور '!I:I,'حضور '!A:A=A647,MONTH('حضور '!B:B)=N647)),"""")"),"")</f>
        <v/>
      </c>
    </row>
    <row r="648" ht="26.25" hidden="1" customHeight="1">
      <c r="A648" s="371"/>
      <c r="B648" s="372"/>
      <c r="C648" s="66"/>
      <c r="D648" s="90"/>
      <c r="E648" s="66"/>
      <c r="F648" s="66"/>
      <c r="G648" s="66"/>
      <c r="H648" s="66"/>
      <c r="I648" s="66"/>
      <c r="J648" s="66"/>
      <c r="K648" s="66"/>
      <c r="L648" s="66"/>
      <c r="M648" s="330"/>
      <c r="N648" s="339"/>
      <c r="O648" s="331" t="str">
        <f>IFERROR(__xludf.DUMMYFUNCTION("IFERROR(AVERAGE(FILTER('حضور '!I:I,'حضور '!A:A=A648,MONTH('حضور '!B:B)=N648)),"""")"),"")</f>
        <v/>
      </c>
    </row>
    <row r="649" ht="26.25" hidden="1" customHeight="1">
      <c r="A649" s="371"/>
      <c r="B649" s="372"/>
      <c r="C649" s="66"/>
      <c r="D649" s="90"/>
      <c r="E649" s="66"/>
      <c r="F649" s="66"/>
      <c r="G649" s="66"/>
      <c r="H649" s="66"/>
      <c r="I649" s="66"/>
      <c r="J649" s="66"/>
      <c r="K649" s="66"/>
      <c r="L649" s="66"/>
      <c r="M649" s="330"/>
      <c r="N649" s="330"/>
      <c r="O649" s="331" t="str">
        <f>IFERROR(__xludf.DUMMYFUNCTION("IFERROR(AVERAGE(FILTER('حضور '!I:I,'حضور '!A:A=A649,MONTH('حضور '!B:B)=N649)),"""")"),"")</f>
        <v/>
      </c>
    </row>
    <row r="650" ht="26.25" hidden="1" customHeight="1">
      <c r="A650" s="371"/>
      <c r="B650" s="372"/>
      <c r="C650" s="66"/>
      <c r="D650" s="90"/>
      <c r="E650" s="66"/>
      <c r="F650" s="66"/>
      <c r="G650" s="66"/>
      <c r="H650" s="66"/>
      <c r="I650" s="66"/>
      <c r="J650" s="66"/>
      <c r="K650" s="66"/>
      <c r="L650" s="66"/>
      <c r="M650" s="330"/>
      <c r="N650" s="339"/>
      <c r="O650" s="331" t="str">
        <f>IFERROR(__xludf.DUMMYFUNCTION("IFERROR(AVERAGE(FILTER('حضور '!I:I,'حضور '!A:A=A650,MONTH('حضور '!B:B)=N650)),"""")"),"")</f>
        <v/>
      </c>
    </row>
    <row r="651" ht="26.25" hidden="1" customHeight="1">
      <c r="A651" s="371"/>
      <c r="B651" s="372"/>
      <c r="C651" s="66"/>
      <c r="D651" s="90"/>
      <c r="E651" s="66"/>
      <c r="F651" s="66"/>
      <c r="G651" s="66"/>
      <c r="H651" s="66"/>
      <c r="I651" s="66"/>
      <c r="J651" s="66"/>
      <c r="K651" s="66"/>
      <c r="L651" s="66"/>
      <c r="M651" s="330"/>
      <c r="N651" s="339"/>
      <c r="O651" s="331" t="str">
        <f>IFERROR(__xludf.DUMMYFUNCTION("IFERROR(AVERAGE(FILTER('حضور '!I:I,'حضور '!A:A=A651,MONTH('حضور '!B:B)=N651)),"""")"),"")</f>
        <v/>
      </c>
    </row>
    <row r="652" ht="26.25" hidden="1" customHeight="1">
      <c r="A652" s="371"/>
      <c r="B652" s="372"/>
      <c r="C652" s="66"/>
      <c r="D652" s="90"/>
      <c r="E652" s="66"/>
      <c r="F652" s="66"/>
      <c r="G652" s="66"/>
      <c r="H652" s="66"/>
      <c r="I652" s="66"/>
      <c r="J652" s="66"/>
      <c r="K652" s="66"/>
      <c r="L652" s="66"/>
      <c r="M652" s="330"/>
      <c r="N652" s="339"/>
      <c r="O652" s="331" t="str">
        <f>IFERROR(__xludf.DUMMYFUNCTION("IFERROR(AVERAGE(FILTER('حضور '!I:I,'حضور '!A:A=A652,MONTH('حضور '!B:B)=N652)),"""")"),"")</f>
        <v/>
      </c>
    </row>
    <row r="653" ht="26.25" hidden="1" customHeight="1">
      <c r="A653" s="371"/>
      <c r="B653" s="372"/>
      <c r="C653" s="66"/>
      <c r="D653" s="90"/>
      <c r="E653" s="66"/>
      <c r="F653" s="66"/>
      <c r="G653" s="66"/>
      <c r="H653" s="66"/>
      <c r="I653" s="66"/>
      <c r="J653" s="66"/>
      <c r="K653" s="66"/>
      <c r="L653" s="66"/>
      <c r="M653" s="330"/>
      <c r="N653" s="339"/>
      <c r="O653" s="331" t="str">
        <f>IFERROR(__xludf.DUMMYFUNCTION("IFERROR(AVERAGE(FILTER('حضور '!I:I,'حضور '!A:A=A653,MONTH('حضور '!B:B)=N653)),"""")"),"")</f>
        <v/>
      </c>
    </row>
    <row r="654" ht="26.25" hidden="1" customHeight="1">
      <c r="A654" s="371"/>
      <c r="B654" s="372"/>
      <c r="C654" s="66"/>
      <c r="D654" s="90"/>
      <c r="E654" s="66"/>
      <c r="F654" s="66"/>
      <c r="G654" s="66"/>
      <c r="H654" s="66"/>
      <c r="I654" s="66"/>
      <c r="J654" s="66"/>
      <c r="K654" s="66"/>
      <c r="L654" s="66"/>
      <c r="M654" s="330"/>
      <c r="N654" s="330"/>
      <c r="O654" s="331" t="str">
        <f>IFERROR(__xludf.DUMMYFUNCTION("IFERROR(AVERAGE(FILTER('حضور '!I:I,'حضور '!A:A=A654,MONTH('حضور '!B:B)=N654)),"""")"),"")</f>
        <v/>
      </c>
    </row>
    <row r="655" ht="26.25" hidden="1" customHeight="1">
      <c r="A655" s="371"/>
      <c r="B655" s="372"/>
      <c r="C655" s="66"/>
      <c r="D655" s="90"/>
      <c r="E655" s="66"/>
      <c r="F655" s="66"/>
      <c r="G655" s="66"/>
      <c r="H655" s="66"/>
      <c r="I655" s="66"/>
      <c r="J655" s="66"/>
      <c r="K655" s="66"/>
      <c r="L655" s="66"/>
      <c r="M655" s="330"/>
      <c r="N655" s="339"/>
      <c r="O655" s="331" t="str">
        <f>IFERROR(__xludf.DUMMYFUNCTION("IFERROR(AVERAGE(FILTER('حضور '!I:I,'حضور '!A:A=A655,MONTH('حضور '!B:B)=N655)),"""")"),"")</f>
        <v/>
      </c>
    </row>
    <row r="656" ht="26.25" hidden="1" customHeight="1">
      <c r="A656" s="371"/>
      <c r="B656" s="372"/>
      <c r="C656" s="66"/>
      <c r="D656" s="90"/>
      <c r="E656" s="66"/>
      <c r="F656" s="66"/>
      <c r="G656" s="66"/>
      <c r="H656" s="66"/>
      <c r="I656" s="66"/>
      <c r="J656" s="66"/>
      <c r="K656" s="66"/>
      <c r="L656" s="66"/>
      <c r="M656" s="330"/>
      <c r="N656" s="339"/>
      <c r="O656" s="331" t="str">
        <f>IFERROR(__xludf.DUMMYFUNCTION("IFERROR(AVERAGE(FILTER('حضور '!I:I,'حضور '!A:A=A656,MONTH('حضور '!B:B)=N656)),"""")"),"")</f>
        <v/>
      </c>
    </row>
    <row r="657" ht="26.25" hidden="1" customHeight="1">
      <c r="A657" s="371"/>
      <c r="B657" s="372"/>
      <c r="C657" s="66"/>
      <c r="D657" s="90"/>
      <c r="E657" s="66"/>
      <c r="F657" s="66"/>
      <c r="G657" s="66"/>
      <c r="H657" s="66"/>
      <c r="I657" s="66"/>
      <c r="J657" s="66"/>
      <c r="K657" s="66"/>
      <c r="L657" s="66"/>
      <c r="M657" s="330"/>
      <c r="N657" s="339"/>
      <c r="O657" s="331" t="str">
        <f>IFERROR(__xludf.DUMMYFUNCTION("IFERROR(AVERAGE(FILTER('حضور '!I:I,'حضور '!A:A=A657,MONTH('حضور '!B:B)=N657)),"""")"),"")</f>
        <v/>
      </c>
    </row>
    <row r="658" ht="26.25" hidden="1" customHeight="1">
      <c r="A658" s="371"/>
      <c r="B658" s="372"/>
      <c r="C658" s="66"/>
      <c r="D658" s="90"/>
      <c r="E658" s="66"/>
      <c r="F658" s="66"/>
      <c r="G658" s="66"/>
      <c r="H658" s="66"/>
      <c r="I658" s="66"/>
      <c r="J658" s="66"/>
      <c r="K658" s="66"/>
      <c r="L658" s="66"/>
      <c r="M658" s="330"/>
      <c r="N658" s="339"/>
      <c r="O658" s="331" t="str">
        <f>IFERROR(__xludf.DUMMYFUNCTION("IFERROR(AVERAGE(FILTER('حضور '!I:I,'حضور '!A:A=A658,MONTH('حضور '!B:B)=N658)),"""")"),"")</f>
        <v/>
      </c>
    </row>
    <row r="659" ht="26.25" hidden="1" customHeight="1">
      <c r="A659" s="371"/>
      <c r="B659" s="372"/>
      <c r="C659" s="66"/>
      <c r="D659" s="90"/>
      <c r="E659" s="66"/>
      <c r="F659" s="66"/>
      <c r="G659" s="66"/>
      <c r="H659" s="66"/>
      <c r="I659" s="66"/>
      <c r="J659" s="66"/>
      <c r="K659" s="66"/>
      <c r="L659" s="66"/>
      <c r="M659" s="330"/>
      <c r="N659" s="330"/>
      <c r="O659" s="331" t="str">
        <f>IFERROR(__xludf.DUMMYFUNCTION("IFERROR(AVERAGE(FILTER('حضور '!I:I,'حضور '!A:A=A659,MONTH('حضور '!B:B)=N659)),"""")"),"")</f>
        <v/>
      </c>
    </row>
    <row r="660" ht="26.25" hidden="1" customHeight="1">
      <c r="A660" s="371"/>
      <c r="B660" s="372"/>
      <c r="C660" s="66"/>
      <c r="D660" s="90"/>
      <c r="E660" s="66"/>
      <c r="F660" s="66"/>
      <c r="G660" s="66"/>
      <c r="H660" s="66"/>
      <c r="I660" s="66"/>
      <c r="J660" s="66"/>
      <c r="K660" s="66"/>
      <c r="L660" s="66"/>
      <c r="M660" s="330"/>
      <c r="N660" s="339"/>
      <c r="O660" s="331" t="str">
        <f>IFERROR(__xludf.DUMMYFUNCTION("IFERROR(AVERAGE(FILTER('حضور '!I:I,'حضور '!A:A=A660,MONTH('حضور '!B:B)=N660)),"""")"),"")</f>
        <v/>
      </c>
    </row>
    <row r="661" ht="26.25" hidden="1" customHeight="1">
      <c r="A661" s="371"/>
      <c r="B661" s="372"/>
      <c r="C661" s="66"/>
      <c r="D661" s="90"/>
      <c r="E661" s="66"/>
      <c r="F661" s="66"/>
      <c r="G661" s="66"/>
      <c r="H661" s="66"/>
      <c r="I661" s="66"/>
      <c r="J661" s="66"/>
      <c r="K661" s="66"/>
      <c r="L661" s="66"/>
      <c r="M661" s="330"/>
      <c r="N661" s="339"/>
      <c r="O661" s="331" t="str">
        <f>IFERROR(__xludf.DUMMYFUNCTION("IFERROR(AVERAGE(FILTER('حضور '!I:I,'حضور '!A:A=A661,MONTH('حضور '!B:B)=N661)),"""")"),"")</f>
        <v/>
      </c>
    </row>
    <row r="662" ht="26.25" hidden="1" customHeight="1">
      <c r="A662" s="371"/>
      <c r="B662" s="372"/>
      <c r="C662" s="66"/>
      <c r="D662" s="90"/>
      <c r="E662" s="66"/>
      <c r="F662" s="66"/>
      <c r="G662" s="66"/>
      <c r="H662" s="66"/>
      <c r="I662" s="66"/>
      <c r="J662" s="66"/>
      <c r="K662" s="66"/>
      <c r="L662" s="66"/>
      <c r="M662" s="330"/>
      <c r="N662" s="339"/>
      <c r="O662" s="331" t="str">
        <f>IFERROR(__xludf.DUMMYFUNCTION("IFERROR(AVERAGE(FILTER('حضور '!I:I,'حضور '!A:A=A662,MONTH('حضور '!B:B)=N662)),"""")"),"")</f>
        <v/>
      </c>
    </row>
    <row r="663" ht="26.25" hidden="1" customHeight="1">
      <c r="A663" s="371"/>
      <c r="B663" s="372"/>
      <c r="C663" s="66"/>
      <c r="D663" s="90"/>
      <c r="E663" s="66"/>
      <c r="F663" s="66"/>
      <c r="G663" s="66"/>
      <c r="H663" s="66"/>
      <c r="I663" s="66"/>
      <c r="J663" s="66"/>
      <c r="K663" s="66"/>
      <c r="L663" s="66"/>
      <c r="M663" s="330"/>
      <c r="N663" s="339"/>
      <c r="O663" s="331" t="str">
        <f>IFERROR(__xludf.DUMMYFUNCTION("IFERROR(AVERAGE(FILTER('حضور '!I:I,'حضور '!A:A=A663,MONTH('حضور '!B:B)=N663)),"""")"),"")</f>
        <v/>
      </c>
    </row>
    <row r="664" ht="26.25" hidden="1" customHeight="1">
      <c r="A664" s="371"/>
      <c r="B664" s="372"/>
      <c r="C664" s="66"/>
      <c r="D664" s="90"/>
      <c r="E664" s="66"/>
      <c r="F664" s="66"/>
      <c r="G664" s="66"/>
      <c r="H664" s="66"/>
      <c r="I664" s="66"/>
      <c r="J664" s="66"/>
      <c r="K664" s="66"/>
      <c r="L664" s="66"/>
      <c r="M664" s="330"/>
      <c r="N664" s="330"/>
      <c r="O664" s="331" t="str">
        <f>IFERROR(__xludf.DUMMYFUNCTION("IFERROR(AVERAGE(FILTER('حضور '!I:I,'حضور '!A:A=A664,MONTH('حضور '!B:B)=N664)),"""")"),"")</f>
        <v/>
      </c>
    </row>
    <row r="665" ht="26.25" hidden="1" customHeight="1">
      <c r="A665" s="371"/>
      <c r="B665" s="372"/>
      <c r="C665" s="66"/>
      <c r="D665" s="90"/>
      <c r="E665" s="66"/>
      <c r="F665" s="66"/>
      <c r="G665" s="66"/>
      <c r="H665" s="66"/>
      <c r="I665" s="66"/>
      <c r="J665" s="66"/>
      <c r="K665" s="66"/>
      <c r="L665" s="66"/>
      <c r="M665" s="330"/>
      <c r="N665" s="339"/>
      <c r="O665" s="331" t="str">
        <f>IFERROR(__xludf.DUMMYFUNCTION("IFERROR(AVERAGE(FILTER('حضور '!I:I,'حضور '!A:A=A665,MONTH('حضور '!B:B)=N665)),"""")"),"")</f>
        <v/>
      </c>
    </row>
    <row r="666" ht="26.25" hidden="1" customHeight="1">
      <c r="A666" s="371"/>
      <c r="B666" s="372"/>
      <c r="C666" s="66"/>
      <c r="D666" s="90"/>
      <c r="E666" s="66"/>
      <c r="F666" s="66"/>
      <c r="G666" s="66"/>
      <c r="H666" s="66"/>
      <c r="I666" s="66"/>
      <c r="J666" s="66"/>
      <c r="K666" s="66"/>
      <c r="L666" s="66"/>
      <c r="M666" s="330"/>
      <c r="N666" s="339"/>
      <c r="O666" s="331" t="str">
        <f>IFERROR(__xludf.DUMMYFUNCTION("IFERROR(AVERAGE(FILTER('حضور '!I:I,'حضور '!A:A=A666,MONTH('حضور '!B:B)=N666)),"""")"),"")</f>
        <v/>
      </c>
    </row>
    <row r="667" ht="26.25" hidden="1" customHeight="1">
      <c r="A667" s="371"/>
      <c r="B667" s="372"/>
      <c r="C667" s="66"/>
      <c r="D667" s="90"/>
      <c r="E667" s="66"/>
      <c r="F667" s="66"/>
      <c r="G667" s="66"/>
      <c r="H667" s="66"/>
      <c r="I667" s="66"/>
      <c r="J667" s="66"/>
      <c r="K667" s="66"/>
      <c r="L667" s="66"/>
      <c r="M667" s="330"/>
      <c r="N667" s="339"/>
      <c r="O667" s="331" t="str">
        <f>IFERROR(__xludf.DUMMYFUNCTION("IFERROR(AVERAGE(FILTER('حضور '!I:I,'حضور '!A:A=A667,MONTH('حضور '!B:B)=N667)),"""")"),"")</f>
        <v/>
      </c>
    </row>
    <row r="668" ht="26.25" hidden="1" customHeight="1">
      <c r="A668" s="371"/>
      <c r="B668" s="372"/>
      <c r="C668" s="66"/>
      <c r="D668" s="90"/>
      <c r="E668" s="66"/>
      <c r="F668" s="66"/>
      <c r="G668" s="66"/>
      <c r="H668" s="66"/>
      <c r="I668" s="66"/>
      <c r="J668" s="66"/>
      <c r="K668" s="66"/>
      <c r="L668" s="66"/>
      <c r="M668" s="330"/>
      <c r="N668" s="339"/>
      <c r="O668" s="331" t="str">
        <f>IFERROR(__xludf.DUMMYFUNCTION("IFERROR(AVERAGE(FILTER('حضور '!I:I,'حضور '!A:A=A668,MONTH('حضور '!B:B)=N668)),"""")"),"")</f>
        <v/>
      </c>
    </row>
    <row r="669" ht="26.25" hidden="1" customHeight="1">
      <c r="A669" s="371"/>
      <c r="B669" s="372"/>
      <c r="C669" s="66"/>
      <c r="D669" s="90"/>
      <c r="E669" s="66"/>
      <c r="F669" s="66"/>
      <c r="G669" s="66"/>
      <c r="H669" s="66"/>
      <c r="I669" s="66"/>
      <c r="J669" s="66"/>
      <c r="K669" s="66"/>
      <c r="L669" s="66"/>
      <c r="M669" s="330"/>
      <c r="N669" s="330"/>
      <c r="O669" s="331" t="str">
        <f>IFERROR(__xludf.DUMMYFUNCTION("IFERROR(AVERAGE(FILTER('حضور '!I:I,'حضور '!A:A=A669,MONTH('حضور '!B:B)=N669)),"""")"),"")</f>
        <v/>
      </c>
    </row>
    <row r="670" ht="26.25" hidden="1" customHeight="1">
      <c r="A670" s="371"/>
      <c r="B670" s="372"/>
      <c r="C670" s="66"/>
      <c r="D670" s="90"/>
      <c r="E670" s="66"/>
      <c r="F670" s="66"/>
      <c r="G670" s="66"/>
      <c r="H670" s="66"/>
      <c r="I670" s="66"/>
      <c r="J670" s="66"/>
      <c r="K670" s="66"/>
      <c r="L670" s="66"/>
      <c r="M670" s="330"/>
      <c r="N670" s="339"/>
      <c r="O670" s="331" t="str">
        <f>IFERROR(__xludf.DUMMYFUNCTION("IFERROR(AVERAGE(FILTER('حضور '!I:I,'حضور '!A:A=A670,MONTH('حضور '!B:B)=N670)),"""")"),"")</f>
        <v/>
      </c>
    </row>
    <row r="671" ht="26.25" hidden="1" customHeight="1">
      <c r="A671" s="371"/>
      <c r="B671" s="372"/>
      <c r="C671" s="66"/>
      <c r="D671" s="90"/>
      <c r="E671" s="66"/>
      <c r="F671" s="66"/>
      <c r="G671" s="66"/>
      <c r="H671" s="66"/>
      <c r="I671" s="66"/>
      <c r="J671" s="66"/>
      <c r="K671" s="66"/>
      <c r="L671" s="66"/>
      <c r="M671" s="330"/>
      <c r="N671" s="339"/>
      <c r="O671" s="331" t="str">
        <f>IFERROR(__xludf.DUMMYFUNCTION("IFERROR(AVERAGE(FILTER('حضور '!I:I,'حضور '!A:A=A671,MONTH('حضور '!B:B)=N671)),"""")"),"")</f>
        <v/>
      </c>
    </row>
    <row r="672" ht="26.25" hidden="1" customHeight="1">
      <c r="A672" s="371"/>
      <c r="B672" s="372"/>
      <c r="C672" s="66"/>
      <c r="D672" s="90"/>
      <c r="E672" s="66"/>
      <c r="F672" s="66"/>
      <c r="G672" s="66"/>
      <c r="H672" s="66"/>
      <c r="I672" s="66"/>
      <c r="J672" s="66"/>
      <c r="K672" s="66"/>
      <c r="L672" s="66"/>
      <c r="M672" s="330"/>
      <c r="N672" s="339"/>
      <c r="O672" s="331" t="str">
        <f>IFERROR(__xludf.DUMMYFUNCTION("IFERROR(AVERAGE(FILTER('حضور '!I:I,'حضور '!A:A=A672,MONTH('حضور '!B:B)=N672)),"""")"),"")</f>
        <v/>
      </c>
    </row>
    <row r="673" ht="26.25" hidden="1" customHeight="1">
      <c r="A673" s="371"/>
      <c r="B673" s="372"/>
      <c r="C673" s="66"/>
      <c r="D673" s="90"/>
      <c r="E673" s="66"/>
      <c r="F673" s="66"/>
      <c r="G673" s="66"/>
      <c r="H673" s="66"/>
      <c r="I673" s="66"/>
      <c r="J673" s="66"/>
      <c r="K673" s="66"/>
      <c r="L673" s="66"/>
      <c r="M673" s="330"/>
      <c r="N673" s="339"/>
      <c r="O673" s="331" t="str">
        <f>IFERROR(__xludf.DUMMYFUNCTION("IFERROR(AVERAGE(FILTER('حضور '!I:I,'حضور '!A:A=A673,MONTH('حضور '!B:B)=N673)),"""")"),"")</f>
        <v/>
      </c>
    </row>
    <row r="674" ht="26.25" hidden="1" customHeight="1">
      <c r="A674" s="371"/>
      <c r="B674" s="372"/>
      <c r="C674" s="66"/>
      <c r="D674" s="90"/>
      <c r="E674" s="66"/>
      <c r="F674" s="66"/>
      <c r="G674" s="66"/>
      <c r="H674" s="66"/>
      <c r="I674" s="66"/>
      <c r="J674" s="66"/>
      <c r="K674" s="66"/>
      <c r="L674" s="66"/>
      <c r="M674" s="330"/>
      <c r="N674" s="330"/>
      <c r="O674" s="331" t="str">
        <f>IFERROR(__xludf.DUMMYFUNCTION("IFERROR(AVERAGE(FILTER('حضور '!I:I,'حضور '!A:A=A674,MONTH('حضور '!B:B)=N674)),"""")"),"")</f>
        <v/>
      </c>
    </row>
    <row r="675" ht="26.25" hidden="1" customHeight="1">
      <c r="A675" s="371"/>
      <c r="B675" s="372"/>
      <c r="C675" s="66"/>
      <c r="D675" s="90"/>
      <c r="E675" s="66"/>
      <c r="F675" s="66"/>
      <c r="G675" s="66"/>
      <c r="H675" s="66"/>
      <c r="I675" s="66"/>
      <c r="J675" s="66"/>
      <c r="K675" s="66"/>
      <c r="L675" s="66"/>
      <c r="M675" s="330"/>
      <c r="N675" s="339"/>
      <c r="O675" s="331" t="str">
        <f>IFERROR(__xludf.DUMMYFUNCTION("IFERROR(AVERAGE(FILTER('حضور '!I:I,'حضور '!A:A=A675,MONTH('حضور '!B:B)=N675)),"""")"),"")</f>
        <v/>
      </c>
    </row>
    <row r="676" ht="26.25" hidden="1" customHeight="1">
      <c r="A676" s="371"/>
      <c r="B676" s="372"/>
      <c r="C676" s="66"/>
      <c r="D676" s="90"/>
      <c r="E676" s="66"/>
      <c r="F676" s="66"/>
      <c r="G676" s="66"/>
      <c r="H676" s="66"/>
      <c r="I676" s="66"/>
      <c r="J676" s="66"/>
      <c r="K676" s="66"/>
      <c r="L676" s="66"/>
      <c r="M676" s="330"/>
      <c r="N676" s="339"/>
      <c r="O676" s="331" t="str">
        <f>IFERROR(__xludf.DUMMYFUNCTION("IFERROR(AVERAGE(FILTER('حضور '!I:I,'حضور '!A:A=A676,MONTH('حضور '!B:B)=N676)),"""")"),"")</f>
        <v/>
      </c>
    </row>
    <row r="677" ht="26.25" hidden="1" customHeight="1">
      <c r="A677" s="371"/>
      <c r="B677" s="372"/>
      <c r="C677" s="66"/>
      <c r="D677" s="90"/>
      <c r="E677" s="66"/>
      <c r="F677" s="66"/>
      <c r="G677" s="66"/>
      <c r="H677" s="66"/>
      <c r="I677" s="66"/>
      <c r="J677" s="66"/>
      <c r="K677" s="66"/>
      <c r="L677" s="66"/>
      <c r="M677" s="330"/>
      <c r="N677" s="339"/>
      <c r="O677" s="331" t="str">
        <f>IFERROR(__xludf.DUMMYFUNCTION("IFERROR(AVERAGE(FILTER('حضور '!I:I,'حضور '!A:A=A677,MONTH('حضور '!B:B)=N677)),"""")"),"")</f>
        <v/>
      </c>
    </row>
    <row r="678" ht="26.25" hidden="1" customHeight="1">
      <c r="A678" s="371"/>
      <c r="B678" s="372"/>
      <c r="C678" s="66"/>
      <c r="D678" s="90"/>
      <c r="E678" s="66"/>
      <c r="F678" s="66"/>
      <c r="G678" s="66"/>
      <c r="H678" s="66"/>
      <c r="I678" s="66"/>
      <c r="J678" s="66"/>
      <c r="K678" s="66"/>
      <c r="L678" s="66"/>
      <c r="M678" s="330"/>
      <c r="N678" s="339"/>
      <c r="O678" s="331" t="str">
        <f>IFERROR(__xludf.DUMMYFUNCTION("IFERROR(AVERAGE(FILTER('حضور '!I:I,'حضور '!A:A=A678,MONTH('حضور '!B:B)=N678)),"""")"),"")</f>
        <v/>
      </c>
    </row>
    <row r="679" ht="26.25" hidden="1" customHeight="1">
      <c r="A679" s="371"/>
      <c r="B679" s="372"/>
      <c r="C679" s="66"/>
      <c r="D679" s="90"/>
      <c r="E679" s="66"/>
      <c r="F679" s="66"/>
      <c r="G679" s="66"/>
      <c r="H679" s="66"/>
      <c r="I679" s="66"/>
      <c r="J679" s="66"/>
      <c r="K679" s="66"/>
      <c r="L679" s="66"/>
      <c r="M679" s="330"/>
      <c r="N679" s="330"/>
      <c r="O679" s="331" t="str">
        <f>IFERROR(__xludf.DUMMYFUNCTION("IFERROR(AVERAGE(FILTER('حضور '!I:I,'حضور '!A:A=A679,MONTH('حضور '!B:B)=N679)),"""")"),"")</f>
        <v/>
      </c>
    </row>
    <row r="680" ht="26.25" hidden="1" customHeight="1">
      <c r="A680" s="371"/>
      <c r="B680" s="372"/>
      <c r="C680" s="66"/>
      <c r="D680" s="90"/>
      <c r="E680" s="66"/>
      <c r="F680" s="66"/>
      <c r="G680" s="66"/>
      <c r="H680" s="66"/>
      <c r="I680" s="66"/>
      <c r="J680" s="66"/>
      <c r="K680" s="66"/>
      <c r="L680" s="66"/>
      <c r="M680" s="330"/>
      <c r="N680" s="339"/>
      <c r="O680" s="331" t="str">
        <f>IFERROR(__xludf.DUMMYFUNCTION("IFERROR(AVERAGE(FILTER('حضور '!I:I,'حضور '!A:A=A680,MONTH('حضور '!B:B)=N680)),"""")"),"")</f>
        <v/>
      </c>
    </row>
    <row r="681" ht="26.25" hidden="1" customHeight="1">
      <c r="A681" s="371"/>
      <c r="B681" s="372"/>
      <c r="C681" s="66"/>
      <c r="D681" s="90"/>
      <c r="E681" s="66"/>
      <c r="F681" s="66"/>
      <c r="G681" s="66"/>
      <c r="H681" s="66"/>
      <c r="I681" s="66"/>
      <c r="J681" s="66"/>
      <c r="K681" s="66"/>
      <c r="L681" s="66"/>
      <c r="M681" s="330"/>
      <c r="N681" s="339"/>
      <c r="O681" s="331" t="str">
        <f>IFERROR(__xludf.DUMMYFUNCTION("IFERROR(AVERAGE(FILTER('حضور '!I:I,'حضور '!A:A=A681,MONTH('حضور '!B:B)=N681)),"""")"),"")</f>
        <v/>
      </c>
    </row>
    <row r="682" ht="26.25" hidden="1" customHeight="1">
      <c r="A682" s="371"/>
      <c r="B682" s="372"/>
      <c r="C682" s="66"/>
      <c r="D682" s="90"/>
      <c r="E682" s="66"/>
      <c r="F682" s="66"/>
      <c r="G682" s="66"/>
      <c r="H682" s="66"/>
      <c r="I682" s="66"/>
      <c r="J682" s="66"/>
      <c r="K682" s="66"/>
      <c r="L682" s="66"/>
      <c r="M682" s="330"/>
      <c r="N682" s="339"/>
      <c r="O682" s="331" t="str">
        <f>IFERROR(__xludf.DUMMYFUNCTION("IFERROR(AVERAGE(FILTER('حضور '!I:I,'حضور '!A:A=A682,MONTH('حضور '!B:B)=N682)),"""")"),"")</f>
        <v/>
      </c>
    </row>
    <row r="683" ht="26.25" hidden="1" customHeight="1">
      <c r="A683" s="371"/>
      <c r="B683" s="372"/>
      <c r="C683" s="66"/>
      <c r="D683" s="90"/>
      <c r="E683" s="66"/>
      <c r="F683" s="66"/>
      <c r="G683" s="66"/>
      <c r="H683" s="66"/>
      <c r="I683" s="66"/>
      <c r="J683" s="66"/>
      <c r="K683" s="66"/>
      <c r="L683" s="66"/>
      <c r="M683" s="330"/>
      <c r="N683" s="339"/>
      <c r="O683" s="331" t="str">
        <f>IFERROR(__xludf.DUMMYFUNCTION("IFERROR(AVERAGE(FILTER('حضور '!I:I,'حضور '!A:A=A683,MONTH('حضور '!B:B)=N683)),"""")"),"")</f>
        <v/>
      </c>
    </row>
    <row r="684" ht="26.25" hidden="1" customHeight="1">
      <c r="A684" s="371"/>
      <c r="B684" s="372"/>
      <c r="C684" s="66"/>
      <c r="D684" s="90"/>
      <c r="E684" s="66"/>
      <c r="F684" s="66"/>
      <c r="G684" s="66"/>
      <c r="H684" s="66"/>
      <c r="I684" s="66"/>
      <c r="J684" s="66"/>
      <c r="K684" s="66"/>
      <c r="L684" s="66"/>
      <c r="M684" s="330"/>
      <c r="N684" s="330"/>
      <c r="O684" s="331" t="str">
        <f>IFERROR(__xludf.DUMMYFUNCTION("IFERROR(AVERAGE(FILTER('حضور '!I:I,'حضور '!A:A=A684,MONTH('حضور '!B:B)=N684)),"""")"),"")</f>
        <v/>
      </c>
    </row>
    <row r="685" ht="26.25" hidden="1" customHeight="1">
      <c r="A685" s="371"/>
      <c r="B685" s="372"/>
      <c r="C685" s="66"/>
      <c r="D685" s="90"/>
      <c r="E685" s="66"/>
      <c r="F685" s="66"/>
      <c r="G685" s="66"/>
      <c r="H685" s="66"/>
      <c r="I685" s="66"/>
      <c r="J685" s="66"/>
      <c r="K685" s="66"/>
      <c r="L685" s="66"/>
      <c r="M685" s="330"/>
      <c r="N685" s="339"/>
      <c r="O685" s="331" t="str">
        <f>IFERROR(__xludf.DUMMYFUNCTION("IFERROR(AVERAGE(FILTER('حضور '!I:I,'حضور '!A:A=A685,MONTH('حضور '!B:B)=N685)),"""")"),"")</f>
        <v/>
      </c>
    </row>
    <row r="686" ht="26.25" hidden="1" customHeight="1">
      <c r="A686" s="371"/>
      <c r="B686" s="372"/>
      <c r="C686" s="66"/>
      <c r="D686" s="90"/>
      <c r="E686" s="66"/>
      <c r="F686" s="66"/>
      <c r="G686" s="66"/>
      <c r="H686" s="66"/>
      <c r="I686" s="66"/>
      <c r="J686" s="66"/>
      <c r="K686" s="66"/>
      <c r="L686" s="66"/>
      <c r="M686" s="330"/>
      <c r="N686" s="339"/>
      <c r="O686" s="331" t="str">
        <f>IFERROR(__xludf.DUMMYFUNCTION("IFERROR(AVERAGE(FILTER('حضور '!I:I,'حضور '!A:A=A686,MONTH('حضور '!B:B)=N686)),"""")"),"")</f>
        <v/>
      </c>
    </row>
    <row r="687" ht="26.25" hidden="1" customHeight="1">
      <c r="A687" s="371"/>
      <c r="B687" s="372"/>
      <c r="C687" s="66"/>
      <c r="D687" s="90"/>
      <c r="E687" s="66"/>
      <c r="F687" s="66"/>
      <c r="G687" s="66"/>
      <c r="H687" s="66"/>
      <c r="I687" s="66"/>
      <c r="J687" s="66"/>
      <c r="K687" s="66"/>
      <c r="L687" s="66"/>
      <c r="M687" s="330"/>
      <c r="N687" s="339"/>
      <c r="O687" s="331" t="str">
        <f>IFERROR(__xludf.DUMMYFUNCTION("IFERROR(AVERAGE(FILTER('حضور '!I:I,'حضور '!A:A=A687,MONTH('حضور '!B:B)=N687)),"""")"),"")</f>
        <v/>
      </c>
    </row>
    <row r="688" ht="26.25" hidden="1" customHeight="1">
      <c r="A688" s="371"/>
      <c r="B688" s="372"/>
      <c r="C688" s="66"/>
      <c r="D688" s="90"/>
      <c r="E688" s="66"/>
      <c r="F688" s="66"/>
      <c r="G688" s="66"/>
      <c r="H688" s="66"/>
      <c r="I688" s="66"/>
      <c r="J688" s="66"/>
      <c r="K688" s="66"/>
      <c r="L688" s="66"/>
      <c r="M688" s="330"/>
      <c r="N688" s="339"/>
      <c r="O688" s="331" t="str">
        <f>IFERROR(__xludf.DUMMYFUNCTION("IFERROR(AVERAGE(FILTER('حضور '!I:I,'حضور '!A:A=A688,MONTH('حضور '!B:B)=N688)),"""")"),"")</f>
        <v/>
      </c>
    </row>
    <row r="689" ht="26.25" hidden="1" customHeight="1">
      <c r="A689" s="371"/>
      <c r="B689" s="372"/>
      <c r="C689" s="66"/>
      <c r="D689" s="90"/>
      <c r="E689" s="66"/>
      <c r="F689" s="66"/>
      <c r="G689" s="66"/>
      <c r="H689" s="66"/>
      <c r="I689" s="66"/>
      <c r="J689" s="66"/>
      <c r="K689" s="66"/>
      <c r="L689" s="66"/>
      <c r="M689" s="330"/>
      <c r="N689" s="330"/>
      <c r="O689" s="331" t="str">
        <f>IFERROR(__xludf.DUMMYFUNCTION("IFERROR(AVERAGE(FILTER('حضور '!I:I,'حضور '!A:A=A689,MONTH('حضور '!B:B)=N689)),"""")"),"")</f>
        <v/>
      </c>
    </row>
    <row r="690" ht="26.25" hidden="1" customHeight="1">
      <c r="A690" s="371"/>
      <c r="B690" s="372"/>
      <c r="C690" s="66"/>
      <c r="D690" s="90"/>
      <c r="E690" s="66"/>
      <c r="F690" s="66"/>
      <c r="G690" s="66"/>
      <c r="H690" s="66"/>
      <c r="I690" s="66"/>
      <c r="J690" s="66"/>
      <c r="K690" s="66"/>
      <c r="L690" s="66"/>
      <c r="M690" s="330"/>
      <c r="N690" s="339"/>
      <c r="O690" s="331" t="str">
        <f>IFERROR(__xludf.DUMMYFUNCTION("IFERROR(AVERAGE(FILTER('حضور '!I:I,'حضور '!A:A=A690,MONTH('حضور '!B:B)=N690)),"""")"),"")</f>
        <v/>
      </c>
    </row>
    <row r="691" ht="26.25" hidden="1" customHeight="1">
      <c r="A691" s="371"/>
      <c r="B691" s="372"/>
      <c r="C691" s="66"/>
      <c r="D691" s="90"/>
      <c r="E691" s="66"/>
      <c r="F691" s="66"/>
      <c r="G691" s="66"/>
      <c r="H691" s="66"/>
      <c r="I691" s="66"/>
      <c r="J691" s="66"/>
      <c r="K691" s="66"/>
      <c r="L691" s="66"/>
      <c r="M691" s="330"/>
      <c r="N691" s="339"/>
      <c r="O691" s="331" t="str">
        <f>IFERROR(__xludf.DUMMYFUNCTION("IFERROR(AVERAGE(FILTER('حضور '!I:I,'حضور '!A:A=A691,MONTH('حضور '!B:B)=N691)),"""")"),"")</f>
        <v/>
      </c>
    </row>
    <row r="692" ht="26.25" hidden="1" customHeight="1">
      <c r="A692" s="371"/>
      <c r="B692" s="372"/>
      <c r="C692" s="66"/>
      <c r="D692" s="90"/>
      <c r="E692" s="66"/>
      <c r="F692" s="66"/>
      <c r="G692" s="66"/>
      <c r="H692" s="66"/>
      <c r="I692" s="66"/>
      <c r="J692" s="66"/>
      <c r="K692" s="66"/>
      <c r="L692" s="66"/>
      <c r="M692" s="330"/>
      <c r="N692" s="339"/>
      <c r="O692" s="331" t="str">
        <f>IFERROR(__xludf.DUMMYFUNCTION("IFERROR(AVERAGE(FILTER('حضور '!I:I,'حضور '!A:A=A692,MONTH('حضور '!B:B)=N692)),"""")"),"")</f>
        <v/>
      </c>
    </row>
    <row r="693" ht="26.25" hidden="1" customHeight="1">
      <c r="A693" s="371"/>
      <c r="B693" s="372"/>
      <c r="C693" s="66"/>
      <c r="D693" s="90"/>
      <c r="E693" s="66"/>
      <c r="F693" s="66"/>
      <c r="G693" s="66"/>
      <c r="H693" s="66"/>
      <c r="I693" s="66"/>
      <c r="J693" s="66"/>
      <c r="K693" s="66"/>
      <c r="L693" s="66"/>
      <c r="M693" s="330"/>
      <c r="N693" s="339"/>
      <c r="O693" s="331" t="str">
        <f>IFERROR(__xludf.DUMMYFUNCTION("IFERROR(AVERAGE(FILTER('حضور '!I:I,'حضور '!A:A=A693,MONTH('حضور '!B:B)=N693)),"""")"),"")</f>
        <v/>
      </c>
    </row>
    <row r="694" ht="26.25" hidden="1" customHeight="1">
      <c r="A694" s="371"/>
      <c r="B694" s="372"/>
      <c r="C694" s="66"/>
      <c r="D694" s="90"/>
      <c r="E694" s="66"/>
      <c r="F694" s="66"/>
      <c r="G694" s="66"/>
      <c r="H694" s="66"/>
      <c r="I694" s="66"/>
      <c r="J694" s="66"/>
      <c r="K694" s="66"/>
      <c r="L694" s="66"/>
      <c r="M694" s="330"/>
      <c r="N694" s="330"/>
      <c r="O694" s="331" t="str">
        <f>IFERROR(__xludf.DUMMYFUNCTION("IFERROR(AVERAGE(FILTER('حضور '!I:I,'حضور '!A:A=A694,MONTH('حضور '!B:B)=N694)),"""")"),"")</f>
        <v/>
      </c>
    </row>
    <row r="695" ht="26.25" hidden="1" customHeight="1">
      <c r="A695" s="371"/>
      <c r="B695" s="372"/>
      <c r="C695" s="66"/>
      <c r="D695" s="90"/>
      <c r="E695" s="66"/>
      <c r="F695" s="66"/>
      <c r="G695" s="66"/>
      <c r="H695" s="66"/>
      <c r="I695" s="66"/>
      <c r="J695" s="66"/>
      <c r="K695" s="66"/>
      <c r="L695" s="66"/>
      <c r="M695" s="330"/>
      <c r="N695" s="339"/>
      <c r="O695" s="331" t="str">
        <f>IFERROR(__xludf.DUMMYFUNCTION("IFERROR(AVERAGE(FILTER('حضور '!I:I,'حضور '!A:A=A695,MONTH('حضور '!B:B)=N695)),"""")"),"")</f>
        <v/>
      </c>
    </row>
    <row r="696" ht="26.25" hidden="1" customHeight="1">
      <c r="A696" s="371"/>
      <c r="B696" s="372"/>
      <c r="C696" s="66"/>
      <c r="D696" s="90"/>
      <c r="E696" s="66"/>
      <c r="F696" s="66"/>
      <c r="G696" s="66"/>
      <c r="H696" s="66"/>
      <c r="I696" s="66"/>
      <c r="J696" s="66"/>
      <c r="K696" s="66"/>
      <c r="L696" s="66"/>
      <c r="M696" s="330"/>
      <c r="N696" s="339"/>
      <c r="O696" s="331" t="str">
        <f>IFERROR(__xludf.DUMMYFUNCTION("IFERROR(AVERAGE(FILTER('حضور '!I:I,'حضور '!A:A=A696,MONTH('حضور '!B:B)=N696)),"""")"),"")</f>
        <v/>
      </c>
    </row>
    <row r="697" ht="26.25" hidden="1" customHeight="1">
      <c r="A697" s="371"/>
      <c r="B697" s="372"/>
      <c r="C697" s="66"/>
      <c r="D697" s="90"/>
      <c r="E697" s="66"/>
      <c r="F697" s="66"/>
      <c r="G697" s="66"/>
      <c r="H697" s="66"/>
      <c r="I697" s="66"/>
      <c r="J697" s="66"/>
      <c r="K697" s="66"/>
      <c r="L697" s="66"/>
      <c r="M697" s="330"/>
      <c r="N697" s="339"/>
      <c r="O697" s="331" t="str">
        <f>IFERROR(__xludf.DUMMYFUNCTION("IFERROR(AVERAGE(FILTER('حضور '!I:I,'حضور '!A:A=A697,MONTH('حضور '!B:B)=N697)),"""")"),"")</f>
        <v/>
      </c>
    </row>
    <row r="698" ht="26.25" hidden="1" customHeight="1">
      <c r="A698" s="371"/>
      <c r="B698" s="372"/>
      <c r="C698" s="66"/>
      <c r="D698" s="90"/>
      <c r="E698" s="66"/>
      <c r="F698" s="66"/>
      <c r="G698" s="66"/>
      <c r="H698" s="66"/>
      <c r="I698" s="66"/>
      <c r="J698" s="66"/>
      <c r="K698" s="66"/>
      <c r="L698" s="66"/>
      <c r="M698" s="330"/>
      <c r="N698" s="339"/>
      <c r="O698" s="331" t="str">
        <f>IFERROR(__xludf.DUMMYFUNCTION("IFERROR(AVERAGE(FILTER('حضور '!I:I,'حضور '!A:A=A698,MONTH('حضور '!B:B)=N698)),"""")"),"")</f>
        <v/>
      </c>
    </row>
    <row r="699" ht="26.25" hidden="1" customHeight="1">
      <c r="A699" s="371"/>
      <c r="B699" s="372"/>
      <c r="C699" s="66"/>
      <c r="D699" s="90"/>
      <c r="E699" s="66"/>
      <c r="F699" s="66"/>
      <c r="G699" s="66"/>
      <c r="H699" s="66"/>
      <c r="I699" s="66"/>
      <c r="J699" s="66"/>
      <c r="K699" s="66"/>
      <c r="L699" s="66"/>
      <c r="M699" s="330"/>
      <c r="N699" s="330"/>
      <c r="O699" s="331" t="str">
        <f>IFERROR(__xludf.DUMMYFUNCTION("IFERROR(AVERAGE(FILTER('حضور '!I:I,'حضور '!A:A=A699,MONTH('حضور '!B:B)=N699)),"""")"),"")</f>
        <v/>
      </c>
    </row>
    <row r="700" ht="26.25" hidden="1" customHeight="1">
      <c r="A700" s="371"/>
      <c r="B700" s="372"/>
      <c r="C700" s="66"/>
      <c r="D700" s="90"/>
      <c r="E700" s="66"/>
      <c r="F700" s="66"/>
      <c r="G700" s="66"/>
      <c r="H700" s="66"/>
      <c r="I700" s="66"/>
      <c r="J700" s="66"/>
      <c r="K700" s="66"/>
      <c r="L700" s="66"/>
      <c r="M700" s="330"/>
      <c r="N700" s="339"/>
      <c r="O700" s="331" t="str">
        <f>IFERROR(__xludf.DUMMYFUNCTION("IFERROR(AVERAGE(FILTER('حضور '!I:I,'حضور '!A:A=A700,MONTH('حضور '!B:B)=N700)),"""")"),"")</f>
        <v/>
      </c>
    </row>
    <row r="701" ht="26.25" hidden="1" customHeight="1">
      <c r="A701" s="371"/>
      <c r="B701" s="372"/>
      <c r="C701" s="66"/>
      <c r="D701" s="90"/>
      <c r="E701" s="66"/>
      <c r="F701" s="66"/>
      <c r="G701" s="66"/>
      <c r="H701" s="66"/>
      <c r="I701" s="66"/>
      <c r="J701" s="66"/>
      <c r="K701" s="66"/>
      <c r="L701" s="66"/>
      <c r="M701" s="330"/>
      <c r="N701" s="339"/>
      <c r="O701" s="331" t="str">
        <f>IFERROR(__xludf.DUMMYFUNCTION("IFERROR(AVERAGE(FILTER('حضور '!I:I,'حضور '!A:A=A701,MONTH('حضور '!B:B)=N701)),"""")"),"")</f>
        <v/>
      </c>
    </row>
    <row r="702" ht="26.25" hidden="1" customHeight="1">
      <c r="A702" s="371"/>
      <c r="B702" s="372"/>
      <c r="C702" s="66"/>
      <c r="D702" s="90"/>
      <c r="E702" s="66"/>
      <c r="F702" s="66"/>
      <c r="G702" s="66"/>
      <c r="H702" s="66"/>
      <c r="I702" s="66"/>
      <c r="J702" s="66"/>
      <c r="K702" s="66"/>
      <c r="L702" s="66"/>
      <c r="M702" s="330"/>
      <c r="N702" s="339"/>
      <c r="O702" s="331" t="str">
        <f>IFERROR(__xludf.DUMMYFUNCTION("IFERROR(AVERAGE(FILTER('حضور '!I:I,'حضور '!A:A=A702,MONTH('حضور '!B:B)=N702)),"""")"),"")</f>
        <v/>
      </c>
    </row>
    <row r="703" ht="26.25" hidden="1" customHeight="1">
      <c r="A703" s="371"/>
      <c r="B703" s="372"/>
      <c r="C703" s="66"/>
      <c r="D703" s="90"/>
      <c r="E703" s="66"/>
      <c r="F703" s="66"/>
      <c r="G703" s="66"/>
      <c r="H703" s="66"/>
      <c r="I703" s="66"/>
      <c r="J703" s="66"/>
      <c r="K703" s="66"/>
      <c r="L703" s="66"/>
      <c r="M703" s="330"/>
      <c r="N703" s="339"/>
      <c r="O703" s="331" t="str">
        <f>IFERROR(__xludf.DUMMYFUNCTION("IFERROR(AVERAGE(FILTER('حضور '!I:I,'حضور '!A:A=A703,MONTH('حضور '!B:B)=N703)),"""")"),"")</f>
        <v/>
      </c>
    </row>
    <row r="704" ht="26.25" hidden="1" customHeight="1">
      <c r="A704" s="371"/>
      <c r="B704" s="372"/>
      <c r="C704" s="66"/>
      <c r="D704" s="90"/>
      <c r="E704" s="66"/>
      <c r="F704" s="66"/>
      <c r="G704" s="66"/>
      <c r="H704" s="66"/>
      <c r="I704" s="66"/>
      <c r="J704" s="66"/>
      <c r="K704" s="66"/>
      <c r="L704" s="66"/>
      <c r="M704" s="330"/>
      <c r="N704" s="330"/>
      <c r="O704" s="331" t="str">
        <f>IFERROR(__xludf.DUMMYFUNCTION("IFERROR(AVERAGE(FILTER('حضور '!I:I,'حضور '!A:A=A704,MONTH('حضور '!B:B)=N704)),"""")"),"")</f>
        <v/>
      </c>
    </row>
    <row r="705" ht="26.25" hidden="1" customHeight="1">
      <c r="A705" s="371"/>
      <c r="B705" s="372"/>
      <c r="C705" s="66"/>
      <c r="D705" s="90"/>
      <c r="E705" s="66"/>
      <c r="F705" s="66"/>
      <c r="G705" s="66"/>
      <c r="H705" s="66"/>
      <c r="I705" s="66"/>
      <c r="J705" s="66"/>
      <c r="K705" s="66"/>
      <c r="L705" s="66"/>
      <c r="M705" s="330"/>
      <c r="N705" s="339"/>
      <c r="O705" s="331" t="str">
        <f>IFERROR(__xludf.DUMMYFUNCTION("IFERROR(AVERAGE(FILTER('حضور '!I:I,'حضور '!A:A=A705,MONTH('حضور '!B:B)=N705)),"""")"),"")</f>
        <v/>
      </c>
    </row>
    <row r="706" ht="26.25" hidden="1" customHeight="1">
      <c r="A706" s="371"/>
      <c r="B706" s="372"/>
      <c r="C706" s="66"/>
      <c r="D706" s="90"/>
      <c r="E706" s="66"/>
      <c r="F706" s="66"/>
      <c r="G706" s="66"/>
      <c r="H706" s="66"/>
      <c r="I706" s="66"/>
      <c r="J706" s="66"/>
      <c r="K706" s="66"/>
      <c r="L706" s="66"/>
      <c r="M706" s="330"/>
      <c r="N706" s="339"/>
      <c r="O706" s="331" t="str">
        <f>IFERROR(__xludf.DUMMYFUNCTION("IFERROR(AVERAGE(FILTER('حضور '!I:I,'حضور '!A:A=A706,MONTH('حضور '!B:B)=N706)),"""")"),"")</f>
        <v/>
      </c>
    </row>
    <row r="707" ht="26.25" hidden="1" customHeight="1">
      <c r="A707" s="371"/>
      <c r="B707" s="372"/>
      <c r="C707" s="66"/>
      <c r="D707" s="90"/>
      <c r="E707" s="66"/>
      <c r="F707" s="66"/>
      <c r="G707" s="66"/>
      <c r="H707" s="66"/>
      <c r="I707" s="66"/>
      <c r="J707" s="66"/>
      <c r="K707" s="66"/>
      <c r="L707" s="66"/>
      <c r="M707" s="330"/>
      <c r="N707" s="339"/>
      <c r="O707" s="331" t="str">
        <f>IFERROR(__xludf.DUMMYFUNCTION("IFERROR(AVERAGE(FILTER('حضور '!I:I,'حضور '!A:A=A707,MONTH('حضور '!B:B)=N707)),"""")"),"")</f>
        <v/>
      </c>
    </row>
    <row r="708" ht="26.25" hidden="1" customHeight="1">
      <c r="A708" s="371"/>
      <c r="B708" s="372"/>
      <c r="C708" s="66"/>
      <c r="D708" s="90"/>
      <c r="E708" s="66"/>
      <c r="F708" s="66"/>
      <c r="G708" s="66"/>
      <c r="H708" s="66"/>
      <c r="I708" s="66"/>
      <c r="J708" s="66"/>
      <c r="K708" s="66"/>
      <c r="L708" s="66"/>
      <c r="M708" s="330"/>
      <c r="N708" s="339"/>
      <c r="O708" s="331" t="str">
        <f>IFERROR(__xludf.DUMMYFUNCTION("IFERROR(AVERAGE(FILTER('حضور '!I:I,'حضور '!A:A=A708,MONTH('حضور '!B:B)=N708)),"""")"),"")</f>
        <v/>
      </c>
    </row>
    <row r="709" ht="26.25" hidden="1" customHeight="1">
      <c r="A709" s="371"/>
      <c r="B709" s="372"/>
      <c r="C709" s="66"/>
      <c r="D709" s="90"/>
      <c r="E709" s="66"/>
      <c r="F709" s="66"/>
      <c r="G709" s="66"/>
      <c r="H709" s="66"/>
      <c r="I709" s="66"/>
      <c r="J709" s="66"/>
      <c r="K709" s="66"/>
      <c r="L709" s="66"/>
      <c r="M709" s="330"/>
      <c r="N709" s="330"/>
      <c r="O709" s="331" t="str">
        <f>IFERROR(__xludf.DUMMYFUNCTION("IFERROR(AVERAGE(FILTER('حضور '!I:I,'حضور '!A:A=A709,MONTH('حضور '!B:B)=N709)),"""")"),"")</f>
        <v/>
      </c>
    </row>
    <row r="710" ht="26.25" hidden="1" customHeight="1">
      <c r="A710" s="371"/>
      <c r="B710" s="372"/>
      <c r="C710" s="66"/>
      <c r="D710" s="90"/>
      <c r="E710" s="66"/>
      <c r="F710" s="66"/>
      <c r="G710" s="66"/>
      <c r="H710" s="66"/>
      <c r="I710" s="66"/>
      <c r="J710" s="66"/>
      <c r="K710" s="66"/>
      <c r="L710" s="66"/>
      <c r="M710" s="330"/>
      <c r="N710" s="339"/>
      <c r="O710" s="331" t="str">
        <f>IFERROR(__xludf.DUMMYFUNCTION("IFERROR(AVERAGE(FILTER('حضور '!I:I,'حضور '!A:A=A710,MONTH('حضور '!B:B)=N710)),"""")"),"")</f>
        <v/>
      </c>
    </row>
    <row r="711" ht="26.25" hidden="1" customHeight="1">
      <c r="A711" s="371"/>
      <c r="B711" s="372"/>
      <c r="C711" s="66"/>
      <c r="D711" s="90"/>
      <c r="E711" s="66"/>
      <c r="F711" s="66"/>
      <c r="G711" s="66"/>
      <c r="H711" s="66"/>
      <c r="I711" s="66"/>
      <c r="J711" s="66"/>
      <c r="K711" s="66"/>
      <c r="L711" s="66"/>
      <c r="M711" s="330"/>
      <c r="N711" s="339"/>
      <c r="O711" s="331" t="str">
        <f>IFERROR(__xludf.DUMMYFUNCTION("IFERROR(AVERAGE(FILTER('حضور '!I:I,'حضور '!A:A=A711,MONTH('حضور '!B:B)=N711)),"""")"),"")</f>
        <v/>
      </c>
    </row>
    <row r="712" ht="26.25" hidden="1" customHeight="1">
      <c r="A712" s="371"/>
      <c r="B712" s="372"/>
      <c r="C712" s="66"/>
      <c r="D712" s="90"/>
      <c r="E712" s="66"/>
      <c r="F712" s="66"/>
      <c r="G712" s="66"/>
      <c r="H712" s="66"/>
      <c r="I712" s="66"/>
      <c r="J712" s="66"/>
      <c r="K712" s="66"/>
      <c r="L712" s="66"/>
      <c r="M712" s="330"/>
      <c r="N712" s="339"/>
      <c r="O712" s="331" t="str">
        <f>IFERROR(__xludf.DUMMYFUNCTION("IFERROR(AVERAGE(FILTER('حضور '!I:I,'حضور '!A:A=A712,MONTH('حضور '!B:B)=N712)),"""")"),"")</f>
        <v/>
      </c>
    </row>
    <row r="713" ht="26.25" hidden="1" customHeight="1">
      <c r="A713" s="371"/>
      <c r="B713" s="372"/>
      <c r="C713" s="66"/>
      <c r="D713" s="90"/>
      <c r="E713" s="66"/>
      <c r="F713" s="66"/>
      <c r="G713" s="66"/>
      <c r="H713" s="66"/>
      <c r="I713" s="66"/>
      <c r="J713" s="66"/>
      <c r="K713" s="66"/>
      <c r="L713" s="66"/>
      <c r="M713" s="330"/>
      <c r="N713" s="339"/>
      <c r="O713" s="331" t="str">
        <f>IFERROR(__xludf.DUMMYFUNCTION("IFERROR(AVERAGE(FILTER('حضور '!I:I,'حضور '!A:A=A713,MONTH('حضور '!B:B)=N713)),"""")"),"")</f>
        <v/>
      </c>
    </row>
    <row r="714" ht="26.25" hidden="1" customHeight="1">
      <c r="A714" s="371"/>
      <c r="B714" s="372"/>
      <c r="C714" s="66"/>
      <c r="D714" s="90"/>
      <c r="E714" s="66"/>
      <c r="F714" s="66"/>
      <c r="G714" s="66"/>
      <c r="H714" s="66"/>
      <c r="I714" s="66"/>
      <c r="J714" s="66"/>
      <c r="K714" s="66"/>
      <c r="L714" s="66"/>
      <c r="M714" s="330"/>
      <c r="N714" s="330"/>
      <c r="O714" s="331" t="str">
        <f>IFERROR(__xludf.DUMMYFUNCTION("IFERROR(AVERAGE(FILTER('حضور '!I:I,'حضور '!A:A=A714,MONTH('حضور '!B:B)=N714)),"""")"),"")</f>
        <v/>
      </c>
    </row>
    <row r="715" ht="26.25" hidden="1" customHeight="1">
      <c r="A715" s="371"/>
      <c r="B715" s="372"/>
      <c r="C715" s="66"/>
      <c r="D715" s="90"/>
      <c r="E715" s="66"/>
      <c r="F715" s="66"/>
      <c r="G715" s="66"/>
      <c r="H715" s="66"/>
      <c r="I715" s="66"/>
      <c r="J715" s="66"/>
      <c r="K715" s="66"/>
      <c r="L715" s="66"/>
      <c r="M715" s="330"/>
      <c r="N715" s="339"/>
      <c r="O715" s="331" t="str">
        <f>IFERROR(__xludf.DUMMYFUNCTION("IFERROR(AVERAGE(FILTER('حضور '!I:I,'حضور '!A:A=A715,MONTH('حضور '!B:B)=N715)),"""")"),"")</f>
        <v/>
      </c>
    </row>
    <row r="716" ht="26.25" hidden="1" customHeight="1">
      <c r="A716" s="371"/>
      <c r="B716" s="372"/>
      <c r="C716" s="66"/>
      <c r="D716" s="90"/>
      <c r="E716" s="66"/>
      <c r="F716" s="66"/>
      <c r="G716" s="66"/>
      <c r="H716" s="66"/>
      <c r="I716" s="66"/>
      <c r="J716" s="66"/>
      <c r="K716" s="66"/>
      <c r="L716" s="66"/>
      <c r="M716" s="330"/>
      <c r="N716" s="339"/>
      <c r="O716" s="331" t="str">
        <f>IFERROR(__xludf.DUMMYFUNCTION("IFERROR(AVERAGE(FILTER('حضور '!I:I,'حضور '!A:A=A716,MONTH('حضور '!B:B)=N716)),"""")"),"")</f>
        <v/>
      </c>
    </row>
    <row r="717" ht="26.25" hidden="1" customHeight="1">
      <c r="A717" s="371"/>
      <c r="B717" s="372"/>
      <c r="C717" s="66"/>
      <c r="D717" s="90"/>
      <c r="E717" s="66"/>
      <c r="F717" s="66"/>
      <c r="G717" s="66"/>
      <c r="H717" s="66"/>
      <c r="I717" s="66"/>
      <c r="J717" s="66"/>
      <c r="K717" s="66"/>
      <c r="L717" s="66"/>
      <c r="M717" s="330"/>
      <c r="N717" s="339"/>
      <c r="O717" s="331" t="str">
        <f>IFERROR(__xludf.DUMMYFUNCTION("IFERROR(AVERAGE(FILTER('حضور '!I:I,'حضور '!A:A=A717,MONTH('حضور '!B:B)=N717)),"""")"),"")</f>
        <v/>
      </c>
    </row>
    <row r="718" ht="26.25" hidden="1" customHeight="1">
      <c r="A718" s="371"/>
      <c r="B718" s="372"/>
      <c r="C718" s="66"/>
      <c r="D718" s="90"/>
      <c r="E718" s="66"/>
      <c r="F718" s="66"/>
      <c r="G718" s="66"/>
      <c r="H718" s="66"/>
      <c r="I718" s="66"/>
      <c r="J718" s="66"/>
      <c r="K718" s="66"/>
      <c r="L718" s="66"/>
      <c r="M718" s="330"/>
      <c r="N718" s="339"/>
      <c r="O718" s="331" t="str">
        <f>IFERROR(__xludf.DUMMYFUNCTION("IFERROR(AVERAGE(FILTER('حضور '!I:I,'حضور '!A:A=A718,MONTH('حضور '!B:B)=N718)),"""")"),"")</f>
        <v/>
      </c>
    </row>
    <row r="719" ht="26.25" hidden="1" customHeight="1">
      <c r="A719" s="371"/>
      <c r="B719" s="372"/>
      <c r="C719" s="66"/>
      <c r="D719" s="90"/>
      <c r="E719" s="66"/>
      <c r="F719" s="66"/>
      <c r="G719" s="66"/>
      <c r="H719" s="66"/>
      <c r="I719" s="66"/>
      <c r="J719" s="66"/>
      <c r="K719" s="66"/>
      <c r="L719" s="66"/>
      <c r="M719" s="330"/>
      <c r="N719" s="330"/>
      <c r="O719" s="331" t="str">
        <f>IFERROR(__xludf.DUMMYFUNCTION("IFERROR(AVERAGE(FILTER('حضور '!I:I,'حضور '!A:A=A719,MONTH('حضور '!B:B)=N719)),"""")"),"")</f>
        <v/>
      </c>
    </row>
    <row r="720" ht="26.25" hidden="1" customHeight="1">
      <c r="A720" s="371"/>
      <c r="B720" s="372"/>
      <c r="C720" s="66"/>
      <c r="D720" s="90"/>
      <c r="E720" s="66"/>
      <c r="F720" s="66"/>
      <c r="G720" s="66"/>
      <c r="H720" s="66"/>
      <c r="I720" s="66"/>
      <c r="J720" s="66"/>
      <c r="K720" s="66"/>
      <c r="L720" s="66"/>
      <c r="M720" s="330"/>
      <c r="N720" s="339"/>
      <c r="O720" s="331" t="str">
        <f>IFERROR(__xludf.DUMMYFUNCTION("IFERROR(AVERAGE(FILTER('حضور '!I:I,'حضور '!A:A=A720,MONTH('حضور '!B:B)=N720)),"""")"),"")</f>
        <v/>
      </c>
    </row>
    <row r="721" ht="26.25" hidden="1" customHeight="1">
      <c r="A721" s="371"/>
      <c r="B721" s="372"/>
      <c r="C721" s="66"/>
      <c r="D721" s="90"/>
      <c r="E721" s="66"/>
      <c r="F721" s="66"/>
      <c r="G721" s="66"/>
      <c r="H721" s="66"/>
      <c r="I721" s="66"/>
      <c r="J721" s="66"/>
      <c r="K721" s="66"/>
      <c r="L721" s="66"/>
      <c r="M721" s="330"/>
      <c r="N721" s="339"/>
      <c r="O721" s="331" t="str">
        <f>IFERROR(__xludf.DUMMYFUNCTION("IFERROR(AVERAGE(FILTER('حضور '!I:I,'حضور '!A:A=A721,MONTH('حضور '!B:B)=N721)),"""")"),"")</f>
        <v/>
      </c>
    </row>
    <row r="722" ht="26.25" hidden="1" customHeight="1">
      <c r="A722" s="371"/>
      <c r="B722" s="372"/>
      <c r="C722" s="66"/>
      <c r="D722" s="90"/>
      <c r="E722" s="66"/>
      <c r="F722" s="66"/>
      <c r="G722" s="66"/>
      <c r="H722" s="66"/>
      <c r="I722" s="66"/>
      <c r="J722" s="66"/>
      <c r="K722" s="66"/>
      <c r="L722" s="66"/>
      <c r="M722" s="330"/>
      <c r="N722" s="339"/>
      <c r="O722" s="331" t="str">
        <f>IFERROR(__xludf.DUMMYFUNCTION("IFERROR(AVERAGE(FILTER('حضور '!I:I,'حضور '!A:A=A722,MONTH('حضور '!B:B)=N722)),"""")"),"")</f>
        <v/>
      </c>
    </row>
    <row r="723" ht="26.25" hidden="1" customHeight="1">
      <c r="A723" s="371"/>
      <c r="B723" s="372"/>
      <c r="C723" s="66"/>
      <c r="D723" s="90"/>
      <c r="E723" s="66"/>
      <c r="F723" s="66"/>
      <c r="G723" s="66"/>
      <c r="H723" s="66"/>
      <c r="I723" s="66"/>
      <c r="J723" s="66"/>
      <c r="K723" s="66"/>
      <c r="L723" s="66"/>
      <c r="M723" s="330"/>
      <c r="N723" s="339"/>
      <c r="O723" s="331" t="str">
        <f>IFERROR(__xludf.DUMMYFUNCTION("IFERROR(AVERAGE(FILTER('حضور '!I:I,'حضور '!A:A=A723,MONTH('حضور '!B:B)=N723)),"""")"),"")</f>
        <v/>
      </c>
    </row>
    <row r="724" ht="26.25" hidden="1" customHeight="1">
      <c r="A724" s="371"/>
      <c r="B724" s="372"/>
      <c r="C724" s="66"/>
      <c r="D724" s="90"/>
      <c r="E724" s="66"/>
      <c r="F724" s="66"/>
      <c r="G724" s="66"/>
      <c r="H724" s="66"/>
      <c r="I724" s="66"/>
      <c r="J724" s="66"/>
      <c r="K724" s="66"/>
      <c r="L724" s="66"/>
      <c r="M724" s="330"/>
      <c r="N724" s="330"/>
      <c r="O724" s="331" t="str">
        <f>IFERROR(__xludf.DUMMYFUNCTION("IFERROR(AVERAGE(FILTER('حضور '!I:I,'حضور '!A:A=A724,MONTH('حضور '!B:B)=N724)),"""")"),"")</f>
        <v/>
      </c>
    </row>
    <row r="725" ht="26.25" hidden="1" customHeight="1">
      <c r="A725" s="371"/>
      <c r="B725" s="372"/>
      <c r="C725" s="66"/>
      <c r="D725" s="90"/>
      <c r="E725" s="66"/>
      <c r="F725" s="66"/>
      <c r="G725" s="66"/>
      <c r="H725" s="66"/>
      <c r="I725" s="66"/>
      <c r="J725" s="66"/>
      <c r="K725" s="66"/>
      <c r="L725" s="66"/>
      <c r="M725" s="330"/>
      <c r="N725" s="339"/>
      <c r="O725" s="331" t="str">
        <f>IFERROR(__xludf.DUMMYFUNCTION("IFERROR(AVERAGE(FILTER('حضور '!I:I,'حضور '!A:A=A725,MONTH('حضور '!B:B)=N725)),"""")"),"")</f>
        <v/>
      </c>
    </row>
    <row r="726" ht="26.25" hidden="1" customHeight="1">
      <c r="A726" s="371"/>
      <c r="B726" s="372"/>
      <c r="C726" s="66"/>
      <c r="D726" s="90"/>
      <c r="E726" s="66"/>
      <c r="F726" s="66"/>
      <c r="G726" s="66"/>
      <c r="H726" s="66"/>
      <c r="I726" s="66"/>
      <c r="J726" s="66"/>
      <c r="K726" s="66"/>
      <c r="L726" s="66"/>
      <c r="M726" s="330"/>
      <c r="N726" s="339"/>
      <c r="O726" s="331" t="str">
        <f>IFERROR(__xludf.DUMMYFUNCTION("IFERROR(AVERAGE(FILTER('حضور '!I:I,'حضور '!A:A=A726,MONTH('حضور '!B:B)=N726)),"""")"),"")</f>
        <v/>
      </c>
    </row>
    <row r="727" ht="26.25" hidden="1" customHeight="1">
      <c r="A727" s="371"/>
      <c r="B727" s="372"/>
      <c r="C727" s="66"/>
      <c r="D727" s="90"/>
      <c r="E727" s="66"/>
      <c r="F727" s="66"/>
      <c r="G727" s="66"/>
      <c r="H727" s="66"/>
      <c r="I727" s="66"/>
      <c r="J727" s="66"/>
      <c r="K727" s="66"/>
      <c r="L727" s="66"/>
      <c r="M727" s="330"/>
      <c r="N727" s="339"/>
      <c r="O727" s="331" t="str">
        <f>IFERROR(__xludf.DUMMYFUNCTION("IFERROR(AVERAGE(FILTER('حضور '!I:I,'حضور '!A:A=A727,MONTH('حضور '!B:B)=N727)),"""")"),"")</f>
        <v/>
      </c>
    </row>
    <row r="728" ht="26.25" hidden="1" customHeight="1">
      <c r="A728" s="371"/>
      <c r="B728" s="372"/>
      <c r="C728" s="66"/>
      <c r="D728" s="90"/>
      <c r="E728" s="66"/>
      <c r="F728" s="66"/>
      <c r="G728" s="66"/>
      <c r="H728" s="66"/>
      <c r="I728" s="66"/>
      <c r="J728" s="66"/>
      <c r="K728" s="66"/>
      <c r="L728" s="66"/>
      <c r="M728" s="330"/>
      <c r="N728" s="339"/>
      <c r="O728" s="331" t="str">
        <f>IFERROR(__xludf.DUMMYFUNCTION("IFERROR(AVERAGE(FILTER('حضور '!I:I,'حضور '!A:A=A728,MONTH('حضور '!B:B)=N728)),"""")"),"")</f>
        <v/>
      </c>
    </row>
    <row r="729" ht="26.25" hidden="1" customHeight="1">
      <c r="A729" s="371"/>
      <c r="B729" s="372"/>
      <c r="C729" s="66"/>
      <c r="D729" s="90"/>
      <c r="E729" s="66"/>
      <c r="F729" s="66"/>
      <c r="G729" s="66"/>
      <c r="H729" s="66"/>
      <c r="I729" s="66"/>
      <c r="J729" s="66"/>
      <c r="K729" s="66"/>
      <c r="L729" s="66"/>
      <c r="M729" s="330"/>
      <c r="N729" s="330"/>
      <c r="O729" s="331" t="str">
        <f>IFERROR(__xludf.DUMMYFUNCTION("IFERROR(AVERAGE(FILTER('حضور '!I:I,'حضور '!A:A=A729,MONTH('حضور '!B:B)=N729)),"""")"),"")</f>
        <v/>
      </c>
    </row>
    <row r="730" ht="26.25" hidden="1" customHeight="1">
      <c r="A730" s="371"/>
      <c r="B730" s="372"/>
      <c r="C730" s="66"/>
      <c r="D730" s="90"/>
      <c r="E730" s="66"/>
      <c r="F730" s="66"/>
      <c r="G730" s="66"/>
      <c r="H730" s="66"/>
      <c r="I730" s="66"/>
      <c r="J730" s="66"/>
      <c r="K730" s="66"/>
      <c r="L730" s="66"/>
      <c r="M730" s="330"/>
      <c r="N730" s="339"/>
      <c r="O730" s="331" t="str">
        <f>IFERROR(__xludf.DUMMYFUNCTION("IFERROR(AVERAGE(FILTER('حضور '!I:I,'حضور '!A:A=A730,MONTH('حضور '!B:B)=N730)),"""")"),"")</f>
        <v/>
      </c>
    </row>
    <row r="731" ht="26.25" hidden="1" customHeight="1">
      <c r="A731" s="371"/>
      <c r="B731" s="372"/>
      <c r="C731" s="66"/>
      <c r="D731" s="90"/>
      <c r="E731" s="66"/>
      <c r="F731" s="66"/>
      <c r="G731" s="66"/>
      <c r="H731" s="66"/>
      <c r="I731" s="66"/>
      <c r="J731" s="66"/>
      <c r="K731" s="66"/>
      <c r="L731" s="66"/>
      <c r="M731" s="330"/>
      <c r="N731" s="339"/>
      <c r="O731" s="331" t="str">
        <f>IFERROR(__xludf.DUMMYFUNCTION("IFERROR(AVERAGE(FILTER('حضور '!I:I,'حضور '!A:A=A731,MONTH('حضور '!B:B)=N731)),"""")"),"")</f>
        <v/>
      </c>
    </row>
    <row r="732" ht="26.25" hidden="1" customHeight="1">
      <c r="A732" s="371"/>
      <c r="B732" s="372"/>
      <c r="C732" s="66"/>
      <c r="D732" s="90"/>
      <c r="E732" s="66"/>
      <c r="F732" s="66"/>
      <c r="G732" s="66"/>
      <c r="H732" s="66"/>
      <c r="I732" s="66"/>
      <c r="J732" s="66"/>
      <c r="K732" s="66"/>
      <c r="L732" s="66"/>
      <c r="M732" s="330"/>
      <c r="N732" s="339"/>
      <c r="O732" s="331" t="str">
        <f>IFERROR(__xludf.DUMMYFUNCTION("IFERROR(AVERAGE(FILTER('حضور '!I:I,'حضور '!A:A=A732,MONTH('حضور '!B:B)=N732)),"""")"),"")</f>
        <v/>
      </c>
    </row>
    <row r="733" ht="26.25" hidden="1" customHeight="1">
      <c r="A733" s="371"/>
      <c r="B733" s="372"/>
      <c r="C733" s="66"/>
      <c r="D733" s="90"/>
      <c r="E733" s="66"/>
      <c r="F733" s="66"/>
      <c r="G733" s="66"/>
      <c r="H733" s="66"/>
      <c r="I733" s="66"/>
      <c r="J733" s="66"/>
      <c r="K733" s="66"/>
      <c r="L733" s="66"/>
      <c r="M733" s="330"/>
      <c r="N733" s="339"/>
      <c r="O733" s="331" t="str">
        <f>IFERROR(__xludf.DUMMYFUNCTION("IFERROR(AVERAGE(FILTER('حضور '!I:I,'حضور '!A:A=A733,MONTH('حضور '!B:B)=N733)),"""")"),"")</f>
        <v/>
      </c>
    </row>
    <row r="734" ht="26.25" hidden="1" customHeight="1">
      <c r="A734" s="371"/>
      <c r="B734" s="372"/>
      <c r="C734" s="66"/>
      <c r="D734" s="90"/>
      <c r="E734" s="66"/>
      <c r="F734" s="66"/>
      <c r="G734" s="66"/>
      <c r="H734" s="66"/>
      <c r="I734" s="66"/>
      <c r="J734" s="66"/>
      <c r="K734" s="66"/>
      <c r="L734" s="66"/>
      <c r="M734" s="330"/>
      <c r="N734" s="330"/>
      <c r="O734" s="331" t="str">
        <f>IFERROR(__xludf.DUMMYFUNCTION("IFERROR(AVERAGE(FILTER('حضور '!I:I,'حضور '!A:A=A734,MONTH('حضور '!B:B)=N734)),"""")"),"")</f>
        <v/>
      </c>
    </row>
    <row r="735" ht="26.25" hidden="1" customHeight="1">
      <c r="A735" s="371"/>
      <c r="B735" s="372"/>
      <c r="C735" s="66"/>
      <c r="D735" s="90"/>
      <c r="E735" s="66"/>
      <c r="F735" s="66"/>
      <c r="G735" s="66"/>
      <c r="H735" s="66"/>
      <c r="I735" s="66"/>
      <c r="J735" s="66"/>
      <c r="K735" s="66"/>
      <c r="L735" s="66"/>
      <c r="M735" s="330"/>
      <c r="N735" s="339"/>
      <c r="O735" s="331" t="str">
        <f>IFERROR(__xludf.DUMMYFUNCTION("IFERROR(AVERAGE(FILTER('حضور '!I:I,'حضور '!A:A=A735,MONTH('حضور '!B:B)=N735)),"""")"),"")</f>
        <v/>
      </c>
    </row>
    <row r="736" ht="26.25" hidden="1" customHeight="1">
      <c r="A736" s="371"/>
      <c r="B736" s="372"/>
      <c r="C736" s="66"/>
      <c r="D736" s="90"/>
      <c r="E736" s="66"/>
      <c r="F736" s="66"/>
      <c r="G736" s="66"/>
      <c r="H736" s="66"/>
      <c r="I736" s="66"/>
      <c r="J736" s="66"/>
      <c r="K736" s="66"/>
      <c r="L736" s="66"/>
      <c r="M736" s="330"/>
      <c r="N736" s="339"/>
      <c r="O736" s="331" t="str">
        <f>IFERROR(__xludf.DUMMYFUNCTION("IFERROR(AVERAGE(FILTER('حضور '!I:I,'حضور '!A:A=A736,MONTH('حضور '!B:B)=N736)),"""")"),"")</f>
        <v/>
      </c>
    </row>
    <row r="737" ht="26.25" hidden="1" customHeight="1">
      <c r="A737" s="371"/>
      <c r="B737" s="372"/>
      <c r="C737" s="66"/>
      <c r="D737" s="90"/>
      <c r="E737" s="66"/>
      <c r="F737" s="66"/>
      <c r="G737" s="66"/>
      <c r="H737" s="66"/>
      <c r="I737" s="66"/>
      <c r="J737" s="66"/>
      <c r="K737" s="66"/>
      <c r="L737" s="66"/>
      <c r="M737" s="330"/>
      <c r="N737" s="339"/>
      <c r="O737" s="331" t="str">
        <f>IFERROR(__xludf.DUMMYFUNCTION("IFERROR(AVERAGE(FILTER('حضور '!I:I,'حضور '!A:A=A737,MONTH('حضور '!B:B)=N737)),"""")"),"")</f>
        <v/>
      </c>
    </row>
    <row r="738" ht="26.25" hidden="1" customHeight="1">
      <c r="A738" s="371"/>
      <c r="B738" s="372"/>
      <c r="C738" s="66"/>
      <c r="D738" s="90"/>
      <c r="E738" s="66"/>
      <c r="F738" s="66"/>
      <c r="G738" s="66"/>
      <c r="H738" s="66"/>
      <c r="I738" s="66"/>
      <c r="J738" s="66"/>
      <c r="K738" s="66"/>
      <c r="L738" s="66"/>
      <c r="M738" s="330"/>
      <c r="N738" s="339"/>
      <c r="O738" s="331" t="str">
        <f>IFERROR(__xludf.DUMMYFUNCTION("IFERROR(AVERAGE(FILTER('حضور '!I:I,'حضور '!A:A=A738,MONTH('حضور '!B:B)=N738)),"""")"),"")</f>
        <v/>
      </c>
    </row>
    <row r="739" ht="26.25" hidden="1" customHeight="1">
      <c r="A739" s="371"/>
      <c r="B739" s="372"/>
      <c r="C739" s="66"/>
      <c r="D739" s="90"/>
      <c r="E739" s="66"/>
      <c r="F739" s="66"/>
      <c r="G739" s="66"/>
      <c r="H739" s="66"/>
      <c r="I739" s="66"/>
      <c r="J739" s="66"/>
      <c r="K739" s="66"/>
      <c r="L739" s="66"/>
      <c r="M739" s="330"/>
      <c r="N739" s="330"/>
      <c r="O739" s="331" t="str">
        <f>IFERROR(__xludf.DUMMYFUNCTION("IFERROR(AVERAGE(FILTER('حضور '!I:I,'حضور '!A:A=A739,MONTH('حضور '!B:B)=N739)),"""")"),"")</f>
        <v/>
      </c>
    </row>
    <row r="740" ht="26.25" hidden="1" customHeight="1">
      <c r="A740" s="371"/>
      <c r="B740" s="372"/>
      <c r="C740" s="66"/>
      <c r="D740" s="90"/>
      <c r="E740" s="66"/>
      <c r="F740" s="66"/>
      <c r="G740" s="66"/>
      <c r="H740" s="66"/>
      <c r="I740" s="66"/>
      <c r="J740" s="66"/>
      <c r="K740" s="66"/>
      <c r="L740" s="66"/>
      <c r="M740" s="330"/>
      <c r="N740" s="339"/>
      <c r="O740" s="331" t="str">
        <f>IFERROR(__xludf.DUMMYFUNCTION("IFERROR(AVERAGE(FILTER('حضور '!I:I,'حضور '!A:A=A740,MONTH('حضور '!B:B)=N740)),"""")"),"")</f>
        <v/>
      </c>
    </row>
    <row r="741" ht="26.25" hidden="1" customHeight="1">
      <c r="A741" s="371"/>
      <c r="B741" s="372"/>
      <c r="C741" s="66"/>
      <c r="D741" s="90"/>
      <c r="E741" s="66"/>
      <c r="F741" s="66"/>
      <c r="G741" s="66"/>
      <c r="H741" s="66"/>
      <c r="I741" s="66"/>
      <c r="J741" s="66"/>
      <c r="K741" s="66"/>
      <c r="L741" s="66"/>
      <c r="M741" s="330"/>
      <c r="N741" s="339"/>
      <c r="O741" s="331" t="str">
        <f>IFERROR(__xludf.DUMMYFUNCTION("IFERROR(AVERAGE(FILTER('حضور '!I:I,'حضور '!A:A=A741,MONTH('حضور '!B:B)=N741)),"""")"),"")</f>
        <v/>
      </c>
    </row>
    <row r="742" ht="26.25" hidden="1" customHeight="1">
      <c r="A742" s="371"/>
      <c r="B742" s="372"/>
      <c r="C742" s="66"/>
      <c r="D742" s="90"/>
      <c r="E742" s="66"/>
      <c r="F742" s="66"/>
      <c r="G742" s="66"/>
      <c r="H742" s="66"/>
      <c r="I742" s="66"/>
      <c r="J742" s="66"/>
      <c r="K742" s="66"/>
      <c r="L742" s="66"/>
      <c r="M742" s="330"/>
      <c r="N742" s="339"/>
      <c r="O742" s="331" t="str">
        <f>IFERROR(__xludf.DUMMYFUNCTION("IFERROR(AVERAGE(FILTER('حضور '!I:I,'حضور '!A:A=A742,MONTH('حضور '!B:B)=N742)),"""")"),"")</f>
        <v/>
      </c>
    </row>
    <row r="743" ht="26.25" hidden="1" customHeight="1">
      <c r="A743" s="371"/>
      <c r="B743" s="372"/>
      <c r="C743" s="66"/>
      <c r="D743" s="90"/>
      <c r="E743" s="66"/>
      <c r="F743" s="66"/>
      <c r="G743" s="66"/>
      <c r="H743" s="66"/>
      <c r="I743" s="66"/>
      <c r="J743" s="66"/>
      <c r="K743" s="66"/>
      <c r="L743" s="66"/>
      <c r="M743" s="330"/>
      <c r="N743" s="339"/>
      <c r="O743" s="331" t="str">
        <f>IFERROR(__xludf.DUMMYFUNCTION("IFERROR(AVERAGE(FILTER('حضور '!I:I,'حضور '!A:A=A743,MONTH('حضور '!B:B)=N743)),"""")"),"")</f>
        <v/>
      </c>
    </row>
    <row r="744" ht="26.25" hidden="1" customHeight="1">
      <c r="A744" s="371"/>
      <c r="B744" s="372"/>
      <c r="C744" s="66"/>
      <c r="D744" s="90"/>
      <c r="E744" s="66"/>
      <c r="F744" s="66"/>
      <c r="G744" s="66"/>
      <c r="H744" s="66"/>
      <c r="I744" s="66"/>
      <c r="J744" s="66"/>
      <c r="K744" s="66"/>
      <c r="L744" s="66"/>
      <c r="M744" s="330"/>
      <c r="N744" s="330"/>
      <c r="O744" s="331" t="str">
        <f>IFERROR(__xludf.DUMMYFUNCTION("IFERROR(AVERAGE(FILTER('حضور '!I:I,'حضور '!A:A=A744,MONTH('حضور '!B:B)=N744)),"""")"),"")</f>
        <v/>
      </c>
    </row>
    <row r="745" ht="26.25" hidden="1" customHeight="1">
      <c r="A745" s="371"/>
      <c r="B745" s="372"/>
      <c r="C745" s="66"/>
      <c r="D745" s="90"/>
      <c r="E745" s="66"/>
      <c r="F745" s="66"/>
      <c r="G745" s="66"/>
      <c r="H745" s="66"/>
      <c r="I745" s="66"/>
      <c r="J745" s="66"/>
      <c r="K745" s="66"/>
      <c r="L745" s="66"/>
      <c r="M745" s="330"/>
      <c r="N745" s="339"/>
      <c r="O745" s="331" t="str">
        <f>IFERROR(__xludf.DUMMYFUNCTION("IFERROR(AVERAGE(FILTER('حضور '!I:I,'حضور '!A:A=A745,MONTH('حضور '!B:B)=N745)),"""")"),"")</f>
        <v/>
      </c>
    </row>
    <row r="746" ht="26.25" hidden="1" customHeight="1">
      <c r="A746" s="371"/>
      <c r="B746" s="372"/>
      <c r="C746" s="66"/>
      <c r="D746" s="90"/>
      <c r="E746" s="66"/>
      <c r="F746" s="66"/>
      <c r="G746" s="66"/>
      <c r="H746" s="66"/>
      <c r="I746" s="66"/>
      <c r="J746" s="66"/>
      <c r="K746" s="66"/>
      <c r="L746" s="66"/>
      <c r="M746" s="330"/>
      <c r="N746" s="339"/>
      <c r="O746" s="331" t="str">
        <f>IFERROR(__xludf.DUMMYFUNCTION("IFERROR(AVERAGE(FILTER('حضور '!I:I,'حضور '!A:A=A746,MONTH('حضور '!B:B)=N746)),"""")"),"")</f>
        <v/>
      </c>
    </row>
    <row r="747" ht="26.25" hidden="1" customHeight="1">
      <c r="A747" s="371"/>
      <c r="B747" s="372"/>
      <c r="C747" s="66"/>
      <c r="D747" s="90"/>
      <c r="E747" s="66"/>
      <c r="F747" s="66"/>
      <c r="G747" s="66"/>
      <c r="H747" s="66"/>
      <c r="I747" s="66"/>
      <c r="J747" s="66"/>
      <c r="K747" s="66"/>
      <c r="L747" s="66"/>
      <c r="M747" s="330"/>
      <c r="N747" s="339"/>
      <c r="O747" s="331" t="str">
        <f>IFERROR(__xludf.DUMMYFUNCTION("IFERROR(AVERAGE(FILTER('حضور '!I:I,'حضور '!A:A=A747,MONTH('حضور '!B:B)=N747)),"""")"),"")</f>
        <v/>
      </c>
    </row>
    <row r="748" ht="26.25" hidden="1" customHeight="1">
      <c r="A748" s="371"/>
      <c r="B748" s="372"/>
      <c r="C748" s="66"/>
      <c r="D748" s="90"/>
      <c r="E748" s="66"/>
      <c r="F748" s="66"/>
      <c r="G748" s="66"/>
      <c r="H748" s="66"/>
      <c r="I748" s="66"/>
      <c r="J748" s="66"/>
      <c r="K748" s="66"/>
      <c r="L748" s="66"/>
      <c r="M748" s="330"/>
      <c r="N748" s="339"/>
      <c r="O748" s="331" t="str">
        <f>IFERROR(__xludf.DUMMYFUNCTION("IFERROR(AVERAGE(FILTER('حضور '!I:I,'حضور '!A:A=A748,MONTH('حضور '!B:B)=N748)),"""")"),"")</f>
        <v/>
      </c>
    </row>
    <row r="749" ht="26.25" hidden="1" customHeight="1">
      <c r="A749" s="371"/>
      <c r="B749" s="372"/>
      <c r="C749" s="66"/>
      <c r="D749" s="90"/>
      <c r="E749" s="66"/>
      <c r="F749" s="66"/>
      <c r="G749" s="66"/>
      <c r="H749" s="66"/>
      <c r="I749" s="66"/>
      <c r="J749" s="66"/>
      <c r="K749" s="66"/>
      <c r="L749" s="66"/>
      <c r="M749" s="330"/>
      <c r="N749" s="330"/>
      <c r="O749" s="331" t="str">
        <f>IFERROR(__xludf.DUMMYFUNCTION("IFERROR(AVERAGE(FILTER('حضور '!I:I,'حضور '!A:A=A749,MONTH('حضور '!B:B)=N749)),"""")"),"")</f>
        <v/>
      </c>
    </row>
    <row r="750" ht="26.25" hidden="1" customHeight="1">
      <c r="A750" s="371"/>
      <c r="B750" s="372"/>
      <c r="C750" s="66"/>
      <c r="D750" s="90"/>
      <c r="E750" s="66"/>
      <c r="F750" s="66"/>
      <c r="G750" s="66"/>
      <c r="H750" s="66"/>
      <c r="I750" s="66"/>
      <c r="J750" s="66"/>
      <c r="K750" s="66"/>
      <c r="L750" s="66"/>
      <c r="M750" s="330"/>
      <c r="N750" s="339"/>
      <c r="O750" s="331" t="str">
        <f>IFERROR(__xludf.DUMMYFUNCTION("IFERROR(AVERAGE(FILTER('حضور '!I:I,'حضور '!A:A=A750,MONTH('حضور '!B:B)=N750)),"""")"),"")</f>
        <v/>
      </c>
    </row>
    <row r="751" ht="26.25" hidden="1" customHeight="1">
      <c r="A751" s="371"/>
      <c r="B751" s="372"/>
      <c r="C751" s="66"/>
      <c r="D751" s="90"/>
      <c r="E751" s="66"/>
      <c r="F751" s="66"/>
      <c r="G751" s="66"/>
      <c r="H751" s="66"/>
      <c r="I751" s="66"/>
      <c r="J751" s="66"/>
      <c r="K751" s="66"/>
      <c r="L751" s="66"/>
      <c r="M751" s="330"/>
      <c r="N751" s="339"/>
      <c r="O751" s="331" t="str">
        <f>IFERROR(__xludf.DUMMYFUNCTION("IFERROR(AVERAGE(FILTER('حضور '!I:I,'حضور '!A:A=A751,MONTH('حضور '!B:B)=N751)),"""")"),"")</f>
        <v/>
      </c>
    </row>
    <row r="752" ht="26.25" hidden="1" customHeight="1">
      <c r="A752" s="371"/>
      <c r="B752" s="372"/>
      <c r="C752" s="66"/>
      <c r="D752" s="90"/>
      <c r="E752" s="66"/>
      <c r="F752" s="66"/>
      <c r="G752" s="66"/>
      <c r="H752" s="66"/>
      <c r="I752" s="66"/>
      <c r="J752" s="66"/>
      <c r="K752" s="66"/>
      <c r="L752" s="66"/>
      <c r="M752" s="330"/>
      <c r="N752" s="339"/>
      <c r="O752" s="331" t="str">
        <f>IFERROR(__xludf.DUMMYFUNCTION("IFERROR(AVERAGE(FILTER('حضور '!I:I,'حضور '!A:A=A752,MONTH('حضور '!B:B)=N752)),"""")"),"")</f>
        <v/>
      </c>
    </row>
    <row r="753" ht="26.25" hidden="1" customHeight="1">
      <c r="A753" s="371"/>
      <c r="B753" s="372"/>
      <c r="C753" s="66"/>
      <c r="D753" s="90"/>
      <c r="E753" s="66"/>
      <c r="F753" s="66"/>
      <c r="G753" s="66"/>
      <c r="H753" s="66"/>
      <c r="I753" s="66"/>
      <c r="J753" s="66"/>
      <c r="K753" s="66"/>
      <c r="L753" s="66"/>
      <c r="M753" s="330"/>
      <c r="N753" s="339"/>
      <c r="O753" s="331" t="str">
        <f>IFERROR(__xludf.DUMMYFUNCTION("IFERROR(AVERAGE(FILTER('حضور '!I:I,'حضور '!A:A=A753,MONTH('حضور '!B:B)=N753)),"""")"),"")</f>
        <v/>
      </c>
    </row>
    <row r="754" ht="26.25" hidden="1" customHeight="1">
      <c r="A754" s="371"/>
      <c r="B754" s="372"/>
      <c r="C754" s="66"/>
      <c r="D754" s="90"/>
      <c r="E754" s="66"/>
      <c r="F754" s="66"/>
      <c r="G754" s="66"/>
      <c r="H754" s="66"/>
      <c r="I754" s="66"/>
      <c r="J754" s="66"/>
      <c r="K754" s="66"/>
      <c r="L754" s="66"/>
      <c r="M754" s="330"/>
      <c r="N754" s="330"/>
      <c r="O754" s="331" t="str">
        <f>IFERROR(__xludf.DUMMYFUNCTION("IFERROR(AVERAGE(FILTER('حضور '!I:I,'حضور '!A:A=A754,MONTH('حضور '!B:B)=N754)),"""")"),"")</f>
        <v/>
      </c>
    </row>
    <row r="755" ht="26.25" hidden="1" customHeight="1">
      <c r="A755" s="371"/>
      <c r="B755" s="372"/>
      <c r="C755" s="66"/>
      <c r="D755" s="90"/>
      <c r="E755" s="66"/>
      <c r="F755" s="66"/>
      <c r="G755" s="66"/>
      <c r="H755" s="66"/>
      <c r="I755" s="66"/>
      <c r="J755" s="66"/>
      <c r="K755" s="66"/>
      <c r="L755" s="66"/>
      <c r="M755" s="330"/>
      <c r="N755" s="339"/>
      <c r="O755" s="331" t="str">
        <f>IFERROR(__xludf.DUMMYFUNCTION("IFERROR(AVERAGE(FILTER('حضور '!I:I,'حضور '!A:A=A755,MONTH('حضور '!B:B)=N755)),"""")"),"")</f>
        <v/>
      </c>
    </row>
    <row r="756" ht="26.25" hidden="1" customHeight="1">
      <c r="A756" s="371"/>
      <c r="B756" s="372"/>
      <c r="C756" s="66"/>
      <c r="D756" s="90"/>
      <c r="E756" s="66"/>
      <c r="F756" s="66"/>
      <c r="G756" s="66"/>
      <c r="H756" s="66"/>
      <c r="I756" s="66"/>
      <c r="J756" s="66"/>
      <c r="K756" s="66"/>
      <c r="L756" s="66"/>
      <c r="M756" s="330"/>
      <c r="N756" s="339"/>
      <c r="O756" s="331" t="str">
        <f>IFERROR(__xludf.DUMMYFUNCTION("IFERROR(AVERAGE(FILTER('حضور '!I:I,'حضور '!A:A=A756,MONTH('حضور '!B:B)=N756)),"""")"),"")</f>
        <v/>
      </c>
    </row>
    <row r="757" ht="26.25" hidden="1" customHeight="1">
      <c r="A757" s="371"/>
      <c r="B757" s="372"/>
      <c r="C757" s="66"/>
      <c r="D757" s="90"/>
      <c r="E757" s="66"/>
      <c r="F757" s="66"/>
      <c r="G757" s="66"/>
      <c r="H757" s="66"/>
      <c r="I757" s="66"/>
      <c r="J757" s="66"/>
      <c r="K757" s="66"/>
      <c r="L757" s="66"/>
      <c r="M757" s="330"/>
      <c r="N757" s="339"/>
      <c r="O757" s="331" t="str">
        <f>IFERROR(__xludf.DUMMYFUNCTION("IFERROR(AVERAGE(FILTER('حضور '!I:I,'حضور '!A:A=A757,MONTH('حضور '!B:B)=N757)),"""")"),"")</f>
        <v/>
      </c>
    </row>
    <row r="758" ht="26.25" hidden="1" customHeight="1">
      <c r="A758" s="371"/>
      <c r="B758" s="372"/>
      <c r="C758" s="66"/>
      <c r="D758" s="90"/>
      <c r="E758" s="66"/>
      <c r="F758" s="66"/>
      <c r="G758" s="66"/>
      <c r="H758" s="66"/>
      <c r="I758" s="66"/>
      <c r="J758" s="66"/>
      <c r="K758" s="66"/>
      <c r="L758" s="66"/>
      <c r="M758" s="330"/>
      <c r="N758" s="339"/>
      <c r="O758" s="331" t="str">
        <f>IFERROR(__xludf.DUMMYFUNCTION("IFERROR(AVERAGE(FILTER('حضور '!I:I,'حضور '!A:A=A758,MONTH('حضور '!B:B)=N758)),"""")"),"")</f>
        <v/>
      </c>
    </row>
    <row r="759" ht="26.25" hidden="1" customHeight="1">
      <c r="A759" s="371"/>
      <c r="B759" s="372"/>
      <c r="C759" s="66"/>
      <c r="D759" s="90"/>
      <c r="E759" s="66"/>
      <c r="F759" s="66"/>
      <c r="G759" s="66"/>
      <c r="H759" s="66"/>
      <c r="I759" s="66"/>
      <c r="J759" s="66"/>
      <c r="K759" s="66"/>
      <c r="L759" s="66"/>
      <c r="M759" s="330"/>
      <c r="N759" s="330"/>
      <c r="O759" s="331" t="str">
        <f>IFERROR(__xludf.DUMMYFUNCTION("IFERROR(AVERAGE(FILTER('حضور '!I:I,'حضور '!A:A=A759,MONTH('حضور '!B:B)=N759)),"""")"),"")</f>
        <v/>
      </c>
    </row>
    <row r="760" ht="26.25" hidden="1" customHeight="1">
      <c r="A760" s="371"/>
      <c r="B760" s="372"/>
      <c r="C760" s="66"/>
      <c r="D760" s="90"/>
      <c r="E760" s="66"/>
      <c r="F760" s="66"/>
      <c r="G760" s="66"/>
      <c r="H760" s="66"/>
      <c r="I760" s="66"/>
      <c r="J760" s="66"/>
      <c r="K760" s="66"/>
      <c r="L760" s="66"/>
      <c r="M760" s="330"/>
      <c r="N760" s="339"/>
      <c r="O760" s="331" t="str">
        <f>IFERROR(__xludf.DUMMYFUNCTION("IFERROR(AVERAGE(FILTER('حضور '!I:I,'حضور '!A:A=A760,MONTH('حضور '!B:B)=N760)),"""")"),"")</f>
        <v/>
      </c>
    </row>
    <row r="761" ht="26.25" hidden="1" customHeight="1">
      <c r="A761" s="371"/>
      <c r="B761" s="372"/>
      <c r="C761" s="66"/>
      <c r="D761" s="90"/>
      <c r="E761" s="66"/>
      <c r="F761" s="66"/>
      <c r="G761" s="66"/>
      <c r="H761" s="66"/>
      <c r="I761" s="66"/>
      <c r="J761" s="66"/>
      <c r="K761" s="66"/>
      <c r="L761" s="66"/>
      <c r="M761" s="330"/>
      <c r="N761" s="339"/>
      <c r="O761" s="331" t="str">
        <f>IFERROR(__xludf.DUMMYFUNCTION("IFERROR(AVERAGE(FILTER('حضور '!I:I,'حضور '!A:A=A761,MONTH('حضور '!B:B)=N761)),"""")"),"")</f>
        <v/>
      </c>
    </row>
    <row r="762" ht="26.25" hidden="1" customHeight="1">
      <c r="A762" s="371"/>
      <c r="B762" s="372"/>
      <c r="C762" s="66"/>
      <c r="D762" s="90"/>
      <c r="E762" s="66"/>
      <c r="F762" s="66"/>
      <c r="G762" s="66"/>
      <c r="H762" s="66"/>
      <c r="I762" s="66"/>
      <c r="J762" s="66"/>
      <c r="K762" s="66"/>
      <c r="L762" s="66"/>
      <c r="M762" s="330"/>
      <c r="N762" s="339"/>
      <c r="O762" s="331" t="str">
        <f>IFERROR(__xludf.DUMMYFUNCTION("IFERROR(AVERAGE(FILTER('حضور '!I:I,'حضور '!A:A=A762,MONTH('حضور '!B:B)=N762)),"""")"),"")</f>
        <v/>
      </c>
    </row>
    <row r="763" ht="26.25" hidden="1" customHeight="1">
      <c r="A763" s="371"/>
      <c r="B763" s="372"/>
      <c r="C763" s="66"/>
      <c r="D763" s="90"/>
      <c r="E763" s="66"/>
      <c r="F763" s="66"/>
      <c r="G763" s="66"/>
      <c r="H763" s="66"/>
      <c r="I763" s="66"/>
      <c r="J763" s="66"/>
      <c r="K763" s="66"/>
      <c r="L763" s="66"/>
      <c r="M763" s="330"/>
      <c r="N763" s="339"/>
      <c r="O763" s="331" t="str">
        <f>IFERROR(__xludf.DUMMYFUNCTION("IFERROR(AVERAGE(FILTER('حضور '!I:I,'حضور '!A:A=A763,MONTH('حضور '!B:B)=N763)),"""")"),"")</f>
        <v/>
      </c>
    </row>
    <row r="764" ht="26.25" hidden="1" customHeight="1">
      <c r="A764" s="371"/>
      <c r="B764" s="372"/>
      <c r="C764" s="66"/>
      <c r="D764" s="90"/>
      <c r="E764" s="66"/>
      <c r="F764" s="66"/>
      <c r="G764" s="66"/>
      <c r="H764" s="66"/>
      <c r="I764" s="66"/>
      <c r="J764" s="66"/>
      <c r="K764" s="66"/>
      <c r="L764" s="66"/>
      <c r="M764" s="330"/>
      <c r="N764" s="330"/>
      <c r="O764" s="331" t="str">
        <f>IFERROR(__xludf.DUMMYFUNCTION("IFERROR(AVERAGE(FILTER('حضور '!I:I,'حضور '!A:A=A764,MONTH('حضور '!B:B)=N764)),"""")"),"")</f>
        <v/>
      </c>
    </row>
    <row r="765" ht="26.25" hidden="1" customHeight="1">
      <c r="A765" s="371"/>
      <c r="B765" s="372"/>
      <c r="C765" s="66"/>
      <c r="D765" s="90"/>
      <c r="E765" s="66"/>
      <c r="F765" s="66"/>
      <c r="G765" s="66"/>
      <c r="H765" s="66"/>
      <c r="I765" s="66"/>
      <c r="J765" s="66"/>
      <c r="K765" s="66"/>
      <c r="L765" s="66"/>
      <c r="M765" s="330"/>
      <c r="N765" s="339"/>
      <c r="O765" s="331" t="str">
        <f>IFERROR(__xludf.DUMMYFUNCTION("IFERROR(AVERAGE(FILTER('حضور '!I:I,'حضور '!A:A=A765,MONTH('حضور '!B:B)=N765)),"""")"),"")</f>
        <v/>
      </c>
    </row>
    <row r="766" ht="26.25" hidden="1" customHeight="1">
      <c r="A766" s="371"/>
      <c r="B766" s="372"/>
      <c r="C766" s="66"/>
      <c r="D766" s="90"/>
      <c r="E766" s="66"/>
      <c r="F766" s="66"/>
      <c r="G766" s="66"/>
      <c r="H766" s="66"/>
      <c r="I766" s="66"/>
      <c r="J766" s="66"/>
      <c r="K766" s="66"/>
      <c r="L766" s="66"/>
      <c r="M766" s="330"/>
      <c r="N766" s="339"/>
      <c r="O766" s="331" t="str">
        <f>IFERROR(__xludf.DUMMYFUNCTION("IFERROR(AVERAGE(FILTER('حضور '!I:I,'حضور '!A:A=A766,MONTH('حضور '!B:B)=N766)),"""")"),"")</f>
        <v/>
      </c>
    </row>
    <row r="767" ht="26.25" hidden="1" customHeight="1">
      <c r="A767" s="371"/>
      <c r="B767" s="372"/>
      <c r="C767" s="66"/>
      <c r="D767" s="90"/>
      <c r="E767" s="66"/>
      <c r="F767" s="66"/>
      <c r="G767" s="66"/>
      <c r="H767" s="66"/>
      <c r="I767" s="66"/>
      <c r="J767" s="66"/>
      <c r="K767" s="66"/>
      <c r="L767" s="66"/>
      <c r="M767" s="330"/>
      <c r="N767" s="339"/>
      <c r="O767" s="331" t="str">
        <f>IFERROR(__xludf.DUMMYFUNCTION("IFERROR(AVERAGE(FILTER('حضور '!I:I,'حضور '!A:A=A767,MONTH('حضور '!B:B)=N767)),"""")"),"")</f>
        <v/>
      </c>
    </row>
    <row r="768" ht="26.25" hidden="1" customHeight="1">
      <c r="A768" s="371"/>
      <c r="B768" s="372"/>
      <c r="C768" s="66"/>
      <c r="D768" s="90"/>
      <c r="E768" s="66"/>
      <c r="F768" s="66"/>
      <c r="G768" s="66"/>
      <c r="H768" s="66"/>
      <c r="I768" s="66"/>
      <c r="J768" s="66"/>
      <c r="K768" s="66"/>
      <c r="L768" s="66"/>
      <c r="M768" s="330"/>
      <c r="N768" s="339"/>
      <c r="O768" s="331" t="str">
        <f>IFERROR(__xludf.DUMMYFUNCTION("IFERROR(AVERAGE(FILTER('حضور '!I:I,'حضور '!A:A=A768,MONTH('حضور '!B:B)=N768)),"""")"),"")</f>
        <v/>
      </c>
    </row>
    <row r="769" ht="26.25" hidden="1" customHeight="1">
      <c r="A769" s="371"/>
      <c r="B769" s="372"/>
      <c r="C769" s="66"/>
      <c r="D769" s="90"/>
      <c r="E769" s="66"/>
      <c r="F769" s="66"/>
      <c r="G769" s="66"/>
      <c r="H769" s="66"/>
      <c r="I769" s="66"/>
      <c r="J769" s="66"/>
      <c r="K769" s="66"/>
      <c r="L769" s="66"/>
      <c r="M769" s="330"/>
      <c r="N769" s="330"/>
      <c r="O769" s="331" t="str">
        <f>IFERROR(__xludf.DUMMYFUNCTION("IFERROR(AVERAGE(FILTER('حضور '!I:I,'حضور '!A:A=A769,MONTH('حضور '!B:B)=N769)),"""")"),"")</f>
        <v/>
      </c>
    </row>
    <row r="770" ht="26.25" hidden="1" customHeight="1">
      <c r="A770" s="371"/>
      <c r="B770" s="372"/>
      <c r="C770" s="66"/>
      <c r="D770" s="90"/>
      <c r="E770" s="66"/>
      <c r="F770" s="66"/>
      <c r="G770" s="66"/>
      <c r="H770" s="66"/>
      <c r="I770" s="66"/>
      <c r="J770" s="66"/>
      <c r="K770" s="66"/>
      <c r="L770" s="66"/>
      <c r="M770" s="330"/>
      <c r="N770" s="339"/>
      <c r="O770" s="331" t="str">
        <f>IFERROR(__xludf.DUMMYFUNCTION("IFERROR(AVERAGE(FILTER('حضور '!I:I,'حضور '!A:A=A770,MONTH('حضور '!B:B)=N770)),"""")"),"")</f>
        <v/>
      </c>
    </row>
    <row r="771" ht="26.25" hidden="1" customHeight="1">
      <c r="A771" s="371"/>
      <c r="B771" s="372"/>
      <c r="C771" s="66"/>
      <c r="D771" s="90"/>
      <c r="E771" s="66"/>
      <c r="F771" s="66"/>
      <c r="G771" s="66"/>
      <c r="H771" s="66"/>
      <c r="I771" s="66"/>
      <c r="J771" s="66"/>
      <c r="K771" s="66"/>
      <c r="L771" s="66"/>
      <c r="M771" s="330"/>
      <c r="N771" s="339"/>
      <c r="O771" s="331" t="str">
        <f>IFERROR(__xludf.DUMMYFUNCTION("IFERROR(AVERAGE(FILTER('حضور '!I:I,'حضور '!A:A=A771,MONTH('حضور '!B:B)=N771)),"""")"),"")</f>
        <v/>
      </c>
    </row>
    <row r="772" ht="26.25" hidden="1" customHeight="1">
      <c r="A772" s="371"/>
      <c r="B772" s="372"/>
      <c r="C772" s="66"/>
      <c r="D772" s="90"/>
      <c r="E772" s="66"/>
      <c r="F772" s="66"/>
      <c r="G772" s="66"/>
      <c r="H772" s="66"/>
      <c r="I772" s="66"/>
      <c r="J772" s="66"/>
      <c r="K772" s="66"/>
      <c r="L772" s="66"/>
      <c r="M772" s="330"/>
      <c r="N772" s="339"/>
      <c r="O772" s="331" t="str">
        <f>IFERROR(__xludf.DUMMYFUNCTION("IFERROR(AVERAGE(FILTER('حضور '!I:I,'حضور '!A:A=A772,MONTH('حضور '!B:B)=N772)),"""")"),"")</f>
        <v/>
      </c>
    </row>
    <row r="773" ht="26.25" hidden="1" customHeight="1">
      <c r="A773" s="371"/>
      <c r="B773" s="372"/>
      <c r="C773" s="66"/>
      <c r="D773" s="90"/>
      <c r="E773" s="66"/>
      <c r="F773" s="66"/>
      <c r="G773" s="66"/>
      <c r="H773" s="66"/>
      <c r="I773" s="66"/>
      <c r="J773" s="66"/>
      <c r="K773" s="66"/>
      <c r="L773" s="66"/>
      <c r="M773" s="330"/>
      <c r="N773" s="339"/>
      <c r="O773" s="331" t="str">
        <f>IFERROR(__xludf.DUMMYFUNCTION("IFERROR(AVERAGE(FILTER('حضور '!I:I,'حضور '!A:A=A773,MONTH('حضور '!B:B)=N773)),"""")"),"")</f>
        <v/>
      </c>
    </row>
    <row r="774" ht="26.25" hidden="1" customHeight="1">
      <c r="A774" s="371"/>
      <c r="B774" s="372"/>
      <c r="C774" s="66"/>
      <c r="D774" s="90"/>
      <c r="E774" s="66"/>
      <c r="F774" s="66"/>
      <c r="G774" s="66"/>
      <c r="H774" s="66"/>
      <c r="I774" s="66"/>
      <c r="J774" s="66"/>
      <c r="K774" s="66"/>
      <c r="L774" s="66"/>
      <c r="M774" s="330"/>
      <c r="N774" s="330"/>
      <c r="O774" s="331" t="str">
        <f>IFERROR(__xludf.DUMMYFUNCTION("IFERROR(AVERAGE(FILTER('حضور '!I:I,'حضور '!A:A=A774,MONTH('حضور '!B:B)=N774)),"""")"),"")</f>
        <v/>
      </c>
    </row>
    <row r="775" ht="26.25" hidden="1" customHeight="1">
      <c r="A775" s="371"/>
      <c r="B775" s="372"/>
      <c r="C775" s="66"/>
      <c r="D775" s="90"/>
      <c r="E775" s="66"/>
      <c r="F775" s="66"/>
      <c r="G775" s="66"/>
      <c r="H775" s="66"/>
      <c r="I775" s="66"/>
      <c r="J775" s="66"/>
      <c r="K775" s="66"/>
      <c r="L775" s="66"/>
      <c r="M775" s="330"/>
      <c r="N775" s="339"/>
      <c r="O775" s="331" t="str">
        <f>IFERROR(__xludf.DUMMYFUNCTION("IFERROR(AVERAGE(FILTER('حضور '!I:I,'حضور '!A:A=A775,MONTH('حضور '!B:B)=N775)),"""")"),"")</f>
        <v/>
      </c>
    </row>
    <row r="776" ht="26.25" hidden="1" customHeight="1">
      <c r="A776" s="371"/>
      <c r="B776" s="372"/>
      <c r="C776" s="66"/>
      <c r="D776" s="90"/>
      <c r="E776" s="66"/>
      <c r="F776" s="66"/>
      <c r="G776" s="66"/>
      <c r="H776" s="66"/>
      <c r="I776" s="66"/>
      <c r="J776" s="66"/>
      <c r="K776" s="66"/>
      <c r="L776" s="66"/>
      <c r="M776" s="330"/>
      <c r="N776" s="339"/>
      <c r="O776" s="331" t="str">
        <f>IFERROR(__xludf.DUMMYFUNCTION("IFERROR(AVERAGE(FILTER('حضور '!I:I,'حضور '!A:A=A776,MONTH('حضور '!B:B)=N776)),"""")"),"")</f>
        <v/>
      </c>
    </row>
    <row r="777" ht="26.25" hidden="1" customHeight="1">
      <c r="A777" s="371"/>
      <c r="B777" s="372"/>
      <c r="C777" s="66"/>
      <c r="D777" s="90"/>
      <c r="E777" s="66"/>
      <c r="F777" s="66"/>
      <c r="G777" s="66"/>
      <c r="H777" s="66"/>
      <c r="I777" s="66"/>
      <c r="J777" s="66"/>
      <c r="K777" s="66"/>
      <c r="L777" s="66"/>
      <c r="M777" s="330"/>
      <c r="N777" s="339"/>
      <c r="O777" s="331" t="str">
        <f>IFERROR(__xludf.DUMMYFUNCTION("IFERROR(AVERAGE(FILTER('حضور '!I:I,'حضور '!A:A=A777,MONTH('حضور '!B:B)=N777)),"""")"),"")</f>
        <v/>
      </c>
    </row>
    <row r="778" ht="26.25" hidden="1" customHeight="1">
      <c r="A778" s="371"/>
      <c r="B778" s="372"/>
      <c r="C778" s="66"/>
      <c r="D778" s="90"/>
      <c r="E778" s="66"/>
      <c r="F778" s="66"/>
      <c r="G778" s="66"/>
      <c r="H778" s="66"/>
      <c r="I778" s="66"/>
      <c r="J778" s="66"/>
      <c r="K778" s="66"/>
      <c r="L778" s="66"/>
      <c r="M778" s="330"/>
      <c r="N778" s="339"/>
      <c r="O778" s="331" t="str">
        <f>IFERROR(__xludf.DUMMYFUNCTION("IFERROR(AVERAGE(FILTER('حضور '!I:I,'حضور '!A:A=A778,MONTH('حضور '!B:B)=N778)),"""")"),"")</f>
        <v/>
      </c>
    </row>
    <row r="779" ht="26.25" hidden="1" customHeight="1">
      <c r="A779" s="371"/>
      <c r="B779" s="372"/>
      <c r="C779" s="66"/>
      <c r="D779" s="90"/>
      <c r="E779" s="66"/>
      <c r="F779" s="66"/>
      <c r="G779" s="66"/>
      <c r="H779" s="66"/>
      <c r="I779" s="66"/>
      <c r="J779" s="66"/>
      <c r="K779" s="66"/>
      <c r="L779" s="66"/>
      <c r="M779" s="330"/>
      <c r="N779" s="330"/>
      <c r="O779" s="331" t="str">
        <f>IFERROR(__xludf.DUMMYFUNCTION("IFERROR(AVERAGE(FILTER('حضور '!I:I,'حضور '!A:A=A779,MONTH('حضور '!B:B)=N779)),"""")"),"")</f>
        <v/>
      </c>
    </row>
    <row r="780" ht="26.25" hidden="1" customHeight="1">
      <c r="A780" s="371"/>
      <c r="B780" s="372"/>
      <c r="C780" s="66"/>
      <c r="D780" s="90"/>
      <c r="E780" s="66"/>
      <c r="F780" s="66"/>
      <c r="G780" s="66"/>
      <c r="H780" s="66"/>
      <c r="I780" s="66"/>
      <c r="J780" s="66"/>
      <c r="K780" s="66"/>
      <c r="L780" s="66"/>
      <c r="M780" s="330"/>
      <c r="N780" s="339"/>
      <c r="O780" s="331" t="str">
        <f>IFERROR(__xludf.DUMMYFUNCTION("IFERROR(AVERAGE(FILTER('حضور '!I:I,'حضور '!A:A=A780,MONTH('حضور '!B:B)=N780)),"""")"),"")</f>
        <v/>
      </c>
    </row>
    <row r="781" ht="26.25" hidden="1" customHeight="1">
      <c r="A781" s="371"/>
      <c r="B781" s="372"/>
      <c r="C781" s="66"/>
      <c r="D781" s="90"/>
      <c r="E781" s="66"/>
      <c r="F781" s="66"/>
      <c r="G781" s="66"/>
      <c r="H781" s="66"/>
      <c r="I781" s="66"/>
      <c r="J781" s="66"/>
      <c r="K781" s="66"/>
      <c r="L781" s="66"/>
      <c r="M781" s="330"/>
      <c r="N781" s="339"/>
      <c r="O781" s="331" t="str">
        <f>IFERROR(__xludf.DUMMYFUNCTION("IFERROR(AVERAGE(FILTER('حضور '!I:I,'حضور '!A:A=A781,MONTH('حضور '!B:B)=N781)),"""")"),"")</f>
        <v/>
      </c>
    </row>
    <row r="782" ht="26.25" hidden="1" customHeight="1">
      <c r="A782" s="371"/>
      <c r="B782" s="372"/>
      <c r="C782" s="66"/>
      <c r="D782" s="90"/>
      <c r="E782" s="66"/>
      <c r="F782" s="66"/>
      <c r="G782" s="66"/>
      <c r="H782" s="66"/>
      <c r="I782" s="66"/>
      <c r="J782" s="66"/>
      <c r="K782" s="66"/>
      <c r="L782" s="66"/>
      <c r="M782" s="330"/>
      <c r="N782" s="339"/>
      <c r="O782" s="331" t="str">
        <f>IFERROR(__xludf.DUMMYFUNCTION("IFERROR(AVERAGE(FILTER('حضور '!I:I,'حضور '!A:A=A782,MONTH('حضور '!B:B)=N782)),"""")"),"")</f>
        <v/>
      </c>
    </row>
    <row r="783" ht="26.25" hidden="1" customHeight="1">
      <c r="A783" s="371"/>
      <c r="B783" s="372"/>
      <c r="C783" s="66"/>
      <c r="D783" s="90"/>
      <c r="E783" s="66"/>
      <c r="F783" s="66"/>
      <c r="G783" s="66"/>
      <c r="H783" s="66"/>
      <c r="I783" s="66"/>
      <c r="J783" s="66"/>
      <c r="K783" s="66"/>
      <c r="L783" s="66"/>
      <c r="M783" s="330"/>
      <c r="N783" s="339"/>
      <c r="O783" s="331" t="str">
        <f>IFERROR(__xludf.DUMMYFUNCTION("IFERROR(AVERAGE(FILTER('حضور '!I:I,'حضور '!A:A=A783,MONTH('حضور '!B:B)=N783)),"""")"),"")</f>
        <v/>
      </c>
    </row>
    <row r="784" ht="26.25" hidden="1" customHeight="1">
      <c r="A784" s="371"/>
      <c r="B784" s="372"/>
      <c r="C784" s="66"/>
      <c r="D784" s="90"/>
      <c r="E784" s="66"/>
      <c r="F784" s="66"/>
      <c r="G784" s="66"/>
      <c r="H784" s="66"/>
      <c r="I784" s="66"/>
      <c r="J784" s="66"/>
      <c r="K784" s="66"/>
      <c r="L784" s="66"/>
      <c r="M784" s="330"/>
      <c r="N784" s="330"/>
      <c r="O784" s="331" t="str">
        <f>IFERROR(__xludf.DUMMYFUNCTION("IFERROR(AVERAGE(FILTER('حضور '!I:I,'حضور '!A:A=A784,MONTH('حضور '!B:B)=N784)),"""")"),"")</f>
        <v/>
      </c>
    </row>
    <row r="785" ht="26.25" hidden="1" customHeight="1">
      <c r="A785" s="371"/>
      <c r="B785" s="372"/>
      <c r="C785" s="66"/>
      <c r="D785" s="90"/>
      <c r="E785" s="66"/>
      <c r="F785" s="66"/>
      <c r="G785" s="66"/>
      <c r="H785" s="66"/>
      <c r="I785" s="66"/>
      <c r="J785" s="66"/>
      <c r="K785" s="66"/>
      <c r="L785" s="66"/>
      <c r="M785" s="330"/>
      <c r="N785" s="339"/>
      <c r="O785" s="331" t="str">
        <f>IFERROR(__xludf.DUMMYFUNCTION("IFERROR(AVERAGE(FILTER('حضور '!I:I,'حضور '!A:A=A785,MONTH('حضور '!B:B)=N785)),"""")"),"")</f>
        <v/>
      </c>
    </row>
    <row r="786" ht="26.25" hidden="1" customHeight="1">
      <c r="A786" s="371"/>
      <c r="B786" s="372"/>
      <c r="C786" s="66"/>
      <c r="D786" s="90"/>
      <c r="E786" s="66"/>
      <c r="F786" s="66"/>
      <c r="G786" s="66"/>
      <c r="H786" s="66"/>
      <c r="I786" s="66"/>
      <c r="J786" s="66"/>
      <c r="K786" s="66"/>
      <c r="L786" s="66"/>
      <c r="M786" s="330"/>
      <c r="N786" s="339"/>
      <c r="O786" s="331" t="str">
        <f>IFERROR(__xludf.DUMMYFUNCTION("IFERROR(AVERAGE(FILTER('حضور '!I:I,'حضور '!A:A=A786,MONTH('حضور '!B:B)=N786)),"""")"),"")</f>
        <v/>
      </c>
    </row>
    <row r="787" ht="26.25" hidden="1" customHeight="1">
      <c r="A787" s="371"/>
      <c r="B787" s="372"/>
      <c r="C787" s="66"/>
      <c r="D787" s="90"/>
      <c r="E787" s="66"/>
      <c r="F787" s="66"/>
      <c r="G787" s="66"/>
      <c r="H787" s="66"/>
      <c r="I787" s="66"/>
      <c r="J787" s="66"/>
      <c r="K787" s="66"/>
      <c r="L787" s="66"/>
      <c r="M787" s="330"/>
      <c r="N787" s="339"/>
      <c r="O787" s="331" t="str">
        <f>IFERROR(__xludf.DUMMYFUNCTION("IFERROR(AVERAGE(FILTER('حضور '!I:I,'حضور '!A:A=A787,MONTH('حضور '!B:B)=N787)),"""")"),"")</f>
        <v/>
      </c>
    </row>
    <row r="788" ht="26.25" hidden="1" customHeight="1">
      <c r="A788" s="371"/>
      <c r="B788" s="372"/>
      <c r="C788" s="66"/>
      <c r="D788" s="90"/>
      <c r="E788" s="66"/>
      <c r="F788" s="66"/>
      <c r="G788" s="66"/>
      <c r="H788" s="66"/>
      <c r="I788" s="66"/>
      <c r="J788" s="66"/>
      <c r="K788" s="66"/>
      <c r="L788" s="66"/>
      <c r="M788" s="330"/>
      <c r="N788" s="339"/>
      <c r="O788" s="331" t="str">
        <f>IFERROR(__xludf.DUMMYFUNCTION("IFERROR(AVERAGE(FILTER('حضور '!I:I,'حضور '!A:A=A788,MONTH('حضور '!B:B)=N788)),"""")"),"")</f>
        <v/>
      </c>
    </row>
    <row r="789" ht="26.25" hidden="1" customHeight="1">
      <c r="A789" s="371"/>
      <c r="B789" s="372"/>
      <c r="C789" s="66"/>
      <c r="D789" s="90"/>
      <c r="E789" s="66"/>
      <c r="F789" s="66"/>
      <c r="G789" s="66"/>
      <c r="H789" s="66"/>
      <c r="I789" s="66"/>
      <c r="J789" s="66"/>
      <c r="K789" s="66"/>
      <c r="L789" s="66"/>
      <c r="M789" s="330"/>
      <c r="N789" s="330"/>
      <c r="O789" s="331" t="str">
        <f>IFERROR(__xludf.DUMMYFUNCTION("IFERROR(AVERAGE(FILTER('حضور '!I:I,'حضور '!A:A=A789,MONTH('حضور '!B:B)=N789)),"""")"),"")</f>
        <v/>
      </c>
    </row>
    <row r="790" ht="26.25" hidden="1" customHeight="1">
      <c r="A790" s="371"/>
      <c r="B790" s="372"/>
      <c r="C790" s="66"/>
      <c r="D790" s="90"/>
      <c r="E790" s="66"/>
      <c r="F790" s="66"/>
      <c r="G790" s="66"/>
      <c r="H790" s="66"/>
      <c r="I790" s="66"/>
      <c r="J790" s="66"/>
      <c r="K790" s="66"/>
      <c r="L790" s="66"/>
      <c r="M790" s="330"/>
      <c r="N790" s="339"/>
      <c r="O790" s="331" t="str">
        <f>IFERROR(__xludf.DUMMYFUNCTION("IFERROR(AVERAGE(FILTER('حضور '!I:I,'حضور '!A:A=A790,MONTH('حضور '!B:B)=N790)),"""")"),"")</f>
        <v/>
      </c>
    </row>
    <row r="791" ht="26.25" hidden="1" customHeight="1">
      <c r="A791" s="371"/>
      <c r="B791" s="372"/>
      <c r="C791" s="66"/>
      <c r="D791" s="90"/>
      <c r="E791" s="66"/>
      <c r="F791" s="66"/>
      <c r="G791" s="66"/>
      <c r="H791" s="66"/>
      <c r="I791" s="66"/>
      <c r="J791" s="66"/>
      <c r="K791" s="66"/>
      <c r="L791" s="66"/>
      <c r="M791" s="330"/>
      <c r="N791" s="339"/>
      <c r="O791" s="331" t="str">
        <f>IFERROR(__xludf.DUMMYFUNCTION("IFERROR(AVERAGE(FILTER('حضور '!I:I,'حضور '!A:A=A791,MONTH('حضور '!B:B)=N791)),"""")"),"")</f>
        <v/>
      </c>
    </row>
    <row r="792" ht="26.25" hidden="1" customHeight="1">
      <c r="A792" s="371"/>
      <c r="B792" s="372"/>
      <c r="C792" s="66"/>
      <c r="D792" s="90"/>
      <c r="E792" s="66"/>
      <c r="F792" s="66"/>
      <c r="G792" s="66"/>
      <c r="H792" s="66"/>
      <c r="I792" s="66"/>
      <c r="J792" s="66"/>
      <c r="K792" s="66"/>
      <c r="L792" s="66"/>
      <c r="M792" s="330"/>
      <c r="N792" s="339"/>
      <c r="O792" s="331" t="str">
        <f>IFERROR(__xludf.DUMMYFUNCTION("IFERROR(AVERAGE(FILTER('حضور '!I:I,'حضور '!A:A=A792,MONTH('حضور '!B:B)=N792)),"""")"),"")</f>
        <v/>
      </c>
    </row>
    <row r="793" ht="26.25" hidden="1" customHeight="1">
      <c r="A793" s="371"/>
      <c r="B793" s="372"/>
      <c r="C793" s="66"/>
      <c r="D793" s="90"/>
      <c r="E793" s="66"/>
      <c r="F793" s="66"/>
      <c r="G793" s="66"/>
      <c r="H793" s="66"/>
      <c r="I793" s="66"/>
      <c r="J793" s="66"/>
      <c r="K793" s="66"/>
      <c r="L793" s="66"/>
      <c r="M793" s="330"/>
      <c r="N793" s="339"/>
      <c r="O793" s="331" t="str">
        <f>IFERROR(__xludf.DUMMYFUNCTION("IFERROR(AVERAGE(FILTER('حضور '!I:I,'حضور '!A:A=A793,MONTH('حضور '!B:B)=N793)),"""")"),"")</f>
        <v/>
      </c>
    </row>
    <row r="794" ht="26.25" hidden="1" customHeight="1">
      <c r="A794" s="371"/>
      <c r="B794" s="372"/>
      <c r="C794" s="66"/>
      <c r="D794" s="90"/>
      <c r="E794" s="66"/>
      <c r="F794" s="66"/>
      <c r="G794" s="66"/>
      <c r="H794" s="66"/>
      <c r="I794" s="66"/>
      <c r="J794" s="66"/>
      <c r="K794" s="66"/>
      <c r="L794" s="66"/>
      <c r="M794" s="330"/>
      <c r="N794" s="330"/>
      <c r="O794" s="331" t="str">
        <f>IFERROR(__xludf.DUMMYFUNCTION("IFERROR(AVERAGE(FILTER('حضور '!I:I,'حضور '!A:A=A794,MONTH('حضور '!B:B)=N794)),"""")"),"")</f>
        <v/>
      </c>
    </row>
    <row r="795" ht="26.25" hidden="1" customHeight="1">
      <c r="A795" s="371"/>
      <c r="B795" s="372"/>
      <c r="C795" s="66"/>
      <c r="D795" s="90"/>
      <c r="E795" s="66"/>
      <c r="F795" s="66"/>
      <c r="G795" s="66"/>
      <c r="H795" s="66"/>
      <c r="I795" s="66"/>
      <c r="J795" s="66"/>
      <c r="K795" s="66"/>
      <c r="L795" s="66"/>
      <c r="M795" s="330"/>
      <c r="N795" s="339"/>
      <c r="O795" s="331" t="str">
        <f>IFERROR(__xludf.DUMMYFUNCTION("IFERROR(AVERAGE(FILTER('حضور '!I:I,'حضور '!A:A=A795,MONTH('حضور '!B:B)=N795)),"""")"),"")</f>
        <v/>
      </c>
    </row>
    <row r="796" ht="26.25" hidden="1" customHeight="1">
      <c r="A796" s="371"/>
      <c r="B796" s="372"/>
      <c r="C796" s="66"/>
      <c r="D796" s="90"/>
      <c r="E796" s="66"/>
      <c r="F796" s="66"/>
      <c r="G796" s="66"/>
      <c r="H796" s="66"/>
      <c r="I796" s="66"/>
      <c r="J796" s="66"/>
      <c r="K796" s="66"/>
      <c r="L796" s="66"/>
      <c r="M796" s="330"/>
      <c r="N796" s="339"/>
      <c r="O796" s="331" t="str">
        <f>IFERROR(__xludf.DUMMYFUNCTION("IFERROR(AVERAGE(FILTER('حضور '!I:I,'حضور '!A:A=A796,MONTH('حضور '!B:B)=N796)),"""")"),"")</f>
        <v/>
      </c>
    </row>
    <row r="797" ht="26.25" hidden="1" customHeight="1">
      <c r="A797" s="371"/>
      <c r="B797" s="372"/>
      <c r="C797" s="66"/>
      <c r="D797" s="90"/>
      <c r="E797" s="66"/>
      <c r="F797" s="66"/>
      <c r="G797" s="66"/>
      <c r="H797" s="66"/>
      <c r="I797" s="66"/>
      <c r="J797" s="66"/>
      <c r="K797" s="66"/>
      <c r="L797" s="66"/>
      <c r="M797" s="330"/>
      <c r="N797" s="339"/>
      <c r="O797" s="331" t="str">
        <f>IFERROR(__xludf.DUMMYFUNCTION("IFERROR(AVERAGE(FILTER('حضور '!I:I,'حضور '!A:A=A797,MONTH('حضور '!B:B)=N797)),"""")"),"")</f>
        <v/>
      </c>
    </row>
    <row r="798" ht="26.25" hidden="1" customHeight="1">
      <c r="A798" s="371"/>
      <c r="B798" s="372"/>
      <c r="C798" s="66"/>
      <c r="D798" s="90"/>
      <c r="E798" s="66"/>
      <c r="F798" s="66"/>
      <c r="G798" s="66"/>
      <c r="H798" s="66"/>
      <c r="I798" s="66"/>
      <c r="J798" s="66"/>
      <c r="K798" s="66"/>
      <c r="L798" s="66"/>
      <c r="M798" s="330"/>
      <c r="N798" s="339"/>
      <c r="O798" s="331" t="str">
        <f>IFERROR(__xludf.DUMMYFUNCTION("IFERROR(AVERAGE(FILTER('حضور '!I:I,'حضور '!A:A=A798,MONTH('حضور '!B:B)=N798)),"""")"),"")</f>
        <v/>
      </c>
    </row>
    <row r="799" ht="26.25" hidden="1" customHeight="1">
      <c r="A799" s="371"/>
      <c r="B799" s="372"/>
      <c r="C799" s="66"/>
      <c r="D799" s="90"/>
      <c r="E799" s="66"/>
      <c r="F799" s="66"/>
      <c r="G799" s="66"/>
      <c r="H799" s="66"/>
      <c r="I799" s="66"/>
      <c r="J799" s="66"/>
      <c r="K799" s="66"/>
      <c r="L799" s="66"/>
      <c r="M799" s="330"/>
      <c r="N799" s="330"/>
      <c r="O799" s="331" t="str">
        <f>IFERROR(__xludf.DUMMYFUNCTION("IFERROR(AVERAGE(FILTER('حضور '!I:I,'حضور '!A:A=A799,MONTH('حضور '!B:B)=N799)),"""")"),"")</f>
        <v/>
      </c>
    </row>
    <row r="800" ht="26.25" hidden="1" customHeight="1">
      <c r="A800" s="371"/>
      <c r="B800" s="372"/>
      <c r="C800" s="66"/>
      <c r="D800" s="90"/>
      <c r="E800" s="66"/>
      <c r="F800" s="66"/>
      <c r="G800" s="66"/>
      <c r="H800" s="66"/>
      <c r="I800" s="66"/>
      <c r="J800" s="66"/>
      <c r="K800" s="66"/>
      <c r="L800" s="66"/>
      <c r="M800" s="330"/>
      <c r="N800" s="339"/>
      <c r="O800" s="331" t="str">
        <f>IFERROR(__xludf.DUMMYFUNCTION("IFERROR(AVERAGE(FILTER('حضور '!I:I,'حضور '!A:A=A800,MONTH('حضور '!B:B)=N800)),"""")"),"")</f>
        <v/>
      </c>
    </row>
    <row r="801" ht="26.25" hidden="1" customHeight="1">
      <c r="A801" s="371"/>
      <c r="B801" s="372"/>
      <c r="C801" s="66"/>
      <c r="D801" s="90"/>
      <c r="E801" s="66"/>
      <c r="F801" s="66"/>
      <c r="G801" s="66"/>
      <c r="H801" s="66"/>
      <c r="I801" s="66"/>
      <c r="J801" s="66"/>
      <c r="K801" s="66"/>
      <c r="L801" s="66"/>
      <c r="M801" s="330"/>
      <c r="N801" s="339"/>
      <c r="O801" s="331" t="str">
        <f>IFERROR(__xludf.DUMMYFUNCTION("IFERROR(AVERAGE(FILTER('حضور '!I:I,'حضور '!A:A=A801,MONTH('حضور '!B:B)=N801)),"""")"),"")</f>
        <v/>
      </c>
    </row>
    <row r="802" ht="26.25" hidden="1" customHeight="1">
      <c r="A802" s="371"/>
      <c r="B802" s="372"/>
      <c r="C802" s="66"/>
      <c r="D802" s="90"/>
      <c r="E802" s="66"/>
      <c r="F802" s="66"/>
      <c r="G802" s="66"/>
      <c r="H802" s="66"/>
      <c r="I802" s="66"/>
      <c r="J802" s="66"/>
      <c r="K802" s="66"/>
      <c r="L802" s="66"/>
      <c r="M802" s="330"/>
      <c r="N802" s="339"/>
      <c r="O802" s="331" t="str">
        <f>IFERROR(__xludf.DUMMYFUNCTION("IFERROR(AVERAGE(FILTER('حضور '!I:I,'حضور '!A:A=A802,MONTH('حضور '!B:B)=N802)),"""")"),"")</f>
        <v/>
      </c>
    </row>
    <row r="803" ht="26.25" hidden="1" customHeight="1">
      <c r="A803" s="371"/>
      <c r="B803" s="372"/>
      <c r="C803" s="66"/>
      <c r="D803" s="90"/>
      <c r="E803" s="66"/>
      <c r="F803" s="66"/>
      <c r="G803" s="66"/>
      <c r="H803" s="66"/>
      <c r="I803" s="66"/>
      <c r="J803" s="66"/>
      <c r="K803" s="66"/>
      <c r="L803" s="66"/>
      <c r="M803" s="330"/>
      <c r="N803" s="339"/>
      <c r="O803" s="331" t="str">
        <f>IFERROR(__xludf.DUMMYFUNCTION("IFERROR(AVERAGE(FILTER('حضور '!I:I,'حضور '!A:A=A803,MONTH('حضور '!B:B)=N803)),"""")"),"")</f>
        <v/>
      </c>
    </row>
    <row r="804" ht="26.25" hidden="1" customHeight="1">
      <c r="A804" s="371"/>
      <c r="B804" s="372"/>
      <c r="C804" s="66"/>
      <c r="D804" s="90"/>
      <c r="E804" s="66"/>
      <c r="F804" s="66"/>
      <c r="G804" s="66"/>
      <c r="H804" s="66"/>
      <c r="I804" s="66"/>
      <c r="J804" s="66"/>
      <c r="K804" s="66"/>
      <c r="L804" s="66"/>
      <c r="M804" s="330"/>
      <c r="N804" s="330"/>
      <c r="O804" s="331" t="str">
        <f>IFERROR(__xludf.DUMMYFUNCTION("IFERROR(AVERAGE(FILTER('حضور '!I:I,'حضور '!A:A=A804,MONTH('حضور '!B:B)=N804)),"""")"),"")</f>
        <v/>
      </c>
    </row>
    <row r="805" ht="26.25" hidden="1" customHeight="1">
      <c r="A805" s="371"/>
      <c r="B805" s="372"/>
      <c r="C805" s="66"/>
      <c r="D805" s="90"/>
      <c r="E805" s="66"/>
      <c r="F805" s="66"/>
      <c r="G805" s="66"/>
      <c r="H805" s="66"/>
      <c r="I805" s="66"/>
      <c r="J805" s="66"/>
      <c r="K805" s="66"/>
      <c r="L805" s="66"/>
      <c r="M805" s="330"/>
      <c r="N805" s="339"/>
      <c r="O805" s="331" t="str">
        <f>IFERROR(__xludf.DUMMYFUNCTION("IFERROR(AVERAGE(FILTER('حضور '!I:I,'حضور '!A:A=A805,MONTH('حضور '!B:B)=N805)),"""")"),"")</f>
        <v/>
      </c>
    </row>
    <row r="806" ht="26.25" hidden="1" customHeight="1">
      <c r="A806" s="371"/>
      <c r="B806" s="372"/>
      <c r="C806" s="66"/>
      <c r="D806" s="90"/>
      <c r="E806" s="66"/>
      <c r="F806" s="66"/>
      <c r="G806" s="66"/>
      <c r="H806" s="66"/>
      <c r="I806" s="66"/>
      <c r="J806" s="66"/>
      <c r="K806" s="66"/>
      <c r="L806" s="66"/>
      <c r="M806" s="330"/>
      <c r="N806" s="339"/>
      <c r="O806" s="331" t="str">
        <f>IFERROR(__xludf.DUMMYFUNCTION("IFERROR(AVERAGE(FILTER('حضور '!I:I,'حضور '!A:A=A806,MONTH('حضور '!B:B)=N806)),"""")"),"")</f>
        <v/>
      </c>
    </row>
    <row r="807" ht="26.25" hidden="1" customHeight="1">
      <c r="A807" s="371"/>
      <c r="B807" s="372"/>
      <c r="C807" s="66"/>
      <c r="D807" s="90"/>
      <c r="E807" s="66"/>
      <c r="F807" s="66"/>
      <c r="G807" s="66"/>
      <c r="H807" s="66"/>
      <c r="I807" s="66"/>
      <c r="J807" s="66"/>
      <c r="K807" s="66"/>
      <c r="L807" s="66"/>
      <c r="M807" s="330"/>
      <c r="N807" s="339"/>
      <c r="O807" s="331" t="str">
        <f>IFERROR(__xludf.DUMMYFUNCTION("IFERROR(AVERAGE(FILTER('حضور '!I:I,'حضور '!A:A=A807,MONTH('حضور '!B:B)=N807)),"""")"),"")</f>
        <v/>
      </c>
    </row>
    <row r="808" ht="26.25" hidden="1" customHeight="1">
      <c r="A808" s="371"/>
      <c r="B808" s="372"/>
      <c r="C808" s="66"/>
      <c r="D808" s="90"/>
      <c r="E808" s="66"/>
      <c r="F808" s="66"/>
      <c r="G808" s="66"/>
      <c r="H808" s="66"/>
      <c r="I808" s="66"/>
      <c r="J808" s="66"/>
      <c r="K808" s="66"/>
      <c r="L808" s="66"/>
      <c r="M808" s="330"/>
      <c r="N808" s="339"/>
      <c r="O808" s="331" t="str">
        <f>IFERROR(__xludf.DUMMYFUNCTION("IFERROR(AVERAGE(FILTER('حضور '!I:I,'حضور '!A:A=A808,MONTH('حضور '!B:B)=N808)),"""")"),"")</f>
        <v/>
      </c>
    </row>
    <row r="809" ht="26.25" hidden="1" customHeight="1">
      <c r="A809" s="371"/>
      <c r="B809" s="372"/>
      <c r="C809" s="66"/>
      <c r="D809" s="90"/>
      <c r="E809" s="66"/>
      <c r="F809" s="66"/>
      <c r="G809" s="66"/>
      <c r="H809" s="66"/>
      <c r="I809" s="66"/>
      <c r="J809" s="66"/>
      <c r="K809" s="66"/>
      <c r="L809" s="66"/>
      <c r="M809" s="330"/>
      <c r="N809" s="330"/>
      <c r="O809" s="331" t="str">
        <f>IFERROR(__xludf.DUMMYFUNCTION("IFERROR(AVERAGE(FILTER('حضور '!I:I,'حضور '!A:A=A809,MONTH('حضور '!B:B)=N809)),"""")"),"")</f>
        <v/>
      </c>
    </row>
    <row r="810" ht="26.25" hidden="1" customHeight="1">
      <c r="A810" s="371"/>
      <c r="B810" s="372"/>
      <c r="C810" s="66"/>
      <c r="D810" s="90"/>
      <c r="E810" s="66"/>
      <c r="F810" s="66"/>
      <c r="G810" s="66"/>
      <c r="H810" s="66"/>
      <c r="I810" s="66"/>
      <c r="J810" s="66"/>
      <c r="K810" s="66"/>
      <c r="L810" s="66"/>
      <c r="M810" s="330"/>
      <c r="N810" s="339"/>
      <c r="O810" s="331" t="str">
        <f>IFERROR(__xludf.DUMMYFUNCTION("IFERROR(AVERAGE(FILTER('حضور '!I:I,'حضور '!A:A=A810,MONTH('حضور '!B:B)=N810)),"""")"),"")</f>
        <v/>
      </c>
    </row>
    <row r="811" ht="26.25" hidden="1" customHeight="1">
      <c r="A811" s="371"/>
      <c r="B811" s="372"/>
      <c r="C811" s="66"/>
      <c r="D811" s="90"/>
      <c r="E811" s="66"/>
      <c r="F811" s="66"/>
      <c r="G811" s="66"/>
      <c r="H811" s="66"/>
      <c r="I811" s="66"/>
      <c r="J811" s="66"/>
      <c r="K811" s="66"/>
      <c r="L811" s="66"/>
      <c r="M811" s="330"/>
      <c r="N811" s="339"/>
      <c r="O811" s="331" t="str">
        <f>IFERROR(__xludf.DUMMYFUNCTION("IFERROR(AVERAGE(FILTER('حضور '!I:I,'حضور '!A:A=A811,MONTH('حضور '!B:B)=N811)),"""")"),"")</f>
        <v/>
      </c>
    </row>
    <row r="812" ht="26.25" hidden="1" customHeight="1">
      <c r="A812" s="371"/>
      <c r="B812" s="372"/>
      <c r="C812" s="66"/>
      <c r="D812" s="90"/>
      <c r="E812" s="66"/>
      <c r="F812" s="66"/>
      <c r="G812" s="66"/>
      <c r="H812" s="66"/>
      <c r="I812" s="66"/>
      <c r="J812" s="66"/>
      <c r="K812" s="66"/>
      <c r="L812" s="66"/>
      <c r="M812" s="330"/>
      <c r="N812" s="339"/>
      <c r="O812" s="331" t="str">
        <f>IFERROR(__xludf.DUMMYFUNCTION("IFERROR(AVERAGE(FILTER('حضور '!I:I,'حضور '!A:A=A812,MONTH('حضور '!B:B)=N812)),"""")"),"")</f>
        <v/>
      </c>
    </row>
    <row r="813" ht="26.25" hidden="1" customHeight="1">
      <c r="A813" s="371"/>
      <c r="B813" s="372"/>
      <c r="C813" s="66"/>
      <c r="D813" s="90"/>
      <c r="E813" s="66"/>
      <c r="F813" s="66"/>
      <c r="G813" s="66"/>
      <c r="H813" s="66"/>
      <c r="I813" s="66"/>
      <c r="J813" s="66"/>
      <c r="K813" s="66"/>
      <c r="L813" s="66"/>
      <c r="M813" s="330"/>
      <c r="N813" s="339"/>
      <c r="O813" s="331" t="str">
        <f>IFERROR(__xludf.DUMMYFUNCTION("IFERROR(AVERAGE(FILTER('حضور '!I:I,'حضور '!A:A=A813,MONTH('حضور '!B:B)=N813)),"""")"),"")</f>
        <v/>
      </c>
    </row>
    <row r="814" ht="26.25" hidden="1" customHeight="1">
      <c r="A814" s="371"/>
      <c r="B814" s="372"/>
      <c r="C814" s="66"/>
      <c r="D814" s="90"/>
      <c r="E814" s="66"/>
      <c r="F814" s="66"/>
      <c r="G814" s="66"/>
      <c r="H814" s="66"/>
      <c r="I814" s="66"/>
      <c r="J814" s="66"/>
      <c r="K814" s="66"/>
      <c r="L814" s="66"/>
      <c r="M814" s="330"/>
      <c r="N814" s="330"/>
      <c r="O814" s="331" t="str">
        <f>IFERROR(__xludf.DUMMYFUNCTION("IFERROR(AVERAGE(FILTER('حضور '!I:I,'حضور '!A:A=A814,MONTH('حضور '!B:B)=N814)),"""")"),"")</f>
        <v/>
      </c>
    </row>
    <row r="815" ht="26.25" hidden="1" customHeight="1">
      <c r="A815" s="371"/>
      <c r="B815" s="372"/>
      <c r="C815" s="66"/>
      <c r="D815" s="90"/>
      <c r="E815" s="66"/>
      <c r="F815" s="66"/>
      <c r="G815" s="66"/>
      <c r="H815" s="66"/>
      <c r="I815" s="66"/>
      <c r="J815" s="66"/>
      <c r="K815" s="66"/>
      <c r="L815" s="66"/>
      <c r="M815" s="330"/>
      <c r="N815" s="339"/>
      <c r="O815" s="331" t="str">
        <f>IFERROR(__xludf.DUMMYFUNCTION("IFERROR(AVERAGE(FILTER('حضور '!I:I,'حضور '!A:A=A815,MONTH('حضور '!B:B)=N815)),"""")"),"")</f>
        <v/>
      </c>
    </row>
    <row r="816" ht="26.25" hidden="1" customHeight="1">
      <c r="A816" s="371"/>
      <c r="B816" s="372"/>
      <c r="C816" s="66"/>
      <c r="D816" s="90"/>
      <c r="E816" s="66"/>
      <c r="F816" s="66"/>
      <c r="G816" s="66"/>
      <c r="H816" s="66"/>
      <c r="I816" s="66"/>
      <c r="J816" s="66"/>
      <c r="K816" s="66"/>
      <c r="L816" s="66"/>
      <c r="M816" s="330"/>
      <c r="N816" s="339"/>
      <c r="O816" s="331" t="str">
        <f>IFERROR(__xludf.DUMMYFUNCTION("IFERROR(AVERAGE(FILTER('حضور '!I:I,'حضور '!A:A=A816,MONTH('حضور '!B:B)=N816)),"""")"),"")</f>
        <v/>
      </c>
    </row>
    <row r="817" ht="26.25" hidden="1" customHeight="1">
      <c r="A817" s="371"/>
      <c r="B817" s="372"/>
      <c r="C817" s="66"/>
      <c r="D817" s="90"/>
      <c r="E817" s="66"/>
      <c r="F817" s="66"/>
      <c r="G817" s="66"/>
      <c r="H817" s="66"/>
      <c r="I817" s="66"/>
      <c r="J817" s="66"/>
      <c r="K817" s="66"/>
      <c r="L817" s="66"/>
      <c r="M817" s="330"/>
      <c r="N817" s="339"/>
      <c r="O817" s="331" t="str">
        <f>IFERROR(__xludf.DUMMYFUNCTION("IFERROR(AVERAGE(FILTER('حضور '!I:I,'حضور '!A:A=A817,MONTH('حضور '!B:B)=N817)),"""")"),"")</f>
        <v/>
      </c>
    </row>
    <row r="818" ht="26.25" hidden="1" customHeight="1">
      <c r="A818" s="371"/>
      <c r="B818" s="372"/>
      <c r="C818" s="66"/>
      <c r="D818" s="90"/>
      <c r="E818" s="66"/>
      <c r="F818" s="66"/>
      <c r="G818" s="66"/>
      <c r="H818" s="66"/>
      <c r="I818" s="66"/>
      <c r="J818" s="66"/>
      <c r="K818" s="66"/>
      <c r="L818" s="66"/>
      <c r="M818" s="330"/>
      <c r="N818" s="339"/>
      <c r="O818" s="331" t="str">
        <f>IFERROR(__xludf.DUMMYFUNCTION("IFERROR(AVERAGE(FILTER('حضور '!I:I,'حضور '!A:A=A818,MONTH('حضور '!B:B)=N818)),"""")"),"")</f>
        <v/>
      </c>
    </row>
    <row r="819" ht="26.25" hidden="1" customHeight="1">
      <c r="A819" s="371"/>
      <c r="B819" s="372"/>
      <c r="C819" s="66"/>
      <c r="D819" s="90"/>
      <c r="E819" s="66"/>
      <c r="F819" s="66"/>
      <c r="G819" s="66"/>
      <c r="H819" s="66"/>
      <c r="I819" s="66"/>
      <c r="J819" s="66"/>
      <c r="K819" s="66"/>
      <c r="L819" s="66"/>
      <c r="M819" s="330"/>
      <c r="N819" s="330"/>
      <c r="O819" s="331" t="str">
        <f>IFERROR(__xludf.DUMMYFUNCTION("IFERROR(AVERAGE(FILTER('حضور '!I:I,'حضور '!A:A=A819,MONTH('حضور '!B:B)=N819)),"""")"),"")</f>
        <v/>
      </c>
    </row>
    <row r="820" ht="26.25" hidden="1" customHeight="1">
      <c r="A820" s="371"/>
      <c r="B820" s="372"/>
      <c r="C820" s="66"/>
      <c r="D820" s="90"/>
      <c r="E820" s="66"/>
      <c r="F820" s="66"/>
      <c r="G820" s="66"/>
      <c r="H820" s="66"/>
      <c r="I820" s="66"/>
      <c r="J820" s="66"/>
      <c r="K820" s="66"/>
      <c r="L820" s="66"/>
      <c r="M820" s="330"/>
      <c r="N820" s="339"/>
      <c r="O820" s="331" t="str">
        <f>IFERROR(__xludf.DUMMYFUNCTION("IFERROR(AVERAGE(FILTER('حضور '!I:I,'حضور '!A:A=A820,MONTH('حضور '!B:B)=N820)),"""")"),"")</f>
        <v/>
      </c>
    </row>
    <row r="821" ht="26.25" hidden="1" customHeight="1">
      <c r="A821" s="371"/>
      <c r="B821" s="372"/>
      <c r="C821" s="66"/>
      <c r="D821" s="90"/>
      <c r="E821" s="66"/>
      <c r="F821" s="66"/>
      <c r="G821" s="66"/>
      <c r="H821" s="66"/>
      <c r="I821" s="66"/>
      <c r="J821" s="66"/>
      <c r="K821" s="66"/>
      <c r="L821" s="66"/>
      <c r="M821" s="330"/>
      <c r="N821" s="339"/>
      <c r="O821" s="331" t="str">
        <f>IFERROR(__xludf.DUMMYFUNCTION("IFERROR(AVERAGE(FILTER('حضور '!I:I,'حضور '!A:A=A821,MONTH('حضور '!B:B)=N821)),"""")"),"")</f>
        <v/>
      </c>
    </row>
    <row r="822" ht="26.25" hidden="1" customHeight="1">
      <c r="A822" s="371"/>
      <c r="B822" s="372"/>
      <c r="C822" s="66"/>
      <c r="D822" s="90"/>
      <c r="E822" s="66"/>
      <c r="F822" s="66"/>
      <c r="G822" s="66"/>
      <c r="H822" s="66"/>
      <c r="I822" s="66"/>
      <c r="J822" s="66"/>
      <c r="K822" s="66"/>
      <c r="L822" s="66"/>
      <c r="M822" s="330"/>
      <c r="N822" s="339"/>
      <c r="O822" s="331" t="str">
        <f>IFERROR(__xludf.DUMMYFUNCTION("IFERROR(AVERAGE(FILTER('حضور '!I:I,'حضور '!A:A=A822,MONTH('حضور '!B:B)=N822)),"""")"),"")</f>
        <v/>
      </c>
    </row>
    <row r="823" ht="26.25" hidden="1" customHeight="1">
      <c r="A823" s="371"/>
      <c r="B823" s="372"/>
      <c r="C823" s="66"/>
      <c r="D823" s="90"/>
      <c r="E823" s="66"/>
      <c r="F823" s="66"/>
      <c r="G823" s="66"/>
      <c r="H823" s="66"/>
      <c r="I823" s="66"/>
      <c r="J823" s="66"/>
      <c r="K823" s="66"/>
      <c r="L823" s="66"/>
      <c r="M823" s="330"/>
      <c r="N823" s="339"/>
      <c r="O823" s="331" t="str">
        <f>IFERROR(__xludf.DUMMYFUNCTION("IFERROR(AVERAGE(FILTER('حضور '!I:I,'حضور '!A:A=A823,MONTH('حضور '!B:B)=N823)),"""")"),"")</f>
        <v/>
      </c>
    </row>
    <row r="824" ht="26.25" hidden="1" customHeight="1">
      <c r="A824" s="371"/>
      <c r="B824" s="372"/>
      <c r="C824" s="66"/>
      <c r="D824" s="90"/>
      <c r="E824" s="66"/>
      <c r="F824" s="66"/>
      <c r="G824" s="66"/>
      <c r="H824" s="66"/>
      <c r="I824" s="66"/>
      <c r="J824" s="66"/>
      <c r="K824" s="66"/>
      <c r="L824" s="66"/>
      <c r="M824" s="330"/>
      <c r="N824" s="330"/>
      <c r="O824" s="331" t="str">
        <f>IFERROR(__xludf.DUMMYFUNCTION("IFERROR(AVERAGE(FILTER('حضور '!I:I,'حضور '!A:A=A824,MONTH('حضور '!B:B)=N824)),"""")"),"")</f>
        <v/>
      </c>
    </row>
    <row r="825" ht="26.25" hidden="1" customHeight="1">
      <c r="A825" s="371"/>
      <c r="B825" s="372"/>
      <c r="C825" s="66"/>
      <c r="D825" s="90"/>
      <c r="E825" s="66"/>
      <c r="F825" s="66"/>
      <c r="G825" s="66"/>
      <c r="H825" s="66"/>
      <c r="I825" s="66"/>
      <c r="J825" s="66"/>
      <c r="K825" s="66"/>
      <c r="L825" s="66"/>
      <c r="M825" s="330"/>
      <c r="N825" s="339"/>
      <c r="O825" s="331" t="str">
        <f>IFERROR(__xludf.DUMMYFUNCTION("IFERROR(AVERAGE(FILTER('حضور '!I:I,'حضور '!A:A=A825,MONTH('حضور '!B:B)=N825)),"""")"),"")</f>
        <v/>
      </c>
    </row>
    <row r="826" ht="26.25" hidden="1" customHeight="1">
      <c r="A826" s="371"/>
      <c r="B826" s="372"/>
      <c r="C826" s="66"/>
      <c r="D826" s="90"/>
      <c r="E826" s="66"/>
      <c r="F826" s="66"/>
      <c r="G826" s="66"/>
      <c r="H826" s="66"/>
      <c r="I826" s="66"/>
      <c r="J826" s="66"/>
      <c r="K826" s="66"/>
      <c r="L826" s="66"/>
      <c r="M826" s="330"/>
      <c r="N826" s="339"/>
      <c r="O826" s="331" t="str">
        <f>IFERROR(__xludf.DUMMYFUNCTION("IFERROR(AVERAGE(FILTER('حضور '!I:I,'حضور '!A:A=A826,MONTH('حضور '!B:B)=N826)),"""")"),"")</f>
        <v/>
      </c>
    </row>
    <row r="827" ht="26.25" hidden="1" customHeight="1">
      <c r="A827" s="371"/>
      <c r="B827" s="372"/>
      <c r="C827" s="66"/>
      <c r="D827" s="90"/>
      <c r="E827" s="66"/>
      <c r="F827" s="66"/>
      <c r="G827" s="66"/>
      <c r="H827" s="66"/>
      <c r="I827" s="66"/>
      <c r="J827" s="66"/>
      <c r="K827" s="66"/>
      <c r="L827" s="66"/>
      <c r="M827" s="330"/>
      <c r="N827" s="339"/>
      <c r="O827" s="331" t="str">
        <f>IFERROR(__xludf.DUMMYFUNCTION("IFERROR(AVERAGE(FILTER('حضور '!I:I,'حضور '!A:A=A827,MONTH('حضور '!B:B)=N827)),"""")"),"")</f>
        <v/>
      </c>
    </row>
    <row r="828" ht="26.25" hidden="1" customHeight="1">
      <c r="A828" s="371"/>
      <c r="B828" s="372"/>
      <c r="C828" s="66"/>
      <c r="D828" s="90"/>
      <c r="E828" s="66"/>
      <c r="F828" s="66"/>
      <c r="G828" s="66"/>
      <c r="H828" s="66"/>
      <c r="I828" s="66"/>
      <c r="J828" s="66"/>
      <c r="K828" s="66"/>
      <c r="L828" s="66"/>
      <c r="M828" s="330"/>
      <c r="N828" s="339"/>
      <c r="O828" s="331" t="str">
        <f>IFERROR(__xludf.DUMMYFUNCTION("IFERROR(AVERAGE(FILTER('حضور '!I:I,'حضور '!A:A=A828,MONTH('حضور '!B:B)=N828)),"""")"),"")</f>
        <v/>
      </c>
    </row>
    <row r="829" ht="26.25" hidden="1" customHeight="1">
      <c r="A829" s="371"/>
      <c r="B829" s="372"/>
      <c r="C829" s="66"/>
      <c r="D829" s="90"/>
      <c r="E829" s="66"/>
      <c r="F829" s="66"/>
      <c r="G829" s="66"/>
      <c r="H829" s="66"/>
      <c r="I829" s="66"/>
      <c r="J829" s="66"/>
      <c r="K829" s="66"/>
      <c r="L829" s="66"/>
      <c r="M829" s="330"/>
      <c r="N829" s="330"/>
      <c r="O829" s="331" t="str">
        <f>IFERROR(__xludf.DUMMYFUNCTION("IFERROR(AVERAGE(FILTER('حضور '!I:I,'حضور '!A:A=A829,MONTH('حضور '!B:B)=N829)),"""")"),"")</f>
        <v/>
      </c>
    </row>
    <row r="830" ht="26.25" hidden="1" customHeight="1">
      <c r="A830" s="371"/>
      <c r="B830" s="372"/>
      <c r="C830" s="66"/>
      <c r="D830" s="90"/>
      <c r="E830" s="66"/>
      <c r="F830" s="66"/>
      <c r="G830" s="66"/>
      <c r="H830" s="66"/>
      <c r="I830" s="66"/>
      <c r="J830" s="66"/>
      <c r="K830" s="66"/>
      <c r="L830" s="66"/>
      <c r="M830" s="330"/>
      <c r="N830" s="339"/>
      <c r="O830" s="331" t="str">
        <f>IFERROR(__xludf.DUMMYFUNCTION("IFERROR(AVERAGE(FILTER('حضور '!I:I,'حضور '!A:A=A830,MONTH('حضور '!B:B)=N830)),"""")"),"")</f>
        <v/>
      </c>
    </row>
    <row r="831" ht="26.25" hidden="1" customHeight="1">
      <c r="A831" s="371"/>
      <c r="B831" s="372"/>
      <c r="C831" s="66"/>
      <c r="D831" s="90"/>
      <c r="E831" s="66"/>
      <c r="F831" s="66"/>
      <c r="G831" s="66"/>
      <c r="H831" s="66"/>
      <c r="I831" s="66"/>
      <c r="J831" s="66"/>
      <c r="K831" s="66"/>
      <c r="L831" s="66"/>
      <c r="M831" s="330"/>
      <c r="N831" s="339"/>
      <c r="O831" s="331" t="str">
        <f>IFERROR(__xludf.DUMMYFUNCTION("IFERROR(AVERAGE(FILTER('حضور '!I:I,'حضور '!A:A=A831,MONTH('حضور '!B:B)=N831)),"""")"),"")</f>
        <v/>
      </c>
    </row>
    <row r="832" ht="26.25" hidden="1" customHeight="1">
      <c r="A832" s="371"/>
      <c r="B832" s="372"/>
      <c r="C832" s="66"/>
      <c r="D832" s="90"/>
      <c r="E832" s="66"/>
      <c r="F832" s="66"/>
      <c r="G832" s="66"/>
      <c r="H832" s="66"/>
      <c r="I832" s="66"/>
      <c r="J832" s="66"/>
      <c r="K832" s="66"/>
      <c r="L832" s="66"/>
      <c r="M832" s="330"/>
      <c r="N832" s="339"/>
      <c r="O832" s="331" t="str">
        <f>IFERROR(__xludf.DUMMYFUNCTION("IFERROR(AVERAGE(FILTER('حضور '!I:I,'حضور '!A:A=A832,MONTH('حضور '!B:B)=N832)),"""")"),"")</f>
        <v/>
      </c>
    </row>
    <row r="833" ht="26.25" hidden="1" customHeight="1">
      <c r="A833" s="371"/>
      <c r="B833" s="372"/>
      <c r="C833" s="66"/>
      <c r="D833" s="90"/>
      <c r="E833" s="66"/>
      <c r="F833" s="66"/>
      <c r="G833" s="66"/>
      <c r="H833" s="66"/>
      <c r="I833" s="66"/>
      <c r="J833" s="66"/>
      <c r="K833" s="66"/>
      <c r="L833" s="66"/>
      <c r="M833" s="330"/>
      <c r="N833" s="339"/>
      <c r="O833" s="331" t="str">
        <f>IFERROR(__xludf.DUMMYFUNCTION("IFERROR(AVERAGE(FILTER('حضور '!I:I,'حضور '!A:A=A833,MONTH('حضور '!B:B)=N833)),"""")"),"")</f>
        <v/>
      </c>
    </row>
    <row r="834" ht="26.25" hidden="1" customHeight="1">
      <c r="A834" s="371"/>
      <c r="B834" s="372"/>
      <c r="C834" s="66"/>
      <c r="D834" s="90"/>
      <c r="E834" s="66"/>
      <c r="F834" s="66"/>
      <c r="G834" s="66"/>
      <c r="H834" s="66"/>
      <c r="I834" s="66"/>
      <c r="J834" s="66"/>
      <c r="K834" s="66"/>
      <c r="L834" s="66"/>
      <c r="M834" s="330"/>
      <c r="N834" s="330"/>
      <c r="O834" s="331" t="str">
        <f>IFERROR(__xludf.DUMMYFUNCTION("IFERROR(AVERAGE(FILTER('حضور '!I:I,'حضور '!A:A=A834,MONTH('حضور '!B:B)=N834)),"""")"),"")</f>
        <v/>
      </c>
    </row>
    <row r="835" ht="26.25" hidden="1" customHeight="1">
      <c r="A835" s="371"/>
      <c r="B835" s="372"/>
      <c r="C835" s="66"/>
      <c r="D835" s="90"/>
      <c r="E835" s="66"/>
      <c r="F835" s="66"/>
      <c r="G835" s="66"/>
      <c r="H835" s="66"/>
      <c r="I835" s="66"/>
      <c r="J835" s="66"/>
      <c r="K835" s="66"/>
      <c r="L835" s="66"/>
      <c r="M835" s="330"/>
      <c r="N835" s="339"/>
      <c r="O835" s="331" t="str">
        <f>IFERROR(__xludf.DUMMYFUNCTION("IFERROR(AVERAGE(FILTER('حضور '!I:I,'حضور '!A:A=A835,MONTH('حضور '!B:B)=N835)),"""")"),"")</f>
        <v/>
      </c>
    </row>
    <row r="836" ht="26.25" hidden="1" customHeight="1">
      <c r="A836" s="371"/>
      <c r="B836" s="372"/>
      <c r="C836" s="66"/>
      <c r="D836" s="90"/>
      <c r="E836" s="66"/>
      <c r="F836" s="66"/>
      <c r="G836" s="66"/>
      <c r="H836" s="66"/>
      <c r="I836" s="66"/>
      <c r="J836" s="66"/>
      <c r="K836" s="66"/>
      <c r="L836" s="66"/>
      <c r="M836" s="330"/>
      <c r="N836" s="339"/>
      <c r="O836" s="331" t="str">
        <f>IFERROR(__xludf.DUMMYFUNCTION("IFERROR(AVERAGE(FILTER('حضور '!I:I,'حضور '!A:A=A836,MONTH('حضور '!B:B)=N836)),"""")"),"")</f>
        <v/>
      </c>
    </row>
    <row r="837" ht="26.25" hidden="1" customHeight="1">
      <c r="A837" s="371"/>
      <c r="B837" s="372"/>
      <c r="C837" s="66"/>
      <c r="D837" s="90"/>
      <c r="E837" s="66"/>
      <c r="F837" s="66"/>
      <c r="G837" s="66"/>
      <c r="H837" s="66"/>
      <c r="I837" s="66"/>
      <c r="J837" s="66"/>
      <c r="K837" s="66"/>
      <c r="L837" s="66"/>
      <c r="M837" s="330"/>
      <c r="N837" s="339"/>
      <c r="O837" s="331" t="str">
        <f>IFERROR(__xludf.DUMMYFUNCTION("IFERROR(AVERAGE(FILTER('حضور '!I:I,'حضور '!A:A=A837,MONTH('حضور '!B:B)=N837)),"""")"),"")</f>
        <v/>
      </c>
    </row>
    <row r="838" ht="26.25" hidden="1" customHeight="1">
      <c r="A838" s="371"/>
      <c r="B838" s="372"/>
      <c r="C838" s="66"/>
      <c r="D838" s="90"/>
      <c r="E838" s="66"/>
      <c r="F838" s="66"/>
      <c r="G838" s="66"/>
      <c r="H838" s="66"/>
      <c r="I838" s="66"/>
      <c r="J838" s="66"/>
      <c r="K838" s="66"/>
      <c r="L838" s="66"/>
      <c r="M838" s="330"/>
      <c r="N838" s="339"/>
      <c r="O838" s="331" t="str">
        <f>IFERROR(__xludf.DUMMYFUNCTION("IFERROR(AVERAGE(FILTER('حضور '!I:I,'حضور '!A:A=A838,MONTH('حضور '!B:B)=N838)),"""")"),"")</f>
        <v/>
      </c>
    </row>
    <row r="839" ht="26.25" hidden="1" customHeight="1">
      <c r="A839" s="371"/>
      <c r="B839" s="372"/>
      <c r="C839" s="66"/>
      <c r="D839" s="90"/>
      <c r="E839" s="66"/>
      <c r="F839" s="66"/>
      <c r="G839" s="66"/>
      <c r="H839" s="66"/>
      <c r="I839" s="66"/>
      <c r="J839" s="66"/>
      <c r="K839" s="66"/>
      <c r="L839" s="66"/>
      <c r="M839" s="330"/>
      <c r="N839" s="330"/>
      <c r="O839" s="331" t="str">
        <f>IFERROR(__xludf.DUMMYFUNCTION("IFERROR(AVERAGE(FILTER('حضور '!I:I,'حضور '!A:A=A839,MONTH('حضور '!B:B)=N839)),"""")"),"")</f>
        <v/>
      </c>
    </row>
    <row r="840" ht="26.25" hidden="1" customHeight="1">
      <c r="A840" s="371"/>
      <c r="B840" s="372"/>
      <c r="C840" s="66"/>
      <c r="D840" s="90"/>
      <c r="E840" s="66"/>
      <c r="F840" s="66"/>
      <c r="G840" s="66"/>
      <c r="H840" s="66"/>
      <c r="I840" s="66"/>
      <c r="J840" s="66"/>
      <c r="K840" s="66"/>
      <c r="L840" s="66"/>
      <c r="M840" s="330"/>
      <c r="N840" s="339"/>
      <c r="O840" s="331" t="str">
        <f>IFERROR(__xludf.DUMMYFUNCTION("IFERROR(AVERAGE(FILTER('حضور '!I:I,'حضور '!A:A=A840,MONTH('حضور '!B:B)=N840)),"""")"),"")</f>
        <v/>
      </c>
    </row>
    <row r="841" ht="26.25" hidden="1" customHeight="1">
      <c r="A841" s="371"/>
      <c r="B841" s="372"/>
      <c r="C841" s="66"/>
      <c r="D841" s="90"/>
      <c r="E841" s="66"/>
      <c r="F841" s="66"/>
      <c r="G841" s="66"/>
      <c r="H841" s="66"/>
      <c r="I841" s="66"/>
      <c r="J841" s="66"/>
      <c r="K841" s="66"/>
      <c r="L841" s="66"/>
      <c r="M841" s="330"/>
      <c r="N841" s="339"/>
      <c r="O841" s="331" t="str">
        <f>IFERROR(__xludf.DUMMYFUNCTION("IFERROR(AVERAGE(FILTER('حضور '!I:I,'حضور '!A:A=A841,MONTH('حضور '!B:B)=N841)),"""")"),"")</f>
        <v/>
      </c>
    </row>
    <row r="842" ht="26.25" hidden="1" customHeight="1">
      <c r="A842" s="371"/>
      <c r="B842" s="372"/>
      <c r="C842" s="66"/>
      <c r="D842" s="90"/>
      <c r="E842" s="66"/>
      <c r="F842" s="66"/>
      <c r="G842" s="66"/>
      <c r="H842" s="66"/>
      <c r="I842" s="66"/>
      <c r="J842" s="66"/>
      <c r="K842" s="66"/>
      <c r="L842" s="66"/>
      <c r="M842" s="330"/>
      <c r="N842" s="339"/>
      <c r="O842" s="331" t="str">
        <f>IFERROR(__xludf.DUMMYFUNCTION("IFERROR(AVERAGE(FILTER('حضور '!I:I,'حضور '!A:A=A842,MONTH('حضور '!B:B)=N842)),"""")"),"")</f>
        <v/>
      </c>
    </row>
    <row r="843" ht="26.25" hidden="1" customHeight="1">
      <c r="A843" s="371"/>
      <c r="B843" s="372"/>
      <c r="C843" s="66"/>
      <c r="D843" s="90"/>
      <c r="E843" s="66"/>
      <c r="F843" s="66"/>
      <c r="G843" s="66"/>
      <c r="H843" s="66"/>
      <c r="I843" s="66"/>
      <c r="J843" s="66"/>
      <c r="K843" s="66"/>
      <c r="L843" s="66"/>
      <c r="M843" s="330"/>
      <c r="N843" s="339"/>
      <c r="O843" s="331" t="str">
        <f>IFERROR(__xludf.DUMMYFUNCTION("IFERROR(AVERAGE(FILTER('حضور '!I:I,'حضور '!A:A=A843,MONTH('حضور '!B:B)=N843)),"""")"),"")</f>
        <v/>
      </c>
    </row>
    <row r="844" ht="26.25" hidden="1" customHeight="1">
      <c r="A844" s="371"/>
      <c r="B844" s="372"/>
      <c r="C844" s="66"/>
      <c r="D844" s="90"/>
      <c r="E844" s="66"/>
      <c r="F844" s="66"/>
      <c r="G844" s="66"/>
      <c r="H844" s="66"/>
      <c r="I844" s="66"/>
      <c r="J844" s="66"/>
      <c r="K844" s="66"/>
      <c r="L844" s="66"/>
      <c r="M844" s="330"/>
      <c r="N844" s="330"/>
      <c r="O844" s="331" t="str">
        <f>IFERROR(__xludf.DUMMYFUNCTION("IFERROR(AVERAGE(FILTER('حضور '!I:I,'حضور '!A:A=A844,MONTH('حضور '!B:B)=N844)),"""")"),"")</f>
        <v/>
      </c>
    </row>
    <row r="845" ht="26.25" hidden="1" customHeight="1">
      <c r="A845" s="371"/>
      <c r="B845" s="372"/>
      <c r="C845" s="66"/>
      <c r="D845" s="90"/>
      <c r="E845" s="66"/>
      <c r="F845" s="66"/>
      <c r="G845" s="66"/>
      <c r="H845" s="66"/>
      <c r="I845" s="66"/>
      <c r="J845" s="66"/>
      <c r="K845" s="66"/>
      <c r="L845" s="66"/>
      <c r="M845" s="330"/>
      <c r="N845" s="339"/>
      <c r="O845" s="331" t="str">
        <f>IFERROR(__xludf.DUMMYFUNCTION("IFERROR(AVERAGE(FILTER('حضور '!I:I,'حضور '!A:A=A845,MONTH('حضور '!B:B)=N845)),"""")"),"")</f>
        <v/>
      </c>
    </row>
    <row r="846" ht="26.25" hidden="1" customHeight="1">
      <c r="A846" s="371"/>
      <c r="B846" s="372"/>
      <c r="C846" s="66"/>
      <c r="D846" s="90"/>
      <c r="E846" s="66"/>
      <c r="F846" s="66"/>
      <c r="G846" s="66"/>
      <c r="H846" s="66"/>
      <c r="I846" s="66"/>
      <c r="J846" s="66"/>
      <c r="K846" s="66"/>
      <c r="L846" s="66"/>
      <c r="M846" s="330"/>
      <c r="N846" s="339"/>
      <c r="O846" s="331" t="str">
        <f>IFERROR(__xludf.DUMMYFUNCTION("IFERROR(AVERAGE(FILTER('حضور '!I:I,'حضور '!A:A=A846,MONTH('حضور '!B:B)=N846)),"""")"),"")</f>
        <v/>
      </c>
    </row>
    <row r="847" ht="26.25" hidden="1" customHeight="1">
      <c r="A847" s="371"/>
      <c r="B847" s="372"/>
      <c r="C847" s="66"/>
      <c r="D847" s="90"/>
      <c r="E847" s="66"/>
      <c r="F847" s="66"/>
      <c r="G847" s="66"/>
      <c r="H847" s="66"/>
      <c r="I847" s="66"/>
      <c r="J847" s="66"/>
      <c r="K847" s="66"/>
      <c r="L847" s="66"/>
      <c r="M847" s="330"/>
      <c r="N847" s="339"/>
      <c r="O847" s="331" t="str">
        <f>IFERROR(__xludf.DUMMYFUNCTION("IFERROR(AVERAGE(FILTER('حضور '!I:I,'حضور '!A:A=A847,MONTH('حضور '!B:B)=N847)),"""")"),"")</f>
        <v/>
      </c>
    </row>
    <row r="848" ht="26.25" hidden="1" customHeight="1">
      <c r="A848" s="371"/>
      <c r="B848" s="372"/>
      <c r="C848" s="66"/>
      <c r="D848" s="90"/>
      <c r="E848" s="66"/>
      <c r="F848" s="66"/>
      <c r="G848" s="66"/>
      <c r="H848" s="66"/>
      <c r="I848" s="66"/>
      <c r="J848" s="66"/>
      <c r="K848" s="66"/>
      <c r="L848" s="66"/>
      <c r="M848" s="330"/>
      <c r="N848" s="339"/>
      <c r="O848" s="331" t="str">
        <f>IFERROR(__xludf.DUMMYFUNCTION("IFERROR(AVERAGE(FILTER('حضور '!I:I,'حضور '!A:A=A848,MONTH('حضور '!B:B)=N848)),"""")"),"")</f>
        <v/>
      </c>
    </row>
    <row r="849" ht="26.25" hidden="1" customHeight="1">
      <c r="A849" s="371"/>
      <c r="B849" s="372"/>
      <c r="C849" s="66"/>
      <c r="D849" s="90"/>
      <c r="E849" s="66"/>
      <c r="F849" s="66"/>
      <c r="G849" s="66"/>
      <c r="H849" s="66"/>
      <c r="I849" s="66"/>
      <c r="J849" s="66"/>
      <c r="K849" s="66"/>
      <c r="L849" s="66"/>
      <c r="M849" s="330"/>
      <c r="N849" s="330"/>
      <c r="O849" s="331" t="str">
        <f>IFERROR(__xludf.DUMMYFUNCTION("IFERROR(AVERAGE(FILTER('حضور '!I:I,'حضور '!A:A=A849,MONTH('حضور '!B:B)=N849)),"""")"),"")</f>
        <v/>
      </c>
    </row>
    <row r="850" ht="26.25" hidden="1" customHeight="1">
      <c r="A850" s="371"/>
      <c r="B850" s="372"/>
      <c r="C850" s="66"/>
      <c r="D850" s="90"/>
      <c r="E850" s="66"/>
      <c r="F850" s="66"/>
      <c r="G850" s="66"/>
      <c r="H850" s="66"/>
      <c r="I850" s="66"/>
      <c r="J850" s="66"/>
      <c r="K850" s="66"/>
      <c r="L850" s="66"/>
      <c r="M850" s="330"/>
      <c r="N850" s="339"/>
      <c r="O850" s="331" t="str">
        <f>IFERROR(__xludf.DUMMYFUNCTION("IFERROR(AVERAGE(FILTER('حضور '!I:I,'حضور '!A:A=A850,MONTH('حضور '!B:B)=N850)),"""")"),"")</f>
        <v/>
      </c>
    </row>
    <row r="851" ht="26.25" hidden="1" customHeight="1">
      <c r="A851" s="371"/>
      <c r="B851" s="372"/>
      <c r="C851" s="66"/>
      <c r="D851" s="90"/>
      <c r="E851" s="66"/>
      <c r="F851" s="66"/>
      <c r="G851" s="66"/>
      <c r="H851" s="66"/>
      <c r="I851" s="66"/>
      <c r="J851" s="66"/>
      <c r="K851" s="66"/>
      <c r="L851" s="66"/>
      <c r="M851" s="330"/>
      <c r="N851" s="339"/>
      <c r="O851" s="331" t="str">
        <f>IFERROR(__xludf.DUMMYFUNCTION("IFERROR(AVERAGE(FILTER('حضور '!I:I,'حضور '!A:A=A851,MONTH('حضور '!B:B)=N851)),"""")"),"")</f>
        <v/>
      </c>
    </row>
    <row r="852" ht="26.25" hidden="1" customHeight="1">
      <c r="A852" s="371"/>
      <c r="B852" s="372"/>
      <c r="C852" s="66"/>
      <c r="D852" s="90"/>
      <c r="E852" s="66"/>
      <c r="F852" s="66"/>
      <c r="G852" s="66"/>
      <c r="H852" s="66"/>
      <c r="I852" s="66"/>
      <c r="J852" s="66"/>
      <c r="K852" s="66"/>
      <c r="L852" s="66"/>
      <c r="M852" s="330"/>
      <c r="N852" s="339"/>
      <c r="O852" s="331" t="str">
        <f>IFERROR(__xludf.DUMMYFUNCTION("IFERROR(AVERAGE(FILTER('حضور '!I:I,'حضور '!A:A=A852,MONTH('حضور '!B:B)=N852)),"""")"),"")</f>
        <v/>
      </c>
    </row>
    <row r="853" ht="26.25" hidden="1" customHeight="1">
      <c r="A853" s="371"/>
      <c r="B853" s="372"/>
      <c r="C853" s="66"/>
      <c r="D853" s="90"/>
      <c r="E853" s="66"/>
      <c r="F853" s="66"/>
      <c r="G853" s="66"/>
      <c r="H853" s="66"/>
      <c r="I853" s="66"/>
      <c r="J853" s="66"/>
      <c r="K853" s="66"/>
      <c r="L853" s="66"/>
      <c r="M853" s="330"/>
      <c r="N853" s="339"/>
      <c r="O853" s="331" t="str">
        <f>IFERROR(__xludf.DUMMYFUNCTION("IFERROR(AVERAGE(FILTER('حضور '!I:I,'حضور '!A:A=A853,MONTH('حضور '!B:B)=N853)),"""")"),"")</f>
        <v/>
      </c>
    </row>
    <row r="854" ht="26.25" hidden="1" customHeight="1">
      <c r="A854" s="371"/>
      <c r="B854" s="372"/>
      <c r="C854" s="66"/>
      <c r="D854" s="90"/>
      <c r="E854" s="66"/>
      <c r="F854" s="66"/>
      <c r="G854" s="66"/>
      <c r="H854" s="66"/>
      <c r="I854" s="66"/>
      <c r="J854" s="66"/>
      <c r="K854" s="66"/>
      <c r="L854" s="66"/>
      <c r="M854" s="330"/>
      <c r="N854" s="330"/>
      <c r="O854" s="331" t="str">
        <f>IFERROR(__xludf.DUMMYFUNCTION("IFERROR(AVERAGE(FILTER('حضور '!I:I,'حضور '!A:A=A854,MONTH('حضور '!B:B)=N854)),"""")"),"")</f>
        <v/>
      </c>
    </row>
    <row r="855" ht="26.25" hidden="1" customHeight="1">
      <c r="A855" s="371"/>
      <c r="B855" s="372"/>
      <c r="C855" s="66"/>
      <c r="D855" s="90"/>
      <c r="E855" s="66"/>
      <c r="F855" s="66"/>
      <c r="G855" s="66"/>
      <c r="H855" s="66"/>
      <c r="I855" s="66"/>
      <c r="J855" s="66"/>
      <c r="K855" s="66"/>
      <c r="L855" s="66"/>
      <c r="M855" s="330"/>
      <c r="N855" s="339"/>
      <c r="O855" s="331" t="str">
        <f>IFERROR(__xludf.DUMMYFUNCTION("IFERROR(AVERAGE(FILTER('حضور '!I:I,'حضور '!A:A=A855,MONTH('حضور '!B:B)=N855)),"""")"),"")</f>
        <v/>
      </c>
    </row>
    <row r="856" ht="26.25" hidden="1" customHeight="1">
      <c r="A856" s="371"/>
      <c r="B856" s="372"/>
      <c r="C856" s="66"/>
      <c r="D856" s="90"/>
      <c r="E856" s="66"/>
      <c r="F856" s="66"/>
      <c r="G856" s="66"/>
      <c r="H856" s="66"/>
      <c r="I856" s="66"/>
      <c r="J856" s="66"/>
      <c r="K856" s="66"/>
      <c r="L856" s="66"/>
      <c r="M856" s="330"/>
      <c r="N856" s="339"/>
      <c r="O856" s="331" t="str">
        <f>IFERROR(__xludf.DUMMYFUNCTION("IFERROR(AVERAGE(FILTER('حضور '!I:I,'حضور '!A:A=A856,MONTH('حضور '!B:B)=N856)),"""")"),"")</f>
        <v/>
      </c>
    </row>
    <row r="857" ht="26.25" hidden="1" customHeight="1">
      <c r="A857" s="371"/>
      <c r="B857" s="372"/>
      <c r="C857" s="66"/>
      <c r="D857" s="90"/>
      <c r="E857" s="66"/>
      <c r="F857" s="66"/>
      <c r="G857" s="66"/>
      <c r="H857" s="66"/>
      <c r="I857" s="66"/>
      <c r="J857" s="66"/>
      <c r="K857" s="66"/>
      <c r="L857" s="66"/>
      <c r="M857" s="330"/>
      <c r="N857" s="339"/>
      <c r="O857" s="331" t="str">
        <f>IFERROR(__xludf.DUMMYFUNCTION("IFERROR(AVERAGE(FILTER('حضور '!I:I,'حضور '!A:A=A857,MONTH('حضور '!B:B)=N857)),"""")"),"")</f>
        <v/>
      </c>
    </row>
    <row r="858" ht="26.25" hidden="1" customHeight="1">
      <c r="A858" s="371"/>
      <c r="B858" s="372"/>
      <c r="C858" s="66"/>
      <c r="D858" s="90"/>
      <c r="E858" s="66"/>
      <c r="F858" s="66"/>
      <c r="G858" s="66"/>
      <c r="H858" s="66"/>
      <c r="I858" s="66"/>
      <c r="J858" s="66"/>
      <c r="K858" s="66"/>
      <c r="L858" s="66"/>
      <c r="M858" s="330"/>
      <c r="N858" s="339"/>
      <c r="O858" s="331" t="str">
        <f>IFERROR(__xludf.DUMMYFUNCTION("IFERROR(AVERAGE(FILTER('حضور '!I:I,'حضور '!A:A=A858,MONTH('حضور '!B:B)=N858)),"""")"),"")</f>
        <v/>
      </c>
    </row>
    <row r="859" ht="26.25" hidden="1" customHeight="1">
      <c r="A859" s="371"/>
      <c r="B859" s="372"/>
      <c r="C859" s="66"/>
      <c r="D859" s="90"/>
      <c r="E859" s="66"/>
      <c r="F859" s="66"/>
      <c r="G859" s="66"/>
      <c r="H859" s="66"/>
      <c r="I859" s="66"/>
      <c r="J859" s="66"/>
      <c r="K859" s="66"/>
      <c r="L859" s="66"/>
      <c r="M859" s="330"/>
      <c r="N859" s="330"/>
      <c r="O859" s="331" t="str">
        <f>IFERROR(__xludf.DUMMYFUNCTION("IFERROR(AVERAGE(FILTER('حضور '!I:I,'حضور '!A:A=A859,MONTH('حضور '!B:B)=N859)),"""")"),"")</f>
        <v/>
      </c>
    </row>
    <row r="860" ht="26.25" hidden="1" customHeight="1">
      <c r="A860" s="371"/>
      <c r="B860" s="372"/>
      <c r="C860" s="66"/>
      <c r="D860" s="90"/>
      <c r="E860" s="66"/>
      <c r="F860" s="66"/>
      <c r="G860" s="66"/>
      <c r="H860" s="66"/>
      <c r="I860" s="66"/>
      <c r="J860" s="66"/>
      <c r="K860" s="66"/>
      <c r="L860" s="66"/>
      <c r="M860" s="330"/>
      <c r="N860" s="339"/>
      <c r="O860" s="331" t="str">
        <f>IFERROR(__xludf.DUMMYFUNCTION("IFERROR(AVERAGE(FILTER('حضور '!I:I,'حضور '!A:A=A860,MONTH('حضور '!B:B)=N860)),"""")"),"")</f>
        <v/>
      </c>
    </row>
    <row r="861" ht="26.25" hidden="1" customHeight="1">
      <c r="A861" s="371"/>
      <c r="B861" s="372"/>
      <c r="C861" s="66"/>
      <c r="D861" s="90"/>
      <c r="E861" s="66"/>
      <c r="F861" s="66"/>
      <c r="G861" s="66"/>
      <c r="H861" s="66"/>
      <c r="I861" s="66"/>
      <c r="J861" s="66"/>
      <c r="K861" s="66"/>
      <c r="L861" s="66"/>
      <c r="M861" s="330"/>
      <c r="N861" s="339"/>
      <c r="O861" s="331" t="str">
        <f>IFERROR(__xludf.DUMMYFUNCTION("IFERROR(AVERAGE(FILTER('حضور '!I:I,'حضور '!A:A=A861,MONTH('حضور '!B:B)=N861)),"""")"),"")</f>
        <v/>
      </c>
    </row>
    <row r="862" ht="26.25" hidden="1" customHeight="1">
      <c r="A862" s="371"/>
      <c r="B862" s="372"/>
      <c r="C862" s="66"/>
      <c r="D862" s="90"/>
      <c r="E862" s="66"/>
      <c r="F862" s="66"/>
      <c r="G862" s="66"/>
      <c r="H862" s="66"/>
      <c r="I862" s="66"/>
      <c r="J862" s="66"/>
      <c r="K862" s="66"/>
      <c r="L862" s="66"/>
      <c r="M862" s="330"/>
      <c r="N862" s="339"/>
      <c r="O862" s="331" t="str">
        <f>IFERROR(__xludf.DUMMYFUNCTION("IFERROR(AVERAGE(FILTER('حضور '!I:I,'حضور '!A:A=A862,MONTH('حضور '!B:B)=N862)),"""")"),"")</f>
        <v/>
      </c>
    </row>
    <row r="863" ht="26.25" hidden="1" customHeight="1">
      <c r="A863" s="371"/>
      <c r="B863" s="372"/>
      <c r="C863" s="66"/>
      <c r="D863" s="90"/>
      <c r="E863" s="66"/>
      <c r="F863" s="66"/>
      <c r="G863" s="66"/>
      <c r="H863" s="66"/>
      <c r="I863" s="66"/>
      <c r="J863" s="66"/>
      <c r="K863" s="66"/>
      <c r="L863" s="66"/>
      <c r="M863" s="330"/>
      <c r="N863" s="339"/>
      <c r="O863" s="331" t="str">
        <f>IFERROR(__xludf.DUMMYFUNCTION("IFERROR(AVERAGE(FILTER('حضور '!I:I,'حضور '!A:A=A863,MONTH('حضور '!B:B)=N863)),"""")"),"")</f>
        <v/>
      </c>
    </row>
    <row r="864" ht="26.25" hidden="1" customHeight="1">
      <c r="A864" s="371"/>
      <c r="B864" s="372"/>
      <c r="C864" s="66"/>
      <c r="D864" s="90"/>
      <c r="E864" s="66"/>
      <c r="F864" s="66"/>
      <c r="G864" s="66"/>
      <c r="H864" s="66"/>
      <c r="I864" s="66"/>
      <c r="J864" s="66"/>
      <c r="K864" s="66"/>
      <c r="L864" s="66"/>
      <c r="M864" s="330"/>
      <c r="N864" s="330"/>
      <c r="O864" s="331" t="str">
        <f>IFERROR(__xludf.DUMMYFUNCTION("IFERROR(AVERAGE(FILTER('حضور '!I:I,'حضور '!A:A=A864,MONTH('حضور '!B:B)=N864)),"""")"),"")</f>
        <v/>
      </c>
    </row>
    <row r="865" ht="26.25" hidden="1" customHeight="1">
      <c r="A865" s="371"/>
      <c r="B865" s="372"/>
      <c r="C865" s="66"/>
      <c r="D865" s="90"/>
      <c r="E865" s="66"/>
      <c r="F865" s="66"/>
      <c r="G865" s="66"/>
      <c r="H865" s="66"/>
      <c r="I865" s="66"/>
      <c r="J865" s="66"/>
      <c r="K865" s="66"/>
      <c r="L865" s="66"/>
      <c r="M865" s="330"/>
      <c r="N865" s="339"/>
      <c r="O865" s="331" t="str">
        <f>IFERROR(__xludf.DUMMYFUNCTION("IFERROR(AVERAGE(FILTER('حضور '!I:I,'حضور '!A:A=A865,MONTH('حضور '!B:B)=N865)),"""")"),"")</f>
        <v/>
      </c>
    </row>
    <row r="866" ht="26.25" hidden="1" customHeight="1">
      <c r="A866" s="371"/>
      <c r="B866" s="372"/>
      <c r="C866" s="66"/>
      <c r="D866" s="90"/>
      <c r="E866" s="66"/>
      <c r="F866" s="66"/>
      <c r="G866" s="66"/>
      <c r="H866" s="66"/>
      <c r="I866" s="66"/>
      <c r="J866" s="66"/>
      <c r="K866" s="66"/>
      <c r="L866" s="66"/>
      <c r="M866" s="330"/>
      <c r="N866" s="339"/>
      <c r="O866" s="331" t="str">
        <f>IFERROR(__xludf.DUMMYFUNCTION("IFERROR(AVERAGE(FILTER('حضور '!I:I,'حضور '!A:A=A866,MONTH('حضور '!B:B)=N866)),"""")"),"")</f>
        <v/>
      </c>
    </row>
    <row r="867" ht="26.25" hidden="1" customHeight="1">
      <c r="A867" s="371"/>
      <c r="B867" s="372"/>
      <c r="C867" s="66"/>
      <c r="D867" s="90"/>
      <c r="E867" s="66"/>
      <c r="F867" s="66"/>
      <c r="G867" s="66"/>
      <c r="H867" s="66"/>
      <c r="I867" s="66"/>
      <c r="J867" s="66"/>
      <c r="K867" s="66"/>
      <c r="L867" s="66"/>
      <c r="M867" s="330"/>
      <c r="N867" s="339"/>
      <c r="O867" s="331" t="str">
        <f>IFERROR(__xludf.DUMMYFUNCTION("IFERROR(AVERAGE(FILTER('حضور '!I:I,'حضور '!A:A=A867,MONTH('حضور '!B:B)=N867)),"""")"),"")</f>
        <v/>
      </c>
    </row>
    <row r="868" ht="26.25" hidden="1" customHeight="1">
      <c r="A868" s="371"/>
      <c r="B868" s="372"/>
      <c r="C868" s="66"/>
      <c r="D868" s="90"/>
      <c r="E868" s="66"/>
      <c r="F868" s="66"/>
      <c r="G868" s="66"/>
      <c r="H868" s="66"/>
      <c r="I868" s="66"/>
      <c r="J868" s="66"/>
      <c r="K868" s="66"/>
      <c r="L868" s="66"/>
      <c r="M868" s="330"/>
      <c r="N868" s="339"/>
      <c r="O868" s="331" t="str">
        <f>IFERROR(__xludf.DUMMYFUNCTION("IFERROR(AVERAGE(FILTER('حضور '!I:I,'حضور '!A:A=A868,MONTH('حضور '!B:B)=N868)),"""")"),"")</f>
        <v/>
      </c>
    </row>
    <row r="869" ht="26.25" hidden="1" customHeight="1">
      <c r="A869" s="371"/>
      <c r="B869" s="372"/>
      <c r="C869" s="66"/>
      <c r="D869" s="90"/>
      <c r="E869" s="66"/>
      <c r="F869" s="66"/>
      <c r="G869" s="66"/>
      <c r="H869" s="66"/>
      <c r="I869" s="66"/>
      <c r="J869" s="66"/>
      <c r="K869" s="66"/>
      <c r="L869" s="66"/>
      <c r="M869" s="330"/>
      <c r="N869" s="330"/>
      <c r="O869" s="331" t="str">
        <f>IFERROR(__xludf.DUMMYFUNCTION("IFERROR(AVERAGE(FILTER('حضور '!I:I,'حضور '!A:A=A869,MONTH('حضور '!B:B)=N869)),"""")"),"")</f>
        <v/>
      </c>
    </row>
    <row r="870" ht="26.25" hidden="1" customHeight="1">
      <c r="A870" s="371"/>
      <c r="B870" s="372"/>
      <c r="C870" s="66"/>
      <c r="D870" s="90"/>
      <c r="E870" s="66"/>
      <c r="F870" s="66"/>
      <c r="G870" s="66"/>
      <c r="H870" s="66"/>
      <c r="I870" s="66"/>
      <c r="J870" s="66"/>
      <c r="K870" s="66"/>
      <c r="L870" s="66"/>
      <c r="M870" s="330"/>
      <c r="N870" s="339"/>
      <c r="O870" s="331" t="str">
        <f>IFERROR(__xludf.DUMMYFUNCTION("IFERROR(AVERAGE(FILTER('حضور '!I:I,'حضور '!A:A=A870,MONTH('حضور '!B:B)=N870)),"""")"),"")</f>
        <v/>
      </c>
    </row>
    <row r="871" ht="26.25" hidden="1" customHeight="1">
      <c r="A871" s="371"/>
      <c r="B871" s="372"/>
      <c r="C871" s="66"/>
      <c r="D871" s="90"/>
      <c r="E871" s="66"/>
      <c r="F871" s="66"/>
      <c r="G871" s="66"/>
      <c r="H871" s="66"/>
      <c r="I871" s="66"/>
      <c r="J871" s="66"/>
      <c r="K871" s="66"/>
      <c r="L871" s="66"/>
      <c r="M871" s="330"/>
      <c r="N871" s="339"/>
      <c r="O871" s="331" t="str">
        <f>IFERROR(__xludf.DUMMYFUNCTION("IFERROR(AVERAGE(FILTER('حضور '!I:I,'حضور '!A:A=A871,MONTH('حضور '!B:B)=N871)),"""")"),"")</f>
        <v/>
      </c>
    </row>
    <row r="872" ht="26.25" hidden="1" customHeight="1">
      <c r="A872" s="371"/>
      <c r="B872" s="372"/>
      <c r="C872" s="66"/>
      <c r="D872" s="90"/>
      <c r="E872" s="66"/>
      <c r="F872" s="66"/>
      <c r="G872" s="66"/>
      <c r="H872" s="66"/>
      <c r="I872" s="66"/>
      <c r="J872" s="66"/>
      <c r="K872" s="66"/>
      <c r="L872" s="66"/>
      <c r="M872" s="330"/>
      <c r="N872" s="339"/>
      <c r="O872" s="331" t="str">
        <f>IFERROR(__xludf.DUMMYFUNCTION("IFERROR(AVERAGE(FILTER('حضور '!I:I,'حضور '!A:A=A872,MONTH('حضور '!B:B)=N872)),"""")"),"")</f>
        <v/>
      </c>
    </row>
    <row r="873" ht="26.25" hidden="1" customHeight="1">
      <c r="A873" s="371"/>
      <c r="B873" s="372"/>
      <c r="C873" s="66"/>
      <c r="D873" s="90"/>
      <c r="E873" s="66"/>
      <c r="F873" s="66"/>
      <c r="G873" s="66"/>
      <c r="H873" s="66"/>
      <c r="I873" s="66"/>
      <c r="J873" s="66"/>
      <c r="K873" s="66"/>
      <c r="L873" s="66"/>
      <c r="M873" s="330"/>
      <c r="N873" s="339"/>
      <c r="O873" s="331" t="str">
        <f>IFERROR(__xludf.DUMMYFUNCTION("IFERROR(AVERAGE(FILTER('حضور '!I:I,'حضور '!A:A=A873,MONTH('حضور '!B:B)=N873)),"""")"),"")</f>
        <v/>
      </c>
    </row>
    <row r="874" ht="26.25" hidden="1" customHeight="1">
      <c r="A874" s="371"/>
      <c r="B874" s="372"/>
      <c r="C874" s="66"/>
      <c r="D874" s="90"/>
      <c r="E874" s="66"/>
      <c r="F874" s="66"/>
      <c r="G874" s="66"/>
      <c r="H874" s="66"/>
      <c r="I874" s="66"/>
      <c r="J874" s="66"/>
      <c r="K874" s="66"/>
      <c r="L874" s="66"/>
      <c r="M874" s="330"/>
      <c r="N874" s="330"/>
      <c r="O874" s="331" t="str">
        <f>IFERROR(__xludf.DUMMYFUNCTION("IFERROR(AVERAGE(FILTER('حضور '!I:I,'حضور '!A:A=A874,MONTH('حضور '!B:B)=N874)),"""")"),"")</f>
        <v/>
      </c>
    </row>
    <row r="875" ht="26.25" hidden="1" customHeight="1">
      <c r="A875" s="371"/>
      <c r="B875" s="372"/>
      <c r="C875" s="66"/>
      <c r="D875" s="90"/>
      <c r="E875" s="66"/>
      <c r="F875" s="66"/>
      <c r="G875" s="66"/>
      <c r="H875" s="66"/>
      <c r="I875" s="66"/>
      <c r="J875" s="66"/>
      <c r="K875" s="66"/>
      <c r="L875" s="66"/>
      <c r="M875" s="330"/>
      <c r="N875" s="339"/>
      <c r="O875" s="331" t="str">
        <f>IFERROR(__xludf.DUMMYFUNCTION("IFERROR(AVERAGE(FILTER('حضور '!I:I,'حضور '!A:A=A875,MONTH('حضور '!B:B)=N875)),"""")"),"")</f>
        <v/>
      </c>
    </row>
    <row r="876" ht="26.25" hidden="1" customHeight="1">
      <c r="A876" s="371"/>
      <c r="B876" s="372"/>
      <c r="C876" s="66"/>
      <c r="D876" s="90"/>
      <c r="E876" s="66"/>
      <c r="F876" s="66"/>
      <c r="G876" s="66"/>
      <c r="H876" s="66"/>
      <c r="I876" s="66"/>
      <c r="J876" s="66"/>
      <c r="K876" s="66"/>
      <c r="L876" s="66"/>
      <c r="M876" s="330"/>
      <c r="N876" s="339"/>
      <c r="O876" s="331" t="str">
        <f>IFERROR(__xludf.DUMMYFUNCTION("IFERROR(AVERAGE(FILTER('حضور '!I:I,'حضور '!A:A=A876,MONTH('حضور '!B:B)=N876)),"""")"),"")</f>
        <v/>
      </c>
    </row>
    <row r="877" ht="26.25" hidden="1" customHeight="1">
      <c r="A877" s="371"/>
      <c r="B877" s="372"/>
      <c r="C877" s="66"/>
      <c r="D877" s="90"/>
      <c r="E877" s="66"/>
      <c r="F877" s="66"/>
      <c r="G877" s="66"/>
      <c r="H877" s="66"/>
      <c r="I877" s="66"/>
      <c r="J877" s="66"/>
      <c r="K877" s="66"/>
      <c r="L877" s="66"/>
      <c r="M877" s="330"/>
      <c r="N877" s="339"/>
      <c r="O877" s="331" t="str">
        <f>IFERROR(__xludf.DUMMYFUNCTION("IFERROR(AVERAGE(FILTER('حضور '!I:I,'حضور '!A:A=A877,MONTH('حضور '!B:B)=N877)),"""")"),"")</f>
        <v/>
      </c>
    </row>
    <row r="878" ht="26.25" hidden="1" customHeight="1">
      <c r="A878" s="371"/>
      <c r="B878" s="372"/>
      <c r="C878" s="66"/>
      <c r="D878" s="90"/>
      <c r="E878" s="66"/>
      <c r="F878" s="66"/>
      <c r="G878" s="66"/>
      <c r="H878" s="66"/>
      <c r="I878" s="66"/>
      <c r="J878" s="66"/>
      <c r="K878" s="66"/>
      <c r="L878" s="66"/>
      <c r="M878" s="330"/>
      <c r="N878" s="339"/>
      <c r="O878" s="331" t="str">
        <f>IFERROR(__xludf.DUMMYFUNCTION("IFERROR(AVERAGE(FILTER('حضور '!I:I,'حضور '!A:A=A878,MONTH('حضور '!B:B)=N878)),"""")"),"")</f>
        <v/>
      </c>
    </row>
    <row r="879" ht="26.25" hidden="1" customHeight="1">
      <c r="A879" s="371"/>
      <c r="B879" s="372"/>
      <c r="C879" s="66"/>
      <c r="D879" s="90"/>
      <c r="E879" s="66"/>
      <c r="F879" s="66"/>
      <c r="G879" s="66"/>
      <c r="H879" s="66"/>
      <c r="I879" s="66"/>
      <c r="J879" s="66"/>
      <c r="K879" s="66"/>
      <c r="L879" s="66"/>
      <c r="M879" s="330"/>
      <c r="N879" s="330"/>
      <c r="O879" s="331" t="str">
        <f>IFERROR(__xludf.DUMMYFUNCTION("IFERROR(AVERAGE(FILTER('حضور '!I:I,'حضور '!A:A=A879,MONTH('حضور '!B:B)=N879)),"""")"),"")</f>
        <v/>
      </c>
    </row>
    <row r="880" ht="26.25" hidden="1" customHeight="1">
      <c r="A880" s="371"/>
      <c r="B880" s="372"/>
      <c r="C880" s="66"/>
      <c r="D880" s="90"/>
      <c r="E880" s="66"/>
      <c r="F880" s="66"/>
      <c r="G880" s="66"/>
      <c r="H880" s="66"/>
      <c r="I880" s="66"/>
      <c r="J880" s="66"/>
      <c r="K880" s="66"/>
      <c r="L880" s="66"/>
      <c r="M880" s="330"/>
      <c r="N880" s="339"/>
      <c r="O880" s="331" t="str">
        <f>IFERROR(__xludf.DUMMYFUNCTION("IFERROR(AVERAGE(FILTER('حضور '!I:I,'حضور '!A:A=A880,MONTH('حضور '!B:B)=N880)),"""")"),"")</f>
        <v/>
      </c>
    </row>
    <row r="881" ht="26.25" hidden="1" customHeight="1">
      <c r="A881" s="371"/>
      <c r="B881" s="372"/>
      <c r="C881" s="66"/>
      <c r="D881" s="90"/>
      <c r="E881" s="66"/>
      <c r="F881" s="66"/>
      <c r="G881" s="66"/>
      <c r="H881" s="66"/>
      <c r="I881" s="66"/>
      <c r="J881" s="66"/>
      <c r="K881" s="66"/>
      <c r="L881" s="66"/>
      <c r="M881" s="330"/>
      <c r="N881" s="339"/>
      <c r="O881" s="331" t="str">
        <f>IFERROR(__xludf.DUMMYFUNCTION("IFERROR(AVERAGE(FILTER('حضور '!I:I,'حضور '!A:A=A881,MONTH('حضور '!B:B)=N881)),"""")"),"")</f>
        <v/>
      </c>
    </row>
    <row r="882" ht="26.25" hidden="1" customHeight="1">
      <c r="A882" s="371"/>
      <c r="B882" s="372"/>
      <c r="C882" s="66"/>
      <c r="D882" s="90"/>
      <c r="E882" s="66"/>
      <c r="F882" s="66"/>
      <c r="G882" s="66"/>
      <c r="H882" s="66"/>
      <c r="I882" s="66"/>
      <c r="J882" s="66"/>
      <c r="K882" s="66"/>
      <c r="L882" s="66"/>
      <c r="M882" s="330"/>
      <c r="N882" s="339"/>
      <c r="O882" s="331" t="str">
        <f>IFERROR(__xludf.DUMMYFUNCTION("IFERROR(AVERAGE(FILTER('حضور '!I:I,'حضور '!A:A=A882,MONTH('حضور '!B:B)=N882)),"""")"),"")</f>
        <v/>
      </c>
    </row>
    <row r="883" ht="26.25" hidden="1" customHeight="1">
      <c r="A883" s="371"/>
      <c r="B883" s="372"/>
      <c r="C883" s="66"/>
      <c r="D883" s="90"/>
      <c r="E883" s="66"/>
      <c r="F883" s="66"/>
      <c r="G883" s="66"/>
      <c r="H883" s="66"/>
      <c r="I883" s="66"/>
      <c r="J883" s="66"/>
      <c r="K883" s="66"/>
      <c r="L883" s="66"/>
      <c r="M883" s="330"/>
      <c r="N883" s="339"/>
      <c r="O883" s="331" t="str">
        <f>IFERROR(__xludf.DUMMYFUNCTION("IFERROR(AVERAGE(FILTER('حضور '!I:I,'حضور '!A:A=A883,MONTH('حضور '!B:B)=N883)),"""")"),"")</f>
        <v/>
      </c>
    </row>
    <row r="884" ht="26.25" hidden="1" customHeight="1">
      <c r="A884" s="371"/>
      <c r="B884" s="372"/>
      <c r="C884" s="66"/>
      <c r="D884" s="90"/>
      <c r="E884" s="66"/>
      <c r="F884" s="66"/>
      <c r="G884" s="66"/>
      <c r="H884" s="66"/>
      <c r="I884" s="66"/>
      <c r="J884" s="66"/>
      <c r="K884" s="66"/>
      <c r="L884" s="66"/>
      <c r="M884" s="330"/>
      <c r="N884" s="330"/>
      <c r="O884" s="331" t="str">
        <f>IFERROR(__xludf.DUMMYFUNCTION("IFERROR(AVERAGE(FILTER('حضور '!I:I,'حضور '!A:A=A884,MONTH('حضور '!B:B)=N884)),"""")"),"")</f>
        <v/>
      </c>
    </row>
    <row r="885" ht="26.25" hidden="1" customHeight="1">
      <c r="A885" s="371"/>
      <c r="B885" s="372"/>
      <c r="C885" s="66"/>
      <c r="D885" s="90"/>
      <c r="E885" s="66"/>
      <c r="F885" s="66"/>
      <c r="G885" s="66"/>
      <c r="H885" s="66"/>
      <c r="I885" s="66"/>
      <c r="J885" s="66"/>
      <c r="K885" s="66"/>
      <c r="L885" s="66"/>
      <c r="M885" s="330"/>
      <c r="N885" s="339"/>
      <c r="O885" s="331" t="str">
        <f>IFERROR(__xludf.DUMMYFUNCTION("IFERROR(AVERAGE(FILTER('حضور '!I:I,'حضور '!A:A=A885,MONTH('حضور '!B:B)=N885)),"""")"),"")</f>
        <v/>
      </c>
    </row>
    <row r="886" ht="26.25" hidden="1" customHeight="1">
      <c r="A886" s="371"/>
      <c r="B886" s="372"/>
      <c r="C886" s="66"/>
      <c r="D886" s="90"/>
      <c r="E886" s="66"/>
      <c r="F886" s="66"/>
      <c r="G886" s="66"/>
      <c r="H886" s="66"/>
      <c r="I886" s="66"/>
      <c r="J886" s="66"/>
      <c r="K886" s="66"/>
      <c r="L886" s="66"/>
      <c r="M886" s="330"/>
      <c r="N886" s="339"/>
      <c r="O886" s="331" t="str">
        <f>IFERROR(__xludf.DUMMYFUNCTION("IFERROR(AVERAGE(FILTER('حضور '!I:I,'حضور '!A:A=A886,MONTH('حضور '!B:B)=N886)),"""")"),"")</f>
        <v/>
      </c>
    </row>
    <row r="887" ht="26.25" hidden="1" customHeight="1">
      <c r="A887" s="371"/>
      <c r="B887" s="372"/>
      <c r="C887" s="66"/>
      <c r="D887" s="90"/>
      <c r="E887" s="66"/>
      <c r="F887" s="66"/>
      <c r="G887" s="66"/>
      <c r="H887" s="66"/>
      <c r="I887" s="66"/>
      <c r="J887" s="66"/>
      <c r="K887" s="66"/>
      <c r="L887" s="66"/>
      <c r="M887" s="330"/>
      <c r="N887" s="339"/>
      <c r="O887" s="331" t="str">
        <f>IFERROR(__xludf.DUMMYFUNCTION("IFERROR(AVERAGE(FILTER('حضور '!I:I,'حضور '!A:A=A887,MONTH('حضور '!B:B)=N887)),"""")"),"")</f>
        <v/>
      </c>
    </row>
    <row r="888" ht="26.25" hidden="1" customHeight="1">
      <c r="A888" s="371"/>
      <c r="B888" s="372"/>
      <c r="C888" s="66"/>
      <c r="D888" s="90"/>
      <c r="E888" s="66"/>
      <c r="F888" s="66"/>
      <c r="G888" s="66"/>
      <c r="H888" s="66"/>
      <c r="I888" s="66"/>
      <c r="J888" s="66"/>
      <c r="K888" s="66"/>
      <c r="L888" s="66"/>
      <c r="M888" s="330"/>
      <c r="N888" s="339"/>
      <c r="O888" s="331" t="str">
        <f>IFERROR(__xludf.DUMMYFUNCTION("IFERROR(AVERAGE(FILTER('حضور '!I:I,'حضور '!A:A=A888,MONTH('حضور '!B:B)=N888)),"""")"),"")</f>
        <v/>
      </c>
    </row>
    <row r="889" ht="26.25" hidden="1" customHeight="1">
      <c r="A889" s="371"/>
      <c r="B889" s="372"/>
      <c r="C889" s="66"/>
      <c r="D889" s="90"/>
      <c r="E889" s="66"/>
      <c r="F889" s="66"/>
      <c r="G889" s="66"/>
      <c r="H889" s="66"/>
      <c r="I889" s="66"/>
      <c r="J889" s="66"/>
      <c r="K889" s="66"/>
      <c r="L889" s="66"/>
      <c r="M889" s="330"/>
      <c r="N889" s="330"/>
      <c r="O889" s="331" t="str">
        <f>IFERROR(__xludf.DUMMYFUNCTION("IFERROR(AVERAGE(FILTER('حضور '!I:I,'حضور '!A:A=A889,MONTH('حضور '!B:B)=N889)),"""")"),"")</f>
        <v/>
      </c>
    </row>
    <row r="890" ht="26.25" hidden="1" customHeight="1">
      <c r="A890" s="371"/>
      <c r="B890" s="372"/>
      <c r="C890" s="66"/>
      <c r="D890" s="90"/>
      <c r="E890" s="66"/>
      <c r="F890" s="66"/>
      <c r="G890" s="66"/>
      <c r="H890" s="66"/>
      <c r="I890" s="66"/>
      <c r="J890" s="66"/>
      <c r="K890" s="66"/>
      <c r="L890" s="66"/>
      <c r="M890" s="330"/>
      <c r="N890" s="339"/>
      <c r="O890" s="331" t="str">
        <f>IFERROR(__xludf.DUMMYFUNCTION("IFERROR(AVERAGE(FILTER('حضور '!I:I,'حضور '!A:A=A890,MONTH('حضور '!B:B)=N890)),"""")"),"")</f>
        <v/>
      </c>
    </row>
    <row r="891" ht="26.25" hidden="1" customHeight="1">
      <c r="A891" s="371"/>
      <c r="B891" s="372"/>
      <c r="C891" s="66"/>
      <c r="D891" s="90"/>
      <c r="E891" s="66"/>
      <c r="F891" s="66"/>
      <c r="G891" s="66"/>
      <c r="H891" s="66"/>
      <c r="I891" s="66"/>
      <c r="J891" s="66"/>
      <c r="K891" s="66"/>
      <c r="L891" s="66"/>
      <c r="M891" s="330"/>
      <c r="N891" s="339"/>
      <c r="O891" s="331" t="str">
        <f>IFERROR(__xludf.DUMMYFUNCTION("IFERROR(AVERAGE(FILTER('حضور '!I:I,'حضور '!A:A=A891,MONTH('حضور '!B:B)=N891)),"""")"),"")</f>
        <v/>
      </c>
    </row>
    <row r="892" ht="26.25" hidden="1" customHeight="1">
      <c r="A892" s="371"/>
      <c r="B892" s="372"/>
      <c r="C892" s="66"/>
      <c r="D892" s="90"/>
      <c r="E892" s="66"/>
      <c r="F892" s="66"/>
      <c r="G892" s="66"/>
      <c r="H892" s="66"/>
      <c r="I892" s="66"/>
      <c r="J892" s="66"/>
      <c r="K892" s="66"/>
      <c r="L892" s="66"/>
      <c r="M892" s="330"/>
      <c r="N892" s="339"/>
      <c r="O892" s="331" t="str">
        <f>IFERROR(__xludf.DUMMYFUNCTION("IFERROR(AVERAGE(FILTER('حضور '!I:I,'حضور '!A:A=A892,MONTH('حضور '!B:B)=N892)),"""")"),"")</f>
        <v/>
      </c>
    </row>
    <row r="893" ht="26.25" hidden="1" customHeight="1">
      <c r="A893" s="371"/>
      <c r="B893" s="372"/>
      <c r="C893" s="66"/>
      <c r="D893" s="90"/>
      <c r="E893" s="66"/>
      <c r="F893" s="66"/>
      <c r="G893" s="66"/>
      <c r="H893" s="66"/>
      <c r="I893" s="66"/>
      <c r="J893" s="66"/>
      <c r="K893" s="66"/>
      <c r="L893" s="66"/>
      <c r="M893" s="330"/>
      <c r="N893" s="339"/>
      <c r="O893" s="331" t="str">
        <f>IFERROR(__xludf.DUMMYFUNCTION("IFERROR(AVERAGE(FILTER('حضور '!I:I,'حضور '!A:A=A893,MONTH('حضور '!B:B)=N893)),"""")"),"")</f>
        <v/>
      </c>
    </row>
    <row r="894" ht="26.25" hidden="1" customHeight="1">
      <c r="A894" s="371"/>
      <c r="B894" s="372"/>
      <c r="C894" s="66"/>
      <c r="D894" s="90"/>
      <c r="E894" s="66"/>
      <c r="F894" s="66"/>
      <c r="G894" s="66"/>
      <c r="H894" s="66"/>
      <c r="I894" s="66"/>
      <c r="J894" s="66"/>
      <c r="K894" s="66"/>
      <c r="L894" s="66"/>
      <c r="M894" s="330"/>
      <c r="N894" s="330"/>
      <c r="O894" s="331" t="str">
        <f>IFERROR(__xludf.DUMMYFUNCTION("IFERROR(AVERAGE(FILTER('حضور '!I:I,'حضور '!A:A=A894,MONTH('حضور '!B:B)=N894)),"""")"),"")</f>
        <v/>
      </c>
    </row>
    <row r="895" ht="26.25" hidden="1" customHeight="1">
      <c r="A895" s="371"/>
      <c r="B895" s="372"/>
      <c r="C895" s="66"/>
      <c r="D895" s="90"/>
      <c r="E895" s="66"/>
      <c r="F895" s="66"/>
      <c r="G895" s="66"/>
      <c r="H895" s="66"/>
      <c r="I895" s="66"/>
      <c r="J895" s="66"/>
      <c r="K895" s="66"/>
      <c r="L895" s="66"/>
      <c r="M895" s="330"/>
      <c r="N895" s="339"/>
      <c r="O895" s="331" t="str">
        <f>IFERROR(__xludf.DUMMYFUNCTION("IFERROR(AVERAGE(FILTER('حضور '!I:I,'حضور '!A:A=A895,MONTH('حضور '!B:B)=N895)),"""")"),"")</f>
        <v/>
      </c>
    </row>
    <row r="896" ht="26.25" hidden="1" customHeight="1">
      <c r="A896" s="371"/>
      <c r="B896" s="372"/>
      <c r="C896" s="66"/>
      <c r="D896" s="90"/>
      <c r="E896" s="66"/>
      <c r="F896" s="66"/>
      <c r="G896" s="66"/>
      <c r="H896" s="66"/>
      <c r="I896" s="66"/>
      <c r="J896" s="66"/>
      <c r="K896" s="66"/>
      <c r="L896" s="66"/>
      <c r="M896" s="330"/>
      <c r="N896" s="339"/>
      <c r="O896" s="331" t="str">
        <f>IFERROR(__xludf.DUMMYFUNCTION("IFERROR(AVERAGE(FILTER('حضور '!I:I,'حضور '!A:A=A896,MONTH('حضور '!B:B)=N896)),"""")"),"")</f>
        <v/>
      </c>
    </row>
    <row r="897" ht="26.25" hidden="1" customHeight="1">
      <c r="A897" s="371"/>
      <c r="B897" s="372"/>
      <c r="C897" s="66"/>
      <c r="D897" s="90"/>
      <c r="E897" s="66"/>
      <c r="F897" s="66"/>
      <c r="G897" s="66"/>
      <c r="H897" s="66"/>
      <c r="I897" s="66"/>
      <c r="J897" s="66"/>
      <c r="K897" s="66"/>
      <c r="L897" s="66"/>
      <c r="M897" s="330"/>
      <c r="N897" s="339"/>
      <c r="O897" s="331" t="str">
        <f>IFERROR(__xludf.DUMMYFUNCTION("IFERROR(AVERAGE(FILTER('حضور '!I:I,'حضور '!A:A=A897,MONTH('حضور '!B:B)=N897)),"""")"),"")</f>
        <v/>
      </c>
    </row>
    <row r="898" ht="26.25" hidden="1" customHeight="1">
      <c r="A898" s="371"/>
      <c r="B898" s="372"/>
      <c r="C898" s="66"/>
      <c r="D898" s="90"/>
      <c r="E898" s="66"/>
      <c r="F898" s="66"/>
      <c r="G898" s="66"/>
      <c r="H898" s="66"/>
      <c r="I898" s="66"/>
      <c r="J898" s="66"/>
      <c r="K898" s="66"/>
      <c r="L898" s="66"/>
      <c r="M898" s="330"/>
      <c r="N898" s="339"/>
      <c r="O898" s="331" t="str">
        <f>IFERROR(__xludf.DUMMYFUNCTION("IFERROR(AVERAGE(FILTER('حضور '!I:I,'حضور '!A:A=A898,MONTH('حضور '!B:B)=N898)),"""")"),"")</f>
        <v/>
      </c>
    </row>
    <row r="899" ht="26.25" hidden="1" customHeight="1">
      <c r="A899" s="371"/>
      <c r="B899" s="372"/>
      <c r="C899" s="66"/>
      <c r="D899" s="90"/>
      <c r="E899" s="66"/>
      <c r="F899" s="66"/>
      <c r="G899" s="66"/>
      <c r="H899" s="66"/>
      <c r="I899" s="66"/>
      <c r="J899" s="66"/>
      <c r="K899" s="66"/>
      <c r="L899" s="66"/>
      <c r="M899" s="330"/>
      <c r="N899" s="330"/>
      <c r="O899" s="331" t="str">
        <f>IFERROR(__xludf.DUMMYFUNCTION("IFERROR(AVERAGE(FILTER('حضور '!I:I,'حضور '!A:A=A899,MONTH('حضور '!B:B)=N899)),"""")"),"")</f>
        <v/>
      </c>
    </row>
    <row r="900" ht="26.25" hidden="1" customHeight="1">
      <c r="A900" s="371"/>
      <c r="B900" s="372"/>
      <c r="C900" s="66"/>
      <c r="D900" s="90"/>
      <c r="E900" s="66"/>
      <c r="F900" s="66"/>
      <c r="G900" s="66"/>
      <c r="H900" s="66"/>
      <c r="I900" s="66"/>
      <c r="J900" s="66"/>
      <c r="K900" s="66"/>
      <c r="L900" s="66"/>
      <c r="M900" s="330"/>
      <c r="N900" s="339"/>
      <c r="O900" s="331" t="str">
        <f>IFERROR(__xludf.DUMMYFUNCTION("IFERROR(AVERAGE(FILTER('حضور '!I:I,'حضور '!A:A=A900,MONTH('حضور '!B:B)=N900)),"""")"),"")</f>
        <v/>
      </c>
    </row>
    <row r="901" ht="26.25" hidden="1" customHeight="1">
      <c r="A901" s="371"/>
      <c r="B901" s="372"/>
      <c r="C901" s="66"/>
      <c r="D901" s="90"/>
      <c r="E901" s="66"/>
      <c r="F901" s="66"/>
      <c r="G901" s="66"/>
      <c r="H901" s="66"/>
      <c r="I901" s="66"/>
      <c r="J901" s="66"/>
      <c r="K901" s="66"/>
      <c r="L901" s="66"/>
      <c r="M901" s="330"/>
      <c r="N901" s="339"/>
      <c r="O901" s="331" t="str">
        <f>IFERROR(__xludf.DUMMYFUNCTION("IFERROR(AVERAGE(FILTER('حضور '!I:I,'حضور '!A:A=A901,MONTH('حضور '!B:B)=N901)),"""")"),"")</f>
        <v/>
      </c>
    </row>
    <row r="902" ht="26.25" hidden="1" customHeight="1">
      <c r="A902" s="371"/>
      <c r="B902" s="372"/>
      <c r="C902" s="66"/>
      <c r="D902" s="90"/>
      <c r="E902" s="66"/>
      <c r="F902" s="66"/>
      <c r="G902" s="66"/>
      <c r="H902" s="66"/>
      <c r="I902" s="66"/>
      <c r="J902" s="66"/>
      <c r="K902" s="66"/>
      <c r="L902" s="66"/>
      <c r="M902" s="330"/>
      <c r="N902" s="339"/>
      <c r="O902" s="331" t="str">
        <f>IFERROR(__xludf.DUMMYFUNCTION("IFERROR(AVERAGE(FILTER('حضور '!I:I,'حضور '!A:A=A902,MONTH('حضور '!B:B)=N902)),"""")"),"")</f>
        <v/>
      </c>
    </row>
    <row r="903" ht="26.25" hidden="1" customHeight="1">
      <c r="A903" s="371"/>
      <c r="B903" s="372"/>
      <c r="C903" s="66"/>
      <c r="D903" s="90"/>
      <c r="E903" s="66"/>
      <c r="F903" s="66"/>
      <c r="G903" s="66"/>
      <c r="H903" s="66"/>
      <c r="I903" s="66"/>
      <c r="J903" s="66"/>
      <c r="K903" s="66"/>
      <c r="L903" s="66"/>
      <c r="M903" s="330"/>
      <c r="N903" s="339"/>
      <c r="O903" s="331" t="str">
        <f>IFERROR(__xludf.DUMMYFUNCTION("IFERROR(AVERAGE(FILTER('حضور '!I:I,'حضور '!A:A=A903,MONTH('حضور '!B:B)=N903)),"""")"),"")</f>
        <v/>
      </c>
    </row>
    <row r="904" ht="26.25" hidden="1" customHeight="1">
      <c r="A904" s="371"/>
      <c r="B904" s="372"/>
      <c r="C904" s="66"/>
      <c r="D904" s="90"/>
      <c r="E904" s="66"/>
      <c r="F904" s="66"/>
      <c r="G904" s="66"/>
      <c r="H904" s="66"/>
      <c r="I904" s="66"/>
      <c r="J904" s="66"/>
      <c r="K904" s="66"/>
      <c r="L904" s="66"/>
      <c r="M904" s="330"/>
      <c r="N904" s="330"/>
      <c r="O904" s="331" t="str">
        <f>IFERROR(__xludf.DUMMYFUNCTION("IFERROR(AVERAGE(FILTER('حضور '!I:I,'حضور '!A:A=A904,MONTH('حضور '!B:B)=N904)),"""")"),"")</f>
        <v/>
      </c>
    </row>
    <row r="905" ht="26.25" hidden="1" customHeight="1">
      <c r="A905" s="371"/>
      <c r="B905" s="372"/>
      <c r="C905" s="66"/>
      <c r="D905" s="90"/>
      <c r="E905" s="66"/>
      <c r="F905" s="66"/>
      <c r="G905" s="66"/>
      <c r="H905" s="66"/>
      <c r="I905" s="66"/>
      <c r="J905" s="66"/>
      <c r="K905" s="66"/>
      <c r="L905" s="66"/>
      <c r="M905" s="330"/>
      <c r="N905" s="339"/>
      <c r="O905" s="331" t="str">
        <f>IFERROR(__xludf.DUMMYFUNCTION("IFERROR(AVERAGE(FILTER('حضور '!I:I,'حضور '!A:A=A905,MONTH('حضور '!B:B)=N905)),"""")"),"")</f>
        <v/>
      </c>
    </row>
    <row r="906" ht="26.25" hidden="1" customHeight="1">
      <c r="A906" s="371"/>
      <c r="B906" s="372"/>
      <c r="C906" s="66"/>
      <c r="D906" s="90"/>
      <c r="E906" s="66"/>
      <c r="F906" s="66"/>
      <c r="G906" s="66"/>
      <c r="H906" s="66"/>
      <c r="I906" s="66"/>
      <c r="J906" s="66"/>
      <c r="K906" s="66"/>
      <c r="L906" s="66"/>
      <c r="M906" s="330"/>
      <c r="N906" s="339"/>
      <c r="O906" s="331" t="str">
        <f>IFERROR(__xludf.DUMMYFUNCTION("IFERROR(AVERAGE(FILTER('حضور '!I:I,'حضور '!A:A=A906,MONTH('حضور '!B:B)=N906)),"""")"),"")</f>
        <v/>
      </c>
    </row>
    <row r="907" ht="26.25" hidden="1" customHeight="1">
      <c r="A907" s="371"/>
      <c r="B907" s="372"/>
      <c r="C907" s="66"/>
      <c r="D907" s="90"/>
      <c r="E907" s="66"/>
      <c r="F907" s="66"/>
      <c r="G907" s="66"/>
      <c r="H907" s="66"/>
      <c r="I907" s="66"/>
      <c r="J907" s="66"/>
      <c r="K907" s="66"/>
      <c r="L907" s="66"/>
      <c r="M907" s="330"/>
      <c r="N907" s="339"/>
      <c r="O907" s="331" t="str">
        <f>IFERROR(__xludf.DUMMYFUNCTION("IFERROR(AVERAGE(FILTER('حضور '!I:I,'حضور '!A:A=A907,MONTH('حضور '!B:B)=N907)),"""")"),"")</f>
        <v/>
      </c>
    </row>
    <row r="908" ht="26.25" hidden="1" customHeight="1">
      <c r="A908" s="371"/>
      <c r="B908" s="372"/>
      <c r="C908" s="66"/>
      <c r="D908" s="90"/>
      <c r="E908" s="66"/>
      <c r="F908" s="66"/>
      <c r="G908" s="66"/>
      <c r="H908" s="66"/>
      <c r="I908" s="66"/>
      <c r="J908" s="66"/>
      <c r="K908" s="66"/>
      <c r="L908" s="66"/>
      <c r="M908" s="330"/>
      <c r="N908" s="339"/>
      <c r="O908" s="331" t="str">
        <f>IFERROR(__xludf.DUMMYFUNCTION("IFERROR(AVERAGE(FILTER('حضور '!I:I,'حضور '!A:A=A908,MONTH('حضور '!B:B)=N908)),"""")"),"")</f>
        <v/>
      </c>
    </row>
    <row r="909" ht="26.25" hidden="1" customHeight="1">
      <c r="A909" s="371"/>
      <c r="B909" s="372"/>
      <c r="C909" s="66"/>
      <c r="D909" s="90"/>
      <c r="E909" s="66"/>
      <c r="F909" s="66"/>
      <c r="G909" s="66"/>
      <c r="H909" s="66"/>
      <c r="I909" s="66"/>
      <c r="J909" s="66"/>
      <c r="K909" s="66"/>
      <c r="L909" s="66"/>
      <c r="M909" s="330"/>
      <c r="N909" s="330"/>
      <c r="O909" s="331" t="str">
        <f>IFERROR(__xludf.DUMMYFUNCTION("IFERROR(AVERAGE(FILTER('حضور '!I:I,'حضور '!A:A=A909,MONTH('حضور '!B:B)=N909)),"""")"),"")</f>
        <v/>
      </c>
    </row>
    <row r="910" ht="26.25" hidden="1" customHeight="1">
      <c r="A910" s="371"/>
      <c r="B910" s="372"/>
      <c r="C910" s="66"/>
      <c r="D910" s="90"/>
      <c r="E910" s="66"/>
      <c r="F910" s="66"/>
      <c r="G910" s="66"/>
      <c r="H910" s="66"/>
      <c r="I910" s="66"/>
      <c r="J910" s="66"/>
      <c r="K910" s="66"/>
      <c r="L910" s="66"/>
      <c r="M910" s="330"/>
      <c r="N910" s="339"/>
      <c r="O910" s="331" t="str">
        <f>IFERROR(__xludf.DUMMYFUNCTION("IFERROR(AVERAGE(FILTER('حضور '!I:I,'حضور '!A:A=A910,MONTH('حضور '!B:B)=N910)),"""")"),"")</f>
        <v/>
      </c>
    </row>
    <row r="911" ht="26.25" hidden="1" customHeight="1">
      <c r="A911" s="371"/>
      <c r="B911" s="372"/>
      <c r="C911" s="66"/>
      <c r="D911" s="90"/>
      <c r="E911" s="66"/>
      <c r="F911" s="66"/>
      <c r="G911" s="66"/>
      <c r="H911" s="66"/>
      <c r="I911" s="66"/>
      <c r="J911" s="66"/>
      <c r="K911" s="66"/>
      <c r="L911" s="66"/>
      <c r="M911" s="330"/>
      <c r="N911" s="339"/>
      <c r="O911" s="331" t="str">
        <f>IFERROR(__xludf.DUMMYFUNCTION("IFERROR(AVERAGE(FILTER('حضور '!I:I,'حضور '!A:A=A911,MONTH('حضور '!B:B)=N911)),"""")"),"")</f>
        <v/>
      </c>
    </row>
    <row r="912" ht="26.25" hidden="1" customHeight="1">
      <c r="A912" s="371"/>
      <c r="B912" s="372"/>
      <c r="C912" s="66"/>
      <c r="D912" s="90"/>
      <c r="E912" s="66"/>
      <c r="F912" s="66"/>
      <c r="G912" s="66"/>
      <c r="H912" s="66"/>
      <c r="I912" s="66"/>
      <c r="J912" s="66"/>
      <c r="K912" s="66"/>
      <c r="L912" s="66"/>
      <c r="M912" s="330"/>
      <c r="N912" s="339"/>
      <c r="O912" s="331" t="str">
        <f>IFERROR(__xludf.DUMMYFUNCTION("IFERROR(AVERAGE(FILTER('حضور '!I:I,'حضور '!A:A=A912,MONTH('حضور '!B:B)=N912)),"""")"),"")</f>
        <v/>
      </c>
    </row>
    <row r="913" ht="26.25" hidden="1" customHeight="1">
      <c r="A913" s="371"/>
      <c r="B913" s="372"/>
      <c r="C913" s="66"/>
      <c r="D913" s="90"/>
      <c r="E913" s="66"/>
      <c r="F913" s="66"/>
      <c r="G913" s="66"/>
      <c r="H913" s="66"/>
      <c r="I913" s="66"/>
      <c r="J913" s="66"/>
      <c r="K913" s="66"/>
      <c r="L913" s="66"/>
      <c r="M913" s="330"/>
      <c r="N913" s="339"/>
      <c r="O913" s="331" t="str">
        <f>IFERROR(__xludf.DUMMYFUNCTION("IFERROR(AVERAGE(FILTER('حضور '!I:I,'حضور '!A:A=A913,MONTH('حضور '!B:B)=N913)),"""")"),"")</f>
        <v/>
      </c>
    </row>
    <row r="914" ht="26.25" hidden="1" customHeight="1">
      <c r="A914" s="371"/>
      <c r="B914" s="372"/>
      <c r="C914" s="66"/>
      <c r="D914" s="90"/>
      <c r="E914" s="66"/>
      <c r="F914" s="66"/>
      <c r="G914" s="66"/>
      <c r="H914" s="66"/>
      <c r="I914" s="66"/>
      <c r="J914" s="66"/>
      <c r="K914" s="66"/>
      <c r="L914" s="66"/>
      <c r="M914" s="330"/>
      <c r="N914" s="330"/>
      <c r="O914" s="331" t="str">
        <f>IFERROR(__xludf.DUMMYFUNCTION("IFERROR(AVERAGE(FILTER('حضور '!I:I,'حضور '!A:A=A914,MONTH('حضور '!B:B)=N914)),"""")"),"")</f>
        <v/>
      </c>
    </row>
    <row r="915" ht="26.25" hidden="1" customHeight="1">
      <c r="A915" s="371"/>
      <c r="B915" s="372"/>
      <c r="C915" s="66"/>
      <c r="D915" s="90"/>
      <c r="E915" s="66"/>
      <c r="F915" s="66"/>
      <c r="G915" s="66"/>
      <c r="H915" s="66"/>
      <c r="I915" s="66"/>
      <c r="J915" s="66"/>
      <c r="K915" s="66"/>
      <c r="L915" s="66"/>
      <c r="M915" s="330"/>
      <c r="N915" s="339"/>
      <c r="O915" s="331" t="str">
        <f>IFERROR(__xludf.DUMMYFUNCTION("IFERROR(AVERAGE(FILTER('حضور '!I:I,'حضور '!A:A=A915,MONTH('حضور '!B:B)=N915)),"""")"),"")</f>
        <v/>
      </c>
    </row>
    <row r="916" ht="26.25" hidden="1" customHeight="1">
      <c r="A916" s="371"/>
      <c r="B916" s="372"/>
      <c r="C916" s="66"/>
      <c r="D916" s="90"/>
      <c r="E916" s="66"/>
      <c r="F916" s="66"/>
      <c r="G916" s="66"/>
      <c r="H916" s="66"/>
      <c r="I916" s="66"/>
      <c r="J916" s="66"/>
      <c r="K916" s="66"/>
      <c r="L916" s="66"/>
      <c r="M916" s="330"/>
      <c r="N916" s="339"/>
      <c r="O916" s="331" t="str">
        <f>IFERROR(__xludf.DUMMYFUNCTION("IFERROR(AVERAGE(FILTER('حضور '!I:I,'حضور '!A:A=A916,MONTH('حضور '!B:B)=N916)),"""")"),"")</f>
        <v/>
      </c>
    </row>
    <row r="917" ht="26.25" hidden="1" customHeight="1">
      <c r="A917" s="371"/>
      <c r="B917" s="372"/>
      <c r="C917" s="66"/>
      <c r="D917" s="90"/>
      <c r="E917" s="66"/>
      <c r="F917" s="66"/>
      <c r="G917" s="66"/>
      <c r="H917" s="66"/>
      <c r="I917" s="66"/>
      <c r="J917" s="66"/>
      <c r="K917" s="66"/>
      <c r="L917" s="66"/>
      <c r="M917" s="330"/>
      <c r="N917" s="339"/>
      <c r="O917" s="331" t="str">
        <f>IFERROR(__xludf.DUMMYFUNCTION("IFERROR(AVERAGE(FILTER('حضور '!I:I,'حضور '!A:A=A917,MONTH('حضور '!B:B)=N917)),"""")"),"")</f>
        <v/>
      </c>
    </row>
    <row r="918" ht="26.25" hidden="1" customHeight="1">
      <c r="A918" s="371"/>
      <c r="B918" s="372"/>
      <c r="C918" s="66"/>
      <c r="D918" s="90"/>
      <c r="E918" s="66"/>
      <c r="F918" s="66"/>
      <c r="G918" s="66"/>
      <c r="H918" s="66"/>
      <c r="I918" s="66"/>
      <c r="J918" s="66"/>
      <c r="K918" s="66"/>
      <c r="L918" s="66"/>
      <c r="M918" s="330"/>
      <c r="N918" s="339"/>
      <c r="O918" s="331" t="str">
        <f>IFERROR(__xludf.DUMMYFUNCTION("IFERROR(AVERAGE(FILTER('حضور '!I:I,'حضور '!A:A=A918,MONTH('حضور '!B:B)=N918)),"""")"),"")</f>
        <v/>
      </c>
    </row>
    <row r="919" ht="26.25" hidden="1" customHeight="1">
      <c r="A919" s="371"/>
      <c r="B919" s="372"/>
      <c r="C919" s="66"/>
      <c r="D919" s="90"/>
      <c r="E919" s="66"/>
      <c r="F919" s="66"/>
      <c r="G919" s="66"/>
      <c r="H919" s="66"/>
      <c r="I919" s="66"/>
      <c r="J919" s="66"/>
      <c r="K919" s="66"/>
      <c r="L919" s="66"/>
      <c r="M919" s="330"/>
      <c r="N919" s="330"/>
      <c r="O919" s="331" t="str">
        <f>IFERROR(__xludf.DUMMYFUNCTION("IFERROR(AVERAGE(FILTER('حضور '!I:I,'حضور '!A:A=A919,MONTH('حضور '!B:B)=N919)),"""")"),"")</f>
        <v/>
      </c>
    </row>
    <row r="920" ht="26.25" hidden="1" customHeight="1">
      <c r="A920" s="371"/>
      <c r="B920" s="372"/>
      <c r="C920" s="66"/>
      <c r="D920" s="90"/>
      <c r="E920" s="66"/>
      <c r="F920" s="66"/>
      <c r="G920" s="66"/>
      <c r="H920" s="66"/>
      <c r="I920" s="66"/>
      <c r="J920" s="66"/>
      <c r="K920" s="66"/>
      <c r="L920" s="66"/>
      <c r="M920" s="330"/>
      <c r="N920" s="339"/>
      <c r="O920" s="331" t="str">
        <f>IFERROR(__xludf.DUMMYFUNCTION("IFERROR(AVERAGE(FILTER('حضور '!I:I,'حضور '!A:A=A920,MONTH('حضور '!B:B)=N920)),"""")"),"")</f>
        <v/>
      </c>
    </row>
    <row r="921" ht="26.25" hidden="1" customHeight="1">
      <c r="A921" s="371"/>
      <c r="B921" s="372"/>
      <c r="C921" s="66"/>
      <c r="D921" s="90"/>
      <c r="E921" s="66"/>
      <c r="F921" s="66"/>
      <c r="G921" s="66"/>
      <c r="H921" s="66"/>
      <c r="I921" s="66"/>
      <c r="J921" s="66"/>
      <c r="K921" s="66"/>
      <c r="L921" s="66"/>
      <c r="M921" s="330"/>
      <c r="N921" s="339"/>
      <c r="O921" s="331" t="str">
        <f>IFERROR(__xludf.DUMMYFUNCTION("IFERROR(AVERAGE(FILTER('حضور '!I:I,'حضور '!A:A=A921,MONTH('حضور '!B:B)=N921)),"""")"),"")</f>
        <v/>
      </c>
    </row>
    <row r="922" ht="26.25" hidden="1" customHeight="1">
      <c r="A922" s="371"/>
      <c r="B922" s="372"/>
      <c r="C922" s="66"/>
      <c r="D922" s="90"/>
      <c r="E922" s="66"/>
      <c r="F922" s="66"/>
      <c r="G922" s="66"/>
      <c r="H922" s="66"/>
      <c r="I922" s="66"/>
      <c r="J922" s="66"/>
      <c r="K922" s="66"/>
      <c r="L922" s="66"/>
      <c r="M922" s="330"/>
      <c r="N922" s="339"/>
      <c r="O922" s="331" t="str">
        <f>IFERROR(__xludf.DUMMYFUNCTION("IFERROR(AVERAGE(FILTER('حضور '!I:I,'حضور '!A:A=A922,MONTH('حضور '!B:B)=N922)),"""")"),"")</f>
        <v/>
      </c>
    </row>
    <row r="923" ht="26.25" hidden="1" customHeight="1">
      <c r="A923" s="371"/>
      <c r="B923" s="372"/>
      <c r="C923" s="66"/>
      <c r="D923" s="90"/>
      <c r="E923" s="66"/>
      <c r="F923" s="66"/>
      <c r="G923" s="66"/>
      <c r="H923" s="66"/>
      <c r="I923" s="66"/>
      <c r="J923" s="66"/>
      <c r="K923" s="66"/>
      <c r="L923" s="66"/>
      <c r="M923" s="330"/>
      <c r="N923" s="339"/>
      <c r="O923" s="331" t="str">
        <f>IFERROR(__xludf.DUMMYFUNCTION("IFERROR(AVERAGE(FILTER('حضور '!I:I,'حضور '!A:A=A923,MONTH('حضور '!B:B)=N923)),"""")"),"")</f>
        <v/>
      </c>
    </row>
    <row r="924" ht="26.25" hidden="1" customHeight="1">
      <c r="A924" s="371"/>
      <c r="B924" s="372"/>
      <c r="C924" s="66"/>
      <c r="D924" s="90"/>
      <c r="E924" s="66"/>
      <c r="F924" s="66"/>
      <c r="G924" s="66"/>
      <c r="H924" s="66"/>
      <c r="I924" s="66"/>
      <c r="J924" s="66"/>
      <c r="K924" s="66"/>
      <c r="L924" s="66"/>
      <c r="M924" s="330"/>
      <c r="N924" s="330"/>
      <c r="O924" s="331" t="str">
        <f>IFERROR(__xludf.DUMMYFUNCTION("IFERROR(AVERAGE(FILTER('حضور '!I:I,'حضور '!A:A=A924,MONTH('حضور '!B:B)=N924)),"""")"),"")</f>
        <v/>
      </c>
    </row>
    <row r="925" ht="26.25" hidden="1" customHeight="1">
      <c r="A925" s="371"/>
      <c r="B925" s="372"/>
      <c r="C925" s="66"/>
      <c r="D925" s="90"/>
      <c r="E925" s="66"/>
      <c r="F925" s="66"/>
      <c r="G925" s="66"/>
      <c r="H925" s="66"/>
      <c r="I925" s="66"/>
      <c r="J925" s="66"/>
      <c r="K925" s="66"/>
      <c r="L925" s="66"/>
      <c r="M925" s="330"/>
      <c r="N925" s="339"/>
      <c r="O925" s="331" t="str">
        <f>IFERROR(__xludf.DUMMYFUNCTION("IFERROR(AVERAGE(FILTER('حضور '!I:I,'حضور '!A:A=A925,MONTH('حضور '!B:B)=N925)),"""")"),"")</f>
        <v/>
      </c>
    </row>
    <row r="926" ht="26.25" hidden="1" customHeight="1">
      <c r="A926" s="371"/>
      <c r="B926" s="372"/>
      <c r="C926" s="66"/>
      <c r="D926" s="90"/>
      <c r="E926" s="66"/>
      <c r="F926" s="66"/>
      <c r="G926" s="66"/>
      <c r="H926" s="66"/>
      <c r="I926" s="66"/>
      <c r="J926" s="66"/>
      <c r="K926" s="66"/>
      <c r="L926" s="66"/>
      <c r="M926" s="330"/>
      <c r="N926" s="339"/>
      <c r="O926" s="331" t="str">
        <f>IFERROR(__xludf.DUMMYFUNCTION("IFERROR(AVERAGE(FILTER('حضور '!I:I,'حضور '!A:A=A926,MONTH('حضور '!B:B)=N926)),"""")"),"")</f>
        <v/>
      </c>
    </row>
    <row r="927" ht="26.25" hidden="1" customHeight="1">
      <c r="A927" s="371"/>
      <c r="B927" s="372"/>
      <c r="C927" s="66"/>
      <c r="D927" s="90"/>
      <c r="E927" s="66"/>
      <c r="F927" s="66"/>
      <c r="G927" s="66"/>
      <c r="H927" s="66"/>
      <c r="I927" s="66"/>
      <c r="J927" s="66"/>
      <c r="K927" s="66"/>
      <c r="L927" s="66"/>
      <c r="M927" s="330"/>
      <c r="N927" s="339"/>
      <c r="O927" s="331" t="str">
        <f>IFERROR(__xludf.DUMMYFUNCTION("IFERROR(AVERAGE(FILTER('حضور '!I:I,'حضور '!A:A=A927,MONTH('حضور '!B:B)=N927)),"""")"),"")</f>
        <v/>
      </c>
    </row>
    <row r="928" ht="26.25" hidden="1" customHeight="1">
      <c r="A928" s="371"/>
      <c r="B928" s="372"/>
      <c r="C928" s="66"/>
      <c r="D928" s="90"/>
      <c r="E928" s="66"/>
      <c r="F928" s="66"/>
      <c r="G928" s="66"/>
      <c r="H928" s="66"/>
      <c r="I928" s="66"/>
      <c r="J928" s="66"/>
      <c r="K928" s="66"/>
      <c r="L928" s="66"/>
      <c r="M928" s="330"/>
      <c r="N928" s="339"/>
      <c r="O928" s="331" t="str">
        <f>IFERROR(__xludf.DUMMYFUNCTION("IFERROR(AVERAGE(FILTER('حضور '!I:I,'حضور '!A:A=A928,MONTH('حضور '!B:B)=N928)),"""")"),"")</f>
        <v/>
      </c>
    </row>
    <row r="929" ht="26.25" hidden="1" customHeight="1">
      <c r="A929" s="371"/>
      <c r="B929" s="372"/>
      <c r="C929" s="66"/>
      <c r="D929" s="90"/>
      <c r="E929" s="66"/>
      <c r="F929" s="66"/>
      <c r="G929" s="66"/>
      <c r="H929" s="66"/>
      <c r="I929" s="66"/>
      <c r="J929" s="66"/>
      <c r="K929" s="66"/>
      <c r="L929" s="66"/>
      <c r="M929" s="330"/>
      <c r="N929" s="330"/>
      <c r="O929" s="331" t="str">
        <f>IFERROR(__xludf.DUMMYFUNCTION("IFERROR(AVERAGE(FILTER('حضور '!I:I,'حضور '!A:A=A929,MONTH('حضور '!B:B)=N929)),"""")"),"")</f>
        <v/>
      </c>
    </row>
    <row r="930" ht="26.25" hidden="1" customHeight="1">
      <c r="A930" s="371"/>
      <c r="B930" s="372"/>
      <c r="C930" s="66"/>
      <c r="D930" s="90"/>
      <c r="E930" s="66"/>
      <c r="F930" s="66"/>
      <c r="G930" s="66"/>
      <c r="H930" s="66"/>
      <c r="I930" s="66"/>
      <c r="J930" s="66"/>
      <c r="K930" s="66"/>
      <c r="L930" s="66"/>
      <c r="M930" s="330"/>
      <c r="N930" s="339"/>
      <c r="O930" s="331" t="str">
        <f>IFERROR(__xludf.DUMMYFUNCTION("IFERROR(AVERAGE(FILTER('حضور '!I:I,'حضور '!A:A=A930,MONTH('حضور '!B:B)=N930)),"""")"),"")</f>
        <v/>
      </c>
    </row>
    <row r="931" ht="26.25" hidden="1" customHeight="1">
      <c r="A931" s="371"/>
      <c r="B931" s="372"/>
      <c r="C931" s="66"/>
      <c r="D931" s="90"/>
      <c r="E931" s="66"/>
      <c r="F931" s="66"/>
      <c r="G931" s="66"/>
      <c r="H931" s="66"/>
      <c r="I931" s="66"/>
      <c r="J931" s="66"/>
      <c r="K931" s="66"/>
      <c r="L931" s="66"/>
      <c r="M931" s="330"/>
      <c r="N931" s="339"/>
      <c r="O931" s="331" t="str">
        <f>IFERROR(__xludf.DUMMYFUNCTION("IFERROR(AVERAGE(FILTER('حضور '!I:I,'حضور '!A:A=A931,MONTH('حضور '!B:B)=N931)),"""")"),"")</f>
        <v/>
      </c>
    </row>
    <row r="932" ht="26.25" hidden="1" customHeight="1">
      <c r="A932" s="371"/>
      <c r="B932" s="372"/>
      <c r="C932" s="66"/>
      <c r="D932" s="90"/>
      <c r="E932" s="66"/>
      <c r="F932" s="66"/>
      <c r="G932" s="66"/>
      <c r="H932" s="66"/>
      <c r="I932" s="66"/>
      <c r="J932" s="66"/>
      <c r="K932" s="66"/>
      <c r="L932" s="66"/>
      <c r="M932" s="330"/>
      <c r="N932" s="339"/>
      <c r="O932" s="331" t="str">
        <f>IFERROR(__xludf.DUMMYFUNCTION("IFERROR(AVERAGE(FILTER('حضور '!I:I,'حضور '!A:A=A932,MONTH('حضور '!B:B)=N932)),"""")"),"")</f>
        <v/>
      </c>
    </row>
    <row r="933" ht="26.25" hidden="1" customHeight="1">
      <c r="A933" s="371"/>
      <c r="B933" s="372"/>
      <c r="C933" s="66"/>
      <c r="D933" s="90"/>
      <c r="E933" s="66"/>
      <c r="F933" s="66"/>
      <c r="G933" s="66"/>
      <c r="H933" s="66"/>
      <c r="I933" s="66"/>
      <c r="J933" s="66"/>
      <c r="K933" s="66"/>
      <c r="L933" s="66"/>
      <c r="M933" s="330"/>
      <c r="N933" s="339"/>
      <c r="O933" s="331" t="str">
        <f>IFERROR(__xludf.DUMMYFUNCTION("IFERROR(AVERAGE(FILTER('حضور '!I:I,'حضور '!A:A=A933,MONTH('حضور '!B:B)=N933)),"""")"),"")</f>
        <v/>
      </c>
    </row>
    <row r="934" ht="26.25" hidden="1" customHeight="1">
      <c r="A934" s="371"/>
      <c r="B934" s="372"/>
      <c r="C934" s="66"/>
      <c r="D934" s="90"/>
      <c r="E934" s="66"/>
      <c r="F934" s="66"/>
      <c r="G934" s="66"/>
      <c r="H934" s="66"/>
      <c r="I934" s="66"/>
      <c r="J934" s="66"/>
      <c r="K934" s="66"/>
      <c r="L934" s="66"/>
      <c r="M934" s="330"/>
      <c r="N934" s="330"/>
      <c r="O934" s="331" t="str">
        <f>IFERROR(__xludf.DUMMYFUNCTION("IFERROR(AVERAGE(FILTER('حضور '!I:I,'حضور '!A:A=A934,MONTH('حضور '!B:B)=N934)),"""")"),"")</f>
        <v/>
      </c>
    </row>
    <row r="935" ht="26.25" hidden="1" customHeight="1">
      <c r="A935" s="371"/>
      <c r="B935" s="372"/>
      <c r="C935" s="66"/>
      <c r="D935" s="90"/>
      <c r="E935" s="66"/>
      <c r="F935" s="66"/>
      <c r="G935" s="66"/>
      <c r="H935" s="66"/>
      <c r="I935" s="66"/>
      <c r="J935" s="66"/>
      <c r="K935" s="66"/>
      <c r="L935" s="66"/>
      <c r="M935" s="330"/>
      <c r="N935" s="339"/>
      <c r="O935" s="331" t="str">
        <f>IFERROR(__xludf.DUMMYFUNCTION("IFERROR(AVERAGE(FILTER('حضور '!I:I,'حضور '!A:A=A935,MONTH('حضور '!B:B)=N935)),"""")"),"")</f>
        <v/>
      </c>
    </row>
    <row r="936" ht="26.25" hidden="1" customHeight="1">
      <c r="A936" s="371"/>
      <c r="B936" s="372"/>
      <c r="C936" s="66"/>
      <c r="D936" s="90"/>
      <c r="E936" s="66"/>
      <c r="F936" s="66"/>
      <c r="G936" s="66"/>
      <c r="H936" s="66"/>
      <c r="I936" s="66"/>
      <c r="J936" s="66"/>
      <c r="K936" s="66"/>
      <c r="L936" s="66"/>
      <c r="M936" s="330"/>
      <c r="N936" s="339"/>
      <c r="O936" s="331" t="str">
        <f>IFERROR(__xludf.DUMMYFUNCTION("IFERROR(AVERAGE(FILTER('حضور '!I:I,'حضور '!A:A=A936,MONTH('حضور '!B:B)=N936)),"""")"),"")</f>
        <v/>
      </c>
    </row>
    <row r="937" ht="26.25" hidden="1" customHeight="1">
      <c r="A937" s="371"/>
      <c r="B937" s="372"/>
      <c r="C937" s="66"/>
      <c r="D937" s="90"/>
      <c r="E937" s="66"/>
      <c r="F937" s="66"/>
      <c r="G937" s="66"/>
      <c r="H937" s="66"/>
      <c r="I937" s="66"/>
      <c r="J937" s="66"/>
      <c r="K937" s="66"/>
      <c r="L937" s="66"/>
      <c r="M937" s="330"/>
      <c r="N937" s="339"/>
      <c r="O937" s="331" t="str">
        <f>IFERROR(__xludf.DUMMYFUNCTION("IFERROR(AVERAGE(FILTER('حضور '!I:I,'حضور '!A:A=A937,MONTH('حضور '!B:B)=N937)),"""")"),"")</f>
        <v/>
      </c>
    </row>
    <row r="938" ht="26.25" hidden="1" customHeight="1">
      <c r="A938" s="371"/>
      <c r="B938" s="372"/>
      <c r="C938" s="66"/>
      <c r="D938" s="90"/>
      <c r="E938" s="66"/>
      <c r="F938" s="66"/>
      <c r="G938" s="66"/>
      <c r="H938" s="66"/>
      <c r="I938" s="66"/>
      <c r="J938" s="66"/>
      <c r="K938" s="66"/>
      <c r="L938" s="66"/>
      <c r="M938" s="330"/>
      <c r="N938" s="339"/>
      <c r="O938" s="331" t="str">
        <f>IFERROR(__xludf.DUMMYFUNCTION("IFERROR(AVERAGE(FILTER('حضور '!I:I,'حضور '!A:A=A938,MONTH('حضور '!B:B)=N938)),"""")"),"")</f>
        <v/>
      </c>
    </row>
    <row r="939" ht="26.25" hidden="1" customHeight="1">
      <c r="A939" s="371"/>
      <c r="B939" s="372"/>
      <c r="C939" s="66"/>
      <c r="D939" s="90"/>
      <c r="E939" s="66"/>
      <c r="F939" s="66"/>
      <c r="G939" s="66"/>
      <c r="H939" s="66"/>
      <c r="I939" s="66"/>
      <c r="J939" s="66"/>
      <c r="K939" s="66"/>
      <c r="L939" s="66"/>
      <c r="M939" s="330"/>
      <c r="N939" s="330"/>
      <c r="O939" s="331" t="str">
        <f>IFERROR(__xludf.DUMMYFUNCTION("IFERROR(AVERAGE(FILTER('حضور '!I:I,'حضور '!A:A=A939,MONTH('حضور '!B:B)=N939)),"""")"),"")</f>
        <v/>
      </c>
    </row>
    <row r="940" ht="26.25" hidden="1" customHeight="1">
      <c r="A940" s="371"/>
      <c r="B940" s="372"/>
      <c r="C940" s="66"/>
      <c r="D940" s="90"/>
      <c r="E940" s="66"/>
      <c r="F940" s="66"/>
      <c r="G940" s="66"/>
      <c r="H940" s="66"/>
      <c r="I940" s="66"/>
      <c r="J940" s="66"/>
      <c r="K940" s="66"/>
      <c r="L940" s="66"/>
      <c r="M940" s="330"/>
      <c r="N940" s="339"/>
      <c r="O940" s="331" t="str">
        <f>IFERROR(__xludf.DUMMYFUNCTION("IFERROR(AVERAGE(FILTER('حضور '!I:I,'حضور '!A:A=A940,MONTH('حضور '!B:B)=N940)),"""")"),"")</f>
        <v/>
      </c>
    </row>
    <row r="941" ht="26.25" hidden="1" customHeight="1">
      <c r="A941" s="371"/>
      <c r="B941" s="372"/>
      <c r="C941" s="66"/>
      <c r="D941" s="90"/>
      <c r="E941" s="66"/>
      <c r="F941" s="66"/>
      <c r="G941" s="66"/>
      <c r="H941" s="66"/>
      <c r="I941" s="66"/>
      <c r="J941" s="66"/>
      <c r="K941" s="66"/>
      <c r="L941" s="66"/>
      <c r="M941" s="330"/>
      <c r="N941" s="339"/>
      <c r="O941" s="331" t="str">
        <f>IFERROR(__xludf.DUMMYFUNCTION("IFERROR(AVERAGE(FILTER('حضور '!I:I,'حضور '!A:A=A941,MONTH('حضور '!B:B)=N941)),"""")"),"")</f>
        <v/>
      </c>
    </row>
    <row r="942" ht="26.25" hidden="1" customHeight="1">
      <c r="A942" s="371"/>
      <c r="B942" s="372"/>
      <c r="C942" s="66"/>
      <c r="D942" s="90"/>
      <c r="E942" s="66"/>
      <c r="F942" s="66"/>
      <c r="G942" s="66"/>
      <c r="H942" s="66"/>
      <c r="I942" s="66"/>
      <c r="J942" s="66"/>
      <c r="K942" s="66"/>
      <c r="L942" s="66"/>
      <c r="M942" s="330"/>
      <c r="N942" s="339"/>
      <c r="O942" s="331" t="str">
        <f>IFERROR(__xludf.DUMMYFUNCTION("IFERROR(AVERAGE(FILTER('حضور '!I:I,'حضور '!A:A=A942,MONTH('حضور '!B:B)=N942)),"""")"),"")</f>
        <v/>
      </c>
    </row>
    <row r="943" ht="26.25" hidden="1" customHeight="1">
      <c r="A943" s="371"/>
      <c r="B943" s="372"/>
      <c r="C943" s="66"/>
      <c r="D943" s="90"/>
      <c r="E943" s="66"/>
      <c r="F943" s="66"/>
      <c r="G943" s="66"/>
      <c r="H943" s="66"/>
      <c r="I943" s="66"/>
      <c r="J943" s="66"/>
      <c r="K943" s="66"/>
      <c r="L943" s="66"/>
      <c r="M943" s="330"/>
      <c r="N943" s="339"/>
      <c r="O943" s="331" t="str">
        <f>IFERROR(__xludf.DUMMYFUNCTION("IFERROR(AVERAGE(FILTER('حضور '!I:I,'حضور '!A:A=A943,MONTH('حضور '!B:B)=N943)),"""")"),"")</f>
        <v/>
      </c>
    </row>
    <row r="944" ht="26.25" hidden="1" customHeight="1">
      <c r="A944" s="371"/>
      <c r="B944" s="372"/>
      <c r="C944" s="66"/>
      <c r="D944" s="90"/>
      <c r="E944" s="66"/>
      <c r="F944" s="66"/>
      <c r="G944" s="66"/>
      <c r="H944" s="66"/>
      <c r="I944" s="66"/>
      <c r="J944" s="66"/>
      <c r="K944" s="66"/>
      <c r="L944" s="66"/>
      <c r="M944" s="330"/>
      <c r="N944" s="330"/>
      <c r="O944" s="331" t="str">
        <f>IFERROR(__xludf.DUMMYFUNCTION("IFERROR(AVERAGE(FILTER('حضور '!I:I,'حضور '!A:A=A944,MONTH('حضور '!B:B)=N944)),"""")"),"")</f>
        <v/>
      </c>
    </row>
    <row r="945" ht="26.25" hidden="1" customHeight="1">
      <c r="A945" s="371"/>
      <c r="B945" s="372"/>
      <c r="C945" s="66"/>
      <c r="D945" s="90"/>
      <c r="E945" s="66"/>
      <c r="F945" s="66"/>
      <c r="G945" s="66"/>
      <c r="H945" s="66"/>
      <c r="I945" s="66"/>
      <c r="J945" s="66"/>
      <c r="K945" s="66"/>
      <c r="L945" s="66"/>
      <c r="M945" s="330"/>
      <c r="N945" s="339"/>
      <c r="O945" s="331" t="str">
        <f>IFERROR(__xludf.DUMMYFUNCTION("IFERROR(AVERAGE(FILTER('حضور '!I:I,'حضور '!A:A=A945,MONTH('حضور '!B:B)=N945)),"""")"),"")</f>
        <v/>
      </c>
    </row>
    <row r="946" ht="26.25" hidden="1" customHeight="1">
      <c r="A946" s="371"/>
      <c r="B946" s="372"/>
      <c r="C946" s="66"/>
      <c r="D946" s="90"/>
      <c r="E946" s="66"/>
      <c r="F946" s="66"/>
      <c r="G946" s="66"/>
      <c r="H946" s="66"/>
      <c r="I946" s="66"/>
      <c r="J946" s="66"/>
      <c r="K946" s="66"/>
      <c r="L946" s="66"/>
      <c r="M946" s="330"/>
      <c r="N946" s="339"/>
      <c r="O946" s="331" t="str">
        <f>IFERROR(__xludf.DUMMYFUNCTION("IFERROR(AVERAGE(FILTER('حضور '!I:I,'حضور '!A:A=A946,MONTH('حضور '!B:B)=N946)),"""")"),"")</f>
        <v/>
      </c>
    </row>
    <row r="947" ht="26.25" hidden="1" customHeight="1">
      <c r="A947" s="371"/>
      <c r="B947" s="372"/>
      <c r="C947" s="66"/>
      <c r="D947" s="90"/>
      <c r="E947" s="66"/>
      <c r="F947" s="66"/>
      <c r="G947" s="66"/>
      <c r="H947" s="66"/>
      <c r="I947" s="66"/>
      <c r="J947" s="66"/>
      <c r="K947" s="66"/>
      <c r="L947" s="66"/>
      <c r="M947" s="330"/>
      <c r="N947" s="339"/>
      <c r="O947" s="331" t="str">
        <f>IFERROR(__xludf.DUMMYFUNCTION("IFERROR(AVERAGE(FILTER('حضور '!I:I,'حضور '!A:A=A947,MONTH('حضور '!B:B)=N947)),"""")"),"")</f>
        <v/>
      </c>
    </row>
    <row r="948" ht="26.25" hidden="1" customHeight="1">
      <c r="A948" s="371"/>
      <c r="B948" s="372"/>
      <c r="C948" s="66"/>
      <c r="D948" s="90"/>
      <c r="E948" s="66"/>
      <c r="F948" s="66"/>
      <c r="G948" s="66"/>
      <c r="H948" s="66"/>
      <c r="I948" s="66"/>
      <c r="J948" s="66"/>
      <c r="K948" s="66"/>
      <c r="L948" s="66"/>
      <c r="M948" s="330"/>
      <c r="N948" s="339"/>
      <c r="O948" s="331" t="str">
        <f>IFERROR(__xludf.DUMMYFUNCTION("IFERROR(AVERAGE(FILTER('حضور '!I:I,'حضور '!A:A=A948,MONTH('حضور '!B:B)=N948)),"""")"),"")</f>
        <v/>
      </c>
    </row>
    <row r="949" ht="26.25" hidden="1" customHeight="1">
      <c r="A949" s="371"/>
      <c r="B949" s="372"/>
      <c r="C949" s="66"/>
      <c r="D949" s="90"/>
      <c r="E949" s="66"/>
      <c r="F949" s="66"/>
      <c r="G949" s="66"/>
      <c r="H949" s="66"/>
      <c r="I949" s="66"/>
      <c r="J949" s="66"/>
      <c r="K949" s="66"/>
      <c r="L949" s="66"/>
      <c r="M949" s="330"/>
      <c r="N949" s="330"/>
      <c r="O949" s="331" t="str">
        <f>IFERROR(__xludf.DUMMYFUNCTION("IFERROR(AVERAGE(FILTER('حضور '!I:I,'حضور '!A:A=A949,MONTH('حضور '!B:B)=N949)),"""")"),"")</f>
        <v/>
      </c>
    </row>
    <row r="950" ht="26.25" hidden="1" customHeight="1">
      <c r="A950" s="371"/>
      <c r="B950" s="372"/>
      <c r="C950" s="66"/>
      <c r="D950" s="90"/>
      <c r="E950" s="66"/>
      <c r="F950" s="66"/>
      <c r="G950" s="66"/>
      <c r="H950" s="66"/>
      <c r="I950" s="66"/>
      <c r="J950" s="66"/>
      <c r="K950" s="66"/>
      <c r="L950" s="66"/>
      <c r="M950" s="330"/>
      <c r="N950" s="339"/>
      <c r="O950" s="331" t="str">
        <f>IFERROR(__xludf.DUMMYFUNCTION("IFERROR(AVERAGE(FILTER('حضور '!I:I,'حضور '!A:A=A950,MONTH('حضور '!B:B)=N950)),"""")"),"")</f>
        <v/>
      </c>
    </row>
    <row r="951" ht="26.25" hidden="1" customHeight="1">
      <c r="A951" s="371"/>
      <c r="B951" s="372"/>
      <c r="C951" s="66"/>
      <c r="D951" s="90"/>
      <c r="E951" s="66"/>
      <c r="F951" s="66"/>
      <c r="G951" s="66"/>
      <c r="H951" s="66"/>
      <c r="I951" s="66"/>
      <c r="J951" s="66"/>
      <c r="K951" s="66"/>
      <c r="L951" s="66"/>
      <c r="M951" s="330"/>
      <c r="N951" s="339"/>
      <c r="O951" s="331" t="str">
        <f>IFERROR(__xludf.DUMMYFUNCTION("IFERROR(AVERAGE(FILTER('حضور '!I:I,'حضور '!A:A=A951,MONTH('حضور '!B:B)=N951)),"""")"),"")</f>
        <v/>
      </c>
    </row>
    <row r="952" ht="26.25" hidden="1" customHeight="1">
      <c r="A952" s="371"/>
      <c r="B952" s="372"/>
      <c r="C952" s="66"/>
      <c r="D952" s="90"/>
      <c r="E952" s="66"/>
      <c r="F952" s="66"/>
      <c r="G952" s="66"/>
      <c r="H952" s="66"/>
      <c r="I952" s="66"/>
      <c r="J952" s="66"/>
      <c r="K952" s="66"/>
      <c r="L952" s="66"/>
      <c r="M952" s="330"/>
      <c r="N952" s="339"/>
      <c r="O952" s="331" t="str">
        <f>IFERROR(__xludf.DUMMYFUNCTION("IFERROR(AVERAGE(FILTER('حضور '!I:I,'حضور '!A:A=A952,MONTH('حضور '!B:B)=N952)),"""")"),"")</f>
        <v/>
      </c>
    </row>
    <row r="953" ht="26.25" hidden="1" customHeight="1">
      <c r="A953" s="371"/>
      <c r="B953" s="372"/>
      <c r="C953" s="66"/>
      <c r="D953" s="90"/>
      <c r="E953" s="66"/>
      <c r="F953" s="66"/>
      <c r="G953" s="66"/>
      <c r="H953" s="66"/>
      <c r="I953" s="66"/>
      <c r="J953" s="66"/>
      <c r="K953" s="66"/>
      <c r="L953" s="66"/>
      <c r="M953" s="330"/>
      <c r="N953" s="339"/>
      <c r="O953" s="331" t="str">
        <f>IFERROR(__xludf.DUMMYFUNCTION("IFERROR(AVERAGE(FILTER('حضور '!I:I,'حضور '!A:A=A953,MONTH('حضور '!B:B)=N953)),"""")"),"")</f>
        <v/>
      </c>
    </row>
    <row r="954" ht="26.25" hidden="1" customHeight="1">
      <c r="A954" s="371"/>
      <c r="B954" s="372"/>
      <c r="C954" s="66"/>
      <c r="D954" s="90"/>
      <c r="E954" s="66"/>
      <c r="F954" s="66"/>
      <c r="G954" s="66"/>
      <c r="H954" s="66"/>
      <c r="I954" s="66"/>
      <c r="J954" s="66"/>
      <c r="K954" s="66"/>
      <c r="L954" s="66"/>
      <c r="M954" s="330"/>
      <c r="N954" s="330"/>
      <c r="O954" s="331" t="str">
        <f>IFERROR(__xludf.DUMMYFUNCTION("IFERROR(AVERAGE(FILTER('حضور '!I:I,'حضور '!A:A=A954,MONTH('حضور '!B:B)=N954)),"""")"),"")</f>
        <v/>
      </c>
    </row>
    <row r="955" ht="26.25" hidden="1" customHeight="1">
      <c r="A955" s="371"/>
      <c r="B955" s="372"/>
      <c r="C955" s="66"/>
      <c r="D955" s="90"/>
      <c r="E955" s="66"/>
      <c r="F955" s="66"/>
      <c r="G955" s="66"/>
      <c r="H955" s="66"/>
      <c r="I955" s="66"/>
      <c r="J955" s="66"/>
      <c r="K955" s="66"/>
      <c r="L955" s="66"/>
      <c r="M955" s="330"/>
      <c r="N955" s="339"/>
      <c r="O955" s="331" t="str">
        <f>IFERROR(__xludf.DUMMYFUNCTION("IFERROR(AVERAGE(FILTER('حضور '!I:I,'حضور '!A:A=A955,MONTH('حضور '!B:B)=N955)),"""")"),"")</f>
        <v/>
      </c>
    </row>
    <row r="956" ht="26.25" hidden="1" customHeight="1">
      <c r="A956" s="371"/>
      <c r="B956" s="372"/>
      <c r="C956" s="66"/>
      <c r="D956" s="90"/>
      <c r="E956" s="66"/>
      <c r="F956" s="66"/>
      <c r="G956" s="66"/>
      <c r="H956" s="66"/>
      <c r="I956" s="66"/>
      <c r="J956" s="66"/>
      <c r="K956" s="66"/>
      <c r="L956" s="66"/>
      <c r="M956" s="330"/>
      <c r="N956" s="339"/>
      <c r="O956" s="331" t="str">
        <f>IFERROR(__xludf.DUMMYFUNCTION("IFERROR(AVERAGE(FILTER('حضور '!I:I,'حضور '!A:A=A956,MONTH('حضور '!B:B)=N956)),"""")"),"")</f>
        <v/>
      </c>
    </row>
    <row r="957" ht="26.25" hidden="1" customHeight="1">
      <c r="A957" s="371"/>
      <c r="B957" s="372"/>
      <c r="C957" s="66"/>
      <c r="D957" s="90"/>
      <c r="E957" s="66"/>
      <c r="F957" s="66"/>
      <c r="G957" s="66"/>
      <c r="H957" s="66"/>
      <c r="I957" s="66"/>
      <c r="J957" s="66"/>
      <c r="K957" s="66"/>
      <c r="L957" s="66"/>
      <c r="M957" s="330"/>
      <c r="N957" s="339"/>
      <c r="O957" s="331" t="str">
        <f>IFERROR(__xludf.DUMMYFUNCTION("IFERROR(AVERAGE(FILTER('حضور '!I:I,'حضور '!A:A=A957,MONTH('حضور '!B:B)=N957)),"""")"),"")</f>
        <v/>
      </c>
    </row>
    <row r="958" ht="26.25" hidden="1" customHeight="1">
      <c r="A958" s="371"/>
      <c r="B958" s="372"/>
      <c r="C958" s="66"/>
      <c r="D958" s="90"/>
      <c r="E958" s="66"/>
      <c r="F958" s="66"/>
      <c r="G958" s="66"/>
      <c r="H958" s="66"/>
      <c r="I958" s="66"/>
      <c r="J958" s="66"/>
      <c r="K958" s="66"/>
      <c r="L958" s="66"/>
      <c r="M958" s="330"/>
      <c r="N958" s="339"/>
      <c r="O958" s="331" t="str">
        <f>IFERROR(__xludf.DUMMYFUNCTION("IFERROR(AVERAGE(FILTER('حضور '!I:I,'حضور '!A:A=A958,MONTH('حضور '!B:B)=N958)),"""")"),"")</f>
        <v/>
      </c>
    </row>
    <row r="959" ht="26.25" hidden="1" customHeight="1">
      <c r="A959" s="371"/>
      <c r="B959" s="372"/>
      <c r="C959" s="66"/>
      <c r="D959" s="90"/>
      <c r="E959" s="66"/>
      <c r="F959" s="66"/>
      <c r="G959" s="66"/>
      <c r="H959" s="66"/>
      <c r="I959" s="66"/>
      <c r="J959" s="66"/>
      <c r="K959" s="66"/>
      <c r="L959" s="66"/>
      <c r="M959" s="330"/>
      <c r="N959" s="330"/>
      <c r="O959" s="331" t="str">
        <f>IFERROR(__xludf.DUMMYFUNCTION("IFERROR(AVERAGE(FILTER('حضور '!I:I,'حضور '!A:A=A959,MONTH('حضور '!B:B)=N959)),"""")"),"")</f>
        <v/>
      </c>
    </row>
    <row r="960" ht="26.25" hidden="1" customHeight="1">
      <c r="A960" s="371"/>
      <c r="B960" s="372"/>
      <c r="C960" s="66"/>
      <c r="D960" s="90"/>
      <c r="E960" s="66"/>
      <c r="F960" s="66"/>
      <c r="G960" s="66"/>
      <c r="H960" s="66"/>
      <c r="I960" s="66"/>
      <c r="J960" s="66"/>
      <c r="K960" s="66"/>
      <c r="L960" s="66"/>
      <c r="M960" s="330"/>
      <c r="N960" s="339"/>
      <c r="O960" s="331" t="str">
        <f>IFERROR(__xludf.DUMMYFUNCTION("IFERROR(AVERAGE(FILTER('حضور '!I:I,'حضور '!A:A=A960,MONTH('حضور '!B:B)=N960)),"""")"),"")</f>
        <v/>
      </c>
    </row>
    <row r="961" ht="26.25" hidden="1" customHeight="1">
      <c r="A961" s="371"/>
      <c r="B961" s="372"/>
      <c r="C961" s="66"/>
      <c r="D961" s="90"/>
      <c r="E961" s="66"/>
      <c r="F961" s="66"/>
      <c r="G961" s="66"/>
      <c r="H961" s="66"/>
      <c r="I961" s="66"/>
      <c r="J961" s="66"/>
      <c r="K961" s="66"/>
      <c r="L961" s="66"/>
      <c r="M961" s="330"/>
      <c r="N961" s="339"/>
      <c r="O961" s="331" t="str">
        <f>IFERROR(__xludf.DUMMYFUNCTION("IFERROR(AVERAGE(FILTER('حضور '!I:I,'حضور '!A:A=A961,MONTH('حضور '!B:B)=N961)),"""")"),"")</f>
        <v/>
      </c>
    </row>
    <row r="962" ht="26.25" hidden="1" customHeight="1">
      <c r="A962" s="371"/>
      <c r="B962" s="372"/>
      <c r="C962" s="66"/>
      <c r="D962" s="90"/>
      <c r="E962" s="66"/>
      <c r="F962" s="66"/>
      <c r="G962" s="66"/>
      <c r="H962" s="66"/>
      <c r="I962" s="66"/>
      <c r="J962" s="66"/>
      <c r="K962" s="66"/>
      <c r="L962" s="66"/>
      <c r="M962" s="330"/>
      <c r="N962" s="339"/>
      <c r="O962" s="331" t="str">
        <f>IFERROR(__xludf.DUMMYFUNCTION("IFERROR(AVERAGE(FILTER('حضور '!I:I,'حضور '!A:A=A962,MONTH('حضور '!B:B)=N962)),"""")"),"")</f>
        <v/>
      </c>
    </row>
    <row r="963" ht="26.25" hidden="1" customHeight="1">
      <c r="A963" s="371"/>
      <c r="B963" s="372"/>
      <c r="C963" s="66"/>
      <c r="D963" s="90"/>
      <c r="E963" s="66"/>
      <c r="F963" s="66"/>
      <c r="G963" s="66"/>
      <c r="H963" s="66"/>
      <c r="I963" s="66"/>
      <c r="J963" s="66"/>
      <c r="K963" s="66"/>
      <c r="L963" s="66"/>
      <c r="M963" s="330"/>
      <c r="N963" s="339"/>
      <c r="O963" s="331" t="str">
        <f>IFERROR(__xludf.DUMMYFUNCTION("IFERROR(AVERAGE(FILTER('حضور '!I:I,'حضور '!A:A=A963,MONTH('حضور '!B:B)=N963)),"""")"),"")</f>
        <v/>
      </c>
    </row>
    <row r="964" ht="26.25" hidden="1" customHeight="1">
      <c r="A964" s="371"/>
      <c r="B964" s="372"/>
      <c r="C964" s="66"/>
      <c r="D964" s="90"/>
      <c r="E964" s="66"/>
      <c r="F964" s="66"/>
      <c r="G964" s="66"/>
      <c r="H964" s="66"/>
      <c r="I964" s="66"/>
      <c r="J964" s="66"/>
      <c r="K964" s="66"/>
      <c r="L964" s="66"/>
      <c r="M964" s="330"/>
      <c r="N964" s="330"/>
      <c r="O964" s="331" t="str">
        <f>IFERROR(__xludf.DUMMYFUNCTION("IFERROR(AVERAGE(FILTER('حضور '!I:I,'حضور '!A:A=A964,MONTH('حضور '!B:B)=N964)),"""")"),"")</f>
        <v/>
      </c>
    </row>
    <row r="965" ht="26.25" hidden="1" customHeight="1">
      <c r="A965" s="371"/>
      <c r="B965" s="372"/>
      <c r="C965" s="66"/>
      <c r="D965" s="90"/>
      <c r="E965" s="66"/>
      <c r="F965" s="66"/>
      <c r="G965" s="66"/>
      <c r="H965" s="66"/>
      <c r="I965" s="66"/>
      <c r="J965" s="66"/>
      <c r="K965" s="66"/>
      <c r="L965" s="66"/>
      <c r="M965" s="330"/>
      <c r="N965" s="339"/>
      <c r="O965" s="331" t="str">
        <f>IFERROR(__xludf.DUMMYFUNCTION("IFERROR(AVERAGE(FILTER('حضور '!I:I,'حضور '!A:A=A965,MONTH('حضور '!B:B)=N965)),"""")"),"")</f>
        <v/>
      </c>
    </row>
    <row r="966" ht="26.25" hidden="1" customHeight="1">
      <c r="A966" s="371"/>
      <c r="B966" s="372"/>
      <c r="C966" s="66"/>
      <c r="D966" s="90"/>
      <c r="E966" s="66"/>
      <c r="F966" s="66"/>
      <c r="G966" s="66"/>
      <c r="H966" s="66"/>
      <c r="I966" s="66"/>
      <c r="J966" s="66"/>
      <c r="K966" s="66"/>
      <c r="L966" s="66"/>
      <c r="M966" s="330"/>
      <c r="N966" s="339"/>
      <c r="O966" s="331" t="str">
        <f>IFERROR(__xludf.DUMMYFUNCTION("IFERROR(AVERAGE(FILTER('حضور '!I:I,'حضور '!A:A=A966,MONTH('حضور '!B:B)=N966)),"""")"),"")</f>
        <v/>
      </c>
    </row>
    <row r="967" ht="26.25" hidden="1" customHeight="1">
      <c r="A967" s="371"/>
      <c r="B967" s="372"/>
      <c r="C967" s="66"/>
      <c r="D967" s="90"/>
      <c r="E967" s="66"/>
      <c r="F967" s="66"/>
      <c r="G967" s="66"/>
      <c r="H967" s="66"/>
      <c r="I967" s="66"/>
      <c r="J967" s="66"/>
      <c r="K967" s="66"/>
      <c r="L967" s="66"/>
      <c r="M967" s="330"/>
      <c r="N967" s="339"/>
      <c r="O967" s="331" t="str">
        <f>IFERROR(__xludf.DUMMYFUNCTION("IFERROR(AVERAGE(FILTER('حضور '!I:I,'حضور '!A:A=A967,MONTH('حضور '!B:B)=N967)),"""")"),"")</f>
        <v/>
      </c>
    </row>
    <row r="968" ht="26.25" hidden="1" customHeight="1">
      <c r="A968" s="371"/>
      <c r="B968" s="372"/>
      <c r="C968" s="66"/>
      <c r="D968" s="90"/>
      <c r="E968" s="66"/>
      <c r="F968" s="66"/>
      <c r="G968" s="66"/>
      <c r="H968" s="66"/>
      <c r="I968" s="66"/>
      <c r="J968" s="66"/>
      <c r="K968" s="66"/>
      <c r="L968" s="66"/>
      <c r="M968" s="330"/>
      <c r="N968" s="339"/>
      <c r="O968" s="331" t="str">
        <f>IFERROR(__xludf.DUMMYFUNCTION("IFERROR(AVERAGE(FILTER('حضور '!I:I,'حضور '!A:A=A968,MONTH('حضور '!B:B)=N968)),"""")"),"")</f>
        <v/>
      </c>
    </row>
    <row r="969" ht="26.25" hidden="1" customHeight="1">
      <c r="A969" s="371"/>
      <c r="B969" s="372"/>
      <c r="C969" s="66"/>
      <c r="D969" s="90"/>
      <c r="E969" s="66"/>
      <c r="F969" s="66"/>
      <c r="G969" s="66"/>
      <c r="H969" s="66"/>
      <c r="I969" s="66"/>
      <c r="J969" s="66"/>
      <c r="K969" s="66"/>
      <c r="L969" s="66"/>
      <c r="M969" s="330"/>
      <c r="N969" s="330"/>
      <c r="O969" s="331" t="str">
        <f>IFERROR(__xludf.DUMMYFUNCTION("IFERROR(AVERAGE(FILTER('حضور '!I:I,'حضور '!A:A=A969,MONTH('حضور '!B:B)=N969)),"""")"),"")</f>
        <v/>
      </c>
    </row>
    <row r="970" ht="26.25" hidden="1" customHeight="1">
      <c r="A970" s="371"/>
      <c r="B970" s="372"/>
      <c r="C970" s="66"/>
      <c r="D970" s="90"/>
      <c r="E970" s="66"/>
      <c r="F970" s="66"/>
      <c r="G970" s="66"/>
      <c r="H970" s="66"/>
      <c r="I970" s="66"/>
      <c r="J970" s="66"/>
      <c r="K970" s="66"/>
      <c r="L970" s="66"/>
      <c r="M970" s="330"/>
      <c r="N970" s="339"/>
      <c r="O970" s="331" t="str">
        <f>IFERROR(__xludf.DUMMYFUNCTION("IFERROR(AVERAGE(FILTER('حضور '!I:I,'حضور '!A:A=A970,MONTH('حضور '!B:B)=N970)),"""")"),"")</f>
        <v/>
      </c>
    </row>
    <row r="971" ht="26.25" hidden="1" customHeight="1">
      <c r="A971" s="371"/>
      <c r="B971" s="372"/>
      <c r="C971" s="66"/>
      <c r="D971" s="90"/>
      <c r="E971" s="66"/>
      <c r="F971" s="66"/>
      <c r="G971" s="66"/>
      <c r="H971" s="66"/>
      <c r="I971" s="66"/>
      <c r="J971" s="66"/>
      <c r="K971" s="66"/>
      <c r="L971" s="66"/>
      <c r="M971" s="330"/>
      <c r="N971" s="339"/>
      <c r="O971" s="331" t="str">
        <f>IFERROR(__xludf.DUMMYFUNCTION("IFERROR(AVERAGE(FILTER('حضور '!I:I,'حضور '!A:A=A971,MONTH('حضور '!B:B)=N971)),"""")"),"")</f>
        <v/>
      </c>
    </row>
    <row r="972" ht="26.25" hidden="1" customHeight="1">
      <c r="A972" s="371"/>
      <c r="B972" s="372"/>
      <c r="C972" s="66"/>
      <c r="D972" s="90"/>
      <c r="E972" s="66"/>
      <c r="F972" s="66"/>
      <c r="G972" s="66"/>
      <c r="H972" s="66"/>
      <c r="I972" s="66"/>
      <c r="J972" s="66"/>
      <c r="K972" s="66"/>
      <c r="L972" s="66"/>
      <c r="M972" s="330"/>
      <c r="N972" s="339"/>
      <c r="O972" s="331" t="str">
        <f>IFERROR(__xludf.DUMMYFUNCTION("IFERROR(AVERAGE(FILTER('حضور '!I:I,'حضور '!A:A=A972,MONTH('حضور '!B:B)=N972)),"""")"),"")</f>
        <v/>
      </c>
    </row>
    <row r="973" ht="26.25" hidden="1" customHeight="1">
      <c r="A973" s="371"/>
      <c r="B973" s="372"/>
      <c r="C973" s="66"/>
      <c r="D973" s="90"/>
      <c r="E973" s="66"/>
      <c r="F973" s="66"/>
      <c r="G973" s="66"/>
      <c r="H973" s="66"/>
      <c r="I973" s="66"/>
      <c r="J973" s="66"/>
      <c r="K973" s="66"/>
      <c r="L973" s="66"/>
      <c r="M973" s="330"/>
      <c r="N973" s="339"/>
      <c r="O973" s="331" t="str">
        <f>IFERROR(__xludf.DUMMYFUNCTION("IFERROR(AVERAGE(FILTER('حضور '!I:I,'حضور '!A:A=A973,MONTH('حضور '!B:B)=N973)),"""")"),"")</f>
        <v/>
      </c>
    </row>
    <row r="974" ht="26.25" hidden="1" customHeight="1">
      <c r="A974" s="371"/>
      <c r="B974" s="372"/>
      <c r="C974" s="66"/>
      <c r="D974" s="90"/>
      <c r="E974" s="66"/>
      <c r="F974" s="66"/>
      <c r="G974" s="66"/>
      <c r="H974" s="66"/>
      <c r="I974" s="66"/>
      <c r="J974" s="66"/>
      <c r="K974" s="66"/>
      <c r="L974" s="66"/>
      <c r="M974" s="330"/>
      <c r="N974" s="330"/>
      <c r="O974" s="331" t="str">
        <f>IFERROR(__xludf.DUMMYFUNCTION("IFERROR(AVERAGE(FILTER('حضور '!I:I,'حضور '!A:A=A974,MONTH('حضور '!B:B)=N974)),"""")"),"")</f>
        <v/>
      </c>
    </row>
    <row r="975" ht="26.25" hidden="1" customHeight="1">
      <c r="A975" s="371"/>
      <c r="B975" s="372"/>
      <c r="C975" s="66"/>
      <c r="D975" s="90"/>
      <c r="E975" s="66"/>
      <c r="F975" s="66"/>
      <c r="G975" s="66"/>
      <c r="H975" s="66"/>
      <c r="I975" s="66"/>
      <c r="J975" s="66"/>
      <c r="K975" s="66"/>
      <c r="L975" s="66"/>
      <c r="M975" s="330"/>
      <c r="N975" s="339"/>
      <c r="O975" s="331" t="str">
        <f>IFERROR(__xludf.DUMMYFUNCTION("IFERROR(AVERAGE(FILTER('حضور '!I:I,'حضور '!A:A=A975,MONTH('حضور '!B:B)=N975)),"""")"),"")</f>
        <v/>
      </c>
    </row>
    <row r="976" ht="26.25" hidden="1" customHeight="1">
      <c r="A976" s="371"/>
      <c r="B976" s="372"/>
      <c r="C976" s="66"/>
      <c r="D976" s="90"/>
      <c r="E976" s="66"/>
      <c r="F976" s="66"/>
      <c r="G976" s="66"/>
      <c r="H976" s="66"/>
      <c r="I976" s="66"/>
      <c r="J976" s="66"/>
      <c r="K976" s="66"/>
      <c r="L976" s="66"/>
      <c r="M976" s="330"/>
      <c r="N976" s="339"/>
      <c r="O976" s="331" t="str">
        <f>IFERROR(__xludf.DUMMYFUNCTION("IFERROR(AVERAGE(FILTER('حضور '!I:I,'حضور '!A:A=A976,MONTH('حضور '!B:B)=N976)),"""")"),"")</f>
        <v/>
      </c>
    </row>
    <row r="977" ht="26.25" hidden="1" customHeight="1">
      <c r="A977" s="371"/>
      <c r="B977" s="372"/>
      <c r="C977" s="66"/>
      <c r="D977" s="90"/>
      <c r="E977" s="66"/>
      <c r="F977" s="66"/>
      <c r="G977" s="66"/>
      <c r="H977" s="66"/>
      <c r="I977" s="66"/>
      <c r="J977" s="66"/>
      <c r="K977" s="66"/>
      <c r="L977" s="66"/>
      <c r="M977" s="330"/>
      <c r="N977" s="339"/>
      <c r="O977" s="331" t="str">
        <f>IFERROR(__xludf.DUMMYFUNCTION("IFERROR(AVERAGE(FILTER('حضور '!I:I,'حضور '!A:A=A977,MONTH('حضور '!B:B)=N977)),"""")"),"")</f>
        <v/>
      </c>
    </row>
    <row r="978" ht="26.25" hidden="1" customHeight="1">
      <c r="A978" s="371"/>
      <c r="B978" s="372"/>
      <c r="C978" s="66"/>
      <c r="D978" s="90"/>
      <c r="E978" s="66"/>
      <c r="F978" s="66"/>
      <c r="G978" s="66"/>
      <c r="H978" s="66"/>
      <c r="I978" s="66"/>
      <c r="J978" s="66"/>
      <c r="K978" s="66"/>
      <c r="L978" s="66"/>
      <c r="M978" s="330"/>
      <c r="N978" s="339"/>
      <c r="O978" s="331" t="str">
        <f>IFERROR(__xludf.DUMMYFUNCTION("IFERROR(AVERAGE(FILTER('حضور '!I:I,'حضور '!A:A=A978,MONTH('حضور '!B:B)=N978)),"""")"),"")</f>
        <v/>
      </c>
    </row>
    <row r="979" ht="26.25" hidden="1" customHeight="1">
      <c r="A979" s="371"/>
      <c r="B979" s="372"/>
      <c r="C979" s="66"/>
      <c r="D979" s="90"/>
      <c r="E979" s="66"/>
      <c r="F979" s="66"/>
      <c r="G979" s="66"/>
      <c r="H979" s="66"/>
      <c r="I979" s="66"/>
      <c r="J979" s="66"/>
      <c r="K979" s="66"/>
      <c r="L979" s="66"/>
      <c r="M979" s="330"/>
      <c r="N979" s="330"/>
      <c r="O979" s="331" t="str">
        <f>IFERROR(__xludf.DUMMYFUNCTION("IFERROR(AVERAGE(FILTER('حضور '!I:I,'حضور '!A:A=A979,MONTH('حضور '!B:B)=N979)),"""")"),"")</f>
        <v/>
      </c>
    </row>
    <row r="980" ht="26.25" hidden="1" customHeight="1">
      <c r="A980" s="371"/>
      <c r="B980" s="372"/>
      <c r="C980" s="66"/>
      <c r="D980" s="90"/>
      <c r="E980" s="66"/>
      <c r="F980" s="66"/>
      <c r="G980" s="66"/>
      <c r="H980" s="66"/>
      <c r="I980" s="66"/>
      <c r="J980" s="66"/>
      <c r="K980" s="66"/>
      <c r="L980" s="66"/>
      <c r="M980" s="330"/>
      <c r="N980" s="339"/>
      <c r="O980" s="331" t="str">
        <f>IFERROR(__xludf.DUMMYFUNCTION("IFERROR(AVERAGE(FILTER('حضور '!I:I,'حضور '!A:A=A980,MONTH('حضور '!B:B)=N980)),"""")"),"")</f>
        <v/>
      </c>
    </row>
    <row r="981" ht="26.25" hidden="1" customHeight="1">
      <c r="A981" s="371"/>
      <c r="B981" s="372"/>
      <c r="C981" s="66"/>
      <c r="D981" s="90"/>
      <c r="E981" s="66"/>
      <c r="F981" s="66"/>
      <c r="G981" s="66"/>
      <c r="H981" s="66"/>
      <c r="I981" s="66"/>
      <c r="J981" s="66"/>
      <c r="K981" s="66"/>
      <c r="L981" s="66"/>
      <c r="M981" s="330"/>
      <c r="N981" s="339"/>
      <c r="O981" s="331" t="str">
        <f>IFERROR(__xludf.DUMMYFUNCTION("IFERROR(AVERAGE(FILTER('حضور '!I:I,'حضور '!A:A=A981,MONTH('حضور '!B:B)=N981)),"""")"),"")</f>
        <v/>
      </c>
    </row>
    <row r="982" ht="26.25" hidden="1" customHeight="1">
      <c r="A982" s="371"/>
      <c r="B982" s="372"/>
      <c r="C982" s="66"/>
      <c r="D982" s="90"/>
      <c r="E982" s="66"/>
      <c r="F982" s="66"/>
      <c r="G982" s="66"/>
      <c r="H982" s="66"/>
      <c r="I982" s="66"/>
      <c r="J982" s="66"/>
      <c r="K982" s="66"/>
      <c r="L982" s="66"/>
      <c r="M982" s="330"/>
      <c r="N982" s="339"/>
      <c r="O982" s="331" t="str">
        <f>IFERROR(__xludf.DUMMYFUNCTION("IFERROR(AVERAGE(FILTER('حضور '!I:I,'حضور '!A:A=A982,MONTH('حضور '!B:B)=N982)),"""")"),"")</f>
        <v/>
      </c>
    </row>
    <row r="983" ht="26.25" hidden="1" customHeight="1">
      <c r="A983" s="371"/>
      <c r="B983" s="372"/>
      <c r="C983" s="66"/>
      <c r="D983" s="90"/>
      <c r="E983" s="66"/>
      <c r="F983" s="66"/>
      <c r="G983" s="66"/>
      <c r="H983" s="66"/>
      <c r="I983" s="66"/>
      <c r="J983" s="66"/>
      <c r="K983" s="66"/>
      <c r="L983" s="66"/>
      <c r="M983" s="330"/>
      <c r="N983" s="339"/>
      <c r="O983" s="331" t="str">
        <f>IFERROR(__xludf.DUMMYFUNCTION("IFERROR(AVERAGE(FILTER('حضور '!I:I,'حضور '!A:A=A983,MONTH('حضور '!B:B)=N983)),"""")"),"")</f>
        <v/>
      </c>
    </row>
    <row r="984" ht="26.25" hidden="1" customHeight="1">
      <c r="A984" s="371"/>
      <c r="B984" s="372"/>
      <c r="C984" s="66"/>
      <c r="D984" s="90"/>
      <c r="E984" s="66"/>
      <c r="F984" s="66"/>
      <c r="G984" s="66"/>
      <c r="H984" s="66"/>
      <c r="I984" s="66"/>
      <c r="J984" s="66"/>
      <c r="K984" s="66"/>
      <c r="L984" s="66"/>
      <c r="M984" s="330"/>
      <c r="N984" s="330"/>
      <c r="O984" s="331" t="str">
        <f>IFERROR(__xludf.DUMMYFUNCTION("IFERROR(AVERAGE(FILTER('حضور '!I:I,'حضور '!A:A=A984,MONTH('حضور '!B:B)=N984)),"""")"),"")</f>
        <v/>
      </c>
    </row>
    <row r="985" ht="26.25" hidden="1" customHeight="1">
      <c r="A985" s="371"/>
      <c r="B985" s="372"/>
      <c r="C985" s="66"/>
      <c r="D985" s="90"/>
      <c r="E985" s="66"/>
      <c r="F985" s="66"/>
      <c r="G985" s="66"/>
      <c r="H985" s="66"/>
      <c r="I985" s="66"/>
      <c r="J985" s="66"/>
      <c r="K985" s="66"/>
      <c r="L985" s="66"/>
      <c r="M985" s="330"/>
      <c r="N985" s="339"/>
      <c r="O985" s="331" t="str">
        <f>IFERROR(__xludf.DUMMYFUNCTION("IFERROR(AVERAGE(FILTER('حضور '!I:I,'حضور '!A:A=A985,MONTH('حضور '!B:B)=N985)),"""")"),"")</f>
        <v/>
      </c>
    </row>
    <row r="986" ht="26.25" hidden="1" customHeight="1">
      <c r="A986" s="371"/>
      <c r="B986" s="372"/>
      <c r="C986" s="66"/>
      <c r="D986" s="90"/>
      <c r="E986" s="66"/>
      <c r="F986" s="66"/>
      <c r="G986" s="66"/>
      <c r="H986" s="66"/>
      <c r="I986" s="66"/>
      <c r="J986" s="66"/>
      <c r="K986" s="66"/>
      <c r="L986" s="66"/>
      <c r="M986" s="330"/>
      <c r="N986" s="339"/>
      <c r="O986" s="331" t="str">
        <f>IFERROR(__xludf.DUMMYFUNCTION("IFERROR(AVERAGE(FILTER('حضور '!I:I,'حضور '!A:A=A986,MONTH('حضور '!B:B)=N986)),"""")"),"")</f>
        <v/>
      </c>
    </row>
    <row r="987" ht="26.25" hidden="1" customHeight="1">
      <c r="A987" s="371"/>
      <c r="B987" s="372"/>
      <c r="C987" s="66"/>
      <c r="D987" s="90"/>
      <c r="E987" s="66"/>
      <c r="F987" s="66"/>
      <c r="G987" s="66"/>
      <c r="H987" s="66"/>
      <c r="I987" s="66"/>
      <c r="J987" s="66"/>
      <c r="K987" s="66"/>
      <c r="L987" s="66"/>
      <c r="M987" s="330"/>
      <c r="N987" s="339"/>
      <c r="O987" s="331" t="str">
        <f>IFERROR(__xludf.DUMMYFUNCTION("IFERROR(AVERAGE(FILTER('حضور '!I:I,'حضور '!A:A=A987,MONTH('حضور '!B:B)=N987)),"""")"),"")</f>
        <v/>
      </c>
    </row>
    <row r="988" ht="26.25" hidden="1" customHeight="1">
      <c r="A988" s="371"/>
      <c r="B988" s="372"/>
      <c r="C988" s="66"/>
      <c r="D988" s="90"/>
      <c r="E988" s="66"/>
      <c r="F988" s="66"/>
      <c r="G988" s="66"/>
      <c r="H988" s="66"/>
      <c r="I988" s="66"/>
      <c r="J988" s="66"/>
      <c r="K988" s="66"/>
      <c r="L988" s="66"/>
      <c r="M988" s="330"/>
      <c r="N988" s="339"/>
      <c r="O988" s="331" t="str">
        <f>IFERROR(__xludf.DUMMYFUNCTION("IFERROR(AVERAGE(FILTER('حضور '!I:I,'حضور '!A:A=A988,MONTH('حضور '!B:B)=N988)),"""")"),"")</f>
        <v/>
      </c>
    </row>
    <row r="989" ht="26.25" hidden="1" customHeight="1">
      <c r="A989" s="371"/>
      <c r="B989" s="372"/>
      <c r="C989" s="66"/>
      <c r="D989" s="90"/>
      <c r="E989" s="66"/>
      <c r="F989" s="66"/>
      <c r="G989" s="66"/>
      <c r="H989" s="66"/>
      <c r="I989" s="66"/>
      <c r="J989" s="66"/>
      <c r="K989" s="66"/>
      <c r="L989" s="66"/>
      <c r="M989" s="330"/>
      <c r="N989" s="330"/>
      <c r="O989" s="331" t="str">
        <f>IFERROR(__xludf.DUMMYFUNCTION("IFERROR(AVERAGE(FILTER('حضور '!I:I,'حضور '!A:A=A989,MONTH('حضور '!B:B)=N989)),"""")"),"")</f>
        <v/>
      </c>
    </row>
    <row r="990" ht="26.25" hidden="1" customHeight="1">
      <c r="A990" s="371"/>
      <c r="B990" s="372"/>
      <c r="C990" s="66"/>
      <c r="D990" s="90"/>
      <c r="E990" s="66"/>
      <c r="F990" s="66"/>
      <c r="G990" s="66"/>
      <c r="H990" s="66"/>
      <c r="I990" s="66"/>
      <c r="J990" s="66"/>
      <c r="K990" s="66"/>
      <c r="L990" s="66"/>
      <c r="M990" s="330"/>
      <c r="N990" s="339"/>
      <c r="O990" s="331" t="str">
        <f>IFERROR(__xludf.DUMMYFUNCTION("IFERROR(AVERAGE(FILTER('حضور '!I:I,'حضور '!A:A=A990,MONTH('حضور '!B:B)=N990)),"""")"),"")</f>
        <v/>
      </c>
    </row>
    <row r="991" ht="26.25" hidden="1" customHeight="1">
      <c r="A991" s="371"/>
      <c r="B991" s="372"/>
      <c r="C991" s="66"/>
      <c r="D991" s="90"/>
      <c r="E991" s="66"/>
      <c r="F991" s="66"/>
      <c r="G991" s="66"/>
      <c r="H991" s="66"/>
      <c r="I991" s="66"/>
      <c r="J991" s="66"/>
      <c r="K991" s="66"/>
      <c r="L991" s="66"/>
      <c r="M991" s="330"/>
      <c r="N991" s="339"/>
      <c r="O991" s="331" t="str">
        <f>IFERROR(__xludf.DUMMYFUNCTION("IFERROR(AVERAGE(FILTER('حضور '!I:I,'حضور '!A:A=A991,MONTH('حضور '!B:B)=N991)),"""")"),"")</f>
        <v/>
      </c>
    </row>
    <row r="992" ht="26.25" hidden="1" customHeight="1">
      <c r="A992" s="371"/>
      <c r="B992" s="372"/>
      <c r="C992" s="66"/>
      <c r="D992" s="90"/>
      <c r="E992" s="66"/>
      <c r="F992" s="66"/>
      <c r="G992" s="66"/>
      <c r="H992" s="66"/>
      <c r="I992" s="66"/>
      <c r="J992" s="66"/>
      <c r="K992" s="66"/>
      <c r="L992" s="66"/>
      <c r="M992" s="330"/>
      <c r="N992" s="339"/>
      <c r="O992" s="331" t="str">
        <f>IFERROR(__xludf.DUMMYFUNCTION("IFERROR(AVERAGE(FILTER('حضور '!I:I,'حضور '!A:A=A992,MONTH('حضور '!B:B)=N992)),"""")"),"")</f>
        <v/>
      </c>
    </row>
    <row r="993" ht="26.25" hidden="1" customHeight="1">
      <c r="A993" s="371"/>
      <c r="B993" s="372"/>
      <c r="C993" s="66"/>
      <c r="D993" s="90"/>
      <c r="E993" s="66"/>
      <c r="F993" s="66"/>
      <c r="G993" s="66"/>
      <c r="H993" s="66"/>
      <c r="I993" s="66"/>
      <c r="J993" s="66"/>
      <c r="K993" s="66"/>
      <c r="L993" s="66"/>
      <c r="M993" s="330"/>
      <c r="N993" s="339"/>
      <c r="O993" s="331" t="str">
        <f>IFERROR(__xludf.DUMMYFUNCTION("IFERROR(AVERAGE(FILTER('حضور '!I:I,'حضور '!A:A=A993,MONTH('حضور '!B:B)=N993)),"""")"),"")</f>
        <v/>
      </c>
    </row>
    <row r="994" ht="26.25" hidden="1" customHeight="1">
      <c r="A994" s="371"/>
      <c r="B994" s="372"/>
      <c r="C994" s="66"/>
      <c r="D994" s="90"/>
      <c r="E994" s="66"/>
      <c r="F994" s="66"/>
      <c r="G994" s="66"/>
      <c r="H994" s="66"/>
      <c r="I994" s="66"/>
      <c r="J994" s="66"/>
      <c r="K994" s="66"/>
      <c r="L994" s="66"/>
      <c r="M994" s="330"/>
      <c r="N994" s="330"/>
      <c r="O994" s="331" t="str">
        <f>IFERROR(__xludf.DUMMYFUNCTION("IFERROR(AVERAGE(FILTER('حضور '!I:I,'حضور '!A:A=A994,MONTH('حضور '!B:B)=N994)),"""")"),"")</f>
        <v/>
      </c>
    </row>
    <row r="995" ht="26.25" hidden="1" customHeight="1">
      <c r="A995" s="371"/>
      <c r="B995" s="372"/>
      <c r="C995" s="66"/>
      <c r="D995" s="90"/>
      <c r="E995" s="66"/>
      <c r="F995" s="66"/>
      <c r="G995" s="66"/>
      <c r="H995" s="66"/>
      <c r="I995" s="66"/>
      <c r="J995" s="66"/>
      <c r="K995" s="66"/>
      <c r="L995" s="66"/>
      <c r="M995" s="330"/>
      <c r="N995" s="339"/>
      <c r="O995" s="331" t="str">
        <f>IFERROR(__xludf.DUMMYFUNCTION("IFERROR(AVERAGE(FILTER('حضور '!I:I,'حضور '!A:A=A995,MONTH('حضور '!B:B)=N995)),"""")"),"")</f>
        <v/>
      </c>
    </row>
    <row r="996" ht="26.25" hidden="1" customHeight="1">
      <c r="A996" s="371"/>
      <c r="B996" s="372"/>
      <c r="C996" s="66"/>
      <c r="D996" s="90"/>
      <c r="E996" s="66"/>
      <c r="F996" s="66"/>
      <c r="G996" s="66"/>
      <c r="H996" s="66"/>
      <c r="I996" s="66"/>
      <c r="J996" s="66"/>
      <c r="K996" s="66"/>
      <c r="L996" s="66"/>
      <c r="M996" s="330"/>
      <c r="N996" s="339"/>
      <c r="O996" s="331" t="str">
        <f>IFERROR(__xludf.DUMMYFUNCTION("IFERROR(AVERAGE(FILTER('حضور '!I:I,'حضور '!A:A=A996,MONTH('حضور '!B:B)=N996)),"""")"),"")</f>
        <v/>
      </c>
    </row>
    <row r="997" ht="26.25" hidden="1" customHeight="1">
      <c r="A997" s="371"/>
      <c r="B997" s="372"/>
      <c r="C997" s="66"/>
      <c r="D997" s="90"/>
      <c r="E997" s="66"/>
      <c r="F997" s="66"/>
      <c r="G997" s="66"/>
      <c r="H997" s="66"/>
      <c r="I997" s="66"/>
      <c r="J997" s="66"/>
      <c r="K997" s="66"/>
      <c r="L997" s="66"/>
      <c r="M997" s="330"/>
      <c r="N997" s="339"/>
      <c r="O997" s="331" t="str">
        <f>IFERROR(__xludf.DUMMYFUNCTION("IFERROR(AVERAGE(FILTER('حضور '!I:I,'حضور '!A:A=A997,MONTH('حضور '!B:B)=N997)),"""")"),"")</f>
        <v/>
      </c>
    </row>
    <row r="998" ht="26.25" hidden="1" customHeight="1">
      <c r="A998" s="371"/>
      <c r="B998" s="372"/>
      <c r="C998" s="66"/>
      <c r="D998" s="90"/>
      <c r="E998" s="66"/>
      <c r="F998" s="66"/>
      <c r="G998" s="66"/>
      <c r="H998" s="66"/>
      <c r="I998" s="66"/>
      <c r="J998" s="66"/>
      <c r="K998" s="66"/>
      <c r="L998" s="66"/>
      <c r="M998" s="330"/>
      <c r="N998" s="339"/>
      <c r="O998" s="331" t="str">
        <f>IFERROR(__xludf.DUMMYFUNCTION("IFERROR(AVERAGE(FILTER('حضور '!I:I,'حضور '!A:A=A998,MONTH('حضور '!B:B)=N998)),"""")"),"")</f>
        <v/>
      </c>
    </row>
    <row r="999" ht="26.25" hidden="1" customHeight="1">
      <c r="A999" s="371"/>
      <c r="B999" s="372"/>
      <c r="C999" s="66"/>
      <c r="D999" s="90"/>
      <c r="E999" s="66"/>
      <c r="F999" s="66"/>
      <c r="G999" s="66"/>
      <c r="H999" s="66"/>
      <c r="I999" s="66"/>
      <c r="J999" s="66"/>
      <c r="K999" s="66"/>
      <c r="L999" s="66"/>
      <c r="M999" s="330"/>
      <c r="N999" s="330"/>
      <c r="O999" s="331" t="str">
        <f>IFERROR(__xludf.DUMMYFUNCTION("IFERROR(AVERAGE(FILTER('حضور '!I:I,'حضور '!A:A=A999,MONTH('حضور '!B:B)=N999)),"""")"),"")</f>
        <v/>
      </c>
    </row>
    <row r="1000" ht="26.25" hidden="1" customHeight="1">
      <c r="A1000" s="371"/>
      <c r="B1000" s="372"/>
      <c r="C1000" s="66"/>
      <c r="D1000" s="90"/>
      <c r="E1000" s="66"/>
      <c r="F1000" s="66"/>
      <c r="G1000" s="66"/>
      <c r="H1000" s="66"/>
      <c r="I1000" s="66"/>
      <c r="J1000" s="66"/>
      <c r="K1000" s="66"/>
      <c r="L1000" s="66"/>
      <c r="M1000" s="330"/>
      <c r="N1000" s="339"/>
      <c r="O1000" s="331" t="str">
        <f>IFERROR(__xludf.DUMMYFUNCTION("IFERROR(AVERAGE(FILTER('حضور '!I:I,'حضور '!A:A=A1000,MONTH('حضور '!B:B)=N1000)),"""")"),"")</f>
        <v/>
      </c>
    </row>
    <row r="1001" ht="26.25" hidden="1" customHeight="1">
      <c r="A1001" s="371"/>
      <c r="B1001" s="372"/>
      <c r="C1001" s="66"/>
      <c r="D1001" s="90"/>
      <c r="E1001" s="66"/>
      <c r="F1001" s="66"/>
      <c r="G1001" s="66"/>
      <c r="H1001" s="66"/>
      <c r="I1001" s="66"/>
      <c r="J1001" s="66"/>
      <c r="K1001" s="66"/>
      <c r="L1001" s="66"/>
      <c r="M1001" s="330"/>
      <c r="N1001" s="339"/>
      <c r="O1001" s="331" t="str">
        <f>IFERROR(__xludf.DUMMYFUNCTION("IFERROR(AVERAGE(FILTER('حضور '!I:I,'حضور '!A:A=A1001,MONTH('حضور '!B:B)=N1001)),"""")"),"")</f>
        <v/>
      </c>
    </row>
    <row r="1002" ht="26.25" hidden="1" customHeight="1">
      <c r="A1002" s="371"/>
      <c r="B1002" s="372"/>
      <c r="C1002" s="66"/>
      <c r="D1002" s="90"/>
      <c r="E1002" s="66"/>
      <c r="F1002" s="66"/>
      <c r="G1002" s="66"/>
      <c r="H1002" s="66"/>
      <c r="I1002" s="66"/>
      <c r="J1002" s="66"/>
      <c r="K1002" s="66"/>
      <c r="L1002" s="66"/>
      <c r="M1002" s="330"/>
      <c r="N1002" s="339"/>
      <c r="O1002" s="331" t="str">
        <f>IFERROR(__xludf.DUMMYFUNCTION("IFERROR(AVERAGE(FILTER('حضور '!I:I,'حضور '!A:A=A1002,MONTH('حضور '!B:B)=N1002)),"""")"),"")</f>
        <v/>
      </c>
    </row>
    <row r="1003" ht="26.25" hidden="1" customHeight="1">
      <c r="A1003" s="371"/>
      <c r="B1003" s="372"/>
      <c r="C1003" s="66"/>
      <c r="D1003" s="90"/>
      <c r="E1003" s="66"/>
      <c r="F1003" s="66"/>
      <c r="G1003" s="66"/>
      <c r="H1003" s="66"/>
      <c r="I1003" s="66"/>
      <c r="J1003" s="66"/>
      <c r="K1003" s="66"/>
      <c r="L1003" s="66"/>
      <c r="M1003" s="330"/>
      <c r="N1003" s="339"/>
      <c r="O1003" s="331" t="str">
        <f>IFERROR(__xludf.DUMMYFUNCTION("IFERROR(AVERAGE(FILTER('حضور '!I:I,'حضور '!A:A=A1003,MONTH('حضور '!B:B)=N1003)),"""")"),"")</f>
        <v/>
      </c>
    </row>
  </sheetData>
  <dataValidations>
    <dataValidation type="list" allowBlank="1" showDropDown="1" showErrorMessage="1" sqref="A2:A7 A9:A22 A24:A31 A33">
      <formula1>'حضور '!$A$2:$A1003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5.71"/>
    <col customWidth="1" min="3" max="3" width="14.71"/>
    <col customWidth="1" min="6" max="6" width="15.71"/>
    <col customWidth="1" min="7" max="7" width="16.0"/>
    <col customWidth="1" min="8" max="8" width="18.14"/>
    <col customWidth="1" min="9" max="9" width="16.0"/>
    <col customWidth="1" min="11" max="11" width="43.57"/>
  </cols>
  <sheetData>
    <row r="1" ht="25.5" customHeight="1">
      <c r="A1" s="373" t="s">
        <v>10</v>
      </c>
      <c r="B1" s="374" t="s">
        <v>258</v>
      </c>
      <c r="C1" s="375" t="s">
        <v>17</v>
      </c>
      <c r="D1" s="376" t="s">
        <v>234</v>
      </c>
      <c r="E1" s="376" t="s">
        <v>235</v>
      </c>
      <c r="F1" s="377" t="s">
        <v>259</v>
      </c>
      <c r="G1" s="378" t="s">
        <v>45</v>
      </c>
      <c r="H1" s="374" t="s">
        <v>238</v>
      </c>
      <c r="I1" s="374" t="s">
        <v>252</v>
      </c>
      <c r="J1" s="379"/>
      <c r="K1" s="374" t="s">
        <v>260</v>
      </c>
    </row>
    <row r="2" ht="22.5" customHeight="1">
      <c r="A2" s="380" t="s">
        <v>27</v>
      </c>
      <c r="B2" s="374" t="s">
        <v>261</v>
      </c>
      <c r="C2" s="381">
        <v>46063.0</v>
      </c>
      <c r="D2" s="382">
        <v>0.125</v>
      </c>
      <c r="E2" s="382">
        <v>0.4166666666666667</v>
      </c>
      <c r="F2" s="383">
        <f t="shared" ref="F2:F1001" si="1">IF(AND(D2&lt;&gt;"",E2&lt;&gt;""),(E2-D2)*24,"")</f>
        <v>7</v>
      </c>
      <c r="G2" s="384">
        <f>IFERROR(__xludf.DUMMYFUNCTION("IFERROR(AVERAGE(FILTER('حضور '!I:I,'حضور '!A:A=A2,MONTH('حضور '!B:B)=J2)),"""")"),3373.016354016354)</f>
        <v>3373.016354</v>
      </c>
      <c r="H2" s="384">
        <f t="shared" ref="H2:H1001" si="2">G2*0.5</f>
        <v>1686.508177</v>
      </c>
      <c r="I2" s="385">
        <f t="shared" ref="I2:I1001" si="3">H2*F2</f>
        <v>11805.55724</v>
      </c>
      <c r="J2" s="386">
        <v>2.0</v>
      </c>
      <c r="K2" s="386"/>
    </row>
    <row r="3" ht="22.5" customHeight="1">
      <c r="A3" s="380" t="s">
        <v>27</v>
      </c>
      <c r="B3" s="374" t="s">
        <v>262</v>
      </c>
      <c r="C3" s="381">
        <v>46064.0</v>
      </c>
      <c r="D3" s="382">
        <v>0.7916666666666666</v>
      </c>
      <c r="E3" s="382">
        <v>0.9993055555555556</v>
      </c>
      <c r="F3" s="383">
        <f t="shared" si="1"/>
        <v>4.983333333</v>
      </c>
      <c r="G3" s="384">
        <f>IFERROR(__xludf.DUMMYFUNCTION("IFERROR(AVERAGE(FILTER('حضور '!I:I,'حضور '!A:A=A3,MONTH('حضور '!B:B)=J3)),"""")"),3373.016354016354)</f>
        <v>3373.016354</v>
      </c>
      <c r="H3" s="384">
        <f t="shared" si="2"/>
        <v>1686.508177</v>
      </c>
      <c r="I3" s="385">
        <f t="shared" si="3"/>
        <v>8404.432415</v>
      </c>
      <c r="J3" s="386">
        <v>2.0</v>
      </c>
      <c r="K3" s="386"/>
    </row>
    <row r="4" ht="22.5" customHeight="1">
      <c r="A4" s="380" t="s">
        <v>27</v>
      </c>
      <c r="B4" s="374" t="s">
        <v>262</v>
      </c>
      <c r="C4" s="381">
        <v>46065.0</v>
      </c>
      <c r="D4" s="382">
        <v>0.0</v>
      </c>
      <c r="E4" s="382">
        <v>0.4166666666666667</v>
      </c>
      <c r="F4" s="383">
        <f t="shared" si="1"/>
        <v>10</v>
      </c>
      <c r="G4" s="384">
        <f>IFERROR(__xludf.DUMMYFUNCTION("IFERROR(AVERAGE(FILTER('حضور '!I:I,'حضور '!A:A=A4,MONTH('حضور '!B:B)=J4)),"""")"),3373.016354016354)</f>
        <v>3373.016354</v>
      </c>
      <c r="H4" s="384">
        <f t="shared" si="2"/>
        <v>1686.508177</v>
      </c>
      <c r="I4" s="385">
        <f t="shared" si="3"/>
        <v>16865.08177</v>
      </c>
      <c r="J4" s="386">
        <v>2.0</v>
      </c>
      <c r="K4" s="386"/>
    </row>
    <row r="5" ht="22.5" customHeight="1">
      <c r="A5" s="380" t="s">
        <v>27</v>
      </c>
      <c r="B5" s="374" t="s">
        <v>263</v>
      </c>
      <c r="C5" s="381">
        <v>46066.0</v>
      </c>
      <c r="D5" s="382">
        <v>0.125</v>
      </c>
      <c r="E5" s="382">
        <v>0.4583333333333333</v>
      </c>
      <c r="F5" s="383">
        <f t="shared" si="1"/>
        <v>8</v>
      </c>
      <c r="G5" s="384">
        <f>IFERROR(__xludf.DUMMYFUNCTION("IFERROR(AVERAGE(FILTER('حضور '!I:I,'حضور '!A:A=A5,MONTH('حضور '!B:B)=J5)),"""")"),3373.016354016354)</f>
        <v>3373.016354</v>
      </c>
      <c r="H5" s="384">
        <f t="shared" si="2"/>
        <v>1686.508177</v>
      </c>
      <c r="I5" s="385">
        <f t="shared" si="3"/>
        <v>13492.06542</v>
      </c>
      <c r="J5" s="386">
        <v>2.0</v>
      </c>
      <c r="K5" s="386"/>
    </row>
    <row r="6" ht="22.5" customHeight="1">
      <c r="A6" s="380" t="s">
        <v>27</v>
      </c>
      <c r="B6" s="374" t="s">
        <v>264</v>
      </c>
      <c r="C6" s="381">
        <v>46067.0</v>
      </c>
      <c r="D6" s="382">
        <v>0.8333333333333334</v>
      </c>
      <c r="E6" s="382">
        <v>0.9993055555555556</v>
      </c>
      <c r="F6" s="383">
        <f t="shared" si="1"/>
        <v>3.983333333</v>
      </c>
      <c r="G6" s="384">
        <f>IFERROR(__xludf.DUMMYFUNCTION("IFERROR(AVERAGE(FILTER('حضور '!I:I,'حضور '!A:A=A6,MONTH('حضور '!B:B)=J6)),"""")"),3373.016354016354)</f>
        <v>3373.016354</v>
      </c>
      <c r="H6" s="384">
        <f t="shared" si="2"/>
        <v>1686.508177</v>
      </c>
      <c r="I6" s="385">
        <f t="shared" si="3"/>
        <v>6717.924238</v>
      </c>
      <c r="J6" s="386">
        <v>2.0</v>
      </c>
      <c r="K6" s="386"/>
    </row>
    <row r="7" ht="22.5" customHeight="1">
      <c r="A7" s="380" t="s">
        <v>27</v>
      </c>
      <c r="B7" s="374" t="s">
        <v>264</v>
      </c>
      <c r="C7" s="381">
        <v>46068.0</v>
      </c>
      <c r="D7" s="382">
        <v>0.0</v>
      </c>
      <c r="E7" s="382">
        <v>0.16666666666666666</v>
      </c>
      <c r="F7" s="383">
        <f t="shared" si="1"/>
        <v>4</v>
      </c>
      <c r="G7" s="384">
        <f>IFERROR(__xludf.DUMMYFUNCTION("IFERROR(AVERAGE(FILTER('حضور '!I:I,'حضور '!A:A=A2,MONTH('حضور '!B:B)=J7)),"""")"),3373.016354016354)</f>
        <v>3373.016354</v>
      </c>
      <c r="H7" s="384">
        <f t="shared" si="2"/>
        <v>1686.508177</v>
      </c>
      <c r="I7" s="385">
        <f t="shared" si="3"/>
        <v>6746.032708</v>
      </c>
      <c r="J7" s="386">
        <v>2.0</v>
      </c>
      <c r="K7" s="386"/>
    </row>
    <row r="8" ht="22.5" customHeight="1">
      <c r="A8" s="380" t="s">
        <v>27</v>
      </c>
      <c r="B8" s="374" t="s">
        <v>265</v>
      </c>
      <c r="C8" s="381">
        <v>46069.0</v>
      </c>
      <c r="D8" s="382">
        <v>0.9166666666666666</v>
      </c>
      <c r="E8" s="382">
        <v>0.9993055555555556</v>
      </c>
      <c r="F8" s="383">
        <f t="shared" si="1"/>
        <v>1.983333333</v>
      </c>
      <c r="G8" s="384">
        <f>IFERROR(__xludf.DUMMYFUNCTION("IFERROR(AVERAGE(FILTER('حضور '!I:I,'حضور '!A:A=A3,MONTH('حضور '!B:B)=J8)),"""")"),3373.016354016354)</f>
        <v>3373.016354</v>
      </c>
      <c r="H8" s="384">
        <f t="shared" si="2"/>
        <v>1686.508177</v>
      </c>
      <c r="I8" s="385">
        <f t="shared" si="3"/>
        <v>3344.907884</v>
      </c>
      <c r="J8" s="386">
        <v>2.0</v>
      </c>
      <c r="K8" s="386"/>
    </row>
    <row r="9" ht="22.5" customHeight="1">
      <c r="A9" s="380" t="s">
        <v>27</v>
      </c>
      <c r="B9" s="374" t="s">
        <v>265</v>
      </c>
      <c r="C9" s="381">
        <v>46070.0</v>
      </c>
      <c r="D9" s="382">
        <v>0.0</v>
      </c>
      <c r="E9" s="382">
        <v>0.375</v>
      </c>
      <c r="F9" s="383">
        <f t="shared" si="1"/>
        <v>9</v>
      </c>
      <c r="G9" s="384">
        <f>IFERROR(__xludf.DUMMYFUNCTION("IFERROR(AVERAGE(FILTER('حضور '!I:I,'حضور '!A:A=A4,MONTH('حضور '!B:B)=J9)),"""")"),3373.016354016354)</f>
        <v>3373.016354</v>
      </c>
      <c r="H9" s="384">
        <f t="shared" si="2"/>
        <v>1686.508177</v>
      </c>
      <c r="I9" s="385">
        <f t="shared" si="3"/>
        <v>15178.57359</v>
      </c>
      <c r="J9" s="386">
        <v>2.0</v>
      </c>
      <c r="K9" s="386"/>
    </row>
    <row r="10" ht="22.5" customHeight="1">
      <c r="A10" s="380" t="s">
        <v>27</v>
      </c>
      <c r="B10" s="374" t="s">
        <v>266</v>
      </c>
      <c r="C10" s="381">
        <v>46071.0</v>
      </c>
      <c r="D10" s="382">
        <v>0.7083333333333334</v>
      </c>
      <c r="E10" s="382">
        <v>0.9166666666666666</v>
      </c>
      <c r="F10" s="383">
        <f t="shared" si="1"/>
        <v>5</v>
      </c>
      <c r="G10" s="384">
        <f>IFERROR(__xludf.DUMMYFUNCTION("IFERROR(AVERAGE(FILTER('حضور '!I:I,'حضور '!A:A=A5,MONTH('حضور '!B:B)=J10)),"""")"),3373.016354016354)</f>
        <v>3373.016354</v>
      </c>
      <c r="H10" s="384">
        <f t="shared" si="2"/>
        <v>1686.508177</v>
      </c>
      <c r="I10" s="385">
        <f t="shared" si="3"/>
        <v>8432.540885</v>
      </c>
      <c r="J10" s="386">
        <v>2.0</v>
      </c>
      <c r="K10" s="386"/>
    </row>
    <row r="11" ht="22.5" customHeight="1">
      <c r="A11" s="380" t="s">
        <v>27</v>
      </c>
      <c r="B11" s="374" t="s">
        <v>267</v>
      </c>
      <c r="C11" s="381">
        <v>46072.0</v>
      </c>
      <c r="D11" s="382">
        <v>0.8333333333333334</v>
      </c>
      <c r="E11" s="382">
        <v>0.9993055555555556</v>
      </c>
      <c r="F11" s="383">
        <f t="shared" si="1"/>
        <v>3.983333333</v>
      </c>
      <c r="G11" s="384">
        <f>IFERROR(__xludf.DUMMYFUNCTION("IFERROR(AVERAGE(FILTER('حضور '!I:I,'حضور '!A:A=A6,MONTH('حضور '!B:B)=J11)),"""")"),3373.016354016354)</f>
        <v>3373.016354</v>
      </c>
      <c r="H11" s="384">
        <f t="shared" si="2"/>
        <v>1686.508177</v>
      </c>
      <c r="I11" s="385">
        <f t="shared" si="3"/>
        <v>6717.924238</v>
      </c>
      <c r="J11" s="386">
        <v>2.0</v>
      </c>
      <c r="K11" s="386"/>
    </row>
    <row r="12" ht="22.5" customHeight="1">
      <c r="A12" s="380" t="s">
        <v>29</v>
      </c>
      <c r="B12" s="387" t="s">
        <v>268</v>
      </c>
      <c r="C12" s="381">
        <v>46054.0</v>
      </c>
      <c r="D12" s="388">
        <v>0.125</v>
      </c>
      <c r="E12" s="389">
        <v>0.375</v>
      </c>
      <c r="F12" s="383">
        <f t="shared" si="1"/>
        <v>6</v>
      </c>
      <c r="G12" s="384">
        <f>IFERROR(__xludf.DUMMYFUNCTION("IFERROR(AVERAGE(FILTER('حضور '!I:I,'حضور '!A:A=A12,MONTH('حضور '!B:B)=J12)),"""")"),2579.365079365081)</f>
        <v>2579.365079</v>
      </c>
      <c r="H12" s="384">
        <f t="shared" si="2"/>
        <v>1289.68254</v>
      </c>
      <c r="I12" s="385">
        <f t="shared" si="3"/>
        <v>7738.095238</v>
      </c>
      <c r="J12" s="386">
        <v>2.0</v>
      </c>
      <c r="K12" s="386"/>
    </row>
    <row r="13" ht="22.5" customHeight="1">
      <c r="A13" s="380" t="s">
        <v>29</v>
      </c>
      <c r="B13" s="387" t="s">
        <v>269</v>
      </c>
      <c r="C13" s="381">
        <v>46056.0</v>
      </c>
      <c r="D13" s="388">
        <v>0.8333333333333334</v>
      </c>
      <c r="E13" s="389">
        <v>0.9993055555555556</v>
      </c>
      <c r="F13" s="383">
        <f t="shared" si="1"/>
        <v>3.983333333</v>
      </c>
      <c r="G13" s="384">
        <f>IFERROR(__xludf.DUMMYFUNCTION("IFERROR(AVERAGE(FILTER('حضور '!I:I,'حضور '!A:A=A13,MONTH('حضور '!B:B)=J13)),"""")"),2579.365079365081)</f>
        <v>2579.365079</v>
      </c>
      <c r="H13" s="384">
        <f t="shared" si="2"/>
        <v>1289.68254</v>
      </c>
      <c r="I13" s="385">
        <f t="shared" si="3"/>
        <v>5137.23545</v>
      </c>
      <c r="J13" s="386">
        <v>2.0</v>
      </c>
      <c r="K13" s="386"/>
    </row>
    <row r="14" ht="22.5" customHeight="1">
      <c r="A14" s="380" t="s">
        <v>29</v>
      </c>
      <c r="B14" s="387" t="s">
        <v>269</v>
      </c>
      <c r="C14" s="381">
        <v>46057.0</v>
      </c>
      <c r="D14" s="389">
        <v>0.0</v>
      </c>
      <c r="E14" s="389">
        <v>0.4166666666666667</v>
      </c>
      <c r="F14" s="383">
        <f t="shared" si="1"/>
        <v>10</v>
      </c>
      <c r="G14" s="384">
        <f>IFERROR(__xludf.DUMMYFUNCTION("IFERROR(AVERAGE(FILTER('حضور '!I:I,'حضور '!A:A=A14,MONTH('حضور '!B:B)=J14)),"""")"),2579.365079365081)</f>
        <v>2579.365079</v>
      </c>
      <c r="H14" s="384">
        <f t="shared" si="2"/>
        <v>1289.68254</v>
      </c>
      <c r="I14" s="385">
        <f t="shared" si="3"/>
        <v>12896.8254</v>
      </c>
      <c r="J14" s="386">
        <v>2.0</v>
      </c>
      <c r="K14" s="386"/>
    </row>
    <row r="15" ht="22.5" customHeight="1">
      <c r="A15" s="380" t="s">
        <v>29</v>
      </c>
      <c r="B15" s="387" t="s">
        <v>269</v>
      </c>
      <c r="C15" s="381">
        <v>46058.0</v>
      </c>
      <c r="D15" s="388">
        <v>0.8333333333333334</v>
      </c>
      <c r="E15" s="389">
        <v>0.9993055555555556</v>
      </c>
      <c r="F15" s="383">
        <f t="shared" si="1"/>
        <v>3.983333333</v>
      </c>
      <c r="G15" s="384">
        <f>IFERROR(__xludf.DUMMYFUNCTION("IFERROR(AVERAGE(FILTER('حضور '!I:I,'حضور '!A:A=A15,MONTH('حضور '!B:B)=J15)),"""")"),2579.365079365081)</f>
        <v>2579.365079</v>
      </c>
      <c r="H15" s="384">
        <f t="shared" si="2"/>
        <v>1289.68254</v>
      </c>
      <c r="I15" s="385">
        <f t="shared" si="3"/>
        <v>5137.23545</v>
      </c>
      <c r="J15" s="386">
        <v>2.0</v>
      </c>
      <c r="K15" s="386"/>
    </row>
    <row r="16" ht="22.5" customHeight="1">
      <c r="A16" s="380" t="s">
        <v>29</v>
      </c>
      <c r="B16" s="387" t="s">
        <v>269</v>
      </c>
      <c r="C16" s="381">
        <v>46059.0</v>
      </c>
      <c r="D16" s="389">
        <v>0.0</v>
      </c>
      <c r="E16" s="389">
        <v>0.16666666666666666</v>
      </c>
      <c r="F16" s="383">
        <f t="shared" si="1"/>
        <v>4</v>
      </c>
      <c r="G16" s="384">
        <f>IFERROR(__xludf.DUMMYFUNCTION("IFERROR(AVERAGE(FILTER('حضور '!I:I,'حضور '!A:A=A16,MONTH('حضور '!B:B)=J16)),"""")"),2579.365079365081)</f>
        <v>2579.365079</v>
      </c>
      <c r="H16" s="384">
        <f t="shared" si="2"/>
        <v>1289.68254</v>
      </c>
      <c r="I16" s="385">
        <f t="shared" si="3"/>
        <v>5158.730159</v>
      </c>
      <c r="J16" s="386">
        <v>2.0</v>
      </c>
      <c r="K16" s="386"/>
    </row>
    <row r="17" ht="22.5" customHeight="1">
      <c r="A17" s="380" t="s">
        <v>29</v>
      </c>
      <c r="B17" s="390" t="s">
        <v>270</v>
      </c>
      <c r="C17" s="381">
        <v>46060.0</v>
      </c>
      <c r="D17" s="388">
        <v>0.375</v>
      </c>
      <c r="E17" s="388">
        <v>0.5833333333333334</v>
      </c>
      <c r="F17" s="383">
        <f t="shared" si="1"/>
        <v>5</v>
      </c>
      <c r="G17" s="384">
        <f>IFERROR(__xludf.DUMMYFUNCTION("IFERROR(AVERAGE(FILTER('حضور '!I:I,'حضور '!A:A=A17,MONTH('حضور '!B:B)=J17)),"""")"),2579.365079365081)</f>
        <v>2579.365079</v>
      </c>
      <c r="H17" s="384">
        <f t="shared" si="2"/>
        <v>1289.68254</v>
      </c>
      <c r="I17" s="385">
        <f t="shared" si="3"/>
        <v>6448.412698</v>
      </c>
      <c r="J17" s="386">
        <v>2.0</v>
      </c>
      <c r="K17" s="386"/>
    </row>
    <row r="18" ht="22.5" customHeight="1">
      <c r="A18" s="380" t="s">
        <v>28</v>
      </c>
      <c r="B18" s="374" t="s">
        <v>271</v>
      </c>
      <c r="C18" s="381">
        <v>46103.0</v>
      </c>
      <c r="D18" s="388">
        <v>0.375</v>
      </c>
      <c r="E18" s="388">
        <v>0.875</v>
      </c>
      <c r="F18" s="383">
        <f t="shared" si="1"/>
        <v>12</v>
      </c>
      <c r="G18" s="384">
        <f>IFERROR(__xludf.DUMMYFUNCTION("IFERROR(AVERAGE(FILTER('حضور '!I:I,'حضور '!A:A=A18,MONTH('حضور '!B:B)=J18)),"""")"),2263.3744855967084)</f>
        <v>2263.374486</v>
      </c>
      <c r="H18" s="384">
        <f t="shared" si="2"/>
        <v>1131.687243</v>
      </c>
      <c r="I18" s="385">
        <f t="shared" si="3"/>
        <v>13580.24691</v>
      </c>
      <c r="J18" s="386">
        <v>3.0</v>
      </c>
      <c r="K18" s="386"/>
    </row>
    <row r="19" ht="22.5" customHeight="1">
      <c r="A19" s="380" t="s">
        <v>28</v>
      </c>
      <c r="B19" s="374" t="s">
        <v>271</v>
      </c>
      <c r="C19" s="381">
        <v>46104.0</v>
      </c>
      <c r="D19" s="388">
        <v>0.375</v>
      </c>
      <c r="E19" s="388">
        <v>0.875</v>
      </c>
      <c r="F19" s="383">
        <f t="shared" si="1"/>
        <v>12</v>
      </c>
      <c r="G19" s="384">
        <f>IFERROR(__xludf.DUMMYFUNCTION("IFERROR(AVERAGE(FILTER('حضور '!I:I,'حضور '!A:A=A19,MONTH('حضور '!B:B)=J19)),"""")"),2263.3744855967084)</f>
        <v>2263.374486</v>
      </c>
      <c r="H19" s="384">
        <f t="shared" si="2"/>
        <v>1131.687243</v>
      </c>
      <c r="I19" s="385">
        <f t="shared" si="3"/>
        <v>13580.24691</v>
      </c>
      <c r="J19" s="386">
        <v>3.0</v>
      </c>
      <c r="K19" s="386"/>
    </row>
    <row r="20" ht="22.5" customHeight="1">
      <c r="A20" s="380" t="s">
        <v>28</v>
      </c>
      <c r="B20" s="374" t="s">
        <v>271</v>
      </c>
      <c r="C20" s="381">
        <v>46105.0</v>
      </c>
      <c r="D20" s="388">
        <v>0.375</v>
      </c>
      <c r="E20" s="388">
        <v>0.875</v>
      </c>
      <c r="F20" s="383">
        <f t="shared" si="1"/>
        <v>12</v>
      </c>
      <c r="G20" s="384">
        <f>IFERROR(__xludf.DUMMYFUNCTION("IFERROR(AVERAGE(FILTER('حضور '!I:I,'حضور '!A:A=A20,MONTH('حضور '!B:B)=J20)),"""")"),2263.3744855967084)</f>
        <v>2263.374486</v>
      </c>
      <c r="H20" s="384">
        <f t="shared" si="2"/>
        <v>1131.687243</v>
      </c>
      <c r="I20" s="385">
        <f t="shared" si="3"/>
        <v>13580.24691</v>
      </c>
      <c r="J20" s="386">
        <v>3.0</v>
      </c>
      <c r="K20" s="386"/>
    </row>
    <row r="21" ht="22.5" customHeight="1">
      <c r="A21" s="380" t="s">
        <v>28</v>
      </c>
      <c r="B21" s="374" t="s">
        <v>271</v>
      </c>
      <c r="C21" s="381">
        <v>46106.0</v>
      </c>
      <c r="D21" s="388">
        <v>0.375</v>
      </c>
      <c r="E21" s="388">
        <v>0.875</v>
      </c>
      <c r="F21" s="383">
        <f t="shared" si="1"/>
        <v>12</v>
      </c>
      <c r="G21" s="384">
        <f>IFERROR(__xludf.DUMMYFUNCTION("IFERROR(AVERAGE(FILTER('حضور '!I:I,'حضور '!A:A=A21,MONTH('حضور '!B:B)=J21)),"""")"),2263.3744855967084)</f>
        <v>2263.374486</v>
      </c>
      <c r="H21" s="384">
        <f t="shared" si="2"/>
        <v>1131.687243</v>
      </c>
      <c r="I21" s="385">
        <f t="shared" si="3"/>
        <v>13580.24691</v>
      </c>
      <c r="J21" s="386">
        <v>3.0</v>
      </c>
      <c r="K21" s="386"/>
    </row>
    <row r="22" ht="22.5" customHeight="1">
      <c r="A22" s="380" t="s">
        <v>28</v>
      </c>
      <c r="B22" s="374" t="s">
        <v>271</v>
      </c>
      <c r="C22" s="381">
        <v>46107.0</v>
      </c>
      <c r="D22" s="388">
        <v>0.375</v>
      </c>
      <c r="E22" s="388">
        <v>0.875</v>
      </c>
      <c r="F22" s="383">
        <f t="shared" si="1"/>
        <v>12</v>
      </c>
      <c r="G22" s="384">
        <f>IFERROR(__xludf.DUMMYFUNCTION("IFERROR(AVERAGE(FILTER('حضور '!I:I,'حضور '!A:A=A22,MONTH('حضور '!B:B)=J22)),"""")"),2263.3744855967084)</f>
        <v>2263.374486</v>
      </c>
      <c r="H22" s="384">
        <f t="shared" si="2"/>
        <v>1131.687243</v>
      </c>
      <c r="I22" s="385">
        <f t="shared" si="3"/>
        <v>13580.24691</v>
      </c>
      <c r="J22" s="386">
        <v>3.0</v>
      </c>
      <c r="K22" s="386"/>
    </row>
    <row r="23" ht="22.5" customHeight="1">
      <c r="A23" s="391"/>
      <c r="B23" s="379"/>
      <c r="C23" s="381">
        <v>46082.0</v>
      </c>
      <c r="D23" s="392"/>
      <c r="E23" s="392"/>
      <c r="F23" s="383" t="str">
        <f t="shared" si="1"/>
        <v/>
      </c>
      <c r="G23" s="384">
        <f>IFERROR(__xludf.DUMMYFUNCTION("IFERROR(AVERAGE(FILTER('حضور '!I:I,'حضور '!A:A=A23,MONTH('حضور '!B:B)=J23)),"""")"),2962.105624142662)</f>
        <v>2962.105624</v>
      </c>
      <c r="H23" s="384">
        <f t="shared" si="2"/>
        <v>1481.052812</v>
      </c>
      <c r="I23" s="385">
        <f t="shared" si="3"/>
        <v>0</v>
      </c>
      <c r="J23" s="386">
        <v>3.0</v>
      </c>
      <c r="K23" s="386"/>
    </row>
    <row r="24" ht="22.5" customHeight="1">
      <c r="A24" s="391"/>
      <c r="B24" s="379"/>
      <c r="C24" s="381">
        <v>46082.0</v>
      </c>
      <c r="D24" s="392"/>
      <c r="E24" s="392"/>
      <c r="F24" s="383" t="str">
        <f t="shared" si="1"/>
        <v/>
      </c>
      <c r="G24" s="384">
        <f>IFERROR(__xludf.DUMMYFUNCTION("IFERROR(AVERAGE(FILTER('حضور '!I:I,'حضور '!A:A=A24,MONTH('حضور '!B:B)=J24)),"""")"),2962.105624142662)</f>
        <v>2962.105624</v>
      </c>
      <c r="H24" s="384">
        <f t="shared" si="2"/>
        <v>1481.052812</v>
      </c>
      <c r="I24" s="385">
        <f t="shared" si="3"/>
        <v>0</v>
      </c>
      <c r="J24" s="386">
        <v>3.0</v>
      </c>
      <c r="K24" s="386"/>
    </row>
    <row r="25" ht="22.5" customHeight="1">
      <c r="A25" s="391"/>
      <c r="B25" s="379"/>
      <c r="C25" s="381">
        <v>46082.0</v>
      </c>
      <c r="D25" s="392"/>
      <c r="E25" s="392"/>
      <c r="F25" s="383" t="str">
        <f t="shared" si="1"/>
        <v/>
      </c>
      <c r="G25" s="384" t="str">
        <f>IFERROR(__xludf.DUMMYFUNCTION("IFERROR(AVERAGE(FILTER('حضور '!I:I,'حضور '!A:A=A25,MONTH('حضور '!B:B)=J25)),"""")"),"")</f>
        <v/>
      </c>
      <c r="H25" s="384">
        <f t="shared" si="2"/>
        <v>0</v>
      </c>
      <c r="I25" s="385">
        <f t="shared" si="3"/>
        <v>0</v>
      </c>
    </row>
    <row r="26" ht="22.5" customHeight="1">
      <c r="A26" s="391"/>
      <c r="B26" s="379"/>
      <c r="C26" s="381">
        <v>46082.0</v>
      </c>
      <c r="D26" s="392"/>
      <c r="E26" s="392"/>
      <c r="F26" s="383" t="str">
        <f t="shared" si="1"/>
        <v/>
      </c>
      <c r="G26" s="384" t="str">
        <f>IFERROR(__xludf.DUMMYFUNCTION("IFERROR(AVERAGE(FILTER('حضور '!I:I,'حضور '!A:A=A26,MONTH('حضور '!B:B)=J26)),"""")"),"")</f>
        <v/>
      </c>
      <c r="H26" s="384">
        <f t="shared" si="2"/>
        <v>0</v>
      </c>
      <c r="I26" s="385">
        <f t="shared" si="3"/>
        <v>0</v>
      </c>
    </row>
    <row r="27" ht="22.5" customHeight="1">
      <c r="A27" s="391"/>
      <c r="B27" s="379"/>
      <c r="C27" s="381">
        <v>46082.0</v>
      </c>
      <c r="D27" s="392"/>
      <c r="E27" s="392"/>
      <c r="F27" s="383" t="str">
        <f t="shared" si="1"/>
        <v/>
      </c>
      <c r="G27" s="384" t="str">
        <f>IFERROR(__xludf.DUMMYFUNCTION("IFERROR(AVERAGE(FILTER('حضور '!I:I,'حضور '!A:A=A27,MONTH('حضور '!B:B)=J27)),"""")"),"")</f>
        <v/>
      </c>
      <c r="H27" s="384">
        <f t="shared" si="2"/>
        <v>0</v>
      </c>
      <c r="I27" s="385">
        <f t="shared" si="3"/>
        <v>0</v>
      </c>
    </row>
    <row r="28" ht="22.5" customHeight="1">
      <c r="A28" s="391"/>
      <c r="B28" s="379"/>
      <c r="C28" s="381">
        <v>46082.0</v>
      </c>
      <c r="D28" s="392"/>
      <c r="E28" s="392"/>
      <c r="F28" s="383" t="str">
        <f t="shared" si="1"/>
        <v/>
      </c>
      <c r="G28" s="384" t="str">
        <f>IFERROR(__xludf.DUMMYFUNCTION("IFERROR(AVERAGE(FILTER('حضور '!I:I,'حضور '!A:A=A28,MONTH('حضور '!B:B)=J28)),"""")"),"")</f>
        <v/>
      </c>
      <c r="H28" s="384">
        <f t="shared" si="2"/>
        <v>0</v>
      </c>
      <c r="I28" s="385">
        <f t="shared" si="3"/>
        <v>0</v>
      </c>
    </row>
    <row r="29" ht="22.5" customHeight="1">
      <c r="A29" s="391"/>
      <c r="B29" s="379"/>
      <c r="C29" s="381">
        <v>46082.0</v>
      </c>
      <c r="D29" s="392"/>
      <c r="E29" s="392"/>
      <c r="F29" s="383" t="str">
        <f t="shared" si="1"/>
        <v/>
      </c>
      <c r="G29" s="384" t="str">
        <f>IFERROR(__xludf.DUMMYFUNCTION("IFERROR(AVERAGE(FILTER('حضور '!I:I,'حضور '!A:A=A29,MONTH('حضور '!B:B)=J29)),"""")"),"")</f>
        <v/>
      </c>
      <c r="H29" s="384">
        <f t="shared" si="2"/>
        <v>0</v>
      </c>
      <c r="I29" s="385">
        <f t="shared" si="3"/>
        <v>0</v>
      </c>
    </row>
    <row r="30" ht="22.5" customHeight="1">
      <c r="A30" s="391"/>
      <c r="B30" s="379"/>
      <c r="C30" s="381">
        <v>46082.0</v>
      </c>
      <c r="D30" s="392"/>
      <c r="E30" s="392"/>
      <c r="F30" s="383" t="str">
        <f t="shared" si="1"/>
        <v/>
      </c>
      <c r="G30" s="384" t="str">
        <f>IFERROR(__xludf.DUMMYFUNCTION("IFERROR(AVERAGE(FILTER('حضور '!I:I,'حضور '!A:A=A30,MONTH('حضور '!B:B)=J30)),"""")"),"")</f>
        <v/>
      </c>
      <c r="H30" s="384">
        <f t="shared" si="2"/>
        <v>0</v>
      </c>
      <c r="I30" s="385">
        <f t="shared" si="3"/>
        <v>0</v>
      </c>
    </row>
    <row r="31" ht="22.5" customHeight="1">
      <c r="A31" s="391"/>
      <c r="B31" s="379"/>
      <c r="C31" s="381">
        <v>46082.0</v>
      </c>
      <c r="D31" s="392"/>
      <c r="E31" s="392"/>
      <c r="F31" s="383" t="str">
        <f t="shared" si="1"/>
        <v/>
      </c>
      <c r="G31" s="384" t="str">
        <f>IFERROR(__xludf.DUMMYFUNCTION("IFERROR(AVERAGE(FILTER('حضور '!I:I,'حضور '!A:A=A31,MONTH('حضور '!B:B)=J31)),"""")"),"")</f>
        <v/>
      </c>
      <c r="H31" s="384">
        <f t="shared" si="2"/>
        <v>0</v>
      </c>
      <c r="I31" s="385">
        <f t="shared" si="3"/>
        <v>0</v>
      </c>
    </row>
    <row r="32" ht="22.5" customHeight="1">
      <c r="A32" s="391"/>
      <c r="B32" s="379"/>
      <c r="C32" s="393"/>
      <c r="D32" s="392"/>
      <c r="E32" s="392"/>
      <c r="F32" s="383" t="str">
        <f t="shared" si="1"/>
        <v/>
      </c>
      <c r="G32" s="384" t="str">
        <f>IFERROR(__xludf.DUMMYFUNCTION("IFERROR(AVERAGE(FILTER('حضور '!I:I,'حضور '!A:A=A32,MONTH('حضور '!B:B)=J32)),"""")"),"")</f>
        <v/>
      </c>
      <c r="H32" s="384">
        <f t="shared" si="2"/>
        <v>0</v>
      </c>
      <c r="I32" s="385">
        <f t="shared" si="3"/>
        <v>0</v>
      </c>
    </row>
    <row r="33" ht="22.5" customHeight="1">
      <c r="A33" s="391"/>
      <c r="B33" s="379"/>
      <c r="C33" s="393"/>
      <c r="D33" s="392"/>
      <c r="E33" s="392"/>
      <c r="F33" s="383" t="str">
        <f t="shared" si="1"/>
        <v/>
      </c>
      <c r="G33" s="384" t="str">
        <f>IFERROR(__xludf.DUMMYFUNCTION("IFERROR(AVERAGE(FILTER('حضور '!I:I,'حضور '!A:A=A33,MONTH('حضور '!B:B)=J33)),"""")"),"")</f>
        <v/>
      </c>
      <c r="H33" s="384">
        <f t="shared" si="2"/>
        <v>0</v>
      </c>
      <c r="I33" s="385">
        <f t="shared" si="3"/>
        <v>0</v>
      </c>
    </row>
    <row r="34" ht="22.5" customHeight="1">
      <c r="A34" s="391"/>
      <c r="B34" s="379"/>
      <c r="C34" s="393"/>
      <c r="D34" s="392"/>
      <c r="E34" s="392"/>
      <c r="F34" s="383" t="str">
        <f t="shared" si="1"/>
        <v/>
      </c>
      <c r="G34" s="384" t="str">
        <f>IFERROR(__xludf.DUMMYFUNCTION("IFERROR(AVERAGE(FILTER('حضور '!I:I,'حضور '!A:A=A34,MONTH('حضور '!B:B)=J34)),"""")"),"")</f>
        <v/>
      </c>
      <c r="H34" s="384">
        <f t="shared" si="2"/>
        <v>0</v>
      </c>
      <c r="I34" s="385">
        <f t="shared" si="3"/>
        <v>0</v>
      </c>
    </row>
    <row r="35" ht="22.5" customHeight="1">
      <c r="A35" s="391"/>
      <c r="B35" s="379"/>
      <c r="C35" s="393"/>
      <c r="D35" s="392"/>
      <c r="E35" s="392"/>
      <c r="F35" s="383" t="str">
        <f t="shared" si="1"/>
        <v/>
      </c>
      <c r="G35" s="384" t="str">
        <f>IFERROR(__xludf.DUMMYFUNCTION("IFERROR(AVERAGE(FILTER('حضور '!I:I,'حضور '!A:A=A35,MONTH('حضور '!B:B)=J35)),"""")"),"")</f>
        <v/>
      </c>
      <c r="H35" s="384">
        <f t="shared" si="2"/>
        <v>0</v>
      </c>
      <c r="I35" s="385">
        <f t="shared" si="3"/>
        <v>0</v>
      </c>
    </row>
    <row r="36" ht="22.5" customHeight="1">
      <c r="A36" s="391"/>
      <c r="B36" s="379"/>
      <c r="C36" s="393"/>
      <c r="D36" s="392"/>
      <c r="E36" s="392"/>
      <c r="F36" s="383" t="str">
        <f t="shared" si="1"/>
        <v/>
      </c>
      <c r="G36" s="384" t="str">
        <f>IFERROR(__xludf.DUMMYFUNCTION("IFERROR(AVERAGE(FILTER('حضور '!I:I,'حضور '!A:A=A36,MONTH('حضور '!B:B)=J36)),"""")"),"")</f>
        <v/>
      </c>
      <c r="H36" s="384">
        <f t="shared" si="2"/>
        <v>0</v>
      </c>
      <c r="I36" s="385">
        <f t="shared" si="3"/>
        <v>0</v>
      </c>
    </row>
    <row r="37" ht="22.5" customHeight="1">
      <c r="A37" s="391"/>
      <c r="B37" s="379"/>
      <c r="C37" s="393"/>
      <c r="D37" s="392"/>
      <c r="E37" s="392"/>
      <c r="F37" s="383" t="str">
        <f t="shared" si="1"/>
        <v/>
      </c>
      <c r="G37" s="384" t="str">
        <f>IFERROR(__xludf.DUMMYFUNCTION("IFERROR(AVERAGE(FILTER('حضور '!I:I,'حضور '!A:A=A37,MONTH('حضور '!B:B)=J37)),"""")"),"")</f>
        <v/>
      </c>
      <c r="H37" s="384">
        <f t="shared" si="2"/>
        <v>0</v>
      </c>
      <c r="I37" s="385">
        <f t="shared" si="3"/>
        <v>0</v>
      </c>
    </row>
    <row r="38" ht="22.5" customHeight="1">
      <c r="A38" s="391"/>
      <c r="B38" s="379"/>
      <c r="C38" s="393"/>
      <c r="D38" s="392"/>
      <c r="E38" s="392"/>
      <c r="F38" s="383" t="str">
        <f t="shared" si="1"/>
        <v/>
      </c>
      <c r="G38" s="384" t="str">
        <f>IFERROR(__xludf.DUMMYFUNCTION("IFERROR(AVERAGE(FILTER('حضور '!I:I,'حضور '!A:A=A38,MONTH('حضور '!B:B)=J38)),"""")"),"")</f>
        <v/>
      </c>
      <c r="H38" s="384">
        <f t="shared" si="2"/>
        <v>0</v>
      </c>
      <c r="I38" s="385">
        <f t="shared" si="3"/>
        <v>0</v>
      </c>
    </row>
    <row r="39" ht="22.5" customHeight="1">
      <c r="A39" s="391"/>
      <c r="B39" s="379"/>
      <c r="C39" s="393"/>
      <c r="D39" s="392"/>
      <c r="E39" s="392"/>
      <c r="F39" s="383" t="str">
        <f t="shared" si="1"/>
        <v/>
      </c>
      <c r="G39" s="384" t="str">
        <f>IFERROR(__xludf.DUMMYFUNCTION("IFERROR(AVERAGE(FILTER('حضور '!I:I,'حضور '!A:A=A39,MONTH('حضور '!B:B)=J39)),"""")"),"")</f>
        <v/>
      </c>
      <c r="H39" s="384">
        <f t="shared" si="2"/>
        <v>0</v>
      </c>
      <c r="I39" s="385">
        <f t="shared" si="3"/>
        <v>0</v>
      </c>
    </row>
    <row r="40" ht="22.5" customHeight="1">
      <c r="A40" s="391"/>
      <c r="B40" s="379"/>
      <c r="C40" s="393"/>
      <c r="D40" s="392"/>
      <c r="E40" s="392"/>
      <c r="F40" s="383" t="str">
        <f t="shared" si="1"/>
        <v/>
      </c>
      <c r="G40" s="384" t="str">
        <f>IFERROR(__xludf.DUMMYFUNCTION("IFERROR(AVERAGE(FILTER('حضور '!I:I,'حضور '!A:A=A40,MONTH('حضور '!B:B)=J40)),"""")"),"")</f>
        <v/>
      </c>
      <c r="H40" s="384">
        <f t="shared" si="2"/>
        <v>0</v>
      </c>
      <c r="I40" s="385">
        <f t="shared" si="3"/>
        <v>0</v>
      </c>
    </row>
    <row r="41" ht="22.5" customHeight="1">
      <c r="A41" s="391"/>
      <c r="B41" s="379"/>
      <c r="C41" s="393"/>
      <c r="D41" s="392"/>
      <c r="E41" s="392"/>
      <c r="F41" s="383" t="str">
        <f t="shared" si="1"/>
        <v/>
      </c>
      <c r="G41" s="384" t="str">
        <f>IFERROR(__xludf.DUMMYFUNCTION("IFERROR(AVERAGE(FILTER('حضور '!I:I,'حضور '!A:A=A41,MONTH('حضور '!B:B)=J41)),"""")"),"")</f>
        <v/>
      </c>
      <c r="H41" s="384">
        <f t="shared" si="2"/>
        <v>0</v>
      </c>
      <c r="I41" s="385">
        <f t="shared" si="3"/>
        <v>0</v>
      </c>
    </row>
    <row r="42" ht="22.5" customHeight="1">
      <c r="A42" s="391"/>
      <c r="B42" s="379"/>
      <c r="C42" s="393"/>
      <c r="D42" s="392"/>
      <c r="E42" s="392"/>
      <c r="F42" s="383" t="str">
        <f t="shared" si="1"/>
        <v/>
      </c>
      <c r="G42" s="384" t="str">
        <f>IFERROR(__xludf.DUMMYFUNCTION("IFERROR(AVERAGE(FILTER('حضور '!I:I,'حضور '!A:A=A42,MONTH('حضور '!B:B)=J42)),"""")"),"")</f>
        <v/>
      </c>
      <c r="H42" s="384">
        <f t="shared" si="2"/>
        <v>0</v>
      </c>
      <c r="I42" s="385">
        <f t="shared" si="3"/>
        <v>0</v>
      </c>
    </row>
    <row r="43" ht="22.5" customHeight="1">
      <c r="A43" s="391"/>
      <c r="B43" s="379"/>
      <c r="C43" s="393"/>
      <c r="D43" s="392"/>
      <c r="E43" s="392"/>
      <c r="F43" s="383" t="str">
        <f t="shared" si="1"/>
        <v/>
      </c>
      <c r="G43" s="384" t="str">
        <f>IFERROR(__xludf.DUMMYFUNCTION("IFERROR(AVERAGE(FILTER('حضور '!I:I,'حضور '!A:A=A43,MONTH('حضور '!B:B)=J43)),"""")"),"")</f>
        <v/>
      </c>
      <c r="H43" s="384">
        <f t="shared" si="2"/>
        <v>0</v>
      </c>
      <c r="I43" s="385">
        <f t="shared" si="3"/>
        <v>0</v>
      </c>
    </row>
    <row r="44" ht="22.5" customHeight="1">
      <c r="A44" s="391"/>
      <c r="B44" s="379"/>
      <c r="C44" s="393"/>
      <c r="D44" s="392"/>
      <c r="E44" s="392"/>
      <c r="F44" s="383" t="str">
        <f t="shared" si="1"/>
        <v/>
      </c>
      <c r="G44" s="384" t="str">
        <f>IFERROR(__xludf.DUMMYFUNCTION("IFERROR(AVERAGE(FILTER('حضور '!I:I,'حضور '!A:A=A44,MONTH('حضور '!B:B)=J44)),"""")"),"")</f>
        <v/>
      </c>
      <c r="H44" s="384">
        <f t="shared" si="2"/>
        <v>0</v>
      </c>
      <c r="I44" s="385">
        <f t="shared" si="3"/>
        <v>0</v>
      </c>
    </row>
    <row r="45" ht="22.5" customHeight="1">
      <c r="A45" s="391"/>
      <c r="B45" s="379"/>
      <c r="C45" s="393"/>
      <c r="D45" s="392"/>
      <c r="E45" s="392"/>
      <c r="F45" s="383" t="str">
        <f t="shared" si="1"/>
        <v/>
      </c>
      <c r="G45" s="384" t="str">
        <f>IFERROR(__xludf.DUMMYFUNCTION("IFERROR(AVERAGE(FILTER('حضور '!I:I,'حضور '!A:A=A45,MONTH('حضور '!B:B)=J45)),"""")"),"")</f>
        <v/>
      </c>
      <c r="H45" s="384">
        <f t="shared" si="2"/>
        <v>0</v>
      </c>
      <c r="I45" s="385">
        <f t="shared" si="3"/>
        <v>0</v>
      </c>
    </row>
    <row r="46" ht="22.5" customHeight="1">
      <c r="A46" s="391"/>
      <c r="B46" s="379"/>
      <c r="C46" s="393"/>
      <c r="D46" s="392"/>
      <c r="E46" s="392"/>
      <c r="F46" s="383" t="str">
        <f t="shared" si="1"/>
        <v/>
      </c>
      <c r="G46" s="384" t="str">
        <f>IFERROR(__xludf.DUMMYFUNCTION("IFERROR(AVERAGE(FILTER('حضور '!I:I,'حضور '!A:A=A46,MONTH('حضور '!B:B)=J46)),"""")"),"")</f>
        <v/>
      </c>
      <c r="H46" s="384">
        <f t="shared" si="2"/>
        <v>0</v>
      </c>
      <c r="I46" s="385">
        <f t="shared" si="3"/>
        <v>0</v>
      </c>
    </row>
    <row r="47" ht="22.5" customHeight="1">
      <c r="A47" s="391"/>
      <c r="B47" s="379"/>
      <c r="C47" s="393"/>
      <c r="D47" s="392"/>
      <c r="E47" s="392"/>
      <c r="F47" s="383" t="str">
        <f t="shared" si="1"/>
        <v/>
      </c>
      <c r="G47" s="384" t="str">
        <f>IFERROR(__xludf.DUMMYFUNCTION("IFERROR(AVERAGE(FILTER('حضور '!I:I,'حضور '!A:A=A47,MONTH('حضور '!B:B)=J47)),"""")"),"")</f>
        <v/>
      </c>
      <c r="H47" s="384">
        <f t="shared" si="2"/>
        <v>0</v>
      </c>
      <c r="I47" s="385">
        <f t="shared" si="3"/>
        <v>0</v>
      </c>
    </row>
    <row r="48" ht="22.5" customHeight="1">
      <c r="A48" s="391"/>
      <c r="B48" s="379"/>
      <c r="C48" s="393"/>
      <c r="D48" s="392"/>
      <c r="E48" s="392"/>
      <c r="F48" s="383" t="str">
        <f t="shared" si="1"/>
        <v/>
      </c>
      <c r="G48" s="384" t="str">
        <f>IFERROR(__xludf.DUMMYFUNCTION("IFERROR(AVERAGE(FILTER('حضور '!I:I,'حضور '!A:A=A48,MONTH('حضور '!B:B)=J48)),"""")"),"")</f>
        <v/>
      </c>
      <c r="H48" s="384">
        <f t="shared" si="2"/>
        <v>0</v>
      </c>
      <c r="I48" s="385">
        <f t="shared" si="3"/>
        <v>0</v>
      </c>
    </row>
    <row r="49" ht="22.5" customHeight="1">
      <c r="A49" s="391"/>
      <c r="B49" s="379"/>
      <c r="C49" s="393"/>
      <c r="D49" s="392"/>
      <c r="E49" s="392"/>
      <c r="F49" s="383" t="str">
        <f t="shared" si="1"/>
        <v/>
      </c>
      <c r="G49" s="384" t="str">
        <f>IFERROR(__xludf.DUMMYFUNCTION("IFERROR(AVERAGE(FILTER('حضور '!I:I,'حضور '!A:A=A49,MONTH('حضور '!B:B)=J49)),"""")"),"")</f>
        <v/>
      </c>
      <c r="H49" s="384">
        <f t="shared" si="2"/>
        <v>0</v>
      </c>
      <c r="I49" s="385">
        <f t="shared" si="3"/>
        <v>0</v>
      </c>
    </row>
    <row r="50" ht="22.5" customHeight="1">
      <c r="A50" s="391"/>
      <c r="B50" s="379"/>
      <c r="C50" s="393"/>
      <c r="D50" s="392"/>
      <c r="E50" s="392"/>
      <c r="F50" s="383" t="str">
        <f t="shared" si="1"/>
        <v/>
      </c>
      <c r="G50" s="384" t="str">
        <f>IFERROR(__xludf.DUMMYFUNCTION("IFERROR(AVERAGE(FILTER('حضور '!I:I,'حضور '!A:A=A50,MONTH('حضور '!B:B)=J50)),"""")"),"")</f>
        <v/>
      </c>
      <c r="H50" s="384">
        <f t="shared" si="2"/>
        <v>0</v>
      </c>
      <c r="I50" s="385">
        <f t="shared" si="3"/>
        <v>0</v>
      </c>
    </row>
    <row r="51" ht="22.5" customHeight="1">
      <c r="A51" s="391"/>
      <c r="B51" s="379"/>
      <c r="C51" s="393"/>
      <c r="D51" s="392"/>
      <c r="E51" s="392"/>
      <c r="F51" s="383" t="str">
        <f t="shared" si="1"/>
        <v/>
      </c>
      <c r="G51" s="384" t="str">
        <f>IFERROR(__xludf.DUMMYFUNCTION("IFERROR(AVERAGE(FILTER('حضور '!I:I,'حضور '!A:A=A51,MONTH('حضور '!B:B)=J51)),"""")"),"")</f>
        <v/>
      </c>
      <c r="H51" s="384">
        <f t="shared" si="2"/>
        <v>0</v>
      </c>
      <c r="I51" s="385">
        <f t="shared" si="3"/>
        <v>0</v>
      </c>
    </row>
    <row r="52" ht="22.5" customHeight="1">
      <c r="A52" s="391"/>
      <c r="B52" s="379"/>
      <c r="C52" s="393"/>
      <c r="D52" s="392"/>
      <c r="E52" s="392"/>
      <c r="F52" s="383" t="str">
        <f t="shared" si="1"/>
        <v/>
      </c>
      <c r="G52" s="384" t="str">
        <f>IFERROR(__xludf.DUMMYFUNCTION("IFERROR(AVERAGE(FILTER('حضور '!I:I,'حضور '!A:A=A52,MONTH('حضور '!B:B)=J52)),"""")"),"")</f>
        <v/>
      </c>
      <c r="H52" s="384">
        <f t="shared" si="2"/>
        <v>0</v>
      </c>
      <c r="I52" s="385">
        <f t="shared" si="3"/>
        <v>0</v>
      </c>
    </row>
    <row r="53" ht="22.5" customHeight="1">
      <c r="A53" s="391"/>
      <c r="B53" s="379"/>
      <c r="C53" s="393"/>
      <c r="D53" s="392"/>
      <c r="E53" s="392"/>
      <c r="F53" s="383" t="str">
        <f t="shared" si="1"/>
        <v/>
      </c>
      <c r="G53" s="384" t="str">
        <f>IFERROR(__xludf.DUMMYFUNCTION("IFERROR(AVERAGE(FILTER('حضور '!I:I,'حضور '!A:A=A53,MONTH('حضور '!B:B)=J53)),"""")"),"")</f>
        <v/>
      </c>
      <c r="H53" s="384">
        <f t="shared" si="2"/>
        <v>0</v>
      </c>
      <c r="I53" s="385">
        <f t="shared" si="3"/>
        <v>0</v>
      </c>
    </row>
    <row r="54" ht="22.5" customHeight="1">
      <c r="A54" s="391"/>
      <c r="B54" s="379"/>
      <c r="C54" s="393"/>
      <c r="D54" s="392"/>
      <c r="E54" s="392"/>
      <c r="F54" s="383" t="str">
        <f t="shared" si="1"/>
        <v/>
      </c>
      <c r="G54" s="384" t="str">
        <f>IFERROR(__xludf.DUMMYFUNCTION("IFERROR(AVERAGE(FILTER('حضور '!I:I,'حضور '!A:A=A54,MONTH('حضور '!B:B)=J54)),"""")"),"")</f>
        <v/>
      </c>
      <c r="H54" s="384">
        <f t="shared" si="2"/>
        <v>0</v>
      </c>
      <c r="I54" s="385">
        <f t="shared" si="3"/>
        <v>0</v>
      </c>
    </row>
    <row r="55" ht="22.5" customHeight="1">
      <c r="A55" s="391"/>
      <c r="B55" s="379"/>
      <c r="C55" s="393"/>
      <c r="D55" s="392"/>
      <c r="E55" s="392"/>
      <c r="F55" s="383" t="str">
        <f t="shared" si="1"/>
        <v/>
      </c>
      <c r="G55" s="384" t="str">
        <f>IFERROR(__xludf.DUMMYFUNCTION("IFERROR(AVERAGE(FILTER('حضور '!I:I,'حضور '!A:A=A55,MONTH('حضور '!B:B)=J55)),"""")"),"")</f>
        <v/>
      </c>
      <c r="H55" s="384">
        <f t="shared" si="2"/>
        <v>0</v>
      </c>
      <c r="I55" s="385">
        <f t="shared" si="3"/>
        <v>0</v>
      </c>
    </row>
    <row r="56" ht="22.5" customHeight="1">
      <c r="A56" s="391"/>
      <c r="B56" s="379"/>
      <c r="C56" s="393"/>
      <c r="D56" s="392"/>
      <c r="E56" s="392"/>
      <c r="F56" s="383" t="str">
        <f t="shared" si="1"/>
        <v/>
      </c>
      <c r="G56" s="384" t="str">
        <f>IFERROR(__xludf.DUMMYFUNCTION("IFERROR(AVERAGE(FILTER('حضور '!I:I,'حضور '!A:A=A56,MONTH('حضور '!B:B)=J56)),"""")"),"")</f>
        <v/>
      </c>
      <c r="H56" s="384">
        <f t="shared" si="2"/>
        <v>0</v>
      </c>
      <c r="I56" s="385">
        <f t="shared" si="3"/>
        <v>0</v>
      </c>
    </row>
    <row r="57" ht="22.5" customHeight="1">
      <c r="A57" s="391"/>
      <c r="B57" s="379"/>
      <c r="C57" s="393"/>
      <c r="D57" s="392"/>
      <c r="E57" s="392"/>
      <c r="F57" s="383" t="str">
        <f t="shared" si="1"/>
        <v/>
      </c>
      <c r="G57" s="384" t="str">
        <f>IFERROR(__xludf.DUMMYFUNCTION("IFERROR(AVERAGE(FILTER('حضور '!I:I,'حضور '!A:A=A57,MONTH('حضور '!B:B)=J57)),"""")"),"")</f>
        <v/>
      </c>
      <c r="H57" s="384">
        <f t="shared" si="2"/>
        <v>0</v>
      </c>
      <c r="I57" s="385">
        <f t="shared" si="3"/>
        <v>0</v>
      </c>
    </row>
    <row r="58" ht="22.5" customHeight="1">
      <c r="A58" s="391"/>
      <c r="B58" s="379"/>
      <c r="C58" s="393"/>
      <c r="D58" s="392"/>
      <c r="E58" s="392"/>
      <c r="F58" s="383" t="str">
        <f t="shared" si="1"/>
        <v/>
      </c>
      <c r="G58" s="384" t="str">
        <f>IFERROR(__xludf.DUMMYFUNCTION("IFERROR(AVERAGE(FILTER('حضور '!I:I,'حضور '!A:A=A58,MONTH('حضور '!B:B)=J58)),"""")"),"")</f>
        <v/>
      </c>
      <c r="H58" s="384">
        <f t="shared" si="2"/>
        <v>0</v>
      </c>
      <c r="I58" s="385">
        <f t="shared" si="3"/>
        <v>0</v>
      </c>
    </row>
    <row r="59" ht="22.5" customHeight="1">
      <c r="A59" s="391"/>
      <c r="B59" s="379"/>
      <c r="C59" s="393"/>
      <c r="D59" s="392"/>
      <c r="E59" s="392"/>
      <c r="F59" s="383" t="str">
        <f t="shared" si="1"/>
        <v/>
      </c>
      <c r="G59" s="384" t="str">
        <f>IFERROR(__xludf.DUMMYFUNCTION("IFERROR(AVERAGE(FILTER('حضور '!I:I,'حضور '!A:A=A59,MONTH('حضور '!B:B)=J59)),"""")"),"")</f>
        <v/>
      </c>
      <c r="H59" s="384">
        <f t="shared" si="2"/>
        <v>0</v>
      </c>
      <c r="I59" s="385">
        <f t="shared" si="3"/>
        <v>0</v>
      </c>
    </row>
    <row r="60" ht="22.5" customHeight="1">
      <c r="A60" s="391"/>
      <c r="B60" s="379"/>
      <c r="C60" s="393"/>
      <c r="D60" s="392"/>
      <c r="E60" s="392"/>
      <c r="F60" s="383" t="str">
        <f t="shared" si="1"/>
        <v/>
      </c>
      <c r="G60" s="384" t="str">
        <f>IFERROR(__xludf.DUMMYFUNCTION("IFERROR(AVERAGE(FILTER('حضور '!I:I,'حضور '!A:A=A60,MONTH('حضور '!B:B)=J60)),"""")"),"")</f>
        <v/>
      </c>
      <c r="H60" s="384">
        <f t="shared" si="2"/>
        <v>0</v>
      </c>
      <c r="I60" s="385">
        <f t="shared" si="3"/>
        <v>0</v>
      </c>
    </row>
    <row r="61" ht="22.5" customHeight="1">
      <c r="A61" s="391"/>
      <c r="B61" s="379"/>
      <c r="C61" s="393"/>
      <c r="D61" s="392"/>
      <c r="E61" s="392"/>
      <c r="F61" s="383" t="str">
        <f t="shared" si="1"/>
        <v/>
      </c>
      <c r="G61" s="384" t="str">
        <f>IFERROR(__xludf.DUMMYFUNCTION("IFERROR(AVERAGE(FILTER('حضور '!I:I,'حضور '!A:A=A61,MONTH('حضور '!B:B)=J61)),"""")"),"")</f>
        <v/>
      </c>
      <c r="H61" s="384">
        <f t="shared" si="2"/>
        <v>0</v>
      </c>
      <c r="I61" s="385">
        <f t="shared" si="3"/>
        <v>0</v>
      </c>
    </row>
    <row r="62" ht="22.5" customHeight="1">
      <c r="A62" s="391"/>
      <c r="B62" s="379"/>
      <c r="C62" s="393"/>
      <c r="D62" s="392"/>
      <c r="E62" s="392"/>
      <c r="F62" s="383" t="str">
        <f t="shared" si="1"/>
        <v/>
      </c>
      <c r="G62" s="384" t="str">
        <f>IFERROR(__xludf.DUMMYFUNCTION("IFERROR(AVERAGE(FILTER('حضور '!I:I,'حضور '!A:A=A62,MONTH('حضور '!B:B)=J62)),"""")"),"")</f>
        <v/>
      </c>
      <c r="H62" s="384">
        <f t="shared" si="2"/>
        <v>0</v>
      </c>
      <c r="I62" s="385">
        <f t="shared" si="3"/>
        <v>0</v>
      </c>
    </row>
    <row r="63" ht="22.5" customHeight="1">
      <c r="A63" s="391"/>
      <c r="B63" s="379"/>
      <c r="C63" s="393"/>
      <c r="D63" s="392"/>
      <c r="E63" s="392"/>
      <c r="F63" s="383" t="str">
        <f t="shared" si="1"/>
        <v/>
      </c>
      <c r="G63" s="384" t="str">
        <f>IFERROR(__xludf.DUMMYFUNCTION("IFERROR(AVERAGE(FILTER('حضور '!I:I,'حضور '!A:A=A63,MONTH('حضور '!B:B)=J63)),"""")"),"")</f>
        <v/>
      </c>
      <c r="H63" s="384">
        <f t="shared" si="2"/>
        <v>0</v>
      </c>
      <c r="I63" s="385">
        <f t="shared" si="3"/>
        <v>0</v>
      </c>
    </row>
    <row r="64" ht="22.5" customHeight="1">
      <c r="A64" s="391"/>
      <c r="B64" s="379"/>
      <c r="C64" s="393"/>
      <c r="D64" s="392"/>
      <c r="E64" s="392"/>
      <c r="F64" s="383" t="str">
        <f t="shared" si="1"/>
        <v/>
      </c>
      <c r="G64" s="384" t="str">
        <f>IFERROR(__xludf.DUMMYFUNCTION("IFERROR(AVERAGE(FILTER('حضور '!I:I,'حضور '!A:A=A64,MONTH('حضور '!B:B)=J64)),"""")"),"")</f>
        <v/>
      </c>
      <c r="H64" s="384">
        <f t="shared" si="2"/>
        <v>0</v>
      </c>
      <c r="I64" s="385">
        <f t="shared" si="3"/>
        <v>0</v>
      </c>
    </row>
    <row r="65" ht="22.5" customHeight="1">
      <c r="A65" s="391"/>
      <c r="B65" s="379"/>
      <c r="C65" s="393"/>
      <c r="D65" s="392"/>
      <c r="E65" s="392"/>
      <c r="F65" s="383" t="str">
        <f t="shared" si="1"/>
        <v/>
      </c>
      <c r="G65" s="384" t="str">
        <f>IFERROR(__xludf.DUMMYFUNCTION("IFERROR(AVERAGE(FILTER('حضور '!I:I,'حضور '!A:A=A65,MONTH('حضور '!B:B)=J65)),"""")"),"")</f>
        <v/>
      </c>
      <c r="H65" s="384">
        <f t="shared" si="2"/>
        <v>0</v>
      </c>
      <c r="I65" s="385">
        <f t="shared" si="3"/>
        <v>0</v>
      </c>
    </row>
    <row r="66" ht="22.5" customHeight="1">
      <c r="A66" s="391"/>
      <c r="B66" s="379"/>
      <c r="C66" s="393"/>
      <c r="D66" s="392"/>
      <c r="E66" s="392"/>
      <c r="F66" s="383" t="str">
        <f t="shared" si="1"/>
        <v/>
      </c>
      <c r="G66" s="384" t="str">
        <f>IFERROR(__xludf.DUMMYFUNCTION("IFERROR(AVERAGE(FILTER('حضور '!I:I,'حضور '!A:A=A66,MONTH('حضور '!B:B)=J66)),"""")"),"")</f>
        <v/>
      </c>
      <c r="H66" s="384">
        <f t="shared" si="2"/>
        <v>0</v>
      </c>
      <c r="I66" s="385">
        <f t="shared" si="3"/>
        <v>0</v>
      </c>
    </row>
    <row r="67" ht="22.5" customHeight="1">
      <c r="A67" s="391"/>
      <c r="B67" s="379"/>
      <c r="C67" s="393"/>
      <c r="D67" s="392"/>
      <c r="E67" s="392"/>
      <c r="F67" s="383" t="str">
        <f t="shared" si="1"/>
        <v/>
      </c>
      <c r="G67" s="384" t="str">
        <f>IFERROR(__xludf.DUMMYFUNCTION("IFERROR(AVERAGE(FILTER('حضور '!I:I,'حضور '!A:A=A67,MONTH('حضور '!B:B)=J67)),"""")"),"")</f>
        <v/>
      </c>
      <c r="H67" s="384">
        <f t="shared" si="2"/>
        <v>0</v>
      </c>
      <c r="I67" s="385">
        <f t="shared" si="3"/>
        <v>0</v>
      </c>
    </row>
    <row r="68" ht="22.5" customHeight="1">
      <c r="A68" s="391"/>
      <c r="B68" s="379"/>
      <c r="C68" s="393"/>
      <c r="D68" s="392"/>
      <c r="E68" s="392"/>
      <c r="F68" s="383" t="str">
        <f t="shared" si="1"/>
        <v/>
      </c>
      <c r="G68" s="384" t="str">
        <f>IFERROR(__xludf.DUMMYFUNCTION("IFERROR(AVERAGE(FILTER('حضور '!I:I,'حضور '!A:A=A68,MONTH('حضور '!B:B)=J68)),"""")"),"")</f>
        <v/>
      </c>
      <c r="H68" s="384">
        <f t="shared" si="2"/>
        <v>0</v>
      </c>
      <c r="I68" s="385">
        <f t="shared" si="3"/>
        <v>0</v>
      </c>
    </row>
    <row r="69" ht="22.5" customHeight="1">
      <c r="A69" s="391"/>
      <c r="B69" s="379"/>
      <c r="C69" s="393"/>
      <c r="D69" s="392"/>
      <c r="E69" s="392"/>
      <c r="F69" s="383" t="str">
        <f t="shared" si="1"/>
        <v/>
      </c>
      <c r="G69" s="384" t="str">
        <f>IFERROR(__xludf.DUMMYFUNCTION("IFERROR(AVERAGE(FILTER('حضور '!I:I,'حضور '!A:A=A69,MONTH('حضور '!B:B)=J69)),"""")"),"")</f>
        <v/>
      </c>
      <c r="H69" s="384">
        <f t="shared" si="2"/>
        <v>0</v>
      </c>
      <c r="I69" s="385">
        <f t="shared" si="3"/>
        <v>0</v>
      </c>
    </row>
    <row r="70" ht="22.5" customHeight="1">
      <c r="A70" s="391"/>
      <c r="B70" s="379"/>
      <c r="C70" s="393"/>
      <c r="D70" s="392"/>
      <c r="E70" s="392"/>
      <c r="F70" s="383" t="str">
        <f t="shared" si="1"/>
        <v/>
      </c>
      <c r="G70" s="384" t="str">
        <f>IFERROR(__xludf.DUMMYFUNCTION("IFERROR(AVERAGE(FILTER('حضور '!I:I,'حضور '!A:A=A70,MONTH('حضور '!B:B)=J70)),"""")"),"")</f>
        <v/>
      </c>
      <c r="H70" s="384">
        <f t="shared" si="2"/>
        <v>0</v>
      </c>
      <c r="I70" s="385">
        <f t="shared" si="3"/>
        <v>0</v>
      </c>
    </row>
    <row r="71" ht="22.5" customHeight="1">
      <c r="A71" s="391"/>
      <c r="B71" s="379"/>
      <c r="C71" s="393"/>
      <c r="D71" s="392"/>
      <c r="E71" s="392"/>
      <c r="F71" s="383" t="str">
        <f t="shared" si="1"/>
        <v/>
      </c>
      <c r="G71" s="384" t="str">
        <f>IFERROR(__xludf.DUMMYFUNCTION("IFERROR(AVERAGE(FILTER('حضور '!I:I,'حضور '!A:A=A71,MONTH('حضور '!B:B)=J71)),"""")"),"")</f>
        <v/>
      </c>
      <c r="H71" s="384">
        <f t="shared" si="2"/>
        <v>0</v>
      </c>
      <c r="I71" s="385">
        <f t="shared" si="3"/>
        <v>0</v>
      </c>
    </row>
    <row r="72" ht="22.5" customHeight="1">
      <c r="A72" s="391"/>
      <c r="B72" s="379"/>
      <c r="C72" s="393"/>
      <c r="D72" s="392"/>
      <c r="E72" s="392"/>
      <c r="F72" s="383" t="str">
        <f t="shared" si="1"/>
        <v/>
      </c>
      <c r="G72" s="384" t="str">
        <f>IFERROR(__xludf.DUMMYFUNCTION("IFERROR(AVERAGE(FILTER('حضور '!I:I,'حضور '!A:A=A72,MONTH('حضور '!B:B)=J72)),"""")"),"")</f>
        <v/>
      </c>
      <c r="H72" s="384">
        <f t="shared" si="2"/>
        <v>0</v>
      </c>
      <c r="I72" s="385">
        <f t="shared" si="3"/>
        <v>0</v>
      </c>
    </row>
    <row r="73" ht="22.5" customHeight="1">
      <c r="A73" s="391"/>
      <c r="B73" s="379"/>
      <c r="C73" s="393"/>
      <c r="D73" s="392"/>
      <c r="E73" s="392"/>
      <c r="F73" s="383" t="str">
        <f t="shared" si="1"/>
        <v/>
      </c>
      <c r="G73" s="384" t="str">
        <f>IFERROR(__xludf.DUMMYFUNCTION("IFERROR(AVERAGE(FILTER('حضور '!I:I,'حضور '!A:A=A73,MONTH('حضور '!B:B)=J73)),"""")"),"")</f>
        <v/>
      </c>
      <c r="H73" s="384">
        <f t="shared" si="2"/>
        <v>0</v>
      </c>
      <c r="I73" s="385">
        <f t="shared" si="3"/>
        <v>0</v>
      </c>
    </row>
    <row r="74" ht="22.5" customHeight="1">
      <c r="A74" s="391"/>
      <c r="B74" s="379"/>
      <c r="C74" s="393"/>
      <c r="D74" s="392"/>
      <c r="E74" s="392"/>
      <c r="F74" s="383" t="str">
        <f t="shared" si="1"/>
        <v/>
      </c>
      <c r="G74" s="384" t="str">
        <f>IFERROR(__xludf.DUMMYFUNCTION("IFERROR(AVERAGE(FILTER('حضور '!I:I,'حضور '!A:A=A74,MONTH('حضور '!B:B)=J74)),"""")"),"")</f>
        <v/>
      </c>
      <c r="H74" s="384">
        <f t="shared" si="2"/>
        <v>0</v>
      </c>
      <c r="I74" s="385">
        <f t="shared" si="3"/>
        <v>0</v>
      </c>
    </row>
    <row r="75" ht="22.5" customHeight="1">
      <c r="A75" s="391"/>
      <c r="B75" s="379"/>
      <c r="C75" s="393"/>
      <c r="D75" s="392"/>
      <c r="E75" s="392"/>
      <c r="F75" s="383" t="str">
        <f t="shared" si="1"/>
        <v/>
      </c>
      <c r="G75" s="384" t="str">
        <f>IFERROR(__xludf.DUMMYFUNCTION("IFERROR(AVERAGE(FILTER('حضور '!I:I,'حضور '!A:A=A75,MONTH('حضور '!B:B)=J75)),"""")"),"")</f>
        <v/>
      </c>
      <c r="H75" s="384">
        <f t="shared" si="2"/>
        <v>0</v>
      </c>
      <c r="I75" s="385">
        <f t="shared" si="3"/>
        <v>0</v>
      </c>
    </row>
    <row r="76" ht="22.5" customHeight="1">
      <c r="A76" s="391"/>
      <c r="B76" s="379"/>
      <c r="C76" s="393"/>
      <c r="D76" s="392"/>
      <c r="E76" s="392"/>
      <c r="F76" s="383" t="str">
        <f t="shared" si="1"/>
        <v/>
      </c>
      <c r="G76" s="384" t="str">
        <f>IFERROR(__xludf.DUMMYFUNCTION("IFERROR(AVERAGE(FILTER('حضور '!I:I,'حضور '!A:A=A76,MONTH('حضور '!B:B)=J76)),"""")"),"")</f>
        <v/>
      </c>
      <c r="H76" s="384">
        <f t="shared" si="2"/>
        <v>0</v>
      </c>
      <c r="I76" s="385">
        <f t="shared" si="3"/>
        <v>0</v>
      </c>
    </row>
    <row r="77" ht="22.5" customHeight="1">
      <c r="A77" s="391"/>
      <c r="B77" s="379"/>
      <c r="C77" s="393"/>
      <c r="D77" s="392"/>
      <c r="E77" s="392"/>
      <c r="F77" s="383" t="str">
        <f t="shared" si="1"/>
        <v/>
      </c>
      <c r="G77" s="384" t="str">
        <f>IFERROR(__xludf.DUMMYFUNCTION("IFERROR(AVERAGE(FILTER('حضور '!I:I,'حضور '!A:A=A77,MONTH('حضور '!B:B)=J77)),"""")"),"")</f>
        <v/>
      </c>
      <c r="H77" s="384">
        <f t="shared" si="2"/>
        <v>0</v>
      </c>
      <c r="I77" s="385">
        <f t="shared" si="3"/>
        <v>0</v>
      </c>
    </row>
    <row r="78" ht="22.5" customHeight="1">
      <c r="A78" s="391"/>
      <c r="B78" s="379"/>
      <c r="C78" s="393"/>
      <c r="D78" s="392"/>
      <c r="E78" s="392"/>
      <c r="F78" s="383" t="str">
        <f t="shared" si="1"/>
        <v/>
      </c>
      <c r="G78" s="384" t="str">
        <f>IFERROR(__xludf.DUMMYFUNCTION("IFERROR(AVERAGE(FILTER('حضور '!I:I,'حضور '!A:A=A78,MONTH('حضور '!B:B)=J78)),"""")"),"")</f>
        <v/>
      </c>
      <c r="H78" s="384">
        <f t="shared" si="2"/>
        <v>0</v>
      </c>
      <c r="I78" s="385">
        <f t="shared" si="3"/>
        <v>0</v>
      </c>
    </row>
    <row r="79" ht="22.5" customHeight="1">
      <c r="A79" s="391"/>
      <c r="B79" s="379"/>
      <c r="C79" s="393"/>
      <c r="D79" s="392"/>
      <c r="E79" s="392"/>
      <c r="F79" s="383" t="str">
        <f t="shared" si="1"/>
        <v/>
      </c>
      <c r="G79" s="384" t="str">
        <f>IFERROR(__xludf.DUMMYFUNCTION("IFERROR(AVERAGE(FILTER('حضور '!I:I,'حضور '!A:A=A79,MONTH('حضور '!B:B)=J79)),"""")"),"")</f>
        <v/>
      </c>
      <c r="H79" s="384">
        <f t="shared" si="2"/>
        <v>0</v>
      </c>
      <c r="I79" s="385">
        <f t="shared" si="3"/>
        <v>0</v>
      </c>
    </row>
    <row r="80" ht="22.5" customHeight="1">
      <c r="A80" s="391"/>
      <c r="B80" s="379"/>
      <c r="C80" s="393"/>
      <c r="D80" s="392"/>
      <c r="E80" s="392"/>
      <c r="F80" s="383" t="str">
        <f t="shared" si="1"/>
        <v/>
      </c>
      <c r="G80" s="384" t="str">
        <f>IFERROR(__xludf.DUMMYFUNCTION("IFERROR(AVERAGE(FILTER('حضور '!I:I,'حضور '!A:A=A80,MONTH('حضور '!B:B)=J80)),"""")"),"")</f>
        <v/>
      </c>
      <c r="H80" s="384">
        <f t="shared" si="2"/>
        <v>0</v>
      </c>
      <c r="I80" s="385">
        <f t="shared" si="3"/>
        <v>0</v>
      </c>
    </row>
    <row r="81" ht="22.5" customHeight="1">
      <c r="A81" s="391"/>
      <c r="B81" s="379"/>
      <c r="C81" s="393"/>
      <c r="D81" s="392"/>
      <c r="E81" s="392"/>
      <c r="F81" s="383" t="str">
        <f t="shared" si="1"/>
        <v/>
      </c>
      <c r="G81" s="384" t="str">
        <f>IFERROR(__xludf.DUMMYFUNCTION("IFERROR(AVERAGE(FILTER('حضور '!I:I,'حضور '!A:A=A81,MONTH('حضور '!B:B)=J81)),"""")"),"")</f>
        <v/>
      </c>
      <c r="H81" s="384">
        <f t="shared" si="2"/>
        <v>0</v>
      </c>
      <c r="I81" s="385">
        <f t="shared" si="3"/>
        <v>0</v>
      </c>
    </row>
    <row r="82" ht="22.5" customHeight="1">
      <c r="A82" s="391"/>
      <c r="B82" s="379"/>
      <c r="C82" s="393"/>
      <c r="D82" s="392"/>
      <c r="E82" s="392"/>
      <c r="F82" s="383" t="str">
        <f t="shared" si="1"/>
        <v/>
      </c>
      <c r="G82" s="384" t="str">
        <f>IFERROR(__xludf.DUMMYFUNCTION("IFERROR(AVERAGE(FILTER('حضور '!I:I,'حضور '!A:A=A82,MONTH('حضور '!B:B)=J82)),"""")"),"")</f>
        <v/>
      </c>
      <c r="H82" s="384">
        <f t="shared" si="2"/>
        <v>0</v>
      </c>
      <c r="I82" s="385">
        <f t="shared" si="3"/>
        <v>0</v>
      </c>
    </row>
    <row r="83" ht="22.5" customHeight="1">
      <c r="A83" s="391"/>
      <c r="B83" s="379"/>
      <c r="C83" s="393"/>
      <c r="D83" s="392"/>
      <c r="E83" s="392"/>
      <c r="F83" s="383" t="str">
        <f t="shared" si="1"/>
        <v/>
      </c>
      <c r="G83" s="384" t="str">
        <f>IFERROR(__xludf.DUMMYFUNCTION("IFERROR(AVERAGE(FILTER('حضور '!I:I,'حضور '!A:A=A83,MONTH('حضور '!B:B)=J83)),"""")"),"")</f>
        <v/>
      </c>
      <c r="H83" s="384">
        <f t="shared" si="2"/>
        <v>0</v>
      </c>
      <c r="I83" s="385">
        <f t="shared" si="3"/>
        <v>0</v>
      </c>
    </row>
    <row r="84" ht="22.5" customHeight="1">
      <c r="A84" s="391"/>
      <c r="B84" s="379"/>
      <c r="C84" s="393"/>
      <c r="D84" s="392"/>
      <c r="E84" s="392"/>
      <c r="F84" s="383" t="str">
        <f t="shared" si="1"/>
        <v/>
      </c>
      <c r="G84" s="384" t="str">
        <f>IFERROR(__xludf.DUMMYFUNCTION("IFERROR(AVERAGE(FILTER('حضور '!I:I,'حضور '!A:A=A84,MONTH('حضور '!B:B)=J84)),"""")"),"")</f>
        <v/>
      </c>
      <c r="H84" s="384">
        <f t="shared" si="2"/>
        <v>0</v>
      </c>
      <c r="I84" s="385">
        <f t="shared" si="3"/>
        <v>0</v>
      </c>
    </row>
    <row r="85" ht="22.5" customHeight="1">
      <c r="A85" s="391"/>
      <c r="B85" s="379"/>
      <c r="C85" s="393"/>
      <c r="D85" s="392"/>
      <c r="E85" s="392"/>
      <c r="F85" s="383" t="str">
        <f t="shared" si="1"/>
        <v/>
      </c>
      <c r="G85" s="384" t="str">
        <f>IFERROR(__xludf.DUMMYFUNCTION("IFERROR(AVERAGE(FILTER('حضور '!I:I,'حضور '!A:A=A85,MONTH('حضور '!B:B)=J85)),"""")"),"")</f>
        <v/>
      </c>
      <c r="H85" s="384">
        <f t="shared" si="2"/>
        <v>0</v>
      </c>
      <c r="I85" s="385">
        <f t="shared" si="3"/>
        <v>0</v>
      </c>
    </row>
    <row r="86" ht="22.5" customHeight="1">
      <c r="A86" s="391"/>
      <c r="B86" s="379"/>
      <c r="C86" s="393"/>
      <c r="D86" s="392"/>
      <c r="E86" s="392"/>
      <c r="F86" s="383" t="str">
        <f t="shared" si="1"/>
        <v/>
      </c>
      <c r="G86" s="384" t="str">
        <f>IFERROR(__xludf.DUMMYFUNCTION("IFERROR(AVERAGE(FILTER('حضور '!I:I,'حضور '!A:A=A86,MONTH('حضور '!B:B)=J86)),"""")"),"")</f>
        <v/>
      </c>
      <c r="H86" s="384">
        <f t="shared" si="2"/>
        <v>0</v>
      </c>
      <c r="I86" s="385">
        <f t="shared" si="3"/>
        <v>0</v>
      </c>
    </row>
    <row r="87" ht="22.5" customHeight="1">
      <c r="A87" s="391"/>
      <c r="B87" s="379"/>
      <c r="C87" s="393"/>
      <c r="D87" s="392"/>
      <c r="E87" s="392"/>
      <c r="F87" s="383" t="str">
        <f t="shared" si="1"/>
        <v/>
      </c>
      <c r="G87" s="384" t="str">
        <f>IFERROR(__xludf.DUMMYFUNCTION("IFERROR(AVERAGE(FILTER('حضور '!I:I,'حضور '!A:A=A87,MONTH('حضور '!B:B)=J87)),"""")"),"")</f>
        <v/>
      </c>
      <c r="H87" s="384">
        <f t="shared" si="2"/>
        <v>0</v>
      </c>
      <c r="I87" s="385">
        <f t="shared" si="3"/>
        <v>0</v>
      </c>
    </row>
    <row r="88" ht="22.5" customHeight="1">
      <c r="A88" s="391"/>
      <c r="B88" s="379"/>
      <c r="C88" s="393"/>
      <c r="D88" s="392"/>
      <c r="E88" s="392"/>
      <c r="F88" s="383" t="str">
        <f t="shared" si="1"/>
        <v/>
      </c>
      <c r="G88" s="384" t="str">
        <f>IFERROR(__xludf.DUMMYFUNCTION("IFERROR(AVERAGE(FILTER('حضور '!I:I,'حضور '!A:A=A88,MONTH('حضور '!B:B)=J88)),"""")"),"")</f>
        <v/>
      </c>
      <c r="H88" s="384">
        <f t="shared" si="2"/>
        <v>0</v>
      </c>
      <c r="I88" s="385">
        <f t="shared" si="3"/>
        <v>0</v>
      </c>
    </row>
    <row r="89" ht="22.5" customHeight="1">
      <c r="A89" s="391"/>
      <c r="B89" s="379"/>
      <c r="C89" s="393"/>
      <c r="D89" s="392"/>
      <c r="E89" s="392"/>
      <c r="F89" s="383" t="str">
        <f t="shared" si="1"/>
        <v/>
      </c>
      <c r="G89" s="384" t="str">
        <f>IFERROR(__xludf.DUMMYFUNCTION("IFERROR(AVERAGE(FILTER('حضور '!I:I,'حضور '!A:A=A89,MONTH('حضور '!B:B)=J89)),"""")"),"")</f>
        <v/>
      </c>
      <c r="H89" s="384">
        <f t="shared" si="2"/>
        <v>0</v>
      </c>
      <c r="I89" s="385">
        <f t="shared" si="3"/>
        <v>0</v>
      </c>
    </row>
    <row r="90" ht="22.5" customHeight="1">
      <c r="A90" s="391"/>
      <c r="B90" s="379"/>
      <c r="C90" s="393"/>
      <c r="D90" s="392"/>
      <c r="E90" s="392"/>
      <c r="F90" s="383" t="str">
        <f t="shared" si="1"/>
        <v/>
      </c>
      <c r="G90" s="384" t="str">
        <f>IFERROR(__xludf.DUMMYFUNCTION("IFERROR(AVERAGE(FILTER('حضور '!I:I,'حضور '!A:A=A90,MONTH('حضور '!B:B)=J90)),"""")"),"")</f>
        <v/>
      </c>
      <c r="H90" s="384">
        <f t="shared" si="2"/>
        <v>0</v>
      </c>
      <c r="I90" s="385">
        <f t="shared" si="3"/>
        <v>0</v>
      </c>
    </row>
    <row r="91" ht="22.5" customHeight="1">
      <c r="A91" s="391"/>
      <c r="B91" s="379"/>
      <c r="C91" s="393"/>
      <c r="D91" s="392"/>
      <c r="E91" s="392"/>
      <c r="F91" s="383" t="str">
        <f t="shared" si="1"/>
        <v/>
      </c>
      <c r="G91" s="384" t="str">
        <f>IFERROR(__xludf.DUMMYFUNCTION("IFERROR(AVERAGE(FILTER('حضور '!I:I,'حضور '!A:A=A91,MONTH('حضور '!B:B)=J91)),"""")"),"")</f>
        <v/>
      </c>
      <c r="H91" s="384">
        <f t="shared" si="2"/>
        <v>0</v>
      </c>
      <c r="I91" s="385">
        <f t="shared" si="3"/>
        <v>0</v>
      </c>
    </row>
    <row r="92" ht="22.5" customHeight="1">
      <c r="A92" s="391"/>
      <c r="B92" s="379"/>
      <c r="C92" s="393"/>
      <c r="D92" s="392"/>
      <c r="E92" s="392"/>
      <c r="F92" s="383" t="str">
        <f t="shared" si="1"/>
        <v/>
      </c>
      <c r="G92" s="384" t="str">
        <f>IFERROR(__xludf.DUMMYFUNCTION("IFERROR(AVERAGE(FILTER('حضور '!I:I,'حضور '!A:A=A92,MONTH('حضور '!B:B)=J92)),"""")"),"")</f>
        <v/>
      </c>
      <c r="H92" s="384">
        <f t="shared" si="2"/>
        <v>0</v>
      </c>
      <c r="I92" s="385">
        <f t="shared" si="3"/>
        <v>0</v>
      </c>
    </row>
    <row r="93" ht="22.5" customHeight="1">
      <c r="A93" s="391"/>
      <c r="B93" s="379"/>
      <c r="C93" s="393"/>
      <c r="D93" s="392"/>
      <c r="E93" s="392"/>
      <c r="F93" s="383" t="str">
        <f t="shared" si="1"/>
        <v/>
      </c>
      <c r="G93" s="384" t="str">
        <f>IFERROR(__xludf.DUMMYFUNCTION("IFERROR(AVERAGE(FILTER('حضور '!I:I,'حضور '!A:A=A93,MONTH('حضور '!B:B)=J93)),"""")"),"")</f>
        <v/>
      </c>
      <c r="H93" s="384">
        <f t="shared" si="2"/>
        <v>0</v>
      </c>
      <c r="I93" s="385">
        <f t="shared" si="3"/>
        <v>0</v>
      </c>
    </row>
    <row r="94" ht="22.5" customHeight="1">
      <c r="A94" s="391"/>
      <c r="B94" s="379"/>
      <c r="C94" s="393"/>
      <c r="D94" s="392"/>
      <c r="E94" s="392"/>
      <c r="F94" s="383" t="str">
        <f t="shared" si="1"/>
        <v/>
      </c>
      <c r="G94" s="384" t="str">
        <f>IFERROR(__xludf.DUMMYFUNCTION("IFERROR(AVERAGE(FILTER('حضور '!I:I,'حضور '!A:A=A94,MONTH('حضور '!B:B)=J94)),"""")"),"")</f>
        <v/>
      </c>
      <c r="H94" s="384">
        <f t="shared" si="2"/>
        <v>0</v>
      </c>
      <c r="I94" s="385">
        <f t="shared" si="3"/>
        <v>0</v>
      </c>
    </row>
    <row r="95" ht="22.5" customHeight="1">
      <c r="A95" s="391"/>
      <c r="B95" s="379"/>
      <c r="C95" s="393"/>
      <c r="D95" s="392"/>
      <c r="E95" s="392"/>
      <c r="F95" s="383" t="str">
        <f t="shared" si="1"/>
        <v/>
      </c>
      <c r="G95" s="384" t="str">
        <f>IFERROR(__xludf.DUMMYFUNCTION("IFERROR(AVERAGE(FILTER('حضور '!I:I,'حضور '!A:A=A95,MONTH('حضور '!B:B)=J95)),"""")"),"")</f>
        <v/>
      </c>
      <c r="H95" s="384">
        <f t="shared" si="2"/>
        <v>0</v>
      </c>
      <c r="I95" s="385">
        <f t="shared" si="3"/>
        <v>0</v>
      </c>
    </row>
    <row r="96" ht="22.5" customHeight="1">
      <c r="A96" s="391"/>
      <c r="B96" s="379"/>
      <c r="C96" s="393"/>
      <c r="D96" s="392"/>
      <c r="E96" s="392"/>
      <c r="F96" s="383" t="str">
        <f t="shared" si="1"/>
        <v/>
      </c>
      <c r="G96" s="384" t="str">
        <f>IFERROR(__xludf.DUMMYFUNCTION("IFERROR(AVERAGE(FILTER('حضور '!I:I,'حضور '!A:A=A96,MONTH('حضور '!B:B)=J96)),"""")"),"")</f>
        <v/>
      </c>
      <c r="H96" s="384">
        <f t="shared" si="2"/>
        <v>0</v>
      </c>
      <c r="I96" s="385">
        <f t="shared" si="3"/>
        <v>0</v>
      </c>
    </row>
    <row r="97" ht="22.5" customHeight="1">
      <c r="A97" s="391"/>
      <c r="B97" s="379"/>
      <c r="C97" s="393"/>
      <c r="D97" s="392"/>
      <c r="E97" s="392"/>
      <c r="F97" s="383" t="str">
        <f t="shared" si="1"/>
        <v/>
      </c>
      <c r="G97" s="384" t="str">
        <f>IFERROR(__xludf.DUMMYFUNCTION("IFERROR(AVERAGE(FILTER('حضور '!I:I,'حضور '!A:A=A97,MONTH('حضور '!B:B)=J97)),"""")"),"")</f>
        <v/>
      </c>
      <c r="H97" s="384">
        <f t="shared" si="2"/>
        <v>0</v>
      </c>
      <c r="I97" s="385">
        <f t="shared" si="3"/>
        <v>0</v>
      </c>
    </row>
    <row r="98" ht="22.5" customHeight="1">
      <c r="A98" s="391"/>
      <c r="B98" s="379"/>
      <c r="C98" s="393"/>
      <c r="D98" s="392"/>
      <c r="E98" s="392"/>
      <c r="F98" s="383" t="str">
        <f t="shared" si="1"/>
        <v/>
      </c>
      <c r="G98" s="384" t="str">
        <f>IFERROR(__xludf.DUMMYFUNCTION("IFERROR(AVERAGE(FILTER('حضور '!I:I,'حضور '!A:A=A98,MONTH('حضور '!B:B)=J98)),"""")"),"")</f>
        <v/>
      </c>
      <c r="H98" s="384">
        <f t="shared" si="2"/>
        <v>0</v>
      </c>
      <c r="I98" s="385">
        <f t="shared" si="3"/>
        <v>0</v>
      </c>
    </row>
    <row r="99" ht="22.5" customHeight="1">
      <c r="A99" s="391"/>
      <c r="B99" s="379"/>
      <c r="C99" s="393"/>
      <c r="D99" s="392"/>
      <c r="E99" s="392"/>
      <c r="F99" s="383" t="str">
        <f t="shared" si="1"/>
        <v/>
      </c>
      <c r="G99" s="384" t="str">
        <f>IFERROR(__xludf.DUMMYFUNCTION("IFERROR(AVERAGE(FILTER('حضور '!I:I,'حضور '!A:A=A99,MONTH('حضور '!B:B)=J99)),"""")"),"")</f>
        <v/>
      </c>
      <c r="H99" s="384">
        <f t="shared" si="2"/>
        <v>0</v>
      </c>
      <c r="I99" s="385">
        <f t="shared" si="3"/>
        <v>0</v>
      </c>
    </row>
    <row r="100" ht="22.5" customHeight="1">
      <c r="A100" s="391"/>
      <c r="B100" s="379"/>
      <c r="C100" s="393"/>
      <c r="D100" s="392"/>
      <c r="E100" s="392"/>
      <c r="F100" s="383" t="str">
        <f t="shared" si="1"/>
        <v/>
      </c>
      <c r="G100" s="384" t="str">
        <f>IFERROR(__xludf.DUMMYFUNCTION("IFERROR(AVERAGE(FILTER('حضور '!I:I,'حضور '!A:A=A100,MONTH('حضور '!B:B)=J100)),"""")"),"")</f>
        <v/>
      </c>
      <c r="H100" s="384">
        <f t="shared" si="2"/>
        <v>0</v>
      </c>
      <c r="I100" s="385">
        <f t="shared" si="3"/>
        <v>0</v>
      </c>
    </row>
    <row r="101" ht="22.5" customHeight="1">
      <c r="A101" s="391"/>
      <c r="B101" s="379"/>
      <c r="C101" s="393"/>
      <c r="D101" s="392"/>
      <c r="E101" s="392"/>
      <c r="F101" s="383" t="str">
        <f t="shared" si="1"/>
        <v/>
      </c>
      <c r="G101" s="384" t="str">
        <f>IFERROR(__xludf.DUMMYFUNCTION("IFERROR(AVERAGE(FILTER('حضور '!I:I,'حضور '!A:A=A101,MONTH('حضور '!B:B)=J101)),"""")"),"")</f>
        <v/>
      </c>
      <c r="H101" s="384">
        <f t="shared" si="2"/>
        <v>0</v>
      </c>
      <c r="I101" s="385">
        <f t="shared" si="3"/>
        <v>0</v>
      </c>
    </row>
    <row r="102" ht="22.5" customHeight="1">
      <c r="A102" s="391"/>
      <c r="B102" s="379"/>
      <c r="C102" s="393"/>
      <c r="D102" s="392"/>
      <c r="E102" s="392"/>
      <c r="F102" s="383" t="str">
        <f t="shared" si="1"/>
        <v/>
      </c>
      <c r="G102" s="384" t="str">
        <f>IFERROR(__xludf.DUMMYFUNCTION("IFERROR(AVERAGE(FILTER('حضور '!I:I,'حضور '!A:A=A102,MONTH('حضور '!B:B)=J102)),"""")"),"")</f>
        <v/>
      </c>
      <c r="H102" s="384">
        <f t="shared" si="2"/>
        <v>0</v>
      </c>
      <c r="I102" s="385">
        <f t="shared" si="3"/>
        <v>0</v>
      </c>
    </row>
    <row r="103" ht="22.5" customHeight="1">
      <c r="A103" s="391"/>
      <c r="B103" s="379"/>
      <c r="C103" s="393"/>
      <c r="D103" s="392"/>
      <c r="E103" s="392"/>
      <c r="F103" s="383" t="str">
        <f t="shared" si="1"/>
        <v/>
      </c>
      <c r="G103" s="384" t="str">
        <f>IFERROR(__xludf.DUMMYFUNCTION("IFERROR(AVERAGE(FILTER('حضور '!I:I,'حضور '!A:A=A103,MONTH('حضور '!B:B)=J103)),"""")"),"")</f>
        <v/>
      </c>
      <c r="H103" s="384">
        <f t="shared" si="2"/>
        <v>0</v>
      </c>
      <c r="I103" s="385">
        <f t="shared" si="3"/>
        <v>0</v>
      </c>
    </row>
    <row r="104" ht="22.5" customHeight="1">
      <c r="A104" s="391"/>
      <c r="B104" s="379"/>
      <c r="C104" s="393"/>
      <c r="D104" s="392"/>
      <c r="E104" s="392"/>
      <c r="F104" s="383" t="str">
        <f t="shared" si="1"/>
        <v/>
      </c>
      <c r="G104" s="384" t="str">
        <f>IFERROR(__xludf.DUMMYFUNCTION("IFERROR(AVERAGE(FILTER('حضور '!I:I,'حضور '!A:A=A104,MONTH('حضور '!B:B)=J104)),"""")"),"")</f>
        <v/>
      </c>
      <c r="H104" s="384">
        <f t="shared" si="2"/>
        <v>0</v>
      </c>
      <c r="I104" s="385">
        <f t="shared" si="3"/>
        <v>0</v>
      </c>
    </row>
    <row r="105" ht="22.5" customHeight="1">
      <c r="A105" s="391"/>
      <c r="B105" s="379"/>
      <c r="C105" s="393"/>
      <c r="D105" s="392"/>
      <c r="E105" s="392"/>
      <c r="F105" s="383" t="str">
        <f t="shared" si="1"/>
        <v/>
      </c>
      <c r="G105" s="384" t="str">
        <f>IFERROR(__xludf.DUMMYFUNCTION("IFERROR(AVERAGE(FILTER('حضور '!I:I,'حضور '!A:A=A105,MONTH('حضور '!B:B)=J105)),"""")"),"")</f>
        <v/>
      </c>
      <c r="H105" s="384">
        <f t="shared" si="2"/>
        <v>0</v>
      </c>
      <c r="I105" s="385">
        <f t="shared" si="3"/>
        <v>0</v>
      </c>
    </row>
    <row r="106" ht="22.5" customHeight="1">
      <c r="A106" s="391"/>
      <c r="B106" s="379"/>
      <c r="C106" s="393"/>
      <c r="D106" s="392"/>
      <c r="E106" s="392"/>
      <c r="F106" s="383" t="str">
        <f t="shared" si="1"/>
        <v/>
      </c>
      <c r="G106" s="384" t="str">
        <f>IFERROR(__xludf.DUMMYFUNCTION("IFERROR(AVERAGE(FILTER('حضور '!I:I,'حضور '!A:A=A106,MONTH('حضور '!B:B)=J106)),"""")"),"")</f>
        <v/>
      </c>
      <c r="H106" s="384">
        <f t="shared" si="2"/>
        <v>0</v>
      </c>
      <c r="I106" s="385">
        <f t="shared" si="3"/>
        <v>0</v>
      </c>
    </row>
    <row r="107" ht="22.5" customHeight="1">
      <c r="A107" s="391"/>
      <c r="B107" s="379"/>
      <c r="C107" s="393"/>
      <c r="D107" s="392"/>
      <c r="E107" s="392"/>
      <c r="F107" s="383" t="str">
        <f t="shared" si="1"/>
        <v/>
      </c>
      <c r="G107" s="384" t="str">
        <f>IFERROR(__xludf.DUMMYFUNCTION("IFERROR(AVERAGE(FILTER('حضور '!I:I,'حضور '!A:A=A107,MONTH('حضور '!B:B)=J107)),"""")"),"")</f>
        <v/>
      </c>
      <c r="H107" s="384">
        <f t="shared" si="2"/>
        <v>0</v>
      </c>
      <c r="I107" s="385">
        <f t="shared" si="3"/>
        <v>0</v>
      </c>
    </row>
    <row r="108" ht="22.5" customHeight="1">
      <c r="A108" s="391"/>
      <c r="B108" s="379"/>
      <c r="C108" s="393"/>
      <c r="D108" s="392"/>
      <c r="E108" s="392"/>
      <c r="F108" s="383" t="str">
        <f t="shared" si="1"/>
        <v/>
      </c>
      <c r="G108" s="384" t="str">
        <f>IFERROR(__xludf.DUMMYFUNCTION("IFERROR(AVERAGE(FILTER('حضور '!I:I,'حضور '!A:A=A108,MONTH('حضور '!B:B)=J108)),"""")"),"")</f>
        <v/>
      </c>
      <c r="H108" s="384">
        <f t="shared" si="2"/>
        <v>0</v>
      </c>
      <c r="I108" s="385">
        <f t="shared" si="3"/>
        <v>0</v>
      </c>
    </row>
    <row r="109" ht="22.5" customHeight="1">
      <c r="A109" s="391"/>
      <c r="B109" s="379"/>
      <c r="C109" s="393"/>
      <c r="D109" s="392"/>
      <c r="E109" s="392"/>
      <c r="F109" s="383" t="str">
        <f t="shared" si="1"/>
        <v/>
      </c>
      <c r="G109" s="384" t="str">
        <f>IFERROR(__xludf.DUMMYFUNCTION("IFERROR(AVERAGE(FILTER('حضور '!I:I,'حضور '!A:A=A109,MONTH('حضور '!B:B)=J109)),"""")"),"")</f>
        <v/>
      </c>
      <c r="H109" s="384">
        <f t="shared" si="2"/>
        <v>0</v>
      </c>
      <c r="I109" s="385">
        <f t="shared" si="3"/>
        <v>0</v>
      </c>
    </row>
    <row r="110" ht="22.5" customHeight="1">
      <c r="A110" s="391"/>
      <c r="B110" s="379"/>
      <c r="C110" s="393"/>
      <c r="D110" s="392"/>
      <c r="E110" s="392"/>
      <c r="F110" s="383" t="str">
        <f t="shared" si="1"/>
        <v/>
      </c>
      <c r="G110" s="384" t="str">
        <f>IFERROR(__xludf.DUMMYFUNCTION("IFERROR(AVERAGE(FILTER('حضور '!I:I,'حضور '!A:A=A110,MONTH('حضور '!B:B)=J110)),"""")"),"")</f>
        <v/>
      </c>
      <c r="H110" s="384">
        <f t="shared" si="2"/>
        <v>0</v>
      </c>
      <c r="I110" s="385">
        <f t="shared" si="3"/>
        <v>0</v>
      </c>
    </row>
    <row r="111" ht="22.5" customHeight="1">
      <c r="A111" s="391"/>
      <c r="B111" s="379"/>
      <c r="C111" s="393"/>
      <c r="D111" s="392"/>
      <c r="E111" s="392"/>
      <c r="F111" s="383" t="str">
        <f t="shared" si="1"/>
        <v/>
      </c>
      <c r="G111" s="384" t="str">
        <f>IFERROR(__xludf.DUMMYFUNCTION("IFERROR(AVERAGE(FILTER('حضور '!I:I,'حضور '!A:A=A111,MONTH('حضور '!B:B)=J111)),"""")"),"")</f>
        <v/>
      </c>
      <c r="H111" s="384">
        <f t="shared" si="2"/>
        <v>0</v>
      </c>
      <c r="I111" s="385">
        <f t="shared" si="3"/>
        <v>0</v>
      </c>
    </row>
    <row r="112" ht="22.5" customHeight="1">
      <c r="A112" s="391"/>
      <c r="B112" s="379"/>
      <c r="C112" s="393"/>
      <c r="D112" s="392"/>
      <c r="E112" s="392"/>
      <c r="F112" s="383" t="str">
        <f t="shared" si="1"/>
        <v/>
      </c>
      <c r="G112" s="384" t="str">
        <f>IFERROR(__xludf.DUMMYFUNCTION("IFERROR(AVERAGE(FILTER('حضور '!I:I,'حضور '!A:A=A112,MONTH('حضور '!B:B)=J112)),"""")"),"")</f>
        <v/>
      </c>
      <c r="H112" s="384">
        <f t="shared" si="2"/>
        <v>0</v>
      </c>
      <c r="I112" s="385">
        <f t="shared" si="3"/>
        <v>0</v>
      </c>
    </row>
    <row r="113" ht="22.5" customHeight="1">
      <c r="A113" s="391"/>
      <c r="B113" s="379"/>
      <c r="C113" s="393"/>
      <c r="D113" s="392"/>
      <c r="E113" s="392"/>
      <c r="F113" s="383" t="str">
        <f t="shared" si="1"/>
        <v/>
      </c>
      <c r="G113" s="384" t="str">
        <f>IFERROR(__xludf.DUMMYFUNCTION("IFERROR(AVERAGE(FILTER('حضور '!I:I,'حضور '!A:A=A113,MONTH('حضور '!B:B)=J113)),"""")"),"")</f>
        <v/>
      </c>
      <c r="H113" s="384">
        <f t="shared" si="2"/>
        <v>0</v>
      </c>
      <c r="I113" s="385">
        <f t="shared" si="3"/>
        <v>0</v>
      </c>
    </row>
    <row r="114" ht="22.5" customHeight="1">
      <c r="A114" s="391"/>
      <c r="B114" s="379"/>
      <c r="C114" s="393"/>
      <c r="D114" s="392"/>
      <c r="E114" s="392"/>
      <c r="F114" s="383" t="str">
        <f t="shared" si="1"/>
        <v/>
      </c>
      <c r="G114" s="384" t="str">
        <f>IFERROR(__xludf.DUMMYFUNCTION("IFERROR(AVERAGE(FILTER('حضور '!I:I,'حضور '!A:A=A114,MONTH('حضور '!B:B)=J114)),"""")"),"")</f>
        <v/>
      </c>
      <c r="H114" s="384">
        <f t="shared" si="2"/>
        <v>0</v>
      </c>
      <c r="I114" s="385">
        <f t="shared" si="3"/>
        <v>0</v>
      </c>
    </row>
    <row r="115" ht="22.5" customHeight="1">
      <c r="A115" s="391"/>
      <c r="B115" s="379"/>
      <c r="C115" s="393"/>
      <c r="D115" s="392"/>
      <c r="E115" s="392"/>
      <c r="F115" s="383" t="str">
        <f t="shared" si="1"/>
        <v/>
      </c>
      <c r="G115" s="384" t="str">
        <f>IFERROR(__xludf.DUMMYFUNCTION("IFERROR(AVERAGE(FILTER('حضور '!I:I,'حضور '!A:A=A115,MONTH('حضور '!B:B)=J115)),"""")"),"")</f>
        <v/>
      </c>
      <c r="H115" s="384">
        <f t="shared" si="2"/>
        <v>0</v>
      </c>
      <c r="I115" s="385">
        <f t="shared" si="3"/>
        <v>0</v>
      </c>
    </row>
    <row r="116" ht="22.5" customHeight="1">
      <c r="A116" s="391"/>
      <c r="B116" s="379"/>
      <c r="C116" s="393"/>
      <c r="D116" s="392"/>
      <c r="E116" s="392"/>
      <c r="F116" s="383" t="str">
        <f t="shared" si="1"/>
        <v/>
      </c>
      <c r="G116" s="384" t="str">
        <f>IFERROR(__xludf.DUMMYFUNCTION("IFERROR(AVERAGE(FILTER('حضور '!I:I,'حضور '!A:A=A116,MONTH('حضور '!B:B)=J116)),"""")"),"")</f>
        <v/>
      </c>
      <c r="H116" s="384">
        <f t="shared" si="2"/>
        <v>0</v>
      </c>
      <c r="I116" s="385">
        <f t="shared" si="3"/>
        <v>0</v>
      </c>
    </row>
    <row r="117" ht="22.5" customHeight="1">
      <c r="A117" s="391"/>
      <c r="B117" s="379"/>
      <c r="C117" s="393"/>
      <c r="D117" s="392"/>
      <c r="E117" s="392"/>
      <c r="F117" s="383" t="str">
        <f t="shared" si="1"/>
        <v/>
      </c>
      <c r="G117" s="384" t="str">
        <f>IFERROR(__xludf.DUMMYFUNCTION("IFERROR(AVERAGE(FILTER('حضور '!I:I,'حضور '!A:A=A117,MONTH('حضور '!B:B)=J117)),"""")"),"")</f>
        <v/>
      </c>
      <c r="H117" s="384">
        <f t="shared" si="2"/>
        <v>0</v>
      </c>
      <c r="I117" s="385">
        <f t="shared" si="3"/>
        <v>0</v>
      </c>
    </row>
    <row r="118" ht="22.5" customHeight="1">
      <c r="A118" s="391"/>
      <c r="B118" s="379"/>
      <c r="C118" s="393"/>
      <c r="D118" s="392"/>
      <c r="E118" s="392"/>
      <c r="F118" s="383" t="str">
        <f t="shared" si="1"/>
        <v/>
      </c>
      <c r="G118" s="384" t="str">
        <f>IFERROR(__xludf.DUMMYFUNCTION("IFERROR(AVERAGE(FILTER('حضور '!I:I,'حضور '!A:A=A118,MONTH('حضور '!B:B)=J118)),"""")"),"")</f>
        <v/>
      </c>
      <c r="H118" s="384">
        <f t="shared" si="2"/>
        <v>0</v>
      </c>
      <c r="I118" s="385">
        <f t="shared" si="3"/>
        <v>0</v>
      </c>
    </row>
    <row r="119" ht="22.5" customHeight="1">
      <c r="A119" s="391"/>
      <c r="B119" s="379"/>
      <c r="C119" s="393"/>
      <c r="D119" s="392"/>
      <c r="E119" s="392"/>
      <c r="F119" s="383" t="str">
        <f t="shared" si="1"/>
        <v/>
      </c>
      <c r="G119" s="384" t="str">
        <f>IFERROR(__xludf.DUMMYFUNCTION("IFERROR(AVERAGE(FILTER('حضور '!I:I,'حضور '!A:A=A119,MONTH('حضور '!B:B)=J119)),"""")"),"")</f>
        <v/>
      </c>
      <c r="H119" s="384">
        <f t="shared" si="2"/>
        <v>0</v>
      </c>
      <c r="I119" s="385">
        <f t="shared" si="3"/>
        <v>0</v>
      </c>
    </row>
    <row r="120" ht="22.5" customHeight="1">
      <c r="A120" s="391"/>
      <c r="B120" s="379"/>
      <c r="C120" s="393"/>
      <c r="D120" s="392"/>
      <c r="E120" s="392"/>
      <c r="F120" s="383" t="str">
        <f t="shared" si="1"/>
        <v/>
      </c>
      <c r="G120" s="384" t="str">
        <f>IFERROR(__xludf.DUMMYFUNCTION("IFERROR(AVERAGE(FILTER('حضور '!I:I,'حضور '!A:A=A120,MONTH('حضور '!B:B)=J120)),"""")"),"")</f>
        <v/>
      </c>
      <c r="H120" s="384">
        <f t="shared" si="2"/>
        <v>0</v>
      </c>
      <c r="I120" s="385">
        <f t="shared" si="3"/>
        <v>0</v>
      </c>
    </row>
    <row r="121" ht="22.5" customHeight="1">
      <c r="A121" s="391"/>
      <c r="B121" s="379"/>
      <c r="C121" s="393"/>
      <c r="D121" s="392"/>
      <c r="E121" s="392"/>
      <c r="F121" s="383" t="str">
        <f t="shared" si="1"/>
        <v/>
      </c>
      <c r="G121" s="384" t="str">
        <f>IFERROR(__xludf.DUMMYFUNCTION("IFERROR(AVERAGE(FILTER('حضور '!I:I,'حضور '!A:A=A121,MONTH('حضور '!B:B)=J121)),"""")"),"")</f>
        <v/>
      </c>
      <c r="H121" s="384">
        <f t="shared" si="2"/>
        <v>0</v>
      </c>
      <c r="I121" s="385">
        <f t="shared" si="3"/>
        <v>0</v>
      </c>
    </row>
    <row r="122" ht="22.5" customHeight="1">
      <c r="A122" s="391"/>
      <c r="B122" s="379"/>
      <c r="C122" s="393"/>
      <c r="D122" s="392"/>
      <c r="E122" s="392"/>
      <c r="F122" s="383" t="str">
        <f t="shared" si="1"/>
        <v/>
      </c>
      <c r="G122" s="384" t="str">
        <f>IFERROR(__xludf.DUMMYFUNCTION("IFERROR(AVERAGE(FILTER('حضور '!I:I,'حضور '!A:A=A122,MONTH('حضور '!B:B)=J122)),"""")"),"")</f>
        <v/>
      </c>
      <c r="H122" s="384">
        <f t="shared" si="2"/>
        <v>0</v>
      </c>
      <c r="I122" s="385">
        <f t="shared" si="3"/>
        <v>0</v>
      </c>
    </row>
    <row r="123" ht="22.5" customHeight="1">
      <c r="A123" s="391"/>
      <c r="B123" s="379"/>
      <c r="C123" s="393"/>
      <c r="D123" s="392"/>
      <c r="E123" s="392"/>
      <c r="F123" s="383" t="str">
        <f t="shared" si="1"/>
        <v/>
      </c>
      <c r="G123" s="384" t="str">
        <f>IFERROR(__xludf.DUMMYFUNCTION("IFERROR(AVERAGE(FILTER('حضور '!I:I,'حضور '!A:A=A123,MONTH('حضور '!B:B)=J123)),"""")"),"")</f>
        <v/>
      </c>
      <c r="H123" s="384">
        <f t="shared" si="2"/>
        <v>0</v>
      </c>
      <c r="I123" s="385">
        <f t="shared" si="3"/>
        <v>0</v>
      </c>
    </row>
    <row r="124" ht="22.5" customHeight="1">
      <c r="A124" s="391"/>
      <c r="B124" s="379"/>
      <c r="C124" s="393"/>
      <c r="D124" s="392"/>
      <c r="E124" s="392"/>
      <c r="F124" s="383" t="str">
        <f t="shared" si="1"/>
        <v/>
      </c>
      <c r="G124" s="384" t="str">
        <f>IFERROR(__xludf.DUMMYFUNCTION("IFERROR(AVERAGE(FILTER('حضور '!I:I,'حضور '!A:A=A124,MONTH('حضور '!B:B)=J124)),"""")"),"")</f>
        <v/>
      </c>
      <c r="H124" s="384">
        <f t="shared" si="2"/>
        <v>0</v>
      </c>
      <c r="I124" s="385">
        <f t="shared" si="3"/>
        <v>0</v>
      </c>
    </row>
    <row r="125" ht="22.5" customHeight="1">
      <c r="A125" s="391"/>
      <c r="B125" s="379"/>
      <c r="C125" s="393"/>
      <c r="D125" s="392"/>
      <c r="E125" s="392"/>
      <c r="F125" s="383" t="str">
        <f t="shared" si="1"/>
        <v/>
      </c>
      <c r="G125" s="384" t="str">
        <f>IFERROR(__xludf.DUMMYFUNCTION("IFERROR(AVERAGE(FILTER('حضور '!I:I,'حضور '!A:A=A125,MONTH('حضور '!B:B)=J125)),"""")"),"")</f>
        <v/>
      </c>
      <c r="H125" s="384">
        <f t="shared" si="2"/>
        <v>0</v>
      </c>
      <c r="I125" s="385">
        <f t="shared" si="3"/>
        <v>0</v>
      </c>
    </row>
    <row r="126" ht="22.5" customHeight="1">
      <c r="A126" s="391"/>
      <c r="B126" s="379"/>
      <c r="C126" s="393"/>
      <c r="D126" s="392"/>
      <c r="E126" s="392"/>
      <c r="F126" s="383" t="str">
        <f t="shared" si="1"/>
        <v/>
      </c>
      <c r="G126" s="384" t="str">
        <f>IFERROR(__xludf.DUMMYFUNCTION("IFERROR(AVERAGE(FILTER('حضور '!I:I,'حضور '!A:A=A126,MONTH('حضور '!B:B)=J126)),"""")"),"")</f>
        <v/>
      </c>
      <c r="H126" s="384">
        <f t="shared" si="2"/>
        <v>0</v>
      </c>
      <c r="I126" s="385">
        <f t="shared" si="3"/>
        <v>0</v>
      </c>
    </row>
    <row r="127" ht="22.5" customHeight="1">
      <c r="A127" s="391"/>
      <c r="B127" s="379"/>
      <c r="C127" s="393"/>
      <c r="D127" s="392"/>
      <c r="E127" s="392"/>
      <c r="F127" s="383" t="str">
        <f t="shared" si="1"/>
        <v/>
      </c>
      <c r="G127" s="384" t="str">
        <f>IFERROR(__xludf.DUMMYFUNCTION("IFERROR(AVERAGE(FILTER('حضور '!I:I,'حضور '!A:A=A127,MONTH('حضور '!B:B)=J127)),"""")"),"")</f>
        <v/>
      </c>
      <c r="H127" s="384">
        <f t="shared" si="2"/>
        <v>0</v>
      </c>
      <c r="I127" s="385">
        <f t="shared" si="3"/>
        <v>0</v>
      </c>
    </row>
    <row r="128" ht="22.5" customHeight="1">
      <c r="A128" s="391"/>
      <c r="B128" s="379"/>
      <c r="C128" s="393"/>
      <c r="D128" s="392"/>
      <c r="E128" s="392"/>
      <c r="F128" s="383" t="str">
        <f t="shared" si="1"/>
        <v/>
      </c>
      <c r="G128" s="384" t="str">
        <f>IFERROR(__xludf.DUMMYFUNCTION("IFERROR(AVERAGE(FILTER('حضور '!I:I,'حضور '!A:A=A128,MONTH('حضور '!B:B)=J128)),"""")"),"")</f>
        <v/>
      </c>
      <c r="H128" s="384">
        <f t="shared" si="2"/>
        <v>0</v>
      </c>
      <c r="I128" s="385">
        <f t="shared" si="3"/>
        <v>0</v>
      </c>
    </row>
    <row r="129" ht="22.5" customHeight="1">
      <c r="A129" s="391"/>
      <c r="B129" s="379"/>
      <c r="C129" s="393"/>
      <c r="D129" s="392"/>
      <c r="E129" s="392"/>
      <c r="F129" s="383" t="str">
        <f t="shared" si="1"/>
        <v/>
      </c>
      <c r="G129" s="384" t="str">
        <f>IFERROR(__xludf.DUMMYFUNCTION("IFERROR(AVERAGE(FILTER('حضور '!I:I,'حضور '!A:A=A129,MONTH('حضور '!B:B)=J129)),"""")"),"")</f>
        <v/>
      </c>
      <c r="H129" s="384">
        <f t="shared" si="2"/>
        <v>0</v>
      </c>
      <c r="I129" s="385">
        <f t="shared" si="3"/>
        <v>0</v>
      </c>
    </row>
    <row r="130" ht="22.5" customHeight="1">
      <c r="A130" s="391"/>
      <c r="B130" s="379"/>
      <c r="C130" s="393"/>
      <c r="D130" s="392"/>
      <c r="E130" s="392"/>
      <c r="F130" s="383" t="str">
        <f t="shared" si="1"/>
        <v/>
      </c>
      <c r="G130" s="384" t="str">
        <f>IFERROR(__xludf.DUMMYFUNCTION("IFERROR(AVERAGE(FILTER('حضور '!I:I,'حضور '!A:A=A130,MONTH('حضور '!B:B)=J130)),"""")"),"")</f>
        <v/>
      </c>
      <c r="H130" s="384">
        <f t="shared" si="2"/>
        <v>0</v>
      </c>
      <c r="I130" s="385">
        <f t="shared" si="3"/>
        <v>0</v>
      </c>
    </row>
    <row r="131" ht="22.5" customHeight="1">
      <c r="A131" s="391"/>
      <c r="B131" s="379"/>
      <c r="C131" s="393"/>
      <c r="D131" s="392"/>
      <c r="E131" s="392"/>
      <c r="F131" s="383" t="str">
        <f t="shared" si="1"/>
        <v/>
      </c>
      <c r="G131" s="384" t="str">
        <f>IFERROR(__xludf.DUMMYFUNCTION("IFERROR(AVERAGE(FILTER('حضور '!I:I,'حضور '!A:A=A131,MONTH('حضور '!B:B)=J131)),"""")"),"")</f>
        <v/>
      </c>
      <c r="H131" s="384">
        <f t="shared" si="2"/>
        <v>0</v>
      </c>
      <c r="I131" s="385">
        <f t="shared" si="3"/>
        <v>0</v>
      </c>
    </row>
    <row r="132" ht="22.5" customHeight="1">
      <c r="A132" s="391"/>
      <c r="B132" s="379"/>
      <c r="C132" s="393"/>
      <c r="D132" s="392"/>
      <c r="E132" s="392"/>
      <c r="F132" s="383" t="str">
        <f t="shared" si="1"/>
        <v/>
      </c>
      <c r="G132" s="384" t="str">
        <f>IFERROR(__xludf.DUMMYFUNCTION("IFERROR(AVERAGE(FILTER('حضور '!I:I,'حضور '!A:A=A132,MONTH('حضور '!B:B)=J132)),"""")"),"")</f>
        <v/>
      </c>
      <c r="H132" s="384">
        <f t="shared" si="2"/>
        <v>0</v>
      </c>
      <c r="I132" s="385">
        <f t="shared" si="3"/>
        <v>0</v>
      </c>
    </row>
    <row r="133" ht="22.5" customHeight="1">
      <c r="A133" s="391"/>
      <c r="B133" s="379"/>
      <c r="C133" s="393"/>
      <c r="D133" s="392"/>
      <c r="E133" s="392"/>
      <c r="F133" s="383" t="str">
        <f t="shared" si="1"/>
        <v/>
      </c>
      <c r="G133" s="384" t="str">
        <f>IFERROR(__xludf.DUMMYFUNCTION("IFERROR(AVERAGE(FILTER('حضور '!I:I,'حضور '!A:A=A133,MONTH('حضور '!B:B)=J133)),"""")"),"")</f>
        <v/>
      </c>
      <c r="H133" s="384">
        <f t="shared" si="2"/>
        <v>0</v>
      </c>
      <c r="I133" s="385">
        <f t="shared" si="3"/>
        <v>0</v>
      </c>
    </row>
    <row r="134" ht="22.5" customHeight="1">
      <c r="A134" s="391"/>
      <c r="B134" s="379"/>
      <c r="C134" s="393"/>
      <c r="D134" s="392"/>
      <c r="E134" s="392"/>
      <c r="F134" s="383" t="str">
        <f t="shared" si="1"/>
        <v/>
      </c>
      <c r="G134" s="384" t="str">
        <f>IFERROR(__xludf.DUMMYFUNCTION("IFERROR(AVERAGE(FILTER('حضور '!I:I,'حضور '!A:A=A134,MONTH('حضور '!B:B)=J134)),"""")"),"")</f>
        <v/>
      </c>
      <c r="H134" s="384">
        <f t="shared" si="2"/>
        <v>0</v>
      </c>
      <c r="I134" s="385">
        <f t="shared" si="3"/>
        <v>0</v>
      </c>
    </row>
    <row r="135" ht="22.5" customHeight="1">
      <c r="A135" s="391"/>
      <c r="B135" s="379"/>
      <c r="C135" s="393"/>
      <c r="D135" s="392"/>
      <c r="E135" s="392"/>
      <c r="F135" s="383" t="str">
        <f t="shared" si="1"/>
        <v/>
      </c>
      <c r="G135" s="384" t="str">
        <f>IFERROR(__xludf.DUMMYFUNCTION("IFERROR(AVERAGE(FILTER('حضور '!I:I,'حضور '!A:A=A135,MONTH('حضور '!B:B)=J135)),"""")"),"")</f>
        <v/>
      </c>
      <c r="H135" s="384">
        <f t="shared" si="2"/>
        <v>0</v>
      </c>
      <c r="I135" s="385">
        <f t="shared" si="3"/>
        <v>0</v>
      </c>
    </row>
    <row r="136" ht="22.5" customHeight="1">
      <c r="A136" s="391"/>
      <c r="B136" s="379"/>
      <c r="C136" s="393"/>
      <c r="D136" s="392"/>
      <c r="E136" s="392"/>
      <c r="F136" s="383" t="str">
        <f t="shared" si="1"/>
        <v/>
      </c>
      <c r="G136" s="384" t="str">
        <f>IFERROR(__xludf.DUMMYFUNCTION("IFERROR(AVERAGE(FILTER('حضور '!I:I,'حضور '!A:A=A136,MONTH('حضور '!B:B)=J136)),"""")"),"")</f>
        <v/>
      </c>
      <c r="H136" s="384">
        <f t="shared" si="2"/>
        <v>0</v>
      </c>
      <c r="I136" s="385">
        <f t="shared" si="3"/>
        <v>0</v>
      </c>
    </row>
    <row r="137" ht="22.5" customHeight="1">
      <c r="A137" s="391"/>
      <c r="B137" s="379"/>
      <c r="C137" s="393"/>
      <c r="D137" s="392"/>
      <c r="E137" s="392"/>
      <c r="F137" s="383" t="str">
        <f t="shared" si="1"/>
        <v/>
      </c>
      <c r="G137" s="384" t="str">
        <f>IFERROR(__xludf.DUMMYFUNCTION("IFERROR(AVERAGE(FILTER('حضور '!I:I,'حضور '!A:A=A137,MONTH('حضور '!B:B)=J137)),"""")"),"")</f>
        <v/>
      </c>
      <c r="H137" s="384">
        <f t="shared" si="2"/>
        <v>0</v>
      </c>
      <c r="I137" s="385">
        <f t="shared" si="3"/>
        <v>0</v>
      </c>
    </row>
    <row r="138" ht="22.5" customHeight="1">
      <c r="A138" s="391"/>
      <c r="B138" s="379"/>
      <c r="C138" s="393"/>
      <c r="D138" s="392"/>
      <c r="E138" s="392"/>
      <c r="F138" s="383" t="str">
        <f t="shared" si="1"/>
        <v/>
      </c>
      <c r="G138" s="384" t="str">
        <f>IFERROR(__xludf.DUMMYFUNCTION("IFERROR(AVERAGE(FILTER('حضور '!I:I,'حضور '!A:A=A138,MONTH('حضور '!B:B)=J138)),"""")"),"")</f>
        <v/>
      </c>
      <c r="H138" s="384">
        <f t="shared" si="2"/>
        <v>0</v>
      </c>
      <c r="I138" s="385">
        <f t="shared" si="3"/>
        <v>0</v>
      </c>
    </row>
    <row r="139" ht="22.5" customHeight="1">
      <c r="A139" s="391"/>
      <c r="B139" s="379"/>
      <c r="C139" s="393"/>
      <c r="D139" s="392"/>
      <c r="E139" s="392"/>
      <c r="F139" s="383" t="str">
        <f t="shared" si="1"/>
        <v/>
      </c>
      <c r="G139" s="384" t="str">
        <f>IFERROR(__xludf.DUMMYFUNCTION("IFERROR(AVERAGE(FILTER('حضور '!I:I,'حضور '!A:A=A139,MONTH('حضور '!B:B)=J139)),"""")"),"")</f>
        <v/>
      </c>
      <c r="H139" s="384">
        <f t="shared" si="2"/>
        <v>0</v>
      </c>
      <c r="I139" s="385">
        <f t="shared" si="3"/>
        <v>0</v>
      </c>
    </row>
    <row r="140" ht="22.5" customHeight="1">
      <c r="A140" s="391"/>
      <c r="B140" s="379"/>
      <c r="C140" s="393"/>
      <c r="D140" s="392"/>
      <c r="E140" s="392"/>
      <c r="F140" s="383" t="str">
        <f t="shared" si="1"/>
        <v/>
      </c>
      <c r="G140" s="384" t="str">
        <f>IFERROR(__xludf.DUMMYFUNCTION("IFERROR(AVERAGE(FILTER('حضور '!I:I,'حضور '!A:A=A140,MONTH('حضور '!B:B)=J140)),"""")"),"")</f>
        <v/>
      </c>
      <c r="H140" s="384">
        <f t="shared" si="2"/>
        <v>0</v>
      </c>
      <c r="I140" s="385">
        <f t="shared" si="3"/>
        <v>0</v>
      </c>
    </row>
    <row r="141" ht="22.5" customHeight="1">
      <c r="A141" s="391"/>
      <c r="B141" s="379"/>
      <c r="C141" s="393"/>
      <c r="D141" s="392"/>
      <c r="E141" s="392"/>
      <c r="F141" s="383" t="str">
        <f t="shared" si="1"/>
        <v/>
      </c>
      <c r="G141" s="384" t="str">
        <f>IFERROR(__xludf.DUMMYFUNCTION("IFERROR(AVERAGE(FILTER('حضور '!I:I,'حضور '!A:A=A141,MONTH('حضور '!B:B)=J141)),"""")"),"")</f>
        <v/>
      </c>
      <c r="H141" s="384">
        <f t="shared" si="2"/>
        <v>0</v>
      </c>
      <c r="I141" s="385">
        <f t="shared" si="3"/>
        <v>0</v>
      </c>
    </row>
    <row r="142" ht="22.5" customHeight="1">
      <c r="A142" s="391"/>
      <c r="B142" s="379"/>
      <c r="C142" s="393"/>
      <c r="D142" s="392"/>
      <c r="E142" s="392"/>
      <c r="F142" s="383" t="str">
        <f t="shared" si="1"/>
        <v/>
      </c>
      <c r="G142" s="384" t="str">
        <f>IFERROR(__xludf.DUMMYFUNCTION("IFERROR(AVERAGE(FILTER('حضور '!I:I,'حضور '!A:A=A142,MONTH('حضور '!B:B)=J142)),"""")"),"")</f>
        <v/>
      </c>
      <c r="H142" s="384">
        <f t="shared" si="2"/>
        <v>0</v>
      </c>
      <c r="I142" s="385">
        <f t="shared" si="3"/>
        <v>0</v>
      </c>
    </row>
    <row r="143" ht="22.5" customHeight="1">
      <c r="A143" s="391"/>
      <c r="B143" s="379"/>
      <c r="C143" s="393"/>
      <c r="D143" s="392"/>
      <c r="E143" s="392"/>
      <c r="F143" s="383" t="str">
        <f t="shared" si="1"/>
        <v/>
      </c>
      <c r="G143" s="384" t="str">
        <f>IFERROR(__xludf.DUMMYFUNCTION("IFERROR(AVERAGE(FILTER('حضور '!I:I,'حضور '!A:A=A143,MONTH('حضور '!B:B)=J143)),"""")"),"")</f>
        <v/>
      </c>
      <c r="H143" s="384">
        <f t="shared" si="2"/>
        <v>0</v>
      </c>
      <c r="I143" s="385">
        <f t="shared" si="3"/>
        <v>0</v>
      </c>
    </row>
    <row r="144" ht="22.5" customHeight="1">
      <c r="A144" s="391"/>
      <c r="B144" s="379"/>
      <c r="C144" s="393"/>
      <c r="D144" s="392"/>
      <c r="E144" s="392"/>
      <c r="F144" s="383" t="str">
        <f t="shared" si="1"/>
        <v/>
      </c>
      <c r="G144" s="384" t="str">
        <f>IFERROR(__xludf.DUMMYFUNCTION("IFERROR(AVERAGE(FILTER('حضور '!I:I,'حضور '!A:A=A144,MONTH('حضور '!B:B)=J144)),"""")"),"")</f>
        <v/>
      </c>
      <c r="H144" s="384">
        <f t="shared" si="2"/>
        <v>0</v>
      </c>
      <c r="I144" s="385">
        <f t="shared" si="3"/>
        <v>0</v>
      </c>
    </row>
    <row r="145" ht="22.5" customHeight="1">
      <c r="A145" s="391"/>
      <c r="B145" s="379"/>
      <c r="C145" s="393"/>
      <c r="D145" s="392"/>
      <c r="E145" s="392"/>
      <c r="F145" s="383" t="str">
        <f t="shared" si="1"/>
        <v/>
      </c>
      <c r="G145" s="384" t="str">
        <f>IFERROR(__xludf.DUMMYFUNCTION("IFERROR(AVERAGE(FILTER('حضور '!I:I,'حضور '!A:A=A145,MONTH('حضور '!B:B)=J145)),"""")"),"")</f>
        <v/>
      </c>
      <c r="H145" s="384">
        <f t="shared" si="2"/>
        <v>0</v>
      </c>
      <c r="I145" s="385">
        <f t="shared" si="3"/>
        <v>0</v>
      </c>
    </row>
    <row r="146" ht="22.5" customHeight="1">
      <c r="A146" s="391"/>
      <c r="B146" s="379"/>
      <c r="C146" s="393"/>
      <c r="D146" s="392"/>
      <c r="E146" s="392"/>
      <c r="F146" s="383" t="str">
        <f t="shared" si="1"/>
        <v/>
      </c>
      <c r="G146" s="384" t="str">
        <f>IFERROR(__xludf.DUMMYFUNCTION("IFERROR(AVERAGE(FILTER('حضور '!I:I,'حضور '!A:A=A146,MONTH('حضور '!B:B)=J146)),"""")"),"")</f>
        <v/>
      </c>
      <c r="H146" s="384">
        <f t="shared" si="2"/>
        <v>0</v>
      </c>
      <c r="I146" s="385">
        <f t="shared" si="3"/>
        <v>0</v>
      </c>
    </row>
    <row r="147" ht="22.5" customHeight="1">
      <c r="A147" s="391"/>
      <c r="B147" s="379"/>
      <c r="C147" s="393"/>
      <c r="D147" s="392"/>
      <c r="E147" s="392"/>
      <c r="F147" s="383" t="str">
        <f t="shared" si="1"/>
        <v/>
      </c>
      <c r="G147" s="384" t="str">
        <f>IFERROR(__xludf.DUMMYFUNCTION("IFERROR(AVERAGE(FILTER('حضور '!I:I,'حضور '!A:A=A147,MONTH('حضور '!B:B)=J147)),"""")"),"")</f>
        <v/>
      </c>
      <c r="H147" s="384">
        <f t="shared" si="2"/>
        <v>0</v>
      </c>
      <c r="I147" s="385">
        <f t="shared" si="3"/>
        <v>0</v>
      </c>
    </row>
    <row r="148" ht="22.5" customHeight="1">
      <c r="A148" s="391"/>
      <c r="B148" s="379"/>
      <c r="C148" s="393"/>
      <c r="D148" s="392"/>
      <c r="E148" s="392"/>
      <c r="F148" s="383" t="str">
        <f t="shared" si="1"/>
        <v/>
      </c>
      <c r="G148" s="384" t="str">
        <f>IFERROR(__xludf.DUMMYFUNCTION("IFERROR(AVERAGE(FILTER('حضور '!I:I,'حضور '!A:A=A148,MONTH('حضور '!B:B)=J148)),"""")"),"")</f>
        <v/>
      </c>
      <c r="H148" s="384">
        <f t="shared" si="2"/>
        <v>0</v>
      </c>
      <c r="I148" s="385">
        <f t="shared" si="3"/>
        <v>0</v>
      </c>
    </row>
    <row r="149" ht="22.5" customHeight="1">
      <c r="A149" s="391"/>
      <c r="B149" s="379"/>
      <c r="C149" s="393"/>
      <c r="D149" s="392"/>
      <c r="E149" s="392"/>
      <c r="F149" s="383" t="str">
        <f t="shared" si="1"/>
        <v/>
      </c>
      <c r="G149" s="384" t="str">
        <f>IFERROR(__xludf.DUMMYFUNCTION("IFERROR(AVERAGE(FILTER('حضور '!I:I,'حضور '!A:A=A149,MONTH('حضور '!B:B)=J149)),"""")"),"")</f>
        <v/>
      </c>
      <c r="H149" s="384">
        <f t="shared" si="2"/>
        <v>0</v>
      </c>
      <c r="I149" s="385">
        <f t="shared" si="3"/>
        <v>0</v>
      </c>
    </row>
    <row r="150" ht="22.5" customHeight="1">
      <c r="A150" s="391"/>
      <c r="B150" s="379"/>
      <c r="C150" s="393"/>
      <c r="D150" s="392"/>
      <c r="E150" s="392"/>
      <c r="F150" s="383" t="str">
        <f t="shared" si="1"/>
        <v/>
      </c>
      <c r="G150" s="384" t="str">
        <f>IFERROR(__xludf.DUMMYFUNCTION("IFERROR(AVERAGE(FILTER('حضور '!I:I,'حضور '!A:A=A150,MONTH('حضور '!B:B)=J150)),"""")"),"")</f>
        <v/>
      </c>
      <c r="H150" s="384">
        <f t="shared" si="2"/>
        <v>0</v>
      </c>
      <c r="I150" s="385">
        <f t="shared" si="3"/>
        <v>0</v>
      </c>
    </row>
    <row r="151" ht="22.5" customHeight="1">
      <c r="A151" s="391"/>
      <c r="B151" s="379"/>
      <c r="C151" s="393"/>
      <c r="D151" s="392"/>
      <c r="E151" s="392"/>
      <c r="F151" s="383" t="str">
        <f t="shared" si="1"/>
        <v/>
      </c>
      <c r="G151" s="384" t="str">
        <f>IFERROR(__xludf.DUMMYFUNCTION("IFERROR(AVERAGE(FILTER('حضور '!I:I,'حضور '!A:A=A151,MONTH('حضور '!B:B)=J151)),"""")"),"")</f>
        <v/>
      </c>
      <c r="H151" s="384">
        <f t="shared" si="2"/>
        <v>0</v>
      </c>
      <c r="I151" s="385">
        <f t="shared" si="3"/>
        <v>0</v>
      </c>
    </row>
    <row r="152" ht="22.5" customHeight="1">
      <c r="A152" s="391"/>
      <c r="B152" s="379"/>
      <c r="C152" s="393"/>
      <c r="D152" s="392"/>
      <c r="E152" s="392"/>
      <c r="F152" s="383" t="str">
        <f t="shared" si="1"/>
        <v/>
      </c>
      <c r="G152" s="384" t="str">
        <f>IFERROR(__xludf.DUMMYFUNCTION("IFERROR(AVERAGE(FILTER('حضور '!I:I,'حضور '!A:A=A152,MONTH('حضور '!B:B)=J152)),"""")"),"")</f>
        <v/>
      </c>
      <c r="H152" s="384">
        <f t="shared" si="2"/>
        <v>0</v>
      </c>
      <c r="I152" s="385">
        <f t="shared" si="3"/>
        <v>0</v>
      </c>
    </row>
    <row r="153" ht="22.5" customHeight="1">
      <c r="A153" s="391"/>
      <c r="B153" s="379"/>
      <c r="C153" s="393"/>
      <c r="D153" s="392"/>
      <c r="E153" s="392"/>
      <c r="F153" s="383" t="str">
        <f t="shared" si="1"/>
        <v/>
      </c>
      <c r="G153" s="384" t="str">
        <f>IFERROR(__xludf.DUMMYFUNCTION("IFERROR(AVERAGE(FILTER('حضور '!I:I,'حضور '!A:A=A153,MONTH('حضور '!B:B)=J153)),"""")"),"")</f>
        <v/>
      </c>
      <c r="H153" s="384">
        <f t="shared" si="2"/>
        <v>0</v>
      </c>
      <c r="I153" s="385">
        <f t="shared" si="3"/>
        <v>0</v>
      </c>
    </row>
    <row r="154" ht="22.5" customHeight="1">
      <c r="A154" s="391"/>
      <c r="B154" s="379"/>
      <c r="C154" s="393"/>
      <c r="D154" s="392"/>
      <c r="E154" s="392"/>
      <c r="F154" s="383" t="str">
        <f t="shared" si="1"/>
        <v/>
      </c>
      <c r="G154" s="384" t="str">
        <f>IFERROR(__xludf.DUMMYFUNCTION("IFERROR(AVERAGE(FILTER('حضور '!I:I,'حضور '!A:A=A154,MONTH('حضور '!B:B)=J154)),"""")"),"")</f>
        <v/>
      </c>
      <c r="H154" s="384">
        <f t="shared" si="2"/>
        <v>0</v>
      </c>
      <c r="I154" s="385">
        <f t="shared" si="3"/>
        <v>0</v>
      </c>
    </row>
    <row r="155" ht="22.5" customHeight="1">
      <c r="A155" s="391"/>
      <c r="B155" s="379"/>
      <c r="C155" s="393"/>
      <c r="D155" s="392"/>
      <c r="E155" s="392"/>
      <c r="F155" s="383" t="str">
        <f t="shared" si="1"/>
        <v/>
      </c>
      <c r="G155" s="384" t="str">
        <f>IFERROR(__xludf.DUMMYFUNCTION("IFERROR(AVERAGE(FILTER('حضور '!I:I,'حضور '!A:A=A155,MONTH('حضور '!B:B)=J155)),"""")"),"")</f>
        <v/>
      </c>
      <c r="H155" s="384">
        <f t="shared" si="2"/>
        <v>0</v>
      </c>
      <c r="I155" s="385">
        <f t="shared" si="3"/>
        <v>0</v>
      </c>
    </row>
    <row r="156" ht="22.5" customHeight="1">
      <c r="A156" s="391"/>
      <c r="B156" s="379"/>
      <c r="C156" s="393"/>
      <c r="D156" s="392"/>
      <c r="E156" s="392"/>
      <c r="F156" s="383" t="str">
        <f t="shared" si="1"/>
        <v/>
      </c>
      <c r="G156" s="384" t="str">
        <f>IFERROR(__xludf.DUMMYFUNCTION("IFERROR(AVERAGE(FILTER('حضور '!I:I,'حضور '!A:A=A156,MONTH('حضور '!B:B)=J156)),"""")"),"")</f>
        <v/>
      </c>
      <c r="H156" s="384">
        <f t="shared" si="2"/>
        <v>0</v>
      </c>
      <c r="I156" s="385">
        <f t="shared" si="3"/>
        <v>0</v>
      </c>
    </row>
    <row r="157" ht="22.5" customHeight="1">
      <c r="A157" s="391"/>
      <c r="B157" s="379"/>
      <c r="C157" s="393"/>
      <c r="D157" s="392"/>
      <c r="E157" s="392"/>
      <c r="F157" s="383" t="str">
        <f t="shared" si="1"/>
        <v/>
      </c>
      <c r="G157" s="384" t="str">
        <f>IFERROR(__xludf.DUMMYFUNCTION("IFERROR(AVERAGE(FILTER('حضور '!I:I,'حضور '!A:A=A157,MONTH('حضور '!B:B)=J157)),"""")"),"")</f>
        <v/>
      </c>
      <c r="H157" s="384">
        <f t="shared" si="2"/>
        <v>0</v>
      </c>
      <c r="I157" s="385">
        <f t="shared" si="3"/>
        <v>0</v>
      </c>
    </row>
    <row r="158" ht="22.5" customHeight="1">
      <c r="A158" s="391"/>
      <c r="B158" s="379"/>
      <c r="C158" s="393"/>
      <c r="D158" s="392"/>
      <c r="E158" s="392"/>
      <c r="F158" s="383" t="str">
        <f t="shared" si="1"/>
        <v/>
      </c>
      <c r="G158" s="384" t="str">
        <f>IFERROR(__xludf.DUMMYFUNCTION("IFERROR(AVERAGE(FILTER('حضور '!I:I,'حضور '!A:A=A158,MONTH('حضور '!B:B)=J158)),"""")"),"")</f>
        <v/>
      </c>
      <c r="H158" s="384">
        <f t="shared" si="2"/>
        <v>0</v>
      </c>
      <c r="I158" s="385">
        <f t="shared" si="3"/>
        <v>0</v>
      </c>
    </row>
    <row r="159" ht="22.5" customHeight="1">
      <c r="A159" s="391"/>
      <c r="B159" s="379"/>
      <c r="C159" s="393"/>
      <c r="D159" s="392"/>
      <c r="E159" s="392"/>
      <c r="F159" s="383" t="str">
        <f t="shared" si="1"/>
        <v/>
      </c>
      <c r="G159" s="384" t="str">
        <f>IFERROR(__xludf.DUMMYFUNCTION("IFERROR(AVERAGE(FILTER('حضور '!I:I,'حضور '!A:A=A159,MONTH('حضور '!B:B)=J159)),"""")"),"")</f>
        <v/>
      </c>
      <c r="H159" s="384">
        <f t="shared" si="2"/>
        <v>0</v>
      </c>
      <c r="I159" s="385">
        <f t="shared" si="3"/>
        <v>0</v>
      </c>
    </row>
    <row r="160" ht="22.5" customHeight="1">
      <c r="A160" s="391"/>
      <c r="B160" s="379"/>
      <c r="C160" s="393"/>
      <c r="D160" s="392"/>
      <c r="E160" s="392"/>
      <c r="F160" s="383" t="str">
        <f t="shared" si="1"/>
        <v/>
      </c>
      <c r="G160" s="384" t="str">
        <f>IFERROR(__xludf.DUMMYFUNCTION("IFERROR(AVERAGE(FILTER('حضور '!I:I,'حضور '!A:A=A160,MONTH('حضور '!B:B)=J160)),"""")"),"")</f>
        <v/>
      </c>
      <c r="H160" s="384">
        <f t="shared" si="2"/>
        <v>0</v>
      </c>
      <c r="I160" s="385">
        <f t="shared" si="3"/>
        <v>0</v>
      </c>
    </row>
    <row r="161" ht="22.5" customHeight="1">
      <c r="A161" s="391"/>
      <c r="B161" s="379"/>
      <c r="C161" s="393"/>
      <c r="D161" s="392"/>
      <c r="E161" s="392"/>
      <c r="F161" s="383" t="str">
        <f t="shared" si="1"/>
        <v/>
      </c>
      <c r="G161" s="384" t="str">
        <f>IFERROR(__xludf.DUMMYFUNCTION("IFERROR(AVERAGE(FILTER('حضور '!I:I,'حضور '!A:A=A161,MONTH('حضور '!B:B)=J161)),"""")"),"")</f>
        <v/>
      </c>
      <c r="H161" s="384">
        <f t="shared" si="2"/>
        <v>0</v>
      </c>
      <c r="I161" s="385">
        <f t="shared" si="3"/>
        <v>0</v>
      </c>
    </row>
    <row r="162" ht="22.5" customHeight="1">
      <c r="A162" s="391"/>
      <c r="B162" s="379"/>
      <c r="C162" s="393"/>
      <c r="D162" s="392"/>
      <c r="E162" s="392"/>
      <c r="F162" s="383" t="str">
        <f t="shared" si="1"/>
        <v/>
      </c>
      <c r="G162" s="384" t="str">
        <f>IFERROR(__xludf.DUMMYFUNCTION("IFERROR(AVERAGE(FILTER('حضور '!I:I,'حضور '!A:A=A162,MONTH('حضور '!B:B)=J162)),"""")"),"")</f>
        <v/>
      </c>
      <c r="H162" s="384">
        <f t="shared" si="2"/>
        <v>0</v>
      </c>
      <c r="I162" s="385">
        <f t="shared" si="3"/>
        <v>0</v>
      </c>
    </row>
    <row r="163" ht="22.5" customHeight="1">
      <c r="A163" s="391"/>
      <c r="B163" s="379"/>
      <c r="C163" s="393"/>
      <c r="D163" s="392"/>
      <c r="E163" s="392"/>
      <c r="F163" s="383" t="str">
        <f t="shared" si="1"/>
        <v/>
      </c>
      <c r="G163" s="384" t="str">
        <f>IFERROR(__xludf.DUMMYFUNCTION("IFERROR(AVERAGE(FILTER('حضور '!I:I,'حضور '!A:A=A163,MONTH('حضور '!B:B)=J163)),"""")"),"")</f>
        <v/>
      </c>
      <c r="H163" s="384">
        <f t="shared" si="2"/>
        <v>0</v>
      </c>
      <c r="I163" s="385">
        <f t="shared" si="3"/>
        <v>0</v>
      </c>
    </row>
    <row r="164" ht="22.5" customHeight="1">
      <c r="A164" s="391"/>
      <c r="B164" s="379"/>
      <c r="C164" s="393"/>
      <c r="D164" s="392"/>
      <c r="E164" s="392"/>
      <c r="F164" s="383" t="str">
        <f t="shared" si="1"/>
        <v/>
      </c>
      <c r="G164" s="384" t="str">
        <f>IFERROR(__xludf.DUMMYFUNCTION("IFERROR(AVERAGE(FILTER('حضور '!I:I,'حضور '!A:A=A164,MONTH('حضور '!B:B)=J164)),"""")"),"")</f>
        <v/>
      </c>
      <c r="H164" s="384">
        <f t="shared" si="2"/>
        <v>0</v>
      </c>
      <c r="I164" s="385">
        <f t="shared" si="3"/>
        <v>0</v>
      </c>
    </row>
    <row r="165" ht="22.5" customHeight="1">
      <c r="A165" s="391"/>
      <c r="B165" s="379"/>
      <c r="C165" s="393"/>
      <c r="D165" s="392"/>
      <c r="E165" s="392"/>
      <c r="F165" s="383" t="str">
        <f t="shared" si="1"/>
        <v/>
      </c>
      <c r="G165" s="384" t="str">
        <f>IFERROR(__xludf.DUMMYFUNCTION("IFERROR(AVERAGE(FILTER('حضور '!I:I,'حضور '!A:A=A165,MONTH('حضور '!B:B)=J165)),"""")"),"")</f>
        <v/>
      </c>
      <c r="H165" s="384">
        <f t="shared" si="2"/>
        <v>0</v>
      </c>
      <c r="I165" s="385">
        <f t="shared" si="3"/>
        <v>0</v>
      </c>
    </row>
    <row r="166" ht="22.5" customHeight="1">
      <c r="A166" s="391"/>
      <c r="B166" s="379"/>
      <c r="C166" s="393"/>
      <c r="D166" s="392"/>
      <c r="E166" s="392"/>
      <c r="F166" s="383" t="str">
        <f t="shared" si="1"/>
        <v/>
      </c>
      <c r="G166" s="384" t="str">
        <f>IFERROR(__xludf.DUMMYFUNCTION("IFERROR(AVERAGE(FILTER('حضور '!I:I,'حضور '!A:A=A166,MONTH('حضور '!B:B)=J166)),"""")"),"")</f>
        <v/>
      </c>
      <c r="H166" s="384">
        <f t="shared" si="2"/>
        <v>0</v>
      </c>
      <c r="I166" s="385">
        <f t="shared" si="3"/>
        <v>0</v>
      </c>
    </row>
    <row r="167" ht="22.5" customHeight="1">
      <c r="A167" s="391"/>
      <c r="B167" s="379"/>
      <c r="C167" s="393"/>
      <c r="D167" s="392"/>
      <c r="E167" s="392"/>
      <c r="F167" s="383" t="str">
        <f t="shared" si="1"/>
        <v/>
      </c>
      <c r="G167" s="384" t="str">
        <f>IFERROR(__xludf.DUMMYFUNCTION("IFERROR(AVERAGE(FILTER('حضور '!I:I,'حضور '!A:A=A167,MONTH('حضور '!B:B)=J167)),"""")"),"")</f>
        <v/>
      </c>
      <c r="H167" s="384">
        <f t="shared" si="2"/>
        <v>0</v>
      </c>
      <c r="I167" s="385">
        <f t="shared" si="3"/>
        <v>0</v>
      </c>
    </row>
    <row r="168" ht="22.5" customHeight="1">
      <c r="A168" s="391"/>
      <c r="B168" s="379"/>
      <c r="C168" s="393"/>
      <c r="D168" s="392"/>
      <c r="E168" s="392"/>
      <c r="F168" s="383" t="str">
        <f t="shared" si="1"/>
        <v/>
      </c>
      <c r="G168" s="384" t="str">
        <f>IFERROR(__xludf.DUMMYFUNCTION("IFERROR(AVERAGE(FILTER('حضور '!I:I,'حضور '!A:A=A168,MONTH('حضور '!B:B)=J168)),"""")"),"")</f>
        <v/>
      </c>
      <c r="H168" s="384">
        <f t="shared" si="2"/>
        <v>0</v>
      </c>
      <c r="I168" s="385">
        <f t="shared" si="3"/>
        <v>0</v>
      </c>
    </row>
    <row r="169" ht="22.5" customHeight="1">
      <c r="A169" s="391"/>
      <c r="B169" s="379"/>
      <c r="C169" s="393"/>
      <c r="D169" s="392"/>
      <c r="E169" s="392"/>
      <c r="F169" s="383" t="str">
        <f t="shared" si="1"/>
        <v/>
      </c>
      <c r="G169" s="384" t="str">
        <f>IFERROR(__xludf.DUMMYFUNCTION("IFERROR(AVERAGE(FILTER('حضور '!I:I,'حضور '!A:A=A169,MONTH('حضور '!B:B)=J169)),"""")"),"")</f>
        <v/>
      </c>
      <c r="H169" s="384">
        <f t="shared" si="2"/>
        <v>0</v>
      </c>
      <c r="I169" s="385">
        <f t="shared" si="3"/>
        <v>0</v>
      </c>
    </row>
    <row r="170" ht="22.5" customHeight="1">
      <c r="A170" s="391"/>
      <c r="B170" s="379"/>
      <c r="C170" s="393"/>
      <c r="D170" s="392"/>
      <c r="E170" s="392"/>
      <c r="F170" s="383" t="str">
        <f t="shared" si="1"/>
        <v/>
      </c>
      <c r="G170" s="384" t="str">
        <f>IFERROR(__xludf.DUMMYFUNCTION("IFERROR(AVERAGE(FILTER('حضور '!I:I,'حضور '!A:A=A170,MONTH('حضور '!B:B)=J170)),"""")"),"")</f>
        <v/>
      </c>
      <c r="H170" s="384">
        <f t="shared" si="2"/>
        <v>0</v>
      </c>
      <c r="I170" s="385">
        <f t="shared" si="3"/>
        <v>0</v>
      </c>
    </row>
    <row r="171" ht="22.5" customHeight="1">
      <c r="A171" s="391"/>
      <c r="B171" s="379"/>
      <c r="C171" s="393"/>
      <c r="D171" s="392"/>
      <c r="E171" s="392"/>
      <c r="F171" s="383" t="str">
        <f t="shared" si="1"/>
        <v/>
      </c>
      <c r="G171" s="384" t="str">
        <f>IFERROR(__xludf.DUMMYFUNCTION("IFERROR(AVERAGE(FILTER('حضور '!I:I,'حضور '!A:A=A171,MONTH('حضور '!B:B)=J171)),"""")"),"")</f>
        <v/>
      </c>
      <c r="H171" s="384">
        <f t="shared" si="2"/>
        <v>0</v>
      </c>
      <c r="I171" s="385">
        <f t="shared" si="3"/>
        <v>0</v>
      </c>
    </row>
    <row r="172" ht="22.5" customHeight="1">
      <c r="A172" s="391"/>
      <c r="B172" s="379"/>
      <c r="C172" s="393"/>
      <c r="D172" s="392"/>
      <c r="E172" s="392"/>
      <c r="F172" s="383" t="str">
        <f t="shared" si="1"/>
        <v/>
      </c>
      <c r="G172" s="384" t="str">
        <f>IFERROR(__xludf.DUMMYFUNCTION("IFERROR(AVERAGE(FILTER('حضور '!I:I,'حضور '!A:A=A172,MONTH('حضور '!B:B)=J172)),"""")"),"")</f>
        <v/>
      </c>
      <c r="H172" s="384">
        <f t="shared" si="2"/>
        <v>0</v>
      </c>
      <c r="I172" s="385">
        <f t="shared" si="3"/>
        <v>0</v>
      </c>
    </row>
    <row r="173" ht="22.5" customHeight="1">
      <c r="A173" s="391"/>
      <c r="B173" s="379"/>
      <c r="C173" s="393"/>
      <c r="D173" s="392"/>
      <c r="E173" s="392"/>
      <c r="F173" s="383" t="str">
        <f t="shared" si="1"/>
        <v/>
      </c>
      <c r="G173" s="384" t="str">
        <f>IFERROR(__xludf.DUMMYFUNCTION("IFERROR(AVERAGE(FILTER('حضور '!I:I,'حضور '!A:A=A173,MONTH('حضور '!B:B)=J173)),"""")"),"")</f>
        <v/>
      </c>
      <c r="H173" s="384">
        <f t="shared" si="2"/>
        <v>0</v>
      </c>
      <c r="I173" s="385">
        <f t="shared" si="3"/>
        <v>0</v>
      </c>
    </row>
    <row r="174" ht="22.5" customHeight="1">
      <c r="A174" s="391"/>
      <c r="B174" s="379"/>
      <c r="C174" s="393"/>
      <c r="D174" s="392"/>
      <c r="E174" s="392"/>
      <c r="F174" s="383" t="str">
        <f t="shared" si="1"/>
        <v/>
      </c>
      <c r="G174" s="384" t="str">
        <f>IFERROR(__xludf.DUMMYFUNCTION("IFERROR(AVERAGE(FILTER('حضور '!I:I,'حضور '!A:A=A174,MONTH('حضور '!B:B)=J174)),"""")"),"")</f>
        <v/>
      </c>
      <c r="H174" s="384">
        <f t="shared" si="2"/>
        <v>0</v>
      </c>
      <c r="I174" s="385">
        <f t="shared" si="3"/>
        <v>0</v>
      </c>
    </row>
    <row r="175" ht="22.5" customHeight="1">
      <c r="A175" s="391"/>
      <c r="B175" s="379"/>
      <c r="C175" s="393"/>
      <c r="D175" s="392"/>
      <c r="E175" s="392"/>
      <c r="F175" s="383" t="str">
        <f t="shared" si="1"/>
        <v/>
      </c>
      <c r="G175" s="384" t="str">
        <f>IFERROR(__xludf.DUMMYFUNCTION("IFERROR(AVERAGE(FILTER('حضور '!I:I,'حضور '!A:A=A175,MONTH('حضور '!B:B)=J175)),"""")"),"")</f>
        <v/>
      </c>
      <c r="H175" s="384">
        <f t="shared" si="2"/>
        <v>0</v>
      </c>
      <c r="I175" s="385">
        <f t="shared" si="3"/>
        <v>0</v>
      </c>
    </row>
    <row r="176" ht="22.5" customHeight="1">
      <c r="A176" s="391"/>
      <c r="B176" s="379"/>
      <c r="C176" s="393"/>
      <c r="D176" s="392"/>
      <c r="E176" s="392"/>
      <c r="F176" s="383" t="str">
        <f t="shared" si="1"/>
        <v/>
      </c>
      <c r="G176" s="384" t="str">
        <f>IFERROR(__xludf.DUMMYFUNCTION("IFERROR(AVERAGE(FILTER('حضور '!I:I,'حضور '!A:A=A176,MONTH('حضور '!B:B)=J176)),"""")"),"")</f>
        <v/>
      </c>
      <c r="H176" s="384">
        <f t="shared" si="2"/>
        <v>0</v>
      </c>
      <c r="I176" s="385">
        <f t="shared" si="3"/>
        <v>0</v>
      </c>
    </row>
    <row r="177" ht="22.5" customHeight="1">
      <c r="A177" s="391"/>
      <c r="B177" s="379"/>
      <c r="C177" s="393"/>
      <c r="D177" s="392"/>
      <c r="E177" s="392"/>
      <c r="F177" s="383" t="str">
        <f t="shared" si="1"/>
        <v/>
      </c>
      <c r="G177" s="384" t="str">
        <f>IFERROR(__xludf.DUMMYFUNCTION("IFERROR(AVERAGE(FILTER('حضور '!I:I,'حضور '!A:A=A177,MONTH('حضور '!B:B)=J177)),"""")"),"")</f>
        <v/>
      </c>
      <c r="H177" s="384">
        <f t="shared" si="2"/>
        <v>0</v>
      </c>
      <c r="I177" s="385">
        <f t="shared" si="3"/>
        <v>0</v>
      </c>
    </row>
    <row r="178" ht="22.5" customHeight="1">
      <c r="A178" s="391"/>
      <c r="B178" s="379"/>
      <c r="C178" s="393"/>
      <c r="D178" s="392"/>
      <c r="E178" s="392"/>
      <c r="F178" s="383" t="str">
        <f t="shared" si="1"/>
        <v/>
      </c>
      <c r="G178" s="384" t="str">
        <f>IFERROR(__xludf.DUMMYFUNCTION("IFERROR(AVERAGE(FILTER('حضور '!I:I,'حضور '!A:A=A178,MONTH('حضور '!B:B)=J178)),"""")"),"")</f>
        <v/>
      </c>
      <c r="H178" s="384">
        <f t="shared" si="2"/>
        <v>0</v>
      </c>
      <c r="I178" s="385">
        <f t="shared" si="3"/>
        <v>0</v>
      </c>
    </row>
    <row r="179" ht="22.5" customHeight="1">
      <c r="A179" s="391"/>
      <c r="B179" s="379"/>
      <c r="C179" s="393"/>
      <c r="D179" s="392"/>
      <c r="E179" s="392"/>
      <c r="F179" s="383" t="str">
        <f t="shared" si="1"/>
        <v/>
      </c>
      <c r="G179" s="384" t="str">
        <f>IFERROR(__xludf.DUMMYFUNCTION("IFERROR(AVERAGE(FILTER('حضور '!I:I,'حضور '!A:A=A179,MONTH('حضور '!B:B)=J179)),"""")"),"")</f>
        <v/>
      </c>
      <c r="H179" s="384">
        <f t="shared" si="2"/>
        <v>0</v>
      </c>
      <c r="I179" s="385">
        <f t="shared" si="3"/>
        <v>0</v>
      </c>
    </row>
    <row r="180" ht="22.5" customHeight="1">
      <c r="A180" s="391"/>
      <c r="B180" s="379"/>
      <c r="C180" s="393"/>
      <c r="D180" s="392"/>
      <c r="E180" s="392"/>
      <c r="F180" s="383" t="str">
        <f t="shared" si="1"/>
        <v/>
      </c>
      <c r="G180" s="384" t="str">
        <f>IFERROR(__xludf.DUMMYFUNCTION("IFERROR(AVERAGE(FILTER('حضور '!I:I,'حضور '!A:A=A180,MONTH('حضور '!B:B)=J180)),"""")"),"")</f>
        <v/>
      </c>
      <c r="H180" s="384">
        <f t="shared" si="2"/>
        <v>0</v>
      </c>
      <c r="I180" s="385">
        <f t="shared" si="3"/>
        <v>0</v>
      </c>
    </row>
    <row r="181" ht="22.5" customHeight="1">
      <c r="A181" s="391"/>
      <c r="B181" s="379"/>
      <c r="C181" s="393"/>
      <c r="D181" s="392"/>
      <c r="E181" s="392"/>
      <c r="F181" s="383" t="str">
        <f t="shared" si="1"/>
        <v/>
      </c>
      <c r="G181" s="384" t="str">
        <f>IFERROR(__xludf.DUMMYFUNCTION("IFERROR(AVERAGE(FILTER('حضور '!I:I,'حضور '!A:A=A181,MONTH('حضور '!B:B)=J181)),"""")"),"")</f>
        <v/>
      </c>
      <c r="H181" s="384">
        <f t="shared" si="2"/>
        <v>0</v>
      </c>
      <c r="I181" s="385">
        <f t="shared" si="3"/>
        <v>0</v>
      </c>
    </row>
    <row r="182" ht="22.5" customHeight="1">
      <c r="A182" s="391"/>
      <c r="B182" s="379"/>
      <c r="C182" s="393"/>
      <c r="D182" s="392"/>
      <c r="E182" s="392"/>
      <c r="F182" s="383" t="str">
        <f t="shared" si="1"/>
        <v/>
      </c>
      <c r="G182" s="384" t="str">
        <f>IFERROR(__xludf.DUMMYFUNCTION("IFERROR(AVERAGE(FILTER('حضور '!I:I,'حضور '!A:A=A182,MONTH('حضور '!B:B)=J182)),"""")"),"")</f>
        <v/>
      </c>
      <c r="H182" s="384">
        <f t="shared" si="2"/>
        <v>0</v>
      </c>
      <c r="I182" s="385">
        <f t="shared" si="3"/>
        <v>0</v>
      </c>
    </row>
    <row r="183" ht="22.5" customHeight="1">
      <c r="A183" s="391"/>
      <c r="B183" s="379"/>
      <c r="C183" s="393"/>
      <c r="D183" s="392"/>
      <c r="E183" s="392"/>
      <c r="F183" s="383" t="str">
        <f t="shared" si="1"/>
        <v/>
      </c>
      <c r="G183" s="384" t="str">
        <f>IFERROR(__xludf.DUMMYFUNCTION("IFERROR(AVERAGE(FILTER('حضور '!I:I,'حضور '!A:A=A183,MONTH('حضور '!B:B)=J183)),"""")"),"")</f>
        <v/>
      </c>
      <c r="H183" s="384">
        <f t="shared" si="2"/>
        <v>0</v>
      </c>
      <c r="I183" s="385">
        <f t="shared" si="3"/>
        <v>0</v>
      </c>
    </row>
    <row r="184" ht="22.5" customHeight="1">
      <c r="A184" s="391"/>
      <c r="B184" s="379"/>
      <c r="C184" s="393"/>
      <c r="D184" s="392"/>
      <c r="E184" s="392"/>
      <c r="F184" s="383" t="str">
        <f t="shared" si="1"/>
        <v/>
      </c>
      <c r="G184" s="384" t="str">
        <f>IFERROR(__xludf.DUMMYFUNCTION("IFERROR(AVERAGE(FILTER('حضور '!I:I,'حضور '!A:A=A184,MONTH('حضور '!B:B)=J184)),"""")"),"")</f>
        <v/>
      </c>
      <c r="H184" s="384">
        <f t="shared" si="2"/>
        <v>0</v>
      </c>
      <c r="I184" s="385">
        <f t="shared" si="3"/>
        <v>0</v>
      </c>
    </row>
    <row r="185" ht="22.5" customHeight="1">
      <c r="A185" s="391"/>
      <c r="B185" s="379"/>
      <c r="C185" s="393"/>
      <c r="D185" s="392"/>
      <c r="E185" s="392"/>
      <c r="F185" s="383" t="str">
        <f t="shared" si="1"/>
        <v/>
      </c>
      <c r="G185" s="384" t="str">
        <f>IFERROR(__xludf.DUMMYFUNCTION("IFERROR(AVERAGE(FILTER('حضور '!I:I,'حضور '!A:A=A185,MONTH('حضور '!B:B)=J185)),"""")"),"")</f>
        <v/>
      </c>
      <c r="H185" s="384">
        <f t="shared" si="2"/>
        <v>0</v>
      </c>
      <c r="I185" s="385">
        <f t="shared" si="3"/>
        <v>0</v>
      </c>
    </row>
    <row r="186" ht="22.5" customHeight="1">
      <c r="A186" s="391"/>
      <c r="B186" s="379"/>
      <c r="C186" s="393"/>
      <c r="D186" s="392"/>
      <c r="E186" s="392"/>
      <c r="F186" s="383" t="str">
        <f t="shared" si="1"/>
        <v/>
      </c>
      <c r="G186" s="384" t="str">
        <f>IFERROR(__xludf.DUMMYFUNCTION("IFERROR(AVERAGE(FILTER('حضور '!I:I,'حضور '!A:A=A186,MONTH('حضور '!B:B)=J186)),"""")"),"")</f>
        <v/>
      </c>
      <c r="H186" s="384">
        <f t="shared" si="2"/>
        <v>0</v>
      </c>
      <c r="I186" s="385">
        <f t="shared" si="3"/>
        <v>0</v>
      </c>
    </row>
    <row r="187" ht="22.5" customHeight="1">
      <c r="A187" s="391"/>
      <c r="B187" s="379"/>
      <c r="C187" s="393"/>
      <c r="D187" s="392"/>
      <c r="E187" s="392"/>
      <c r="F187" s="383" t="str">
        <f t="shared" si="1"/>
        <v/>
      </c>
      <c r="G187" s="384" t="str">
        <f>IFERROR(__xludf.DUMMYFUNCTION("IFERROR(AVERAGE(FILTER('حضور '!I:I,'حضور '!A:A=A187,MONTH('حضور '!B:B)=J187)),"""")"),"")</f>
        <v/>
      </c>
      <c r="H187" s="384">
        <f t="shared" si="2"/>
        <v>0</v>
      </c>
      <c r="I187" s="385">
        <f t="shared" si="3"/>
        <v>0</v>
      </c>
    </row>
    <row r="188" ht="22.5" customHeight="1">
      <c r="A188" s="391"/>
      <c r="B188" s="379"/>
      <c r="C188" s="393"/>
      <c r="D188" s="392"/>
      <c r="E188" s="392"/>
      <c r="F188" s="383" t="str">
        <f t="shared" si="1"/>
        <v/>
      </c>
      <c r="G188" s="384" t="str">
        <f>IFERROR(__xludf.DUMMYFUNCTION("IFERROR(AVERAGE(FILTER('حضور '!I:I,'حضور '!A:A=A188,MONTH('حضور '!B:B)=J188)),"""")"),"")</f>
        <v/>
      </c>
      <c r="H188" s="384">
        <f t="shared" si="2"/>
        <v>0</v>
      </c>
      <c r="I188" s="385">
        <f t="shared" si="3"/>
        <v>0</v>
      </c>
    </row>
    <row r="189" ht="22.5" customHeight="1">
      <c r="A189" s="391"/>
      <c r="B189" s="379"/>
      <c r="C189" s="393"/>
      <c r="D189" s="392"/>
      <c r="E189" s="392"/>
      <c r="F189" s="383" t="str">
        <f t="shared" si="1"/>
        <v/>
      </c>
      <c r="G189" s="384" t="str">
        <f>IFERROR(__xludf.DUMMYFUNCTION("IFERROR(AVERAGE(FILTER('حضور '!I:I,'حضور '!A:A=A189,MONTH('حضور '!B:B)=J189)),"""")"),"")</f>
        <v/>
      </c>
      <c r="H189" s="384">
        <f t="shared" si="2"/>
        <v>0</v>
      </c>
      <c r="I189" s="385">
        <f t="shared" si="3"/>
        <v>0</v>
      </c>
    </row>
    <row r="190" ht="22.5" customHeight="1">
      <c r="A190" s="391"/>
      <c r="B190" s="379"/>
      <c r="C190" s="393"/>
      <c r="D190" s="392"/>
      <c r="E190" s="392"/>
      <c r="F190" s="383" t="str">
        <f t="shared" si="1"/>
        <v/>
      </c>
      <c r="G190" s="384" t="str">
        <f>IFERROR(__xludf.DUMMYFUNCTION("IFERROR(AVERAGE(FILTER('حضور '!I:I,'حضور '!A:A=A190,MONTH('حضور '!B:B)=J190)),"""")"),"")</f>
        <v/>
      </c>
      <c r="H190" s="384">
        <f t="shared" si="2"/>
        <v>0</v>
      </c>
      <c r="I190" s="385">
        <f t="shared" si="3"/>
        <v>0</v>
      </c>
    </row>
    <row r="191" ht="22.5" customHeight="1">
      <c r="A191" s="391"/>
      <c r="B191" s="379"/>
      <c r="C191" s="393"/>
      <c r="D191" s="392"/>
      <c r="E191" s="392"/>
      <c r="F191" s="383" t="str">
        <f t="shared" si="1"/>
        <v/>
      </c>
      <c r="G191" s="384" t="str">
        <f>IFERROR(__xludf.DUMMYFUNCTION("IFERROR(AVERAGE(FILTER('حضور '!I:I,'حضور '!A:A=A191,MONTH('حضور '!B:B)=J191)),"""")"),"")</f>
        <v/>
      </c>
      <c r="H191" s="384">
        <f t="shared" si="2"/>
        <v>0</v>
      </c>
      <c r="I191" s="385">
        <f t="shared" si="3"/>
        <v>0</v>
      </c>
    </row>
    <row r="192" ht="22.5" customHeight="1">
      <c r="A192" s="391"/>
      <c r="B192" s="379"/>
      <c r="C192" s="393"/>
      <c r="D192" s="392"/>
      <c r="E192" s="392"/>
      <c r="F192" s="383" t="str">
        <f t="shared" si="1"/>
        <v/>
      </c>
      <c r="G192" s="384" t="str">
        <f>IFERROR(__xludf.DUMMYFUNCTION("IFERROR(AVERAGE(FILTER('حضور '!I:I,'حضور '!A:A=A192,MONTH('حضور '!B:B)=J192)),"""")"),"")</f>
        <v/>
      </c>
      <c r="H192" s="384">
        <f t="shared" si="2"/>
        <v>0</v>
      </c>
      <c r="I192" s="385">
        <f t="shared" si="3"/>
        <v>0</v>
      </c>
    </row>
    <row r="193" ht="22.5" customHeight="1">
      <c r="A193" s="391"/>
      <c r="B193" s="379"/>
      <c r="C193" s="393"/>
      <c r="D193" s="392"/>
      <c r="E193" s="392"/>
      <c r="F193" s="383" t="str">
        <f t="shared" si="1"/>
        <v/>
      </c>
      <c r="G193" s="384" t="str">
        <f>IFERROR(__xludf.DUMMYFUNCTION("IFERROR(AVERAGE(FILTER('حضور '!I:I,'حضور '!A:A=A193,MONTH('حضور '!B:B)=J193)),"""")"),"")</f>
        <v/>
      </c>
      <c r="H193" s="384">
        <f t="shared" si="2"/>
        <v>0</v>
      </c>
      <c r="I193" s="385">
        <f t="shared" si="3"/>
        <v>0</v>
      </c>
    </row>
    <row r="194" ht="22.5" customHeight="1">
      <c r="A194" s="391"/>
      <c r="B194" s="379"/>
      <c r="C194" s="393"/>
      <c r="D194" s="392"/>
      <c r="E194" s="392"/>
      <c r="F194" s="383" t="str">
        <f t="shared" si="1"/>
        <v/>
      </c>
      <c r="G194" s="384" t="str">
        <f>IFERROR(__xludf.DUMMYFUNCTION("IFERROR(AVERAGE(FILTER('حضور '!I:I,'حضور '!A:A=A194,MONTH('حضور '!B:B)=J194)),"""")"),"")</f>
        <v/>
      </c>
      <c r="H194" s="384">
        <f t="shared" si="2"/>
        <v>0</v>
      </c>
      <c r="I194" s="385">
        <f t="shared" si="3"/>
        <v>0</v>
      </c>
    </row>
    <row r="195" ht="22.5" customHeight="1">
      <c r="A195" s="391"/>
      <c r="B195" s="379"/>
      <c r="C195" s="393"/>
      <c r="D195" s="392"/>
      <c r="E195" s="392"/>
      <c r="F195" s="383" t="str">
        <f t="shared" si="1"/>
        <v/>
      </c>
      <c r="G195" s="384" t="str">
        <f>IFERROR(__xludf.DUMMYFUNCTION("IFERROR(AVERAGE(FILTER('حضور '!I:I,'حضور '!A:A=A195,MONTH('حضور '!B:B)=J195)),"""")"),"")</f>
        <v/>
      </c>
      <c r="H195" s="384">
        <f t="shared" si="2"/>
        <v>0</v>
      </c>
      <c r="I195" s="385">
        <f t="shared" si="3"/>
        <v>0</v>
      </c>
    </row>
    <row r="196" ht="22.5" customHeight="1">
      <c r="A196" s="391"/>
      <c r="B196" s="379"/>
      <c r="C196" s="393"/>
      <c r="D196" s="392"/>
      <c r="E196" s="392"/>
      <c r="F196" s="383" t="str">
        <f t="shared" si="1"/>
        <v/>
      </c>
      <c r="G196" s="384" t="str">
        <f>IFERROR(__xludf.DUMMYFUNCTION("IFERROR(AVERAGE(FILTER('حضور '!I:I,'حضور '!A:A=A196,MONTH('حضور '!B:B)=J196)),"""")"),"")</f>
        <v/>
      </c>
      <c r="H196" s="384">
        <f t="shared" si="2"/>
        <v>0</v>
      </c>
      <c r="I196" s="385">
        <f t="shared" si="3"/>
        <v>0</v>
      </c>
    </row>
    <row r="197" ht="22.5" customHeight="1">
      <c r="A197" s="391"/>
      <c r="B197" s="379"/>
      <c r="C197" s="393"/>
      <c r="D197" s="392"/>
      <c r="E197" s="392"/>
      <c r="F197" s="383" t="str">
        <f t="shared" si="1"/>
        <v/>
      </c>
      <c r="G197" s="384" t="str">
        <f>IFERROR(__xludf.DUMMYFUNCTION("IFERROR(AVERAGE(FILTER('حضور '!I:I,'حضور '!A:A=A197,MONTH('حضور '!B:B)=J197)),"""")"),"")</f>
        <v/>
      </c>
      <c r="H197" s="384">
        <f t="shared" si="2"/>
        <v>0</v>
      </c>
      <c r="I197" s="385">
        <f t="shared" si="3"/>
        <v>0</v>
      </c>
    </row>
    <row r="198" ht="22.5" customHeight="1">
      <c r="A198" s="391"/>
      <c r="B198" s="379"/>
      <c r="C198" s="393"/>
      <c r="D198" s="392"/>
      <c r="E198" s="392"/>
      <c r="F198" s="383" t="str">
        <f t="shared" si="1"/>
        <v/>
      </c>
      <c r="G198" s="384" t="str">
        <f>IFERROR(__xludf.DUMMYFUNCTION("IFERROR(AVERAGE(FILTER('حضور '!I:I,'حضور '!A:A=A198,MONTH('حضور '!B:B)=J198)),"""")"),"")</f>
        <v/>
      </c>
      <c r="H198" s="384">
        <f t="shared" si="2"/>
        <v>0</v>
      </c>
      <c r="I198" s="385">
        <f t="shared" si="3"/>
        <v>0</v>
      </c>
    </row>
    <row r="199" ht="22.5" customHeight="1">
      <c r="A199" s="391"/>
      <c r="B199" s="379"/>
      <c r="C199" s="393"/>
      <c r="D199" s="392"/>
      <c r="E199" s="392"/>
      <c r="F199" s="383" t="str">
        <f t="shared" si="1"/>
        <v/>
      </c>
      <c r="G199" s="384" t="str">
        <f>IFERROR(__xludf.DUMMYFUNCTION("IFERROR(AVERAGE(FILTER('حضور '!I:I,'حضور '!A:A=A199,MONTH('حضور '!B:B)=J199)),"""")"),"")</f>
        <v/>
      </c>
      <c r="H199" s="384">
        <f t="shared" si="2"/>
        <v>0</v>
      </c>
      <c r="I199" s="385">
        <f t="shared" si="3"/>
        <v>0</v>
      </c>
    </row>
    <row r="200" ht="22.5" customHeight="1">
      <c r="A200" s="391"/>
      <c r="B200" s="379"/>
      <c r="C200" s="393"/>
      <c r="D200" s="392"/>
      <c r="E200" s="392"/>
      <c r="F200" s="383" t="str">
        <f t="shared" si="1"/>
        <v/>
      </c>
      <c r="G200" s="384" t="str">
        <f>IFERROR(__xludf.DUMMYFUNCTION("IFERROR(AVERAGE(FILTER('حضور '!I:I,'حضور '!A:A=A200,MONTH('حضور '!B:B)=J200)),"""")"),"")</f>
        <v/>
      </c>
      <c r="H200" s="384">
        <f t="shared" si="2"/>
        <v>0</v>
      </c>
      <c r="I200" s="385">
        <f t="shared" si="3"/>
        <v>0</v>
      </c>
    </row>
    <row r="201" ht="22.5" customHeight="1">
      <c r="A201" s="391"/>
      <c r="B201" s="379"/>
      <c r="C201" s="393"/>
      <c r="D201" s="392"/>
      <c r="E201" s="392"/>
      <c r="F201" s="383" t="str">
        <f t="shared" si="1"/>
        <v/>
      </c>
      <c r="G201" s="384" t="str">
        <f>IFERROR(__xludf.DUMMYFUNCTION("IFERROR(AVERAGE(FILTER('حضور '!I:I,'حضور '!A:A=A201,MONTH('حضور '!B:B)=J201)),"""")"),"")</f>
        <v/>
      </c>
      <c r="H201" s="384">
        <f t="shared" si="2"/>
        <v>0</v>
      </c>
      <c r="I201" s="385">
        <f t="shared" si="3"/>
        <v>0</v>
      </c>
    </row>
    <row r="202" ht="22.5" customHeight="1">
      <c r="A202" s="391"/>
      <c r="B202" s="379"/>
      <c r="C202" s="393"/>
      <c r="D202" s="392"/>
      <c r="E202" s="392"/>
      <c r="F202" s="383" t="str">
        <f t="shared" si="1"/>
        <v/>
      </c>
      <c r="G202" s="384" t="str">
        <f>IFERROR(__xludf.DUMMYFUNCTION("IFERROR(AVERAGE(FILTER('حضور '!I:I,'حضور '!A:A=A202,MONTH('حضور '!B:B)=J202)),"""")"),"")</f>
        <v/>
      </c>
      <c r="H202" s="384">
        <f t="shared" si="2"/>
        <v>0</v>
      </c>
      <c r="I202" s="385">
        <f t="shared" si="3"/>
        <v>0</v>
      </c>
    </row>
    <row r="203" ht="22.5" customHeight="1">
      <c r="A203" s="391"/>
      <c r="B203" s="379"/>
      <c r="C203" s="393"/>
      <c r="D203" s="392"/>
      <c r="E203" s="392"/>
      <c r="F203" s="383" t="str">
        <f t="shared" si="1"/>
        <v/>
      </c>
      <c r="G203" s="384" t="str">
        <f>IFERROR(__xludf.DUMMYFUNCTION("IFERROR(AVERAGE(FILTER('حضور '!I:I,'حضور '!A:A=A203,MONTH('حضور '!B:B)=J203)),"""")"),"")</f>
        <v/>
      </c>
      <c r="H203" s="384">
        <f t="shared" si="2"/>
        <v>0</v>
      </c>
      <c r="I203" s="385">
        <f t="shared" si="3"/>
        <v>0</v>
      </c>
    </row>
    <row r="204" ht="22.5" customHeight="1">
      <c r="A204" s="391"/>
      <c r="B204" s="379"/>
      <c r="C204" s="393"/>
      <c r="D204" s="392"/>
      <c r="E204" s="392"/>
      <c r="F204" s="383" t="str">
        <f t="shared" si="1"/>
        <v/>
      </c>
      <c r="G204" s="384" t="str">
        <f>IFERROR(__xludf.DUMMYFUNCTION("IFERROR(AVERAGE(FILTER('حضور '!I:I,'حضور '!A:A=A204,MONTH('حضور '!B:B)=J204)),"""")"),"")</f>
        <v/>
      </c>
      <c r="H204" s="384">
        <f t="shared" si="2"/>
        <v>0</v>
      </c>
      <c r="I204" s="385">
        <f t="shared" si="3"/>
        <v>0</v>
      </c>
    </row>
    <row r="205" ht="22.5" customHeight="1">
      <c r="A205" s="391"/>
      <c r="B205" s="379"/>
      <c r="C205" s="393"/>
      <c r="D205" s="392"/>
      <c r="E205" s="392"/>
      <c r="F205" s="383" t="str">
        <f t="shared" si="1"/>
        <v/>
      </c>
      <c r="G205" s="384" t="str">
        <f>IFERROR(__xludf.DUMMYFUNCTION("IFERROR(AVERAGE(FILTER('حضور '!I:I,'حضور '!A:A=A205,MONTH('حضور '!B:B)=J205)),"""")"),"")</f>
        <v/>
      </c>
      <c r="H205" s="384">
        <f t="shared" si="2"/>
        <v>0</v>
      </c>
      <c r="I205" s="385">
        <f t="shared" si="3"/>
        <v>0</v>
      </c>
    </row>
    <row r="206" ht="22.5" customHeight="1">
      <c r="A206" s="391"/>
      <c r="B206" s="379"/>
      <c r="C206" s="393"/>
      <c r="D206" s="392"/>
      <c r="E206" s="392"/>
      <c r="F206" s="383" t="str">
        <f t="shared" si="1"/>
        <v/>
      </c>
      <c r="G206" s="384" t="str">
        <f>IFERROR(__xludf.DUMMYFUNCTION("IFERROR(AVERAGE(FILTER('حضور '!I:I,'حضور '!A:A=A206,MONTH('حضور '!B:B)=J206)),"""")"),"")</f>
        <v/>
      </c>
      <c r="H206" s="384">
        <f t="shared" si="2"/>
        <v>0</v>
      </c>
      <c r="I206" s="385">
        <f t="shared" si="3"/>
        <v>0</v>
      </c>
    </row>
    <row r="207" ht="22.5" customHeight="1">
      <c r="A207" s="391"/>
      <c r="B207" s="379"/>
      <c r="C207" s="393"/>
      <c r="D207" s="392"/>
      <c r="E207" s="392"/>
      <c r="F207" s="383" t="str">
        <f t="shared" si="1"/>
        <v/>
      </c>
      <c r="G207" s="384" t="str">
        <f>IFERROR(__xludf.DUMMYFUNCTION("IFERROR(AVERAGE(FILTER('حضور '!I:I,'حضور '!A:A=A207,MONTH('حضور '!B:B)=J207)),"""")"),"")</f>
        <v/>
      </c>
      <c r="H207" s="384">
        <f t="shared" si="2"/>
        <v>0</v>
      </c>
      <c r="I207" s="385">
        <f t="shared" si="3"/>
        <v>0</v>
      </c>
    </row>
    <row r="208" ht="22.5" customHeight="1">
      <c r="A208" s="391"/>
      <c r="B208" s="379"/>
      <c r="C208" s="393"/>
      <c r="D208" s="392"/>
      <c r="E208" s="392"/>
      <c r="F208" s="383" t="str">
        <f t="shared" si="1"/>
        <v/>
      </c>
      <c r="G208" s="384" t="str">
        <f>IFERROR(__xludf.DUMMYFUNCTION("IFERROR(AVERAGE(FILTER('حضور '!I:I,'حضور '!A:A=A208,MONTH('حضور '!B:B)=J208)),"""")"),"")</f>
        <v/>
      </c>
      <c r="H208" s="384">
        <f t="shared" si="2"/>
        <v>0</v>
      </c>
      <c r="I208" s="385">
        <f t="shared" si="3"/>
        <v>0</v>
      </c>
    </row>
    <row r="209" ht="22.5" customHeight="1">
      <c r="A209" s="391"/>
      <c r="B209" s="379"/>
      <c r="C209" s="393"/>
      <c r="D209" s="392"/>
      <c r="E209" s="392"/>
      <c r="F209" s="383" t="str">
        <f t="shared" si="1"/>
        <v/>
      </c>
      <c r="G209" s="384" t="str">
        <f>IFERROR(__xludf.DUMMYFUNCTION("IFERROR(AVERAGE(FILTER('حضور '!I:I,'حضور '!A:A=A209,MONTH('حضور '!B:B)=J209)),"""")"),"")</f>
        <v/>
      </c>
      <c r="H209" s="384">
        <f t="shared" si="2"/>
        <v>0</v>
      </c>
      <c r="I209" s="385">
        <f t="shared" si="3"/>
        <v>0</v>
      </c>
    </row>
    <row r="210" ht="22.5" customHeight="1">
      <c r="A210" s="391"/>
      <c r="B210" s="379"/>
      <c r="C210" s="393"/>
      <c r="D210" s="392"/>
      <c r="E210" s="392"/>
      <c r="F210" s="383" t="str">
        <f t="shared" si="1"/>
        <v/>
      </c>
      <c r="G210" s="384" t="str">
        <f>IFERROR(__xludf.DUMMYFUNCTION("IFERROR(AVERAGE(FILTER('حضور '!I:I,'حضور '!A:A=A210,MONTH('حضور '!B:B)=J210)),"""")"),"")</f>
        <v/>
      </c>
      <c r="H210" s="384">
        <f t="shared" si="2"/>
        <v>0</v>
      </c>
      <c r="I210" s="385">
        <f t="shared" si="3"/>
        <v>0</v>
      </c>
    </row>
    <row r="211" ht="22.5" customHeight="1">
      <c r="A211" s="391"/>
      <c r="B211" s="379"/>
      <c r="C211" s="393"/>
      <c r="D211" s="392"/>
      <c r="E211" s="392"/>
      <c r="F211" s="383" t="str">
        <f t="shared" si="1"/>
        <v/>
      </c>
      <c r="G211" s="384" t="str">
        <f>IFERROR(__xludf.DUMMYFUNCTION("IFERROR(AVERAGE(FILTER('حضور '!I:I,'حضور '!A:A=A211,MONTH('حضور '!B:B)=J211)),"""")"),"")</f>
        <v/>
      </c>
      <c r="H211" s="384">
        <f t="shared" si="2"/>
        <v>0</v>
      </c>
      <c r="I211" s="385">
        <f t="shared" si="3"/>
        <v>0</v>
      </c>
    </row>
    <row r="212" ht="22.5" customHeight="1">
      <c r="A212" s="391"/>
      <c r="B212" s="379"/>
      <c r="C212" s="393"/>
      <c r="D212" s="392"/>
      <c r="E212" s="392"/>
      <c r="F212" s="383" t="str">
        <f t="shared" si="1"/>
        <v/>
      </c>
      <c r="G212" s="384" t="str">
        <f>IFERROR(__xludf.DUMMYFUNCTION("IFERROR(AVERAGE(FILTER('حضور '!I:I,'حضور '!A:A=A212,MONTH('حضور '!B:B)=J212)),"""")"),"")</f>
        <v/>
      </c>
      <c r="H212" s="384">
        <f t="shared" si="2"/>
        <v>0</v>
      </c>
      <c r="I212" s="385">
        <f t="shared" si="3"/>
        <v>0</v>
      </c>
    </row>
    <row r="213" ht="22.5" customHeight="1">
      <c r="A213" s="391"/>
      <c r="B213" s="379"/>
      <c r="C213" s="393"/>
      <c r="D213" s="392"/>
      <c r="E213" s="392"/>
      <c r="F213" s="383" t="str">
        <f t="shared" si="1"/>
        <v/>
      </c>
      <c r="G213" s="384" t="str">
        <f>IFERROR(__xludf.DUMMYFUNCTION("IFERROR(AVERAGE(FILTER('حضور '!I:I,'حضور '!A:A=A213,MONTH('حضور '!B:B)=J213)),"""")"),"")</f>
        <v/>
      </c>
      <c r="H213" s="384">
        <f t="shared" si="2"/>
        <v>0</v>
      </c>
      <c r="I213" s="385">
        <f t="shared" si="3"/>
        <v>0</v>
      </c>
    </row>
    <row r="214" ht="22.5" customHeight="1">
      <c r="A214" s="391"/>
      <c r="B214" s="379"/>
      <c r="C214" s="393"/>
      <c r="D214" s="392"/>
      <c r="E214" s="392"/>
      <c r="F214" s="383" t="str">
        <f t="shared" si="1"/>
        <v/>
      </c>
      <c r="G214" s="384" t="str">
        <f>IFERROR(__xludf.DUMMYFUNCTION("IFERROR(AVERAGE(FILTER('حضور '!I:I,'حضور '!A:A=A214,MONTH('حضور '!B:B)=J214)),"""")"),"")</f>
        <v/>
      </c>
      <c r="H214" s="384">
        <f t="shared" si="2"/>
        <v>0</v>
      </c>
      <c r="I214" s="385">
        <f t="shared" si="3"/>
        <v>0</v>
      </c>
    </row>
    <row r="215" ht="22.5" customHeight="1">
      <c r="A215" s="391"/>
      <c r="B215" s="379"/>
      <c r="C215" s="393"/>
      <c r="D215" s="392"/>
      <c r="E215" s="392"/>
      <c r="F215" s="383" t="str">
        <f t="shared" si="1"/>
        <v/>
      </c>
      <c r="G215" s="384" t="str">
        <f>IFERROR(__xludf.DUMMYFUNCTION("IFERROR(AVERAGE(FILTER('حضور '!I:I,'حضور '!A:A=A215,MONTH('حضور '!B:B)=J215)),"""")"),"")</f>
        <v/>
      </c>
      <c r="H215" s="384">
        <f t="shared" si="2"/>
        <v>0</v>
      </c>
      <c r="I215" s="385">
        <f t="shared" si="3"/>
        <v>0</v>
      </c>
    </row>
    <row r="216" ht="22.5" customHeight="1">
      <c r="A216" s="391"/>
      <c r="B216" s="379"/>
      <c r="C216" s="393"/>
      <c r="D216" s="392"/>
      <c r="E216" s="392"/>
      <c r="F216" s="383" t="str">
        <f t="shared" si="1"/>
        <v/>
      </c>
      <c r="G216" s="384" t="str">
        <f>IFERROR(__xludf.DUMMYFUNCTION("IFERROR(AVERAGE(FILTER('حضور '!I:I,'حضور '!A:A=A216,MONTH('حضور '!B:B)=J216)),"""")"),"")</f>
        <v/>
      </c>
      <c r="H216" s="384">
        <f t="shared" si="2"/>
        <v>0</v>
      </c>
      <c r="I216" s="385">
        <f t="shared" si="3"/>
        <v>0</v>
      </c>
    </row>
    <row r="217" ht="22.5" customHeight="1">
      <c r="A217" s="391"/>
      <c r="B217" s="379"/>
      <c r="C217" s="393"/>
      <c r="D217" s="392"/>
      <c r="E217" s="392"/>
      <c r="F217" s="383" t="str">
        <f t="shared" si="1"/>
        <v/>
      </c>
      <c r="G217" s="384" t="str">
        <f>IFERROR(__xludf.DUMMYFUNCTION("IFERROR(AVERAGE(FILTER('حضور '!I:I,'حضور '!A:A=A217,MONTH('حضور '!B:B)=J217)),"""")"),"")</f>
        <v/>
      </c>
      <c r="H217" s="384">
        <f t="shared" si="2"/>
        <v>0</v>
      </c>
      <c r="I217" s="385">
        <f t="shared" si="3"/>
        <v>0</v>
      </c>
    </row>
    <row r="218" ht="22.5" customHeight="1">
      <c r="A218" s="391"/>
      <c r="B218" s="379"/>
      <c r="C218" s="393"/>
      <c r="D218" s="392"/>
      <c r="E218" s="392"/>
      <c r="F218" s="383" t="str">
        <f t="shared" si="1"/>
        <v/>
      </c>
      <c r="G218" s="384" t="str">
        <f>IFERROR(__xludf.DUMMYFUNCTION("IFERROR(AVERAGE(FILTER('حضور '!I:I,'حضور '!A:A=A218,MONTH('حضور '!B:B)=J218)),"""")"),"")</f>
        <v/>
      </c>
      <c r="H218" s="384">
        <f t="shared" si="2"/>
        <v>0</v>
      </c>
      <c r="I218" s="385">
        <f t="shared" si="3"/>
        <v>0</v>
      </c>
    </row>
    <row r="219" ht="22.5" customHeight="1">
      <c r="A219" s="391"/>
      <c r="B219" s="379"/>
      <c r="C219" s="393"/>
      <c r="D219" s="392"/>
      <c r="E219" s="392"/>
      <c r="F219" s="383" t="str">
        <f t="shared" si="1"/>
        <v/>
      </c>
      <c r="G219" s="384" t="str">
        <f>IFERROR(__xludf.DUMMYFUNCTION("IFERROR(AVERAGE(FILTER('حضور '!I:I,'حضور '!A:A=A219,MONTH('حضور '!B:B)=J219)),"""")"),"")</f>
        <v/>
      </c>
      <c r="H219" s="384">
        <f t="shared" si="2"/>
        <v>0</v>
      </c>
      <c r="I219" s="385">
        <f t="shared" si="3"/>
        <v>0</v>
      </c>
    </row>
    <row r="220" ht="22.5" customHeight="1">
      <c r="A220" s="391"/>
      <c r="B220" s="379"/>
      <c r="C220" s="393"/>
      <c r="D220" s="392"/>
      <c r="E220" s="392"/>
      <c r="F220" s="383" t="str">
        <f t="shared" si="1"/>
        <v/>
      </c>
      <c r="G220" s="384" t="str">
        <f>IFERROR(__xludf.DUMMYFUNCTION("IFERROR(AVERAGE(FILTER('حضور '!I:I,'حضور '!A:A=A220,MONTH('حضور '!B:B)=J220)),"""")"),"")</f>
        <v/>
      </c>
      <c r="H220" s="384">
        <f t="shared" si="2"/>
        <v>0</v>
      </c>
      <c r="I220" s="385">
        <f t="shared" si="3"/>
        <v>0</v>
      </c>
    </row>
    <row r="221" ht="22.5" customHeight="1">
      <c r="A221" s="391"/>
      <c r="B221" s="379"/>
      <c r="C221" s="393"/>
      <c r="D221" s="392"/>
      <c r="E221" s="392"/>
      <c r="F221" s="383" t="str">
        <f t="shared" si="1"/>
        <v/>
      </c>
      <c r="G221" s="384" t="str">
        <f>IFERROR(__xludf.DUMMYFUNCTION("IFERROR(AVERAGE(FILTER('حضور '!I:I,'حضور '!A:A=A221,MONTH('حضور '!B:B)=J221)),"""")"),"")</f>
        <v/>
      </c>
      <c r="H221" s="384">
        <f t="shared" si="2"/>
        <v>0</v>
      </c>
      <c r="I221" s="385">
        <f t="shared" si="3"/>
        <v>0</v>
      </c>
    </row>
    <row r="222" ht="22.5" customHeight="1">
      <c r="A222" s="391"/>
      <c r="B222" s="379"/>
      <c r="C222" s="393"/>
      <c r="D222" s="392"/>
      <c r="E222" s="392"/>
      <c r="F222" s="383" t="str">
        <f t="shared" si="1"/>
        <v/>
      </c>
      <c r="G222" s="384" t="str">
        <f>IFERROR(__xludf.DUMMYFUNCTION("IFERROR(AVERAGE(FILTER('حضور '!I:I,'حضور '!A:A=A222,MONTH('حضور '!B:B)=J222)),"""")"),"")</f>
        <v/>
      </c>
      <c r="H222" s="384">
        <f t="shared" si="2"/>
        <v>0</v>
      </c>
      <c r="I222" s="385">
        <f t="shared" si="3"/>
        <v>0</v>
      </c>
    </row>
    <row r="223" ht="22.5" customHeight="1">
      <c r="A223" s="391"/>
      <c r="B223" s="379"/>
      <c r="C223" s="393"/>
      <c r="D223" s="392"/>
      <c r="E223" s="392"/>
      <c r="F223" s="383" t="str">
        <f t="shared" si="1"/>
        <v/>
      </c>
      <c r="G223" s="384" t="str">
        <f>IFERROR(__xludf.DUMMYFUNCTION("IFERROR(AVERAGE(FILTER('حضور '!I:I,'حضور '!A:A=A223,MONTH('حضور '!B:B)=J223)),"""")"),"")</f>
        <v/>
      </c>
      <c r="H223" s="384">
        <f t="shared" si="2"/>
        <v>0</v>
      </c>
      <c r="I223" s="385">
        <f t="shared" si="3"/>
        <v>0</v>
      </c>
    </row>
    <row r="224" ht="22.5" customHeight="1">
      <c r="A224" s="391"/>
      <c r="B224" s="379"/>
      <c r="C224" s="393"/>
      <c r="D224" s="392"/>
      <c r="E224" s="392"/>
      <c r="F224" s="383" t="str">
        <f t="shared" si="1"/>
        <v/>
      </c>
      <c r="G224" s="384" t="str">
        <f>IFERROR(__xludf.DUMMYFUNCTION("IFERROR(AVERAGE(FILTER('حضور '!I:I,'حضور '!A:A=A224,MONTH('حضور '!B:B)=J224)),"""")"),"")</f>
        <v/>
      </c>
      <c r="H224" s="384">
        <f t="shared" si="2"/>
        <v>0</v>
      </c>
      <c r="I224" s="385">
        <f t="shared" si="3"/>
        <v>0</v>
      </c>
    </row>
    <row r="225" ht="22.5" customHeight="1">
      <c r="A225" s="391"/>
      <c r="B225" s="379"/>
      <c r="C225" s="393"/>
      <c r="D225" s="392"/>
      <c r="E225" s="392"/>
      <c r="F225" s="383" t="str">
        <f t="shared" si="1"/>
        <v/>
      </c>
      <c r="G225" s="384" t="str">
        <f>IFERROR(__xludf.DUMMYFUNCTION("IFERROR(AVERAGE(FILTER('حضور '!I:I,'حضور '!A:A=A225,MONTH('حضور '!B:B)=J225)),"""")"),"")</f>
        <v/>
      </c>
      <c r="H225" s="384">
        <f t="shared" si="2"/>
        <v>0</v>
      </c>
      <c r="I225" s="385">
        <f t="shared" si="3"/>
        <v>0</v>
      </c>
    </row>
    <row r="226" ht="22.5" customHeight="1">
      <c r="A226" s="391"/>
      <c r="B226" s="379"/>
      <c r="C226" s="393"/>
      <c r="D226" s="392"/>
      <c r="E226" s="392"/>
      <c r="F226" s="383" t="str">
        <f t="shared" si="1"/>
        <v/>
      </c>
      <c r="G226" s="384" t="str">
        <f>IFERROR(__xludf.DUMMYFUNCTION("IFERROR(AVERAGE(FILTER('حضور '!I:I,'حضور '!A:A=A226,MONTH('حضور '!B:B)=J226)),"""")"),"")</f>
        <v/>
      </c>
      <c r="H226" s="384">
        <f t="shared" si="2"/>
        <v>0</v>
      </c>
      <c r="I226" s="385">
        <f t="shared" si="3"/>
        <v>0</v>
      </c>
    </row>
    <row r="227" ht="22.5" customHeight="1">
      <c r="A227" s="391"/>
      <c r="B227" s="379"/>
      <c r="C227" s="393"/>
      <c r="D227" s="392"/>
      <c r="E227" s="392"/>
      <c r="F227" s="383" t="str">
        <f t="shared" si="1"/>
        <v/>
      </c>
      <c r="G227" s="384" t="str">
        <f>IFERROR(__xludf.DUMMYFUNCTION("IFERROR(AVERAGE(FILTER('حضور '!I:I,'حضور '!A:A=A227,MONTH('حضور '!B:B)=J227)),"""")"),"")</f>
        <v/>
      </c>
      <c r="H227" s="384">
        <f t="shared" si="2"/>
        <v>0</v>
      </c>
      <c r="I227" s="385">
        <f t="shared" si="3"/>
        <v>0</v>
      </c>
    </row>
    <row r="228" ht="22.5" customHeight="1">
      <c r="A228" s="391"/>
      <c r="B228" s="379"/>
      <c r="C228" s="393"/>
      <c r="D228" s="392"/>
      <c r="E228" s="392"/>
      <c r="F228" s="383" t="str">
        <f t="shared" si="1"/>
        <v/>
      </c>
      <c r="G228" s="384" t="str">
        <f>IFERROR(__xludf.DUMMYFUNCTION("IFERROR(AVERAGE(FILTER('حضور '!I:I,'حضور '!A:A=A228,MONTH('حضور '!B:B)=J228)),"""")"),"")</f>
        <v/>
      </c>
      <c r="H228" s="384">
        <f t="shared" si="2"/>
        <v>0</v>
      </c>
      <c r="I228" s="385">
        <f t="shared" si="3"/>
        <v>0</v>
      </c>
    </row>
    <row r="229" ht="22.5" customHeight="1">
      <c r="A229" s="391"/>
      <c r="B229" s="379"/>
      <c r="C229" s="393"/>
      <c r="D229" s="392"/>
      <c r="E229" s="392"/>
      <c r="F229" s="383" t="str">
        <f t="shared" si="1"/>
        <v/>
      </c>
      <c r="G229" s="384" t="str">
        <f>IFERROR(__xludf.DUMMYFUNCTION("IFERROR(AVERAGE(FILTER('حضور '!I:I,'حضور '!A:A=A229,MONTH('حضور '!B:B)=J229)),"""")"),"")</f>
        <v/>
      </c>
      <c r="H229" s="384">
        <f t="shared" si="2"/>
        <v>0</v>
      </c>
      <c r="I229" s="385">
        <f t="shared" si="3"/>
        <v>0</v>
      </c>
    </row>
    <row r="230" ht="22.5" customHeight="1">
      <c r="A230" s="391"/>
      <c r="B230" s="379"/>
      <c r="C230" s="393"/>
      <c r="D230" s="392"/>
      <c r="E230" s="392"/>
      <c r="F230" s="383" t="str">
        <f t="shared" si="1"/>
        <v/>
      </c>
      <c r="G230" s="384" t="str">
        <f>IFERROR(__xludf.DUMMYFUNCTION("IFERROR(AVERAGE(FILTER('حضور '!I:I,'حضور '!A:A=A230,MONTH('حضور '!B:B)=J230)),"""")"),"")</f>
        <v/>
      </c>
      <c r="H230" s="384">
        <f t="shared" si="2"/>
        <v>0</v>
      </c>
      <c r="I230" s="385">
        <f t="shared" si="3"/>
        <v>0</v>
      </c>
    </row>
    <row r="231" ht="22.5" customHeight="1">
      <c r="A231" s="391"/>
      <c r="B231" s="379"/>
      <c r="C231" s="393"/>
      <c r="D231" s="392"/>
      <c r="E231" s="392"/>
      <c r="F231" s="383" t="str">
        <f t="shared" si="1"/>
        <v/>
      </c>
      <c r="G231" s="384" t="str">
        <f>IFERROR(__xludf.DUMMYFUNCTION("IFERROR(AVERAGE(FILTER('حضور '!I:I,'حضور '!A:A=A231,MONTH('حضور '!B:B)=J231)),"""")"),"")</f>
        <v/>
      </c>
      <c r="H231" s="384">
        <f t="shared" si="2"/>
        <v>0</v>
      </c>
      <c r="I231" s="385">
        <f t="shared" si="3"/>
        <v>0</v>
      </c>
    </row>
    <row r="232" ht="22.5" customHeight="1">
      <c r="A232" s="391"/>
      <c r="B232" s="379"/>
      <c r="C232" s="393"/>
      <c r="D232" s="392"/>
      <c r="E232" s="392"/>
      <c r="F232" s="383" t="str">
        <f t="shared" si="1"/>
        <v/>
      </c>
      <c r="G232" s="384" t="str">
        <f>IFERROR(__xludf.DUMMYFUNCTION("IFERROR(AVERAGE(FILTER('حضور '!I:I,'حضور '!A:A=A232,MONTH('حضور '!B:B)=J232)),"""")"),"")</f>
        <v/>
      </c>
      <c r="H232" s="384">
        <f t="shared" si="2"/>
        <v>0</v>
      </c>
      <c r="I232" s="385">
        <f t="shared" si="3"/>
        <v>0</v>
      </c>
    </row>
    <row r="233" ht="22.5" customHeight="1">
      <c r="A233" s="391"/>
      <c r="B233" s="379"/>
      <c r="C233" s="393"/>
      <c r="D233" s="392"/>
      <c r="E233" s="392"/>
      <c r="F233" s="383" t="str">
        <f t="shared" si="1"/>
        <v/>
      </c>
      <c r="G233" s="384" t="str">
        <f>IFERROR(__xludf.DUMMYFUNCTION("IFERROR(AVERAGE(FILTER('حضور '!I:I,'حضور '!A:A=A233,MONTH('حضور '!B:B)=J233)),"""")"),"")</f>
        <v/>
      </c>
      <c r="H233" s="384">
        <f t="shared" si="2"/>
        <v>0</v>
      </c>
      <c r="I233" s="385">
        <f t="shared" si="3"/>
        <v>0</v>
      </c>
    </row>
    <row r="234" ht="22.5" customHeight="1">
      <c r="A234" s="391"/>
      <c r="B234" s="379"/>
      <c r="C234" s="393"/>
      <c r="D234" s="392"/>
      <c r="E234" s="392"/>
      <c r="F234" s="383" t="str">
        <f t="shared" si="1"/>
        <v/>
      </c>
      <c r="G234" s="384" t="str">
        <f>IFERROR(__xludf.DUMMYFUNCTION("IFERROR(AVERAGE(FILTER('حضور '!I:I,'حضور '!A:A=A234,MONTH('حضور '!B:B)=J234)),"""")"),"")</f>
        <v/>
      </c>
      <c r="H234" s="384">
        <f t="shared" si="2"/>
        <v>0</v>
      </c>
      <c r="I234" s="385">
        <f t="shared" si="3"/>
        <v>0</v>
      </c>
    </row>
    <row r="235" ht="22.5" customHeight="1">
      <c r="A235" s="391"/>
      <c r="B235" s="379"/>
      <c r="C235" s="393"/>
      <c r="D235" s="392"/>
      <c r="E235" s="392"/>
      <c r="F235" s="383" t="str">
        <f t="shared" si="1"/>
        <v/>
      </c>
      <c r="G235" s="384" t="str">
        <f>IFERROR(__xludf.DUMMYFUNCTION("IFERROR(AVERAGE(FILTER('حضور '!I:I,'حضور '!A:A=A235,MONTH('حضور '!B:B)=J235)),"""")"),"")</f>
        <v/>
      </c>
      <c r="H235" s="384">
        <f t="shared" si="2"/>
        <v>0</v>
      </c>
      <c r="I235" s="385">
        <f t="shared" si="3"/>
        <v>0</v>
      </c>
    </row>
    <row r="236" ht="22.5" customHeight="1">
      <c r="A236" s="391"/>
      <c r="B236" s="379"/>
      <c r="C236" s="393"/>
      <c r="D236" s="392"/>
      <c r="E236" s="392"/>
      <c r="F236" s="383" t="str">
        <f t="shared" si="1"/>
        <v/>
      </c>
      <c r="G236" s="384" t="str">
        <f>IFERROR(__xludf.DUMMYFUNCTION("IFERROR(AVERAGE(FILTER('حضور '!I:I,'حضور '!A:A=A236,MONTH('حضور '!B:B)=J236)),"""")"),"")</f>
        <v/>
      </c>
      <c r="H236" s="384">
        <f t="shared" si="2"/>
        <v>0</v>
      </c>
      <c r="I236" s="385">
        <f t="shared" si="3"/>
        <v>0</v>
      </c>
    </row>
    <row r="237" ht="22.5" customHeight="1">
      <c r="A237" s="391"/>
      <c r="B237" s="379"/>
      <c r="C237" s="393"/>
      <c r="D237" s="392"/>
      <c r="E237" s="392"/>
      <c r="F237" s="383" t="str">
        <f t="shared" si="1"/>
        <v/>
      </c>
      <c r="G237" s="384" t="str">
        <f>IFERROR(__xludf.DUMMYFUNCTION("IFERROR(AVERAGE(FILTER('حضور '!I:I,'حضور '!A:A=A237,MONTH('حضور '!B:B)=J237)),"""")"),"")</f>
        <v/>
      </c>
      <c r="H237" s="384">
        <f t="shared" si="2"/>
        <v>0</v>
      </c>
      <c r="I237" s="385">
        <f t="shared" si="3"/>
        <v>0</v>
      </c>
    </row>
    <row r="238" ht="22.5" customHeight="1">
      <c r="A238" s="391"/>
      <c r="B238" s="379"/>
      <c r="C238" s="393"/>
      <c r="D238" s="392"/>
      <c r="E238" s="392"/>
      <c r="F238" s="383" t="str">
        <f t="shared" si="1"/>
        <v/>
      </c>
      <c r="G238" s="384" t="str">
        <f>IFERROR(__xludf.DUMMYFUNCTION("IFERROR(AVERAGE(FILTER('حضور '!I:I,'حضور '!A:A=A238,MONTH('حضور '!B:B)=J238)),"""")"),"")</f>
        <v/>
      </c>
      <c r="H238" s="384">
        <f t="shared" si="2"/>
        <v>0</v>
      </c>
      <c r="I238" s="385">
        <f t="shared" si="3"/>
        <v>0</v>
      </c>
    </row>
    <row r="239" ht="22.5" customHeight="1">
      <c r="A239" s="391"/>
      <c r="B239" s="379"/>
      <c r="C239" s="393"/>
      <c r="D239" s="392"/>
      <c r="E239" s="392"/>
      <c r="F239" s="383" t="str">
        <f t="shared" si="1"/>
        <v/>
      </c>
      <c r="G239" s="384" t="str">
        <f>IFERROR(__xludf.DUMMYFUNCTION("IFERROR(AVERAGE(FILTER('حضور '!I:I,'حضور '!A:A=A239,MONTH('حضور '!B:B)=J239)),"""")"),"")</f>
        <v/>
      </c>
      <c r="H239" s="384">
        <f t="shared" si="2"/>
        <v>0</v>
      </c>
      <c r="I239" s="385">
        <f t="shared" si="3"/>
        <v>0</v>
      </c>
    </row>
    <row r="240" ht="22.5" customHeight="1">
      <c r="A240" s="391"/>
      <c r="B240" s="379"/>
      <c r="C240" s="393"/>
      <c r="D240" s="392"/>
      <c r="E240" s="392"/>
      <c r="F240" s="383" t="str">
        <f t="shared" si="1"/>
        <v/>
      </c>
      <c r="G240" s="384" t="str">
        <f>IFERROR(__xludf.DUMMYFUNCTION("IFERROR(AVERAGE(FILTER('حضور '!I:I,'حضور '!A:A=A240,MONTH('حضور '!B:B)=J240)),"""")"),"")</f>
        <v/>
      </c>
      <c r="H240" s="384">
        <f t="shared" si="2"/>
        <v>0</v>
      </c>
      <c r="I240" s="385">
        <f t="shared" si="3"/>
        <v>0</v>
      </c>
    </row>
    <row r="241" ht="22.5" customHeight="1">
      <c r="A241" s="391"/>
      <c r="B241" s="379"/>
      <c r="C241" s="393"/>
      <c r="D241" s="392"/>
      <c r="E241" s="392"/>
      <c r="F241" s="383" t="str">
        <f t="shared" si="1"/>
        <v/>
      </c>
      <c r="G241" s="384" t="str">
        <f>IFERROR(__xludf.DUMMYFUNCTION("IFERROR(AVERAGE(FILTER('حضور '!I:I,'حضور '!A:A=A241,MONTH('حضور '!B:B)=J241)),"""")"),"")</f>
        <v/>
      </c>
      <c r="H241" s="384">
        <f t="shared" si="2"/>
        <v>0</v>
      </c>
      <c r="I241" s="385">
        <f t="shared" si="3"/>
        <v>0</v>
      </c>
    </row>
    <row r="242" ht="22.5" customHeight="1">
      <c r="A242" s="391"/>
      <c r="B242" s="379"/>
      <c r="C242" s="393"/>
      <c r="D242" s="392"/>
      <c r="E242" s="392"/>
      <c r="F242" s="383" t="str">
        <f t="shared" si="1"/>
        <v/>
      </c>
      <c r="G242" s="384" t="str">
        <f>IFERROR(__xludf.DUMMYFUNCTION("IFERROR(AVERAGE(FILTER('حضور '!I:I,'حضور '!A:A=A242,MONTH('حضور '!B:B)=J242)),"""")"),"")</f>
        <v/>
      </c>
      <c r="H242" s="384">
        <f t="shared" si="2"/>
        <v>0</v>
      </c>
      <c r="I242" s="385">
        <f t="shared" si="3"/>
        <v>0</v>
      </c>
    </row>
    <row r="243" ht="22.5" customHeight="1">
      <c r="A243" s="391"/>
      <c r="B243" s="379"/>
      <c r="C243" s="393"/>
      <c r="D243" s="392"/>
      <c r="E243" s="392"/>
      <c r="F243" s="383" t="str">
        <f t="shared" si="1"/>
        <v/>
      </c>
      <c r="G243" s="384" t="str">
        <f>IFERROR(__xludf.DUMMYFUNCTION("IFERROR(AVERAGE(FILTER('حضور '!I:I,'حضور '!A:A=A243,MONTH('حضور '!B:B)=J243)),"""")"),"")</f>
        <v/>
      </c>
      <c r="H243" s="384">
        <f t="shared" si="2"/>
        <v>0</v>
      </c>
      <c r="I243" s="385">
        <f t="shared" si="3"/>
        <v>0</v>
      </c>
    </row>
    <row r="244" ht="22.5" customHeight="1">
      <c r="A244" s="391"/>
      <c r="B244" s="379"/>
      <c r="C244" s="393"/>
      <c r="D244" s="392"/>
      <c r="E244" s="392"/>
      <c r="F244" s="383" t="str">
        <f t="shared" si="1"/>
        <v/>
      </c>
      <c r="G244" s="384" t="str">
        <f>IFERROR(__xludf.DUMMYFUNCTION("IFERROR(AVERAGE(FILTER('حضور '!I:I,'حضور '!A:A=A244,MONTH('حضور '!B:B)=J244)),"""")"),"")</f>
        <v/>
      </c>
      <c r="H244" s="384">
        <f t="shared" si="2"/>
        <v>0</v>
      </c>
      <c r="I244" s="385">
        <f t="shared" si="3"/>
        <v>0</v>
      </c>
    </row>
    <row r="245" ht="22.5" customHeight="1">
      <c r="A245" s="391"/>
      <c r="B245" s="379"/>
      <c r="C245" s="393"/>
      <c r="D245" s="392"/>
      <c r="E245" s="392"/>
      <c r="F245" s="383" t="str">
        <f t="shared" si="1"/>
        <v/>
      </c>
      <c r="G245" s="384" t="str">
        <f>IFERROR(__xludf.DUMMYFUNCTION("IFERROR(AVERAGE(FILTER('حضور '!I:I,'حضور '!A:A=A245,MONTH('حضور '!B:B)=J245)),"""")"),"")</f>
        <v/>
      </c>
      <c r="H245" s="384">
        <f t="shared" si="2"/>
        <v>0</v>
      </c>
      <c r="I245" s="385">
        <f t="shared" si="3"/>
        <v>0</v>
      </c>
    </row>
    <row r="246" ht="22.5" customHeight="1">
      <c r="A246" s="391"/>
      <c r="B246" s="379"/>
      <c r="C246" s="393"/>
      <c r="D246" s="392"/>
      <c r="E246" s="392"/>
      <c r="F246" s="383" t="str">
        <f t="shared" si="1"/>
        <v/>
      </c>
      <c r="G246" s="384" t="str">
        <f>IFERROR(__xludf.DUMMYFUNCTION("IFERROR(AVERAGE(FILTER('حضور '!I:I,'حضور '!A:A=A246,MONTH('حضور '!B:B)=J246)),"""")"),"")</f>
        <v/>
      </c>
      <c r="H246" s="384">
        <f t="shared" si="2"/>
        <v>0</v>
      </c>
      <c r="I246" s="385">
        <f t="shared" si="3"/>
        <v>0</v>
      </c>
    </row>
    <row r="247" ht="22.5" customHeight="1">
      <c r="A247" s="391"/>
      <c r="B247" s="379"/>
      <c r="C247" s="393"/>
      <c r="D247" s="392"/>
      <c r="E247" s="392"/>
      <c r="F247" s="383" t="str">
        <f t="shared" si="1"/>
        <v/>
      </c>
      <c r="G247" s="384" t="str">
        <f>IFERROR(__xludf.DUMMYFUNCTION("IFERROR(AVERAGE(FILTER('حضور '!I:I,'حضور '!A:A=A247,MONTH('حضور '!B:B)=J247)),"""")"),"")</f>
        <v/>
      </c>
      <c r="H247" s="384">
        <f t="shared" si="2"/>
        <v>0</v>
      </c>
      <c r="I247" s="385">
        <f t="shared" si="3"/>
        <v>0</v>
      </c>
    </row>
    <row r="248" ht="22.5" customHeight="1">
      <c r="A248" s="391"/>
      <c r="B248" s="379"/>
      <c r="C248" s="393"/>
      <c r="D248" s="392"/>
      <c r="E248" s="392"/>
      <c r="F248" s="383" t="str">
        <f t="shared" si="1"/>
        <v/>
      </c>
      <c r="G248" s="384" t="str">
        <f>IFERROR(__xludf.DUMMYFUNCTION("IFERROR(AVERAGE(FILTER('حضور '!I:I,'حضور '!A:A=A248,MONTH('حضور '!B:B)=J248)),"""")"),"")</f>
        <v/>
      </c>
      <c r="H248" s="384">
        <f t="shared" si="2"/>
        <v>0</v>
      </c>
      <c r="I248" s="385">
        <f t="shared" si="3"/>
        <v>0</v>
      </c>
    </row>
    <row r="249" ht="22.5" customHeight="1">
      <c r="A249" s="391"/>
      <c r="B249" s="379"/>
      <c r="C249" s="393"/>
      <c r="D249" s="392"/>
      <c r="E249" s="392"/>
      <c r="F249" s="383" t="str">
        <f t="shared" si="1"/>
        <v/>
      </c>
      <c r="G249" s="384" t="str">
        <f>IFERROR(__xludf.DUMMYFUNCTION("IFERROR(AVERAGE(FILTER('حضور '!I:I,'حضور '!A:A=A249,MONTH('حضور '!B:B)=J249)),"""")"),"")</f>
        <v/>
      </c>
      <c r="H249" s="384">
        <f t="shared" si="2"/>
        <v>0</v>
      </c>
      <c r="I249" s="385">
        <f t="shared" si="3"/>
        <v>0</v>
      </c>
    </row>
    <row r="250" ht="22.5" customHeight="1">
      <c r="A250" s="391"/>
      <c r="B250" s="379"/>
      <c r="C250" s="393"/>
      <c r="D250" s="392"/>
      <c r="E250" s="392"/>
      <c r="F250" s="383" t="str">
        <f t="shared" si="1"/>
        <v/>
      </c>
      <c r="G250" s="384" t="str">
        <f>IFERROR(__xludf.DUMMYFUNCTION("IFERROR(AVERAGE(FILTER('حضور '!I:I,'حضور '!A:A=A250,MONTH('حضور '!B:B)=J250)),"""")"),"")</f>
        <v/>
      </c>
      <c r="H250" s="384">
        <f t="shared" si="2"/>
        <v>0</v>
      </c>
      <c r="I250" s="385">
        <f t="shared" si="3"/>
        <v>0</v>
      </c>
    </row>
    <row r="251" ht="22.5" customHeight="1">
      <c r="A251" s="391"/>
      <c r="B251" s="379"/>
      <c r="C251" s="393"/>
      <c r="D251" s="392"/>
      <c r="E251" s="392"/>
      <c r="F251" s="383" t="str">
        <f t="shared" si="1"/>
        <v/>
      </c>
      <c r="G251" s="384" t="str">
        <f>IFERROR(__xludf.DUMMYFUNCTION("IFERROR(AVERAGE(FILTER('حضور '!I:I,'حضور '!A:A=A251,MONTH('حضور '!B:B)=J251)),"""")"),"")</f>
        <v/>
      </c>
      <c r="H251" s="384">
        <f t="shared" si="2"/>
        <v>0</v>
      </c>
      <c r="I251" s="385">
        <f t="shared" si="3"/>
        <v>0</v>
      </c>
    </row>
    <row r="252" ht="22.5" customHeight="1">
      <c r="A252" s="391"/>
      <c r="B252" s="379"/>
      <c r="C252" s="393"/>
      <c r="D252" s="392"/>
      <c r="E252" s="392"/>
      <c r="F252" s="383" t="str">
        <f t="shared" si="1"/>
        <v/>
      </c>
      <c r="G252" s="384" t="str">
        <f>IFERROR(__xludf.DUMMYFUNCTION("IFERROR(AVERAGE(FILTER('حضور '!I:I,'حضور '!A:A=A252,MONTH('حضور '!B:B)=J252)),"""")"),"")</f>
        <v/>
      </c>
      <c r="H252" s="384">
        <f t="shared" si="2"/>
        <v>0</v>
      </c>
      <c r="I252" s="385">
        <f t="shared" si="3"/>
        <v>0</v>
      </c>
    </row>
    <row r="253" ht="22.5" customHeight="1">
      <c r="A253" s="391"/>
      <c r="B253" s="379"/>
      <c r="C253" s="393"/>
      <c r="D253" s="392"/>
      <c r="E253" s="392"/>
      <c r="F253" s="383" t="str">
        <f t="shared" si="1"/>
        <v/>
      </c>
      <c r="G253" s="384" t="str">
        <f>IFERROR(__xludf.DUMMYFUNCTION("IFERROR(AVERAGE(FILTER('حضور '!I:I,'حضور '!A:A=A253,MONTH('حضور '!B:B)=J253)),"""")"),"")</f>
        <v/>
      </c>
      <c r="H253" s="384">
        <f t="shared" si="2"/>
        <v>0</v>
      </c>
      <c r="I253" s="385">
        <f t="shared" si="3"/>
        <v>0</v>
      </c>
    </row>
    <row r="254" ht="22.5" customHeight="1">
      <c r="A254" s="391"/>
      <c r="B254" s="379"/>
      <c r="C254" s="393"/>
      <c r="D254" s="392"/>
      <c r="E254" s="392"/>
      <c r="F254" s="383" t="str">
        <f t="shared" si="1"/>
        <v/>
      </c>
      <c r="G254" s="384" t="str">
        <f>IFERROR(__xludf.DUMMYFUNCTION("IFERROR(AVERAGE(FILTER('حضور '!I:I,'حضور '!A:A=A254,MONTH('حضور '!B:B)=J254)),"""")"),"")</f>
        <v/>
      </c>
      <c r="H254" s="384">
        <f t="shared" si="2"/>
        <v>0</v>
      </c>
      <c r="I254" s="385">
        <f t="shared" si="3"/>
        <v>0</v>
      </c>
    </row>
    <row r="255" ht="22.5" customHeight="1">
      <c r="A255" s="391"/>
      <c r="B255" s="379"/>
      <c r="C255" s="393"/>
      <c r="D255" s="392"/>
      <c r="E255" s="392"/>
      <c r="F255" s="383" t="str">
        <f t="shared" si="1"/>
        <v/>
      </c>
      <c r="G255" s="384" t="str">
        <f>IFERROR(__xludf.DUMMYFUNCTION("IFERROR(AVERAGE(FILTER('حضور '!I:I,'حضور '!A:A=A255,MONTH('حضور '!B:B)=J255)),"""")"),"")</f>
        <v/>
      </c>
      <c r="H255" s="384">
        <f t="shared" si="2"/>
        <v>0</v>
      </c>
      <c r="I255" s="385">
        <f t="shared" si="3"/>
        <v>0</v>
      </c>
    </row>
    <row r="256" ht="22.5" customHeight="1">
      <c r="A256" s="391"/>
      <c r="B256" s="379"/>
      <c r="C256" s="393"/>
      <c r="D256" s="392"/>
      <c r="E256" s="392"/>
      <c r="F256" s="383" t="str">
        <f t="shared" si="1"/>
        <v/>
      </c>
      <c r="G256" s="384" t="str">
        <f>IFERROR(__xludf.DUMMYFUNCTION("IFERROR(AVERAGE(FILTER('حضور '!I:I,'حضور '!A:A=A256,MONTH('حضور '!B:B)=J256)),"""")"),"")</f>
        <v/>
      </c>
      <c r="H256" s="384">
        <f t="shared" si="2"/>
        <v>0</v>
      </c>
      <c r="I256" s="385">
        <f t="shared" si="3"/>
        <v>0</v>
      </c>
    </row>
    <row r="257" ht="22.5" customHeight="1">
      <c r="A257" s="391"/>
      <c r="B257" s="379"/>
      <c r="C257" s="393"/>
      <c r="D257" s="392"/>
      <c r="E257" s="392"/>
      <c r="F257" s="383" t="str">
        <f t="shared" si="1"/>
        <v/>
      </c>
      <c r="G257" s="384" t="str">
        <f>IFERROR(__xludf.DUMMYFUNCTION("IFERROR(AVERAGE(FILTER('حضور '!I:I,'حضور '!A:A=A257,MONTH('حضور '!B:B)=J257)),"""")"),"")</f>
        <v/>
      </c>
      <c r="H257" s="384">
        <f t="shared" si="2"/>
        <v>0</v>
      </c>
      <c r="I257" s="385">
        <f t="shared" si="3"/>
        <v>0</v>
      </c>
    </row>
    <row r="258" ht="22.5" customHeight="1">
      <c r="A258" s="391"/>
      <c r="B258" s="379"/>
      <c r="C258" s="393"/>
      <c r="D258" s="392"/>
      <c r="E258" s="392"/>
      <c r="F258" s="383" t="str">
        <f t="shared" si="1"/>
        <v/>
      </c>
      <c r="G258" s="384" t="str">
        <f>IFERROR(__xludf.DUMMYFUNCTION("IFERROR(AVERAGE(FILTER('حضور '!I:I,'حضور '!A:A=A258,MONTH('حضور '!B:B)=J258)),"""")"),"")</f>
        <v/>
      </c>
      <c r="H258" s="384">
        <f t="shared" si="2"/>
        <v>0</v>
      </c>
      <c r="I258" s="385">
        <f t="shared" si="3"/>
        <v>0</v>
      </c>
    </row>
    <row r="259" ht="22.5" customHeight="1">
      <c r="A259" s="391"/>
      <c r="B259" s="379"/>
      <c r="C259" s="393"/>
      <c r="D259" s="392"/>
      <c r="E259" s="392"/>
      <c r="F259" s="383" t="str">
        <f t="shared" si="1"/>
        <v/>
      </c>
      <c r="G259" s="384" t="str">
        <f>IFERROR(__xludf.DUMMYFUNCTION("IFERROR(AVERAGE(FILTER('حضور '!I:I,'حضور '!A:A=A259,MONTH('حضور '!B:B)=J259)),"""")"),"")</f>
        <v/>
      </c>
      <c r="H259" s="384">
        <f t="shared" si="2"/>
        <v>0</v>
      </c>
      <c r="I259" s="385">
        <f t="shared" si="3"/>
        <v>0</v>
      </c>
    </row>
    <row r="260" ht="22.5" customHeight="1">
      <c r="A260" s="391"/>
      <c r="B260" s="379"/>
      <c r="C260" s="393"/>
      <c r="D260" s="392"/>
      <c r="E260" s="392"/>
      <c r="F260" s="383" t="str">
        <f t="shared" si="1"/>
        <v/>
      </c>
      <c r="G260" s="384" t="str">
        <f>IFERROR(__xludf.DUMMYFUNCTION("IFERROR(AVERAGE(FILTER('حضور '!I:I,'حضور '!A:A=A260,MONTH('حضور '!B:B)=J260)),"""")"),"")</f>
        <v/>
      </c>
      <c r="H260" s="384">
        <f t="shared" si="2"/>
        <v>0</v>
      </c>
      <c r="I260" s="385">
        <f t="shared" si="3"/>
        <v>0</v>
      </c>
    </row>
    <row r="261" ht="22.5" customHeight="1">
      <c r="A261" s="391"/>
      <c r="B261" s="379"/>
      <c r="C261" s="393"/>
      <c r="D261" s="392"/>
      <c r="E261" s="392"/>
      <c r="F261" s="383" t="str">
        <f t="shared" si="1"/>
        <v/>
      </c>
      <c r="G261" s="384" t="str">
        <f>IFERROR(__xludf.DUMMYFUNCTION("IFERROR(AVERAGE(FILTER('حضور '!I:I,'حضور '!A:A=A261,MONTH('حضور '!B:B)=J261)),"""")"),"")</f>
        <v/>
      </c>
      <c r="H261" s="384">
        <f t="shared" si="2"/>
        <v>0</v>
      </c>
      <c r="I261" s="385">
        <f t="shared" si="3"/>
        <v>0</v>
      </c>
    </row>
    <row r="262" ht="22.5" customHeight="1">
      <c r="A262" s="391"/>
      <c r="B262" s="379"/>
      <c r="C262" s="393"/>
      <c r="D262" s="392"/>
      <c r="E262" s="392"/>
      <c r="F262" s="383" t="str">
        <f t="shared" si="1"/>
        <v/>
      </c>
      <c r="G262" s="384" t="str">
        <f>IFERROR(__xludf.DUMMYFUNCTION("IFERROR(AVERAGE(FILTER('حضور '!I:I,'حضور '!A:A=A262,MONTH('حضور '!B:B)=J262)),"""")"),"")</f>
        <v/>
      </c>
      <c r="H262" s="384">
        <f t="shared" si="2"/>
        <v>0</v>
      </c>
      <c r="I262" s="385">
        <f t="shared" si="3"/>
        <v>0</v>
      </c>
    </row>
    <row r="263" ht="22.5" customHeight="1">
      <c r="A263" s="391"/>
      <c r="B263" s="379"/>
      <c r="C263" s="393"/>
      <c r="D263" s="392"/>
      <c r="E263" s="392"/>
      <c r="F263" s="383" t="str">
        <f t="shared" si="1"/>
        <v/>
      </c>
      <c r="G263" s="384" t="str">
        <f>IFERROR(__xludf.DUMMYFUNCTION("IFERROR(AVERAGE(FILTER('حضور '!I:I,'حضور '!A:A=A263,MONTH('حضور '!B:B)=J263)),"""")"),"")</f>
        <v/>
      </c>
      <c r="H263" s="384">
        <f t="shared" si="2"/>
        <v>0</v>
      </c>
      <c r="I263" s="385">
        <f t="shared" si="3"/>
        <v>0</v>
      </c>
    </row>
    <row r="264" ht="22.5" customHeight="1">
      <c r="A264" s="391"/>
      <c r="B264" s="379"/>
      <c r="C264" s="393"/>
      <c r="D264" s="392"/>
      <c r="E264" s="392"/>
      <c r="F264" s="383" t="str">
        <f t="shared" si="1"/>
        <v/>
      </c>
      <c r="G264" s="384" t="str">
        <f>IFERROR(__xludf.DUMMYFUNCTION("IFERROR(AVERAGE(FILTER('حضور '!I:I,'حضور '!A:A=A264,MONTH('حضور '!B:B)=J264)),"""")"),"")</f>
        <v/>
      </c>
      <c r="H264" s="384">
        <f t="shared" si="2"/>
        <v>0</v>
      </c>
      <c r="I264" s="385">
        <f t="shared" si="3"/>
        <v>0</v>
      </c>
    </row>
    <row r="265" ht="22.5" customHeight="1">
      <c r="A265" s="391"/>
      <c r="B265" s="379"/>
      <c r="C265" s="393"/>
      <c r="D265" s="392"/>
      <c r="E265" s="392"/>
      <c r="F265" s="383" t="str">
        <f t="shared" si="1"/>
        <v/>
      </c>
      <c r="G265" s="384" t="str">
        <f>IFERROR(__xludf.DUMMYFUNCTION("IFERROR(AVERAGE(FILTER('حضور '!I:I,'حضور '!A:A=A265,MONTH('حضور '!B:B)=J265)),"""")"),"")</f>
        <v/>
      </c>
      <c r="H265" s="384">
        <f t="shared" si="2"/>
        <v>0</v>
      </c>
      <c r="I265" s="385">
        <f t="shared" si="3"/>
        <v>0</v>
      </c>
    </row>
    <row r="266" ht="22.5" customHeight="1">
      <c r="A266" s="391"/>
      <c r="B266" s="379"/>
      <c r="C266" s="393"/>
      <c r="D266" s="392"/>
      <c r="E266" s="392"/>
      <c r="F266" s="383" t="str">
        <f t="shared" si="1"/>
        <v/>
      </c>
      <c r="G266" s="384" t="str">
        <f>IFERROR(__xludf.DUMMYFUNCTION("IFERROR(AVERAGE(FILTER('حضور '!I:I,'حضور '!A:A=A266,MONTH('حضور '!B:B)=J266)),"""")"),"")</f>
        <v/>
      </c>
      <c r="H266" s="384">
        <f t="shared" si="2"/>
        <v>0</v>
      </c>
      <c r="I266" s="385">
        <f t="shared" si="3"/>
        <v>0</v>
      </c>
    </row>
    <row r="267" ht="22.5" customHeight="1">
      <c r="A267" s="391"/>
      <c r="B267" s="379"/>
      <c r="C267" s="393"/>
      <c r="D267" s="392"/>
      <c r="E267" s="392"/>
      <c r="F267" s="383" t="str">
        <f t="shared" si="1"/>
        <v/>
      </c>
      <c r="G267" s="384" t="str">
        <f>IFERROR(__xludf.DUMMYFUNCTION("IFERROR(AVERAGE(FILTER('حضور '!I:I,'حضور '!A:A=A267,MONTH('حضور '!B:B)=J267)),"""")"),"")</f>
        <v/>
      </c>
      <c r="H267" s="384">
        <f t="shared" si="2"/>
        <v>0</v>
      </c>
      <c r="I267" s="385">
        <f t="shared" si="3"/>
        <v>0</v>
      </c>
    </row>
    <row r="268" ht="22.5" customHeight="1">
      <c r="A268" s="391"/>
      <c r="B268" s="379"/>
      <c r="C268" s="393"/>
      <c r="D268" s="392"/>
      <c r="E268" s="392"/>
      <c r="F268" s="383" t="str">
        <f t="shared" si="1"/>
        <v/>
      </c>
      <c r="G268" s="384" t="str">
        <f>IFERROR(__xludf.DUMMYFUNCTION("IFERROR(AVERAGE(FILTER('حضور '!I:I,'حضور '!A:A=A268,MONTH('حضور '!B:B)=J268)),"""")"),"")</f>
        <v/>
      </c>
      <c r="H268" s="384">
        <f t="shared" si="2"/>
        <v>0</v>
      </c>
      <c r="I268" s="385">
        <f t="shared" si="3"/>
        <v>0</v>
      </c>
    </row>
    <row r="269" ht="22.5" customHeight="1">
      <c r="A269" s="391"/>
      <c r="B269" s="379"/>
      <c r="C269" s="393"/>
      <c r="D269" s="392"/>
      <c r="E269" s="392"/>
      <c r="F269" s="383" t="str">
        <f t="shared" si="1"/>
        <v/>
      </c>
      <c r="G269" s="384" t="str">
        <f>IFERROR(__xludf.DUMMYFUNCTION("IFERROR(AVERAGE(FILTER('حضور '!I:I,'حضور '!A:A=A269,MONTH('حضور '!B:B)=J269)),"""")"),"")</f>
        <v/>
      </c>
      <c r="H269" s="384">
        <f t="shared" si="2"/>
        <v>0</v>
      </c>
      <c r="I269" s="385">
        <f t="shared" si="3"/>
        <v>0</v>
      </c>
    </row>
    <row r="270" ht="22.5" customHeight="1">
      <c r="A270" s="391"/>
      <c r="B270" s="379"/>
      <c r="C270" s="393"/>
      <c r="D270" s="392"/>
      <c r="E270" s="392"/>
      <c r="F270" s="383" t="str">
        <f t="shared" si="1"/>
        <v/>
      </c>
      <c r="G270" s="384" t="str">
        <f>IFERROR(__xludf.DUMMYFUNCTION("IFERROR(AVERAGE(FILTER('حضور '!I:I,'حضور '!A:A=A270,MONTH('حضور '!B:B)=J270)),"""")"),"")</f>
        <v/>
      </c>
      <c r="H270" s="384">
        <f t="shared" si="2"/>
        <v>0</v>
      </c>
      <c r="I270" s="385">
        <f t="shared" si="3"/>
        <v>0</v>
      </c>
    </row>
    <row r="271" ht="22.5" customHeight="1">
      <c r="A271" s="391"/>
      <c r="B271" s="379"/>
      <c r="C271" s="393"/>
      <c r="D271" s="392"/>
      <c r="E271" s="392"/>
      <c r="F271" s="383" t="str">
        <f t="shared" si="1"/>
        <v/>
      </c>
      <c r="G271" s="384" t="str">
        <f>IFERROR(__xludf.DUMMYFUNCTION("IFERROR(AVERAGE(FILTER('حضور '!I:I,'حضور '!A:A=A271,MONTH('حضور '!B:B)=J271)),"""")"),"")</f>
        <v/>
      </c>
      <c r="H271" s="384">
        <f t="shared" si="2"/>
        <v>0</v>
      </c>
      <c r="I271" s="385">
        <f t="shared" si="3"/>
        <v>0</v>
      </c>
    </row>
    <row r="272" ht="22.5" customHeight="1">
      <c r="A272" s="391"/>
      <c r="B272" s="379"/>
      <c r="C272" s="393"/>
      <c r="D272" s="392"/>
      <c r="E272" s="392"/>
      <c r="F272" s="383" t="str">
        <f t="shared" si="1"/>
        <v/>
      </c>
      <c r="G272" s="384" t="str">
        <f>IFERROR(__xludf.DUMMYFUNCTION("IFERROR(AVERAGE(FILTER('حضور '!I:I,'حضور '!A:A=A272,MONTH('حضور '!B:B)=J272)),"""")"),"")</f>
        <v/>
      </c>
      <c r="H272" s="384">
        <f t="shared" si="2"/>
        <v>0</v>
      </c>
      <c r="I272" s="385">
        <f t="shared" si="3"/>
        <v>0</v>
      </c>
    </row>
    <row r="273" ht="22.5" customHeight="1">
      <c r="A273" s="391"/>
      <c r="B273" s="379"/>
      <c r="C273" s="393"/>
      <c r="D273" s="392"/>
      <c r="E273" s="392"/>
      <c r="F273" s="383" t="str">
        <f t="shared" si="1"/>
        <v/>
      </c>
      <c r="G273" s="384" t="str">
        <f>IFERROR(__xludf.DUMMYFUNCTION("IFERROR(AVERAGE(FILTER('حضور '!I:I,'حضور '!A:A=A273,MONTH('حضور '!B:B)=J273)),"""")"),"")</f>
        <v/>
      </c>
      <c r="H273" s="384">
        <f t="shared" si="2"/>
        <v>0</v>
      </c>
      <c r="I273" s="385">
        <f t="shared" si="3"/>
        <v>0</v>
      </c>
    </row>
    <row r="274" ht="22.5" customHeight="1">
      <c r="A274" s="391"/>
      <c r="B274" s="379"/>
      <c r="C274" s="393"/>
      <c r="D274" s="392"/>
      <c r="E274" s="392"/>
      <c r="F274" s="383" t="str">
        <f t="shared" si="1"/>
        <v/>
      </c>
      <c r="G274" s="384" t="str">
        <f>IFERROR(__xludf.DUMMYFUNCTION("IFERROR(AVERAGE(FILTER('حضور '!I:I,'حضور '!A:A=A274,MONTH('حضور '!B:B)=J274)),"""")"),"")</f>
        <v/>
      </c>
      <c r="H274" s="384">
        <f t="shared" si="2"/>
        <v>0</v>
      </c>
      <c r="I274" s="385">
        <f t="shared" si="3"/>
        <v>0</v>
      </c>
    </row>
    <row r="275" ht="22.5" customHeight="1">
      <c r="A275" s="391"/>
      <c r="B275" s="379"/>
      <c r="C275" s="393"/>
      <c r="D275" s="392"/>
      <c r="E275" s="392"/>
      <c r="F275" s="383" t="str">
        <f t="shared" si="1"/>
        <v/>
      </c>
      <c r="G275" s="384" t="str">
        <f>IFERROR(__xludf.DUMMYFUNCTION("IFERROR(AVERAGE(FILTER('حضور '!I:I,'حضور '!A:A=A275,MONTH('حضور '!B:B)=J275)),"""")"),"")</f>
        <v/>
      </c>
      <c r="H275" s="384">
        <f t="shared" si="2"/>
        <v>0</v>
      </c>
      <c r="I275" s="385">
        <f t="shared" si="3"/>
        <v>0</v>
      </c>
    </row>
    <row r="276" ht="22.5" customHeight="1">
      <c r="A276" s="391"/>
      <c r="B276" s="379"/>
      <c r="C276" s="393"/>
      <c r="D276" s="392"/>
      <c r="E276" s="392"/>
      <c r="F276" s="383" t="str">
        <f t="shared" si="1"/>
        <v/>
      </c>
      <c r="G276" s="384" t="str">
        <f>IFERROR(__xludf.DUMMYFUNCTION("IFERROR(AVERAGE(FILTER('حضور '!I:I,'حضور '!A:A=A276,MONTH('حضور '!B:B)=J276)),"""")"),"")</f>
        <v/>
      </c>
      <c r="H276" s="384">
        <f t="shared" si="2"/>
        <v>0</v>
      </c>
      <c r="I276" s="385">
        <f t="shared" si="3"/>
        <v>0</v>
      </c>
    </row>
    <row r="277" ht="22.5" customHeight="1">
      <c r="A277" s="391"/>
      <c r="B277" s="379"/>
      <c r="C277" s="393"/>
      <c r="D277" s="392"/>
      <c r="E277" s="392"/>
      <c r="F277" s="383" t="str">
        <f t="shared" si="1"/>
        <v/>
      </c>
      <c r="G277" s="384" t="str">
        <f>IFERROR(__xludf.DUMMYFUNCTION("IFERROR(AVERAGE(FILTER('حضور '!I:I,'حضور '!A:A=A277,MONTH('حضور '!B:B)=J277)),"""")"),"")</f>
        <v/>
      </c>
      <c r="H277" s="384">
        <f t="shared" si="2"/>
        <v>0</v>
      </c>
      <c r="I277" s="385">
        <f t="shared" si="3"/>
        <v>0</v>
      </c>
    </row>
    <row r="278" ht="22.5" customHeight="1">
      <c r="A278" s="391"/>
      <c r="B278" s="379"/>
      <c r="C278" s="393"/>
      <c r="D278" s="392"/>
      <c r="E278" s="392"/>
      <c r="F278" s="383" t="str">
        <f t="shared" si="1"/>
        <v/>
      </c>
      <c r="G278" s="384" t="str">
        <f>IFERROR(__xludf.DUMMYFUNCTION("IFERROR(AVERAGE(FILTER('حضور '!I:I,'حضور '!A:A=A278,MONTH('حضور '!B:B)=J278)),"""")"),"")</f>
        <v/>
      </c>
      <c r="H278" s="384">
        <f t="shared" si="2"/>
        <v>0</v>
      </c>
      <c r="I278" s="385">
        <f t="shared" si="3"/>
        <v>0</v>
      </c>
    </row>
    <row r="279" ht="22.5" customHeight="1">
      <c r="A279" s="391"/>
      <c r="B279" s="379"/>
      <c r="C279" s="393"/>
      <c r="D279" s="392"/>
      <c r="E279" s="392"/>
      <c r="F279" s="383" t="str">
        <f t="shared" si="1"/>
        <v/>
      </c>
      <c r="G279" s="384" t="str">
        <f>IFERROR(__xludf.DUMMYFUNCTION("IFERROR(AVERAGE(FILTER('حضور '!I:I,'حضور '!A:A=A279,MONTH('حضور '!B:B)=J279)),"""")"),"")</f>
        <v/>
      </c>
      <c r="H279" s="384">
        <f t="shared" si="2"/>
        <v>0</v>
      </c>
      <c r="I279" s="385">
        <f t="shared" si="3"/>
        <v>0</v>
      </c>
    </row>
    <row r="280" ht="22.5" customHeight="1">
      <c r="A280" s="391"/>
      <c r="B280" s="379"/>
      <c r="C280" s="393"/>
      <c r="D280" s="392"/>
      <c r="E280" s="392"/>
      <c r="F280" s="383" t="str">
        <f t="shared" si="1"/>
        <v/>
      </c>
      <c r="G280" s="384" t="str">
        <f>IFERROR(__xludf.DUMMYFUNCTION("IFERROR(AVERAGE(FILTER('حضور '!I:I,'حضور '!A:A=A280,MONTH('حضور '!B:B)=J280)),"""")"),"")</f>
        <v/>
      </c>
      <c r="H280" s="384">
        <f t="shared" si="2"/>
        <v>0</v>
      </c>
      <c r="I280" s="385">
        <f t="shared" si="3"/>
        <v>0</v>
      </c>
    </row>
    <row r="281" ht="22.5" customHeight="1">
      <c r="A281" s="391"/>
      <c r="B281" s="379"/>
      <c r="C281" s="393"/>
      <c r="D281" s="392"/>
      <c r="E281" s="392"/>
      <c r="F281" s="383" t="str">
        <f t="shared" si="1"/>
        <v/>
      </c>
      <c r="G281" s="384" t="str">
        <f>IFERROR(__xludf.DUMMYFUNCTION("IFERROR(AVERAGE(FILTER('حضور '!I:I,'حضور '!A:A=A281,MONTH('حضور '!B:B)=J281)),"""")"),"")</f>
        <v/>
      </c>
      <c r="H281" s="384">
        <f t="shared" si="2"/>
        <v>0</v>
      </c>
      <c r="I281" s="385">
        <f t="shared" si="3"/>
        <v>0</v>
      </c>
    </row>
    <row r="282" ht="22.5" customHeight="1">
      <c r="A282" s="391"/>
      <c r="B282" s="379"/>
      <c r="C282" s="393"/>
      <c r="D282" s="392"/>
      <c r="E282" s="392"/>
      <c r="F282" s="383" t="str">
        <f t="shared" si="1"/>
        <v/>
      </c>
      <c r="G282" s="384" t="str">
        <f>IFERROR(__xludf.DUMMYFUNCTION("IFERROR(AVERAGE(FILTER('حضور '!I:I,'حضور '!A:A=A282,MONTH('حضور '!B:B)=J282)),"""")"),"")</f>
        <v/>
      </c>
      <c r="H282" s="384">
        <f t="shared" si="2"/>
        <v>0</v>
      </c>
      <c r="I282" s="385">
        <f t="shared" si="3"/>
        <v>0</v>
      </c>
    </row>
    <row r="283" ht="22.5" customHeight="1">
      <c r="A283" s="391"/>
      <c r="B283" s="379"/>
      <c r="C283" s="393"/>
      <c r="D283" s="392"/>
      <c r="E283" s="392"/>
      <c r="F283" s="383" t="str">
        <f t="shared" si="1"/>
        <v/>
      </c>
      <c r="G283" s="384" t="str">
        <f>IFERROR(__xludf.DUMMYFUNCTION("IFERROR(AVERAGE(FILTER('حضور '!I:I,'حضور '!A:A=A283,MONTH('حضور '!B:B)=J283)),"""")"),"")</f>
        <v/>
      </c>
      <c r="H283" s="384">
        <f t="shared" si="2"/>
        <v>0</v>
      </c>
      <c r="I283" s="385">
        <f t="shared" si="3"/>
        <v>0</v>
      </c>
    </row>
    <row r="284" ht="22.5" customHeight="1">
      <c r="A284" s="391"/>
      <c r="B284" s="379"/>
      <c r="C284" s="393"/>
      <c r="D284" s="392"/>
      <c r="E284" s="392"/>
      <c r="F284" s="383" t="str">
        <f t="shared" si="1"/>
        <v/>
      </c>
      <c r="G284" s="384" t="str">
        <f>IFERROR(__xludf.DUMMYFUNCTION("IFERROR(AVERAGE(FILTER('حضور '!I:I,'حضور '!A:A=A284,MONTH('حضور '!B:B)=J284)),"""")"),"")</f>
        <v/>
      </c>
      <c r="H284" s="384">
        <f t="shared" si="2"/>
        <v>0</v>
      </c>
      <c r="I284" s="385">
        <f t="shared" si="3"/>
        <v>0</v>
      </c>
    </row>
    <row r="285" ht="22.5" customHeight="1">
      <c r="A285" s="391"/>
      <c r="B285" s="379"/>
      <c r="C285" s="393"/>
      <c r="D285" s="392"/>
      <c r="E285" s="392"/>
      <c r="F285" s="383" t="str">
        <f t="shared" si="1"/>
        <v/>
      </c>
      <c r="G285" s="384" t="str">
        <f>IFERROR(__xludf.DUMMYFUNCTION("IFERROR(AVERAGE(FILTER('حضور '!I:I,'حضور '!A:A=A285,MONTH('حضور '!B:B)=J285)),"""")"),"")</f>
        <v/>
      </c>
      <c r="H285" s="384">
        <f t="shared" si="2"/>
        <v>0</v>
      </c>
      <c r="I285" s="385">
        <f t="shared" si="3"/>
        <v>0</v>
      </c>
    </row>
    <row r="286" ht="22.5" customHeight="1">
      <c r="A286" s="391"/>
      <c r="B286" s="379"/>
      <c r="C286" s="393"/>
      <c r="D286" s="392"/>
      <c r="E286" s="392"/>
      <c r="F286" s="383" t="str">
        <f t="shared" si="1"/>
        <v/>
      </c>
      <c r="G286" s="384" t="str">
        <f>IFERROR(__xludf.DUMMYFUNCTION("IFERROR(AVERAGE(FILTER('حضور '!I:I,'حضور '!A:A=A286,MONTH('حضور '!B:B)=J286)),"""")"),"")</f>
        <v/>
      </c>
      <c r="H286" s="384">
        <f t="shared" si="2"/>
        <v>0</v>
      </c>
      <c r="I286" s="385">
        <f t="shared" si="3"/>
        <v>0</v>
      </c>
    </row>
    <row r="287" ht="22.5" customHeight="1">
      <c r="A287" s="391"/>
      <c r="B287" s="379"/>
      <c r="C287" s="393"/>
      <c r="D287" s="392"/>
      <c r="E287" s="392"/>
      <c r="F287" s="383" t="str">
        <f t="shared" si="1"/>
        <v/>
      </c>
      <c r="G287" s="384" t="str">
        <f>IFERROR(__xludf.DUMMYFUNCTION("IFERROR(AVERAGE(FILTER('حضور '!I:I,'حضور '!A:A=A287,MONTH('حضور '!B:B)=J287)),"""")"),"")</f>
        <v/>
      </c>
      <c r="H287" s="384">
        <f t="shared" si="2"/>
        <v>0</v>
      </c>
      <c r="I287" s="385">
        <f t="shared" si="3"/>
        <v>0</v>
      </c>
    </row>
    <row r="288" ht="22.5" customHeight="1">
      <c r="A288" s="391"/>
      <c r="B288" s="379"/>
      <c r="C288" s="393"/>
      <c r="D288" s="392"/>
      <c r="E288" s="392"/>
      <c r="F288" s="383" t="str">
        <f t="shared" si="1"/>
        <v/>
      </c>
      <c r="G288" s="384" t="str">
        <f>IFERROR(__xludf.DUMMYFUNCTION("IFERROR(AVERAGE(FILTER('حضور '!I:I,'حضور '!A:A=A288,MONTH('حضور '!B:B)=J288)),"""")"),"")</f>
        <v/>
      </c>
      <c r="H288" s="384">
        <f t="shared" si="2"/>
        <v>0</v>
      </c>
      <c r="I288" s="385">
        <f t="shared" si="3"/>
        <v>0</v>
      </c>
    </row>
    <row r="289" ht="22.5" customHeight="1">
      <c r="A289" s="391"/>
      <c r="B289" s="379"/>
      <c r="C289" s="393"/>
      <c r="D289" s="392"/>
      <c r="E289" s="392"/>
      <c r="F289" s="383" t="str">
        <f t="shared" si="1"/>
        <v/>
      </c>
      <c r="G289" s="384" t="str">
        <f>IFERROR(__xludf.DUMMYFUNCTION("IFERROR(AVERAGE(FILTER('حضور '!I:I,'حضور '!A:A=A289,MONTH('حضور '!B:B)=J289)),"""")"),"")</f>
        <v/>
      </c>
      <c r="H289" s="384">
        <f t="shared" si="2"/>
        <v>0</v>
      </c>
      <c r="I289" s="385">
        <f t="shared" si="3"/>
        <v>0</v>
      </c>
    </row>
    <row r="290" ht="22.5" customHeight="1">
      <c r="A290" s="391"/>
      <c r="B290" s="379"/>
      <c r="C290" s="393"/>
      <c r="D290" s="392"/>
      <c r="E290" s="392"/>
      <c r="F290" s="383" t="str">
        <f t="shared" si="1"/>
        <v/>
      </c>
      <c r="G290" s="384" t="str">
        <f>IFERROR(__xludf.DUMMYFUNCTION("IFERROR(AVERAGE(FILTER('حضور '!I:I,'حضور '!A:A=A290,MONTH('حضور '!B:B)=J290)),"""")"),"")</f>
        <v/>
      </c>
      <c r="H290" s="384">
        <f t="shared" si="2"/>
        <v>0</v>
      </c>
      <c r="I290" s="385">
        <f t="shared" si="3"/>
        <v>0</v>
      </c>
    </row>
    <row r="291" ht="22.5" customHeight="1">
      <c r="A291" s="391"/>
      <c r="B291" s="379"/>
      <c r="C291" s="393"/>
      <c r="D291" s="392"/>
      <c r="E291" s="392"/>
      <c r="F291" s="383" t="str">
        <f t="shared" si="1"/>
        <v/>
      </c>
      <c r="G291" s="384" t="str">
        <f>IFERROR(__xludf.DUMMYFUNCTION("IFERROR(AVERAGE(FILTER('حضور '!I:I,'حضور '!A:A=A291,MONTH('حضور '!B:B)=J291)),"""")"),"")</f>
        <v/>
      </c>
      <c r="H291" s="384">
        <f t="shared" si="2"/>
        <v>0</v>
      </c>
      <c r="I291" s="385">
        <f t="shared" si="3"/>
        <v>0</v>
      </c>
    </row>
    <row r="292" ht="22.5" customHeight="1">
      <c r="A292" s="391"/>
      <c r="B292" s="379"/>
      <c r="C292" s="393"/>
      <c r="D292" s="392"/>
      <c r="E292" s="392"/>
      <c r="F292" s="383" t="str">
        <f t="shared" si="1"/>
        <v/>
      </c>
      <c r="G292" s="384" t="str">
        <f>IFERROR(__xludf.DUMMYFUNCTION("IFERROR(AVERAGE(FILTER('حضور '!I:I,'حضور '!A:A=A292,MONTH('حضور '!B:B)=J292)),"""")"),"")</f>
        <v/>
      </c>
      <c r="H292" s="384">
        <f t="shared" si="2"/>
        <v>0</v>
      </c>
      <c r="I292" s="385">
        <f t="shared" si="3"/>
        <v>0</v>
      </c>
    </row>
    <row r="293" ht="22.5" customHeight="1">
      <c r="A293" s="391"/>
      <c r="B293" s="379"/>
      <c r="C293" s="393"/>
      <c r="D293" s="392"/>
      <c r="E293" s="392"/>
      <c r="F293" s="383" t="str">
        <f t="shared" si="1"/>
        <v/>
      </c>
      <c r="G293" s="384" t="str">
        <f>IFERROR(__xludf.DUMMYFUNCTION("IFERROR(AVERAGE(FILTER('حضور '!I:I,'حضور '!A:A=A293,MONTH('حضور '!B:B)=J293)),"""")"),"")</f>
        <v/>
      </c>
      <c r="H293" s="384">
        <f t="shared" si="2"/>
        <v>0</v>
      </c>
      <c r="I293" s="385">
        <f t="shared" si="3"/>
        <v>0</v>
      </c>
    </row>
    <row r="294" ht="22.5" customHeight="1">
      <c r="A294" s="391"/>
      <c r="B294" s="379"/>
      <c r="C294" s="393"/>
      <c r="D294" s="392"/>
      <c r="E294" s="392"/>
      <c r="F294" s="383" t="str">
        <f t="shared" si="1"/>
        <v/>
      </c>
      <c r="G294" s="384" t="str">
        <f>IFERROR(__xludf.DUMMYFUNCTION("IFERROR(AVERAGE(FILTER('حضور '!I:I,'حضور '!A:A=A294,MONTH('حضور '!B:B)=J294)),"""")"),"")</f>
        <v/>
      </c>
      <c r="H294" s="384">
        <f t="shared" si="2"/>
        <v>0</v>
      </c>
      <c r="I294" s="385">
        <f t="shared" si="3"/>
        <v>0</v>
      </c>
    </row>
    <row r="295" ht="22.5" customHeight="1">
      <c r="A295" s="391"/>
      <c r="B295" s="379"/>
      <c r="C295" s="393"/>
      <c r="D295" s="392"/>
      <c r="E295" s="392"/>
      <c r="F295" s="383" t="str">
        <f t="shared" si="1"/>
        <v/>
      </c>
      <c r="G295" s="384" t="str">
        <f>IFERROR(__xludf.DUMMYFUNCTION("IFERROR(AVERAGE(FILTER('حضور '!I:I,'حضور '!A:A=A295,MONTH('حضور '!B:B)=J295)),"""")"),"")</f>
        <v/>
      </c>
      <c r="H295" s="384">
        <f t="shared" si="2"/>
        <v>0</v>
      </c>
      <c r="I295" s="385">
        <f t="shared" si="3"/>
        <v>0</v>
      </c>
    </row>
    <row r="296" ht="22.5" customHeight="1">
      <c r="A296" s="391"/>
      <c r="B296" s="379"/>
      <c r="C296" s="393"/>
      <c r="D296" s="392"/>
      <c r="E296" s="392"/>
      <c r="F296" s="383" t="str">
        <f t="shared" si="1"/>
        <v/>
      </c>
      <c r="G296" s="384" t="str">
        <f>IFERROR(__xludf.DUMMYFUNCTION("IFERROR(AVERAGE(FILTER('حضور '!I:I,'حضور '!A:A=A296,MONTH('حضور '!B:B)=J296)),"""")"),"")</f>
        <v/>
      </c>
      <c r="H296" s="384">
        <f t="shared" si="2"/>
        <v>0</v>
      </c>
      <c r="I296" s="385">
        <f t="shared" si="3"/>
        <v>0</v>
      </c>
    </row>
    <row r="297" ht="22.5" customHeight="1">
      <c r="A297" s="391"/>
      <c r="B297" s="379"/>
      <c r="C297" s="393"/>
      <c r="D297" s="392"/>
      <c r="E297" s="392"/>
      <c r="F297" s="383" t="str">
        <f t="shared" si="1"/>
        <v/>
      </c>
      <c r="G297" s="384" t="str">
        <f>IFERROR(__xludf.DUMMYFUNCTION("IFERROR(AVERAGE(FILTER('حضور '!I:I,'حضور '!A:A=A297,MONTH('حضور '!B:B)=J297)),"""")"),"")</f>
        <v/>
      </c>
      <c r="H297" s="384">
        <f t="shared" si="2"/>
        <v>0</v>
      </c>
      <c r="I297" s="385">
        <f t="shared" si="3"/>
        <v>0</v>
      </c>
    </row>
    <row r="298" ht="22.5" customHeight="1">
      <c r="A298" s="391"/>
      <c r="B298" s="379"/>
      <c r="C298" s="393"/>
      <c r="D298" s="392"/>
      <c r="E298" s="392"/>
      <c r="F298" s="383" t="str">
        <f t="shared" si="1"/>
        <v/>
      </c>
      <c r="G298" s="384" t="str">
        <f>IFERROR(__xludf.DUMMYFUNCTION("IFERROR(AVERAGE(FILTER('حضور '!I:I,'حضور '!A:A=A298,MONTH('حضور '!B:B)=J298)),"""")"),"")</f>
        <v/>
      </c>
      <c r="H298" s="384">
        <f t="shared" si="2"/>
        <v>0</v>
      </c>
      <c r="I298" s="385">
        <f t="shared" si="3"/>
        <v>0</v>
      </c>
    </row>
    <row r="299" ht="22.5" customHeight="1">
      <c r="A299" s="391"/>
      <c r="B299" s="379"/>
      <c r="C299" s="393"/>
      <c r="D299" s="392"/>
      <c r="E299" s="392"/>
      <c r="F299" s="383" t="str">
        <f t="shared" si="1"/>
        <v/>
      </c>
      <c r="G299" s="384" t="str">
        <f>IFERROR(__xludf.DUMMYFUNCTION("IFERROR(AVERAGE(FILTER('حضور '!I:I,'حضور '!A:A=A299,MONTH('حضور '!B:B)=J299)),"""")"),"")</f>
        <v/>
      </c>
      <c r="H299" s="384">
        <f t="shared" si="2"/>
        <v>0</v>
      </c>
      <c r="I299" s="385">
        <f t="shared" si="3"/>
        <v>0</v>
      </c>
    </row>
    <row r="300" ht="22.5" customHeight="1">
      <c r="A300" s="391"/>
      <c r="B300" s="379"/>
      <c r="C300" s="393"/>
      <c r="D300" s="392"/>
      <c r="E300" s="392"/>
      <c r="F300" s="383" t="str">
        <f t="shared" si="1"/>
        <v/>
      </c>
      <c r="G300" s="384" t="str">
        <f>IFERROR(__xludf.DUMMYFUNCTION("IFERROR(AVERAGE(FILTER('حضور '!I:I,'حضور '!A:A=A300,MONTH('حضور '!B:B)=J300)),"""")"),"")</f>
        <v/>
      </c>
      <c r="H300" s="384">
        <f t="shared" si="2"/>
        <v>0</v>
      </c>
      <c r="I300" s="385">
        <f t="shared" si="3"/>
        <v>0</v>
      </c>
    </row>
    <row r="301" ht="22.5" customHeight="1">
      <c r="A301" s="391"/>
      <c r="B301" s="379"/>
      <c r="C301" s="393"/>
      <c r="D301" s="392"/>
      <c r="E301" s="392"/>
      <c r="F301" s="383" t="str">
        <f t="shared" si="1"/>
        <v/>
      </c>
      <c r="G301" s="384" t="str">
        <f>IFERROR(__xludf.DUMMYFUNCTION("IFERROR(AVERAGE(FILTER('حضور '!I:I,'حضور '!A:A=A301,MONTH('حضور '!B:B)=J301)),"""")"),"")</f>
        <v/>
      </c>
      <c r="H301" s="384">
        <f t="shared" si="2"/>
        <v>0</v>
      </c>
      <c r="I301" s="385">
        <f t="shared" si="3"/>
        <v>0</v>
      </c>
    </row>
    <row r="302" ht="22.5" customHeight="1">
      <c r="A302" s="391"/>
      <c r="B302" s="379"/>
      <c r="C302" s="393"/>
      <c r="D302" s="392"/>
      <c r="E302" s="392"/>
      <c r="F302" s="383" t="str">
        <f t="shared" si="1"/>
        <v/>
      </c>
      <c r="G302" s="384" t="str">
        <f>IFERROR(__xludf.DUMMYFUNCTION("IFERROR(AVERAGE(FILTER('حضور '!I:I,'حضور '!A:A=A302,MONTH('حضور '!B:B)=J302)),"""")"),"")</f>
        <v/>
      </c>
      <c r="H302" s="384">
        <f t="shared" si="2"/>
        <v>0</v>
      </c>
      <c r="I302" s="385">
        <f t="shared" si="3"/>
        <v>0</v>
      </c>
    </row>
    <row r="303" ht="22.5" customHeight="1">
      <c r="A303" s="391"/>
      <c r="B303" s="379"/>
      <c r="C303" s="393"/>
      <c r="D303" s="392"/>
      <c r="E303" s="392"/>
      <c r="F303" s="383" t="str">
        <f t="shared" si="1"/>
        <v/>
      </c>
      <c r="G303" s="384" t="str">
        <f>IFERROR(__xludf.DUMMYFUNCTION("IFERROR(AVERAGE(FILTER('حضور '!I:I,'حضور '!A:A=A303,MONTH('حضور '!B:B)=J303)),"""")"),"")</f>
        <v/>
      </c>
      <c r="H303" s="384">
        <f t="shared" si="2"/>
        <v>0</v>
      </c>
      <c r="I303" s="385">
        <f t="shared" si="3"/>
        <v>0</v>
      </c>
    </row>
    <row r="304" ht="22.5" customHeight="1">
      <c r="A304" s="391"/>
      <c r="B304" s="379"/>
      <c r="C304" s="393"/>
      <c r="D304" s="392"/>
      <c r="E304" s="392"/>
      <c r="F304" s="383" t="str">
        <f t="shared" si="1"/>
        <v/>
      </c>
      <c r="G304" s="384" t="str">
        <f>IFERROR(__xludf.DUMMYFUNCTION("IFERROR(AVERAGE(FILTER('حضور '!I:I,'حضور '!A:A=A304,MONTH('حضور '!B:B)=J304)),"""")"),"")</f>
        <v/>
      </c>
      <c r="H304" s="384">
        <f t="shared" si="2"/>
        <v>0</v>
      </c>
      <c r="I304" s="385">
        <f t="shared" si="3"/>
        <v>0</v>
      </c>
    </row>
    <row r="305" ht="22.5" customHeight="1">
      <c r="A305" s="391"/>
      <c r="B305" s="379"/>
      <c r="C305" s="393"/>
      <c r="D305" s="392"/>
      <c r="E305" s="392"/>
      <c r="F305" s="383" t="str">
        <f t="shared" si="1"/>
        <v/>
      </c>
      <c r="G305" s="384" t="str">
        <f>IFERROR(__xludf.DUMMYFUNCTION("IFERROR(AVERAGE(FILTER('حضور '!I:I,'حضور '!A:A=A305,MONTH('حضور '!B:B)=J305)),"""")"),"")</f>
        <v/>
      </c>
      <c r="H305" s="384">
        <f t="shared" si="2"/>
        <v>0</v>
      </c>
      <c r="I305" s="385">
        <f t="shared" si="3"/>
        <v>0</v>
      </c>
    </row>
    <row r="306" ht="22.5" customHeight="1">
      <c r="A306" s="391"/>
      <c r="B306" s="379"/>
      <c r="C306" s="393"/>
      <c r="D306" s="392"/>
      <c r="E306" s="392"/>
      <c r="F306" s="383" t="str">
        <f t="shared" si="1"/>
        <v/>
      </c>
      <c r="G306" s="384" t="str">
        <f>IFERROR(__xludf.DUMMYFUNCTION("IFERROR(AVERAGE(FILTER('حضور '!I:I,'حضور '!A:A=A306,MONTH('حضور '!B:B)=J306)),"""")"),"")</f>
        <v/>
      </c>
      <c r="H306" s="384">
        <f t="shared" si="2"/>
        <v>0</v>
      </c>
      <c r="I306" s="385">
        <f t="shared" si="3"/>
        <v>0</v>
      </c>
    </row>
    <row r="307" ht="22.5" customHeight="1">
      <c r="A307" s="391"/>
      <c r="B307" s="379"/>
      <c r="C307" s="393"/>
      <c r="D307" s="392"/>
      <c r="E307" s="392"/>
      <c r="F307" s="383" t="str">
        <f t="shared" si="1"/>
        <v/>
      </c>
      <c r="G307" s="384" t="str">
        <f>IFERROR(__xludf.DUMMYFUNCTION("IFERROR(AVERAGE(FILTER('حضور '!I:I,'حضور '!A:A=A307,MONTH('حضور '!B:B)=J307)),"""")"),"")</f>
        <v/>
      </c>
      <c r="H307" s="384">
        <f t="shared" si="2"/>
        <v>0</v>
      </c>
      <c r="I307" s="385">
        <f t="shared" si="3"/>
        <v>0</v>
      </c>
    </row>
    <row r="308" ht="22.5" customHeight="1">
      <c r="A308" s="391"/>
      <c r="B308" s="379"/>
      <c r="C308" s="393"/>
      <c r="D308" s="392"/>
      <c r="E308" s="392"/>
      <c r="F308" s="383" t="str">
        <f t="shared" si="1"/>
        <v/>
      </c>
      <c r="G308" s="384" t="str">
        <f>IFERROR(__xludf.DUMMYFUNCTION("IFERROR(AVERAGE(FILTER('حضور '!I:I,'حضور '!A:A=A308,MONTH('حضور '!B:B)=J308)),"""")"),"")</f>
        <v/>
      </c>
      <c r="H308" s="384">
        <f t="shared" si="2"/>
        <v>0</v>
      </c>
      <c r="I308" s="385">
        <f t="shared" si="3"/>
        <v>0</v>
      </c>
    </row>
    <row r="309" ht="22.5" customHeight="1">
      <c r="A309" s="391"/>
      <c r="B309" s="379"/>
      <c r="C309" s="393"/>
      <c r="D309" s="392"/>
      <c r="E309" s="392"/>
      <c r="F309" s="383" t="str">
        <f t="shared" si="1"/>
        <v/>
      </c>
      <c r="G309" s="384" t="str">
        <f>IFERROR(__xludf.DUMMYFUNCTION("IFERROR(AVERAGE(FILTER('حضور '!I:I,'حضور '!A:A=A309,MONTH('حضور '!B:B)=J309)),"""")"),"")</f>
        <v/>
      </c>
      <c r="H309" s="384">
        <f t="shared" si="2"/>
        <v>0</v>
      </c>
      <c r="I309" s="385">
        <f t="shared" si="3"/>
        <v>0</v>
      </c>
    </row>
    <row r="310" ht="22.5" customHeight="1">
      <c r="A310" s="391"/>
      <c r="B310" s="379"/>
      <c r="C310" s="393"/>
      <c r="D310" s="392"/>
      <c r="E310" s="392"/>
      <c r="F310" s="383" t="str">
        <f t="shared" si="1"/>
        <v/>
      </c>
      <c r="G310" s="384" t="str">
        <f>IFERROR(__xludf.DUMMYFUNCTION("IFERROR(AVERAGE(FILTER('حضور '!I:I,'حضور '!A:A=A310,MONTH('حضور '!B:B)=J310)),"""")"),"")</f>
        <v/>
      </c>
      <c r="H310" s="384">
        <f t="shared" si="2"/>
        <v>0</v>
      </c>
      <c r="I310" s="385">
        <f t="shared" si="3"/>
        <v>0</v>
      </c>
    </row>
    <row r="311" ht="22.5" customHeight="1">
      <c r="A311" s="391"/>
      <c r="B311" s="379"/>
      <c r="C311" s="393"/>
      <c r="D311" s="392"/>
      <c r="E311" s="392"/>
      <c r="F311" s="383" t="str">
        <f t="shared" si="1"/>
        <v/>
      </c>
      <c r="G311" s="384" t="str">
        <f>IFERROR(__xludf.DUMMYFUNCTION("IFERROR(AVERAGE(FILTER('حضور '!I:I,'حضور '!A:A=A311,MONTH('حضور '!B:B)=J311)),"""")"),"")</f>
        <v/>
      </c>
      <c r="H311" s="384">
        <f t="shared" si="2"/>
        <v>0</v>
      </c>
      <c r="I311" s="385">
        <f t="shared" si="3"/>
        <v>0</v>
      </c>
    </row>
    <row r="312" ht="22.5" customHeight="1">
      <c r="A312" s="391"/>
      <c r="B312" s="379"/>
      <c r="C312" s="393"/>
      <c r="D312" s="392"/>
      <c r="E312" s="392"/>
      <c r="F312" s="383" t="str">
        <f t="shared" si="1"/>
        <v/>
      </c>
      <c r="G312" s="384" t="str">
        <f>IFERROR(__xludf.DUMMYFUNCTION("IFERROR(AVERAGE(FILTER('حضور '!I:I,'حضور '!A:A=A312,MONTH('حضور '!B:B)=J312)),"""")"),"")</f>
        <v/>
      </c>
      <c r="H312" s="384">
        <f t="shared" si="2"/>
        <v>0</v>
      </c>
      <c r="I312" s="385">
        <f t="shared" si="3"/>
        <v>0</v>
      </c>
    </row>
    <row r="313" ht="22.5" customHeight="1">
      <c r="A313" s="391"/>
      <c r="B313" s="379"/>
      <c r="C313" s="393"/>
      <c r="D313" s="392"/>
      <c r="E313" s="392"/>
      <c r="F313" s="383" t="str">
        <f t="shared" si="1"/>
        <v/>
      </c>
      <c r="G313" s="384" t="str">
        <f>IFERROR(__xludf.DUMMYFUNCTION("IFERROR(AVERAGE(FILTER('حضور '!I:I,'حضور '!A:A=A313,MONTH('حضور '!B:B)=J313)),"""")"),"")</f>
        <v/>
      </c>
      <c r="H313" s="384">
        <f t="shared" si="2"/>
        <v>0</v>
      </c>
      <c r="I313" s="385">
        <f t="shared" si="3"/>
        <v>0</v>
      </c>
    </row>
    <row r="314" ht="22.5" customHeight="1">
      <c r="A314" s="391"/>
      <c r="B314" s="379"/>
      <c r="C314" s="393"/>
      <c r="D314" s="392"/>
      <c r="E314" s="392"/>
      <c r="F314" s="383" t="str">
        <f t="shared" si="1"/>
        <v/>
      </c>
      <c r="G314" s="384" t="str">
        <f>IFERROR(__xludf.DUMMYFUNCTION("IFERROR(AVERAGE(FILTER('حضور '!I:I,'حضور '!A:A=A314,MONTH('حضور '!B:B)=J314)),"""")"),"")</f>
        <v/>
      </c>
      <c r="H314" s="384">
        <f t="shared" si="2"/>
        <v>0</v>
      </c>
      <c r="I314" s="385">
        <f t="shared" si="3"/>
        <v>0</v>
      </c>
    </row>
    <row r="315" ht="22.5" customHeight="1">
      <c r="A315" s="391"/>
      <c r="B315" s="379"/>
      <c r="C315" s="393"/>
      <c r="D315" s="392"/>
      <c r="E315" s="392"/>
      <c r="F315" s="383" t="str">
        <f t="shared" si="1"/>
        <v/>
      </c>
      <c r="G315" s="384" t="str">
        <f>IFERROR(__xludf.DUMMYFUNCTION("IFERROR(AVERAGE(FILTER('حضور '!I:I,'حضور '!A:A=A315,MONTH('حضور '!B:B)=J315)),"""")"),"")</f>
        <v/>
      </c>
      <c r="H315" s="384">
        <f t="shared" si="2"/>
        <v>0</v>
      </c>
      <c r="I315" s="385">
        <f t="shared" si="3"/>
        <v>0</v>
      </c>
    </row>
    <row r="316" ht="22.5" customHeight="1">
      <c r="A316" s="391"/>
      <c r="B316" s="379"/>
      <c r="C316" s="393"/>
      <c r="D316" s="392"/>
      <c r="E316" s="392"/>
      <c r="F316" s="383" t="str">
        <f t="shared" si="1"/>
        <v/>
      </c>
      <c r="G316" s="384" t="str">
        <f>IFERROR(__xludf.DUMMYFUNCTION("IFERROR(AVERAGE(FILTER('حضور '!I:I,'حضور '!A:A=A316,MONTH('حضور '!B:B)=J316)),"""")"),"")</f>
        <v/>
      </c>
      <c r="H316" s="384">
        <f t="shared" si="2"/>
        <v>0</v>
      </c>
      <c r="I316" s="385">
        <f t="shared" si="3"/>
        <v>0</v>
      </c>
    </row>
    <row r="317" ht="22.5" customHeight="1">
      <c r="A317" s="391"/>
      <c r="B317" s="379"/>
      <c r="C317" s="393"/>
      <c r="D317" s="392"/>
      <c r="E317" s="392"/>
      <c r="F317" s="383" t="str">
        <f t="shared" si="1"/>
        <v/>
      </c>
      <c r="G317" s="384" t="str">
        <f>IFERROR(__xludf.DUMMYFUNCTION("IFERROR(AVERAGE(FILTER('حضور '!I:I,'حضور '!A:A=A317,MONTH('حضور '!B:B)=J317)),"""")"),"")</f>
        <v/>
      </c>
      <c r="H317" s="384">
        <f t="shared" si="2"/>
        <v>0</v>
      </c>
      <c r="I317" s="385">
        <f t="shared" si="3"/>
        <v>0</v>
      </c>
    </row>
    <row r="318" ht="22.5" customHeight="1">
      <c r="A318" s="391"/>
      <c r="B318" s="379"/>
      <c r="C318" s="393"/>
      <c r="D318" s="392"/>
      <c r="E318" s="392"/>
      <c r="F318" s="383" t="str">
        <f t="shared" si="1"/>
        <v/>
      </c>
      <c r="G318" s="384" t="str">
        <f>IFERROR(__xludf.DUMMYFUNCTION("IFERROR(AVERAGE(FILTER('حضور '!I:I,'حضور '!A:A=A318,MONTH('حضور '!B:B)=J318)),"""")"),"")</f>
        <v/>
      </c>
      <c r="H318" s="384">
        <f t="shared" si="2"/>
        <v>0</v>
      </c>
      <c r="I318" s="385">
        <f t="shared" si="3"/>
        <v>0</v>
      </c>
    </row>
    <row r="319" ht="22.5" customHeight="1">
      <c r="A319" s="391"/>
      <c r="B319" s="379"/>
      <c r="C319" s="393"/>
      <c r="D319" s="392"/>
      <c r="E319" s="392"/>
      <c r="F319" s="383" t="str">
        <f t="shared" si="1"/>
        <v/>
      </c>
      <c r="G319" s="384" t="str">
        <f>IFERROR(__xludf.DUMMYFUNCTION("IFERROR(AVERAGE(FILTER('حضور '!I:I,'حضور '!A:A=A319,MONTH('حضور '!B:B)=J319)),"""")"),"")</f>
        <v/>
      </c>
      <c r="H319" s="384">
        <f t="shared" si="2"/>
        <v>0</v>
      </c>
      <c r="I319" s="385">
        <f t="shared" si="3"/>
        <v>0</v>
      </c>
    </row>
    <row r="320" ht="22.5" customHeight="1">
      <c r="A320" s="391"/>
      <c r="B320" s="379"/>
      <c r="C320" s="393"/>
      <c r="D320" s="392"/>
      <c r="E320" s="392"/>
      <c r="F320" s="383" t="str">
        <f t="shared" si="1"/>
        <v/>
      </c>
      <c r="G320" s="384" t="str">
        <f>IFERROR(__xludf.DUMMYFUNCTION("IFERROR(AVERAGE(FILTER('حضور '!I:I,'حضور '!A:A=A320,MONTH('حضور '!B:B)=J320)),"""")"),"")</f>
        <v/>
      </c>
      <c r="H320" s="384">
        <f t="shared" si="2"/>
        <v>0</v>
      </c>
      <c r="I320" s="385">
        <f t="shared" si="3"/>
        <v>0</v>
      </c>
    </row>
    <row r="321" ht="22.5" customHeight="1">
      <c r="A321" s="391"/>
      <c r="B321" s="379"/>
      <c r="C321" s="393"/>
      <c r="D321" s="392"/>
      <c r="E321" s="392"/>
      <c r="F321" s="383" t="str">
        <f t="shared" si="1"/>
        <v/>
      </c>
      <c r="G321" s="384" t="str">
        <f>IFERROR(__xludf.DUMMYFUNCTION("IFERROR(AVERAGE(FILTER('حضور '!I:I,'حضور '!A:A=A321,MONTH('حضور '!B:B)=J321)),"""")"),"")</f>
        <v/>
      </c>
      <c r="H321" s="384">
        <f t="shared" si="2"/>
        <v>0</v>
      </c>
      <c r="I321" s="385">
        <f t="shared" si="3"/>
        <v>0</v>
      </c>
    </row>
    <row r="322" ht="22.5" customHeight="1">
      <c r="A322" s="391"/>
      <c r="B322" s="379"/>
      <c r="C322" s="393"/>
      <c r="D322" s="392"/>
      <c r="E322" s="392"/>
      <c r="F322" s="383" t="str">
        <f t="shared" si="1"/>
        <v/>
      </c>
      <c r="G322" s="384" t="str">
        <f>IFERROR(__xludf.DUMMYFUNCTION("IFERROR(AVERAGE(FILTER('حضور '!I:I,'حضور '!A:A=A322,MONTH('حضور '!B:B)=J322)),"""")"),"")</f>
        <v/>
      </c>
      <c r="H322" s="384">
        <f t="shared" si="2"/>
        <v>0</v>
      </c>
      <c r="I322" s="385">
        <f t="shared" si="3"/>
        <v>0</v>
      </c>
    </row>
    <row r="323" ht="22.5" customHeight="1">
      <c r="A323" s="391"/>
      <c r="B323" s="379"/>
      <c r="C323" s="393"/>
      <c r="D323" s="392"/>
      <c r="E323" s="392"/>
      <c r="F323" s="383" t="str">
        <f t="shared" si="1"/>
        <v/>
      </c>
      <c r="G323" s="384" t="str">
        <f>IFERROR(__xludf.DUMMYFUNCTION("IFERROR(AVERAGE(FILTER('حضور '!I:I,'حضور '!A:A=A323,MONTH('حضور '!B:B)=J323)),"""")"),"")</f>
        <v/>
      </c>
      <c r="H323" s="384">
        <f t="shared" si="2"/>
        <v>0</v>
      </c>
      <c r="I323" s="385">
        <f t="shared" si="3"/>
        <v>0</v>
      </c>
    </row>
    <row r="324" ht="22.5" customHeight="1">
      <c r="A324" s="391"/>
      <c r="B324" s="379"/>
      <c r="C324" s="393"/>
      <c r="D324" s="392"/>
      <c r="E324" s="392"/>
      <c r="F324" s="383" t="str">
        <f t="shared" si="1"/>
        <v/>
      </c>
      <c r="G324" s="384" t="str">
        <f>IFERROR(__xludf.DUMMYFUNCTION("IFERROR(AVERAGE(FILTER('حضور '!I:I,'حضور '!A:A=A324,MONTH('حضور '!B:B)=J324)),"""")"),"")</f>
        <v/>
      </c>
      <c r="H324" s="384">
        <f t="shared" si="2"/>
        <v>0</v>
      </c>
      <c r="I324" s="385">
        <f t="shared" si="3"/>
        <v>0</v>
      </c>
    </row>
    <row r="325" ht="22.5" customHeight="1">
      <c r="A325" s="391"/>
      <c r="B325" s="379"/>
      <c r="C325" s="393"/>
      <c r="D325" s="392"/>
      <c r="E325" s="392"/>
      <c r="F325" s="383" t="str">
        <f t="shared" si="1"/>
        <v/>
      </c>
      <c r="G325" s="384" t="str">
        <f>IFERROR(__xludf.DUMMYFUNCTION("IFERROR(AVERAGE(FILTER('حضور '!I:I,'حضور '!A:A=A325,MONTH('حضور '!B:B)=J325)),"""")"),"")</f>
        <v/>
      </c>
      <c r="H325" s="384">
        <f t="shared" si="2"/>
        <v>0</v>
      </c>
      <c r="I325" s="385">
        <f t="shared" si="3"/>
        <v>0</v>
      </c>
    </row>
    <row r="326" ht="22.5" customHeight="1">
      <c r="A326" s="391"/>
      <c r="B326" s="379"/>
      <c r="C326" s="393"/>
      <c r="D326" s="392"/>
      <c r="E326" s="392"/>
      <c r="F326" s="383" t="str">
        <f t="shared" si="1"/>
        <v/>
      </c>
      <c r="G326" s="384" t="str">
        <f>IFERROR(__xludf.DUMMYFUNCTION("IFERROR(AVERAGE(FILTER('حضور '!I:I,'حضور '!A:A=A326,MONTH('حضور '!B:B)=J326)),"""")"),"")</f>
        <v/>
      </c>
      <c r="H326" s="384">
        <f t="shared" si="2"/>
        <v>0</v>
      </c>
      <c r="I326" s="385">
        <f t="shared" si="3"/>
        <v>0</v>
      </c>
    </row>
    <row r="327" ht="22.5" customHeight="1">
      <c r="A327" s="391"/>
      <c r="B327" s="379"/>
      <c r="C327" s="393"/>
      <c r="D327" s="392"/>
      <c r="E327" s="392"/>
      <c r="F327" s="383" t="str">
        <f t="shared" si="1"/>
        <v/>
      </c>
      <c r="G327" s="384" t="str">
        <f>IFERROR(__xludf.DUMMYFUNCTION("IFERROR(AVERAGE(FILTER('حضور '!I:I,'حضور '!A:A=A327,MONTH('حضور '!B:B)=J327)),"""")"),"")</f>
        <v/>
      </c>
      <c r="H327" s="384">
        <f t="shared" si="2"/>
        <v>0</v>
      </c>
      <c r="I327" s="385">
        <f t="shared" si="3"/>
        <v>0</v>
      </c>
    </row>
    <row r="328" ht="22.5" customHeight="1">
      <c r="A328" s="391"/>
      <c r="B328" s="379"/>
      <c r="C328" s="393"/>
      <c r="D328" s="392"/>
      <c r="E328" s="392"/>
      <c r="F328" s="383" t="str">
        <f t="shared" si="1"/>
        <v/>
      </c>
      <c r="G328" s="384" t="str">
        <f>IFERROR(__xludf.DUMMYFUNCTION("IFERROR(AVERAGE(FILTER('حضور '!I:I,'حضور '!A:A=A328,MONTH('حضور '!B:B)=J328)),"""")"),"")</f>
        <v/>
      </c>
      <c r="H328" s="384">
        <f t="shared" si="2"/>
        <v>0</v>
      </c>
      <c r="I328" s="385">
        <f t="shared" si="3"/>
        <v>0</v>
      </c>
    </row>
    <row r="329" ht="22.5" customHeight="1">
      <c r="A329" s="391"/>
      <c r="B329" s="379"/>
      <c r="C329" s="393"/>
      <c r="D329" s="392"/>
      <c r="E329" s="392"/>
      <c r="F329" s="383" t="str">
        <f t="shared" si="1"/>
        <v/>
      </c>
      <c r="G329" s="384" t="str">
        <f>IFERROR(__xludf.DUMMYFUNCTION("IFERROR(AVERAGE(FILTER('حضور '!I:I,'حضور '!A:A=A329,MONTH('حضور '!B:B)=J329)),"""")"),"")</f>
        <v/>
      </c>
      <c r="H329" s="384">
        <f t="shared" si="2"/>
        <v>0</v>
      </c>
      <c r="I329" s="385">
        <f t="shared" si="3"/>
        <v>0</v>
      </c>
    </row>
    <row r="330" ht="22.5" customHeight="1">
      <c r="A330" s="391"/>
      <c r="B330" s="379"/>
      <c r="C330" s="393"/>
      <c r="D330" s="392"/>
      <c r="E330" s="392"/>
      <c r="F330" s="383" t="str">
        <f t="shared" si="1"/>
        <v/>
      </c>
      <c r="G330" s="384" t="str">
        <f>IFERROR(__xludf.DUMMYFUNCTION("IFERROR(AVERAGE(FILTER('حضور '!I:I,'حضور '!A:A=A330,MONTH('حضور '!B:B)=J330)),"""")"),"")</f>
        <v/>
      </c>
      <c r="H330" s="384">
        <f t="shared" si="2"/>
        <v>0</v>
      </c>
      <c r="I330" s="385">
        <f t="shared" si="3"/>
        <v>0</v>
      </c>
    </row>
    <row r="331" ht="22.5" customHeight="1">
      <c r="A331" s="391"/>
      <c r="B331" s="379"/>
      <c r="C331" s="393"/>
      <c r="D331" s="392"/>
      <c r="E331" s="392"/>
      <c r="F331" s="383" t="str">
        <f t="shared" si="1"/>
        <v/>
      </c>
      <c r="G331" s="384" t="str">
        <f>IFERROR(__xludf.DUMMYFUNCTION("IFERROR(AVERAGE(FILTER('حضور '!I:I,'حضور '!A:A=A331,MONTH('حضور '!B:B)=J331)),"""")"),"")</f>
        <v/>
      </c>
      <c r="H331" s="384">
        <f t="shared" si="2"/>
        <v>0</v>
      </c>
      <c r="I331" s="385">
        <f t="shared" si="3"/>
        <v>0</v>
      </c>
    </row>
    <row r="332" ht="22.5" customHeight="1">
      <c r="A332" s="391"/>
      <c r="B332" s="379"/>
      <c r="C332" s="393"/>
      <c r="D332" s="392"/>
      <c r="E332" s="392"/>
      <c r="F332" s="383" t="str">
        <f t="shared" si="1"/>
        <v/>
      </c>
      <c r="G332" s="384" t="str">
        <f>IFERROR(__xludf.DUMMYFUNCTION("IFERROR(AVERAGE(FILTER('حضور '!I:I,'حضور '!A:A=A332,MONTH('حضور '!B:B)=J332)),"""")"),"")</f>
        <v/>
      </c>
      <c r="H332" s="384">
        <f t="shared" si="2"/>
        <v>0</v>
      </c>
      <c r="I332" s="385">
        <f t="shared" si="3"/>
        <v>0</v>
      </c>
    </row>
    <row r="333" ht="22.5" customHeight="1">
      <c r="A333" s="391"/>
      <c r="B333" s="379"/>
      <c r="C333" s="393"/>
      <c r="D333" s="392"/>
      <c r="E333" s="392"/>
      <c r="F333" s="383" t="str">
        <f t="shared" si="1"/>
        <v/>
      </c>
      <c r="G333" s="384" t="str">
        <f>IFERROR(__xludf.DUMMYFUNCTION("IFERROR(AVERAGE(FILTER('حضور '!I:I,'حضور '!A:A=A333,MONTH('حضور '!B:B)=J333)),"""")"),"")</f>
        <v/>
      </c>
      <c r="H333" s="384">
        <f t="shared" si="2"/>
        <v>0</v>
      </c>
      <c r="I333" s="385">
        <f t="shared" si="3"/>
        <v>0</v>
      </c>
    </row>
    <row r="334" ht="22.5" customHeight="1">
      <c r="A334" s="391"/>
      <c r="B334" s="379"/>
      <c r="C334" s="393"/>
      <c r="D334" s="392"/>
      <c r="E334" s="392"/>
      <c r="F334" s="383" t="str">
        <f t="shared" si="1"/>
        <v/>
      </c>
      <c r="G334" s="384" t="str">
        <f>IFERROR(__xludf.DUMMYFUNCTION("IFERROR(AVERAGE(FILTER('حضور '!I:I,'حضور '!A:A=A334,MONTH('حضور '!B:B)=J334)),"""")"),"")</f>
        <v/>
      </c>
      <c r="H334" s="384">
        <f t="shared" si="2"/>
        <v>0</v>
      </c>
      <c r="I334" s="385">
        <f t="shared" si="3"/>
        <v>0</v>
      </c>
    </row>
    <row r="335" ht="22.5" customHeight="1">
      <c r="A335" s="391"/>
      <c r="B335" s="379"/>
      <c r="C335" s="393"/>
      <c r="D335" s="392"/>
      <c r="E335" s="392"/>
      <c r="F335" s="383" t="str">
        <f t="shared" si="1"/>
        <v/>
      </c>
      <c r="G335" s="384" t="str">
        <f>IFERROR(__xludf.DUMMYFUNCTION("IFERROR(AVERAGE(FILTER('حضور '!I:I,'حضور '!A:A=A335,MONTH('حضور '!B:B)=J335)),"""")"),"")</f>
        <v/>
      </c>
      <c r="H335" s="384">
        <f t="shared" si="2"/>
        <v>0</v>
      </c>
      <c r="I335" s="385">
        <f t="shared" si="3"/>
        <v>0</v>
      </c>
    </row>
    <row r="336" ht="22.5" customHeight="1">
      <c r="A336" s="391"/>
      <c r="B336" s="379"/>
      <c r="C336" s="393"/>
      <c r="D336" s="392"/>
      <c r="E336" s="392"/>
      <c r="F336" s="383" t="str">
        <f t="shared" si="1"/>
        <v/>
      </c>
      <c r="G336" s="384" t="str">
        <f>IFERROR(__xludf.DUMMYFUNCTION("IFERROR(AVERAGE(FILTER('حضور '!I:I,'حضور '!A:A=A336,MONTH('حضور '!B:B)=J336)),"""")"),"")</f>
        <v/>
      </c>
      <c r="H336" s="384">
        <f t="shared" si="2"/>
        <v>0</v>
      </c>
      <c r="I336" s="385">
        <f t="shared" si="3"/>
        <v>0</v>
      </c>
    </row>
    <row r="337" ht="22.5" customHeight="1">
      <c r="A337" s="391"/>
      <c r="B337" s="379"/>
      <c r="C337" s="393"/>
      <c r="D337" s="392"/>
      <c r="E337" s="392"/>
      <c r="F337" s="383" t="str">
        <f t="shared" si="1"/>
        <v/>
      </c>
      <c r="G337" s="384" t="str">
        <f>IFERROR(__xludf.DUMMYFUNCTION("IFERROR(AVERAGE(FILTER('حضور '!I:I,'حضور '!A:A=A337,MONTH('حضور '!B:B)=J337)),"""")"),"")</f>
        <v/>
      </c>
      <c r="H337" s="384">
        <f t="shared" si="2"/>
        <v>0</v>
      </c>
      <c r="I337" s="385">
        <f t="shared" si="3"/>
        <v>0</v>
      </c>
    </row>
    <row r="338" ht="22.5" customHeight="1">
      <c r="A338" s="391"/>
      <c r="B338" s="379"/>
      <c r="C338" s="393"/>
      <c r="D338" s="392"/>
      <c r="E338" s="392"/>
      <c r="F338" s="383" t="str">
        <f t="shared" si="1"/>
        <v/>
      </c>
      <c r="G338" s="384" t="str">
        <f>IFERROR(__xludf.DUMMYFUNCTION("IFERROR(AVERAGE(FILTER('حضور '!I:I,'حضور '!A:A=A338,MONTH('حضور '!B:B)=J338)),"""")"),"")</f>
        <v/>
      </c>
      <c r="H338" s="384">
        <f t="shared" si="2"/>
        <v>0</v>
      </c>
      <c r="I338" s="385">
        <f t="shared" si="3"/>
        <v>0</v>
      </c>
    </row>
    <row r="339" ht="22.5" customHeight="1">
      <c r="A339" s="391"/>
      <c r="B339" s="379"/>
      <c r="C339" s="393"/>
      <c r="D339" s="392"/>
      <c r="E339" s="392"/>
      <c r="F339" s="383" t="str">
        <f t="shared" si="1"/>
        <v/>
      </c>
      <c r="G339" s="384" t="str">
        <f>IFERROR(__xludf.DUMMYFUNCTION("IFERROR(AVERAGE(FILTER('حضور '!I:I,'حضور '!A:A=A339,MONTH('حضور '!B:B)=J339)),"""")"),"")</f>
        <v/>
      </c>
      <c r="H339" s="384">
        <f t="shared" si="2"/>
        <v>0</v>
      </c>
      <c r="I339" s="385">
        <f t="shared" si="3"/>
        <v>0</v>
      </c>
    </row>
    <row r="340" ht="22.5" customHeight="1">
      <c r="A340" s="391"/>
      <c r="B340" s="379"/>
      <c r="C340" s="393"/>
      <c r="D340" s="392"/>
      <c r="E340" s="392"/>
      <c r="F340" s="383" t="str">
        <f t="shared" si="1"/>
        <v/>
      </c>
      <c r="G340" s="384" t="str">
        <f>IFERROR(__xludf.DUMMYFUNCTION("IFERROR(AVERAGE(FILTER('حضور '!I:I,'حضور '!A:A=A340,MONTH('حضور '!B:B)=J340)),"""")"),"")</f>
        <v/>
      </c>
      <c r="H340" s="384">
        <f t="shared" si="2"/>
        <v>0</v>
      </c>
      <c r="I340" s="385">
        <f t="shared" si="3"/>
        <v>0</v>
      </c>
    </row>
    <row r="341" ht="22.5" customHeight="1">
      <c r="A341" s="391"/>
      <c r="B341" s="379"/>
      <c r="C341" s="393"/>
      <c r="D341" s="392"/>
      <c r="E341" s="392"/>
      <c r="F341" s="383" t="str">
        <f t="shared" si="1"/>
        <v/>
      </c>
      <c r="G341" s="384" t="str">
        <f>IFERROR(__xludf.DUMMYFUNCTION("IFERROR(AVERAGE(FILTER('حضور '!I:I,'حضور '!A:A=A341,MONTH('حضور '!B:B)=J341)),"""")"),"")</f>
        <v/>
      </c>
      <c r="H341" s="384">
        <f t="shared" si="2"/>
        <v>0</v>
      </c>
      <c r="I341" s="385">
        <f t="shared" si="3"/>
        <v>0</v>
      </c>
    </row>
    <row r="342" ht="22.5" customHeight="1">
      <c r="A342" s="391"/>
      <c r="B342" s="379"/>
      <c r="C342" s="393"/>
      <c r="D342" s="392"/>
      <c r="E342" s="392"/>
      <c r="F342" s="383" t="str">
        <f t="shared" si="1"/>
        <v/>
      </c>
      <c r="G342" s="384" t="str">
        <f>IFERROR(__xludf.DUMMYFUNCTION("IFERROR(AVERAGE(FILTER('حضور '!I:I,'حضور '!A:A=A342,MONTH('حضور '!B:B)=J342)),"""")"),"")</f>
        <v/>
      </c>
      <c r="H342" s="384">
        <f t="shared" si="2"/>
        <v>0</v>
      </c>
      <c r="I342" s="385">
        <f t="shared" si="3"/>
        <v>0</v>
      </c>
    </row>
    <row r="343" ht="22.5" customHeight="1">
      <c r="A343" s="391"/>
      <c r="B343" s="379"/>
      <c r="C343" s="393"/>
      <c r="D343" s="392"/>
      <c r="E343" s="392"/>
      <c r="F343" s="383" t="str">
        <f t="shared" si="1"/>
        <v/>
      </c>
      <c r="G343" s="384" t="str">
        <f>IFERROR(__xludf.DUMMYFUNCTION("IFERROR(AVERAGE(FILTER('حضور '!I:I,'حضور '!A:A=A343,MONTH('حضور '!B:B)=J343)),"""")"),"")</f>
        <v/>
      </c>
      <c r="H343" s="384">
        <f t="shared" si="2"/>
        <v>0</v>
      </c>
      <c r="I343" s="385">
        <f t="shared" si="3"/>
        <v>0</v>
      </c>
    </row>
    <row r="344" ht="22.5" customHeight="1">
      <c r="A344" s="391"/>
      <c r="B344" s="379"/>
      <c r="C344" s="393"/>
      <c r="D344" s="392"/>
      <c r="E344" s="392"/>
      <c r="F344" s="383" t="str">
        <f t="shared" si="1"/>
        <v/>
      </c>
      <c r="G344" s="384" t="str">
        <f>IFERROR(__xludf.DUMMYFUNCTION("IFERROR(AVERAGE(FILTER('حضور '!I:I,'حضور '!A:A=A344,MONTH('حضور '!B:B)=J344)),"""")"),"")</f>
        <v/>
      </c>
      <c r="H344" s="384">
        <f t="shared" si="2"/>
        <v>0</v>
      </c>
      <c r="I344" s="385">
        <f t="shared" si="3"/>
        <v>0</v>
      </c>
    </row>
    <row r="345" ht="22.5" customHeight="1">
      <c r="A345" s="391"/>
      <c r="B345" s="379"/>
      <c r="C345" s="393"/>
      <c r="D345" s="392"/>
      <c r="E345" s="392"/>
      <c r="F345" s="383" t="str">
        <f t="shared" si="1"/>
        <v/>
      </c>
      <c r="G345" s="384" t="str">
        <f>IFERROR(__xludf.DUMMYFUNCTION("IFERROR(AVERAGE(FILTER('حضور '!I:I,'حضور '!A:A=A345,MONTH('حضور '!B:B)=J345)),"""")"),"")</f>
        <v/>
      </c>
      <c r="H345" s="384">
        <f t="shared" si="2"/>
        <v>0</v>
      </c>
      <c r="I345" s="385">
        <f t="shared" si="3"/>
        <v>0</v>
      </c>
    </row>
    <row r="346" ht="22.5" customHeight="1">
      <c r="A346" s="391"/>
      <c r="B346" s="379"/>
      <c r="C346" s="393"/>
      <c r="D346" s="392"/>
      <c r="E346" s="392"/>
      <c r="F346" s="383" t="str">
        <f t="shared" si="1"/>
        <v/>
      </c>
      <c r="G346" s="384" t="str">
        <f>IFERROR(__xludf.DUMMYFUNCTION("IFERROR(AVERAGE(FILTER('حضور '!I:I,'حضور '!A:A=A346,MONTH('حضور '!B:B)=J346)),"""")"),"")</f>
        <v/>
      </c>
      <c r="H346" s="384">
        <f t="shared" si="2"/>
        <v>0</v>
      </c>
      <c r="I346" s="385">
        <f t="shared" si="3"/>
        <v>0</v>
      </c>
    </row>
    <row r="347" ht="22.5" customHeight="1">
      <c r="A347" s="391"/>
      <c r="B347" s="379"/>
      <c r="C347" s="393"/>
      <c r="D347" s="392"/>
      <c r="E347" s="392"/>
      <c r="F347" s="383" t="str">
        <f t="shared" si="1"/>
        <v/>
      </c>
      <c r="G347" s="384" t="str">
        <f>IFERROR(__xludf.DUMMYFUNCTION("IFERROR(AVERAGE(FILTER('حضور '!I:I,'حضور '!A:A=A347,MONTH('حضور '!B:B)=J347)),"""")"),"")</f>
        <v/>
      </c>
      <c r="H347" s="384">
        <f t="shared" si="2"/>
        <v>0</v>
      </c>
      <c r="I347" s="385">
        <f t="shared" si="3"/>
        <v>0</v>
      </c>
    </row>
    <row r="348" ht="22.5" customHeight="1">
      <c r="A348" s="391"/>
      <c r="B348" s="379"/>
      <c r="C348" s="393"/>
      <c r="D348" s="392"/>
      <c r="E348" s="392"/>
      <c r="F348" s="383" t="str">
        <f t="shared" si="1"/>
        <v/>
      </c>
      <c r="G348" s="384" t="str">
        <f>IFERROR(__xludf.DUMMYFUNCTION("IFERROR(AVERAGE(FILTER('حضور '!I:I,'حضور '!A:A=A348,MONTH('حضور '!B:B)=J348)),"""")"),"")</f>
        <v/>
      </c>
      <c r="H348" s="384">
        <f t="shared" si="2"/>
        <v>0</v>
      </c>
      <c r="I348" s="385">
        <f t="shared" si="3"/>
        <v>0</v>
      </c>
    </row>
    <row r="349" ht="22.5" customHeight="1">
      <c r="A349" s="391"/>
      <c r="B349" s="379"/>
      <c r="C349" s="393"/>
      <c r="D349" s="392"/>
      <c r="E349" s="392"/>
      <c r="F349" s="383" t="str">
        <f t="shared" si="1"/>
        <v/>
      </c>
      <c r="G349" s="384" t="str">
        <f>IFERROR(__xludf.DUMMYFUNCTION("IFERROR(AVERAGE(FILTER('حضور '!I:I,'حضور '!A:A=A349,MONTH('حضور '!B:B)=J349)),"""")"),"")</f>
        <v/>
      </c>
      <c r="H349" s="384">
        <f t="shared" si="2"/>
        <v>0</v>
      </c>
      <c r="I349" s="385">
        <f t="shared" si="3"/>
        <v>0</v>
      </c>
    </row>
    <row r="350" ht="22.5" customHeight="1">
      <c r="A350" s="391"/>
      <c r="B350" s="379"/>
      <c r="C350" s="393"/>
      <c r="D350" s="392"/>
      <c r="E350" s="392"/>
      <c r="F350" s="383" t="str">
        <f t="shared" si="1"/>
        <v/>
      </c>
      <c r="G350" s="384" t="str">
        <f>IFERROR(__xludf.DUMMYFUNCTION("IFERROR(AVERAGE(FILTER('حضور '!I:I,'حضور '!A:A=A350,MONTH('حضور '!B:B)=J350)),"""")"),"")</f>
        <v/>
      </c>
      <c r="H350" s="384">
        <f t="shared" si="2"/>
        <v>0</v>
      </c>
      <c r="I350" s="385">
        <f t="shared" si="3"/>
        <v>0</v>
      </c>
    </row>
    <row r="351" ht="22.5" customHeight="1">
      <c r="A351" s="391"/>
      <c r="B351" s="379"/>
      <c r="C351" s="393"/>
      <c r="D351" s="392"/>
      <c r="E351" s="392"/>
      <c r="F351" s="383" t="str">
        <f t="shared" si="1"/>
        <v/>
      </c>
      <c r="G351" s="384" t="str">
        <f>IFERROR(__xludf.DUMMYFUNCTION("IFERROR(AVERAGE(FILTER('حضور '!I:I,'حضور '!A:A=A351,MONTH('حضور '!B:B)=J351)),"""")"),"")</f>
        <v/>
      </c>
      <c r="H351" s="384">
        <f t="shared" si="2"/>
        <v>0</v>
      </c>
      <c r="I351" s="385">
        <f t="shared" si="3"/>
        <v>0</v>
      </c>
    </row>
    <row r="352" ht="22.5" customHeight="1">
      <c r="A352" s="391"/>
      <c r="B352" s="379"/>
      <c r="C352" s="393"/>
      <c r="D352" s="392"/>
      <c r="E352" s="392"/>
      <c r="F352" s="383" t="str">
        <f t="shared" si="1"/>
        <v/>
      </c>
      <c r="G352" s="384" t="str">
        <f>IFERROR(__xludf.DUMMYFUNCTION("IFERROR(AVERAGE(FILTER('حضور '!I:I,'حضور '!A:A=A352,MONTH('حضور '!B:B)=J352)),"""")"),"")</f>
        <v/>
      </c>
      <c r="H352" s="384">
        <f t="shared" si="2"/>
        <v>0</v>
      </c>
      <c r="I352" s="385">
        <f t="shared" si="3"/>
        <v>0</v>
      </c>
    </row>
    <row r="353" ht="22.5" customHeight="1">
      <c r="A353" s="391"/>
      <c r="B353" s="379"/>
      <c r="C353" s="393"/>
      <c r="D353" s="392"/>
      <c r="E353" s="392"/>
      <c r="F353" s="383" t="str">
        <f t="shared" si="1"/>
        <v/>
      </c>
      <c r="G353" s="384" t="str">
        <f>IFERROR(__xludf.DUMMYFUNCTION("IFERROR(AVERAGE(FILTER('حضور '!I:I,'حضور '!A:A=A353,MONTH('حضور '!B:B)=J353)),"""")"),"")</f>
        <v/>
      </c>
      <c r="H353" s="384">
        <f t="shared" si="2"/>
        <v>0</v>
      </c>
      <c r="I353" s="385">
        <f t="shared" si="3"/>
        <v>0</v>
      </c>
    </row>
    <row r="354" ht="22.5" customHeight="1">
      <c r="A354" s="391"/>
      <c r="B354" s="379"/>
      <c r="C354" s="393"/>
      <c r="D354" s="392"/>
      <c r="E354" s="392"/>
      <c r="F354" s="383" t="str">
        <f t="shared" si="1"/>
        <v/>
      </c>
      <c r="G354" s="384" t="str">
        <f>IFERROR(__xludf.DUMMYFUNCTION("IFERROR(AVERAGE(FILTER('حضور '!I:I,'حضور '!A:A=A354,MONTH('حضور '!B:B)=J354)),"""")"),"")</f>
        <v/>
      </c>
      <c r="H354" s="384">
        <f t="shared" si="2"/>
        <v>0</v>
      </c>
      <c r="I354" s="385">
        <f t="shared" si="3"/>
        <v>0</v>
      </c>
    </row>
    <row r="355" ht="22.5" customHeight="1">
      <c r="A355" s="391"/>
      <c r="B355" s="379"/>
      <c r="C355" s="393"/>
      <c r="D355" s="392"/>
      <c r="E355" s="392"/>
      <c r="F355" s="383" t="str">
        <f t="shared" si="1"/>
        <v/>
      </c>
      <c r="G355" s="384" t="str">
        <f>IFERROR(__xludf.DUMMYFUNCTION("IFERROR(AVERAGE(FILTER('حضور '!I:I,'حضور '!A:A=A355,MONTH('حضور '!B:B)=J355)),"""")"),"")</f>
        <v/>
      </c>
      <c r="H355" s="384">
        <f t="shared" si="2"/>
        <v>0</v>
      </c>
      <c r="I355" s="385">
        <f t="shared" si="3"/>
        <v>0</v>
      </c>
    </row>
    <row r="356" ht="22.5" customHeight="1">
      <c r="A356" s="391"/>
      <c r="B356" s="379"/>
      <c r="C356" s="393"/>
      <c r="D356" s="392"/>
      <c r="E356" s="392"/>
      <c r="F356" s="383" t="str">
        <f t="shared" si="1"/>
        <v/>
      </c>
      <c r="G356" s="384" t="str">
        <f>IFERROR(__xludf.DUMMYFUNCTION("IFERROR(AVERAGE(FILTER('حضور '!I:I,'حضور '!A:A=A356,MONTH('حضور '!B:B)=J356)),"""")"),"")</f>
        <v/>
      </c>
      <c r="H356" s="384">
        <f t="shared" si="2"/>
        <v>0</v>
      </c>
      <c r="I356" s="385">
        <f t="shared" si="3"/>
        <v>0</v>
      </c>
    </row>
    <row r="357" ht="22.5" customHeight="1">
      <c r="A357" s="391"/>
      <c r="B357" s="379"/>
      <c r="C357" s="393"/>
      <c r="D357" s="392"/>
      <c r="E357" s="392"/>
      <c r="F357" s="383" t="str">
        <f t="shared" si="1"/>
        <v/>
      </c>
      <c r="G357" s="384" t="str">
        <f>IFERROR(__xludf.DUMMYFUNCTION("IFERROR(AVERAGE(FILTER('حضور '!I:I,'حضور '!A:A=A357,MONTH('حضور '!B:B)=J357)),"""")"),"")</f>
        <v/>
      </c>
      <c r="H357" s="384">
        <f t="shared" si="2"/>
        <v>0</v>
      </c>
      <c r="I357" s="385">
        <f t="shared" si="3"/>
        <v>0</v>
      </c>
    </row>
    <row r="358" ht="22.5" customHeight="1">
      <c r="A358" s="391"/>
      <c r="B358" s="379"/>
      <c r="C358" s="393"/>
      <c r="D358" s="392"/>
      <c r="E358" s="392"/>
      <c r="F358" s="383" t="str">
        <f t="shared" si="1"/>
        <v/>
      </c>
      <c r="G358" s="384" t="str">
        <f>IFERROR(__xludf.DUMMYFUNCTION("IFERROR(AVERAGE(FILTER('حضور '!I:I,'حضور '!A:A=A358,MONTH('حضور '!B:B)=J358)),"""")"),"")</f>
        <v/>
      </c>
      <c r="H358" s="384">
        <f t="shared" si="2"/>
        <v>0</v>
      </c>
      <c r="I358" s="385">
        <f t="shared" si="3"/>
        <v>0</v>
      </c>
    </row>
    <row r="359" ht="22.5" customHeight="1">
      <c r="A359" s="391"/>
      <c r="B359" s="379"/>
      <c r="C359" s="393"/>
      <c r="D359" s="392"/>
      <c r="E359" s="392"/>
      <c r="F359" s="383" t="str">
        <f t="shared" si="1"/>
        <v/>
      </c>
      <c r="G359" s="384" t="str">
        <f>IFERROR(__xludf.DUMMYFUNCTION("IFERROR(AVERAGE(FILTER('حضور '!I:I,'حضور '!A:A=A359,MONTH('حضور '!B:B)=J359)),"""")"),"")</f>
        <v/>
      </c>
      <c r="H359" s="384">
        <f t="shared" si="2"/>
        <v>0</v>
      </c>
      <c r="I359" s="385">
        <f t="shared" si="3"/>
        <v>0</v>
      </c>
    </row>
    <row r="360" ht="22.5" customHeight="1">
      <c r="A360" s="391"/>
      <c r="B360" s="379"/>
      <c r="C360" s="393"/>
      <c r="D360" s="392"/>
      <c r="E360" s="392"/>
      <c r="F360" s="383" t="str">
        <f t="shared" si="1"/>
        <v/>
      </c>
      <c r="G360" s="384" t="str">
        <f>IFERROR(__xludf.DUMMYFUNCTION("IFERROR(AVERAGE(FILTER('حضور '!I:I,'حضور '!A:A=A360,MONTH('حضور '!B:B)=J360)),"""")"),"")</f>
        <v/>
      </c>
      <c r="H360" s="384">
        <f t="shared" si="2"/>
        <v>0</v>
      </c>
      <c r="I360" s="385">
        <f t="shared" si="3"/>
        <v>0</v>
      </c>
    </row>
    <row r="361" ht="22.5" customHeight="1">
      <c r="A361" s="391"/>
      <c r="B361" s="379"/>
      <c r="C361" s="393"/>
      <c r="D361" s="392"/>
      <c r="E361" s="392"/>
      <c r="F361" s="383" t="str">
        <f t="shared" si="1"/>
        <v/>
      </c>
      <c r="G361" s="384" t="str">
        <f>IFERROR(__xludf.DUMMYFUNCTION("IFERROR(AVERAGE(FILTER('حضور '!I:I,'حضور '!A:A=A361,MONTH('حضور '!B:B)=J361)),"""")"),"")</f>
        <v/>
      </c>
      <c r="H361" s="384">
        <f t="shared" si="2"/>
        <v>0</v>
      </c>
      <c r="I361" s="385">
        <f t="shared" si="3"/>
        <v>0</v>
      </c>
    </row>
    <row r="362" ht="22.5" customHeight="1">
      <c r="A362" s="391"/>
      <c r="B362" s="379"/>
      <c r="C362" s="393"/>
      <c r="D362" s="392"/>
      <c r="E362" s="392"/>
      <c r="F362" s="383" t="str">
        <f t="shared" si="1"/>
        <v/>
      </c>
      <c r="G362" s="384" t="str">
        <f>IFERROR(__xludf.DUMMYFUNCTION("IFERROR(AVERAGE(FILTER('حضور '!I:I,'حضور '!A:A=A362,MONTH('حضور '!B:B)=J362)),"""")"),"")</f>
        <v/>
      </c>
      <c r="H362" s="384">
        <f t="shared" si="2"/>
        <v>0</v>
      </c>
      <c r="I362" s="385">
        <f t="shared" si="3"/>
        <v>0</v>
      </c>
    </row>
    <row r="363" ht="22.5" customHeight="1">
      <c r="A363" s="391"/>
      <c r="B363" s="379"/>
      <c r="C363" s="393"/>
      <c r="D363" s="392"/>
      <c r="E363" s="392"/>
      <c r="F363" s="383" t="str">
        <f t="shared" si="1"/>
        <v/>
      </c>
      <c r="G363" s="384" t="str">
        <f>IFERROR(__xludf.DUMMYFUNCTION("IFERROR(AVERAGE(FILTER('حضور '!I:I,'حضور '!A:A=A363,MONTH('حضور '!B:B)=J363)),"""")"),"")</f>
        <v/>
      </c>
      <c r="H363" s="384">
        <f t="shared" si="2"/>
        <v>0</v>
      </c>
      <c r="I363" s="385">
        <f t="shared" si="3"/>
        <v>0</v>
      </c>
    </row>
    <row r="364" ht="22.5" customHeight="1">
      <c r="A364" s="391"/>
      <c r="B364" s="379"/>
      <c r="C364" s="393"/>
      <c r="D364" s="392"/>
      <c r="E364" s="392"/>
      <c r="F364" s="383" t="str">
        <f t="shared" si="1"/>
        <v/>
      </c>
      <c r="G364" s="384" t="str">
        <f>IFERROR(__xludf.DUMMYFUNCTION("IFERROR(AVERAGE(FILTER('حضور '!I:I,'حضور '!A:A=A364,MONTH('حضور '!B:B)=J364)),"""")"),"")</f>
        <v/>
      </c>
      <c r="H364" s="384">
        <f t="shared" si="2"/>
        <v>0</v>
      </c>
      <c r="I364" s="385">
        <f t="shared" si="3"/>
        <v>0</v>
      </c>
    </row>
    <row r="365" ht="22.5" customHeight="1">
      <c r="A365" s="391"/>
      <c r="B365" s="379"/>
      <c r="C365" s="393"/>
      <c r="D365" s="392"/>
      <c r="E365" s="392"/>
      <c r="F365" s="383" t="str">
        <f t="shared" si="1"/>
        <v/>
      </c>
      <c r="G365" s="384" t="str">
        <f>IFERROR(__xludf.DUMMYFUNCTION("IFERROR(AVERAGE(FILTER('حضور '!I:I,'حضور '!A:A=A365,MONTH('حضور '!B:B)=J365)),"""")"),"")</f>
        <v/>
      </c>
      <c r="H365" s="384">
        <f t="shared" si="2"/>
        <v>0</v>
      </c>
      <c r="I365" s="385">
        <f t="shared" si="3"/>
        <v>0</v>
      </c>
    </row>
    <row r="366" ht="22.5" customHeight="1">
      <c r="A366" s="391"/>
      <c r="B366" s="379"/>
      <c r="C366" s="393"/>
      <c r="D366" s="392"/>
      <c r="E366" s="392"/>
      <c r="F366" s="383" t="str">
        <f t="shared" si="1"/>
        <v/>
      </c>
      <c r="G366" s="384" t="str">
        <f>IFERROR(__xludf.DUMMYFUNCTION("IFERROR(AVERAGE(FILTER('حضور '!I:I,'حضور '!A:A=A366,MONTH('حضور '!B:B)=J366)),"""")"),"")</f>
        <v/>
      </c>
      <c r="H366" s="384">
        <f t="shared" si="2"/>
        <v>0</v>
      </c>
      <c r="I366" s="385">
        <f t="shared" si="3"/>
        <v>0</v>
      </c>
    </row>
    <row r="367" ht="22.5" customHeight="1">
      <c r="A367" s="391"/>
      <c r="B367" s="379"/>
      <c r="C367" s="393"/>
      <c r="D367" s="392"/>
      <c r="E367" s="392"/>
      <c r="F367" s="383" t="str">
        <f t="shared" si="1"/>
        <v/>
      </c>
      <c r="G367" s="384" t="str">
        <f>IFERROR(__xludf.DUMMYFUNCTION("IFERROR(AVERAGE(FILTER('حضور '!I:I,'حضور '!A:A=A367,MONTH('حضور '!B:B)=J367)),"""")"),"")</f>
        <v/>
      </c>
      <c r="H367" s="384">
        <f t="shared" si="2"/>
        <v>0</v>
      </c>
      <c r="I367" s="385">
        <f t="shared" si="3"/>
        <v>0</v>
      </c>
    </row>
    <row r="368" ht="22.5" customHeight="1">
      <c r="A368" s="391"/>
      <c r="B368" s="379"/>
      <c r="C368" s="393"/>
      <c r="D368" s="392"/>
      <c r="E368" s="392"/>
      <c r="F368" s="383" t="str">
        <f t="shared" si="1"/>
        <v/>
      </c>
      <c r="G368" s="384" t="str">
        <f>IFERROR(__xludf.DUMMYFUNCTION("IFERROR(AVERAGE(FILTER('حضور '!I:I,'حضور '!A:A=A368,MONTH('حضور '!B:B)=J368)),"""")"),"")</f>
        <v/>
      </c>
      <c r="H368" s="384">
        <f t="shared" si="2"/>
        <v>0</v>
      </c>
      <c r="I368" s="385">
        <f t="shared" si="3"/>
        <v>0</v>
      </c>
    </row>
    <row r="369" ht="22.5" customHeight="1">
      <c r="A369" s="391"/>
      <c r="B369" s="379"/>
      <c r="C369" s="393"/>
      <c r="D369" s="392"/>
      <c r="E369" s="392"/>
      <c r="F369" s="383" t="str">
        <f t="shared" si="1"/>
        <v/>
      </c>
      <c r="G369" s="384" t="str">
        <f>IFERROR(__xludf.DUMMYFUNCTION("IFERROR(AVERAGE(FILTER('حضور '!I:I,'حضور '!A:A=A369,MONTH('حضور '!B:B)=J369)),"""")"),"")</f>
        <v/>
      </c>
      <c r="H369" s="384">
        <f t="shared" si="2"/>
        <v>0</v>
      </c>
      <c r="I369" s="385">
        <f t="shared" si="3"/>
        <v>0</v>
      </c>
    </row>
    <row r="370" ht="22.5" customHeight="1">
      <c r="A370" s="391"/>
      <c r="B370" s="379"/>
      <c r="C370" s="393"/>
      <c r="D370" s="392"/>
      <c r="E370" s="392"/>
      <c r="F370" s="383" t="str">
        <f t="shared" si="1"/>
        <v/>
      </c>
      <c r="G370" s="384" t="str">
        <f>IFERROR(__xludf.DUMMYFUNCTION("IFERROR(AVERAGE(FILTER('حضور '!I:I,'حضور '!A:A=A370,MONTH('حضور '!B:B)=J370)),"""")"),"")</f>
        <v/>
      </c>
      <c r="H370" s="384">
        <f t="shared" si="2"/>
        <v>0</v>
      </c>
      <c r="I370" s="385">
        <f t="shared" si="3"/>
        <v>0</v>
      </c>
    </row>
    <row r="371" ht="22.5" customHeight="1">
      <c r="A371" s="391"/>
      <c r="B371" s="379"/>
      <c r="C371" s="393"/>
      <c r="D371" s="392"/>
      <c r="E371" s="392"/>
      <c r="F371" s="383" t="str">
        <f t="shared" si="1"/>
        <v/>
      </c>
      <c r="G371" s="384" t="str">
        <f>IFERROR(__xludf.DUMMYFUNCTION("IFERROR(AVERAGE(FILTER('حضور '!I:I,'حضور '!A:A=A371,MONTH('حضور '!B:B)=J371)),"""")"),"")</f>
        <v/>
      </c>
      <c r="H371" s="384">
        <f t="shared" si="2"/>
        <v>0</v>
      </c>
      <c r="I371" s="385">
        <f t="shared" si="3"/>
        <v>0</v>
      </c>
    </row>
    <row r="372" ht="22.5" customHeight="1">
      <c r="A372" s="391"/>
      <c r="B372" s="379"/>
      <c r="C372" s="393"/>
      <c r="D372" s="392"/>
      <c r="E372" s="392"/>
      <c r="F372" s="383" t="str">
        <f t="shared" si="1"/>
        <v/>
      </c>
      <c r="G372" s="384" t="str">
        <f>IFERROR(__xludf.DUMMYFUNCTION("IFERROR(AVERAGE(FILTER('حضور '!I:I,'حضور '!A:A=A372,MONTH('حضور '!B:B)=J372)),"""")"),"")</f>
        <v/>
      </c>
      <c r="H372" s="384">
        <f t="shared" si="2"/>
        <v>0</v>
      </c>
      <c r="I372" s="385">
        <f t="shared" si="3"/>
        <v>0</v>
      </c>
    </row>
    <row r="373" ht="22.5" customHeight="1">
      <c r="A373" s="391"/>
      <c r="B373" s="379"/>
      <c r="C373" s="393"/>
      <c r="D373" s="392"/>
      <c r="E373" s="392"/>
      <c r="F373" s="383" t="str">
        <f t="shared" si="1"/>
        <v/>
      </c>
      <c r="G373" s="384" t="str">
        <f>IFERROR(__xludf.DUMMYFUNCTION("IFERROR(AVERAGE(FILTER('حضور '!I:I,'حضور '!A:A=A373,MONTH('حضور '!B:B)=J373)),"""")"),"")</f>
        <v/>
      </c>
      <c r="H373" s="384">
        <f t="shared" si="2"/>
        <v>0</v>
      </c>
      <c r="I373" s="385">
        <f t="shared" si="3"/>
        <v>0</v>
      </c>
    </row>
    <row r="374" ht="22.5" customHeight="1">
      <c r="A374" s="391"/>
      <c r="B374" s="379"/>
      <c r="C374" s="393"/>
      <c r="D374" s="392"/>
      <c r="E374" s="392"/>
      <c r="F374" s="383" t="str">
        <f t="shared" si="1"/>
        <v/>
      </c>
      <c r="G374" s="384" t="str">
        <f>IFERROR(__xludf.DUMMYFUNCTION("IFERROR(AVERAGE(FILTER('حضور '!I:I,'حضور '!A:A=A374,MONTH('حضور '!B:B)=J374)),"""")"),"")</f>
        <v/>
      </c>
      <c r="H374" s="384">
        <f t="shared" si="2"/>
        <v>0</v>
      </c>
      <c r="I374" s="385">
        <f t="shared" si="3"/>
        <v>0</v>
      </c>
    </row>
    <row r="375" ht="22.5" customHeight="1">
      <c r="A375" s="391"/>
      <c r="B375" s="379"/>
      <c r="C375" s="393"/>
      <c r="D375" s="392"/>
      <c r="E375" s="392"/>
      <c r="F375" s="383" t="str">
        <f t="shared" si="1"/>
        <v/>
      </c>
      <c r="G375" s="384" t="str">
        <f>IFERROR(__xludf.DUMMYFUNCTION("IFERROR(AVERAGE(FILTER('حضور '!I:I,'حضور '!A:A=A375,MONTH('حضور '!B:B)=J375)),"""")"),"")</f>
        <v/>
      </c>
      <c r="H375" s="384">
        <f t="shared" si="2"/>
        <v>0</v>
      </c>
      <c r="I375" s="385">
        <f t="shared" si="3"/>
        <v>0</v>
      </c>
    </row>
    <row r="376" ht="22.5" customHeight="1">
      <c r="A376" s="391"/>
      <c r="B376" s="379"/>
      <c r="C376" s="393"/>
      <c r="D376" s="392"/>
      <c r="E376" s="392"/>
      <c r="F376" s="383" t="str">
        <f t="shared" si="1"/>
        <v/>
      </c>
      <c r="G376" s="384" t="str">
        <f>IFERROR(__xludf.DUMMYFUNCTION("IFERROR(AVERAGE(FILTER('حضور '!I:I,'حضور '!A:A=A376,MONTH('حضور '!B:B)=J376)),"""")"),"")</f>
        <v/>
      </c>
      <c r="H376" s="384">
        <f t="shared" si="2"/>
        <v>0</v>
      </c>
      <c r="I376" s="385">
        <f t="shared" si="3"/>
        <v>0</v>
      </c>
    </row>
    <row r="377" ht="22.5" customHeight="1">
      <c r="A377" s="391"/>
      <c r="B377" s="379"/>
      <c r="C377" s="393"/>
      <c r="D377" s="392"/>
      <c r="E377" s="392"/>
      <c r="F377" s="383" t="str">
        <f t="shared" si="1"/>
        <v/>
      </c>
      <c r="G377" s="384" t="str">
        <f>IFERROR(__xludf.DUMMYFUNCTION("IFERROR(AVERAGE(FILTER('حضور '!I:I,'حضور '!A:A=A377,MONTH('حضور '!B:B)=J377)),"""")"),"")</f>
        <v/>
      </c>
      <c r="H377" s="384">
        <f t="shared" si="2"/>
        <v>0</v>
      </c>
      <c r="I377" s="385">
        <f t="shared" si="3"/>
        <v>0</v>
      </c>
    </row>
    <row r="378" ht="22.5" customHeight="1">
      <c r="A378" s="391"/>
      <c r="B378" s="379"/>
      <c r="C378" s="393"/>
      <c r="D378" s="392"/>
      <c r="E378" s="392"/>
      <c r="F378" s="383" t="str">
        <f t="shared" si="1"/>
        <v/>
      </c>
      <c r="G378" s="384" t="str">
        <f>IFERROR(__xludf.DUMMYFUNCTION("IFERROR(AVERAGE(FILTER('حضور '!I:I,'حضور '!A:A=A378,MONTH('حضور '!B:B)=J378)),"""")"),"")</f>
        <v/>
      </c>
      <c r="H378" s="384">
        <f t="shared" si="2"/>
        <v>0</v>
      </c>
      <c r="I378" s="385">
        <f t="shared" si="3"/>
        <v>0</v>
      </c>
    </row>
    <row r="379" ht="22.5" customHeight="1">
      <c r="A379" s="391"/>
      <c r="B379" s="379"/>
      <c r="C379" s="393"/>
      <c r="D379" s="392"/>
      <c r="E379" s="392"/>
      <c r="F379" s="383" t="str">
        <f t="shared" si="1"/>
        <v/>
      </c>
      <c r="G379" s="384" t="str">
        <f>IFERROR(__xludf.DUMMYFUNCTION("IFERROR(AVERAGE(FILTER('حضور '!I:I,'حضور '!A:A=A379,MONTH('حضور '!B:B)=J379)),"""")"),"")</f>
        <v/>
      </c>
      <c r="H379" s="384">
        <f t="shared" si="2"/>
        <v>0</v>
      </c>
      <c r="I379" s="385">
        <f t="shared" si="3"/>
        <v>0</v>
      </c>
    </row>
    <row r="380" ht="22.5" customHeight="1">
      <c r="A380" s="391"/>
      <c r="B380" s="379"/>
      <c r="C380" s="393"/>
      <c r="D380" s="392"/>
      <c r="E380" s="392"/>
      <c r="F380" s="383" t="str">
        <f t="shared" si="1"/>
        <v/>
      </c>
      <c r="G380" s="384" t="str">
        <f>IFERROR(__xludf.DUMMYFUNCTION("IFERROR(AVERAGE(FILTER('حضور '!I:I,'حضور '!A:A=A380,MONTH('حضور '!B:B)=J380)),"""")"),"")</f>
        <v/>
      </c>
      <c r="H380" s="384">
        <f t="shared" si="2"/>
        <v>0</v>
      </c>
      <c r="I380" s="385">
        <f t="shared" si="3"/>
        <v>0</v>
      </c>
    </row>
    <row r="381" ht="22.5" customHeight="1">
      <c r="A381" s="391"/>
      <c r="B381" s="379"/>
      <c r="C381" s="393"/>
      <c r="D381" s="392"/>
      <c r="E381" s="392"/>
      <c r="F381" s="383" t="str">
        <f t="shared" si="1"/>
        <v/>
      </c>
      <c r="G381" s="384" t="str">
        <f>IFERROR(__xludf.DUMMYFUNCTION("IFERROR(AVERAGE(FILTER('حضور '!I:I,'حضور '!A:A=A381,MONTH('حضور '!B:B)=J381)),"""")"),"")</f>
        <v/>
      </c>
      <c r="H381" s="384">
        <f t="shared" si="2"/>
        <v>0</v>
      </c>
      <c r="I381" s="385">
        <f t="shared" si="3"/>
        <v>0</v>
      </c>
    </row>
    <row r="382" ht="22.5" customHeight="1">
      <c r="A382" s="391"/>
      <c r="B382" s="379"/>
      <c r="C382" s="393"/>
      <c r="D382" s="392"/>
      <c r="E382" s="392"/>
      <c r="F382" s="383" t="str">
        <f t="shared" si="1"/>
        <v/>
      </c>
      <c r="G382" s="384" t="str">
        <f>IFERROR(__xludf.DUMMYFUNCTION("IFERROR(AVERAGE(FILTER('حضور '!I:I,'حضور '!A:A=A382,MONTH('حضور '!B:B)=J382)),"""")"),"")</f>
        <v/>
      </c>
      <c r="H382" s="384">
        <f t="shared" si="2"/>
        <v>0</v>
      </c>
      <c r="I382" s="385">
        <f t="shared" si="3"/>
        <v>0</v>
      </c>
    </row>
    <row r="383" ht="22.5" customHeight="1">
      <c r="A383" s="391"/>
      <c r="B383" s="379"/>
      <c r="C383" s="393"/>
      <c r="D383" s="392"/>
      <c r="E383" s="392"/>
      <c r="F383" s="383" t="str">
        <f t="shared" si="1"/>
        <v/>
      </c>
      <c r="G383" s="384" t="str">
        <f>IFERROR(__xludf.DUMMYFUNCTION("IFERROR(AVERAGE(FILTER('حضور '!I:I,'حضور '!A:A=A383,MONTH('حضور '!B:B)=J383)),"""")"),"")</f>
        <v/>
      </c>
      <c r="H383" s="384">
        <f t="shared" si="2"/>
        <v>0</v>
      </c>
      <c r="I383" s="385">
        <f t="shared" si="3"/>
        <v>0</v>
      </c>
    </row>
    <row r="384" ht="22.5" customHeight="1">
      <c r="A384" s="391"/>
      <c r="B384" s="379"/>
      <c r="C384" s="393"/>
      <c r="D384" s="392"/>
      <c r="E384" s="392"/>
      <c r="F384" s="383" t="str">
        <f t="shared" si="1"/>
        <v/>
      </c>
      <c r="G384" s="384" t="str">
        <f>IFERROR(__xludf.DUMMYFUNCTION("IFERROR(AVERAGE(FILTER('حضور '!I:I,'حضور '!A:A=A384,MONTH('حضور '!B:B)=J384)),"""")"),"")</f>
        <v/>
      </c>
      <c r="H384" s="384">
        <f t="shared" si="2"/>
        <v>0</v>
      </c>
      <c r="I384" s="385">
        <f t="shared" si="3"/>
        <v>0</v>
      </c>
    </row>
    <row r="385" ht="22.5" customHeight="1">
      <c r="A385" s="391"/>
      <c r="B385" s="379"/>
      <c r="C385" s="393"/>
      <c r="D385" s="392"/>
      <c r="E385" s="392"/>
      <c r="F385" s="383" t="str">
        <f t="shared" si="1"/>
        <v/>
      </c>
      <c r="G385" s="384" t="str">
        <f>IFERROR(__xludf.DUMMYFUNCTION("IFERROR(AVERAGE(FILTER('حضور '!I:I,'حضور '!A:A=A385,MONTH('حضور '!B:B)=J385)),"""")"),"")</f>
        <v/>
      </c>
      <c r="H385" s="384">
        <f t="shared" si="2"/>
        <v>0</v>
      </c>
      <c r="I385" s="385">
        <f t="shared" si="3"/>
        <v>0</v>
      </c>
    </row>
    <row r="386" ht="22.5" customHeight="1">
      <c r="A386" s="391"/>
      <c r="B386" s="379"/>
      <c r="C386" s="393"/>
      <c r="D386" s="392"/>
      <c r="E386" s="392"/>
      <c r="F386" s="383" t="str">
        <f t="shared" si="1"/>
        <v/>
      </c>
      <c r="G386" s="384" t="str">
        <f>IFERROR(__xludf.DUMMYFUNCTION("IFERROR(AVERAGE(FILTER('حضور '!I:I,'حضور '!A:A=A386,MONTH('حضور '!B:B)=J386)),"""")"),"")</f>
        <v/>
      </c>
      <c r="H386" s="384">
        <f t="shared" si="2"/>
        <v>0</v>
      </c>
      <c r="I386" s="385">
        <f t="shared" si="3"/>
        <v>0</v>
      </c>
    </row>
    <row r="387" ht="22.5" customHeight="1">
      <c r="A387" s="391"/>
      <c r="B387" s="379"/>
      <c r="C387" s="393"/>
      <c r="D387" s="392"/>
      <c r="E387" s="392"/>
      <c r="F387" s="383" t="str">
        <f t="shared" si="1"/>
        <v/>
      </c>
      <c r="G387" s="384" t="str">
        <f>IFERROR(__xludf.DUMMYFUNCTION("IFERROR(AVERAGE(FILTER('حضور '!I:I,'حضور '!A:A=A387,MONTH('حضور '!B:B)=J387)),"""")"),"")</f>
        <v/>
      </c>
      <c r="H387" s="384">
        <f t="shared" si="2"/>
        <v>0</v>
      </c>
      <c r="I387" s="385">
        <f t="shared" si="3"/>
        <v>0</v>
      </c>
    </row>
    <row r="388" ht="22.5" customHeight="1">
      <c r="A388" s="391"/>
      <c r="B388" s="379"/>
      <c r="C388" s="393"/>
      <c r="D388" s="392"/>
      <c r="E388" s="392"/>
      <c r="F388" s="383" t="str">
        <f t="shared" si="1"/>
        <v/>
      </c>
      <c r="G388" s="384" t="str">
        <f>IFERROR(__xludf.DUMMYFUNCTION("IFERROR(AVERAGE(FILTER('حضور '!I:I,'حضور '!A:A=A388,MONTH('حضور '!B:B)=J388)),"""")"),"")</f>
        <v/>
      </c>
      <c r="H388" s="384">
        <f t="shared" si="2"/>
        <v>0</v>
      </c>
      <c r="I388" s="385">
        <f t="shared" si="3"/>
        <v>0</v>
      </c>
    </row>
    <row r="389" ht="22.5" customHeight="1">
      <c r="A389" s="391"/>
      <c r="B389" s="379"/>
      <c r="C389" s="393"/>
      <c r="D389" s="392"/>
      <c r="E389" s="392"/>
      <c r="F389" s="383" t="str">
        <f t="shared" si="1"/>
        <v/>
      </c>
      <c r="G389" s="384" t="str">
        <f>IFERROR(__xludf.DUMMYFUNCTION("IFERROR(AVERAGE(FILTER('حضور '!I:I,'حضور '!A:A=A389,MONTH('حضور '!B:B)=J389)),"""")"),"")</f>
        <v/>
      </c>
      <c r="H389" s="384">
        <f t="shared" si="2"/>
        <v>0</v>
      </c>
      <c r="I389" s="385">
        <f t="shared" si="3"/>
        <v>0</v>
      </c>
    </row>
    <row r="390" ht="22.5" customHeight="1">
      <c r="A390" s="391"/>
      <c r="B390" s="379"/>
      <c r="C390" s="393"/>
      <c r="D390" s="392"/>
      <c r="E390" s="392"/>
      <c r="F390" s="383" t="str">
        <f t="shared" si="1"/>
        <v/>
      </c>
      <c r="G390" s="384" t="str">
        <f>IFERROR(__xludf.DUMMYFUNCTION("IFERROR(AVERAGE(FILTER('حضور '!I:I,'حضور '!A:A=A390,MONTH('حضور '!B:B)=J390)),"""")"),"")</f>
        <v/>
      </c>
      <c r="H390" s="384">
        <f t="shared" si="2"/>
        <v>0</v>
      </c>
      <c r="I390" s="385">
        <f t="shared" si="3"/>
        <v>0</v>
      </c>
    </row>
    <row r="391" ht="22.5" customHeight="1">
      <c r="A391" s="391"/>
      <c r="B391" s="379"/>
      <c r="C391" s="393"/>
      <c r="D391" s="392"/>
      <c r="E391" s="392"/>
      <c r="F391" s="383" t="str">
        <f t="shared" si="1"/>
        <v/>
      </c>
      <c r="G391" s="384" t="str">
        <f>IFERROR(__xludf.DUMMYFUNCTION("IFERROR(AVERAGE(FILTER('حضور '!I:I,'حضور '!A:A=A391,MONTH('حضور '!B:B)=J391)),"""")"),"")</f>
        <v/>
      </c>
      <c r="H391" s="384">
        <f t="shared" si="2"/>
        <v>0</v>
      </c>
      <c r="I391" s="385">
        <f t="shared" si="3"/>
        <v>0</v>
      </c>
    </row>
    <row r="392" ht="22.5" customHeight="1">
      <c r="A392" s="391"/>
      <c r="B392" s="379"/>
      <c r="C392" s="393"/>
      <c r="D392" s="392"/>
      <c r="E392" s="392"/>
      <c r="F392" s="383" t="str">
        <f t="shared" si="1"/>
        <v/>
      </c>
      <c r="G392" s="384" t="str">
        <f>IFERROR(__xludf.DUMMYFUNCTION("IFERROR(AVERAGE(FILTER('حضور '!I:I,'حضور '!A:A=A392,MONTH('حضور '!B:B)=J392)),"""")"),"")</f>
        <v/>
      </c>
      <c r="H392" s="384">
        <f t="shared" si="2"/>
        <v>0</v>
      </c>
      <c r="I392" s="385">
        <f t="shared" si="3"/>
        <v>0</v>
      </c>
    </row>
    <row r="393" ht="22.5" customHeight="1">
      <c r="A393" s="391"/>
      <c r="B393" s="379"/>
      <c r="C393" s="393"/>
      <c r="D393" s="392"/>
      <c r="E393" s="392"/>
      <c r="F393" s="383" t="str">
        <f t="shared" si="1"/>
        <v/>
      </c>
      <c r="G393" s="384" t="str">
        <f>IFERROR(__xludf.DUMMYFUNCTION("IFERROR(AVERAGE(FILTER('حضور '!I:I,'حضور '!A:A=A393,MONTH('حضور '!B:B)=J393)),"""")"),"")</f>
        <v/>
      </c>
      <c r="H393" s="384">
        <f t="shared" si="2"/>
        <v>0</v>
      </c>
      <c r="I393" s="385">
        <f t="shared" si="3"/>
        <v>0</v>
      </c>
    </row>
    <row r="394" ht="22.5" customHeight="1">
      <c r="A394" s="391"/>
      <c r="B394" s="379"/>
      <c r="C394" s="393"/>
      <c r="D394" s="392"/>
      <c r="E394" s="392"/>
      <c r="F394" s="383" t="str">
        <f t="shared" si="1"/>
        <v/>
      </c>
      <c r="G394" s="384" t="str">
        <f>IFERROR(__xludf.DUMMYFUNCTION("IFERROR(AVERAGE(FILTER('حضور '!I:I,'حضور '!A:A=A394,MONTH('حضور '!B:B)=J394)),"""")"),"")</f>
        <v/>
      </c>
      <c r="H394" s="384">
        <f t="shared" si="2"/>
        <v>0</v>
      </c>
      <c r="I394" s="385">
        <f t="shared" si="3"/>
        <v>0</v>
      </c>
    </row>
    <row r="395" ht="22.5" customHeight="1">
      <c r="A395" s="391"/>
      <c r="B395" s="379"/>
      <c r="C395" s="393"/>
      <c r="D395" s="392"/>
      <c r="E395" s="392"/>
      <c r="F395" s="383" t="str">
        <f t="shared" si="1"/>
        <v/>
      </c>
      <c r="G395" s="384" t="str">
        <f>IFERROR(__xludf.DUMMYFUNCTION("IFERROR(AVERAGE(FILTER('حضور '!I:I,'حضور '!A:A=A395,MONTH('حضور '!B:B)=J395)),"""")"),"")</f>
        <v/>
      </c>
      <c r="H395" s="384">
        <f t="shared" si="2"/>
        <v>0</v>
      </c>
      <c r="I395" s="385">
        <f t="shared" si="3"/>
        <v>0</v>
      </c>
    </row>
    <row r="396" ht="22.5" customHeight="1">
      <c r="A396" s="391"/>
      <c r="B396" s="379"/>
      <c r="C396" s="393"/>
      <c r="D396" s="392"/>
      <c r="E396" s="392"/>
      <c r="F396" s="383" t="str">
        <f t="shared" si="1"/>
        <v/>
      </c>
      <c r="G396" s="384" t="str">
        <f>IFERROR(__xludf.DUMMYFUNCTION("IFERROR(AVERAGE(FILTER('حضور '!I:I,'حضور '!A:A=A396,MONTH('حضور '!B:B)=J396)),"""")"),"")</f>
        <v/>
      </c>
      <c r="H396" s="384">
        <f t="shared" si="2"/>
        <v>0</v>
      </c>
      <c r="I396" s="385">
        <f t="shared" si="3"/>
        <v>0</v>
      </c>
    </row>
    <row r="397" ht="22.5" customHeight="1">
      <c r="A397" s="391"/>
      <c r="B397" s="379"/>
      <c r="C397" s="393"/>
      <c r="D397" s="392"/>
      <c r="E397" s="392"/>
      <c r="F397" s="383" t="str">
        <f t="shared" si="1"/>
        <v/>
      </c>
      <c r="G397" s="384" t="str">
        <f>IFERROR(__xludf.DUMMYFUNCTION("IFERROR(AVERAGE(FILTER('حضور '!I:I,'حضور '!A:A=A397,MONTH('حضور '!B:B)=J397)),"""")"),"")</f>
        <v/>
      </c>
      <c r="H397" s="384">
        <f t="shared" si="2"/>
        <v>0</v>
      </c>
      <c r="I397" s="385">
        <f t="shared" si="3"/>
        <v>0</v>
      </c>
    </row>
    <row r="398" ht="22.5" customHeight="1">
      <c r="A398" s="391"/>
      <c r="B398" s="379"/>
      <c r="C398" s="393"/>
      <c r="D398" s="392"/>
      <c r="E398" s="392"/>
      <c r="F398" s="383" t="str">
        <f t="shared" si="1"/>
        <v/>
      </c>
      <c r="G398" s="384" t="str">
        <f>IFERROR(__xludf.DUMMYFUNCTION("IFERROR(AVERAGE(FILTER('حضور '!I:I,'حضور '!A:A=A398,MONTH('حضور '!B:B)=J398)),"""")"),"")</f>
        <v/>
      </c>
      <c r="H398" s="384">
        <f t="shared" si="2"/>
        <v>0</v>
      </c>
      <c r="I398" s="385">
        <f t="shared" si="3"/>
        <v>0</v>
      </c>
    </row>
    <row r="399" ht="22.5" customHeight="1">
      <c r="A399" s="391"/>
      <c r="B399" s="379"/>
      <c r="C399" s="393"/>
      <c r="D399" s="392"/>
      <c r="E399" s="392"/>
      <c r="F399" s="383" t="str">
        <f t="shared" si="1"/>
        <v/>
      </c>
      <c r="G399" s="384" t="str">
        <f>IFERROR(__xludf.DUMMYFUNCTION("IFERROR(AVERAGE(FILTER('حضور '!I:I,'حضور '!A:A=A399,MONTH('حضور '!B:B)=J399)),"""")"),"")</f>
        <v/>
      </c>
      <c r="H399" s="384">
        <f t="shared" si="2"/>
        <v>0</v>
      </c>
      <c r="I399" s="385">
        <f t="shared" si="3"/>
        <v>0</v>
      </c>
    </row>
    <row r="400" ht="22.5" customHeight="1">
      <c r="A400" s="391"/>
      <c r="B400" s="379"/>
      <c r="C400" s="393"/>
      <c r="D400" s="392"/>
      <c r="E400" s="392"/>
      <c r="F400" s="383" t="str">
        <f t="shared" si="1"/>
        <v/>
      </c>
      <c r="G400" s="384" t="str">
        <f>IFERROR(__xludf.DUMMYFUNCTION("IFERROR(AVERAGE(FILTER('حضور '!I:I,'حضور '!A:A=A400,MONTH('حضور '!B:B)=J400)),"""")"),"")</f>
        <v/>
      </c>
      <c r="H400" s="384">
        <f t="shared" si="2"/>
        <v>0</v>
      </c>
      <c r="I400" s="385">
        <f t="shared" si="3"/>
        <v>0</v>
      </c>
    </row>
    <row r="401" ht="22.5" customHeight="1">
      <c r="A401" s="391"/>
      <c r="B401" s="379"/>
      <c r="C401" s="393"/>
      <c r="D401" s="392"/>
      <c r="E401" s="392"/>
      <c r="F401" s="383" t="str">
        <f t="shared" si="1"/>
        <v/>
      </c>
      <c r="G401" s="384" t="str">
        <f>IFERROR(__xludf.DUMMYFUNCTION("IFERROR(AVERAGE(FILTER('حضور '!I:I,'حضور '!A:A=A401,MONTH('حضور '!B:B)=J401)),"""")"),"")</f>
        <v/>
      </c>
      <c r="H401" s="384">
        <f t="shared" si="2"/>
        <v>0</v>
      </c>
      <c r="I401" s="385">
        <f t="shared" si="3"/>
        <v>0</v>
      </c>
    </row>
    <row r="402" ht="22.5" customHeight="1">
      <c r="A402" s="391"/>
      <c r="B402" s="379"/>
      <c r="C402" s="393"/>
      <c r="D402" s="392"/>
      <c r="E402" s="392"/>
      <c r="F402" s="383" t="str">
        <f t="shared" si="1"/>
        <v/>
      </c>
      <c r="G402" s="384" t="str">
        <f>IFERROR(__xludf.DUMMYFUNCTION("IFERROR(AVERAGE(FILTER('حضور '!I:I,'حضور '!A:A=A402,MONTH('حضور '!B:B)=J402)),"""")"),"")</f>
        <v/>
      </c>
      <c r="H402" s="384">
        <f t="shared" si="2"/>
        <v>0</v>
      </c>
      <c r="I402" s="385">
        <f t="shared" si="3"/>
        <v>0</v>
      </c>
    </row>
    <row r="403" ht="22.5" customHeight="1">
      <c r="A403" s="391"/>
      <c r="B403" s="379"/>
      <c r="C403" s="393"/>
      <c r="D403" s="392"/>
      <c r="E403" s="392"/>
      <c r="F403" s="383" t="str">
        <f t="shared" si="1"/>
        <v/>
      </c>
      <c r="G403" s="384" t="str">
        <f>IFERROR(__xludf.DUMMYFUNCTION("IFERROR(AVERAGE(FILTER('حضور '!I:I,'حضور '!A:A=A403,MONTH('حضور '!B:B)=J403)),"""")"),"")</f>
        <v/>
      </c>
      <c r="H403" s="384">
        <f t="shared" si="2"/>
        <v>0</v>
      </c>
      <c r="I403" s="385">
        <f t="shared" si="3"/>
        <v>0</v>
      </c>
    </row>
    <row r="404" ht="22.5" customHeight="1">
      <c r="A404" s="391"/>
      <c r="B404" s="379"/>
      <c r="C404" s="393"/>
      <c r="D404" s="392"/>
      <c r="E404" s="392"/>
      <c r="F404" s="383" t="str">
        <f t="shared" si="1"/>
        <v/>
      </c>
      <c r="G404" s="384" t="str">
        <f>IFERROR(__xludf.DUMMYFUNCTION("IFERROR(AVERAGE(FILTER('حضور '!I:I,'حضور '!A:A=A404,MONTH('حضور '!B:B)=J404)),"""")"),"")</f>
        <v/>
      </c>
      <c r="H404" s="384">
        <f t="shared" si="2"/>
        <v>0</v>
      </c>
      <c r="I404" s="385">
        <f t="shared" si="3"/>
        <v>0</v>
      </c>
    </row>
    <row r="405" ht="22.5" customHeight="1">
      <c r="A405" s="391"/>
      <c r="B405" s="379"/>
      <c r="C405" s="393"/>
      <c r="D405" s="392"/>
      <c r="E405" s="392"/>
      <c r="F405" s="383" t="str">
        <f t="shared" si="1"/>
        <v/>
      </c>
      <c r="G405" s="384" t="str">
        <f>IFERROR(__xludf.DUMMYFUNCTION("IFERROR(AVERAGE(FILTER('حضور '!I:I,'حضور '!A:A=A405,MONTH('حضور '!B:B)=J405)),"""")"),"")</f>
        <v/>
      </c>
      <c r="H405" s="384">
        <f t="shared" si="2"/>
        <v>0</v>
      </c>
      <c r="I405" s="385">
        <f t="shared" si="3"/>
        <v>0</v>
      </c>
    </row>
    <row r="406" ht="22.5" customHeight="1">
      <c r="A406" s="391"/>
      <c r="B406" s="379"/>
      <c r="C406" s="393"/>
      <c r="D406" s="392"/>
      <c r="E406" s="392"/>
      <c r="F406" s="383" t="str">
        <f t="shared" si="1"/>
        <v/>
      </c>
      <c r="G406" s="384" t="str">
        <f>IFERROR(__xludf.DUMMYFUNCTION("IFERROR(AVERAGE(FILTER('حضور '!I:I,'حضور '!A:A=A406,MONTH('حضور '!B:B)=J406)),"""")"),"")</f>
        <v/>
      </c>
      <c r="H406" s="384">
        <f t="shared" si="2"/>
        <v>0</v>
      </c>
      <c r="I406" s="385">
        <f t="shared" si="3"/>
        <v>0</v>
      </c>
    </row>
    <row r="407" ht="22.5" customHeight="1">
      <c r="A407" s="391"/>
      <c r="B407" s="379"/>
      <c r="C407" s="393"/>
      <c r="D407" s="392"/>
      <c r="E407" s="392"/>
      <c r="F407" s="383" t="str">
        <f t="shared" si="1"/>
        <v/>
      </c>
      <c r="G407" s="384" t="str">
        <f>IFERROR(__xludf.DUMMYFUNCTION("IFERROR(AVERAGE(FILTER('حضور '!I:I,'حضور '!A:A=A407,MONTH('حضور '!B:B)=J407)),"""")"),"")</f>
        <v/>
      </c>
      <c r="H407" s="384">
        <f t="shared" si="2"/>
        <v>0</v>
      </c>
      <c r="I407" s="385">
        <f t="shared" si="3"/>
        <v>0</v>
      </c>
    </row>
    <row r="408" ht="22.5" customHeight="1">
      <c r="A408" s="391"/>
      <c r="B408" s="379"/>
      <c r="C408" s="393"/>
      <c r="D408" s="392"/>
      <c r="E408" s="392"/>
      <c r="F408" s="383" t="str">
        <f t="shared" si="1"/>
        <v/>
      </c>
      <c r="G408" s="384" t="str">
        <f>IFERROR(__xludf.DUMMYFUNCTION("IFERROR(AVERAGE(FILTER('حضور '!I:I,'حضور '!A:A=A408,MONTH('حضور '!B:B)=J408)),"""")"),"")</f>
        <v/>
      </c>
      <c r="H408" s="384">
        <f t="shared" si="2"/>
        <v>0</v>
      </c>
      <c r="I408" s="385">
        <f t="shared" si="3"/>
        <v>0</v>
      </c>
    </row>
    <row r="409" ht="22.5" customHeight="1">
      <c r="A409" s="391"/>
      <c r="B409" s="379"/>
      <c r="C409" s="393"/>
      <c r="D409" s="392"/>
      <c r="E409" s="392"/>
      <c r="F409" s="383" t="str">
        <f t="shared" si="1"/>
        <v/>
      </c>
      <c r="G409" s="384" t="str">
        <f>IFERROR(__xludf.DUMMYFUNCTION("IFERROR(AVERAGE(FILTER('حضور '!I:I,'حضور '!A:A=A409,MONTH('حضور '!B:B)=J409)),"""")"),"")</f>
        <v/>
      </c>
      <c r="H409" s="384">
        <f t="shared" si="2"/>
        <v>0</v>
      </c>
      <c r="I409" s="385">
        <f t="shared" si="3"/>
        <v>0</v>
      </c>
    </row>
    <row r="410" ht="22.5" customHeight="1">
      <c r="A410" s="391"/>
      <c r="B410" s="379"/>
      <c r="C410" s="393"/>
      <c r="D410" s="392"/>
      <c r="E410" s="392"/>
      <c r="F410" s="383" t="str">
        <f t="shared" si="1"/>
        <v/>
      </c>
      <c r="G410" s="384" t="str">
        <f>IFERROR(__xludf.DUMMYFUNCTION("IFERROR(AVERAGE(FILTER('حضور '!I:I,'حضور '!A:A=A410,MONTH('حضور '!B:B)=J410)),"""")"),"")</f>
        <v/>
      </c>
      <c r="H410" s="384">
        <f t="shared" si="2"/>
        <v>0</v>
      </c>
      <c r="I410" s="385">
        <f t="shared" si="3"/>
        <v>0</v>
      </c>
    </row>
    <row r="411" ht="22.5" customHeight="1">
      <c r="A411" s="391"/>
      <c r="B411" s="379"/>
      <c r="C411" s="393"/>
      <c r="D411" s="392"/>
      <c r="E411" s="392"/>
      <c r="F411" s="383" t="str">
        <f t="shared" si="1"/>
        <v/>
      </c>
      <c r="G411" s="384" t="str">
        <f>IFERROR(__xludf.DUMMYFUNCTION("IFERROR(AVERAGE(FILTER('حضور '!I:I,'حضور '!A:A=A411,MONTH('حضور '!B:B)=J411)),"""")"),"")</f>
        <v/>
      </c>
      <c r="H411" s="384">
        <f t="shared" si="2"/>
        <v>0</v>
      </c>
      <c r="I411" s="385">
        <f t="shared" si="3"/>
        <v>0</v>
      </c>
    </row>
    <row r="412" ht="22.5" customHeight="1">
      <c r="A412" s="391"/>
      <c r="B412" s="379"/>
      <c r="C412" s="393"/>
      <c r="D412" s="392"/>
      <c r="E412" s="392"/>
      <c r="F412" s="383" t="str">
        <f t="shared" si="1"/>
        <v/>
      </c>
      <c r="G412" s="384" t="str">
        <f>IFERROR(__xludf.DUMMYFUNCTION("IFERROR(AVERAGE(FILTER('حضور '!I:I,'حضور '!A:A=A412,MONTH('حضور '!B:B)=J412)),"""")"),"")</f>
        <v/>
      </c>
      <c r="H412" s="384">
        <f t="shared" si="2"/>
        <v>0</v>
      </c>
      <c r="I412" s="385">
        <f t="shared" si="3"/>
        <v>0</v>
      </c>
    </row>
    <row r="413" ht="22.5" customHeight="1">
      <c r="A413" s="391"/>
      <c r="B413" s="379"/>
      <c r="C413" s="393"/>
      <c r="D413" s="392"/>
      <c r="E413" s="392"/>
      <c r="F413" s="383" t="str">
        <f t="shared" si="1"/>
        <v/>
      </c>
      <c r="G413" s="384" t="str">
        <f>IFERROR(__xludf.DUMMYFUNCTION("IFERROR(AVERAGE(FILTER('حضور '!I:I,'حضور '!A:A=A413,MONTH('حضور '!B:B)=J413)),"""")"),"")</f>
        <v/>
      </c>
      <c r="H413" s="384">
        <f t="shared" si="2"/>
        <v>0</v>
      </c>
      <c r="I413" s="385">
        <f t="shared" si="3"/>
        <v>0</v>
      </c>
    </row>
    <row r="414" ht="22.5" customHeight="1">
      <c r="A414" s="391"/>
      <c r="B414" s="379"/>
      <c r="C414" s="393"/>
      <c r="D414" s="392"/>
      <c r="E414" s="392"/>
      <c r="F414" s="383" t="str">
        <f t="shared" si="1"/>
        <v/>
      </c>
      <c r="G414" s="384" t="str">
        <f>IFERROR(__xludf.DUMMYFUNCTION("IFERROR(AVERAGE(FILTER('حضور '!I:I,'حضور '!A:A=A414,MONTH('حضور '!B:B)=J414)),"""")"),"")</f>
        <v/>
      </c>
      <c r="H414" s="384">
        <f t="shared" si="2"/>
        <v>0</v>
      </c>
      <c r="I414" s="385">
        <f t="shared" si="3"/>
        <v>0</v>
      </c>
    </row>
    <row r="415" ht="22.5" customHeight="1">
      <c r="A415" s="391"/>
      <c r="B415" s="379"/>
      <c r="C415" s="393"/>
      <c r="D415" s="392"/>
      <c r="E415" s="392"/>
      <c r="F415" s="383" t="str">
        <f t="shared" si="1"/>
        <v/>
      </c>
      <c r="G415" s="384" t="str">
        <f>IFERROR(__xludf.DUMMYFUNCTION("IFERROR(AVERAGE(FILTER('حضور '!I:I,'حضور '!A:A=A415,MONTH('حضور '!B:B)=J415)),"""")"),"")</f>
        <v/>
      </c>
      <c r="H415" s="384">
        <f t="shared" si="2"/>
        <v>0</v>
      </c>
      <c r="I415" s="385">
        <f t="shared" si="3"/>
        <v>0</v>
      </c>
    </row>
    <row r="416" ht="22.5" customHeight="1">
      <c r="A416" s="391"/>
      <c r="B416" s="379"/>
      <c r="C416" s="393"/>
      <c r="D416" s="392"/>
      <c r="E416" s="392"/>
      <c r="F416" s="383" t="str">
        <f t="shared" si="1"/>
        <v/>
      </c>
      <c r="G416" s="384" t="str">
        <f>IFERROR(__xludf.DUMMYFUNCTION("IFERROR(AVERAGE(FILTER('حضور '!I:I,'حضور '!A:A=A416,MONTH('حضور '!B:B)=J416)),"""")"),"")</f>
        <v/>
      </c>
      <c r="H416" s="384">
        <f t="shared" si="2"/>
        <v>0</v>
      </c>
      <c r="I416" s="385">
        <f t="shared" si="3"/>
        <v>0</v>
      </c>
    </row>
    <row r="417" ht="22.5" customHeight="1">
      <c r="A417" s="391"/>
      <c r="B417" s="379"/>
      <c r="C417" s="393"/>
      <c r="D417" s="392"/>
      <c r="E417" s="392"/>
      <c r="F417" s="383" t="str">
        <f t="shared" si="1"/>
        <v/>
      </c>
      <c r="G417" s="384" t="str">
        <f>IFERROR(__xludf.DUMMYFUNCTION("IFERROR(AVERAGE(FILTER('حضور '!I:I,'حضور '!A:A=A417,MONTH('حضور '!B:B)=J417)),"""")"),"")</f>
        <v/>
      </c>
      <c r="H417" s="384">
        <f t="shared" si="2"/>
        <v>0</v>
      </c>
      <c r="I417" s="385">
        <f t="shared" si="3"/>
        <v>0</v>
      </c>
    </row>
    <row r="418" ht="22.5" customHeight="1">
      <c r="A418" s="391"/>
      <c r="B418" s="379"/>
      <c r="C418" s="393"/>
      <c r="D418" s="392"/>
      <c r="E418" s="392"/>
      <c r="F418" s="383" t="str">
        <f t="shared" si="1"/>
        <v/>
      </c>
      <c r="G418" s="384" t="str">
        <f>IFERROR(__xludf.DUMMYFUNCTION("IFERROR(AVERAGE(FILTER('حضور '!I:I,'حضور '!A:A=A418,MONTH('حضور '!B:B)=J418)),"""")"),"")</f>
        <v/>
      </c>
      <c r="H418" s="384">
        <f t="shared" si="2"/>
        <v>0</v>
      </c>
      <c r="I418" s="385">
        <f t="shared" si="3"/>
        <v>0</v>
      </c>
    </row>
    <row r="419" ht="22.5" customHeight="1">
      <c r="A419" s="391"/>
      <c r="B419" s="379"/>
      <c r="C419" s="393"/>
      <c r="D419" s="392"/>
      <c r="E419" s="392"/>
      <c r="F419" s="383" t="str">
        <f t="shared" si="1"/>
        <v/>
      </c>
      <c r="G419" s="384" t="str">
        <f>IFERROR(__xludf.DUMMYFUNCTION("IFERROR(AVERAGE(FILTER('حضور '!I:I,'حضور '!A:A=A419,MONTH('حضور '!B:B)=J419)),"""")"),"")</f>
        <v/>
      </c>
      <c r="H419" s="384">
        <f t="shared" si="2"/>
        <v>0</v>
      </c>
      <c r="I419" s="385">
        <f t="shared" si="3"/>
        <v>0</v>
      </c>
    </row>
    <row r="420" ht="22.5" customHeight="1">
      <c r="A420" s="391"/>
      <c r="B420" s="379"/>
      <c r="C420" s="393"/>
      <c r="D420" s="392"/>
      <c r="E420" s="392"/>
      <c r="F420" s="383" t="str">
        <f t="shared" si="1"/>
        <v/>
      </c>
      <c r="G420" s="384" t="str">
        <f>IFERROR(__xludf.DUMMYFUNCTION("IFERROR(AVERAGE(FILTER('حضور '!I:I,'حضور '!A:A=A420,MONTH('حضور '!B:B)=J420)),"""")"),"")</f>
        <v/>
      </c>
      <c r="H420" s="384">
        <f t="shared" si="2"/>
        <v>0</v>
      </c>
      <c r="I420" s="385">
        <f t="shared" si="3"/>
        <v>0</v>
      </c>
    </row>
    <row r="421" ht="22.5" customHeight="1">
      <c r="A421" s="391"/>
      <c r="B421" s="379"/>
      <c r="C421" s="393"/>
      <c r="D421" s="392"/>
      <c r="E421" s="392"/>
      <c r="F421" s="383" t="str">
        <f t="shared" si="1"/>
        <v/>
      </c>
      <c r="G421" s="384" t="str">
        <f>IFERROR(__xludf.DUMMYFUNCTION("IFERROR(AVERAGE(FILTER('حضور '!I:I,'حضور '!A:A=A421,MONTH('حضور '!B:B)=J421)),"""")"),"")</f>
        <v/>
      </c>
      <c r="H421" s="384">
        <f t="shared" si="2"/>
        <v>0</v>
      </c>
      <c r="I421" s="385">
        <f t="shared" si="3"/>
        <v>0</v>
      </c>
    </row>
    <row r="422" ht="22.5" customHeight="1">
      <c r="A422" s="391"/>
      <c r="B422" s="379"/>
      <c r="C422" s="393"/>
      <c r="D422" s="392"/>
      <c r="E422" s="392"/>
      <c r="F422" s="383" t="str">
        <f t="shared" si="1"/>
        <v/>
      </c>
      <c r="G422" s="384" t="str">
        <f>IFERROR(__xludf.DUMMYFUNCTION("IFERROR(AVERAGE(FILTER('حضور '!I:I,'حضور '!A:A=A422,MONTH('حضور '!B:B)=J422)),"""")"),"")</f>
        <v/>
      </c>
      <c r="H422" s="384">
        <f t="shared" si="2"/>
        <v>0</v>
      </c>
      <c r="I422" s="385">
        <f t="shared" si="3"/>
        <v>0</v>
      </c>
    </row>
    <row r="423" ht="22.5" customHeight="1">
      <c r="A423" s="391"/>
      <c r="B423" s="379"/>
      <c r="C423" s="393"/>
      <c r="D423" s="392"/>
      <c r="E423" s="392"/>
      <c r="F423" s="383" t="str">
        <f t="shared" si="1"/>
        <v/>
      </c>
      <c r="G423" s="384" t="str">
        <f>IFERROR(__xludf.DUMMYFUNCTION("IFERROR(AVERAGE(FILTER('حضور '!I:I,'حضور '!A:A=A423,MONTH('حضور '!B:B)=J423)),"""")"),"")</f>
        <v/>
      </c>
      <c r="H423" s="384">
        <f t="shared" si="2"/>
        <v>0</v>
      </c>
      <c r="I423" s="385">
        <f t="shared" si="3"/>
        <v>0</v>
      </c>
    </row>
    <row r="424" ht="22.5" customHeight="1">
      <c r="A424" s="391"/>
      <c r="B424" s="379"/>
      <c r="C424" s="393"/>
      <c r="D424" s="392"/>
      <c r="E424" s="392"/>
      <c r="F424" s="383" t="str">
        <f t="shared" si="1"/>
        <v/>
      </c>
      <c r="G424" s="384" t="str">
        <f>IFERROR(__xludf.DUMMYFUNCTION("IFERROR(AVERAGE(FILTER('حضور '!I:I,'حضور '!A:A=A424,MONTH('حضور '!B:B)=J424)),"""")"),"")</f>
        <v/>
      </c>
      <c r="H424" s="384">
        <f t="shared" si="2"/>
        <v>0</v>
      </c>
      <c r="I424" s="385">
        <f t="shared" si="3"/>
        <v>0</v>
      </c>
    </row>
    <row r="425" ht="22.5" customHeight="1">
      <c r="A425" s="391"/>
      <c r="B425" s="379"/>
      <c r="C425" s="393"/>
      <c r="D425" s="392"/>
      <c r="E425" s="392"/>
      <c r="F425" s="383" t="str">
        <f t="shared" si="1"/>
        <v/>
      </c>
      <c r="G425" s="384" t="str">
        <f>IFERROR(__xludf.DUMMYFUNCTION("IFERROR(AVERAGE(FILTER('حضور '!I:I,'حضور '!A:A=A425,MONTH('حضور '!B:B)=J425)),"""")"),"")</f>
        <v/>
      </c>
      <c r="H425" s="384">
        <f t="shared" si="2"/>
        <v>0</v>
      </c>
      <c r="I425" s="385">
        <f t="shared" si="3"/>
        <v>0</v>
      </c>
    </row>
    <row r="426" ht="22.5" customHeight="1">
      <c r="A426" s="391"/>
      <c r="B426" s="379"/>
      <c r="C426" s="393"/>
      <c r="D426" s="392"/>
      <c r="E426" s="392"/>
      <c r="F426" s="383" t="str">
        <f t="shared" si="1"/>
        <v/>
      </c>
      <c r="G426" s="384" t="str">
        <f>IFERROR(__xludf.DUMMYFUNCTION("IFERROR(AVERAGE(FILTER('حضور '!I:I,'حضور '!A:A=A426,MONTH('حضور '!B:B)=J426)),"""")"),"")</f>
        <v/>
      </c>
      <c r="H426" s="384">
        <f t="shared" si="2"/>
        <v>0</v>
      </c>
      <c r="I426" s="385">
        <f t="shared" si="3"/>
        <v>0</v>
      </c>
    </row>
    <row r="427" ht="22.5" customHeight="1">
      <c r="A427" s="391"/>
      <c r="B427" s="379"/>
      <c r="C427" s="393"/>
      <c r="D427" s="392"/>
      <c r="E427" s="392"/>
      <c r="F427" s="383" t="str">
        <f t="shared" si="1"/>
        <v/>
      </c>
      <c r="G427" s="384" t="str">
        <f>IFERROR(__xludf.DUMMYFUNCTION("IFERROR(AVERAGE(FILTER('حضور '!I:I,'حضور '!A:A=A427,MONTH('حضور '!B:B)=J427)),"""")"),"")</f>
        <v/>
      </c>
      <c r="H427" s="384">
        <f t="shared" si="2"/>
        <v>0</v>
      </c>
      <c r="I427" s="385">
        <f t="shared" si="3"/>
        <v>0</v>
      </c>
    </row>
    <row r="428" ht="22.5" customHeight="1">
      <c r="A428" s="391"/>
      <c r="B428" s="379"/>
      <c r="C428" s="393"/>
      <c r="D428" s="392"/>
      <c r="E428" s="392"/>
      <c r="F428" s="383" t="str">
        <f t="shared" si="1"/>
        <v/>
      </c>
      <c r="G428" s="384" t="str">
        <f>IFERROR(__xludf.DUMMYFUNCTION("IFERROR(AVERAGE(FILTER('حضور '!I:I,'حضور '!A:A=A428,MONTH('حضور '!B:B)=J428)),"""")"),"")</f>
        <v/>
      </c>
      <c r="H428" s="384">
        <f t="shared" si="2"/>
        <v>0</v>
      </c>
      <c r="I428" s="385">
        <f t="shared" si="3"/>
        <v>0</v>
      </c>
    </row>
    <row r="429" ht="22.5" customHeight="1">
      <c r="A429" s="391"/>
      <c r="B429" s="379"/>
      <c r="C429" s="393"/>
      <c r="D429" s="392"/>
      <c r="E429" s="392"/>
      <c r="F429" s="383" t="str">
        <f t="shared" si="1"/>
        <v/>
      </c>
      <c r="G429" s="384" t="str">
        <f>IFERROR(__xludf.DUMMYFUNCTION("IFERROR(AVERAGE(FILTER('حضور '!I:I,'حضور '!A:A=A429,MONTH('حضور '!B:B)=J429)),"""")"),"")</f>
        <v/>
      </c>
      <c r="H429" s="384">
        <f t="shared" si="2"/>
        <v>0</v>
      </c>
      <c r="I429" s="385">
        <f t="shared" si="3"/>
        <v>0</v>
      </c>
    </row>
    <row r="430" ht="22.5" customHeight="1">
      <c r="A430" s="391"/>
      <c r="B430" s="379"/>
      <c r="C430" s="393"/>
      <c r="D430" s="392"/>
      <c r="E430" s="392"/>
      <c r="F430" s="383" t="str">
        <f t="shared" si="1"/>
        <v/>
      </c>
      <c r="G430" s="384" t="str">
        <f>IFERROR(__xludf.DUMMYFUNCTION("IFERROR(AVERAGE(FILTER('حضور '!I:I,'حضور '!A:A=A430,MONTH('حضور '!B:B)=J430)),"""")"),"")</f>
        <v/>
      </c>
      <c r="H430" s="384">
        <f t="shared" si="2"/>
        <v>0</v>
      </c>
      <c r="I430" s="385">
        <f t="shared" si="3"/>
        <v>0</v>
      </c>
    </row>
    <row r="431" ht="22.5" customHeight="1">
      <c r="A431" s="391"/>
      <c r="B431" s="379"/>
      <c r="C431" s="393"/>
      <c r="D431" s="392"/>
      <c r="E431" s="392"/>
      <c r="F431" s="383" t="str">
        <f t="shared" si="1"/>
        <v/>
      </c>
      <c r="G431" s="384" t="str">
        <f>IFERROR(__xludf.DUMMYFUNCTION("IFERROR(AVERAGE(FILTER('حضور '!I:I,'حضور '!A:A=A431,MONTH('حضور '!B:B)=J431)),"""")"),"")</f>
        <v/>
      </c>
      <c r="H431" s="384">
        <f t="shared" si="2"/>
        <v>0</v>
      </c>
      <c r="I431" s="385">
        <f t="shared" si="3"/>
        <v>0</v>
      </c>
    </row>
    <row r="432" ht="22.5" customHeight="1">
      <c r="A432" s="391"/>
      <c r="B432" s="379"/>
      <c r="C432" s="393"/>
      <c r="D432" s="392"/>
      <c r="E432" s="392"/>
      <c r="F432" s="383" t="str">
        <f t="shared" si="1"/>
        <v/>
      </c>
      <c r="G432" s="384" t="str">
        <f>IFERROR(__xludf.DUMMYFUNCTION("IFERROR(AVERAGE(FILTER('حضور '!I:I,'حضور '!A:A=A432,MONTH('حضور '!B:B)=J432)),"""")"),"")</f>
        <v/>
      </c>
      <c r="H432" s="384">
        <f t="shared" si="2"/>
        <v>0</v>
      </c>
      <c r="I432" s="385">
        <f t="shared" si="3"/>
        <v>0</v>
      </c>
    </row>
    <row r="433" ht="22.5" customHeight="1">
      <c r="A433" s="391"/>
      <c r="B433" s="379"/>
      <c r="C433" s="393"/>
      <c r="D433" s="392"/>
      <c r="E433" s="392"/>
      <c r="F433" s="383" t="str">
        <f t="shared" si="1"/>
        <v/>
      </c>
      <c r="G433" s="384" t="str">
        <f>IFERROR(__xludf.DUMMYFUNCTION("IFERROR(AVERAGE(FILTER('حضور '!I:I,'حضور '!A:A=A433,MONTH('حضور '!B:B)=J433)),"""")"),"")</f>
        <v/>
      </c>
      <c r="H433" s="384">
        <f t="shared" si="2"/>
        <v>0</v>
      </c>
      <c r="I433" s="385">
        <f t="shared" si="3"/>
        <v>0</v>
      </c>
    </row>
    <row r="434" ht="22.5" customHeight="1">
      <c r="A434" s="391"/>
      <c r="B434" s="379"/>
      <c r="C434" s="393"/>
      <c r="D434" s="392"/>
      <c r="E434" s="392"/>
      <c r="F434" s="383" t="str">
        <f t="shared" si="1"/>
        <v/>
      </c>
      <c r="G434" s="384" t="str">
        <f>IFERROR(__xludf.DUMMYFUNCTION("IFERROR(AVERAGE(FILTER('حضور '!I:I,'حضور '!A:A=A434,MONTH('حضور '!B:B)=J434)),"""")"),"")</f>
        <v/>
      </c>
      <c r="H434" s="384">
        <f t="shared" si="2"/>
        <v>0</v>
      </c>
      <c r="I434" s="385">
        <f t="shared" si="3"/>
        <v>0</v>
      </c>
    </row>
    <row r="435" ht="22.5" customHeight="1">
      <c r="A435" s="391"/>
      <c r="B435" s="379"/>
      <c r="C435" s="393"/>
      <c r="D435" s="392"/>
      <c r="E435" s="392"/>
      <c r="F435" s="383" t="str">
        <f t="shared" si="1"/>
        <v/>
      </c>
      <c r="G435" s="384" t="str">
        <f>IFERROR(__xludf.DUMMYFUNCTION("IFERROR(AVERAGE(FILTER('حضور '!I:I,'حضور '!A:A=A435,MONTH('حضور '!B:B)=J435)),"""")"),"")</f>
        <v/>
      </c>
      <c r="H435" s="384">
        <f t="shared" si="2"/>
        <v>0</v>
      </c>
      <c r="I435" s="385">
        <f t="shared" si="3"/>
        <v>0</v>
      </c>
    </row>
    <row r="436" ht="22.5" customHeight="1">
      <c r="A436" s="391"/>
      <c r="B436" s="379"/>
      <c r="C436" s="393"/>
      <c r="D436" s="392"/>
      <c r="E436" s="392"/>
      <c r="F436" s="383" t="str">
        <f t="shared" si="1"/>
        <v/>
      </c>
      <c r="G436" s="384" t="str">
        <f>IFERROR(__xludf.DUMMYFUNCTION("IFERROR(AVERAGE(FILTER('حضور '!I:I,'حضور '!A:A=A436,MONTH('حضور '!B:B)=J436)),"""")"),"")</f>
        <v/>
      </c>
      <c r="H436" s="384">
        <f t="shared" si="2"/>
        <v>0</v>
      </c>
      <c r="I436" s="385">
        <f t="shared" si="3"/>
        <v>0</v>
      </c>
    </row>
    <row r="437" ht="22.5" customHeight="1">
      <c r="A437" s="391"/>
      <c r="B437" s="379"/>
      <c r="C437" s="393"/>
      <c r="D437" s="392"/>
      <c r="E437" s="392"/>
      <c r="F437" s="383" t="str">
        <f t="shared" si="1"/>
        <v/>
      </c>
      <c r="G437" s="384" t="str">
        <f>IFERROR(__xludf.DUMMYFUNCTION("IFERROR(AVERAGE(FILTER('حضور '!I:I,'حضور '!A:A=A437,MONTH('حضور '!B:B)=J437)),"""")"),"")</f>
        <v/>
      </c>
      <c r="H437" s="384">
        <f t="shared" si="2"/>
        <v>0</v>
      </c>
      <c r="I437" s="385">
        <f t="shared" si="3"/>
        <v>0</v>
      </c>
    </row>
    <row r="438" ht="22.5" customHeight="1">
      <c r="A438" s="391"/>
      <c r="B438" s="379"/>
      <c r="C438" s="393"/>
      <c r="D438" s="392"/>
      <c r="E438" s="392"/>
      <c r="F438" s="383" t="str">
        <f t="shared" si="1"/>
        <v/>
      </c>
      <c r="G438" s="384" t="str">
        <f>IFERROR(__xludf.DUMMYFUNCTION("IFERROR(AVERAGE(FILTER('حضور '!I:I,'حضور '!A:A=A438,MONTH('حضور '!B:B)=J438)),"""")"),"")</f>
        <v/>
      </c>
      <c r="H438" s="384">
        <f t="shared" si="2"/>
        <v>0</v>
      </c>
      <c r="I438" s="385">
        <f t="shared" si="3"/>
        <v>0</v>
      </c>
    </row>
    <row r="439" ht="22.5" customHeight="1">
      <c r="A439" s="391"/>
      <c r="B439" s="379"/>
      <c r="C439" s="393"/>
      <c r="D439" s="392"/>
      <c r="E439" s="392"/>
      <c r="F439" s="383" t="str">
        <f t="shared" si="1"/>
        <v/>
      </c>
      <c r="G439" s="384" t="str">
        <f>IFERROR(__xludf.DUMMYFUNCTION("IFERROR(AVERAGE(FILTER('حضور '!I:I,'حضور '!A:A=A439,MONTH('حضور '!B:B)=J439)),"""")"),"")</f>
        <v/>
      </c>
      <c r="H439" s="384">
        <f t="shared" si="2"/>
        <v>0</v>
      </c>
      <c r="I439" s="385">
        <f t="shared" si="3"/>
        <v>0</v>
      </c>
    </row>
    <row r="440" ht="22.5" customHeight="1">
      <c r="A440" s="391"/>
      <c r="B440" s="379"/>
      <c r="C440" s="393"/>
      <c r="D440" s="392"/>
      <c r="E440" s="392"/>
      <c r="F440" s="383" t="str">
        <f t="shared" si="1"/>
        <v/>
      </c>
      <c r="G440" s="384" t="str">
        <f>IFERROR(__xludf.DUMMYFUNCTION("IFERROR(AVERAGE(FILTER('حضور '!I:I,'حضور '!A:A=A440,MONTH('حضور '!B:B)=J440)),"""")"),"")</f>
        <v/>
      </c>
      <c r="H440" s="384">
        <f t="shared" si="2"/>
        <v>0</v>
      </c>
      <c r="I440" s="385">
        <f t="shared" si="3"/>
        <v>0</v>
      </c>
    </row>
    <row r="441" ht="22.5" customHeight="1">
      <c r="A441" s="391"/>
      <c r="B441" s="379"/>
      <c r="C441" s="393"/>
      <c r="D441" s="392"/>
      <c r="E441" s="392"/>
      <c r="F441" s="383" t="str">
        <f t="shared" si="1"/>
        <v/>
      </c>
      <c r="G441" s="384" t="str">
        <f>IFERROR(__xludf.DUMMYFUNCTION("IFERROR(AVERAGE(FILTER('حضور '!I:I,'حضور '!A:A=A441,MONTH('حضور '!B:B)=J441)),"""")"),"")</f>
        <v/>
      </c>
      <c r="H441" s="384">
        <f t="shared" si="2"/>
        <v>0</v>
      </c>
      <c r="I441" s="385">
        <f t="shared" si="3"/>
        <v>0</v>
      </c>
    </row>
    <row r="442" ht="22.5" customHeight="1">
      <c r="A442" s="391"/>
      <c r="B442" s="379"/>
      <c r="C442" s="393"/>
      <c r="D442" s="392"/>
      <c r="E442" s="392"/>
      <c r="F442" s="383" t="str">
        <f t="shared" si="1"/>
        <v/>
      </c>
      <c r="G442" s="384" t="str">
        <f>IFERROR(__xludf.DUMMYFUNCTION("IFERROR(AVERAGE(FILTER('حضور '!I:I,'حضور '!A:A=A442,MONTH('حضور '!B:B)=J442)),"""")"),"")</f>
        <v/>
      </c>
      <c r="H442" s="384">
        <f t="shared" si="2"/>
        <v>0</v>
      </c>
      <c r="I442" s="385">
        <f t="shared" si="3"/>
        <v>0</v>
      </c>
    </row>
    <row r="443" ht="22.5" customHeight="1">
      <c r="A443" s="391"/>
      <c r="B443" s="379"/>
      <c r="C443" s="393"/>
      <c r="D443" s="392"/>
      <c r="E443" s="392"/>
      <c r="F443" s="383" t="str">
        <f t="shared" si="1"/>
        <v/>
      </c>
      <c r="G443" s="384" t="str">
        <f>IFERROR(__xludf.DUMMYFUNCTION("IFERROR(AVERAGE(FILTER('حضور '!I:I,'حضور '!A:A=A443,MONTH('حضور '!B:B)=J443)),"""")"),"")</f>
        <v/>
      </c>
      <c r="H443" s="384">
        <f t="shared" si="2"/>
        <v>0</v>
      </c>
      <c r="I443" s="385">
        <f t="shared" si="3"/>
        <v>0</v>
      </c>
    </row>
    <row r="444" ht="22.5" customHeight="1">
      <c r="A444" s="391"/>
      <c r="B444" s="379"/>
      <c r="C444" s="393"/>
      <c r="D444" s="392"/>
      <c r="E444" s="392"/>
      <c r="F444" s="383" t="str">
        <f t="shared" si="1"/>
        <v/>
      </c>
      <c r="G444" s="384" t="str">
        <f>IFERROR(__xludf.DUMMYFUNCTION("IFERROR(AVERAGE(FILTER('حضور '!I:I,'حضور '!A:A=A444,MONTH('حضور '!B:B)=J444)),"""")"),"")</f>
        <v/>
      </c>
      <c r="H444" s="384">
        <f t="shared" si="2"/>
        <v>0</v>
      </c>
      <c r="I444" s="385">
        <f t="shared" si="3"/>
        <v>0</v>
      </c>
    </row>
    <row r="445" ht="22.5" customHeight="1">
      <c r="A445" s="391"/>
      <c r="B445" s="379"/>
      <c r="C445" s="393"/>
      <c r="D445" s="392"/>
      <c r="E445" s="392"/>
      <c r="F445" s="383" t="str">
        <f t="shared" si="1"/>
        <v/>
      </c>
      <c r="G445" s="384" t="str">
        <f>IFERROR(__xludf.DUMMYFUNCTION("IFERROR(AVERAGE(FILTER('حضور '!I:I,'حضور '!A:A=A445,MONTH('حضور '!B:B)=J445)),"""")"),"")</f>
        <v/>
      </c>
      <c r="H445" s="384">
        <f t="shared" si="2"/>
        <v>0</v>
      </c>
      <c r="I445" s="385">
        <f t="shared" si="3"/>
        <v>0</v>
      </c>
    </row>
    <row r="446" ht="22.5" customHeight="1">
      <c r="A446" s="391"/>
      <c r="B446" s="379"/>
      <c r="C446" s="393"/>
      <c r="D446" s="392"/>
      <c r="E446" s="392"/>
      <c r="F446" s="383" t="str">
        <f t="shared" si="1"/>
        <v/>
      </c>
      <c r="G446" s="384" t="str">
        <f>IFERROR(__xludf.DUMMYFUNCTION("IFERROR(AVERAGE(FILTER('حضور '!I:I,'حضور '!A:A=A446,MONTH('حضور '!B:B)=J446)),"""")"),"")</f>
        <v/>
      </c>
      <c r="H446" s="384">
        <f t="shared" si="2"/>
        <v>0</v>
      </c>
      <c r="I446" s="385">
        <f t="shared" si="3"/>
        <v>0</v>
      </c>
    </row>
    <row r="447" ht="22.5" customHeight="1">
      <c r="A447" s="391"/>
      <c r="B447" s="379"/>
      <c r="C447" s="393"/>
      <c r="D447" s="392"/>
      <c r="E447" s="392"/>
      <c r="F447" s="383" t="str">
        <f t="shared" si="1"/>
        <v/>
      </c>
      <c r="G447" s="384" t="str">
        <f>IFERROR(__xludf.DUMMYFUNCTION("IFERROR(AVERAGE(FILTER('حضور '!I:I,'حضور '!A:A=A447,MONTH('حضور '!B:B)=J447)),"""")"),"")</f>
        <v/>
      </c>
      <c r="H447" s="384">
        <f t="shared" si="2"/>
        <v>0</v>
      </c>
      <c r="I447" s="385">
        <f t="shared" si="3"/>
        <v>0</v>
      </c>
    </row>
    <row r="448" ht="22.5" customHeight="1">
      <c r="A448" s="391"/>
      <c r="B448" s="379"/>
      <c r="C448" s="393"/>
      <c r="D448" s="392"/>
      <c r="E448" s="392"/>
      <c r="F448" s="383" t="str">
        <f t="shared" si="1"/>
        <v/>
      </c>
      <c r="G448" s="384" t="str">
        <f>IFERROR(__xludf.DUMMYFUNCTION("IFERROR(AVERAGE(FILTER('حضور '!I:I,'حضور '!A:A=A448,MONTH('حضور '!B:B)=J448)),"""")"),"")</f>
        <v/>
      </c>
      <c r="H448" s="384">
        <f t="shared" si="2"/>
        <v>0</v>
      </c>
      <c r="I448" s="385">
        <f t="shared" si="3"/>
        <v>0</v>
      </c>
    </row>
    <row r="449" ht="22.5" customHeight="1">
      <c r="A449" s="391"/>
      <c r="B449" s="379"/>
      <c r="C449" s="393"/>
      <c r="D449" s="392"/>
      <c r="E449" s="392"/>
      <c r="F449" s="383" t="str">
        <f t="shared" si="1"/>
        <v/>
      </c>
      <c r="G449" s="384" t="str">
        <f>IFERROR(__xludf.DUMMYFUNCTION("IFERROR(AVERAGE(FILTER('حضور '!I:I,'حضور '!A:A=A449,MONTH('حضور '!B:B)=J449)),"""")"),"")</f>
        <v/>
      </c>
      <c r="H449" s="384">
        <f t="shared" si="2"/>
        <v>0</v>
      </c>
      <c r="I449" s="385">
        <f t="shared" si="3"/>
        <v>0</v>
      </c>
    </row>
    <row r="450" ht="22.5" customHeight="1">
      <c r="A450" s="391"/>
      <c r="B450" s="379"/>
      <c r="C450" s="393"/>
      <c r="D450" s="392"/>
      <c r="E450" s="392"/>
      <c r="F450" s="383" t="str">
        <f t="shared" si="1"/>
        <v/>
      </c>
      <c r="G450" s="384" t="str">
        <f>IFERROR(__xludf.DUMMYFUNCTION("IFERROR(AVERAGE(FILTER('حضور '!I:I,'حضور '!A:A=A450,MONTH('حضور '!B:B)=J450)),"""")"),"")</f>
        <v/>
      </c>
      <c r="H450" s="384">
        <f t="shared" si="2"/>
        <v>0</v>
      </c>
      <c r="I450" s="385">
        <f t="shared" si="3"/>
        <v>0</v>
      </c>
    </row>
    <row r="451" ht="22.5" customHeight="1">
      <c r="A451" s="391"/>
      <c r="B451" s="379"/>
      <c r="C451" s="393"/>
      <c r="D451" s="392"/>
      <c r="E451" s="392"/>
      <c r="F451" s="383" t="str">
        <f t="shared" si="1"/>
        <v/>
      </c>
      <c r="G451" s="384" t="str">
        <f>IFERROR(__xludf.DUMMYFUNCTION("IFERROR(AVERAGE(FILTER('حضور '!I:I,'حضور '!A:A=A451,MONTH('حضور '!B:B)=J451)),"""")"),"")</f>
        <v/>
      </c>
      <c r="H451" s="384">
        <f t="shared" si="2"/>
        <v>0</v>
      </c>
      <c r="I451" s="385">
        <f t="shared" si="3"/>
        <v>0</v>
      </c>
    </row>
    <row r="452" ht="22.5" customHeight="1">
      <c r="A452" s="391"/>
      <c r="B452" s="379"/>
      <c r="C452" s="393"/>
      <c r="D452" s="392"/>
      <c r="E452" s="392"/>
      <c r="F452" s="383" t="str">
        <f t="shared" si="1"/>
        <v/>
      </c>
      <c r="G452" s="384" t="str">
        <f>IFERROR(__xludf.DUMMYFUNCTION("IFERROR(AVERAGE(FILTER('حضور '!I:I,'حضور '!A:A=A452,MONTH('حضور '!B:B)=J452)),"""")"),"")</f>
        <v/>
      </c>
      <c r="H452" s="384">
        <f t="shared" si="2"/>
        <v>0</v>
      </c>
      <c r="I452" s="385">
        <f t="shared" si="3"/>
        <v>0</v>
      </c>
    </row>
    <row r="453" ht="22.5" customHeight="1">
      <c r="A453" s="391"/>
      <c r="B453" s="379"/>
      <c r="C453" s="393"/>
      <c r="D453" s="392"/>
      <c r="E453" s="392"/>
      <c r="F453" s="383" t="str">
        <f t="shared" si="1"/>
        <v/>
      </c>
      <c r="G453" s="384" t="str">
        <f>IFERROR(__xludf.DUMMYFUNCTION("IFERROR(AVERAGE(FILTER('حضور '!I:I,'حضور '!A:A=A453,MONTH('حضور '!B:B)=J453)),"""")"),"")</f>
        <v/>
      </c>
      <c r="H453" s="384">
        <f t="shared" si="2"/>
        <v>0</v>
      </c>
      <c r="I453" s="385">
        <f t="shared" si="3"/>
        <v>0</v>
      </c>
    </row>
    <row r="454" ht="22.5" customHeight="1">
      <c r="A454" s="391"/>
      <c r="B454" s="379"/>
      <c r="C454" s="393"/>
      <c r="D454" s="392"/>
      <c r="E454" s="392"/>
      <c r="F454" s="383" t="str">
        <f t="shared" si="1"/>
        <v/>
      </c>
      <c r="G454" s="384" t="str">
        <f>IFERROR(__xludf.DUMMYFUNCTION("IFERROR(AVERAGE(FILTER('حضور '!I:I,'حضور '!A:A=A454,MONTH('حضور '!B:B)=J454)),"""")"),"")</f>
        <v/>
      </c>
      <c r="H454" s="384">
        <f t="shared" si="2"/>
        <v>0</v>
      </c>
      <c r="I454" s="385">
        <f t="shared" si="3"/>
        <v>0</v>
      </c>
    </row>
    <row r="455" ht="22.5" customHeight="1">
      <c r="A455" s="391"/>
      <c r="B455" s="379"/>
      <c r="C455" s="393"/>
      <c r="D455" s="392"/>
      <c r="E455" s="392"/>
      <c r="F455" s="383" t="str">
        <f t="shared" si="1"/>
        <v/>
      </c>
      <c r="G455" s="384" t="str">
        <f>IFERROR(__xludf.DUMMYFUNCTION("IFERROR(AVERAGE(FILTER('حضور '!I:I,'حضور '!A:A=A455,MONTH('حضور '!B:B)=J455)),"""")"),"")</f>
        <v/>
      </c>
      <c r="H455" s="384">
        <f t="shared" si="2"/>
        <v>0</v>
      </c>
      <c r="I455" s="385">
        <f t="shared" si="3"/>
        <v>0</v>
      </c>
    </row>
    <row r="456" ht="22.5" customHeight="1">
      <c r="A456" s="391"/>
      <c r="B456" s="379"/>
      <c r="C456" s="393"/>
      <c r="D456" s="392"/>
      <c r="E456" s="392"/>
      <c r="F456" s="383" t="str">
        <f t="shared" si="1"/>
        <v/>
      </c>
      <c r="G456" s="384" t="str">
        <f>IFERROR(__xludf.DUMMYFUNCTION("IFERROR(AVERAGE(FILTER('حضور '!I:I,'حضور '!A:A=A456,MONTH('حضور '!B:B)=J456)),"""")"),"")</f>
        <v/>
      </c>
      <c r="H456" s="384">
        <f t="shared" si="2"/>
        <v>0</v>
      </c>
      <c r="I456" s="385">
        <f t="shared" si="3"/>
        <v>0</v>
      </c>
    </row>
    <row r="457" ht="22.5" customHeight="1">
      <c r="A457" s="391"/>
      <c r="B457" s="379"/>
      <c r="C457" s="393"/>
      <c r="D457" s="392"/>
      <c r="E457" s="392"/>
      <c r="F457" s="383" t="str">
        <f t="shared" si="1"/>
        <v/>
      </c>
      <c r="G457" s="384" t="str">
        <f>IFERROR(__xludf.DUMMYFUNCTION("IFERROR(AVERAGE(FILTER('حضور '!I:I,'حضور '!A:A=A457,MONTH('حضور '!B:B)=J457)),"""")"),"")</f>
        <v/>
      </c>
      <c r="H457" s="384">
        <f t="shared" si="2"/>
        <v>0</v>
      </c>
      <c r="I457" s="385">
        <f t="shared" si="3"/>
        <v>0</v>
      </c>
    </row>
    <row r="458" ht="22.5" customHeight="1">
      <c r="A458" s="391"/>
      <c r="B458" s="379"/>
      <c r="C458" s="393"/>
      <c r="D458" s="392"/>
      <c r="E458" s="392"/>
      <c r="F458" s="383" t="str">
        <f t="shared" si="1"/>
        <v/>
      </c>
      <c r="G458" s="384" t="str">
        <f>IFERROR(__xludf.DUMMYFUNCTION("IFERROR(AVERAGE(FILTER('حضور '!I:I,'حضور '!A:A=A458,MONTH('حضور '!B:B)=J458)),"""")"),"")</f>
        <v/>
      </c>
      <c r="H458" s="384">
        <f t="shared" si="2"/>
        <v>0</v>
      </c>
      <c r="I458" s="385">
        <f t="shared" si="3"/>
        <v>0</v>
      </c>
    </row>
    <row r="459" ht="22.5" customHeight="1">
      <c r="A459" s="391"/>
      <c r="B459" s="379"/>
      <c r="C459" s="393"/>
      <c r="D459" s="392"/>
      <c r="E459" s="392"/>
      <c r="F459" s="383" t="str">
        <f t="shared" si="1"/>
        <v/>
      </c>
      <c r="G459" s="384" t="str">
        <f>IFERROR(__xludf.DUMMYFUNCTION("IFERROR(AVERAGE(FILTER('حضور '!I:I,'حضور '!A:A=A459,MONTH('حضور '!B:B)=J459)),"""")"),"")</f>
        <v/>
      </c>
      <c r="H459" s="384">
        <f t="shared" si="2"/>
        <v>0</v>
      </c>
      <c r="I459" s="385">
        <f t="shared" si="3"/>
        <v>0</v>
      </c>
    </row>
    <row r="460" ht="22.5" customHeight="1">
      <c r="A460" s="391"/>
      <c r="B460" s="379"/>
      <c r="C460" s="393"/>
      <c r="D460" s="392"/>
      <c r="E460" s="392"/>
      <c r="F460" s="383" t="str">
        <f t="shared" si="1"/>
        <v/>
      </c>
      <c r="G460" s="384" t="str">
        <f>IFERROR(__xludf.DUMMYFUNCTION("IFERROR(AVERAGE(FILTER('حضور '!I:I,'حضور '!A:A=A460,MONTH('حضور '!B:B)=J460)),"""")"),"")</f>
        <v/>
      </c>
      <c r="H460" s="384">
        <f t="shared" si="2"/>
        <v>0</v>
      </c>
      <c r="I460" s="385">
        <f t="shared" si="3"/>
        <v>0</v>
      </c>
    </row>
    <row r="461" ht="22.5" customHeight="1">
      <c r="A461" s="391"/>
      <c r="B461" s="379"/>
      <c r="C461" s="393"/>
      <c r="D461" s="392"/>
      <c r="E461" s="392"/>
      <c r="F461" s="383" t="str">
        <f t="shared" si="1"/>
        <v/>
      </c>
      <c r="G461" s="384" t="str">
        <f>IFERROR(__xludf.DUMMYFUNCTION("IFERROR(AVERAGE(FILTER('حضور '!I:I,'حضور '!A:A=A461,MONTH('حضور '!B:B)=J461)),"""")"),"")</f>
        <v/>
      </c>
      <c r="H461" s="384">
        <f t="shared" si="2"/>
        <v>0</v>
      </c>
      <c r="I461" s="385">
        <f t="shared" si="3"/>
        <v>0</v>
      </c>
    </row>
    <row r="462" ht="22.5" customHeight="1">
      <c r="A462" s="391"/>
      <c r="B462" s="379"/>
      <c r="C462" s="393"/>
      <c r="D462" s="392"/>
      <c r="E462" s="392"/>
      <c r="F462" s="383" t="str">
        <f t="shared" si="1"/>
        <v/>
      </c>
      <c r="G462" s="384" t="str">
        <f>IFERROR(__xludf.DUMMYFUNCTION("IFERROR(AVERAGE(FILTER('حضور '!I:I,'حضور '!A:A=A462,MONTH('حضور '!B:B)=J462)),"""")"),"")</f>
        <v/>
      </c>
      <c r="H462" s="384">
        <f t="shared" si="2"/>
        <v>0</v>
      </c>
      <c r="I462" s="385">
        <f t="shared" si="3"/>
        <v>0</v>
      </c>
    </row>
    <row r="463" ht="22.5" customHeight="1">
      <c r="A463" s="391"/>
      <c r="B463" s="379"/>
      <c r="C463" s="393"/>
      <c r="D463" s="392"/>
      <c r="E463" s="392"/>
      <c r="F463" s="383" t="str">
        <f t="shared" si="1"/>
        <v/>
      </c>
      <c r="G463" s="384" t="str">
        <f>IFERROR(__xludf.DUMMYFUNCTION("IFERROR(AVERAGE(FILTER('حضور '!I:I,'حضور '!A:A=A463,MONTH('حضور '!B:B)=J463)),"""")"),"")</f>
        <v/>
      </c>
      <c r="H463" s="384">
        <f t="shared" si="2"/>
        <v>0</v>
      </c>
      <c r="I463" s="385">
        <f t="shared" si="3"/>
        <v>0</v>
      </c>
    </row>
    <row r="464" ht="22.5" customHeight="1">
      <c r="A464" s="391"/>
      <c r="B464" s="379"/>
      <c r="C464" s="393"/>
      <c r="D464" s="392"/>
      <c r="E464" s="392"/>
      <c r="F464" s="383" t="str">
        <f t="shared" si="1"/>
        <v/>
      </c>
      <c r="G464" s="384" t="str">
        <f>IFERROR(__xludf.DUMMYFUNCTION("IFERROR(AVERAGE(FILTER('حضور '!I:I,'حضور '!A:A=A464,MONTH('حضور '!B:B)=J464)),"""")"),"")</f>
        <v/>
      </c>
      <c r="H464" s="384">
        <f t="shared" si="2"/>
        <v>0</v>
      </c>
      <c r="I464" s="385">
        <f t="shared" si="3"/>
        <v>0</v>
      </c>
    </row>
    <row r="465" ht="22.5" customHeight="1">
      <c r="A465" s="391"/>
      <c r="B465" s="379"/>
      <c r="C465" s="393"/>
      <c r="D465" s="392"/>
      <c r="E465" s="392"/>
      <c r="F465" s="383" t="str">
        <f t="shared" si="1"/>
        <v/>
      </c>
      <c r="G465" s="384" t="str">
        <f>IFERROR(__xludf.DUMMYFUNCTION("IFERROR(AVERAGE(FILTER('حضور '!I:I,'حضور '!A:A=A465,MONTH('حضور '!B:B)=J465)),"""")"),"")</f>
        <v/>
      </c>
      <c r="H465" s="384">
        <f t="shared" si="2"/>
        <v>0</v>
      </c>
      <c r="I465" s="385">
        <f t="shared" si="3"/>
        <v>0</v>
      </c>
    </row>
    <row r="466" ht="22.5" customHeight="1">
      <c r="A466" s="391"/>
      <c r="B466" s="379"/>
      <c r="C466" s="393"/>
      <c r="D466" s="392"/>
      <c r="E466" s="392"/>
      <c r="F466" s="383" t="str">
        <f t="shared" si="1"/>
        <v/>
      </c>
      <c r="G466" s="384" t="str">
        <f>IFERROR(__xludf.DUMMYFUNCTION("IFERROR(AVERAGE(FILTER('حضور '!I:I,'حضور '!A:A=A466,MONTH('حضور '!B:B)=J466)),"""")"),"")</f>
        <v/>
      </c>
      <c r="H466" s="384">
        <f t="shared" si="2"/>
        <v>0</v>
      </c>
      <c r="I466" s="385">
        <f t="shared" si="3"/>
        <v>0</v>
      </c>
    </row>
    <row r="467" ht="22.5" customHeight="1">
      <c r="A467" s="391"/>
      <c r="B467" s="379"/>
      <c r="C467" s="393"/>
      <c r="D467" s="392"/>
      <c r="E467" s="392"/>
      <c r="F467" s="383" t="str">
        <f t="shared" si="1"/>
        <v/>
      </c>
      <c r="G467" s="384" t="str">
        <f>IFERROR(__xludf.DUMMYFUNCTION("IFERROR(AVERAGE(FILTER('حضور '!I:I,'حضور '!A:A=A467,MONTH('حضور '!B:B)=J467)),"""")"),"")</f>
        <v/>
      </c>
      <c r="H467" s="384">
        <f t="shared" si="2"/>
        <v>0</v>
      </c>
      <c r="I467" s="385">
        <f t="shared" si="3"/>
        <v>0</v>
      </c>
    </row>
    <row r="468" ht="22.5" customHeight="1">
      <c r="A468" s="391"/>
      <c r="B468" s="379"/>
      <c r="C468" s="393"/>
      <c r="D468" s="392"/>
      <c r="E468" s="392"/>
      <c r="F468" s="383" t="str">
        <f t="shared" si="1"/>
        <v/>
      </c>
      <c r="G468" s="384" t="str">
        <f>IFERROR(__xludf.DUMMYFUNCTION("IFERROR(AVERAGE(FILTER('حضور '!I:I,'حضور '!A:A=A468,MONTH('حضور '!B:B)=J468)),"""")"),"")</f>
        <v/>
      </c>
      <c r="H468" s="384">
        <f t="shared" si="2"/>
        <v>0</v>
      </c>
      <c r="I468" s="385">
        <f t="shared" si="3"/>
        <v>0</v>
      </c>
    </row>
    <row r="469" ht="22.5" customHeight="1">
      <c r="A469" s="391"/>
      <c r="B469" s="379"/>
      <c r="C469" s="393"/>
      <c r="D469" s="392"/>
      <c r="E469" s="392"/>
      <c r="F469" s="383" t="str">
        <f t="shared" si="1"/>
        <v/>
      </c>
      <c r="G469" s="384" t="str">
        <f>IFERROR(__xludf.DUMMYFUNCTION("IFERROR(AVERAGE(FILTER('حضور '!I:I,'حضور '!A:A=A469,MONTH('حضور '!B:B)=J469)),"""")"),"")</f>
        <v/>
      </c>
      <c r="H469" s="384">
        <f t="shared" si="2"/>
        <v>0</v>
      </c>
      <c r="I469" s="385">
        <f t="shared" si="3"/>
        <v>0</v>
      </c>
    </row>
    <row r="470" ht="22.5" customHeight="1">
      <c r="A470" s="391"/>
      <c r="B470" s="379"/>
      <c r="C470" s="393"/>
      <c r="D470" s="392"/>
      <c r="E470" s="392"/>
      <c r="F470" s="383" t="str">
        <f t="shared" si="1"/>
        <v/>
      </c>
      <c r="G470" s="384" t="str">
        <f>IFERROR(__xludf.DUMMYFUNCTION("IFERROR(AVERAGE(FILTER('حضور '!I:I,'حضور '!A:A=A470,MONTH('حضور '!B:B)=J470)),"""")"),"")</f>
        <v/>
      </c>
      <c r="H470" s="384">
        <f t="shared" si="2"/>
        <v>0</v>
      </c>
      <c r="I470" s="385">
        <f t="shared" si="3"/>
        <v>0</v>
      </c>
    </row>
    <row r="471" ht="22.5" customHeight="1">
      <c r="A471" s="391"/>
      <c r="B471" s="379"/>
      <c r="C471" s="393"/>
      <c r="D471" s="392"/>
      <c r="E471" s="392"/>
      <c r="F471" s="383" t="str">
        <f t="shared" si="1"/>
        <v/>
      </c>
      <c r="G471" s="384" t="str">
        <f>IFERROR(__xludf.DUMMYFUNCTION("IFERROR(AVERAGE(FILTER('حضور '!I:I,'حضور '!A:A=A471,MONTH('حضور '!B:B)=J471)),"""")"),"")</f>
        <v/>
      </c>
      <c r="H471" s="384">
        <f t="shared" si="2"/>
        <v>0</v>
      </c>
      <c r="I471" s="385">
        <f t="shared" si="3"/>
        <v>0</v>
      </c>
    </row>
    <row r="472" ht="22.5" customHeight="1">
      <c r="A472" s="391"/>
      <c r="B472" s="379"/>
      <c r="C472" s="393"/>
      <c r="D472" s="392"/>
      <c r="E472" s="392"/>
      <c r="F472" s="383" t="str">
        <f t="shared" si="1"/>
        <v/>
      </c>
      <c r="G472" s="384" t="str">
        <f>IFERROR(__xludf.DUMMYFUNCTION("IFERROR(AVERAGE(FILTER('حضور '!I:I,'حضور '!A:A=A472,MONTH('حضور '!B:B)=J472)),"""")"),"")</f>
        <v/>
      </c>
      <c r="H472" s="384">
        <f t="shared" si="2"/>
        <v>0</v>
      </c>
      <c r="I472" s="385">
        <f t="shared" si="3"/>
        <v>0</v>
      </c>
    </row>
    <row r="473" ht="22.5" customHeight="1">
      <c r="A473" s="391"/>
      <c r="B473" s="379"/>
      <c r="C473" s="393"/>
      <c r="D473" s="392"/>
      <c r="E473" s="392"/>
      <c r="F473" s="383" t="str">
        <f t="shared" si="1"/>
        <v/>
      </c>
      <c r="G473" s="384" t="str">
        <f>IFERROR(__xludf.DUMMYFUNCTION("IFERROR(AVERAGE(FILTER('حضور '!I:I,'حضور '!A:A=A473,MONTH('حضور '!B:B)=J473)),"""")"),"")</f>
        <v/>
      </c>
      <c r="H473" s="384">
        <f t="shared" si="2"/>
        <v>0</v>
      </c>
      <c r="I473" s="385">
        <f t="shared" si="3"/>
        <v>0</v>
      </c>
    </row>
    <row r="474" ht="22.5" customHeight="1">
      <c r="A474" s="391"/>
      <c r="B474" s="379"/>
      <c r="C474" s="393"/>
      <c r="D474" s="392"/>
      <c r="E474" s="392"/>
      <c r="F474" s="383" t="str">
        <f t="shared" si="1"/>
        <v/>
      </c>
      <c r="G474" s="384" t="str">
        <f>IFERROR(__xludf.DUMMYFUNCTION("IFERROR(AVERAGE(FILTER('حضور '!I:I,'حضور '!A:A=A474,MONTH('حضور '!B:B)=J474)),"""")"),"")</f>
        <v/>
      </c>
      <c r="H474" s="384">
        <f t="shared" si="2"/>
        <v>0</v>
      </c>
      <c r="I474" s="385">
        <f t="shared" si="3"/>
        <v>0</v>
      </c>
    </row>
    <row r="475" ht="22.5" customHeight="1">
      <c r="A475" s="391"/>
      <c r="B475" s="379"/>
      <c r="C475" s="393"/>
      <c r="D475" s="392"/>
      <c r="E475" s="392"/>
      <c r="F475" s="383" t="str">
        <f t="shared" si="1"/>
        <v/>
      </c>
      <c r="G475" s="384" t="str">
        <f>IFERROR(__xludf.DUMMYFUNCTION("IFERROR(AVERAGE(FILTER('حضور '!I:I,'حضور '!A:A=A475,MONTH('حضور '!B:B)=J475)),"""")"),"")</f>
        <v/>
      </c>
      <c r="H475" s="384">
        <f t="shared" si="2"/>
        <v>0</v>
      </c>
      <c r="I475" s="385">
        <f t="shared" si="3"/>
        <v>0</v>
      </c>
    </row>
    <row r="476" ht="22.5" customHeight="1">
      <c r="A476" s="391"/>
      <c r="B476" s="379"/>
      <c r="C476" s="393"/>
      <c r="D476" s="392"/>
      <c r="E476" s="392"/>
      <c r="F476" s="383" t="str">
        <f t="shared" si="1"/>
        <v/>
      </c>
      <c r="G476" s="384" t="str">
        <f>IFERROR(__xludf.DUMMYFUNCTION("IFERROR(AVERAGE(FILTER('حضور '!I:I,'حضور '!A:A=A476,MONTH('حضور '!B:B)=J476)),"""")"),"")</f>
        <v/>
      </c>
      <c r="H476" s="384">
        <f t="shared" si="2"/>
        <v>0</v>
      </c>
      <c r="I476" s="385">
        <f t="shared" si="3"/>
        <v>0</v>
      </c>
    </row>
    <row r="477" ht="22.5" customHeight="1">
      <c r="A477" s="391"/>
      <c r="B477" s="379"/>
      <c r="C477" s="393"/>
      <c r="D477" s="392"/>
      <c r="E477" s="392"/>
      <c r="F477" s="383" t="str">
        <f t="shared" si="1"/>
        <v/>
      </c>
      <c r="G477" s="384" t="str">
        <f>IFERROR(__xludf.DUMMYFUNCTION("IFERROR(AVERAGE(FILTER('حضور '!I:I,'حضور '!A:A=A477,MONTH('حضور '!B:B)=J477)),"""")"),"")</f>
        <v/>
      </c>
      <c r="H477" s="384">
        <f t="shared" si="2"/>
        <v>0</v>
      </c>
      <c r="I477" s="385">
        <f t="shared" si="3"/>
        <v>0</v>
      </c>
    </row>
    <row r="478" ht="22.5" customHeight="1">
      <c r="A478" s="391"/>
      <c r="B478" s="379"/>
      <c r="C478" s="393"/>
      <c r="D478" s="392"/>
      <c r="E478" s="392"/>
      <c r="F478" s="383" t="str">
        <f t="shared" si="1"/>
        <v/>
      </c>
      <c r="G478" s="384" t="str">
        <f>IFERROR(__xludf.DUMMYFUNCTION("IFERROR(AVERAGE(FILTER('حضور '!I:I,'حضور '!A:A=A478,MONTH('حضور '!B:B)=J478)),"""")"),"")</f>
        <v/>
      </c>
      <c r="H478" s="384">
        <f t="shared" si="2"/>
        <v>0</v>
      </c>
      <c r="I478" s="385">
        <f t="shared" si="3"/>
        <v>0</v>
      </c>
    </row>
    <row r="479" ht="22.5" customHeight="1">
      <c r="A479" s="391"/>
      <c r="B479" s="379"/>
      <c r="C479" s="393"/>
      <c r="D479" s="392"/>
      <c r="E479" s="392"/>
      <c r="F479" s="383" t="str">
        <f t="shared" si="1"/>
        <v/>
      </c>
      <c r="G479" s="384" t="str">
        <f>IFERROR(__xludf.DUMMYFUNCTION("IFERROR(AVERAGE(FILTER('حضور '!I:I,'حضور '!A:A=A479,MONTH('حضور '!B:B)=J479)),"""")"),"")</f>
        <v/>
      </c>
      <c r="H479" s="384">
        <f t="shared" si="2"/>
        <v>0</v>
      </c>
      <c r="I479" s="385">
        <f t="shared" si="3"/>
        <v>0</v>
      </c>
    </row>
    <row r="480" ht="22.5" customHeight="1">
      <c r="A480" s="391"/>
      <c r="B480" s="379"/>
      <c r="C480" s="393"/>
      <c r="D480" s="392"/>
      <c r="E480" s="392"/>
      <c r="F480" s="383" t="str">
        <f t="shared" si="1"/>
        <v/>
      </c>
      <c r="G480" s="384" t="str">
        <f>IFERROR(__xludf.DUMMYFUNCTION("IFERROR(AVERAGE(FILTER('حضور '!I:I,'حضور '!A:A=A480,MONTH('حضور '!B:B)=J480)),"""")"),"")</f>
        <v/>
      </c>
      <c r="H480" s="384">
        <f t="shared" si="2"/>
        <v>0</v>
      </c>
      <c r="I480" s="385">
        <f t="shared" si="3"/>
        <v>0</v>
      </c>
    </row>
    <row r="481" ht="22.5" customHeight="1">
      <c r="A481" s="391"/>
      <c r="B481" s="379"/>
      <c r="C481" s="393"/>
      <c r="D481" s="392"/>
      <c r="E481" s="392"/>
      <c r="F481" s="383" t="str">
        <f t="shared" si="1"/>
        <v/>
      </c>
      <c r="G481" s="384" t="str">
        <f>IFERROR(__xludf.DUMMYFUNCTION("IFERROR(AVERAGE(FILTER('حضور '!I:I,'حضور '!A:A=A481,MONTH('حضور '!B:B)=J481)),"""")"),"")</f>
        <v/>
      </c>
      <c r="H481" s="384">
        <f t="shared" si="2"/>
        <v>0</v>
      </c>
      <c r="I481" s="385">
        <f t="shared" si="3"/>
        <v>0</v>
      </c>
    </row>
    <row r="482" ht="22.5" customHeight="1">
      <c r="A482" s="391"/>
      <c r="B482" s="379"/>
      <c r="C482" s="393"/>
      <c r="D482" s="392"/>
      <c r="E482" s="392"/>
      <c r="F482" s="383" t="str">
        <f t="shared" si="1"/>
        <v/>
      </c>
      <c r="G482" s="384" t="str">
        <f>IFERROR(__xludf.DUMMYFUNCTION("IFERROR(AVERAGE(FILTER('حضور '!I:I,'حضور '!A:A=A482,MONTH('حضور '!B:B)=J482)),"""")"),"")</f>
        <v/>
      </c>
      <c r="H482" s="384">
        <f t="shared" si="2"/>
        <v>0</v>
      </c>
      <c r="I482" s="385">
        <f t="shared" si="3"/>
        <v>0</v>
      </c>
    </row>
    <row r="483" ht="22.5" customHeight="1">
      <c r="A483" s="391"/>
      <c r="B483" s="379"/>
      <c r="C483" s="393"/>
      <c r="D483" s="392"/>
      <c r="E483" s="392"/>
      <c r="F483" s="383" t="str">
        <f t="shared" si="1"/>
        <v/>
      </c>
      <c r="G483" s="384" t="str">
        <f>IFERROR(__xludf.DUMMYFUNCTION("IFERROR(AVERAGE(FILTER('حضور '!I:I,'حضور '!A:A=A483,MONTH('حضور '!B:B)=J483)),"""")"),"")</f>
        <v/>
      </c>
      <c r="H483" s="384">
        <f t="shared" si="2"/>
        <v>0</v>
      </c>
      <c r="I483" s="385">
        <f t="shared" si="3"/>
        <v>0</v>
      </c>
    </row>
    <row r="484" ht="22.5" customHeight="1">
      <c r="A484" s="391"/>
      <c r="B484" s="379"/>
      <c r="C484" s="393"/>
      <c r="D484" s="392"/>
      <c r="E484" s="392"/>
      <c r="F484" s="383" t="str">
        <f t="shared" si="1"/>
        <v/>
      </c>
      <c r="G484" s="384" t="str">
        <f>IFERROR(__xludf.DUMMYFUNCTION("IFERROR(AVERAGE(FILTER('حضور '!I:I,'حضور '!A:A=A484,MONTH('حضور '!B:B)=J484)),"""")"),"")</f>
        <v/>
      </c>
      <c r="H484" s="384">
        <f t="shared" si="2"/>
        <v>0</v>
      </c>
      <c r="I484" s="385">
        <f t="shared" si="3"/>
        <v>0</v>
      </c>
    </row>
    <row r="485" ht="22.5" customHeight="1">
      <c r="A485" s="391"/>
      <c r="B485" s="379"/>
      <c r="C485" s="393"/>
      <c r="D485" s="392"/>
      <c r="E485" s="392"/>
      <c r="F485" s="383" t="str">
        <f t="shared" si="1"/>
        <v/>
      </c>
      <c r="G485" s="384" t="str">
        <f>IFERROR(__xludf.DUMMYFUNCTION("IFERROR(AVERAGE(FILTER('حضور '!I:I,'حضور '!A:A=A485,MONTH('حضور '!B:B)=J485)),"""")"),"")</f>
        <v/>
      </c>
      <c r="H485" s="384">
        <f t="shared" si="2"/>
        <v>0</v>
      </c>
      <c r="I485" s="385">
        <f t="shared" si="3"/>
        <v>0</v>
      </c>
    </row>
    <row r="486" ht="22.5" customHeight="1">
      <c r="A486" s="391"/>
      <c r="B486" s="379"/>
      <c r="C486" s="393"/>
      <c r="D486" s="392"/>
      <c r="E486" s="392"/>
      <c r="F486" s="383" t="str">
        <f t="shared" si="1"/>
        <v/>
      </c>
      <c r="G486" s="384" t="str">
        <f>IFERROR(__xludf.DUMMYFUNCTION("IFERROR(AVERAGE(FILTER('حضور '!I:I,'حضور '!A:A=A486,MONTH('حضور '!B:B)=J486)),"""")"),"")</f>
        <v/>
      </c>
      <c r="H486" s="384">
        <f t="shared" si="2"/>
        <v>0</v>
      </c>
      <c r="I486" s="385">
        <f t="shared" si="3"/>
        <v>0</v>
      </c>
    </row>
    <row r="487" ht="22.5" customHeight="1">
      <c r="A487" s="391"/>
      <c r="B487" s="379"/>
      <c r="C487" s="393"/>
      <c r="D487" s="392"/>
      <c r="E487" s="392"/>
      <c r="F487" s="383" t="str">
        <f t="shared" si="1"/>
        <v/>
      </c>
      <c r="G487" s="384" t="str">
        <f>IFERROR(__xludf.DUMMYFUNCTION("IFERROR(AVERAGE(FILTER('حضور '!I:I,'حضور '!A:A=A487,MONTH('حضور '!B:B)=J487)),"""")"),"")</f>
        <v/>
      </c>
      <c r="H487" s="384">
        <f t="shared" si="2"/>
        <v>0</v>
      </c>
      <c r="I487" s="385">
        <f t="shared" si="3"/>
        <v>0</v>
      </c>
    </row>
    <row r="488" ht="22.5" customHeight="1">
      <c r="A488" s="391"/>
      <c r="B488" s="379"/>
      <c r="C488" s="393"/>
      <c r="D488" s="392"/>
      <c r="E488" s="392"/>
      <c r="F488" s="383" t="str">
        <f t="shared" si="1"/>
        <v/>
      </c>
      <c r="G488" s="384" t="str">
        <f>IFERROR(__xludf.DUMMYFUNCTION("IFERROR(AVERAGE(FILTER('حضور '!I:I,'حضور '!A:A=A488,MONTH('حضور '!B:B)=J488)),"""")"),"")</f>
        <v/>
      </c>
      <c r="H488" s="384">
        <f t="shared" si="2"/>
        <v>0</v>
      </c>
      <c r="I488" s="385">
        <f t="shared" si="3"/>
        <v>0</v>
      </c>
    </row>
    <row r="489" ht="22.5" customHeight="1">
      <c r="A489" s="391"/>
      <c r="B489" s="379"/>
      <c r="C489" s="393"/>
      <c r="D489" s="392"/>
      <c r="E489" s="392"/>
      <c r="F489" s="383" t="str">
        <f t="shared" si="1"/>
        <v/>
      </c>
      <c r="G489" s="384" t="str">
        <f>IFERROR(__xludf.DUMMYFUNCTION("IFERROR(AVERAGE(FILTER('حضور '!I:I,'حضور '!A:A=A489,MONTH('حضور '!B:B)=J489)),"""")"),"")</f>
        <v/>
      </c>
      <c r="H489" s="384">
        <f t="shared" si="2"/>
        <v>0</v>
      </c>
      <c r="I489" s="385">
        <f t="shared" si="3"/>
        <v>0</v>
      </c>
    </row>
    <row r="490" ht="22.5" customHeight="1">
      <c r="A490" s="391"/>
      <c r="B490" s="379"/>
      <c r="C490" s="393"/>
      <c r="D490" s="392"/>
      <c r="E490" s="392"/>
      <c r="F490" s="383" t="str">
        <f t="shared" si="1"/>
        <v/>
      </c>
      <c r="G490" s="384" t="str">
        <f>IFERROR(__xludf.DUMMYFUNCTION("IFERROR(AVERAGE(FILTER('حضور '!I:I,'حضور '!A:A=A490,MONTH('حضور '!B:B)=J490)),"""")"),"")</f>
        <v/>
      </c>
      <c r="H490" s="384">
        <f t="shared" si="2"/>
        <v>0</v>
      </c>
      <c r="I490" s="385">
        <f t="shared" si="3"/>
        <v>0</v>
      </c>
    </row>
    <row r="491" ht="22.5" customHeight="1">
      <c r="A491" s="391"/>
      <c r="B491" s="379"/>
      <c r="C491" s="393"/>
      <c r="D491" s="392"/>
      <c r="E491" s="392"/>
      <c r="F491" s="383" t="str">
        <f t="shared" si="1"/>
        <v/>
      </c>
      <c r="G491" s="384" t="str">
        <f>IFERROR(__xludf.DUMMYFUNCTION("IFERROR(AVERAGE(FILTER('حضور '!I:I,'حضور '!A:A=A491,MONTH('حضور '!B:B)=J491)),"""")"),"")</f>
        <v/>
      </c>
      <c r="H491" s="384">
        <f t="shared" si="2"/>
        <v>0</v>
      </c>
      <c r="I491" s="385">
        <f t="shared" si="3"/>
        <v>0</v>
      </c>
    </row>
    <row r="492" ht="22.5" customHeight="1">
      <c r="A492" s="391"/>
      <c r="B492" s="379"/>
      <c r="C492" s="393"/>
      <c r="D492" s="392"/>
      <c r="E492" s="392"/>
      <c r="F492" s="383" t="str">
        <f t="shared" si="1"/>
        <v/>
      </c>
      <c r="G492" s="384" t="str">
        <f>IFERROR(__xludf.DUMMYFUNCTION("IFERROR(AVERAGE(FILTER('حضور '!I:I,'حضور '!A:A=A492,MONTH('حضور '!B:B)=J492)),"""")"),"")</f>
        <v/>
      </c>
      <c r="H492" s="384">
        <f t="shared" si="2"/>
        <v>0</v>
      </c>
      <c r="I492" s="385">
        <f t="shared" si="3"/>
        <v>0</v>
      </c>
    </row>
    <row r="493" ht="22.5" customHeight="1">
      <c r="A493" s="391"/>
      <c r="B493" s="379"/>
      <c r="C493" s="393"/>
      <c r="D493" s="392"/>
      <c r="E493" s="392"/>
      <c r="F493" s="383" t="str">
        <f t="shared" si="1"/>
        <v/>
      </c>
      <c r="G493" s="384" t="str">
        <f>IFERROR(__xludf.DUMMYFUNCTION("IFERROR(AVERAGE(FILTER('حضور '!I:I,'حضور '!A:A=A493,MONTH('حضور '!B:B)=J493)),"""")"),"")</f>
        <v/>
      </c>
      <c r="H493" s="384">
        <f t="shared" si="2"/>
        <v>0</v>
      </c>
      <c r="I493" s="385">
        <f t="shared" si="3"/>
        <v>0</v>
      </c>
    </row>
    <row r="494" ht="22.5" customHeight="1">
      <c r="A494" s="391"/>
      <c r="B494" s="379"/>
      <c r="C494" s="393"/>
      <c r="D494" s="392"/>
      <c r="E494" s="392"/>
      <c r="F494" s="383" t="str">
        <f t="shared" si="1"/>
        <v/>
      </c>
      <c r="G494" s="384" t="str">
        <f>IFERROR(__xludf.DUMMYFUNCTION("IFERROR(AVERAGE(FILTER('حضور '!I:I,'حضور '!A:A=A494,MONTH('حضور '!B:B)=J494)),"""")"),"")</f>
        <v/>
      </c>
      <c r="H494" s="384">
        <f t="shared" si="2"/>
        <v>0</v>
      </c>
      <c r="I494" s="385">
        <f t="shared" si="3"/>
        <v>0</v>
      </c>
    </row>
    <row r="495" ht="22.5" customHeight="1">
      <c r="A495" s="391"/>
      <c r="B495" s="379"/>
      <c r="C495" s="393"/>
      <c r="D495" s="392"/>
      <c r="E495" s="392"/>
      <c r="F495" s="383" t="str">
        <f t="shared" si="1"/>
        <v/>
      </c>
      <c r="G495" s="384" t="str">
        <f>IFERROR(__xludf.DUMMYFUNCTION("IFERROR(AVERAGE(FILTER('حضور '!I:I,'حضور '!A:A=A495,MONTH('حضور '!B:B)=J495)),"""")"),"")</f>
        <v/>
      </c>
      <c r="H495" s="384">
        <f t="shared" si="2"/>
        <v>0</v>
      </c>
      <c r="I495" s="385">
        <f t="shared" si="3"/>
        <v>0</v>
      </c>
    </row>
    <row r="496" ht="22.5" customHeight="1">
      <c r="A496" s="391"/>
      <c r="B496" s="379"/>
      <c r="C496" s="393"/>
      <c r="D496" s="392"/>
      <c r="E496" s="392"/>
      <c r="F496" s="383" t="str">
        <f t="shared" si="1"/>
        <v/>
      </c>
      <c r="G496" s="384" t="str">
        <f>IFERROR(__xludf.DUMMYFUNCTION("IFERROR(AVERAGE(FILTER('حضور '!I:I,'حضور '!A:A=A496,MONTH('حضور '!B:B)=J496)),"""")"),"")</f>
        <v/>
      </c>
      <c r="H496" s="384">
        <f t="shared" si="2"/>
        <v>0</v>
      </c>
      <c r="I496" s="385">
        <f t="shared" si="3"/>
        <v>0</v>
      </c>
    </row>
    <row r="497" ht="22.5" customHeight="1">
      <c r="A497" s="391"/>
      <c r="B497" s="379"/>
      <c r="C497" s="393"/>
      <c r="D497" s="392"/>
      <c r="E497" s="392"/>
      <c r="F497" s="383" t="str">
        <f t="shared" si="1"/>
        <v/>
      </c>
      <c r="G497" s="384" t="str">
        <f>IFERROR(__xludf.DUMMYFUNCTION("IFERROR(AVERAGE(FILTER('حضور '!I:I,'حضور '!A:A=A497,MONTH('حضور '!B:B)=J497)),"""")"),"")</f>
        <v/>
      </c>
      <c r="H497" s="384">
        <f t="shared" si="2"/>
        <v>0</v>
      </c>
      <c r="I497" s="385">
        <f t="shared" si="3"/>
        <v>0</v>
      </c>
    </row>
    <row r="498" ht="22.5" customHeight="1">
      <c r="A498" s="391"/>
      <c r="B498" s="379"/>
      <c r="C498" s="393"/>
      <c r="D498" s="392"/>
      <c r="E498" s="392"/>
      <c r="F498" s="383" t="str">
        <f t="shared" si="1"/>
        <v/>
      </c>
      <c r="G498" s="384" t="str">
        <f>IFERROR(__xludf.DUMMYFUNCTION("IFERROR(AVERAGE(FILTER('حضور '!I:I,'حضور '!A:A=A498,MONTH('حضور '!B:B)=J498)),"""")"),"")</f>
        <v/>
      </c>
      <c r="H498" s="384">
        <f t="shared" si="2"/>
        <v>0</v>
      </c>
      <c r="I498" s="385">
        <f t="shared" si="3"/>
        <v>0</v>
      </c>
    </row>
    <row r="499" ht="22.5" customHeight="1">
      <c r="A499" s="391"/>
      <c r="B499" s="379"/>
      <c r="C499" s="393"/>
      <c r="D499" s="392"/>
      <c r="E499" s="392"/>
      <c r="F499" s="383" t="str">
        <f t="shared" si="1"/>
        <v/>
      </c>
      <c r="G499" s="384" t="str">
        <f>IFERROR(__xludf.DUMMYFUNCTION("IFERROR(AVERAGE(FILTER('حضور '!I:I,'حضور '!A:A=A499,MONTH('حضور '!B:B)=J499)),"""")"),"")</f>
        <v/>
      </c>
      <c r="H499" s="384">
        <f t="shared" si="2"/>
        <v>0</v>
      </c>
      <c r="I499" s="385">
        <f t="shared" si="3"/>
        <v>0</v>
      </c>
    </row>
    <row r="500" ht="22.5" customHeight="1">
      <c r="A500" s="391"/>
      <c r="B500" s="379"/>
      <c r="C500" s="393"/>
      <c r="D500" s="392"/>
      <c r="E500" s="392"/>
      <c r="F500" s="383" t="str">
        <f t="shared" si="1"/>
        <v/>
      </c>
      <c r="G500" s="384" t="str">
        <f>IFERROR(__xludf.DUMMYFUNCTION("IFERROR(AVERAGE(FILTER('حضور '!I:I,'حضور '!A:A=A500,MONTH('حضور '!B:B)=J500)),"""")"),"")</f>
        <v/>
      </c>
      <c r="H500" s="384">
        <f t="shared" si="2"/>
        <v>0</v>
      </c>
      <c r="I500" s="385">
        <f t="shared" si="3"/>
        <v>0</v>
      </c>
    </row>
    <row r="501" ht="22.5" customHeight="1">
      <c r="A501" s="391"/>
      <c r="B501" s="379"/>
      <c r="C501" s="393"/>
      <c r="D501" s="392"/>
      <c r="E501" s="392"/>
      <c r="F501" s="383" t="str">
        <f t="shared" si="1"/>
        <v/>
      </c>
      <c r="G501" s="384" t="str">
        <f>IFERROR(__xludf.DUMMYFUNCTION("IFERROR(AVERAGE(FILTER('حضور '!I:I,'حضور '!A:A=A501,MONTH('حضور '!B:B)=J501)),"""")"),"")</f>
        <v/>
      </c>
      <c r="H501" s="384">
        <f t="shared" si="2"/>
        <v>0</v>
      </c>
      <c r="I501" s="385">
        <f t="shared" si="3"/>
        <v>0</v>
      </c>
    </row>
    <row r="502" ht="22.5" customHeight="1">
      <c r="A502" s="391"/>
      <c r="B502" s="379"/>
      <c r="C502" s="393"/>
      <c r="D502" s="392"/>
      <c r="E502" s="392"/>
      <c r="F502" s="383" t="str">
        <f t="shared" si="1"/>
        <v/>
      </c>
      <c r="G502" s="384" t="str">
        <f>IFERROR(__xludf.DUMMYFUNCTION("IFERROR(AVERAGE(FILTER('حضور '!I:I,'حضور '!A:A=A502,MONTH('حضور '!B:B)=J502)),"""")"),"")</f>
        <v/>
      </c>
      <c r="H502" s="384">
        <f t="shared" si="2"/>
        <v>0</v>
      </c>
      <c r="I502" s="385">
        <f t="shared" si="3"/>
        <v>0</v>
      </c>
    </row>
    <row r="503" ht="22.5" customHeight="1">
      <c r="A503" s="391"/>
      <c r="B503" s="379"/>
      <c r="C503" s="393"/>
      <c r="D503" s="392"/>
      <c r="E503" s="392"/>
      <c r="F503" s="383" t="str">
        <f t="shared" si="1"/>
        <v/>
      </c>
      <c r="G503" s="384" t="str">
        <f>IFERROR(__xludf.DUMMYFUNCTION("IFERROR(AVERAGE(FILTER('حضور '!I:I,'حضور '!A:A=A503,MONTH('حضور '!B:B)=J503)),"""")"),"")</f>
        <v/>
      </c>
      <c r="H503" s="384">
        <f t="shared" si="2"/>
        <v>0</v>
      </c>
      <c r="I503" s="385">
        <f t="shared" si="3"/>
        <v>0</v>
      </c>
    </row>
    <row r="504" ht="22.5" customHeight="1">
      <c r="A504" s="391"/>
      <c r="B504" s="379"/>
      <c r="C504" s="393"/>
      <c r="D504" s="392"/>
      <c r="E504" s="392"/>
      <c r="F504" s="383" t="str">
        <f t="shared" si="1"/>
        <v/>
      </c>
      <c r="G504" s="384" t="str">
        <f>IFERROR(__xludf.DUMMYFUNCTION("IFERROR(AVERAGE(FILTER('حضور '!I:I,'حضور '!A:A=A504,MONTH('حضور '!B:B)=J504)),"""")"),"")</f>
        <v/>
      </c>
      <c r="H504" s="384">
        <f t="shared" si="2"/>
        <v>0</v>
      </c>
      <c r="I504" s="385">
        <f t="shared" si="3"/>
        <v>0</v>
      </c>
    </row>
    <row r="505" ht="22.5" customHeight="1">
      <c r="A505" s="391"/>
      <c r="B505" s="379"/>
      <c r="C505" s="393"/>
      <c r="D505" s="392"/>
      <c r="E505" s="392"/>
      <c r="F505" s="383" t="str">
        <f t="shared" si="1"/>
        <v/>
      </c>
      <c r="G505" s="384" t="str">
        <f>IFERROR(__xludf.DUMMYFUNCTION("IFERROR(AVERAGE(FILTER('حضور '!I:I,'حضور '!A:A=A505,MONTH('حضور '!B:B)=J505)),"""")"),"")</f>
        <v/>
      </c>
      <c r="H505" s="384">
        <f t="shared" si="2"/>
        <v>0</v>
      </c>
      <c r="I505" s="385">
        <f t="shared" si="3"/>
        <v>0</v>
      </c>
    </row>
    <row r="506" ht="22.5" customHeight="1">
      <c r="A506" s="391"/>
      <c r="B506" s="379"/>
      <c r="C506" s="393"/>
      <c r="D506" s="392"/>
      <c r="E506" s="392"/>
      <c r="F506" s="383" t="str">
        <f t="shared" si="1"/>
        <v/>
      </c>
      <c r="G506" s="384" t="str">
        <f>IFERROR(__xludf.DUMMYFUNCTION("IFERROR(AVERAGE(FILTER('حضور '!I:I,'حضور '!A:A=A506,MONTH('حضور '!B:B)=J506)),"""")"),"")</f>
        <v/>
      </c>
      <c r="H506" s="384">
        <f t="shared" si="2"/>
        <v>0</v>
      </c>
      <c r="I506" s="385">
        <f t="shared" si="3"/>
        <v>0</v>
      </c>
    </row>
    <row r="507" ht="22.5" customHeight="1">
      <c r="A507" s="391"/>
      <c r="B507" s="379"/>
      <c r="C507" s="393"/>
      <c r="D507" s="392"/>
      <c r="E507" s="392"/>
      <c r="F507" s="383" t="str">
        <f t="shared" si="1"/>
        <v/>
      </c>
      <c r="G507" s="384" t="str">
        <f>IFERROR(__xludf.DUMMYFUNCTION("IFERROR(AVERAGE(FILTER('حضور '!I:I,'حضور '!A:A=A507,MONTH('حضور '!B:B)=J507)),"""")"),"")</f>
        <v/>
      </c>
      <c r="H507" s="384">
        <f t="shared" si="2"/>
        <v>0</v>
      </c>
      <c r="I507" s="385">
        <f t="shared" si="3"/>
        <v>0</v>
      </c>
    </row>
    <row r="508" ht="22.5" customHeight="1">
      <c r="A508" s="391"/>
      <c r="B508" s="379"/>
      <c r="C508" s="393"/>
      <c r="D508" s="392"/>
      <c r="E508" s="392"/>
      <c r="F508" s="383" t="str">
        <f t="shared" si="1"/>
        <v/>
      </c>
      <c r="G508" s="384" t="str">
        <f>IFERROR(__xludf.DUMMYFUNCTION("IFERROR(AVERAGE(FILTER('حضور '!I:I,'حضور '!A:A=A508,MONTH('حضور '!B:B)=J508)),"""")"),"")</f>
        <v/>
      </c>
      <c r="H508" s="384">
        <f t="shared" si="2"/>
        <v>0</v>
      </c>
      <c r="I508" s="385">
        <f t="shared" si="3"/>
        <v>0</v>
      </c>
    </row>
    <row r="509" ht="22.5" customHeight="1">
      <c r="A509" s="391"/>
      <c r="B509" s="379"/>
      <c r="C509" s="393"/>
      <c r="D509" s="392"/>
      <c r="E509" s="392"/>
      <c r="F509" s="383" t="str">
        <f t="shared" si="1"/>
        <v/>
      </c>
      <c r="G509" s="384" t="str">
        <f>IFERROR(__xludf.DUMMYFUNCTION("IFERROR(AVERAGE(FILTER('حضور '!I:I,'حضور '!A:A=A509,MONTH('حضور '!B:B)=J509)),"""")"),"")</f>
        <v/>
      </c>
      <c r="H509" s="384">
        <f t="shared" si="2"/>
        <v>0</v>
      </c>
      <c r="I509" s="385">
        <f t="shared" si="3"/>
        <v>0</v>
      </c>
    </row>
    <row r="510" ht="22.5" customHeight="1">
      <c r="A510" s="391"/>
      <c r="B510" s="379"/>
      <c r="C510" s="393"/>
      <c r="D510" s="392"/>
      <c r="E510" s="392"/>
      <c r="F510" s="383" t="str">
        <f t="shared" si="1"/>
        <v/>
      </c>
      <c r="G510" s="384" t="str">
        <f>IFERROR(__xludf.DUMMYFUNCTION("IFERROR(AVERAGE(FILTER('حضور '!I:I,'حضور '!A:A=A510,MONTH('حضور '!B:B)=J510)),"""")"),"")</f>
        <v/>
      </c>
      <c r="H510" s="384">
        <f t="shared" si="2"/>
        <v>0</v>
      </c>
      <c r="I510" s="385">
        <f t="shared" si="3"/>
        <v>0</v>
      </c>
    </row>
    <row r="511" ht="22.5" customHeight="1">
      <c r="A511" s="391"/>
      <c r="B511" s="379"/>
      <c r="C511" s="393"/>
      <c r="D511" s="392"/>
      <c r="E511" s="392"/>
      <c r="F511" s="383" t="str">
        <f t="shared" si="1"/>
        <v/>
      </c>
      <c r="G511" s="384" t="str">
        <f>IFERROR(__xludf.DUMMYFUNCTION("IFERROR(AVERAGE(FILTER('حضور '!I:I,'حضور '!A:A=A511,MONTH('حضور '!B:B)=J511)),"""")"),"")</f>
        <v/>
      </c>
      <c r="H511" s="384">
        <f t="shared" si="2"/>
        <v>0</v>
      </c>
      <c r="I511" s="385">
        <f t="shared" si="3"/>
        <v>0</v>
      </c>
    </row>
    <row r="512" ht="22.5" customHeight="1">
      <c r="A512" s="391"/>
      <c r="B512" s="379"/>
      <c r="C512" s="393"/>
      <c r="D512" s="392"/>
      <c r="E512" s="392"/>
      <c r="F512" s="383" t="str">
        <f t="shared" si="1"/>
        <v/>
      </c>
      <c r="G512" s="384" t="str">
        <f>IFERROR(__xludf.DUMMYFUNCTION("IFERROR(AVERAGE(FILTER('حضور '!I:I,'حضور '!A:A=A512,MONTH('حضور '!B:B)=J512)),"""")"),"")</f>
        <v/>
      </c>
      <c r="H512" s="384">
        <f t="shared" si="2"/>
        <v>0</v>
      </c>
      <c r="I512" s="385">
        <f t="shared" si="3"/>
        <v>0</v>
      </c>
    </row>
    <row r="513" ht="22.5" customHeight="1">
      <c r="A513" s="391"/>
      <c r="B513" s="379"/>
      <c r="C513" s="393"/>
      <c r="D513" s="392"/>
      <c r="E513" s="392"/>
      <c r="F513" s="383" t="str">
        <f t="shared" si="1"/>
        <v/>
      </c>
      <c r="G513" s="384" t="str">
        <f>IFERROR(__xludf.DUMMYFUNCTION("IFERROR(AVERAGE(FILTER('حضور '!I:I,'حضور '!A:A=A513,MONTH('حضور '!B:B)=J513)),"""")"),"")</f>
        <v/>
      </c>
      <c r="H513" s="384">
        <f t="shared" si="2"/>
        <v>0</v>
      </c>
      <c r="I513" s="385">
        <f t="shared" si="3"/>
        <v>0</v>
      </c>
    </row>
    <row r="514" ht="22.5" customHeight="1">
      <c r="A514" s="391"/>
      <c r="B514" s="379"/>
      <c r="C514" s="393"/>
      <c r="D514" s="392"/>
      <c r="E514" s="392"/>
      <c r="F514" s="383" t="str">
        <f t="shared" si="1"/>
        <v/>
      </c>
      <c r="G514" s="384" t="str">
        <f>IFERROR(__xludf.DUMMYFUNCTION("IFERROR(AVERAGE(FILTER('حضور '!I:I,'حضور '!A:A=A514,MONTH('حضور '!B:B)=J514)),"""")"),"")</f>
        <v/>
      </c>
      <c r="H514" s="384">
        <f t="shared" si="2"/>
        <v>0</v>
      </c>
      <c r="I514" s="385">
        <f t="shared" si="3"/>
        <v>0</v>
      </c>
    </row>
    <row r="515" ht="22.5" customHeight="1">
      <c r="A515" s="391"/>
      <c r="B515" s="379"/>
      <c r="C515" s="393"/>
      <c r="D515" s="392"/>
      <c r="E515" s="392"/>
      <c r="F515" s="383" t="str">
        <f t="shared" si="1"/>
        <v/>
      </c>
      <c r="G515" s="384" t="str">
        <f>IFERROR(__xludf.DUMMYFUNCTION("IFERROR(AVERAGE(FILTER('حضور '!I:I,'حضور '!A:A=A515,MONTH('حضور '!B:B)=J515)),"""")"),"")</f>
        <v/>
      </c>
      <c r="H515" s="384">
        <f t="shared" si="2"/>
        <v>0</v>
      </c>
      <c r="I515" s="385">
        <f t="shared" si="3"/>
        <v>0</v>
      </c>
    </row>
    <row r="516" ht="22.5" customHeight="1">
      <c r="A516" s="391"/>
      <c r="B516" s="379"/>
      <c r="C516" s="393"/>
      <c r="D516" s="392"/>
      <c r="E516" s="392"/>
      <c r="F516" s="383" t="str">
        <f t="shared" si="1"/>
        <v/>
      </c>
      <c r="G516" s="384" t="str">
        <f>IFERROR(__xludf.DUMMYFUNCTION("IFERROR(AVERAGE(FILTER('حضور '!I:I,'حضور '!A:A=A516,MONTH('حضور '!B:B)=J516)),"""")"),"")</f>
        <v/>
      </c>
      <c r="H516" s="384">
        <f t="shared" si="2"/>
        <v>0</v>
      </c>
      <c r="I516" s="385">
        <f t="shared" si="3"/>
        <v>0</v>
      </c>
    </row>
    <row r="517" ht="22.5" customHeight="1">
      <c r="A517" s="391"/>
      <c r="B517" s="379"/>
      <c r="C517" s="393"/>
      <c r="D517" s="392"/>
      <c r="E517" s="392"/>
      <c r="F517" s="383" t="str">
        <f t="shared" si="1"/>
        <v/>
      </c>
      <c r="G517" s="384" t="str">
        <f>IFERROR(__xludf.DUMMYFUNCTION("IFERROR(AVERAGE(FILTER('حضور '!I:I,'حضور '!A:A=A517,MONTH('حضور '!B:B)=J517)),"""")"),"")</f>
        <v/>
      </c>
      <c r="H517" s="384">
        <f t="shared" si="2"/>
        <v>0</v>
      </c>
      <c r="I517" s="385">
        <f t="shared" si="3"/>
        <v>0</v>
      </c>
    </row>
    <row r="518" ht="22.5" customHeight="1">
      <c r="A518" s="391"/>
      <c r="B518" s="379"/>
      <c r="C518" s="393"/>
      <c r="D518" s="392"/>
      <c r="E518" s="392"/>
      <c r="F518" s="383" t="str">
        <f t="shared" si="1"/>
        <v/>
      </c>
      <c r="G518" s="384" t="str">
        <f>IFERROR(__xludf.DUMMYFUNCTION("IFERROR(AVERAGE(FILTER('حضور '!I:I,'حضور '!A:A=A518,MONTH('حضور '!B:B)=J518)),"""")"),"")</f>
        <v/>
      </c>
      <c r="H518" s="384">
        <f t="shared" si="2"/>
        <v>0</v>
      </c>
      <c r="I518" s="385">
        <f t="shared" si="3"/>
        <v>0</v>
      </c>
    </row>
    <row r="519" ht="22.5" customHeight="1">
      <c r="A519" s="391"/>
      <c r="B519" s="379"/>
      <c r="C519" s="393"/>
      <c r="D519" s="392"/>
      <c r="E519" s="392"/>
      <c r="F519" s="383" t="str">
        <f t="shared" si="1"/>
        <v/>
      </c>
      <c r="G519" s="384" t="str">
        <f>IFERROR(__xludf.DUMMYFUNCTION("IFERROR(AVERAGE(FILTER('حضور '!I:I,'حضور '!A:A=A519,MONTH('حضور '!B:B)=J519)),"""")"),"")</f>
        <v/>
      </c>
      <c r="H519" s="384">
        <f t="shared" si="2"/>
        <v>0</v>
      </c>
      <c r="I519" s="385">
        <f t="shared" si="3"/>
        <v>0</v>
      </c>
    </row>
    <row r="520" ht="22.5" customHeight="1">
      <c r="A520" s="391"/>
      <c r="B520" s="379"/>
      <c r="C520" s="393"/>
      <c r="D520" s="392"/>
      <c r="E520" s="392"/>
      <c r="F520" s="383" t="str">
        <f t="shared" si="1"/>
        <v/>
      </c>
      <c r="G520" s="384" t="str">
        <f>IFERROR(__xludf.DUMMYFUNCTION("IFERROR(AVERAGE(FILTER('حضور '!I:I,'حضور '!A:A=A520,MONTH('حضور '!B:B)=J520)),"""")"),"")</f>
        <v/>
      </c>
      <c r="H520" s="384">
        <f t="shared" si="2"/>
        <v>0</v>
      </c>
      <c r="I520" s="385">
        <f t="shared" si="3"/>
        <v>0</v>
      </c>
    </row>
    <row r="521" ht="22.5" customHeight="1">
      <c r="A521" s="391"/>
      <c r="B521" s="379"/>
      <c r="C521" s="393"/>
      <c r="D521" s="392"/>
      <c r="E521" s="392"/>
      <c r="F521" s="383" t="str">
        <f t="shared" si="1"/>
        <v/>
      </c>
      <c r="G521" s="384" t="str">
        <f>IFERROR(__xludf.DUMMYFUNCTION("IFERROR(AVERAGE(FILTER('حضور '!I:I,'حضور '!A:A=A521,MONTH('حضور '!B:B)=J521)),"""")"),"")</f>
        <v/>
      </c>
      <c r="H521" s="384">
        <f t="shared" si="2"/>
        <v>0</v>
      </c>
      <c r="I521" s="385">
        <f t="shared" si="3"/>
        <v>0</v>
      </c>
    </row>
    <row r="522" ht="22.5" customHeight="1">
      <c r="A522" s="391"/>
      <c r="B522" s="379"/>
      <c r="C522" s="393"/>
      <c r="D522" s="392"/>
      <c r="E522" s="392"/>
      <c r="F522" s="383" t="str">
        <f t="shared" si="1"/>
        <v/>
      </c>
      <c r="G522" s="384" t="str">
        <f>IFERROR(__xludf.DUMMYFUNCTION("IFERROR(AVERAGE(FILTER('حضور '!I:I,'حضور '!A:A=A522,MONTH('حضور '!B:B)=J522)),"""")"),"")</f>
        <v/>
      </c>
      <c r="H522" s="384">
        <f t="shared" si="2"/>
        <v>0</v>
      </c>
      <c r="I522" s="385">
        <f t="shared" si="3"/>
        <v>0</v>
      </c>
    </row>
    <row r="523" ht="22.5" customHeight="1">
      <c r="A523" s="391"/>
      <c r="B523" s="379"/>
      <c r="C523" s="393"/>
      <c r="D523" s="392"/>
      <c r="E523" s="392"/>
      <c r="F523" s="383" t="str">
        <f t="shared" si="1"/>
        <v/>
      </c>
      <c r="G523" s="384" t="str">
        <f>IFERROR(__xludf.DUMMYFUNCTION("IFERROR(AVERAGE(FILTER('حضور '!I:I,'حضور '!A:A=A523,MONTH('حضور '!B:B)=J523)),"""")"),"")</f>
        <v/>
      </c>
      <c r="H523" s="384">
        <f t="shared" si="2"/>
        <v>0</v>
      </c>
      <c r="I523" s="385">
        <f t="shared" si="3"/>
        <v>0</v>
      </c>
    </row>
    <row r="524" ht="22.5" customHeight="1">
      <c r="A524" s="391"/>
      <c r="B524" s="379"/>
      <c r="C524" s="393"/>
      <c r="D524" s="392"/>
      <c r="E524" s="392"/>
      <c r="F524" s="383" t="str">
        <f t="shared" si="1"/>
        <v/>
      </c>
      <c r="G524" s="384" t="str">
        <f>IFERROR(__xludf.DUMMYFUNCTION("IFERROR(AVERAGE(FILTER('حضور '!I:I,'حضور '!A:A=A524,MONTH('حضور '!B:B)=J524)),"""")"),"")</f>
        <v/>
      </c>
      <c r="H524" s="384">
        <f t="shared" si="2"/>
        <v>0</v>
      </c>
      <c r="I524" s="385">
        <f t="shared" si="3"/>
        <v>0</v>
      </c>
    </row>
    <row r="525" ht="22.5" customHeight="1">
      <c r="A525" s="391"/>
      <c r="B525" s="379"/>
      <c r="C525" s="393"/>
      <c r="D525" s="392"/>
      <c r="E525" s="392"/>
      <c r="F525" s="383" t="str">
        <f t="shared" si="1"/>
        <v/>
      </c>
      <c r="G525" s="384" t="str">
        <f>IFERROR(__xludf.DUMMYFUNCTION("IFERROR(AVERAGE(FILTER('حضور '!I:I,'حضور '!A:A=A525,MONTH('حضور '!B:B)=J525)),"""")"),"")</f>
        <v/>
      </c>
      <c r="H525" s="384">
        <f t="shared" si="2"/>
        <v>0</v>
      </c>
      <c r="I525" s="385">
        <f t="shared" si="3"/>
        <v>0</v>
      </c>
    </row>
    <row r="526" ht="22.5" customHeight="1">
      <c r="A526" s="391"/>
      <c r="B526" s="379"/>
      <c r="C526" s="393"/>
      <c r="D526" s="392"/>
      <c r="E526" s="392"/>
      <c r="F526" s="383" t="str">
        <f t="shared" si="1"/>
        <v/>
      </c>
      <c r="G526" s="384" t="str">
        <f>IFERROR(__xludf.DUMMYFUNCTION("IFERROR(AVERAGE(FILTER('حضور '!I:I,'حضور '!A:A=A526,MONTH('حضور '!B:B)=J526)),"""")"),"")</f>
        <v/>
      </c>
      <c r="H526" s="384">
        <f t="shared" si="2"/>
        <v>0</v>
      </c>
      <c r="I526" s="385">
        <f t="shared" si="3"/>
        <v>0</v>
      </c>
    </row>
    <row r="527" ht="22.5" customHeight="1">
      <c r="A527" s="391"/>
      <c r="B527" s="379"/>
      <c r="C527" s="393"/>
      <c r="D527" s="392"/>
      <c r="E527" s="392"/>
      <c r="F527" s="383" t="str">
        <f t="shared" si="1"/>
        <v/>
      </c>
      <c r="G527" s="384" t="str">
        <f>IFERROR(__xludf.DUMMYFUNCTION("IFERROR(AVERAGE(FILTER('حضور '!I:I,'حضور '!A:A=A527,MONTH('حضور '!B:B)=J527)),"""")"),"")</f>
        <v/>
      </c>
      <c r="H527" s="384">
        <f t="shared" si="2"/>
        <v>0</v>
      </c>
      <c r="I527" s="385">
        <f t="shared" si="3"/>
        <v>0</v>
      </c>
    </row>
    <row r="528" ht="22.5" customHeight="1">
      <c r="A528" s="391"/>
      <c r="B528" s="379"/>
      <c r="C528" s="393"/>
      <c r="D528" s="392"/>
      <c r="E528" s="392"/>
      <c r="F528" s="383" t="str">
        <f t="shared" si="1"/>
        <v/>
      </c>
      <c r="G528" s="384" t="str">
        <f>IFERROR(__xludf.DUMMYFUNCTION("IFERROR(AVERAGE(FILTER('حضور '!I:I,'حضور '!A:A=A528,MONTH('حضور '!B:B)=J528)),"""")"),"")</f>
        <v/>
      </c>
      <c r="H528" s="384">
        <f t="shared" si="2"/>
        <v>0</v>
      </c>
      <c r="I528" s="385">
        <f t="shared" si="3"/>
        <v>0</v>
      </c>
    </row>
    <row r="529" ht="22.5" customHeight="1">
      <c r="A529" s="391"/>
      <c r="B529" s="379"/>
      <c r="C529" s="393"/>
      <c r="D529" s="392"/>
      <c r="E529" s="392"/>
      <c r="F529" s="383" t="str">
        <f t="shared" si="1"/>
        <v/>
      </c>
      <c r="G529" s="384" t="str">
        <f>IFERROR(__xludf.DUMMYFUNCTION("IFERROR(AVERAGE(FILTER('حضور '!I:I,'حضور '!A:A=A529,MONTH('حضور '!B:B)=J529)),"""")"),"")</f>
        <v/>
      </c>
      <c r="H529" s="384">
        <f t="shared" si="2"/>
        <v>0</v>
      </c>
      <c r="I529" s="385">
        <f t="shared" si="3"/>
        <v>0</v>
      </c>
    </row>
    <row r="530" ht="22.5" customHeight="1">
      <c r="A530" s="391"/>
      <c r="B530" s="379"/>
      <c r="C530" s="393"/>
      <c r="D530" s="392"/>
      <c r="E530" s="392"/>
      <c r="F530" s="383" t="str">
        <f t="shared" si="1"/>
        <v/>
      </c>
      <c r="G530" s="384" t="str">
        <f>IFERROR(__xludf.DUMMYFUNCTION("IFERROR(AVERAGE(FILTER('حضور '!I:I,'حضور '!A:A=A530,MONTH('حضور '!B:B)=J530)),"""")"),"")</f>
        <v/>
      </c>
      <c r="H530" s="384">
        <f t="shared" si="2"/>
        <v>0</v>
      </c>
      <c r="I530" s="385">
        <f t="shared" si="3"/>
        <v>0</v>
      </c>
    </row>
    <row r="531" ht="22.5" customHeight="1">
      <c r="A531" s="391"/>
      <c r="B531" s="379"/>
      <c r="C531" s="393"/>
      <c r="D531" s="392"/>
      <c r="E531" s="392"/>
      <c r="F531" s="383" t="str">
        <f t="shared" si="1"/>
        <v/>
      </c>
      <c r="G531" s="384" t="str">
        <f>IFERROR(__xludf.DUMMYFUNCTION("IFERROR(AVERAGE(FILTER('حضور '!I:I,'حضور '!A:A=A531,MONTH('حضور '!B:B)=J531)),"""")"),"")</f>
        <v/>
      </c>
      <c r="H531" s="384">
        <f t="shared" si="2"/>
        <v>0</v>
      </c>
      <c r="I531" s="385">
        <f t="shared" si="3"/>
        <v>0</v>
      </c>
    </row>
    <row r="532" ht="22.5" customHeight="1">
      <c r="A532" s="391"/>
      <c r="B532" s="379"/>
      <c r="C532" s="393"/>
      <c r="D532" s="392"/>
      <c r="E532" s="392"/>
      <c r="F532" s="383" t="str">
        <f t="shared" si="1"/>
        <v/>
      </c>
      <c r="G532" s="384" t="str">
        <f>IFERROR(__xludf.DUMMYFUNCTION("IFERROR(AVERAGE(FILTER('حضور '!I:I,'حضور '!A:A=A532,MONTH('حضور '!B:B)=J532)),"""")"),"")</f>
        <v/>
      </c>
      <c r="H532" s="384">
        <f t="shared" si="2"/>
        <v>0</v>
      </c>
      <c r="I532" s="385">
        <f t="shared" si="3"/>
        <v>0</v>
      </c>
    </row>
    <row r="533" ht="22.5" customHeight="1">
      <c r="A533" s="391"/>
      <c r="B533" s="379"/>
      <c r="C533" s="393"/>
      <c r="D533" s="392"/>
      <c r="E533" s="392"/>
      <c r="F533" s="383" t="str">
        <f t="shared" si="1"/>
        <v/>
      </c>
      <c r="G533" s="384" t="str">
        <f>IFERROR(__xludf.DUMMYFUNCTION("IFERROR(AVERAGE(FILTER('حضور '!I:I,'حضور '!A:A=A533,MONTH('حضور '!B:B)=J533)),"""")"),"")</f>
        <v/>
      </c>
      <c r="H533" s="384">
        <f t="shared" si="2"/>
        <v>0</v>
      </c>
      <c r="I533" s="385">
        <f t="shared" si="3"/>
        <v>0</v>
      </c>
    </row>
    <row r="534" ht="22.5" customHeight="1">
      <c r="A534" s="391"/>
      <c r="B534" s="379"/>
      <c r="C534" s="393"/>
      <c r="D534" s="392"/>
      <c r="E534" s="392"/>
      <c r="F534" s="383" t="str">
        <f t="shared" si="1"/>
        <v/>
      </c>
      <c r="G534" s="384" t="str">
        <f>IFERROR(__xludf.DUMMYFUNCTION("IFERROR(AVERAGE(FILTER('حضور '!I:I,'حضور '!A:A=A534,MONTH('حضور '!B:B)=J534)),"""")"),"")</f>
        <v/>
      </c>
      <c r="H534" s="384">
        <f t="shared" si="2"/>
        <v>0</v>
      </c>
      <c r="I534" s="385">
        <f t="shared" si="3"/>
        <v>0</v>
      </c>
    </row>
    <row r="535" ht="22.5" customHeight="1">
      <c r="A535" s="391"/>
      <c r="B535" s="379"/>
      <c r="C535" s="393"/>
      <c r="D535" s="392"/>
      <c r="E535" s="392"/>
      <c r="F535" s="383" t="str">
        <f t="shared" si="1"/>
        <v/>
      </c>
      <c r="G535" s="384" t="str">
        <f>IFERROR(__xludf.DUMMYFUNCTION("IFERROR(AVERAGE(FILTER('حضور '!I:I,'حضور '!A:A=A535,MONTH('حضور '!B:B)=J535)),"""")"),"")</f>
        <v/>
      </c>
      <c r="H535" s="384">
        <f t="shared" si="2"/>
        <v>0</v>
      </c>
      <c r="I535" s="385">
        <f t="shared" si="3"/>
        <v>0</v>
      </c>
    </row>
    <row r="536" ht="22.5" customHeight="1">
      <c r="A536" s="391"/>
      <c r="B536" s="379"/>
      <c r="C536" s="393"/>
      <c r="D536" s="392"/>
      <c r="E536" s="392"/>
      <c r="F536" s="383" t="str">
        <f t="shared" si="1"/>
        <v/>
      </c>
      <c r="G536" s="384" t="str">
        <f>IFERROR(__xludf.DUMMYFUNCTION("IFERROR(AVERAGE(FILTER('حضور '!I:I,'حضور '!A:A=A536,MONTH('حضور '!B:B)=J536)),"""")"),"")</f>
        <v/>
      </c>
      <c r="H536" s="384">
        <f t="shared" si="2"/>
        <v>0</v>
      </c>
      <c r="I536" s="385">
        <f t="shared" si="3"/>
        <v>0</v>
      </c>
    </row>
    <row r="537" ht="22.5" customHeight="1">
      <c r="A537" s="391"/>
      <c r="B537" s="379"/>
      <c r="C537" s="393"/>
      <c r="D537" s="392"/>
      <c r="E537" s="392"/>
      <c r="F537" s="383" t="str">
        <f t="shared" si="1"/>
        <v/>
      </c>
      <c r="G537" s="384" t="str">
        <f>IFERROR(__xludf.DUMMYFUNCTION("IFERROR(AVERAGE(FILTER('حضور '!I:I,'حضور '!A:A=A537,MONTH('حضور '!B:B)=J537)),"""")"),"")</f>
        <v/>
      </c>
      <c r="H537" s="384">
        <f t="shared" si="2"/>
        <v>0</v>
      </c>
      <c r="I537" s="385">
        <f t="shared" si="3"/>
        <v>0</v>
      </c>
    </row>
    <row r="538" ht="22.5" customHeight="1">
      <c r="A538" s="391"/>
      <c r="B538" s="379"/>
      <c r="C538" s="393"/>
      <c r="D538" s="392"/>
      <c r="E538" s="392"/>
      <c r="F538" s="383" t="str">
        <f t="shared" si="1"/>
        <v/>
      </c>
      <c r="G538" s="384" t="str">
        <f>IFERROR(__xludf.DUMMYFUNCTION("IFERROR(AVERAGE(FILTER('حضور '!I:I,'حضور '!A:A=A538,MONTH('حضور '!B:B)=J538)),"""")"),"")</f>
        <v/>
      </c>
      <c r="H538" s="384">
        <f t="shared" si="2"/>
        <v>0</v>
      </c>
      <c r="I538" s="385">
        <f t="shared" si="3"/>
        <v>0</v>
      </c>
    </row>
    <row r="539" ht="22.5" customHeight="1">
      <c r="A539" s="391"/>
      <c r="B539" s="379"/>
      <c r="C539" s="393"/>
      <c r="D539" s="392"/>
      <c r="E539" s="392"/>
      <c r="F539" s="383" t="str">
        <f t="shared" si="1"/>
        <v/>
      </c>
      <c r="G539" s="384" t="str">
        <f>IFERROR(__xludf.DUMMYFUNCTION("IFERROR(AVERAGE(FILTER('حضور '!I:I,'حضور '!A:A=A539,MONTH('حضور '!B:B)=J539)),"""")"),"")</f>
        <v/>
      </c>
      <c r="H539" s="384">
        <f t="shared" si="2"/>
        <v>0</v>
      </c>
      <c r="I539" s="385">
        <f t="shared" si="3"/>
        <v>0</v>
      </c>
    </row>
    <row r="540" ht="22.5" customHeight="1">
      <c r="A540" s="391"/>
      <c r="B540" s="379"/>
      <c r="C540" s="393"/>
      <c r="D540" s="392"/>
      <c r="E540" s="392"/>
      <c r="F540" s="383" t="str">
        <f t="shared" si="1"/>
        <v/>
      </c>
      <c r="G540" s="384" t="str">
        <f>IFERROR(__xludf.DUMMYFUNCTION("IFERROR(AVERAGE(FILTER('حضور '!I:I,'حضور '!A:A=A540,MONTH('حضور '!B:B)=J540)),"""")"),"")</f>
        <v/>
      </c>
      <c r="H540" s="384">
        <f t="shared" si="2"/>
        <v>0</v>
      </c>
      <c r="I540" s="385">
        <f t="shared" si="3"/>
        <v>0</v>
      </c>
    </row>
    <row r="541" ht="22.5" customHeight="1">
      <c r="A541" s="391"/>
      <c r="B541" s="379"/>
      <c r="C541" s="393"/>
      <c r="D541" s="392"/>
      <c r="E541" s="392"/>
      <c r="F541" s="383" t="str">
        <f t="shared" si="1"/>
        <v/>
      </c>
      <c r="G541" s="384" t="str">
        <f>IFERROR(__xludf.DUMMYFUNCTION("IFERROR(AVERAGE(FILTER('حضور '!I:I,'حضور '!A:A=A541,MONTH('حضور '!B:B)=J541)),"""")"),"")</f>
        <v/>
      </c>
      <c r="H541" s="384">
        <f t="shared" si="2"/>
        <v>0</v>
      </c>
      <c r="I541" s="385">
        <f t="shared" si="3"/>
        <v>0</v>
      </c>
    </row>
    <row r="542" ht="22.5" customHeight="1">
      <c r="A542" s="391"/>
      <c r="B542" s="379"/>
      <c r="C542" s="393"/>
      <c r="D542" s="392"/>
      <c r="E542" s="392"/>
      <c r="F542" s="383" t="str">
        <f t="shared" si="1"/>
        <v/>
      </c>
      <c r="G542" s="384" t="str">
        <f>IFERROR(__xludf.DUMMYFUNCTION("IFERROR(AVERAGE(FILTER('حضور '!I:I,'حضور '!A:A=A542,MONTH('حضور '!B:B)=J542)),"""")"),"")</f>
        <v/>
      </c>
      <c r="H542" s="384">
        <f t="shared" si="2"/>
        <v>0</v>
      </c>
      <c r="I542" s="385">
        <f t="shared" si="3"/>
        <v>0</v>
      </c>
    </row>
    <row r="543" ht="22.5" customHeight="1">
      <c r="A543" s="391"/>
      <c r="B543" s="379"/>
      <c r="C543" s="393"/>
      <c r="D543" s="392"/>
      <c r="E543" s="392"/>
      <c r="F543" s="383" t="str">
        <f t="shared" si="1"/>
        <v/>
      </c>
      <c r="G543" s="384" t="str">
        <f>IFERROR(__xludf.DUMMYFUNCTION("IFERROR(AVERAGE(FILTER('حضور '!I:I,'حضور '!A:A=A543,MONTH('حضور '!B:B)=J543)),"""")"),"")</f>
        <v/>
      </c>
      <c r="H543" s="384">
        <f t="shared" si="2"/>
        <v>0</v>
      </c>
      <c r="I543" s="385">
        <f t="shared" si="3"/>
        <v>0</v>
      </c>
    </row>
    <row r="544" ht="22.5" customHeight="1">
      <c r="A544" s="391"/>
      <c r="B544" s="379"/>
      <c r="C544" s="393"/>
      <c r="D544" s="392"/>
      <c r="E544" s="392"/>
      <c r="F544" s="383" t="str">
        <f t="shared" si="1"/>
        <v/>
      </c>
      <c r="G544" s="384" t="str">
        <f>IFERROR(__xludf.DUMMYFUNCTION("IFERROR(AVERAGE(FILTER('حضور '!I:I,'حضور '!A:A=A544,MONTH('حضور '!B:B)=J544)),"""")"),"")</f>
        <v/>
      </c>
      <c r="H544" s="384">
        <f t="shared" si="2"/>
        <v>0</v>
      </c>
      <c r="I544" s="385">
        <f t="shared" si="3"/>
        <v>0</v>
      </c>
    </row>
    <row r="545" ht="22.5" customHeight="1">
      <c r="A545" s="391"/>
      <c r="B545" s="379"/>
      <c r="C545" s="393"/>
      <c r="D545" s="392"/>
      <c r="E545" s="392"/>
      <c r="F545" s="383" t="str">
        <f t="shared" si="1"/>
        <v/>
      </c>
      <c r="G545" s="384" t="str">
        <f>IFERROR(__xludf.DUMMYFUNCTION("IFERROR(AVERAGE(FILTER('حضور '!I:I,'حضور '!A:A=A545,MONTH('حضور '!B:B)=J545)),"""")"),"")</f>
        <v/>
      </c>
      <c r="H545" s="384">
        <f t="shared" si="2"/>
        <v>0</v>
      </c>
      <c r="I545" s="385">
        <f t="shared" si="3"/>
        <v>0</v>
      </c>
    </row>
    <row r="546" ht="22.5" customHeight="1">
      <c r="A546" s="391"/>
      <c r="B546" s="379"/>
      <c r="C546" s="393"/>
      <c r="D546" s="392"/>
      <c r="E546" s="392"/>
      <c r="F546" s="383" t="str">
        <f t="shared" si="1"/>
        <v/>
      </c>
      <c r="G546" s="384" t="str">
        <f>IFERROR(__xludf.DUMMYFUNCTION("IFERROR(AVERAGE(FILTER('حضور '!I:I,'حضور '!A:A=A546,MONTH('حضور '!B:B)=J546)),"""")"),"")</f>
        <v/>
      </c>
      <c r="H546" s="384">
        <f t="shared" si="2"/>
        <v>0</v>
      </c>
      <c r="I546" s="385">
        <f t="shared" si="3"/>
        <v>0</v>
      </c>
    </row>
    <row r="547" ht="22.5" customHeight="1">
      <c r="A547" s="391"/>
      <c r="B547" s="379"/>
      <c r="C547" s="393"/>
      <c r="D547" s="392"/>
      <c r="E547" s="392"/>
      <c r="F547" s="383" t="str">
        <f t="shared" si="1"/>
        <v/>
      </c>
      <c r="G547" s="384" t="str">
        <f>IFERROR(__xludf.DUMMYFUNCTION("IFERROR(AVERAGE(FILTER('حضور '!I:I,'حضور '!A:A=A547,MONTH('حضور '!B:B)=J547)),"""")"),"")</f>
        <v/>
      </c>
      <c r="H547" s="384">
        <f t="shared" si="2"/>
        <v>0</v>
      </c>
      <c r="I547" s="385">
        <f t="shared" si="3"/>
        <v>0</v>
      </c>
    </row>
    <row r="548" ht="22.5" customHeight="1">
      <c r="A548" s="391"/>
      <c r="B548" s="379"/>
      <c r="C548" s="393"/>
      <c r="D548" s="392"/>
      <c r="E548" s="392"/>
      <c r="F548" s="383" t="str">
        <f t="shared" si="1"/>
        <v/>
      </c>
      <c r="G548" s="384" t="str">
        <f>IFERROR(__xludf.DUMMYFUNCTION("IFERROR(AVERAGE(FILTER('حضور '!I:I,'حضور '!A:A=A548,MONTH('حضور '!B:B)=J548)),"""")"),"")</f>
        <v/>
      </c>
      <c r="H548" s="384">
        <f t="shared" si="2"/>
        <v>0</v>
      </c>
      <c r="I548" s="385">
        <f t="shared" si="3"/>
        <v>0</v>
      </c>
    </row>
    <row r="549" ht="22.5" customHeight="1">
      <c r="A549" s="391"/>
      <c r="B549" s="379"/>
      <c r="C549" s="393"/>
      <c r="D549" s="392"/>
      <c r="E549" s="392"/>
      <c r="F549" s="383" t="str">
        <f t="shared" si="1"/>
        <v/>
      </c>
      <c r="G549" s="384" t="str">
        <f>IFERROR(__xludf.DUMMYFUNCTION("IFERROR(AVERAGE(FILTER('حضور '!I:I,'حضور '!A:A=A549,MONTH('حضور '!B:B)=J549)),"""")"),"")</f>
        <v/>
      </c>
      <c r="H549" s="384">
        <f t="shared" si="2"/>
        <v>0</v>
      </c>
      <c r="I549" s="385">
        <f t="shared" si="3"/>
        <v>0</v>
      </c>
    </row>
    <row r="550" ht="22.5" customHeight="1">
      <c r="A550" s="391"/>
      <c r="B550" s="379"/>
      <c r="C550" s="393"/>
      <c r="D550" s="392"/>
      <c r="E550" s="392"/>
      <c r="F550" s="383" t="str">
        <f t="shared" si="1"/>
        <v/>
      </c>
      <c r="G550" s="384" t="str">
        <f>IFERROR(__xludf.DUMMYFUNCTION("IFERROR(AVERAGE(FILTER('حضور '!I:I,'حضور '!A:A=A550,MONTH('حضور '!B:B)=J550)),"""")"),"")</f>
        <v/>
      </c>
      <c r="H550" s="384">
        <f t="shared" si="2"/>
        <v>0</v>
      </c>
      <c r="I550" s="385">
        <f t="shared" si="3"/>
        <v>0</v>
      </c>
    </row>
    <row r="551" ht="22.5" customHeight="1">
      <c r="A551" s="391"/>
      <c r="B551" s="379"/>
      <c r="C551" s="393"/>
      <c r="D551" s="392"/>
      <c r="E551" s="392"/>
      <c r="F551" s="383" t="str">
        <f t="shared" si="1"/>
        <v/>
      </c>
      <c r="G551" s="384" t="str">
        <f>IFERROR(__xludf.DUMMYFUNCTION("IFERROR(AVERAGE(FILTER('حضور '!I:I,'حضور '!A:A=A551,MONTH('حضور '!B:B)=J551)),"""")"),"")</f>
        <v/>
      </c>
      <c r="H551" s="384">
        <f t="shared" si="2"/>
        <v>0</v>
      </c>
      <c r="I551" s="385">
        <f t="shared" si="3"/>
        <v>0</v>
      </c>
    </row>
    <row r="552" ht="22.5" customHeight="1">
      <c r="A552" s="391"/>
      <c r="B552" s="379"/>
      <c r="C552" s="393"/>
      <c r="D552" s="392"/>
      <c r="E552" s="392"/>
      <c r="F552" s="383" t="str">
        <f t="shared" si="1"/>
        <v/>
      </c>
      <c r="G552" s="384" t="str">
        <f>IFERROR(__xludf.DUMMYFUNCTION("IFERROR(AVERAGE(FILTER('حضور '!I:I,'حضور '!A:A=A552,MONTH('حضور '!B:B)=J552)),"""")"),"")</f>
        <v/>
      </c>
      <c r="H552" s="384">
        <f t="shared" si="2"/>
        <v>0</v>
      </c>
      <c r="I552" s="385">
        <f t="shared" si="3"/>
        <v>0</v>
      </c>
    </row>
    <row r="553" ht="22.5" customHeight="1">
      <c r="A553" s="391"/>
      <c r="B553" s="379"/>
      <c r="C553" s="393"/>
      <c r="D553" s="392"/>
      <c r="E553" s="392"/>
      <c r="F553" s="383" t="str">
        <f t="shared" si="1"/>
        <v/>
      </c>
      <c r="G553" s="384" t="str">
        <f>IFERROR(__xludf.DUMMYFUNCTION("IFERROR(AVERAGE(FILTER('حضور '!I:I,'حضور '!A:A=A553,MONTH('حضور '!B:B)=J553)),"""")"),"")</f>
        <v/>
      </c>
      <c r="H553" s="384">
        <f t="shared" si="2"/>
        <v>0</v>
      </c>
      <c r="I553" s="385">
        <f t="shared" si="3"/>
        <v>0</v>
      </c>
    </row>
    <row r="554" ht="22.5" customHeight="1">
      <c r="A554" s="391"/>
      <c r="B554" s="379"/>
      <c r="C554" s="393"/>
      <c r="D554" s="392"/>
      <c r="E554" s="392"/>
      <c r="F554" s="383" t="str">
        <f t="shared" si="1"/>
        <v/>
      </c>
      <c r="G554" s="384" t="str">
        <f>IFERROR(__xludf.DUMMYFUNCTION("IFERROR(AVERAGE(FILTER('حضور '!I:I,'حضور '!A:A=A554,MONTH('حضور '!B:B)=J554)),"""")"),"")</f>
        <v/>
      </c>
      <c r="H554" s="384">
        <f t="shared" si="2"/>
        <v>0</v>
      </c>
      <c r="I554" s="385">
        <f t="shared" si="3"/>
        <v>0</v>
      </c>
    </row>
    <row r="555" ht="22.5" customHeight="1">
      <c r="A555" s="391"/>
      <c r="B555" s="379"/>
      <c r="C555" s="393"/>
      <c r="D555" s="392"/>
      <c r="E555" s="392"/>
      <c r="F555" s="383" t="str">
        <f t="shared" si="1"/>
        <v/>
      </c>
      <c r="G555" s="384" t="str">
        <f>IFERROR(__xludf.DUMMYFUNCTION("IFERROR(AVERAGE(FILTER('حضور '!I:I,'حضور '!A:A=A555,MONTH('حضور '!B:B)=J555)),"""")"),"")</f>
        <v/>
      </c>
      <c r="H555" s="384">
        <f t="shared" si="2"/>
        <v>0</v>
      </c>
      <c r="I555" s="385">
        <f t="shared" si="3"/>
        <v>0</v>
      </c>
    </row>
    <row r="556" ht="22.5" customHeight="1">
      <c r="A556" s="391"/>
      <c r="B556" s="379"/>
      <c r="C556" s="393"/>
      <c r="D556" s="392"/>
      <c r="E556" s="392"/>
      <c r="F556" s="383" t="str">
        <f t="shared" si="1"/>
        <v/>
      </c>
      <c r="G556" s="384" t="str">
        <f>IFERROR(__xludf.DUMMYFUNCTION("IFERROR(AVERAGE(FILTER('حضور '!I:I,'حضور '!A:A=A556,MONTH('حضور '!B:B)=J556)),"""")"),"")</f>
        <v/>
      </c>
      <c r="H556" s="384">
        <f t="shared" si="2"/>
        <v>0</v>
      </c>
      <c r="I556" s="385">
        <f t="shared" si="3"/>
        <v>0</v>
      </c>
    </row>
    <row r="557" ht="22.5" customHeight="1">
      <c r="A557" s="391"/>
      <c r="B557" s="379"/>
      <c r="C557" s="393"/>
      <c r="D557" s="392"/>
      <c r="E557" s="392"/>
      <c r="F557" s="383" t="str">
        <f t="shared" si="1"/>
        <v/>
      </c>
      <c r="G557" s="384" t="str">
        <f>IFERROR(__xludf.DUMMYFUNCTION("IFERROR(AVERAGE(FILTER('حضور '!I:I,'حضور '!A:A=A557,MONTH('حضور '!B:B)=J557)),"""")"),"")</f>
        <v/>
      </c>
      <c r="H557" s="384">
        <f t="shared" si="2"/>
        <v>0</v>
      </c>
      <c r="I557" s="385">
        <f t="shared" si="3"/>
        <v>0</v>
      </c>
    </row>
    <row r="558" ht="22.5" customHeight="1">
      <c r="A558" s="391"/>
      <c r="B558" s="379"/>
      <c r="C558" s="393"/>
      <c r="D558" s="392"/>
      <c r="E558" s="392"/>
      <c r="F558" s="383" t="str">
        <f t="shared" si="1"/>
        <v/>
      </c>
      <c r="G558" s="384" t="str">
        <f>IFERROR(__xludf.DUMMYFUNCTION("IFERROR(AVERAGE(FILTER('حضور '!I:I,'حضور '!A:A=A558,MONTH('حضور '!B:B)=J558)),"""")"),"")</f>
        <v/>
      </c>
      <c r="H558" s="384">
        <f t="shared" si="2"/>
        <v>0</v>
      </c>
      <c r="I558" s="385">
        <f t="shared" si="3"/>
        <v>0</v>
      </c>
    </row>
    <row r="559" ht="22.5" customHeight="1">
      <c r="A559" s="391"/>
      <c r="B559" s="379"/>
      <c r="C559" s="393"/>
      <c r="D559" s="392"/>
      <c r="E559" s="392"/>
      <c r="F559" s="383" t="str">
        <f t="shared" si="1"/>
        <v/>
      </c>
      <c r="G559" s="384" t="str">
        <f>IFERROR(__xludf.DUMMYFUNCTION("IFERROR(AVERAGE(FILTER('حضور '!I:I,'حضور '!A:A=A559,MONTH('حضور '!B:B)=J559)),"""")"),"")</f>
        <v/>
      </c>
      <c r="H559" s="384">
        <f t="shared" si="2"/>
        <v>0</v>
      </c>
      <c r="I559" s="385">
        <f t="shared" si="3"/>
        <v>0</v>
      </c>
    </row>
    <row r="560" ht="22.5" customHeight="1">
      <c r="A560" s="391"/>
      <c r="B560" s="379"/>
      <c r="C560" s="393"/>
      <c r="D560" s="392"/>
      <c r="E560" s="392"/>
      <c r="F560" s="383" t="str">
        <f t="shared" si="1"/>
        <v/>
      </c>
      <c r="G560" s="384" t="str">
        <f>IFERROR(__xludf.DUMMYFUNCTION("IFERROR(AVERAGE(FILTER('حضور '!I:I,'حضور '!A:A=A560,MONTH('حضور '!B:B)=J560)),"""")"),"")</f>
        <v/>
      </c>
      <c r="H560" s="384">
        <f t="shared" si="2"/>
        <v>0</v>
      </c>
      <c r="I560" s="385">
        <f t="shared" si="3"/>
        <v>0</v>
      </c>
    </row>
    <row r="561" ht="22.5" customHeight="1">
      <c r="A561" s="391"/>
      <c r="B561" s="379"/>
      <c r="C561" s="393"/>
      <c r="D561" s="392"/>
      <c r="E561" s="392"/>
      <c r="F561" s="383" t="str">
        <f t="shared" si="1"/>
        <v/>
      </c>
      <c r="G561" s="384" t="str">
        <f>IFERROR(__xludf.DUMMYFUNCTION("IFERROR(AVERAGE(FILTER('حضور '!I:I,'حضور '!A:A=A561,MONTH('حضور '!B:B)=J561)),"""")"),"")</f>
        <v/>
      </c>
      <c r="H561" s="384">
        <f t="shared" si="2"/>
        <v>0</v>
      </c>
      <c r="I561" s="385">
        <f t="shared" si="3"/>
        <v>0</v>
      </c>
    </row>
    <row r="562" ht="22.5" customHeight="1">
      <c r="A562" s="391"/>
      <c r="B562" s="379"/>
      <c r="C562" s="393"/>
      <c r="D562" s="392"/>
      <c r="E562" s="392"/>
      <c r="F562" s="383" t="str">
        <f t="shared" si="1"/>
        <v/>
      </c>
      <c r="G562" s="384" t="str">
        <f>IFERROR(__xludf.DUMMYFUNCTION("IFERROR(AVERAGE(FILTER('حضور '!I:I,'حضور '!A:A=A562,MONTH('حضور '!B:B)=J562)),"""")"),"")</f>
        <v/>
      </c>
      <c r="H562" s="384">
        <f t="shared" si="2"/>
        <v>0</v>
      </c>
      <c r="I562" s="385">
        <f t="shared" si="3"/>
        <v>0</v>
      </c>
    </row>
    <row r="563" ht="22.5" customHeight="1">
      <c r="A563" s="391"/>
      <c r="B563" s="379"/>
      <c r="C563" s="393"/>
      <c r="D563" s="392"/>
      <c r="E563" s="392"/>
      <c r="F563" s="383" t="str">
        <f t="shared" si="1"/>
        <v/>
      </c>
      <c r="G563" s="384" t="str">
        <f>IFERROR(__xludf.DUMMYFUNCTION("IFERROR(AVERAGE(FILTER('حضور '!I:I,'حضور '!A:A=A563,MONTH('حضور '!B:B)=J563)),"""")"),"")</f>
        <v/>
      </c>
      <c r="H563" s="384">
        <f t="shared" si="2"/>
        <v>0</v>
      </c>
      <c r="I563" s="385">
        <f t="shared" si="3"/>
        <v>0</v>
      </c>
    </row>
    <row r="564" ht="22.5" customHeight="1">
      <c r="A564" s="391"/>
      <c r="B564" s="379"/>
      <c r="C564" s="393"/>
      <c r="D564" s="392"/>
      <c r="E564" s="392"/>
      <c r="F564" s="383" t="str">
        <f t="shared" si="1"/>
        <v/>
      </c>
      <c r="G564" s="384" t="str">
        <f>IFERROR(__xludf.DUMMYFUNCTION("IFERROR(AVERAGE(FILTER('حضور '!I:I,'حضور '!A:A=A564,MONTH('حضور '!B:B)=J564)),"""")"),"")</f>
        <v/>
      </c>
      <c r="H564" s="384">
        <f t="shared" si="2"/>
        <v>0</v>
      </c>
      <c r="I564" s="385">
        <f t="shared" si="3"/>
        <v>0</v>
      </c>
    </row>
    <row r="565" ht="22.5" customHeight="1">
      <c r="A565" s="391"/>
      <c r="B565" s="379"/>
      <c r="C565" s="393"/>
      <c r="D565" s="392"/>
      <c r="E565" s="392"/>
      <c r="F565" s="383" t="str">
        <f t="shared" si="1"/>
        <v/>
      </c>
      <c r="G565" s="384" t="str">
        <f>IFERROR(__xludf.DUMMYFUNCTION("IFERROR(AVERAGE(FILTER('حضور '!I:I,'حضور '!A:A=A565,MONTH('حضور '!B:B)=J565)),"""")"),"")</f>
        <v/>
      </c>
      <c r="H565" s="384">
        <f t="shared" si="2"/>
        <v>0</v>
      </c>
      <c r="I565" s="385">
        <f t="shared" si="3"/>
        <v>0</v>
      </c>
    </row>
    <row r="566" ht="22.5" customHeight="1">
      <c r="A566" s="391"/>
      <c r="B566" s="379"/>
      <c r="C566" s="393"/>
      <c r="D566" s="392"/>
      <c r="E566" s="392"/>
      <c r="F566" s="383" t="str">
        <f t="shared" si="1"/>
        <v/>
      </c>
      <c r="G566" s="384" t="str">
        <f>IFERROR(__xludf.DUMMYFUNCTION("IFERROR(AVERAGE(FILTER('حضور '!I:I,'حضور '!A:A=A566,MONTH('حضور '!B:B)=J566)),"""")"),"")</f>
        <v/>
      </c>
      <c r="H566" s="384">
        <f t="shared" si="2"/>
        <v>0</v>
      </c>
      <c r="I566" s="385">
        <f t="shared" si="3"/>
        <v>0</v>
      </c>
    </row>
    <row r="567" ht="22.5" customHeight="1">
      <c r="A567" s="391"/>
      <c r="B567" s="379"/>
      <c r="C567" s="393"/>
      <c r="D567" s="392"/>
      <c r="E567" s="392"/>
      <c r="F567" s="383" t="str">
        <f t="shared" si="1"/>
        <v/>
      </c>
      <c r="G567" s="384" t="str">
        <f>IFERROR(__xludf.DUMMYFUNCTION("IFERROR(AVERAGE(FILTER('حضور '!I:I,'حضور '!A:A=A567,MONTH('حضور '!B:B)=J567)),"""")"),"")</f>
        <v/>
      </c>
      <c r="H567" s="384">
        <f t="shared" si="2"/>
        <v>0</v>
      </c>
      <c r="I567" s="385">
        <f t="shared" si="3"/>
        <v>0</v>
      </c>
    </row>
    <row r="568" ht="22.5" customHeight="1">
      <c r="A568" s="391"/>
      <c r="B568" s="379"/>
      <c r="C568" s="393"/>
      <c r="D568" s="392"/>
      <c r="E568" s="392"/>
      <c r="F568" s="383" t="str">
        <f t="shared" si="1"/>
        <v/>
      </c>
      <c r="G568" s="384" t="str">
        <f>IFERROR(__xludf.DUMMYFUNCTION("IFERROR(AVERAGE(FILTER('حضور '!I:I,'حضور '!A:A=A568,MONTH('حضور '!B:B)=J568)),"""")"),"")</f>
        <v/>
      </c>
      <c r="H568" s="384">
        <f t="shared" si="2"/>
        <v>0</v>
      </c>
      <c r="I568" s="385">
        <f t="shared" si="3"/>
        <v>0</v>
      </c>
    </row>
    <row r="569" ht="22.5" customHeight="1">
      <c r="A569" s="391"/>
      <c r="B569" s="379"/>
      <c r="C569" s="393"/>
      <c r="D569" s="392"/>
      <c r="E569" s="392"/>
      <c r="F569" s="383" t="str">
        <f t="shared" si="1"/>
        <v/>
      </c>
      <c r="G569" s="384" t="str">
        <f>IFERROR(__xludf.DUMMYFUNCTION("IFERROR(AVERAGE(FILTER('حضور '!I:I,'حضور '!A:A=A569,MONTH('حضور '!B:B)=J569)),"""")"),"")</f>
        <v/>
      </c>
      <c r="H569" s="384">
        <f t="shared" si="2"/>
        <v>0</v>
      </c>
      <c r="I569" s="385">
        <f t="shared" si="3"/>
        <v>0</v>
      </c>
    </row>
    <row r="570" ht="22.5" customHeight="1">
      <c r="A570" s="391"/>
      <c r="B570" s="379"/>
      <c r="C570" s="393"/>
      <c r="D570" s="392"/>
      <c r="E570" s="392"/>
      <c r="F570" s="383" t="str">
        <f t="shared" si="1"/>
        <v/>
      </c>
      <c r="G570" s="384" t="str">
        <f>IFERROR(__xludf.DUMMYFUNCTION("IFERROR(AVERAGE(FILTER('حضور '!I:I,'حضور '!A:A=A570,MONTH('حضور '!B:B)=J570)),"""")"),"")</f>
        <v/>
      </c>
      <c r="H570" s="384">
        <f t="shared" si="2"/>
        <v>0</v>
      </c>
      <c r="I570" s="385">
        <f t="shared" si="3"/>
        <v>0</v>
      </c>
    </row>
    <row r="571" ht="22.5" customHeight="1">
      <c r="A571" s="391"/>
      <c r="B571" s="379"/>
      <c r="C571" s="393"/>
      <c r="D571" s="392"/>
      <c r="E571" s="392"/>
      <c r="F571" s="383" t="str">
        <f t="shared" si="1"/>
        <v/>
      </c>
      <c r="G571" s="384" t="str">
        <f>IFERROR(__xludf.DUMMYFUNCTION("IFERROR(AVERAGE(FILTER('حضور '!I:I,'حضور '!A:A=A571,MONTH('حضور '!B:B)=J571)),"""")"),"")</f>
        <v/>
      </c>
      <c r="H571" s="384">
        <f t="shared" si="2"/>
        <v>0</v>
      </c>
      <c r="I571" s="385">
        <f t="shared" si="3"/>
        <v>0</v>
      </c>
    </row>
    <row r="572" ht="22.5" customHeight="1">
      <c r="A572" s="391"/>
      <c r="B572" s="379"/>
      <c r="C572" s="393"/>
      <c r="D572" s="392"/>
      <c r="E572" s="392"/>
      <c r="F572" s="383" t="str">
        <f t="shared" si="1"/>
        <v/>
      </c>
      <c r="G572" s="384" t="str">
        <f>IFERROR(__xludf.DUMMYFUNCTION("IFERROR(AVERAGE(FILTER('حضور '!I:I,'حضور '!A:A=A572,MONTH('حضور '!B:B)=J572)),"""")"),"")</f>
        <v/>
      </c>
      <c r="H572" s="384">
        <f t="shared" si="2"/>
        <v>0</v>
      </c>
      <c r="I572" s="385">
        <f t="shared" si="3"/>
        <v>0</v>
      </c>
    </row>
    <row r="573" ht="22.5" customHeight="1">
      <c r="A573" s="391"/>
      <c r="B573" s="379"/>
      <c r="C573" s="393"/>
      <c r="D573" s="392"/>
      <c r="E573" s="392"/>
      <c r="F573" s="383" t="str">
        <f t="shared" si="1"/>
        <v/>
      </c>
      <c r="G573" s="384" t="str">
        <f>IFERROR(__xludf.DUMMYFUNCTION("IFERROR(AVERAGE(FILTER('حضور '!I:I,'حضور '!A:A=A573,MONTH('حضور '!B:B)=J573)),"""")"),"")</f>
        <v/>
      </c>
      <c r="H573" s="384">
        <f t="shared" si="2"/>
        <v>0</v>
      </c>
      <c r="I573" s="385">
        <f t="shared" si="3"/>
        <v>0</v>
      </c>
    </row>
    <row r="574" ht="22.5" customHeight="1">
      <c r="A574" s="391"/>
      <c r="B574" s="379"/>
      <c r="C574" s="393"/>
      <c r="D574" s="392"/>
      <c r="E574" s="392"/>
      <c r="F574" s="383" t="str">
        <f t="shared" si="1"/>
        <v/>
      </c>
      <c r="G574" s="384" t="str">
        <f>IFERROR(__xludf.DUMMYFUNCTION("IFERROR(AVERAGE(FILTER('حضور '!I:I,'حضور '!A:A=A574,MONTH('حضور '!B:B)=J574)),"""")"),"")</f>
        <v/>
      </c>
      <c r="H574" s="384">
        <f t="shared" si="2"/>
        <v>0</v>
      </c>
      <c r="I574" s="385">
        <f t="shared" si="3"/>
        <v>0</v>
      </c>
    </row>
    <row r="575" ht="22.5" customHeight="1">
      <c r="A575" s="391"/>
      <c r="B575" s="379"/>
      <c r="C575" s="393"/>
      <c r="D575" s="392"/>
      <c r="E575" s="392"/>
      <c r="F575" s="383" t="str">
        <f t="shared" si="1"/>
        <v/>
      </c>
      <c r="G575" s="384" t="str">
        <f>IFERROR(__xludf.DUMMYFUNCTION("IFERROR(AVERAGE(FILTER('حضور '!I:I,'حضور '!A:A=A575,MONTH('حضور '!B:B)=J575)),"""")"),"")</f>
        <v/>
      </c>
      <c r="H575" s="384">
        <f t="shared" si="2"/>
        <v>0</v>
      </c>
      <c r="I575" s="385">
        <f t="shared" si="3"/>
        <v>0</v>
      </c>
    </row>
    <row r="576" ht="22.5" customHeight="1">
      <c r="A576" s="391"/>
      <c r="B576" s="379"/>
      <c r="C576" s="393"/>
      <c r="D576" s="392"/>
      <c r="E576" s="392"/>
      <c r="F576" s="383" t="str">
        <f t="shared" si="1"/>
        <v/>
      </c>
      <c r="G576" s="384" t="str">
        <f>IFERROR(__xludf.DUMMYFUNCTION("IFERROR(AVERAGE(FILTER('حضور '!I:I,'حضور '!A:A=A576,MONTH('حضور '!B:B)=J576)),"""")"),"")</f>
        <v/>
      </c>
      <c r="H576" s="384">
        <f t="shared" si="2"/>
        <v>0</v>
      </c>
      <c r="I576" s="385">
        <f t="shared" si="3"/>
        <v>0</v>
      </c>
    </row>
    <row r="577" ht="22.5" customHeight="1">
      <c r="A577" s="391"/>
      <c r="B577" s="379"/>
      <c r="C577" s="393"/>
      <c r="D577" s="392"/>
      <c r="E577" s="392"/>
      <c r="F577" s="383" t="str">
        <f t="shared" si="1"/>
        <v/>
      </c>
      <c r="G577" s="384" t="str">
        <f>IFERROR(__xludf.DUMMYFUNCTION("IFERROR(AVERAGE(FILTER('حضور '!I:I,'حضور '!A:A=A577,MONTH('حضور '!B:B)=J577)),"""")"),"")</f>
        <v/>
      </c>
      <c r="H577" s="384">
        <f t="shared" si="2"/>
        <v>0</v>
      </c>
      <c r="I577" s="385">
        <f t="shared" si="3"/>
        <v>0</v>
      </c>
    </row>
    <row r="578" ht="22.5" customHeight="1">
      <c r="A578" s="391"/>
      <c r="B578" s="379"/>
      <c r="C578" s="393"/>
      <c r="D578" s="392"/>
      <c r="E578" s="392"/>
      <c r="F578" s="383" t="str">
        <f t="shared" si="1"/>
        <v/>
      </c>
      <c r="G578" s="384" t="str">
        <f>IFERROR(__xludf.DUMMYFUNCTION("IFERROR(AVERAGE(FILTER('حضور '!I:I,'حضور '!A:A=A578,MONTH('حضور '!B:B)=J578)),"""")"),"")</f>
        <v/>
      </c>
      <c r="H578" s="384">
        <f t="shared" si="2"/>
        <v>0</v>
      </c>
      <c r="I578" s="385">
        <f t="shared" si="3"/>
        <v>0</v>
      </c>
    </row>
    <row r="579" ht="22.5" customHeight="1">
      <c r="A579" s="391"/>
      <c r="B579" s="379"/>
      <c r="C579" s="393"/>
      <c r="D579" s="392"/>
      <c r="E579" s="392"/>
      <c r="F579" s="383" t="str">
        <f t="shared" si="1"/>
        <v/>
      </c>
      <c r="G579" s="384" t="str">
        <f>IFERROR(__xludf.DUMMYFUNCTION("IFERROR(AVERAGE(FILTER('حضور '!I:I,'حضور '!A:A=A579,MONTH('حضور '!B:B)=J579)),"""")"),"")</f>
        <v/>
      </c>
      <c r="H579" s="384">
        <f t="shared" si="2"/>
        <v>0</v>
      </c>
      <c r="I579" s="385">
        <f t="shared" si="3"/>
        <v>0</v>
      </c>
    </row>
    <row r="580" ht="22.5" customHeight="1">
      <c r="A580" s="391"/>
      <c r="B580" s="379"/>
      <c r="C580" s="393"/>
      <c r="D580" s="392"/>
      <c r="E580" s="392"/>
      <c r="F580" s="383" t="str">
        <f t="shared" si="1"/>
        <v/>
      </c>
      <c r="G580" s="384" t="str">
        <f>IFERROR(__xludf.DUMMYFUNCTION("IFERROR(AVERAGE(FILTER('حضور '!I:I,'حضور '!A:A=A580,MONTH('حضور '!B:B)=J580)),"""")"),"")</f>
        <v/>
      </c>
      <c r="H580" s="384">
        <f t="shared" si="2"/>
        <v>0</v>
      </c>
      <c r="I580" s="385">
        <f t="shared" si="3"/>
        <v>0</v>
      </c>
    </row>
    <row r="581" ht="22.5" customHeight="1">
      <c r="A581" s="391"/>
      <c r="B581" s="379"/>
      <c r="C581" s="393"/>
      <c r="D581" s="392"/>
      <c r="E581" s="392"/>
      <c r="F581" s="383" t="str">
        <f t="shared" si="1"/>
        <v/>
      </c>
      <c r="G581" s="384" t="str">
        <f>IFERROR(__xludf.DUMMYFUNCTION("IFERROR(AVERAGE(FILTER('حضور '!I:I,'حضور '!A:A=A581,MONTH('حضور '!B:B)=J581)),"""")"),"")</f>
        <v/>
      </c>
      <c r="H581" s="384">
        <f t="shared" si="2"/>
        <v>0</v>
      </c>
      <c r="I581" s="385">
        <f t="shared" si="3"/>
        <v>0</v>
      </c>
    </row>
    <row r="582" ht="22.5" customHeight="1">
      <c r="A582" s="391"/>
      <c r="B582" s="379"/>
      <c r="C582" s="393"/>
      <c r="D582" s="392"/>
      <c r="E582" s="392"/>
      <c r="F582" s="383" t="str">
        <f t="shared" si="1"/>
        <v/>
      </c>
      <c r="G582" s="384" t="str">
        <f>IFERROR(__xludf.DUMMYFUNCTION("IFERROR(AVERAGE(FILTER('حضور '!I:I,'حضور '!A:A=A582,MONTH('حضور '!B:B)=J582)),"""")"),"")</f>
        <v/>
      </c>
      <c r="H582" s="384">
        <f t="shared" si="2"/>
        <v>0</v>
      </c>
      <c r="I582" s="385">
        <f t="shared" si="3"/>
        <v>0</v>
      </c>
    </row>
    <row r="583" ht="22.5" customHeight="1">
      <c r="A583" s="391"/>
      <c r="B583" s="379"/>
      <c r="C583" s="393"/>
      <c r="D583" s="392"/>
      <c r="E583" s="392"/>
      <c r="F583" s="383" t="str">
        <f t="shared" si="1"/>
        <v/>
      </c>
      <c r="G583" s="384" t="str">
        <f>IFERROR(__xludf.DUMMYFUNCTION("IFERROR(AVERAGE(FILTER('حضور '!I:I,'حضور '!A:A=A583,MONTH('حضور '!B:B)=J583)),"""")"),"")</f>
        <v/>
      </c>
      <c r="H583" s="384">
        <f t="shared" si="2"/>
        <v>0</v>
      </c>
      <c r="I583" s="385">
        <f t="shared" si="3"/>
        <v>0</v>
      </c>
    </row>
    <row r="584" ht="22.5" customHeight="1">
      <c r="A584" s="391"/>
      <c r="B584" s="379"/>
      <c r="C584" s="393"/>
      <c r="D584" s="392"/>
      <c r="E584" s="392"/>
      <c r="F584" s="383" t="str">
        <f t="shared" si="1"/>
        <v/>
      </c>
      <c r="G584" s="384" t="str">
        <f>IFERROR(__xludf.DUMMYFUNCTION("IFERROR(AVERAGE(FILTER('حضور '!I:I,'حضور '!A:A=A584,MONTH('حضور '!B:B)=J584)),"""")"),"")</f>
        <v/>
      </c>
      <c r="H584" s="384">
        <f t="shared" si="2"/>
        <v>0</v>
      </c>
      <c r="I584" s="385">
        <f t="shared" si="3"/>
        <v>0</v>
      </c>
    </row>
    <row r="585" ht="22.5" customHeight="1">
      <c r="A585" s="391"/>
      <c r="B585" s="379"/>
      <c r="C585" s="393"/>
      <c r="D585" s="392"/>
      <c r="E585" s="392"/>
      <c r="F585" s="383" t="str">
        <f t="shared" si="1"/>
        <v/>
      </c>
      <c r="G585" s="384" t="str">
        <f>IFERROR(__xludf.DUMMYFUNCTION("IFERROR(AVERAGE(FILTER('حضور '!I:I,'حضور '!A:A=A585,MONTH('حضور '!B:B)=J585)),"""")"),"")</f>
        <v/>
      </c>
      <c r="H585" s="384">
        <f t="shared" si="2"/>
        <v>0</v>
      </c>
      <c r="I585" s="385">
        <f t="shared" si="3"/>
        <v>0</v>
      </c>
    </row>
    <row r="586" ht="22.5" customHeight="1">
      <c r="A586" s="391"/>
      <c r="B586" s="379"/>
      <c r="C586" s="393"/>
      <c r="D586" s="392"/>
      <c r="E586" s="392"/>
      <c r="F586" s="383" t="str">
        <f t="shared" si="1"/>
        <v/>
      </c>
      <c r="G586" s="384" t="str">
        <f>IFERROR(__xludf.DUMMYFUNCTION("IFERROR(AVERAGE(FILTER('حضور '!I:I,'حضور '!A:A=A586,MONTH('حضور '!B:B)=J586)),"""")"),"")</f>
        <v/>
      </c>
      <c r="H586" s="384">
        <f t="shared" si="2"/>
        <v>0</v>
      </c>
      <c r="I586" s="385">
        <f t="shared" si="3"/>
        <v>0</v>
      </c>
    </row>
    <row r="587" ht="22.5" customHeight="1">
      <c r="A587" s="391"/>
      <c r="B587" s="379"/>
      <c r="C587" s="393"/>
      <c r="D587" s="392"/>
      <c r="E587" s="392"/>
      <c r="F587" s="383" t="str">
        <f t="shared" si="1"/>
        <v/>
      </c>
      <c r="G587" s="384" t="str">
        <f>IFERROR(__xludf.DUMMYFUNCTION("IFERROR(AVERAGE(FILTER('حضور '!I:I,'حضور '!A:A=A587,MONTH('حضور '!B:B)=J587)),"""")"),"")</f>
        <v/>
      </c>
      <c r="H587" s="384">
        <f t="shared" si="2"/>
        <v>0</v>
      </c>
      <c r="I587" s="385">
        <f t="shared" si="3"/>
        <v>0</v>
      </c>
    </row>
    <row r="588" ht="22.5" customHeight="1">
      <c r="A588" s="391"/>
      <c r="B588" s="379"/>
      <c r="C588" s="393"/>
      <c r="D588" s="392"/>
      <c r="E588" s="392"/>
      <c r="F588" s="383" t="str">
        <f t="shared" si="1"/>
        <v/>
      </c>
      <c r="G588" s="384" t="str">
        <f>IFERROR(__xludf.DUMMYFUNCTION("IFERROR(AVERAGE(FILTER('حضور '!I:I,'حضور '!A:A=A588,MONTH('حضور '!B:B)=J588)),"""")"),"")</f>
        <v/>
      </c>
      <c r="H588" s="384">
        <f t="shared" si="2"/>
        <v>0</v>
      </c>
      <c r="I588" s="385">
        <f t="shared" si="3"/>
        <v>0</v>
      </c>
    </row>
    <row r="589" ht="22.5" customHeight="1">
      <c r="A589" s="391"/>
      <c r="B589" s="379"/>
      <c r="C589" s="393"/>
      <c r="D589" s="392"/>
      <c r="E589" s="392"/>
      <c r="F589" s="383" t="str">
        <f t="shared" si="1"/>
        <v/>
      </c>
      <c r="G589" s="384" t="str">
        <f>IFERROR(__xludf.DUMMYFUNCTION("IFERROR(AVERAGE(FILTER('حضور '!I:I,'حضور '!A:A=A589,MONTH('حضور '!B:B)=J589)),"""")"),"")</f>
        <v/>
      </c>
      <c r="H589" s="384">
        <f t="shared" si="2"/>
        <v>0</v>
      </c>
      <c r="I589" s="385">
        <f t="shared" si="3"/>
        <v>0</v>
      </c>
    </row>
    <row r="590" ht="22.5" customHeight="1">
      <c r="A590" s="391"/>
      <c r="B590" s="379"/>
      <c r="C590" s="393"/>
      <c r="D590" s="392"/>
      <c r="E590" s="392"/>
      <c r="F590" s="383" t="str">
        <f t="shared" si="1"/>
        <v/>
      </c>
      <c r="G590" s="384" t="str">
        <f>IFERROR(__xludf.DUMMYFUNCTION("IFERROR(AVERAGE(FILTER('حضور '!I:I,'حضور '!A:A=A590,MONTH('حضور '!B:B)=J590)),"""")"),"")</f>
        <v/>
      </c>
      <c r="H590" s="384">
        <f t="shared" si="2"/>
        <v>0</v>
      </c>
      <c r="I590" s="385">
        <f t="shared" si="3"/>
        <v>0</v>
      </c>
    </row>
    <row r="591" ht="22.5" customHeight="1">
      <c r="A591" s="391"/>
      <c r="B591" s="379"/>
      <c r="C591" s="393"/>
      <c r="D591" s="392"/>
      <c r="E591" s="392"/>
      <c r="F591" s="383" t="str">
        <f t="shared" si="1"/>
        <v/>
      </c>
      <c r="G591" s="384" t="str">
        <f>IFERROR(__xludf.DUMMYFUNCTION("IFERROR(AVERAGE(FILTER('حضور '!I:I,'حضور '!A:A=A591,MONTH('حضور '!B:B)=J591)),"""")"),"")</f>
        <v/>
      </c>
      <c r="H591" s="384">
        <f t="shared" si="2"/>
        <v>0</v>
      </c>
      <c r="I591" s="385">
        <f t="shared" si="3"/>
        <v>0</v>
      </c>
    </row>
    <row r="592" ht="22.5" customHeight="1">
      <c r="A592" s="391"/>
      <c r="B592" s="379"/>
      <c r="C592" s="393"/>
      <c r="D592" s="392"/>
      <c r="E592" s="392"/>
      <c r="F592" s="383" t="str">
        <f t="shared" si="1"/>
        <v/>
      </c>
      <c r="G592" s="384" t="str">
        <f>IFERROR(__xludf.DUMMYFUNCTION("IFERROR(AVERAGE(FILTER('حضور '!I:I,'حضور '!A:A=A592,MONTH('حضور '!B:B)=J592)),"""")"),"")</f>
        <v/>
      </c>
      <c r="H592" s="384">
        <f t="shared" si="2"/>
        <v>0</v>
      </c>
      <c r="I592" s="385">
        <f t="shared" si="3"/>
        <v>0</v>
      </c>
    </row>
    <row r="593" ht="22.5" customHeight="1">
      <c r="A593" s="391"/>
      <c r="B593" s="379"/>
      <c r="C593" s="393"/>
      <c r="D593" s="392"/>
      <c r="E593" s="392"/>
      <c r="F593" s="383" t="str">
        <f t="shared" si="1"/>
        <v/>
      </c>
      <c r="G593" s="384" t="str">
        <f>IFERROR(__xludf.DUMMYFUNCTION("IFERROR(AVERAGE(FILTER('حضور '!I:I,'حضور '!A:A=A593,MONTH('حضور '!B:B)=J593)),"""")"),"")</f>
        <v/>
      </c>
      <c r="H593" s="384">
        <f t="shared" si="2"/>
        <v>0</v>
      </c>
      <c r="I593" s="385">
        <f t="shared" si="3"/>
        <v>0</v>
      </c>
    </row>
    <row r="594" ht="22.5" customHeight="1">
      <c r="A594" s="391"/>
      <c r="B594" s="379"/>
      <c r="C594" s="393"/>
      <c r="D594" s="392"/>
      <c r="E594" s="392"/>
      <c r="F594" s="383" t="str">
        <f t="shared" si="1"/>
        <v/>
      </c>
      <c r="G594" s="384" t="str">
        <f>IFERROR(__xludf.DUMMYFUNCTION("IFERROR(AVERAGE(FILTER('حضور '!I:I,'حضور '!A:A=A594,MONTH('حضور '!B:B)=J594)),"""")"),"")</f>
        <v/>
      </c>
      <c r="H594" s="384">
        <f t="shared" si="2"/>
        <v>0</v>
      </c>
      <c r="I594" s="385">
        <f t="shared" si="3"/>
        <v>0</v>
      </c>
    </row>
    <row r="595" ht="22.5" customHeight="1">
      <c r="A595" s="391"/>
      <c r="B595" s="379"/>
      <c r="C595" s="393"/>
      <c r="D595" s="392"/>
      <c r="E595" s="392"/>
      <c r="F595" s="383" t="str">
        <f t="shared" si="1"/>
        <v/>
      </c>
      <c r="G595" s="384" t="str">
        <f>IFERROR(__xludf.DUMMYFUNCTION("IFERROR(AVERAGE(FILTER('حضور '!I:I,'حضور '!A:A=A595,MONTH('حضور '!B:B)=J595)),"""")"),"")</f>
        <v/>
      </c>
      <c r="H595" s="384">
        <f t="shared" si="2"/>
        <v>0</v>
      </c>
      <c r="I595" s="385">
        <f t="shared" si="3"/>
        <v>0</v>
      </c>
    </row>
    <row r="596" ht="22.5" customHeight="1">
      <c r="A596" s="391"/>
      <c r="B596" s="379"/>
      <c r="C596" s="393"/>
      <c r="D596" s="392"/>
      <c r="E596" s="392"/>
      <c r="F596" s="383" t="str">
        <f t="shared" si="1"/>
        <v/>
      </c>
      <c r="G596" s="384" t="str">
        <f>IFERROR(__xludf.DUMMYFUNCTION("IFERROR(AVERAGE(FILTER('حضور '!I:I,'حضور '!A:A=A596,MONTH('حضور '!B:B)=J596)),"""")"),"")</f>
        <v/>
      </c>
      <c r="H596" s="384">
        <f t="shared" si="2"/>
        <v>0</v>
      </c>
      <c r="I596" s="385">
        <f t="shared" si="3"/>
        <v>0</v>
      </c>
    </row>
    <row r="597" ht="22.5" customHeight="1">
      <c r="A597" s="391"/>
      <c r="B597" s="379"/>
      <c r="C597" s="393"/>
      <c r="D597" s="392"/>
      <c r="E597" s="392"/>
      <c r="F597" s="383" t="str">
        <f t="shared" si="1"/>
        <v/>
      </c>
      <c r="G597" s="384" t="str">
        <f>IFERROR(__xludf.DUMMYFUNCTION("IFERROR(AVERAGE(FILTER('حضور '!I:I,'حضور '!A:A=A597,MONTH('حضور '!B:B)=J597)),"""")"),"")</f>
        <v/>
      </c>
      <c r="H597" s="384">
        <f t="shared" si="2"/>
        <v>0</v>
      </c>
      <c r="I597" s="385">
        <f t="shared" si="3"/>
        <v>0</v>
      </c>
    </row>
    <row r="598" ht="22.5" customHeight="1">
      <c r="A598" s="391"/>
      <c r="B598" s="379"/>
      <c r="C598" s="393"/>
      <c r="D598" s="392"/>
      <c r="E598" s="392"/>
      <c r="F598" s="383" t="str">
        <f t="shared" si="1"/>
        <v/>
      </c>
      <c r="G598" s="384" t="str">
        <f>IFERROR(__xludf.DUMMYFUNCTION("IFERROR(AVERAGE(FILTER('حضور '!I:I,'حضور '!A:A=A598,MONTH('حضور '!B:B)=J598)),"""")"),"")</f>
        <v/>
      </c>
      <c r="H598" s="384">
        <f t="shared" si="2"/>
        <v>0</v>
      </c>
      <c r="I598" s="385">
        <f t="shared" si="3"/>
        <v>0</v>
      </c>
    </row>
    <row r="599" ht="22.5" customHeight="1">
      <c r="A599" s="391"/>
      <c r="B599" s="379"/>
      <c r="C599" s="393"/>
      <c r="D599" s="392"/>
      <c r="E599" s="392"/>
      <c r="F599" s="383" t="str">
        <f t="shared" si="1"/>
        <v/>
      </c>
      <c r="G599" s="384" t="str">
        <f>IFERROR(__xludf.DUMMYFUNCTION("IFERROR(AVERAGE(FILTER('حضور '!I:I,'حضور '!A:A=A599,MONTH('حضور '!B:B)=J599)),"""")"),"")</f>
        <v/>
      </c>
      <c r="H599" s="384">
        <f t="shared" si="2"/>
        <v>0</v>
      </c>
      <c r="I599" s="385">
        <f t="shared" si="3"/>
        <v>0</v>
      </c>
    </row>
    <row r="600" ht="22.5" customHeight="1">
      <c r="A600" s="391"/>
      <c r="B600" s="379"/>
      <c r="C600" s="393"/>
      <c r="D600" s="392"/>
      <c r="E600" s="392"/>
      <c r="F600" s="383" t="str">
        <f t="shared" si="1"/>
        <v/>
      </c>
      <c r="G600" s="384" t="str">
        <f>IFERROR(__xludf.DUMMYFUNCTION("IFERROR(AVERAGE(FILTER('حضور '!I:I,'حضور '!A:A=A600,MONTH('حضور '!B:B)=J600)),"""")"),"")</f>
        <v/>
      </c>
      <c r="H600" s="384">
        <f t="shared" si="2"/>
        <v>0</v>
      </c>
      <c r="I600" s="385">
        <f t="shared" si="3"/>
        <v>0</v>
      </c>
    </row>
    <row r="601" ht="22.5" customHeight="1">
      <c r="A601" s="391"/>
      <c r="B601" s="379"/>
      <c r="C601" s="393"/>
      <c r="D601" s="392"/>
      <c r="E601" s="392"/>
      <c r="F601" s="383" t="str">
        <f t="shared" si="1"/>
        <v/>
      </c>
      <c r="G601" s="384" t="str">
        <f>IFERROR(__xludf.DUMMYFUNCTION("IFERROR(AVERAGE(FILTER('حضور '!I:I,'حضور '!A:A=A601,MONTH('حضور '!B:B)=J601)),"""")"),"")</f>
        <v/>
      </c>
      <c r="H601" s="384">
        <f t="shared" si="2"/>
        <v>0</v>
      </c>
      <c r="I601" s="385">
        <f t="shared" si="3"/>
        <v>0</v>
      </c>
    </row>
    <row r="602" ht="22.5" customHeight="1">
      <c r="A602" s="391"/>
      <c r="B602" s="379"/>
      <c r="C602" s="393"/>
      <c r="D602" s="392"/>
      <c r="E602" s="392"/>
      <c r="F602" s="383" t="str">
        <f t="shared" si="1"/>
        <v/>
      </c>
      <c r="G602" s="384" t="str">
        <f>IFERROR(__xludf.DUMMYFUNCTION("IFERROR(AVERAGE(FILTER('حضور '!I:I,'حضور '!A:A=A602,MONTH('حضور '!B:B)=J602)),"""")"),"")</f>
        <v/>
      </c>
      <c r="H602" s="384">
        <f t="shared" si="2"/>
        <v>0</v>
      </c>
      <c r="I602" s="385">
        <f t="shared" si="3"/>
        <v>0</v>
      </c>
    </row>
    <row r="603" ht="22.5" customHeight="1">
      <c r="A603" s="391"/>
      <c r="B603" s="379"/>
      <c r="C603" s="393"/>
      <c r="D603" s="392"/>
      <c r="E603" s="392"/>
      <c r="F603" s="383" t="str">
        <f t="shared" si="1"/>
        <v/>
      </c>
      <c r="G603" s="384" t="str">
        <f>IFERROR(__xludf.DUMMYFUNCTION("IFERROR(AVERAGE(FILTER('حضور '!I:I,'حضور '!A:A=A603,MONTH('حضور '!B:B)=J603)),"""")"),"")</f>
        <v/>
      </c>
      <c r="H603" s="384">
        <f t="shared" si="2"/>
        <v>0</v>
      </c>
      <c r="I603" s="385">
        <f t="shared" si="3"/>
        <v>0</v>
      </c>
    </row>
    <row r="604" ht="22.5" customHeight="1">
      <c r="A604" s="391"/>
      <c r="B604" s="379"/>
      <c r="C604" s="393"/>
      <c r="D604" s="392"/>
      <c r="E604" s="392"/>
      <c r="F604" s="383" t="str">
        <f t="shared" si="1"/>
        <v/>
      </c>
      <c r="G604" s="384" t="str">
        <f>IFERROR(__xludf.DUMMYFUNCTION("IFERROR(AVERAGE(FILTER('حضور '!I:I,'حضور '!A:A=A604,MONTH('حضور '!B:B)=J604)),"""")"),"")</f>
        <v/>
      </c>
      <c r="H604" s="384">
        <f t="shared" si="2"/>
        <v>0</v>
      </c>
      <c r="I604" s="385">
        <f t="shared" si="3"/>
        <v>0</v>
      </c>
    </row>
    <row r="605" ht="22.5" customHeight="1">
      <c r="A605" s="391"/>
      <c r="B605" s="379"/>
      <c r="C605" s="393"/>
      <c r="D605" s="392"/>
      <c r="E605" s="392"/>
      <c r="F605" s="383" t="str">
        <f t="shared" si="1"/>
        <v/>
      </c>
      <c r="G605" s="384" t="str">
        <f>IFERROR(__xludf.DUMMYFUNCTION("IFERROR(AVERAGE(FILTER('حضور '!I:I,'حضور '!A:A=A605,MONTH('حضور '!B:B)=J605)),"""")"),"")</f>
        <v/>
      </c>
      <c r="H605" s="384">
        <f t="shared" si="2"/>
        <v>0</v>
      </c>
      <c r="I605" s="385">
        <f t="shared" si="3"/>
        <v>0</v>
      </c>
    </row>
    <row r="606" ht="22.5" customHeight="1">
      <c r="A606" s="391"/>
      <c r="B606" s="379"/>
      <c r="C606" s="393"/>
      <c r="D606" s="392"/>
      <c r="E606" s="392"/>
      <c r="F606" s="383" t="str">
        <f t="shared" si="1"/>
        <v/>
      </c>
      <c r="G606" s="384" t="str">
        <f>IFERROR(__xludf.DUMMYFUNCTION("IFERROR(AVERAGE(FILTER('حضور '!I:I,'حضور '!A:A=A606,MONTH('حضور '!B:B)=J606)),"""")"),"")</f>
        <v/>
      </c>
      <c r="H606" s="384">
        <f t="shared" si="2"/>
        <v>0</v>
      </c>
      <c r="I606" s="385">
        <f t="shared" si="3"/>
        <v>0</v>
      </c>
    </row>
    <row r="607" ht="22.5" customHeight="1">
      <c r="A607" s="391"/>
      <c r="B607" s="379"/>
      <c r="C607" s="393"/>
      <c r="D607" s="392"/>
      <c r="E607" s="392"/>
      <c r="F607" s="383" t="str">
        <f t="shared" si="1"/>
        <v/>
      </c>
      <c r="G607" s="384" t="str">
        <f>IFERROR(__xludf.DUMMYFUNCTION("IFERROR(AVERAGE(FILTER('حضور '!I:I,'حضور '!A:A=A607,MONTH('حضور '!B:B)=J607)),"""")"),"")</f>
        <v/>
      </c>
      <c r="H607" s="384">
        <f t="shared" si="2"/>
        <v>0</v>
      </c>
      <c r="I607" s="385">
        <f t="shared" si="3"/>
        <v>0</v>
      </c>
    </row>
    <row r="608" ht="22.5" customHeight="1">
      <c r="A608" s="391"/>
      <c r="B608" s="379"/>
      <c r="C608" s="393"/>
      <c r="D608" s="392"/>
      <c r="E608" s="392"/>
      <c r="F608" s="383" t="str">
        <f t="shared" si="1"/>
        <v/>
      </c>
      <c r="G608" s="384" t="str">
        <f>IFERROR(__xludf.DUMMYFUNCTION("IFERROR(AVERAGE(FILTER('حضور '!I:I,'حضور '!A:A=A608,MONTH('حضور '!B:B)=J608)),"""")"),"")</f>
        <v/>
      </c>
      <c r="H608" s="384">
        <f t="shared" si="2"/>
        <v>0</v>
      </c>
      <c r="I608" s="385">
        <f t="shared" si="3"/>
        <v>0</v>
      </c>
    </row>
    <row r="609" ht="22.5" customHeight="1">
      <c r="A609" s="391"/>
      <c r="B609" s="379"/>
      <c r="C609" s="393"/>
      <c r="D609" s="392"/>
      <c r="E609" s="392"/>
      <c r="F609" s="383" t="str">
        <f t="shared" si="1"/>
        <v/>
      </c>
      <c r="G609" s="384" t="str">
        <f>IFERROR(__xludf.DUMMYFUNCTION("IFERROR(AVERAGE(FILTER('حضور '!I:I,'حضور '!A:A=A609,MONTH('حضور '!B:B)=J609)),"""")"),"")</f>
        <v/>
      </c>
      <c r="H609" s="384">
        <f t="shared" si="2"/>
        <v>0</v>
      </c>
      <c r="I609" s="385">
        <f t="shared" si="3"/>
        <v>0</v>
      </c>
    </row>
    <row r="610" ht="22.5" customHeight="1">
      <c r="A610" s="391"/>
      <c r="B610" s="379"/>
      <c r="C610" s="393"/>
      <c r="D610" s="392"/>
      <c r="E610" s="392"/>
      <c r="F610" s="383" t="str">
        <f t="shared" si="1"/>
        <v/>
      </c>
      <c r="G610" s="384" t="str">
        <f>IFERROR(__xludf.DUMMYFUNCTION("IFERROR(AVERAGE(FILTER('حضور '!I:I,'حضور '!A:A=A610,MONTH('حضور '!B:B)=J610)),"""")"),"")</f>
        <v/>
      </c>
      <c r="H610" s="384">
        <f t="shared" si="2"/>
        <v>0</v>
      </c>
      <c r="I610" s="385">
        <f t="shared" si="3"/>
        <v>0</v>
      </c>
    </row>
    <row r="611" ht="22.5" customHeight="1">
      <c r="A611" s="391"/>
      <c r="B611" s="379"/>
      <c r="C611" s="393"/>
      <c r="D611" s="392"/>
      <c r="E611" s="392"/>
      <c r="F611" s="383" t="str">
        <f t="shared" si="1"/>
        <v/>
      </c>
      <c r="G611" s="384" t="str">
        <f>IFERROR(__xludf.DUMMYFUNCTION("IFERROR(AVERAGE(FILTER('حضور '!I:I,'حضور '!A:A=A611,MONTH('حضور '!B:B)=J611)),"""")"),"")</f>
        <v/>
      </c>
      <c r="H611" s="384">
        <f t="shared" si="2"/>
        <v>0</v>
      </c>
      <c r="I611" s="385">
        <f t="shared" si="3"/>
        <v>0</v>
      </c>
    </row>
    <row r="612" ht="22.5" customHeight="1">
      <c r="A612" s="391"/>
      <c r="B612" s="379"/>
      <c r="C612" s="393"/>
      <c r="D612" s="392"/>
      <c r="E612" s="392"/>
      <c r="F612" s="383" t="str">
        <f t="shared" si="1"/>
        <v/>
      </c>
      <c r="G612" s="384" t="str">
        <f>IFERROR(__xludf.DUMMYFUNCTION("IFERROR(AVERAGE(FILTER('حضور '!I:I,'حضور '!A:A=A612,MONTH('حضور '!B:B)=J612)),"""")"),"")</f>
        <v/>
      </c>
      <c r="H612" s="384">
        <f t="shared" si="2"/>
        <v>0</v>
      </c>
      <c r="I612" s="385">
        <f t="shared" si="3"/>
        <v>0</v>
      </c>
    </row>
    <row r="613" ht="22.5" customHeight="1">
      <c r="A613" s="391"/>
      <c r="B613" s="379"/>
      <c r="C613" s="393"/>
      <c r="D613" s="392"/>
      <c r="E613" s="392"/>
      <c r="F613" s="383" t="str">
        <f t="shared" si="1"/>
        <v/>
      </c>
      <c r="G613" s="384" t="str">
        <f>IFERROR(__xludf.DUMMYFUNCTION("IFERROR(AVERAGE(FILTER('حضور '!I:I,'حضور '!A:A=A613,MONTH('حضور '!B:B)=J613)),"""")"),"")</f>
        <v/>
      </c>
      <c r="H613" s="384">
        <f t="shared" si="2"/>
        <v>0</v>
      </c>
      <c r="I613" s="385">
        <f t="shared" si="3"/>
        <v>0</v>
      </c>
    </row>
    <row r="614" ht="22.5" customHeight="1">
      <c r="A614" s="391"/>
      <c r="B614" s="379"/>
      <c r="C614" s="393"/>
      <c r="D614" s="392"/>
      <c r="E614" s="392"/>
      <c r="F614" s="383" t="str">
        <f t="shared" si="1"/>
        <v/>
      </c>
      <c r="G614" s="384" t="str">
        <f>IFERROR(__xludf.DUMMYFUNCTION("IFERROR(AVERAGE(FILTER('حضور '!I:I,'حضور '!A:A=A614,MONTH('حضور '!B:B)=J614)),"""")"),"")</f>
        <v/>
      </c>
      <c r="H614" s="384">
        <f t="shared" si="2"/>
        <v>0</v>
      </c>
      <c r="I614" s="385">
        <f t="shared" si="3"/>
        <v>0</v>
      </c>
    </row>
    <row r="615" ht="22.5" customHeight="1">
      <c r="A615" s="391"/>
      <c r="B615" s="379"/>
      <c r="C615" s="393"/>
      <c r="D615" s="392"/>
      <c r="E615" s="392"/>
      <c r="F615" s="383" t="str">
        <f t="shared" si="1"/>
        <v/>
      </c>
      <c r="G615" s="384" t="str">
        <f>IFERROR(__xludf.DUMMYFUNCTION("IFERROR(AVERAGE(FILTER('حضور '!I:I,'حضور '!A:A=A615,MONTH('حضور '!B:B)=J615)),"""")"),"")</f>
        <v/>
      </c>
      <c r="H615" s="384">
        <f t="shared" si="2"/>
        <v>0</v>
      </c>
      <c r="I615" s="385">
        <f t="shared" si="3"/>
        <v>0</v>
      </c>
    </row>
    <row r="616" ht="22.5" customHeight="1">
      <c r="A616" s="391"/>
      <c r="B616" s="379"/>
      <c r="C616" s="393"/>
      <c r="D616" s="392"/>
      <c r="E616" s="392"/>
      <c r="F616" s="383" t="str">
        <f t="shared" si="1"/>
        <v/>
      </c>
      <c r="G616" s="384" t="str">
        <f>IFERROR(__xludf.DUMMYFUNCTION("IFERROR(AVERAGE(FILTER('حضور '!I:I,'حضور '!A:A=A616,MONTH('حضور '!B:B)=J616)),"""")"),"")</f>
        <v/>
      </c>
      <c r="H616" s="384">
        <f t="shared" si="2"/>
        <v>0</v>
      </c>
      <c r="I616" s="385">
        <f t="shared" si="3"/>
        <v>0</v>
      </c>
    </row>
    <row r="617" ht="22.5" customHeight="1">
      <c r="A617" s="391"/>
      <c r="B617" s="379"/>
      <c r="C617" s="393"/>
      <c r="D617" s="392"/>
      <c r="E617" s="392"/>
      <c r="F617" s="383" t="str">
        <f t="shared" si="1"/>
        <v/>
      </c>
      <c r="G617" s="384" t="str">
        <f>IFERROR(__xludf.DUMMYFUNCTION("IFERROR(AVERAGE(FILTER('حضور '!I:I,'حضور '!A:A=A617,MONTH('حضور '!B:B)=J617)),"""")"),"")</f>
        <v/>
      </c>
      <c r="H617" s="384">
        <f t="shared" si="2"/>
        <v>0</v>
      </c>
      <c r="I617" s="385">
        <f t="shared" si="3"/>
        <v>0</v>
      </c>
    </row>
    <row r="618" ht="22.5" customHeight="1">
      <c r="A618" s="391"/>
      <c r="B618" s="379"/>
      <c r="C618" s="393"/>
      <c r="D618" s="392"/>
      <c r="E618" s="392"/>
      <c r="F618" s="383" t="str">
        <f t="shared" si="1"/>
        <v/>
      </c>
      <c r="G618" s="384" t="str">
        <f>IFERROR(__xludf.DUMMYFUNCTION("IFERROR(AVERAGE(FILTER('حضور '!I:I,'حضور '!A:A=A618,MONTH('حضور '!B:B)=J618)),"""")"),"")</f>
        <v/>
      </c>
      <c r="H618" s="384">
        <f t="shared" si="2"/>
        <v>0</v>
      </c>
      <c r="I618" s="385">
        <f t="shared" si="3"/>
        <v>0</v>
      </c>
    </row>
    <row r="619" ht="22.5" customHeight="1">
      <c r="A619" s="391"/>
      <c r="B619" s="379"/>
      <c r="C619" s="393"/>
      <c r="D619" s="392"/>
      <c r="E619" s="392"/>
      <c r="F619" s="383" t="str">
        <f t="shared" si="1"/>
        <v/>
      </c>
      <c r="G619" s="384" t="str">
        <f>IFERROR(__xludf.DUMMYFUNCTION("IFERROR(AVERAGE(FILTER('حضور '!I:I,'حضور '!A:A=A619,MONTH('حضور '!B:B)=J619)),"""")"),"")</f>
        <v/>
      </c>
      <c r="H619" s="384">
        <f t="shared" si="2"/>
        <v>0</v>
      </c>
      <c r="I619" s="385">
        <f t="shared" si="3"/>
        <v>0</v>
      </c>
    </row>
    <row r="620" ht="22.5" customHeight="1">
      <c r="A620" s="391"/>
      <c r="B620" s="379"/>
      <c r="C620" s="393"/>
      <c r="D620" s="392"/>
      <c r="E620" s="392"/>
      <c r="F620" s="383" t="str">
        <f t="shared" si="1"/>
        <v/>
      </c>
      <c r="G620" s="384" t="str">
        <f>IFERROR(__xludf.DUMMYFUNCTION("IFERROR(AVERAGE(FILTER('حضور '!I:I,'حضور '!A:A=A620,MONTH('حضور '!B:B)=J620)),"""")"),"")</f>
        <v/>
      </c>
      <c r="H620" s="384">
        <f t="shared" si="2"/>
        <v>0</v>
      </c>
      <c r="I620" s="385">
        <f t="shared" si="3"/>
        <v>0</v>
      </c>
    </row>
    <row r="621" ht="22.5" customHeight="1">
      <c r="A621" s="391"/>
      <c r="B621" s="379"/>
      <c r="C621" s="393"/>
      <c r="D621" s="392"/>
      <c r="E621" s="392"/>
      <c r="F621" s="383" t="str">
        <f t="shared" si="1"/>
        <v/>
      </c>
      <c r="G621" s="384" t="str">
        <f>IFERROR(__xludf.DUMMYFUNCTION("IFERROR(AVERAGE(FILTER('حضور '!I:I,'حضور '!A:A=A621,MONTH('حضور '!B:B)=J621)),"""")"),"")</f>
        <v/>
      </c>
      <c r="H621" s="384">
        <f t="shared" si="2"/>
        <v>0</v>
      </c>
      <c r="I621" s="385">
        <f t="shared" si="3"/>
        <v>0</v>
      </c>
    </row>
    <row r="622" ht="22.5" customHeight="1">
      <c r="A622" s="391"/>
      <c r="B622" s="379"/>
      <c r="C622" s="393"/>
      <c r="D622" s="392"/>
      <c r="E622" s="392"/>
      <c r="F622" s="383" t="str">
        <f t="shared" si="1"/>
        <v/>
      </c>
      <c r="G622" s="384" t="str">
        <f>IFERROR(__xludf.DUMMYFUNCTION("IFERROR(AVERAGE(FILTER('حضور '!I:I,'حضور '!A:A=A622,MONTH('حضور '!B:B)=J622)),"""")"),"")</f>
        <v/>
      </c>
      <c r="H622" s="384">
        <f t="shared" si="2"/>
        <v>0</v>
      </c>
      <c r="I622" s="385">
        <f t="shared" si="3"/>
        <v>0</v>
      </c>
    </row>
    <row r="623" ht="22.5" customHeight="1">
      <c r="A623" s="391"/>
      <c r="B623" s="379"/>
      <c r="C623" s="393"/>
      <c r="D623" s="392"/>
      <c r="E623" s="392"/>
      <c r="F623" s="383" t="str">
        <f t="shared" si="1"/>
        <v/>
      </c>
      <c r="G623" s="384" t="str">
        <f>IFERROR(__xludf.DUMMYFUNCTION("IFERROR(AVERAGE(FILTER('حضور '!I:I,'حضور '!A:A=A623,MONTH('حضور '!B:B)=J623)),"""")"),"")</f>
        <v/>
      </c>
      <c r="H623" s="384">
        <f t="shared" si="2"/>
        <v>0</v>
      </c>
      <c r="I623" s="385">
        <f t="shared" si="3"/>
        <v>0</v>
      </c>
    </row>
    <row r="624" ht="22.5" customHeight="1">
      <c r="A624" s="391"/>
      <c r="B624" s="379"/>
      <c r="C624" s="393"/>
      <c r="D624" s="392"/>
      <c r="E624" s="392"/>
      <c r="F624" s="383" t="str">
        <f t="shared" si="1"/>
        <v/>
      </c>
      <c r="G624" s="384" t="str">
        <f>IFERROR(__xludf.DUMMYFUNCTION("IFERROR(AVERAGE(FILTER('حضور '!I:I,'حضور '!A:A=A624,MONTH('حضور '!B:B)=J624)),"""")"),"")</f>
        <v/>
      </c>
      <c r="H624" s="384">
        <f t="shared" si="2"/>
        <v>0</v>
      </c>
      <c r="I624" s="385">
        <f t="shared" si="3"/>
        <v>0</v>
      </c>
    </row>
    <row r="625" ht="22.5" customHeight="1">
      <c r="A625" s="391"/>
      <c r="B625" s="379"/>
      <c r="C625" s="393"/>
      <c r="D625" s="392"/>
      <c r="E625" s="392"/>
      <c r="F625" s="383" t="str">
        <f t="shared" si="1"/>
        <v/>
      </c>
      <c r="G625" s="384" t="str">
        <f>IFERROR(__xludf.DUMMYFUNCTION("IFERROR(AVERAGE(FILTER('حضور '!I:I,'حضور '!A:A=A625,MONTH('حضور '!B:B)=J625)),"""")"),"")</f>
        <v/>
      </c>
      <c r="H625" s="384">
        <f t="shared" si="2"/>
        <v>0</v>
      </c>
      <c r="I625" s="385">
        <f t="shared" si="3"/>
        <v>0</v>
      </c>
    </row>
    <row r="626" ht="22.5" customHeight="1">
      <c r="A626" s="391"/>
      <c r="B626" s="379"/>
      <c r="C626" s="393"/>
      <c r="D626" s="392"/>
      <c r="E626" s="392"/>
      <c r="F626" s="383" t="str">
        <f t="shared" si="1"/>
        <v/>
      </c>
      <c r="G626" s="384" t="str">
        <f>IFERROR(__xludf.DUMMYFUNCTION("IFERROR(AVERAGE(FILTER('حضور '!I:I,'حضور '!A:A=A626,MONTH('حضور '!B:B)=J626)),"""")"),"")</f>
        <v/>
      </c>
      <c r="H626" s="384">
        <f t="shared" si="2"/>
        <v>0</v>
      </c>
      <c r="I626" s="385">
        <f t="shared" si="3"/>
        <v>0</v>
      </c>
    </row>
    <row r="627" ht="22.5" customHeight="1">
      <c r="A627" s="391"/>
      <c r="B627" s="379"/>
      <c r="C627" s="393"/>
      <c r="D627" s="392"/>
      <c r="E627" s="392"/>
      <c r="F627" s="383" t="str">
        <f t="shared" si="1"/>
        <v/>
      </c>
      <c r="G627" s="384" t="str">
        <f>IFERROR(__xludf.DUMMYFUNCTION("IFERROR(AVERAGE(FILTER('حضور '!I:I,'حضور '!A:A=A627,MONTH('حضور '!B:B)=J627)),"""")"),"")</f>
        <v/>
      </c>
      <c r="H627" s="384">
        <f t="shared" si="2"/>
        <v>0</v>
      </c>
      <c r="I627" s="385">
        <f t="shared" si="3"/>
        <v>0</v>
      </c>
    </row>
    <row r="628" ht="22.5" customHeight="1">
      <c r="A628" s="391"/>
      <c r="B628" s="379"/>
      <c r="C628" s="393"/>
      <c r="D628" s="392"/>
      <c r="E628" s="392"/>
      <c r="F628" s="383" t="str">
        <f t="shared" si="1"/>
        <v/>
      </c>
      <c r="G628" s="384" t="str">
        <f>IFERROR(__xludf.DUMMYFUNCTION("IFERROR(AVERAGE(FILTER('حضور '!I:I,'حضور '!A:A=A628,MONTH('حضور '!B:B)=J628)),"""")"),"")</f>
        <v/>
      </c>
      <c r="H628" s="384">
        <f t="shared" si="2"/>
        <v>0</v>
      </c>
      <c r="I628" s="385">
        <f t="shared" si="3"/>
        <v>0</v>
      </c>
    </row>
    <row r="629" ht="22.5" customHeight="1">
      <c r="A629" s="391"/>
      <c r="B629" s="379"/>
      <c r="C629" s="393"/>
      <c r="D629" s="392"/>
      <c r="E629" s="392"/>
      <c r="F629" s="383" t="str">
        <f t="shared" si="1"/>
        <v/>
      </c>
      <c r="G629" s="384" t="str">
        <f>IFERROR(__xludf.DUMMYFUNCTION("IFERROR(AVERAGE(FILTER('حضور '!I:I,'حضور '!A:A=A629,MONTH('حضور '!B:B)=J629)),"""")"),"")</f>
        <v/>
      </c>
      <c r="H629" s="384">
        <f t="shared" si="2"/>
        <v>0</v>
      </c>
      <c r="I629" s="385">
        <f t="shared" si="3"/>
        <v>0</v>
      </c>
    </row>
    <row r="630" ht="22.5" customHeight="1">
      <c r="A630" s="391"/>
      <c r="B630" s="379"/>
      <c r="C630" s="393"/>
      <c r="D630" s="392"/>
      <c r="E630" s="392"/>
      <c r="F630" s="383" t="str">
        <f t="shared" si="1"/>
        <v/>
      </c>
      <c r="G630" s="384" t="str">
        <f>IFERROR(__xludf.DUMMYFUNCTION("IFERROR(AVERAGE(FILTER('حضور '!I:I,'حضور '!A:A=A630,MONTH('حضور '!B:B)=J630)),"""")"),"")</f>
        <v/>
      </c>
      <c r="H630" s="384">
        <f t="shared" si="2"/>
        <v>0</v>
      </c>
      <c r="I630" s="385">
        <f t="shared" si="3"/>
        <v>0</v>
      </c>
    </row>
    <row r="631" ht="22.5" customHeight="1">
      <c r="A631" s="391"/>
      <c r="B631" s="379"/>
      <c r="C631" s="393"/>
      <c r="D631" s="392"/>
      <c r="E631" s="392"/>
      <c r="F631" s="383" t="str">
        <f t="shared" si="1"/>
        <v/>
      </c>
      <c r="G631" s="384" t="str">
        <f>IFERROR(__xludf.DUMMYFUNCTION("IFERROR(AVERAGE(FILTER('حضور '!I:I,'حضور '!A:A=A631,MONTH('حضور '!B:B)=J631)),"""")"),"")</f>
        <v/>
      </c>
      <c r="H631" s="384">
        <f t="shared" si="2"/>
        <v>0</v>
      </c>
      <c r="I631" s="385">
        <f t="shared" si="3"/>
        <v>0</v>
      </c>
    </row>
    <row r="632" ht="22.5" customHeight="1">
      <c r="A632" s="391"/>
      <c r="B632" s="379"/>
      <c r="C632" s="393"/>
      <c r="D632" s="392"/>
      <c r="E632" s="392"/>
      <c r="F632" s="383" t="str">
        <f t="shared" si="1"/>
        <v/>
      </c>
      <c r="G632" s="384" t="str">
        <f>IFERROR(__xludf.DUMMYFUNCTION("IFERROR(AVERAGE(FILTER('حضور '!I:I,'حضور '!A:A=A632,MONTH('حضور '!B:B)=J632)),"""")"),"")</f>
        <v/>
      </c>
      <c r="H632" s="384">
        <f t="shared" si="2"/>
        <v>0</v>
      </c>
      <c r="I632" s="385">
        <f t="shared" si="3"/>
        <v>0</v>
      </c>
    </row>
    <row r="633" ht="22.5" customHeight="1">
      <c r="A633" s="391"/>
      <c r="B633" s="379"/>
      <c r="C633" s="393"/>
      <c r="D633" s="392"/>
      <c r="E633" s="392"/>
      <c r="F633" s="383" t="str">
        <f t="shared" si="1"/>
        <v/>
      </c>
      <c r="G633" s="384" t="str">
        <f>IFERROR(__xludf.DUMMYFUNCTION("IFERROR(AVERAGE(FILTER('حضور '!I:I,'حضور '!A:A=A633,MONTH('حضور '!B:B)=J633)),"""")"),"")</f>
        <v/>
      </c>
      <c r="H633" s="384">
        <f t="shared" si="2"/>
        <v>0</v>
      </c>
      <c r="I633" s="385">
        <f t="shared" si="3"/>
        <v>0</v>
      </c>
    </row>
    <row r="634" ht="22.5" customHeight="1">
      <c r="A634" s="391"/>
      <c r="B634" s="379"/>
      <c r="C634" s="393"/>
      <c r="D634" s="392"/>
      <c r="E634" s="392"/>
      <c r="F634" s="383" t="str">
        <f t="shared" si="1"/>
        <v/>
      </c>
      <c r="G634" s="384" t="str">
        <f>IFERROR(__xludf.DUMMYFUNCTION("IFERROR(AVERAGE(FILTER('حضور '!I:I,'حضور '!A:A=A634,MONTH('حضور '!B:B)=J634)),"""")"),"")</f>
        <v/>
      </c>
      <c r="H634" s="384">
        <f t="shared" si="2"/>
        <v>0</v>
      </c>
      <c r="I634" s="385">
        <f t="shared" si="3"/>
        <v>0</v>
      </c>
    </row>
    <row r="635" ht="22.5" customHeight="1">
      <c r="A635" s="391"/>
      <c r="B635" s="379"/>
      <c r="C635" s="393"/>
      <c r="D635" s="392"/>
      <c r="E635" s="392"/>
      <c r="F635" s="383" t="str">
        <f t="shared" si="1"/>
        <v/>
      </c>
      <c r="G635" s="384" t="str">
        <f>IFERROR(__xludf.DUMMYFUNCTION("IFERROR(AVERAGE(FILTER('حضور '!I:I,'حضور '!A:A=A635,MONTH('حضور '!B:B)=J635)),"""")"),"")</f>
        <v/>
      </c>
      <c r="H635" s="384">
        <f t="shared" si="2"/>
        <v>0</v>
      </c>
      <c r="I635" s="385">
        <f t="shared" si="3"/>
        <v>0</v>
      </c>
    </row>
    <row r="636" ht="22.5" customHeight="1">
      <c r="A636" s="391"/>
      <c r="B636" s="379"/>
      <c r="C636" s="393"/>
      <c r="D636" s="392"/>
      <c r="E636" s="392"/>
      <c r="F636" s="383" t="str">
        <f t="shared" si="1"/>
        <v/>
      </c>
      <c r="G636" s="384" t="str">
        <f>IFERROR(__xludf.DUMMYFUNCTION("IFERROR(AVERAGE(FILTER('حضور '!I:I,'حضور '!A:A=A636,MONTH('حضور '!B:B)=J636)),"""")"),"")</f>
        <v/>
      </c>
      <c r="H636" s="384">
        <f t="shared" si="2"/>
        <v>0</v>
      </c>
      <c r="I636" s="385">
        <f t="shared" si="3"/>
        <v>0</v>
      </c>
    </row>
    <row r="637" ht="22.5" customHeight="1">
      <c r="A637" s="391"/>
      <c r="B637" s="379"/>
      <c r="C637" s="393"/>
      <c r="D637" s="392"/>
      <c r="E637" s="392"/>
      <c r="F637" s="383" t="str">
        <f t="shared" si="1"/>
        <v/>
      </c>
      <c r="G637" s="384" t="str">
        <f>IFERROR(__xludf.DUMMYFUNCTION("IFERROR(AVERAGE(FILTER('حضور '!I:I,'حضور '!A:A=A637,MONTH('حضور '!B:B)=J637)),"""")"),"")</f>
        <v/>
      </c>
      <c r="H637" s="384">
        <f t="shared" si="2"/>
        <v>0</v>
      </c>
      <c r="I637" s="385">
        <f t="shared" si="3"/>
        <v>0</v>
      </c>
    </row>
    <row r="638" ht="22.5" customHeight="1">
      <c r="A638" s="391"/>
      <c r="B638" s="379"/>
      <c r="C638" s="393"/>
      <c r="D638" s="392"/>
      <c r="E638" s="392"/>
      <c r="F638" s="383" t="str">
        <f t="shared" si="1"/>
        <v/>
      </c>
      <c r="G638" s="384" t="str">
        <f>IFERROR(__xludf.DUMMYFUNCTION("IFERROR(AVERAGE(FILTER('حضور '!I:I,'حضور '!A:A=A638,MONTH('حضور '!B:B)=J638)),"""")"),"")</f>
        <v/>
      </c>
      <c r="H638" s="384">
        <f t="shared" si="2"/>
        <v>0</v>
      </c>
      <c r="I638" s="385">
        <f t="shared" si="3"/>
        <v>0</v>
      </c>
    </row>
    <row r="639" ht="22.5" customHeight="1">
      <c r="A639" s="391"/>
      <c r="B639" s="379"/>
      <c r="C639" s="393"/>
      <c r="D639" s="392"/>
      <c r="E639" s="392"/>
      <c r="F639" s="383" t="str">
        <f t="shared" si="1"/>
        <v/>
      </c>
      <c r="G639" s="384" t="str">
        <f>IFERROR(__xludf.DUMMYFUNCTION("IFERROR(AVERAGE(FILTER('حضور '!I:I,'حضور '!A:A=A639,MONTH('حضور '!B:B)=J639)),"""")"),"")</f>
        <v/>
      </c>
      <c r="H639" s="384">
        <f t="shared" si="2"/>
        <v>0</v>
      </c>
      <c r="I639" s="385">
        <f t="shared" si="3"/>
        <v>0</v>
      </c>
    </row>
    <row r="640" ht="22.5" customHeight="1">
      <c r="A640" s="391"/>
      <c r="B640" s="379"/>
      <c r="C640" s="393"/>
      <c r="D640" s="392"/>
      <c r="E640" s="392"/>
      <c r="F640" s="383" t="str">
        <f t="shared" si="1"/>
        <v/>
      </c>
      <c r="G640" s="384" t="str">
        <f>IFERROR(__xludf.DUMMYFUNCTION("IFERROR(AVERAGE(FILTER('حضور '!I:I,'حضور '!A:A=A640,MONTH('حضور '!B:B)=J640)),"""")"),"")</f>
        <v/>
      </c>
      <c r="H640" s="384">
        <f t="shared" si="2"/>
        <v>0</v>
      </c>
      <c r="I640" s="385">
        <f t="shared" si="3"/>
        <v>0</v>
      </c>
    </row>
    <row r="641" ht="22.5" customHeight="1">
      <c r="A641" s="391"/>
      <c r="B641" s="379"/>
      <c r="C641" s="393"/>
      <c r="D641" s="392"/>
      <c r="E641" s="392"/>
      <c r="F641" s="383" t="str">
        <f t="shared" si="1"/>
        <v/>
      </c>
      <c r="G641" s="384" t="str">
        <f>IFERROR(__xludf.DUMMYFUNCTION("IFERROR(AVERAGE(FILTER('حضور '!I:I,'حضور '!A:A=A641,MONTH('حضور '!B:B)=J641)),"""")"),"")</f>
        <v/>
      </c>
      <c r="H641" s="384">
        <f t="shared" si="2"/>
        <v>0</v>
      </c>
      <c r="I641" s="385">
        <f t="shared" si="3"/>
        <v>0</v>
      </c>
    </row>
    <row r="642" ht="22.5" customHeight="1">
      <c r="A642" s="391"/>
      <c r="B642" s="379"/>
      <c r="C642" s="393"/>
      <c r="D642" s="392"/>
      <c r="E642" s="392"/>
      <c r="F642" s="383" t="str">
        <f t="shared" si="1"/>
        <v/>
      </c>
      <c r="G642" s="384" t="str">
        <f>IFERROR(__xludf.DUMMYFUNCTION("IFERROR(AVERAGE(FILTER('حضور '!I:I,'حضور '!A:A=A642,MONTH('حضور '!B:B)=J642)),"""")"),"")</f>
        <v/>
      </c>
      <c r="H642" s="384">
        <f t="shared" si="2"/>
        <v>0</v>
      </c>
      <c r="I642" s="385">
        <f t="shared" si="3"/>
        <v>0</v>
      </c>
    </row>
    <row r="643" ht="22.5" customHeight="1">
      <c r="A643" s="391"/>
      <c r="B643" s="379"/>
      <c r="C643" s="393"/>
      <c r="D643" s="392"/>
      <c r="E643" s="392"/>
      <c r="F643" s="383" t="str">
        <f t="shared" si="1"/>
        <v/>
      </c>
      <c r="G643" s="384" t="str">
        <f>IFERROR(__xludf.DUMMYFUNCTION("IFERROR(AVERAGE(FILTER('حضور '!I:I,'حضور '!A:A=A643,MONTH('حضور '!B:B)=J643)),"""")"),"")</f>
        <v/>
      </c>
      <c r="H643" s="384">
        <f t="shared" si="2"/>
        <v>0</v>
      </c>
      <c r="I643" s="385">
        <f t="shared" si="3"/>
        <v>0</v>
      </c>
    </row>
    <row r="644" ht="22.5" customHeight="1">
      <c r="A644" s="391"/>
      <c r="B644" s="379"/>
      <c r="C644" s="393"/>
      <c r="D644" s="392"/>
      <c r="E644" s="392"/>
      <c r="F644" s="383" t="str">
        <f t="shared" si="1"/>
        <v/>
      </c>
      <c r="G644" s="384" t="str">
        <f>IFERROR(__xludf.DUMMYFUNCTION("IFERROR(AVERAGE(FILTER('حضور '!I:I,'حضور '!A:A=A644,MONTH('حضور '!B:B)=J644)),"""")"),"")</f>
        <v/>
      </c>
      <c r="H644" s="384">
        <f t="shared" si="2"/>
        <v>0</v>
      </c>
      <c r="I644" s="385">
        <f t="shared" si="3"/>
        <v>0</v>
      </c>
    </row>
    <row r="645" ht="22.5" customHeight="1">
      <c r="A645" s="391"/>
      <c r="B645" s="379"/>
      <c r="C645" s="393"/>
      <c r="D645" s="392"/>
      <c r="E645" s="392"/>
      <c r="F645" s="383" t="str">
        <f t="shared" si="1"/>
        <v/>
      </c>
      <c r="G645" s="384" t="str">
        <f>IFERROR(__xludf.DUMMYFUNCTION("IFERROR(AVERAGE(FILTER('حضور '!I:I,'حضور '!A:A=A645,MONTH('حضور '!B:B)=J645)),"""")"),"")</f>
        <v/>
      </c>
      <c r="H645" s="384">
        <f t="shared" si="2"/>
        <v>0</v>
      </c>
      <c r="I645" s="385">
        <f t="shared" si="3"/>
        <v>0</v>
      </c>
    </row>
    <row r="646" ht="22.5" customHeight="1">
      <c r="A646" s="391"/>
      <c r="B646" s="379"/>
      <c r="C646" s="393"/>
      <c r="D646" s="392"/>
      <c r="E646" s="392"/>
      <c r="F646" s="383" t="str">
        <f t="shared" si="1"/>
        <v/>
      </c>
      <c r="G646" s="384" t="str">
        <f>IFERROR(__xludf.DUMMYFUNCTION("IFERROR(AVERAGE(FILTER('حضور '!I:I,'حضور '!A:A=A646,MONTH('حضور '!B:B)=J646)),"""")"),"")</f>
        <v/>
      </c>
      <c r="H646" s="384">
        <f t="shared" si="2"/>
        <v>0</v>
      </c>
      <c r="I646" s="385">
        <f t="shared" si="3"/>
        <v>0</v>
      </c>
    </row>
    <row r="647" ht="22.5" customHeight="1">
      <c r="A647" s="391"/>
      <c r="B647" s="379"/>
      <c r="C647" s="393"/>
      <c r="D647" s="392"/>
      <c r="E647" s="392"/>
      <c r="F647" s="383" t="str">
        <f t="shared" si="1"/>
        <v/>
      </c>
      <c r="G647" s="384" t="str">
        <f>IFERROR(__xludf.DUMMYFUNCTION("IFERROR(AVERAGE(FILTER('حضور '!I:I,'حضور '!A:A=A647,MONTH('حضور '!B:B)=J647)),"""")"),"")</f>
        <v/>
      </c>
      <c r="H647" s="384">
        <f t="shared" si="2"/>
        <v>0</v>
      </c>
      <c r="I647" s="385">
        <f t="shared" si="3"/>
        <v>0</v>
      </c>
    </row>
    <row r="648" ht="22.5" customHeight="1">
      <c r="A648" s="391"/>
      <c r="B648" s="379"/>
      <c r="C648" s="393"/>
      <c r="D648" s="392"/>
      <c r="E648" s="392"/>
      <c r="F648" s="383" t="str">
        <f t="shared" si="1"/>
        <v/>
      </c>
      <c r="G648" s="384" t="str">
        <f>IFERROR(__xludf.DUMMYFUNCTION("IFERROR(AVERAGE(FILTER('حضور '!I:I,'حضور '!A:A=A648,MONTH('حضور '!B:B)=J648)),"""")"),"")</f>
        <v/>
      </c>
      <c r="H648" s="384">
        <f t="shared" si="2"/>
        <v>0</v>
      </c>
      <c r="I648" s="385">
        <f t="shared" si="3"/>
        <v>0</v>
      </c>
    </row>
    <row r="649" ht="22.5" customHeight="1">
      <c r="A649" s="391"/>
      <c r="B649" s="379"/>
      <c r="C649" s="393"/>
      <c r="D649" s="392"/>
      <c r="E649" s="392"/>
      <c r="F649" s="383" t="str">
        <f t="shared" si="1"/>
        <v/>
      </c>
      <c r="G649" s="384" t="str">
        <f>IFERROR(__xludf.DUMMYFUNCTION("IFERROR(AVERAGE(FILTER('حضور '!I:I,'حضور '!A:A=A649,MONTH('حضور '!B:B)=J649)),"""")"),"")</f>
        <v/>
      </c>
      <c r="H649" s="384">
        <f t="shared" si="2"/>
        <v>0</v>
      </c>
      <c r="I649" s="385">
        <f t="shared" si="3"/>
        <v>0</v>
      </c>
    </row>
    <row r="650" ht="22.5" customHeight="1">
      <c r="A650" s="391"/>
      <c r="B650" s="379"/>
      <c r="C650" s="393"/>
      <c r="D650" s="392"/>
      <c r="E650" s="392"/>
      <c r="F650" s="383" t="str">
        <f t="shared" si="1"/>
        <v/>
      </c>
      <c r="G650" s="384" t="str">
        <f>IFERROR(__xludf.DUMMYFUNCTION("IFERROR(AVERAGE(FILTER('حضور '!I:I,'حضور '!A:A=A650,MONTH('حضور '!B:B)=J650)),"""")"),"")</f>
        <v/>
      </c>
      <c r="H650" s="384">
        <f t="shared" si="2"/>
        <v>0</v>
      </c>
      <c r="I650" s="385">
        <f t="shared" si="3"/>
        <v>0</v>
      </c>
    </row>
    <row r="651" ht="22.5" customHeight="1">
      <c r="A651" s="391"/>
      <c r="B651" s="379"/>
      <c r="C651" s="393"/>
      <c r="D651" s="392"/>
      <c r="E651" s="392"/>
      <c r="F651" s="383" t="str">
        <f t="shared" si="1"/>
        <v/>
      </c>
      <c r="G651" s="384" t="str">
        <f>IFERROR(__xludf.DUMMYFUNCTION("IFERROR(AVERAGE(FILTER('حضور '!I:I,'حضور '!A:A=A651,MONTH('حضور '!B:B)=J651)),"""")"),"")</f>
        <v/>
      </c>
      <c r="H651" s="384">
        <f t="shared" si="2"/>
        <v>0</v>
      </c>
      <c r="I651" s="385">
        <f t="shared" si="3"/>
        <v>0</v>
      </c>
    </row>
    <row r="652" ht="22.5" customHeight="1">
      <c r="A652" s="391"/>
      <c r="B652" s="379"/>
      <c r="C652" s="393"/>
      <c r="D652" s="392"/>
      <c r="E652" s="392"/>
      <c r="F652" s="383" t="str">
        <f t="shared" si="1"/>
        <v/>
      </c>
      <c r="G652" s="384" t="str">
        <f>IFERROR(__xludf.DUMMYFUNCTION("IFERROR(AVERAGE(FILTER('حضور '!I:I,'حضور '!A:A=A652,MONTH('حضور '!B:B)=J652)),"""")"),"")</f>
        <v/>
      </c>
      <c r="H652" s="384">
        <f t="shared" si="2"/>
        <v>0</v>
      </c>
      <c r="I652" s="385">
        <f t="shared" si="3"/>
        <v>0</v>
      </c>
    </row>
    <row r="653" ht="22.5" customHeight="1">
      <c r="A653" s="391"/>
      <c r="B653" s="379"/>
      <c r="C653" s="393"/>
      <c r="D653" s="392"/>
      <c r="E653" s="392"/>
      <c r="F653" s="383" t="str">
        <f t="shared" si="1"/>
        <v/>
      </c>
      <c r="G653" s="384" t="str">
        <f>IFERROR(__xludf.DUMMYFUNCTION("IFERROR(AVERAGE(FILTER('حضور '!I:I,'حضور '!A:A=A653,MONTH('حضور '!B:B)=J653)),"""")"),"")</f>
        <v/>
      </c>
      <c r="H653" s="384">
        <f t="shared" si="2"/>
        <v>0</v>
      </c>
      <c r="I653" s="385">
        <f t="shared" si="3"/>
        <v>0</v>
      </c>
    </row>
    <row r="654" ht="22.5" customHeight="1">
      <c r="A654" s="391"/>
      <c r="B654" s="379"/>
      <c r="C654" s="393"/>
      <c r="D654" s="392"/>
      <c r="E654" s="392"/>
      <c r="F654" s="383" t="str">
        <f t="shared" si="1"/>
        <v/>
      </c>
      <c r="G654" s="384" t="str">
        <f>IFERROR(__xludf.DUMMYFUNCTION("IFERROR(AVERAGE(FILTER('حضور '!I:I,'حضور '!A:A=A654,MONTH('حضور '!B:B)=J654)),"""")"),"")</f>
        <v/>
      </c>
      <c r="H654" s="384">
        <f t="shared" si="2"/>
        <v>0</v>
      </c>
      <c r="I654" s="385">
        <f t="shared" si="3"/>
        <v>0</v>
      </c>
    </row>
    <row r="655" ht="22.5" customHeight="1">
      <c r="A655" s="391"/>
      <c r="B655" s="379"/>
      <c r="C655" s="393"/>
      <c r="D655" s="392"/>
      <c r="E655" s="392"/>
      <c r="F655" s="383" t="str">
        <f t="shared" si="1"/>
        <v/>
      </c>
      <c r="G655" s="384" t="str">
        <f>IFERROR(__xludf.DUMMYFUNCTION("IFERROR(AVERAGE(FILTER('حضور '!I:I,'حضور '!A:A=A655,MONTH('حضور '!B:B)=J655)),"""")"),"")</f>
        <v/>
      </c>
      <c r="H655" s="384">
        <f t="shared" si="2"/>
        <v>0</v>
      </c>
      <c r="I655" s="385">
        <f t="shared" si="3"/>
        <v>0</v>
      </c>
    </row>
    <row r="656" ht="22.5" customHeight="1">
      <c r="A656" s="391"/>
      <c r="B656" s="379"/>
      <c r="C656" s="393"/>
      <c r="D656" s="392"/>
      <c r="E656" s="392"/>
      <c r="F656" s="383" t="str">
        <f t="shared" si="1"/>
        <v/>
      </c>
      <c r="G656" s="384" t="str">
        <f>IFERROR(__xludf.DUMMYFUNCTION("IFERROR(AVERAGE(FILTER('حضور '!I:I,'حضور '!A:A=A656,MONTH('حضور '!B:B)=J656)),"""")"),"")</f>
        <v/>
      </c>
      <c r="H656" s="384">
        <f t="shared" si="2"/>
        <v>0</v>
      </c>
      <c r="I656" s="385">
        <f t="shared" si="3"/>
        <v>0</v>
      </c>
    </row>
    <row r="657" ht="22.5" customHeight="1">
      <c r="A657" s="391"/>
      <c r="B657" s="379"/>
      <c r="C657" s="393"/>
      <c r="D657" s="392"/>
      <c r="E657" s="392"/>
      <c r="F657" s="383" t="str">
        <f t="shared" si="1"/>
        <v/>
      </c>
      <c r="G657" s="384" t="str">
        <f>IFERROR(__xludf.DUMMYFUNCTION("IFERROR(AVERAGE(FILTER('حضور '!I:I,'حضور '!A:A=A657,MONTH('حضور '!B:B)=J657)),"""")"),"")</f>
        <v/>
      </c>
      <c r="H657" s="384">
        <f t="shared" si="2"/>
        <v>0</v>
      </c>
      <c r="I657" s="385">
        <f t="shared" si="3"/>
        <v>0</v>
      </c>
    </row>
    <row r="658" ht="22.5" customHeight="1">
      <c r="A658" s="391"/>
      <c r="B658" s="379"/>
      <c r="C658" s="393"/>
      <c r="D658" s="392"/>
      <c r="E658" s="392"/>
      <c r="F658" s="383" t="str">
        <f t="shared" si="1"/>
        <v/>
      </c>
      <c r="G658" s="384" t="str">
        <f>IFERROR(__xludf.DUMMYFUNCTION("IFERROR(AVERAGE(FILTER('حضور '!I:I,'حضور '!A:A=A658,MONTH('حضور '!B:B)=J658)),"""")"),"")</f>
        <v/>
      </c>
      <c r="H658" s="384">
        <f t="shared" si="2"/>
        <v>0</v>
      </c>
      <c r="I658" s="385">
        <f t="shared" si="3"/>
        <v>0</v>
      </c>
    </row>
    <row r="659" ht="22.5" customHeight="1">
      <c r="A659" s="391"/>
      <c r="B659" s="379"/>
      <c r="C659" s="393"/>
      <c r="D659" s="392"/>
      <c r="E659" s="392"/>
      <c r="F659" s="383" t="str">
        <f t="shared" si="1"/>
        <v/>
      </c>
      <c r="G659" s="384" t="str">
        <f>IFERROR(__xludf.DUMMYFUNCTION("IFERROR(AVERAGE(FILTER('حضور '!I:I,'حضور '!A:A=A659,MONTH('حضور '!B:B)=J659)),"""")"),"")</f>
        <v/>
      </c>
      <c r="H659" s="384">
        <f t="shared" si="2"/>
        <v>0</v>
      </c>
      <c r="I659" s="385">
        <f t="shared" si="3"/>
        <v>0</v>
      </c>
    </row>
    <row r="660" ht="22.5" customHeight="1">
      <c r="A660" s="391"/>
      <c r="B660" s="379"/>
      <c r="C660" s="393"/>
      <c r="D660" s="392"/>
      <c r="E660" s="392"/>
      <c r="F660" s="383" t="str">
        <f t="shared" si="1"/>
        <v/>
      </c>
      <c r="G660" s="384" t="str">
        <f>IFERROR(__xludf.DUMMYFUNCTION("IFERROR(AVERAGE(FILTER('حضور '!I:I,'حضور '!A:A=A660,MONTH('حضور '!B:B)=J660)),"""")"),"")</f>
        <v/>
      </c>
      <c r="H660" s="384">
        <f t="shared" si="2"/>
        <v>0</v>
      </c>
      <c r="I660" s="385">
        <f t="shared" si="3"/>
        <v>0</v>
      </c>
    </row>
    <row r="661" ht="22.5" customHeight="1">
      <c r="A661" s="391"/>
      <c r="B661" s="379"/>
      <c r="C661" s="393"/>
      <c r="D661" s="392"/>
      <c r="E661" s="392"/>
      <c r="F661" s="383" t="str">
        <f t="shared" si="1"/>
        <v/>
      </c>
      <c r="G661" s="384" t="str">
        <f>IFERROR(__xludf.DUMMYFUNCTION("IFERROR(AVERAGE(FILTER('حضور '!I:I,'حضور '!A:A=A661,MONTH('حضور '!B:B)=J661)),"""")"),"")</f>
        <v/>
      </c>
      <c r="H661" s="384">
        <f t="shared" si="2"/>
        <v>0</v>
      </c>
      <c r="I661" s="385">
        <f t="shared" si="3"/>
        <v>0</v>
      </c>
    </row>
    <row r="662" ht="22.5" customHeight="1">
      <c r="A662" s="391"/>
      <c r="B662" s="379"/>
      <c r="C662" s="393"/>
      <c r="D662" s="392"/>
      <c r="E662" s="392"/>
      <c r="F662" s="383" t="str">
        <f t="shared" si="1"/>
        <v/>
      </c>
      <c r="G662" s="384" t="str">
        <f>IFERROR(__xludf.DUMMYFUNCTION("IFERROR(AVERAGE(FILTER('حضور '!I:I,'حضور '!A:A=A662,MONTH('حضور '!B:B)=J662)),"""")"),"")</f>
        <v/>
      </c>
      <c r="H662" s="384">
        <f t="shared" si="2"/>
        <v>0</v>
      </c>
      <c r="I662" s="385">
        <f t="shared" si="3"/>
        <v>0</v>
      </c>
    </row>
    <row r="663" ht="22.5" customHeight="1">
      <c r="A663" s="391"/>
      <c r="B663" s="379"/>
      <c r="C663" s="393"/>
      <c r="D663" s="392"/>
      <c r="E663" s="392"/>
      <c r="F663" s="383" t="str">
        <f t="shared" si="1"/>
        <v/>
      </c>
      <c r="G663" s="384" t="str">
        <f>IFERROR(__xludf.DUMMYFUNCTION("IFERROR(AVERAGE(FILTER('حضور '!I:I,'حضور '!A:A=A663,MONTH('حضور '!B:B)=J663)),"""")"),"")</f>
        <v/>
      </c>
      <c r="H663" s="384">
        <f t="shared" si="2"/>
        <v>0</v>
      </c>
      <c r="I663" s="385">
        <f t="shared" si="3"/>
        <v>0</v>
      </c>
    </row>
    <row r="664" ht="22.5" customHeight="1">
      <c r="A664" s="391"/>
      <c r="B664" s="379"/>
      <c r="C664" s="393"/>
      <c r="D664" s="392"/>
      <c r="E664" s="392"/>
      <c r="F664" s="383" t="str">
        <f t="shared" si="1"/>
        <v/>
      </c>
      <c r="G664" s="384" t="str">
        <f>IFERROR(__xludf.DUMMYFUNCTION("IFERROR(AVERAGE(FILTER('حضور '!I:I,'حضور '!A:A=A664,MONTH('حضور '!B:B)=J664)),"""")"),"")</f>
        <v/>
      </c>
      <c r="H664" s="384">
        <f t="shared" si="2"/>
        <v>0</v>
      </c>
      <c r="I664" s="385">
        <f t="shared" si="3"/>
        <v>0</v>
      </c>
    </row>
    <row r="665" ht="22.5" customHeight="1">
      <c r="A665" s="391"/>
      <c r="B665" s="379"/>
      <c r="C665" s="393"/>
      <c r="D665" s="392"/>
      <c r="E665" s="392"/>
      <c r="F665" s="383" t="str">
        <f t="shared" si="1"/>
        <v/>
      </c>
      <c r="G665" s="384" t="str">
        <f>IFERROR(__xludf.DUMMYFUNCTION("IFERROR(AVERAGE(FILTER('حضور '!I:I,'حضور '!A:A=A665,MONTH('حضور '!B:B)=J665)),"""")"),"")</f>
        <v/>
      </c>
      <c r="H665" s="384">
        <f t="shared" si="2"/>
        <v>0</v>
      </c>
      <c r="I665" s="385">
        <f t="shared" si="3"/>
        <v>0</v>
      </c>
    </row>
    <row r="666" ht="22.5" customHeight="1">
      <c r="A666" s="391"/>
      <c r="B666" s="379"/>
      <c r="C666" s="393"/>
      <c r="D666" s="392"/>
      <c r="E666" s="392"/>
      <c r="F666" s="383" t="str">
        <f t="shared" si="1"/>
        <v/>
      </c>
      <c r="G666" s="384" t="str">
        <f>IFERROR(__xludf.DUMMYFUNCTION("IFERROR(AVERAGE(FILTER('حضور '!I:I,'حضور '!A:A=A666,MONTH('حضور '!B:B)=J666)),"""")"),"")</f>
        <v/>
      </c>
      <c r="H666" s="384">
        <f t="shared" si="2"/>
        <v>0</v>
      </c>
      <c r="I666" s="385">
        <f t="shared" si="3"/>
        <v>0</v>
      </c>
    </row>
    <row r="667" ht="22.5" customHeight="1">
      <c r="A667" s="391"/>
      <c r="B667" s="379"/>
      <c r="C667" s="393"/>
      <c r="D667" s="392"/>
      <c r="E667" s="392"/>
      <c r="F667" s="383" t="str">
        <f t="shared" si="1"/>
        <v/>
      </c>
      <c r="G667" s="384" t="str">
        <f>IFERROR(__xludf.DUMMYFUNCTION("IFERROR(AVERAGE(FILTER('حضور '!I:I,'حضور '!A:A=A667,MONTH('حضور '!B:B)=J667)),"""")"),"")</f>
        <v/>
      </c>
      <c r="H667" s="384">
        <f t="shared" si="2"/>
        <v>0</v>
      </c>
      <c r="I667" s="385">
        <f t="shared" si="3"/>
        <v>0</v>
      </c>
    </row>
    <row r="668" ht="22.5" customHeight="1">
      <c r="A668" s="391"/>
      <c r="B668" s="379"/>
      <c r="C668" s="393"/>
      <c r="D668" s="392"/>
      <c r="E668" s="392"/>
      <c r="F668" s="383" t="str">
        <f t="shared" si="1"/>
        <v/>
      </c>
      <c r="G668" s="384" t="str">
        <f>IFERROR(__xludf.DUMMYFUNCTION("IFERROR(AVERAGE(FILTER('حضور '!I:I,'حضور '!A:A=A668,MONTH('حضور '!B:B)=J668)),"""")"),"")</f>
        <v/>
      </c>
      <c r="H668" s="384">
        <f t="shared" si="2"/>
        <v>0</v>
      </c>
      <c r="I668" s="385">
        <f t="shared" si="3"/>
        <v>0</v>
      </c>
    </row>
    <row r="669" ht="22.5" customHeight="1">
      <c r="A669" s="391"/>
      <c r="B669" s="379"/>
      <c r="C669" s="393"/>
      <c r="D669" s="392"/>
      <c r="E669" s="392"/>
      <c r="F669" s="383" t="str">
        <f t="shared" si="1"/>
        <v/>
      </c>
      <c r="G669" s="384" t="str">
        <f>IFERROR(__xludf.DUMMYFUNCTION("IFERROR(AVERAGE(FILTER('حضور '!I:I,'حضور '!A:A=A669,MONTH('حضور '!B:B)=J669)),"""")"),"")</f>
        <v/>
      </c>
      <c r="H669" s="384">
        <f t="shared" si="2"/>
        <v>0</v>
      </c>
      <c r="I669" s="385">
        <f t="shared" si="3"/>
        <v>0</v>
      </c>
    </row>
    <row r="670" ht="22.5" customHeight="1">
      <c r="A670" s="391"/>
      <c r="B670" s="379"/>
      <c r="C670" s="393"/>
      <c r="D670" s="392"/>
      <c r="E670" s="392"/>
      <c r="F670" s="383" t="str">
        <f t="shared" si="1"/>
        <v/>
      </c>
      <c r="G670" s="384" t="str">
        <f>IFERROR(__xludf.DUMMYFUNCTION("IFERROR(AVERAGE(FILTER('حضور '!I:I,'حضور '!A:A=A670,MONTH('حضور '!B:B)=J670)),"""")"),"")</f>
        <v/>
      </c>
      <c r="H670" s="384">
        <f t="shared" si="2"/>
        <v>0</v>
      </c>
      <c r="I670" s="385">
        <f t="shared" si="3"/>
        <v>0</v>
      </c>
    </row>
    <row r="671" ht="22.5" customHeight="1">
      <c r="A671" s="391"/>
      <c r="B671" s="379"/>
      <c r="C671" s="393"/>
      <c r="D671" s="392"/>
      <c r="E671" s="392"/>
      <c r="F671" s="383" t="str">
        <f t="shared" si="1"/>
        <v/>
      </c>
      <c r="G671" s="384" t="str">
        <f>IFERROR(__xludf.DUMMYFUNCTION("IFERROR(AVERAGE(FILTER('حضور '!I:I,'حضور '!A:A=A671,MONTH('حضور '!B:B)=J671)),"""")"),"")</f>
        <v/>
      </c>
      <c r="H671" s="384">
        <f t="shared" si="2"/>
        <v>0</v>
      </c>
      <c r="I671" s="385">
        <f t="shared" si="3"/>
        <v>0</v>
      </c>
    </row>
    <row r="672" ht="22.5" customHeight="1">
      <c r="A672" s="391"/>
      <c r="B672" s="379"/>
      <c r="C672" s="393"/>
      <c r="D672" s="392"/>
      <c r="E672" s="392"/>
      <c r="F672" s="383" t="str">
        <f t="shared" si="1"/>
        <v/>
      </c>
      <c r="G672" s="384" t="str">
        <f>IFERROR(__xludf.DUMMYFUNCTION("IFERROR(AVERAGE(FILTER('حضور '!I:I,'حضور '!A:A=A672,MONTH('حضور '!B:B)=J672)),"""")"),"")</f>
        <v/>
      </c>
      <c r="H672" s="384">
        <f t="shared" si="2"/>
        <v>0</v>
      </c>
      <c r="I672" s="385">
        <f t="shared" si="3"/>
        <v>0</v>
      </c>
    </row>
    <row r="673" ht="22.5" customHeight="1">
      <c r="A673" s="391"/>
      <c r="B673" s="379"/>
      <c r="C673" s="393"/>
      <c r="D673" s="392"/>
      <c r="E673" s="392"/>
      <c r="F673" s="383" t="str">
        <f t="shared" si="1"/>
        <v/>
      </c>
      <c r="G673" s="384" t="str">
        <f>IFERROR(__xludf.DUMMYFUNCTION("IFERROR(AVERAGE(FILTER('حضور '!I:I,'حضور '!A:A=A673,MONTH('حضور '!B:B)=J673)),"""")"),"")</f>
        <v/>
      </c>
      <c r="H673" s="384">
        <f t="shared" si="2"/>
        <v>0</v>
      </c>
      <c r="I673" s="385">
        <f t="shared" si="3"/>
        <v>0</v>
      </c>
    </row>
    <row r="674" ht="22.5" customHeight="1">
      <c r="A674" s="391"/>
      <c r="B674" s="379"/>
      <c r="C674" s="393"/>
      <c r="D674" s="392"/>
      <c r="E674" s="392"/>
      <c r="F674" s="383" t="str">
        <f t="shared" si="1"/>
        <v/>
      </c>
      <c r="G674" s="384" t="str">
        <f>IFERROR(__xludf.DUMMYFUNCTION("IFERROR(AVERAGE(FILTER('حضور '!I:I,'حضور '!A:A=A674,MONTH('حضور '!B:B)=J674)),"""")"),"")</f>
        <v/>
      </c>
      <c r="H674" s="384">
        <f t="shared" si="2"/>
        <v>0</v>
      </c>
      <c r="I674" s="385">
        <f t="shared" si="3"/>
        <v>0</v>
      </c>
    </row>
    <row r="675" ht="22.5" customHeight="1">
      <c r="A675" s="391"/>
      <c r="B675" s="379"/>
      <c r="C675" s="393"/>
      <c r="D675" s="392"/>
      <c r="E675" s="392"/>
      <c r="F675" s="383" t="str">
        <f t="shared" si="1"/>
        <v/>
      </c>
      <c r="G675" s="384" t="str">
        <f>IFERROR(__xludf.DUMMYFUNCTION("IFERROR(AVERAGE(FILTER('حضور '!I:I,'حضور '!A:A=A675,MONTH('حضور '!B:B)=J675)),"""")"),"")</f>
        <v/>
      </c>
      <c r="H675" s="384">
        <f t="shared" si="2"/>
        <v>0</v>
      </c>
      <c r="I675" s="385">
        <f t="shared" si="3"/>
        <v>0</v>
      </c>
    </row>
    <row r="676" ht="22.5" customHeight="1">
      <c r="A676" s="391"/>
      <c r="B676" s="379"/>
      <c r="C676" s="393"/>
      <c r="D676" s="392"/>
      <c r="E676" s="392"/>
      <c r="F676" s="383" t="str">
        <f t="shared" si="1"/>
        <v/>
      </c>
      <c r="G676" s="384" t="str">
        <f>IFERROR(__xludf.DUMMYFUNCTION("IFERROR(AVERAGE(FILTER('حضور '!I:I,'حضور '!A:A=A676,MONTH('حضور '!B:B)=J676)),"""")"),"")</f>
        <v/>
      </c>
      <c r="H676" s="384">
        <f t="shared" si="2"/>
        <v>0</v>
      </c>
      <c r="I676" s="385">
        <f t="shared" si="3"/>
        <v>0</v>
      </c>
    </row>
    <row r="677" ht="22.5" customHeight="1">
      <c r="A677" s="391"/>
      <c r="B677" s="379"/>
      <c r="C677" s="393"/>
      <c r="D677" s="392"/>
      <c r="E677" s="392"/>
      <c r="F677" s="383" t="str">
        <f t="shared" si="1"/>
        <v/>
      </c>
      <c r="G677" s="384" t="str">
        <f>IFERROR(__xludf.DUMMYFUNCTION("IFERROR(AVERAGE(FILTER('حضور '!I:I,'حضور '!A:A=A677,MONTH('حضور '!B:B)=J677)),"""")"),"")</f>
        <v/>
      </c>
      <c r="H677" s="384">
        <f t="shared" si="2"/>
        <v>0</v>
      </c>
      <c r="I677" s="385">
        <f t="shared" si="3"/>
        <v>0</v>
      </c>
    </row>
    <row r="678" ht="22.5" customHeight="1">
      <c r="A678" s="391"/>
      <c r="B678" s="379"/>
      <c r="C678" s="393"/>
      <c r="D678" s="392"/>
      <c r="E678" s="392"/>
      <c r="F678" s="383" t="str">
        <f t="shared" si="1"/>
        <v/>
      </c>
      <c r="G678" s="384" t="str">
        <f>IFERROR(__xludf.DUMMYFUNCTION("IFERROR(AVERAGE(FILTER('حضور '!I:I,'حضور '!A:A=A678,MONTH('حضور '!B:B)=J678)),"""")"),"")</f>
        <v/>
      </c>
      <c r="H678" s="384">
        <f t="shared" si="2"/>
        <v>0</v>
      </c>
      <c r="I678" s="385">
        <f t="shared" si="3"/>
        <v>0</v>
      </c>
    </row>
    <row r="679" ht="22.5" customHeight="1">
      <c r="A679" s="391"/>
      <c r="B679" s="379"/>
      <c r="C679" s="393"/>
      <c r="D679" s="392"/>
      <c r="E679" s="392"/>
      <c r="F679" s="383" t="str">
        <f t="shared" si="1"/>
        <v/>
      </c>
      <c r="G679" s="384" t="str">
        <f>IFERROR(__xludf.DUMMYFUNCTION("IFERROR(AVERAGE(FILTER('حضور '!I:I,'حضور '!A:A=A679,MONTH('حضور '!B:B)=J679)),"""")"),"")</f>
        <v/>
      </c>
      <c r="H679" s="384">
        <f t="shared" si="2"/>
        <v>0</v>
      </c>
      <c r="I679" s="385">
        <f t="shared" si="3"/>
        <v>0</v>
      </c>
    </row>
    <row r="680" ht="22.5" customHeight="1">
      <c r="A680" s="391"/>
      <c r="B680" s="379"/>
      <c r="C680" s="393"/>
      <c r="D680" s="392"/>
      <c r="E680" s="392"/>
      <c r="F680" s="383" t="str">
        <f t="shared" si="1"/>
        <v/>
      </c>
      <c r="G680" s="384" t="str">
        <f>IFERROR(__xludf.DUMMYFUNCTION("IFERROR(AVERAGE(FILTER('حضور '!I:I,'حضور '!A:A=A680,MONTH('حضور '!B:B)=J680)),"""")"),"")</f>
        <v/>
      </c>
      <c r="H680" s="384">
        <f t="shared" si="2"/>
        <v>0</v>
      </c>
      <c r="I680" s="385">
        <f t="shared" si="3"/>
        <v>0</v>
      </c>
    </row>
    <row r="681" ht="22.5" customHeight="1">
      <c r="A681" s="391"/>
      <c r="B681" s="379"/>
      <c r="C681" s="393"/>
      <c r="D681" s="392"/>
      <c r="E681" s="392"/>
      <c r="F681" s="383" t="str">
        <f t="shared" si="1"/>
        <v/>
      </c>
      <c r="G681" s="384" t="str">
        <f>IFERROR(__xludf.DUMMYFUNCTION("IFERROR(AVERAGE(FILTER('حضور '!I:I,'حضور '!A:A=A681,MONTH('حضور '!B:B)=J681)),"""")"),"")</f>
        <v/>
      </c>
      <c r="H681" s="384">
        <f t="shared" si="2"/>
        <v>0</v>
      </c>
      <c r="I681" s="385">
        <f t="shared" si="3"/>
        <v>0</v>
      </c>
    </row>
    <row r="682" ht="22.5" customHeight="1">
      <c r="A682" s="391"/>
      <c r="B682" s="379"/>
      <c r="C682" s="393"/>
      <c r="D682" s="392"/>
      <c r="E682" s="392"/>
      <c r="F682" s="383" t="str">
        <f t="shared" si="1"/>
        <v/>
      </c>
      <c r="G682" s="384" t="str">
        <f>IFERROR(__xludf.DUMMYFUNCTION("IFERROR(AVERAGE(FILTER('حضور '!I:I,'حضور '!A:A=A682,MONTH('حضور '!B:B)=J682)),"""")"),"")</f>
        <v/>
      </c>
      <c r="H682" s="384">
        <f t="shared" si="2"/>
        <v>0</v>
      </c>
      <c r="I682" s="385">
        <f t="shared" si="3"/>
        <v>0</v>
      </c>
    </row>
    <row r="683" ht="22.5" customHeight="1">
      <c r="A683" s="391"/>
      <c r="B683" s="379"/>
      <c r="C683" s="393"/>
      <c r="D683" s="392"/>
      <c r="E683" s="392"/>
      <c r="F683" s="383" t="str">
        <f t="shared" si="1"/>
        <v/>
      </c>
      <c r="G683" s="384" t="str">
        <f>IFERROR(__xludf.DUMMYFUNCTION("IFERROR(AVERAGE(FILTER('حضور '!I:I,'حضور '!A:A=A683,MONTH('حضور '!B:B)=J683)),"""")"),"")</f>
        <v/>
      </c>
      <c r="H683" s="384">
        <f t="shared" si="2"/>
        <v>0</v>
      </c>
      <c r="I683" s="385">
        <f t="shared" si="3"/>
        <v>0</v>
      </c>
    </row>
    <row r="684" ht="22.5" customHeight="1">
      <c r="A684" s="391"/>
      <c r="B684" s="379"/>
      <c r="C684" s="393"/>
      <c r="D684" s="392"/>
      <c r="E684" s="392"/>
      <c r="F684" s="383" t="str">
        <f t="shared" si="1"/>
        <v/>
      </c>
      <c r="G684" s="384" t="str">
        <f>IFERROR(__xludf.DUMMYFUNCTION("IFERROR(AVERAGE(FILTER('حضور '!I:I,'حضور '!A:A=A684,MONTH('حضور '!B:B)=J684)),"""")"),"")</f>
        <v/>
      </c>
      <c r="H684" s="384">
        <f t="shared" si="2"/>
        <v>0</v>
      </c>
      <c r="I684" s="385">
        <f t="shared" si="3"/>
        <v>0</v>
      </c>
    </row>
    <row r="685" ht="22.5" customHeight="1">
      <c r="A685" s="391"/>
      <c r="B685" s="379"/>
      <c r="C685" s="393"/>
      <c r="D685" s="392"/>
      <c r="E685" s="392"/>
      <c r="F685" s="383" t="str">
        <f t="shared" si="1"/>
        <v/>
      </c>
      <c r="G685" s="384" t="str">
        <f>IFERROR(__xludf.DUMMYFUNCTION("IFERROR(AVERAGE(FILTER('حضور '!I:I,'حضور '!A:A=A685,MONTH('حضور '!B:B)=J685)),"""")"),"")</f>
        <v/>
      </c>
      <c r="H685" s="384">
        <f t="shared" si="2"/>
        <v>0</v>
      </c>
      <c r="I685" s="385">
        <f t="shared" si="3"/>
        <v>0</v>
      </c>
    </row>
    <row r="686" ht="22.5" customHeight="1">
      <c r="A686" s="391"/>
      <c r="B686" s="379"/>
      <c r="C686" s="393"/>
      <c r="D686" s="392"/>
      <c r="E686" s="392"/>
      <c r="F686" s="383" t="str">
        <f t="shared" si="1"/>
        <v/>
      </c>
      <c r="G686" s="384" t="str">
        <f>IFERROR(__xludf.DUMMYFUNCTION("IFERROR(AVERAGE(FILTER('حضور '!I:I,'حضور '!A:A=A686,MONTH('حضور '!B:B)=J686)),"""")"),"")</f>
        <v/>
      </c>
      <c r="H686" s="384">
        <f t="shared" si="2"/>
        <v>0</v>
      </c>
      <c r="I686" s="385">
        <f t="shared" si="3"/>
        <v>0</v>
      </c>
    </row>
    <row r="687" ht="22.5" customHeight="1">
      <c r="A687" s="391"/>
      <c r="B687" s="379"/>
      <c r="C687" s="393"/>
      <c r="D687" s="392"/>
      <c r="E687" s="392"/>
      <c r="F687" s="383" t="str">
        <f t="shared" si="1"/>
        <v/>
      </c>
      <c r="G687" s="384" t="str">
        <f>IFERROR(__xludf.DUMMYFUNCTION("IFERROR(AVERAGE(FILTER('حضور '!I:I,'حضور '!A:A=A687,MONTH('حضور '!B:B)=J687)),"""")"),"")</f>
        <v/>
      </c>
      <c r="H687" s="384">
        <f t="shared" si="2"/>
        <v>0</v>
      </c>
      <c r="I687" s="385">
        <f t="shared" si="3"/>
        <v>0</v>
      </c>
    </row>
    <row r="688" ht="22.5" customHeight="1">
      <c r="A688" s="391"/>
      <c r="B688" s="379"/>
      <c r="C688" s="393"/>
      <c r="D688" s="392"/>
      <c r="E688" s="392"/>
      <c r="F688" s="383" t="str">
        <f t="shared" si="1"/>
        <v/>
      </c>
      <c r="G688" s="384" t="str">
        <f>IFERROR(__xludf.DUMMYFUNCTION("IFERROR(AVERAGE(FILTER('حضور '!I:I,'حضور '!A:A=A688,MONTH('حضور '!B:B)=J688)),"""")"),"")</f>
        <v/>
      </c>
      <c r="H688" s="384">
        <f t="shared" si="2"/>
        <v>0</v>
      </c>
      <c r="I688" s="385">
        <f t="shared" si="3"/>
        <v>0</v>
      </c>
    </row>
    <row r="689" ht="22.5" customHeight="1">
      <c r="A689" s="391"/>
      <c r="B689" s="379"/>
      <c r="C689" s="393"/>
      <c r="D689" s="392"/>
      <c r="E689" s="392"/>
      <c r="F689" s="383" t="str">
        <f t="shared" si="1"/>
        <v/>
      </c>
      <c r="G689" s="384" t="str">
        <f>IFERROR(__xludf.DUMMYFUNCTION("IFERROR(AVERAGE(FILTER('حضور '!I:I,'حضور '!A:A=A689,MONTH('حضور '!B:B)=J689)),"""")"),"")</f>
        <v/>
      </c>
      <c r="H689" s="384">
        <f t="shared" si="2"/>
        <v>0</v>
      </c>
      <c r="I689" s="385">
        <f t="shared" si="3"/>
        <v>0</v>
      </c>
    </row>
    <row r="690" ht="22.5" customHeight="1">
      <c r="A690" s="391"/>
      <c r="B690" s="379"/>
      <c r="C690" s="393"/>
      <c r="D690" s="392"/>
      <c r="E690" s="392"/>
      <c r="F690" s="383" t="str">
        <f t="shared" si="1"/>
        <v/>
      </c>
      <c r="G690" s="384" t="str">
        <f>IFERROR(__xludf.DUMMYFUNCTION("IFERROR(AVERAGE(FILTER('حضور '!I:I,'حضور '!A:A=A690,MONTH('حضور '!B:B)=J690)),"""")"),"")</f>
        <v/>
      </c>
      <c r="H690" s="384">
        <f t="shared" si="2"/>
        <v>0</v>
      </c>
      <c r="I690" s="385">
        <f t="shared" si="3"/>
        <v>0</v>
      </c>
    </row>
    <row r="691" ht="22.5" customHeight="1">
      <c r="A691" s="391"/>
      <c r="B691" s="379"/>
      <c r="C691" s="393"/>
      <c r="D691" s="392"/>
      <c r="E691" s="392"/>
      <c r="F691" s="383" t="str">
        <f t="shared" si="1"/>
        <v/>
      </c>
      <c r="G691" s="384" t="str">
        <f>IFERROR(__xludf.DUMMYFUNCTION("IFERROR(AVERAGE(FILTER('حضور '!I:I,'حضور '!A:A=A691,MONTH('حضور '!B:B)=J691)),"""")"),"")</f>
        <v/>
      </c>
      <c r="H691" s="384">
        <f t="shared" si="2"/>
        <v>0</v>
      </c>
      <c r="I691" s="385">
        <f t="shared" si="3"/>
        <v>0</v>
      </c>
    </row>
    <row r="692" ht="22.5" customHeight="1">
      <c r="A692" s="391"/>
      <c r="B692" s="379"/>
      <c r="C692" s="393"/>
      <c r="D692" s="392"/>
      <c r="E692" s="392"/>
      <c r="F692" s="383" t="str">
        <f t="shared" si="1"/>
        <v/>
      </c>
      <c r="G692" s="384" t="str">
        <f>IFERROR(__xludf.DUMMYFUNCTION("IFERROR(AVERAGE(FILTER('حضور '!I:I,'حضور '!A:A=A692,MONTH('حضور '!B:B)=J692)),"""")"),"")</f>
        <v/>
      </c>
      <c r="H692" s="384">
        <f t="shared" si="2"/>
        <v>0</v>
      </c>
      <c r="I692" s="385">
        <f t="shared" si="3"/>
        <v>0</v>
      </c>
    </row>
    <row r="693" ht="22.5" customHeight="1">
      <c r="A693" s="391"/>
      <c r="B693" s="379"/>
      <c r="C693" s="393"/>
      <c r="D693" s="392"/>
      <c r="E693" s="392"/>
      <c r="F693" s="383" t="str">
        <f t="shared" si="1"/>
        <v/>
      </c>
      <c r="G693" s="384" t="str">
        <f>IFERROR(__xludf.DUMMYFUNCTION("IFERROR(AVERAGE(FILTER('حضور '!I:I,'حضور '!A:A=A693,MONTH('حضور '!B:B)=J693)),"""")"),"")</f>
        <v/>
      </c>
      <c r="H693" s="384">
        <f t="shared" si="2"/>
        <v>0</v>
      </c>
      <c r="I693" s="385">
        <f t="shared" si="3"/>
        <v>0</v>
      </c>
    </row>
    <row r="694" ht="22.5" customHeight="1">
      <c r="A694" s="391"/>
      <c r="B694" s="379"/>
      <c r="C694" s="393"/>
      <c r="D694" s="392"/>
      <c r="E694" s="392"/>
      <c r="F694" s="383" t="str">
        <f t="shared" si="1"/>
        <v/>
      </c>
      <c r="G694" s="384" t="str">
        <f>IFERROR(__xludf.DUMMYFUNCTION("IFERROR(AVERAGE(FILTER('حضور '!I:I,'حضور '!A:A=A694,MONTH('حضور '!B:B)=J694)),"""")"),"")</f>
        <v/>
      </c>
      <c r="H694" s="384">
        <f t="shared" si="2"/>
        <v>0</v>
      </c>
      <c r="I694" s="385">
        <f t="shared" si="3"/>
        <v>0</v>
      </c>
    </row>
    <row r="695" ht="22.5" customHeight="1">
      <c r="A695" s="391"/>
      <c r="B695" s="379"/>
      <c r="C695" s="393"/>
      <c r="D695" s="392"/>
      <c r="E695" s="392"/>
      <c r="F695" s="383" t="str">
        <f t="shared" si="1"/>
        <v/>
      </c>
      <c r="G695" s="384" t="str">
        <f>IFERROR(__xludf.DUMMYFUNCTION("IFERROR(AVERAGE(FILTER('حضور '!I:I,'حضور '!A:A=A695,MONTH('حضور '!B:B)=J695)),"""")"),"")</f>
        <v/>
      </c>
      <c r="H695" s="384">
        <f t="shared" si="2"/>
        <v>0</v>
      </c>
      <c r="I695" s="385">
        <f t="shared" si="3"/>
        <v>0</v>
      </c>
    </row>
    <row r="696" ht="22.5" customHeight="1">
      <c r="A696" s="391"/>
      <c r="B696" s="379"/>
      <c r="C696" s="393"/>
      <c r="D696" s="392"/>
      <c r="E696" s="392"/>
      <c r="F696" s="383" t="str">
        <f t="shared" si="1"/>
        <v/>
      </c>
      <c r="G696" s="384" t="str">
        <f>IFERROR(__xludf.DUMMYFUNCTION("IFERROR(AVERAGE(FILTER('حضور '!I:I,'حضور '!A:A=A696,MONTH('حضور '!B:B)=J696)),"""")"),"")</f>
        <v/>
      </c>
      <c r="H696" s="384">
        <f t="shared" si="2"/>
        <v>0</v>
      </c>
      <c r="I696" s="385">
        <f t="shared" si="3"/>
        <v>0</v>
      </c>
    </row>
    <row r="697" ht="22.5" customHeight="1">
      <c r="A697" s="391"/>
      <c r="B697" s="379"/>
      <c r="C697" s="393"/>
      <c r="D697" s="392"/>
      <c r="E697" s="392"/>
      <c r="F697" s="383" t="str">
        <f t="shared" si="1"/>
        <v/>
      </c>
      <c r="G697" s="384" t="str">
        <f>IFERROR(__xludf.DUMMYFUNCTION("IFERROR(AVERAGE(FILTER('حضور '!I:I,'حضور '!A:A=A697,MONTH('حضور '!B:B)=J697)),"""")"),"")</f>
        <v/>
      </c>
      <c r="H697" s="384">
        <f t="shared" si="2"/>
        <v>0</v>
      </c>
      <c r="I697" s="385">
        <f t="shared" si="3"/>
        <v>0</v>
      </c>
    </row>
    <row r="698" ht="22.5" customHeight="1">
      <c r="A698" s="391"/>
      <c r="B698" s="379"/>
      <c r="C698" s="393"/>
      <c r="D698" s="392"/>
      <c r="E698" s="392"/>
      <c r="F698" s="383" t="str">
        <f t="shared" si="1"/>
        <v/>
      </c>
      <c r="G698" s="384" t="str">
        <f>IFERROR(__xludf.DUMMYFUNCTION("IFERROR(AVERAGE(FILTER('حضور '!I:I,'حضور '!A:A=A698,MONTH('حضور '!B:B)=J698)),"""")"),"")</f>
        <v/>
      </c>
      <c r="H698" s="384">
        <f t="shared" si="2"/>
        <v>0</v>
      </c>
      <c r="I698" s="385">
        <f t="shared" si="3"/>
        <v>0</v>
      </c>
    </row>
    <row r="699" ht="22.5" customHeight="1">
      <c r="A699" s="391"/>
      <c r="B699" s="379"/>
      <c r="C699" s="393"/>
      <c r="D699" s="392"/>
      <c r="E699" s="392"/>
      <c r="F699" s="383" t="str">
        <f t="shared" si="1"/>
        <v/>
      </c>
      <c r="G699" s="384" t="str">
        <f>IFERROR(__xludf.DUMMYFUNCTION("IFERROR(AVERAGE(FILTER('حضور '!I:I,'حضور '!A:A=A699,MONTH('حضور '!B:B)=J699)),"""")"),"")</f>
        <v/>
      </c>
      <c r="H699" s="384">
        <f t="shared" si="2"/>
        <v>0</v>
      </c>
      <c r="I699" s="385">
        <f t="shared" si="3"/>
        <v>0</v>
      </c>
    </row>
    <row r="700" ht="22.5" customHeight="1">
      <c r="A700" s="391"/>
      <c r="B700" s="379"/>
      <c r="C700" s="393"/>
      <c r="D700" s="392"/>
      <c r="E700" s="392"/>
      <c r="F700" s="383" t="str">
        <f t="shared" si="1"/>
        <v/>
      </c>
      <c r="G700" s="384" t="str">
        <f>IFERROR(__xludf.DUMMYFUNCTION("IFERROR(AVERAGE(FILTER('حضور '!I:I,'حضور '!A:A=A700,MONTH('حضور '!B:B)=J700)),"""")"),"")</f>
        <v/>
      </c>
      <c r="H700" s="384">
        <f t="shared" si="2"/>
        <v>0</v>
      </c>
      <c r="I700" s="385">
        <f t="shared" si="3"/>
        <v>0</v>
      </c>
    </row>
    <row r="701" ht="22.5" customHeight="1">
      <c r="A701" s="391"/>
      <c r="B701" s="379"/>
      <c r="C701" s="393"/>
      <c r="D701" s="392"/>
      <c r="E701" s="392"/>
      <c r="F701" s="383" t="str">
        <f t="shared" si="1"/>
        <v/>
      </c>
      <c r="G701" s="384" t="str">
        <f>IFERROR(__xludf.DUMMYFUNCTION("IFERROR(AVERAGE(FILTER('حضور '!I:I,'حضور '!A:A=A701,MONTH('حضور '!B:B)=J701)),"""")"),"")</f>
        <v/>
      </c>
      <c r="H701" s="384">
        <f t="shared" si="2"/>
        <v>0</v>
      </c>
      <c r="I701" s="385">
        <f t="shared" si="3"/>
        <v>0</v>
      </c>
    </row>
    <row r="702" ht="22.5" customHeight="1">
      <c r="A702" s="391"/>
      <c r="B702" s="379"/>
      <c r="C702" s="393"/>
      <c r="D702" s="392"/>
      <c r="E702" s="392"/>
      <c r="F702" s="383" t="str">
        <f t="shared" si="1"/>
        <v/>
      </c>
      <c r="G702" s="384" t="str">
        <f>IFERROR(__xludf.DUMMYFUNCTION("IFERROR(AVERAGE(FILTER('حضور '!I:I,'حضور '!A:A=A702,MONTH('حضور '!B:B)=J702)),"""")"),"")</f>
        <v/>
      </c>
      <c r="H702" s="384">
        <f t="shared" si="2"/>
        <v>0</v>
      </c>
      <c r="I702" s="385">
        <f t="shared" si="3"/>
        <v>0</v>
      </c>
    </row>
    <row r="703" ht="22.5" customHeight="1">
      <c r="A703" s="391"/>
      <c r="B703" s="379"/>
      <c r="C703" s="393"/>
      <c r="D703" s="392"/>
      <c r="E703" s="392"/>
      <c r="F703" s="383" t="str">
        <f t="shared" si="1"/>
        <v/>
      </c>
      <c r="G703" s="384" t="str">
        <f>IFERROR(__xludf.DUMMYFUNCTION("IFERROR(AVERAGE(FILTER('حضور '!I:I,'حضور '!A:A=A703,MONTH('حضور '!B:B)=J703)),"""")"),"")</f>
        <v/>
      </c>
      <c r="H703" s="384">
        <f t="shared" si="2"/>
        <v>0</v>
      </c>
      <c r="I703" s="385">
        <f t="shared" si="3"/>
        <v>0</v>
      </c>
    </row>
    <row r="704" ht="22.5" customHeight="1">
      <c r="A704" s="391"/>
      <c r="B704" s="379"/>
      <c r="C704" s="393"/>
      <c r="D704" s="392"/>
      <c r="E704" s="392"/>
      <c r="F704" s="383" t="str">
        <f t="shared" si="1"/>
        <v/>
      </c>
      <c r="G704" s="384" t="str">
        <f>IFERROR(__xludf.DUMMYFUNCTION("IFERROR(AVERAGE(FILTER('حضور '!I:I,'حضور '!A:A=A704,MONTH('حضور '!B:B)=J704)),"""")"),"")</f>
        <v/>
      </c>
      <c r="H704" s="384">
        <f t="shared" si="2"/>
        <v>0</v>
      </c>
      <c r="I704" s="385">
        <f t="shared" si="3"/>
        <v>0</v>
      </c>
    </row>
    <row r="705" ht="22.5" customHeight="1">
      <c r="A705" s="391"/>
      <c r="B705" s="379"/>
      <c r="C705" s="393"/>
      <c r="D705" s="392"/>
      <c r="E705" s="392"/>
      <c r="F705" s="383" t="str">
        <f t="shared" si="1"/>
        <v/>
      </c>
      <c r="G705" s="384" t="str">
        <f>IFERROR(__xludf.DUMMYFUNCTION("IFERROR(AVERAGE(FILTER('حضور '!I:I,'حضور '!A:A=A705,MONTH('حضور '!B:B)=J705)),"""")"),"")</f>
        <v/>
      </c>
      <c r="H705" s="384">
        <f t="shared" si="2"/>
        <v>0</v>
      </c>
      <c r="I705" s="385">
        <f t="shared" si="3"/>
        <v>0</v>
      </c>
    </row>
    <row r="706" ht="22.5" customHeight="1">
      <c r="A706" s="391"/>
      <c r="B706" s="379"/>
      <c r="C706" s="393"/>
      <c r="D706" s="392"/>
      <c r="E706" s="392"/>
      <c r="F706" s="383" t="str">
        <f t="shared" si="1"/>
        <v/>
      </c>
      <c r="G706" s="384" t="str">
        <f>IFERROR(__xludf.DUMMYFUNCTION("IFERROR(AVERAGE(FILTER('حضور '!I:I,'حضور '!A:A=A706,MONTH('حضور '!B:B)=J706)),"""")"),"")</f>
        <v/>
      </c>
      <c r="H706" s="384">
        <f t="shared" si="2"/>
        <v>0</v>
      </c>
      <c r="I706" s="385">
        <f t="shared" si="3"/>
        <v>0</v>
      </c>
    </row>
    <row r="707" ht="22.5" customHeight="1">
      <c r="A707" s="391"/>
      <c r="B707" s="379"/>
      <c r="C707" s="393"/>
      <c r="D707" s="392"/>
      <c r="E707" s="392"/>
      <c r="F707" s="383" t="str">
        <f t="shared" si="1"/>
        <v/>
      </c>
      <c r="G707" s="384" t="str">
        <f>IFERROR(__xludf.DUMMYFUNCTION("IFERROR(AVERAGE(FILTER('حضور '!I:I,'حضور '!A:A=A707,MONTH('حضور '!B:B)=J707)),"""")"),"")</f>
        <v/>
      </c>
      <c r="H707" s="384">
        <f t="shared" si="2"/>
        <v>0</v>
      </c>
      <c r="I707" s="385">
        <f t="shared" si="3"/>
        <v>0</v>
      </c>
    </row>
    <row r="708" ht="22.5" customHeight="1">
      <c r="A708" s="391"/>
      <c r="B708" s="379"/>
      <c r="C708" s="393"/>
      <c r="D708" s="392"/>
      <c r="E708" s="392"/>
      <c r="F708" s="383" t="str">
        <f t="shared" si="1"/>
        <v/>
      </c>
      <c r="G708" s="384" t="str">
        <f>IFERROR(__xludf.DUMMYFUNCTION("IFERROR(AVERAGE(FILTER('حضور '!I:I,'حضور '!A:A=A708,MONTH('حضور '!B:B)=J708)),"""")"),"")</f>
        <v/>
      </c>
      <c r="H708" s="384">
        <f t="shared" si="2"/>
        <v>0</v>
      </c>
      <c r="I708" s="385">
        <f t="shared" si="3"/>
        <v>0</v>
      </c>
    </row>
    <row r="709" ht="22.5" customHeight="1">
      <c r="A709" s="391"/>
      <c r="B709" s="379"/>
      <c r="C709" s="393"/>
      <c r="D709" s="392"/>
      <c r="E709" s="392"/>
      <c r="F709" s="383" t="str">
        <f t="shared" si="1"/>
        <v/>
      </c>
      <c r="G709" s="384" t="str">
        <f>IFERROR(__xludf.DUMMYFUNCTION("IFERROR(AVERAGE(FILTER('حضور '!I:I,'حضور '!A:A=A709,MONTH('حضور '!B:B)=J709)),"""")"),"")</f>
        <v/>
      </c>
      <c r="H709" s="384">
        <f t="shared" si="2"/>
        <v>0</v>
      </c>
      <c r="I709" s="385">
        <f t="shared" si="3"/>
        <v>0</v>
      </c>
    </row>
    <row r="710" ht="22.5" customHeight="1">
      <c r="A710" s="391"/>
      <c r="B710" s="379"/>
      <c r="C710" s="393"/>
      <c r="D710" s="392"/>
      <c r="E710" s="392"/>
      <c r="F710" s="383" t="str">
        <f t="shared" si="1"/>
        <v/>
      </c>
      <c r="G710" s="384" t="str">
        <f>IFERROR(__xludf.DUMMYFUNCTION("IFERROR(AVERAGE(FILTER('حضور '!I:I,'حضور '!A:A=A710,MONTH('حضور '!B:B)=J710)),"""")"),"")</f>
        <v/>
      </c>
      <c r="H710" s="384">
        <f t="shared" si="2"/>
        <v>0</v>
      </c>
      <c r="I710" s="385">
        <f t="shared" si="3"/>
        <v>0</v>
      </c>
    </row>
    <row r="711" ht="22.5" customHeight="1">
      <c r="A711" s="391"/>
      <c r="B711" s="379"/>
      <c r="C711" s="393"/>
      <c r="D711" s="392"/>
      <c r="E711" s="392"/>
      <c r="F711" s="383" t="str">
        <f t="shared" si="1"/>
        <v/>
      </c>
      <c r="G711" s="384" t="str">
        <f>IFERROR(__xludf.DUMMYFUNCTION("IFERROR(AVERAGE(FILTER('حضور '!I:I,'حضور '!A:A=A711,MONTH('حضور '!B:B)=J711)),"""")"),"")</f>
        <v/>
      </c>
      <c r="H711" s="384">
        <f t="shared" si="2"/>
        <v>0</v>
      </c>
      <c r="I711" s="385">
        <f t="shared" si="3"/>
        <v>0</v>
      </c>
    </row>
    <row r="712" ht="22.5" customHeight="1">
      <c r="A712" s="391"/>
      <c r="B712" s="379"/>
      <c r="C712" s="393"/>
      <c r="D712" s="392"/>
      <c r="E712" s="392"/>
      <c r="F712" s="383" t="str">
        <f t="shared" si="1"/>
        <v/>
      </c>
      <c r="G712" s="384" t="str">
        <f>IFERROR(__xludf.DUMMYFUNCTION("IFERROR(AVERAGE(FILTER('حضور '!I:I,'حضور '!A:A=A712,MONTH('حضور '!B:B)=J712)),"""")"),"")</f>
        <v/>
      </c>
      <c r="H712" s="384">
        <f t="shared" si="2"/>
        <v>0</v>
      </c>
      <c r="I712" s="385">
        <f t="shared" si="3"/>
        <v>0</v>
      </c>
    </row>
    <row r="713" ht="22.5" customHeight="1">
      <c r="A713" s="391"/>
      <c r="B713" s="379"/>
      <c r="C713" s="393"/>
      <c r="D713" s="392"/>
      <c r="E713" s="392"/>
      <c r="F713" s="383" t="str">
        <f t="shared" si="1"/>
        <v/>
      </c>
      <c r="G713" s="384" t="str">
        <f>IFERROR(__xludf.DUMMYFUNCTION("IFERROR(AVERAGE(FILTER('حضور '!I:I,'حضور '!A:A=A713,MONTH('حضور '!B:B)=J713)),"""")"),"")</f>
        <v/>
      </c>
      <c r="H713" s="384">
        <f t="shared" si="2"/>
        <v>0</v>
      </c>
      <c r="I713" s="385">
        <f t="shared" si="3"/>
        <v>0</v>
      </c>
    </row>
    <row r="714" ht="22.5" customHeight="1">
      <c r="A714" s="391"/>
      <c r="B714" s="379"/>
      <c r="C714" s="393"/>
      <c r="D714" s="392"/>
      <c r="E714" s="392"/>
      <c r="F714" s="383" t="str">
        <f t="shared" si="1"/>
        <v/>
      </c>
      <c r="G714" s="384" t="str">
        <f>IFERROR(__xludf.DUMMYFUNCTION("IFERROR(AVERAGE(FILTER('حضور '!I:I,'حضور '!A:A=A714,MONTH('حضور '!B:B)=J714)),"""")"),"")</f>
        <v/>
      </c>
      <c r="H714" s="384">
        <f t="shared" si="2"/>
        <v>0</v>
      </c>
      <c r="I714" s="385">
        <f t="shared" si="3"/>
        <v>0</v>
      </c>
    </row>
    <row r="715" ht="22.5" customHeight="1">
      <c r="A715" s="391"/>
      <c r="B715" s="379"/>
      <c r="C715" s="393"/>
      <c r="D715" s="392"/>
      <c r="E715" s="392"/>
      <c r="F715" s="383" t="str">
        <f t="shared" si="1"/>
        <v/>
      </c>
      <c r="G715" s="384" t="str">
        <f>IFERROR(__xludf.DUMMYFUNCTION("IFERROR(AVERAGE(FILTER('حضور '!I:I,'حضور '!A:A=A715,MONTH('حضور '!B:B)=J715)),"""")"),"")</f>
        <v/>
      </c>
      <c r="H715" s="384">
        <f t="shared" si="2"/>
        <v>0</v>
      </c>
      <c r="I715" s="385">
        <f t="shared" si="3"/>
        <v>0</v>
      </c>
    </row>
    <row r="716" ht="22.5" customHeight="1">
      <c r="A716" s="391"/>
      <c r="B716" s="379"/>
      <c r="C716" s="393"/>
      <c r="D716" s="392"/>
      <c r="E716" s="392"/>
      <c r="F716" s="383" t="str">
        <f t="shared" si="1"/>
        <v/>
      </c>
      <c r="G716" s="384" t="str">
        <f>IFERROR(__xludf.DUMMYFUNCTION("IFERROR(AVERAGE(FILTER('حضور '!I:I,'حضور '!A:A=A716,MONTH('حضور '!B:B)=J716)),"""")"),"")</f>
        <v/>
      </c>
      <c r="H716" s="384">
        <f t="shared" si="2"/>
        <v>0</v>
      </c>
      <c r="I716" s="385">
        <f t="shared" si="3"/>
        <v>0</v>
      </c>
    </row>
    <row r="717" ht="22.5" customHeight="1">
      <c r="A717" s="391"/>
      <c r="B717" s="379"/>
      <c r="C717" s="393"/>
      <c r="D717" s="392"/>
      <c r="E717" s="392"/>
      <c r="F717" s="383" t="str">
        <f t="shared" si="1"/>
        <v/>
      </c>
      <c r="G717" s="384" t="str">
        <f>IFERROR(__xludf.DUMMYFUNCTION("IFERROR(AVERAGE(FILTER('حضور '!I:I,'حضور '!A:A=A717,MONTH('حضور '!B:B)=J717)),"""")"),"")</f>
        <v/>
      </c>
      <c r="H717" s="384">
        <f t="shared" si="2"/>
        <v>0</v>
      </c>
      <c r="I717" s="385">
        <f t="shared" si="3"/>
        <v>0</v>
      </c>
    </row>
    <row r="718" ht="22.5" customHeight="1">
      <c r="A718" s="391"/>
      <c r="B718" s="379"/>
      <c r="C718" s="393"/>
      <c r="D718" s="392"/>
      <c r="E718" s="392"/>
      <c r="F718" s="383" t="str">
        <f t="shared" si="1"/>
        <v/>
      </c>
      <c r="G718" s="384" t="str">
        <f>IFERROR(__xludf.DUMMYFUNCTION("IFERROR(AVERAGE(FILTER('حضور '!I:I,'حضور '!A:A=A718,MONTH('حضور '!B:B)=J718)),"""")"),"")</f>
        <v/>
      </c>
      <c r="H718" s="384">
        <f t="shared" si="2"/>
        <v>0</v>
      </c>
      <c r="I718" s="385">
        <f t="shared" si="3"/>
        <v>0</v>
      </c>
    </row>
    <row r="719" ht="22.5" customHeight="1">
      <c r="A719" s="391"/>
      <c r="B719" s="379"/>
      <c r="C719" s="393"/>
      <c r="D719" s="392"/>
      <c r="E719" s="392"/>
      <c r="F719" s="383" t="str">
        <f t="shared" si="1"/>
        <v/>
      </c>
      <c r="G719" s="384" t="str">
        <f>IFERROR(__xludf.DUMMYFUNCTION("IFERROR(AVERAGE(FILTER('حضور '!I:I,'حضور '!A:A=A719,MONTH('حضور '!B:B)=J719)),"""")"),"")</f>
        <v/>
      </c>
      <c r="H719" s="384">
        <f t="shared" si="2"/>
        <v>0</v>
      </c>
      <c r="I719" s="385">
        <f t="shared" si="3"/>
        <v>0</v>
      </c>
    </row>
    <row r="720" ht="22.5" customHeight="1">
      <c r="A720" s="391"/>
      <c r="B720" s="379"/>
      <c r="C720" s="393"/>
      <c r="D720" s="392"/>
      <c r="E720" s="392"/>
      <c r="F720" s="383" t="str">
        <f t="shared" si="1"/>
        <v/>
      </c>
      <c r="G720" s="384" t="str">
        <f>IFERROR(__xludf.DUMMYFUNCTION("IFERROR(AVERAGE(FILTER('حضور '!I:I,'حضور '!A:A=A720,MONTH('حضور '!B:B)=J720)),"""")"),"")</f>
        <v/>
      </c>
      <c r="H720" s="384">
        <f t="shared" si="2"/>
        <v>0</v>
      </c>
      <c r="I720" s="385">
        <f t="shared" si="3"/>
        <v>0</v>
      </c>
    </row>
    <row r="721" ht="22.5" customHeight="1">
      <c r="A721" s="391"/>
      <c r="B721" s="379"/>
      <c r="C721" s="393"/>
      <c r="D721" s="392"/>
      <c r="E721" s="392"/>
      <c r="F721" s="383" t="str">
        <f t="shared" si="1"/>
        <v/>
      </c>
      <c r="G721" s="384" t="str">
        <f>IFERROR(__xludf.DUMMYFUNCTION("IFERROR(AVERAGE(FILTER('حضور '!I:I,'حضور '!A:A=A721,MONTH('حضور '!B:B)=J721)),"""")"),"")</f>
        <v/>
      </c>
      <c r="H721" s="384">
        <f t="shared" si="2"/>
        <v>0</v>
      </c>
      <c r="I721" s="385">
        <f t="shared" si="3"/>
        <v>0</v>
      </c>
    </row>
    <row r="722" ht="22.5" customHeight="1">
      <c r="A722" s="391"/>
      <c r="B722" s="379"/>
      <c r="C722" s="393"/>
      <c r="D722" s="392"/>
      <c r="E722" s="392"/>
      <c r="F722" s="383" t="str">
        <f t="shared" si="1"/>
        <v/>
      </c>
      <c r="G722" s="384" t="str">
        <f>IFERROR(__xludf.DUMMYFUNCTION("IFERROR(AVERAGE(FILTER('حضور '!I:I,'حضور '!A:A=A722,MONTH('حضور '!B:B)=J722)),"""")"),"")</f>
        <v/>
      </c>
      <c r="H722" s="384">
        <f t="shared" si="2"/>
        <v>0</v>
      </c>
      <c r="I722" s="385">
        <f t="shared" si="3"/>
        <v>0</v>
      </c>
    </row>
    <row r="723" ht="22.5" customHeight="1">
      <c r="A723" s="391"/>
      <c r="B723" s="379"/>
      <c r="C723" s="393"/>
      <c r="D723" s="392"/>
      <c r="E723" s="392"/>
      <c r="F723" s="383" t="str">
        <f t="shared" si="1"/>
        <v/>
      </c>
      <c r="G723" s="384" t="str">
        <f>IFERROR(__xludf.DUMMYFUNCTION("IFERROR(AVERAGE(FILTER('حضور '!I:I,'حضور '!A:A=A723,MONTH('حضور '!B:B)=J723)),"""")"),"")</f>
        <v/>
      </c>
      <c r="H723" s="384">
        <f t="shared" si="2"/>
        <v>0</v>
      </c>
      <c r="I723" s="385">
        <f t="shared" si="3"/>
        <v>0</v>
      </c>
    </row>
    <row r="724" ht="22.5" customHeight="1">
      <c r="A724" s="391"/>
      <c r="B724" s="379"/>
      <c r="C724" s="393"/>
      <c r="D724" s="392"/>
      <c r="E724" s="392"/>
      <c r="F724" s="383" t="str">
        <f t="shared" si="1"/>
        <v/>
      </c>
      <c r="G724" s="384" t="str">
        <f>IFERROR(__xludf.DUMMYFUNCTION("IFERROR(AVERAGE(FILTER('حضور '!I:I,'حضور '!A:A=A724,MONTH('حضور '!B:B)=J724)),"""")"),"")</f>
        <v/>
      </c>
      <c r="H724" s="384">
        <f t="shared" si="2"/>
        <v>0</v>
      </c>
      <c r="I724" s="385">
        <f t="shared" si="3"/>
        <v>0</v>
      </c>
    </row>
    <row r="725" ht="22.5" customHeight="1">
      <c r="A725" s="391"/>
      <c r="B725" s="379"/>
      <c r="C725" s="393"/>
      <c r="D725" s="392"/>
      <c r="E725" s="392"/>
      <c r="F725" s="383" t="str">
        <f t="shared" si="1"/>
        <v/>
      </c>
      <c r="G725" s="384" t="str">
        <f>IFERROR(__xludf.DUMMYFUNCTION("IFERROR(AVERAGE(FILTER('حضور '!I:I,'حضور '!A:A=A725,MONTH('حضور '!B:B)=J725)),"""")"),"")</f>
        <v/>
      </c>
      <c r="H725" s="384">
        <f t="shared" si="2"/>
        <v>0</v>
      </c>
      <c r="I725" s="385">
        <f t="shared" si="3"/>
        <v>0</v>
      </c>
    </row>
    <row r="726" ht="22.5" customHeight="1">
      <c r="A726" s="391"/>
      <c r="B726" s="379"/>
      <c r="C726" s="393"/>
      <c r="D726" s="392"/>
      <c r="E726" s="392"/>
      <c r="F726" s="383" t="str">
        <f t="shared" si="1"/>
        <v/>
      </c>
      <c r="G726" s="384" t="str">
        <f>IFERROR(__xludf.DUMMYFUNCTION("IFERROR(AVERAGE(FILTER('حضور '!I:I,'حضور '!A:A=A726,MONTH('حضور '!B:B)=J726)),"""")"),"")</f>
        <v/>
      </c>
      <c r="H726" s="384">
        <f t="shared" si="2"/>
        <v>0</v>
      </c>
      <c r="I726" s="385">
        <f t="shared" si="3"/>
        <v>0</v>
      </c>
    </row>
    <row r="727" ht="22.5" customHeight="1">
      <c r="A727" s="391"/>
      <c r="B727" s="379"/>
      <c r="C727" s="393"/>
      <c r="D727" s="392"/>
      <c r="E727" s="392"/>
      <c r="F727" s="383" t="str">
        <f t="shared" si="1"/>
        <v/>
      </c>
      <c r="G727" s="384" t="str">
        <f>IFERROR(__xludf.DUMMYFUNCTION("IFERROR(AVERAGE(FILTER('حضور '!I:I,'حضور '!A:A=A727,MONTH('حضور '!B:B)=J727)),"""")"),"")</f>
        <v/>
      </c>
      <c r="H727" s="384">
        <f t="shared" si="2"/>
        <v>0</v>
      </c>
      <c r="I727" s="385">
        <f t="shared" si="3"/>
        <v>0</v>
      </c>
    </row>
    <row r="728" ht="22.5" customHeight="1">
      <c r="A728" s="391"/>
      <c r="B728" s="379"/>
      <c r="C728" s="393"/>
      <c r="D728" s="392"/>
      <c r="E728" s="392"/>
      <c r="F728" s="383" t="str">
        <f t="shared" si="1"/>
        <v/>
      </c>
      <c r="G728" s="384" t="str">
        <f>IFERROR(__xludf.DUMMYFUNCTION("IFERROR(AVERAGE(FILTER('حضور '!I:I,'حضور '!A:A=A728,MONTH('حضور '!B:B)=J728)),"""")"),"")</f>
        <v/>
      </c>
      <c r="H728" s="384">
        <f t="shared" si="2"/>
        <v>0</v>
      </c>
      <c r="I728" s="385">
        <f t="shared" si="3"/>
        <v>0</v>
      </c>
    </row>
    <row r="729" ht="22.5" customHeight="1">
      <c r="A729" s="391"/>
      <c r="B729" s="379"/>
      <c r="C729" s="393"/>
      <c r="D729" s="392"/>
      <c r="E729" s="392"/>
      <c r="F729" s="383" t="str">
        <f t="shared" si="1"/>
        <v/>
      </c>
      <c r="G729" s="384" t="str">
        <f>IFERROR(__xludf.DUMMYFUNCTION("IFERROR(AVERAGE(FILTER('حضور '!I:I,'حضور '!A:A=A729,MONTH('حضور '!B:B)=J729)),"""")"),"")</f>
        <v/>
      </c>
      <c r="H729" s="384">
        <f t="shared" si="2"/>
        <v>0</v>
      </c>
      <c r="I729" s="385">
        <f t="shared" si="3"/>
        <v>0</v>
      </c>
    </row>
    <row r="730" ht="22.5" customHeight="1">
      <c r="A730" s="391"/>
      <c r="B730" s="379"/>
      <c r="C730" s="393"/>
      <c r="D730" s="392"/>
      <c r="E730" s="392"/>
      <c r="F730" s="383" t="str">
        <f t="shared" si="1"/>
        <v/>
      </c>
      <c r="G730" s="384" t="str">
        <f>IFERROR(__xludf.DUMMYFUNCTION("IFERROR(AVERAGE(FILTER('حضور '!I:I,'حضور '!A:A=A730,MONTH('حضور '!B:B)=J730)),"""")"),"")</f>
        <v/>
      </c>
      <c r="H730" s="384">
        <f t="shared" si="2"/>
        <v>0</v>
      </c>
      <c r="I730" s="385">
        <f t="shared" si="3"/>
        <v>0</v>
      </c>
    </row>
    <row r="731" ht="22.5" customHeight="1">
      <c r="A731" s="391"/>
      <c r="B731" s="379"/>
      <c r="C731" s="393"/>
      <c r="D731" s="392"/>
      <c r="E731" s="392"/>
      <c r="F731" s="383" t="str">
        <f t="shared" si="1"/>
        <v/>
      </c>
      <c r="G731" s="384" t="str">
        <f>IFERROR(__xludf.DUMMYFUNCTION("IFERROR(AVERAGE(FILTER('حضور '!I:I,'حضور '!A:A=A731,MONTH('حضور '!B:B)=J731)),"""")"),"")</f>
        <v/>
      </c>
      <c r="H731" s="384">
        <f t="shared" si="2"/>
        <v>0</v>
      </c>
      <c r="I731" s="385">
        <f t="shared" si="3"/>
        <v>0</v>
      </c>
    </row>
    <row r="732" ht="22.5" customHeight="1">
      <c r="A732" s="391"/>
      <c r="B732" s="379"/>
      <c r="C732" s="393"/>
      <c r="D732" s="392"/>
      <c r="E732" s="392"/>
      <c r="F732" s="383" t="str">
        <f t="shared" si="1"/>
        <v/>
      </c>
      <c r="G732" s="384" t="str">
        <f>IFERROR(__xludf.DUMMYFUNCTION("IFERROR(AVERAGE(FILTER('حضور '!I:I,'حضور '!A:A=A732,MONTH('حضور '!B:B)=J732)),"""")"),"")</f>
        <v/>
      </c>
      <c r="H732" s="384">
        <f t="shared" si="2"/>
        <v>0</v>
      </c>
      <c r="I732" s="385">
        <f t="shared" si="3"/>
        <v>0</v>
      </c>
    </row>
    <row r="733" ht="22.5" customHeight="1">
      <c r="A733" s="391"/>
      <c r="B733" s="379"/>
      <c r="C733" s="393"/>
      <c r="D733" s="392"/>
      <c r="E733" s="392"/>
      <c r="F733" s="383" t="str">
        <f t="shared" si="1"/>
        <v/>
      </c>
      <c r="G733" s="384" t="str">
        <f>IFERROR(__xludf.DUMMYFUNCTION("IFERROR(AVERAGE(FILTER('حضور '!I:I,'حضور '!A:A=A733,MONTH('حضور '!B:B)=J733)),"""")"),"")</f>
        <v/>
      </c>
      <c r="H733" s="384">
        <f t="shared" si="2"/>
        <v>0</v>
      </c>
      <c r="I733" s="385">
        <f t="shared" si="3"/>
        <v>0</v>
      </c>
    </row>
    <row r="734" ht="22.5" customHeight="1">
      <c r="A734" s="391"/>
      <c r="B734" s="379"/>
      <c r="C734" s="393"/>
      <c r="D734" s="392"/>
      <c r="E734" s="392"/>
      <c r="F734" s="383" t="str">
        <f t="shared" si="1"/>
        <v/>
      </c>
      <c r="G734" s="384" t="str">
        <f>IFERROR(__xludf.DUMMYFUNCTION("IFERROR(AVERAGE(FILTER('حضور '!I:I,'حضور '!A:A=A734,MONTH('حضور '!B:B)=J734)),"""")"),"")</f>
        <v/>
      </c>
      <c r="H734" s="384">
        <f t="shared" si="2"/>
        <v>0</v>
      </c>
      <c r="I734" s="385">
        <f t="shared" si="3"/>
        <v>0</v>
      </c>
    </row>
    <row r="735" ht="22.5" customHeight="1">
      <c r="A735" s="391"/>
      <c r="B735" s="379"/>
      <c r="C735" s="393"/>
      <c r="D735" s="392"/>
      <c r="E735" s="392"/>
      <c r="F735" s="383" t="str">
        <f t="shared" si="1"/>
        <v/>
      </c>
      <c r="G735" s="384" t="str">
        <f>IFERROR(__xludf.DUMMYFUNCTION("IFERROR(AVERAGE(FILTER('حضور '!I:I,'حضور '!A:A=A735,MONTH('حضور '!B:B)=J735)),"""")"),"")</f>
        <v/>
      </c>
      <c r="H735" s="384">
        <f t="shared" si="2"/>
        <v>0</v>
      </c>
      <c r="I735" s="385">
        <f t="shared" si="3"/>
        <v>0</v>
      </c>
    </row>
    <row r="736" ht="22.5" customHeight="1">
      <c r="A736" s="391"/>
      <c r="B736" s="379"/>
      <c r="C736" s="393"/>
      <c r="D736" s="392"/>
      <c r="E736" s="392"/>
      <c r="F736" s="383" t="str">
        <f t="shared" si="1"/>
        <v/>
      </c>
      <c r="G736" s="384" t="str">
        <f>IFERROR(__xludf.DUMMYFUNCTION("IFERROR(AVERAGE(FILTER('حضور '!I:I,'حضور '!A:A=A736,MONTH('حضور '!B:B)=J736)),"""")"),"")</f>
        <v/>
      </c>
      <c r="H736" s="384">
        <f t="shared" si="2"/>
        <v>0</v>
      </c>
      <c r="I736" s="385">
        <f t="shared" si="3"/>
        <v>0</v>
      </c>
    </row>
    <row r="737" ht="22.5" customHeight="1">
      <c r="A737" s="391"/>
      <c r="B737" s="379"/>
      <c r="C737" s="393"/>
      <c r="D737" s="392"/>
      <c r="E737" s="392"/>
      <c r="F737" s="383" t="str">
        <f t="shared" si="1"/>
        <v/>
      </c>
      <c r="G737" s="384" t="str">
        <f>IFERROR(__xludf.DUMMYFUNCTION("IFERROR(AVERAGE(FILTER('حضور '!I:I,'حضور '!A:A=A737,MONTH('حضور '!B:B)=J737)),"""")"),"")</f>
        <v/>
      </c>
      <c r="H737" s="384">
        <f t="shared" si="2"/>
        <v>0</v>
      </c>
      <c r="I737" s="385">
        <f t="shared" si="3"/>
        <v>0</v>
      </c>
    </row>
    <row r="738" ht="22.5" customHeight="1">
      <c r="A738" s="391"/>
      <c r="B738" s="379"/>
      <c r="C738" s="393"/>
      <c r="D738" s="392"/>
      <c r="E738" s="392"/>
      <c r="F738" s="383" t="str">
        <f t="shared" si="1"/>
        <v/>
      </c>
      <c r="G738" s="384" t="str">
        <f>IFERROR(__xludf.DUMMYFUNCTION("IFERROR(AVERAGE(FILTER('حضور '!I:I,'حضور '!A:A=A738,MONTH('حضور '!B:B)=J738)),"""")"),"")</f>
        <v/>
      </c>
      <c r="H738" s="384">
        <f t="shared" si="2"/>
        <v>0</v>
      </c>
      <c r="I738" s="385">
        <f t="shared" si="3"/>
        <v>0</v>
      </c>
    </row>
    <row r="739" ht="22.5" customHeight="1">
      <c r="A739" s="391"/>
      <c r="B739" s="379"/>
      <c r="C739" s="393"/>
      <c r="D739" s="392"/>
      <c r="E739" s="392"/>
      <c r="F739" s="383" t="str">
        <f t="shared" si="1"/>
        <v/>
      </c>
      <c r="G739" s="384" t="str">
        <f>IFERROR(__xludf.DUMMYFUNCTION("IFERROR(AVERAGE(FILTER('حضور '!I:I,'حضور '!A:A=A739,MONTH('حضور '!B:B)=J739)),"""")"),"")</f>
        <v/>
      </c>
      <c r="H739" s="384">
        <f t="shared" si="2"/>
        <v>0</v>
      </c>
      <c r="I739" s="385">
        <f t="shared" si="3"/>
        <v>0</v>
      </c>
    </row>
    <row r="740" ht="22.5" customHeight="1">
      <c r="A740" s="391"/>
      <c r="B740" s="379"/>
      <c r="C740" s="393"/>
      <c r="D740" s="392"/>
      <c r="E740" s="392"/>
      <c r="F740" s="383" t="str">
        <f t="shared" si="1"/>
        <v/>
      </c>
      <c r="G740" s="384" t="str">
        <f>IFERROR(__xludf.DUMMYFUNCTION("IFERROR(AVERAGE(FILTER('حضور '!I:I,'حضور '!A:A=A740,MONTH('حضور '!B:B)=J740)),"""")"),"")</f>
        <v/>
      </c>
      <c r="H740" s="384">
        <f t="shared" si="2"/>
        <v>0</v>
      </c>
      <c r="I740" s="385">
        <f t="shared" si="3"/>
        <v>0</v>
      </c>
    </row>
    <row r="741" ht="22.5" customHeight="1">
      <c r="A741" s="391"/>
      <c r="B741" s="379"/>
      <c r="C741" s="393"/>
      <c r="D741" s="392"/>
      <c r="E741" s="392"/>
      <c r="F741" s="383" t="str">
        <f t="shared" si="1"/>
        <v/>
      </c>
      <c r="G741" s="384" t="str">
        <f>IFERROR(__xludf.DUMMYFUNCTION("IFERROR(AVERAGE(FILTER('حضور '!I:I,'حضور '!A:A=A741,MONTH('حضور '!B:B)=J741)),"""")"),"")</f>
        <v/>
      </c>
      <c r="H741" s="384">
        <f t="shared" si="2"/>
        <v>0</v>
      </c>
      <c r="I741" s="385">
        <f t="shared" si="3"/>
        <v>0</v>
      </c>
    </row>
    <row r="742" ht="22.5" customHeight="1">
      <c r="A742" s="391"/>
      <c r="B742" s="379"/>
      <c r="C742" s="393"/>
      <c r="D742" s="392"/>
      <c r="E742" s="392"/>
      <c r="F742" s="383" t="str">
        <f t="shared" si="1"/>
        <v/>
      </c>
      <c r="G742" s="384" t="str">
        <f>IFERROR(__xludf.DUMMYFUNCTION("IFERROR(AVERAGE(FILTER('حضور '!I:I,'حضور '!A:A=A742,MONTH('حضور '!B:B)=J742)),"""")"),"")</f>
        <v/>
      </c>
      <c r="H742" s="384">
        <f t="shared" si="2"/>
        <v>0</v>
      </c>
      <c r="I742" s="385">
        <f t="shared" si="3"/>
        <v>0</v>
      </c>
    </row>
    <row r="743" ht="22.5" customHeight="1">
      <c r="A743" s="391"/>
      <c r="B743" s="379"/>
      <c r="C743" s="393"/>
      <c r="D743" s="392"/>
      <c r="E743" s="392"/>
      <c r="F743" s="383" t="str">
        <f t="shared" si="1"/>
        <v/>
      </c>
      <c r="G743" s="384" t="str">
        <f>IFERROR(__xludf.DUMMYFUNCTION("IFERROR(AVERAGE(FILTER('حضور '!I:I,'حضور '!A:A=A743,MONTH('حضور '!B:B)=J743)),"""")"),"")</f>
        <v/>
      </c>
      <c r="H743" s="384">
        <f t="shared" si="2"/>
        <v>0</v>
      </c>
      <c r="I743" s="385">
        <f t="shared" si="3"/>
        <v>0</v>
      </c>
    </row>
    <row r="744" ht="22.5" customHeight="1">
      <c r="A744" s="391"/>
      <c r="B744" s="379"/>
      <c r="C744" s="393"/>
      <c r="D744" s="392"/>
      <c r="E744" s="392"/>
      <c r="F744" s="383" t="str">
        <f t="shared" si="1"/>
        <v/>
      </c>
      <c r="G744" s="384" t="str">
        <f>IFERROR(__xludf.DUMMYFUNCTION("IFERROR(AVERAGE(FILTER('حضور '!I:I,'حضور '!A:A=A744,MONTH('حضور '!B:B)=J744)),"""")"),"")</f>
        <v/>
      </c>
      <c r="H744" s="384">
        <f t="shared" si="2"/>
        <v>0</v>
      </c>
      <c r="I744" s="385">
        <f t="shared" si="3"/>
        <v>0</v>
      </c>
    </row>
    <row r="745" ht="22.5" customHeight="1">
      <c r="A745" s="391"/>
      <c r="B745" s="379"/>
      <c r="C745" s="393"/>
      <c r="D745" s="392"/>
      <c r="E745" s="392"/>
      <c r="F745" s="383" t="str">
        <f t="shared" si="1"/>
        <v/>
      </c>
      <c r="G745" s="384" t="str">
        <f>IFERROR(__xludf.DUMMYFUNCTION("IFERROR(AVERAGE(FILTER('حضور '!I:I,'حضور '!A:A=A745,MONTH('حضور '!B:B)=J745)),"""")"),"")</f>
        <v/>
      </c>
      <c r="H745" s="384">
        <f t="shared" si="2"/>
        <v>0</v>
      </c>
      <c r="I745" s="385">
        <f t="shared" si="3"/>
        <v>0</v>
      </c>
    </row>
    <row r="746" ht="22.5" customHeight="1">
      <c r="A746" s="391"/>
      <c r="B746" s="379"/>
      <c r="C746" s="393"/>
      <c r="D746" s="392"/>
      <c r="E746" s="392"/>
      <c r="F746" s="383" t="str">
        <f t="shared" si="1"/>
        <v/>
      </c>
      <c r="G746" s="384" t="str">
        <f>IFERROR(__xludf.DUMMYFUNCTION("IFERROR(AVERAGE(FILTER('حضور '!I:I,'حضور '!A:A=A746,MONTH('حضور '!B:B)=J746)),"""")"),"")</f>
        <v/>
      </c>
      <c r="H746" s="384">
        <f t="shared" si="2"/>
        <v>0</v>
      </c>
      <c r="I746" s="385">
        <f t="shared" si="3"/>
        <v>0</v>
      </c>
    </row>
    <row r="747" ht="22.5" customHeight="1">
      <c r="A747" s="391"/>
      <c r="B747" s="379"/>
      <c r="C747" s="393"/>
      <c r="D747" s="392"/>
      <c r="E747" s="392"/>
      <c r="F747" s="383" t="str">
        <f t="shared" si="1"/>
        <v/>
      </c>
      <c r="G747" s="384" t="str">
        <f>IFERROR(__xludf.DUMMYFUNCTION("IFERROR(AVERAGE(FILTER('حضور '!I:I,'حضور '!A:A=A747,MONTH('حضور '!B:B)=J747)),"""")"),"")</f>
        <v/>
      </c>
      <c r="H747" s="384">
        <f t="shared" si="2"/>
        <v>0</v>
      </c>
      <c r="I747" s="385">
        <f t="shared" si="3"/>
        <v>0</v>
      </c>
    </row>
    <row r="748" ht="22.5" customHeight="1">
      <c r="A748" s="391"/>
      <c r="B748" s="379"/>
      <c r="C748" s="393"/>
      <c r="D748" s="392"/>
      <c r="E748" s="392"/>
      <c r="F748" s="383" t="str">
        <f t="shared" si="1"/>
        <v/>
      </c>
      <c r="G748" s="384" t="str">
        <f>IFERROR(__xludf.DUMMYFUNCTION("IFERROR(AVERAGE(FILTER('حضور '!I:I,'حضور '!A:A=A748,MONTH('حضور '!B:B)=J748)),"""")"),"")</f>
        <v/>
      </c>
      <c r="H748" s="384">
        <f t="shared" si="2"/>
        <v>0</v>
      </c>
      <c r="I748" s="385">
        <f t="shared" si="3"/>
        <v>0</v>
      </c>
    </row>
    <row r="749" ht="22.5" customHeight="1">
      <c r="A749" s="391"/>
      <c r="B749" s="379"/>
      <c r="C749" s="393"/>
      <c r="D749" s="392"/>
      <c r="E749" s="392"/>
      <c r="F749" s="383" t="str">
        <f t="shared" si="1"/>
        <v/>
      </c>
      <c r="G749" s="384" t="str">
        <f>IFERROR(__xludf.DUMMYFUNCTION("IFERROR(AVERAGE(FILTER('حضور '!I:I,'حضور '!A:A=A749,MONTH('حضور '!B:B)=J749)),"""")"),"")</f>
        <v/>
      </c>
      <c r="H749" s="384">
        <f t="shared" si="2"/>
        <v>0</v>
      </c>
      <c r="I749" s="385">
        <f t="shared" si="3"/>
        <v>0</v>
      </c>
    </row>
    <row r="750" ht="22.5" customHeight="1">
      <c r="A750" s="391"/>
      <c r="B750" s="379"/>
      <c r="C750" s="393"/>
      <c r="D750" s="392"/>
      <c r="E750" s="392"/>
      <c r="F750" s="383" t="str">
        <f t="shared" si="1"/>
        <v/>
      </c>
      <c r="G750" s="384" t="str">
        <f>IFERROR(__xludf.DUMMYFUNCTION("IFERROR(AVERAGE(FILTER('حضور '!I:I,'حضور '!A:A=A750,MONTH('حضور '!B:B)=J750)),"""")"),"")</f>
        <v/>
      </c>
      <c r="H750" s="384">
        <f t="shared" si="2"/>
        <v>0</v>
      </c>
      <c r="I750" s="385">
        <f t="shared" si="3"/>
        <v>0</v>
      </c>
    </row>
    <row r="751" ht="22.5" customHeight="1">
      <c r="A751" s="391"/>
      <c r="B751" s="379"/>
      <c r="C751" s="393"/>
      <c r="D751" s="392"/>
      <c r="E751" s="392"/>
      <c r="F751" s="383" t="str">
        <f t="shared" si="1"/>
        <v/>
      </c>
      <c r="G751" s="384" t="str">
        <f>IFERROR(__xludf.DUMMYFUNCTION("IFERROR(AVERAGE(FILTER('حضور '!I:I,'حضور '!A:A=A751,MONTH('حضور '!B:B)=J751)),"""")"),"")</f>
        <v/>
      </c>
      <c r="H751" s="384">
        <f t="shared" si="2"/>
        <v>0</v>
      </c>
      <c r="I751" s="385">
        <f t="shared" si="3"/>
        <v>0</v>
      </c>
    </row>
    <row r="752" ht="22.5" customHeight="1">
      <c r="A752" s="391"/>
      <c r="B752" s="379"/>
      <c r="C752" s="393"/>
      <c r="D752" s="392"/>
      <c r="E752" s="392"/>
      <c r="F752" s="383" t="str">
        <f t="shared" si="1"/>
        <v/>
      </c>
      <c r="G752" s="384" t="str">
        <f>IFERROR(__xludf.DUMMYFUNCTION("IFERROR(AVERAGE(FILTER('حضور '!I:I,'حضور '!A:A=A752,MONTH('حضور '!B:B)=J752)),"""")"),"")</f>
        <v/>
      </c>
      <c r="H752" s="384">
        <f t="shared" si="2"/>
        <v>0</v>
      </c>
      <c r="I752" s="385">
        <f t="shared" si="3"/>
        <v>0</v>
      </c>
    </row>
    <row r="753" ht="22.5" customHeight="1">
      <c r="A753" s="391"/>
      <c r="B753" s="379"/>
      <c r="C753" s="393"/>
      <c r="D753" s="392"/>
      <c r="E753" s="392"/>
      <c r="F753" s="383" t="str">
        <f t="shared" si="1"/>
        <v/>
      </c>
      <c r="G753" s="384" t="str">
        <f>IFERROR(__xludf.DUMMYFUNCTION("IFERROR(AVERAGE(FILTER('حضور '!I:I,'حضور '!A:A=A753,MONTH('حضور '!B:B)=J753)),"""")"),"")</f>
        <v/>
      </c>
      <c r="H753" s="384">
        <f t="shared" si="2"/>
        <v>0</v>
      </c>
      <c r="I753" s="385">
        <f t="shared" si="3"/>
        <v>0</v>
      </c>
    </row>
    <row r="754" ht="22.5" customHeight="1">
      <c r="A754" s="391"/>
      <c r="B754" s="379"/>
      <c r="C754" s="393"/>
      <c r="D754" s="392"/>
      <c r="E754" s="392"/>
      <c r="F754" s="383" t="str">
        <f t="shared" si="1"/>
        <v/>
      </c>
      <c r="G754" s="384" t="str">
        <f>IFERROR(__xludf.DUMMYFUNCTION("IFERROR(AVERAGE(FILTER('حضور '!I:I,'حضور '!A:A=A754,MONTH('حضور '!B:B)=J754)),"""")"),"")</f>
        <v/>
      </c>
      <c r="H754" s="384">
        <f t="shared" si="2"/>
        <v>0</v>
      </c>
      <c r="I754" s="385">
        <f t="shared" si="3"/>
        <v>0</v>
      </c>
    </row>
    <row r="755" ht="22.5" customHeight="1">
      <c r="A755" s="391"/>
      <c r="B755" s="379"/>
      <c r="C755" s="393"/>
      <c r="D755" s="392"/>
      <c r="E755" s="392"/>
      <c r="F755" s="383" t="str">
        <f t="shared" si="1"/>
        <v/>
      </c>
      <c r="G755" s="384" t="str">
        <f>IFERROR(__xludf.DUMMYFUNCTION("IFERROR(AVERAGE(FILTER('حضور '!I:I,'حضور '!A:A=A755,MONTH('حضور '!B:B)=J755)),"""")"),"")</f>
        <v/>
      </c>
      <c r="H755" s="384">
        <f t="shared" si="2"/>
        <v>0</v>
      </c>
      <c r="I755" s="385">
        <f t="shared" si="3"/>
        <v>0</v>
      </c>
    </row>
    <row r="756" ht="22.5" customHeight="1">
      <c r="A756" s="391"/>
      <c r="B756" s="379"/>
      <c r="C756" s="393"/>
      <c r="D756" s="392"/>
      <c r="E756" s="392"/>
      <c r="F756" s="383" t="str">
        <f t="shared" si="1"/>
        <v/>
      </c>
      <c r="G756" s="384" t="str">
        <f>IFERROR(__xludf.DUMMYFUNCTION("IFERROR(AVERAGE(FILTER('حضور '!I:I,'حضور '!A:A=A756,MONTH('حضور '!B:B)=J756)),"""")"),"")</f>
        <v/>
      </c>
      <c r="H756" s="384">
        <f t="shared" si="2"/>
        <v>0</v>
      </c>
      <c r="I756" s="385">
        <f t="shared" si="3"/>
        <v>0</v>
      </c>
    </row>
    <row r="757" ht="22.5" customHeight="1">
      <c r="A757" s="391"/>
      <c r="B757" s="379"/>
      <c r="C757" s="393"/>
      <c r="D757" s="392"/>
      <c r="E757" s="392"/>
      <c r="F757" s="383" t="str">
        <f t="shared" si="1"/>
        <v/>
      </c>
      <c r="G757" s="384" t="str">
        <f>IFERROR(__xludf.DUMMYFUNCTION("IFERROR(AVERAGE(FILTER('حضور '!I:I,'حضور '!A:A=A757,MONTH('حضور '!B:B)=J757)),"""")"),"")</f>
        <v/>
      </c>
      <c r="H757" s="384">
        <f t="shared" si="2"/>
        <v>0</v>
      </c>
      <c r="I757" s="385">
        <f t="shared" si="3"/>
        <v>0</v>
      </c>
    </row>
    <row r="758" ht="22.5" customHeight="1">
      <c r="A758" s="391"/>
      <c r="B758" s="379"/>
      <c r="C758" s="393"/>
      <c r="D758" s="392"/>
      <c r="E758" s="392"/>
      <c r="F758" s="383" t="str">
        <f t="shared" si="1"/>
        <v/>
      </c>
      <c r="G758" s="384" t="str">
        <f>IFERROR(__xludf.DUMMYFUNCTION("IFERROR(AVERAGE(FILTER('حضور '!I:I,'حضور '!A:A=A758,MONTH('حضور '!B:B)=J758)),"""")"),"")</f>
        <v/>
      </c>
      <c r="H758" s="384">
        <f t="shared" si="2"/>
        <v>0</v>
      </c>
      <c r="I758" s="385">
        <f t="shared" si="3"/>
        <v>0</v>
      </c>
    </row>
    <row r="759" ht="22.5" customHeight="1">
      <c r="A759" s="391"/>
      <c r="B759" s="379"/>
      <c r="C759" s="393"/>
      <c r="D759" s="392"/>
      <c r="E759" s="392"/>
      <c r="F759" s="383" t="str">
        <f t="shared" si="1"/>
        <v/>
      </c>
      <c r="G759" s="384" t="str">
        <f>IFERROR(__xludf.DUMMYFUNCTION("IFERROR(AVERAGE(FILTER('حضور '!I:I,'حضور '!A:A=A759,MONTH('حضور '!B:B)=J759)),"""")"),"")</f>
        <v/>
      </c>
      <c r="H759" s="384">
        <f t="shared" si="2"/>
        <v>0</v>
      </c>
      <c r="I759" s="385">
        <f t="shared" si="3"/>
        <v>0</v>
      </c>
    </row>
    <row r="760" ht="22.5" customHeight="1">
      <c r="A760" s="391"/>
      <c r="B760" s="379"/>
      <c r="C760" s="393"/>
      <c r="D760" s="392"/>
      <c r="E760" s="392"/>
      <c r="F760" s="383" t="str">
        <f t="shared" si="1"/>
        <v/>
      </c>
      <c r="G760" s="384" t="str">
        <f>IFERROR(__xludf.DUMMYFUNCTION("IFERROR(AVERAGE(FILTER('حضور '!I:I,'حضور '!A:A=A760,MONTH('حضور '!B:B)=J760)),"""")"),"")</f>
        <v/>
      </c>
      <c r="H760" s="384">
        <f t="shared" si="2"/>
        <v>0</v>
      </c>
      <c r="I760" s="385">
        <f t="shared" si="3"/>
        <v>0</v>
      </c>
    </row>
    <row r="761" ht="22.5" customHeight="1">
      <c r="A761" s="391"/>
      <c r="B761" s="379"/>
      <c r="C761" s="393"/>
      <c r="D761" s="392"/>
      <c r="E761" s="392"/>
      <c r="F761" s="383" t="str">
        <f t="shared" si="1"/>
        <v/>
      </c>
      <c r="G761" s="384" t="str">
        <f>IFERROR(__xludf.DUMMYFUNCTION("IFERROR(AVERAGE(FILTER('حضور '!I:I,'حضور '!A:A=A761,MONTH('حضور '!B:B)=J761)),"""")"),"")</f>
        <v/>
      </c>
      <c r="H761" s="384">
        <f t="shared" si="2"/>
        <v>0</v>
      </c>
      <c r="I761" s="385">
        <f t="shared" si="3"/>
        <v>0</v>
      </c>
    </row>
    <row r="762" ht="22.5" customHeight="1">
      <c r="A762" s="391"/>
      <c r="B762" s="379"/>
      <c r="C762" s="393"/>
      <c r="D762" s="392"/>
      <c r="E762" s="392"/>
      <c r="F762" s="383" t="str">
        <f t="shared" si="1"/>
        <v/>
      </c>
      <c r="G762" s="384" t="str">
        <f>IFERROR(__xludf.DUMMYFUNCTION("IFERROR(AVERAGE(FILTER('حضور '!I:I,'حضور '!A:A=A762,MONTH('حضور '!B:B)=J762)),"""")"),"")</f>
        <v/>
      </c>
      <c r="H762" s="384">
        <f t="shared" si="2"/>
        <v>0</v>
      </c>
      <c r="I762" s="385">
        <f t="shared" si="3"/>
        <v>0</v>
      </c>
    </row>
    <row r="763" ht="22.5" customHeight="1">
      <c r="A763" s="391"/>
      <c r="B763" s="379"/>
      <c r="C763" s="393"/>
      <c r="D763" s="392"/>
      <c r="E763" s="392"/>
      <c r="F763" s="383" t="str">
        <f t="shared" si="1"/>
        <v/>
      </c>
      <c r="G763" s="384" t="str">
        <f>IFERROR(__xludf.DUMMYFUNCTION("IFERROR(AVERAGE(FILTER('حضور '!I:I,'حضور '!A:A=A763,MONTH('حضور '!B:B)=J763)),"""")"),"")</f>
        <v/>
      </c>
      <c r="H763" s="384">
        <f t="shared" si="2"/>
        <v>0</v>
      </c>
      <c r="I763" s="385">
        <f t="shared" si="3"/>
        <v>0</v>
      </c>
    </row>
    <row r="764" ht="22.5" customHeight="1">
      <c r="A764" s="391"/>
      <c r="B764" s="379"/>
      <c r="C764" s="393"/>
      <c r="D764" s="392"/>
      <c r="E764" s="392"/>
      <c r="F764" s="383" t="str">
        <f t="shared" si="1"/>
        <v/>
      </c>
      <c r="G764" s="384" t="str">
        <f>IFERROR(__xludf.DUMMYFUNCTION("IFERROR(AVERAGE(FILTER('حضور '!I:I,'حضور '!A:A=A764,MONTH('حضور '!B:B)=J764)),"""")"),"")</f>
        <v/>
      </c>
      <c r="H764" s="384">
        <f t="shared" si="2"/>
        <v>0</v>
      </c>
      <c r="I764" s="385">
        <f t="shared" si="3"/>
        <v>0</v>
      </c>
    </row>
    <row r="765" ht="22.5" customHeight="1">
      <c r="A765" s="391"/>
      <c r="B765" s="379"/>
      <c r="C765" s="393"/>
      <c r="D765" s="392"/>
      <c r="E765" s="392"/>
      <c r="F765" s="383" t="str">
        <f t="shared" si="1"/>
        <v/>
      </c>
      <c r="G765" s="384" t="str">
        <f>IFERROR(__xludf.DUMMYFUNCTION("IFERROR(AVERAGE(FILTER('حضور '!I:I,'حضور '!A:A=A765,MONTH('حضور '!B:B)=J765)),"""")"),"")</f>
        <v/>
      </c>
      <c r="H765" s="384">
        <f t="shared" si="2"/>
        <v>0</v>
      </c>
      <c r="I765" s="385">
        <f t="shared" si="3"/>
        <v>0</v>
      </c>
    </row>
    <row r="766" ht="22.5" customHeight="1">
      <c r="A766" s="391"/>
      <c r="B766" s="379"/>
      <c r="C766" s="393"/>
      <c r="D766" s="392"/>
      <c r="E766" s="392"/>
      <c r="F766" s="383" t="str">
        <f t="shared" si="1"/>
        <v/>
      </c>
      <c r="G766" s="384" t="str">
        <f>IFERROR(__xludf.DUMMYFUNCTION("IFERROR(AVERAGE(FILTER('حضور '!I:I,'حضور '!A:A=A766,MONTH('حضور '!B:B)=J766)),"""")"),"")</f>
        <v/>
      </c>
      <c r="H766" s="384">
        <f t="shared" si="2"/>
        <v>0</v>
      </c>
      <c r="I766" s="385">
        <f t="shared" si="3"/>
        <v>0</v>
      </c>
    </row>
    <row r="767" ht="22.5" customHeight="1">
      <c r="A767" s="391"/>
      <c r="B767" s="379"/>
      <c r="C767" s="393"/>
      <c r="D767" s="392"/>
      <c r="E767" s="392"/>
      <c r="F767" s="383" t="str">
        <f t="shared" si="1"/>
        <v/>
      </c>
      <c r="G767" s="384" t="str">
        <f>IFERROR(__xludf.DUMMYFUNCTION("IFERROR(AVERAGE(FILTER('حضور '!I:I,'حضور '!A:A=A767,MONTH('حضور '!B:B)=J767)),"""")"),"")</f>
        <v/>
      </c>
      <c r="H767" s="384">
        <f t="shared" si="2"/>
        <v>0</v>
      </c>
      <c r="I767" s="385">
        <f t="shared" si="3"/>
        <v>0</v>
      </c>
    </row>
    <row r="768" ht="22.5" customHeight="1">
      <c r="A768" s="391"/>
      <c r="B768" s="379"/>
      <c r="C768" s="393"/>
      <c r="D768" s="392"/>
      <c r="E768" s="392"/>
      <c r="F768" s="383" t="str">
        <f t="shared" si="1"/>
        <v/>
      </c>
      <c r="G768" s="384" t="str">
        <f>IFERROR(__xludf.DUMMYFUNCTION("IFERROR(AVERAGE(FILTER('حضور '!I:I,'حضور '!A:A=A768,MONTH('حضور '!B:B)=J768)),"""")"),"")</f>
        <v/>
      </c>
      <c r="H768" s="384">
        <f t="shared" si="2"/>
        <v>0</v>
      </c>
      <c r="I768" s="385">
        <f t="shared" si="3"/>
        <v>0</v>
      </c>
    </row>
    <row r="769" ht="22.5" customHeight="1">
      <c r="A769" s="391"/>
      <c r="B769" s="379"/>
      <c r="C769" s="393"/>
      <c r="D769" s="392"/>
      <c r="E769" s="392"/>
      <c r="F769" s="383" t="str">
        <f t="shared" si="1"/>
        <v/>
      </c>
      <c r="G769" s="384" t="str">
        <f>IFERROR(__xludf.DUMMYFUNCTION("IFERROR(AVERAGE(FILTER('حضور '!I:I,'حضور '!A:A=A769,MONTH('حضور '!B:B)=J769)),"""")"),"")</f>
        <v/>
      </c>
      <c r="H769" s="384">
        <f t="shared" si="2"/>
        <v>0</v>
      </c>
      <c r="I769" s="385">
        <f t="shared" si="3"/>
        <v>0</v>
      </c>
    </row>
    <row r="770" ht="22.5" customHeight="1">
      <c r="A770" s="391"/>
      <c r="B770" s="379"/>
      <c r="C770" s="393"/>
      <c r="D770" s="392"/>
      <c r="E770" s="392"/>
      <c r="F770" s="383" t="str">
        <f t="shared" si="1"/>
        <v/>
      </c>
      <c r="G770" s="384" t="str">
        <f>IFERROR(__xludf.DUMMYFUNCTION("IFERROR(AVERAGE(FILTER('حضور '!I:I,'حضور '!A:A=A770,MONTH('حضور '!B:B)=J770)),"""")"),"")</f>
        <v/>
      </c>
      <c r="H770" s="384">
        <f t="shared" si="2"/>
        <v>0</v>
      </c>
      <c r="I770" s="385">
        <f t="shared" si="3"/>
        <v>0</v>
      </c>
    </row>
    <row r="771" ht="22.5" customHeight="1">
      <c r="A771" s="391"/>
      <c r="B771" s="379"/>
      <c r="C771" s="393"/>
      <c r="D771" s="392"/>
      <c r="E771" s="392"/>
      <c r="F771" s="383" t="str">
        <f t="shared" si="1"/>
        <v/>
      </c>
      <c r="G771" s="384" t="str">
        <f>IFERROR(__xludf.DUMMYFUNCTION("IFERROR(AVERAGE(FILTER('حضور '!I:I,'حضور '!A:A=A771,MONTH('حضور '!B:B)=J771)),"""")"),"")</f>
        <v/>
      </c>
      <c r="H771" s="384">
        <f t="shared" si="2"/>
        <v>0</v>
      </c>
      <c r="I771" s="385">
        <f t="shared" si="3"/>
        <v>0</v>
      </c>
    </row>
    <row r="772" ht="22.5" customHeight="1">
      <c r="A772" s="391"/>
      <c r="B772" s="379"/>
      <c r="C772" s="393"/>
      <c r="D772" s="392"/>
      <c r="E772" s="392"/>
      <c r="F772" s="383" t="str">
        <f t="shared" si="1"/>
        <v/>
      </c>
      <c r="G772" s="384" t="str">
        <f>IFERROR(__xludf.DUMMYFUNCTION("IFERROR(AVERAGE(FILTER('حضور '!I:I,'حضور '!A:A=A772,MONTH('حضور '!B:B)=J772)),"""")"),"")</f>
        <v/>
      </c>
      <c r="H772" s="384">
        <f t="shared" si="2"/>
        <v>0</v>
      </c>
      <c r="I772" s="385">
        <f t="shared" si="3"/>
        <v>0</v>
      </c>
    </row>
    <row r="773" ht="22.5" customHeight="1">
      <c r="A773" s="391"/>
      <c r="B773" s="379"/>
      <c r="C773" s="393"/>
      <c r="D773" s="392"/>
      <c r="E773" s="392"/>
      <c r="F773" s="383" t="str">
        <f t="shared" si="1"/>
        <v/>
      </c>
      <c r="G773" s="384" t="str">
        <f>IFERROR(__xludf.DUMMYFUNCTION("IFERROR(AVERAGE(FILTER('حضور '!I:I,'حضور '!A:A=A773,MONTH('حضور '!B:B)=J773)),"""")"),"")</f>
        <v/>
      </c>
      <c r="H773" s="384">
        <f t="shared" si="2"/>
        <v>0</v>
      </c>
      <c r="I773" s="385">
        <f t="shared" si="3"/>
        <v>0</v>
      </c>
    </row>
    <row r="774" ht="22.5" customHeight="1">
      <c r="A774" s="391"/>
      <c r="B774" s="379"/>
      <c r="C774" s="393"/>
      <c r="D774" s="392"/>
      <c r="E774" s="392"/>
      <c r="F774" s="383" t="str">
        <f t="shared" si="1"/>
        <v/>
      </c>
      <c r="G774" s="384" t="str">
        <f>IFERROR(__xludf.DUMMYFUNCTION("IFERROR(AVERAGE(FILTER('حضور '!I:I,'حضور '!A:A=A774,MONTH('حضور '!B:B)=J774)),"""")"),"")</f>
        <v/>
      </c>
      <c r="H774" s="384">
        <f t="shared" si="2"/>
        <v>0</v>
      </c>
      <c r="I774" s="385">
        <f t="shared" si="3"/>
        <v>0</v>
      </c>
    </row>
    <row r="775" ht="22.5" customHeight="1">
      <c r="A775" s="391"/>
      <c r="B775" s="379"/>
      <c r="C775" s="393"/>
      <c r="D775" s="392"/>
      <c r="E775" s="392"/>
      <c r="F775" s="383" t="str">
        <f t="shared" si="1"/>
        <v/>
      </c>
      <c r="G775" s="384" t="str">
        <f>IFERROR(__xludf.DUMMYFUNCTION("IFERROR(AVERAGE(FILTER('حضور '!I:I,'حضور '!A:A=A775,MONTH('حضور '!B:B)=J775)),"""")"),"")</f>
        <v/>
      </c>
      <c r="H775" s="384">
        <f t="shared" si="2"/>
        <v>0</v>
      </c>
      <c r="I775" s="385">
        <f t="shared" si="3"/>
        <v>0</v>
      </c>
    </row>
    <row r="776" ht="22.5" customHeight="1">
      <c r="A776" s="391"/>
      <c r="B776" s="379"/>
      <c r="C776" s="393"/>
      <c r="D776" s="392"/>
      <c r="E776" s="392"/>
      <c r="F776" s="383" t="str">
        <f t="shared" si="1"/>
        <v/>
      </c>
      <c r="G776" s="384" t="str">
        <f>IFERROR(__xludf.DUMMYFUNCTION("IFERROR(AVERAGE(FILTER('حضور '!I:I,'حضور '!A:A=A776,MONTH('حضور '!B:B)=J776)),"""")"),"")</f>
        <v/>
      </c>
      <c r="H776" s="384">
        <f t="shared" si="2"/>
        <v>0</v>
      </c>
      <c r="I776" s="385">
        <f t="shared" si="3"/>
        <v>0</v>
      </c>
    </row>
    <row r="777" ht="22.5" customHeight="1">
      <c r="A777" s="391"/>
      <c r="B777" s="379"/>
      <c r="C777" s="393"/>
      <c r="D777" s="392"/>
      <c r="E777" s="392"/>
      <c r="F777" s="383" t="str">
        <f t="shared" si="1"/>
        <v/>
      </c>
      <c r="G777" s="384" t="str">
        <f>IFERROR(__xludf.DUMMYFUNCTION("IFERROR(AVERAGE(FILTER('حضور '!I:I,'حضور '!A:A=A777,MONTH('حضور '!B:B)=J777)),"""")"),"")</f>
        <v/>
      </c>
      <c r="H777" s="384">
        <f t="shared" si="2"/>
        <v>0</v>
      </c>
      <c r="I777" s="385">
        <f t="shared" si="3"/>
        <v>0</v>
      </c>
    </row>
    <row r="778" ht="22.5" customHeight="1">
      <c r="A778" s="391"/>
      <c r="B778" s="379"/>
      <c r="C778" s="393"/>
      <c r="D778" s="392"/>
      <c r="E778" s="392"/>
      <c r="F778" s="383" t="str">
        <f t="shared" si="1"/>
        <v/>
      </c>
      <c r="G778" s="384" t="str">
        <f>IFERROR(__xludf.DUMMYFUNCTION("IFERROR(AVERAGE(FILTER('حضور '!I:I,'حضور '!A:A=A778,MONTH('حضور '!B:B)=J778)),"""")"),"")</f>
        <v/>
      </c>
      <c r="H778" s="384">
        <f t="shared" si="2"/>
        <v>0</v>
      </c>
      <c r="I778" s="385">
        <f t="shared" si="3"/>
        <v>0</v>
      </c>
    </row>
    <row r="779" ht="22.5" customHeight="1">
      <c r="A779" s="391"/>
      <c r="B779" s="379"/>
      <c r="C779" s="393"/>
      <c r="D779" s="392"/>
      <c r="E779" s="392"/>
      <c r="F779" s="383" t="str">
        <f t="shared" si="1"/>
        <v/>
      </c>
      <c r="G779" s="384" t="str">
        <f>IFERROR(__xludf.DUMMYFUNCTION("IFERROR(AVERAGE(FILTER('حضور '!I:I,'حضور '!A:A=A779,MONTH('حضور '!B:B)=J779)),"""")"),"")</f>
        <v/>
      </c>
      <c r="H779" s="384">
        <f t="shared" si="2"/>
        <v>0</v>
      </c>
      <c r="I779" s="385">
        <f t="shared" si="3"/>
        <v>0</v>
      </c>
    </row>
    <row r="780" ht="22.5" customHeight="1">
      <c r="A780" s="391"/>
      <c r="B780" s="379"/>
      <c r="C780" s="393"/>
      <c r="D780" s="392"/>
      <c r="E780" s="392"/>
      <c r="F780" s="383" t="str">
        <f t="shared" si="1"/>
        <v/>
      </c>
      <c r="G780" s="384" t="str">
        <f>IFERROR(__xludf.DUMMYFUNCTION("IFERROR(AVERAGE(FILTER('حضور '!I:I,'حضور '!A:A=A780,MONTH('حضور '!B:B)=J780)),"""")"),"")</f>
        <v/>
      </c>
      <c r="H780" s="384">
        <f t="shared" si="2"/>
        <v>0</v>
      </c>
      <c r="I780" s="385">
        <f t="shared" si="3"/>
        <v>0</v>
      </c>
    </row>
    <row r="781" ht="22.5" customHeight="1">
      <c r="A781" s="391"/>
      <c r="B781" s="379"/>
      <c r="C781" s="393"/>
      <c r="D781" s="392"/>
      <c r="E781" s="392"/>
      <c r="F781" s="383" t="str">
        <f t="shared" si="1"/>
        <v/>
      </c>
      <c r="G781" s="384" t="str">
        <f>IFERROR(__xludf.DUMMYFUNCTION("IFERROR(AVERAGE(FILTER('حضور '!I:I,'حضور '!A:A=A781,MONTH('حضور '!B:B)=J781)),"""")"),"")</f>
        <v/>
      </c>
      <c r="H781" s="384">
        <f t="shared" si="2"/>
        <v>0</v>
      </c>
      <c r="I781" s="385">
        <f t="shared" si="3"/>
        <v>0</v>
      </c>
    </row>
    <row r="782" ht="22.5" customHeight="1">
      <c r="A782" s="391"/>
      <c r="B782" s="379"/>
      <c r="C782" s="393"/>
      <c r="D782" s="392"/>
      <c r="E782" s="392"/>
      <c r="F782" s="383" t="str">
        <f t="shared" si="1"/>
        <v/>
      </c>
      <c r="G782" s="384" t="str">
        <f>IFERROR(__xludf.DUMMYFUNCTION("IFERROR(AVERAGE(FILTER('حضور '!I:I,'حضور '!A:A=A782,MONTH('حضور '!B:B)=J782)),"""")"),"")</f>
        <v/>
      </c>
      <c r="H782" s="384">
        <f t="shared" si="2"/>
        <v>0</v>
      </c>
      <c r="I782" s="385">
        <f t="shared" si="3"/>
        <v>0</v>
      </c>
    </row>
    <row r="783" ht="22.5" customHeight="1">
      <c r="A783" s="391"/>
      <c r="B783" s="379"/>
      <c r="C783" s="393"/>
      <c r="D783" s="392"/>
      <c r="E783" s="392"/>
      <c r="F783" s="383" t="str">
        <f t="shared" si="1"/>
        <v/>
      </c>
      <c r="G783" s="384" t="str">
        <f>IFERROR(__xludf.DUMMYFUNCTION("IFERROR(AVERAGE(FILTER('حضور '!I:I,'حضور '!A:A=A783,MONTH('حضور '!B:B)=J783)),"""")"),"")</f>
        <v/>
      </c>
      <c r="H783" s="384">
        <f t="shared" si="2"/>
        <v>0</v>
      </c>
      <c r="I783" s="385">
        <f t="shared" si="3"/>
        <v>0</v>
      </c>
    </row>
    <row r="784" ht="22.5" customHeight="1">
      <c r="A784" s="391"/>
      <c r="B784" s="379"/>
      <c r="C784" s="393"/>
      <c r="D784" s="392"/>
      <c r="E784" s="392"/>
      <c r="F784" s="383" t="str">
        <f t="shared" si="1"/>
        <v/>
      </c>
      <c r="G784" s="384" t="str">
        <f>IFERROR(__xludf.DUMMYFUNCTION("IFERROR(AVERAGE(FILTER('حضور '!I:I,'حضور '!A:A=A784,MONTH('حضور '!B:B)=J784)),"""")"),"")</f>
        <v/>
      </c>
      <c r="H784" s="384">
        <f t="shared" si="2"/>
        <v>0</v>
      </c>
      <c r="I784" s="385">
        <f t="shared" si="3"/>
        <v>0</v>
      </c>
    </row>
    <row r="785" ht="22.5" customHeight="1">
      <c r="A785" s="391"/>
      <c r="B785" s="379"/>
      <c r="C785" s="393"/>
      <c r="D785" s="392"/>
      <c r="E785" s="392"/>
      <c r="F785" s="383" t="str">
        <f t="shared" si="1"/>
        <v/>
      </c>
      <c r="G785" s="384" t="str">
        <f>IFERROR(__xludf.DUMMYFUNCTION("IFERROR(AVERAGE(FILTER('حضور '!I:I,'حضور '!A:A=A785,MONTH('حضور '!B:B)=J785)),"""")"),"")</f>
        <v/>
      </c>
      <c r="H785" s="384">
        <f t="shared" si="2"/>
        <v>0</v>
      </c>
      <c r="I785" s="385">
        <f t="shared" si="3"/>
        <v>0</v>
      </c>
    </row>
    <row r="786" ht="22.5" customHeight="1">
      <c r="A786" s="391"/>
      <c r="B786" s="379"/>
      <c r="C786" s="393"/>
      <c r="D786" s="392"/>
      <c r="E786" s="392"/>
      <c r="F786" s="383" t="str">
        <f t="shared" si="1"/>
        <v/>
      </c>
      <c r="G786" s="384" t="str">
        <f>IFERROR(__xludf.DUMMYFUNCTION("IFERROR(AVERAGE(FILTER('حضور '!I:I,'حضور '!A:A=A786,MONTH('حضور '!B:B)=J786)),"""")"),"")</f>
        <v/>
      </c>
      <c r="H786" s="384">
        <f t="shared" si="2"/>
        <v>0</v>
      </c>
      <c r="I786" s="385">
        <f t="shared" si="3"/>
        <v>0</v>
      </c>
    </row>
    <row r="787" ht="22.5" customHeight="1">
      <c r="A787" s="391"/>
      <c r="B787" s="379"/>
      <c r="C787" s="393"/>
      <c r="D787" s="392"/>
      <c r="E787" s="392"/>
      <c r="F787" s="383" t="str">
        <f t="shared" si="1"/>
        <v/>
      </c>
      <c r="G787" s="384" t="str">
        <f>IFERROR(__xludf.DUMMYFUNCTION("IFERROR(AVERAGE(FILTER('حضور '!I:I,'حضور '!A:A=A787,MONTH('حضور '!B:B)=J787)),"""")"),"")</f>
        <v/>
      </c>
      <c r="H787" s="384">
        <f t="shared" si="2"/>
        <v>0</v>
      </c>
      <c r="I787" s="385">
        <f t="shared" si="3"/>
        <v>0</v>
      </c>
    </row>
    <row r="788" ht="22.5" customHeight="1">
      <c r="A788" s="391"/>
      <c r="B788" s="379"/>
      <c r="C788" s="393"/>
      <c r="D788" s="392"/>
      <c r="E788" s="392"/>
      <c r="F788" s="383" t="str">
        <f t="shared" si="1"/>
        <v/>
      </c>
      <c r="G788" s="384" t="str">
        <f>IFERROR(__xludf.DUMMYFUNCTION("IFERROR(AVERAGE(FILTER('حضور '!I:I,'حضور '!A:A=A788,MONTH('حضور '!B:B)=J788)),"""")"),"")</f>
        <v/>
      </c>
      <c r="H788" s="384">
        <f t="shared" si="2"/>
        <v>0</v>
      </c>
      <c r="I788" s="385">
        <f t="shared" si="3"/>
        <v>0</v>
      </c>
    </row>
    <row r="789" ht="22.5" customHeight="1">
      <c r="A789" s="391"/>
      <c r="B789" s="379"/>
      <c r="C789" s="393"/>
      <c r="D789" s="392"/>
      <c r="E789" s="392"/>
      <c r="F789" s="383" t="str">
        <f t="shared" si="1"/>
        <v/>
      </c>
      <c r="G789" s="384" t="str">
        <f>IFERROR(__xludf.DUMMYFUNCTION("IFERROR(AVERAGE(FILTER('حضور '!I:I,'حضور '!A:A=A789,MONTH('حضور '!B:B)=J789)),"""")"),"")</f>
        <v/>
      </c>
      <c r="H789" s="384">
        <f t="shared" si="2"/>
        <v>0</v>
      </c>
      <c r="I789" s="385">
        <f t="shared" si="3"/>
        <v>0</v>
      </c>
    </row>
    <row r="790" ht="22.5" customHeight="1">
      <c r="A790" s="391"/>
      <c r="B790" s="379"/>
      <c r="C790" s="393"/>
      <c r="D790" s="392"/>
      <c r="E790" s="392"/>
      <c r="F790" s="383" t="str">
        <f t="shared" si="1"/>
        <v/>
      </c>
      <c r="G790" s="384" t="str">
        <f>IFERROR(__xludf.DUMMYFUNCTION("IFERROR(AVERAGE(FILTER('حضور '!I:I,'حضور '!A:A=A790,MONTH('حضور '!B:B)=J790)),"""")"),"")</f>
        <v/>
      </c>
      <c r="H790" s="384">
        <f t="shared" si="2"/>
        <v>0</v>
      </c>
      <c r="I790" s="385">
        <f t="shared" si="3"/>
        <v>0</v>
      </c>
    </row>
    <row r="791" ht="22.5" customHeight="1">
      <c r="A791" s="391"/>
      <c r="B791" s="379"/>
      <c r="C791" s="393"/>
      <c r="D791" s="392"/>
      <c r="E791" s="392"/>
      <c r="F791" s="383" t="str">
        <f t="shared" si="1"/>
        <v/>
      </c>
      <c r="G791" s="384" t="str">
        <f>IFERROR(__xludf.DUMMYFUNCTION("IFERROR(AVERAGE(FILTER('حضور '!I:I,'حضور '!A:A=A791,MONTH('حضور '!B:B)=J791)),"""")"),"")</f>
        <v/>
      </c>
      <c r="H791" s="384">
        <f t="shared" si="2"/>
        <v>0</v>
      </c>
      <c r="I791" s="385">
        <f t="shared" si="3"/>
        <v>0</v>
      </c>
    </row>
    <row r="792" ht="22.5" customHeight="1">
      <c r="A792" s="391"/>
      <c r="B792" s="379"/>
      <c r="C792" s="393"/>
      <c r="D792" s="392"/>
      <c r="E792" s="392"/>
      <c r="F792" s="383" t="str">
        <f t="shared" si="1"/>
        <v/>
      </c>
      <c r="G792" s="384" t="str">
        <f>IFERROR(__xludf.DUMMYFUNCTION("IFERROR(AVERAGE(FILTER('حضور '!I:I,'حضور '!A:A=A792,MONTH('حضور '!B:B)=J792)),"""")"),"")</f>
        <v/>
      </c>
      <c r="H792" s="384">
        <f t="shared" si="2"/>
        <v>0</v>
      </c>
      <c r="I792" s="385">
        <f t="shared" si="3"/>
        <v>0</v>
      </c>
    </row>
    <row r="793" ht="22.5" customHeight="1">
      <c r="A793" s="391"/>
      <c r="B793" s="379"/>
      <c r="C793" s="393"/>
      <c r="D793" s="392"/>
      <c r="E793" s="392"/>
      <c r="F793" s="383" t="str">
        <f t="shared" si="1"/>
        <v/>
      </c>
      <c r="G793" s="384" t="str">
        <f>IFERROR(__xludf.DUMMYFUNCTION("IFERROR(AVERAGE(FILTER('حضور '!I:I,'حضور '!A:A=A793,MONTH('حضور '!B:B)=J793)),"""")"),"")</f>
        <v/>
      </c>
      <c r="H793" s="384">
        <f t="shared" si="2"/>
        <v>0</v>
      </c>
      <c r="I793" s="385">
        <f t="shared" si="3"/>
        <v>0</v>
      </c>
    </row>
    <row r="794" ht="22.5" customHeight="1">
      <c r="A794" s="391"/>
      <c r="B794" s="379"/>
      <c r="C794" s="393"/>
      <c r="D794" s="392"/>
      <c r="E794" s="392"/>
      <c r="F794" s="383" t="str">
        <f t="shared" si="1"/>
        <v/>
      </c>
      <c r="G794" s="384" t="str">
        <f>IFERROR(__xludf.DUMMYFUNCTION("IFERROR(AVERAGE(FILTER('حضور '!I:I,'حضور '!A:A=A794,MONTH('حضور '!B:B)=J794)),"""")"),"")</f>
        <v/>
      </c>
      <c r="H794" s="384">
        <f t="shared" si="2"/>
        <v>0</v>
      </c>
      <c r="I794" s="385">
        <f t="shared" si="3"/>
        <v>0</v>
      </c>
    </row>
    <row r="795" ht="22.5" customHeight="1">
      <c r="A795" s="391"/>
      <c r="B795" s="379"/>
      <c r="C795" s="393"/>
      <c r="D795" s="392"/>
      <c r="E795" s="392"/>
      <c r="F795" s="383" t="str">
        <f t="shared" si="1"/>
        <v/>
      </c>
      <c r="G795" s="384" t="str">
        <f>IFERROR(__xludf.DUMMYFUNCTION("IFERROR(AVERAGE(FILTER('حضور '!I:I,'حضور '!A:A=A795,MONTH('حضور '!B:B)=J795)),"""")"),"")</f>
        <v/>
      </c>
      <c r="H795" s="384">
        <f t="shared" si="2"/>
        <v>0</v>
      </c>
      <c r="I795" s="385">
        <f t="shared" si="3"/>
        <v>0</v>
      </c>
    </row>
    <row r="796" ht="22.5" customHeight="1">
      <c r="A796" s="391"/>
      <c r="B796" s="379"/>
      <c r="C796" s="393"/>
      <c r="D796" s="392"/>
      <c r="E796" s="392"/>
      <c r="F796" s="383" t="str">
        <f t="shared" si="1"/>
        <v/>
      </c>
      <c r="G796" s="384" t="str">
        <f>IFERROR(__xludf.DUMMYFUNCTION("IFERROR(AVERAGE(FILTER('حضور '!I:I,'حضور '!A:A=A796,MONTH('حضور '!B:B)=J796)),"""")"),"")</f>
        <v/>
      </c>
      <c r="H796" s="384">
        <f t="shared" si="2"/>
        <v>0</v>
      </c>
      <c r="I796" s="385">
        <f t="shared" si="3"/>
        <v>0</v>
      </c>
    </row>
    <row r="797" ht="22.5" customHeight="1">
      <c r="A797" s="391"/>
      <c r="B797" s="379"/>
      <c r="C797" s="393"/>
      <c r="D797" s="392"/>
      <c r="E797" s="392"/>
      <c r="F797" s="383" t="str">
        <f t="shared" si="1"/>
        <v/>
      </c>
      <c r="G797" s="384" t="str">
        <f>IFERROR(__xludf.DUMMYFUNCTION("IFERROR(AVERAGE(FILTER('حضور '!I:I,'حضور '!A:A=A797,MONTH('حضور '!B:B)=J797)),"""")"),"")</f>
        <v/>
      </c>
      <c r="H797" s="384">
        <f t="shared" si="2"/>
        <v>0</v>
      </c>
      <c r="I797" s="385">
        <f t="shared" si="3"/>
        <v>0</v>
      </c>
    </row>
    <row r="798" ht="22.5" customHeight="1">
      <c r="A798" s="391"/>
      <c r="B798" s="379"/>
      <c r="C798" s="393"/>
      <c r="D798" s="392"/>
      <c r="E798" s="392"/>
      <c r="F798" s="383" t="str">
        <f t="shared" si="1"/>
        <v/>
      </c>
      <c r="G798" s="384" t="str">
        <f>IFERROR(__xludf.DUMMYFUNCTION("IFERROR(AVERAGE(FILTER('حضور '!I:I,'حضور '!A:A=A798,MONTH('حضور '!B:B)=J798)),"""")"),"")</f>
        <v/>
      </c>
      <c r="H798" s="384">
        <f t="shared" si="2"/>
        <v>0</v>
      </c>
      <c r="I798" s="385">
        <f t="shared" si="3"/>
        <v>0</v>
      </c>
    </row>
    <row r="799" ht="22.5" customHeight="1">
      <c r="A799" s="391"/>
      <c r="B799" s="379"/>
      <c r="C799" s="393"/>
      <c r="D799" s="392"/>
      <c r="E799" s="392"/>
      <c r="F799" s="383" t="str">
        <f t="shared" si="1"/>
        <v/>
      </c>
      <c r="G799" s="384" t="str">
        <f>IFERROR(__xludf.DUMMYFUNCTION("IFERROR(AVERAGE(FILTER('حضور '!I:I,'حضور '!A:A=A799,MONTH('حضور '!B:B)=J799)),"""")"),"")</f>
        <v/>
      </c>
      <c r="H799" s="384">
        <f t="shared" si="2"/>
        <v>0</v>
      </c>
      <c r="I799" s="385">
        <f t="shared" si="3"/>
        <v>0</v>
      </c>
    </row>
    <row r="800" ht="22.5" customHeight="1">
      <c r="A800" s="391"/>
      <c r="B800" s="379"/>
      <c r="C800" s="393"/>
      <c r="D800" s="392"/>
      <c r="E800" s="392"/>
      <c r="F800" s="383" t="str">
        <f t="shared" si="1"/>
        <v/>
      </c>
      <c r="G800" s="384" t="str">
        <f>IFERROR(__xludf.DUMMYFUNCTION("IFERROR(AVERAGE(FILTER('حضور '!I:I,'حضور '!A:A=A800,MONTH('حضور '!B:B)=J800)),"""")"),"")</f>
        <v/>
      </c>
      <c r="H800" s="384">
        <f t="shared" si="2"/>
        <v>0</v>
      </c>
      <c r="I800" s="385">
        <f t="shared" si="3"/>
        <v>0</v>
      </c>
    </row>
    <row r="801" ht="22.5" customHeight="1">
      <c r="A801" s="391"/>
      <c r="B801" s="379"/>
      <c r="C801" s="393"/>
      <c r="D801" s="392"/>
      <c r="E801" s="392"/>
      <c r="F801" s="383" t="str">
        <f t="shared" si="1"/>
        <v/>
      </c>
      <c r="G801" s="384" t="str">
        <f>IFERROR(__xludf.DUMMYFUNCTION("IFERROR(AVERAGE(FILTER('حضور '!I:I,'حضور '!A:A=A801,MONTH('حضور '!B:B)=J801)),"""")"),"")</f>
        <v/>
      </c>
      <c r="H801" s="384">
        <f t="shared" si="2"/>
        <v>0</v>
      </c>
      <c r="I801" s="385">
        <f t="shared" si="3"/>
        <v>0</v>
      </c>
    </row>
    <row r="802" ht="22.5" customHeight="1">
      <c r="A802" s="391"/>
      <c r="B802" s="379"/>
      <c r="C802" s="393"/>
      <c r="D802" s="392"/>
      <c r="E802" s="392"/>
      <c r="F802" s="383" t="str">
        <f t="shared" si="1"/>
        <v/>
      </c>
      <c r="G802" s="384" t="str">
        <f>IFERROR(__xludf.DUMMYFUNCTION("IFERROR(AVERAGE(FILTER('حضور '!I:I,'حضور '!A:A=A802,MONTH('حضور '!B:B)=J802)),"""")"),"")</f>
        <v/>
      </c>
      <c r="H802" s="384">
        <f t="shared" si="2"/>
        <v>0</v>
      </c>
      <c r="I802" s="385">
        <f t="shared" si="3"/>
        <v>0</v>
      </c>
    </row>
    <row r="803" ht="22.5" customHeight="1">
      <c r="A803" s="391"/>
      <c r="B803" s="379"/>
      <c r="C803" s="393"/>
      <c r="D803" s="392"/>
      <c r="E803" s="392"/>
      <c r="F803" s="383" t="str">
        <f t="shared" si="1"/>
        <v/>
      </c>
      <c r="G803" s="384" t="str">
        <f>IFERROR(__xludf.DUMMYFUNCTION("IFERROR(AVERAGE(FILTER('حضور '!I:I,'حضور '!A:A=A803,MONTH('حضور '!B:B)=J803)),"""")"),"")</f>
        <v/>
      </c>
      <c r="H803" s="384">
        <f t="shared" si="2"/>
        <v>0</v>
      </c>
      <c r="I803" s="385">
        <f t="shared" si="3"/>
        <v>0</v>
      </c>
    </row>
    <row r="804" ht="22.5" customHeight="1">
      <c r="A804" s="391"/>
      <c r="B804" s="379"/>
      <c r="C804" s="393"/>
      <c r="D804" s="392"/>
      <c r="E804" s="392"/>
      <c r="F804" s="383" t="str">
        <f t="shared" si="1"/>
        <v/>
      </c>
      <c r="G804" s="384" t="str">
        <f>IFERROR(__xludf.DUMMYFUNCTION("IFERROR(AVERAGE(FILTER('حضور '!I:I,'حضور '!A:A=A804,MONTH('حضور '!B:B)=J804)),"""")"),"")</f>
        <v/>
      </c>
      <c r="H804" s="384">
        <f t="shared" si="2"/>
        <v>0</v>
      </c>
      <c r="I804" s="385">
        <f t="shared" si="3"/>
        <v>0</v>
      </c>
    </row>
    <row r="805" ht="22.5" customHeight="1">
      <c r="A805" s="391"/>
      <c r="B805" s="379"/>
      <c r="C805" s="393"/>
      <c r="D805" s="392"/>
      <c r="E805" s="392"/>
      <c r="F805" s="383" t="str">
        <f t="shared" si="1"/>
        <v/>
      </c>
      <c r="G805" s="384" t="str">
        <f>IFERROR(__xludf.DUMMYFUNCTION("IFERROR(AVERAGE(FILTER('حضور '!I:I,'حضور '!A:A=A805,MONTH('حضور '!B:B)=J805)),"""")"),"")</f>
        <v/>
      </c>
      <c r="H805" s="384">
        <f t="shared" si="2"/>
        <v>0</v>
      </c>
      <c r="I805" s="385">
        <f t="shared" si="3"/>
        <v>0</v>
      </c>
    </row>
    <row r="806" ht="22.5" customHeight="1">
      <c r="A806" s="391"/>
      <c r="B806" s="379"/>
      <c r="C806" s="393"/>
      <c r="D806" s="392"/>
      <c r="E806" s="392"/>
      <c r="F806" s="383" t="str">
        <f t="shared" si="1"/>
        <v/>
      </c>
      <c r="G806" s="384" t="str">
        <f>IFERROR(__xludf.DUMMYFUNCTION("IFERROR(AVERAGE(FILTER('حضور '!I:I,'حضور '!A:A=A806,MONTH('حضور '!B:B)=J806)),"""")"),"")</f>
        <v/>
      </c>
      <c r="H806" s="384">
        <f t="shared" si="2"/>
        <v>0</v>
      </c>
      <c r="I806" s="385">
        <f t="shared" si="3"/>
        <v>0</v>
      </c>
    </row>
    <row r="807" ht="22.5" customHeight="1">
      <c r="A807" s="391"/>
      <c r="B807" s="379"/>
      <c r="C807" s="393"/>
      <c r="D807" s="392"/>
      <c r="E807" s="392"/>
      <c r="F807" s="383" t="str">
        <f t="shared" si="1"/>
        <v/>
      </c>
      <c r="G807" s="384" t="str">
        <f>IFERROR(__xludf.DUMMYFUNCTION("IFERROR(AVERAGE(FILTER('حضور '!I:I,'حضور '!A:A=A807,MONTH('حضور '!B:B)=J807)),"""")"),"")</f>
        <v/>
      </c>
      <c r="H807" s="384">
        <f t="shared" si="2"/>
        <v>0</v>
      </c>
      <c r="I807" s="385">
        <f t="shared" si="3"/>
        <v>0</v>
      </c>
    </row>
    <row r="808" ht="22.5" customHeight="1">
      <c r="A808" s="391"/>
      <c r="B808" s="379"/>
      <c r="C808" s="393"/>
      <c r="D808" s="392"/>
      <c r="E808" s="392"/>
      <c r="F808" s="383" t="str">
        <f t="shared" si="1"/>
        <v/>
      </c>
      <c r="G808" s="384" t="str">
        <f>IFERROR(__xludf.DUMMYFUNCTION("IFERROR(AVERAGE(FILTER('حضور '!I:I,'حضور '!A:A=A808,MONTH('حضور '!B:B)=J808)),"""")"),"")</f>
        <v/>
      </c>
      <c r="H808" s="384">
        <f t="shared" si="2"/>
        <v>0</v>
      </c>
      <c r="I808" s="385">
        <f t="shared" si="3"/>
        <v>0</v>
      </c>
    </row>
    <row r="809" ht="22.5" customHeight="1">
      <c r="A809" s="391"/>
      <c r="B809" s="379"/>
      <c r="C809" s="393"/>
      <c r="D809" s="392"/>
      <c r="E809" s="392"/>
      <c r="F809" s="383" t="str">
        <f t="shared" si="1"/>
        <v/>
      </c>
      <c r="G809" s="384" t="str">
        <f>IFERROR(__xludf.DUMMYFUNCTION("IFERROR(AVERAGE(FILTER('حضور '!I:I,'حضور '!A:A=A809,MONTH('حضور '!B:B)=J809)),"""")"),"")</f>
        <v/>
      </c>
      <c r="H809" s="384">
        <f t="shared" si="2"/>
        <v>0</v>
      </c>
      <c r="I809" s="385">
        <f t="shared" si="3"/>
        <v>0</v>
      </c>
    </row>
    <row r="810" ht="22.5" customHeight="1">
      <c r="A810" s="391"/>
      <c r="B810" s="379"/>
      <c r="C810" s="393"/>
      <c r="D810" s="392"/>
      <c r="E810" s="392"/>
      <c r="F810" s="383" t="str">
        <f t="shared" si="1"/>
        <v/>
      </c>
      <c r="G810" s="384" t="str">
        <f>IFERROR(__xludf.DUMMYFUNCTION("IFERROR(AVERAGE(FILTER('حضور '!I:I,'حضور '!A:A=A810,MONTH('حضور '!B:B)=J810)),"""")"),"")</f>
        <v/>
      </c>
      <c r="H810" s="384">
        <f t="shared" si="2"/>
        <v>0</v>
      </c>
      <c r="I810" s="385">
        <f t="shared" si="3"/>
        <v>0</v>
      </c>
    </row>
    <row r="811" ht="22.5" customHeight="1">
      <c r="A811" s="391"/>
      <c r="B811" s="379"/>
      <c r="C811" s="393"/>
      <c r="D811" s="392"/>
      <c r="E811" s="392"/>
      <c r="F811" s="383" t="str">
        <f t="shared" si="1"/>
        <v/>
      </c>
      <c r="G811" s="384" t="str">
        <f>IFERROR(__xludf.DUMMYFUNCTION("IFERROR(AVERAGE(FILTER('حضور '!I:I,'حضور '!A:A=A811,MONTH('حضور '!B:B)=J811)),"""")"),"")</f>
        <v/>
      </c>
      <c r="H811" s="384">
        <f t="shared" si="2"/>
        <v>0</v>
      </c>
      <c r="I811" s="385">
        <f t="shared" si="3"/>
        <v>0</v>
      </c>
    </row>
    <row r="812" ht="22.5" customHeight="1">
      <c r="A812" s="391"/>
      <c r="B812" s="379"/>
      <c r="C812" s="393"/>
      <c r="D812" s="392"/>
      <c r="E812" s="392"/>
      <c r="F812" s="383" t="str">
        <f t="shared" si="1"/>
        <v/>
      </c>
      <c r="G812" s="384" t="str">
        <f>IFERROR(__xludf.DUMMYFUNCTION("IFERROR(AVERAGE(FILTER('حضور '!I:I,'حضور '!A:A=A812,MONTH('حضور '!B:B)=J812)),"""")"),"")</f>
        <v/>
      </c>
      <c r="H812" s="384">
        <f t="shared" si="2"/>
        <v>0</v>
      </c>
      <c r="I812" s="385">
        <f t="shared" si="3"/>
        <v>0</v>
      </c>
    </row>
    <row r="813" ht="22.5" customHeight="1">
      <c r="A813" s="391"/>
      <c r="B813" s="379"/>
      <c r="C813" s="393"/>
      <c r="D813" s="392"/>
      <c r="E813" s="392"/>
      <c r="F813" s="383" t="str">
        <f t="shared" si="1"/>
        <v/>
      </c>
      <c r="G813" s="384" t="str">
        <f>IFERROR(__xludf.DUMMYFUNCTION("IFERROR(AVERAGE(FILTER('حضور '!I:I,'حضور '!A:A=A813,MONTH('حضور '!B:B)=J813)),"""")"),"")</f>
        <v/>
      </c>
      <c r="H813" s="384">
        <f t="shared" si="2"/>
        <v>0</v>
      </c>
      <c r="I813" s="385">
        <f t="shared" si="3"/>
        <v>0</v>
      </c>
    </row>
    <row r="814" ht="22.5" customHeight="1">
      <c r="A814" s="391"/>
      <c r="B814" s="379"/>
      <c r="C814" s="393"/>
      <c r="D814" s="392"/>
      <c r="E814" s="392"/>
      <c r="F814" s="383" t="str">
        <f t="shared" si="1"/>
        <v/>
      </c>
      <c r="G814" s="384" t="str">
        <f>IFERROR(__xludf.DUMMYFUNCTION("IFERROR(AVERAGE(FILTER('حضور '!I:I,'حضور '!A:A=A814,MONTH('حضور '!B:B)=J814)),"""")"),"")</f>
        <v/>
      </c>
      <c r="H814" s="384">
        <f t="shared" si="2"/>
        <v>0</v>
      </c>
      <c r="I814" s="385">
        <f t="shared" si="3"/>
        <v>0</v>
      </c>
    </row>
    <row r="815" ht="22.5" customHeight="1">
      <c r="A815" s="391"/>
      <c r="B815" s="379"/>
      <c r="C815" s="393"/>
      <c r="D815" s="392"/>
      <c r="E815" s="392"/>
      <c r="F815" s="383" t="str">
        <f t="shared" si="1"/>
        <v/>
      </c>
      <c r="G815" s="384" t="str">
        <f>IFERROR(__xludf.DUMMYFUNCTION("IFERROR(AVERAGE(FILTER('حضور '!I:I,'حضور '!A:A=A815,MONTH('حضور '!B:B)=J815)),"""")"),"")</f>
        <v/>
      </c>
      <c r="H815" s="384">
        <f t="shared" si="2"/>
        <v>0</v>
      </c>
      <c r="I815" s="385">
        <f t="shared" si="3"/>
        <v>0</v>
      </c>
    </row>
    <row r="816" ht="22.5" customHeight="1">
      <c r="A816" s="391"/>
      <c r="B816" s="379"/>
      <c r="C816" s="393"/>
      <c r="D816" s="392"/>
      <c r="E816" s="392"/>
      <c r="F816" s="383" t="str">
        <f t="shared" si="1"/>
        <v/>
      </c>
      <c r="G816" s="384" t="str">
        <f>IFERROR(__xludf.DUMMYFUNCTION("IFERROR(AVERAGE(FILTER('حضور '!I:I,'حضور '!A:A=A816,MONTH('حضور '!B:B)=J816)),"""")"),"")</f>
        <v/>
      </c>
      <c r="H816" s="384">
        <f t="shared" si="2"/>
        <v>0</v>
      </c>
      <c r="I816" s="385">
        <f t="shared" si="3"/>
        <v>0</v>
      </c>
    </row>
    <row r="817" ht="22.5" customHeight="1">
      <c r="A817" s="391"/>
      <c r="B817" s="379"/>
      <c r="C817" s="393"/>
      <c r="D817" s="392"/>
      <c r="E817" s="392"/>
      <c r="F817" s="383" t="str">
        <f t="shared" si="1"/>
        <v/>
      </c>
      <c r="G817" s="384" t="str">
        <f>IFERROR(__xludf.DUMMYFUNCTION("IFERROR(AVERAGE(FILTER('حضور '!I:I,'حضور '!A:A=A817,MONTH('حضور '!B:B)=J817)),"""")"),"")</f>
        <v/>
      </c>
      <c r="H817" s="384">
        <f t="shared" si="2"/>
        <v>0</v>
      </c>
      <c r="I817" s="385">
        <f t="shared" si="3"/>
        <v>0</v>
      </c>
    </row>
    <row r="818" ht="22.5" customHeight="1">
      <c r="A818" s="391"/>
      <c r="B818" s="379"/>
      <c r="C818" s="393"/>
      <c r="D818" s="392"/>
      <c r="E818" s="392"/>
      <c r="F818" s="383" t="str">
        <f t="shared" si="1"/>
        <v/>
      </c>
      <c r="G818" s="384" t="str">
        <f>IFERROR(__xludf.DUMMYFUNCTION("IFERROR(AVERAGE(FILTER('حضور '!I:I,'حضور '!A:A=A818,MONTH('حضور '!B:B)=J818)),"""")"),"")</f>
        <v/>
      </c>
      <c r="H818" s="384">
        <f t="shared" si="2"/>
        <v>0</v>
      </c>
      <c r="I818" s="385">
        <f t="shared" si="3"/>
        <v>0</v>
      </c>
    </row>
    <row r="819" ht="22.5" customHeight="1">
      <c r="A819" s="391"/>
      <c r="B819" s="379"/>
      <c r="C819" s="393"/>
      <c r="D819" s="392"/>
      <c r="E819" s="392"/>
      <c r="F819" s="383" t="str">
        <f t="shared" si="1"/>
        <v/>
      </c>
      <c r="G819" s="384" t="str">
        <f>IFERROR(__xludf.DUMMYFUNCTION("IFERROR(AVERAGE(FILTER('حضور '!I:I,'حضور '!A:A=A819,MONTH('حضور '!B:B)=J819)),"""")"),"")</f>
        <v/>
      </c>
      <c r="H819" s="384">
        <f t="shared" si="2"/>
        <v>0</v>
      </c>
      <c r="I819" s="385">
        <f t="shared" si="3"/>
        <v>0</v>
      </c>
    </row>
    <row r="820" ht="22.5" customHeight="1">
      <c r="A820" s="391"/>
      <c r="B820" s="379"/>
      <c r="C820" s="393"/>
      <c r="D820" s="392"/>
      <c r="E820" s="392"/>
      <c r="F820" s="383" t="str">
        <f t="shared" si="1"/>
        <v/>
      </c>
      <c r="G820" s="384" t="str">
        <f>IFERROR(__xludf.DUMMYFUNCTION("IFERROR(AVERAGE(FILTER('حضور '!I:I,'حضور '!A:A=A820,MONTH('حضور '!B:B)=J820)),"""")"),"")</f>
        <v/>
      </c>
      <c r="H820" s="384">
        <f t="shared" si="2"/>
        <v>0</v>
      </c>
      <c r="I820" s="385">
        <f t="shared" si="3"/>
        <v>0</v>
      </c>
    </row>
    <row r="821" ht="22.5" customHeight="1">
      <c r="A821" s="391"/>
      <c r="B821" s="379"/>
      <c r="C821" s="393"/>
      <c r="D821" s="392"/>
      <c r="E821" s="392"/>
      <c r="F821" s="383" t="str">
        <f t="shared" si="1"/>
        <v/>
      </c>
      <c r="G821" s="384" t="str">
        <f>IFERROR(__xludf.DUMMYFUNCTION("IFERROR(AVERAGE(FILTER('حضور '!I:I,'حضور '!A:A=A821,MONTH('حضور '!B:B)=J821)),"""")"),"")</f>
        <v/>
      </c>
      <c r="H821" s="384">
        <f t="shared" si="2"/>
        <v>0</v>
      </c>
      <c r="I821" s="385">
        <f t="shared" si="3"/>
        <v>0</v>
      </c>
    </row>
    <row r="822" ht="22.5" customHeight="1">
      <c r="A822" s="391"/>
      <c r="B822" s="379"/>
      <c r="C822" s="393"/>
      <c r="D822" s="392"/>
      <c r="E822" s="392"/>
      <c r="F822" s="383" t="str">
        <f t="shared" si="1"/>
        <v/>
      </c>
      <c r="G822" s="384" t="str">
        <f>IFERROR(__xludf.DUMMYFUNCTION("IFERROR(AVERAGE(FILTER('حضور '!I:I,'حضور '!A:A=A822,MONTH('حضور '!B:B)=J822)),"""")"),"")</f>
        <v/>
      </c>
      <c r="H822" s="384">
        <f t="shared" si="2"/>
        <v>0</v>
      </c>
      <c r="I822" s="385">
        <f t="shared" si="3"/>
        <v>0</v>
      </c>
    </row>
    <row r="823" ht="22.5" customHeight="1">
      <c r="A823" s="391"/>
      <c r="B823" s="379"/>
      <c r="C823" s="393"/>
      <c r="D823" s="392"/>
      <c r="E823" s="392"/>
      <c r="F823" s="383" t="str">
        <f t="shared" si="1"/>
        <v/>
      </c>
      <c r="G823" s="384" t="str">
        <f>IFERROR(__xludf.DUMMYFUNCTION("IFERROR(AVERAGE(FILTER('حضور '!I:I,'حضور '!A:A=A823,MONTH('حضور '!B:B)=J823)),"""")"),"")</f>
        <v/>
      </c>
      <c r="H823" s="384">
        <f t="shared" si="2"/>
        <v>0</v>
      </c>
      <c r="I823" s="385">
        <f t="shared" si="3"/>
        <v>0</v>
      </c>
    </row>
    <row r="824" ht="22.5" customHeight="1">
      <c r="A824" s="391"/>
      <c r="B824" s="379"/>
      <c r="C824" s="393"/>
      <c r="D824" s="392"/>
      <c r="E824" s="392"/>
      <c r="F824" s="383" t="str">
        <f t="shared" si="1"/>
        <v/>
      </c>
      <c r="G824" s="384" t="str">
        <f>IFERROR(__xludf.DUMMYFUNCTION("IFERROR(AVERAGE(FILTER('حضور '!I:I,'حضور '!A:A=A824,MONTH('حضور '!B:B)=J824)),"""")"),"")</f>
        <v/>
      </c>
      <c r="H824" s="384">
        <f t="shared" si="2"/>
        <v>0</v>
      </c>
      <c r="I824" s="385">
        <f t="shared" si="3"/>
        <v>0</v>
      </c>
    </row>
    <row r="825" ht="22.5" customHeight="1">
      <c r="A825" s="391"/>
      <c r="B825" s="379"/>
      <c r="C825" s="393"/>
      <c r="D825" s="392"/>
      <c r="E825" s="392"/>
      <c r="F825" s="383" t="str">
        <f t="shared" si="1"/>
        <v/>
      </c>
      <c r="G825" s="384" t="str">
        <f>IFERROR(__xludf.DUMMYFUNCTION("IFERROR(AVERAGE(FILTER('حضور '!I:I,'حضور '!A:A=A825,MONTH('حضور '!B:B)=J825)),"""")"),"")</f>
        <v/>
      </c>
      <c r="H825" s="384">
        <f t="shared" si="2"/>
        <v>0</v>
      </c>
      <c r="I825" s="385">
        <f t="shared" si="3"/>
        <v>0</v>
      </c>
    </row>
    <row r="826" ht="22.5" customHeight="1">
      <c r="A826" s="391"/>
      <c r="B826" s="379"/>
      <c r="C826" s="393"/>
      <c r="D826" s="392"/>
      <c r="E826" s="392"/>
      <c r="F826" s="383" t="str">
        <f t="shared" si="1"/>
        <v/>
      </c>
      <c r="G826" s="384" t="str">
        <f>IFERROR(__xludf.DUMMYFUNCTION("IFERROR(AVERAGE(FILTER('حضور '!I:I,'حضور '!A:A=A826,MONTH('حضور '!B:B)=J826)),"""")"),"")</f>
        <v/>
      </c>
      <c r="H826" s="384">
        <f t="shared" si="2"/>
        <v>0</v>
      </c>
      <c r="I826" s="385">
        <f t="shared" si="3"/>
        <v>0</v>
      </c>
    </row>
    <row r="827" ht="22.5" customHeight="1">
      <c r="A827" s="391"/>
      <c r="B827" s="379"/>
      <c r="C827" s="393"/>
      <c r="D827" s="392"/>
      <c r="E827" s="392"/>
      <c r="F827" s="383" t="str">
        <f t="shared" si="1"/>
        <v/>
      </c>
      <c r="G827" s="384" t="str">
        <f>IFERROR(__xludf.DUMMYFUNCTION("IFERROR(AVERAGE(FILTER('حضور '!I:I,'حضور '!A:A=A827,MONTH('حضور '!B:B)=J827)),"""")"),"")</f>
        <v/>
      </c>
      <c r="H827" s="384">
        <f t="shared" si="2"/>
        <v>0</v>
      </c>
      <c r="I827" s="385">
        <f t="shared" si="3"/>
        <v>0</v>
      </c>
    </row>
    <row r="828" ht="22.5" customHeight="1">
      <c r="A828" s="391"/>
      <c r="B828" s="379"/>
      <c r="C828" s="393"/>
      <c r="D828" s="392"/>
      <c r="E828" s="392"/>
      <c r="F828" s="383" t="str">
        <f t="shared" si="1"/>
        <v/>
      </c>
      <c r="G828" s="384" t="str">
        <f>IFERROR(__xludf.DUMMYFUNCTION("IFERROR(AVERAGE(FILTER('حضور '!I:I,'حضور '!A:A=A828,MONTH('حضور '!B:B)=J828)),"""")"),"")</f>
        <v/>
      </c>
      <c r="H828" s="384">
        <f t="shared" si="2"/>
        <v>0</v>
      </c>
      <c r="I828" s="385">
        <f t="shared" si="3"/>
        <v>0</v>
      </c>
    </row>
    <row r="829" ht="22.5" customHeight="1">
      <c r="A829" s="391"/>
      <c r="B829" s="379"/>
      <c r="C829" s="393"/>
      <c r="D829" s="392"/>
      <c r="E829" s="392"/>
      <c r="F829" s="383" t="str">
        <f t="shared" si="1"/>
        <v/>
      </c>
      <c r="G829" s="384" t="str">
        <f>IFERROR(__xludf.DUMMYFUNCTION("IFERROR(AVERAGE(FILTER('حضور '!I:I,'حضور '!A:A=A829,MONTH('حضور '!B:B)=J829)),"""")"),"")</f>
        <v/>
      </c>
      <c r="H829" s="384">
        <f t="shared" si="2"/>
        <v>0</v>
      </c>
      <c r="I829" s="385">
        <f t="shared" si="3"/>
        <v>0</v>
      </c>
    </row>
    <row r="830" ht="22.5" customHeight="1">
      <c r="A830" s="391"/>
      <c r="B830" s="379"/>
      <c r="C830" s="393"/>
      <c r="D830" s="392"/>
      <c r="E830" s="392"/>
      <c r="F830" s="383" t="str">
        <f t="shared" si="1"/>
        <v/>
      </c>
      <c r="G830" s="384" t="str">
        <f>IFERROR(__xludf.DUMMYFUNCTION("IFERROR(AVERAGE(FILTER('حضور '!I:I,'حضور '!A:A=A830,MONTH('حضور '!B:B)=J830)),"""")"),"")</f>
        <v/>
      </c>
      <c r="H830" s="384">
        <f t="shared" si="2"/>
        <v>0</v>
      </c>
      <c r="I830" s="385">
        <f t="shared" si="3"/>
        <v>0</v>
      </c>
    </row>
    <row r="831" ht="22.5" customHeight="1">
      <c r="A831" s="391"/>
      <c r="B831" s="379"/>
      <c r="C831" s="393"/>
      <c r="D831" s="392"/>
      <c r="E831" s="392"/>
      <c r="F831" s="383" t="str">
        <f t="shared" si="1"/>
        <v/>
      </c>
      <c r="G831" s="384" t="str">
        <f>IFERROR(__xludf.DUMMYFUNCTION("IFERROR(AVERAGE(FILTER('حضور '!I:I,'حضور '!A:A=A831,MONTH('حضور '!B:B)=J831)),"""")"),"")</f>
        <v/>
      </c>
      <c r="H831" s="384">
        <f t="shared" si="2"/>
        <v>0</v>
      </c>
      <c r="I831" s="385">
        <f t="shared" si="3"/>
        <v>0</v>
      </c>
    </row>
    <row r="832" ht="22.5" customHeight="1">
      <c r="A832" s="391"/>
      <c r="B832" s="379"/>
      <c r="C832" s="393"/>
      <c r="D832" s="392"/>
      <c r="E832" s="392"/>
      <c r="F832" s="383" t="str">
        <f t="shared" si="1"/>
        <v/>
      </c>
      <c r="G832" s="384" t="str">
        <f>IFERROR(__xludf.DUMMYFUNCTION("IFERROR(AVERAGE(FILTER('حضور '!I:I,'حضور '!A:A=A832,MONTH('حضور '!B:B)=J832)),"""")"),"")</f>
        <v/>
      </c>
      <c r="H832" s="384">
        <f t="shared" si="2"/>
        <v>0</v>
      </c>
      <c r="I832" s="385">
        <f t="shared" si="3"/>
        <v>0</v>
      </c>
    </row>
    <row r="833" ht="22.5" customHeight="1">
      <c r="A833" s="391"/>
      <c r="B833" s="379"/>
      <c r="C833" s="393"/>
      <c r="D833" s="392"/>
      <c r="E833" s="392"/>
      <c r="F833" s="383" t="str">
        <f t="shared" si="1"/>
        <v/>
      </c>
      <c r="G833" s="384" t="str">
        <f>IFERROR(__xludf.DUMMYFUNCTION("IFERROR(AVERAGE(FILTER('حضور '!I:I,'حضور '!A:A=A833,MONTH('حضور '!B:B)=J833)),"""")"),"")</f>
        <v/>
      </c>
      <c r="H833" s="384">
        <f t="shared" si="2"/>
        <v>0</v>
      </c>
      <c r="I833" s="385">
        <f t="shared" si="3"/>
        <v>0</v>
      </c>
    </row>
    <row r="834" ht="22.5" customHeight="1">
      <c r="A834" s="391"/>
      <c r="B834" s="379"/>
      <c r="C834" s="393"/>
      <c r="D834" s="392"/>
      <c r="E834" s="392"/>
      <c r="F834" s="383" t="str">
        <f t="shared" si="1"/>
        <v/>
      </c>
      <c r="G834" s="384" t="str">
        <f>IFERROR(__xludf.DUMMYFUNCTION("IFERROR(AVERAGE(FILTER('حضور '!I:I,'حضور '!A:A=A834,MONTH('حضور '!B:B)=J834)),"""")"),"")</f>
        <v/>
      </c>
      <c r="H834" s="384">
        <f t="shared" si="2"/>
        <v>0</v>
      </c>
      <c r="I834" s="385">
        <f t="shared" si="3"/>
        <v>0</v>
      </c>
    </row>
    <row r="835" ht="22.5" customHeight="1">
      <c r="A835" s="391"/>
      <c r="B835" s="379"/>
      <c r="C835" s="393"/>
      <c r="D835" s="392"/>
      <c r="E835" s="392"/>
      <c r="F835" s="383" t="str">
        <f t="shared" si="1"/>
        <v/>
      </c>
      <c r="G835" s="384" t="str">
        <f>IFERROR(__xludf.DUMMYFUNCTION("IFERROR(AVERAGE(FILTER('حضور '!I:I,'حضور '!A:A=A835,MONTH('حضور '!B:B)=J835)),"""")"),"")</f>
        <v/>
      </c>
      <c r="H835" s="384">
        <f t="shared" si="2"/>
        <v>0</v>
      </c>
      <c r="I835" s="385">
        <f t="shared" si="3"/>
        <v>0</v>
      </c>
    </row>
    <row r="836" ht="22.5" customHeight="1">
      <c r="A836" s="391"/>
      <c r="B836" s="379"/>
      <c r="C836" s="393"/>
      <c r="D836" s="392"/>
      <c r="E836" s="392"/>
      <c r="F836" s="383" t="str">
        <f t="shared" si="1"/>
        <v/>
      </c>
      <c r="G836" s="384" t="str">
        <f>IFERROR(__xludf.DUMMYFUNCTION("IFERROR(AVERAGE(FILTER('حضور '!I:I,'حضور '!A:A=A836,MONTH('حضور '!B:B)=J836)),"""")"),"")</f>
        <v/>
      </c>
      <c r="H836" s="384">
        <f t="shared" si="2"/>
        <v>0</v>
      </c>
      <c r="I836" s="385">
        <f t="shared" si="3"/>
        <v>0</v>
      </c>
    </row>
    <row r="837" ht="22.5" customHeight="1">
      <c r="A837" s="391"/>
      <c r="B837" s="379"/>
      <c r="C837" s="393"/>
      <c r="D837" s="392"/>
      <c r="E837" s="392"/>
      <c r="F837" s="383" t="str">
        <f t="shared" si="1"/>
        <v/>
      </c>
      <c r="G837" s="384" t="str">
        <f>IFERROR(__xludf.DUMMYFUNCTION("IFERROR(AVERAGE(FILTER('حضور '!I:I,'حضور '!A:A=A837,MONTH('حضور '!B:B)=J837)),"""")"),"")</f>
        <v/>
      </c>
      <c r="H837" s="384">
        <f t="shared" si="2"/>
        <v>0</v>
      </c>
      <c r="I837" s="385">
        <f t="shared" si="3"/>
        <v>0</v>
      </c>
    </row>
    <row r="838" ht="22.5" customHeight="1">
      <c r="A838" s="391"/>
      <c r="B838" s="379"/>
      <c r="C838" s="393"/>
      <c r="D838" s="392"/>
      <c r="E838" s="392"/>
      <c r="F838" s="383" t="str">
        <f t="shared" si="1"/>
        <v/>
      </c>
      <c r="G838" s="384" t="str">
        <f>IFERROR(__xludf.DUMMYFUNCTION("IFERROR(AVERAGE(FILTER('حضور '!I:I,'حضور '!A:A=A838,MONTH('حضور '!B:B)=J838)),"""")"),"")</f>
        <v/>
      </c>
      <c r="H838" s="384">
        <f t="shared" si="2"/>
        <v>0</v>
      </c>
      <c r="I838" s="385">
        <f t="shared" si="3"/>
        <v>0</v>
      </c>
    </row>
    <row r="839" ht="22.5" customHeight="1">
      <c r="A839" s="391"/>
      <c r="B839" s="379"/>
      <c r="C839" s="393"/>
      <c r="D839" s="392"/>
      <c r="E839" s="392"/>
      <c r="F839" s="383" t="str">
        <f t="shared" si="1"/>
        <v/>
      </c>
      <c r="G839" s="384" t="str">
        <f>IFERROR(__xludf.DUMMYFUNCTION("IFERROR(AVERAGE(FILTER('حضور '!I:I,'حضور '!A:A=A839,MONTH('حضور '!B:B)=J839)),"""")"),"")</f>
        <v/>
      </c>
      <c r="H839" s="384">
        <f t="shared" si="2"/>
        <v>0</v>
      </c>
      <c r="I839" s="385">
        <f t="shared" si="3"/>
        <v>0</v>
      </c>
    </row>
    <row r="840" ht="22.5" customHeight="1">
      <c r="A840" s="391"/>
      <c r="B840" s="379"/>
      <c r="C840" s="393"/>
      <c r="D840" s="392"/>
      <c r="E840" s="392"/>
      <c r="F840" s="383" t="str">
        <f t="shared" si="1"/>
        <v/>
      </c>
      <c r="G840" s="384" t="str">
        <f>IFERROR(__xludf.DUMMYFUNCTION("IFERROR(AVERAGE(FILTER('حضور '!I:I,'حضور '!A:A=A840,MONTH('حضور '!B:B)=J840)),"""")"),"")</f>
        <v/>
      </c>
      <c r="H840" s="384">
        <f t="shared" si="2"/>
        <v>0</v>
      </c>
      <c r="I840" s="385">
        <f t="shared" si="3"/>
        <v>0</v>
      </c>
    </row>
    <row r="841" ht="22.5" customHeight="1">
      <c r="A841" s="391"/>
      <c r="B841" s="379"/>
      <c r="C841" s="393"/>
      <c r="D841" s="392"/>
      <c r="E841" s="392"/>
      <c r="F841" s="383" t="str">
        <f t="shared" si="1"/>
        <v/>
      </c>
      <c r="G841" s="384" t="str">
        <f>IFERROR(__xludf.DUMMYFUNCTION("IFERROR(AVERAGE(FILTER('حضور '!I:I,'حضور '!A:A=A841,MONTH('حضور '!B:B)=J841)),"""")"),"")</f>
        <v/>
      </c>
      <c r="H841" s="384">
        <f t="shared" si="2"/>
        <v>0</v>
      </c>
      <c r="I841" s="385">
        <f t="shared" si="3"/>
        <v>0</v>
      </c>
    </row>
    <row r="842" ht="22.5" customHeight="1">
      <c r="A842" s="391"/>
      <c r="B842" s="379"/>
      <c r="C842" s="393"/>
      <c r="D842" s="392"/>
      <c r="E842" s="392"/>
      <c r="F842" s="383" t="str">
        <f t="shared" si="1"/>
        <v/>
      </c>
      <c r="G842" s="384" t="str">
        <f>IFERROR(__xludf.DUMMYFUNCTION("IFERROR(AVERAGE(FILTER('حضور '!I:I,'حضور '!A:A=A842,MONTH('حضور '!B:B)=J842)),"""")"),"")</f>
        <v/>
      </c>
      <c r="H842" s="384">
        <f t="shared" si="2"/>
        <v>0</v>
      </c>
      <c r="I842" s="385">
        <f t="shared" si="3"/>
        <v>0</v>
      </c>
    </row>
    <row r="843" ht="22.5" customHeight="1">
      <c r="A843" s="391"/>
      <c r="B843" s="379"/>
      <c r="C843" s="393"/>
      <c r="D843" s="392"/>
      <c r="E843" s="392"/>
      <c r="F843" s="383" t="str">
        <f t="shared" si="1"/>
        <v/>
      </c>
      <c r="G843" s="384" t="str">
        <f>IFERROR(__xludf.DUMMYFUNCTION("IFERROR(AVERAGE(FILTER('حضور '!I:I,'حضور '!A:A=A843,MONTH('حضور '!B:B)=J843)),"""")"),"")</f>
        <v/>
      </c>
      <c r="H843" s="384">
        <f t="shared" si="2"/>
        <v>0</v>
      </c>
      <c r="I843" s="385">
        <f t="shared" si="3"/>
        <v>0</v>
      </c>
    </row>
    <row r="844" ht="22.5" customHeight="1">
      <c r="A844" s="391"/>
      <c r="B844" s="379"/>
      <c r="C844" s="393"/>
      <c r="D844" s="392"/>
      <c r="E844" s="392"/>
      <c r="F844" s="383" t="str">
        <f t="shared" si="1"/>
        <v/>
      </c>
      <c r="G844" s="384" t="str">
        <f>IFERROR(__xludf.DUMMYFUNCTION("IFERROR(AVERAGE(FILTER('حضور '!I:I,'حضور '!A:A=A844,MONTH('حضور '!B:B)=J844)),"""")"),"")</f>
        <v/>
      </c>
      <c r="H844" s="384">
        <f t="shared" si="2"/>
        <v>0</v>
      </c>
      <c r="I844" s="385">
        <f t="shared" si="3"/>
        <v>0</v>
      </c>
    </row>
    <row r="845" ht="22.5" customHeight="1">
      <c r="A845" s="391"/>
      <c r="B845" s="379"/>
      <c r="C845" s="393"/>
      <c r="D845" s="392"/>
      <c r="E845" s="392"/>
      <c r="F845" s="383" t="str">
        <f t="shared" si="1"/>
        <v/>
      </c>
      <c r="G845" s="384" t="str">
        <f>IFERROR(__xludf.DUMMYFUNCTION("IFERROR(AVERAGE(FILTER('حضور '!I:I,'حضور '!A:A=A845,MONTH('حضور '!B:B)=J845)),"""")"),"")</f>
        <v/>
      </c>
      <c r="H845" s="384">
        <f t="shared" si="2"/>
        <v>0</v>
      </c>
      <c r="I845" s="385">
        <f t="shared" si="3"/>
        <v>0</v>
      </c>
    </row>
    <row r="846" ht="22.5" customHeight="1">
      <c r="A846" s="391"/>
      <c r="B846" s="379"/>
      <c r="C846" s="393"/>
      <c r="D846" s="392"/>
      <c r="E846" s="392"/>
      <c r="F846" s="383" t="str">
        <f t="shared" si="1"/>
        <v/>
      </c>
      <c r="G846" s="384" t="str">
        <f>IFERROR(__xludf.DUMMYFUNCTION("IFERROR(AVERAGE(FILTER('حضور '!I:I,'حضور '!A:A=A846,MONTH('حضور '!B:B)=J846)),"""")"),"")</f>
        <v/>
      </c>
      <c r="H846" s="384">
        <f t="shared" si="2"/>
        <v>0</v>
      </c>
      <c r="I846" s="385">
        <f t="shared" si="3"/>
        <v>0</v>
      </c>
    </row>
    <row r="847" ht="22.5" customHeight="1">
      <c r="A847" s="391"/>
      <c r="B847" s="379"/>
      <c r="C847" s="393"/>
      <c r="D847" s="392"/>
      <c r="E847" s="392"/>
      <c r="F847" s="383" t="str">
        <f t="shared" si="1"/>
        <v/>
      </c>
      <c r="G847" s="384" t="str">
        <f>IFERROR(__xludf.DUMMYFUNCTION("IFERROR(AVERAGE(FILTER('حضور '!I:I,'حضور '!A:A=A847,MONTH('حضور '!B:B)=J847)),"""")"),"")</f>
        <v/>
      </c>
      <c r="H847" s="384">
        <f t="shared" si="2"/>
        <v>0</v>
      </c>
      <c r="I847" s="385">
        <f t="shared" si="3"/>
        <v>0</v>
      </c>
    </row>
    <row r="848" ht="22.5" customHeight="1">
      <c r="A848" s="391"/>
      <c r="B848" s="379"/>
      <c r="C848" s="393"/>
      <c r="D848" s="392"/>
      <c r="E848" s="392"/>
      <c r="F848" s="383" t="str">
        <f t="shared" si="1"/>
        <v/>
      </c>
      <c r="G848" s="384" t="str">
        <f>IFERROR(__xludf.DUMMYFUNCTION("IFERROR(AVERAGE(FILTER('حضور '!I:I,'حضور '!A:A=A848,MONTH('حضور '!B:B)=J848)),"""")"),"")</f>
        <v/>
      </c>
      <c r="H848" s="384">
        <f t="shared" si="2"/>
        <v>0</v>
      </c>
      <c r="I848" s="385">
        <f t="shared" si="3"/>
        <v>0</v>
      </c>
    </row>
    <row r="849" ht="22.5" customHeight="1">
      <c r="A849" s="391"/>
      <c r="B849" s="379"/>
      <c r="C849" s="393"/>
      <c r="D849" s="392"/>
      <c r="E849" s="392"/>
      <c r="F849" s="383" t="str">
        <f t="shared" si="1"/>
        <v/>
      </c>
      <c r="G849" s="384" t="str">
        <f>IFERROR(__xludf.DUMMYFUNCTION("IFERROR(AVERAGE(FILTER('حضور '!I:I,'حضور '!A:A=A849,MONTH('حضور '!B:B)=J849)),"""")"),"")</f>
        <v/>
      </c>
      <c r="H849" s="384">
        <f t="shared" si="2"/>
        <v>0</v>
      </c>
      <c r="I849" s="385">
        <f t="shared" si="3"/>
        <v>0</v>
      </c>
    </row>
    <row r="850" ht="22.5" customHeight="1">
      <c r="A850" s="391"/>
      <c r="B850" s="379"/>
      <c r="C850" s="393"/>
      <c r="D850" s="392"/>
      <c r="E850" s="392"/>
      <c r="F850" s="383" t="str">
        <f t="shared" si="1"/>
        <v/>
      </c>
      <c r="G850" s="384" t="str">
        <f>IFERROR(__xludf.DUMMYFUNCTION("IFERROR(AVERAGE(FILTER('حضور '!I:I,'حضور '!A:A=A850,MONTH('حضور '!B:B)=J850)),"""")"),"")</f>
        <v/>
      </c>
      <c r="H850" s="384">
        <f t="shared" si="2"/>
        <v>0</v>
      </c>
      <c r="I850" s="385">
        <f t="shared" si="3"/>
        <v>0</v>
      </c>
    </row>
    <row r="851" ht="22.5" customHeight="1">
      <c r="A851" s="391"/>
      <c r="B851" s="379"/>
      <c r="C851" s="393"/>
      <c r="D851" s="392"/>
      <c r="E851" s="392"/>
      <c r="F851" s="383" t="str">
        <f t="shared" si="1"/>
        <v/>
      </c>
      <c r="G851" s="384" t="str">
        <f>IFERROR(__xludf.DUMMYFUNCTION("IFERROR(AVERAGE(FILTER('حضور '!I:I,'حضور '!A:A=A851,MONTH('حضور '!B:B)=J851)),"""")"),"")</f>
        <v/>
      </c>
      <c r="H851" s="384">
        <f t="shared" si="2"/>
        <v>0</v>
      </c>
      <c r="I851" s="385">
        <f t="shared" si="3"/>
        <v>0</v>
      </c>
    </row>
    <row r="852" ht="22.5" customHeight="1">
      <c r="A852" s="391"/>
      <c r="B852" s="379"/>
      <c r="C852" s="393"/>
      <c r="D852" s="392"/>
      <c r="E852" s="392"/>
      <c r="F852" s="383" t="str">
        <f t="shared" si="1"/>
        <v/>
      </c>
      <c r="G852" s="384" t="str">
        <f>IFERROR(__xludf.DUMMYFUNCTION("IFERROR(AVERAGE(FILTER('حضور '!I:I,'حضور '!A:A=A852,MONTH('حضور '!B:B)=J852)),"""")"),"")</f>
        <v/>
      </c>
      <c r="H852" s="384">
        <f t="shared" si="2"/>
        <v>0</v>
      </c>
      <c r="I852" s="385">
        <f t="shared" si="3"/>
        <v>0</v>
      </c>
    </row>
    <row r="853" ht="22.5" customHeight="1">
      <c r="A853" s="391"/>
      <c r="B853" s="379"/>
      <c r="C853" s="393"/>
      <c r="D853" s="392"/>
      <c r="E853" s="392"/>
      <c r="F853" s="383" t="str">
        <f t="shared" si="1"/>
        <v/>
      </c>
      <c r="G853" s="384" t="str">
        <f>IFERROR(__xludf.DUMMYFUNCTION("IFERROR(AVERAGE(FILTER('حضور '!I:I,'حضور '!A:A=A853,MONTH('حضور '!B:B)=J853)),"""")"),"")</f>
        <v/>
      </c>
      <c r="H853" s="384">
        <f t="shared" si="2"/>
        <v>0</v>
      </c>
      <c r="I853" s="385">
        <f t="shared" si="3"/>
        <v>0</v>
      </c>
    </row>
    <row r="854" ht="22.5" customHeight="1">
      <c r="A854" s="391"/>
      <c r="B854" s="379"/>
      <c r="C854" s="393"/>
      <c r="D854" s="392"/>
      <c r="E854" s="392"/>
      <c r="F854" s="383" t="str">
        <f t="shared" si="1"/>
        <v/>
      </c>
      <c r="G854" s="384" t="str">
        <f>IFERROR(__xludf.DUMMYFUNCTION("IFERROR(AVERAGE(FILTER('حضور '!I:I,'حضور '!A:A=A854,MONTH('حضور '!B:B)=J854)),"""")"),"")</f>
        <v/>
      </c>
      <c r="H854" s="384">
        <f t="shared" si="2"/>
        <v>0</v>
      </c>
      <c r="I854" s="385">
        <f t="shared" si="3"/>
        <v>0</v>
      </c>
    </row>
    <row r="855" ht="22.5" customHeight="1">
      <c r="A855" s="391"/>
      <c r="B855" s="379"/>
      <c r="C855" s="393"/>
      <c r="D855" s="392"/>
      <c r="E855" s="392"/>
      <c r="F855" s="383" t="str">
        <f t="shared" si="1"/>
        <v/>
      </c>
      <c r="G855" s="384" t="str">
        <f>IFERROR(__xludf.DUMMYFUNCTION("IFERROR(AVERAGE(FILTER('حضور '!I:I,'حضور '!A:A=A855,MONTH('حضور '!B:B)=J855)),"""")"),"")</f>
        <v/>
      </c>
      <c r="H855" s="384">
        <f t="shared" si="2"/>
        <v>0</v>
      </c>
      <c r="I855" s="385">
        <f t="shared" si="3"/>
        <v>0</v>
      </c>
    </row>
    <row r="856" ht="22.5" customHeight="1">
      <c r="A856" s="391"/>
      <c r="B856" s="379"/>
      <c r="C856" s="393"/>
      <c r="D856" s="392"/>
      <c r="E856" s="392"/>
      <c r="F856" s="383" t="str">
        <f t="shared" si="1"/>
        <v/>
      </c>
      <c r="G856" s="384" t="str">
        <f>IFERROR(__xludf.DUMMYFUNCTION("IFERROR(AVERAGE(FILTER('حضور '!I:I,'حضور '!A:A=A856,MONTH('حضور '!B:B)=J856)),"""")"),"")</f>
        <v/>
      </c>
      <c r="H856" s="384">
        <f t="shared" si="2"/>
        <v>0</v>
      </c>
      <c r="I856" s="385">
        <f t="shared" si="3"/>
        <v>0</v>
      </c>
    </row>
    <row r="857" ht="22.5" customHeight="1">
      <c r="A857" s="391"/>
      <c r="B857" s="379"/>
      <c r="C857" s="393"/>
      <c r="D857" s="392"/>
      <c r="E857" s="392"/>
      <c r="F857" s="383" t="str">
        <f t="shared" si="1"/>
        <v/>
      </c>
      <c r="G857" s="384" t="str">
        <f>IFERROR(__xludf.DUMMYFUNCTION("IFERROR(AVERAGE(FILTER('حضور '!I:I,'حضور '!A:A=A857,MONTH('حضور '!B:B)=J857)),"""")"),"")</f>
        <v/>
      </c>
      <c r="H857" s="384">
        <f t="shared" si="2"/>
        <v>0</v>
      </c>
      <c r="I857" s="385">
        <f t="shared" si="3"/>
        <v>0</v>
      </c>
    </row>
    <row r="858" ht="22.5" customHeight="1">
      <c r="A858" s="391"/>
      <c r="B858" s="379"/>
      <c r="C858" s="393"/>
      <c r="D858" s="392"/>
      <c r="E858" s="392"/>
      <c r="F858" s="383" t="str">
        <f t="shared" si="1"/>
        <v/>
      </c>
      <c r="G858" s="384" t="str">
        <f>IFERROR(__xludf.DUMMYFUNCTION("IFERROR(AVERAGE(FILTER('حضور '!I:I,'حضور '!A:A=A858,MONTH('حضور '!B:B)=J858)),"""")"),"")</f>
        <v/>
      </c>
      <c r="H858" s="384">
        <f t="shared" si="2"/>
        <v>0</v>
      </c>
      <c r="I858" s="385">
        <f t="shared" si="3"/>
        <v>0</v>
      </c>
    </row>
    <row r="859" ht="22.5" customHeight="1">
      <c r="A859" s="391"/>
      <c r="B859" s="379"/>
      <c r="C859" s="393"/>
      <c r="D859" s="392"/>
      <c r="E859" s="392"/>
      <c r="F859" s="383" t="str">
        <f t="shared" si="1"/>
        <v/>
      </c>
      <c r="G859" s="384" t="str">
        <f>IFERROR(__xludf.DUMMYFUNCTION("IFERROR(AVERAGE(FILTER('حضور '!I:I,'حضور '!A:A=A859,MONTH('حضور '!B:B)=J859)),"""")"),"")</f>
        <v/>
      </c>
      <c r="H859" s="384">
        <f t="shared" si="2"/>
        <v>0</v>
      </c>
      <c r="I859" s="385">
        <f t="shared" si="3"/>
        <v>0</v>
      </c>
    </row>
    <row r="860" ht="22.5" customHeight="1">
      <c r="A860" s="391"/>
      <c r="B860" s="379"/>
      <c r="C860" s="393"/>
      <c r="D860" s="392"/>
      <c r="E860" s="392"/>
      <c r="F860" s="383" t="str">
        <f t="shared" si="1"/>
        <v/>
      </c>
      <c r="G860" s="384" t="str">
        <f>IFERROR(__xludf.DUMMYFUNCTION("IFERROR(AVERAGE(FILTER('حضور '!I:I,'حضور '!A:A=A860,MONTH('حضور '!B:B)=J860)),"""")"),"")</f>
        <v/>
      </c>
      <c r="H860" s="384">
        <f t="shared" si="2"/>
        <v>0</v>
      </c>
      <c r="I860" s="385">
        <f t="shared" si="3"/>
        <v>0</v>
      </c>
    </row>
    <row r="861" ht="22.5" customHeight="1">
      <c r="A861" s="391"/>
      <c r="B861" s="379"/>
      <c r="C861" s="393"/>
      <c r="D861" s="392"/>
      <c r="E861" s="392"/>
      <c r="F861" s="383" t="str">
        <f t="shared" si="1"/>
        <v/>
      </c>
      <c r="G861" s="384" t="str">
        <f>IFERROR(__xludf.DUMMYFUNCTION("IFERROR(AVERAGE(FILTER('حضور '!I:I,'حضور '!A:A=A861,MONTH('حضور '!B:B)=J861)),"""")"),"")</f>
        <v/>
      </c>
      <c r="H861" s="384">
        <f t="shared" si="2"/>
        <v>0</v>
      </c>
      <c r="I861" s="385">
        <f t="shared" si="3"/>
        <v>0</v>
      </c>
    </row>
    <row r="862" ht="22.5" customHeight="1">
      <c r="A862" s="391"/>
      <c r="B862" s="379"/>
      <c r="C862" s="393"/>
      <c r="D862" s="392"/>
      <c r="E862" s="392"/>
      <c r="F862" s="383" t="str">
        <f t="shared" si="1"/>
        <v/>
      </c>
      <c r="G862" s="384" t="str">
        <f>IFERROR(__xludf.DUMMYFUNCTION("IFERROR(AVERAGE(FILTER('حضور '!I:I,'حضور '!A:A=A862,MONTH('حضور '!B:B)=J862)),"""")"),"")</f>
        <v/>
      </c>
      <c r="H862" s="384">
        <f t="shared" si="2"/>
        <v>0</v>
      </c>
      <c r="I862" s="385">
        <f t="shared" si="3"/>
        <v>0</v>
      </c>
    </row>
    <row r="863" ht="22.5" customHeight="1">
      <c r="A863" s="391"/>
      <c r="B863" s="379"/>
      <c r="C863" s="393"/>
      <c r="D863" s="392"/>
      <c r="E863" s="392"/>
      <c r="F863" s="383" t="str">
        <f t="shared" si="1"/>
        <v/>
      </c>
      <c r="G863" s="384" t="str">
        <f>IFERROR(__xludf.DUMMYFUNCTION("IFERROR(AVERAGE(FILTER('حضور '!I:I,'حضور '!A:A=A863,MONTH('حضور '!B:B)=J863)),"""")"),"")</f>
        <v/>
      </c>
      <c r="H863" s="384">
        <f t="shared" si="2"/>
        <v>0</v>
      </c>
      <c r="I863" s="385">
        <f t="shared" si="3"/>
        <v>0</v>
      </c>
    </row>
    <row r="864" ht="22.5" customHeight="1">
      <c r="A864" s="391"/>
      <c r="B864" s="379"/>
      <c r="C864" s="393"/>
      <c r="D864" s="392"/>
      <c r="E864" s="392"/>
      <c r="F864" s="383" t="str">
        <f t="shared" si="1"/>
        <v/>
      </c>
      <c r="G864" s="384" t="str">
        <f>IFERROR(__xludf.DUMMYFUNCTION("IFERROR(AVERAGE(FILTER('حضور '!I:I,'حضور '!A:A=A864,MONTH('حضور '!B:B)=J864)),"""")"),"")</f>
        <v/>
      </c>
      <c r="H864" s="384">
        <f t="shared" si="2"/>
        <v>0</v>
      </c>
      <c r="I864" s="385">
        <f t="shared" si="3"/>
        <v>0</v>
      </c>
    </row>
    <row r="865" ht="22.5" customHeight="1">
      <c r="A865" s="391"/>
      <c r="B865" s="379"/>
      <c r="C865" s="393"/>
      <c r="D865" s="392"/>
      <c r="E865" s="392"/>
      <c r="F865" s="383" t="str">
        <f t="shared" si="1"/>
        <v/>
      </c>
      <c r="G865" s="384" t="str">
        <f>IFERROR(__xludf.DUMMYFUNCTION("IFERROR(AVERAGE(FILTER('حضور '!I:I,'حضور '!A:A=A865,MONTH('حضور '!B:B)=J865)),"""")"),"")</f>
        <v/>
      </c>
      <c r="H865" s="384">
        <f t="shared" si="2"/>
        <v>0</v>
      </c>
      <c r="I865" s="385">
        <f t="shared" si="3"/>
        <v>0</v>
      </c>
    </row>
    <row r="866" ht="22.5" customHeight="1">
      <c r="A866" s="391"/>
      <c r="B866" s="379"/>
      <c r="C866" s="393"/>
      <c r="D866" s="392"/>
      <c r="E866" s="392"/>
      <c r="F866" s="383" t="str">
        <f t="shared" si="1"/>
        <v/>
      </c>
      <c r="G866" s="384" t="str">
        <f>IFERROR(__xludf.DUMMYFUNCTION("IFERROR(AVERAGE(FILTER('حضور '!I:I,'حضور '!A:A=A866,MONTH('حضور '!B:B)=J866)),"""")"),"")</f>
        <v/>
      </c>
      <c r="H866" s="384">
        <f t="shared" si="2"/>
        <v>0</v>
      </c>
      <c r="I866" s="385">
        <f t="shared" si="3"/>
        <v>0</v>
      </c>
    </row>
    <row r="867" ht="22.5" customHeight="1">
      <c r="A867" s="391"/>
      <c r="B867" s="379"/>
      <c r="C867" s="393"/>
      <c r="D867" s="392"/>
      <c r="E867" s="392"/>
      <c r="F867" s="383" t="str">
        <f t="shared" si="1"/>
        <v/>
      </c>
      <c r="G867" s="384" t="str">
        <f>IFERROR(__xludf.DUMMYFUNCTION("IFERROR(AVERAGE(FILTER('حضور '!I:I,'حضور '!A:A=A867,MONTH('حضور '!B:B)=J867)),"""")"),"")</f>
        <v/>
      </c>
      <c r="H867" s="384">
        <f t="shared" si="2"/>
        <v>0</v>
      </c>
      <c r="I867" s="385">
        <f t="shared" si="3"/>
        <v>0</v>
      </c>
    </row>
    <row r="868" ht="22.5" customHeight="1">
      <c r="A868" s="391"/>
      <c r="B868" s="379"/>
      <c r="C868" s="393"/>
      <c r="D868" s="392"/>
      <c r="E868" s="392"/>
      <c r="F868" s="383" t="str">
        <f t="shared" si="1"/>
        <v/>
      </c>
      <c r="G868" s="384" t="str">
        <f>IFERROR(__xludf.DUMMYFUNCTION("IFERROR(AVERAGE(FILTER('حضور '!I:I,'حضور '!A:A=A868,MONTH('حضور '!B:B)=J868)),"""")"),"")</f>
        <v/>
      </c>
      <c r="H868" s="384">
        <f t="shared" si="2"/>
        <v>0</v>
      </c>
      <c r="I868" s="385">
        <f t="shared" si="3"/>
        <v>0</v>
      </c>
    </row>
    <row r="869" ht="22.5" customHeight="1">
      <c r="A869" s="391"/>
      <c r="B869" s="379"/>
      <c r="C869" s="393"/>
      <c r="D869" s="392"/>
      <c r="E869" s="392"/>
      <c r="F869" s="383" t="str">
        <f t="shared" si="1"/>
        <v/>
      </c>
      <c r="G869" s="384" t="str">
        <f>IFERROR(__xludf.DUMMYFUNCTION("IFERROR(AVERAGE(FILTER('حضور '!I:I,'حضور '!A:A=A869,MONTH('حضور '!B:B)=J869)),"""")"),"")</f>
        <v/>
      </c>
      <c r="H869" s="384">
        <f t="shared" si="2"/>
        <v>0</v>
      </c>
      <c r="I869" s="385">
        <f t="shared" si="3"/>
        <v>0</v>
      </c>
    </row>
    <row r="870" ht="22.5" customHeight="1">
      <c r="A870" s="391"/>
      <c r="B870" s="379"/>
      <c r="C870" s="393"/>
      <c r="D870" s="392"/>
      <c r="E870" s="392"/>
      <c r="F870" s="383" t="str">
        <f t="shared" si="1"/>
        <v/>
      </c>
      <c r="G870" s="384" t="str">
        <f>IFERROR(__xludf.DUMMYFUNCTION("IFERROR(AVERAGE(FILTER('حضور '!I:I,'حضور '!A:A=A870,MONTH('حضور '!B:B)=J870)),"""")"),"")</f>
        <v/>
      </c>
      <c r="H870" s="384">
        <f t="shared" si="2"/>
        <v>0</v>
      </c>
      <c r="I870" s="385">
        <f t="shared" si="3"/>
        <v>0</v>
      </c>
    </row>
    <row r="871" ht="22.5" customHeight="1">
      <c r="A871" s="391"/>
      <c r="B871" s="379"/>
      <c r="C871" s="393"/>
      <c r="D871" s="392"/>
      <c r="E871" s="392"/>
      <c r="F871" s="383" t="str">
        <f t="shared" si="1"/>
        <v/>
      </c>
      <c r="G871" s="384" t="str">
        <f>IFERROR(__xludf.DUMMYFUNCTION("IFERROR(AVERAGE(FILTER('حضور '!I:I,'حضور '!A:A=A871,MONTH('حضور '!B:B)=J871)),"""")"),"")</f>
        <v/>
      </c>
      <c r="H871" s="384">
        <f t="shared" si="2"/>
        <v>0</v>
      </c>
      <c r="I871" s="385">
        <f t="shared" si="3"/>
        <v>0</v>
      </c>
    </row>
    <row r="872" ht="22.5" customHeight="1">
      <c r="A872" s="391"/>
      <c r="B872" s="379"/>
      <c r="C872" s="393"/>
      <c r="D872" s="392"/>
      <c r="E872" s="392"/>
      <c r="F872" s="383" t="str">
        <f t="shared" si="1"/>
        <v/>
      </c>
      <c r="G872" s="384" t="str">
        <f>IFERROR(__xludf.DUMMYFUNCTION("IFERROR(AVERAGE(FILTER('حضور '!I:I,'حضور '!A:A=A872,MONTH('حضور '!B:B)=J872)),"""")"),"")</f>
        <v/>
      </c>
      <c r="H872" s="384">
        <f t="shared" si="2"/>
        <v>0</v>
      </c>
      <c r="I872" s="385">
        <f t="shared" si="3"/>
        <v>0</v>
      </c>
    </row>
    <row r="873" ht="22.5" customHeight="1">
      <c r="A873" s="391"/>
      <c r="B873" s="379"/>
      <c r="C873" s="393"/>
      <c r="D873" s="392"/>
      <c r="E873" s="392"/>
      <c r="F873" s="383" t="str">
        <f t="shared" si="1"/>
        <v/>
      </c>
      <c r="G873" s="384" t="str">
        <f>IFERROR(__xludf.DUMMYFUNCTION("IFERROR(AVERAGE(FILTER('حضور '!I:I,'حضور '!A:A=A873,MONTH('حضور '!B:B)=J873)),"""")"),"")</f>
        <v/>
      </c>
      <c r="H873" s="384">
        <f t="shared" si="2"/>
        <v>0</v>
      </c>
      <c r="I873" s="385">
        <f t="shared" si="3"/>
        <v>0</v>
      </c>
    </row>
    <row r="874" ht="22.5" customHeight="1">
      <c r="A874" s="391"/>
      <c r="B874" s="379"/>
      <c r="C874" s="393"/>
      <c r="D874" s="392"/>
      <c r="E874" s="392"/>
      <c r="F874" s="383" t="str">
        <f t="shared" si="1"/>
        <v/>
      </c>
      <c r="G874" s="384" t="str">
        <f>IFERROR(__xludf.DUMMYFUNCTION("IFERROR(AVERAGE(FILTER('حضور '!I:I,'حضور '!A:A=A874,MONTH('حضور '!B:B)=J874)),"""")"),"")</f>
        <v/>
      </c>
      <c r="H874" s="384">
        <f t="shared" si="2"/>
        <v>0</v>
      </c>
      <c r="I874" s="385">
        <f t="shared" si="3"/>
        <v>0</v>
      </c>
    </row>
    <row r="875" ht="22.5" customHeight="1">
      <c r="A875" s="391"/>
      <c r="B875" s="379"/>
      <c r="C875" s="393"/>
      <c r="D875" s="392"/>
      <c r="E875" s="392"/>
      <c r="F875" s="383" t="str">
        <f t="shared" si="1"/>
        <v/>
      </c>
      <c r="G875" s="384" t="str">
        <f>IFERROR(__xludf.DUMMYFUNCTION("IFERROR(AVERAGE(FILTER('حضور '!I:I,'حضور '!A:A=A875,MONTH('حضور '!B:B)=J875)),"""")"),"")</f>
        <v/>
      </c>
      <c r="H875" s="384">
        <f t="shared" si="2"/>
        <v>0</v>
      </c>
      <c r="I875" s="385">
        <f t="shared" si="3"/>
        <v>0</v>
      </c>
    </row>
    <row r="876" ht="22.5" customHeight="1">
      <c r="A876" s="391"/>
      <c r="B876" s="379"/>
      <c r="C876" s="393"/>
      <c r="D876" s="392"/>
      <c r="E876" s="392"/>
      <c r="F876" s="383" t="str">
        <f t="shared" si="1"/>
        <v/>
      </c>
      <c r="G876" s="384" t="str">
        <f>IFERROR(__xludf.DUMMYFUNCTION("IFERROR(AVERAGE(FILTER('حضور '!I:I,'حضور '!A:A=A876,MONTH('حضور '!B:B)=J876)),"""")"),"")</f>
        <v/>
      </c>
      <c r="H876" s="384">
        <f t="shared" si="2"/>
        <v>0</v>
      </c>
      <c r="I876" s="385">
        <f t="shared" si="3"/>
        <v>0</v>
      </c>
    </row>
    <row r="877" ht="22.5" customHeight="1">
      <c r="A877" s="391"/>
      <c r="B877" s="379"/>
      <c r="C877" s="393"/>
      <c r="D877" s="392"/>
      <c r="E877" s="392"/>
      <c r="F877" s="383" t="str">
        <f t="shared" si="1"/>
        <v/>
      </c>
      <c r="G877" s="384" t="str">
        <f>IFERROR(__xludf.DUMMYFUNCTION("IFERROR(AVERAGE(FILTER('حضور '!I:I,'حضور '!A:A=A877,MONTH('حضور '!B:B)=J877)),"""")"),"")</f>
        <v/>
      </c>
      <c r="H877" s="384">
        <f t="shared" si="2"/>
        <v>0</v>
      </c>
      <c r="I877" s="385">
        <f t="shared" si="3"/>
        <v>0</v>
      </c>
    </row>
    <row r="878" ht="22.5" customHeight="1">
      <c r="A878" s="391"/>
      <c r="B878" s="379"/>
      <c r="C878" s="393"/>
      <c r="D878" s="392"/>
      <c r="E878" s="392"/>
      <c r="F878" s="383" t="str">
        <f t="shared" si="1"/>
        <v/>
      </c>
      <c r="G878" s="384" t="str">
        <f>IFERROR(__xludf.DUMMYFUNCTION("IFERROR(AVERAGE(FILTER('حضور '!I:I,'حضور '!A:A=A878,MONTH('حضور '!B:B)=J878)),"""")"),"")</f>
        <v/>
      </c>
      <c r="H878" s="384">
        <f t="shared" si="2"/>
        <v>0</v>
      </c>
      <c r="I878" s="385">
        <f t="shared" si="3"/>
        <v>0</v>
      </c>
    </row>
    <row r="879" ht="22.5" customHeight="1">
      <c r="A879" s="391"/>
      <c r="B879" s="379"/>
      <c r="C879" s="393"/>
      <c r="D879" s="392"/>
      <c r="E879" s="392"/>
      <c r="F879" s="383" t="str">
        <f t="shared" si="1"/>
        <v/>
      </c>
      <c r="G879" s="384" t="str">
        <f>IFERROR(__xludf.DUMMYFUNCTION("IFERROR(AVERAGE(FILTER('حضور '!I:I,'حضور '!A:A=A879,MONTH('حضور '!B:B)=J879)),"""")"),"")</f>
        <v/>
      </c>
      <c r="H879" s="384">
        <f t="shared" si="2"/>
        <v>0</v>
      </c>
      <c r="I879" s="385">
        <f t="shared" si="3"/>
        <v>0</v>
      </c>
    </row>
    <row r="880" ht="22.5" customHeight="1">
      <c r="A880" s="391"/>
      <c r="B880" s="379"/>
      <c r="C880" s="393"/>
      <c r="D880" s="392"/>
      <c r="E880" s="392"/>
      <c r="F880" s="383" t="str">
        <f t="shared" si="1"/>
        <v/>
      </c>
      <c r="G880" s="384" t="str">
        <f>IFERROR(__xludf.DUMMYFUNCTION("IFERROR(AVERAGE(FILTER('حضور '!I:I,'حضور '!A:A=A880,MONTH('حضور '!B:B)=J880)),"""")"),"")</f>
        <v/>
      </c>
      <c r="H880" s="384">
        <f t="shared" si="2"/>
        <v>0</v>
      </c>
      <c r="I880" s="385">
        <f t="shared" si="3"/>
        <v>0</v>
      </c>
    </row>
    <row r="881" ht="22.5" customHeight="1">
      <c r="A881" s="391"/>
      <c r="B881" s="379"/>
      <c r="C881" s="393"/>
      <c r="D881" s="392"/>
      <c r="E881" s="392"/>
      <c r="F881" s="383" t="str">
        <f t="shared" si="1"/>
        <v/>
      </c>
      <c r="G881" s="384" t="str">
        <f>IFERROR(__xludf.DUMMYFUNCTION("IFERROR(AVERAGE(FILTER('حضور '!I:I,'حضور '!A:A=A881,MONTH('حضور '!B:B)=J881)),"""")"),"")</f>
        <v/>
      </c>
      <c r="H881" s="384">
        <f t="shared" si="2"/>
        <v>0</v>
      </c>
      <c r="I881" s="385">
        <f t="shared" si="3"/>
        <v>0</v>
      </c>
    </row>
    <row r="882" ht="22.5" customHeight="1">
      <c r="A882" s="391"/>
      <c r="B882" s="379"/>
      <c r="C882" s="393"/>
      <c r="D882" s="392"/>
      <c r="E882" s="392"/>
      <c r="F882" s="383" t="str">
        <f t="shared" si="1"/>
        <v/>
      </c>
      <c r="G882" s="384" t="str">
        <f>IFERROR(__xludf.DUMMYFUNCTION("IFERROR(AVERAGE(FILTER('حضور '!I:I,'حضور '!A:A=A882,MONTH('حضور '!B:B)=J882)),"""")"),"")</f>
        <v/>
      </c>
      <c r="H882" s="384">
        <f t="shared" si="2"/>
        <v>0</v>
      </c>
      <c r="I882" s="385">
        <f t="shared" si="3"/>
        <v>0</v>
      </c>
    </row>
    <row r="883" ht="22.5" customHeight="1">
      <c r="A883" s="391"/>
      <c r="B883" s="379"/>
      <c r="C883" s="393"/>
      <c r="D883" s="392"/>
      <c r="E883" s="392"/>
      <c r="F883" s="383" t="str">
        <f t="shared" si="1"/>
        <v/>
      </c>
      <c r="G883" s="384" t="str">
        <f>IFERROR(__xludf.DUMMYFUNCTION("IFERROR(AVERAGE(FILTER('حضور '!I:I,'حضور '!A:A=A883,MONTH('حضور '!B:B)=J883)),"""")"),"")</f>
        <v/>
      </c>
      <c r="H883" s="384">
        <f t="shared" si="2"/>
        <v>0</v>
      </c>
      <c r="I883" s="385">
        <f t="shared" si="3"/>
        <v>0</v>
      </c>
    </row>
    <row r="884" ht="22.5" customHeight="1">
      <c r="A884" s="391"/>
      <c r="B884" s="379"/>
      <c r="C884" s="393"/>
      <c r="D884" s="392"/>
      <c r="E884" s="392"/>
      <c r="F884" s="383" t="str">
        <f t="shared" si="1"/>
        <v/>
      </c>
      <c r="G884" s="384" t="str">
        <f>IFERROR(__xludf.DUMMYFUNCTION("IFERROR(AVERAGE(FILTER('حضور '!I:I,'حضور '!A:A=A884,MONTH('حضور '!B:B)=J884)),"""")"),"")</f>
        <v/>
      </c>
      <c r="H884" s="384">
        <f t="shared" si="2"/>
        <v>0</v>
      </c>
      <c r="I884" s="385">
        <f t="shared" si="3"/>
        <v>0</v>
      </c>
    </row>
    <row r="885" ht="22.5" customHeight="1">
      <c r="A885" s="391"/>
      <c r="B885" s="379"/>
      <c r="C885" s="393"/>
      <c r="D885" s="392"/>
      <c r="E885" s="392"/>
      <c r="F885" s="383" t="str">
        <f t="shared" si="1"/>
        <v/>
      </c>
      <c r="G885" s="384" t="str">
        <f>IFERROR(__xludf.DUMMYFUNCTION("IFERROR(AVERAGE(FILTER('حضور '!I:I,'حضور '!A:A=A885,MONTH('حضور '!B:B)=J885)),"""")"),"")</f>
        <v/>
      </c>
      <c r="H885" s="384">
        <f t="shared" si="2"/>
        <v>0</v>
      </c>
      <c r="I885" s="385">
        <f t="shared" si="3"/>
        <v>0</v>
      </c>
    </row>
    <row r="886" ht="22.5" customHeight="1">
      <c r="A886" s="391"/>
      <c r="B886" s="379"/>
      <c r="C886" s="393"/>
      <c r="D886" s="392"/>
      <c r="E886" s="392"/>
      <c r="F886" s="383" t="str">
        <f t="shared" si="1"/>
        <v/>
      </c>
      <c r="G886" s="384" t="str">
        <f>IFERROR(__xludf.DUMMYFUNCTION("IFERROR(AVERAGE(FILTER('حضور '!I:I,'حضور '!A:A=A886,MONTH('حضور '!B:B)=J886)),"""")"),"")</f>
        <v/>
      </c>
      <c r="H886" s="384">
        <f t="shared" si="2"/>
        <v>0</v>
      </c>
      <c r="I886" s="385">
        <f t="shared" si="3"/>
        <v>0</v>
      </c>
    </row>
    <row r="887" ht="22.5" customHeight="1">
      <c r="A887" s="391"/>
      <c r="B887" s="379"/>
      <c r="C887" s="393"/>
      <c r="D887" s="392"/>
      <c r="E887" s="392"/>
      <c r="F887" s="383" t="str">
        <f t="shared" si="1"/>
        <v/>
      </c>
      <c r="G887" s="384" t="str">
        <f>IFERROR(__xludf.DUMMYFUNCTION("IFERROR(AVERAGE(FILTER('حضور '!I:I,'حضور '!A:A=A887,MONTH('حضور '!B:B)=J887)),"""")"),"")</f>
        <v/>
      </c>
      <c r="H887" s="384">
        <f t="shared" si="2"/>
        <v>0</v>
      </c>
      <c r="I887" s="385">
        <f t="shared" si="3"/>
        <v>0</v>
      </c>
    </row>
    <row r="888" ht="22.5" customHeight="1">
      <c r="A888" s="391"/>
      <c r="B888" s="379"/>
      <c r="C888" s="393"/>
      <c r="D888" s="392"/>
      <c r="E888" s="392"/>
      <c r="F888" s="383" t="str">
        <f t="shared" si="1"/>
        <v/>
      </c>
      <c r="G888" s="384" t="str">
        <f>IFERROR(__xludf.DUMMYFUNCTION("IFERROR(AVERAGE(FILTER('حضور '!I:I,'حضور '!A:A=A888,MONTH('حضور '!B:B)=J888)),"""")"),"")</f>
        <v/>
      </c>
      <c r="H888" s="384">
        <f t="shared" si="2"/>
        <v>0</v>
      </c>
      <c r="I888" s="385">
        <f t="shared" si="3"/>
        <v>0</v>
      </c>
    </row>
    <row r="889" ht="22.5" customHeight="1">
      <c r="A889" s="391"/>
      <c r="B889" s="379"/>
      <c r="C889" s="393"/>
      <c r="D889" s="392"/>
      <c r="E889" s="392"/>
      <c r="F889" s="383" t="str">
        <f t="shared" si="1"/>
        <v/>
      </c>
      <c r="G889" s="384" t="str">
        <f>IFERROR(__xludf.DUMMYFUNCTION("IFERROR(AVERAGE(FILTER('حضور '!I:I,'حضور '!A:A=A889,MONTH('حضور '!B:B)=J889)),"""")"),"")</f>
        <v/>
      </c>
      <c r="H889" s="384">
        <f t="shared" si="2"/>
        <v>0</v>
      </c>
      <c r="I889" s="385">
        <f t="shared" si="3"/>
        <v>0</v>
      </c>
    </row>
    <row r="890" ht="22.5" customHeight="1">
      <c r="A890" s="391"/>
      <c r="B890" s="379"/>
      <c r="C890" s="393"/>
      <c r="D890" s="392"/>
      <c r="E890" s="392"/>
      <c r="F890" s="383" t="str">
        <f t="shared" si="1"/>
        <v/>
      </c>
      <c r="G890" s="384" t="str">
        <f>IFERROR(__xludf.DUMMYFUNCTION("IFERROR(AVERAGE(FILTER('حضور '!I:I,'حضور '!A:A=A890,MONTH('حضور '!B:B)=J890)),"""")"),"")</f>
        <v/>
      </c>
      <c r="H890" s="384">
        <f t="shared" si="2"/>
        <v>0</v>
      </c>
      <c r="I890" s="385">
        <f t="shared" si="3"/>
        <v>0</v>
      </c>
    </row>
    <row r="891" ht="22.5" customHeight="1">
      <c r="A891" s="391"/>
      <c r="B891" s="379"/>
      <c r="C891" s="393"/>
      <c r="D891" s="392"/>
      <c r="E891" s="392"/>
      <c r="F891" s="383" t="str">
        <f t="shared" si="1"/>
        <v/>
      </c>
      <c r="G891" s="384" t="str">
        <f>IFERROR(__xludf.DUMMYFUNCTION("IFERROR(AVERAGE(FILTER('حضور '!I:I,'حضور '!A:A=A891,MONTH('حضور '!B:B)=J891)),"""")"),"")</f>
        <v/>
      </c>
      <c r="H891" s="384">
        <f t="shared" si="2"/>
        <v>0</v>
      </c>
      <c r="I891" s="385">
        <f t="shared" si="3"/>
        <v>0</v>
      </c>
    </row>
    <row r="892" ht="22.5" customHeight="1">
      <c r="A892" s="391"/>
      <c r="B892" s="379"/>
      <c r="C892" s="393"/>
      <c r="D892" s="392"/>
      <c r="E892" s="392"/>
      <c r="F892" s="383" t="str">
        <f t="shared" si="1"/>
        <v/>
      </c>
      <c r="G892" s="384" t="str">
        <f>IFERROR(__xludf.DUMMYFUNCTION("IFERROR(AVERAGE(FILTER('حضور '!I:I,'حضور '!A:A=A892,MONTH('حضور '!B:B)=J892)),"""")"),"")</f>
        <v/>
      </c>
      <c r="H892" s="384">
        <f t="shared" si="2"/>
        <v>0</v>
      </c>
      <c r="I892" s="385">
        <f t="shared" si="3"/>
        <v>0</v>
      </c>
    </row>
    <row r="893" ht="22.5" customHeight="1">
      <c r="A893" s="391"/>
      <c r="B893" s="379"/>
      <c r="C893" s="393"/>
      <c r="D893" s="392"/>
      <c r="E893" s="392"/>
      <c r="F893" s="383" t="str">
        <f t="shared" si="1"/>
        <v/>
      </c>
      <c r="G893" s="384" t="str">
        <f>IFERROR(__xludf.DUMMYFUNCTION("IFERROR(AVERAGE(FILTER('حضور '!I:I,'حضور '!A:A=A893,MONTH('حضور '!B:B)=J893)),"""")"),"")</f>
        <v/>
      </c>
      <c r="H893" s="384">
        <f t="shared" si="2"/>
        <v>0</v>
      </c>
      <c r="I893" s="385">
        <f t="shared" si="3"/>
        <v>0</v>
      </c>
    </row>
    <row r="894" ht="22.5" customHeight="1">
      <c r="A894" s="391"/>
      <c r="B894" s="379"/>
      <c r="C894" s="393"/>
      <c r="D894" s="392"/>
      <c r="E894" s="392"/>
      <c r="F894" s="383" t="str">
        <f t="shared" si="1"/>
        <v/>
      </c>
      <c r="G894" s="384" t="str">
        <f>IFERROR(__xludf.DUMMYFUNCTION("IFERROR(AVERAGE(FILTER('حضور '!I:I,'حضور '!A:A=A894,MONTH('حضور '!B:B)=J894)),"""")"),"")</f>
        <v/>
      </c>
      <c r="H894" s="384">
        <f t="shared" si="2"/>
        <v>0</v>
      </c>
      <c r="I894" s="385">
        <f t="shared" si="3"/>
        <v>0</v>
      </c>
    </row>
    <row r="895" ht="22.5" customHeight="1">
      <c r="A895" s="391"/>
      <c r="B895" s="379"/>
      <c r="C895" s="393"/>
      <c r="D895" s="392"/>
      <c r="E895" s="392"/>
      <c r="F895" s="383" t="str">
        <f t="shared" si="1"/>
        <v/>
      </c>
      <c r="G895" s="384" t="str">
        <f>IFERROR(__xludf.DUMMYFUNCTION("IFERROR(AVERAGE(FILTER('حضور '!I:I,'حضور '!A:A=A895,MONTH('حضور '!B:B)=J895)),"""")"),"")</f>
        <v/>
      </c>
      <c r="H895" s="384">
        <f t="shared" si="2"/>
        <v>0</v>
      </c>
      <c r="I895" s="385">
        <f t="shared" si="3"/>
        <v>0</v>
      </c>
    </row>
    <row r="896" ht="22.5" customHeight="1">
      <c r="A896" s="391"/>
      <c r="B896" s="379"/>
      <c r="C896" s="393"/>
      <c r="D896" s="392"/>
      <c r="E896" s="392"/>
      <c r="F896" s="383" t="str">
        <f t="shared" si="1"/>
        <v/>
      </c>
      <c r="G896" s="384" t="str">
        <f>IFERROR(__xludf.DUMMYFUNCTION("IFERROR(AVERAGE(FILTER('حضور '!I:I,'حضور '!A:A=A896,MONTH('حضور '!B:B)=J896)),"""")"),"")</f>
        <v/>
      </c>
      <c r="H896" s="384">
        <f t="shared" si="2"/>
        <v>0</v>
      </c>
      <c r="I896" s="385">
        <f t="shared" si="3"/>
        <v>0</v>
      </c>
    </row>
    <row r="897" ht="22.5" customHeight="1">
      <c r="A897" s="391"/>
      <c r="B897" s="379"/>
      <c r="C897" s="393"/>
      <c r="D897" s="392"/>
      <c r="E897" s="392"/>
      <c r="F897" s="383" t="str">
        <f t="shared" si="1"/>
        <v/>
      </c>
      <c r="G897" s="384" t="str">
        <f>IFERROR(__xludf.DUMMYFUNCTION("IFERROR(AVERAGE(FILTER('حضور '!I:I,'حضور '!A:A=A897,MONTH('حضور '!B:B)=J897)),"""")"),"")</f>
        <v/>
      </c>
      <c r="H897" s="384">
        <f t="shared" si="2"/>
        <v>0</v>
      </c>
      <c r="I897" s="385">
        <f t="shared" si="3"/>
        <v>0</v>
      </c>
    </row>
    <row r="898" ht="22.5" customHeight="1">
      <c r="A898" s="391"/>
      <c r="B898" s="379"/>
      <c r="C898" s="393"/>
      <c r="D898" s="392"/>
      <c r="E898" s="392"/>
      <c r="F898" s="383" t="str">
        <f t="shared" si="1"/>
        <v/>
      </c>
      <c r="G898" s="384" t="str">
        <f>IFERROR(__xludf.DUMMYFUNCTION("IFERROR(AVERAGE(FILTER('حضور '!I:I,'حضور '!A:A=A898,MONTH('حضور '!B:B)=J898)),"""")"),"")</f>
        <v/>
      </c>
      <c r="H898" s="384">
        <f t="shared" si="2"/>
        <v>0</v>
      </c>
      <c r="I898" s="385">
        <f t="shared" si="3"/>
        <v>0</v>
      </c>
    </row>
    <row r="899" ht="22.5" customHeight="1">
      <c r="A899" s="391"/>
      <c r="B899" s="379"/>
      <c r="C899" s="393"/>
      <c r="D899" s="392"/>
      <c r="E899" s="392"/>
      <c r="F899" s="383" t="str">
        <f t="shared" si="1"/>
        <v/>
      </c>
      <c r="G899" s="384" t="str">
        <f>IFERROR(__xludf.DUMMYFUNCTION("IFERROR(AVERAGE(FILTER('حضور '!I:I,'حضور '!A:A=A899,MONTH('حضور '!B:B)=J899)),"""")"),"")</f>
        <v/>
      </c>
      <c r="H899" s="384">
        <f t="shared" si="2"/>
        <v>0</v>
      </c>
      <c r="I899" s="385">
        <f t="shared" si="3"/>
        <v>0</v>
      </c>
    </row>
    <row r="900" ht="22.5" customHeight="1">
      <c r="A900" s="391"/>
      <c r="B900" s="379"/>
      <c r="C900" s="393"/>
      <c r="D900" s="392"/>
      <c r="E900" s="392"/>
      <c r="F900" s="383" t="str">
        <f t="shared" si="1"/>
        <v/>
      </c>
      <c r="G900" s="384" t="str">
        <f>IFERROR(__xludf.DUMMYFUNCTION("IFERROR(AVERAGE(FILTER('حضور '!I:I,'حضور '!A:A=A900,MONTH('حضور '!B:B)=J900)),"""")"),"")</f>
        <v/>
      </c>
      <c r="H900" s="384">
        <f t="shared" si="2"/>
        <v>0</v>
      </c>
      <c r="I900" s="385">
        <f t="shared" si="3"/>
        <v>0</v>
      </c>
    </row>
    <row r="901" ht="22.5" customHeight="1">
      <c r="A901" s="391"/>
      <c r="B901" s="379"/>
      <c r="C901" s="393"/>
      <c r="D901" s="392"/>
      <c r="E901" s="392"/>
      <c r="F901" s="383" t="str">
        <f t="shared" si="1"/>
        <v/>
      </c>
      <c r="G901" s="384" t="str">
        <f>IFERROR(__xludf.DUMMYFUNCTION("IFERROR(AVERAGE(FILTER('حضور '!I:I,'حضور '!A:A=A901,MONTH('حضور '!B:B)=J901)),"""")"),"")</f>
        <v/>
      </c>
      <c r="H901" s="384">
        <f t="shared" si="2"/>
        <v>0</v>
      </c>
      <c r="I901" s="385">
        <f t="shared" si="3"/>
        <v>0</v>
      </c>
    </row>
    <row r="902" ht="22.5" customHeight="1">
      <c r="A902" s="391"/>
      <c r="B902" s="379"/>
      <c r="C902" s="393"/>
      <c r="D902" s="392"/>
      <c r="E902" s="392"/>
      <c r="F902" s="383" t="str">
        <f t="shared" si="1"/>
        <v/>
      </c>
      <c r="G902" s="384" t="str">
        <f>IFERROR(__xludf.DUMMYFUNCTION("IFERROR(AVERAGE(FILTER('حضور '!I:I,'حضور '!A:A=A902,MONTH('حضور '!B:B)=J902)),"""")"),"")</f>
        <v/>
      </c>
      <c r="H902" s="384">
        <f t="shared" si="2"/>
        <v>0</v>
      </c>
      <c r="I902" s="385">
        <f t="shared" si="3"/>
        <v>0</v>
      </c>
    </row>
    <row r="903" ht="22.5" customHeight="1">
      <c r="A903" s="391"/>
      <c r="B903" s="379"/>
      <c r="C903" s="393"/>
      <c r="D903" s="392"/>
      <c r="E903" s="392"/>
      <c r="F903" s="383" t="str">
        <f t="shared" si="1"/>
        <v/>
      </c>
      <c r="G903" s="384" t="str">
        <f>IFERROR(__xludf.DUMMYFUNCTION("IFERROR(AVERAGE(FILTER('حضور '!I:I,'حضور '!A:A=A903,MONTH('حضور '!B:B)=J903)),"""")"),"")</f>
        <v/>
      </c>
      <c r="H903" s="384">
        <f t="shared" si="2"/>
        <v>0</v>
      </c>
      <c r="I903" s="385">
        <f t="shared" si="3"/>
        <v>0</v>
      </c>
    </row>
    <row r="904" ht="22.5" customHeight="1">
      <c r="A904" s="391"/>
      <c r="B904" s="379"/>
      <c r="C904" s="393"/>
      <c r="D904" s="392"/>
      <c r="E904" s="392"/>
      <c r="F904" s="383" t="str">
        <f t="shared" si="1"/>
        <v/>
      </c>
      <c r="G904" s="384" t="str">
        <f>IFERROR(__xludf.DUMMYFUNCTION("IFERROR(AVERAGE(FILTER('حضور '!I:I,'حضور '!A:A=A904,MONTH('حضور '!B:B)=J904)),"""")"),"")</f>
        <v/>
      </c>
      <c r="H904" s="384">
        <f t="shared" si="2"/>
        <v>0</v>
      </c>
      <c r="I904" s="385">
        <f t="shared" si="3"/>
        <v>0</v>
      </c>
    </row>
    <row r="905" ht="22.5" customHeight="1">
      <c r="A905" s="391"/>
      <c r="B905" s="379"/>
      <c r="C905" s="393"/>
      <c r="D905" s="392"/>
      <c r="E905" s="392"/>
      <c r="F905" s="383" t="str">
        <f t="shared" si="1"/>
        <v/>
      </c>
      <c r="G905" s="384" t="str">
        <f>IFERROR(__xludf.DUMMYFUNCTION("IFERROR(AVERAGE(FILTER('حضور '!I:I,'حضور '!A:A=A905,MONTH('حضور '!B:B)=J905)),"""")"),"")</f>
        <v/>
      </c>
      <c r="H905" s="384">
        <f t="shared" si="2"/>
        <v>0</v>
      </c>
      <c r="I905" s="385">
        <f t="shared" si="3"/>
        <v>0</v>
      </c>
    </row>
    <row r="906" ht="22.5" customHeight="1">
      <c r="A906" s="391"/>
      <c r="B906" s="379"/>
      <c r="C906" s="393"/>
      <c r="D906" s="392"/>
      <c r="E906" s="392"/>
      <c r="F906" s="383" t="str">
        <f t="shared" si="1"/>
        <v/>
      </c>
      <c r="G906" s="384" t="str">
        <f>IFERROR(__xludf.DUMMYFUNCTION("IFERROR(AVERAGE(FILTER('حضور '!I:I,'حضور '!A:A=A906,MONTH('حضور '!B:B)=J906)),"""")"),"")</f>
        <v/>
      </c>
      <c r="H906" s="384">
        <f t="shared" si="2"/>
        <v>0</v>
      </c>
      <c r="I906" s="385">
        <f t="shared" si="3"/>
        <v>0</v>
      </c>
    </row>
    <row r="907" ht="22.5" customHeight="1">
      <c r="A907" s="391"/>
      <c r="B907" s="379"/>
      <c r="C907" s="393"/>
      <c r="D907" s="392"/>
      <c r="E907" s="392"/>
      <c r="F907" s="383" t="str">
        <f t="shared" si="1"/>
        <v/>
      </c>
      <c r="G907" s="384" t="str">
        <f>IFERROR(__xludf.DUMMYFUNCTION("IFERROR(AVERAGE(FILTER('حضور '!I:I,'حضور '!A:A=A907,MONTH('حضور '!B:B)=J907)),"""")"),"")</f>
        <v/>
      </c>
      <c r="H907" s="384">
        <f t="shared" si="2"/>
        <v>0</v>
      </c>
      <c r="I907" s="385">
        <f t="shared" si="3"/>
        <v>0</v>
      </c>
    </row>
    <row r="908" ht="22.5" customHeight="1">
      <c r="A908" s="391"/>
      <c r="B908" s="379"/>
      <c r="C908" s="393"/>
      <c r="D908" s="392"/>
      <c r="E908" s="392"/>
      <c r="F908" s="383" t="str">
        <f t="shared" si="1"/>
        <v/>
      </c>
      <c r="G908" s="384" t="str">
        <f>IFERROR(__xludf.DUMMYFUNCTION("IFERROR(AVERAGE(FILTER('حضور '!I:I,'حضور '!A:A=A908,MONTH('حضور '!B:B)=J908)),"""")"),"")</f>
        <v/>
      </c>
      <c r="H908" s="384">
        <f t="shared" si="2"/>
        <v>0</v>
      </c>
      <c r="I908" s="385">
        <f t="shared" si="3"/>
        <v>0</v>
      </c>
    </row>
    <row r="909" ht="22.5" customHeight="1">
      <c r="A909" s="391"/>
      <c r="B909" s="379"/>
      <c r="C909" s="393"/>
      <c r="D909" s="392"/>
      <c r="E909" s="392"/>
      <c r="F909" s="383" t="str">
        <f t="shared" si="1"/>
        <v/>
      </c>
      <c r="G909" s="384" t="str">
        <f>IFERROR(__xludf.DUMMYFUNCTION("IFERROR(AVERAGE(FILTER('حضور '!I:I,'حضور '!A:A=A909,MONTH('حضور '!B:B)=J909)),"""")"),"")</f>
        <v/>
      </c>
      <c r="H909" s="384">
        <f t="shared" si="2"/>
        <v>0</v>
      </c>
      <c r="I909" s="385">
        <f t="shared" si="3"/>
        <v>0</v>
      </c>
    </row>
    <row r="910" ht="22.5" customHeight="1">
      <c r="A910" s="391"/>
      <c r="B910" s="379"/>
      <c r="C910" s="393"/>
      <c r="D910" s="392"/>
      <c r="E910" s="392"/>
      <c r="F910" s="383" t="str">
        <f t="shared" si="1"/>
        <v/>
      </c>
      <c r="G910" s="384" t="str">
        <f>IFERROR(__xludf.DUMMYFUNCTION("IFERROR(AVERAGE(FILTER('حضور '!I:I,'حضور '!A:A=A910,MONTH('حضور '!B:B)=J910)),"""")"),"")</f>
        <v/>
      </c>
      <c r="H910" s="384">
        <f t="shared" si="2"/>
        <v>0</v>
      </c>
      <c r="I910" s="385">
        <f t="shared" si="3"/>
        <v>0</v>
      </c>
    </row>
    <row r="911" ht="22.5" customHeight="1">
      <c r="A911" s="391"/>
      <c r="B911" s="379"/>
      <c r="C911" s="393"/>
      <c r="D911" s="392"/>
      <c r="E911" s="392"/>
      <c r="F911" s="383" t="str">
        <f t="shared" si="1"/>
        <v/>
      </c>
      <c r="G911" s="384" t="str">
        <f>IFERROR(__xludf.DUMMYFUNCTION("IFERROR(AVERAGE(FILTER('حضور '!I:I,'حضور '!A:A=A911,MONTH('حضور '!B:B)=J911)),"""")"),"")</f>
        <v/>
      </c>
      <c r="H911" s="384">
        <f t="shared" si="2"/>
        <v>0</v>
      </c>
      <c r="I911" s="385">
        <f t="shared" si="3"/>
        <v>0</v>
      </c>
    </row>
    <row r="912" ht="22.5" customHeight="1">
      <c r="A912" s="391"/>
      <c r="B912" s="379"/>
      <c r="C912" s="393"/>
      <c r="D912" s="392"/>
      <c r="E912" s="392"/>
      <c r="F912" s="383" t="str">
        <f t="shared" si="1"/>
        <v/>
      </c>
      <c r="G912" s="384" t="str">
        <f>IFERROR(__xludf.DUMMYFUNCTION("IFERROR(AVERAGE(FILTER('حضور '!I:I,'حضور '!A:A=A912,MONTH('حضور '!B:B)=J912)),"""")"),"")</f>
        <v/>
      </c>
      <c r="H912" s="384">
        <f t="shared" si="2"/>
        <v>0</v>
      </c>
      <c r="I912" s="385">
        <f t="shared" si="3"/>
        <v>0</v>
      </c>
    </row>
    <row r="913" ht="22.5" customHeight="1">
      <c r="A913" s="391"/>
      <c r="B913" s="379"/>
      <c r="C913" s="393"/>
      <c r="D913" s="392"/>
      <c r="E913" s="392"/>
      <c r="F913" s="383" t="str">
        <f t="shared" si="1"/>
        <v/>
      </c>
      <c r="G913" s="384" t="str">
        <f>IFERROR(__xludf.DUMMYFUNCTION("IFERROR(AVERAGE(FILTER('حضور '!I:I,'حضور '!A:A=A913,MONTH('حضور '!B:B)=J913)),"""")"),"")</f>
        <v/>
      </c>
      <c r="H913" s="384">
        <f t="shared" si="2"/>
        <v>0</v>
      </c>
      <c r="I913" s="385">
        <f t="shared" si="3"/>
        <v>0</v>
      </c>
    </row>
    <row r="914" ht="22.5" customHeight="1">
      <c r="A914" s="391"/>
      <c r="B914" s="379"/>
      <c r="C914" s="393"/>
      <c r="D914" s="392"/>
      <c r="E914" s="392"/>
      <c r="F914" s="383" t="str">
        <f t="shared" si="1"/>
        <v/>
      </c>
      <c r="G914" s="384" t="str">
        <f>IFERROR(__xludf.DUMMYFUNCTION("IFERROR(AVERAGE(FILTER('حضور '!I:I,'حضور '!A:A=A914,MONTH('حضور '!B:B)=J914)),"""")"),"")</f>
        <v/>
      </c>
      <c r="H914" s="384">
        <f t="shared" si="2"/>
        <v>0</v>
      </c>
      <c r="I914" s="385">
        <f t="shared" si="3"/>
        <v>0</v>
      </c>
    </row>
    <row r="915" ht="22.5" customHeight="1">
      <c r="A915" s="391"/>
      <c r="B915" s="379"/>
      <c r="C915" s="393"/>
      <c r="D915" s="392"/>
      <c r="E915" s="392"/>
      <c r="F915" s="383" t="str">
        <f t="shared" si="1"/>
        <v/>
      </c>
      <c r="G915" s="384" t="str">
        <f>IFERROR(__xludf.DUMMYFUNCTION("IFERROR(AVERAGE(FILTER('حضور '!I:I,'حضور '!A:A=A915,MONTH('حضور '!B:B)=J915)),"""")"),"")</f>
        <v/>
      </c>
      <c r="H915" s="384">
        <f t="shared" si="2"/>
        <v>0</v>
      </c>
      <c r="I915" s="385">
        <f t="shared" si="3"/>
        <v>0</v>
      </c>
    </row>
    <row r="916" ht="22.5" customHeight="1">
      <c r="A916" s="391"/>
      <c r="B916" s="379"/>
      <c r="C916" s="393"/>
      <c r="D916" s="392"/>
      <c r="E916" s="392"/>
      <c r="F916" s="383" t="str">
        <f t="shared" si="1"/>
        <v/>
      </c>
      <c r="G916" s="384" t="str">
        <f>IFERROR(__xludf.DUMMYFUNCTION("IFERROR(AVERAGE(FILTER('حضور '!I:I,'حضور '!A:A=A916,MONTH('حضور '!B:B)=J916)),"""")"),"")</f>
        <v/>
      </c>
      <c r="H916" s="384">
        <f t="shared" si="2"/>
        <v>0</v>
      </c>
      <c r="I916" s="385">
        <f t="shared" si="3"/>
        <v>0</v>
      </c>
    </row>
    <row r="917" ht="22.5" customHeight="1">
      <c r="A917" s="391"/>
      <c r="B917" s="379"/>
      <c r="C917" s="393"/>
      <c r="D917" s="392"/>
      <c r="E917" s="392"/>
      <c r="F917" s="383" t="str">
        <f t="shared" si="1"/>
        <v/>
      </c>
      <c r="G917" s="384" t="str">
        <f>IFERROR(__xludf.DUMMYFUNCTION("IFERROR(AVERAGE(FILTER('حضور '!I:I,'حضور '!A:A=A917,MONTH('حضور '!B:B)=J917)),"""")"),"")</f>
        <v/>
      </c>
      <c r="H917" s="384">
        <f t="shared" si="2"/>
        <v>0</v>
      </c>
      <c r="I917" s="385">
        <f t="shared" si="3"/>
        <v>0</v>
      </c>
    </row>
    <row r="918" ht="22.5" customHeight="1">
      <c r="A918" s="391"/>
      <c r="B918" s="379"/>
      <c r="C918" s="393"/>
      <c r="D918" s="392"/>
      <c r="E918" s="392"/>
      <c r="F918" s="383" t="str">
        <f t="shared" si="1"/>
        <v/>
      </c>
      <c r="G918" s="384" t="str">
        <f>IFERROR(__xludf.DUMMYFUNCTION("IFERROR(AVERAGE(FILTER('حضور '!I:I,'حضور '!A:A=A918,MONTH('حضور '!B:B)=J918)),"""")"),"")</f>
        <v/>
      </c>
      <c r="H918" s="384">
        <f t="shared" si="2"/>
        <v>0</v>
      </c>
      <c r="I918" s="385">
        <f t="shared" si="3"/>
        <v>0</v>
      </c>
    </row>
    <row r="919" ht="22.5" customHeight="1">
      <c r="A919" s="391"/>
      <c r="B919" s="379"/>
      <c r="C919" s="393"/>
      <c r="D919" s="392"/>
      <c r="E919" s="392"/>
      <c r="F919" s="383" t="str">
        <f t="shared" si="1"/>
        <v/>
      </c>
      <c r="G919" s="384" t="str">
        <f>IFERROR(__xludf.DUMMYFUNCTION("IFERROR(AVERAGE(FILTER('حضور '!I:I,'حضور '!A:A=A919,MONTH('حضور '!B:B)=J919)),"""")"),"")</f>
        <v/>
      </c>
      <c r="H919" s="384">
        <f t="shared" si="2"/>
        <v>0</v>
      </c>
      <c r="I919" s="385">
        <f t="shared" si="3"/>
        <v>0</v>
      </c>
    </row>
    <row r="920" ht="22.5" customHeight="1">
      <c r="A920" s="391"/>
      <c r="B920" s="379"/>
      <c r="C920" s="393"/>
      <c r="D920" s="392"/>
      <c r="E920" s="392"/>
      <c r="F920" s="383" t="str">
        <f t="shared" si="1"/>
        <v/>
      </c>
      <c r="G920" s="384" t="str">
        <f>IFERROR(__xludf.DUMMYFUNCTION("IFERROR(AVERAGE(FILTER('حضور '!I:I,'حضور '!A:A=A920,MONTH('حضور '!B:B)=J920)),"""")"),"")</f>
        <v/>
      </c>
      <c r="H920" s="384">
        <f t="shared" si="2"/>
        <v>0</v>
      </c>
      <c r="I920" s="385">
        <f t="shared" si="3"/>
        <v>0</v>
      </c>
    </row>
    <row r="921" ht="22.5" customHeight="1">
      <c r="A921" s="391"/>
      <c r="B921" s="379"/>
      <c r="C921" s="393"/>
      <c r="D921" s="392"/>
      <c r="E921" s="392"/>
      <c r="F921" s="383" t="str">
        <f t="shared" si="1"/>
        <v/>
      </c>
      <c r="G921" s="384" t="str">
        <f>IFERROR(__xludf.DUMMYFUNCTION("IFERROR(AVERAGE(FILTER('حضور '!I:I,'حضور '!A:A=A921,MONTH('حضور '!B:B)=J921)),"""")"),"")</f>
        <v/>
      </c>
      <c r="H921" s="384">
        <f t="shared" si="2"/>
        <v>0</v>
      </c>
      <c r="I921" s="385">
        <f t="shared" si="3"/>
        <v>0</v>
      </c>
    </row>
    <row r="922" ht="22.5" customHeight="1">
      <c r="A922" s="391"/>
      <c r="B922" s="379"/>
      <c r="C922" s="393"/>
      <c r="D922" s="392"/>
      <c r="E922" s="392"/>
      <c r="F922" s="383" t="str">
        <f t="shared" si="1"/>
        <v/>
      </c>
      <c r="G922" s="384" t="str">
        <f>IFERROR(__xludf.DUMMYFUNCTION("IFERROR(AVERAGE(FILTER('حضور '!I:I,'حضور '!A:A=A922,MONTH('حضور '!B:B)=J922)),"""")"),"")</f>
        <v/>
      </c>
      <c r="H922" s="384">
        <f t="shared" si="2"/>
        <v>0</v>
      </c>
      <c r="I922" s="385">
        <f t="shared" si="3"/>
        <v>0</v>
      </c>
    </row>
    <row r="923" ht="22.5" customHeight="1">
      <c r="A923" s="391"/>
      <c r="B923" s="379"/>
      <c r="C923" s="393"/>
      <c r="D923" s="392"/>
      <c r="E923" s="392"/>
      <c r="F923" s="383" t="str">
        <f t="shared" si="1"/>
        <v/>
      </c>
      <c r="G923" s="384" t="str">
        <f>IFERROR(__xludf.DUMMYFUNCTION("IFERROR(AVERAGE(FILTER('حضور '!I:I,'حضور '!A:A=A923,MONTH('حضور '!B:B)=J923)),"""")"),"")</f>
        <v/>
      </c>
      <c r="H923" s="384">
        <f t="shared" si="2"/>
        <v>0</v>
      </c>
      <c r="I923" s="385">
        <f t="shared" si="3"/>
        <v>0</v>
      </c>
    </row>
    <row r="924" ht="22.5" customHeight="1">
      <c r="A924" s="391"/>
      <c r="B924" s="379"/>
      <c r="C924" s="393"/>
      <c r="D924" s="392"/>
      <c r="E924" s="392"/>
      <c r="F924" s="383" t="str">
        <f t="shared" si="1"/>
        <v/>
      </c>
      <c r="G924" s="384" t="str">
        <f>IFERROR(__xludf.DUMMYFUNCTION("IFERROR(AVERAGE(FILTER('حضور '!I:I,'حضور '!A:A=A924,MONTH('حضور '!B:B)=J924)),"""")"),"")</f>
        <v/>
      </c>
      <c r="H924" s="384">
        <f t="shared" si="2"/>
        <v>0</v>
      </c>
      <c r="I924" s="385">
        <f t="shared" si="3"/>
        <v>0</v>
      </c>
    </row>
    <row r="925" ht="22.5" customHeight="1">
      <c r="A925" s="391"/>
      <c r="B925" s="379"/>
      <c r="C925" s="393"/>
      <c r="D925" s="392"/>
      <c r="E925" s="392"/>
      <c r="F925" s="383" t="str">
        <f t="shared" si="1"/>
        <v/>
      </c>
      <c r="G925" s="384" t="str">
        <f>IFERROR(__xludf.DUMMYFUNCTION("IFERROR(AVERAGE(FILTER('حضور '!I:I,'حضور '!A:A=A925,MONTH('حضور '!B:B)=J925)),"""")"),"")</f>
        <v/>
      </c>
      <c r="H925" s="384">
        <f t="shared" si="2"/>
        <v>0</v>
      </c>
      <c r="I925" s="385">
        <f t="shared" si="3"/>
        <v>0</v>
      </c>
    </row>
    <row r="926" ht="22.5" customHeight="1">
      <c r="A926" s="391"/>
      <c r="B926" s="379"/>
      <c r="C926" s="393"/>
      <c r="D926" s="392"/>
      <c r="E926" s="392"/>
      <c r="F926" s="383" t="str">
        <f t="shared" si="1"/>
        <v/>
      </c>
      <c r="G926" s="384" t="str">
        <f>IFERROR(__xludf.DUMMYFUNCTION("IFERROR(AVERAGE(FILTER('حضور '!I:I,'حضور '!A:A=A926,MONTH('حضور '!B:B)=J926)),"""")"),"")</f>
        <v/>
      </c>
      <c r="H926" s="384">
        <f t="shared" si="2"/>
        <v>0</v>
      </c>
      <c r="I926" s="385">
        <f t="shared" si="3"/>
        <v>0</v>
      </c>
    </row>
    <row r="927" ht="22.5" customHeight="1">
      <c r="A927" s="391"/>
      <c r="B927" s="379"/>
      <c r="C927" s="393"/>
      <c r="D927" s="392"/>
      <c r="E927" s="392"/>
      <c r="F927" s="383" t="str">
        <f t="shared" si="1"/>
        <v/>
      </c>
      <c r="G927" s="384" t="str">
        <f>IFERROR(__xludf.DUMMYFUNCTION("IFERROR(AVERAGE(FILTER('حضور '!I:I,'حضور '!A:A=A927,MONTH('حضور '!B:B)=J927)),"""")"),"")</f>
        <v/>
      </c>
      <c r="H927" s="384">
        <f t="shared" si="2"/>
        <v>0</v>
      </c>
      <c r="I927" s="385">
        <f t="shared" si="3"/>
        <v>0</v>
      </c>
    </row>
    <row r="928" ht="22.5" customHeight="1">
      <c r="A928" s="391"/>
      <c r="B928" s="379"/>
      <c r="C928" s="393"/>
      <c r="D928" s="392"/>
      <c r="E928" s="392"/>
      <c r="F928" s="383" t="str">
        <f t="shared" si="1"/>
        <v/>
      </c>
      <c r="G928" s="384" t="str">
        <f>IFERROR(__xludf.DUMMYFUNCTION("IFERROR(AVERAGE(FILTER('حضور '!I:I,'حضور '!A:A=A928,MONTH('حضور '!B:B)=J928)),"""")"),"")</f>
        <v/>
      </c>
      <c r="H928" s="384">
        <f t="shared" si="2"/>
        <v>0</v>
      </c>
      <c r="I928" s="385">
        <f t="shared" si="3"/>
        <v>0</v>
      </c>
    </row>
    <row r="929" ht="22.5" customHeight="1">
      <c r="A929" s="391"/>
      <c r="B929" s="379"/>
      <c r="C929" s="393"/>
      <c r="D929" s="392"/>
      <c r="E929" s="392"/>
      <c r="F929" s="383" t="str">
        <f t="shared" si="1"/>
        <v/>
      </c>
      <c r="G929" s="384" t="str">
        <f>IFERROR(__xludf.DUMMYFUNCTION("IFERROR(AVERAGE(FILTER('حضور '!I:I,'حضور '!A:A=A929,MONTH('حضور '!B:B)=J929)),"""")"),"")</f>
        <v/>
      </c>
      <c r="H929" s="384">
        <f t="shared" si="2"/>
        <v>0</v>
      </c>
      <c r="I929" s="385">
        <f t="shared" si="3"/>
        <v>0</v>
      </c>
    </row>
    <row r="930" ht="22.5" customHeight="1">
      <c r="A930" s="391"/>
      <c r="B930" s="379"/>
      <c r="C930" s="393"/>
      <c r="D930" s="392"/>
      <c r="E930" s="392"/>
      <c r="F930" s="383" t="str">
        <f t="shared" si="1"/>
        <v/>
      </c>
      <c r="G930" s="384" t="str">
        <f>IFERROR(__xludf.DUMMYFUNCTION("IFERROR(AVERAGE(FILTER('حضور '!I:I,'حضور '!A:A=A930,MONTH('حضور '!B:B)=J930)),"""")"),"")</f>
        <v/>
      </c>
      <c r="H930" s="384">
        <f t="shared" si="2"/>
        <v>0</v>
      </c>
      <c r="I930" s="385">
        <f t="shared" si="3"/>
        <v>0</v>
      </c>
    </row>
    <row r="931" ht="22.5" customHeight="1">
      <c r="A931" s="391"/>
      <c r="B931" s="379"/>
      <c r="C931" s="393"/>
      <c r="D931" s="392"/>
      <c r="E931" s="392"/>
      <c r="F931" s="383" t="str">
        <f t="shared" si="1"/>
        <v/>
      </c>
      <c r="G931" s="384" t="str">
        <f>IFERROR(__xludf.DUMMYFUNCTION("IFERROR(AVERAGE(FILTER('حضور '!I:I,'حضور '!A:A=A931,MONTH('حضور '!B:B)=J931)),"""")"),"")</f>
        <v/>
      </c>
      <c r="H931" s="384">
        <f t="shared" si="2"/>
        <v>0</v>
      </c>
      <c r="I931" s="385">
        <f t="shared" si="3"/>
        <v>0</v>
      </c>
    </row>
    <row r="932" ht="22.5" customHeight="1">
      <c r="A932" s="391"/>
      <c r="B932" s="379"/>
      <c r="C932" s="393"/>
      <c r="D932" s="392"/>
      <c r="E932" s="392"/>
      <c r="F932" s="383" t="str">
        <f t="shared" si="1"/>
        <v/>
      </c>
      <c r="G932" s="384" t="str">
        <f>IFERROR(__xludf.DUMMYFUNCTION("IFERROR(AVERAGE(FILTER('حضور '!I:I,'حضور '!A:A=A932,MONTH('حضور '!B:B)=J932)),"""")"),"")</f>
        <v/>
      </c>
      <c r="H932" s="384">
        <f t="shared" si="2"/>
        <v>0</v>
      </c>
      <c r="I932" s="385">
        <f t="shared" si="3"/>
        <v>0</v>
      </c>
    </row>
    <row r="933" ht="22.5" customHeight="1">
      <c r="A933" s="391"/>
      <c r="B933" s="379"/>
      <c r="C933" s="393"/>
      <c r="D933" s="392"/>
      <c r="E933" s="392"/>
      <c r="F933" s="383" t="str">
        <f t="shared" si="1"/>
        <v/>
      </c>
      <c r="G933" s="384" t="str">
        <f>IFERROR(__xludf.DUMMYFUNCTION("IFERROR(AVERAGE(FILTER('حضور '!I:I,'حضور '!A:A=A933,MONTH('حضور '!B:B)=J933)),"""")"),"")</f>
        <v/>
      </c>
      <c r="H933" s="384">
        <f t="shared" si="2"/>
        <v>0</v>
      </c>
      <c r="I933" s="385">
        <f t="shared" si="3"/>
        <v>0</v>
      </c>
    </row>
    <row r="934" ht="22.5" customHeight="1">
      <c r="A934" s="391"/>
      <c r="B934" s="379"/>
      <c r="C934" s="393"/>
      <c r="D934" s="392"/>
      <c r="E934" s="392"/>
      <c r="F934" s="383" t="str">
        <f t="shared" si="1"/>
        <v/>
      </c>
      <c r="G934" s="384" t="str">
        <f>IFERROR(__xludf.DUMMYFUNCTION("IFERROR(AVERAGE(FILTER('حضور '!I:I,'حضور '!A:A=A934,MONTH('حضور '!B:B)=J934)),"""")"),"")</f>
        <v/>
      </c>
      <c r="H934" s="384">
        <f t="shared" si="2"/>
        <v>0</v>
      </c>
      <c r="I934" s="385">
        <f t="shared" si="3"/>
        <v>0</v>
      </c>
    </row>
    <row r="935" ht="22.5" customHeight="1">
      <c r="A935" s="391"/>
      <c r="B935" s="379"/>
      <c r="C935" s="393"/>
      <c r="D935" s="392"/>
      <c r="E935" s="392"/>
      <c r="F935" s="383" t="str">
        <f t="shared" si="1"/>
        <v/>
      </c>
      <c r="G935" s="384" t="str">
        <f>IFERROR(__xludf.DUMMYFUNCTION("IFERROR(AVERAGE(FILTER('حضور '!I:I,'حضور '!A:A=A935,MONTH('حضور '!B:B)=J935)),"""")"),"")</f>
        <v/>
      </c>
      <c r="H935" s="384">
        <f t="shared" si="2"/>
        <v>0</v>
      </c>
      <c r="I935" s="385">
        <f t="shared" si="3"/>
        <v>0</v>
      </c>
    </row>
    <row r="936" ht="22.5" customHeight="1">
      <c r="A936" s="391"/>
      <c r="B936" s="379"/>
      <c r="C936" s="393"/>
      <c r="D936" s="392"/>
      <c r="E936" s="392"/>
      <c r="F936" s="383" t="str">
        <f t="shared" si="1"/>
        <v/>
      </c>
      <c r="G936" s="384" t="str">
        <f>IFERROR(__xludf.DUMMYFUNCTION("IFERROR(AVERAGE(FILTER('حضور '!I:I,'حضور '!A:A=A936,MONTH('حضور '!B:B)=J936)),"""")"),"")</f>
        <v/>
      </c>
      <c r="H936" s="384">
        <f t="shared" si="2"/>
        <v>0</v>
      </c>
      <c r="I936" s="385">
        <f t="shared" si="3"/>
        <v>0</v>
      </c>
    </row>
    <row r="937" ht="22.5" customHeight="1">
      <c r="A937" s="391"/>
      <c r="B937" s="379"/>
      <c r="C937" s="393"/>
      <c r="D937" s="392"/>
      <c r="E937" s="392"/>
      <c r="F937" s="383" t="str">
        <f t="shared" si="1"/>
        <v/>
      </c>
      <c r="G937" s="384" t="str">
        <f>IFERROR(__xludf.DUMMYFUNCTION("IFERROR(AVERAGE(FILTER('حضور '!I:I,'حضور '!A:A=A937,MONTH('حضور '!B:B)=J937)),"""")"),"")</f>
        <v/>
      </c>
      <c r="H937" s="384">
        <f t="shared" si="2"/>
        <v>0</v>
      </c>
      <c r="I937" s="385">
        <f t="shared" si="3"/>
        <v>0</v>
      </c>
    </row>
    <row r="938" ht="22.5" customHeight="1">
      <c r="A938" s="391"/>
      <c r="B938" s="379"/>
      <c r="C938" s="393"/>
      <c r="D938" s="392"/>
      <c r="E938" s="392"/>
      <c r="F938" s="383" t="str">
        <f t="shared" si="1"/>
        <v/>
      </c>
      <c r="G938" s="384" t="str">
        <f>IFERROR(__xludf.DUMMYFUNCTION("IFERROR(AVERAGE(FILTER('حضور '!I:I,'حضور '!A:A=A938,MONTH('حضور '!B:B)=J938)),"""")"),"")</f>
        <v/>
      </c>
      <c r="H938" s="384">
        <f t="shared" si="2"/>
        <v>0</v>
      </c>
      <c r="I938" s="385">
        <f t="shared" si="3"/>
        <v>0</v>
      </c>
    </row>
    <row r="939" ht="22.5" customHeight="1">
      <c r="A939" s="391"/>
      <c r="B939" s="379"/>
      <c r="C939" s="393"/>
      <c r="D939" s="392"/>
      <c r="E939" s="392"/>
      <c r="F939" s="383" t="str">
        <f t="shared" si="1"/>
        <v/>
      </c>
      <c r="G939" s="384" t="str">
        <f>IFERROR(__xludf.DUMMYFUNCTION("IFERROR(AVERAGE(FILTER('حضور '!I:I,'حضور '!A:A=A939,MONTH('حضور '!B:B)=J939)),"""")"),"")</f>
        <v/>
      </c>
      <c r="H939" s="384">
        <f t="shared" si="2"/>
        <v>0</v>
      </c>
      <c r="I939" s="385">
        <f t="shared" si="3"/>
        <v>0</v>
      </c>
    </row>
    <row r="940" ht="22.5" customHeight="1">
      <c r="A940" s="391"/>
      <c r="B940" s="379"/>
      <c r="C940" s="393"/>
      <c r="D940" s="392"/>
      <c r="E940" s="392"/>
      <c r="F940" s="383" t="str">
        <f t="shared" si="1"/>
        <v/>
      </c>
      <c r="G940" s="384" t="str">
        <f>IFERROR(__xludf.DUMMYFUNCTION("IFERROR(AVERAGE(FILTER('حضور '!I:I,'حضور '!A:A=A940,MONTH('حضور '!B:B)=J940)),"""")"),"")</f>
        <v/>
      </c>
      <c r="H940" s="384">
        <f t="shared" si="2"/>
        <v>0</v>
      </c>
      <c r="I940" s="385">
        <f t="shared" si="3"/>
        <v>0</v>
      </c>
    </row>
    <row r="941" ht="22.5" customHeight="1">
      <c r="A941" s="391"/>
      <c r="B941" s="379"/>
      <c r="C941" s="393"/>
      <c r="D941" s="392"/>
      <c r="E941" s="392"/>
      <c r="F941" s="383" t="str">
        <f t="shared" si="1"/>
        <v/>
      </c>
      <c r="G941" s="384" t="str">
        <f>IFERROR(__xludf.DUMMYFUNCTION("IFERROR(AVERAGE(FILTER('حضور '!I:I,'حضور '!A:A=A941,MONTH('حضور '!B:B)=J941)),"""")"),"")</f>
        <v/>
      </c>
      <c r="H941" s="384">
        <f t="shared" si="2"/>
        <v>0</v>
      </c>
      <c r="I941" s="385">
        <f t="shared" si="3"/>
        <v>0</v>
      </c>
    </row>
    <row r="942" ht="22.5" customHeight="1">
      <c r="A942" s="391"/>
      <c r="B942" s="379"/>
      <c r="C942" s="393"/>
      <c r="D942" s="392"/>
      <c r="E942" s="392"/>
      <c r="F942" s="383" t="str">
        <f t="shared" si="1"/>
        <v/>
      </c>
      <c r="G942" s="384" t="str">
        <f>IFERROR(__xludf.DUMMYFUNCTION("IFERROR(AVERAGE(FILTER('حضور '!I:I,'حضور '!A:A=A942,MONTH('حضور '!B:B)=J942)),"""")"),"")</f>
        <v/>
      </c>
      <c r="H942" s="384">
        <f t="shared" si="2"/>
        <v>0</v>
      </c>
      <c r="I942" s="385">
        <f t="shared" si="3"/>
        <v>0</v>
      </c>
    </row>
    <row r="943" ht="22.5" customHeight="1">
      <c r="A943" s="391"/>
      <c r="B943" s="379"/>
      <c r="C943" s="393"/>
      <c r="D943" s="392"/>
      <c r="E943" s="392"/>
      <c r="F943" s="383" t="str">
        <f t="shared" si="1"/>
        <v/>
      </c>
      <c r="G943" s="384" t="str">
        <f>IFERROR(__xludf.DUMMYFUNCTION("IFERROR(AVERAGE(FILTER('حضور '!I:I,'حضور '!A:A=A943,MONTH('حضور '!B:B)=J943)),"""")"),"")</f>
        <v/>
      </c>
      <c r="H943" s="384">
        <f t="shared" si="2"/>
        <v>0</v>
      </c>
      <c r="I943" s="385">
        <f t="shared" si="3"/>
        <v>0</v>
      </c>
    </row>
    <row r="944" ht="22.5" customHeight="1">
      <c r="A944" s="391"/>
      <c r="B944" s="379"/>
      <c r="C944" s="393"/>
      <c r="D944" s="392"/>
      <c r="E944" s="392"/>
      <c r="F944" s="383" t="str">
        <f t="shared" si="1"/>
        <v/>
      </c>
      <c r="G944" s="384" t="str">
        <f>IFERROR(__xludf.DUMMYFUNCTION("IFERROR(AVERAGE(FILTER('حضور '!I:I,'حضور '!A:A=A944,MONTH('حضور '!B:B)=J944)),"""")"),"")</f>
        <v/>
      </c>
      <c r="H944" s="384">
        <f t="shared" si="2"/>
        <v>0</v>
      </c>
      <c r="I944" s="385">
        <f t="shared" si="3"/>
        <v>0</v>
      </c>
    </row>
    <row r="945" ht="22.5" customHeight="1">
      <c r="A945" s="391"/>
      <c r="B945" s="379"/>
      <c r="C945" s="393"/>
      <c r="D945" s="392"/>
      <c r="E945" s="392"/>
      <c r="F945" s="383" t="str">
        <f t="shared" si="1"/>
        <v/>
      </c>
      <c r="G945" s="384" t="str">
        <f>IFERROR(__xludf.DUMMYFUNCTION("IFERROR(AVERAGE(FILTER('حضور '!I:I,'حضور '!A:A=A945,MONTH('حضور '!B:B)=J945)),"""")"),"")</f>
        <v/>
      </c>
      <c r="H945" s="384">
        <f t="shared" si="2"/>
        <v>0</v>
      </c>
      <c r="I945" s="385">
        <f t="shared" si="3"/>
        <v>0</v>
      </c>
    </row>
    <row r="946" ht="22.5" customHeight="1">
      <c r="A946" s="391"/>
      <c r="B946" s="379"/>
      <c r="C946" s="393"/>
      <c r="D946" s="392"/>
      <c r="E946" s="392"/>
      <c r="F946" s="383" t="str">
        <f t="shared" si="1"/>
        <v/>
      </c>
      <c r="G946" s="384" t="str">
        <f>IFERROR(__xludf.DUMMYFUNCTION("IFERROR(AVERAGE(FILTER('حضور '!I:I,'حضور '!A:A=A946,MONTH('حضور '!B:B)=J946)),"""")"),"")</f>
        <v/>
      </c>
      <c r="H946" s="384">
        <f t="shared" si="2"/>
        <v>0</v>
      </c>
      <c r="I946" s="385">
        <f t="shared" si="3"/>
        <v>0</v>
      </c>
    </row>
    <row r="947" ht="22.5" customHeight="1">
      <c r="A947" s="391"/>
      <c r="B947" s="379"/>
      <c r="C947" s="393"/>
      <c r="D947" s="392"/>
      <c r="E947" s="392"/>
      <c r="F947" s="383" t="str">
        <f t="shared" si="1"/>
        <v/>
      </c>
      <c r="G947" s="384" t="str">
        <f>IFERROR(__xludf.DUMMYFUNCTION("IFERROR(AVERAGE(FILTER('حضور '!I:I,'حضور '!A:A=A947,MONTH('حضور '!B:B)=J947)),"""")"),"")</f>
        <v/>
      </c>
      <c r="H947" s="384">
        <f t="shared" si="2"/>
        <v>0</v>
      </c>
      <c r="I947" s="385">
        <f t="shared" si="3"/>
        <v>0</v>
      </c>
    </row>
    <row r="948" ht="22.5" customHeight="1">
      <c r="A948" s="391"/>
      <c r="B948" s="379"/>
      <c r="C948" s="393"/>
      <c r="D948" s="392"/>
      <c r="E948" s="392"/>
      <c r="F948" s="383" t="str">
        <f t="shared" si="1"/>
        <v/>
      </c>
      <c r="G948" s="384" t="str">
        <f>IFERROR(__xludf.DUMMYFUNCTION("IFERROR(AVERAGE(FILTER('حضور '!I:I,'حضور '!A:A=A948,MONTH('حضور '!B:B)=J948)),"""")"),"")</f>
        <v/>
      </c>
      <c r="H948" s="384">
        <f t="shared" si="2"/>
        <v>0</v>
      </c>
      <c r="I948" s="385">
        <f t="shared" si="3"/>
        <v>0</v>
      </c>
    </row>
    <row r="949" ht="22.5" customHeight="1">
      <c r="A949" s="391"/>
      <c r="B949" s="379"/>
      <c r="C949" s="393"/>
      <c r="D949" s="392"/>
      <c r="E949" s="392"/>
      <c r="F949" s="383" t="str">
        <f t="shared" si="1"/>
        <v/>
      </c>
      <c r="G949" s="384" t="str">
        <f>IFERROR(__xludf.DUMMYFUNCTION("IFERROR(AVERAGE(FILTER('حضور '!I:I,'حضور '!A:A=A949,MONTH('حضور '!B:B)=J949)),"""")"),"")</f>
        <v/>
      </c>
      <c r="H949" s="384">
        <f t="shared" si="2"/>
        <v>0</v>
      </c>
      <c r="I949" s="385">
        <f t="shared" si="3"/>
        <v>0</v>
      </c>
    </row>
    <row r="950" ht="22.5" customHeight="1">
      <c r="A950" s="391"/>
      <c r="B950" s="379"/>
      <c r="C950" s="393"/>
      <c r="D950" s="392"/>
      <c r="E950" s="392"/>
      <c r="F950" s="383" t="str">
        <f t="shared" si="1"/>
        <v/>
      </c>
      <c r="G950" s="384" t="str">
        <f>IFERROR(__xludf.DUMMYFUNCTION("IFERROR(AVERAGE(FILTER('حضور '!I:I,'حضور '!A:A=A950,MONTH('حضور '!B:B)=J950)),"""")"),"")</f>
        <v/>
      </c>
      <c r="H950" s="384">
        <f t="shared" si="2"/>
        <v>0</v>
      </c>
      <c r="I950" s="385">
        <f t="shared" si="3"/>
        <v>0</v>
      </c>
    </row>
    <row r="951" ht="22.5" customHeight="1">
      <c r="A951" s="391"/>
      <c r="B951" s="379"/>
      <c r="C951" s="393"/>
      <c r="D951" s="392"/>
      <c r="E951" s="392"/>
      <c r="F951" s="383" t="str">
        <f t="shared" si="1"/>
        <v/>
      </c>
      <c r="G951" s="384" t="str">
        <f>IFERROR(__xludf.DUMMYFUNCTION("IFERROR(AVERAGE(FILTER('حضور '!I:I,'حضور '!A:A=A951,MONTH('حضور '!B:B)=J951)),"""")"),"")</f>
        <v/>
      </c>
      <c r="H951" s="384">
        <f t="shared" si="2"/>
        <v>0</v>
      </c>
      <c r="I951" s="385">
        <f t="shared" si="3"/>
        <v>0</v>
      </c>
    </row>
    <row r="952" ht="22.5" customHeight="1">
      <c r="A952" s="391"/>
      <c r="B952" s="379"/>
      <c r="C952" s="393"/>
      <c r="D952" s="392"/>
      <c r="E952" s="392"/>
      <c r="F952" s="383" t="str">
        <f t="shared" si="1"/>
        <v/>
      </c>
      <c r="G952" s="384" t="str">
        <f>IFERROR(__xludf.DUMMYFUNCTION("IFERROR(AVERAGE(FILTER('حضور '!I:I,'حضور '!A:A=A952,MONTH('حضور '!B:B)=J952)),"""")"),"")</f>
        <v/>
      </c>
      <c r="H952" s="384">
        <f t="shared" si="2"/>
        <v>0</v>
      </c>
      <c r="I952" s="385">
        <f t="shared" si="3"/>
        <v>0</v>
      </c>
    </row>
    <row r="953" ht="22.5" customHeight="1">
      <c r="A953" s="391"/>
      <c r="B953" s="379"/>
      <c r="C953" s="393"/>
      <c r="D953" s="392"/>
      <c r="E953" s="392"/>
      <c r="F953" s="383" t="str">
        <f t="shared" si="1"/>
        <v/>
      </c>
      <c r="G953" s="384" t="str">
        <f>IFERROR(__xludf.DUMMYFUNCTION("IFERROR(AVERAGE(FILTER('حضور '!I:I,'حضور '!A:A=A953,MONTH('حضور '!B:B)=J953)),"""")"),"")</f>
        <v/>
      </c>
      <c r="H953" s="384">
        <f t="shared" si="2"/>
        <v>0</v>
      </c>
      <c r="I953" s="385">
        <f t="shared" si="3"/>
        <v>0</v>
      </c>
    </row>
    <row r="954" ht="22.5" customHeight="1">
      <c r="A954" s="391"/>
      <c r="B954" s="379"/>
      <c r="C954" s="393"/>
      <c r="D954" s="392"/>
      <c r="E954" s="392"/>
      <c r="F954" s="383" t="str">
        <f t="shared" si="1"/>
        <v/>
      </c>
      <c r="G954" s="384" t="str">
        <f>IFERROR(__xludf.DUMMYFUNCTION("IFERROR(AVERAGE(FILTER('حضور '!I:I,'حضور '!A:A=A954,MONTH('حضور '!B:B)=J954)),"""")"),"")</f>
        <v/>
      </c>
      <c r="H954" s="384">
        <f t="shared" si="2"/>
        <v>0</v>
      </c>
      <c r="I954" s="385">
        <f t="shared" si="3"/>
        <v>0</v>
      </c>
    </row>
    <row r="955" ht="22.5" customHeight="1">
      <c r="A955" s="391"/>
      <c r="B955" s="379"/>
      <c r="C955" s="393"/>
      <c r="D955" s="392"/>
      <c r="E955" s="392"/>
      <c r="F955" s="383" t="str">
        <f t="shared" si="1"/>
        <v/>
      </c>
      <c r="G955" s="384" t="str">
        <f>IFERROR(__xludf.DUMMYFUNCTION("IFERROR(AVERAGE(FILTER('حضور '!I:I,'حضور '!A:A=A955,MONTH('حضور '!B:B)=J955)),"""")"),"")</f>
        <v/>
      </c>
      <c r="H955" s="384">
        <f t="shared" si="2"/>
        <v>0</v>
      </c>
      <c r="I955" s="385">
        <f t="shared" si="3"/>
        <v>0</v>
      </c>
    </row>
    <row r="956" ht="22.5" customHeight="1">
      <c r="A956" s="391"/>
      <c r="B956" s="379"/>
      <c r="C956" s="393"/>
      <c r="D956" s="392"/>
      <c r="E956" s="392"/>
      <c r="F956" s="383" t="str">
        <f t="shared" si="1"/>
        <v/>
      </c>
      <c r="G956" s="384" t="str">
        <f>IFERROR(__xludf.DUMMYFUNCTION("IFERROR(AVERAGE(FILTER('حضور '!I:I,'حضور '!A:A=A956,MONTH('حضور '!B:B)=J956)),"""")"),"")</f>
        <v/>
      </c>
      <c r="H956" s="384">
        <f t="shared" si="2"/>
        <v>0</v>
      </c>
      <c r="I956" s="385">
        <f t="shared" si="3"/>
        <v>0</v>
      </c>
    </row>
    <row r="957" ht="22.5" customHeight="1">
      <c r="A957" s="391"/>
      <c r="B957" s="379"/>
      <c r="C957" s="393"/>
      <c r="D957" s="392"/>
      <c r="E957" s="392"/>
      <c r="F957" s="383" t="str">
        <f t="shared" si="1"/>
        <v/>
      </c>
      <c r="G957" s="384" t="str">
        <f>IFERROR(__xludf.DUMMYFUNCTION("IFERROR(AVERAGE(FILTER('حضور '!I:I,'حضور '!A:A=A957,MONTH('حضور '!B:B)=J957)),"""")"),"")</f>
        <v/>
      </c>
      <c r="H957" s="384">
        <f t="shared" si="2"/>
        <v>0</v>
      </c>
      <c r="I957" s="385">
        <f t="shared" si="3"/>
        <v>0</v>
      </c>
    </row>
    <row r="958" ht="22.5" customHeight="1">
      <c r="A958" s="391"/>
      <c r="B958" s="379"/>
      <c r="C958" s="393"/>
      <c r="D958" s="392"/>
      <c r="E958" s="392"/>
      <c r="F958" s="383" t="str">
        <f t="shared" si="1"/>
        <v/>
      </c>
      <c r="G958" s="384" t="str">
        <f>IFERROR(__xludf.DUMMYFUNCTION("IFERROR(AVERAGE(FILTER('حضور '!I:I,'حضور '!A:A=A958,MONTH('حضور '!B:B)=J958)),"""")"),"")</f>
        <v/>
      </c>
      <c r="H958" s="384">
        <f t="shared" si="2"/>
        <v>0</v>
      </c>
      <c r="I958" s="385">
        <f t="shared" si="3"/>
        <v>0</v>
      </c>
    </row>
    <row r="959" ht="22.5" customHeight="1">
      <c r="A959" s="391"/>
      <c r="B959" s="379"/>
      <c r="C959" s="393"/>
      <c r="D959" s="392"/>
      <c r="E959" s="392"/>
      <c r="F959" s="383" t="str">
        <f t="shared" si="1"/>
        <v/>
      </c>
      <c r="G959" s="384" t="str">
        <f>IFERROR(__xludf.DUMMYFUNCTION("IFERROR(AVERAGE(FILTER('حضور '!I:I,'حضور '!A:A=A959,MONTH('حضور '!B:B)=J959)),"""")"),"")</f>
        <v/>
      </c>
      <c r="H959" s="384">
        <f t="shared" si="2"/>
        <v>0</v>
      </c>
      <c r="I959" s="385">
        <f t="shared" si="3"/>
        <v>0</v>
      </c>
    </row>
    <row r="960" ht="22.5" customHeight="1">
      <c r="A960" s="391"/>
      <c r="B960" s="379"/>
      <c r="C960" s="393"/>
      <c r="D960" s="392"/>
      <c r="E960" s="392"/>
      <c r="F960" s="383" t="str">
        <f t="shared" si="1"/>
        <v/>
      </c>
      <c r="G960" s="384" t="str">
        <f>IFERROR(__xludf.DUMMYFUNCTION("IFERROR(AVERAGE(FILTER('حضور '!I:I,'حضور '!A:A=A960,MONTH('حضور '!B:B)=J960)),"""")"),"")</f>
        <v/>
      </c>
      <c r="H960" s="384">
        <f t="shared" si="2"/>
        <v>0</v>
      </c>
      <c r="I960" s="385">
        <f t="shared" si="3"/>
        <v>0</v>
      </c>
    </row>
    <row r="961" ht="22.5" customHeight="1">
      <c r="A961" s="391"/>
      <c r="B961" s="379"/>
      <c r="C961" s="393"/>
      <c r="D961" s="392"/>
      <c r="E961" s="392"/>
      <c r="F961" s="383" t="str">
        <f t="shared" si="1"/>
        <v/>
      </c>
      <c r="G961" s="384" t="str">
        <f>IFERROR(__xludf.DUMMYFUNCTION("IFERROR(AVERAGE(FILTER('حضور '!I:I,'حضور '!A:A=A961,MONTH('حضور '!B:B)=J961)),"""")"),"")</f>
        <v/>
      </c>
      <c r="H961" s="384">
        <f t="shared" si="2"/>
        <v>0</v>
      </c>
      <c r="I961" s="385">
        <f t="shared" si="3"/>
        <v>0</v>
      </c>
    </row>
    <row r="962" ht="22.5" customHeight="1">
      <c r="A962" s="391"/>
      <c r="B962" s="379"/>
      <c r="C962" s="393"/>
      <c r="D962" s="392"/>
      <c r="E962" s="392"/>
      <c r="F962" s="383" t="str">
        <f t="shared" si="1"/>
        <v/>
      </c>
      <c r="G962" s="384" t="str">
        <f>IFERROR(__xludf.DUMMYFUNCTION("IFERROR(AVERAGE(FILTER('حضور '!I:I,'حضور '!A:A=A962,MONTH('حضور '!B:B)=J962)),"""")"),"")</f>
        <v/>
      </c>
      <c r="H962" s="384">
        <f t="shared" si="2"/>
        <v>0</v>
      </c>
      <c r="I962" s="385">
        <f t="shared" si="3"/>
        <v>0</v>
      </c>
    </row>
    <row r="963" ht="22.5" customHeight="1">
      <c r="A963" s="391"/>
      <c r="B963" s="379"/>
      <c r="C963" s="393"/>
      <c r="D963" s="392"/>
      <c r="E963" s="392"/>
      <c r="F963" s="383" t="str">
        <f t="shared" si="1"/>
        <v/>
      </c>
      <c r="G963" s="384" t="str">
        <f>IFERROR(__xludf.DUMMYFUNCTION("IFERROR(AVERAGE(FILTER('حضور '!I:I,'حضور '!A:A=A963,MONTH('حضور '!B:B)=J963)),"""")"),"")</f>
        <v/>
      </c>
      <c r="H963" s="384">
        <f t="shared" si="2"/>
        <v>0</v>
      </c>
      <c r="I963" s="385">
        <f t="shared" si="3"/>
        <v>0</v>
      </c>
    </row>
    <row r="964" ht="22.5" customHeight="1">
      <c r="A964" s="391"/>
      <c r="B964" s="379"/>
      <c r="C964" s="393"/>
      <c r="D964" s="392"/>
      <c r="E964" s="392"/>
      <c r="F964" s="383" t="str">
        <f t="shared" si="1"/>
        <v/>
      </c>
      <c r="G964" s="384" t="str">
        <f>IFERROR(__xludf.DUMMYFUNCTION("IFERROR(AVERAGE(FILTER('حضور '!I:I,'حضور '!A:A=A964,MONTH('حضور '!B:B)=J964)),"""")"),"")</f>
        <v/>
      </c>
      <c r="H964" s="384">
        <f t="shared" si="2"/>
        <v>0</v>
      </c>
      <c r="I964" s="385">
        <f t="shared" si="3"/>
        <v>0</v>
      </c>
    </row>
    <row r="965" ht="22.5" customHeight="1">
      <c r="A965" s="391"/>
      <c r="B965" s="379"/>
      <c r="C965" s="393"/>
      <c r="D965" s="392"/>
      <c r="E965" s="392"/>
      <c r="F965" s="383" t="str">
        <f t="shared" si="1"/>
        <v/>
      </c>
      <c r="G965" s="384" t="str">
        <f>IFERROR(__xludf.DUMMYFUNCTION("IFERROR(AVERAGE(FILTER('حضور '!I:I,'حضور '!A:A=A965,MONTH('حضور '!B:B)=J965)),"""")"),"")</f>
        <v/>
      </c>
      <c r="H965" s="384">
        <f t="shared" si="2"/>
        <v>0</v>
      </c>
      <c r="I965" s="385">
        <f t="shared" si="3"/>
        <v>0</v>
      </c>
    </row>
    <row r="966" ht="22.5" customHeight="1">
      <c r="A966" s="391"/>
      <c r="B966" s="379"/>
      <c r="C966" s="393"/>
      <c r="D966" s="392"/>
      <c r="E966" s="392"/>
      <c r="F966" s="383" t="str">
        <f t="shared" si="1"/>
        <v/>
      </c>
      <c r="G966" s="384" t="str">
        <f>IFERROR(__xludf.DUMMYFUNCTION("IFERROR(AVERAGE(FILTER('حضور '!I:I,'حضور '!A:A=A966,MONTH('حضور '!B:B)=J966)),"""")"),"")</f>
        <v/>
      </c>
      <c r="H966" s="384">
        <f t="shared" si="2"/>
        <v>0</v>
      </c>
      <c r="I966" s="385">
        <f t="shared" si="3"/>
        <v>0</v>
      </c>
    </row>
    <row r="967" ht="22.5" customHeight="1">
      <c r="A967" s="391"/>
      <c r="B967" s="379"/>
      <c r="C967" s="393"/>
      <c r="D967" s="392"/>
      <c r="E967" s="392"/>
      <c r="F967" s="383" t="str">
        <f t="shared" si="1"/>
        <v/>
      </c>
      <c r="G967" s="384" t="str">
        <f>IFERROR(__xludf.DUMMYFUNCTION("IFERROR(AVERAGE(FILTER('حضور '!I:I,'حضور '!A:A=A967,MONTH('حضور '!B:B)=J967)),"""")"),"")</f>
        <v/>
      </c>
      <c r="H967" s="384">
        <f t="shared" si="2"/>
        <v>0</v>
      </c>
      <c r="I967" s="385">
        <f t="shared" si="3"/>
        <v>0</v>
      </c>
    </row>
    <row r="968" ht="22.5" customHeight="1">
      <c r="A968" s="391"/>
      <c r="B968" s="379"/>
      <c r="C968" s="393"/>
      <c r="D968" s="392"/>
      <c r="E968" s="392"/>
      <c r="F968" s="383" t="str">
        <f t="shared" si="1"/>
        <v/>
      </c>
      <c r="G968" s="384" t="str">
        <f>IFERROR(__xludf.DUMMYFUNCTION("IFERROR(AVERAGE(FILTER('حضور '!I:I,'حضور '!A:A=A968,MONTH('حضور '!B:B)=J968)),"""")"),"")</f>
        <v/>
      </c>
      <c r="H968" s="384">
        <f t="shared" si="2"/>
        <v>0</v>
      </c>
      <c r="I968" s="385">
        <f t="shared" si="3"/>
        <v>0</v>
      </c>
    </row>
    <row r="969" ht="22.5" customHeight="1">
      <c r="A969" s="391"/>
      <c r="B969" s="379"/>
      <c r="C969" s="393"/>
      <c r="D969" s="392"/>
      <c r="E969" s="392"/>
      <c r="F969" s="383" t="str">
        <f t="shared" si="1"/>
        <v/>
      </c>
      <c r="G969" s="384" t="str">
        <f>IFERROR(__xludf.DUMMYFUNCTION("IFERROR(AVERAGE(FILTER('حضور '!I:I,'حضور '!A:A=A969,MONTH('حضور '!B:B)=J969)),"""")"),"")</f>
        <v/>
      </c>
      <c r="H969" s="384">
        <f t="shared" si="2"/>
        <v>0</v>
      </c>
      <c r="I969" s="385">
        <f t="shared" si="3"/>
        <v>0</v>
      </c>
    </row>
    <row r="970" ht="22.5" customHeight="1">
      <c r="A970" s="391"/>
      <c r="B970" s="379"/>
      <c r="C970" s="393"/>
      <c r="D970" s="392"/>
      <c r="E970" s="392"/>
      <c r="F970" s="383" t="str">
        <f t="shared" si="1"/>
        <v/>
      </c>
      <c r="G970" s="384" t="str">
        <f>IFERROR(__xludf.DUMMYFUNCTION("IFERROR(AVERAGE(FILTER('حضور '!I:I,'حضور '!A:A=A970,MONTH('حضور '!B:B)=J970)),"""")"),"")</f>
        <v/>
      </c>
      <c r="H970" s="384">
        <f t="shared" si="2"/>
        <v>0</v>
      </c>
      <c r="I970" s="385">
        <f t="shared" si="3"/>
        <v>0</v>
      </c>
    </row>
    <row r="971" ht="22.5" customHeight="1">
      <c r="A971" s="391"/>
      <c r="B971" s="379"/>
      <c r="C971" s="393"/>
      <c r="D971" s="392"/>
      <c r="E971" s="392"/>
      <c r="F971" s="383" t="str">
        <f t="shared" si="1"/>
        <v/>
      </c>
      <c r="G971" s="384" t="str">
        <f>IFERROR(__xludf.DUMMYFUNCTION("IFERROR(AVERAGE(FILTER('حضور '!I:I,'حضور '!A:A=A971,MONTH('حضور '!B:B)=J971)),"""")"),"")</f>
        <v/>
      </c>
      <c r="H971" s="384">
        <f t="shared" si="2"/>
        <v>0</v>
      </c>
      <c r="I971" s="385">
        <f t="shared" si="3"/>
        <v>0</v>
      </c>
    </row>
    <row r="972" ht="22.5" customHeight="1">
      <c r="A972" s="391"/>
      <c r="B972" s="379"/>
      <c r="C972" s="393"/>
      <c r="D972" s="392"/>
      <c r="E972" s="392"/>
      <c r="F972" s="383" t="str">
        <f t="shared" si="1"/>
        <v/>
      </c>
      <c r="G972" s="384" t="str">
        <f>IFERROR(__xludf.DUMMYFUNCTION("IFERROR(AVERAGE(FILTER('حضور '!I:I,'حضور '!A:A=A972,MONTH('حضور '!B:B)=J972)),"""")"),"")</f>
        <v/>
      </c>
      <c r="H972" s="384">
        <f t="shared" si="2"/>
        <v>0</v>
      </c>
      <c r="I972" s="385">
        <f t="shared" si="3"/>
        <v>0</v>
      </c>
    </row>
    <row r="973" ht="22.5" customHeight="1">
      <c r="A973" s="391"/>
      <c r="B973" s="379"/>
      <c r="C973" s="393"/>
      <c r="D973" s="392"/>
      <c r="E973" s="392"/>
      <c r="F973" s="383" t="str">
        <f t="shared" si="1"/>
        <v/>
      </c>
      <c r="G973" s="384" t="str">
        <f>IFERROR(__xludf.DUMMYFUNCTION("IFERROR(AVERAGE(FILTER('حضور '!I:I,'حضور '!A:A=A973,MONTH('حضور '!B:B)=J973)),"""")"),"")</f>
        <v/>
      </c>
      <c r="H973" s="384">
        <f t="shared" si="2"/>
        <v>0</v>
      </c>
      <c r="I973" s="385">
        <f t="shared" si="3"/>
        <v>0</v>
      </c>
    </row>
    <row r="974" ht="22.5" customHeight="1">
      <c r="A974" s="391"/>
      <c r="B974" s="379"/>
      <c r="C974" s="393"/>
      <c r="D974" s="392"/>
      <c r="E974" s="392"/>
      <c r="F974" s="383" t="str">
        <f t="shared" si="1"/>
        <v/>
      </c>
      <c r="G974" s="384" t="str">
        <f>IFERROR(__xludf.DUMMYFUNCTION("IFERROR(AVERAGE(FILTER('حضور '!I:I,'حضور '!A:A=A974,MONTH('حضور '!B:B)=J974)),"""")"),"")</f>
        <v/>
      </c>
      <c r="H974" s="384">
        <f t="shared" si="2"/>
        <v>0</v>
      </c>
      <c r="I974" s="385">
        <f t="shared" si="3"/>
        <v>0</v>
      </c>
    </row>
    <row r="975" ht="22.5" customHeight="1">
      <c r="A975" s="391"/>
      <c r="B975" s="379"/>
      <c r="C975" s="393"/>
      <c r="D975" s="392"/>
      <c r="E975" s="392"/>
      <c r="F975" s="383" t="str">
        <f t="shared" si="1"/>
        <v/>
      </c>
      <c r="G975" s="384" t="str">
        <f>IFERROR(__xludf.DUMMYFUNCTION("IFERROR(AVERAGE(FILTER('حضور '!I:I,'حضور '!A:A=A975,MONTH('حضور '!B:B)=J975)),"""")"),"")</f>
        <v/>
      </c>
      <c r="H975" s="384">
        <f t="shared" si="2"/>
        <v>0</v>
      </c>
      <c r="I975" s="385">
        <f t="shared" si="3"/>
        <v>0</v>
      </c>
    </row>
    <row r="976" ht="22.5" customHeight="1">
      <c r="A976" s="391"/>
      <c r="B976" s="379"/>
      <c r="C976" s="393"/>
      <c r="D976" s="392"/>
      <c r="E976" s="392"/>
      <c r="F976" s="383" t="str">
        <f t="shared" si="1"/>
        <v/>
      </c>
      <c r="G976" s="384" t="str">
        <f>IFERROR(__xludf.DUMMYFUNCTION("IFERROR(AVERAGE(FILTER('حضور '!I:I,'حضور '!A:A=A976,MONTH('حضور '!B:B)=J976)),"""")"),"")</f>
        <v/>
      </c>
      <c r="H976" s="384">
        <f t="shared" si="2"/>
        <v>0</v>
      </c>
      <c r="I976" s="385">
        <f t="shared" si="3"/>
        <v>0</v>
      </c>
    </row>
    <row r="977" ht="22.5" customHeight="1">
      <c r="A977" s="391"/>
      <c r="B977" s="379"/>
      <c r="C977" s="393"/>
      <c r="D977" s="392"/>
      <c r="E977" s="392"/>
      <c r="F977" s="383" t="str">
        <f t="shared" si="1"/>
        <v/>
      </c>
      <c r="G977" s="384" t="str">
        <f>IFERROR(__xludf.DUMMYFUNCTION("IFERROR(AVERAGE(FILTER('حضور '!I:I,'حضور '!A:A=A977,MONTH('حضور '!B:B)=J977)),"""")"),"")</f>
        <v/>
      </c>
      <c r="H977" s="384">
        <f t="shared" si="2"/>
        <v>0</v>
      </c>
      <c r="I977" s="385">
        <f t="shared" si="3"/>
        <v>0</v>
      </c>
    </row>
    <row r="978" ht="22.5" customHeight="1">
      <c r="A978" s="391"/>
      <c r="B978" s="379"/>
      <c r="C978" s="393"/>
      <c r="D978" s="392"/>
      <c r="E978" s="392"/>
      <c r="F978" s="383" t="str">
        <f t="shared" si="1"/>
        <v/>
      </c>
      <c r="G978" s="384" t="str">
        <f>IFERROR(__xludf.DUMMYFUNCTION("IFERROR(AVERAGE(FILTER('حضور '!I:I,'حضور '!A:A=A978,MONTH('حضور '!B:B)=J978)),"""")"),"")</f>
        <v/>
      </c>
      <c r="H978" s="384">
        <f t="shared" si="2"/>
        <v>0</v>
      </c>
      <c r="I978" s="385">
        <f t="shared" si="3"/>
        <v>0</v>
      </c>
    </row>
    <row r="979" ht="22.5" customHeight="1">
      <c r="A979" s="391"/>
      <c r="B979" s="379"/>
      <c r="C979" s="393"/>
      <c r="D979" s="392"/>
      <c r="E979" s="392"/>
      <c r="F979" s="383" t="str">
        <f t="shared" si="1"/>
        <v/>
      </c>
      <c r="G979" s="384" t="str">
        <f>IFERROR(__xludf.DUMMYFUNCTION("IFERROR(AVERAGE(FILTER('حضور '!I:I,'حضور '!A:A=A979,MONTH('حضور '!B:B)=J979)),"""")"),"")</f>
        <v/>
      </c>
      <c r="H979" s="384">
        <f t="shared" si="2"/>
        <v>0</v>
      </c>
      <c r="I979" s="385">
        <f t="shared" si="3"/>
        <v>0</v>
      </c>
    </row>
    <row r="980" ht="22.5" customHeight="1">
      <c r="A980" s="391"/>
      <c r="B980" s="379"/>
      <c r="C980" s="393"/>
      <c r="D980" s="392"/>
      <c r="E980" s="392"/>
      <c r="F980" s="383" t="str">
        <f t="shared" si="1"/>
        <v/>
      </c>
      <c r="G980" s="384" t="str">
        <f>IFERROR(__xludf.DUMMYFUNCTION("IFERROR(AVERAGE(FILTER('حضور '!I:I,'حضور '!A:A=A980,MONTH('حضور '!B:B)=J980)),"""")"),"")</f>
        <v/>
      </c>
      <c r="H980" s="384">
        <f t="shared" si="2"/>
        <v>0</v>
      </c>
      <c r="I980" s="385">
        <f t="shared" si="3"/>
        <v>0</v>
      </c>
    </row>
    <row r="981" ht="22.5" customHeight="1">
      <c r="A981" s="391"/>
      <c r="B981" s="379"/>
      <c r="C981" s="393"/>
      <c r="D981" s="392"/>
      <c r="E981" s="392"/>
      <c r="F981" s="383" t="str">
        <f t="shared" si="1"/>
        <v/>
      </c>
      <c r="G981" s="384" t="str">
        <f>IFERROR(__xludf.DUMMYFUNCTION("IFERROR(AVERAGE(FILTER('حضور '!I:I,'حضور '!A:A=A981,MONTH('حضور '!B:B)=J981)),"""")"),"")</f>
        <v/>
      </c>
      <c r="H981" s="384">
        <f t="shared" si="2"/>
        <v>0</v>
      </c>
      <c r="I981" s="385">
        <f t="shared" si="3"/>
        <v>0</v>
      </c>
    </row>
    <row r="982" ht="22.5" customHeight="1">
      <c r="A982" s="391"/>
      <c r="B982" s="379"/>
      <c r="C982" s="393"/>
      <c r="D982" s="392"/>
      <c r="E982" s="392"/>
      <c r="F982" s="383" t="str">
        <f t="shared" si="1"/>
        <v/>
      </c>
      <c r="G982" s="384" t="str">
        <f>IFERROR(__xludf.DUMMYFUNCTION("IFERROR(AVERAGE(FILTER('حضور '!I:I,'حضور '!A:A=A982,MONTH('حضور '!B:B)=J982)),"""")"),"")</f>
        <v/>
      </c>
      <c r="H982" s="384">
        <f t="shared" si="2"/>
        <v>0</v>
      </c>
      <c r="I982" s="385">
        <f t="shared" si="3"/>
        <v>0</v>
      </c>
    </row>
    <row r="983" ht="22.5" customHeight="1">
      <c r="A983" s="391"/>
      <c r="B983" s="379"/>
      <c r="C983" s="393"/>
      <c r="D983" s="392"/>
      <c r="E983" s="392"/>
      <c r="F983" s="383" t="str">
        <f t="shared" si="1"/>
        <v/>
      </c>
      <c r="G983" s="384" t="str">
        <f>IFERROR(__xludf.DUMMYFUNCTION("IFERROR(AVERAGE(FILTER('حضور '!I:I,'حضور '!A:A=A983,MONTH('حضور '!B:B)=J983)),"""")"),"")</f>
        <v/>
      </c>
      <c r="H983" s="384">
        <f t="shared" si="2"/>
        <v>0</v>
      </c>
      <c r="I983" s="385">
        <f t="shared" si="3"/>
        <v>0</v>
      </c>
    </row>
    <row r="984" ht="22.5" customHeight="1">
      <c r="A984" s="391"/>
      <c r="B984" s="379"/>
      <c r="C984" s="393"/>
      <c r="D984" s="392"/>
      <c r="E984" s="392"/>
      <c r="F984" s="383" t="str">
        <f t="shared" si="1"/>
        <v/>
      </c>
      <c r="G984" s="384" t="str">
        <f>IFERROR(__xludf.DUMMYFUNCTION("IFERROR(AVERAGE(FILTER('حضور '!I:I,'حضور '!A:A=A984,MONTH('حضور '!B:B)=J984)),"""")"),"")</f>
        <v/>
      </c>
      <c r="H984" s="384">
        <f t="shared" si="2"/>
        <v>0</v>
      </c>
      <c r="I984" s="385">
        <f t="shared" si="3"/>
        <v>0</v>
      </c>
    </row>
    <row r="985" ht="22.5" customHeight="1">
      <c r="A985" s="391"/>
      <c r="B985" s="379"/>
      <c r="C985" s="393"/>
      <c r="D985" s="392"/>
      <c r="E985" s="392"/>
      <c r="F985" s="383" t="str">
        <f t="shared" si="1"/>
        <v/>
      </c>
      <c r="G985" s="384" t="str">
        <f>IFERROR(__xludf.DUMMYFUNCTION("IFERROR(AVERAGE(FILTER('حضور '!I:I,'حضور '!A:A=A985,MONTH('حضور '!B:B)=J985)),"""")"),"")</f>
        <v/>
      </c>
      <c r="H985" s="384">
        <f t="shared" si="2"/>
        <v>0</v>
      </c>
      <c r="I985" s="385">
        <f t="shared" si="3"/>
        <v>0</v>
      </c>
    </row>
    <row r="986" ht="22.5" customHeight="1">
      <c r="A986" s="391"/>
      <c r="B986" s="379"/>
      <c r="C986" s="393"/>
      <c r="D986" s="392"/>
      <c r="E986" s="392"/>
      <c r="F986" s="383" t="str">
        <f t="shared" si="1"/>
        <v/>
      </c>
      <c r="G986" s="384" t="str">
        <f>IFERROR(__xludf.DUMMYFUNCTION("IFERROR(AVERAGE(FILTER('حضور '!I:I,'حضور '!A:A=A986,MONTH('حضور '!B:B)=J986)),"""")"),"")</f>
        <v/>
      </c>
      <c r="H986" s="384">
        <f t="shared" si="2"/>
        <v>0</v>
      </c>
      <c r="I986" s="385">
        <f t="shared" si="3"/>
        <v>0</v>
      </c>
    </row>
    <row r="987" ht="22.5" customHeight="1">
      <c r="A987" s="391"/>
      <c r="B987" s="379"/>
      <c r="C987" s="393"/>
      <c r="D987" s="392"/>
      <c r="E987" s="392"/>
      <c r="F987" s="383" t="str">
        <f t="shared" si="1"/>
        <v/>
      </c>
      <c r="G987" s="384" t="str">
        <f>IFERROR(__xludf.DUMMYFUNCTION("IFERROR(AVERAGE(FILTER('حضور '!I:I,'حضور '!A:A=A987,MONTH('حضور '!B:B)=J987)),"""")"),"")</f>
        <v/>
      </c>
      <c r="H987" s="384">
        <f t="shared" si="2"/>
        <v>0</v>
      </c>
      <c r="I987" s="385">
        <f t="shared" si="3"/>
        <v>0</v>
      </c>
    </row>
    <row r="988" ht="22.5" customHeight="1">
      <c r="A988" s="391"/>
      <c r="B988" s="379"/>
      <c r="C988" s="393"/>
      <c r="D988" s="392"/>
      <c r="E988" s="392"/>
      <c r="F988" s="383" t="str">
        <f t="shared" si="1"/>
        <v/>
      </c>
      <c r="G988" s="384" t="str">
        <f>IFERROR(__xludf.DUMMYFUNCTION("IFERROR(AVERAGE(FILTER('حضور '!I:I,'حضور '!A:A=A988,MONTH('حضور '!B:B)=J988)),"""")"),"")</f>
        <v/>
      </c>
      <c r="H988" s="384">
        <f t="shared" si="2"/>
        <v>0</v>
      </c>
      <c r="I988" s="385">
        <f t="shared" si="3"/>
        <v>0</v>
      </c>
    </row>
    <row r="989" ht="22.5" customHeight="1">
      <c r="A989" s="391"/>
      <c r="B989" s="379"/>
      <c r="C989" s="393"/>
      <c r="D989" s="392"/>
      <c r="E989" s="392"/>
      <c r="F989" s="383" t="str">
        <f t="shared" si="1"/>
        <v/>
      </c>
      <c r="G989" s="384" t="str">
        <f>IFERROR(__xludf.DUMMYFUNCTION("IFERROR(AVERAGE(FILTER('حضور '!I:I,'حضور '!A:A=A989,MONTH('حضور '!B:B)=J989)),"""")"),"")</f>
        <v/>
      </c>
      <c r="H989" s="384">
        <f t="shared" si="2"/>
        <v>0</v>
      </c>
      <c r="I989" s="385">
        <f t="shared" si="3"/>
        <v>0</v>
      </c>
    </row>
    <row r="990" ht="22.5" customHeight="1">
      <c r="A990" s="391"/>
      <c r="B990" s="379"/>
      <c r="C990" s="393"/>
      <c r="D990" s="392"/>
      <c r="E990" s="392"/>
      <c r="F990" s="383" t="str">
        <f t="shared" si="1"/>
        <v/>
      </c>
      <c r="G990" s="384" t="str">
        <f>IFERROR(__xludf.DUMMYFUNCTION("IFERROR(AVERAGE(FILTER('حضور '!I:I,'حضور '!A:A=A990,MONTH('حضور '!B:B)=J990)),"""")"),"")</f>
        <v/>
      </c>
      <c r="H990" s="384">
        <f t="shared" si="2"/>
        <v>0</v>
      </c>
      <c r="I990" s="385">
        <f t="shared" si="3"/>
        <v>0</v>
      </c>
    </row>
    <row r="991" ht="22.5" customHeight="1">
      <c r="A991" s="391"/>
      <c r="B991" s="379"/>
      <c r="C991" s="393"/>
      <c r="D991" s="392"/>
      <c r="E991" s="392"/>
      <c r="F991" s="383" t="str">
        <f t="shared" si="1"/>
        <v/>
      </c>
      <c r="G991" s="384" t="str">
        <f>IFERROR(__xludf.DUMMYFUNCTION("IFERROR(AVERAGE(FILTER('حضور '!I:I,'حضور '!A:A=A991,MONTH('حضور '!B:B)=J991)),"""")"),"")</f>
        <v/>
      </c>
      <c r="H991" s="384">
        <f t="shared" si="2"/>
        <v>0</v>
      </c>
      <c r="I991" s="385">
        <f t="shared" si="3"/>
        <v>0</v>
      </c>
    </row>
    <row r="992" ht="22.5" customHeight="1">
      <c r="A992" s="391"/>
      <c r="B992" s="379"/>
      <c r="C992" s="393"/>
      <c r="D992" s="392"/>
      <c r="E992" s="392"/>
      <c r="F992" s="383" t="str">
        <f t="shared" si="1"/>
        <v/>
      </c>
      <c r="G992" s="384" t="str">
        <f>IFERROR(__xludf.DUMMYFUNCTION("IFERROR(AVERAGE(FILTER('حضور '!I:I,'حضور '!A:A=A992,MONTH('حضور '!B:B)=J992)),"""")"),"")</f>
        <v/>
      </c>
      <c r="H992" s="384">
        <f t="shared" si="2"/>
        <v>0</v>
      </c>
      <c r="I992" s="385">
        <f t="shared" si="3"/>
        <v>0</v>
      </c>
    </row>
    <row r="993" ht="22.5" customHeight="1">
      <c r="A993" s="391"/>
      <c r="B993" s="379"/>
      <c r="C993" s="393"/>
      <c r="D993" s="392"/>
      <c r="E993" s="392"/>
      <c r="F993" s="383" t="str">
        <f t="shared" si="1"/>
        <v/>
      </c>
      <c r="G993" s="384" t="str">
        <f>IFERROR(__xludf.DUMMYFUNCTION("IFERROR(AVERAGE(FILTER('حضور '!I:I,'حضور '!A:A=A993,MONTH('حضور '!B:B)=J993)),"""")"),"")</f>
        <v/>
      </c>
      <c r="H993" s="384">
        <f t="shared" si="2"/>
        <v>0</v>
      </c>
      <c r="I993" s="385">
        <f t="shared" si="3"/>
        <v>0</v>
      </c>
    </row>
    <row r="994" ht="22.5" customHeight="1">
      <c r="A994" s="391"/>
      <c r="B994" s="379"/>
      <c r="C994" s="393"/>
      <c r="D994" s="392"/>
      <c r="E994" s="392"/>
      <c r="F994" s="383" t="str">
        <f t="shared" si="1"/>
        <v/>
      </c>
      <c r="G994" s="384" t="str">
        <f>IFERROR(__xludf.DUMMYFUNCTION("IFERROR(AVERAGE(FILTER('حضور '!I:I,'حضور '!A:A=A994,MONTH('حضور '!B:B)=J994)),"""")"),"")</f>
        <v/>
      </c>
      <c r="H994" s="384">
        <f t="shared" si="2"/>
        <v>0</v>
      </c>
      <c r="I994" s="385">
        <f t="shared" si="3"/>
        <v>0</v>
      </c>
    </row>
    <row r="995" ht="22.5" customHeight="1">
      <c r="A995" s="391"/>
      <c r="B995" s="379"/>
      <c r="C995" s="393"/>
      <c r="D995" s="392"/>
      <c r="E995" s="392"/>
      <c r="F995" s="383" t="str">
        <f t="shared" si="1"/>
        <v/>
      </c>
      <c r="G995" s="384" t="str">
        <f>IFERROR(__xludf.DUMMYFUNCTION("IFERROR(AVERAGE(FILTER('حضور '!I:I,'حضور '!A:A=A995,MONTH('حضور '!B:B)=J995)),"""")"),"")</f>
        <v/>
      </c>
      <c r="H995" s="384">
        <f t="shared" si="2"/>
        <v>0</v>
      </c>
      <c r="I995" s="385">
        <f t="shared" si="3"/>
        <v>0</v>
      </c>
    </row>
    <row r="996" ht="22.5" customHeight="1">
      <c r="A996" s="391"/>
      <c r="B996" s="379"/>
      <c r="C996" s="393"/>
      <c r="D996" s="392"/>
      <c r="E996" s="392"/>
      <c r="F996" s="383" t="str">
        <f t="shared" si="1"/>
        <v/>
      </c>
      <c r="G996" s="384" t="str">
        <f>IFERROR(__xludf.DUMMYFUNCTION("IFERROR(AVERAGE(FILTER('حضور '!I:I,'حضور '!A:A=A996,MONTH('حضور '!B:B)=J996)),"""")"),"")</f>
        <v/>
      </c>
      <c r="H996" s="384">
        <f t="shared" si="2"/>
        <v>0</v>
      </c>
      <c r="I996" s="385">
        <f t="shared" si="3"/>
        <v>0</v>
      </c>
    </row>
    <row r="997" ht="22.5" customHeight="1">
      <c r="A997" s="391"/>
      <c r="B997" s="379"/>
      <c r="C997" s="393"/>
      <c r="D997" s="392"/>
      <c r="E997" s="392"/>
      <c r="F997" s="383" t="str">
        <f t="shared" si="1"/>
        <v/>
      </c>
      <c r="G997" s="384" t="str">
        <f>IFERROR(__xludf.DUMMYFUNCTION("IFERROR(AVERAGE(FILTER('حضور '!I:I,'حضور '!A:A=A997,MONTH('حضور '!B:B)=J997)),"""")"),"")</f>
        <v/>
      </c>
      <c r="H997" s="384">
        <f t="shared" si="2"/>
        <v>0</v>
      </c>
      <c r="I997" s="385">
        <f t="shared" si="3"/>
        <v>0</v>
      </c>
    </row>
    <row r="998" ht="22.5" customHeight="1">
      <c r="A998" s="391"/>
      <c r="B998" s="379"/>
      <c r="C998" s="393"/>
      <c r="D998" s="392"/>
      <c r="E998" s="392"/>
      <c r="F998" s="383" t="str">
        <f t="shared" si="1"/>
        <v/>
      </c>
      <c r="G998" s="384" t="str">
        <f>IFERROR(__xludf.DUMMYFUNCTION("IFERROR(AVERAGE(FILTER('حضور '!I:I,'حضور '!A:A=A998,MONTH('حضور '!B:B)=J998)),"""")"),"")</f>
        <v/>
      </c>
      <c r="H998" s="384">
        <f t="shared" si="2"/>
        <v>0</v>
      </c>
      <c r="I998" s="385">
        <f t="shared" si="3"/>
        <v>0</v>
      </c>
    </row>
    <row r="999" ht="22.5" customHeight="1">
      <c r="A999" s="391"/>
      <c r="B999" s="379"/>
      <c r="C999" s="393"/>
      <c r="D999" s="392"/>
      <c r="E999" s="392"/>
      <c r="F999" s="383" t="str">
        <f t="shared" si="1"/>
        <v/>
      </c>
      <c r="G999" s="384" t="str">
        <f>IFERROR(__xludf.DUMMYFUNCTION("IFERROR(AVERAGE(FILTER('حضور '!I:I,'حضور '!A:A=A999,MONTH('حضور '!B:B)=J999)),"""")"),"")</f>
        <v/>
      </c>
      <c r="H999" s="384">
        <f t="shared" si="2"/>
        <v>0</v>
      </c>
      <c r="I999" s="385">
        <f t="shared" si="3"/>
        <v>0</v>
      </c>
    </row>
    <row r="1000" ht="22.5" customHeight="1">
      <c r="A1000" s="391"/>
      <c r="B1000" s="379"/>
      <c r="C1000" s="393"/>
      <c r="D1000" s="392"/>
      <c r="E1000" s="392"/>
      <c r="F1000" s="383" t="str">
        <f t="shared" si="1"/>
        <v/>
      </c>
      <c r="G1000" s="384" t="str">
        <f>IFERROR(__xludf.DUMMYFUNCTION("IFERROR(AVERAGE(FILTER('حضور '!I:I,'حضور '!A:A=A1000,MONTH('حضور '!B:B)=J1000)),"""")"),"")</f>
        <v/>
      </c>
      <c r="H1000" s="384">
        <f t="shared" si="2"/>
        <v>0</v>
      </c>
      <c r="I1000" s="385">
        <f t="shared" si="3"/>
        <v>0</v>
      </c>
    </row>
    <row r="1001" ht="22.5" customHeight="1">
      <c r="A1001" s="391"/>
      <c r="B1001" s="379"/>
      <c r="C1001" s="393"/>
      <c r="D1001" s="392"/>
      <c r="E1001" s="392"/>
      <c r="F1001" s="383" t="str">
        <f t="shared" si="1"/>
        <v/>
      </c>
      <c r="G1001" s="384" t="str">
        <f>IFERROR(__xludf.DUMMYFUNCTION("IFERROR(AVERAGE(FILTER('حضور '!I:I,'حضور '!A:A=A1001,MONTH('حضور '!B:B)=J1001)),"""")"),"")</f>
        <v/>
      </c>
      <c r="H1001" s="384">
        <f t="shared" si="2"/>
        <v>0</v>
      </c>
      <c r="I1001" s="385">
        <f t="shared" si="3"/>
        <v>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34.43"/>
    <col customWidth="1" min="3" max="3" width="28.71"/>
    <col customWidth="1" min="4" max="4" width="28.0"/>
    <col customWidth="1" min="5" max="8" width="26.57"/>
  </cols>
  <sheetData>
    <row r="1" ht="33.0" customHeight="1">
      <c r="A1" s="394" t="s">
        <v>272</v>
      </c>
      <c r="C1" s="395"/>
      <c r="D1" s="396"/>
      <c r="E1" s="397"/>
      <c r="F1" s="398">
        <f>IFERROR(__xludf.DUMMYFUNCTION("FILTER({'رواتب'!M:M , 'رواتب'!G:G} ,'رواتب'!A:A  =B3)"),46054.0)</f>
        <v>46054</v>
      </c>
      <c r="G1" s="399">
        <f>IFERROR(__xludf.DUMMYFUNCTION("""COMPUTED_VALUE"""),160109.12698412695)</f>
        <v>160109.127</v>
      </c>
      <c r="H1" s="397"/>
    </row>
    <row r="2" ht="36.0" customHeight="1">
      <c r="A2" s="400"/>
      <c r="B2" s="401">
        <f>IFERROR(__xludf.DUMMYFUNCTION("IFERROR(AVERAGE(FILTER('حضور '!I:I,'حضور '!A:A=B3,MONTH('حضور '!B:B)=B4)),"""")"),2976.1904761904766)</f>
        <v>2976.190476</v>
      </c>
      <c r="C2" s="402"/>
      <c r="D2" s="403"/>
      <c r="E2" s="404"/>
      <c r="F2" s="405"/>
      <c r="G2" s="406"/>
      <c r="H2" s="404"/>
    </row>
    <row r="3" ht="36.0" customHeight="1">
      <c r="A3" s="407" t="s">
        <v>273</v>
      </c>
      <c r="B3" s="408" t="s">
        <v>242</v>
      </c>
      <c r="C3" s="402"/>
      <c r="D3" s="408"/>
      <c r="E3" s="409"/>
      <c r="F3" s="410"/>
      <c r="G3" s="411"/>
      <c r="H3" s="409"/>
    </row>
    <row r="4" ht="36.0" customHeight="1">
      <c r="A4" s="412" t="s">
        <v>274</v>
      </c>
      <c r="B4" s="413">
        <v>2.0</v>
      </c>
      <c r="C4" s="414"/>
      <c r="D4" s="415"/>
      <c r="E4" s="404"/>
      <c r="F4" s="416"/>
      <c r="G4" s="417"/>
      <c r="H4" s="404"/>
    </row>
    <row r="5" ht="36.0" customHeight="1">
      <c r="A5" s="418" t="s">
        <v>275</v>
      </c>
      <c r="B5" s="408">
        <f>SUMPRODUCT(('حضور '!A2:A14=B3)*(MONTH('حضور '!B2:B14)=B4)*'حضور '!H2:H14)</f>
        <v>8</v>
      </c>
      <c r="C5" s="414"/>
      <c r="D5" s="408"/>
      <c r="E5" s="409"/>
      <c r="F5" s="410"/>
      <c r="G5" s="411"/>
      <c r="H5" s="409"/>
    </row>
    <row r="6" ht="36.0" customHeight="1">
      <c r="A6" s="419" t="s">
        <v>276</v>
      </c>
      <c r="B6" s="420">
        <f>SUMPRODUCT(('حضور '!A2:A14=B3)*(MONTH('حضور '!B2:B14)=B4)*'حضور '!G2:G14)</f>
        <v>85.71666667</v>
      </c>
      <c r="C6" s="419"/>
      <c r="D6" s="408"/>
      <c r="E6" s="404"/>
      <c r="F6" s="416"/>
      <c r="G6" s="421"/>
      <c r="H6" s="404"/>
    </row>
    <row r="7" ht="36.0" customHeight="1">
      <c r="A7" s="422" t="s">
        <v>11</v>
      </c>
      <c r="B7" s="423">
        <f>B5*9*B2</f>
        <v>214285.7143</v>
      </c>
      <c r="C7" s="424"/>
      <c r="D7" s="408"/>
      <c r="E7" s="409"/>
      <c r="F7" s="410"/>
      <c r="G7" s="411"/>
      <c r="H7" s="409"/>
    </row>
    <row r="8" ht="36.0" customHeight="1">
      <c r="A8" s="422" t="s">
        <v>8</v>
      </c>
      <c r="B8" s="423">
        <f>SUMPRODUCT(('حضور '!A2:A14=B3)*(MONTH('حضور '!B2:B14)=B4)*'حضور '!K2:K14)</f>
        <v>160109.127</v>
      </c>
      <c r="C8" s="414"/>
      <c r="D8" s="408"/>
      <c r="E8" s="404"/>
      <c r="F8" s="416"/>
      <c r="G8" s="417"/>
      <c r="H8" s="404"/>
    </row>
    <row r="9" ht="36.0" customHeight="1">
      <c r="A9" s="422" t="s">
        <v>252</v>
      </c>
      <c r="B9" s="408"/>
      <c r="C9" s="424"/>
      <c r="D9" s="408"/>
      <c r="E9" s="409"/>
      <c r="F9" s="410"/>
      <c r="G9" s="411"/>
      <c r="H9" s="409"/>
    </row>
    <row r="10" ht="36.0" customHeight="1">
      <c r="A10" s="422" t="s">
        <v>277</v>
      </c>
      <c r="B10" s="423"/>
      <c r="C10" s="424"/>
      <c r="D10" s="408"/>
      <c r="E10" s="404"/>
      <c r="F10" s="416"/>
      <c r="G10" s="417"/>
      <c r="H10" s="404"/>
    </row>
    <row r="11" ht="36.0" customHeight="1">
      <c r="A11" s="422" t="s">
        <v>278</v>
      </c>
      <c r="B11" s="423">
        <f>B7+B9</f>
        <v>214285.7143</v>
      </c>
      <c r="C11" s="424"/>
      <c r="D11" s="408"/>
      <c r="E11" s="409"/>
      <c r="F11" s="410"/>
      <c r="G11" s="411"/>
      <c r="H11" s="409"/>
    </row>
    <row r="12" ht="36.0" customHeight="1">
      <c r="A12" s="422" t="s">
        <v>16</v>
      </c>
      <c r="B12" s="423">
        <f>IFERROR(__xludf.DUMMYFUNCTION("IFERROR(INDEX(FILTER('رواتب'!L:L, 'رواتب'!A:A=B3, MONTH('رواتب'!M:M)=B4),1),"""")"),95000.0)</f>
        <v>95000</v>
      </c>
      <c r="C12" s="424"/>
      <c r="D12" s="415"/>
      <c r="E12" s="404"/>
      <c r="F12" s="416"/>
      <c r="G12" s="417"/>
      <c r="H12" s="404"/>
    </row>
    <row r="13" ht="36.0" customHeight="1">
      <c r="A13" s="422" t="s">
        <v>15</v>
      </c>
      <c r="B13" s="423">
        <f>B11-B8</f>
        <v>54176.5873</v>
      </c>
      <c r="C13" s="424"/>
      <c r="D13" s="415"/>
      <c r="E13" s="425"/>
      <c r="F13" s="426"/>
      <c r="G13" s="427"/>
      <c r="H13" s="425"/>
    </row>
    <row r="14" ht="36.0" customHeight="1">
      <c r="A14" s="422"/>
      <c r="B14" s="415"/>
      <c r="C14" s="424"/>
      <c r="D14" s="415"/>
      <c r="E14" s="425" t="b">
        <v>0</v>
      </c>
      <c r="F14" s="426"/>
      <c r="G14" s="427"/>
      <c r="H14" s="425"/>
    </row>
  </sheetData>
  <mergeCells count="1">
    <mergeCell ref="A1:B1"/>
  </mergeCells>
  <conditionalFormatting sqref="A1:H14">
    <cfRule type="expression" dxfId="5" priority="1">
      <formula>$J$2=TRUE</formula>
    </cfRule>
  </conditionalFormatting>
  <conditionalFormatting sqref="A1:C13 F1:H13">
    <cfRule type="expression" dxfId="5" priority="2">
      <formula>$E$14=TRUE</formula>
    </cfRule>
  </conditionalFormatting>
  <conditionalFormatting sqref="D1:D13">
    <cfRule type="expression" dxfId="5" priority="3">
      <formula>$E$14=falst</formula>
    </cfRule>
  </conditionalFormatting>
  <conditionalFormatting sqref="D1:D13">
    <cfRule type="expression" dxfId="5" priority="4">
      <formula>$E$13=TRUE</formula>
    </cfRule>
  </conditionalFormatting>
  <dataValidations>
    <dataValidation type="list" allowBlank="1" showDropDown="1" showErrorMessage="1" sqref="B3">
      <formula1>'حضور '!$A$2:$A14</formula1>
    </dataValidation>
    <dataValidation type="list" allowBlank="1" sqref="B4">
      <formula1>"1,2,3,4,5,6,7,8,9,10,11,12"</formula1>
    </dataValidation>
  </dataValidations>
  <printOptions/>
  <pageMargins bottom="1.0" footer="0.0" header="0.0" left="0.75" right="0.75" top="1.0"/>
  <pageSetup orientation="landscape"/>
  <drawing r:id="rId1"/>
</worksheet>
</file>